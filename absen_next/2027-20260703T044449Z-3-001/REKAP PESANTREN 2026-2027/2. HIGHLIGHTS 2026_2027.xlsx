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I" sheetId="2" r:id="rId6"/>
    <sheet state="visible" name="II" sheetId="3" r:id="rId7"/>
    <sheet state="visible" name="III" sheetId="4" r:id="rId8"/>
    <sheet state="visible" name="A" sheetId="5" r:id="rId9"/>
    <sheet state="visible" name="B" sheetId="6" r:id="rId10"/>
    <sheet state="visible" name="C" sheetId="7" r:id="rId11"/>
    <sheet state="visible" name="D" sheetId="8" r:id="rId12"/>
    <sheet state="visible" name="E" sheetId="9" r:id="rId13"/>
    <sheet state="visible" name="F" sheetId="10" r:id="rId14"/>
  </sheets>
  <definedNames/>
  <calcPr/>
</workbook>
</file>

<file path=xl/sharedStrings.xml><?xml version="1.0" encoding="utf-8"?>
<sst xmlns="http://schemas.openxmlformats.org/spreadsheetml/2006/main" count="120" uniqueCount="35">
  <si>
    <t>HIGHLIGHTS</t>
  </si>
  <si>
    <t>SANTRI MATHOLI`UL ANWAR TAHUN TADRIS 2026/2027</t>
  </si>
  <si>
    <t>ASRAMA A</t>
  </si>
  <si>
    <t>TOTAL TUNGGAKAN SANTRI PER ASRAMA</t>
  </si>
  <si>
    <t>KOTAK KOTAK, DIBAWAHNYA DI BERI RINCIAN TINGKATNYA DAN TOTALNYA</t>
  </si>
  <si>
    <t>CHART TUNGGAKAN</t>
  </si>
  <si>
    <t>LUNAS</t>
  </si>
  <si>
    <t>BELUM</t>
  </si>
  <si>
    <t>DANA KEGIATAN</t>
  </si>
  <si>
    <t>ASRAMA B</t>
  </si>
  <si>
    <t>ASRAMA C</t>
  </si>
  <si>
    <t>ASRAMA D</t>
  </si>
  <si>
    <t xml:space="preserve"> </t>
  </si>
  <si>
    <t>ASRAMA E</t>
  </si>
  <si>
    <t xml:space="preserve">    </t>
  </si>
  <si>
    <t>ASRAMA F</t>
  </si>
  <si>
    <t>JUMLAH SANTRI  ASRAMA A</t>
  </si>
  <si>
    <t>I</t>
  </si>
  <si>
    <t>II</t>
  </si>
  <si>
    <t>III</t>
  </si>
  <si>
    <t>SUDAH LUNAS DANA KEGIATAN</t>
  </si>
  <si>
    <t>BELUM LUNAS DANA KEGIATAN</t>
  </si>
  <si>
    <t>JUMLAH TUNGGAKAN SYAHRIYAH</t>
  </si>
  <si>
    <t>JUMLAH TUNGGAKAN JARIYAH</t>
  </si>
  <si>
    <t>JUMLAH TUNGGAKAN DAFTAR ULANG</t>
  </si>
  <si>
    <t>TOTAL TUNGGAKAN</t>
  </si>
  <si>
    <t>SYAHRIYAH</t>
  </si>
  <si>
    <t>JARIYAH</t>
  </si>
  <si>
    <t>DAFTAR ULANG</t>
  </si>
  <si>
    <t>TOTAL</t>
  </si>
  <si>
    <t>JUMLAH SANTRI  ASRAMA B</t>
  </si>
  <si>
    <t>JUMLAH SANTRI  ASRAMA C</t>
  </si>
  <si>
    <t>JUMLAH SANTRI  ASRAMA D</t>
  </si>
  <si>
    <t>JUMLAH SANTRI  ASRAMA E</t>
  </si>
  <si>
    <t>JUMLAH SANTRI  ASRAMA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</si>
</sst>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d mmmm yyyy"/>
  </numFmts>
  <fonts count="15">
    <font>
      <sz val="10.0"/>
      <color rgb="FF000000"/>
      <name val="Arial"/>
      <scheme val="minor"/>
    </font>
    <font>
      <b/>
      <sz val="55.0"/>
      <color rgb="FF38761D"/>
      <name val="Lexend"/>
    </font>
    <font>
      <color theme="1"/>
      <name val="Arial"/>
      <scheme val="minor"/>
    </font>
    <font>
      <b/>
      <sz val="17.0"/>
      <color theme="1"/>
      <name val="Lexend"/>
    </font>
    <font>
      <b/>
      <sz val="12.0"/>
      <color theme="1"/>
      <name val="Lexend"/>
    </font>
    <font>
      <b/>
      <sz val="40.0"/>
      <color rgb="FFFFFFFF"/>
      <name val="Lexend"/>
    </font>
    <font>
      <b/>
      <sz val="45.0"/>
      <color rgb="FFFFFFFF"/>
      <name val="Lexend"/>
    </font>
    <font>
      <b/>
      <sz val="35.0"/>
      <color rgb="FFFFFFFF"/>
      <name val="Lexend"/>
    </font>
    <font>
      <b/>
      <sz val="9.0"/>
      <color rgb="FFFFFFFF"/>
      <name val="Lexend"/>
    </font>
    <font>
      <b/>
      <sz val="8.0"/>
      <color rgb="FFFFFFFF"/>
      <name val="Lexend"/>
    </font>
    <font>
      <b/>
      <color theme="1"/>
      <name val="Arial"/>
      <scheme val="minor"/>
    </font>
    <font>
      <b/>
      <color theme="1"/>
      <name val="Lexend"/>
    </font>
    <font>
      <b/>
      <color rgb="FF000000"/>
      <name val="Lexend"/>
    </font>
    <font>
      <b/>
      <color rgb="FFFFFFFF"/>
      <name val="Lexend"/>
    </font>
    <font>
      <b/>
      <sz val="12.0"/>
      <color rgb="FFFFFFFF"/>
      <name val="Lexend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274E13"/>
        <bgColor rgb="FF274E13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1C4587"/>
        <bgColor rgb="FF1C4587"/>
      </patternFill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3" fontId="4" numFmtId="0" xfId="0" applyAlignment="1" applyFill="1" applyFont="1">
      <alignment horizontal="center" readingOrder="0" vertical="center"/>
    </xf>
    <xf borderId="0" fillId="4" fontId="5" numFmtId="3" xfId="0" applyAlignment="1" applyFill="1" applyFont="1" applyNumberForma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7" numFmtId="3" xfId="0" applyAlignment="1" applyFont="1" applyNumberFormat="1">
      <alignment horizontal="center" readingOrder="0" vertical="center"/>
    </xf>
    <xf borderId="0" fillId="4" fontId="7" numFmtId="3" xfId="0" applyAlignment="1" applyFont="1" applyNumberFormat="1">
      <alignment horizontal="center" readingOrder="0" vertical="center"/>
    </xf>
    <xf borderId="0" fillId="2" fontId="8" numFmtId="0" xfId="0" applyAlignment="1" applyFont="1">
      <alignment horizontal="center" vertical="center"/>
    </xf>
    <xf borderId="0" fillId="5" fontId="8" numFmtId="0" xfId="0" applyAlignment="1" applyFill="1" applyFont="1">
      <alignment horizontal="center" vertical="center"/>
    </xf>
    <xf borderId="0" fillId="5" fontId="9" numFmtId="0" xfId="0" applyAlignment="1" applyFont="1">
      <alignment horizontal="center" vertical="center"/>
    </xf>
    <xf borderId="0" fillId="0" fontId="10" numFmtId="0" xfId="0" applyAlignment="1" applyFont="1">
      <alignment readingOrder="0" vertical="center"/>
    </xf>
    <xf borderId="0" fillId="6" fontId="11" numFmtId="0" xfId="0" applyAlignment="1" applyFill="1" applyFont="1">
      <alignment readingOrder="0" vertical="center"/>
    </xf>
    <xf borderId="0" fillId="5" fontId="1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7" fontId="13" numFmtId="0" xfId="0" applyAlignment="1" applyFill="1" applyFont="1">
      <alignment readingOrder="0" vertical="center"/>
    </xf>
    <xf borderId="0" fillId="8" fontId="14" numFmtId="0" xfId="0" applyAlignment="1" applyFill="1" applyFont="1">
      <alignment horizontal="center" readingOrder="0" vertical="center"/>
    </xf>
    <xf borderId="0" fillId="0" fontId="2" numFmtId="3" xfId="0" applyFont="1" applyNumberFormat="1"/>
    <xf borderId="0" fillId="9" fontId="2" numFmtId="0" xfId="0" applyFill="1" applyFont="1"/>
    <xf borderId="0" fillId="9" fontId="2" numFmtId="0" xfId="0" applyAlignment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9" xfId="0" applyFont="1" applyNumberFormat="1"/>
    <xf borderId="0" fillId="10" fontId="10" numFmtId="0" xfId="0" applyAlignment="1" applyFill="1" applyFont="1">
      <alignment horizontal="center" shrinkToFit="0" vertical="center" wrapText="1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9.5"/>
    <col customWidth="1" min="5" max="5" width="4.5"/>
    <col customWidth="1" min="6" max="6" width="24.38"/>
    <col customWidth="1" min="7" max="7" width="27.88"/>
    <col customWidth="1" min="8" max="8" width="27.0"/>
    <col customWidth="1" min="9" max="9" width="27.25"/>
    <col customWidth="1" min="10" max="10" width="29.5"/>
    <col customWidth="1" min="11" max="12" width="7.0"/>
    <col customWidth="1" min="13" max="13" width="4.5"/>
    <col customWidth="1" min="14" max="14" width="8.38"/>
    <col customWidth="1" min="15" max="16" width="7.0"/>
    <col customWidth="1" min="17" max="17" width="4.5"/>
    <col customWidth="1" min="18" max="20" width="7.0"/>
    <col customWidth="1" min="21" max="21" width="4.5"/>
    <col customWidth="1" min="22" max="24" width="7.0"/>
    <col customWidth="1" min="25" max="43" width="12.63"/>
    <col customWidth="1" min="44" max="44" width="35.75"/>
    <col customWidth="1" min="45" max="45" width="26.75"/>
    <col customWidth="1" min="46" max="46" width="49.25"/>
  </cols>
  <sheetData>
    <row r="1">
      <c r="B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>
      <c r="B2" s="4">
        <f>TODAY()</f>
        <v>46206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>
      <c r="A4" s="6"/>
      <c r="B4" s="7" t="s">
        <v>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>
      <c r="A5" s="5"/>
      <c r="B5" s="8">
        <f>A!S2+B!S2+'C'!S2+D!S2+E!S2+F!S2</f>
        <v>722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>
      <c r="A6" s="5"/>
      <c r="B6" s="2"/>
      <c r="C6" s="9"/>
      <c r="D6" s="9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>
      <c r="A7" s="6"/>
      <c r="B7" s="6"/>
      <c r="C7" s="9"/>
      <c r="D7" s="9"/>
      <c r="E7" s="9"/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>
      <c r="A8" s="10"/>
      <c r="B8" s="7" t="s">
        <v>2</v>
      </c>
      <c r="E8" s="5"/>
      <c r="I8" s="2"/>
      <c r="M8" s="2"/>
      <c r="Q8" s="2"/>
      <c r="U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 t="s">
        <v>3</v>
      </c>
      <c r="AS8" s="3"/>
      <c r="AT8" s="2" t="s">
        <v>4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>
      <c r="A9" s="11"/>
      <c r="B9" s="12">
        <f>A!S2</f>
        <v>219</v>
      </c>
      <c r="E9" s="6"/>
      <c r="I9" s="3"/>
      <c r="M9" s="3"/>
      <c r="Q9" s="3"/>
      <c r="U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>
      <c r="A10" s="13"/>
      <c r="B10" s="14" t="str">
        <f>A!T3&amp;" : "&amp;A!S3</f>
        <v>I : 0</v>
      </c>
      <c r="C10" s="14" t="str">
        <f>A!T4&amp;" : "&amp;A!S4</f>
        <v>II : 112</v>
      </c>
      <c r="D10" s="15" t="str">
        <f>A!T5&amp;" : "&amp;A!S5</f>
        <v>III : 107</v>
      </c>
      <c r="E10" s="6"/>
      <c r="F10" s="16" t="s">
        <v>5</v>
      </c>
      <c r="I10" s="3"/>
      <c r="M10" s="3"/>
      <c r="Q10" s="3"/>
      <c r="U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ht="78.75" customHeight="1">
      <c r="A11" s="6"/>
      <c r="B11" s="17" t="s">
        <v>6</v>
      </c>
      <c r="D11" s="18">
        <f>A!$S$6</f>
        <v>331</v>
      </c>
      <c r="E11" s="6"/>
      <c r="F11" s="19" t="str">
        <f>"1. "&amp;A!$S$13
&amp;" Syahriyah : "&amp;text(A!$T$13,"Rp #,##0") 
&amp;" Jariyah : "&amp;text(A!$U$13,"Rp #,##0")
&amp;" Daftar Ulang : "&amp;text(A!$V$13,"Rp #,##0")
&amp;" Total : "&amp;text(A!$W$13,"Rp #,##0")</f>
        <v>1. MUHAMMAD IQBAL MAULANA PUTRA Syahriyah : Rp 8.100.000 Jariyah : Rp 1.600.000 Daftar Ulang : Rp 0 Total : Rp 9.700.000</v>
      </c>
      <c r="G11" s="19" t="str">
        <f>"3. "&amp;A!$S$15
&amp;" Syahriyah : "&amp;text(A!$T$15,"Rp #,##0") 
&amp;" Jariyah : "&amp;text(A!$U$15,"Rp #,##0")
&amp;" Daftar Ulang : "&amp;text(A!$V$15,"Rp #,##0")
&amp;" Total : "&amp;text(A!$W$15,"Rp #,##0")</f>
        <v>3. ABI DZAR AL GHIFARI Syahriyah : Rp 4.500.000 Jariyah : Rp 1.600.000 Daftar Ulang : Rp 0 Total : Rp 6.100.000</v>
      </c>
      <c r="H11" s="19" t="str">
        <f>"5. "&amp;A!$S$17
&amp;" Syahriyah : "&amp;text(A!$T$17,"Rp #,##0") 
&amp;" Jariyah : "&amp;text(A!$U$17,"Rp #,##0")
&amp;" Daftar Ulang : "&amp;text(A!$V$17,"Rp #,##0")
&amp;" Total : "&amp;text(A!$W$17,"Rp #,##0")</f>
        <v>5. MOCH. DANISH IRFAN NUSHFIANTO WAHID Syahriyah : Rp 4.950.000 Jariyah : Rp 1.000.000 Daftar Ulang : Rp 0 Total : Rp 5.950.000</v>
      </c>
      <c r="I11" s="19" t="str">
        <f>"7. "&amp;A!$S$19
&amp;" Syahriyah : "&amp;text(A!$T$19,"Rp #,##0") 
&amp;" Jariyah : "&amp;text(A!$U$19,"Rp #,##0")
&amp;" Daftar Ulang : "&amp;text(A!$V$19,"Rp #,##0")
&amp;" Total : "&amp;text(A!$W$19,"Rp #,##0")</f>
        <v>7. AHMAD BAKER ADLAN Syahriyah : Rp 4.950.000 Jariyah : Rp 1.000.000 Daftar Ulang : Rp 0 Total : Rp 5.950.000</v>
      </c>
      <c r="J11" s="19" t="str">
        <f>"9. "&amp;A!$S$21
&amp;" Syahriyah : "&amp;text(A!$T$21,"Rp #,##0") 
&amp;" Jariyah : "&amp;text(A!$U$21,"Rp #,##0")
&amp;" Daftar Ulang : "&amp;text(A!$V$21,"Rp #,##0")
&amp;" Total : "&amp;text(A!$W$21,"Rp #,##0")</f>
        <v>9. MOHAMAD NOVAL JALALUDIN Syahriyah : Rp 4.950.000 Jariyah : Rp 1.000.000 Daftar Ulang : Rp 0 Total : Rp 5.950.000</v>
      </c>
      <c r="M11" s="3"/>
      <c r="Q11" s="3"/>
      <c r="U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>
      <c r="A12" s="6"/>
      <c r="B12" s="20" t="s">
        <v>7</v>
      </c>
      <c r="D12" s="18">
        <f>A!$S$7</f>
        <v>2</v>
      </c>
      <c r="E12" s="3"/>
      <c r="F12" s="19" t="str">
        <f>"2. "&amp;A!$S$14
&amp;" Syahriyah : "&amp;text(A!$T$14,"Rp #,##0") 
&amp;" Jariyah : "&amp;text(A!$U$14,"Rp #,##0")
&amp;" Daftar Ulang : "&amp;text(A!$V$14,"Rp #,##0")
&amp;" Total : "&amp;text(A!$W$14,"Rp #,##0")</f>
        <v>2. AHMAD GUTI JAELANI Syahriyah : Rp 6.750.000 Jariyah : Rp 0 Daftar Ulang : Rp 0 Total : Rp 6.750.000</v>
      </c>
      <c r="G12" s="19" t="str">
        <f>"4. "&amp;A!$S$16
&amp;" Syahriyah : "&amp;text(A!$T$16,"Rp #,##0") 
&amp;" Jariyah :"&amp;text(A!$U$16,"Rp #,##0")
&amp;" Daftar Ulang : "&amp;text(A!$V$16,"Rp #,##0")
&amp;" Total : "&amp;text(A!$W$16,"Rp #,##0")</f>
        <v>4. AHMAD LAIQLABI ASROFI Syahriyah : Rp 4.950.000 Jariyah :Rp 1.000.000 Daftar Ulang : Rp 0 Total : Rp 5.950.000</v>
      </c>
      <c r="H12" s="19" t="str">
        <f>"6. "&amp;A!$S$18
&amp;" Syahriyah : "&amp;text(A!$T$18,"Rp #,##0") 
&amp;" Jariyah : "&amp;text(A!$U$18,"Rp #,##0")
&amp;" Daftar Ulang : "&amp;text(A!$V$18,"Rp #,##0")
&amp;" Total : "&amp;text(A!$W$18,"Rp #,##0")</f>
        <v>6. MUHAMMAD RAFFA NUR RAMADHAN Syahriyah : Rp 4.950.000 Jariyah : Rp 1.000.000 Daftar Ulang : Rp 0 Total : Rp 5.950.000</v>
      </c>
      <c r="I12" s="19" t="str">
        <f>"8. "&amp;A!$S$20
&amp;" Syahriyah : "&amp;text(A!$T$20,"Rp #,##0") 
&amp;" Jariyah : "&amp;text(A!$U$20,"Rp #,##0")
&amp;" Daftar Ulang : "&amp;text(A!$V$20,"Rp #,##0")
&amp;" Total : "&amp;text(A!$W$20,"Rp #,##0")</f>
        <v>8. ANDIKA CAHYO BUDI LAKSONO Syahriyah : Rp 4.950.000 Jariyah : Rp 1.000.000 Daftar Ulang : Rp 0 Total : Rp 5.950.000</v>
      </c>
      <c r="J12" s="19" t="str">
        <f>"10. "&amp;A!$S$22
&amp;" Syahriyah : "&amp;text(A!$T$22,"Rp #,##0") 
&amp;" Jariyah : "&amp;text(A!$U$22,"Rp #,##0")
&amp;" Daftar Ulang : "&amp;text(A!$V$22,"Rp #,##0")
&amp;" Total : "&amp;text(A!$W$22,"Rp #,##0")</f>
        <v>10. AHMAD HABIBUR RAHMAN Syahriyah : Rp 4.050.000 Jariyah : Rp 1.600.000 Daftar Ulang : Rp 0 Total : Rp 5.650.000</v>
      </c>
      <c r="M12" s="3"/>
      <c r="Q12" s="3"/>
      <c r="U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>
      <c r="A13" s="6"/>
      <c r="B13" s="21" t="s">
        <v>8</v>
      </c>
      <c r="E13" s="3"/>
      <c r="I13" s="3"/>
      <c r="M13" s="3"/>
      <c r="Q13" s="3"/>
      <c r="U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>
      <c r="A14" s="6"/>
      <c r="E14" s="3"/>
      <c r="I14" s="3"/>
      <c r="M14" s="3"/>
      <c r="N14" s="22"/>
      <c r="Q14" s="3"/>
      <c r="U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>
      <c r="A15" s="6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>
      <c r="A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>
      <c r="A17" s="6"/>
      <c r="B17" s="7" t="s">
        <v>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>
      <c r="A18" s="6"/>
      <c r="B18" s="12">
        <f>B!S2</f>
        <v>92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>
      <c r="A19" s="6"/>
      <c r="B19" s="14" t="str">
        <f>B!T3&amp;" : "&amp;B!S3</f>
        <v>I : 0</v>
      </c>
      <c r="C19" s="14" t="str">
        <f>B!T4&amp;" : "&amp;B!S4</f>
        <v>II : 57</v>
      </c>
      <c r="D19" s="15" t="str">
        <f>B!T5&amp;" : "&amp;B!S5</f>
        <v>III : 35</v>
      </c>
      <c r="E19" s="3"/>
      <c r="F19" s="16" t="s">
        <v>5</v>
      </c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>
      <c r="A20" s="6"/>
      <c r="B20" s="17" t="s">
        <v>6</v>
      </c>
      <c r="D20" s="18">
        <f>B!$S$6</f>
        <v>134</v>
      </c>
      <c r="E20" s="3"/>
      <c r="F20" s="19" t="str">
        <f>"1. "&amp;B!$S$13
&amp;" Syahriyah : "&amp;text(B!$T$13,"Rp #,##0") 
&amp;" Jariyah : "&amp;text(B!$U$13,"Rp #,##0")
&amp;" Daftar Ulang : "&amp;text(B!$V$13,"Rp #,##0")
&amp;" Total : "&amp;text(B!$W$13,"Rp #,##0")</f>
        <v>1. AYUNDA KIRANA QURROTUL ISHAQIYYAH Syahriyah : Rp 9.000.000 Jariyah : Rp 1.000.000 Daftar Ulang : Rp 0 Total : Rp 10.000.000</v>
      </c>
      <c r="G20" s="19" t="str">
        <f>"3. "&amp;B!$S$15
&amp;" Syahriyah : "&amp;text(B!$T$15,"Rp #,##0") 
&amp;" Jariyah : "&amp;text(B!$U$15,"Rp #,##0")
&amp;" Daftar Ulang : "&amp;text(B!$V$15,"Rp #,##0")
&amp;" Total : "&amp;text(B!$W$15,"Rp #,##0")</f>
        <v>3. PARAMITA ANGGRAINI Syahriyah : Rp 7.650.000 Jariyah : Rp 1.000.000 Daftar Ulang : Rp 350.000 Total : Rp 9.000.000</v>
      </c>
      <c r="H20" s="19" t="str">
        <f>"5. "&amp;B!$S$17
&amp;" Syahriyah : "&amp;text(B!$T$17,"Rp #,##0") 
&amp;" Jariyah : "&amp;text(B!$U$17,"Rp #,##0")
&amp;" Daftar Ulang : "&amp;text(B!$V$17,"Rp #,##0")
&amp;" Total : "&amp;text(B!$W$17,"Rp #,##0")</f>
        <v>5. HILYATUL FAIRAH Syahriyah : Rp 4.950.000 Jariyah : Rp 1.600.000 Daftar Ulang : Rp 0 Total : Rp 6.550.000</v>
      </c>
      <c r="I20" s="19" t="str">
        <f>"7. "&amp;B!$S$19
&amp;" Syahriyah : "&amp;text(B!$T$19,"Rp #,##0") 
&amp;" Jariyah : "&amp;text(B!$U$19,"Rp #,##0")
&amp;" Daftar Ulang : "&amp;text(B!$V$19,"Rp #,##0")
&amp;" Total : "&amp;text(B!$W$19,"Rp #,##0")</f>
        <v>7. CITRA MULYA SARI Syahriyah : Rp 4.950.000 Jariyah : Rp 0 Daftar Ulang : Rp 0 Total : Rp 4.950.000</v>
      </c>
      <c r="J20" s="19" t="str">
        <f>"9. "&amp;B!$S$21
&amp;" Syahriyah : "&amp;text(B!$T$21,"Rp #,##0") 
&amp;" Jariyah : "&amp;text(B!$U$21,"Rp #,##0")
&amp;" Daftar Ulang : "&amp;text(B!$V$21,"Rp #,##0")
&amp;" Total : "&amp;text(B!$W$21,"Rp #,##0")</f>
        <v>9. SHAFA KIRANA KAMALAT AZIZAH Syahriyah : Rp 3.150.000 Jariyah : Rp 1.000.000 Daftar Ulang : Rp 0 Total : Rp 4.150.000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>
      <c r="A21" s="6"/>
      <c r="B21" s="20" t="s">
        <v>7</v>
      </c>
      <c r="D21" s="18">
        <f>B!$S$7</f>
        <v>3</v>
      </c>
      <c r="E21" s="3"/>
      <c r="F21" s="19" t="str">
        <f>"2. "&amp;B!$S$14
&amp;" Syahriyah : "&amp;text(B!$T$14,"Rp #,##0") 
&amp;" Jariyah : "&amp;text(B!$U$14,"Rp #,##0")
&amp;" Daftar Ulang : "&amp;text(B!$V$14,"Rp #,##0")
&amp;" Total : "&amp;text(B!$W$14,"Rp #,##0")</f>
        <v>2. KHUMAIRO FAUZIA Syahriyah : Rp 8.100.000 Jariyah : Rp 1.000.000 Daftar Ulang : Rp 350.000 Total : Rp 9.450.000</v>
      </c>
      <c r="G21" s="19" t="str">
        <f>"4. "&amp;B!$S$16
&amp;" Syahriyah : "&amp;text(B!$T$16,"Rp #,##0") 
&amp;" Jariyah :"&amp;text(B!$U$16,"Rp #,##0")
&amp;" Daftar Ulang : "&amp;text(B!$V$16,"Rp #,##0")
&amp;" Total : "&amp;text(B!$W$16,"Rp #,##0")</f>
        <v>4. FARIH FIRDAUSI NUZULA Syahriyah : Rp 5.400.000 Jariyah :Rp 1.600.000 Daftar Ulang : Rp 0 Total : Rp 7.000.000</v>
      </c>
      <c r="H21" s="19" t="str">
        <f>"6. "&amp;B!$S$18
&amp;" Syahriyah : "&amp;text(B!$T$18,"Rp #,##0") 
&amp;" Jariyah : "&amp;text(B!$U$18,"Rp #,##0")
&amp;" Daftar Ulang : "&amp;text(B!$V$18,"Rp #,##0")
&amp;" Total : "&amp;text(B!$W$18,"Rp #,##0")</f>
        <v>6. ZAHRIATUL MUHIMATUN NISA` Syahriyah : Rp 5.400.000 Jariyah : Rp 0 Daftar Ulang : Rp 0 Total : Rp 5.400.000</v>
      </c>
      <c r="I21" s="19" t="str">
        <f>"8. "&amp;B!$S$20
&amp;" Syahriyah : "&amp;text(B!$T$20,"Rp #,##0") 
&amp;" Jariyah : "&amp;text(B!$U$20,"Rp #,##0")
&amp;" Daftar Ulang : "&amp;text(B!$V$20,"Rp #,##0")
&amp;" Total : "&amp;text(B!$W$20,"Rp #,##0")</f>
        <v>8. SEVANI CHINTIA ANGELIA Syahriyah : Rp 3.150.000 Jariyah : Rp 1.000.000 Daftar Ulang : Rp 0 Total : Rp 4.150.000</v>
      </c>
      <c r="J21" s="19" t="str">
        <f>"10. "&amp;B!$S$22
&amp;" Syahriyah : "&amp;text(B!$T$22,"Rp #,##0") 
&amp;" Jariyah : "&amp;text(B!$U$22,"Rp #,##0")
&amp;" Daftar Ulang : "&amp;text(B!$V$22,"Rp #,##0")
&amp;" Total : "&amp;text(B!$W$22,"Rp #,##0")</f>
        <v>10. LAESYTAH AGGUSTINA RAMADHANI Syahriyah : Rp 2.700.000 Jariyah : Rp 1.000.000 Daftar Ulang : Rp 0 Total : Rp 3.700.000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>
      <c r="A22" s="6"/>
      <c r="B22" s="21" t="s">
        <v>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>
      <c r="A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>
      <c r="A24" s="6"/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>
      <c r="A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>
      <c r="A26" s="6"/>
      <c r="B26" s="7" t="s">
        <v>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>
      <c r="A27" s="6"/>
      <c r="B27" s="12">
        <f>'C'!S2</f>
        <v>241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>
      <c r="A28" s="6"/>
      <c r="B28" s="14" t="str">
        <f>'C'!T3&amp;" : "&amp;'C'!S3</f>
        <v>I : 0</v>
      </c>
      <c r="C28" s="14" t="str">
        <f>'C'!T4&amp;" : "&amp;'C'!S4</f>
        <v>II : 120</v>
      </c>
      <c r="D28" s="15" t="str">
        <f>'C'!T5&amp;" : "&amp;'C'!S5</f>
        <v>III : 121</v>
      </c>
      <c r="E28" s="3"/>
      <c r="F28" s="16" t="s">
        <v>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>
      <c r="A29" s="6"/>
      <c r="B29" s="17" t="s">
        <v>6</v>
      </c>
      <c r="D29" s="18">
        <f>'C'!$S$6</f>
        <v>321</v>
      </c>
      <c r="E29" s="3"/>
      <c r="F29" s="19" t="str">
        <f>"1. "&amp;'C'!$S$13
&amp;" Syahriyah : "&amp;text('C'!$T$13,"Rp #,##0") 
&amp;" Jariyah : "&amp;text('C'!$U$13,"Rp #,##0")
&amp;" Daftar Ulang : "&amp;text('C'!$V$13,"Rp #,##0")
&amp;" Total : "&amp;text('C'!$W$13,"Rp #,##0")</f>
        <v>1. NIA KRISNAWATI Syahriyah : Rp 7.650.000 Jariyah : Rp 1.000.000 Daftar Ulang : Rp 350.000 Total : Rp 9.000.000</v>
      </c>
      <c r="G29" s="19" t="str">
        <f>"3. "&amp;'C'!$S$15
&amp;" Syahriyah : "&amp;text('C'!$T$15,"Rp #,##0") 
&amp;" Jariyah : "&amp;text('C'!$U$15,"Rp #,##0")
&amp;" Daftar Ulang : "&amp;text('C'!$V$15,"Rp #,##0")
&amp;" Total : "&amp;text('C'!$W$15,"Rp #,##0")</f>
        <v>3. NEYLA MARITSA AZ ZAHRA Syahriyah : Rp 4.500.000 Jariyah : Rp 1.600.000 Daftar Ulang : Rp 0 Total : Rp 6.100.000</v>
      </c>
      <c r="H29" s="19" t="str">
        <f>"5. "&amp;'C'!$S$17
&amp;" Syahriyah : "&amp;text('C'!$T$17,"Rp #,##0") 
&amp;" Jariyah : "&amp;text('C'!$U$17,"Rp #,##0")
&amp;" Daftar Ulang : "&amp;text('C'!$V$17,"Rp #,##0")
&amp;" Total : "&amp;text('C'!$W$17,"Rp #,##0")</f>
        <v>5. FIRNANDA KHOLAGUL HIDAYATUS MUAWIYAH Syahriyah : Rp 3.600.000 Jariyah : Rp 1.600.000 Daftar Ulang : Rp 0 Total : Rp 5.200.000</v>
      </c>
      <c r="I29" s="19" t="str">
        <f>"7. "&amp;'C'!$S$19
&amp;" Syahriyah : "&amp;text('C'!$T$19,"Rp #,##0") 
&amp;" Jariyah : "&amp;text('C'!$U$19,"Rp #,##0")
&amp;" Daftar Ulang : "&amp;text('C'!$V$19,"Rp #,##0")
&amp;" Total : "&amp;text('C'!$W$19,"Rp #,##0")</f>
        <v>7. SYA`BANIA ROHMA RISQIYAH WULANDARI Syahriyah : Rp 3.150.000 Jariyah : Rp 1.000.000 Daftar Ulang : Rp 0 Total : Rp 4.150.000</v>
      </c>
      <c r="J29" s="19" t="str">
        <f>"9. "&amp;'C'!$S$21
&amp;" Syahriyah : "&amp;text('C'!$T$21,"Rp #,##0") 
&amp;" Jariyah : "&amp;text('C'!$U$21,"Rp #,##0")
&amp;" Daftar Ulang : "&amp;text('C'!$V$21,"Rp #,##0")
&amp;" Total : "&amp;text('C'!$W$21,"Rp #,##0")</f>
        <v>9. SITI MUZAROTUS SHOBUROH Syahriyah : Rp 2.600.000 Jariyah : Rp 1.000.000 Daftar Ulang : Rp 350.000 Total : Rp 3.950.000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>
      <c r="A30" s="6"/>
      <c r="B30" s="20" t="s">
        <v>7</v>
      </c>
      <c r="D30" s="18">
        <f>'C'!$S$7</f>
        <v>2</v>
      </c>
      <c r="E30" s="3"/>
      <c r="F30" s="19" t="str">
        <f>"2. "&amp;'C'!$S$14
&amp;" Syahriyah : "&amp;text('C'!$T$14,"Rp #,##0") 
&amp;" Jariyah : "&amp;text('C'!$U$14,"Rp #,##0")
&amp;" Daftar Ulang : "&amp;text('C'!$V$14,"Rp #,##0")
&amp;" Total : "&amp;text('C'!$W$14,"Rp #,##0")</f>
        <v>2. EKA FADHILATUN NAFSI Syahriyah : Rp 5.400.000 Jariyah : Rp 1.600.000 Daftar Ulang : Rp 0 Total : Rp 7.000.000</v>
      </c>
      <c r="G30" s="19" t="str">
        <f>"4. "&amp;'C'!$S$16
&amp;" Syahriyah : "&amp;text('C'!$T$16,"Rp #,##0") 
&amp;" Jariyah :"&amp;text('C'!$U$16,"Rp #,##0")
&amp;" Daftar Ulang : "&amp;text('C'!$V$16,"Rp #,##0")
&amp;" Total : "&amp;text('C'!$W$16,"Rp #,##0")</f>
        <v>4. RAVAUL ZAHIDAH Syahriyah : Rp 4.500.000 Jariyah :Rp 1.000.000 Daftar Ulang : Rp 0 Total : Rp 5.500.000</v>
      </c>
      <c r="H30" s="19" t="str">
        <f>"6. "&amp;'C'!$S$18
&amp;" Syahriyah : "&amp;text('C'!$T$18,"Rp #,##0") 
&amp;" Jariyah : "&amp;text('C'!$U$18,"Rp #,##0")
&amp;" Daftar Ulang : "&amp;text('C'!$V$18,"Rp #,##0")
&amp;" Total : "&amp;text('C'!$W$18,"Rp #,##0")</f>
        <v>6. MEISYA JUWITA SARI Syahriyah : Rp 2.700.000 Jariyah : Rp 1.600.000 Daftar Ulang : Rp 0 Total : Rp 4.300.000</v>
      </c>
      <c r="I30" s="19" t="str">
        <f>"8. "&amp;'C'!$S$20
&amp;" Syahriyah : "&amp;text('C'!$T$20,"Rp #,##0") 
&amp;" Jariyah : "&amp;text('C'!$U$20,"Rp #,##0")
&amp;" Daftar Ulang : "&amp;text('C'!$V$20,"Rp #,##0")
&amp;" Total : "&amp;text('C'!$W$20,"Rp #,##0")</f>
        <v>8. HIMMATU ZAWA ARRIFA Syahriyah : Rp 3.150.000 Jariyah : Rp 1.000.000 Daftar Ulang : Rp 0 Total : Rp 4.150.000</v>
      </c>
      <c r="J30" s="19" t="str">
        <f>"10. "&amp;'C'!$S$22
&amp;" Syahriyah : "&amp;text('C'!$T$22,"Rp #,##0") 
&amp;" Jariyah : "&amp;text('C'!$U$22,"Rp #,##0")
&amp;" Daftar Ulang : "&amp;text('C'!$V$22,"Rp #,##0")
&amp;" Total : "&amp;text('C'!$W$22,"Rp #,##0")</f>
        <v>10. FARAH ALTHAFUN NISA` Syahriyah : Rp 2.250.000 Jariyah : Rp 1.000.000 Daftar Ulang : Rp 0 Total : Rp 3.250.000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>
      <c r="A31" s="6"/>
      <c r="B31" s="21" t="s">
        <v>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>
      <c r="A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>
      <c r="A33" s="6"/>
      <c r="B33" s="23"/>
      <c r="C33" s="23"/>
      <c r="D33" s="23"/>
      <c r="E33" s="24"/>
      <c r="F33" s="24"/>
      <c r="G33" s="24"/>
      <c r="H33" s="24"/>
      <c r="I33" s="24"/>
      <c r="J33" s="24"/>
      <c r="K33" s="2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>
      <c r="A35" s="6"/>
      <c r="B35" s="7" t="s">
        <v>11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>
      <c r="A36" s="6"/>
      <c r="B36" s="12">
        <f>D!S2</f>
        <v>78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>
      <c r="A37" s="6"/>
      <c r="B37" s="14" t="str">
        <f>D!T3&amp;" : "&amp;D!S3</f>
        <v>I : 0</v>
      </c>
      <c r="C37" s="14" t="str">
        <f>D!T4&amp;" : "&amp;D!S4</f>
        <v>II : 29</v>
      </c>
      <c r="D37" s="15" t="str">
        <f>D!T5&amp;" : "&amp;D!S5</f>
        <v>III : 49</v>
      </c>
      <c r="E37" s="3"/>
      <c r="F37" s="16" t="s">
        <v>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>
      <c r="A38" s="6"/>
      <c r="B38" s="17" t="s">
        <v>6</v>
      </c>
      <c r="D38" s="18">
        <f>D!$S$6</f>
        <v>107</v>
      </c>
      <c r="E38" s="3"/>
      <c r="F38" s="19" t="str">
        <f>"1. "&amp;D!$S$13
&amp;" Syahriyah : "&amp;text(D!$T$13,"Rp #,##0") 
&amp;" Jariyah : "&amp;text(D!$U$13,"Rp #,##0")
&amp;" Daftar Ulang : "&amp;text(D!$V$13,"Rp #,##0")
&amp;" Total : "&amp;text(D!$W$13,"Rp #,##0")</f>
        <v>1. FIKA ANJANI CAMELIA AL AJEMAIN Syahriyah : Rp 10.800.000 Jariyah : Rp 1.600.000 Daftar Ulang : Rp 0 Total : Rp 12.400.000</v>
      </c>
      <c r="G38" s="19" t="str">
        <f>"3. "&amp;D!$S$15
&amp;" Syahriyah : "&amp;text(D!$T$15,"Rp #,##0") 
&amp;" Jariyah : "&amp;text(D!$U$15,"Rp #,##0")
&amp;" Daftar Ulang : "&amp;text(D!$V$15,"Rp #,##0")
&amp;" Total : "&amp;text(D!$W$15,"Rp #,##0")</f>
        <v>3. ISTHOFI NADA MILLAH Syahriyah : Rp 10.800.000 Jariyah : Rp 0 Daftar Ulang : Rp 350.000 Total : Rp 11.150.000</v>
      </c>
      <c r="H38" s="19" t="str">
        <f>"5. "&amp;D!$S$17
&amp;" Syahriyah : "&amp;text(D!$T$17,"Rp #,##0") 
&amp;" Jariyah : "&amp;text(D!$U$17,"Rp #,##0")
&amp;" Daftar Ulang : "&amp;text(D!$V$17,"Rp #,##0")
&amp;" Total : "&amp;text(D!$W$17,"Rp #,##0")</f>
        <v>5. KAYLA SABRINA ANGGRAINI Syahriyah : Rp 6.750.000 Jariyah : Rp 1.600.000 Daftar Ulang : Rp 0 Total : Rp 8.350.000</v>
      </c>
      <c r="I38" s="19" t="str">
        <f>"7. "&amp;D!$S$19
&amp;" Syahriyah : "&amp;text(D!$T$19,"Rp #,##0") 
&amp;" Jariyah : "&amp;text(D!$U$19,"Rp #,##0")
&amp;" Daftar Ulang : "&amp;text(D!$V$19,"Rp #,##0")
&amp;" Total : "&amp;text(D!$W$19,"Rp #,##0")</f>
        <v>7. HALIMATUS SA`DIYYAH Syahriyah : Rp 5.400.000 Jariyah : Rp 0 Daftar Ulang : Rp 0 Total : Rp 5.400.000</v>
      </c>
      <c r="J38" s="19" t="str">
        <f>"9. "&amp;D!$S$21
&amp;" Syahriyah : "&amp;text(D!$T$21,"Rp #,##0") 
&amp;" Jariyah : "&amp;text(D!$U$21,"Rp #,##0")
&amp;" Daftar Ulang : "&amp;text(D!$V$21,"Rp #,##0")
&amp;" Total : "&amp;text(D!$W$21,"Rp #,##0")</f>
        <v>9. SELENA SHERIN MARGARET Syahriyah : Rp 3.150.000 Jariyah : Rp 1.600.000 Daftar Ulang : Rp 0 Total : Rp 4.750.000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>
      <c r="A39" s="6"/>
      <c r="B39" s="20" t="s">
        <v>7</v>
      </c>
      <c r="D39" s="18">
        <f>D!$S$7</f>
        <v>3</v>
      </c>
      <c r="E39" s="3"/>
      <c r="F39" s="19" t="str">
        <f>"2. "&amp;D!$S$14
&amp;" Syahriyah : "&amp;text(D!$T$14,"Rp #,##0") 
&amp;" Jariyah : "&amp;text(D!$U$14,"Rp #,##0")
&amp;" Daftar Ulang : "&amp;text(D!$V$14,"Rp #,##0")
&amp;" Total : "&amp;text(D!$W$14,"Rp #,##0")</f>
        <v>2. ANGEL CYNTYA DEWI MAULIDAH Syahriyah : Rp 9.900.000 Jariyah : Rp 1.600.000 Daftar Ulang : Rp 0 Total : Rp 11.500.000</v>
      </c>
      <c r="G39" s="19" t="str">
        <f>"4. "&amp;D!$S$16
&amp;" Syahriyah : "&amp;text(D!$T$16,"Rp #,##0") 
&amp;" Jariyah :"&amp;text(D!$U$16,"Rp #,##0")
&amp;" Daftar Ulang : "&amp;text(D!$V$16,"Rp #,##0")
&amp;" Total : "&amp;text(D!$W$16,"Rp #,##0")</f>
        <v>4. DEWI ZAIDATUL RAHMA Syahriyah : Rp 8.100.000 Jariyah :Rp 0 Daftar Ulang : Rp 350.000 Total : Rp 8.450.000</v>
      </c>
      <c r="H39" s="19" t="str">
        <f>"6. "&amp;D!$S$18
&amp;" Syahriyah : "&amp;text(D!$T$18,"Rp #,##0") 
&amp;" Jariyah : "&amp;text(D!$U$18,"Rp #,##0")
&amp;" Daftar Ulang : "&amp;text(D!$V$18,"Rp #,##0")
&amp;" Total : "&amp;text(D!$W$18,"Rp #,##0")</f>
        <v>6. DZAKIRAH THALITA ZAHRA Syahriyah : Rp 6.300.000 Jariyah : Rp 1.000.000 Daftar Ulang : Rp 350.000 Total : Rp 7.650.000</v>
      </c>
      <c r="I39" s="19" t="str">
        <f>"8. "&amp;D!$S$20
&amp;" Syahriyah : "&amp;text(D!$T$20,"Rp #,##0") 
&amp;" Jariyah : "&amp;text(D!$U$20,"Rp #,##0")
&amp;" Daftar Ulang : "&amp;text(D!$V$20,"Rp #,##0")
&amp;" Total : "&amp;text(D!$W$20,"Rp #,##0")</f>
        <v>8. SHOHIFAH Syahriyah : Rp 3.600.000 Jariyah : Rp 1.600.000 Daftar Ulang : Rp 0 Total : Rp 5.200.000</v>
      </c>
      <c r="J39" s="19" t="str">
        <f>"10. "&amp;D!$S$22
&amp;" Syahriyah : "&amp;text(D!$T$22,"Rp #,##0") 
&amp;" Jariyah : "&amp;text(D!$U$22,"Rp #,##0")
&amp;" Daftar Ulang : "&amp;text(D!$V$22,"Rp #,##0")
&amp;" Total : "&amp;text(D!$W$22,"Rp #,##0")</f>
        <v>10. LATHIFATUL FATIHAH ALMASYRIFAH Syahriyah : Rp 4.500.000 Jariyah : Rp 0 Daftar Ulang : Rp 0 Total : Rp 4.500.000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>
      <c r="A40" s="6"/>
      <c r="B40" s="21" t="s">
        <v>8</v>
      </c>
      <c r="E40" s="3"/>
      <c r="F40" s="3"/>
      <c r="G40" s="2" t="s">
        <v>12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>
      <c r="A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>
      <c r="A42" s="6"/>
      <c r="B42" s="23"/>
      <c r="C42" s="23"/>
      <c r="D42" s="23"/>
      <c r="E42" s="24"/>
      <c r="F42" s="24"/>
      <c r="G42" s="24"/>
      <c r="H42" s="24"/>
      <c r="I42" s="24"/>
      <c r="J42" s="24"/>
      <c r="K42" s="2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>
      <c r="A44" s="6"/>
      <c r="B44" s="7" t="s">
        <v>13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>
      <c r="A45" s="6"/>
      <c r="B45" s="12">
        <f>E!S2</f>
        <v>82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>
      <c r="A46" s="6"/>
      <c r="B46" s="14" t="str">
        <f>E!T3&amp;" : "&amp;E!S3</f>
        <v>I : 0</v>
      </c>
      <c r="C46" s="14" t="str">
        <f>E!T4&amp;" : "&amp;E!S4</f>
        <v>II : 37</v>
      </c>
      <c r="D46" s="15" t="str">
        <f>E!T5&amp;" : "&amp;E!S5</f>
        <v>III : 45</v>
      </c>
      <c r="E46" s="3"/>
      <c r="F46" s="16" t="s">
        <v>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>
      <c r="A47" s="6"/>
      <c r="B47" s="17" t="s">
        <v>6</v>
      </c>
      <c r="D47" s="18">
        <f>E!$S$6</f>
        <v>128</v>
      </c>
      <c r="E47" s="3"/>
      <c r="F47" s="19" t="str">
        <f>"1. "&amp;E!$S$13
&amp;" Syahriyah : "&amp;text(E!$T$13,"Rp #,##0") 
&amp;" Jariyah : "&amp;text(E!$U$13,"Rp #,##0")
&amp;" Daftar Ulang : "&amp;text(E!$V$13,"Rp #,##0")
&amp;" Total : "&amp;text(E!$W$13,"Rp #,##0")</f>
        <v>1. ZASKIA MAHARANI PUTRI Syahriyah : Rp 7.500.000 Jariyah : Rp 1.600.000 Daftar Ulang : Rp 350.000 Total : Rp 9.450.000</v>
      </c>
      <c r="G47" s="19" t="str">
        <f>"3. "&amp;E!$S$15
&amp;" Syahriyah : "&amp;text(E!$T$15,"Rp #,##0") 
&amp;" Jariyah : "&amp;text(E!$U$15,"Rp #,##0")
&amp;" Daftar Ulang : "&amp;text(E!$V$15,"Rp #,##0")
&amp;" Total : "&amp;text(E!$W$15,"Rp #,##0")</f>
        <v>3. USWAH EL FAHRUSAZZAM ZAMI Syahriyah : Rp 3.500.000 Jariyah : Rp 1.000.000 Daftar Ulang : Rp 350.000 Total : Rp 4.850.000</v>
      </c>
      <c r="H47" s="19" t="str">
        <f>"5. "&amp;E!$S$17
&amp;" Syahriyah : "&amp;text(E!$T$17,"Rp #,##0") 
&amp;" Jariyah : "&amp;text(E!$U$17,"Rp #,##0")
&amp;" Daftar Ulang : "&amp;text(E!$V$17,"Rp #,##0")
&amp;" Total : "&amp;text(E!$W$17,"Rp #,##0")</f>
        <v>5. ZAHIRA JULIA SAIDAH Syahriyah : Rp 3.500.000 Jariyah : Rp 0 Daftar Ulang : Rp 0 Total : Rp 3.500.000</v>
      </c>
      <c r="I47" s="19" t="str">
        <f>"7. "&amp;E!$S$19
&amp;" Syahriyah : "&amp;text(E!$T$19,"Rp #,##0") 
&amp;" Jariyah : "&amp;text(E!$U$19,"Rp #,##0")
&amp;" Daftar Ulang : "&amp;text(E!$V$19,"Rp #,##0")
&amp;" Total : "&amp;text(E!$W$19,"Rp #,##0")</f>
        <v>7. KHARISYAH NADYATUR ROHMAH Syahriyah : Rp 3.000.000 Jariyah : Rp 0 Daftar Ulang : Rp 0 Total : Rp 3.000.000</v>
      </c>
      <c r="J47" s="19" t="str">
        <f>"9. "&amp;E!$S$21
&amp;" Syahriyah : "&amp;text(E!$T$21,"Rp #,##0") 
&amp;" Jariyah : "&amp;text(E!$U$21,"Rp #,##0")
&amp;" Daftar Ulang : "&amp;text(E!$V$21,"Rp #,##0")
&amp;" Total : "&amp;text(E!$W$21,"Rp #,##0")</f>
        <v>9. DAVINA NANGSYA AZZAHRAH Syahriyah : Rp 2.160.000 Jariyah : Rp 0 Daftar Ulang : Rp 350.000 Total : Rp 2.510.000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>
      <c r="A48" s="6"/>
      <c r="B48" s="20" t="s">
        <v>7</v>
      </c>
      <c r="D48" s="18">
        <f>E!$S$7</f>
        <v>4</v>
      </c>
      <c r="E48" s="3"/>
      <c r="F48" s="19" t="str">
        <f>"2. "&amp;E!$S$14
&amp;" Syahriyah : "&amp;text(E!$T$14,"Rp #,##0") 
&amp;" Jariyah : "&amp;text(E!$U$14,"Rp #,##0")
&amp;" Daftar Ulang : "&amp;text(E!$V$14,"Rp #,##0")
&amp;" Total : "&amp;text(E!$W$14,"Rp #,##0")</f>
        <v>2. FATIMAH Syahriyah : Rp 6.210.000 Jariyah : Rp 0 Daftar Ulang : Rp 350.000 Total : Rp 6.560.000</v>
      </c>
      <c r="G48" s="19" t="str">
        <f>"4. "&amp;E!$S$16
&amp;" Syahriyah : "&amp;text(E!$T$16,"Rp #,##0") 
&amp;" Jariyah :"&amp;text(E!$U$16,"Rp #,##0")
&amp;" Daftar Ulang : "&amp;text(E!$V$16,"Rp #,##0")
&amp;" Total : "&amp;text(E!$W$16,"Rp #,##0")</f>
        <v>4. ANGELINA KIBRIYAH SAFITRI Syahriyah : Rp 3.000.000 Jariyah :Rp 500.000 Daftar Ulang : Rp 0 Total : Rp 3.500.000</v>
      </c>
      <c r="H48" s="19" t="str">
        <f>"6. "&amp;E!$S$18
&amp;" Syahriyah : "&amp;text(E!$T$18,"Rp #,##0") 
&amp;" Jariyah : "&amp;text(E!$U$18,"Rp #,##0")
&amp;" Daftar Ulang : "&amp;text(E!$V$18,"Rp #,##0")
&amp;" Total : "&amp;text(E!$W$18,"Rp #,##0")</f>
        <v>6. AZURO SABILA FAZZA MAULIDAH Syahriyah : Rp 2.000.000 Jariyah : Rp 1.000.000 Daftar Ulang : Rp 0 Total : Rp 3.000.000</v>
      </c>
      <c r="I48" s="19" t="str">
        <f>"8. "&amp;E!$S$20
&amp;" Syahriyah : "&amp;text(E!$T$20,"Rp #,##0") 
&amp;" Jariyah : "&amp;text(E!$U$20,"Rp #,##0")
&amp;" Daftar Ulang : "&amp;text(E!$V$20,"Rp #,##0")
&amp;" Total : "&amp;text(E!$W$20,"Rp #,##0")</f>
        <v>8. ASYIFATUR RAHMAH AL AZZA Syahriyah : Rp 3.000.000 Jariyah : Rp 0 Daftar Ulang : Rp 0 Total : Rp 3.000.000</v>
      </c>
      <c r="J48" s="19" t="str">
        <f>"10. "&amp;E!$S$22
&amp;" Syahriyah : "&amp;text(E!$T$22,"Rp #,##0") 
&amp;" Jariyah : "&amp;text(E!$U$22,"Rp #,##0")
&amp;" Daftar Ulang : "&amp;text(E!$V$22,"Rp #,##0")
&amp;" Total : "&amp;text(E!$W$22,"Rp #,##0")</f>
        <v>10. ILHAFAH ARYA NOVRYANI Syahriyah : Rp 1.500.000 Jariyah : Rp 1.000.000 Daftar Ulang : Rp 0 Total : Rp 2.500.000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>
      <c r="A49" s="6"/>
      <c r="B49" s="21" t="s">
        <v>8</v>
      </c>
      <c r="E49" s="3"/>
      <c r="F49" s="3"/>
      <c r="G49" s="3"/>
      <c r="H49" s="2" t="s">
        <v>14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>
      <c r="A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>
      <c r="A51" s="6"/>
      <c r="B51" s="23"/>
      <c r="C51" s="23"/>
      <c r="D51" s="23"/>
      <c r="E51" s="24"/>
      <c r="F51" s="24"/>
      <c r="G51" s="24"/>
      <c r="H51" s="24"/>
      <c r="I51" s="24"/>
      <c r="J51" s="24"/>
      <c r="K51" s="2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>
      <c r="A53" s="6"/>
      <c r="B53" s="7" t="s">
        <v>15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>
      <c r="A54" s="6"/>
      <c r="B54" s="12">
        <f>F!S2</f>
        <v>10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>
      <c r="A55" s="6"/>
      <c r="B55" s="14" t="str">
        <f>F!T3&amp;" : "&amp;F!S3</f>
        <v>I : 0</v>
      </c>
      <c r="C55" s="14" t="str">
        <f>F!T4&amp;" : "&amp;F!S4</f>
        <v>II : 10</v>
      </c>
      <c r="D55" s="15" t="str">
        <f>F!T5&amp;" : "&amp;F!S5</f>
        <v>III : 0</v>
      </c>
      <c r="E55" s="3"/>
      <c r="F55" s="16" t="s">
        <v>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>
      <c r="A56" s="6"/>
      <c r="B56" s="17" t="s">
        <v>6</v>
      </c>
      <c r="D56" s="18">
        <f>F!$S$6</f>
        <v>19</v>
      </c>
      <c r="E56" s="3"/>
      <c r="F56" s="19" t="str">
        <f>"1. "&amp;F!$S$13
&amp;" Syahriyah : "&amp;text(F!$T$13,"Rp #,##0") 
&amp;" Jariyah : "&amp;text(F!$U$13,"Rp #,##0")
&amp;" Daftar Ulang : "&amp;text(F!$V$13,"Rp #,##0")
&amp;" Total : "&amp;text(F!$W$13,"Rp #,##0")</f>
        <v>1. RATIH RAHMAH YUNITA Syahriyah : Rp 0 Jariyah : Rp 1.600.000 Daftar Ulang : Rp 0 Total : Rp 1.600.000</v>
      </c>
      <c r="G56" s="19" t="str">
        <f>"3. "&amp;F!$S$15
&amp;" Syahriyah : "&amp;text(F!$T$15,"Rp #,##0") 
&amp;" Jariyah : "&amp;text(F!$U$15,"Rp #,##0")
&amp;" Daftar Ulang : "&amp;text(F!$V$15,"Rp #,##0")
&amp;" Total : "&amp;text(F!$W$15,"Rp #,##0")</f>
        <v>3. SAFAWATI NURUL AFIQAH Syahriyah : Rp 0 Jariyah : Rp 1.000.000 Daftar Ulang : Rp 0 Total : Rp 1.000.000</v>
      </c>
      <c r="H56" s="19" t="str">
        <f>"5. "&amp;F!$S$17
&amp;" Syahriyah : "&amp;text(F!$T$17,"Rp #,##0") 
&amp;" Jariyah : "&amp;text(F!$U$17,"Rp #,##0")
&amp;" Daftar Ulang : "&amp;text(F!$V$17,"Rp #,##0")
&amp;" Total : "&amp;text(F!$W$17,"Rp #,##0")</f>
        <v>5. MIRANTI PUSPITA DEWI Syahriyah : Rp 0 Jariyah : Rp 500.000 Daftar Ulang : Rp 0 Total : Rp 500.000</v>
      </c>
      <c r="I56" s="19" t="str">
        <f>"7. "&amp;F!$S$19
&amp;" Syahriyah : "&amp;text(F!$T$19,"Rp #,##0") 
&amp;" Jariyah : "&amp;text(F!$U$19,"Rp #,##0")
&amp;" Daftar Ulang : "&amp;text(F!$V$19,"Rp #,##0")
&amp;" Total : "&amp;text(F!$W$19,"Rp #,##0")</f>
        <v>7. NAFISAH AZ-ZAHRAH Syahriyah : Rp 0 Jariyah : Rp 0 Daftar Ulang : Rp 0 Total : Rp 0</v>
      </c>
      <c r="J56" s="19" t="str">
        <f>"9. "&amp;F!$S$21
&amp;" Syahriyah : "&amp;text(F!$T$21,"Rp #,##0") 
&amp;" Jariyah : "&amp;text(F!$U$21,"Rp #,##0")
&amp;" Daftar Ulang : "&amp;text(F!$V$21,"Rp #,##0")
&amp;" Total : "&amp;text(F!$W$21,"Rp #,##0")</f>
        <v>9. TIFLAH HANIFAH ARSITA Syahriyah : Rp 0 Jariyah : Rp 0 Daftar Ulang : Rp 0 Total : Rp 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>
      <c r="A57" s="6"/>
      <c r="B57" s="20" t="s">
        <v>7</v>
      </c>
      <c r="D57" s="18">
        <f>F!$S$7</f>
        <v>0</v>
      </c>
      <c r="E57" s="3"/>
      <c r="F57" s="19" t="str">
        <f>"2. "&amp;F!$S$14
&amp;" Syahriyah : "&amp;text(F!$T$14,"Rp #,##0") 
&amp;" Jariyah : "&amp;text(F!$U$14,"Rp #,##0")
&amp;" Daftar Ulang : "&amp;text(F!$V$14,"Rp #,##0")
&amp;" Total : "&amp;text(F!$W$14,"Rp #,##0")</f>
        <v>2. CAHAYA ROSANA AIRA KURNIA CANTIK Syahriyah : Rp 0 Jariyah : Rp 1.000.000 Daftar Ulang : Rp 0 Total : Rp 1.000.000</v>
      </c>
      <c r="G57" s="19" t="str">
        <f>"4. "&amp;F!$S$16
&amp;" Syahriyah : "&amp;text(F!$T$16,"Rp #,##0") 
&amp;" Jariyah :"&amp;text(F!$U$16,"Rp #,##0")
&amp;" Daftar Ulang : "&amp;text(F!$V$16,"Rp #,##0")
&amp;" Total : "&amp;text(F!$W$16,"Rp #,##0")</f>
        <v>4. NAILAH MAULIDAH ISNAH Syahriyah : Rp 900.000 Jariyah :Rp 0 Daftar Ulang : Rp 0 Total : Rp 900.000</v>
      </c>
      <c r="H57" s="19" t="str">
        <f>"6. "&amp;F!$S$18
&amp;" Syahriyah : "&amp;text(F!$T$18,"Rp #,##0") 
&amp;" Jariyah : "&amp;text(F!$U$18,"Rp #,##0")
&amp;" Daftar Ulang : "&amp;text(F!$V$18,"Rp #,##0")
&amp;" Total : "&amp;text(F!$W$18,"Rp #,##0")</f>
        <v>6. SALWA WARDATUL MISKIYAH Syahriyah : Rp 450.000 Jariyah : Rp 0 Daftar Ulang : Rp 0 Total : Rp 450.000</v>
      </c>
      <c r="I57" s="19" t="str">
        <f>"8. "&amp;F!$S$20
&amp;" Syahriyah : "&amp;text(F!$T$20,"Rp #,##0") 
&amp;" Jariyah : "&amp;text(F!$U$20,"Rp #,##0")
&amp;" Daftar Ulang : "&amp;text(F!$V$20,"Rp #,##0")
&amp;" Total : "&amp;text(F!$W$20,"Rp #,##0")</f>
        <v>8. SAFINA NUR AULIA WAHIDA Syahriyah : Rp 0 Jariyah : Rp 0 Daftar Ulang : Rp 0 Total : Rp 0</v>
      </c>
      <c r="J57" s="19" t="str">
        <f>"10. "&amp;F!$S$22
&amp;" Syahriyah : "&amp;text(F!$T$22,"Rp #,##0") 
&amp;" Jariyah : "&amp;text(F!$U$22,"Rp #,##0")
&amp;" Daftar Ulang : "&amp;text(F!$V$22,"Rp #,##0")
&amp;" Total : "&amp;text(F!$W$22,"Rp #,##0")</f>
        <v>#N/A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>
      <c r="A58" s="6"/>
      <c r="B58" s="21" t="s">
        <v>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>
      <c r="A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>
      <c r="A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</sheetData>
  <mergeCells count="34">
    <mergeCell ref="B1:K1"/>
    <mergeCell ref="B2:K2"/>
    <mergeCell ref="B4:J4"/>
    <mergeCell ref="B5:J5"/>
    <mergeCell ref="B8:D8"/>
    <mergeCell ref="B9:D9"/>
    <mergeCell ref="B11:C11"/>
    <mergeCell ref="B12:C12"/>
    <mergeCell ref="B13:D13"/>
    <mergeCell ref="B17:D17"/>
    <mergeCell ref="B18:D18"/>
    <mergeCell ref="B20:C20"/>
    <mergeCell ref="B21:C21"/>
    <mergeCell ref="B22:D22"/>
    <mergeCell ref="B26:D26"/>
    <mergeCell ref="B27:D27"/>
    <mergeCell ref="B29:C29"/>
    <mergeCell ref="B30:C30"/>
    <mergeCell ref="B31:D31"/>
    <mergeCell ref="B35:D35"/>
    <mergeCell ref="B36:D36"/>
    <mergeCell ref="B49:D49"/>
    <mergeCell ref="B53:D53"/>
    <mergeCell ref="B54:D54"/>
    <mergeCell ref="B56:C56"/>
    <mergeCell ref="B57:C57"/>
    <mergeCell ref="B58:D58"/>
    <mergeCell ref="B38:C38"/>
    <mergeCell ref="B39:C39"/>
    <mergeCell ref="B40:D40"/>
    <mergeCell ref="B44:D44"/>
    <mergeCell ref="B45:D45"/>
    <mergeCell ref="B47:C47"/>
    <mergeCell ref="B48:C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5"/>
    <col customWidth="1" min="3" max="3" width="10.38"/>
    <col customWidth="1" min="4" max="4" width="27.13"/>
    <col customWidth="1" min="5" max="5" width="29.75"/>
    <col customWidth="1" min="6" max="6" width="93.38"/>
    <col customWidth="1" min="7" max="7" width="14.0"/>
    <col customWidth="1" min="8" max="8" width="8.13"/>
    <col customWidth="1" min="9" max="9" width="7.0"/>
    <col customWidth="1" min="10" max="10" width="8.13"/>
    <col customWidth="1" min="11" max="11" width="11.0"/>
    <col customWidth="1" min="12" max="12" width="15.0"/>
    <col customWidth="1" min="13" max="13" width="8.88"/>
    <col customWidth="1" min="14" max="14" width="14.38"/>
    <col customWidth="1" min="15" max="17" width="7.0"/>
    <col customWidth="1" min="18" max="18" width="2.88"/>
    <col customWidth="1" min="19" max="19" width="2.75"/>
    <col customWidth="1" min="20" max="20" width="2.88"/>
    <col customWidth="1" min="21" max="26" width="1.88"/>
    <col customWidth="1" min="27" max="27" width="21.0"/>
    <col customWidth="1" min="28" max="28" width="9.38"/>
    <col customWidth="1" min="29" max="31" width="1.88"/>
    <col customWidth="1" min="32" max="32" width="2.88"/>
    <col customWidth="1" min="33" max="33" width="2.75"/>
    <col customWidth="1" min="34" max="34" width="2.88"/>
    <col customWidth="1" min="35" max="40" width="1.88"/>
    <col customWidth="1" min="41" max="41" width="21.5"/>
    <col customWidth="1" min="42" max="42" width="9.75"/>
    <col customWidth="1" min="43" max="45" width="1.88"/>
    <col customWidth="1" min="46" max="46" width="2.88"/>
    <col customWidth="1" min="47" max="47" width="2.75"/>
    <col customWidth="1" min="48" max="48" width="2.88"/>
    <col customWidth="1" min="49" max="54" width="1.88"/>
    <col customWidth="1" min="55" max="55" width="17.63"/>
    <col customWidth="1" min="56" max="56" width="15.13"/>
    <col customWidth="1" min="57" max="57" width="21.0"/>
    <col customWidth="1" min="58" max="58" width="24.5"/>
    <col customWidth="1" min="59" max="59" width="17.75"/>
    <col customWidth="1" min="60" max="60" width="15.25"/>
    <col customWidth="1" min="61" max="61" width="21.13"/>
    <col customWidth="1" min="62" max="62" width="8.13"/>
    <col customWidth="1" min="63" max="63" width="7.0"/>
    <col customWidth="1" min="64" max="64" width="15.5"/>
  </cols>
  <sheetData>
    <row r="1" ht="54.75" customHeight="1">
      <c r="A1" s="25" t="str">
        <f>IFERROR(__xludf.DUMMYFUNCTION("IMPORTRANGE(""1r--qa2i5jCx8YeQ_mLlUrqLRTQh7y-fik2wTdRKBimk/edit?gid=214218921#gid=214218921"",""KELAS I!A2:BF750"")"),"NO")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IFERROR(__xludf.DUMMYFUNCTION("""COMPUTED_VALUE"""),"AYAH")</f>
        <v>AYAH</v>
      </c>
      <c r="E1" s="25" t="str">
        <f>IFERROR(__xludf.DUMMYFUNCTION("""COMPUTED_VALUE"""),"IBU")</f>
        <v>IBU</v>
      </c>
      <c r="F1" s="25" t="str">
        <f>IFERROR(__xludf.DUMMYFUNCTION("""COMPUTED_VALUE"""),"ALAMAT")</f>
        <v>ALAMAT</v>
      </c>
      <c r="G1" s="25" t="str">
        <f>IFERROR(__xludf.DUMMYFUNCTION("""COMPUTED_VALUE"""),"SEKOLAH")</f>
        <v>SEKOLAH</v>
      </c>
      <c r="H1" s="25" t="str">
        <f>IFERROR(__xludf.DUMMYFUNCTION("""COMPUTED_VALUE"""),"ASRAMA")</f>
        <v>ASRAMA</v>
      </c>
      <c r="I1" s="25" t="str">
        <f>IFERROR(__xludf.DUMMYFUNCTION("""COMPUTED_VALUE"""),"KAMAR")</f>
        <v>KAMAR</v>
      </c>
      <c r="J1" s="25" t="str">
        <f>IFERROR(__xludf.DUMMYFUNCTION("""COMPUTED_VALUE"""),"TINGKAT")</f>
        <v>TINGKAT</v>
      </c>
      <c r="K1" s="25" t="str">
        <f>IFERROR(__xludf.DUMMYFUNCTION("""COMPUTED_VALUE"""),"MADRASIAH")</f>
        <v>MADRASIAH</v>
      </c>
      <c r="L1" s="26" t="str">
        <f>IFERROR(__xludf.DUMMYFUNCTION("""COMPUTED_VALUE"""),"HP")</f>
        <v>HP</v>
      </c>
      <c r="M1" s="25" t="str">
        <f>IFERROR(__xludf.DUMMYFUNCTION("""COMPUTED_VALUE"""),"JARIYAH I")</f>
        <v>JARIYAH I</v>
      </c>
      <c r="N1" s="25" t="str">
        <f>IFERROR(__xludf.DUMMYFUNCTION("""COMPUTED_VALUE"""),"DANA KEGIATAN")</f>
        <v>DANA KEGIATAN</v>
      </c>
      <c r="O1" s="25">
        <f>IFERROR(__xludf.DUMMYFUNCTION("""COMPUTED_VALUE"""),7.0)</f>
        <v>7</v>
      </c>
      <c r="P1" s="25">
        <f>IFERROR(__xludf.DUMMYFUNCTION("""COMPUTED_VALUE"""),8.0)</f>
        <v>8</v>
      </c>
      <c r="Q1" s="25">
        <f>IFERROR(__xludf.DUMMYFUNCTION("""COMPUTED_VALUE"""),9.0)</f>
        <v>9</v>
      </c>
      <c r="R1" s="25">
        <f>IFERROR(__xludf.DUMMYFUNCTION("""COMPUTED_VALUE"""),10.0)</f>
        <v>10</v>
      </c>
      <c r="S1" s="25">
        <f>IFERROR(__xludf.DUMMYFUNCTION("""COMPUTED_VALUE"""),11.0)</f>
        <v>11</v>
      </c>
      <c r="T1" s="25">
        <f>IFERROR(__xludf.DUMMYFUNCTION("""COMPUTED_VALUE"""),12.0)</f>
        <v>12</v>
      </c>
      <c r="U1" s="25">
        <f>IFERROR(__xludf.DUMMYFUNCTION("""COMPUTED_VALUE"""),1.0)</f>
        <v>1</v>
      </c>
      <c r="V1" s="25">
        <f>IFERROR(__xludf.DUMMYFUNCTION("""COMPUTED_VALUE"""),2.0)</f>
        <v>2</v>
      </c>
      <c r="W1" s="25">
        <f>IFERROR(__xludf.DUMMYFUNCTION("""COMPUTED_VALUE"""),3.0)</f>
        <v>3</v>
      </c>
      <c r="X1" s="25">
        <f>IFERROR(__xludf.DUMMYFUNCTION("""COMPUTED_VALUE"""),4.0)</f>
        <v>4</v>
      </c>
      <c r="Y1" s="25">
        <f>IFERROR(__xludf.DUMMYFUNCTION("""COMPUTED_VALUE"""),5.0)</f>
        <v>5</v>
      </c>
      <c r="Z1" s="25">
        <f>IFERROR(__xludf.DUMMYFUNCTION("""COMPUTED_VALUE"""),6.0)</f>
        <v>6</v>
      </c>
      <c r="AA1" s="25" t="str">
        <f>IFERROR(__xludf.DUMMYFUNCTION("""COMPUTED_VALUE"""),"DAFTAR ULANG KELAS II")</f>
        <v>DAFTAR ULANG KELAS II</v>
      </c>
      <c r="AB1" s="25" t="str">
        <f>IFERROR(__xludf.DUMMYFUNCTION("""COMPUTED_VALUE"""),"JARIYAH II")</f>
        <v>JARIYAH II</v>
      </c>
      <c r="AC1" s="25">
        <f>IFERROR(__xludf.DUMMYFUNCTION("""COMPUTED_VALUE"""),7.0)</f>
        <v>7</v>
      </c>
      <c r="AD1" s="25">
        <f>IFERROR(__xludf.DUMMYFUNCTION("""COMPUTED_VALUE"""),8.0)</f>
        <v>8</v>
      </c>
      <c r="AE1" s="25">
        <f>IFERROR(__xludf.DUMMYFUNCTION("""COMPUTED_VALUE"""),9.0)</f>
        <v>9</v>
      </c>
      <c r="AF1" s="25">
        <f>IFERROR(__xludf.DUMMYFUNCTION("""COMPUTED_VALUE"""),10.0)</f>
        <v>10</v>
      </c>
      <c r="AG1" s="25">
        <f>IFERROR(__xludf.DUMMYFUNCTION("""COMPUTED_VALUE"""),11.0)</f>
        <v>11</v>
      </c>
      <c r="AH1" s="25">
        <f>IFERROR(__xludf.DUMMYFUNCTION("""COMPUTED_VALUE"""),12.0)</f>
        <v>12</v>
      </c>
      <c r="AI1" s="25">
        <f>IFERROR(__xludf.DUMMYFUNCTION("""COMPUTED_VALUE"""),1.0)</f>
        <v>1</v>
      </c>
      <c r="AJ1" s="25">
        <f>IFERROR(__xludf.DUMMYFUNCTION("""COMPUTED_VALUE"""),2.0)</f>
        <v>2</v>
      </c>
      <c r="AK1" s="25">
        <f>IFERROR(__xludf.DUMMYFUNCTION("""COMPUTED_VALUE"""),3.0)</f>
        <v>3</v>
      </c>
      <c r="AL1" s="25">
        <f>IFERROR(__xludf.DUMMYFUNCTION("""COMPUTED_VALUE"""),4.0)</f>
        <v>4</v>
      </c>
      <c r="AM1" s="25">
        <f>IFERROR(__xludf.DUMMYFUNCTION("""COMPUTED_VALUE"""),5.0)</f>
        <v>5</v>
      </c>
      <c r="AN1" s="25">
        <f>IFERROR(__xludf.DUMMYFUNCTION("""COMPUTED_VALUE"""),6.0)</f>
        <v>6</v>
      </c>
      <c r="AO1" s="25" t="str">
        <f>IFERROR(__xludf.DUMMYFUNCTION("""COMPUTED_VALUE"""),"DAFTAR ULANG KELAS III")</f>
        <v>DAFTAR ULANG KELAS III</v>
      </c>
      <c r="AP1" s="25" t="str">
        <f>IFERROR(__xludf.DUMMYFUNCTION("""COMPUTED_VALUE"""),"JARIYAH III")</f>
        <v>JARIYAH III</v>
      </c>
      <c r="AQ1" s="25">
        <f>IFERROR(__xludf.DUMMYFUNCTION("""COMPUTED_VALUE"""),7.0)</f>
        <v>7</v>
      </c>
      <c r="AR1" s="25">
        <f>IFERROR(__xludf.DUMMYFUNCTION("""COMPUTED_VALUE"""),8.0)</f>
        <v>8</v>
      </c>
      <c r="AS1" s="25">
        <f>IFERROR(__xludf.DUMMYFUNCTION("""COMPUTED_VALUE"""),9.0)</f>
        <v>9</v>
      </c>
      <c r="AT1" s="25">
        <f>IFERROR(__xludf.DUMMYFUNCTION("""COMPUTED_VALUE"""),10.0)</f>
        <v>10</v>
      </c>
      <c r="AU1" s="25">
        <f>IFERROR(__xludf.DUMMYFUNCTION("""COMPUTED_VALUE"""),11.0)</f>
        <v>11</v>
      </c>
      <c r="AV1" s="25">
        <f>IFERROR(__xludf.DUMMYFUNCTION("""COMPUTED_VALUE"""),12.0)</f>
        <v>12</v>
      </c>
      <c r="AW1" s="25">
        <f>IFERROR(__xludf.DUMMYFUNCTION("""COMPUTED_VALUE"""),1.0)</f>
        <v>1</v>
      </c>
      <c r="AX1" s="25">
        <f>IFERROR(__xludf.DUMMYFUNCTION("""COMPUTED_VALUE"""),2.0)</f>
        <v>2</v>
      </c>
      <c r="AY1" s="25">
        <f>IFERROR(__xludf.DUMMYFUNCTION("""COMPUTED_VALUE"""),3.0)</f>
        <v>3</v>
      </c>
      <c r="AZ1" s="25">
        <f>IFERROR(__xludf.DUMMYFUNCTION("""COMPUTED_VALUE"""),4.0)</f>
        <v>4</v>
      </c>
      <c r="BA1" s="25">
        <f>IFERROR(__xludf.DUMMYFUNCTION("""COMPUTED_VALUE"""),5.0)</f>
        <v>5</v>
      </c>
      <c r="BB1" s="25">
        <f>IFERROR(__xludf.DUMMYFUNCTION("""COMPUTED_VALUE"""),6.0)</f>
        <v>6</v>
      </c>
      <c r="BC1" s="25" t="str">
        <f>IFERROR(__xludf.DUMMYFUNCTION("""COMPUTED_VALUE"""),"JUMLAH SYAHRIYAH")</f>
        <v>JUMLAH SYAHRIYAH</v>
      </c>
      <c r="BD1" s="25" t="str">
        <f>IFERROR(__xludf.DUMMYFUNCTION("""COMPUTED_VALUE"""),"JUMLAH JARIYAH")</f>
        <v>JUMLAH JARIYAH</v>
      </c>
      <c r="BE1" s="25" t="str">
        <f>IFERROR(__xludf.DUMMYFUNCTION("""COMPUTED_VALUE"""),"JUMLAH DAFTAR ULANG")</f>
        <v>JUMLAH DAFTAR ULANG</v>
      </c>
      <c r="BF1" s="25" t="str">
        <f>IFERROR(__xludf.DUMMYFUNCTION("""COMPUTED_VALUE"""),"JUMLAH TOTAL TUNGGAKAN")</f>
        <v>JUMLAH TOTAL TUNGGAKAN</v>
      </c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</row>
    <row r="2">
      <c r="A2" s="27" t="str">
        <f>IFERROR(__xludf.DUMMYFUNCTION("""COMPUTED_VALUE"""),"")</f>
        <v/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2">
        <f>IFERROR(__xludf.DUMMYFUNCTION("""COMPUTED_VALUE"""),0.0)</f>
        <v>0</v>
      </c>
      <c r="BD2" s="22">
        <f>IFERROR(__xludf.DUMMYFUNCTION("""COMPUTED_VALUE"""),0.0)</f>
        <v>0</v>
      </c>
      <c r="BE2" s="22">
        <f>IFERROR(__xludf.DUMMYFUNCTION("""COMPUTED_VALUE"""),0.0)</f>
        <v>0</v>
      </c>
      <c r="BF2" s="22">
        <f>IFERROR(__xludf.DUMMYFUNCTION("""COMPUTED_VALUE"""),0.0)</f>
        <v>0</v>
      </c>
    </row>
    <row r="3">
      <c r="A3" s="27" t="str">
        <f>IFERROR(__xludf.DUMMYFUNCTION("""COMPUTED_VALUE"""),"")</f>
        <v/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2">
        <f>IFERROR(__xludf.DUMMYFUNCTION("""COMPUTED_VALUE"""),0.0)</f>
        <v>0</v>
      </c>
      <c r="BD3" s="22">
        <f>IFERROR(__xludf.DUMMYFUNCTION("""COMPUTED_VALUE"""),0.0)</f>
        <v>0</v>
      </c>
      <c r="BE3" s="22">
        <f>IFERROR(__xludf.DUMMYFUNCTION("""COMPUTED_VALUE"""),0.0)</f>
        <v>0</v>
      </c>
      <c r="BF3" s="22">
        <f>IFERROR(__xludf.DUMMYFUNCTION("""COMPUTED_VALUE"""),0.0)</f>
        <v>0</v>
      </c>
    </row>
    <row r="4">
      <c r="A4" s="27" t="str">
        <f>IFERROR(__xludf.DUMMYFUNCTION("""COMPUTED_VALUE"""),"")</f>
        <v/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2">
        <f>IFERROR(__xludf.DUMMYFUNCTION("""COMPUTED_VALUE"""),0.0)</f>
        <v>0</v>
      </c>
      <c r="BD4" s="22">
        <f>IFERROR(__xludf.DUMMYFUNCTION("""COMPUTED_VALUE"""),0.0)</f>
        <v>0</v>
      </c>
      <c r="BE4" s="22">
        <f>IFERROR(__xludf.DUMMYFUNCTION("""COMPUTED_VALUE"""),0.0)</f>
        <v>0</v>
      </c>
      <c r="BF4" s="22">
        <f>IFERROR(__xludf.DUMMYFUNCTION("""COMPUTED_VALUE"""),0.0)</f>
        <v>0</v>
      </c>
    </row>
    <row r="5">
      <c r="A5" s="27" t="str">
        <f>IFERROR(__xludf.DUMMYFUNCTION("""COMPUTED_VALUE"""),"")</f>
        <v/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2">
        <f>IFERROR(__xludf.DUMMYFUNCTION("""COMPUTED_VALUE"""),0.0)</f>
        <v>0</v>
      </c>
      <c r="BD5" s="22">
        <f>IFERROR(__xludf.DUMMYFUNCTION("""COMPUTED_VALUE"""),0.0)</f>
        <v>0</v>
      </c>
      <c r="BE5" s="22">
        <f>IFERROR(__xludf.DUMMYFUNCTION("""COMPUTED_VALUE"""),0.0)</f>
        <v>0</v>
      </c>
      <c r="BF5" s="22">
        <f>IFERROR(__xludf.DUMMYFUNCTION("""COMPUTED_VALUE"""),0.0)</f>
        <v>0</v>
      </c>
    </row>
    <row r="6">
      <c r="A6" s="27" t="str">
        <f>IFERROR(__xludf.DUMMYFUNCTION("""COMPUTED_VALUE"""),"")</f>
        <v/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2">
        <f>IFERROR(__xludf.DUMMYFUNCTION("""COMPUTED_VALUE"""),0.0)</f>
        <v>0</v>
      </c>
      <c r="BD6" s="22">
        <f>IFERROR(__xludf.DUMMYFUNCTION("""COMPUTED_VALUE"""),0.0)</f>
        <v>0</v>
      </c>
      <c r="BE6" s="22">
        <f>IFERROR(__xludf.DUMMYFUNCTION("""COMPUTED_VALUE"""),0.0)</f>
        <v>0</v>
      </c>
      <c r="BF6" s="22">
        <f>IFERROR(__xludf.DUMMYFUNCTION("""COMPUTED_VALUE"""),0.0)</f>
        <v>0</v>
      </c>
    </row>
    <row r="7">
      <c r="A7" s="27" t="str">
        <f>IFERROR(__xludf.DUMMYFUNCTION("""COMPUTED_VALUE"""),"")</f>
        <v/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2">
        <f>IFERROR(__xludf.DUMMYFUNCTION("""COMPUTED_VALUE"""),0.0)</f>
        <v>0</v>
      </c>
      <c r="BD7" s="22">
        <f>IFERROR(__xludf.DUMMYFUNCTION("""COMPUTED_VALUE"""),0.0)</f>
        <v>0</v>
      </c>
      <c r="BE7" s="22">
        <f>IFERROR(__xludf.DUMMYFUNCTION("""COMPUTED_VALUE"""),0.0)</f>
        <v>0</v>
      </c>
      <c r="BF7" s="22">
        <f>IFERROR(__xludf.DUMMYFUNCTION("""COMPUTED_VALUE"""),0.0)</f>
        <v>0</v>
      </c>
    </row>
    <row r="8">
      <c r="A8" s="27" t="str">
        <f>IFERROR(__xludf.DUMMYFUNCTION("""COMPUTED_VALUE"""),"")</f>
        <v/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2">
        <f>IFERROR(__xludf.DUMMYFUNCTION("""COMPUTED_VALUE"""),0.0)</f>
        <v>0</v>
      </c>
      <c r="BD8" s="22">
        <f>IFERROR(__xludf.DUMMYFUNCTION("""COMPUTED_VALUE"""),0.0)</f>
        <v>0</v>
      </c>
      <c r="BE8" s="22">
        <f>IFERROR(__xludf.DUMMYFUNCTION("""COMPUTED_VALUE"""),0.0)</f>
        <v>0</v>
      </c>
      <c r="BF8" s="22">
        <f>IFERROR(__xludf.DUMMYFUNCTION("""COMPUTED_VALUE"""),0.0)</f>
        <v>0</v>
      </c>
    </row>
    <row r="9">
      <c r="A9" s="27" t="str">
        <f>IFERROR(__xludf.DUMMYFUNCTION("""COMPUTED_VALUE"""),"")</f>
        <v/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2">
        <f>IFERROR(__xludf.DUMMYFUNCTION("""COMPUTED_VALUE"""),0.0)</f>
        <v>0</v>
      </c>
      <c r="BD9" s="22">
        <f>IFERROR(__xludf.DUMMYFUNCTION("""COMPUTED_VALUE"""),0.0)</f>
        <v>0</v>
      </c>
      <c r="BE9" s="22">
        <f>IFERROR(__xludf.DUMMYFUNCTION("""COMPUTED_VALUE"""),0.0)</f>
        <v>0</v>
      </c>
      <c r="BF9" s="22">
        <f>IFERROR(__xludf.DUMMYFUNCTION("""COMPUTED_VALUE"""),0.0)</f>
        <v>0</v>
      </c>
    </row>
    <row r="10">
      <c r="A10" s="27" t="str">
        <f>IFERROR(__xludf.DUMMYFUNCTION("""COMPUTED_VALUE"""),"")</f>
        <v/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2">
        <f>IFERROR(__xludf.DUMMYFUNCTION("""COMPUTED_VALUE"""),0.0)</f>
        <v>0</v>
      </c>
      <c r="BD10" s="22">
        <f>IFERROR(__xludf.DUMMYFUNCTION("""COMPUTED_VALUE"""),0.0)</f>
        <v>0</v>
      </c>
      <c r="BE10" s="22">
        <f>IFERROR(__xludf.DUMMYFUNCTION("""COMPUTED_VALUE"""),0.0)</f>
        <v>0</v>
      </c>
      <c r="BF10" s="22">
        <f>IFERROR(__xludf.DUMMYFUNCTION("""COMPUTED_VALUE"""),0.0)</f>
        <v>0</v>
      </c>
    </row>
    <row r="11">
      <c r="A11" s="27" t="str">
        <f>IFERROR(__xludf.DUMMYFUNCTION("""COMPUTED_VALUE"""),"")</f>
        <v/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2">
        <f>IFERROR(__xludf.DUMMYFUNCTION("""COMPUTED_VALUE"""),0.0)</f>
        <v>0</v>
      </c>
      <c r="BD11" s="22">
        <f>IFERROR(__xludf.DUMMYFUNCTION("""COMPUTED_VALUE"""),0.0)</f>
        <v>0</v>
      </c>
      <c r="BE11" s="22">
        <f>IFERROR(__xludf.DUMMYFUNCTION("""COMPUTED_VALUE"""),0.0)</f>
        <v>0</v>
      </c>
      <c r="BF11" s="22">
        <f>IFERROR(__xludf.DUMMYFUNCTION("""COMPUTED_VALUE"""),0.0)</f>
        <v>0</v>
      </c>
    </row>
    <row r="12">
      <c r="A12" s="27" t="str">
        <f>IFERROR(__xludf.DUMMYFUNCTION("""COMPUTED_VALUE"""),"")</f>
        <v/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2">
        <f>IFERROR(__xludf.DUMMYFUNCTION("""COMPUTED_VALUE"""),0.0)</f>
        <v>0</v>
      </c>
      <c r="BD12" s="22">
        <f>IFERROR(__xludf.DUMMYFUNCTION("""COMPUTED_VALUE"""),0.0)</f>
        <v>0</v>
      </c>
      <c r="BE12" s="22">
        <f>IFERROR(__xludf.DUMMYFUNCTION("""COMPUTED_VALUE"""),0.0)</f>
        <v>0</v>
      </c>
      <c r="BF12" s="22">
        <f>IFERROR(__xludf.DUMMYFUNCTION("""COMPUTED_VALUE"""),0.0)</f>
        <v>0</v>
      </c>
    </row>
    <row r="13">
      <c r="A13" s="27" t="str">
        <f>IFERROR(__xludf.DUMMYFUNCTION("""COMPUTED_VALUE"""),"")</f>
        <v/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2">
        <f>IFERROR(__xludf.DUMMYFUNCTION("""COMPUTED_VALUE"""),0.0)</f>
        <v>0</v>
      </c>
      <c r="BD13" s="22">
        <f>IFERROR(__xludf.DUMMYFUNCTION("""COMPUTED_VALUE"""),0.0)</f>
        <v>0</v>
      </c>
      <c r="BE13" s="22">
        <f>IFERROR(__xludf.DUMMYFUNCTION("""COMPUTED_VALUE"""),0.0)</f>
        <v>0</v>
      </c>
      <c r="BF13" s="22">
        <f>IFERROR(__xludf.DUMMYFUNCTION("""COMPUTED_VALUE"""),0.0)</f>
        <v>0</v>
      </c>
    </row>
    <row r="14">
      <c r="A14" s="27" t="str">
        <f>IFERROR(__xludf.DUMMYFUNCTION("""COMPUTED_VALUE"""),"")</f>
        <v/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2">
        <f>IFERROR(__xludf.DUMMYFUNCTION("""COMPUTED_VALUE"""),0.0)</f>
        <v>0</v>
      </c>
      <c r="BD14" s="22">
        <f>IFERROR(__xludf.DUMMYFUNCTION("""COMPUTED_VALUE"""),0.0)</f>
        <v>0</v>
      </c>
      <c r="BE14" s="22">
        <f>IFERROR(__xludf.DUMMYFUNCTION("""COMPUTED_VALUE"""),0.0)</f>
        <v>0</v>
      </c>
      <c r="BF14" s="22">
        <f>IFERROR(__xludf.DUMMYFUNCTION("""COMPUTED_VALUE"""),0.0)</f>
        <v>0</v>
      </c>
    </row>
    <row r="15">
      <c r="A15" s="27" t="str">
        <f>IFERROR(__xludf.DUMMYFUNCTION("""COMPUTED_VALUE"""),"")</f>
        <v/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2">
        <f>IFERROR(__xludf.DUMMYFUNCTION("""COMPUTED_VALUE"""),0.0)</f>
        <v>0</v>
      </c>
      <c r="BD15" s="22">
        <f>IFERROR(__xludf.DUMMYFUNCTION("""COMPUTED_VALUE"""),0.0)</f>
        <v>0</v>
      </c>
      <c r="BE15" s="22">
        <f>IFERROR(__xludf.DUMMYFUNCTION("""COMPUTED_VALUE"""),0.0)</f>
        <v>0</v>
      </c>
      <c r="BF15" s="22">
        <f>IFERROR(__xludf.DUMMYFUNCTION("""COMPUTED_VALUE"""),0.0)</f>
        <v>0</v>
      </c>
    </row>
    <row r="16">
      <c r="A16" s="27" t="str">
        <f>IFERROR(__xludf.DUMMYFUNCTION("""COMPUTED_VALUE"""),"")</f>
        <v/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2">
        <f>IFERROR(__xludf.DUMMYFUNCTION("""COMPUTED_VALUE"""),0.0)</f>
        <v>0</v>
      </c>
      <c r="BD16" s="22">
        <f>IFERROR(__xludf.DUMMYFUNCTION("""COMPUTED_VALUE"""),0.0)</f>
        <v>0</v>
      </c>
      <c r="BE16" s="22">
        <f>IFERROR(__xludf.DUMMYFUNCTION("""COMPUTED_VALUE"""),0.0)</f>
        <v>0</v>
      </c>
      <c r="BF16" s="22">
        <f>IFERROR(__xludf.DUMMYFUNCTION("""COMPUTED_VALUE"""),0.0)</f>
        <v>0</v>
      </c>
    </row>
    <row r="17">
      <c r="A17" s="27" t="str">
        <f>IFERROR(__xludf.DUMMYFUNCTION("""COMPUTED_VALUE"""),"")</f>
        <v/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2">
        <f>IFERROR(__xludf.DUMMYFUNCTION("""COMPUTED_VALUE"""),0.0)</f>
        <v>0</v>
      </c>
      <c r="BD17" s="22">
        <f>IFERROR(__xludf.DUMMYFUNCTION("""COMPUTED_VALUE"""),0.0)</f>
        <v>0</v>
      </c>
      <c r="BE17" s="22">
        <f>IFERROR(__xludf.DUMMYFUNCTION("""COMPUTED_VALUE"""),0.0)</f>
        <v>0</v>
      </c>
      <c r="BF17" s="22">
        <f>IFERROR(__xludf.DUMMYFUNCTION("""COMPUTED_VALUE"""),0.0)</f>
        <v>0</v>
      </c>
    </row>
    <row r="18">
      <c r="A18" s="27" t="str">
        <f>IFERROR(__xludf.DUMMYFUNCTION("""COMPUTED_VALUE"""),"")</f>
        <v/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2">
        <f>IFERROR(__xludf.DUMMYFUNCTION("""COMPUTED_VALUE"""),0.0)</f>
        <v>0</v>
      </c>
      <c r="BD18" s="22">
        <f>IFERROR(__xludf.DUMMYFUNCTION("""COMPUTED_VALUE"""),0.0)</f>
        <v>0</v>
      </c>
      <c r="BE18" s="22">
        <f>IFERROR(__xludf.DUMMYFUNCTION("""COMPUTED_VALUE"""),0.0)</f>
        <v>0</v>
      </c>
      <c r="BF18" s="22">
        <f>IFERROR(__xludf.DUMMYFUNCTION("""COMPUTED_VALUE"""),0.0)</f>
        <v>0</v>
      </c>
    </row>
    <row r="19">
      <c r="A19" s="27" t="str">
        <f>IFERROR(__xludf.DUMMYFUNCTION("""COMPUTED_VALUE"""),"")</f>
        <v/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2">
        <f>IFERROR(__xludf.DUMMYFUNCTION("""COMPUTED_VALUE"""),0.0)</f>
        <v>0</v>
      </c>
      <c r="BD19" s="22">
        <f>IFERROR(__xludf.DUMMYFUNCTION("""COMPUTED_VALUE"""),0.0)</f>
        <v>0</v>
      </c>
      <c r="BE19" s="22">
        <f>IFERROR(__xludf.DUMMYFUNCTION("""COMPUTED_VALUE"""),0.0)</f>
        <v>0</v>
      </c>
      <c r="BF19" s="22">
        <f>IFERROR(__xludf.DUMMYFUNCTION("""COMPUTED_VALUE"""),0.0)</f>
        <v>0</v>
      </c>
    </row>
    <row r="20">
      <c r="A20" s="27" t="str">
        <f>IFERROR(__xludf.DUMMYFUNCTION("""COMPUTED_VALUE"""),"")</f>
        <v/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2">
        <f>IFERROR(__xludf.DUMMYFUNCTION("""COMPUTED_VALUE"""),0.0)</f>
        <v>0</v>
      </c>
      <c r="BD20" s="22">
        <f>IFERROR(__xludf.DUMMYFUNCTION("""COMPUTED_VALUE"""),0.0)</f>
        <v>0</v>
      </c>
      <c r="BE20" s="22">
        <f>IFERROR(__xludf.DUMMYFUNCTION("""COMPUTED_VALUE"""),0.0)</f>
        <v>0</v>
      </c>
      <c r="BF20" s="22">
        <f>IFERROR(__xludf.DUMMYFUNCTION("""COMPUTED_VALUE"""),0.0)</f>
        <v>0</v>
      </c>
    </row>
    <row r="21">
      <c r="A21" s="27" t="str">
        <f>IFERROR(__xludf.DUMMYFUNCTION("""COMPUTED_VALUE"""),"")</f>
        <v/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2">
        <f>IFERROR(__xludf.DUMMYFUNCTION("""COMPUTED_VALUE"""),0.0)</f>
        <v>0</v>
      </c>
      <c r="BD21" s="22">
        <f>IFERROR(__xludf.DUMMYFUNCTION("""COMPUTED_VALUE"""),0.0)</f>
        <v>0</v>
      </c>
      <c r="BE21" s="22">
        <f>IFERROR(__xludf.DUMMYFUNCTION("""COMPUTED_VALUE"""),0.0)</f>
        <v>0</v>
      </c>
      <c r="BF21" s="22">
        <f>IFERROR(__xludf.DUMMYFUNCTION("""COMPUTED_VALUE"""),0.0)</f>
        <v>0</v>
      </c>
    </row>
    <row r="22">
      <c r="A22" s="27" t="str">
        <f>IFERROR(__xludf.DUMMYFUNCTION("""COMPUTED_VALUE"""),"")</f>
        <v/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2">
        <f>IFERROR(__xludf.DUMMYFUNCTION("""COMPUTED_VALUE"""),0.0)</f>
        <v>0</v>
      </c>
      <c r="BD22" s="22">
        <f>IFERROR(__xludf.DUMMYFUNCTION("""COMPUTED_VALUE"""),0.0)</f>
        <v>0</v>
      </c>
      <c r="BE22" s="22">
        <f>IFERROR(__xludf.DUMMYFUNCTION("""COMPUTED_VALUE"""),0.0)</f>
        <v>0</v>
      </c>
      <c r="BF22" s="22">
        <f>IFERROR(__xludf.DUMMYFUNCTION("""COMPUTED_VALUE"""),0.0)</f>
        <v>0</v>
      </c>
    </row>
    <row r="23">
      <c r="A23" s="27" t="str">
        <f>IFERROR(__xludf.DUMMYFUNCTION("""COMPUTED_VALUE"""),"")</f>
        <v/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2">
        <f>IFERROR(__xludf.DUMMYFUNCTION("""COMPUTED_VALUE"""),0.0)</f>
        <v>0</v>
      </c>
      <c r="BD23" s="22">
        <f>IFERROR(__xludf.DUMMYFUNCTION("""COMPUTED_VALUE"""),0.0)</f>
        <v>0</v>
      </c>
      <c r="BE23" s="22">
        <f>IFERROR(__xludf.DUMMYFUNCTION("""COMPUTED_VALUE"""),0.0)</f>
        <v>0</v>
      </c>
      <c r="BF23" s="22">
        <f>IFERROR(__xludf.DUMMYFUNCTION("""COMPUTED_VALUE"""),0.0)</f>
        <v>0</v>
      </c>
    </row>
    <row r="24">
      <c r="A24" s="27" t="str">
        <f>IFERROR(__xludf.DUMMYFUNCTION("""COMPUTED_VALUE"""),"")</f>
        <v/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2">
        <f>IFERROR(__xludf.DUMMYFUNCTION("""COMPUTED_VALUE"""),0.0)</f>
        <v>0</v>
      </c>
      <c r="BD24" s="22">
        <f>IFERROR(__xludf.DUMMYFUNCTION("""COMPUTED_VALUE"""),0.0)</f>
        <v>0</v>
      </c>
      <c r="BE24" s="22">
        <f>IFERROR(__xludf.DUMMYFUNCTION("""COMPUTED_VALUE"""),0.0)</f>
        <v>0</v>
      </c>
      <c r="BF24" s="22">
        <f>IFERROR(__xludf.DUMMYFUNCTION("""COMPUTED_VALUE"""),0.0)</f>
        <v>0</v>
      </c>
    </row>
    <row r="25">
      <c r="A25" s="27" t="str">
        <f>IFERROR(__xludf.DUMMYFUNCTION("""COMPUTED_VALUE"""),"")</f>
        <v/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2">
        <f>IFERROR(__xludf.DUMMYFUNCTION("""COMPUTED_VALUE"""),0.0)</f>
        <v>0</v>
      </c>
      <c r="BD25" s="22">
        <f>IFERROR(__xludf.DUMMYFUNCTION("""COMPUTED_VALUE"""),0.0)</f>
        <v>0</v>
      </c>
      <c r="BE25" s="22">
        <f>IFERROR(__xludf.DUMMYFUNCTION("""COMPUTED_VALUE"""),0.0)</f>
        <v>0</v>
      </c>
      <c r="BF25" s="22">
        <f>IFERROR(__xludf.DUMMYFUNCTION("""COMPUTED_VALUE"""),0.0)</f>
        <v>0</v>
      </c>
    </row>
    <row r="26">
      <c r="A26" s="27" t="str">
        <f>IFERROR(__xludf.DUMMYFUNCTION("""COMPUTED_VALUE"""),"")</f>
        <v/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2">
        <f>IFERROR(__xludf.DUMMYFUNCTION("""COMPUTED_VALUE"""),0.0)</f>
        <v>0</v>
      </c>
      <c r="BD26" s="22">
        <f>IFERROR(__xludf.DUMMYFUNCTION("""COMPUTED_VALUE"""),0.0)</f>
        <v>0</v>
      </c>
      <c r="BE26" s="22">
        <f>IFERROR(__xludf.DUMMYFUNCTION("""COMPUTED_VALUE"""),0.0)</f>
        <v>0</v>
      </c>
      <c r="BF26" s="22">
        <f>IFERROR(__xludf.DUMMYFUNCTION("""COMPUTED_VALUE"""),0.0)</f>
        <v>0</v>
      </c>
    </row>
    <row r="27">
      <c r="A27" s="27" t="str">
        <f>IFERROR(__xludf.DUMMYFUNCTION("""COMPUTED_VALUE"""),"")</f>
        <v/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2">
        <f>IFERROR(__xludf.DUMMYFUNCTION("""COMPUTED_VALUE"""),0.0)</f>
        <v>0</v>
      </c>
      <c r="BD27" s="22">
        <f>IFERROR(__xludf.DUMMYFUNCTION("""COMPUTED_VALUE"""),0.0)</f>
        <v>0</v>
      </c>
      <c r="BE27" s="22">
        <f>IFERROR(__xludf.DUMMYFUNCTION("""COMPUTED_VALUE"""),0.0)</f>
        <v>0</v>
      </c>
      <c r="BF27" s="22">
        <f>IFERROR(__xludf.DUMMYFUNCTION("""COMPUTED_VALUE"""),0.0)</f>
        <v>0</v>
      </c>
    </row>
    <row r="28">
      <c r="A28" s="27" t="str">
        <f>IFERROR(__xludf.DUMMYFUNCTION("""COMPUTED_VALUE"""),"")</f>
        <v/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2">
        <f>IFERROR(__xludf.DUMMYFUNCTION("""COMPUTED_VALUE"""),0.0)</f>
        <v>0</v>
      </c>
      <c r="BD28" s="22">
        <f>IFERROR(__xludf.DUMMYFUNCTION("""COMPUTED_VALUE"""),0.0)</f>
        <v>0</v>
      </c>
      <c r="BE28" s="22">
        <f>IFERROR(__xludf.DUMMYFUNCTION("""COMPUTED_VALUE"""),0.0)</f>
        <v>0</v>
      </c>
      <c r="BF28" s="22">
        <f>IFERROR(__xludf.DUMMYFUNCTION("""COMPUTED_VALUE"""),0.0)</f>
        <v>0</v>
      </c>
    </row>
    <row r="29">
      <c r="A29" s="27" t="str">
        <f>IFERROR(__xludf.DUMMYFUNCTION("""COMPUTED_VALUE"""),"")</f>
        <v/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2">
        <f>IFERROR(__xludf.DUMMYFUNCTION("""COMPUTED_VALUE"""),0.0)</f>
        <v>0</v>
      </c>
      <c r="BD29" s="22">
        <f>IFERROR(__xludf.DUMMYFUNCTION("""COMPUTED_VALUE"""),0.0)</f>
        <v>0</v>
      </c>
      <c r="BE29" s="22">
        <f>IFERROR(__xludf.DUMMYFUNCTION("""COMPUTED_VALUE"""),0.0)</f>
        <v>0</v>
      </c>
      <c r="BF29" s="22">
        <f>IFERROR(__xludf.DUMMYFUNCTION("""COMPUTED_VALUE"""),0.0)</f>
        <v>0</v>
      </c>
    </row>
    <row r="30">
      <c r="A30" s="27" t="str">
        <f>IFERROR(__xludf.DUMMYFUNCTION("""COMPUTED_VALUE"""),"")</f>
        <v/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2">
        <f>IFERROR(__xludf.DUMMYFUNCTION("""COMPUTED_VALUE"""),0.0)</f>
        <v>0</v>
      </c>
      <c r="BD30" s="22">
        <f>IFERROR(__xludf.DUMMYFUNCTION("""COMPUTED_VALUE"""),0.0)</f>
        <v>0</v>
      </c>
      <c r="BE30" s="22">
        <f>IFERROR(__xludf.DUMMYFUNCTION("""COMPUTED_VALUE"""),0.0)</f>
        <v>0</v>
      </c>
      <c r="BF30" s="22">
        <f>IFERROR(__xludf.DUMMYFUNCTION("""COMPUTED_VALUE"""),0.0)</f>
        <v>0</v>
      </c>
    </row>
    <row r="31">
      <c r="A31" s="27" t="str">
        <f>IFERROR(__xludf.DUMMYFUNCTION("""COMPUTED_VALUE"""),"")</f>
        <v/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2">
        <f>IFERROR(__xludf.DUMMYFUNCTION("""COMPUTED_VALUE"""),0.0)</f>
        <v>0</v>
      </c>
      <c r="BD31" s="22">
        <f>IFERROR(__xludf.DUMMYFUNCTION("""COMPUTED_VALUE"""),0.0)</f>
        <v>0</v>
      </c>
      <c r="BE31" s="22">
        <f>IFERROR(__xludf.DUMMYFUNCTION("""COMPUTED_VALUE"""),0.0)</f>
        <v>0</v>
      </c>
      <c r="BF31" s="22">
        <f>IFERROR(__xludf.DUMMYFUNCTION("""COMPUTED_VALUE"""),0.0)</f>
        <v>0</v>
      </c>
    </row>
    <row r="32">
      <c r="A32" s="27" t="str">
        <f>IFERROR(__xludf.DUMMYFUNCTION("""COMPUTED_VALUE"""),"")</f>
        <v/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2">
        <f>IFERROR(__xludf.DUMMYFUNCTION("""COMPUTED_VALUE"""),0.0)</f>
        <v>0</v>
      </c>
      <c r="BD32" s="22">
        <f>IFERROR(__xludf.DUMMYFUNCTION("""COMPUTED_VALUE"""),0.0)</f>
        <v>0</v>
      </c>
      <c r="BE32" s="22">
        <f>IFERROR(__xludf.DUMMYFUNCTION("""COMPUTED_VALUE"""),0.0)</f>
        <v>0</v>
      </c>
      <c r="BF32" s="22">
        <f>IFERROR(__xludf.DUMMYFUNCTION("""COMPUTED_VALUE"""),0.0)</f>
        <v>0</v>
      </c>
    </row>
    <row r="33">
      <c r="A33" s="27" t="str">
        <f>IFERROR(__xludf.DUMMYFUNCTION("""COMPUTED_VALUE"""),"")</f>
        <v/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2">
        <f>IFERROR(__xludf.DUMMYFUNCTION("""COMPUTED_VALUE"""),0.0)</f>
        <v>0</v>
      </c>
      <c r="BD33" s="22">
        <f>IFERROR(__xludf.DUMMYFUNCTION("""COMPUTED_VALUE"""),0.0)</f>
        <v>0</v>
      </c>
      <c r="BE33" s="22">
        <f>IFERROR(__xludf.DUMMYFUNCTION("""COMPUTED_VALUE"""),0.0)</f>
        <v>0</v>
      </c>
      <c r="BF33" s="22">
        <f>IFERROR(__xludf.DUMMYFUNCTION("""COMPUTED_VALUE"""),0.0)</f>
        <v>0</v>
      </c>
    </row>
    <row r="34">
      <c r="A34" s="27" t="str">
        <f>IFERROR(__xludf.DUMMYFUNCTION("""COMPUTED_VALUE"""),"")</f>
        <v/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2">
        <f>IFERROR(__xludf.DUMMYFUNCTION("""COMPUTED_VALUE"""),0.0)</f>
        <v>0</v>
      </c>
      <c r="BD34" s="22">
        <f>IFERROR(__xludf.DUMMYFUNCTION("""COMPUTED_VALUE"""),0.0)</f>
        <v>0</v>
      </c>
      <c r="BE34" s="22">
        <f>IFERROR(__xludf.DUMMYFUNCTION("""COMPUTED_VALUE"""),0.0)</f>
        <v>0</v>
      </c>
      <c r="BF34" s="22">
        <f>IFERROR(__xludf.DUMMYFUNCTION("""COMPUTED_VALUE"""),0.0)</f>
        <v>0</v>
      </c>
    </row>
    <row r="35">
      <c r="A35" s="27" t="str">
        <f>IFERROR(__xludf.DUMMYFUNCTION("""COMPUTED_VALUE"""),"")</f>
        <v/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2">
        <f>IFERROR(__xludf.DUMMYFUNCTION("""COMPUTED_VALUE"""),0.0)</f>
        <v>0</v>
      </c>
      <c r="BD35" s="22">
        <f>IFERROR(__xludf.DUMMYFUNCTION("""COMPUTED_VALUE"""),0.0)</f>
        <v>0</v>
      </c>
      <c r="BE35" s="22">
        <f>IFERROR(__xludf.DUMMYFUNCTION("""COMPUTED_VALUE"""),0.0)</f>
        <v>0</v>
      </c>
      <c r="BF35" s="22">
        <f>IFERROR(__xludf.DUMMYFUNCTION("""COMPUTED_VALUE"""),0.0)</f>
        <v>0</v>
      </c>
    </row>
    <row r="36">
      <c r="A36" s="27" t="str">
        <f>IFERROR(__xludf.DUMMYFUNCTION("""COMPUTED_VALUE"""),"")</f>
        <v/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2">
        <f>IFERROR(__xludf.DUMMYFUNCTION("""COMPUTED_VALUE"""),0.0)</f>
        <v>0</v>
      </c>
      <c r="BD36" s="22">
        <f>IFERROR(__xludf.DUMMYFUNCTION("""COMPUTED_VALUE"""),0.0)</f>
        <v>0</v>
      </c>
      <c r="BE36" s="22">
        <f>IFERROR(__xludf.DUMMYFUNCTION("""COMPUTED_VALUE"""),0.0)</f>
        <v>0</v>
      </c>
      <c r="BF36" s="22">
        <f>IFERROR(__xludf.DUMMYFUNCTION("""COMPUTED_VALUE"""),0.0)</f>
        <v>0</v>
      </c>
    </row>
    <row r="37">
      <c r="A37" s="27" t="str">
        <f>IFERROR(__xludf.DUMMYFUNCTION("""COMPUTED_VALUE"""),"")</f>
        <v/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2">
        <f>IFERROR(__xludf.DUMMYFUNCTION("""COMPUTED_VALUE"""),0.0)</f>
        <v>0</v>
      </c>
      <c r="BD37" s="22">
        <f>IFERROR(__xludf.DUMMYFUNCTION("""COMPUTED_VALUE"""),0.0)</f>
        <v>0</v>
      </c>
      <c r="BE37" s="22">
        <f>IFERROR(__xludf.DUMMYFUNCTION("""COMPUTED_VALUE"""),0.0)</f>
        <v>0</v>
      </c>
      <c r="BF37" s="22">
        <f>IFERROR(__xludf.DUMMYFUNCTION("""COMPUTED_VALUE"""),0.0)</f>
        <v>0</v>
      </c>
    </row>
    <row r="38">
      <c r="A38" s="27" t="str">
        <f>IFERROR(__xludf.DUMMYFUNCTION("""COMPUTED_VALUE"""),"")</f>
        <v/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2">
        <f>IFERROR(__xludf.DUMMYFUNCTION("""COMPUTED_VALUE"""),0.0)</f>
        <v>0</v>
      </c>
      <c r="BD38" s="22">
        <f>IFERROR(__xludf.DUMMYFUNCTION("""COMPUTED_VALUE"""),0.0)</f>
        <v>0</v>
      </c>
      <c r="BE38" s="22">
        <f>IFERROR(__xludf.DUMMYFUNCTION("""COMPUTED_VALUE"""),0.0)</f>
        <v>0</v>
      </c>
      <c r="BF38" s="22">
        <f>IFERROR(__xludf.DUMMYFUNCTION("""COMPUTED_VALUE"""),0.0)</f>
        <v>0</v>
      </c>
    </row>
    <row r="39">
      <c r="A39" s="27" t="str">
        <f>IFERROR(__xludf.DUMMYFUNCTION("""COMPUTED_VALUE"""),"")</f>
        <v/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2">
        <f>IFERROR(__xludf.DUMMYFUNCTION("""COMPUTED_VALUE"""),0.0)</f>
        <v>0</v>
      </c>
      <c r="BD39" s="22">
        <f>IFERROR(__xludf.DUMMYFUNCTION("""COMPUTED_VALUE"""),0.0)</f>
        <v>0</v>
      </c>
      <c r="BE39" s="22">
        <f>IFERROR(__xludf.DUMMYFUNCTION("""COMPUTED_VALUE"""),0.0)</f>
        <v>0</v>
      </c>
      <c r="BF39" s="22">
        <f>IFERROR(__xludf.DUMMYFUNCTION("""COMPUTED_VALUE"""),0.0)</f>
        <v>0</v>
      </c>
    </row>
    <row r="40">
      <c r="A40" s="27" t="str">
        <f>IFERROR(__xludf.DUMMYFUNCTION("""COMPUTED_VALUE"""),"")</f>
        <v/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2">
        <f>IFERROR(__xludf.DUMMYFUNCTION("""COMPUTED_VALUE"""),0.0)</f>
        <v>0</v>
      </c>
      <c r="BD40" s="22">
        <f>IFERROR(__xludf.DUMMYFUNCTION("""COMPUTED_VALUE"""),0.0)</f>
        <v>0</v>
      </c>
      <c r="BE40" s="22">
        <f>IFERROR(__xludf.DUMMYFUNCTION("""COMPUTED_VALUE"""),0.0)</f>
        <v>0</v>
      </c>
      <c r="BF40" s="22">
        <f>IFERROR(__xludf.DUMMYFUNCTION("""COMPUTED_VALUE"""),0.0)</f>
        <v>0</v>
      </c>
    </row>
    <row r="41">
      <c r="A41" s="27" t="str">
        <f>IFERROR(__xludf.DUMMYFUNCTION("""COMPUTED_VALUE"""),"")</f>
        <v/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2">
        <f>IFERROR(__xludf.DUMMYFUNCTION("""COMPUTED_VALUE"""),0.0)</f>
        <v>0</v>
      </c>
      <c r="BD41" s="22">
        <f>IFERROR(__xludf.DUMMYFUNCTION("""COMPUTED_VALUE"""),0.0)</f>
        <v>0</v>
      </c>
      <c r="BE41" s="22">
        <f>IFERROR(__xludf.DUMMYFUNCTION("""COMPUTED_VALUE"""),0.0)</f>
        <v>0</v>
      </c>
      <c r="BF41" s="22">
        <f>IFERROR(__xludf.DUMMYFUNCTION("""COMPUTED_VALUE"""),0.0)</f>
        <v>0</v>
      </c>
    </row>
    <row r="42">
      <c r="A42" s="27" t="str">
        <f>IFERROR(__xludf.DUMMYFUNCTION("""COMPUTED_VALUE"""),"")</f>
        <v/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2">
        <f>IFERROR(__xludf.DUMMYFUNCTION("""COMPUTED_VALUE"""),0.0)</f>
        <v>0</v>
      </c>
      <c r="BD42" s="22">
        <f>IFERROR(__xludf.DUMMYFUNCTION("""COMPUTED_VALUE"""),0.0)</f>
        <v>0</v>
      </c>
      <c r="BE42" s="22">
        <f>IFERROR(__xludf.DUMMYFUNCTION("""COMPUTED_VALUE"""),0.0)</f>
        <v>0</v>
      </c>
      <c r="BF42" s="22">
        <f>IFERROR(__xludf.DUMMYFUNCTION("""COMPUTED_VALUE"""),0.0)</f>
        <v>0</v>
      </c>
    </row>
    <row r="43">
      <c r="A43" s="27" t="str">
        <f>IFERROR(__xludf.DUMMYFUNCTION("""COMPUTED_VALUE"""),"")</f>
        <v/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2">
        <f>IFERROR(__xludf.DUMMYFUNCTION("""COMPUTED_VALUE"""),0.0)</f>
        <v>0</v>
      </c>
      <c r="BD43" s="22">
        <f>IFERROR(__xludf.DUMMYFUNCTION("""COMPUTED_VALUE"""),0.0)</f>
        <v>0</v>
      </c>
      <c r="BE43" s="22">
        <f>IFERROR(__xludf.DUMMYFUNCTION("""COMPUTED_VALUE"""),0.0)</f>
        <v>0</v>
      </c>
      <c r="BF43" s="22">
        <f>IFERROR(__xludf.DUMMYFUNCTION("""COMPUTED_VALUE"""),0.0)</f>
        <v>0</v>
      </c>
    </row>
    <row r="44">
      <c r="A44" s="27" t="str">
        <f>IFERROR(__xludf.DUMMYFUNCTION("""COMPUTED_VALUE"""),"")</f>
        <v/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2">
        <f>IFERROR(__xludf.DUMMYFUNCTION("""COMPUTED_VALUE"""),0.0)</f>
        <v>0</v>
      </c>
      <c r="BD44" s="22">
        <f>IFERROR(__xludf.DUMMYFUNCTION("""COMPUTED_VALUE"""),0.0)</f>
        <v>0</v>
      </c>
      <c r="BE44" s="22">
        <f>IFERROR(__xludf.DUMMYFUNCTION("""COMPUTED_VALUE"""),0.0)</f>
        <v>0</v>
      </c>
      <c r="BF44" s="22">
        <f>IFERROR(__xludf.DUMMYFUNCTION("""COMPUTED_VALUE"""),0.0)</f>
        <v>0</v>
      </c>
    </row>
    <row r="45">
      <c r="A45" s="27" t="str">
        <f>IFERROR(__xludf.DUMMYFUNCTION("""COMPUTED_VALUE"""),"")</f>
        <v/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2">
        <f>IFERROR(__xludf.DUMMYFUNCTION("""COMPUTED_VALUE"""),0.0)</f>
        <v>0</v>
      </c>
      <c r="BD45" s="22">
        <f>IFERROR(__xludf.DUMMYFUNCTION("""COMPUTED_VALUE"""),0.0)</f>
        <v>0</v>
      </c>
      <c r="BE45" s="22">
        <f>IFERROR(__xludf.DUMMYFUNCTION("""COMPUTED_VALUE"""),0.0)</f>
        <v>0</v>
      </c>
      <c r="BF45" s="22">
        <f>IFERROR(__xludf.DUMMYFUNCTION("""COMPUTED_VALUE"""),0.0)</f>
        <v>0</v>
      </c>
    </row>
    <row r="46">
      <c r="A46" s="27" t="str">
        <f>IFERROR(__xludf.DUMMYFUNCTION("""COMPUTED_VALUE"""),"")</f>
        <v/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2">
        <f>IFERROR(__xludf.DUMMYFUNCTION("""COMPUTED_VALUE"""),0.0)</f>
        <v>0</v>
      </c>
      <c r="BD46" s="22">
        <f>IFERROR(__xludf.DUMMYFUNCTION("""COMPUTED_VALUE"""),0.0)</f>
        <v>0</v>
      </c>
      <c r="BE46" s="22">
        <f>IFERROR(__xludf.DUMMYFUNCTION("""COMPUTED_VALUE"""),0.0)</f>
        <v>0</v>
      </c>
      <c r="BF46" s="22">
        <f>IFERROR(__xludf.DUMMYFUNCTION("""COMPUTED_VALUE"""),0.0)</f>
        <v>0</v>
      </c>
    </row>
    <row r="47">
      <c r="A47" s="27" t="str">
        <f>IFERROR(__xludf.DUMMYFUNCTION("""COMPUTED_VALUE"""),"")</f>
        <v/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2">
        <f>IFERROR(__xludf.DUMMYFUNCTION("""COMPUTED_VALUE"""),0.0)</f>
        <v>0</v>
      </c>
      <c r="BD47" s="22">
        <f>IFERROR(__xludf.DUMMYFUNCTION("""COMPUTED_VALUE"""),0.0)</f>
        <v>0</v>
      </c>
      <c r="BE47" s="22">
        <f>IFERROR(__xludf.DUMMYFUNCTION("""COMPUTED_VALUE"""),0.0)</f>
        <v>0</v>
      </c>
      <c r="BF47" s="22">
        <f>IFERROR(__xludf.DUMMYFUNCTION("""COMPUTED_VALUE"""),0.0)</f>
        <v>0</v>
      </c>
    </row>
    <row r="48">
      <c r="A48" s="27" t="str">
        <f>IFERROR(__xludf.DUMMYFUNCTION("""COMPUTED_VALUE"""),"")</f>
        <v/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2">
        <f>IFERROR(__xludf.DUMMYFUNCTION("""COMPUTED_VALUE"""),0.0)</f>
        <v>0</v>
      </c>
      <c r="BD48" s="22">
        <f>IFERROR(__xludf.DUMMYFUNCTION("""COMPUTED_VALUE"""),0.0)</f>
        <v>0</v>
      </c>
      <c r="BE48" s="22">
        <f>IFERROR(__xludf.DUMMYFUNCTION("""COMPUTED_VALUE"""),0.0)</f>
        <v>0</v>
      </c>
      <c r="BF48" s="22">
        <f>IFERROR(__xludf.DUMMYFUNCTION("""COMPUTED_VALUE"""),0.0)</f>
        <v>0</v>
      </c>
    </row>
    <row r="49">
      <c r="A49" s="27" t="str">
        <f>IFERROR(__xludf.DUMMYFUNCTION("""COMPUTED_VALUE"""),"")</f>
        <v/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2">
        <f>IFERROR(__xludf.DUMMYFUNCTION("""COMPUTED_VALUE"""),0.0)</f>
        <v>0</v>
      </c>
      <c r="BD49" s="22">
        <f>IFERROR(__xludf.DUMMYFUNCTION("""COMPUTED_VALUE"""),0.0)</f>
        <v>0</v>
      </c>
      <c r="BE49" s="22">
        <f>IFERROR(__xludf.DUMMYFUNCTION("""COMPUTED_VALUE"""),0.0)</f>
        <v>0</v>
      </c>
      <c r="BF49" s="22">
        <f>IFERROR(__xludf.DUMMYFUNCTION("""COMPUTED_VALUE"""),0.0)</f>
        <v>0</v>
      </c>
    </row>
    <row r="50">
      <c r="A50" s="27" t="str">
        <f>IFERROR(__xludf.DUMMYFUNCTION("""COMPUTED_VALUE"""),"")</f>
        <v/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2">
        <f>IFERROR(__xludf.DUMMYFUNCTION("""COMPUTED_VALUE"""),0.0)</f>
        <v>0</v>
      </c>
      <c r="BD50" s="22">
        <f>IFERROR(__xludf.DUMMYFUNCTION("""COMPUTED_VALUE"""),0.0)</f>
        <v>0</v>
      </c>
      <c r="BE50" s="22">
        <f>IFERROR(__xludf.DUMMYFUNCTION("""COMPUTED_VALUE"""),0.0)</f>
        <v>0</v>
      </c>
      <c r="BF50" s="22">
        <f>IFERROR(__xludf.DUMMYFUNCTION("""COMPUTED_VALUE"""),0.0)</f>
        <v>0</v>
      </c>
    </row>
    <row r="51">
      <c r="A51" s="27" t="str">
        <f>IFERROR(__xludf.DUMMYFUNCTION("""COMPUTED_VALUE"""),"")</f>
        <v/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2">
        <f>IFERROR(__xludf.DUMMYFUNCTION("""COMPUTED_VALUE"""),0.0)</f>
        <v>0</v>
      </c>
      <c r="BD51" s="22">
        <f>IFERROR(__xludf.DUMMYFUNCTION("""COMPUTED_VALUE"""),0.0)</f>
        <v>0</v>
      </c>
      <c r="BE51" s="22">
        <f>IFERROR(__xludf.DUMMYFUNCTION("""COMPUTED_VALUE"""),0.0)</f>
        <v>0</v>
      </c>
      <c r="BF51" s="22">
        <f>IFERROR(__xludf.DUMMYFUNCTION("""COMPUTED_VALUE"""),0.0)</f>
        <v>0</v>
      </c>
    </row>
    <row r="52">
      <c r="A52" s="27" t="str">
        <f>IFERROR(__xludf.DUMMYFUNCTION("""COMPUTED_VALUE"""),"")</f>
        <v/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2">
        <f>IFERROR(__xludf.DUMMYFUNCTION("""COMPUTED_VALUE"""),0.0)</f>
        <v>0</v>
      </c>
      <c r="BD52" s="22">
        <f>IFERROR(__xludf.DUMMYFUNCTION("""COMPUTED_VALUE"""),0.0)</f>
        <v>0</v>
      </c>
      <c r="BE52" s="22">
        <f>IFERROR(__xludf.DUMMYFUNCTION("""COMPUTED_VALUE"""),0.0)</f>
        <v>0</v>
      </c>
      <c r="BF52" s="22">
        <f>IFERROR(__xludf.DUMMYFUNCTION("""COMPUTED_VALUE"""),0.0)</f>
        <v>0</v>
      </c>
    </row>
    <row r="53">
      <c r="A53" s="27" t="str">
        <f>IFERROR(__xludf.DUMMYFUNCTION("""COMPUTED_VALUE"""),"")</f>
        <v/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2">
        <f>IFERROR(__xludf.DUMMYFUNCTION("""COMPUTED_VALUE"""),0.0)</f>
        <v>0</v>
      </c>
      <c r="BD53" s="22">
        <f>IFERROR(__xludf.DUMMYFUNCTION("""COMPUTED_VALUE"""),0.0)</f>
        <v>0</v>
      </c>
      <c r="BE53" s="22">
        <f>IFERROR(__xludf.DUMMYFUNCTION("""COMPUTED_VALUE"""),0.0)</f>
        <v>0</v>
      </c>
      <c r="BF53" s="22">
        <f>IFERROR(__xludf.DUMMYFUNCTION("""COMPUTED_VALUE"""),0.0)</f>
        <v>0</v>
      </c>
    </row>
    <row r="54">
      <c r="A54" s="27" t="str">
        <f>IFERROR(__xludf.DUMMYFUNCTION("""COMPUTED_VALUE"""),"")</f>
        <v/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2">
        <f>IFERROR(__xludf.DUMMYFUNCTION("""COMPUTED_VALUE"""),0.0)</f>
        <v>0</v>
      </c>
      <c r="BD54" s="22">
        <f>IFERROR(__xludf.DUMMYFUNCTION("""COMPUTED_VALUE"""),0.0)</f>
        <v>0</v>
      </c>
      <c r="BE54" s="22">
        <f>IFERROR(__xludf.DUMMYFUNCTION("""COMPUTED_VALUE"""),0.0)</f>
        <v>0</v>
      </c>
      <c r="BF54" s="22">
        <f>IFERROR(__xludf.DUMMYFUNCTION("""COMPUTED_VALUE"""),0.0)</f>
        <v>0</v>
      </c>
    </row>
    <row r="55">
      <c r="A55" s="27" t="str">
        <f>IFERROR(__xludf.DUMMYFUNCTION("""COMPUTED_VALUE"""),"")</f>
        <v/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2">
        <f>IFERROR(__xludf.DUMMYFUNCTION("""COMPUTED_VALUE"""),0.0)</f>
        <v>0</v>
      </c>
      <c r="BD55" s="22">
        <f>IFERROR(__xludf.DUMMYFUNCTION("""COMPUTED_VALUE"""),0.0)</f>
        <v>0</v>
      </c>
      <c r="BE55" s="22">
        <f>IFERROR(__xludf.DUMMYFUNCTION("""COMPUTED_VALUE"""),0.0)</f>
        <v>0</v>
      </c>
      <c r="BF55" s="22">
        <f>IFERROR(__xludf.DUMMYFUNCTION("""COMPUTED_VALUE"""),0.0)</f>
        <v>0</v>
      </c>
    </row>
    <row r="56">
      <c r="A56" s="27" t="str">
        <f>IFERROR(__xludf.DUMMYFUNCTION("""COMPUTED_VALUE"""),"")</f>
        <v/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2">
        <f>IFERROR(__xludf.DUMMYFUNCTION("""COMPUTED_VALUE"""),0.0)</f>
        <v>0</v>
      </c>
      <c r="BD56" s="22">
        <f>IFERROR(__xludf.DUMMYFUNCTION("""COMPUTED_VALUE"""),0.0)</f>
        <v>0</v>
      </c>
      <c r="BE56" s="22">
        <f>IFERROR(__xludf.DUMMYFUNCTION("""COMPUTED_VALUE"""),0.0)</f>
        <v>0</v>
      </c>
      <c r="BF56" s="22">
        <f>IFERROR(__xludf.DUMMYFUNCTION("""COMPUTED_VALUE"""),0.0)</f>
        <v>0</v>
      </c>
    </row>
    <row r="57">
      <c r="A57" s="27" t="str">
        <f>IFERROR(__xludf.DUMMYFUNCTION("""COMPUTED_VALUE"""),"")</f>
        <v/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2">
        <f>IFERROR(__xludf.DUMMYFUNCTION("""COMPUTED_VALUE"""),0.0)</f>
        <v>0</v>
      </c>
      <c r="BD57" s="22">
        <f>IFERROR(__xludf.DUMMYFUNCTION("""COMPUTED_VALUE"""),0.0)</f>
        <v>0</v>
      </c>
      <c r="BE57" s="22">
        <f>IFERROR(__xludf.DUMMYFUNCTION("""COMPUTED_VALUE"""),0.0)</f>
        <v>0</v>
      </c>
      <c r="BF57" s="22">
        <f>IFERROR(__xludf.DUMMYFUNCTION("""COMPUTED_VALUE"""),0.0)</f>
        <v>0</v>
      </c>
    </row>
    <row r="58">
      <c r="A58" s="27" t="str">
        <f>IFERROR(__xludf.DUMMYFUNCTION("""COMPUTED_VALUE"""),"")</f>
        <v/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2">
        <f>IFERROR(__xludf.DUMMYFUNCTION("""COMPUTED_VALUE"""),0.0)</f>
        <v>0</v>
      </c>
      <c r="BD58" s="22">
        <f>IFERROR(__xludf.DUMMYFUNCTION("""COMPUTED_VALUE"""),0.0)</f>
        <v>0</v>
      </c>
      <c r="BE58" s="22">
        <f>IFERROR(__xludf.DUMMYFUNCTION("""COMPUTED_VALUE"""),0.0)</f>
        <v>0</v>
      </c>
      <c r="BF58" s="22">
        <f>IFERROR(__xludf.DUMMYFUNCTION("""COMPUTED_VALUE"""),0.0)</f>
        <v>0</v>
      </c>
    </row>
    <row r="59">
      <c r="A59" s="27" t="str">
        <f>IFERROR(__xludf.DUMMYFUNCTION("""COMPUTED_VALUE"""),"")</f>
        <v/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2">
        <f>IFERROR(__xludf.DUMMYFUNCTION("""COMPUTED_VALUE"""),0.0)</f>
        <v>0</v>
      </c>
      <c r="BD59" s="22">
        <f>IFERROR(__xludf.DUMMYFUNCTION("""COMPUTED_VALUE"""),0.0)</f>
        <v>0</v>
      </c>
      <c r="BE59" s="22">
        <f>IFERROR(__xludf.DUMMYFUNCTION("""COMPUTED_VALUE"""),0.0)</f>
        <v>0</v>
      </c>
      <c r="BF59" s="22">
        <f>IFERROR(__xludf.DUMMYFUNCTION("""COMPUTED_VALUE"""),0.0)</f>
        <v>0</v>
      </c>
    </row>
    <row r="60">
      <c r="A60" s="27" t="str">
        <f>IFERROR(__xludf.DUMMYFUNCTION("""COMPUTED_VALUE"""),"")</f>
        <v/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2">
        <f>IFERROR(__xludf.DUMMYFUNCTION("""COMPUTED_VALUE"""),0.0)</f>
        <v>0</v>
      </c>
      <c r="BD60" s="22">
        <f>IFERROR(__xludf.DUMMYFUNCTION("""COMPUTED_VALUE"""),0.0)</f>
        <v>0</v>
      </c>
      <c r="BE60" s="22">
        <f>IFERROR(__xludf.DUMMYFUNCTION("""COMPUTED_VALUE"""),0.0)</f>
        <v>0</v>
      </c>
      <c r="BF60" s="22">
        <f>IFERROR(__xludf.DUMMYFUNCTION("""COMPUTED_VALUE"""),0.0)</f>
        <v>0</v>
      </c>
    </row>
    <row r="61">
      <c r="A61" s="27" t="str">
        <f>IFERROR(__xludf.DUMMYFUNCTION("""COMPUTED_VALUE"""),"")</f>
        <v/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2">
        <f>IFERROR(__xludf.DUMMYFUNCTION("""COMPUTED_VALUE"""),0.0)</f>
        <v>0</v>
      </c>
      <c r="BD61" s="22">
        <f>IFERROR(__xludf.DUMMYFUNCTION("""COMPUTED_VALUE"""),0.0)</f>
        <v>0</v>
      </c>
      <c r="BE61" s="22">
        <f>IFERROR(__xludf.DUMMYFUNCTION("""COMPUTED_VALUE"""),0.0)</f>
        <v>0</v>
      </c>
      <c r="BF61" s="22">
        <f>IFERROR(__xludf.DUMMYFUNCTION("""COMPUTED_VALUE"""),0.0)</f>
        <v>0</v>
      </c>
    </row>
    <row r="62">
      <c r="A62" s="27" t="str">
        <f>IFERROR(__xludf.DUMMYFUNCTION("""COMPUTED_VALUE"""),"")</f>
        <v/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2">
        <f>IFERROR(__xludf.DUMMYFUNCTION("""COMPUTED_VALUE"""),0.0)</f>
        <v>0</v>
      </c>
      <c r="BD62" s="22">
        <f>IFERROR(__xludf.DUMMYFUNCTION("""COMPUTED_VALUE"""),0.0)</f>
        <v>0</v>
      </c>
      <c r="BE62" s="22">
        <f>IFERROR(__xludf.DUMMYFUNCTION("""COMPUTED_VALUE"""),0.0)</f>
        <v>0</v>
      </c>
      <c r="BF62" s="22">
        <f>IFERROR(__xludf.DUMMYFUNCTION("""COMPUTED_VALUE"""),0.0)</f>
        <v>0</v>
      </c>
    </row>
    <row r="63">
      <c r="A63" s="27" t="str">
        <f>IFERROR(__xludf.DUMMYFUNCTION("""COMPUTED_VALUE"""),"")</f>
        <v/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2">
        <f>IFERROR(__xludf.DUMMYFUNCTION("""COMPUTED_VALUE"""),0.0)</f>
        <v>0</v>
      </c>
      <c r="BD63" s="22">
        <f>IFERROR(__xludf.DUMMYFUNCTION("""COMPUTED_VALUE"""),0.0)</f>
        <v>0</v>
      </c>
      <c r="BE63" s="22">
        <f>IFERROR(__xludf.DUMMYFUNCTION("""COMPUTED_VALUE"""),0.0)</f>
        <v>0</v>
      </c>
      <c r="BF63" s="22">
        <f>IFERROR(__xludf.DUMMYFUNCTION("""COMPUTED_VALUE"""),0.0)</f>
        <v>0</v>
      </c>
    </row>
    <row r="64">
      <c r="A64" s="27" t="str">
        <f>IFERROR(__xludf.DUMMYFUNCTION("""COMPUTED_VALUE"""),"")</f>
        <v/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2">
        <f>IFERROR(__xludf.DUMMYFUNCTION("""COMPUTED_VALUE"""),0.0)</f>
        <v>0</v>
      </c>
      <c r="BD64" s="22">
        <f>IFERROR(__xludf.DUMMYFUNCTION("""COMPUTED_VALUE"""),0.0)</f>
        <v>0</v>
      </c>
      <c r="BE64" s="22">
        <f>IFERROR(__xludf.DUMMYFUNCTION("""COMPUTED_VALUE"""),0.0)</f>
        <v>0</v>
      </c>
      <c r="BF64" s="22">
        <f>IFERROR(__xludf.DUMMYFUNCTION("""COMPUTED_VALUE"""),0.0)</f>
        <v>0</v>
      </c>
    </row>
    <row r="65">
      <c r="A65" s="27" t="str">
        <f>IFERROR(__xludf.DUMMYFUNCTION("""COMPUTED_VALUE"""),"")</f>
        <v/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2">
        <f>IFERROR(__xludf.DUMMYFUNCTION("""COMPUTED_VALUE"""),0.0)</f>
        <v>0</v>
      </c>
      <c r="BD65" s="22">
        <f>IFERROR(__xludf.DUMMYFUNCTION("""COMPUTED_VALUE"""),0.0)</f>
        <v>0</v>
      </c>
      <c r="BE65" s="22">
        <f>IFERROR(__xludf.DUMMYFUNCTION("""COMPUTED_VALUE"""),0.0)</f>
        <v>0</v>
      </c>
      <c r="BF65" s="22">
        <f>IFERROR(__xludf.DUMMYFUNCTION("""COMPUTED_VALUE"""),0.0)</f>
        <v>0</v>
      </c>
    </row>
    <row r="66">
      <c r="A66" s="27" t="str">
        <f>IFERROR(__xludf.DUMMYFUNCTION("""COMPUTED_VALUE"""),"")</f>
        <v/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2">
        <f>IFERROR(__xludf.DUMMYFUNCTION("""COMPUTED_VALUE"""),0.0)</f>
        <v>0</v>
      </c>
      <c r="BD66" s="22">
        <f>IFERROR(__xludf.DUMMYFUNCTION("""COMPUTED_VALUE"""),0.0)</f>
        <v>0</v>
      </c>
      <c r="BE66" s="22">
        <f>IFERROR(__xludf.DUMMYFUNCTION("""COMPUTED_VALUE"""),0.0)</f>
        <v>0</v>
      </c>
      <c r="BF66" s="22">
        <f>IFERROR(__xludf.DUMMYFUNCTION("""COMPUTED_VALUE"""),0.0)</f>
        <v>0</v>
      </c>
    </row>
    <row r="67">
      <c r="A67" s="27" t="str">
        <f>IFERROR(__xludf.DUMMYFUNCTION("""COMPUTED_VALUE"""),"")</f>
        <v/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2">
        <f>IFERROR(__xludf.DUMMYFUNCTION("""COMPUTED_VALUE"""),0.0)</f>
        <v>0</v>
      </c>
      <c r="BD67" s="22">
        <f>IFERROR(__xludf.DUMMYFUNCTION("""COMPUTED_VALUE"""),0.0)</f>
        <v>0</v>
      </c>
      <c r="BE67" s="22">
        <f>IFERROR(__xludf.DUMMYFUNCTION("""COMPUTED_VALUE"""),0.0)</f>
        <v>0</v>
      </c>
      <c r="BF67" s="22">
        <f>IFERROR(__xludf.DUMMYFUNCTION("""COMPUTED_VALUE"""),0.0)</f>
        <v>0</v>
      </c>
    </row>
    <row r="68">
      <c r="A68" s="27" t="str">
        <f>IFERROR(__xludf.DUMMYFUNCTION("""COMPUTED_VALUE"""),"")</f>
        <v/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2">
        <f>IFERROR(__xludf.DUMMYFUNCTION("""COMPUTED_VALUE"""),0.0)</f>
        <v>0</v>
      </c>
      <c r="BD68" s="22">
        <f>IFERROR(__xludf.DUMMYFUNCTION("""COMPUTED_VALUE"""),0.0)</f>
        <v>0</v>
      </c>
      <c r="BE68" s="22">
        <f>IFERROR(__xludf.DUMMYFUNCTION("""COMPUTED_VALUE"""),0.0)</f>
        <v>0</v>
      </c>
      <c r="BF68" s="22">
        <f>IFERROR(__xludf.DUMMYFUNCTION("""COMPUTED_VALUE"""),0.0)</f>
        <v>0</v>
      </c>
    </row>
    <row r="69">
      <c r="A69" s="27" t="str">
        <f>IFERROR(__xludf.DUMMYFUNCTION("""COMPUTED_VALUE"""),"")</f>
        <v/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2">
        <f>IFERROR(__xludf.DUMMYFUNCTION("""COMPUTED_VALUE"""),0.0)</f>
        <v>0</v>
      </c>
      <c r="BD69" s="22">
        <f>IFERROR(__xludf.DUMMYFUNCTION("""COMPUTED_VALUE"""),0.0)</f>
        <v>0</v>
      </c>
      <c r="BE69" s="22">
        <f>IFERROR(__xludf.DUMMYFUNCTION("""COMPUTED_VALUE"""),0.0)</f>
        <v>0</v>
      </c>
      <c r="BF69" s="22">
        <f>IFERROR(__xludf.DUMMYFUNCTION("""COMPUTED_VALUE"""),0.0)</f>
        <v>0</v>
      </c>
    </row>
    <row r="70">
      <c r="A70" s="27" t="str">
        <f>IFERROR(__xludf.DUMMYFUNCTION("""COMPUTED_VALUE"""),"")</f>
        <v/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2">
        <f>IFERROR(__xludf.DUMMYFUNCTION("""COMPUTED_VALUE"""),0.0)</f>
        <v>0</v>
      </c>
      <c r="BD70" s="22">
        <f>IFERROR(__xludf.DUMMYFUNCTION("""COMPUTED_VALUE"""),0.0)</f>
        <v>0</v>
      </c>
      <c r="BE70" s="22">
        <f>IFERROR(__xludf.DUMMYFUNCTION("""COMPUTED_VALUE"""),0.0)</f>
        <v>0</v>
      </c>
      <c r="BF70" s="22">
        <f>IFERROR(__xludf.DUMMYFUNCTION("""COMPUTED_VALUE"""),0.0)</f>
        <v>0</v>
      </c>
    </row>
    <row r="71">
      <c r="A71" s="27" t="str">
        <f>IFERROR(__xludf.DUMMYFUNCTION("""COMPUTED_VALUE"""),"")</f>
        <v/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2">
        <f>IFERROR(__xludf.DUMMYFUNCTION("""COMPUTED_VALUE"""),0.0)</f>
        <v>0</v>
      </c>
      <c r="BD71" s="22">
        <f>IFERROR(__xludf.DUMMYFUNCTION("""COMPUTED_VALUE"""),0.0)</f>
        <v>0</v>
      </c>
      <c r="BE71" s="22">
        <f>IFERROR(__xludf.DUMMYFUNCTION("""COMPUTED_VALUE"""),0.0)</f>
        <v>0</v>
      </c>
      <c r="BF71" s="22">
        <f>IFERROR(__xludf.DUMMYFUNCTION("""COMPUTED_VALUE"""),0.0)</f>
        <v>0</v>
      </c>
    </row>
    <row r="72">
      <c r="A72" s="27" t="str">
        <f>IFERROR(__xludf.DUMMYFUNCTION("""COMPUTED_VALUE"""),"")</f>
        <v/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2">
        <f>IFERROR(__xludf.DUMMYFUNCTION("""COMPUTED_VALUE"""),0.0)</f>
        <v>0</v>
      </c>
      <c r="BD72" s="22">
        <f>IFERROR(__xludf.DUMMYFUNCTION("""COMPUTED_VALUE"""),0.0)</f>
        <v>0</v>
      </c>
      <c r="BE72" s="22">
        <f>IFERROR(__xludf.DUMMYFUNCTION("""COMPUTED_VALUE"""),0.0)</f>
        <v>0</v>
      </c>
      <c r="BF72" s="22">
        <f>IFERROR(__xludf.DUMMYFUNCTION("""COMPUTED_VALUE"""),0.0)</f>
        <v>0</v>
      </c>
    </row>
    <row r="73">
      <c r="A73" s="27" t="str">
        <f>IFERROR(__xludf.DUMMYFUNCTION("""COMPUTED_VALUE"""),"")</f>
        <v/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2">
        <f>IFERROR(__xludf.DUMMYFUNCTION("""COMPUTED_VALUE"""),0.0)</f>
        <v>0</v>
      </c>
      <c r="BD73" s="22">
        <f>IFERROR(__xludf.DUMMYFUNCTION("""COMPUTED_VALUE"""),0.0)</f>
        <v>0</v>
      </c>
      <c r="BE73" s="22">
        <f>IFERROR(__xludf.DUMMYFUNCTION("""COMPUTED_VALUE"""),0.0)</f>
        <v>0</v>
      </c>
      <c r="BF73" s="22">
        <f>IFERROR(__xludf.DUMMYFUNCTION("""COMPUTED_VALUE"""),0.0)</f>
        <v>0</v>
      </c>
    </row>
    <row r="74">
      <c r="A74" s="27" t="str">
        <f>IFERROR(__xludf.DUMMYFUNCTION("""COMPUTED_VALUE"""),"")</f>
        <v/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2">
        <f>IFERROR(__xludf.DUMMYFUNCTION("""COMPUTED_VALUE"""),0.0)</f>
        <v>0</v>
      </c>
      <c r="BD74" s="22">
        <f>IFERROR(__xludf.DUMMYFUNCTION("""COMPUTED_VALUE"""),0.0)</f>
        <v>0</v>
      </c>
      <c r="BE74" s="22">
        <f>IFERROR(__xludf.DUMMYFUNCTION("""COMPUTED_VALUE"""),0.0)</f>
        <v>0</v>
      </c>
      <c r="BF74" s="22">
        <f>IFERROR(__xludf.DUMMYFUNCTION("""COMPUTED_VALUE"""),0.0)</f>
        <v>0</v>
      </c>
    </row>
    <row r="75">
      <c r="A75" s="27" t="str">
        <f>IFERROR(__xludf.DUMMYFUNCTION("""COMPUTED_VALUE"""),"")</f>
        <v/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2">
        <f>IFERROR(__xludf.DUMMYFUNCTION("""COMPUTED_VALUE"""),0.0)</f>
        <v>0</v>
      </c>
      <c r="BD75" s="22">
        <f>IFERROR(__xludf.DUMMYFUNCTION("""COMPUTED_VALUE"""),0.0)</f>
        <v>0</v>
      </c>
      <c r="BE75" s="22">
        <f>IFERROR(__xludf.DUMMYFUNCTION("""COMPUTED_VALUE"""),0.0)</f>
        <v>0</v>
      </c>
      <c r="BF75" s="22">
        <f>IFERROR(__xludf.DUMMYFUNCTION("""COMPUTED_VALUE"""),0.0)</f>
        <v>0</v>
      </c>
    </row>
    <row r="76">
      <c r="A76" s="27" t="str">
        <f>IFERROR(__xludf.DUMMYFUNCTION("""COMPUTED_VALUE"""),"")</f>
        <v/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2">
        <f>IFERROR(__xludf.DUMMYFUNCTION("""COMPUTED_VALUE"""),0.0)</f>
        <v>0</v>
      </c>
      <c r="BD76" s="22">
        <f>IFERROR(__xludf.DUMMYFUNCTION("""COMPUTED_VALUE"""),0.0)</f>
        <v>0</v>
      </c>
      <c r="BE76" s="22">
        <f>IFERROR(__xludf.DUMMYFUNCTION("""COMPUTED_VALUE"""),0.0)</f>
        <v>0</v>
      </c>
      <c r="BF76" s="22">
        <f>IFERROR(__xludf.DUMMYFUNCTION("""COMPUTED_VALUE"""),0.0)</f>
        <v>0</v>
      </c>
    </row>
    <row r="77">
      <c r="A77" s="27" t="str">
        <f>IFERROR(__xludf.DUMMYFUNCTION("""COMPUTED_VALUE"""),"")</f>
        <v/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2">
        <f>IFERROR(__xludf.DUMMYFUNCTION("""COMPUTED_VALUE"""),0.0)</f>
        <v>0</v>
      </c>
      <c r="BD77" s="22">
        <f>IFERROR(__xludf.DUMMYFUNCTION("""COMPUTED_VALUE"""),0.0)</f>
        <v>0</v>
      </c>
      <c r="BE77" s="22">
        <f>IFERROR(__xludf.DUMMYFUNCTION("""COMPUTED_VALUE"""),0.0)</f>
        <v>0</v>
      </c>
      <c r="BF77" s="22">
        <f>IFERROR(__xludf.DUMMYFUNCTION("""COMPUTED_VALUE"""),0.0)</f>
        <v>0</v>
      </c>
    </row>
    <row r="78">
      <c r="A78" s="27" t="str">
        <f>IFERROR(__xludf.DUMMYFUNCTION("""COMPUTED_VALUE"""),"")</f>
        <v/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2">
        <f>IFERROR(__xludf.DUMMYFUNCTION("""COMPUTED_VALUE"""),0.0)</f>
        <v>0</v>
      </c>
      <c r="BD78" s="22">
        <f>IFERROR(__xludf.DUMMYFUNCTION("""COMPUTED_VALUE"""),0.0)</f>
        <v>0</v>
      </c>
      <c r="BE78" s="22">
        <f>IFERROR(__xludf.DUMMYFUNCTION("""COMPUTED_VALUE"""),0.0)</f>
        <v>0</v>
      </c>
      <c r="BF78" s="22">
        <f>IFERROR(__xludf.DUMMYFUNCTION("""COMPUTED_VALUE"""),0.0)</f>
        <v>0</v>
      </c>
    </row>
    <row r="79">
      <c r="A79" s="27" t="str">
        <f>IFERROR(__xludf.DUMMYFUNCTION("""COMPUTED_VALUE"""),"")</f>
        <v/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2">
        <f>IFERROR(__xludf.DUMMYFUNCTION("""COMPUTED_VALUE"""),0.0)</f>
        <v>0</v>
      </c>
      <c r="BD79" s="22">
        <f>IFERROR(__xludf.DUMMYFUNCTION("""COMPUTED_VALUE"""),0.0)</f>
        <v>0</v>
      </c>
      <c r="BE79" s="22">
        <f>IFERROR(__xludf.DUMMYFUNCTION("""COMPUTED_VALUE"""),0.0)</f>
        <v>0</v>
      </c>
      <c r="BF79" s="22">
        <f>IFERROR(__xludf.DUMMYFUNCTION("""COMPUTED_VALUE"""),0.0)</f>
        <v>0</v>
      </c>
    </row>
    <row r="80">
      <c r="A80" s="27" t="str">
        <f>IFERROR(__xludf.DUMMYFUNCTION("""COMPUTED_VALUE"""),"")</f>
        <v/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2">
        <f>IFERROR(__xludf.DUMMYFUNCTION("""COMPUTED_VALUE"""),0.0)</f>
        <v>0</v>
      </c>
      <c r="BD80" s="22">
        <f>IFERROR(__xludf.DUMMYFUNCTION("""COMPUTED_VALUE"""),0.0)</f>
        <v>0</v>
      </c>
      <c r="BE80" s="22">
        <f>IFERROR(__xludf.DUMMYFUNCTION("""COMPUTED_VALUE"""),0.0)</f>
        <v>0</v>
      </c>
      <c r="BF80" s="22">
        <f>IFERROR(__xludf.DUMMYFUNCTION("""COMPUTED_VALUE"""),0.0)</f>
        <v>0</v>
      </c>
    </row>
    <row r="81">
      <c r="A81" s="27" t="str">
        <f>IFERROR(__xludf.DUMMYFUNCTION("""COMPUTED_VALUE"""),"")</f>
        <v/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2">
        <f>IFERROR(__xludf.DUMMYFUNCTION("""COMPUTED_VALUE"""),0.0)</f>
        <v>0</v>
      </c>
      <c r="BD81" s="22">
        <f>IFERROR(__xludf.DUMMYFUNCTION("""COMPUTED_VALUE"""),0.0)</f>
        <v>0</v>
      </c>
      <c r="BE81" s="22">
        <f>IFERROR(__xludf.DUMMYFUNCTION("""COMPUTED_VALUE"""),0.0)</f>
        <v>0</v>
      </c>
      <c r="BF81" s="22">
        <f>IFERROR(__xludf.DUMMYFUNCTION("""COMPUTED_VALUE"""),0.0)</f>
        <v>0</v>
      </c>
    </row>
    <row r="82">
      <c r="A82" s="27" t="str">
        <f>IFERROR(__xludf.DUMMYFUNCTION("""COMPUTED_VALUE"""),"")</f>
        <v/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2">
        <f>IFERROR(__xludf.DUMMYFUNCTION("""COMPUTED_VALUE"""),0.0)</f>
        <v>0</v>
      </c>
      <c r="BD82" s="22">
        <f>IFERROR(__xludf.DUMMYFUNCTION("""COMPUTED_VALUE"""),0.0)</f>
        <v>0</v>
      </c>
      <c r="BE82" s="22">
        <f>IFERROR(__xludf.DUMMYFUNCTION("""COMPUTED_VALUE"""),0.0)</f>
        <v>0</v>
      </c>
      <c r="BF82" s="22">
        <f>IFERROR(__xludf.DUMMYFUNCTION("""COMPUTED_VALUE"""),0.0)</f>
        <v>0</v>
      </c>
    </row>
    <row r="83">
      <c r="A83" s="27" t="str">
        <f>IFERROR(__xludf.DUMMYFUNCTION("""COMPUTED_VALUE"""),"")</f>
        <v/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2">
        <f>IFERROR(__xludf.DUMMYFUNCTION("""COMPUTED_VALUE"""),0.0)</f>
        <v>0</v>
      </c>
      <c r="BD83" s="22">
        <f>IFERROR(__xludf.DUMMYFUNCTION("""COMPUTED_VALUE"""),0.0)</f>
        <v>0</v>
      </c>
      <c r="BE83" s="22">
        <f>IFERROR(__xludf.DUMMYFUNCTION("""COMPUTED_VALUE"""),0.0)</f>
        <v>0</v>
      </c>
      <c r="BF83" s="22">
        <f>IFERROR(__xludf.DUMMYFUNCTION("""COMPUTED_VALUE"""),0.0)</f>
        <v>0</v>
      </c>
    </row>
    <row r="84">
      <c r="A84" s="27" t="str">
        <f>IFERROR(__xludf.DUMMYFUNCTION("""COMPUTED_VALUE"""),"")</f>
        <v/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2">
        <f>IFERROR(__xludf.DUMMYFUNCTION("""COMPUTED_VALUE"""),0.0)</f>
        <v>0</v>
      </c>
      <c r="BD84" s="22">
        <f>IFERROR(__xludf.DUMMYFUNCTION("""COMPUTED_VALUE"""),0.0)</f>
        <v>0</v>
      </c>
      <c r="BE84" s="22">
        <f>IFERROR(__xludf.DUMMYFUNCTION("""COMPUTED_VALUE"""),0.0)</f>
        <v>0</v>
      </c>
      <c r="BF84" s="22">
        <f>IFERROR(__xludf.DUMMYFUNCTION("""COMPUTED_VALUE"""),0.0)</f>
        <v>0</v>
      </c>
    </row>
    <row r="85">
      <c r="A85" s="27" t="str">
        <f>IFERROR(__xludf.DUMMYFUNCTION("""COMPUTED_VALUE"""),"")</f>
        <v/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2">
        <f>IFERROR(__xludf.DUMMYFUNCTION("""COMPUTED_VALUE"""),0.0)</f>
        <v>0</v>
      </c>
      <c r="BD85" s="22">
        <f>IFERROR(__xludf.DUMMYFUNCTION("""COMPUTED_VALUE"""),0.0)</f>
        <v>0</v>
      </c>
      <c r="BE85" s="22">
        <f>IFERROR(__xludf.DUMMYFUNCTION("""COMPUTED_VALUE"""),0.0)</f>
        <v>0</v>
      </c>
      <c r="BF85" s="22">
        <f>IFERROR(__xludf.DUMMYFUNCTION("""COMPUTED_VALUE"""),0.0)</f>
        <v>0</v>
      </c>
    </row>
    <row r="86">
      <c r="A86" s="27" t="str">
        <f>IFERROR(__xludf.DUMMYFUNCTION("""COMPUTED_VALUE"""),"")</f>
        <v/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2">
        <f>IFERROR(__xludf.DUMMYFUNCTION("""COMPUTED_VALUE"""),0.0)</f>
        <v>0</v>
      </c>
      <c r="BD86" s="22">
        <f>IFERROR(__xludf.DUMMYFUNCTION("""COMPUTED_VALUE"""),0.0)</f>
        <v>0</v>
      </c>
      <c r="BE86" s="22">
        <f>IFERROR(__xludf.DUMMYFUNCTION("""COMPUTED_VALUE"""),0.0)</f>
        <v>0</v>
      </c>
      <c r="BF86" s="22">
        <f>IFERROR(__xludf.DUMMYFUNCTION("""COMPUTED_VALUE"""),0.0)</f>
        <v>0</v>
      </c>
    </row>
    <row r="87">
      <c r="A87" s="27" t="str">
        <f>IFERROR(__xludf.DUMMYFUNCTION("""COMPUTED_VALUE"""),"")</f>
        <v/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2">
        <f>IFERROR(__xludf.DUMMYFUNCTION("""COMPUTED_VALUE"""),0.0)</f>
        <v>0</v>
      </c>
      <c r="BD87" s="22">
        <f>IFERROR(__xludf.DUMMYFUNCTION("""COMPUTED_VALUE"""),0.0)</f>
        <v>0</v>
      </c>
      <c r="BE87" s="22">
        <f>IFERROR(__xludf.DUMMYFUNCTION("""COMPUTED_VALUE"""),0.0)</f>
        <v>0</v>
      </c>
      <c r="BF87" s="22">
        <f>IFERROR(__xludf.DUMMYFUNCTION("""COMPUTED_VALUE"""),0.0)</f>
        <v>0</v>
      </c>
    </row>
    <row r="88">
      <c r="A88" s="27" t="str">
        <f>IFERROR(__xludf.DUMMYFUNCTION("""COMPUTED_VALUE"""),"")</f>
        <v/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2">
        <f>IFERROR(__xludf.DUMMYFUNCTION("""COMPUTED_VALUE"""),0.0)</f>
        <v>0</v>
      </c>
      <c r="BD88" s="22">
        <f>IFERROR(__xludf.DUMMYFUNCTION("""COMPUTED_VALUE"""),0.0)</f>
        <v>0</v>
      </c>
      <c r="BE88" s="22">
        <f>IFERROR(__xludf.DUMMYFUNCTION("""COMPUTED_VALUE"""),0.0)</f>
        <v>0</v>
      </c>
      <c r="BF88" s="22">
        <f>IFERROR(__xludf.DUMMYFUNCTION("""COMPUTED_VALUE"""),0.0)</f>
        <v>0</v>
      </c>
    </row>
    <row r="89">
      <c r="A89" s="27" t="str">
        <f>IFERROR(__xludf.DUMMYFUNCTION("""COMPUTED_VALUE"""),"")</f>
        <v/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2">
        <f>IFERROR(__xludf.DUMMYFUNCTION("""COMPUTED_VALUE"""),0.0)</f>
        <v>0</v>
      </c>
      <c r="BD89" s="22">
        <f>IFERROR(__xludf.DUMMYFUNCTION("""COMPUTED_VALUE"""),0.0)</f>
        <v>0</v>
      </c>
      <c r="BE89" s="22">
        <f>IFERROR(__xludf.DUMMYFUNCTION("""COMPUTED_VALUE"""),0.0)</f>
        <v>0</v>
      </c>
      <c r="BF89" s="22">
        <f>IFERROR(__xludf.DUMMYFUNCTION("""COMPUTED_VALUE"""),0.0)</f>
        <v>0</v>
      </c>
    </row>
    <row r="90">
      <c r="A90" s="27" t="str">
        <f>IFERROR(__xludf.DUMMYFUNCTION("""COMPUTED_VALUE"""),"")</f>
        <v/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2">
        <f>IFERROR(__xludf.DUMMYFUNCTION("""COMPUTED_VALUE"""),0.0)</f>
        <v>0</v>
      </c>
      <c r="BD90" s="22">
        <f>IFERROR(__xludf.DUMMYFUNCTION("""COMPUTED_VALUE"""),0.0)</f>
        <v>0</v>
      </c>
      <c r="BE90" s="22">
        <f>IFERROR(__xludf.DUMMYFUNCTION("""COMPUTED_VALUE"""),0.0)</f>
        <v>0</v>
      </c>
      <c r="BF90" s="22">
        <f>IFERROR(__xludf.DUMMYFUNCTION("""COMPUTED_VALUE"""),0.0)</f>
        <v>0</v>
      </c>
    </row>
    <row r="91">
      <c r="A91" s="27" t="str">
        <f>IFERROR(__xludf.DUMMYFUNCTION("""COMPUTED_VALUE"""),"")</f>
        <v/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2">
        <f>IFERROR(__xludf.DUMMYFUNCTION("""COMPUTED_VALUE"""),0.0)</f>
        <v>0</v>
      </c>
      <c r="BD91" s="22">
        <f>IFERROR(__xludf.DUMMYFUNCTION("""COMPUTED_VALUE"""),0.0)</f>
        <v>0</v>
      </c>
      <c r="BE91" s="22">
        <f>IFERROR(__xludf.DUMMYFUNCTION("""COMPUTED_VALUE"""),0.0)</f>
        <v>0</v>
      </c>
      <c r="BF91" s="22">
        <f>IFERROR(__xludf.DUMMYFUNCTION("""COMPUTED_VALUE"""),0.0)</f>
        <v>0</v>
      </c>
    </row>
    <row r="92">
      <c r="A92" s="27" t="str">
        <f>IFERROR(__xludf.DUMMYFUNCTION("""COMPUTED_VALUE"""),"")</f>
        <v/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2">
        <f>IFERROR(__xludf.DUMMYFUNCTION("""COMPUTED_VALUE"""),0.0)</f>
        <v>0</v>
      </c>
      <c r="BD92" s="22">
        <f>IFERROR(__xludf.DUMMYFUNCTION("""COMPUTED_VALUE"""),0.0)</f>
        <v>0</v>
      </c>
      <c r="BE92" s="22">
        <f>IFERROR(__xludf.DUMMYFUNCTION("""COMPUTED_VALUE"""),0.0)</f>
        <v>0</v>
      </c>
      <c r="BF92" s="22">
        <f>IFERROR(__xludf.DUMMYFUNCTION("""COMPUTED_VALUE"""),0.0)</f>
        <v>0</v>
      </c>
    </row>
    <row r="93">
      <c r="A93" s="27" t="str">
        <f>IFERROR(__xludf.DUMMYFUNCTION("""COMPUTED_VALUE"""),"")</f>
        <v/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2">
        <f>IFERROR(__xludf.DUMMYFUNCTION("""COMPUTED_VALUE"""),0.0)</f>
        <v>0</v>
      </c>
      <c r="BD93" s="22">
        <f>IFERROR(__xludf.DUMMYFUNCTION("""COMPUTED_VALUE"""),0.0)</f>
        <v>0</v>
      </c>
      <c r="BE93" s="22">
        <f>IFERROR(__xludf.DUMMYFUNCTION("""COMPUTED_VALUE"""),0.0)</f>
        <v>0</v>
      </c>
      <c r="BF93" s="22">
        <f>IFERROR(__xludf.DUMMYFUNCTION("""COMPUTED_VALUE"""),0.0)</f>
        <v>0</v>
      </c>
    </row>
    <row r="94">
      <c r="A94" s="27" t="str">
        <f>IFERROR(__xludf.DUMMYFUNCTION("""COMPUTED_VALUE"""),"")</f>
        <v/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2">
        <f>IFERROR(__xludf.DUMMYFUNCTION("""COMPUTED_VALUE"""),0.0)</f>
        <v>0</v>
      </c>
      <c r="BD94" s="22">
        <f>IFERROR(__xludf.DUMMYFUNCTION("""COMPUTED_VALUE"""),0.0)</f>
        <v>0</v>
      </c>
      <c r="BE94" s="22">
        <f>IFERROR(__xludf.DUMMYFUNCTION("""COMPUTED_VALUE"""),0.0)</f>
        <v>0</v>
      </c>
      <c r="BF94" s="22">
        <f>IFERROR(__xludf.DUMMYFUNCTION("""COMPUTED_VALUE"""),0.0)</f>
        <v>0</v>
      </c>
    </row>
    <row r="95">
      <c r="A95" s="27" t="str">
        <f>IFERROR(__xludf.DUMMYFUNCTION("""COMPUTED_VALUE"""),"")</f>
        <v/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2">
        <f>IFERROR(__xludf.DUMMYFUNCTION("""COMPUTED_VALUE"""),0.0)</f>
        <v>0</v>
      </c>
      <c r="BD95" s="22">
        <f>IFERROR(__xludf.DUMMYFUNCTION("""COMPUTED_VALUE"""),0.0)</f>
        <v>0</v>
      </c>
      <c r="BE95" s="22">
        <f>IFERROR(__xludf.DUMMYFUNCTION("""COMPUTED_VALUE"""),0.0)</f>
        <v>0</v>
      </c>
      <c r="BF95" s="22">
        <f>IFERROR(__xludf.DUMMYFUNCTION("""COMPUTED_VALUE"""),0.0)</f>
        <v>0</v>
      </c>
    </row>
    <row r="96">
      <c r="A96" s="27" t="str">
        <f>IFERROR(__xludf.DUMMYFUNCTION("""COMPUTED_VALUE"""),"")</f>
        <v/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2">
        <f>IFERROR(__xludf.DUMMYFUNCTION("""COMPUTED_VALUE"""),0.0)</f>
        <v>0</v>
      </c>
      <c r="BD96" s="22">
        <f>IFERROR(__xludf.DUMMYFUNCTION("""COMPUTED_VALUE"""),0.0)</f>
        <v>0</v>
      </c>
      <c r="BE96" s="22">
        <f>IFERROR(__xludf.DUMMYFUNCTION("""COMPUTED_VALUE"""),0.0)</f>
        <v>0</v>
      </c>
      <c r="BF96" s="22">
        <f>IFERROR(__xludf.DUMMYFUNCTION("""COMPUTED_VALUE"""),0.0)</f>
        <v>0</v>
      </c>
    </row>
    <row r="97">
      <c r="A97" s="27" t="str">
        <f>IFERROR(__xludf.DUMMYFUNCTION("""COMPUTED_VALUE"""),"")</f>
        <v/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2">
        <f>IFERROR(__xludf.DUMMYFUNCTION("""COMPUTED_VALUE"""),0.0)</f>
        <v>0</v>
      </c>
      <c r="BD97" s="22">
        <f>IFERROR(__xludf.DUMMYFUNCTION("""COMPUTED_VALUE"""),0.0)</f>
        <v>0</v>
      </c>
      <c r="BE97" s="22">
        <f>IFERROR(__xludf.DUMMYFUNCTION("""COMPUTED_VALUE"""),0.0)</f>
        <v>0</v>
      </c>
      <c r="BF97" s="22">
        <f>IFERROR(__xludf.DUMMYFUNCTION("""COMPUTED_VALUE"""),0.0)</f>
        <v>0</v>
      </c>
    </row>
    <row r="98">
      <c r="A98" s="27" t="str">
        <f>IFERROR(__xludf.DUMMYFUNCTION("""COMPUTED_VALUE"""),"")</f>
        <v/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2">
        <f>IFERROR(__xludf.DUMMYFUNCTION("""COMPUTED_VALUE"""),0.0)</f>
        <v>0</v>
      </c>
      <c r="BD98" s="22">
        <f>IFERROR(__xludf.DUMMYFUNCTION("""COMPUTED_VALUE"""),0.0)</f>
        <v>0</v>
      </c>
      <c r="BE98" s="22">
        <f>IFERROR(__xludf.DUMMYFUNCTION("""COMPUTED_VALUE"""),0.0)</f>
        <v>0</v>
      </c>
      <c r="BF98" s="22">
        <f>IFERROR(__xludf.DUMMYFUNCTION("""COMPUTED_VALUE"""),0.0)</f>
        <v>0</v>
      </c>
    </row>
    <row r="99">
      <c r="A99" s="27" t="str">
        <f>IFERROR(__xludf.DUMMYFUNCTION("""COMPUTED_VALUE"""),"")</f>
        <v/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2">
        <f>IFERROR(__xludf.DUMMYFUNCTION("""COMPUTED_VALUE"""),0.0)</f>
        <v>0</v>
      </c>
      <c r="BD99" s="22">
        <f>IFERROR(__xludf.DUMMYFUNCTION("""COMPUTED_VALUE"""),0.0)</f>
        <v>0</v>
      </c>
      <c r="BE99" s="22">
        <f>IFERROR(__xludf.DUMMYFUNCTION("""COMPUTED_VALUE"""),0.0)</f>
        <v>0</v>
      </c>
      <c r="BF99" s="22">
        <f>IFERROR(__xludf.DUMMYFUNCTION("""COMPUTED_VALUE"""),0.0)</f>
        <v>0</v>
      </c>
    </row>
    <row r="100">
      <c r="A100" s="27" t="str">
        <f>IFERROR(__xludf.DUMMYFUNCTION("""COMPUTED_VALUE"""),"")</f>
        <v/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2">
        <f>IFERROR(__xludf.DUMMYFUNCTION("""COMPUTED_VALUE"""),0.0)</f>
        <v>0</v>
      </c>
      <c r="BD100" s="22">
        <f>IFERROR(__xludf.DUMMYFUNCTION("""COMPUTED_VALUE"""),0.0)</f>
        <v>0</v>
      </c>
      <c r="BE100" s="22">
        <f>IFERROR(__xludf.DUMMYFUNCTION("""COMPUTED_VALUE"""),0.0)</f>
        <v>0</v>
      </c>
      <c r="BF100" s="22">
        <f>IFERROR(__xludf.DUMMYFUNCTION("""COMPUTED_VALUE"""),0.0)</f>
        <v>0</v>
      </c>
    </row>
    <row r="101">
      <c r="A101" s="27" t="str">
        <f>IFERROR(__xludf.DUMMYFUNCTION("""COMPUTED_VALUE"""),"")</f>
        <v/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2">
        <f>IFERROR(__xludf.DUMMYFUNCTION("""COMPUTED_VALUE"""),0.0)</f>
        <v>0</v>
      </c>
      <c r="BD101" s="22">
        <f>IFERROR(__xludf.DUMMYFUNCTION("""COMPUTED_VALUE"""),0.0)</f>
        <v>0</v>
      </c>
      <c r="BE101" s="22">
        <f>IFERROR(__xludf.DUMMYFUNCTION("""COMPUTED_VALUE"""),0.0)</f>
        <v>0</v>
      </c>
      <c r="BF101" s="22">
        <f>IFERROR(__xludf.DUMMYFUNCTION("""COMPUTED_VALUE"""),0.0)</f>
        <v>0</v>
      </c>
    </row>
    <row r="102">
      <c r="A102" s="27" t="str">
        <f>IFERROR(__xludf.DUMMYFUNCTION("""COMPUTED_VALUE"""),"")</f>
        <v/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2">
        <f>IFERROR(__xludf.DUMMYFUNCTION("""COMPUTED_VALUE"""),0.0)</f>
        <v>0</v>
      </c>
      <c r="BD102" s="22">
        <f>IFERROR(__xludf.DUMMYFUNCTION("""COMPUTED_VALUE"""),0.0)</f>
        <v>0</v>
      </c>
      <c r="BE102" s="22">
        <f>IFERROR(__xludf.DUMMYFUNCTION("""COMPUTED_VALUE"""),0.0)</f>
        <v>0</v>
      </c>
      <c r="BF102" s="22">
        <f>IFERROR(__xludf.DUMMYFUNCTION("""COMPUTED_VALUE"""),0.0)</f>
        <v>0</v>
      </c>
    </row>
    <row r="103">
      <c r="A103" s="27" t="str">
        <f>IFERROR(__xludf.DUMMYFUNCTION("""COMPUTED_VALUE"""),"")</f>
        <v/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2">
        <f>IFERROR(__xludf.DUMMYFUNCTION("""COMPUTED_VALUE"""),0.0)</f>
        <v>0</v>
      </c>
      <c r="BD103" s="22">
        <f>IFERROR(__xludf.DUMMYFUNCTION("""COMPUTED_VALUE"""),0.0)</f>
        <v>0</v>
      </c>
      <c r="BE103" s="22">
        <f>IFERROR(__xludf.DUMMYFUNCTION("""COMPUTED_VALUE"""),0.0)</f>
        <v>0</v>
      </c>
      <c r="BF103" s="22">
        <f>IFERROR(__xludf.DUMMYFUNCTION("""COMPUTED_VALUE"""),0.0)</f>
        <v>0</v>
      </c>
    </row>
    <row r="104">
      <c r="A104" s="27" t="str">
        <f>IFERROR(__xludf.DUMMYFUNCTION("""COMPUTED_VALUE"""),"")</f>
        <v/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2">
        <f>IFERROR(__xludf.DUMMYFUNCTION("""COMPUTED_VALUE"""),0.0)</f>
        <v>0</v>
      </c>
      <c r="BD104" s="22">
        <f>IFERROR(__xludf.DUMMYFUNCTION("""COMPUTED_VALUE"""),0.0)</f>
        <v>0</v>
      </c>
      <c r="BE104" s="22">
        <f>IFERROR(__xludf.DUMMYFUNCTION("""COMPUTED_VALUE"""),0.0)</f>
        <v>0</v>
      </c>
      <c r="BF104" s="22">
        <f>IFERROR(__xludf.DUMMYFUNCTION("""COMPUTED_VALUE"""),0.0)</f>
        <v>0</v>
      </c>
    </row>
    <row r="105">
      <c r="A105" s="27" t="str">
        <f>IFERROR(__xludf.DUMMYFUNCTION("""COMPUTED_VALUE"""),"")</f>
        <v/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2">
        <f>IFERROR(__xludf.DUMMYFUNCTION("""COMPUTED_VALUE"""),0.0)</f>
        <v>0</v>
      </c>
      <c r="BD105" s="22">
        <f>IFERROR(__xludf.DUMMYFUNCTION("""COMPUTED_VALUE"""),0.0)</f>
        <v>0</v>
      </c>
      <c r="BE105" s="22">
        <f>IFERROR(__xludf.DUMMYFUNCTION("""COMPUTED_VALUE"""),0.0)</f>
        <v>0</v>
      </c>
      <c r="BF105" s="22">
        <f>IFERROR(__xludf.DUMMYFUNCTION("""COMPUTED_VALUE"""),0.0)</f>
        <v>0</v>
      </c>
    </row>
    <row r="106">
      <c r="A106" s="27" t="str">
        <f>IFERROR(__xludf.DUMMYFUNCTION("""COMPUTED_VALUE"""),"")</f>
        <v/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2">
        <f>IFERROR(__xludf.DUMMYFUNCTION("""COMPUTED_VALUE"""),0.0)</f>
        <v>0</v>
      </c>
      <c r="BD106" s="22">
        <f>IFERROR(__xludf.DUMMYFUNCTION("""COMPUTED_VALUE"""),0.0)</f>
        <v>0</v>
      </c>
      <c r="BE106" s="22">
        <f>IFERROR(__xludf.DUMMYFUNCTION("""COMPUTED_VALUE"""),0.0)</f>
        <v>0</v>
      </c>
      <c r="BF106" s="22">
        <f>IFERROR(__xludf.DUMMYFUNCTION("""COMPUTED_VALUE"""),0.0)</f>
        <v>0</v>
      </c>
    </row>
    <row r="107">
      <c r="A107" s="27" t="str">
        <f>IFERROR(__xludf.DUMMYFUNCTION("""COMPUTED_VALUE"""),"")</f>
        <v/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2">
        <f>IFERROR(__xludf.DUMMYFUNCTION("""COMPUTED_VALUE"""),0.0)</f>
        <v>0</v>
      </c>
      <c r="BD107" s="22">
        <f>IFERROR(__xludf.DUMMYFUNCTION("""COMPUTED_VALUE"""),0.0)</f>
        <v>0</v>
      </c>
      <c r="BE107" s="22">
        <f>IFERROR(__xludf.DUMMYFUNCTION("""COMPUTED_VALUE"""),0.0)</f>
        <v>0</v>
      </c>
      <c r="BF107" s="22">
        <f>IFERROR(__xludf.DUMMYFUNCTION("""COMPUTED_VALUE"""),0.0)</f>
        <v>0</v>
      </c>
    </row>
    <row r="108">
      <c r="A108" s="27" t="str">
        <f>IFERROR(__xludf.DUMMYFUNCTION("""COMPUTED_VALUE"""),"")</f>
        <v/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2">
        <f>IFERROR(__xludf.DUMMYFUNCTION("""COMPUTED_VALUE"""),0.0)</f>
        <v>0</v>
      </c>
      <c r="BD108" s="22">
        <f>IFERROR(__xludf.DUMMYFUNCTION("""COMPUTED_VALUE"""),0.0)</f>
        <v>0</v>
      </c>
      <c r="BE108" s="22">
        <f>IFERROR(__xludf.DUMMYFUNCTION("""COMPUTED_VALUE"""),0.0)</f>
        <v>0</v>
      </c>
      <c r="BF108" s="22">
        <f>IFERROR(__xludf.DUMMYFUNCTION("""COMPUTED_VALUE"""),0.0)</f>
        <v>0</v>
      </c>
    </row>
    <row r="109">
      <c r="A109" s="27" t="str">
        <f>IFERROR(__xludf.DUMMYFUNCTION("""COMPUTED_VALUE"""),"")</f>
        <v/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2">
        <f>IFERROR(__xludf.DUMMYFUNCTION("""COMPUTED_VALUE"""),0.0)</f>
        <v>0</v>
      </c>
      <c r="BD109" s="22">
        <f>IFERROR(__xludf.DUMMYFUNCTION("""COMPUTED_VALUE"""),0.0)</f>
        <v>0</v>
      </c>
      <c r="BE109" s="22">
        <f>IFERROR(__xludf.DUMMYFUNCTION("""COMPUTED_VALUE"""),0.0)</f>
        <v>0</v>
      </c>
      <c r="BF109" s="22">
        <f>IFERROR(__xludf.DUMMYFUNCTION("""COMPUTED_VALUE"""),0.0)</f>
        <v>0</v>
      </c>
    </row>
    <row r="110">
      <c r="A110" s="27" t="str">
        <f>IFERROR(__xludf.DUMMYFUNCTION("""COMPUTED_VALUE"""),"")</f>
        <v/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2">
        <f>IFERROR(__xludf.DUMMYFUNCTION("""COMPUTED_VALUE"""),0.0)</f>
        <v>0</v>
      </c>
      <c r="BD110" s="22">
        <f>IFERROR(__xludf.DUMMYFUNCTION("""COMPUTED_VALUE"""),0.0)</f>
        <v>0</v>
      </c>
      <c r="BE110" s="22">
        <f>IFERROR(__xludf.DUMMYFUNCTION("""COMPUTED_VALUE"""),0.0)</f>
        <v>0</v>
      </c>
      <c r="BF110" s="22">
        <f>IFERROR(__xludf.DUMMYFUNCTION("""COMPUTED_VALUE"""),0.0)</f>
        <v>0</v>
      </c>
    </row>
    <row r="111">
      <c r="A111" s="27" t="str">
        <f>IFERROR(__xludf.DUMMYFUNCTION("""COMPUTED_VALUE"""),"")</f>
        <v/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2">
        <f>IFERROR(__xludf.DUMMYFUNCTION("""COMPUTED_VALUE"""),0.0)</f>
        <v>0</v>
      </c>
      <c r="BD111" s="22">
        <f>IFERROR(__xludf.DUMMYFUNCTION("""COMPUTED_VALUE"""),0.0)</f>
        <v>0</v>
      </c>
      <c r="BE111" s="22">
        <f>IFERROR(__xludf.DUMMYFUNCTION("""COMPUTED_VALUE"""),0.0)</f>
        <v>0</v>
      </c>
      <c r="BF111" s="22">
        <f>IFERROR(__xludf.DUMMYFUNCTION("""COMPUTED_VALUE"""),0.0)</f>
        <v>0</v>
      </c>
    </row>
    <row r="112">
      <c r="A112" s="27" t="str">
        <f>IFERROR(__xludf.DUMMYFUNCTION("""COMPUTED_VALUE"""),"")</f>
        <v/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2">
        <f>IFERROR(__xludf.DUMMYFUNCTION("""COMPUTED_VALUE"""),0.0)</f>
        <v>0</v>
      </c>
      <c r="BD112" s="22">
        <f>IFERROR(__xludf.DUMMYFUNCTION("""COMPUTED_VALUE"""),0.0)</f>
        <v>0</v>
      </c>
      <c r="BE112" s="22">
        <f>IFERROR(__xludf.DUMMYFUNCTION("""COMPUTED_VALUE"""),0.0)</f>
        <v>0</v>
      </c>
      <c r="BF112" s="22">
        <f>IFERROR(__xludf.DUMMYFUNCTION("""COMPUTED_VALUE"""),0.0)</f>
        <v>0</v>
      </c>
    </row>
    <row r="113">
      <c r="A113" s="27" t="str">
        <f>IFERROR(__xludf.DUMMYFUNCTION("""COMPUTED_VALUE"""),"")</f>
        <v/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2">
        <f>IFERROR(__xludf.DUMMYFUNCTION("""COMPUTED_VALUE"""),0.0)</f>
        <v>0</v>
      </c>
      <c r="BD113" s="22">
        <f>IFERROR(__xludf.DUMMYFUNCTION("""COMPUTED_VALUE"""),0.0)</f>
        <v>0</v>
      </c>
      <c r="BE113" s="22">
        <f>IFERROR(__xludf.DUMMYFUNCTION("""COMPUTED_VALUE"""),0.0)</f>
        <v>0</v>
      </c>
      <c r="BF113" s="22">
        <f>IFERROR(__xludf.DUMMYFUNCTION("""COMPUTED_VALUE"""),0.0)</f>
        <v>0</v>
      </c>
    </row>
    <row r="114">
      <c r="A114" s="27" t="str">
        <f>IFERROR(__xludf.DUMMYFUNCTION("""COMPUTED_VALUE"""),"")</f>
        <v/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2">
        <f>IFERROR(__xludf.DUMMYFUNCTION("""COMPUTED_VALUE"""),0.0)</f>
        <v>0</v>
      </c>
      <c r="BD114" s="22">
        <f>IFERROR(__xludf.DUMMYFUNCTION("""COMPUTED_VALUE"""),0.0)</f>
        <v>0</v>
      </c>
      <c r="BE114" s="22">
        <f>IFERROR(__xludf.DUMMYFUNCTION("""COMPUTED_VALUE"""),0.0)</f>
        <v>0</v>
      </c>
      <c r="BF114" s="22">
        <f>IFERROR(__xludf.DUMMYFUNCTION("""COMPUTED_VALUE"""),0.0)</f>
        <v>0</v>
      </c>
    </row>
    <row r="115">
      <c r="A115" s="27" t="str">
        <f>IFERROR(__xludf.DUMMYFUNCTION("""COMPUTED_VALUE"""),"")</f>
        <v/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2">
        <f>IFERROR(__xludf.DUMMYFUNCTION("""COMPUTED_VALUE"""),0.0)</f>
        <v>0</v>
      </c>
      <c r="BD115" s="22">
        <f>IFERROR(__xludf.DUMMYFUNCTION("""COMPUTED_VALUE"""),0.0)</f>
        <v>0</v>
      </c>
      <c r="BE115" s="22">
        <f>IFERROR(__xludf.DUMMYFUNCTION("""COMPUTED_VALUE"""),0.0)</f>
        <v>0</v>
      </c>
      <c r="BF115" s="22">
        <f>IFERROR(__xludf.DUMMYFUNCTION("""COMPUTED_VALUE"""),0.0)</f>
        <v>0</v>
      </c>
    </row>
    <row r="116">
      <c r="A116" s="27" t="str">
        <f>IFERROR(__xludf.DUMMYFUNCTION("""COMPUTED_VALUE"""),"")</f>
        <v/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2">
        <f>IFERROR(__xludf.DUMMYFUNCTION("""COMPUTED_VALUE"""),0.0)</f>
        <v>0</v>
      </c>
      <c r="BD116" s="22">
        <f>IFERROR(__xludf.DUMMYFUNCTION("""COMPUTED_VALUE"""),0.0)</f>
        <v>0</v>
      </c>
      <c r="BE116" s="22">
        <f>IFERROR(__xludf.DUMMYFUNCTION("""COMPUTED_VALUE"""),0.0)</f>
        <v>0</v>
      </c>
      <c r="BF116" s="22">
        <f>IFERROR(__xludf.DUMMYFUNCTION("""COMPUTED_VALUE"""),0.0)</f>
        <v>0</v>
      </c>
    </row>
    <row r="117">
      <c r="A117" s="27" t="str">
        <f>IFERROR(__xludf.DUMMYFUNCTION("""COMPUTED_VALUE"""),"")</f>
        <v/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2">
        <f>IFERROR(__xludf.DUMMYFUNCTION("""COMPUTED_VALUE"""),0.0)</f>
        <v>0</v>
      </c>
      <c r="BD117" s="22">
        <f>IFERROR(__xludf.DUMMYFUNCTION("""COMPUTED_VALUE"""),0.0)</f>
        <v>0</v>
      </c>
      <c r="BE117" s="22">
        <f>IFERROR(__xludf.DUMMYFUNCTION("""COMPUTED_VALUE"""),0.0)</f>
        <v>0</v>
      </c>
      <c r="BF117" s="22">
        <f>IFERROR(__xludf.DUMMYFUNCTION("""COMPUTED_VALUE"""),0.0)</f>
        <v>0</v>
      </c>
    </row>
    <row r="118">
      <c r="A118" s="27" t="str">
        <f>IFERROR(__xludf.DUMMYFUNCTION("""COMPUTED_VALUE"""),"")</f>
        <v/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2">
        <f>IFERROR(__xludf.DUMMYFUNCTION("""COMPUTED_VALUE"""),0.0)</f>
        <v>0</v>
      </c>
      <c r="BD118" s="22">
        <f>IFERROR(__xludf.DUMMYFUNCTION("""COMPUTED_VALUE"""),0.0)</f>
        <v>0</v>
      </c>
      <c r="BE118" s="22">
        <f>IFERROR(__xludf.DUMMYFUNCTION("""COMPUTED_VALUE"""),0.0)</f>
        <v>0</v>
      </c>
      <c r="BF118" s="22">
        <f>IFERROR(__xludf.DUMMYFUNCTION("""COMPUTED_VALUE"""),0.0)</f>
        <v>0</v>
      </c>
    </row>
    <row r="119">
      <c r="A119" s="27" t="str">
        <f>IFERROR(__xludf.DUMMYFUNCTION("""COMPUTED_VALUE"""),"")</f>
        <v/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2">
        <f>IFERROR(__xludf.DUMMYFUNCTION("""COMPUTED_VALUE"""),0.0)</f>
        <v>0</v>
      </c>
      <c r="BD119" s="22">
        <f>IFERROR(__xludf.DUMMYFUNCTION("""COMPUTED_VALUE"""),0.0)</f>
        <v>0</v>
      </c>
      <c r="BE119" s="22">
        <f>IFERROR(__xludf.DUMMYFUNCTION("""COMPUTED_VALUE"""),0.0)</f>
        <v>0</v>
      </c>
      <c r="BF119" s="22">
        <f>IFERROR(__xludf.DUMMYFUNCTION("""COMPUTED_VALUE"""),0.0)</f>
        <v>0</v>
      </c>
    </row>
    <row r="120">
      <c r="A120" s="27" t="str">
        <f>IFERROR(__xludf.DUMMYFUNCTION("""COMPUTED_VALUE"""),"")</f>
        <v/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2">
        <f>IFERROR(__xludf.DUMMYFUNCTION("""COMPUTED_VALUE"""),0.0)</f>
        <v>0</v>
      </c>
      <c r="BD120" s="22">
        <f>IFERROR(__xludf.DUMMYFUNCTION("""COMPUTED_VALUE"""),0.0)</f>
        <v>0</v>
      </c>
      <c r="BE120" s="22">
        <f>IFERROR(__xludf.DUMMYFUNCTION("""COMPUTED_VALUE"""),0.0)</f>
        <v>0</v>
      </c>
      <c r="BF120" s="22">
        <f>IFERROR(__xludf.DUMMYFUNCTION("""COMPUTED_VALUE"""),0.0)</f>
        <v>0</v>
      </c>
    </row>
    <row r="121">
      <c r="A121" s="27" t="str">
        <f>IFERROR(__xludf.DUMMYFUNCTION("""COMPUTED_VALUE"""),"")</f>
        <v/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2">
        <f>IFERROR(__xludf.DUMMYFUNCTION("""COMPUTED_VALUE"""),0.0)</f>
        <v>0</v>
      </c>
      <c r="BD121" s="22">
        <f>IFERROR(__xludf.DUMMYFUNCTION("""COMPUTED_VALUE"""),0.0)</f>
        <v>0</v>
      </c>
      <c r="BE121" s="22">
        <f>IFERROR(__xludf.DUMMYFUNCTION("""COMPUTED_VALUE"""),0.0)</f>
        <v>0</v>
      </c>
      <c r="BF121" s="22">
        <f>IFERROR(__xludf.DUMMYFUNCTION("""COMPUTED_VALUE"""),0.0)</f>
        <v>0</v>
      </c>
    </row>
    <row r="122">
      <c r="A122" s="27" t="str">
        <f>IFERROR(__xludf.DUMMYFUNCTION("""COMPUTED_VALUE"""),"")</f>
        <v/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2">
        <f>IFERROR(__xludf.DUMMYFUNCTION("""COMPUTED_VALUE"""),0.0)</f>
        <v>0</v>
      </c>
      <c r="BD122" s="22">
        <f>IFERROR(__xludf.DUMMYFUNCTION("""COMPUTED_VALUE"""),0.0)</f>
        <v>0</v>
      </c>
      <c r="BE122" s="22">
        <f>IFERROR(__xludf.DUMMYFUNCTION("""COMPUTED_VALUE"""),0.0)</f>
        <v>0</v>
      </c>
      <c r="BF122" s="22">
        <f>IFERROR(__xludf.DUMMYFUNCTION("""COMPUTED_VALUE"""),0.0)</f>
        <v>0</v>
      </c>
    </row>
    <row r="123">
      <c r="A123" s="27" t="str">
        <f>IFERROR(__xludf.DUMMYFUNCTION("""COMPUTED_VALUE"""),"")</f>
        <v/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2">
        <f>IFERROR(__xludf.DUMMYFUNCTION("""COMPUTED_VALUE"""),0.0)</f>
        <v>0</v>
      </c>
      <c r="BD123" s="22">
        <f>IFERROR(__xludf.DUMMYFUNCTION("""COMPUTED_VALUE"""),0.0)</f>
        <v>0</v>
      </c>
      <c r="BE123" s="22">
        <f>IFERROR(__xludf.DUMMYFUNCTION("""COMPUTED_VALUE"""),0.0)</f>
        <v>0</v>
      </c>
      <c r="BF123" s="22">
        <f>IFERROR(__xludf.DUMMYFUNCTION("""COMPUTED_VALUE"""),0.0)</f>
        <v>0</v>
      </c>
    </row>
    <row r="124">
      <c r="A124" s="27" t="str">
        <f>IFERROR(__xludf.DUMMYFUNCTION("""COMPUTED_VALUE"""),"")</f>
        <v/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2">
        <f>IFERROR(__xludf.DUMMYFUNCTION("""COMPUTED_VALUE"""),0.0)</f>
        <v>0</v>
      </c>
      <c r="BD124" s="22">
        <f>IFERROR(__xludf.DUMMYFUNCTION("""COMPUTED_VALUE"""),0.0)</f>
        <v>0</v>
      </c>
      <c r="BE124" s="22">
        <f>IFERROR(__xludf.DUMMYFUNCTION("""COMPUTED_VALUE"""),0.0)</f>
        <v>0</v>
      </c>
      <c r="BF124" s="22">
        <f>IFERROR(__xludf.DUMMYFUNCTION("""COMPUTED_VALUE"""),0.0)</f>
        <v>0</v>
      </c>
    </row>
    <row r="125">
      <c r="A125" s="27" t="str">
        <f>IFERROR(__xludf.DUMMYFUNCTION("""COMPUTED_VALUE"""),"")</f>
        <v/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2">
        <f>IFERROR(__xludf.DUMMYFUNCTION("""COMPUTED_VALUE"""),0.0)</f>
        <v>0</v>
      </c>
      <c r="BD125" s="22">
        <f>IFERROR(__xludf.DUMMYFUNCTION("""COMPUTED_VALUE"""),0.0)</f>
        <v>0</v>
      </c>
      <c r="BE125" s="22">
        <f>IFERROR(__xludf.DUMMYFUNCTION("""COMPUTED_VALUE"""),0.0)</f>
        <v>0</v>
      </c>
      <c r="BF125" s="22">
        <f>IFERROR(__xludf.DUMMYFUNCTION("""COMPUTED_VALUE"""),0.0)</f>
        <v>0</v>
      </c>
    </row>
    <row r="126">
      <c r="A126" s="27" t="str">
        <f>IFERROR(__xludf.DUMMYFUNCTION("""COMPUTED_VALUE"""),"")</f>
        <v/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2">
        <f>IFERROR(__xludf.DUMMYFUNCTION("""COMPUTED_VALUE"""),0.0)</f>
        <v>0</v>
      </c>
      <c r="BD126" s="22">
        <f>IFERROR(__xludf.DUMMYFUNCTION("""COMPUTED_VALUE"""),0.0)</f>
        <v>0</v>
      </c>
      <c r="BE126" s="22">
        <f>IFERROR(__xludf.DUMMYFUNCTION("""COMPUTED_VALUE"""),0.0)</f>
        <v>0</v>
      </c>
      <c r="BF126" s="22">
        <f>IFERROR(__xludf.DUMMYFUNCTION("""COMPUTED_VALUE"""),0.0)</f>
        <v>0</v>
      </c>
    </row>
    <row r="127">
      <c r="A127" s="27" t="str">
        <f>IFERROR(__xludf.DUMMYFUNCTION("""COMPUTED_VALUE"""),"")</f>
        <v/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2">
        <f>IFERROR(__xludf.DUMMYFUNCTION("""COMPUTED_VALUE"""),0.0)</f>
        <v>0</v>
      </c>
      <c r="BD127" s="22">
        <f>IFERROR(__xludf.DUMMYFUNCTION("""COMPUTED_VALUE"""),0.0)</f>
        <v>0</v>
      </c>
      <c r="BE127" s="22">
        <f>IFERROR(__xludf.DUMMYFUNCTION("""COMPUTED_VALUE"""),0.0)</f>
        <v>0</v>
      </c>
      <c r="BF127" s="22">
        <f>IFERROR(__xludf.DUMMYFUNCTION("""COMPUTED_VALUE"""),0.0)</f>
        <v>0</v>
      </c>
    </row>
    <row r="128">
      <c r="A128" s="27" t="str">
        <f>IFERROR(__xludf.DUMMYFUNCTION("""COMPUTED_VALUE"""),"")</f>
        <v/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2">
        <f>IFERROR(__xludf.DUMMYFUNCTION("""COMPUTED_VALUE"""),0.0)</f>
        <v>0</v>
      </c>
      <c r="BD128" s="22">
        <f>IFERROR(__xludf.DUMMYFUNCTION("""COMPUTED_VALUE"""),0.0)</f>
        <v>0</v>
      </c>
      <c r="BE128" s="22">
        <f>IFERROR(__xludf.DUMMYFUNCTION("""COMPUTED_VALUE"""),0.0)</f>
        <v>0</v>
      </c>
      <c r="BF128" s="22">
        <f>IFERROR(__xludf.DUMMYFUNCTION("""COMPUTED_VALUE"""),0.0)</f>
        <v>0</v>
      </c>
    </row>
    <row r="129">
      <c r="A129" s="27" t="str">
        <f>IFERROR(__xludf.DUMMYFUNCTION("""COMPUTED_VALUE"""),"")</f>
        <v/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2">
        <f>IFERROR(__xludf.DUMMYFUNCTION("""COMPUTED_VALUE"""),0.0)</f>
        <v>0</v>
      </c>
      <c r="BD129" s="22">
        <f>IFERROR(__xludf.DUMMYFUNCTION("""COMPUTED_VALUE"""),0.0)</f>
        <v>0</v>
      </c>
      <c r="BE129" s="22">
        <f>IFERROR(__xludf.DUMMYFUNCTION("""COMPUTED_VALUE"""),0.0)</f>
        <v>0</v>
      </c>
      <c r="BF129" s="22">
        <f>IFERROR(__xludf.DUMMYFUNCTION("""COMPUTED_VALUE"""),0.0)</f>
        <v>0</v>
      </c>
    </row>
    <row r="130">
      <c r="A130" s="27" t="str">
        <f>IFERROR(__xludf.DUMMYFUNCTION("""COMPUTED_VALUE"""),"")</f>
        <v/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2">
        <f>IFERROR(__xludf.DUMMYFUNCTION("""COMPUTED_VALUE"""),0.0)</f>
        <v>0</v>
      </c>
      <c r="BD130" s="22">
        <f>IFERROR(__xludf.DUMMYFUNCTION("""COMPUTED_VALUE"""),0.0)</f>
        <v>0</v>
      </c>
      <c r="BE130" s="22">
        <f>IFERROR(__xludf.DUMMYFUNCTION("""COMPUTED_VALUE"""),0.0)</f>
        <v>0</v>
      </c>
      <c r="BF130" s="22">
        <f>IFERROR(__xludf.DUMMYFUNCTION("""COMPUTED_VALUE"""),0.0)</f>
        <v>0</v>
      </c>
    </row>
    <row r="131">
      <c r="A131" s="27" t="str">
        <f>IFERROR(__xludf.DUMMYFUNCTION("""COMPUTED_VALUE"""),"")</f>
        <v/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2">
        <f>IFERROR(__xludf.DUMMYFUNCTION("""COMPUTED_VALUE"""),0.0)</f>
        <v>0</v>
      </c>
      <c r="BD131" s="22">
        <f>IFERROR(__xludf.DUMMYFUNCTION("""COMPUTED_VALUE"""),0.0)</f>
        <v>0</v>
      </c>
      <c r="BE131" s="22">
        <f>IFERROR(__xludf.DUMMYFUNCTION("""COMPUTED_VALUE"""),0.0)</f>
        <v>0</v>
      </c>
      <c r="BF131" s="22">
        <f>IFERROR(__xludf.DUMMYFUNCTION("""COMPUTED_VALUE"""),0.0)</f>
        <v>0</v>
      </c>
    </row>
    <row r="132">
      <c r="A132" s="27" t="str">
        <f>IFERROR(__xludf.DUMMYFUNCTION("""COMPUTED_VALUE"""),"")</f>
        <v/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2">
        <f>IFERROR(__xludf.DUMMYFUNCTION("""COMPUTED_VALUE"""),0.0)</f>
        <v>0</v>
      </c>
      <c r="BD132" s="22">
        <f>IFERROR(__xludf.DUMMYFUNCTION("""COMPUTED_VALUE"""),0.0)</f>
        <v>0</v>
      </c>
      <c r="BE132" s="22">
        <f>IFERROR(__xludf.DUMMYFUNCTION("""COMPUTED_VALUE"""),0.0)</f>
        <v>0</v>
      </c>
      <c r="BF132" s="22">
        <f>IFERROR(__xludf.DUMMYFUNCTION("""COMPUTED_VALUE"""),0.0)</f>
        <v>0</v>
      </c>
    </row>
    <row r="133">
      <c r="A133" s="27" t="str">
        <f>IFERROR(__xludf.DUMMYFUNCTION("""COMPUTED_VALUE"""),"")</f>
        <v/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2">
        <f>IFERROR(__xludf.DUMMYFUNCTION("""COMPUTED_VALUE"""),0.0)</f>
        <v>0</v>
      </c>
      <c r="BD133" s="22">
        <f>IFERROR(__xludf.DUMMYFUNCTION("""COMPUTED_VALUE"""),0.0)</f>
        <v>0</v>
      </c>
      <c r="BE133" s="22">
        <f>IFERROR(__xludf.DUMMYFUNCTION("""COMPUTED_VALUE"""),0.0)</f>
        <v>0</v>
      </c>
      <c r="BF133" s="22">
        <f>IFERROR(__xludf.DUMMYFUNCTION("""COMPUTED_VALUE"""),0.0)</f>
        <v>0</v>
      </c>
    </row>
    <row r="134">
      <c r="A134" s="27" t="str">
        <f>IFERROR(__xludf.DUMMYFUNCTION("""COMPUTED_VALUE"""),"")</f>
        <v/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2">
        <f>IFERROR(__xludf.DUMMYFUNCTION("""COMPUTED_VALUE"""),0.0)</f>
        <v>0</v>
      </c>
      <c r="BD134" s="22">
        <f>IFERROR(__xludf.DUMMYFUNCTION("""COMPUTED_VALUE"""),0.0)</f>
        <v>0</v>
      </c>
      <c r="BE134" s="22">
        <f>IFERROR(__xludf.DUMMYFUNCTION("""COMPUTED_VALUE"""),0.0)</f>
        <v>0</v>
      </c>
      <c r="BF134" s="22">
        <f>IFERROR(__xludf.DUMMYFUNCTION("""COMPUTED_VALUE"""),0.0)</f>
        <v>0</v>
      </c>
    </row>
    <row r="135">
      <c r="A135" s="27" t="str">
        <f>IFERROR(__xludf.DUMMYFUNCTION("""COMPUTED_VALUE"""),"")</f>
        <v/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2">
        <f>IFERROR(__xludf.DUMMYFUNCTION("""COMPUTED_VALUE"""),0.0)</f>
        <v>0</v>
      </c>
      <c r="BD135" s="22">
        <f>IFERROR(__xludf.DUMMYFUNCTION("""COMPUTED_VALUE"""),0.0)</f>
        <v>0</v>
      </c>
      <c r="BE135" s="22">
        <f>IFERROR(__xludf.DUMMYFUNCTION("""COMPUTED_VALUE"""),0.0)</f>
        <v>0</v>
      </c>
      <c r="BF135" s="22">
        <f>IFERROR(__xludf.DUMMYFUNCTION("""COMPUTED_VALUE"""),0.0)</f>
        <v>0</v>
      </c>
    </row>
    <row r="136">
      <c r="A136" s="27" t="str">
        <f>IFERROR(__xludf.DUMMYFUNCTION("""COMPUTED_VALUE"""),"")</f>
        <v/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2">
        <f>IFERROR(__xludf.DUMMYFUNCTION("""COMPUTED_VALUE"""),0.0)</f>
        <v>0</v>
      </c>
      <c r="BD136" s="22">
        <f>IFERROR(__xludf.DUMMYFUNCTION("""COMPUTED_VALUE"""),0.0)</f>
        <v>0</v>
      </c>
      <c r="BE136" s="22">
        <f>IFERROR(__xludf.DUMMYFUNCTION("""COMPUTED_VALUE"""),0.0)</f>
        <v>0</v>
      </c>
      <c r="BF136" s="22">
        <f>IFERROR(__xludf.DUMMYFUNCTION("""COMPUTED_VALUE"""),0.0)</f>
        <v>0</v>
      </c>
    </row>
    <row r="137">
      <c r="A137" s="27" t="str">
        <f>IFERROR(__xludf.DUMMYFUNCTION("""COMPUTED_VALUE"""),"")</f>
        <v/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2">
        <f>IFERROR(__xludf.DUMMYFUNCTION("""COMPUTED_VALUE"""),0.0)</f>
        <v>0</v>
      </c>
      <c r="BD137" s="22">
        <f>IFERROR(__xludf.DUMMYFUNCTION("""COMPUTED_VALUE"""),0.0)</f>
        <v>0</v>
      </c>
      <c r="BE137" s="22">
        <f>IFERROR(__xludf.DUMMYFUNCTION("""COMPUTED_VALUE"""),0.0)</f>
        <v>0</v>
      </c>
      <c r="BF137" s="22">
        <f>IFERROR(__xludf.DUMMYFUNCTION("""COMPUTED_VALUE"""),0.0)</f>
        <v>0</v>
      </c>
    </row>
    <row r="138">
      <c r="A138" s="27" t="str">
        <f>IFERROR(__xludf.DUMMYFUNCTION("""COMPUTED_VALUE"""),"")</f>
        <v/>
      </c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2">
        <f>IFERROR(__xludf.DUMMYFUNCTION("""COMPUTED_VALUE"""),0.0)</f>
        <v>0</v>
      </c>
      <c r="BD138" s="22">
        <f>IFERROR(__xludf.DUMMYFUNCTION("""COMPUTED_VALUE"""),0.0)</f>
        <v>0</v>
      </c>
      <c r="BE138" s="22">
        <f>IFERROR(__xludf.DUMMYFUNCTION("""COMPUTED_VALUE"""),0.0)</f>
        <v>0</v>
      </c>
      <c r="BF138" s="22">
        <f>IFERROR(__xludf.DUMMYFUNCTION("""COMPUTED_VALUE"""),0.0)</f>
        <v>0</v>
      </c>
    </row>
    <row r="139">
      <c r="A139" s="27" t="str">
        <f>IFERROR(__xludf.DUMMYFUNCTION("""COMPUTED_VALUE"""),"")</f>
        <v/>
      </c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2">
        <f>IFERROR(__xludf.DUMMYFUNCTION("""COMPUTED_VALUE"""),0.0)</f>
        <v>0</v>
      </c>
      <c r="BD139" s="22">
        <f>IFERROR(__xludf.DUMMYFUNCTION("""COMPUTED_VALUE"""),0.0)</f>
        <v>0</v>
      </c>
      <c r="BE139" s="22">
        <f>IFERROR(__xludf.DUMMYFUNCTION("""COMPUTED_VALUE"""),0.0)</f>
        <v>0</v>
      </c>
      <c r="BF139" s="22">
        <f>IFERROR(__xludf.DUMMYFUNCTION("""COMPUTED_VALUE"""),0.0)</f>
        <v>0</v>
      </c>
    </row>
    <row r="140">
      <c r="A140" s="27" t="str">
        <f>IFERROR(__xludf.DUMMYFUNCTION("""COMPUTED_VALUE"""),"")</f>
        <v/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2">
        <f>IFERROR(__xludf.DUMMYFUNCTION("""COMPUTED_VALUE"""),0.0)</f>
        <v>0</v>
      </c>
      <c r="BD140" s="22">
        <f>IFERROR(__xludf.DUMMYFUNCTION("""COMPUTED_VALUE"""),0.0)</f>
        <v>0</v>
      </c>
      <c r="BE140" s="22">
        <f>IFERROR(__xludf.DUMMYFUNCTION("""COMPUTED_VALUE"""),0.0)</f>
        <v>0</v>
      </c>
      <c r="BF140" s="22">
        <f>IFERROR(__xludf.DUMMYFUNCTION("""COMPUTED_VALUE"""),0.0)</f>
        <v>0</v>
      </c>
    </row>
    <row r="141">
      <c r="A141" s="27" t="str">
        <f>IFERROR(__xludf.DUMMYFUNCTION("""COMPUTED_VALUE"""),"")</f>
        <v/>
      </c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2">
        <f>IFERROR(__xludf.DUMMYFUNCTION("""COMPUTED_VALUE"""),0.0)</f>
        <v>0</v>
      </c>
      <c r="BD141" s="22">
        <f>IFERROR(__xludf.DUMMYFUNCTION("""COMPUTED_VALUE"""),0.0)</f>
        <v>0</v>
      </c>
      <c r="BE141" s="22">
        <f>IFERROR(__xludf.DUMMYFUNCTION("""COMPUTED_VALUE"""),0.0)</f>
        <v>0</v>
      </c>
      <c r="BF141" s="22">
        <f>IFERROR(__xludf.DUMMYFUNCTION("""COMPUTED_VALUE"""),0.0)</f>
        <v>0</v>
      </c>
    </row>
    <row r="142">
      <c r="A142" s="27" t="str">
        <f>IFERROR(__xludf.DUMMYFUNCTION("""COMPUTED_VALUE"""),"")</f>
        <v/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2">
        <f>IFERROR(__xludf.DUMMYFUNCTION("""COMPUTED_VALUE"""),0.0)</f>
        <v>0</v>
      </c>
      <c r="BD142" s="22">
        <f>IFERROR(__xludf.DUMMYFUNCTION("""COMPUTED_VALUE"""),0.0)</f>
        <v>0</v>
      </c>
      <c r="BE142" s="22">
        <f>IFERROR(__xludf.DUMMYFUNCTION("""COMPUTED_VALUE"""),0.0)</f>
        <v>0</v>
      </c>
      <c r="BF142" s="22">
        <f>IFERROR(__xludf.DUMMYFUNCTION("""COMPUTED_VALUE"""),0.0)</f>
        <v>0</v>
      </c>
    </row>
    <row r="143">
      <c r="A143" s="27" t="str">
        <f>IFERROR(__xludf.DUMMYFUNCTION("""COMPUTED_VALUE"""),"")</f>
        <v/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2">
        <f>IFERROR(__xludf.DUMMYFUNCTION("""COMPUTED_VALUE"""),0.0)</f>
        <v>0</v>
      </c>
      <c r="BD143" s="22">
        <f>IFERROR(__xludf.DUMMYFUNCTION("""COMPUTED_VALUE"""),0.0)</f>
        <v>0</v>
      </c>
      <c r="BE143" s="22">
        <f>IFERROR(__xludf.DUMMYFUNCTION("""COMPUTED_VALUE"""),0.0)</f>
        <v>0</v>
      </c>
      <c r="BF143" s="22">
        <f>IFERROR(__xludf.DUMMYFUNCTION("""COMPUTED_VALUE"""),0.0)</f>
        <v>0</v>
      </c>
    </row>
    <row r="144">
      <c r="A144" s="27" t="str">
        <f>IFERROR(__xludf.DUMMYFUNCTION("""COMPUTED_VALUE"""),"")</f>
        <v/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2">
        <f>IFERROR(__xludf.DUMMYFUNCTION("""COMPUTED_VALUE"""),0.0)</f>
        <v>0</v>
      </c>
      <c r="BD144" s="22">
        <f>IFERROR(__xludf.DUMMYFUNCTION("""COMPUTED_VALUE"""),0.0)</f>
        <v>0</v>
      </c>
      <c r="BE144" s="22">
        <f>IFERROR(__xludf.DUMMYFUNCTION("""COMPUTED_VALUE"""),0.0)</f>
        <v>0</v>
      </c>
      <c r="BF144" s="22">
        <f>IFERROR(__xludf.DUMMYFUNCTION("""COMPUTED_VALUE"""),0.0)</f>
        <v>0</v>
      </c>
    </row>
    <row r="145">
      <c r="A145" s="27" t="str">
        <f>IFERROR(__xludf.DUMMYFUNCTION("""COMPUTED_VALUE"""),"")</f>
        <v/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2">
        <f>IFERROR(__xludf.DUMMYFUNCTION("""COMPUTED_VALUE"""),0.0)</f>
        <v>0</v>
      </c>
      <c r="BD145" s="22">
        <f>IFERROR(__xludf.DUMMYFUNCTION("""COMPUTED_VALUE"""),0.0)</f>
        <v>0</v>
      </c>
      <c r="BE145" s="22">
        <f>IFERROR(__xludf.DUMMYFUNCTION("""COMPUTED_VALUE"""),0.0)</f>
        <v>0</v>
      </c>
      <c r="BF145" s="22">
        <f>IFERROR(__xludf.DUMMYFUNCTION("""COMPUTED_VALUE"""),0.0)</f>
        <v>0</v>
      </c>
    </row>
    <row r="146">
      <c r="A146" s="27" t="str">
        <f>IFERROR(__xludf.DUMMYFUNCTION("""COMPUTED_VALUE"""),"")</f>
        <v/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2">
        <f>IFERROR(__xludf.DUMMYFUNCTION("""COMPUTED_VALUE"""),0.0)</f>
        <v>0</v>
      </c>
      <c r="BD146" s="22">
        <f>IFERROR(__xludf.DUMMYFUNCTION("""COMPUTED_VALUE"""),0.0)</f>
        <v>0</v>
      </c>
      <c r="BE146" s="22">
        <f>IFERROR(__xludf.DUMMYFUNCTION("""COMPUTED_VALUE"""),0.0)</f>
        <v>0</v>
      </c>
      <c r="BF146" s="22">
        <f>IFERROR(__xludf.DUMMYFUNCTION("""COMPUTED_VALUE"""),0.0)</f>
        <v>0</v>
      </c>
    </row>
    <row r="147">
      <c r="A147" s="27" t="str">
        <f>IFERROR(__xludf.DUMMYFUNCTION("""COMPUTED_VALUE"""),"")</f>
        <v/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2">
        <f>IFERROR(__xludf.DUMMYFUNCTION("""COMPUTED_VALUE"""),0.0)</f>
        <v>0</v>
      </c>
      <c r="BD147" s="22">
        <f>IFERROR(__xludf.DUMMYFUNCTION("""COMPUTED_VALUE"""),0.0)</f>
        <v>0</v>
      </c>
      <c r="BE147" s="22">
        <f>IFERROR(__xludf.DUMMYFUNCTION("""COMPUTED_VALUE"""),0.0)</f>
        <v>0</v>
      </c>
      <c r="BF147" s="22">
        <f>IFERROR(__xludf.DUMMYFUNCTION("""COMPUTED_VALUE"""),0.0)</f>
        <v>0</v>
      </c>
    </row>
    <row r="148">
      <c r="A148" s="27" t="str">
        <f>IFERROR(__xludf.DUMMYFUNCTION("""COMPUTED_VALUE"""),"")</f>
        <v/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2">
        <f>IFERROR(__xludf.DUMMYFUNCTION("""COMPUTED_VALUE"""),0.0)</f>
        <v>0</v>
      </c>
      <c r="BD148" s="22">
        <f>IFERROR(__xludf.DUMMYFUNCTION("""COMPUTED_VALUE"""),0.0)</f>
        <v>0</v>
      </c>
      <c r="BE148" s="22">
        <f>IFERROR(__xludf.DUMMYFUNCTION("""COMPUTED_VALUE"""),0.0)</f>
        <v>0</v>
      </c>
      <c r="BF148" s="22">
        <f>IFERROR(__xludf.DUMMYFUNCTION("""COMPUTED_VALUE"""),0.0)</f>
        <v>0</v>
      </c>
    </row>
    <row r="149">
      <c r="A149" s="27" t="str">
        <f>IFERROR(__xludf.DUMMYFUNCTION("""COMPUTED_VALUE"""),"")</f>
        <v/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2">
        <f>IFERROR(__xludf.DUMMYFUNCTION("""COMPUTED_VALUE"""),0.0)</f>
        <v>0</v>
      </c>
      <c r="BD149" s="22">
        <f>IFERROR(__xludf.DUMMYFUNCTION("""COMPUTED_VALUE"""),0.0)</f>
        <v>0</v>
      </c>
      <c r="BE149" s="22">
        <f>IFERROR(__xludf.DUMMYFUNCTION("""COMPUTED_VALUE"""),0.0)</f>
        <v>0</v>
      </c>
      <c r="BF149" s="22">
        <f>IFERROR(__xludf.DUMMYFUNCTION("""COMPUTED_VALUE"""),0.0)</f>
        <v>0</v>
      </c>
    </row>
    <row r="150">
      <c r="A150" s="27" t="str">
        <f>IFERROR(__xludf.DUMMYFUNCTION("""COMPUTED_VALUE"""),"")</f>
        <v/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2">
        <f>IFERROR(__xludf.DUMMYFUNCTION("""COMPUTED_VALUE"""),0.0)</f>
        <v>0</v>
      </c>
      <c r="BD150" s="22">
        <f>IFERROR(__xludf.DUMMYFUNCTION("""COMPUTED_VALUE"""),0.0)</f>
        <v>0</v>
      </c>
      <c r="BE150" s="22">
        <f>IFERROR(__xludf.DUMMYFUNCTION("""COMPUTED_VALUE"""),0.0)</f>
        <v>0</v>
      </c>
      <c r="BF150" s="22">
        <f>IFERROR(__xludf.DUMMYFUNCTION("""COMPUTED_VALUE"""),0.0)</f>
        <v>0</v>
      </c>
    </row>
    <row r="151">
      <c r="A151" s="27" t="str">
        <f>IFERROR(__xludf.DUMMYFUNCTION("""COMPUTED_VALUE"""),"")</f>
        <v/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2">
        <f>IFERROR(__xludf.DUMMYFUNCTION("""COMPUTED_VALUE"""),0.0)</f>
        <v>0</v>
      </c>
      <c r="BD151" s="22">
        <f>IFERROR(__xludf.DUMMYFUNCTION("""COMPUTED_VALUE"""),0.0)</f>
        <v>0</v>
      </c>
      <c r="BE151" s="22">
        <f>IFERROR(__xludf.DUMMYFUNCTION("""COMPUTED_VALUE"""),0.0)</f>
        <v>0</v>
      </c>
      <c r="BF151" s="22">
        <f>IFERROR(__xludf.DUMMYFUNCTION("""COMPUTED_VALUE"""),0.0)</f>
        <v>0</v>
      </c>
    </row>
    <row r="152">
      <c r="A152" s="27" t="str">
        <f>IFERROR(__xludf.DUMMYFUNCTION("""COMPUTED_VALUE"""),"")</f>
        <v/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2">
        <f>IFERROR(__xludf.DUMMYFUNCTION("""COMPUTED_VALUE"""),0.0)</f>
        <v>0</v>
      </c>
      <c r="BD152" s="22">
        <f>IFERROR(__xludf.DUMMYFUNCTION("""COMPUTED_VALUE"""),0.0)</f>
        <v>0</v>
      </c>
      <c r="BE152" s="22">
        <f>IFERROR(__xludf.DUMMYFUNCTION("""COMPUTED_VALUE"""),0.0)</f>
        <v>0</v>
      </c>
      <c r="BF152" s="22">
        <f>IFERROR(__xludf.DUMMYFUNCTION("""COMPUTED_VALUE"""),0.0)</f>
        <v>0</v>
      </c>
    </row>
    <row r="153">
      <c r="A153" s="27" t="str">
        <f>IFERROR(__xludf.DUMMYFUNCTION("""COMPUTED_VALUE"""),"")</f>
        <v/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2">
        <f>IFERROR(__xludf.DUMMYFUNCTION("""COMPUTED_VALUE"""),0.0)</f>
        <v>0</v>
      </c>
      <c r="BD153" s="22">
        <f>IFERROR(__xludf.DUMMYFUNCTION("""COMPUTED_VALUE"""),0.0)</f>
        <v>0</v>
      </c>
      <c r="BE153" s="22">
        <f>IFERROR(__xludf.DUMMYFUNCTION("""COMPUTED_VALUE"""),0.0)</f>
        <v>0</v>
      </c>
      <c r="BF153" s="22">
        <f>IFERROR(__xludf.DUMMYFUNCTION("""COMPUTED_VALUE"""),0.0)</f>
        <v>0</v>
      </c>
    </row>
    <row r="154">
      <c r="A154" s="27" t="str">
        <f>IFERROR(__xludf.DUMMYFUNCTION("""COMPUTED_VALUE"""),"")</f>
        <v/>
      </c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2">
        <f>IFERROR(__xludf.DUMMYFUNCTION("""COMPUTED_VALUE"""),0.0)</f>
        <v>0</v>
      </c>
      <c r="BD154" s="22">
        <f>IFERROR(__xludf.DUMMYFUNCTION("""COMPUTED_VALUE"""),0.0)</f>
        <v>0</v>
      </c>
      <c r="BE154" s="22">
        <f>IFERROR(__xludf.DUMMYFUNCTION("""COMPUTED_VALUE"""),0.0)</f>
        <v>0</v>
      </c>
      <c r="BF154" s="22">
        <f>IFERROR(__xludf.DUMMYFUNCTION("""COMPUTED_VALUE"""),0.0)</f>
        <v>0</v>
      </c>
    </row>
    <row r="155">
      <c r="A155" s="27" t="str">
        <f>IFERROR(__xludf.DUMMYFUNCTION("""COMPUTED_VALUE"""),"")</f>
        <v/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2">
        <f>IFERROR(__xludf.DUMMYFUNCTION("""COMPUTED_VALUE"""),0.0)</f>
        <v>0</v>
      </c>
      <c r="BD155" s="22">
        <f>IFERROR(__xludf.DUMMYFUNCTION("""COMPUTED_VALUE"""),0.0)</f>
        <v>0</v>
      </c>
      <c r="BE155" s="22">
        <f>IFERROR(__xludf.DUMMYFUNCTION("""COMPUTED_VALUE"""),0.0)</f>
        <v>0</v>
      </c>
      <c r="BF155" s="22">
        <f>IFERROR(__xludf.DUMMYFUNCTION("""COMPUTED_VALUE"""),0.0)</f>
        <v>0</v>
      </c>
    </row>
    <row r="156">
      <c r="A156" s="27" t="str">
        <f>IFERROR(__xludf.DUMMYFUNCTION("""COMPUTED_VALUE"""),"")</f>
        <v/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2">
        <f>IFERROR(__xludf.DUMMYFUNCTION("""COMPUTED_VALUE"""),0.0)</f>
        <v>0</v>
      </c>
      <c r="BD156" s="22">
        <f>IFERROR(__xludf.DUMMYFUNCTION("""COMPUTED_VALUE"""),0.0)</f>
        <v>0</v>
      </c>
      <c r="BE156" s="22">
        <f>IFERROR(__xludf.DUMMYFUNCTION("""COMPUTED_VALUE"""),0.0)</f>
        <v>0</v>
      </c>
      <c r="BF156" s="22">
        <f>IFERROR(__xludf.DUMMYFUNCTION("""COMPUTED_VALUE"""),0.0)</f>
        <v>0</v>
      </c>
    </row>
    <row r="157">
      <c r="A157" s="27" t="str">
        <f>IFERROR(__xludf.DUMMYFUNCTION("""COMPUTED_VALUE"""),"")</f>
        <v/>
      </c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2">
        <f>IFERROR(__xludf.DUMMYFUNCTION("""COMPUTED_VALUE"""),0.0)</f>
        <v>0</v>
      </c>
      <c r="BD157" s="22">
        <f>IFERROR(__xludf.DUMMYFUNCTION("""COMPUTED_VALUE"""),0.0)</f>
        <v>0</v>
      </c>
      <c r="BE157" s="22">
        <f>IFERROR(__xludf.DUMMYFUNCTION("""COMPUTED_VALUE"""),0.0)</f>
        <v>0</v>
      </c>
      <c r="BF157" s="22">
        <f>IFERROR(__xludf.DUMMYFUNCTION("""COMPUTED_VALUE"""),0.0)</f>
        <v>0</v>
      </c>
    </row>
    <row r="158">
      <c r="A158" s="27" t="str">
        <f>IFERROR(__xludf.DUMMYFUNCTION("""COMPUTED_VALUE"""),"")</f>
        <v/>
      </c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2">
        <f>IFERROR(__xludf.DUMMYFUNCTION("""COMPUTED_VALUE"""),0.0)</f>
        <v>0</v>
      </c>
      <c r="BD158" s="22">
        <f>IFERROR(__xludf.DUMMYFUNCTION("""COMPUTED_VALUE"""),0.0)</f>
        <v>0</v>
      </c>
      <c r="BE158" s="22">
        <f>IFERROR(__xludf.DUMMYFUNCTION("""COMPUTED_VALUE"""),0.0)</f>
        <v>0</v>
      </c>
      <c r="BF158" s="22">
        <f>IFERROR(__xludf.DUMMYFUNCTION("""COMPUTED_VALUE"""),0.0)</f>
        <v>0</v>
      </c>
    </row>
    <row r="159">
      <c r="A159" s="27" t="str">
        <f>IFERROR(__xludf.DUMMYFUNCTION("""COMPUTED_VALUE"""),"")</f>
        <v/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2">
        <f>IFERROR(__xludf.DUMMYFUNCTION("""COMPUTED_VALUE"""),0.0)</f>
        <v>0</v>
      </c>
      <c r="BD159" s="22">
        <f>IFERROR(__xludf.DUMMYFUNCTION("""COMPUTED_VALUE"""),0.0)</f>
        <v>0</v>
      </c>
      <c r="BE159" s="22">
        <f>IFERROR(__xludf.DUMMYFUNCTION("""COMPUTED_VALUE"""),0.0)</f>
        <v>0</v>
      </c>
      <c r="BF159" s="22">
        <f>IFERROR(__xludf.DUMMYFUNCTION("""COMPUTED_VALUE"""),0.0)</f>
        <v>0</v>
      </c>
    </row>
    <row r="160">
      <c r="A160" s="27" t="str">
        <f>IFERROR(__xludf.DUMMYFUNCTION("""COMPUTED_VALUE"""),"")</f>
        <v/>
      </c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2">
        <f>IFERROR(__xludf.DUMMYFUNCTION("""COMPUTED_VALUE"""),0.0)</f>
        <v>0</v>
      </c>
      <c r="BD160" s="22">
        <f>IFERROR(__xludf.DUMMYFUNCTION("""COMPUTED_VALUE"""),0.0)</f>
        <v>0</v>
      </c>
      <c r="BE160" s="22">
        <f>IFERROR(__xludf.DUMMYFUNCTION("""COMPUTED_VALUE"""),0.0)</f>
        <v>0</v>
      </c>
      <c r="BF160" s="22">
        <f>IFERROR(__xludf.DUMMYFUNCTION("""COMPUTED_VALUE"""),0.0)</f>
        <v>0</v>
      </c>
    </row>
    <row r="161">
      <c r="A161" s="27" t="str">
        <f>IFERROR(__xludf.DUMMYFUNCTION("""COMPUTED_VALUE"""),"")</f>
        <v/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2">
        <f>IFERROR(__xludf.DUMMYFUNCTION("""COMPUTED_VALUE"""),0.0)</f>
        <v>0</v>
      </c>
      <c r="BD161" s="22">
        <f>IFERROR(__xludf.DUMMYFUNCTION("""COMPUTED_VALUE"""),0.0)</f>
        <v>0</v>
      </c>
      <c r="BE161" s="22">
        <f>IFERROR(__xludf.DUMMYFUNCTION("""COMPUTED_VALUE"""),0.0)</f>
        <v>0</v>
      </c>
      <c r="BF161" s="22">
        <f>IFERROR(__xludf.DUMMYFUNCTION("""COMPUTED_VALUE"""),0.0)</f>
        <v>0</v>
      </c>
    </row>
    <row r="162">
      <c r="A162" s="27" t="str">
        <f>IFERROR(__xludf.DUMMYFUNCTION("""COMPUTED_VALUE"""),"")</f>
        <v/>
      </c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2">
        <f>IFERROR(__xludf.DUMMYFUNCTION("""COMPUTED_VALUE"""),0.0)</f>
        <v>0</v>
      </c>
      <c r="BD162" s="22">
        <f>IFERROR(__xludf.DUMMYFUNCTION("""COMPUTED_VALUE"""),0.0)</f>
        <v>0</v>
      </c>
      <c r="BE162" s="22">
        <f>IFERROR(__xludf.DUMMYFUNCTION("""COMPUTED_VALUE"""),0.0)</f>
        <v>0</v>
      </c>
      <c r="BF162" s="22">
        <f>IFERROR(__xludf.DUMMYFUNCTION("""COMPUTED_VALUE"""),0.0)</f>
        <v>0</v>
      </c>
    </row>
    <row r="163">
      <c r="A163" s="27" t="str">
        <f>IFERROR(__xludf.DUMMYFUNCTION("""COMPUTED_VALUE"""),"")</f>
        <v/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2">
        <f>IFERROR(__xludf.DUMMYFUNCTION("""COMPUTED_VALUE"""),0.0)</f>
        <v>0</v>
      </c>
      <c r="BD163" s="22">
        <f>IFERROR(__xludf.DUMMYFUNCTION("""COMPUTED_VALUE"""),0.0)</f>
        <v>0</v>
      </c>
      <c r="BE163" s="22">
        <f>IFERROR(__xludf.DUMMYFUNCTION("""COMPUTED_VALUE"""),0.0)</f>
        <v>0</v>
      </c>
      <c r="BF163" s="22">
        <f>IFERROR(__xludf.DUMMYFUNCTION("""COMPUTED_VALUE"""),0.0)</f>
        <v>0</v>
      </c>
    </row>
    <row r="164">
      <c r="A164" s="27" t="str">
        <f>IFERROR(__xludf.DUMMYFUNCTION("""COMPUTED_VALUE"""),"")</f>
        <v/>
      </c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2">
        <f>IFERROR(__xludf.DUMMYFUNCTION("""COMPUTED_VALUE"""),0.0)</f>
        <v>0</v>
      </c>
      <c r="BD164" s="22">
        <f>IFERROR(__xludf.DUMMYFUNCTION("""COMPUTED_VALUE"""),0.0)</f>
        <v>0</v>
      </c>
      <c r="BE164" s="22">
        <f>IFERROR(__xludf.DUMMYFUNCTION("""COMPUTED_VALUE"""),0.0)</f>
        <v>0</v>
      </c>
      <c r="BF164" s="22">
        <f>IFERROR(__xludf.DUMMYFUNCTION("""COMPUTED_VALUE"""),0.0)</f>
        <v>0</v>
      </c>
    </row>
    <row r="165">
      <c r="A165" s="27" t="str">
        <f>IFERROR(__xludf.DUMMYFUNCTION("""COMPUTED_VALUE"""),"")</f>
        <v/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2">
        <f>IFERROR(__xludf.DUMMYFUNCTION("""COMPUTED_VALUE"""),0.0)</f>
        <v>0</v>
      </c>
      <c r="BD165" s="22">
        <f>IFERROR(__xludf.DUMMYFUNCTION("""COMPUTED_VALUE"""),0.0)</f>
        <v>0</v>
      </c>
      <c r="BE165" s="22">
        <f>IFERROR(__xludf.DUMMYFUNCTION("""COMPUTED_VALUE"""),0.0)</f>
        <v>0</v>
      </c>
      <c r="BF165" s="22">
        <f>IFERROR(__xludf.DUMMYFUNCTION("""COMPUTED_VALUE"""),0.0)</f>
        <v>0</v>
      </c>
    </row>
    <row r="166">
      <c r="A166" s="27" t="str">
        <f>IFERROR(__xludf.DUMMYFUNCTION("""COMPUTED_VALUE"""),"")</f>
        <v/>
      </c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2">
        <f>IFERROR(__xludf.DUMMYFUNCTION("""COMPUTED_VALUE"""),0.0)</f>
        <v>0</v>
      </c>
      <c r="BD166" s="22">
        <f>IFERROR(__xludf.DUMMYFUNCTION("""COMPUTED_VALUE"""),0.0)</f>
        <v>0</v>
      </c>
      <c r="BE166" s="22">
        <f>IFERROR(__xludf.DUMMYFUNCTION("""COMPUTED_VALUE"""),0.0)</f>
        <v>0</v>
      </c>
      <c r="BF166" s="22">
        <f>IFERROR(__xludf.DUMMYFUNCTION("""COMPUTED_VALUE"""),0.0)</f>
        <v>0</v>
      </c>
    </row>
    <row r="167">
      <c r="A167" s="27" t="str">
        <f>IFERROR(__xludf.DUMMYFUNCTION("""COMPUTED_VALUE"""),"")</f>
        <v/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2">
        <f>IFERROR(__xludf.DUMMYFUNCTION("""COMPUTED_VALUE"""),0.0)</f>
        <v>0</v>
      </c>
      <c r="BD167" s="22">
        <f>IFERROR(__xludf.DUMMYFUNCTION("""COMPUTED_VALUE"""),0.0)</f>
        <v>0</v>
      </c>
      <c r="BE167" s="22">
        <f>IFERROR(__xludf.DUMMYFUNCTION("""COMPUTED_VALUE"""),0.0)</f>
        <v>0</v>
      </c>
      <c r="BF167" s="22">
        <f>IFERROR(__xludf.DUMMYFUNCTION("""COMPUTED_VALUE"""),0.0)</f>
        <v>0</v>
      </c>
    </row>
    <row r="168">
      <c r="A168" s="27" t="str">
        <f>IFERROR(__xludf.DUMMYFUNCTION("""COMPUTED_VALUE"""),"")</f>
        <v/>
      </c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2">
        <f>IFERROR(__xludf.DUMMYFUNCTION("""COMPUTED_VALUE"""),0.0)</f>
        <v>0</v>
      </c>
      <c r="BD168" s="22">
        <f>IFERROR(__xludf.DUMMYFUNCTION("""COMPUTED_VALUE"""),0.0)</f>
        <v>0</v>
      </c>
      <c r="BE168" s="22">
        <f>IFERROR(__xludf.DUMMYFUNCTION("""COMPUTED_VALUE"""),0.0)</f>
        <v>0</v>
      </c>
      <c r="BF168" s="22">
        <f>IFERROR(__xludf.DUMMYFUNCTION("""COMPUTED_VALUE"""),0.0)</f>
        <v>0</v>
      </c>
    </row>
    <row r="169">
      <c r="A169" s="27" t="str">
        <f>IFERROR(__xludf.DUMMYFUNCTION("""COMPUTED_VALUE"""),"")</f>
        <v/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2">
        <f>IFERROR(__xludf.DUMMYFUNCTION("""COMPUTED_VALUE"""),0.0)</f>
        <v>0</v>
      </c>
      <c r="BD169" s="22">
        <f>IFERROR(__xludf.DUMMYFUNCTION("""COMPUTED_VALUE"""),0.0)</f>
        <v>0</v>
      </c>
      <c r="BE169" s="22">
        <f>IFERROR(__xludf.DUMMYFUNCTION("""COMPUTED_VALUE"""),0.0)</f>
        <v>0</v>
      </c>
      <c r="BF169" s="22">
        <f>IFERROR(__xludf.DUMMYFUNCTION("""COMPUTED_VALUE"""),0.0)</f>
        <v>0</v>
      </c>
    </row>
    <row r="170">
      <c r="A170" s="27" t="str">
        <f>IFERROR(__xludf.DUMMYFUNCTION("""COMPUTED_VALUE"""),"")</f>
        <v/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2">
        <f>IFERROR(__xludf.DUMMYFUNCTION("""COMPUTED_VALUE"""),0.0)</f>
        <v>0</v>
      </c>
      <c r="BD170" s="22">
        <f>IFERROR(__xludf.DUMMYFUNCTION("""COMPUTED_VALUE"""),0.0)</f>
        <v>0</v>
      </c>
      <c r="BE170" s="22">
        <f>IFERROR(__xludf.DUMMYFUNCTION("""COMPUTED_VALUE"""),0.0)</f>
        <v>0</v>
      </c>
      <c r="BF170" s="22">
        <f>IFERROR(__xludf.DUMMYFUNCTION("""COMPUTED_VALUE"""),0.0)</f>
        <v>0</v>
      </c>
    </row>
    <row r="171">
      <c r="A171" s="27" t="str">
        <f>IFERROR(__xludf.DUMMYFUNCTION("""COMPUTED_VALUE"""),"")</f>
        <v/>
      </c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2">
        <f>IFERROR(__xludf.DUMMYFUNCTION("""COMPUTED_VALUE"""),0.0)</f>
        <v>0</v>
      </c>
      <c r="BD171" s="22">
        <f>IFERROR(__xludf.DUMMYFUNCTION("""COMPUTED_VALUE"""),0.0)</f>
        <v>0</v>
      </c>
      <c r="BE171" s="22">
        <f>IFERROR(__xludf.DUMMYFUNCTION("""COMPUTED_VALUE"""),0.0)</f>
        <v>0</v>
      </c>
      <c r="BF171" s="22">
        <f>IFERROR(__xludf.DUMMYFUNCTION("""COMPUTED_VALUE"""),0.0)</f>
        <v>0</v>
      </c>
    </row>
    <row r="172">
      <c r="A172" s="27" t="str">
        <f>IFERROR(__xludf.DUMMYFUNCTION("""COMPUTED_VALUE"""),"")</f>
        <v/>
      </c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2">
        <f>IFERROR(__xludf.DUMMYFUNCTION("""COMPUTED_VALUE"""),0.0)</f>
        <v>0</v>
      </c>
      <c r="BD172" s="22">
        <f>IFERROR(__xludf.DUMMYFUNCTION("""COMPUTED_VALUE"""),0.0)</f>
        <v>0</v>
      </c>
      <c r="BE172" s="22">
        <f>IFERROR(__xludf.DUMMYFUNCTION("""COMPUTED_VALUE"""),0.0)</f>
        <v>0</v>
      </c>
      <c r="BF172" s="22">
        <f>IFERROR(__xludf.DUMMYFUNCTION("""COMPUTED_VALUE"""),0.0)</f>
        <v>0</v>
      </c>
    </row>
    <row r="173">
      <c r="A173" s="27" t="str">
        <f>IFERROR(__xludf.DUMMYFUNCTION("""COMPUTED_VALUE"""),"")</f>
        <v/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2">
        <f>IFERROR(__xludf.DUMMYFUNCTION("""COMPUTED_VALUE"""),0.0)</f>
        <v>0</v>
      </c>
      <c r="BD173" s="22">
        <f>IFERROR(__xludf.DUMMYFUNCTION("""COMPUTED_VALUE"""),0.0)</f>
        <v>0</v>
      </c>
      <c r="BE173" s="22">
        <f>IFERROR(__xludf.DUMMYFUNCTION("""COMPUTED_VALUE"""),0.0)</f>
        <v>0</v>
      </c>
      <c r="BF173" s="22">
        <f>IFERROR(__xludf.DUMMYFUNCTION("""COMPUTED_VALUE"""),0.0)</f>
        <v>0</v>
      </c>
    </row>
    <row r="174">
      <c r="A174" s="27" t="str">
        <f>IFERROR(__xludf.DUMMYFUNCTION("""COMPUTED_VALUE"""),"")</f>
        <v/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2">
        <f>IFERROR(__xludf.DUMMYFUNCTION("""COMPUTED_VALUE"""),0.0)</f>
        <v>0</v>
      </c>
      <c r="BD174" s="22">
        <f>IFERROR(__xludf.DUMMYFUNCTION("""COMPUTED_VALUE"""),0.0)</f>
        <v>0</v>
      </c>
      <c r="BE174" s="22">
        <f>IFERROR(__xludf.DUMMYFUNCTION("""COMPUTED_VALUE"""),0.0)</f>
        <v>0</v>
      </c>
      <c r="BF174" s="22">
        <f>IFERROR(__xludf.DUMMYFUNCTION("""COMPUTED_VALUE"""),0.0)</f>
        <v>0</v>
      </c>
    </row>
    <row r="175">
      <c r="A175" s="27" t="str">
        <f>IFERROR(__xludf.DUMMYFUNCTION("""COMPUTED_VALUE"""),"")</f>
        <v/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2">
        <f>IFERROR(__xludf.DUMMYFUNCTION("""COMPUTED_VALUE"""),0.0)</f>
        <v>0</v>
      </c>
      <c r="BD175" s="22">
        <f>IFERROR(__xludf.DUMMYFUNCTION("""COMPUTED_VALUE"""),0.0)</f>
        <v>0</v>
      </c>
      <c r="BE175" s="22">
        <f>IFERROR(__xludf.DUMMYFUNCTION("""COMPUTED_VALUE"""),0.0)</f>
        <v>0</v>
      </c>
      <c r="BF175" s="22">
        <f>IFERROR(__xludf.DUMMYFUNCTION("""COMPUTED_VALUE"""),0.0)</f>
        <v>0</v>
      </c>
    </row>
    <row r="176">
      <c r="A176" s="27" t="str">
        <f>IFERROR(__xludf.DUMMYFUNCTION("""COMPUTED_VALUE"""),"")</f>
        <v/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2">
        <f>IFERROR(__xludf.DUMMYFUNCTION("""COMPUTED_VALUE"""),0.0)</f>
        <v>0</v>
      </c>
      <c r="BD176" s="22">
        <f>IFERROR(__xludf.DUMMYFUNCTION("""COMPUTED_VALUE"""),0.0)</f>
        <v>0</v>
      </c>
      <c r="BE176" s="22">
        <f>IFERROR(__xludf.DUMMYFUNCTION("""COMPUTED_VALUE"""),0.0)</f>
        <v>0</v>
      </c>
      <c r="BF176" s="22">
        <f>IFERROR(__xludf.DUMMYFUNCTION("""COMPUTED_VALUE"""),0.0)</f>
        <v>0</v>
      </c>
    </row>
    <row r="177">
      <c r="A177" s="27" t="str">
        <f>IFERROR(__xludf.DUMMYFUNCTION("""COMPUTED_VALUE"""),"")</f>
        <v/>
      </c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2">
        <f>IFERROR(__xludf.DUMMYFUNCTION("""COMPUTED_VALUE"""),0.0)</f>
        <v>0</v>
      </c>
      <c r="BD177" s="22">
        <f>IFERROR(__xludf.DUMMYFUNCTION("""COMPUTED_VALUE"""),0.0)</f>
        <v>0</v>
      </c>
      <c r="BE177" s="22">
        <f>IFERROR(__xludf.DUMMYFUNCTION("""COMPUTED_VALUE"""),0.0)</f>
        <v>0</v>
      </c>
      <c r="BF177" s="22">
        <f>IFERROR(__xludf.DUMMYFUNCTION("""COMPUTED_VALUE"""),0.0)</f>
        <v>0</v>
      </c>
    </row>
    <row r="178">
      <c r="A178" s="27" t="str">
        <f>IFERROR(__xludf.DUMMYFUNCTION("""COMPUTED_VALUE"""),"")</f>
        <v/>
      </c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2">
        <f>IFERROR(__xludf.DUMMYFUNCTION("""COMPUTED_VALUE"""),0.0)</f>
        <v>0</v>
      </c>
      <c r="BD178" s="22">
        <f>IFERROR(__xludf.DUMMYFUNCTION("""COMPUTED_VALUE"""),0.0)</f>
        <v>0</v>
      </c>
      <c r="BE178" s="22">
        <f>IFERROR(__xludf.DUMMYFUNCTION("""COMPUTED_VALUE"""),0.0)</f>
        <v>0</v>
      </c>
      <c r="BF178" s="22">
        <f>IFERROR(__xludf.DUMMYFUNCTION("""COMPUTED_VALUE"""),0.0)</f>
        <v>0</v>
      </c>
    </row>
    <row r="179">
      <c r="A179" s="27" t="str">
        <f>IFERROR(__xludf.DUMMYFUNCTION("""COMPUTED_VALUE"""),"")</f>
        <v/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2">
        <f>IFERROR(__xludf.DUMMYFUNCTION("""COMPUTED_VALUE"""),0.0)</f>
        <v>0</v>
      </c>
      <c r="BD179" s="22">
        <f>IFERROR(__xludf.DUMMYFUNCTION("""COMPUTED_VALUE"""),0.0)</f>
        <v>0</v>
      </c>
      <c r="BE179" s="22">
        <f>IFERROR(__xludf.DUMMYFUNCTION("""COMPUTED_VALUE"""),0.0)</f>
        <v>0</v>
      </c>
      <c r="BF179" s="22">
        <f>IFERROR(__xludf.DUMMYFUNCTION("""COMPUTED_VALUE"""),0.0)</f>
        <v>0</v>
      </c>
    </row>
    <row r="180">
      <c r="A180" s="27" t="str">
        <f>IFERROR(__xludf.DUMMYFUNCTION("""COMPUTED_VALUE"""),"")</f>
        <v/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2">
        <f>IFERROR(__xludf.DUMMYFUNCTION("""COMPUTED_VALUE"""),0.0)</f>
        <v>0</v>
      </c>
      <c r="BD180" s="22">
        <f>IFERROR(__xludf.DUMMYFUNCTION("""COMPUTED_VALUE"""),0.0)</f>
        <v>0</v>
      </c>
      <c r="BE180" s="22">
        <f>IFERROR(__xludf.DUMMYFUNCTION("""COMPUTED_VALUE"""),0.0)</f>
        <v>0</v>
      </c>
      <c r="BF180" s="22">
        <f>IFERROR(__xludf.DUMMYFUNCTION("""COMPUTED_VALUE"""),0.0)</f>
        <v>0</v>
      </c>
    </row>
    <row r="181">
      <c r="A181" s="27" t="str">
        <f>IFERROR(__xludf.DUMMYFUNCTION("""COMPUTED_VALUE"""),"")</f>
        <v/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2">
        <f>IFERROR(__xludf.DUMMYFUNCTION("""COMPUTED_VALUE"""),0.0)</f>
        <v>0</v>
      </c>
      <c r="BD181" s="22">
        <f>IFERROR(__xludf.DUMMYFUNCTION("""COMPUTED_VALUE"""),0.0)</f>
        <v>0</v>
      </c>
      <c r="BE181" s="22">
        <f>IFERROR(__xludf.DUMMYFUNCTION("""COMPUTED_VALUE"""),0.0)</f>
        <v>0</v>
      </c>
      <c r="BF181" s="22">
        <f>IFERROR(__xludf.DUMMYFUNCTION("""COMPUTED_VALUE"""),0.0)</f>
        <v>0</v>
      </c>
    </row>
    <row r="182">
      <c r="A182" s="27" t="str">
        <f>IFERROR(__xludf.DUMMYFUNCTION("""COMPUTED_VALUE"""),"")</f>
        <v/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2">
        <f>IFERROR(__xludf.DUMMYFUNCTION("""COMPUTED_VALUE"""),0.0)</f>
        <v>0</v>
      </c>
      <c r="BD182" s="22">
        <f>IFERROR(__xludf.DUMMYFUNCTION("""COMPUTED_VALUE"""),0.0)</f>
        <v>0</v>
      </c>
      <c r="BE182" s="22">
        <f>IFERROR(__xludf.DUMMYFUNCTION("""COMPUTED_VALUE"""),0.0)</f>
        <v>0</v>
      </c>
      <c r="BF182" s="22">
        <f>IFERROR(__xludf.DUMMYFUNCTION("""COMPUTED_VALUE"""),0.0)</f>
        <v>0</v>
      </c>
    </row>
    <row r="183">
      <c r="A183" s="27" t="str">
        <f>IFERROR(__xludf.DUMMYFUNCTION("""COMPUTED_VALUE"""),"")</f>
        <v/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2">
        <f>IFERROR(__xludf.DUMMYFUNCTION("""COMPUTED_VALUE"""),0.0)</f>
        <v>0</v>
      </c>
      <c r="BD183" s="22">
        <f>IFERROR(__xludf.DUMMYFUNCTION("""COMPUTED_VALUE"""),0.0)</f>
        <v>0</v>
      </c>
      <c r="BE183" s="22">
        <f>IFERROR(__xludf.DUMMYFUNCTION("""COMPUTED_VALUE"""),0.0)</f>
        <v>0</v>
      </c>
      <c r="BF183" s="22">
        <f>IFERROR(__xludf.DUMMYFUNCTION("""COMPUTED_VALUE"""),0.0)</f>
        <v>0</v>
      </c>
    </row>
    <row r="184">
      <c r="A184" s="27" t="str">
        <f>IFERROR(__xludf.DUMMYFUNCTION("""COMPUTED_VALUE"""),"")</f>
        <v/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2">
        <f>IFERROR(__xludf.DUMMYFUNCTION("""COMPUTED_VALUE"""),0.0)</f>
        <v>0</v>
      </c>
      <c r="BD184" s="22">
        <f>IFERROR(__xludf.DUMMYFUNCTION("""COMPUTED_VALUE"""),0.0)</f>
        <v>0</v>
      </c>
      <c r="BE184" s="22">
        <f>IFERROR(__xludf.DUMMYFUNCTION("""COMPUTED_VALUE"""),0.0)</f>
        <v>0</v>
      </c>
      <c r="BF184" s="22">
        <f>IFERROR(__xludf.DUMMYFUNCTION("""COMPUTED_VALUE"""),0.0)</f>
        <v>0</v>
      </c>
    </row>
    <row r="185">
      <c r="A185" s="27" t="str">
        <f>IFERROR(__xludf.DUMMYFUNCTION("""COMPUTED_VALUE"""),"")</f>
        <v/>
      </c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2">
        <f>IFERROR(__xludf.DUMMYFUNCTION("""COMPUTED_VALUE"""),0.0)</f>
        <v>0</v>
      </c>
      <c r="BD185" s="22">
        <f>IFERROR(__xludf.DUMMYFUNCTION("""COMPUTED_VALUE"""),0.0)</f>
        <v>0</v>
      </c>
      <c r="BE185" s="22">
        <f>IFERROR(__xludf.DUMMYFUNCTION("""COMPUTED_VALUE"""),0.0)</f>
        <v>0</v>
      </c>
      <c r="BF185" s="22">
        <f>IFERROR(__xludf.DUMMYFUNCTION("""COMPUTED_VALUE"""),0.0)</f>
        <v>0</v>
      </c>
    </row>
    <row r="186">
      <c r="A186" s="27" t="str">
        <f>IFERROR(__xludf.DUMMYFUNCTION("""COMPUTED_VALUE"""),"")</f>
        <v/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2">
        <f>IFERROR(__xludf.DUMMYFUNCTION("""COMPUTED_VALUE"""),0.0)</f>
        <v>0</v>
      </c>
      <c r="BD186" s="22">
        <f>IFERROR(__xludf.DUMMYFUNCTION("""COMPUTED_VALUE"""),0.0)</f>
        <v>0</v>
      </c>
      <c r="BE186" s="22">
        <f>IFERROR(__xludf.DUMMYFUNCTION("""COMPUTED_VALUE"""),0.0)</f>
        <v>0</v>
      </c>
      <c r="BF186" s="22">
        <f>IFERROR(__xludf.DUMMYFUNCTION("""COMPUTED_VALUE"""),0.0)</f>
        <v>0</v>
      </c>
    </row>
    <row r="187">
      <c r="A187" s="27" t="str">
        <f>IFERROR(__xludf.DUMMYFUNCTION("""COMPUTED_VALUE"""),"")</f>
        <v/>
      </c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2">
        <f>IFERROR(__xludf.DUMMYFUNCTION("""COMPUTED_VALUE"""),0.0)</f>
        <v>0</v>
      </c>
      <c r="BD187" s="22">
        <f>IFERROR(__xludf.DUMMYFUNCTION("""COMPUTED_VALUE"""),0.0)</f>
        <v>0</v>
      </c>
      <c r="BE187" s="22">
        <f>IFERROR(__xludf.DUMMYFUNCTION("""COMPUTED_VALUE"""),0.0)</f>
        <v>0</v>
      </c>
      <c r="BF187" s="22">
        <f>IFERROR(__xludf.DUMMYFUNCTION("""COMPUTED_VALUE"""),0.0)</f>
        <v>0</v>
      </c>
    </row>
    <row r="188">
      <c r="A188" s="27" t="str">
        <f>IFERROR(__xludf.DUMMYFUNCTION("""COMPUTED_VALUE"""),"")</f>
        <v/>
      </c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2">
        <f>IFERROR(__xludf.DUMMYFUNCTION("""COMPUTED_VALUE"""),0.0)</f>
        <v>0</v>
      </c>
      <c r="BD188" s="22">
        <f>IFERROR(__xludf.DUMMYFUNCTION("""COMPUTED_VALUE"""),0.0)</f>
        <v>0</v>
      </c>
      <c r="BE188" s="22">
        <f>IFERROR(__xludf.DUMMYFUNCTION("""COMPUTED_VALUE"""),0.0)</f>
        <v>0</v>
      </c>
      <c r="BF188" s="22">
        <f>IFERROR(__xludf.DUMMYFUNCTION("""COMPUTED_VALUE"""),0.0)</f>
        <v>0</v>
      </c>
    </row>
    <row r="189">
      <c r="A189" s="27" t="str">
        <f>IFERROR(__xludf.DUMMYFUNCTION("""COMPUTED_VALUE"""),"")</f>
        <v/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2">
        <f>IFERROR(__xludf.DUMMYFUNCTION("""COMPUTED_VALUE"""),0.0)</f>
        <v>0</v>
      </c>
      <c r="BD189" s="22">
        <f>IFERROR(__xludf.DUMMYFUNCTION("""COMPUTED_VALUE"""),0.0)</f>
        <v>0</v>
      </c>
      <c r="BE189" s="22">
        <f>IFERROR(__xludf.DUMMYFUNCTION("""COMPUTED_VALUE"""),0.0)</f>
        <v>0</v>
      </c>
      <c r="BF189" s="22">
        <f>IFERROR(__xludf.DUMMYFUNCTION("""COMPUTED_VALUE"""),0.0)</f>
        <v>0</v>
      </c>
    </row>
    <row r="190">
      <c r="A190" s="27" t="str">
        <f>IFERROR(__xludf.DUMMYFUNCTION("""COMPUTED_VALUE"""),"")</f>
        <v/>
      </c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2">
        <f>IFERROR(__xludf.DUMMYFUNCTION("""COMPUTED_VALUE"""),0.0)</f>
        <v>0</v>
      </c>
      <c r="BD190" s="22">
        <f>IFERROR(__xludf.DUMMYFUNCTION("""COMPUTED_VALUE"""),0.0)</f>
        <v>0</v>
      </c>
      <c r="BE190" s="22">
        <f>IFERROR(__xludf.DUMMYFUNCTION("""COMPUTED_VALUE"""),0.0)</f>
        <v>0</v>
      </c>
      <c r="BF190" s="22">
        <f>IFERROR(__xludf.DUMMYFUNCTION("""COMPUTED_VALUE"""),0.0)</f>
        <v>0</v>
      </c>
    </row>
    <row r="191">
      <c r="A191" s="27" t="str">
        <f>IFERROR(__xludf.DUMMYFUNCTION("""COMPUTED_VALUE"""),"")</f>
        <v/>
      </c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2">
        <f>IFERROR(__xludf.DUMMYFUNCTION("""COMPUTED_VALUE"""),0.0)</f>
        <v>0</v>
      </c>
      <c r="BD191" s="22">
        <f>IFERROR(__xludf.DUMMYFUNCTION("""COMPUTED_VALUE"""),0.0)</f>
        <v>0</v>
      </c>
      <c r="BE191" s="22">
        <f>IFERROR(__xludf.DUMMYFUNCTION("""COMPUTED_VALUE"""),0.0)</f>
        <v>0</v>
      </c>
      <c r="BF191" s="22">
        <f>IFERROR(__xludf.DUMMYFUNCTION("""COMPUTED_VALUE"""),0.0)</f>
        <v>0</v>
      </c>
    </row>
    <row r="192">
      <c r="A192" s="27" t="str">
        <f>IFERROR(__xludf.DUMMYFUNCTION("""COMPUTED_VALUE"""),"")</f>
        <v/>
      </c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2">
        <f>IFERROR(__xludf.DUMMYFUNCTION("""COMPUTED_VALUE"""),0.0)</f>
        <v>0</v>
      </c>
      <c r="BD192" s="22">
        <f>IFERROR(__xludf.DUMMYFUNCTION("""COMPUTED_VALUE"""),0.0)</f>
        <v>0</v>
      </c>
      <c r="BE192" s="22">
        <f>IFERROR(__xludf.DUMMYFUNCTION("""COMPUTED_VALUE"""),0.0)</f>
        <v>0</v>
      </c>
      <c r="BF192" s="22">
        <f>IFERROR(__xludf.DUMMYFUNCTION("""COMPUTED_VALUE"""),0.0)</f>
        <v>0</v>
      </c>
    </row>
    <row r="193">
      <c r="A193" s="27" t="str">
        <f>IFERROR(__xludf.DUMMYFUNCTION("""COMPUTED_VALUE"""),"")</f>
        <v/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2">
        <f>IFERROR(__xludf.DUMMYFUNCTION("""COMPUTED_VALUE"""),0.0)</f>
        <v>0</v>
      </c>
      <c r="BD193" s="22">
        <f>IFERROR(__xludf.DUMMYFUNCTION("""COMPUTED_VALUE"""),0.0)</f>
        <v>0</v>
      </c>
      <c r="BE193" s="22">
        <f>IFERROR(__xludf.DUMMYFUNCTION("""COMPUTED_VALUE"""),0.0)</f>
        <v>0</v>
      </c>
      <c r="BF193" s="22">
        <f>IFERROR(__xludf.DUMMYFUNCTION("""COMPUTED_VALUE"""),0.0)</f>
        <v>0</v>
      </c>
    </row>
    <row r="194">
      <c r="A194" s="27" t="str">
        <f>IFERROR(__xludf.DUMMYFUNCTION("""COMPUTED_VALUE"""),"")</f>
        <v/>
      </c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2">
        <f>IFERROR(__xludf.DUMMYFUNCTION("""COMPUTED_VALUE"""),0.0)</f>
        <v>0</v>
      </c>
      <c r="BD194" s="22">
        <f>IFERROR(__xludf.DUMMYFUNCTION("""COMPUTED_VALUE"""),0.0)</f>
        <v>0</v>
      </c>
      <c r="BE194" s="22">
        <f>IFERROR(__xludf.DUMMYFUNCTION("""COMPUTED_VALUE"""),0.0)</f>
        <v>0</v>
      </c>
      <c r="BF194" s="22">
        <f>IFERROR(__xludf.DUMMYFUNCTION("""COMPUTED_VALUE"""),0.0)</f>
        <v>0</v>
      </c>
    </row>
    <row r="195">
      <c r="A195" s="27" t="str">
        <f>IFERROR(__xludf.DUMMYFUNCTION("""COMPUTED_VALUE"""),"")</f>
        <v/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2">
        <f>IFERROR(__xludf.DUMMYFUNCTION("""COMPUTED_VALUE"""),0.0)</f>
        <v>0</v>
      </c>
      <c r="BD195" s="22">
        <f>IFERROR(__xludf.DUMMYFUNCTION("""COMPUTED_VALUE"""),0.0)</f>
        <v>0</v>
      </c>
      <c r="BE195" s="22">
        <f>IFERROR(__xludf.DUMMYFUNCTION("""COMPUTED_VALUE"""),0.0)</f>
        <v>0</v>
      </c>
      <c r="BF195" s="22">
        <f>IFERROR(__xludf.DUMMYFUNCTION("""COMPUTED_VALUE"""),0.0)</f>
        <v>0</v>
      </c>
    </row>
    <row r="196">
      <c r="A196" s="27" t="str">
        <f>IFERROR(__xludf.DUMMYFUNCTION("""COMPUTED_VALUE"""),"")</f>
        <v/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2">
        <f>IFERROR(__xludf.DUMMYFUNCTION("""COMPUTED_VALUE"""),0.0)</f>
        <v>0</v>
      </c>
      <c r="BD196" s="22">
        <f>IFERROR(__xludf.DUMMYFUNCTION("""COMPUTED_VALUE"""),0.0)</f>
        <v>0</v>
      </c>
      <c r="BE196" s="22">
        <f>IFERROR(__xludf.DUMMYFUNCTION("""COMPUTED_VALUE"""),0.0)</f>
        <v>0</v>
      </c>
      <c r="BF196" s="22">
        <f>IFERROR(__xludf.DUMMYFUNCTION("""COMPUTED_VALUE"""),0.0)</f>
        <v>0</v>
      </c>
    </row>
    <row r="197">
      <c r="A197" s="27" t="str">
        <f>IFERROR(__xludf.DUMMYFUNCTION("""COMPUTED_VALUE"""),"")</f>
        <v/>
      </c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2">
        <f>IFERROR(__xludf.DUMMYFUNCTION("""COMPUTED_VALUE"""),0.0)</f>
        <v>0</v>
      </c>
      <c r="BD197" s="22">
        <f>IFERROR(__xludf.DUMMYFUNCTION("""COMPUTED_VALUE"""),0.0)</f>
        <v>0</v>
      </c>
      <c r="BE197" s="22">
        <f>IFERROR(__xludf.DUMMYFUNCTION("""COMPUTED_VALUE"""),0.0)</f>
        <v>0</v>
      </c>
      <c r="BF197" s="22">
        <f>IFERROR(__xludf.DUMMYFUNCTION("""COMPUTED_VALUE"""),0.0)</f>
        <v>0</v>
      </c>
    </row>
    <row r="198">
      <c r="A198" s="27" t="str">
        <f>IFERROR(__xludf.DUMMYFUNCTION("""COMPUTED_VALUE"""),"")</f>
        <v/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2">
        <f>IFERROR(__xludf.DUMMYFUNCTION("""COMPUTED_VALUE"""),0.0)</f>
        <v>0</v>
      </c>
      <c r="BD198" s="22">
        <f>IFERROR(__xludf.DUMMYFUNCTION("""COMPUTED_VALUE"""),0.0)</f>
        <v>0</v>
      </c>
      <c r="BE198" s="22">
        <f>IFERROR(__xludf.DUMMYFUNCTION("""COMPUTED_VALUE"""),0.0)</f>
        <v>0</v>
      </c>
      <c r="BF198" s="22">
        <f>IFERROR(__xludf.DUMMYFUNCTION("""COMPUTED_VALUE"""),0.0)</f>
        <v>0</v>
      </c>
    </row>
    <row r="199">
      <c r="A199" s="27" t="str">
        <f>IFERROR(__xludf.DUMMYFUNCTION("""COMPUTED_VALUE"""),"")</f>
        <v/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2">
        <f>IFERROR(__xludf.DUMMYFUNCTION("""COMPUTED_VALUE"""),0.0)</f>
        <v>0</v>
      </c>
      <c r="BD199" s="22">
        <f>IFERROR(__xludf.DUMMYFUNCTION("""COMPUTED_VALUE"""),0.0)</f>
        <v>0</v>
      </c>
      <c r="BE199" s="22">
        <f>IFERROR(__xludf.DUMMYFUNCTION("""COMPUTED_VALUE"""),0.0)</f>
        <v>0</v>
      </c>
      <c r="BF199" s="22">
        <f>IFERROR(__xludf.DUMMYFUNCTION("""COMPUTED_VALUE"""),0.0)</f>
        <v>0</v>
      </c>
    </row>
    <row r="200">
      <c r="A200" s="27" t="str">
        <f>IFERROR(__xludf.DUMMYFUNCTION("""COMPUTED_VALUE"""),"")</f>
        <v/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2">
        <f>IFERROR(__xludf.DUMMYFUNCTION("""COMPUTED_VALUE"""),0.0)</f>
        <v>0</v>
      </c>
      <c r="BD200" s="22">
        <f>IFERROR(__xludf.DUMMYFUNCTION("""COMPUTED_VALUE"""),0.0)</f>
        <v>0</v>
      </c>
      <c r="BE200" s="22">
        <f>IFERROR(__xludf.DUMMYFUNCTION("""COMPUTED_VALUE"""),0.0)</f>
        <v>0</v>
      </c>
      <c r="BF200" s="22">
        <f>IFERROR(__xludf.DUMMYFUNCTION("""COMPUTED_VALUE"""),0.0)</f>
        <v>0</v>
      </c>
    </row>
    <row r="201">
      <c r="A201" s="27" t="str">
        <f>IFERROR(__xludf.DUMMYFUNCTION("""COMPUTED_VALUE"""),"")</f>
        <v/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2">
        <f>IFERROR(__xludf.DUMMYFUNCTION("""COMPUTED_VALUE"""),0.0)</f>
        <v>0</v>
      </c>
      <c r="BD201" s="22">
        <f>IFERROR(__xludf.DUMMYFUNCTION("""COMPUTED_VALUE"""),0.0)</f>
        <v>0</v>
      </c>
      <c r="BE201" s="22">
        <f>IFERROR(__xludf.DUMMYFUNCTION("""COMPUTED_VALUE"""),0.0)</f>
        <v>0</v>
      </c>
      <c r="BF201" s="22">
        <f>IFERROR(__xludf.DUMMYFUNCTION("""COMPUTED_VALUE"""),0.0)</f>
        <v>0</v>
      </c>
    </row>
    <row r="202">
      <c r="A202" s="27" t="str">
        <f>IFERROR(__xludf.DUMMYFUNCTION("""COMPUTED_VALUE"""),"")</f>
        <v/>
      </c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2">
        <f>IFERROR(__xludf.DUMMYFUNCTION("""COMPUTED_VALUE"""),0.0)</f>
        <v>0</v>
      </c>
      <c r="BD202" s="22">
        <f>IFERROR(__xludf.DUMMYFUNCTION("""COMPUTED_VALUE"""),0.0)</f>
        <v>0</v>
      </c>
      <c r="BE202" s="22">
        <f>IFERROR(__xludf.DUMMYFUNCTION("""COMPUTED_VALUE"""),0.0)</f>
        <v>0</v>
      </c>
      <c r="BF202" s="22">
        <f>IFERROR(__xludf.DUMMYFUNCTION("""COMPUTED_VALUE"""),0.0)</f>
        <v>0</v>
      </c>
    </row>
    <row r="203">
      <c r="A203" s="27" t="str">
        <f>IFERROR(__xludf.DUMMYFUNCTION("""COMPUTED_VALUE"""),"")</f>
        <v/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2">
        <f>IFERROR(__xludf.DUMMYFUNCTION("""COMPUTED_VALUE"""),0.0)</f>
        <v>0</v>
      </c>
      <c r="BD203" s="22">
        <f>IFERROR(__xludf.DUMMYFUNCTION("""COMPUTED_VALUE"""),0.0)</f>
        <v>0</v>
      </c>
      <c r="BE203" s="22">
        <f>IFERROR(__xludf.DUMMYFUNCTION("""COMPUTED_VALUE"""),0.0)</f>
        <v>0</v>
      </c>
      <c r="BF203" s="22">
        <f>IFERROR(__xludf.DUMMYFUNCTION("""COMPUTED_VALUE"""),0.0)</f>
        <v>0</v>
      </c>
    </row>
    <row r="204">
      <c r="A204" s="27" t="str">
        <f>IFERROR(__xludf.DUMMYFUNCTION("""COMPUTED_VALUE"""),"")</f>
        <v/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2">
        <f>IFERROR(__xludf.DUMMYFUNCTION("""COMPUTED_VALUE"""),0.0)</f>
        <v>0</v>
      </c>
      <c r="BD204" s="22">
        <f>IFERROR(__xludf.DUMMYFUNCTION("""COMPUTED_VALUE"""),0.0)</f>
        <v>0</v>
      </c>
      <c r="BE204" s="22">
        <f>IFERROR(__xludf.DUMMYFUNCTION("""COMPUTED_VALUE"""),0.0)</f>
        <v>0</v>
      </c>
      <c r="BF204" s="22">
        <f>IFERROR(__xludf.DUMMYFUNCTION("""COMPUTED_VALUE"""),0.0)</f>
        <v>0</v>
      </c>
    </row>
    <row r="205">
      <c r="A205" s="27" t="str">
        <f>IFERROR(__xludf.DUMMYFUNCTION("""COMPUTED_VALUE"""),"")</f>
        <v/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2">
        <f>IFERROR(__xludf.DUMMYFUNCTION("""COMPUTED_VALUE"""),0.0)</f>
        <v>0</v>
      </c>
      <c r="BD205" s="22">
        <f>IFERROR(__xludf.DUMMYFUNCTION("""COMPUTED_VALUE"""),0.0)</f>
        <v>0</v>
      </c>
      <c r="BE205" s="22">
        <f>IFERROR(__xludf.DUMMYFUNCTION("""COMPUTED_VALUE"""),0.0)</f>
        <v>0</v>
      </c>
      <c r="BF205" s="22">
        <f>IFERROR(__xludf.DUMMYFUNCTION("""COMPUTED_VALUE"""),0.0)</f>
        <v>0</v>
      </c>
    </row>
    <row r="206">
      <c r="A206" s="27" t="str">
        <f>IFERROR(__xludf.DUMMYFUNCTION("""COMPUTED_VALUE"""),"")</f>
        <v/>
      </c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2">
        <f>IFERROR(__xludf.DUMMYFUNCTION("""COMPUTED_VALUE"""),0.0)</f>
        <v>0</v>
      </c>
      <c r="BD206" s="22">
        <f>IFERROR(__xludf.DUMMYFUNCTION("""COMPUTED_VALUE"""),0.0)</f>
        <v>0</v>
      </c>
      <c r="BE206" s="22">
        <f>IFERROR(__xludf.DUMMYFUNCTION("""COMPUTED_VALUE"""),0.0)</f>
        <v>0</v>
      </c>
      <c r="BF206" s="22">
        <f>IFERROR(__xludf.DUMMYFUNCTION("""COMPUTED_VALUE"""),0.0)</f>
        <v>0</v>
      </c>
    </row>
    <row r="207">
      <c r="A207" s="27" t="str">
        <f>IFERROR(__xludf.DUMMYFUNCTION("""COMPUTED_VALUE"""),"")</f>
        <v/>
      </c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2">
        <f>IFERROR(__xludf.DUMMYFUNCTION("""COMPUTED_VALUE"""),0.0)</f>
        <v>0</v>
      </c>
      <c r="BD207" s="22">
        <f>IFERROR(__xludf.DUMMYFUNCTION("""COMPUTED_VALUE"""),0.0)</f>
        <v>0</v>
      </c>
      <c r="BE207" s="22">
        <f>IFERROR(__xludf.DUMMYFUNCTION("""COMPUTED_VALUE"""),0.0)</f>
        <v>0</v>
      </c>
      <c r="BF207" s="22">
        <f>IFERROR(__xludf.DUMMYFUNCTION("""COMPUTED_VALUE"""),0.0)</f>
        <v>0</v>
      </c>
    </row>
    <row r="208">
      <c r="A208" s="27" t="str">
        <f>IFERROR(__xludf.DUMMYFUNCTION("""COMPUTED_VALUE"""),"")</f>
        <v/>
      </c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2">
        <f>IFERROR(__xludf.DUMMYFUNCTION("""COMPUTED_VALUE"""),0.0)</f>
        <v>0</v>
      </c>
      <c r="BD208" s="22">
        <f>IFERROR(__xludf.DUMMYFUNCTION("""COMPUTED_VALUE"""),0.0)</f>
        <v>0</v>
      </c>
      <c r="BE208" s="22">
        <f>IFERROR(__xludf.DUMMYFUNCTION("""COMPUTED_VALUE"""),0.0)</f>
        <v>0</v>
      </c>
      <c r="BF208" s="22">
        <f>IFERROR(__xludf.DUMMYFUNCTION("""COMPUTED_VALUE"""),0.0)</f>
        <v>0</v>
      </c>
    </row>
    <row r="209">
      <c r="A209" s="27" t="str">
        <f>IFERROR(__xludf.DUMMYFUNCTION("""COMPUTED_VALUE"""),"")</f>
        <v/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2">
        <f>IFERROR(__xludf.DUMMYFUNCTION("""COMPUTED_VALUE"""),0.0)</f>
        <v>0</v>
      </c>
      <c r="BD209" s="22">
        <f>IFERROR(__xludf.DUMMYFUNCTION("""COMPUTED_VALUE"""),0.0)</f>
        <v>0</v>
      </c>
      <c r="BE209" s="22">
        <f>IFERROR(__xludf.DUMMYFUNCTION("""COMPUTED_VALUE"""),0.0)</f>
        <v>0</v>
      </c>
      <c r="BF209" s="22">
        <f>IFERROR(__xludf.DUMMYFUNCTION("""COMPUTED_VALUE"""),0.0)</f>
        <v>0</v>
      </c>
    </row>
    <row r="210">
      <c r="A210" s="27" t="str">
        <f>IFERROR(__xludf.DUMMYFUNCTION("""COMPUTED_VALUE"""),"")</f>
        <v/>
      </c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2">
        <f>IFERROR(__xludf.DUMMYFUNCTION("""COMPUTED_VALUE"""),0.0)</f>
        <v>0</v>
      </c>
      <c r="BD210" s="22">
        <f>IFERROR(__xludf.DUMMYFUNCTION("""COMPUTED_VALUE"""),0.0)</f>
        <v>0</v>
      </c>
      <c r="BE210" s="22">
        <f>IFERROR(__xludf.DUMMYFUNCTION("""COMPUTED_VALUE"""),0.0)</f>
        <v>0</v>
      </c>
      <c r="BF210" s="22">
        <f>IFERROR(__xludf.DUMMYFUNCTION("""COMPUTED_VALUE"""),0.0)</f>
        <v>0</v>
      </c>
    </row>
    <row r="211">
      <c r="A211" s="27" t="str">
        <f>IFERROR(__xludf.DUMMYFUNCTION("""COMPUTED_VALUE"""),"")</f>
        <v/>
      </c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2">
        <f>IFERROR(__xludf.DUMMYFUNCTION("""COMPUTED_VALUE"""),0.0)</f>
        <v>0</v>
      </c>
      <c r="BD211" s="22">
        <f>IFERROR(__xludf.DUMMYFUNCTION("""COMPUTED_VALUE"""),0.0)</f>
        <v>0</v>
      </c>
      <c r="BE211" s="22">
        <f>IFERROR(__xludf.DUMMYFUNCTION("""COMPUTED_VALUE"""),0.0)</f>
        <v>0</v>
      </c>
      <c r="BF211" s="22">
        <f>IFERROR(__xludf.DUMMYFUNCTION("""COMPUTED_VALUE"""),0.0)</f>
        <v>0</v>
      </c>
    </row>
    <row r="212">
      <c r="A212" s="27" t="str">
        <f>IFERROR(__xludf.DUMMYFUNCTION("""COMPUTED_VALUE"""),"")</f>
        <v/>
      </c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2">
        <f>IFERROR(__xludf.DUMMYFUNCTION("""COMPUTED_VALUE"""),0.0)</f>
        <v>0</v>
      </c>
      <c r="BD212" s="22">
        <f>IFERROR(__xludf.DUMMYFUNCTION("""COMPUTED_VALUE"""),0.0)</f>
        <v>0</v>
      </c>
      <c r="BE212" s="22">
        <f>IFERROR(__xludf.DUMMYFUNCTION("""COMPUTED_VALUE"""),0.0)</f>
        <v>0</v>
      </c>
      <c r="BF212" s="22">
        <f>IFERROR(__xludf.DUMMYFUNCTION("""COMPUTED_VALUE"""),0.0)</f>
        <v>0</v>
      </c>
    </row>
    <row r="213">
      <c r="A213" s="27" t="str">
        <f>IFERROR(__xludf.DUMMYFUNCTION("""COMPUTED_VALUE"""),"")</f>
        <v/>
      </c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2">
        <f>IFERROR(__xludf.DUMMYFUNCTION("""COMPUTED_VALUE"""),0.0)</f>
        <v>0</v>
      </c>
      <c r="BD213" s="22">
        <f>IFERROR(__xludf.DUMMYFUNCTION("""COMPUTED_VALUE"""),0.0)</f>
        <v>0</v>
      </c>
      <c r="BE213" s="22">
        <f>IFERROR(__xludf.DUMMYFUNCTION("""COMPUTED_VALUE"""),0.0)</f>
        <v>0</v>
      </c>
      <c r="BF213" s="22">
        <f>IFERROR(__xludf.DUMMYFUNCTION("""COMPUTED_VALUE"""),0.0)</f>
        <v>0</v>
      </c>
    </row>
    <row r="214">
      <c r="A214" s="27" t="str">
        <f>IFERROR(__xludf.DUMMYFUNCTION("""COMPUTED_VALUE"""),"")</f>
        <v/>
      </c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2">
        <f>IFERROR(__xludf.DUMMYFUNCTION("""COMPUTED_VALUE"""),0.0)</f>
        <v>0</v>
      </c>
      <c r="BD214" s="22">
        <f>IFERROR(__xludf.DUMMYFUNCTION("""COMPUTED_VALUE"""),0.0)</f>
        <v>0</v>
      </c>
      <c r="BE214" s="22">
        <f>IFERROR(__xludf.DUMMYFUNCTION("""COMPUTED_VALUE"""),0.0)</f>
        <v>0</v>
      </c>
      <c r="BF214" s="22">
        <f>IFERROR(__xludf.DUMMYFUNCTION("""COMPUTED_VALUE"""),0.0)</f>
        <v>0</v>
      </c>
    </row>
    <row r="215">
      <c r="A215" s="27" t="str">
        <f>IFERROR(__xludf.DUMMYFUNCTION("""COMPUTED_VALUE"""),"")</f>
        <v/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2">
        <f>IFERROR(__xludf.DUMMYFUNCTION("""COMPUTED_VALUE"""),0.0)</f>
        <v>0</v>
      </c>
      <c r="BD215" s="22">
        <f>IFERROR(__xludf.DUMMYFUNCTION("""COMPUTED_VALUE"""),0.0)</f>
        <v>0</v>
      </c>
      <c r="BE215" s="22">
        <f>IFERROR(__xludf.DUMMYFUNCTION("""COMPUTED_VALUE"""),0.0)</f>
        <v>0</v>
      </c>
      <c r="BF215" s="22">
        <f>IFERROR(__xludf.DUMMYFUNCTION("""COMPUTED_VALUE"""),0.0)</f>
        <v>0</v>
      </c>
    </row>
    <row r="216">
      <c r="A216" s="27" t="str">
        <f>IFERROR(__xludf.DUMMYFUNCTION("""COMPUTED_VALUE"""),"")</f>
        <v/>
      </c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2">
        <f>IFERROR(__xludf.DUMMYFUNCTION("""COMPUTED_VALUE"""),0.0)</f>
        <v>0</v>
      </c>
      <c r="BD216" s="22">
        <f>IFERROR(__xludf.DUMMYFUNCTION("""COMPUTED_VALUE"""),0.0)</f>
        <v>0</v>
      </c>
      <c r="BE216" s="22">
        <f>IFERROR(__xludf.DUMMYFUNCTION("""COMPUTED_VALUE"""),0.0)</f>
        <v>0</v>
      </c>
      <c r="BF216" s="22">
        <f>IFERROR(__xludf.DUMMYFUNCTION("""COMPUTED_VALUE"""),0.0)</f>
        <v>0</v>
      </c>
    </row>
    <row r="217">
      <c r="A217" s="27" t="str">
        <f>IFERROR(__xludf.DUMMYFUNCTION("""COMPUTED_VALUE"""),"")</f>
        <v/>
      </c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2">
        <f>IFERROR(__xludf.DUMMYFUNCTION("""COMPUTED_VALUE"""),0.0)</f>
        <v>0</v>
      </c>
      <c r="BD217" s="22">
        <f>IFERROR(__xludf.DUMMYFUNCTION("""COMPUTED_VALUE"""),0.0)</f>
        <v>0</v>
      </c>
      <c r="BE217" s="22">
        <f>IFERROR(__xludf.DUMMYFUNCTION("""COMPUTED_VALUE"""),0.0)</f>
        <v>0</v>
      </c>
      <c r="BF217" s="22">
        <f>IFERROR(__xludf.DUMMYFUNCTION("""COMPUTED_VALUE"""),0.0)</f>
        <v>0</v>
      </c>
    </row>
    <row r="218">
      <c r="A218" s="27" t="str">
        <f>IFERROR(__xludf.DUMMYFUNCTION("""COMPUTED_VALUE"""),"")</f>
        <v/>
      </c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2">
        <f>IFERROR(__xludf.DUMMYFUNCTION("""COMPUTED_VALUE"""),0.0)</f>
        <v>0</v>
      </c>
      <c r="BD218" s="22">
        <f>IFERROR(__xludf.DUMMYFUNCTION("""COMPUTED_VALUE"""),0.0)</f>
        <v>0</v>
      </c>
      <c r="BE218" s="22">
        <f>IFERROR(__xludf.DUMMYFUNCTION("""COMPUTED_VALUE"""),0.0)</f>
        <v>0</v>
      </c>
      <c r="BF218" s="22">
        <f>IFERROR(__xludf.DUMMYFUNCTION("""COMPUTED_VALUE"""),0.0)</f>
        <v>0</v>
      </c>
    </row>
    <row r="219">
      <c r="A219" s="27" t="str">
        <f>IFERROR(__xludf.DUMMYFUNCTION("""COMPUTED_VALUE"""),"")</f>
        <v/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2">
        <f>IFERROR(__xludf.DUMMYFUNCTION("""COMPUTED_VALUE"""),0.0)</f>
        <v>0</v>
      </c>
      <c r="BD219" s="22">
        <f>IFERROR(__xludf.DUMMYFUNCTION("""COMPUTED_VALUE"""),0.0)</f>
        <v>0</v>
      </c>
      <c r="BE219" s="22">
        <f>IFERROR(__xludf.DUMMYFUNCTION("""COMPUTED_VALUE"""),0.0)</f>
        <v>0</v>
      </c>
      <c r="BF219" s="22">
        <f>IFERROR(__xludf.DUMMYFUNCTION("""COMPUTED_VALUE"""),0.0)</f>
        <v>0</v>
      </c>
    </row>
    <row r="220">
      <c r="A220" s="27" t="str">
        <f>IFERROR(__xludf.DUMMYFUNCTION("""COMPUTED_VALUE"""),"")</f>
        <v/>
      </c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2">
        <f>IFERROR(__xludf.DUMMYFUNCTION("""COMPUTED_VALUE"""),0.0)</f>
        <v>0</v>
      </c>
      <c r="BD220" s="22">
        <f>IFERROR(__xludf.DUMMYFUNCTION("""COMPUTED_VALUE"""),0.0)</f>
        <v>0</v>
      </c>
      <c r="BE220" s="22">
        <f>IFERROR(__xludf.DUMMYFUNCTION("""COMPUTED_VALUE"""),0.0)</f>
        <v>0</v>
      </c>
      <c r="BF220" s="22">
        <f>IFERROR(__xludf.DUMMYFUNCTION("""COMPUTED_VALUE"""),0.0)</f>
        <v>0</v>
      </c>
    </row>
    <row r="221">
      <c r="A221" s="27" t="str">
        <f>IFERROR(__xludf.DUMMYFUNCTION("""COMPUTED_VALUE"""),"")</f>
        <v/>
      </c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2">
        <f>IFERROR(__xludf.DUMMYFUNCTION("""COMPUTED_VALUE"""),0.0)</f>
        <v>0</v>
      </c>
      <c r="BD221" s="22">
        <f>IFERROR(__xludf.DUMMYFUNCTION("""COMPUTED_VALUE"""),0.0)</f>
        <v>0</v>
      </c>
      <c r="BE221" s="22">
        <f>IFERROR(__xludf.DUMMYFUNCTION("""COMPUTED_VALUE"""),0.0)</f>
        <v>0</v>
      </c>
      <c r="BF221" s="22">
        <f>IFERROR(__xludf.DUMMYFUNCTION("""COMPUTED_VALUE"""),0.0)</f>
        <v>0</v>
      </c>
    </row>
    <row r="222">
      <c r="A222" s="27" t="str">
        <f>IFERROR(__xludf.DUMMYFUNCTION("""COMPUTED_VALUE"""),"")</f>
        <v/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2">
        <f>IFERROR(__xludf.DUMMYFUNCTION("""COMPUTED_VALUE"""),0.0)</f>
        <v>0</v>
      </c>
      <c r="BD222" s="22">
        <f>IFERROR(__xludf.DUMMYFUNCTION("""COMPUTED_VALUE"""),0.0)</f>
        <v>0</v>
      </c>
      <c r="BE222" s="22">
        <f>IFERROR(__xludf.DUMMYFUNCTION("""COMPUTED_VALUE"""),0.0)</f>
        <v>0</v>
      </c>
      <c r="BF222" s="22">
        <f>IFERROR(__xludf.DUMMYFUNCTION("""COMPUTED_VALUE"""),0.0)</f>
        <v>0</v>
      </c>
    </row>
    <row r="223">
      <c r="A223" s="27" t="str">
        <f>IFERROR(__xludf.DUMMYFUNCTION("""COMPUTED_VALUE"""),"")</f>
        <v/>
      </c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2">
        <f>IFERROR(__xludf.DUMMYFUNCTION("""COMPUTED_VALUE"""),0.0)</f>
        <v>0</v>
      </c>
      <c r="BD223" s="22">
        <f>IFERROR(__xludf.DUMMYFUNCTION("""COMPUTED_VALUE"""),0.0)</f>
        <v>0</v>
      </c>
      <c r="BE223" s="22">
        <f>IFERROR(__xludf.DUMMYFUNCTION("""COMPUTED_VALUE"""),0.0)</f>
        <v>0</v>
      </c>
      <c r="BF223" s="22">
        <f>IFERROR(__xludf.DUMMYFUNCTION("""COMPUTED_VALUE"""),0.0)</f>
        <v>0</v>
      </c>
    </row>
    <row r="224">
      <c r="A224" s="27" t="str">
        <f>IFERROR(__xludf.DUMMYFUNCTION("""COMPUTED_VALUE"""),"")</f>
        <v/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2">
        <f>IFERROR(__xludf.DUMMYFUNCTION("""COMPUTED_VALUE"""),0.0)</f>
        <v>0</v>
      </c>
      <c r="BD224" s="22">
        <f>IFERROR(__xludf.DUMMYFUNCTION("""COMPUTED_VALUE"""),0.0)</f>
        <v>0</v>
      </c>
      <c r="BE224" s="22">
        <f>IFERROR(__xludf.DUMMYFUNCTION("""COMPUTED_VALUE"""),0.0)</f>
        <v>0</v>
      </c>
      <c r="BF224" s="22">
        <f>IFERROR(__xludf.DUMMYFUNCTION("""COMPUTED_VALUE"""),0.0)</f>
        <v>0</v>
      </c>
    </row>
    <row r="225">
      <c r="A225" s="27" t="str">
        <f>IFERROR(__xludf.DUMMYFUNCTION("""COMPUTED_VALUE"""),"")</f>
        <v/>
      </c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2">
        <f>IFERROR(__xludf.DUMMYFUNCTION("""COMPUTED_VALUE"""),0.0)</f>
        <v>0</v>
      </c>
      <c r="BD225" s="22">
        <f>IFERROR(__xludf.DUMMYFUNCTION("""COMPUTED_VALUE"""),0.0)</f>
        <v>0</v>
      </c>
      <c r="BE225" s="22">
        <f>IFERROR(__xludf.DUMMYFUNCTION("""COMPUTED_VALUE"""),0.0)</f>
        <v>0</v>
      </c>
      <c r="BF225" s="22">
        <f>IFERROR(__xludf.DUMMYFUNCTION("""COMPUTED_VALUE"""),0.0)</f>
        <v>0</v>
      </c>
    </row>
    <row r="226">
      <c r="A226" s="27" t="str">
        <f>IFERROR(__xludf.DUMMYFUNCTION("""COMPUTED_VALUE"""),"")</f>
        <v/>
      </c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2">
        <f>IFERROR(__xludf.DUMMYFUNCTION("""COMPUTED_VALUE"""),0.0)</f>
        <v>0</v>
      </c>
      <c r="BD226" s="22">
        <f>IFERROR(__xludf.DUMMYFUNCTION("""COMPUTED_VALUE"""),0.0)</f>
        <v>0</v>
      </c>
      <c r="BE226" s="22">
        <f>IFERROR(__xludf.DUMMYFUNCTION("""COMPUTED_VALUE"""),0.0)</f>
        <v>0</v>
      </c>
      <c r="BF226" s="22">
        <f>IFERROR(__xludf.DUMMYFUNCTION("""COMPUTED_VALUE"""),0.0)</f>
        <v>0</v>
      </c>
    </row>
    <row r="227">
      <c r="A227" s="27" t="str">
        <f>IFERROR(__xludf.DUMMYFUNCTION("""COMPUTED_VALUE"""),"")</f>
        <v/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2">
        <f>IFERROR(__xludf.DUMMYFUNCTION("""COMPUTED_VALUE"""),0.0)</f>
        <v>0</v>
      </c>
      <c r="BD227" s="22">
        <f>IFERROR(__xludf.DUMMYFUNCTION("""COMPUTED_VALUE"""),0.0)</f>
        <v>0</v>
      </c>
      <c r="BE227" s="22">
        <f>IFERROR(__xludf.DUMMYFUNCTION("""COMPUTED_VALUE"""),0.0)</f>
        <v>0</v>
      </c>
      <c r="BF227" s="22">
        <f>IFERROR(__xludf.DUMMYFUNCTION("""COMPUTED_VALUE"""),0.0)</f>
        <v>0</v>
      </c>
    </row>
    <row r="228">
      <c r="A228" s="27" t="str">
        <f>IFERROR(__xludf.DUMMYFUNCTION("""COMPUTED_VALUE"""),"")</f>
        <v/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2">
        <f>IFERROR(__xludf.DUMMYFUNCTION("""COMPUTED_VALUE"""),0.0)</f>
        <v>0</v>
      </c>
      <c r="BD228" s="22">
        <f>IFERROR(__xludf.DUMMYFUNCTION("""COMPUTED_VALUE"""),0.0)</f>
        <v>0</v>
      </c>
      <c r="BE228" s="22">
        <f>IFERROR(__xludf.DUMMYFUNCTION("""COMPUTED_VALUE"""),0.0)</f>
        <v>0</v>
      </c>
      <c r="BF228" s="22">
        <f>IFERROR(__xludf.DUMMYFUNCTION("""COMPUTED_VALUE"""),0.0)</f>
        <v>0</v>
      </c>
    </row>
    <row r="229">
      <c r="A229" s="27" t="str">
        <f>IFERROR(__xludf.DUMMYFUNCTION("""COMPUTED_VALUE"""),"")</f>
        <v/>
      </c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2">
        <f>IFERROR(__xludf.DUMMYFUNCTION("""COMPUTED_VALUE"""),0.0)</f>
        <v>0</v>
      </c>
      <c r="BD229" s="22">
        <f>IFERROR(__xludf.DUMMYFUNCTION("""COMPUTED_VALUE"""),0.0)</f>
        <v>0</v>
      </c>
      <c r="BE229" s="22">
        <f>IFERROR(__xludf.DUMMYFUNCTION("""COMPUTED_VALUE"""),0.0)</f>
        <v>0</v>
      </c>
      <c r="BF229" s="22">
        <f>IFERROR(__xludf.DUMMYFUNCTION("""COMPUTED_VALUE"""),0.0)</f>
        <v>0</v>
      </c>
    </row>
    <row r="230">
      <c r="A230" s="27" t="str">
        <f>IFERROR(__xludf.DUMMYFUNCTION("""COMPUTED_VALUE"""),"")</f>
        <v/>
      </c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2">
        <f>IFERROR(__xludf.DUMMYFUNCTION("""COMPUTED_VALUE"""),0.0)</f>
        <v>0</v>
      </c>
      <c r="BD230" s="22">
        <f>IFERROR(__xludf.DUMMYFUNCTION("""COMPUTED_VALUE"""),0.0)</f>
        <v>0</v>
      </c>
      <c r="BE230" s="22">
        <f>IFERROR(__xludf.DUMMYFUNCTION("""COMPUTED_VALUE"""),0.0)</f>
        <v>0</v>
      </c>
      <c r="BF230" s="22">
        <f>IFERROR(__xludf.DUMMYFUNCTION("""COMPUTED_VALUE"""),0.0)</f>
        <v>0</v>
      </c>
    </row>
    <row r="231">
      <c r="A231" s="27" t="str">
        <f>IFERROR(__xludf.DUMMYFUNCTION("""COMPUTED_VALUE"""),"")</f>
        <v/>
      </c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2">
        <f>IFERROR(__xludf.DUMMYFUNCTION("""COMPUTED_VALUE"""),0.0)</f>
        <v>0</v>
      </c>
      <c r="BD231" s="22">
        <f>IFERROR(__xludf.DUMMYFUNCTION("""COMPUTED_VALUE"""),0.0)</f>
        <v>0</v>
      </c>
      <c r="BE231" s="22">
        <f>IFERROR(__xludf.DUMMYFUNCTION("""COMPUTED_VALUE"""),0.0)</f>
        <v>0</v>
      </c>
      <c r="BF231" s="22">
        <f>IFERROR(__xludf.DUMMYFUNCTION("""COMPUTED_VALUE"""),0.0)</f>
        <v>0</v>
      </c>
    </row>
    <row r="232">
      <c r="A232" s="27" t="str">
        <f>IFERROR(__xludf.DUMMYFUNCTION("""COMPUTED_VALUE"""),"")</f>
        <v/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2">
        <f>IFERROR(__xludf.DUMMYFUNCTION("""COMPUTED_VALUE"""),0.0)</f>
        <v>0</v>
      </c>
      <c r="BD232" s="22">
        <f>IFERROR(__xludf.DUMMYFUNCTION("""COMPUTED_VALUE"""),0.0)</f>
        <v>0</v>
      </c>
      <c r="BE232" s="22">
        <f>IFERROR(__xludf.DUMMYFUNCTION("""COMPUTED_VALUE"""),0.0)</f>
        <v>0</v>
      </c>
      <c r="BF232" s="22">
        <f>IFERROR(__xludf.DUMMYFUNCTION("""COMPUTED_VALUE"""),0.0)</f>
        <v>0</v>
      </c>
    </row>
    <row r="233">
      <c r="A233" s="27" t="str">
        <f>IFERROR(__xludf.DUMMYFUNCTION("""COMPUTED_VALUE"""),"")</f>
        <v/>
      </c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2">
        <f>IFERROR(__xludf.DUMMYFUNCTION("""COMPUTED_VALUE"""),0.0)</f>
        <v>0</v>
      </c>
      <c r="BD233" s="22">
        <f>IFERROR(__xludf.DUMMYFUNCTION("""COMPUTED_VALUE"""),0.0)</f>
        <v>0</v>
      </c>
      <c r="BE233" s="22">
        <f>IFERROR(__xludf.DUMMYFUNCTION("""COMPUTED_VALUE"""),0.0)</f>
        <v>0</v>
      </c>
      <c r="BF233" s="22">
        <f>IFERROR(__xludf.DUMMYFUNCTION("""COMPUTED_VALUE"""),0.0)</f>
        <v>0</v>
      </c>
    </row>
    <row r="234">
      <c r="A234" s="27" t="str">
        <f>IFERROR(__xludf.DUMMYFUNCTION("""COMPUTED_VALUE"""),"")</f>
        <v/>
      </c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2">
        <f>IFERROR(__xludf.DUMMYFUNCTION("""COMPUTED_VALUE"""),0.0)</f>
        <v>0</v>
      </c>
      <c r="BD234" s="22">
        <f>IFERROR(__xludf.DUMMYFUNCTION("""COMPUTED_VALUE"""),0.0)</f>
        <v>0</v>
      </c>
      <c r="BE234" s="22">
        <f>IFERROR(__xludf.DUMMYFUNCTION("""COMPUTED_VALUE"""),0.0)</f>
        <v>0</v>
      </c>
      <c r="BF234" s="22">
        <f>IFERROR(__xludf.DUMMYFUNCTION("""COMPUTED_VALUE"""),0.0)</f>
        <v>0</v>
      </c>
    </row>
    <row r="235">
      <c r="A235" s="27" t="str">
        <f>IFERROR(__xludf.DUMMYFUNCTION("""COMPUTED_VALUE"""),"")</f>
        <v/>
      </c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2">
        <f>IFERROR(__xludf.DUMMYFUNCTION("""COMPUTED_VALUE"""),0.0)</f>
        <v>0</v>
      </c>
      <c r="BD235" s="22">
        <f>IFERROR(__xludf.DUMMYFUNCTION("""COMPUTED_VALUE"""),0.0)</f>
        <v>0</v>
      </c>
      <c r="BE235" s="22">
        <f>IFERROR(__xludf.DUMMYFUNCTION("""COMPUTED_VALUE"""),0.0)</f>
        <v>0</v>
      </c>
      <c r="BF235" s="22">
        <f>IFERROR(__xludf.DUMMYFUNCTION("""COMPUTED_VALUE"""),0.0)</f>
        <v>0</v>
      </c>
    </row>
    <row r="236">
      <c r="A236" s="27" t="str">
        <f>IFERROR(__xludf.DUMMYFUNCTION("""COMPUTED_VALUE"""),"")</f>
        <v/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2">
        <f>IFERROR(__xludf.DUMMYFUNCTION("""COMPUTED_VALUE"""),0.0)</f>
        <v>0</v>
      </c>
      <c r="BD236" s="22">
        <f>IFERROR(__xludf.DUMMYFUNCTION("""COMPUTED_VALUE"""),0.0)</f>
        <v>0</v>
      </c>
      <c r="BE236" s="22">
        <f>IFERROR(__xludf.DUMMYFUNCTION("""COMPUTED_VALUE"""),0.0)</f>
        <v>0</v>
      </c>
      <c r="BF236" s="22">
        <f>IFERROR(__xludf.DUMMYFUNCTION("""COMPUTED_VALUE"""),0.0)</f>
        <v>0</v>
      </c>
    </row>
    <row r="237">
      <c r="A237" s="27" t="str">
        <f>IFERROR(__xludf.DUMMYFUNCTION("""COMPUTED_VALUE"""),"")</f>
        <v/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2">
        <f>IFERROR(__xludf.DUMMYFUNCTION("""COMPUTED_VALUE"""),0.0)</f>
        <v>0</v>
      </c>
      <c r="BD237" s="22">
        <f>IFERROR(__xludf.DUMMYFUNCTION("""COMPUTED_VALUE"""),0.0)</f>
        <v>0</v>
      </c>
      <c r="BE237" s="22">
        <f>IFERROR(__xludf.DUMMYFUNCTION("""COMPUTED_VALUE"""),0.0)</f>
        <v>0</v>
      </c>
      <c r="BF237" s="22">
        <f>IFERROR(__xludf.DUMMYFUNCTION("""COMPUTED_VALUE"""),0.0)</f>
        <v>0</v>
      </c>
    </row>
    <row r="238">
      <c r="A238" s="27" t="str">
        <f>IFERROR(__xludf.DUMMYFUNCTION("""COMPUTED_VALUE"""),"")</f>
        <v/>
      </c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2">
        <f>IFERROR(__xludf.DUMMYFUNCTION("""COMPUTED_VALUE"""),0.0)</f>
        <v>0</v>
      </c>
      <c r="BD238" s="22">
        <f>IFERROR(__xludf.DUMMYFUNCTION("""COMPUTED_VALUE"""),0.0)</f>
        <v>0</v>
      </c>
      <c r="BE238" s="22">
        <f>IFERROR(__xludf.DUMMYFUNCTION("""COMPUTED_VALUE"""),0.0)</f>
        <v>0</v>
      </c>
      <c r="BF238" s="22">
        <f>IFERROR(__xludf.DUMMYFUNCTION("""COMPUTED_VALUE"""),0.0)</f>
        <v>0</v>
      </c>
    </row>
    <row r="239">
      <c r="A239" s="27" t="str">
        <f>IFERROR(__xludf.DUMMYFUNCTION("""COMPUTED_VALUE"""),"")</f>
        <v/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2">
        <f>IFERROR(__xludf.DUMMYFUNCTION("""COMPUTED_VALUE"""),0.0)</f>
        <v>0</v>
      </c>
      <c r="BD239" s="22">
        <f>IFERROR(__xludf.DUMMYFUNCTION("""COMPUTED_VALUE"""),0.0)</f>
        <v>0</v>
      </c>
      <c r="BE239" s="22">
        <f>IFERROR(__xludf.DUMMYFUNCTION("""COMPUTED_VALUE"""),0.0)</f>
        <v>0</v>
      </c>
      <c r="BF239" s="22">
        <f>IFERROR(__xludf.DUMMYFUNCTION("""COMPUTED_VALUE"""),0.0)</f>
        <v>0</v>
      </c>
    </row>
    <row r="240">
      <c r="A240" s="27" t="str">
        <f>IFERROR(__xludf.DUMMYFUNCTION("""COMPUTED_VALUE"""),"")</f>
        <v/>
      </c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2">
        <f>IFERROR(__xludf.DUMMYFUNCTION("""COMPUTED_VALUE"""),0.0)</f>
        <v>0</v>
      </c>
      <c r="BD240" s="22">
        <f>IFERROR(__xludf.DUMMYFUNCTION("""COMPUTED_VALUE"""),0.0)</f>
        <v>0</v>
      </c>
      <c r="BE240" s="22">
        <f>IFERROR(__xludf.DUMMYFUNCTION("""COMPUTED_VALUE"""),0.0)</f>
        <v>0</v>
      </c>
      <c r="BF240" s="22">
        <f>IFERROR(__xludf.DUMMYFUNCTION("""COMPUTED_VALUE"""),0.0)</f>
        <v>0</v>
      </c>
    </row>
    <row r="241">
      <c r="A241" s="27" t="str">
        <f>IFERROR(__xludf.DUMMYFUNCTION("""COMPUTED_VALUE"""),"")</f>
        <v/>
      </c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2">
        <f>IFERROR(__xludf.DUMMYFUNCTION("""COMPUTED_VALUE"""),0.0)</f>
        <v>0</v>
      </c>
      <c r="BD241" s="22">
        <f>IFERROR(__xludf.DUMMYFUNCTION("""COMPUTED_VALUE"""),0.0)</f>
        <v>0</v>
      </c>
      <c r="BE241" s="22">
        <f>IFERROR(__xludf.DUMMYFUNCTION("""COMPUTED_VALUE"""),0.0)</f>
        <v>0</v>
      </c>
      <c r="BF241" s="22">
        <f>IFERROR(__xludf.DUMMYFUNCTION("""COMPUTED_VALUE"""),0.0)</f>
        <v>0</v>
      </c>
    </row>
    <row r="242">
      <c r="A242" s="27" t="str">
        <f>IFERROR(__xludf.DUMMYFUNCTION("""COMPUTED_VALUE"""),"")</f>
        <v/>
      </c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2">
        <f>IFERROR(__xludf.DUMMYFUNCTION("""COMPUTED_VALUE"""),0.0)</f>
        <v>0</v>
      </c>
      <c r="BD242" s="22">
        <f>IFERROR(__xludf.DUMMYFUNCTION("""COMPUTED_VALUE"""),0.0)</f>
        <v>0</v>
      </c>
      <c r="BE242" s="22">
        <f>IFERROR(__xludf.DUMMYFUNCTION("""COMPUTED_VALUE"""),0.0)</f>
        <v>0</v>
      </c>
      <c r="BF242" s="22">
        <f>IFERROR(__xludf.DUMMYFUNCTION("""COMPUTED_VALUE"""),0.0)</f>
        <v>0</v>
      </c>
    </row>
    <row r="243">
      <c r="A243" s="27" t="str">
        <f>IFERROR(__xludf.DUMMYFUNCTION("""COMPUTED_VALUE"""),"")</f>
        <v/>
      </c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2">
        <f>IFERROR(__xludf.DUMMYFUNCTION("""COMPUTED_VALUE"""),0.0)</f>
        <v>0</v>
      </c>
      <c r="BD243" s="22">
        <f>IFERROR(__xludf.DUMMYFUNCTION("""COMPUTED_VALUE"""),0.0)</f>
        <v>0</v>
      </c>
      <c r="BE243" s="22">
        <f>IFERROR(__xludf.DUMMYFUNCTION("""COMPUTED_VALUE"""),0.0)</f>
        <v>0</v>
      </c>
      <c r="BF243" s="22">
        <f>IFERROR(__xludf.DUMMYFUNCTION("""COMPUTED_VALUE"""),0.0)</f>
        <v>0</v>
      </c>
    </row>
    <row r="244">
      <c r="A244" s="27" t="str">
        <f>IFERROR(__xludf.DUMMYFUNCTION("""COMPUTED_VALUE"""),"")</f>
        <v/>
      </c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2">
        <f>IFERROR(__xludf.DUMMYFUNCTION("""COMPUTED_VALUE"""),0.0)</f>
        <v>0</v>
      </c>
      <c r="BD244" s="22">
        <f>IFERROR(__xludf.DUMMYFUNCTION("""COMPUTED_VALUE"""),0.0)</f>
        <v>0</v>
      </c>
      <c r="BE244" s="22">
        <f>IFERROR(__xludf.DUMMYFUNCTION("""COMPUTED_VALUE"""),0.0)</f>
        <v>0</v>
      </c>
      <c r="BF244" s="22">
        <f>IFERROR(__xludf.DUMMYFUNCTION("""COMPUTED_VALUE"""),0.0)</f>
        <v>0</v>
      </c>
    </row>
    <row r="245">
      <c r="A245" s="27" t="str">
        <f>IFERROR(__xludf.DUMMYFUNCTION("""COMPUTED_VALUE"""),"")</f>
        <v/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2">
        <f>IFERROR(__xludf.DUMMYFUNCTION("""COMPUTED_VALUE"""),0.0)</f>
        <v>0</v>
      </c>
      <c r="BD245" s="22">
        <f>IFERROR(__xludf.DUMMYFUNCTION("""COMPUTED_VALUE"""),0.0)</f>
        <v>0</v>
      </c>
      <c r="BE245" s="22">
        <f>IFERROR(__xludf.DUMMYFUNCTION("""COMPUTED_VALUE"""),0.0)</f>
        <v>0</v>
      </c>
      <c r="BF245" s="22">
        <f>IFERROR(__xludf.DUMMYFUNCTION("""COMPUTED_VALUE"""),0.0)</f>
        <v>0</v>
      </c>
    </row>
    <row r="246">
      <c r="A246" s="27" t="str">
        <f>IFERROR(__xludf.DUMMYFUNCTION("""COMPUTED_VALUE"""),"")</f>
        <v/>
      </c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2">
        <f>IFERROR(__xludf.DUMMYFUNCTION("""COMPUTED_VALUE"""),0.0)</f>
        <v>0</v>
      </c>
      <c r="BD246" s="22">
        <f>IFERROR(__xludf.DUMMYFUNCTION("""COMPUTED_VALUE"""),0.0)</f>
        <v>0</v>
      </c>
      <c r="BE246" s="22">
        <f>IFERROR(__xludf.DUMMYFUNCTION("""COMPUTED_VALUE"""),0.0)</f>
        <v>0</v>
      </c>
      <c r="BF246" s="22">
        <f>IFERROR(__xludf.DUMMYFUNCTION("""COMPUTED_VALUE"""),0.0)</f>
        <v>0</v>
      </c>
    </row>
    <row r="247">
      <c r="A247" s="27" t="str">
        <f>IFERROR(__xludf.DUMMYFUNCTION("""COMPUTED_VALUE"""),"")</f>
        <v/>
      </c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2">
        <f>IFERROR(__xludf.DUMMYFUNCTION("""COMPUTED_VALUE"""),0.0)</f>
        <v>0</v>
      </c>
      <c r="BD247" s="22">
        <f>IFERROR(__xludf.DUMMYFUNCTION("""COMPUTED_VALUE"""),0.0)</f>
        <v>0</v>
      </c>
      <c r="BE247" s="22">
        <f>IFERROR(__xludf.DUMMYFUNCTION("""COMPUTED_VALUE"""),0.0)</f>
        <v>0</v>
      </c>
      <c r="BF247" s="22">
        <f>IFERROR(__xludf.DUMMYFUNCTION("""COMPUTED_VALUE"""),0.0)</f>
        <v>0</v>
      </c>
    </row>
    <row r="248">
      <c r="A248" s="27" t="str">
        <f>IFERROR(__xludf.DUMMYFUNCTION("""COMPUTED_VALUE"""),"")</f>
        <v/>
      </c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2">
        <f>IFERROR(__xludf.DUMMYFUNCTION("""COMPUTED_VALUE"""),0.0)</f>
        <v>0</v>
      </c>
      <c r="BD248" s="22">
        <f>IFERROR(__xludf.DUMMYFUNCTION("""COMPUTED_VALUE"""),0.0)</f>
        <v>0</v>
      </c>
      <c r="BE248" s="22">
        <f>IFERROR(__xludf.DUMMYFUNCTION("""COMPUTED_VALUE"""),0.0)</f>
        <v>0</v>
      </c>
      <c r="BF248" s="22">
        <f>IFERROR(__xludf.DUMMYFUNCTION("""COMPUTED_VALUE"""),0.0)</f>
        <v>0</v>
      </c>
    </row>
    <row r="249">
      <c r="A249" s="27" t="str">
        <f>IFERROR(__xludf.DUMMYFUNCTION("""COMPUTED_VALUE"""),"")</f>
        <v/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2">
        <f>IFERROR(__xludf.DUMMYFUNCTION("""COMPUTED_VALUE"""),0.0)</f>
        <v>0</v>
      </c>
      <c r="BD249" s="22">
        <f>IFERROR(__xludf.DUMMYFUNCTION("""COMPUTED_VALUE"""),0.0)</f>
        <v>0</v>
      </c>
      <c r="BE249" s="22">
        <f>IFERROR(__xludf.DUMMYFUNCTION("""COMPUTED_VALUE"""),0.0)</f>
        <v>0</v>
      </c>
      <c r="BF249" s="22">
        <f>IFERROR(__xludf.DUMMYFUNCTION("""COMPUTED_VALUE"""),0.0)</f>
        <v>0</v>
      </c>
    </row>
    <row r="250">
      <c r="A250" s="27" t="str">
        <f>IFERROR(__xludf.DUMMYFUNCTION("""COMPUTED_VALUE"""),"")</f>
        <v/>
      </c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2">
        <f>IFERROR(__xludf.DUMMYFUNCTION("""COMPUTED_VALUE"""),0.0)</f>
        <v>0</v>
      </c>
      <c r="BD250" s="22">
        <f>IFERROR(__xludf.DUMMYFUNCTION("""COMPUTED_VALUE"""),0.0)</f>
        <v>0</v>
      </c>
      <c r="BE250" s="22">
        <f>IFERROR(__xludf.DUMMYFUNCTION("""COMPUTED_VALUE"""),0.0)</f>
        <v>0</v>
      </c>
      <c r="BF250" s="22">
        <f>IFERROR(__xludf.DUMMYFUNCTION("""COMPUTED_VALUE"""),0.0)</f>
        <v>0</v>
      </c>
    </row>
    <row r="251">
      <c r="A251" s="27" t="str">
        <f>IFERROR(__xludf.DUMMYFUNCTION("""COMPUTED_VALUE"""),"")</f>
        <v/>
      </c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2">
        <f>IFERROR(__xludf.DUMMYFUNCTION("""COMPUTED_VALUE"""),0.0)</f>
        <v>0</v>
      </c>
      <c r="BD251" s="22">
        <f>IFERROR(__xludf.DUMMYFUNCTION("""COMPUTED_VALUE"""),0.0)</f>
        <v>0</v>
      </c>
      <c r="BE251" s="22">
        <f>IFERROR(__xludf.DUMMYFUNCTION("""COMPUTED_VALUE"""),0.0)</f>
        <v>0</v>
      </c>
      <c r="BF251" s="22">
        <f>IFERROR(__xludf.DUMMYFUNCTION("""COMPUTED_VALUE"""),0.0)</f>
        <v>0</v>
      </c>
    </row>
    <row r="252">
      <c r="A252" s="27" t="str">
        <f>IFERROR(__xludf.DUMMYFUNCTION("""COMPUTED_VALUE"""),"")</f>
        <v/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2">
        <f>IFERROR(__xludf.DUMMYFUNCTION("""COMPUTED_VALUE"""),0.0)</f>
        <v>0</v>
      </c>
      <c r="BD252" s="22">
        <f>IFERROR(__xludf.DUMMYFUNCTION("""COMPUTED_VALUE"""),0.0)</f>
        <v>0</v>
      </c>
      <c r="BE252" s="22">
        <f>IFERROR(__xludf.DUMMYFUNCTION("""COMPUTED_VALUE"""),0.0)</f>
        <v>0</v>
      </c>
      <c r="BF252" s="22">
        <f>IFERROR(__xludf.DUMMYFUNCTION("""COMPUTED_VALUE"""),0.0)</f>
        <v>0</v>
      </c>
    </row>
    <row r="253">
      <c r="A253" s="27" t="str">
        <f>IFERROR(__xludf.DUMMYFUNCTION("""COMPUTED_VALUE"""),"")</f>
        <v/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2">
        <f>IFERROR(__xludf.DUMMYFUNCTION("""COMPUTED_VALUE"""),0.0)</f>
        <v>0</v>
      </c>
      <c r="BD253" s="22">
        <f>IFERROR(__xludf.DUMMYFUNCTION("""COMPUTED_VALUE"""),0.0)</f>
        <v>0</v>
      </c>
      <c r="BE253" s="22">
        <f>IFERROR(__xludf.DUMMYFUNCTION("""COMPUTED_VALUE"""),0.0)</f>
        <v>0</v>
      </c>
      <c r="BF253" s="22">
        <f>IFERROR(__xludf.DUMMYFUNCTION("""COMPUTED_VALUE"""),0.0)</f>
        <v>0</v>
      </c>
    </row>
    <row r="254">
      <c r="A254" s="27" t="str">
        <f>IFERROR(__xludf.DUMMYFUNCTION("""COMPUTED_VALUE"""),"")</f>
        <v/>
      </c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2">
        <f>IFERROR(__xludf.DUMMYFUNCTION("""COMPUTED_VALUE"""),0.0)</f>
        <v>0</v>
      </c>
      <c r="BD254" s="22">
        <f>IFERROR(__xludf.DUMMYFUNCTION("""COMPUTED_VALUE"""),0.0)</f>
        <v>0</v>
      </c>
      <c r="BE254" s="22">
        <f>IFERROR(__xludf.DUMMYFUNCTION("""COMPUTED_VALUE"""),0.0)</f>
        <v>0</v>
      </c>
      <c r="BF254" s="22">
        <f>IFERROR(__xludf.DUMMYFUNCTION("""COMPUTED_VALUE"""),0.0)</f>
        <v>0</v>
      </c>
    </row>
    <row r="255">
      <c r="A255" s="27" t="str">
        <f>IFERROR(__xludf.DUMMYFUNCTION("""COMPUTED_VALUE"""),"")</f>
        <v/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2">
        <f>IFERROR(__xludf.DUMMYFUNCTION("""COMPUTED_VALUE"""),0.0)</f>
        <v>0</v>
      </c>
      <c r="BD255" s="22">
        <f>IFERROR(__xludf.DUMMYFUNCTION("""COMPUTED_VALUE"""),0.0)</f>
        <v>0</v>
      </c>
      <c r="BE255" s="22">
        <f>IFERROR(__xludf.DUMMYFUNCTION("""COMPUTED_VALUE"""),0.0)</f>
        <v>0</v>
      </c>
      <c r="BF255" s="22">
        <f>IFERROR(__xludf.DUMMYFUNCTION("""COMPUTED_VALUE"""),0.0)</f>
        <v>0</v>
      </c>
    </row>
    <row r="256">
      <c r="A256" s="27" t="str">
        <f>IFERROR(__xludf.DUMMYFUNCTION("""COMPUTED_VALUE"""),"")</f>
        <v/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2">
        <f>IFERROR(__xludf.DUMMYFUNCTION("""COMPUTED_VALUE"""),0.0)</f>
        <v>0</v>
      </c>
      <c r="BD256" s="22">
        <f>IFERROR(__xludf.DUMMYFUNCTION("""COMPUTED_VALUE"""),0.0)</f>
        <v>0</v>
      </c>
      <c r="BE256" s="22">
        <f>IFERROR(__xludf.DUMMYFUNCTION("""COMPUTED_VALUE"""),0.0)</f>
        <v>0</v>
      </c>
      <c r="BF256" s="22">
        <f>IFERROR(__xludf.DUMMYFUNCTION("""COMPUTED_VALUE"""),0.0)</f>
        <v>0</v>
      </c>
    </row>
    <row r="257">
      <c r="A257" s="27" t="str">
        <f>IFERROR(__xludf.DUMMYFUNCTION("""COMPUTED_VALUE"""),"")</f>
        <v/>
      </c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2">
        <f>IFERROR(__xludf.DUMMYFUNCTION("""COMPUTED_VALUE"""),0.0)</f>
        <v>0</v>
      </c>
      <c r="BD257" s="22">
        <f>IFERROR(__xludf.DUMMYFUNCTION("""COMPUTED_VALUE"""),0.0)</f>
        <v>0</v>
      </c>
      <c r="BE257" s="22">
        <f>IFERROR(__xludf.DUMMYFUNCTION("""COMPUTED_VALUE"""),0.0)</f>
        <v>0</v>
      </c>
      <c r="BF257" s="22">
        <f>IFERROR(__xludf.DUMMYFUNCTION("""COMPUTED_VALUE"""),0.0)</f>
        <v>0</v>
      </c>
    </row>
    <row r="258">
      <c r="A258" s="27" t="str">
        <f>IFERROR(__xludf.DUMMYFUNCTION("""COMPUTED_VALUE"""),"")</f>
        <v/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2">
        <f>IFERROR(__xludf.DUMMYFUNCTION("""COMPUTED_VALUE"""),0.0)</f>
        <v>0</v>
      </c>
      <c r="BD258" s="22">
        <f>IFERROR(__xludf.DUMMYFUNCTION("""COMPUTED_VALUE"""),0.0)</f>
        <v>0</v>
      </c>
      <c r="BE258" s="22">
        <f>IFERROR(__xludf.DUMMYFUNCTION("""COMPUTED_VALUE"""),0.0)</f>
        <v>0</v>
      </c>
      <c r="BF258" s="22">
        <f>IFERROR(__xludf.DUMMYFUNCTION("""COMPUTED_VALUE"""),0.0)</f>
        <v>0</v>
      </c>
    </row>
    <row r="259">
      <c r="A259" s="27" t="str">
        <f>IFERROR(__xludf.DUMMYFUNCTION("""COMPUTED_VALUE"""),"")</f>
        <v/>
      </c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2">
        <f>IFERROR(__xludf.DUMMYFUNCTION("""COMPUTED_VALUE"""),0.0)</f>
        <v>0</v>
      </c>
      <c r="BD259" s="22">
        <f>IFERROR(__xludf.DUMMYFUNCTION("""COMPUTED_VALUE"""),0.0)</f>
        <v>0</v>
      </c>
      <c r="BE259" s="22">
        <f>IFERROR(__xludf.DUMMYFUNCTION("""COMPUTED_VALUE"""),0.0)</f>
        <v>0</v>
      </c>
      <c r="BF259" s="22">
        <f>IFERROR(__xludf.DUMMYFUNCTION("""COMPUTED_VALUE"""),0.0)</f>
        <v>0</v>
      </c>
    </row>
    <row r="260">
      <c r="A260" s="27" t="str">
        <f>IFERROR(__xludf.DUMMYFUNCTION("""COMPUTED_VALUE"""),"")</f>
        <v/>
      </c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2">
        <f>IFERROR(__xludf.DUMMYFUNCTION("""COMPUTED_VALUE"""),0.0)</f>
        <v>0</v>
      </c>
      <c r="BD260" s="22">
        <f>IFERROR(__xludf.DUMMYFUNCTION("""COMPUTED_VALUE"""),0.0)</f>
        <v>0</v>
      </c>
      <c r="BE260" s="22">
        <f>IFERROR(__xludf.DUMMYFUNCTION("""COMPUTED_VALUE"""),0.0)</f>
        <v>0</v>
      </c>
      <c r="BF260" s="22">
        <f>IFERROR(__xludf.DUMMYFUNCTION("""COMPUTED_VALUE"""),0.0)</f>
        <v>0</v>
      </c>
    </row>
    <row r="261">
      <c r="A261" s="27" t="str">
        <f>IFERROR(__xludf.DUMMYFUNCTION("""COMPUTED_VALUE"""),"")</f>
        <v/>
      </c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2">
        <f>IFERROR(__xludf.DUMMYFUNCTION("""COMPUTED_VALUE"""),0.0)</f>
        <v>0</v>
      </c>
      <c r="BD261" s="22">
        <f>IFERROR(__xludf.DUMMYFUNCTION("""COMPUTED_VALUE"""),0.0)</f>
        <v>0</v>
      </c>
      <c r="BE261" s="22">
        <f>IFERROR(__xludf.DUMMYFUNCTION("""COMPUTED_VALUE"""),0.0)</f>
        <v>0</v>
      </c>
      <c r="BF261" s="22">
        <f>IFERROR(__xludf.DUMMYFUNCTION("""COMPUTED_VALUE"""),0.0)</f>
        <v>0</v>
      </c>
    </row>
    <row r="262">
      <c r="A262" s="27" t="str">
        <f>IFERROR(__xludf.DUMMYFUNCTION("""COMPUTED_VALUE"""),"")</f>
        <v/>
      </c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2">
        <f>IFERROR(__xludf.DUMMYFUNCTION("""COMPUTED_VALUE"""),0.0)</f>
        <v>0</v>
      </c>
      <c r="BD262" s="22">
        <f>IFERROR(__xludf.DUMMYFUNCTION("""COMPUTED_VALUE"""),0.0)</f>
        <v>0</v>
      </c>
      <c r="BE262" s="22">
        <f>IFERROR(__xludf.DUMMYFUNCTION("""COMPUTED_VALUE"""),0.0)</f>
        <v>0</v>
      </c>
      <c r="BF262" s="22">
        <f>IFERROR(__xludf.DUMMYFUNCTION("""COMPUTED_VALUE"""),0.0)</f>
        <v>0</v>
      </c>
    </row>
    <row r="263">
      <c r="A263" s="27" t="str">
        <f>IFERROR(__xludf.DUMMYFUNCTION("""COMPUTED_VALUE"""),"")</f>
        <v/>
      </c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2">
        <f>IFERROR(__xludf.DUMMYFUNCTION("""COMPUTED_VALUE"""),0.0)</f>
        <v>0</v>
      </c>
      <c r="BD263" s="22">
        <f>IFERROR(__xludf.DUMMYFUNCTION("""COMPUTED_VALUE"""),0.0)</f>
        <v>0</v>
      </c>
      <c r="BE263" s="22">
        <f>IFERROR(__xludf.DUMMYFUNCTION("""COMPUTED_VALUE"""),0.0)</f>
        <v>0</v>
      </c>
      <c r="BF263" s="22">
        <f>IFERROR(__xludf.DUMMYFUNCTION("""COMPUTED_VALUE"""),0.0)</f>
        <v>0</v>
      </c>
    </row>
    <row r="264">
      <c r="A264" s="27" t="str">
        <f>IFERROR(__xludf.DUMMYFUNCTION("""COMPUTED_VALUE"""),"")</f>
        <v/>
      </c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2">
        <f>IFERROR(__xludf.DUMMYFUNCTION("""COMPUTED_VALUE"""),0.0)</f>
        <v>0</v>
      </c>
      <c r="BD264" s="22">
        <f>IFERROR(__xludf.DUMMYFUNCTION("""COMPUTED_VALUE"""),0.0)</f>
        <v>0</v>
      </c>
      <c r="BE264" s="22">
        <f>IFERROR(__xludf.DUMMYFUNCTION("""COMPUTED_VALUE"""),0.0)</f>
        <v>0</v>
      </c>
      <c r="BF264" s="22">
        <f>IFERROR(__xludf.DUMMYFUNCTION("""COMPUTED_VALUE"""),0.0)</f>
        <v>0</v>
      </c>
    </row>
    <row r="265">
      <c r="A265" s="27" t="str">
        <f>IFERROR(__xludf.DUMMYFUNCTION("""COMPUTED_VALUE"""),"")</f>
        <v/>
      </c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2">
        <f>IFERROR(__xludf.DUMMYFUNCTION("""COMPUTED_VALUE"""),0.0)</f>
        <v>0</v>
      </c>
      <c r="BD265" s="22">
        <f>IFERROR(__xludf.DUMMYFUNCTION("""COMPUTED_VALUE"""),0.0)</f>
        <v>0</v>
      </c>
      <c r="BE265" s="22">
        <f>IFERROR(__xludf.DUMMYFUNCTION("""COMPUTED_VALUE"""),0.0)</f>
        <v>0</v>
      </c>
      <c r="BF265" s="22">
        <f>IFERROR(__xludf.DUMMYFUNCTION("""COMPUTED_VALUE"""),0.0)</f>
        <v>0</v>
      </c>
    </row>
    <row r="266">
      <c r="A266" s="27" t="str">
        <f>IFERROR(__xludf.DUMMYFUNCTION("""COMPUTED_VALUE"""),"")</f>
        <v/>
      </c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2">
        <f>IFERROR(__xludf.DUMMYFUNCTION("""COMPUTED_VALUE"""),0.0)</f>
        <v>0</v>
      </c>
      <c r="BD266" s="22">
        <f>IFERROR(__xludf.DUMMYFUNCTION("""COMPUTED_VALUE"""),0.0)</f>
        <v>0</v>
      </c>
      <c r="BE266" s="22">
        <f>IFERROR(__xludf.DUMMYFUNCTION("""COMPUTED_VALUE"""),0.0)</f>
        <v>0</v>
      </c>
      <c r="BF266" s="22">
        <f>IFERROR(__xludf.DUMMYFUNCTION("""COMPUTED_VALUE"""),0.0)</f>
        <v>0</v>
      </c>
    </row>
    <row r="267">
      <c r="A267" s="27" t="str">
        <f>IFERROR(__xludf.DUMMYFUNCTION("""COMPUTED_VALUE"""),"")</f>
        <v/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2">
        <f>IFERROR(__xludf.DUMMYFUNCTION("""COMPUTED_VALUE"""),0.0)</f>
        <v>0</v>
      </c>
      <c r="BD267" s="22">
        <f>IFERROR(__xludf.DUMMYFUNCTION("""COMPUTED_VALUE"""),0.0)</f>
        <v>0</v>
      </c>
      <c r="BE267" s="22">
        <f>IFERROR(__xludf.DUMMYFUNCTION("""COMPUTED_VALUE"""),0.0)</f>
        <v>0</v>
      </c>
      <c r="BF267" s="22">
        <f>IFERROR(__xludf.DUMMYFUNCTION("""COMPUTED_VALUE"""),0.0)</f>
        <v>0</v>
      </c>
    </row>
    <row r="268">
      <c r="A268" s="27" t="str">
        <f>IFERROR(__xludf.DUMMYFUNCTION("""COMPUTED_VALUE"""),"")</f>
        <v/>
      </c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2">
        <f>IFERROR(__xludf.DUMMYFUNCTION("""COMPUTED_VALUE"""),0.0)</f>
        <v>0</v>
      </c>
      <c r="BD268" s="22">
        <f>IFERROR(__xludf.DUMMYFUNCTION("""COMPUTED_VALUE"""),0.0)</f>
        <v>0</v>
      </c>
      <c r="BE268" s="22">
        <f>IFERROR(__xludf.DUMMYFUNCTION("""COMPUTED_VALUE"""),0.0)</f>
        <v>0</v>
      </c>
      <c r="BF268" s="22">
        <f>IFERROR(__xludf.DUMMYFUNCTION("""COMPUTED_VALUE"""),0.0)</f>
        <v>0</v>
      </c>
    </row>
    <row r="269">
      <c r="A269" s="27" t="str">
        <f>IFERROR(__xludf.DUMMYFUNCTION("""COMPUTED_VALUE"""),"")</f>
        <v/>
      </c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2">
        <f>IFERROR(__xludf.DUMMYFUNCTION("""COMPUTED_VALUE"""),0.0)</f>
        <v>0</v>
      </c>
      <c r="BD269" s="22">
        <f>IFERROR(__xludf.DUMMYFUNCTION("""COMPUTED_VALUE"""),0.0)</f>
        <v>0</v>
      </c>
      <c r="BE269" s="22">
        <f>IFERROR(__xludf.DUMMYFUNCTION("""COMPUTED_VALUE"""),0.0)</f>
        <v>0</v>
      </c>
      <c r="BF269" s="22">
        <f>IFERROR(__xludf.DUMMYFUNCTION("""COMPUTED_VALUE"""),0.0)</f>
        <v>0</v>
      </c>
    </row>
    <row r="270">
      <c r="A270" s="27" t="str">
        <f>IFERROR(__xludf.DUMMYFUNCTION("""COMPUTED_VALUE"""),"")</f>
        <v/>
      </c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2">
        <f>IFERROR(__xludf.DUMMYFUNCTION("""COMPUTED_VALUE"""),0.0)</f>
        <v>0</v>
      </c>
      <c r="BD270" s="22">
        <f>IFERROR(__xludf.DUMMYFUNCTION("""COMPUTED_VALUE"""),0.0)</f>
        <v>0</v>
      </c>
      <c r="BE270" s="22">
        <f>IFERROR(__xludf.DUMMYFUNCTION("""COMPUTED_VALUE"""),0.0)</f>
        <v>0</v>
      </c>
      <c r="BF270" s="22">
        <f>IFERROR(__xludf.DUMMYFUNCTION("""COMPUTED_VALUE"""),0.0)</f>
        <v>0</v>
      </c>
    </row>
    <row r="271">
      <c r="A271" s="27" t="str">
        <f>IFERROR(__xludf.DUMMYFUNCTION("""COMPUTED_VALUE"""),"")</f>
        <v/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2">
        <f>IFERROR(__xludf.DUMMYFUNCTION("""COMPUTED_VALUE"""),0.0)</f>
        <v>0</v>
      </c>
      <c r="BD271" s="22">
        <f>IFERROR(__xludf.DUMMYFUNCTION("""COMPUTED_VALUE"""),0.0)</f>
        <v>0</v>
      </c>
      <c r="BE271" s="22">
        <f>IFERROR(__xludf.DUMMYFUNCTION("""COMPUTED_VALUE"""),0.0)</f>
        <v>0</v>
      </c>
      <c r="BF271" s="22">
        <f>IFERROR(__xludf.DUMMYFUNCTION("""COMPUTED_VALUE"""),0.0)</f>
        <v>0</v>
      </c>
    </row>
    <row r="272">
      <c r="A272" s="27" t="str">
        <f>IFERROR(__xludf.DUMMYFUNCTION("""COMPUTED_VALUE"""),"")</f>
        <v/>
      </c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2">
        <f>IFERROR(__xludf.DUMMYFUNCTION("""COMPUTED_VALUE"""),0.0)</f>
        <v>0</v>
      </c>
      <c r="BD272" s="22">
        <f>IFERROR(__xludf.DUMMYFUNCTION("""COMPUTED_VALUE"""),0.0)</f>
        <v>0</v>
      </c>
      <c r="BE272" s="22">
        <f>IFERROR(__xludf.DUMMYFUNCTION("""COMPUTED_VALUE"""),0.0)</f>
        <v>0</v>
      </c>
      <c r="BF272" s="22">
        <f>IFERROR(__xludf.DUMMYFUNCTION("""COMPUTED_VALUE"""),0.0)</f>
        <v>0</v>
      </c>
    </row>
    <row r="273">
      <c r="A273" s="27" t="str">
        <f>IFERROR(__xludf.DUMMYFUNCTION("""COMPUTED_VALUE"""),"")</f>
        <v/>
      </c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2">
        <f>IFERROR(__xludf.DUMMYFUNCTION("""COMPUTED_VALUE"""),0.0)</f>
        <v>0</v>
      </c>
      <c r="BD273" s="22">
        <f>IFERROR(__xludf.DUMMYFUNCTION("""COMPUTED_VALUE"""),0.0)</f>
        <v>0</v>
      </c>
      <c r="BE273" s="22">
        <f>IFERROR(__xludf.DUMMYFUNCTION("""COMPUTED_VALUE"""),0.0)</f>
        <v>0</v>
      </c>
      <c r="BF273" s="22">
        <f>IFERROR(__xludf.DUMMYFUNCTION("""COMPUTED_VALUE"""),0.0)</f>
        <v>0</v>
      </c>
    </row>
    <row r="274">
      <c r="A274" s="27" t="str">
        <f>IFERROR(__xludf.DUMMYFUNCTION("""COMPUTED_VALUE"""),"")</f>
        <v/>
      </c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2">
        <f>IFERROR(__xludf.DUMMYFUNCTION("""COMPUTED_VALUE"""),0.0)</f>
        <v>0</v>
      </c>
      <c r="BD274" s="22">
        <f>IFERROR(__xludf.DUMMYFUNCTION("""COMPUTED_VALUE"""),0.0)</f>
        <v>0</v>
      </c>
      <c r="BE274" s="22">
        <f>IFERROR(__xludf.DUMMYFUNCTION("""COMPUTED_VALUE"""),0.0)</f>
        <v>0</v>
      </c>
      <c r="BF274" s="22">
        <f>IFERROR(__xludf.DUMMYFUNCTION("""COMPUTED_VALUE"""),0.0)</f>
        <v>0</v>
      </c>
    </row>
    <row r="275">
      <c r="A275" s="27" t="str">
        <f>IFERROR(__xludf.DUMMYFUNCTION("""COMPUTED_VALUE"""),"")</f>
        <v/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2">
        <f>IFERROR(__xludf.DUMMYFUNCTION("""COMPUTED_VALUE"""),0.0)</f>
        <v>0</v>
      </c>
      <c r="BD275" s="22">
        <f>IFERROR(__xludf.DUMMYFUNCTION("""COMPUTED_VALUE"""),0.0)</f>
        <v>0</v>
      </c>
      <c r="BE275" s="22">
        <f>IFERROR(__xludf.DUMMYFUNCTION("""COMPUTED_VALUE"""),0.0)</f>
        <v>0</v>
      </c>
      <c r="BF275" s="22">
        <f>IFERROR(__xludf.DUMMYFUNCTION("""COMPUTED_VALUE"""),0.0)</f>
        <v>0</v>
      </c>
    </row>
    <row r="276">
      <c r="A276" s="27" t="str">
        <f>IFERROR(__xludf.DUMMYFUNCTION("""COMPUTED_VALUE"""),"")</f>
        <v/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2">
        <f>IFERROR(__xludf.DUMMYFUNCTION("""COMPUTED_VALUE"""),0.0)</f>
        <v>0</v>
      </c>
      <c r="BD276" s="22">
        <f>IFERROR(__xludf.DUMMYFUNCTION("""COMPUTED_VALUE"""),0.0)</f>
        <v>0</v>
      </c>
      <c r="BE276" s="22">
        <f>IFERROR(__xludf.DUMMYFUNCTION("""COMPUTED_VALUE"""),0.0)</f>
        <v>0</v>
      </c>
      <c r="BF276" s="22">
        <f>IFERROR(__xludf.DUMMYFUNCTION("""COMPUTED_VALUE"""),0.0)</f>
        <v>0</v>
      </c>
    </row>
    <row r="277">
      <c r="A277" s="27" t="str">
        <f>IFERROR(__xludf.DUMMYFUNCTION("""COMPUTED_VALUE"""),"")</f>
        <v/>
      </c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2">
        <f>IFERROR(__xludf.DUMMYFUNCTION("""COMPUTED_VALUE"""),0.0)</f>
        <v>0</v>
      </c>
      <c r="BD277" s="22">
        <f>IFERROR(__xludf.DUMMYFUNCTION("""COMPUTED_VALUE"""),0.0)</f>
        <v>0</v>
      </c>
      <c r="BE277" s="22">
        <f>IFERROR(__xludf.DUMMYFUNCTION("""COMPUTED_VALUE"""),0.0)</f>
        <v>0</v>
      </c>
      <c r="BF277" s="22">
        <f>IFERROR(__xludf.DUMMYFUNCTION("""COMPUTED_VALUE"""),0.0)</f>
        <v>0</v>
      </c>
    </row>
    <row r="278">
      <c r="A278" s="27" t="str">
        <f>IFERROR(__xludf.DUMMYFUNCTION("""COMPUTED_VALUE"""),"")</f>
        <v/>
      </c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2">
        <f>IFERROR(__xludf.DUMMYFUNCTION("""COMPUTED_VALUE"""),0.0)</f>
        <v>0</v>
      </c>
      <c r="BD278" s="22">
        <f>IFERROR(__xludf.DUMMYFUNCTION("""COMPUTED_VALUE"""),0.0)</f>
        <v>0</v>
      </c>
      <c r="BE278" s="22">
        <f>IFERROR(__xludf.DUMMYFUNCTION("""COMPUTED_VALUE"""),0.0)</f>
        <v>0</v>
      </c>
      <c r="BF278" s="22">
        <f>IFERROR(__xludf.DUMMYFUNCTION("""COMPUTED_VALUE"""),0.0)</f>
        <v>0</v>
      </c>
    </row>
    <row r="279">
      <c r="A279" s="27" t="str">
        <f>IFERROR(__xludf.DUMMYFUNCTION("""COMPUTED_VALUE"""),"")</f>
        <v/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2">
        <f>IFERROR(__xludf.DUMMYFUNCTION("""COMPUTED_VALUE"""),0.0)</f>
        <v>0</v>
      </c>
      <c r="BD279" s="22">
        <f>IFERROR(__xludf.DUMMYFUNCTION("""COMPUTED_VALUE"""),0.0)</f>
        <v>0</v>
      </c>
      <c r="BE279" s="22">
        <f>IFERROR(__xludf.DUMMYFUNCTION("""COMPUTED_VALUE"""),0.0)</f>
        <v>0</v>
      </c>
      <c r="BF279" s="22">
        <f>IFERROR(__xludf.DUMMYFUNCTION("""COMPUTED_VALUE"""),0.0)</f>
        <v>0</v>
      </c>
    </row>
    <row r="280">
      <c r="A280" s="27" t="str">
        <f>IFERROR(__xludf.DUMMYFUNCTION("""COMPUTED_VALUE"""),"")</f>
        <v/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2">
        <f>IFERROR(__xludf.DUMMYFUNCTION("""COMPUTED_VALUE"""),0.0)</f>
        <v>0</v>
      </c>
      <c r="BD280" s="22">
        <f>IFERROR(__xludf.DUMMYFUNCTION("""COMPUTED_VALUE"""),0.0)</f>
        <v>0</v>
      </c>
      <c r="BE280" s="22">
        <f>IFERROR(__xludf.DUMMYFUNCTION("""COMPUTED_VALUE"""),0.0)</f>
        <v>0</v>
      </c>
      <c r="BF280" s="22">
        <f>IFERROR(__xludf.DUMMYFUNCTION("""COMPUTED_VALUE"""),0.0)</f>
        <v>0</v>
      </c>
    </row>
    <row r="281">
      <c r="A281" s="27" t="str">
        <f>IFERROR(__xludf.DUMMYFUNCTION("""COMPUTED_VALUE"""),"")</f>
        <v/>
      </c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2">
        <f>IFERROR(__xludf.DUMMYFUNCTION("""COMPUTED_VALUE"""),0.0)</f>
        <v>0</v>
      </c>
      <c r="BD281" s="22">
        <f>IFERROR(__xludf.DUMMYFUNCTION("""COMPUTED_VALUE"""),0.0)</f>
        <v>0</v>
      </c>
      <c r="BE281" s="22">
        <f>IFERROR(__xludf.DUMMYFUNCTION("""COMPUTED_VALUE"""),0.0)</f>
        <v>0</v>
      </c>
      <c r="BF281" s="22">
        <f>IFERROR(__xludf.DUMMYFUNCTION("""COMPUTED_VALUE"""),0.0)</f>
        <v>0</v>
      </c>
    </row>
    <row r="282">
      <c r="A282" s="27" t="str">
        <f>IFERROR(__xludf.DUMMYFUNCTION("""COMPUTED_VALUE"""),"")</f>
        <v/>
      </c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2">
        <f>IFERROR(__xludf.DUMMYFUNCTION("""COMPUTED_VALUE"""),0.0)</f>
        <v>0</v>
      </c>
      <c r="BD282" s="22">
        <f>IFERROR(__xludf.DUMMYFUNCTION("""COMPUTED_VALUE"""),0.0)</f>
        <v>0</v>
      </c>
      <c r="BE282" s="22">
        <f>IFERROR(__xludf.DUMMYFUNCTION("""COMPUTED_VALUE"""),0.0)</f>
        <v>0</v>
      </c>
      <c r="BF282" s="22">
        <f>IFERROR(__xludf.DUMMYFUNCTION("""COMPUTED_VALUE"""),0.0)</f>
        <v>0</v>
      </c>
    </row>
    <row r="283">
      <c r="A283" s="27" t="str">
        <f>IFERROR(__xludf.DUMMYFUNCTION("""COMPUTED_VALUE"""),"")</f>
        <v/>
      </c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2">
        <f>IFERROR(__xludf.DUMMYFUNCTION("""COMPUTED_VALUE"""),0.0)</f>
        <v>0</v>
      </c>
      <c r="BD283" s="22">
        <f>IFERROR(__xludf.DUMMYFUNCTION("""COMPUTED_VALUE"""),0.0)</f>
        <v>0</v>
      </c>
      <c r="BE283" s="22">
        <f>IFERROR(__xludf.DUMMYFUNCTION("""COMPUTED_VALUE"""),0.0)</f>
        <v>0</v>
      </c>
      <c r="BF283" s="22">
        <f>IFERROR(__xludf.DUMMYFUNCTION("""COMPUTED_VALUE"""),0.0)</f>
        <v>0</v>
      </c>
    </row>
    <row r="284">
      <c r="A284" s="27" t="str">
        <f>IFERROR(__xludf.DUMMYFUNCTION("""COMPUTED_VALUE"""),"")</f>
        <v/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2">
        <f>IFERROR(__xludf.DUMMYFUNCTION("""COMPUTED_VALUE"""),0.0)</f>
        <v>0</v>
      </c>
      <c r="BD284" s="22">
        <f>IFERROR(__xludf.DUMMYFUNCTION("""COMPUTED_VALUE"""),0.0)</f>
        <v>0</v>
      </c>
      <c r="BE284" s="22">
        <f>IFERROR(__xludf.DUMMYFUNCTION("""COMPUTED_VALUE"""),0.0)</f>
        <v>0</v>
      </c>
      <c r="BF284" s="22">
        <f>IFERROR(__xludf.DUMMYFUNCTION("""COMPUTED_VALUE"""),0.0)</f>
        <v>0</v>
      </c>
    </row>
    <row r="285">
      <c r="A285" s="27" t="str">
        <f>IFERROR(__xludf.DUMMYFUNCTION("""COMPUTED_VALUE"""),"")</f>
        <v/>
      </c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2">
        <f>IFERROR(__xludf.DUMMYFUNCTION("""COMPUTED_VALUE"""),0.0)</f>
        <v>0</v>
      </c>
      <c r="BD285" s="22">
        <f>IFERROR(__xludf.DUMMYFUNCTION("""COMPUTED_VALUE"""),0.0)</f>
        <v>0</v>
      </c>
      <c r="BE285" s="22">
        <f>IFERROR(__xludf.DUMMYFUNCTION("""COMPUTED_VALUE"""),0.0)</f>
        <v>0</v>
      </c>
      <c r="BF285" s="22">
        <f>IFERROR(__xludf.DUMMYFUNCTION("""COMPUTED_VALUE"""),0.0)</f>
        <v>0</v>
      </c>
    </row>
    <row r="286">
      <c r="A286" s="27" t="str">
        <f>IFERROR(__xludf.DUMMYFUNCTION("""COMPUTED_VALUE"""),"")</f>
        <v/>
      </c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2">
        <f>IFERROR(__xludf.DUMMYFUNCTION("""COMPUTED_VALUE"""),0.0)</f>
        <v>0</v>
      </c>
      <c r="BD286" s="22">
        <f>IFERROR(__xludf.DUMMYFUNCTION("""COMPUTED_VALUE"""),0.0)</f>
        <v>0</v>
      </c>
      <c r="BE286" s="22">
        <f>IFERROR(__xludf.DUMMYFUNCTION("""COMPUTED_VALUE"""),0.0)</f>
        <v>0</v>
      </c>
      <c r="BF286" s="22">
        <f>IFERROR(__xludf.DUMMYFUNCTION("""COMPUTED_VALUE"""),0.0)</f>
        <v>0</v>
      </c>
    </row>
    <row r="287">
      <c r="A287" s="27" t="str">
        <f>IFERROR(__xludf.DUMMYFUNCTION("""COMPUTED_VALUE"""),"")</f>
        <v/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2">
        <f>IFERROR(__xludf.DUMMYFUNCTION("""COMPUTED_VALUE"""),0.0)</f>
        <v>0</v>
      </c>
      <c r="BD287" s="22">
        <f>IFERROR(__xludf.DUMMYFUNCTION("""COMPUTED_VALUE"""),0.0)</f>
        <v>0</v>
      </c>
      <c r="BE287" s="22">
        <f>IFERROR(__xludf.DUMMYFUNCTION("""COMPUTED_VALUE"""),0.0)</f>
        <v>0</v>
      </c>
      <c r="BF287" s="22">
        <f>IFERROR(__xludf.DUMMYFUNCTION("""COMPUTED_VALUE"""),0.0)</f>
        <v>0</v>
      </c>
    </row>
    <row r="288">
      <c r="A288" s="27" t="str">
        <f>IFERROR(__xludf.DUMMYFUNCTION("""COMPUTED_VALUE"""),"")</f>
        <v/>
      </c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2">
        <f>IFERROR(__xludf.DUMMYFUNCTION("""COMPUTED_VALUE"""),0.0)</f>
        <v>0</v>
      </c>
      <c r="BD288" s="22">
        <f>IFERROR(__xludf.DUMMYFUNCTION("""COMPUTED_VALUE"""),0.0)</f>
        <v>0</v>
      </c>
      <c r="BE288" s="22">
        <f>IFERROR(__xludf.DUMMYFUNCTION("""COMPUTED_VALUE"""),0.0)</f>
        <v>0</v>
      </c>
      <c r="BF288" s="22">
        <f>IFERROR(__xludf.DUMMYFUNCTION("""COMPUTED_VALUE"""),0.0)</f>
        <v>0</v>
      </c>
    </row>
    <row r="289">
      <c r="A289" s="27" t="str">
        <f>IFERROR(__xludf.DUMMYFUNCTION("""COMPUTED_VALUE"""),"")</f>
        <v/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2">
        <f>IFERROR(__xludf.DUMMYFUNCTION("""COMPUTED_VALUE"""),0.0)</f>
        <v>0</v>
      </c>
      <c r="BD289" s="22">
        <f>IFERROR(__xludf.DUMMYFUNCTION("""COMPUTED_VALUE"""),0.0)</f>
        <v>0</v>
      </c>
      <c r="BE289" s="22">
        <f>IFERROR(__xludf.DUMMYFUNCTION("""COMPUTED_VALUE"""),0.0)</f>
        <v>0</v>
      </c>
      <c r="BF289" s="22">
        <f>IFERROR(__xludf.DUMMYFUNCTION("""COMPUTED_VALUE"""),0.0)</f>
        <v>0</v>
      </c>
    </row>
    <row r="290">
      <c r="A290" s="27" t="str">
        <f>IFERROR(__xludf.DUMMYFUNCTION("""COMPUTED_VALUE"""),"")</f>
        <v/>
      </c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2">
        <f>IFERROR(__xludf.DUMMYFUNCTION("""COMPUTED_VALUE"""),0.0)</f>
        <v>0</v>
      </c>
      <c r="BD290" s="22">
        <f>IFERROR(__xludf.DUMMYFUNCTION("""COMPUTED_VALUE"""),0.0)</f>
        <v>0</v>
      </c>
      <c r="BE290" s="22">
        <f>IFERROR(__xludf.DUMMYFUNCTION("""COMPUTED_VALUE"""),0.0)</f>
        <v>0</v>
      </c>
      <c r="BF290" s="22">
        <f>IFERROR(__xludf.DUMMYFUNCTION("""COMPUTED_VALUE"""),0.0)</f>
        <v>0</v>
      </c>
    </row>
    <row r="291">
      <c r="A291" s="27" t="str">
        <f>IFERROR(__xludf.DUMMYFUNCTION("""COMPUTED_VALUE"""),"")</f>
        <v/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2">
        <f>IFERROR(__xludf.DUMMYFUNCTION("""COMPUTED_VALUE"""),0.0)</f>
        <v>0</v>
      </c>
      <c r="BD291" s="22">
        <f>IFERROR(__xludf.DUMMYFUNCTION("""COMPUTED_VALUE"""),0.0)</f>
        <v>0</v>
      </c>
      <c r="BE291" s="22">
        <f>IFERROR(__xludf.DUMMYFUNCTION("""COMPUTED_VALUE"""),0.0)</f>
        <v>0</v>
      </c>
      <c r="BF291" s="22">
        <f>IFERROR(__xludf.DUMMYFUNCTION("""COMPUTED_VALUE"""),0.0)</f>
        <v>0</v>
      </c>
    </row>
    <row r="292">
      <c r="A292" s="27" t="str">
        <f>IFERROR(__xludf.DUMMYFUNCTION("""COMPUTED_VALUE"""),"")</f>
        <v/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2">
        <f>IFERROR(__xludf.DUMMYFUNCTION("""COMPUTED_VALUE"""),0.0)</f>
        <v>0</v>
      </c>
      <c r="BD292" s="22">
        <f>IFERROR(__xludf.DUMMYFUNCTION("""COMPUTED_VALUE"""),0.0)</f>
        <v>0</v>
      </c>
      <c r="BE292" s="22">
        <f>IFERROR(__xludf.DUMMYFUNCTION("""COMPUTED_VALUE"""),0.0)</f>
        <v>0</v>
      </c>
      <c r="BF292" s="22">
        <f>IFERROR(__xludf.DUMMYFUNCTION("""COMPUTED_VALUE"""),0.0)</f>
        <v>0</v>
      </c>
    </row>
    <row r="293">
      <c r="A293" s="27" t="str">
        <f>IFERROR(__xludf.DUMMYFUNCTION("""COMPUTED_VALUE"""),"")</f>
        <v/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2">
        <f>IFERROR(__xludf.DUMMYFUNCTION("""COMPUTED_VALUE"""),0.0)</f>
        <v>0</v>
      </c>
      <c r="BD293" s="22">
        <f>IFERROR(__xludf.DUMMYFUNCTION("""COMPUTED_VALUE"""),0.0)</f>
        <v>0</v>
      </c>
      <c r="BE293" s="22">
        <f>IFERROR(__xludf.DUMMYFUNCTION("""COMPUTED_VALUE"""),0.0)</f>
        <v>0</v>
      </c>
      <c r="BF293" s="22">
        <f>IFERROR(__xludf.DUMMYFUNCTION("""COMPUTED_VALUE"""),0.0)</f>
        <v>0</v>
      </c>
    </row>
    <row r="294">
      <c r="A294" s="27" t="str">
        <f>IFERROR(__xludf.DUMMYFUNCTION("""COMPUTED_VALUE"""),"")</f>
        <v/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2">
        <f>IFERROR(__xludf.DUMMYFUNCTION("""COMPUTED_VALUE"""),0.0)</f>
        <v>0</v>
      </c>
      <c r="BD294" s="22">
        <f>IFERROR(__xludf.DUMMYFUNCTION("""COMPUTED_VALUE"""),0.0)</f>
        <v>0</v>
      </c>
      <c r="BE294" s="22">
        <f>IFERROR(__xludf.DUMMYFUNCTION("""COMPUTED_VALUE"""),0.0)</f>
        <v>0</v>
      </c>
      <c r="BF294" s="22">
        <f>IFERROR(__xludf.DUMMYFUNCTION("""COMPUTED_VALUE"""),0.0)</f>
        <v>0</v>
      </c>
    </row>
    <row r="295">
      <c r="A295" s="27" t="str">
        <f>IFERROR(__xludf.DUMMYFUNCTION("""COMPUTED_VALUE"""),"")</f>
        <v/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2">
        <f>IFERROR(__xludf.DUMMYFUNCTION("""COMPUTED_VALUE"""),0.0)</f>
        <v>0</v>
      </c>
      <c r="BD295" s="22">
        <f>IFERROR(__xludf.DUMMYFUNCTION("""COMPUTED_VALUE"""),0.0)</f>
        <v>0</v>
      </c>
      <c r="BE295" s="22">
        <f>IFERROR(__xludf.DUMMYFUNCTION("""COMPUTED_VALUE"""),0.0)</f>
        <v>0</v>
      </c>
      <c r="BF295" s="22">
        <f>IFERROR(__xludf.DUMMYFUNCTION("""COMPUTED_VALUE"""),0.0)</f>
        <v>0</v>
      </c>
    </row>
    <row r="296">
      <c r="A296" s="27" t="str">
        <f>IFERROR(__xludf.DUMMYFUNCTION("""COMPUTED_VALUE"""),"")</f>
        <v/>
      </c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2">
        <f>IFERROR(__xludf.DUMMYFUNCTION("""COMPUTED_VALUE"""),0.0)</f>
        <v>0</v>
      </c>
      <c r="BD296" s="22">
        <f>IFERROR(__xludf.DUMMYFUNCTION("""COMPUTED_VALUE"""),0.0)</f>
        <v>0</v>
      </c>
      <c r="BE296" s="22">
        <f>IFERROR(__xludf.DUMMYFUNCTION("""COMPUTED_VALUE"""),0.0)</f>
        <v>0</v>
      </c>
      <c r="BF296" s="22">
        <f>IFERROR(__xludf.DUMMYFUNCTION("""COMPUTED_VALUE"""),0.0)</f>
        <v>0</v>
      </c>
    </row>
    <row r="297">
      <c r="A297" s="27" t="str">
        <f>IFERROR(__xludf.DUMMYFUNCTION("""COMPUTED_VALUE"""),"")</f>
        <v/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2">
        <f>IFERROR(__xludf.DUMMYFUNCTION("""COMPUTED_VALUE"""),0.0)</f>
        <v>0</v>
      </c>
      <c r="BD297" s="22">
        <f>IFERROR(__xludf.DUMMYFUNCTION("""COMPUTED_VALUE"""),0.0)</f>
        <v>0</v>
      </c>
      <c r="BE297" s="22">
        <f>IFERROR(__xludf.DUMMYFUNCTION("""COMPUTED_VALUE"""),0.0)</f>
        <v>0</v>
      </c>
      <c r="BF297" s="22">
        <f>IFERROR(__xludf.DUMMYFUNCTION("""COMPUTED_VALUE"""),0.0)</f>
        <v>0</v>
      </c>
    </row>
    <row r="298">
      <c r="A298" s="27" t="str">
        <f>IFERROR(__xludf.DUMMYFUNCTION("""COMPUTED_VALUE"""),"")</f>
        <v/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2">
        <f>IFERROR(__xludf.DUMMYFUNCTION("""COMPUTED_VALUE"""),0.0)</f>
        <v>0</v>
      </c>
      <c r="BD298" s="22">
        <f>IFERROR(__xludf.DUMMYFUNCTION("""COMPUTED_VALUE"""),0.0)</f>
        <v>0</v>
      </c>
      <c r="BE298" s="22">
        <f>IFERROR(__xludf.DUMMYFUNCTION("""COMPUTED_VALUE"""),0.0)</f>
        <v>0</v>
      </c>
      <c r="BF298" s="22">
        <f>IFERROR(__xludf.DUMMYFUNCTION("""COMPUTED_VALUE"""),0.0)</f>
        <v>0</v>
      </c>
    </row>
    <row r="299">
      <c r="A299" s="27" t="str">
        <f>IFERROR(__xludf.DUMMYFUNCTION("""COMPUTED_VALUE"""),"")</f>
        <v/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2">
        <f>IFERROR(__xludf.DUMMYFUNCTION("""COMPUTED_VALUE"""),0.0)</f>
        <v>0</v>
      </c>
      <c r="BD299" s="22">
        <f>IFERROR(__xludf.DUMMYFUNCTION("""COMPUTED_VALUE"""),0.0)</f>
        <v>0</v>
      </c>
      <c r="BE299" s="22">
        <f>IFERROR(__xludf.DUMMYFUNCTION("""COMPUTED_VALUE"""),0.0)</f>
        <v>0</v>
      </c>
      <c r="BF299" s="22">
        <f>IFERROR(__xludf.DUMMYFUNCTION("""COMPUTED_VALUE"""),0.0)</f>
        <v>0</v>
      </c>
    </row>
    <row r="300">
      <c r="A300" s="27" t="str">
        <f>IFERROR(__xludf.DUMMYFUNCTION("""COMPUTED_VALUE"""),"")</f>
        <v/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2">
        <f>IFERROR(__xludf.DUMMYFUNCTION("""COMPUTED_VALUE"""),0.0)</f>
        <v>0</v>
      </c>
      <c r="BD300" s="22">
        <f>IFERROR(__xludf.DUMMYFUNCTION("""COMPUTED_VALUE"""),0.0)</f>
        <v>0</v>
      </c>
      <c r="BE300" s="22">
        <f>IFERROR(__xludf.DUMMYFUNCTION("""COMPUTED_VALUE"""),0.0)</f>
        <v>0</v>
      </c>
      <c r="BF300" s="22">
        <f>IFERROR(__xludf.DUMMYFUNCTION("""COMPUTED_VALUE"""),0.0)</f>
        <v>0</v>
      </c>
    </row>
    <row r="301">
      <c r="A301" s="27" t="str">
        <f>IFERROR(__xludf.DUMMYFUNCTION("""COMPUTED_VALUE"""),"")</f>
        <v/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2">
        <f>IFERROR(__xludf.DUMMYFUNCTION("""COMPUTED_VALUE"""),0.0)</f>
        <v>0</v>
      </c>
      <c r="BD301" s="22">
        <f>IFERROR(__xludf.DUMMYFUNCTION("""COMPUTED_VALUE"""),0.0)</f>
        <v>0</v>
      </c>
      <c r="BE301" s="22">
        <f>IFERROR(__xludf.DUMMYFUNCTION("""COMPUTED_VALUE"""),0.0)</f>
        <v>0</v>
      </c>
      <c r="BF301" s="22">
        <f>IFERROR(__xludf.DUMMYFUNCTION("""COMPUTED_VALUE"""),0.0)</f>
        <v>0</v>
      </c>
    </row>
    <row r="302">
      <c r="A302" s="27" t="str">
        <f>IFERROR(__xludf.DUMMYFUNCTION("""COMPUTED_VALUE"""),"")</f>
        <v/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2">
        <f>IFERROR(__xludf.DUMMYFUNCTION("""COMPUTED_VALUE"""),0.0)</f>
        <v>0</v>
      </c>
      <c r="BD302" s="22">
        <f>IFERROR(__xludf.DUMMYFUNCTION("""COMPUTED_VALUE"""),0.0)</f>
        <v>0</v>
      </c>
      <c r="BE302" s="22">
        <f>IFERROR(__xludf.DUMMYFUNCTION("""COMPUTED_VALUE"""),0.0)</f>
        <v>0</v>
      </c>
      <c r="BF302" s="22">
        <f>IFERROR(__xludf.DUMMYFUNCTION("""COMPUTED_VALUE"""),0.0)</f>
        <v>0</v>
      </c>
    </row>
    <row r="303">
      <c r="A303" s="27" t="str">
        <f>IFERROR(__xludf.DUMMYFUNCTION("""COMPUTED_VALUE"""),"")</f>
        <v/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2">
        <f>IFERROR(__xludf.DUMMYFUNCTION("""COMPUTED_VALUE"""),0.0)</f>
        <v>0</v>
      </c>
      <c r="BD303" s="22">
        <f>IFERROR(__xludf.DUMMYFUNCTION("""COMPUTED_VALUE"""),0.0)</f>
        <v>0</v>
      </c>
      <c r="BE303" s="22">
        <f>IFERROR(__xludf.DUMMYFUNCTION("""COMPUTED_VALUE"""),0.0)</f>
        <v>0</v>
      </c>
      <c r="BF303" s="22">
        <f>IFERROR(__xludf.DUMMYFUNCTION("""COMPUTED_VALUE"""),0.0)</f>
        <v>0</v>
      </c>
    </row>
    <row r="304">
      <c r="A304" s="27" t="str">
        <f>IFERROR(__xludf.DUMMYFUNCTION("""COMPUTED_VALUE"""),"")</f>
        <v/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2">
        <f>IFERROR(__xludf.DUMMYFUNCTION("""COMPUTED_VALUE"""),0.0)</f>
        <v>0</v>
      </c>
      <c r="BD304" s="22">
        <f>IFERROR(__xludf.DUMMYFUNCTION("""COMPUTED_VALUE"""),0.0)</f>
        <v>0</v>
      </c>
      <c r="BE304" s="22">
        <f>IFERROR(__xludf.DUMMYFUNCTION("""COMPUTED_VALUE"""),0.0)</f>
        <v>0</v>
      </c>
      <c r="BF304" s="22">
        <f>IFERROR(__xludf.DUMMYFUNCTION("""COMPUTED_VALUE"""),0.0)</f>
        <v>0</v>
      </c>
    </row>
    <row r="305">
      <c r="A305" s="27" t="str">
        <f>IFERROR(__xludf.DUMMYFUNCTION("""COMPUTED_VALUE"""),"")</f>
        <v/>
      </c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2">
        <f>IFERROR(__xludf.DUMMYFUNCTION("""COMPUTED_VALUE"""),0.0)</f>
        <v>0</v>
      </c>
      <c r="BD305" s="22">
        <f>IFERROR(__xludf.DUMMYFUNCTION("""COMPUTED_VALUE"""),0.0)</f>
        <v>0</v>
      </c>
      <c r="BE305" s="22">
        <f>IFERROR(__xludf.DUMMYFUNCTION("""COMPUTED_VALUE"""),0.0)</f>
        <v>0</v>
      </c>
      <c r="BF305" s="22">
        <f>IFERROR(__xludf.DUMMYFUNCTION("""COMPUTED_VALUE"""),0.0)</f>
        <v>0</v>
      </c>
    </row>
    <row r="306">
      <c r="A306" s="27" t="str">
        <f>IFERROR(__xludf.DUMMYFUNCTION("""COMPUTED_VALUE"""),"")</f>
        <v/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2">
        <f>IFERROR(__xludf.DUMMYFUNCTION("""COMPUTED_VALUE"""),0.0)</f>
        <v>0</v>
      </c>
      <c r="BD306" s="22">
        <f>IFERROR(__xludf.DUMMYFUNCTION("""COMPUTED_VALUE"""),0.0)</f>
        <v>0</v>
      </c>
      <c r="BE306" s="22">
        <f>IFERROR(__xludf.DUMMYFUNCTION("""COMPUTED_VALUE"""),0.0)</f>
        <v>0</v>
      </c>
      <c r="BF306" s="22">
        <f>IFERROR(__xludf.DUMMYFUNCTION("""COMPUTED_VALUE"""),0.0)</f>
        <v>0</v>
      </c>
    </row>
    <row r="307">
      <c r="A307" s="27" t="str">
        <f>IFERROR(__xludf.DUMMYFUNCTION("""COMPUTED_VALUE"""),"")</f>
        <v/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2">
        <f>IFERROR(__xludf.DUMMYFUNCTION("""COMPUTED_VALUE"""),0.0)</f>
        <v>0</v>
      </c>
      <c r="BD307" s="22">
        <f>IFERROR(__xludf.DUMMYFUNCTION("""COMPUTED_VALUE"""),0.0)</f>
        <v>0</v>
      </c>
      <c r="BE307" s="22">
        <f>IFERROR(__xludf.DUMMYFUNCTION("""COMPUTED_VALUE"""),0.0)</f>
        <v>0</v>
      </c>
      <c r="BF307" s="22">
        <f>IFERROR(__xludf.DUMMYFUNCTION("""COMPUTED_VALUE"""),0.0)</f>
        <v>0</v>
      </c>
    </row>
    <row r="308">
      <c r="A308" s="27" t="str">
        <f>IFERROR(__xludf.DUMMYFUNCTION("""COMPUTED_VALUE"""),"")</f>
        <v/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2">
        <f>IFERROR(__xludf.DUMMYFUNCTION("""COMPUTED_VALUE"""),0.0)</f>
        <v>0</v>
      </c>
      <c r="BD308" s="22">
        <f>IFERROR(__xludf.DUMMYFUNCTION("""COMPUTED_VALUE"""),0.0)</f>
        <v>0</v>
      </c>
      <c r="BE308" s="22">
        <f>IFERROR(__xludf.DUMMYFUNCTION("""COMPUTED_VALUE"""),0.0)</f>
        <v>0</v>
      </c>
      <c r="BF308" s="22">
        <f>IFERROR(__xludf.DUMMYFUNCTION("""COMPUTED_VALUE"""),0.0)</f>
        <v>0</v>
      </c>
    </row>
    <row r="309">
      <c r="A309" s="27" t="str">
        <f>IFERROR(__xludf.DUMMYFUNCTION("""COMPUTED_VALUE"""),"")</f>
        <v/>
      </c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2">
        <f>IFERROR(__xludf.DUMMYFUNCTION("""COMPUTED_VALUE"""),0.0)</f>
        <v>0</v>
      </c>
      <c r="BD309" s="22">
        <f>IFERROR(__xludf.DUMMYFUNCTION("""COMPUTED_VALUE"""),0.0)</f>
        <v>0</v>
      </c>
      <c r="BE309" s="22">
        <f>IFERROR(__xludf.DUMMYFUNCTION("""COMPUTED_VALUE"""),0.0)</f>
        <v>0</v>
      </c>
      <c r="BF309" s="22">
        <f>IFERROR(__xludf.DUMMYFUNCTION("""COMPUTED_VALUE"""),0.0)</f>
        <v>0</v>
      </c>
    </row>
    <row r="310">
      <c r="A310" s="27" t="str">
        <f>IFERROR(__xludf.DUMMYFUNCTION("""COMPUTED_VALUE"""),"")</f>
        <v/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2">
        <f>IFERROR(__xludf.DUMMYFUNCTION("""COMPUTED_VALUE"""),0.0)</f>
        <v>0</v>
      </c>
      <c r="BD310" s="22">
        <f>IFERROR(__xludf.DUMMYFUNCTION("""COMPUTED_VALUE"""),0.0)</f>
        <v>0</v>
      </c>
      <c r="BE310" s="22">
        <f>IFERROR(__xludf.DUMMYFUNCTION("""COMPUTED_VALUE"""),0.0)</f>
        <v>0</v>
      </c>
      <c r="BF310" s="22">
        <f>IFERROR(__xludf.DUMMYFUNCTION("""COMPUTED_VALUE"""),0.0)</f>
        <v>0</v>
      </c>
    </row>
    <row r="311">
      <c r="A311" s="27" t="str">
        <f>IFERROR(__xludf.DUMMYFUNCTION("""COMPUTED_VALUE"""),"")</f>
        <v/>
      </c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2">
        <f>IFERROR(__xludf.DUMMYFUNCTION("""COMPUTED_VALUE"""),0.0)</f>
        <v>0</v>
      </c>
      <c r="BD311" s="22">
        <f>IFERROR(__xludf.DUMMYFUNCTION("""COMPUTED_VALUE"""),0.0)</f>
        <v>0</v>
      </c>
      <c r="BE311" s="22">
        <f>IFERROR(__xludf.DUMMYFUNCTION("""COMPUTED_VALUE"""),0.0)</f>
        <v>0</v>
      </c>
      <c r="BF311" s="22">
        <f>IFERROR(__xludf.DUMMYFUNCTION("""COMPUTED_VALUE"""),0.0)</f>
        <v>0</v>
      </c>
    </row>
    <row r="312">
      <c r="A312" s="27" t="str">
        <f>IFERROR(__xludf.DUMMYFUNCTION("""COMPUTED_VALUE"""),"")</f>
        <v/>
      </c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2">
        <f>IFERROR(__xludf.DUMMYFUNCTION("""COMPUTED_VALUE"""),0.0)</f>
        <v>0</v>
      </c>
      <c r="BD312" s="22">
        <f>IFERROR(__xludf.DUMMYFUNCTION("""COMPUTED_VALUE"""),0.0)</f>
        <v>0</v>
      </c>
      <c r="BE312" s="22">
        <f>IFERROR(__xludf.DUMMYFUNCTION("""COMPUTED_VALUE"""),0.0)</f>
        <v>0</v>
      </c>
      <c r="BF312" s="22">
        <f>IFERROR(__xludf.DUMMYFUNCTION("""COMPUTED_VALUE"""),0.0)</f>
        <v>0</v>
      </c>
    </row>
    <row r="313">
      <c r="A313" s="27" t="str">
        <f>IFERROR(__xludf.DUMMYFUNCTION("""COMPUTED_VALUE"""),"")</f>
        <v/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2">
        <f>IFERROR(__xludf.DUMMYFUNCTION("""COMPUTED_VALUE"""),0.0)</f>
        <v>0</v>
      </c>
      <c r="BD313" s="22">
        <f>IFERROR(__xludf.DUMMYFUNCTION("""COMPUTED_VALUE"""),0.0)</f>
        <v>0</v>
      </c>
      <c r="BE313" s="22">
        <f>IFERROR(__xludf.DUMMYFUNCTION("""COMPUTED_VALUE"""),0.0)</f>
        <v>0</v>
      </c>
      <c r="BF313" s="22">
        <f>IFERROR(__xludf.DUMMYFUNCTION("""COMPUTED_VALUE"""),0.0)</f>
        <v>0</v>
      </c>
    </row>
    <row r="314">
      <c r="A314" s="27" t="str">
        <f>IFERROR(__xludf.DUMMYFUNCTION("""COMPUTED_VALUE"""),"")</f>
        <v/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2">
        <f>IFERROR(__xludf.DUMMYFUNCTION("""COMPUTED_VALUE"""),0.0)</f>
        <v>0</v>
      </c>
      <c r="BD314" s="22">
        <f>IFERROR(__xludf.DUMMYFUNCTION("""COMPUTED_VALUE"""),0.0)</f>
        <v>0</v>
      </c>
      <c r="BE314" s="22">
        <f>IFERROR(__xludf.DUMMYFUNCTION("""COMPUTED_VALUE"""),0.0)</f>
        <v>0</v>
      </c>
      <c r="BF314" s="22">
        <f>IFERROR(__xludf.DUMMYFUNCTION("""COMPUTED_VALUE"""),0.0)</f>
        <v>0</v>
      </c>
    </row>
    <row r="315">
      <c r="A315" s="27" t="str">
        <f>IFERROR(__xludf.DUMMYFUNCTION("""COMPUTED_VALUE"""),"")</f>
        <v/>
      </c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2">
        <f>IFERROR(__xludf.DUMMYFUNCTION("""COMPUTED_VALUE"""),0.0)</f>
        <v>0</v>
      </c>
      <c r="BD315" s="22">
        <f>IFERROR(__xludf.DUMMYFUNCTION("""COMPUTED_VALUE"""),0.0)</f>
        <v>0</v>
      </c>
      <c r="BE315" s="22">
        <f>IFERROR(__xludf.DUMMYFUNCTION("""COMPUTED_VALUE"""),0.0)</f>
        <v>0</v>
      </c>
      <c r="BF315" s="22">
        <f>IFERROR(__xludf.DUMMYFUNCTION("""COMPUTED_VALUE"""),0.0)</f>
        <v>0</v>
      </c>
    </row>
    <row r="316">
      <c r="A316" s="27" t="str">
        <f>IFERROR(__xludf.DUMMYFUNCTION("""COMPUTED_VALUE"""),"")</f>
        <v/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2">
        <f>IFERROR(__xludf.DUMMYFUNCTION("""COMPUTED_VALUE"""),0.0)</f>
        <v>0</v>
      </c>
      <c r="BD316" s="22">
        <f>IFERROR(__xludf.DUMMYFUNCTION("""COMPUTED_VALUE"""),0.0)</f>
        <v>0</v>
      </c>
      <c r="BE316" s="22">
        <f>IFERROR(__xludf.DUMMYFUNCTION("""COMPUTED_VALUE"""),0.0)</f>
        <v>0</v>
      </c>
      <c r="BF316" s="22">
        <f>IFERROR(__xludf.DUMMYFUNCTION("""COMPUTED_VALUE"""),0.0)</f>
        <v>0</v>
      </c>
    </row>
    <row r="317">
      <c r="A317" s="27" t="str">
        <f>IFERROR(__xludf.DUMMYFUNCTION("""COMPUTED_VALUE"""),"")</f>
        <v/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2">
        <f>IFERROR(__xludf.DUMMYFUNCTION("""COMPUTED_VALUE"""),0.0)</f>
        <v>0</v>
      </c>
      <c r="BD317" s="22">
        <f>IFERROR(__xludf.DUMMYFUNCTION("""COMPUTED_VALUE"""),0.0)</f>
        <v>0</v>
      </c>
      <c r="BE317" s="22">
        <f>IFERROR(__xludf.DUMMYFUNCTION("""COMPUTED_VALUE"""),0.0)</f>
        <v>0</v>
      </c>
      <c r="BF317" s="22">
        <f>IFERROR(__xludf.DUMMYFUNCTION("""COMPUTED_VALUE"""),0.0)</f>
        <v>0</v>
      </c>
    </row>
    <row r="318">
      <c r="A318" s="27" t="str">
        <f>IFERROR(__xludf.DUMMYFUNCTION("""COMPUTED_VALUE"""),"")</f>
        <v/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2">
        <f>IFERROR(__xludf.DUMMYFUNCTION("""COMPUTED_VALUE"""),0.0)</f>
        <v>0</v>
      </c>
      <c r="BD318" s="22">
        <f>IFERROR(__xludf.DUMMYFUNCTION("""COMPUTED_VALUE"""),0.0)</f>
        <v>0</v>
      </c>
      <c r="BE318" s="22">
        <f>IFERROR(__xludf.DUMMYFUNCTION("""COMPUTED_VALUE"""),0.0)</f>
        <v>0</v>
      </c>
      <c r="BF318" s="22">
        <f>IFERROR(__xludf.DUMMYFUNCTION("""COMPUTED_VALUE"""),0.0)</f>
        <v>0</v>
      </c>
    </row>
    <row r="319">
      <c r="A319" s="27" t="str">
        <f>IFERROR(__xludf.DUMMYFUNCTION("""COMPUTED_VALUE"""),"")</f>
        <v/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2">
        <f>IFERROR(__xludf.DUMMYFUNCTION("""COMPUTED_VALUE"""),0.0)</f>
        <v>0</v>
      </c>
      <c r="BD319" s="22">
        <f>IFERROR(__xludf.DUMMYFUNCTION("""COMPUTED_VALUE"""),0.0)</f>
        <v>0</v>
      </c>
      <c r="BE319" s="22">
        <f>IFERROR(__xludf.DUMMYFUNCTION("""COMPUTED_VALUE"""),0.0)</f>
        <v>0</v>
      </c>
      <c r="BF319" s="22">
        <f>IFERROR(__xludf.DUMMYFUNCTION("""COMPUTED_VALUE"""),0.0)</f>
        <v>0</v>
      </c>
    </row>
    <row r="320">
      <c r="A320" s="27" t="str">
        <f>IFERROR(__xludf.DUMMYFUNCTION("""COMPUTED_VALUE"""),"")</f>
        <v/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2">
        <f>IFERROR(__xludf.DUMMYFUNCTION("""COMPUTED_VALUE"""),0.0)</f>
        <v>0</v>
      </c>
      <c r="BD320" s="22">
        <f>IFERROR(__xludf.DUMMYFUNCTION("""COMPUTED_VALUE"""),0.0)</f>
        <v>0</v>
      </c>
      <c r="BE320" s="22">
        <f>IFERROR(__xludf.DUMMYFUNCTION("""COMPUTED_VALUE"""),0.0)</f>
        <v>0</v>
      </c>
      <c r="BF320" s="22">
        <f>IFERROR(__xludf.DUMMYFUNCTION("""COMPUTED_VALUE"""),0.0)</f>
        <v>0</v>
      </c>
    </row>
    <row r="321">
      <c r="A321" s="27" t="str">
        <f>IFERROR(__xludf.DUMMYFUNCTION("""COMPUTED_VALUE"""),"")</f>
        <v/>
      </c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2">
        <f>IFERROR(__xludf.DUMMYFUNCTION("""COMPUTED_VALUE"""),0.0)</f>
        <v>0</v>
      </c>
      <c r="BD321" s="22">
        <f>IFERROR(__xludf.DUMMYFUNCTION("""COMPUTED_VALUE"""),0.0)</f>
        <v>0</v>
      </c>
      <c r="BE321" s="22">
        <f>IFERROR(__xludf.DUMMYFUNCTION("""COMPUTED_VALUE"""),0.0)</f>
        <v>0</v>
      </c>
      <c r="BF321" s="22">
        <f>IFERROR(__xludf.DUMMYFUNCTION("""COMPUTED_VALUE"""),0.0)</f>
        <v>0</v>
      </c>
    </row>
    <row r="322">
      <c r="A322" s="27" t="str">
        <f>IFERROR(__xludf.DUMMYFUNCTION("""COMPUTED_VALUE"""),"")</f>
        <v/>
      </c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2">
        <f>IFERROR(__xludf.DUMMYFUNCTION("""COMPUTED_VALUE"""),0.0)</f>
        <v>0</v>
      </c>
      <c r="BD322" s="22">
        <f>IFERROR(__xludf.DUMMYFUNCTION("""COMPUTED_VALUE"""),0.0)</f>
        <v>0</v>
      </c>
      <c r="BE322" s="22">
        <f>IFERROR(__xludf.DUMMYFUNCTION("""COMPUTED_VALUE"""),0.0)</f>
        <v>0</v>
      </c>
      <c r="BF322" s="22">
        <f>IFERROR(__xludf.DUMMYFUNCTION("""COMPUTED_VALUE"""),0.0)</f>
        <v>0</v>
      </c>
    </row>
    <row r="323">
      <c r="A323" s="27" t="str">
        <f>IFERROR(__xludf.DUMMYFUNCTION("""COMPUTED_VALUE"""),"")</f>
        <v/>
      </c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2">
        <f>IFERROR(__xludf.DUMMYFUNCTION("""COMPUTED_VALUE"""),0.0)</f>
        <v>0</v>
      </c>
      <c r="BD323" s="22">
        <f>IFERROR(__xludf.DUMMYFUNCTION("""COMPUTED_VALUE"""),0.0)</f>
        <v>0</v>
      </c>
      <c r="BE323" s="22">
        <f>IFERROR(__xludf.DUMMYFUNCTION("""COMPUTED_VALUE"""),0.0)</f>
        <v>0</v>
      </c>
      <c r="BF323" s="22">
        <f>IFERROR(__xludf.DUMMYFUNCTION("""COMPUTED_VALUE"""),0.0)</f>
        <v>0</v>
      </c>
    </row>
    <row r="324">
      <c r="A324" s="27" t="str">
        <f>IFERROR(__xludf.DUMMYFUNCTION("""COMPUTED_VALUE"""),"")</f>
        <v/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2">
        <f>IFERROR(__xludf.DUMMYFUNCTION("""COMPUTED_VALUE"""),0.0)</f>
        <v>0</v>
      </c>
      <c r="BD324" s="22">
        <f>IFERROR(__xludf.DUMMYFUNCTION("""COMPUTED_VALUE"""),0.0)</f>
        <v>0</v>
      </c>
      <c r="BE324" s="22">
        <f>IFERROR(__xludf.DUMMYFUNCTION("""COMPUTED_VALUE"""),0.0)</f>
        <v>0</v>
      </c>
      <c r="BF324" s="22">
        <f>IFERROR(__xludf.DUMMYFUNCTION("""COMPUTED_VALUE"""),0.0)</f>
        <v>0</v>
      </c>
    </row>
    <row r="325">
      <c r="A325" s="27" t="str">
        <f>IFERROR(__xludf.DUMMYFUNCTION("""COMPUTED_VALUE"""),"")</f>
        <v/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2">
        <f>IFERROR(__xludf.DUMMYFUNCTION("""COMPUTED_VALUE"""),0.0)</f>
        <v>0</v>
      </c>
      <c r="BD325" s="22">
        <f>IFERROR(__xludf.DUMMYFUNCTION("""COMPUTED_VALUE"""),0.0)</f>
        <v>0</v>
      </c>
      <c r="BE325" s="22">
        <f>IFERROR(__xludf.DUMMYFUNCTION("""COMPUTED_VALUE"""),0.0)</f>
        <v>0</v>
      </c>
      <c r="BF325" s="22">
        <f>IFERROR(__xludf.DUMMYFUNCTION("""COMPUTED_VALUE"""),0.0)</f>
        <v>0</v>
      </c>
    </row>
    <row r="326">
      <c r="A326" s="27" t="str">
        <f>IFERROR(__xludf.DUMMYFUNCTION("""COMPUTED_VALUE"""),"")</f>
        <v/>
      </c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2">
        <f>IFERROR(__xludf.DUMMYFUNCTION("""COMPUTED_VALUE"""),0.0)</f>
        <v>0</v>
      </c>
      <c r="BD326" s="22">
        <f>IFERROR(__xludf.DUMMYFUNCTION("""COMPUTED_VALUE"""),0.0)</f>
        <v>0</v>
      </c>
      <c r="BE326" s="22">
        <f>IFERROR(__xludf.DUMMYFUNCTION("""COMPUTED_VALUE"""),0.0)</f>
        <v>0</v>
      </c>
      <c r="BF326" s="22">
        <f>IFERROR(__xludf.DUMMYFUNCTION("""COMPUTED_VALUE"""),0.0)</f>
        <v>0</v>
      </c>
    </row>
    <row r="327">
      <c r="A327" s="27" t="str">
        <f>IFERROR(__xludf.DUMMYFUNCTION("""COMPUTED_VALUE"""),"")</f>
        <v/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2">
        <f>IFERROR(__xludf.DUMMYFUNCTION("""COMPUTED_VALUE"""),0.0)</f>
        <v>0</v>
      </c>
      <c r="BD327" s="22">
        <f>IFERROR(__xludf.DUMMYFUNCTION("""COMPUTED_VALUE"""),0.0)</f>
        <v>0</v>
      </c>
      <c r="BE327" s="22">
        <f>IFERROR(__xludf.DUMMYFUNCTION("""COMPUTED_VALUE"""),0.0)</f>
        <v>0</v>
      </c>
      <c r="BF327" s="22">
        <f>IFERROR(__xludf.DUMMYFUNCTION("""COMPUTED_VALUE"""),0.0)</f>
        <v>0</v>
      </c>
    </row>
    <row r="328">
      <c r="A328" s="27" t="str">
        <f>IFERROR(__xludf.DUMMYFUNCTION("""COMPUTED_VALUE"""),"")</f>
        <v/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2">
        <f>IFERROR(__xludf.DUMMYFUNCTION("""COMPUTED_VALUE"""),0.0)</f>
        <v>0</v>
      </c>
      <c r="BD328" s="22">
        <f>IFERROR(__xludf.DUMMYFUNCTION("""COMPUTED_VALUE"""),0.0)</f>
        <v>0</v>
      </c>
      <c r="BE328" s="22">
        <f>IFERROR(__xludf.DUMMYFUNCTION("""COMPUTED_VALUE"""),0.0)</f>
        <v>0</v>
      </c>
      <c r="BF328" s="22">
        <f>IFERROR(__xludf.DUMMYFUNCTION("""COMPUTED_VALUE"""),0.0)</f>
        <v>0</v>
      </c>
    </row>
    <row r="329">
      <c r="A329" s="27" t="str">
        <f>IFERROR(__xludf.DUMMYFUNCTION("""COMPUTED_VALUE"""),"")</f>
        <v/>
      </c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2">
        <f>IFERROR(__xludf.DUMMYFUNCTION("""COMPUTED_VALUE"""),0.0)</f>
        <v>0</v>
      </c>
      <c r="BD329" s="22">
        <f>IFERROR(__xludf.DUMMYFUNCTION("""COMPUTED_VALUE"""),0.0)</f>
        <v>0</v>
      </c>
      <c r="BE329" s="22">
        <f>IFERROR(__xludf.DUMMYFUNCTION("""COMPUTED_VALUE"""),0.0)</f>
        <v>0</v>
      </c>
      <c r="BF329" s="22">
        <f>IFERROR(__xludf.DUMMYFUNCTION("""COMPUTED_VALUE"""),0.0)</f>
        <v>0</v>
      </c>
    </row>
    <row r="330">
      <c r="A330" s="27" t="str">
        <f>IFERROR(__xludf.DUMMYFUNCTION("""COMPUTED_VALUE"""),"")</f>
        <v/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2">
        <f>IFERROR(__xludf.DUMMYFUNCTION("""COMPUTED_VALUE"""),0.0)</f>
        <v>0</v>
      </c>
      <c r="BD330" s="22">
        <f>IFERROR(__xludf.DUMMYFUNCTION("""COMPUTED_VALUE"""),0.0)</f>
        <v>0</v>
      </c>
      <c r="BE330" s="22">
        <f>IFERROR(__xludf.DUMMYFUNCTION("""COMPUTED_VALUE"""),0.0)</f>
        <v>0</v>
      </c>
      <c r="BF330" s="22">
        <f>IFERROR(__xludf.DUMMYFUNCTION("""COMPUTED_VALUE"""),0.0)</f>
        <v>0</v>
      </c>
    </row>
    <row r="331">
      <c r="A331" s="27" t="str">
        <f>IFERROR(__xludf.DUMMYFUNCTION("""COMPUTED_VALUE"""),"")</f>
        <v/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2">
        <f>IFERROR(__xludf.DUMMYFUNCTION("""COMPUTED_VALUE"""),0.0)</f>
        <v>0</v>
      </c>
      <c r="BD331" s="22">
        <f>IFERROR(__xludf.DUMMYFUNCTION("""COMPUTED_VALUE"""),0.0)</f>
        <v>0</v>
      </c>
      <c r="BE331" s="22">
        <f>IFERROR(__xludf.DUMMYFUNCTION("""COMPUTED_VALUE"""),0.0)</f>
        <v>0</v>
      </c>
      <c r="BF331" s="22">
        <f>IFERROR(__xludf.DUMMYFUNCTION("""COMPUTED_VALUE"""),0.0)</f>
        <v>0</v>
      </c>
    </row>
    <row r="332">
      <c r="A332" s="27" t="str">
        <f>IFERROR(__xludf.DUMMYFUNCTION("""COMPUTED_VALUE"""),"")</f>
        <v/>
      </c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2">
        <f>IFERROR(__xludf.DUMMYFUNCTION("""COMPUTED_VALUE"""),0.0)</f>
        <v>0</v>
      </c>
      <c r="BD332" s="22">
        <f>IFERROR(__xludf.DUMMYFUNCTION("""COMPUTED_VALUE"""),0.0)</f>
        <v>0</v>
      </c>
      <c r="BE332" s="22">
        <f>IFERROR(__xludf.DUMMYFUNCTION("""COMPUTED_VALUE"""),0.0)</f>
        <v>0</v>
      </c>
      <c r="BF332" s="22">
        <f>IFERROR(__xludf.DUMMYFUNCTION("""COMPUTED_VALUE"""),0.0)</f>
        <v>0</v>
      </c>
    </row>
    <row r="333">
      <c r="A333" s="27" t="str">
        <f>IFERROR(__xludf.DUMMYFUNCTION("""COMPUTED_VALUE"""),"")</f>
        <v/>
      </c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2">
        <f>IFERROR(__xludf.DUMMYFUNCTION("""COMPUTED_VALUE"""),0.0)</f>
        <v>0</v>
      </c>
      <c r="BD333" s="22">
        <f>IFERROR(__xludf.DUMMYFUNCTION("""COMPUTED_VALUE"""),0.0)</f>
        <v>0</v>
      </c>
      <c r="BE333" s="22">
        <f>IFERROR(__xludf.DUMMYFUNCTION("""COMPUTED_VALUE"""),0.0)</f>
        <v>0</v>
      </c>
      <c r="BF333" s="22">
        <f>IFERROR(__xludf.DUMMYFUNCTION("""COMPUTED_VALUE"""),0.0)</f>
        <v>0</v>
      </c>
    </row>
    <row r="334">
      <c r="A334" s="27" t="str">
        <f>IFERROR(__xludf.DUMMYFUNCTION("""COMPUTED_VALUE"""),"")</f>
        <v/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2">
        <f>IFERROR(__xludf.DUMMYFUNCTION("""COMPUTED_VALUE"""),0.0)</f>
        <v>0</v>
      </c>
      <c r="BD334" s="22">
        <f>IFERROR(__xludf.DUMMYFUNCTION("""COMPUTED_VALUE"""),0.0)</f>
        <v>0</v>
      </c>
      <c r="BE334" s="22">
        <f>IFERROR(__xludf.DUMMYFUNCTION("""COMPUTED_VALUE"""),0.0)</f>
        <v>0</v>
      </c>
      <c r="BF334" s="22">
        <f>IFERROR(__xludf.DUMMYFUNCTION("""COMPUTED_VALUE"""),0.0)</f>
        <v>0</v>
      </c>
    </row>
    <row r="335">
      <c r="A335" s="27" t="str">
        <f>IFERROR(__xludf.DUMMYFUNCTION("""COMPUTED_VALUE"""),"")</f>
        <v/>
      </c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2">
        <f>IFERROR(__xludf.DUMMYFUNCTION("""COMPUTED_VALUE"""),0.0)</f>
        <v>0</v>
      </c>
      <c r="BD335" s="22">
        <f>IFERROR(__xludf.DUMMYFUNCTION("""COMPUTED_VALUE"""),0.0)</f>
        <v>0</v>
      </c>
      <c r="BE335" s="22">
        <f>IFERROR(__xludf.DUMMYFUNCTION("""COMPUTED_VALUE"""),0.0)</f>
        <v>0</v>
      </c>
      <c r="BF335" s="22">
        <f>IFERROR(__xludf.DUMMYFUNCTION("""COMPUTED_VALUE"""),0.0)</f>
        <v>0</v>
      </c>
    </row>
    <row r="336">
      <c r="A336" s="27" t="str">
        <f>IFERROR(__xludf.DUMMYFUNCTION("""COMPUTED_VALUE"""),"")</f>
        <v/>
      </c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2">
        <f>IFERROR(__xludf.DUMMYFUNCTION("""COMPUTED_VALUE"""),0.0)</f>
        <v>0</v>
      </c>
      <c r="BD336" s="22">
        <f>IFERROR(__xludf.DUMMYFUNCTION("""COMPUTED_VALUE"""),0.0)</f>
        <v>0</v>
      </c>
      <c r="BE336" s="22">
        <f>IFERROR(__xludf.DUMMYFUNCTION("""COMPUTED_VALUE"""),0.0)</f>
        <v>0</v>
      </c>
      <c r="BF336" s="22">
        <f>IFERROR(__xludf.DUMMYFUNCTION("""COMPUTED_VALUE"""),0.0)</f>
        <v>0</v>
      </c>
    </row>
    <row r="337">
      <c r="A337" s="27" t="str">
        <f>IFERROR(__xludf.DUMMYFUNCTION("""COMPUTED_VALUE"""),"")</f>
        <v/>
      </c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2">
        <f>IFERROR(__xludf.DUMMYFUNCTION("""COMPUTED_VALUE"""),0.0)</f>
        <v>0</v>
      </c>
      <c r="BD337" s="22">
        <f>IFERROR(__xludf.DUMMYFUNCTION("""COMPUTED_VALUE"""),0.0)</f>
        <v>0</v>
      </c>
      <c r="BE337" s="22">
        <f>IFERROR(__xludf.DUMMYFUNCTION("""COMPUTED_VALUE"""),0.0)</f>
        <v>0</v>
      </c>
      <c r="BF337" s="22">
        <f>IFERROR(__xludf.DUMMYFUNCTION("""COMPUTED_VALUE"""),0.0)</f>
        <v>0</v>
      </c>
    </row>
    <row r="338">
      <c r="A338" s="27" t="str">
        <f>IFERROR(__xludf.DUMMYFUNCTION("""COMPUTED_VALUE"""),"")</f>
        <v/>
      </c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2">
        <f>IFERROR(__xludf.DUMMYFUNCTION("""COMPUTED_VALUE"""),0.0)</f>
        <v>0</v>
      </c>
      <c r="BD338" s="22">
        <f>IFERROR(__xludf.DUMMYFUNCTION("""COMPUTED_VALUE"""),0.0)</f>
        <v>0</v>
      </c>
      <c r="BE338" s="22">
        <f>IFERROR(__xludf.DUMMYFUNCTION("""COMPUTED_VALUE"""),0.0)</f>
        <v>0</v>
      </c>
      <c r="BF338" s="22">
        <f>IFERROR(__xludf.DUMMYFUNCTION("""COMPUTED_VALUE"""),0.0)</f>
        <v>0</v>
      </c>
    </row>
    <row r="339">
      <c r="A339" s="27" t="str">
        <f>IFERROR(__xludf.DUMMYFUNCTION("""COMPUTED_VALUE"""),"")</f>
        <v/>
      </c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2">
        <f>IFERROR(__xludf.DUMMYFUNCTION("""COMPUTED_VALUE"""),0.0)</f>
        <v>0</v>
      </c>
      <c r="BD339" s="22">
        <f>IFERROR(__xludf.DUMMYFUNCTION("""COMPUTED_VALUE"""),0.0)</f>
        <v>0</v>
      </c>
      <c r="BE339" s="22">
        <f>IFERROR(__xludf.DUMMYFUNCTION("""COMPUTED_VALUE"""),0.0)</f>
        <v>0</v>
      </c>
      <c r="BF339" s="22">
        <f>IFERROR(__xludf.DUMMYFUNCTION("""COMPUTED_VALUE"""),0.0)</f>
        <v>0</v>
      </c>
    </row>
    <row r="340">
      <c r="A340" s="27" t="str">
        <f>IFERROR(__xludf.DUMMYFUNCTION("""COMPUTED_VALUE"""),"")</f>
        <v/>
      </c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2">
        <f>IFERROR(__xludf.DUMMYFUNCTION("""COMPUTED_VALUE"""),0.0)</f>
        <v>0</v>
      </c>
      <c r="BD340" s="22">
        <f>IFERROR(__xludf.DUMMYFUNCTION("""COMPUTED_VALUE"""),0.0)</f>
        <v>0</v>
      </c>
      <c r="BE340" s="22">
        <f>IFERROR(__xludf.DUMMYFUNCTION("""COMPUTED_VALUE"""),0.0)</f>
        <v>0</v>
      </c>
      <c r="BF340" s="22">
        <f>IFERROR(__xludf.DUMMYFUNCTION("""COMPUTED_VALUE"""),0.0)</f>
        <v>0</v>
      </c>
    </row>
    <row r="341">
      <c r="A341" s="27" t="str">
        <f>IFERROR(__xludf.DUMMYFUNCTION("""COMPUTED_VALUE"""),"")</f>
        <v/>
      </c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2">
        <f>IFERROR(__xludf.DUMMYFUNCTION("""COMPUTED_VALUE"""),0.0)</f>
        <v>0</v>
      </c>
      <c r="BD341" s="22">
        <f>IFERROR(__xludf.DUMMYFUNCTION("""COMPUTED_VALUE"""),0.0)</f>
        <v>0</v>
      </c>
      <c r="BE341" s="22">
        <f>IFERROR(__xludf.DUMMYFUNCTION("""COMPUTED_VALUE"""),0.0)</f>
        <v>0</v>
      </c>
      <c r="BF341" s="22">
        <f>IFERROR(__xludf.DUMMYFUNCTION("""COMPUTED_VALUE"""),0.0)</f>
        <v>0</v>
      </c>
    </row>
    <row r="342">
      <c r="A342" s="27" t="str">
        <f>IFERROR(__xludf.DUMMYFUNCTION("""COMPUTED_VALUE"""),"")</f>
        <v/>
      </c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2">
        <f>IFERROR(__xludf.DUMMYFUNCTION("""COMPUTED_VALUE"""),0.0)</f>
        <v>0</v>
      </c>
      <c r="BD342" s="22">
        <f>IFERROR(__xludf.DUMMYFUNCTION("""COMPUTED_VALUE"""),0.0)</f>
        <v>0</v>
      </c>
      <c r="BE342" s="22">
        <f>IFERROR(__xludf.DUMMYFUNCTION("""COMPUTED_VALUE"""),0.0)</f>
        <v>0</v>
      </c>
      <c r="BF342" s="22">
        <f>IFERROR(__xludf.DUMMYFUNCTION("""COMPUTED_VALUE"""),0.0)</f>
        <v>0</v>
      </c>
    </row>
    <row r="343">
      <c r="A343" s="27" t="str">
        <f>IFERROR(__xludf.DUMMYFUNCTION("""COMPUTED_VALUE"""),"")</f>
        <v/>
      </c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2">
        <f>IFERROR(__xludf.DUMMYFUNCTION("""COMPUTED_VALUE"""),0.0)</f>
        <v>0</v>
      </c>
      <c r="BD343" s="22">
        <f>IFERROR(__xludf.DUMMYFUNCTION("""COMPUTED_VALUE"""),0.0)</f>
        <v>0</v>
      </c>
      <c r="BE343" s="22">
        <f>IFERROR(__xludf.DUMMYFUNCTION("""COMPUTED_VALUE"""),0.0)</f>
        <v>0</v>
      </c>
      <c r="BF343" s="22">
        <f>IFERROR(__xludf.DUMMYFUNCTION("""COMPUTED_VALUE"""),0.0)</f>
        <v>0</v>
      </c>
    </row>
    <row r="344">
      <c r="A344" s="27" t="str">
        <f>IFERROR(__xludf.DUMMYFUNCTION("""COMPUTED_VALUE"""),"")</f>
        <v/>
      </c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2">
        <f>IFERROR(__xludf.DUMMYFUNCTION("""COMPUTED_VALUE"""),0.0)</f>
        <v>0</v>
      </c>
      <c r="BD344" s="22">
        <f>IFERROR(__xludf.DUMMYFUNCTION("""COMPUTED_VALUE"""),0.0)</f>
        <v>0</v>
      </c>
      <c r="BE344" s="22">
        <f>IFERROR(__xludf.DUMMYFUNCTION("""COMPUTED_VALUE"""),0.0)</f>
        <v>0</v>
      </c>
      <c r="BF344" s="22">
        <f>IFERROR(__xludf.DUMMYFUNCTION("""COMPUTED_VALUE"""),0.0)</f>
        <v>0</v>
      </c>
    </row>
    <row r="345">
      <c r="A345" s="27" t="str">
        <f>IFERROR(__xludf.DUMMYFUNCTION("""COMPUTED_VALUE"""),"")</f>
        <v/>
      </c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2">
        <f>IFERROR(__xludf.DUMMYFUNCTION("""COMPUTED_VALUE"""),0.0)</f>
        <v>0</v>
      </c>
      <c r="BD345" s="22">
        <f>IFERROR(__xludf.DUMMYFUNCTION("""COMPUTED_VALUE"""),0.0)</f>
        <v>0</v>
      </c>
      <c r="BE345" s="22">
        <f>IFERROR(__xludf.DUMMYFUNCTION("""COMPUTED_VALUE"""),0.0)</f>
        <v>0</v>
      </c>
      <c r="BF345" s="22">
        <f>IFERROR(__xludf.DUMMYFUNCTION("""COMPUTED_VALUE"""),0.0)</f>
        <v>0</v>
      </c>
    </row>
    <row r="346">
      <c r="A346" s="27" t="str">
        <f>IFERROR(__xludf.DUMMYFUNCTION("""COMPUTED_VALUE"""),"")</f>
        <v/>
      </c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2">
        <f>IFERROR(__xludf.DUMMYFUNCTION("""COMPUTED_VALUE"""),0.0)</f>
        <v>0</v>
      </c>
      <c r="BD346" s="22">
        <f>IFERROR(__xludf.DUMMYFUNCTION("""COMPUTED_VALUE"""),0.0)</f>
        <v>0</v>
      </c>
      <c r="BE346" s="22">
        <f>IFERROR(__xludf.DUMMYFUNCTION("""COMPUTED_VALUE"""),0.0)</f>
        <v>0</v>
      </c>
      <c r="BF346" s="22">
        <f>IFERROR(__xludf.DUMMYFUNCTION("""COMPUTED_VALUE"""),0.0)</f>
        <v>0</v>
      </c>
    </row>
    <row r="347">
      <c r="A347" s="27" t="str">
        <f>IFERROR(__xludf.DUMMYFUNCTION("""COMPUTED_VALUE"""),"")</f>
        <v/>
      </c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2">
        <f>IFERROR(__xludf.DUMMYFUNCTION("""COMPUTED_VALUE"""),0.0)</f>
        <v>0</v>
      </c>
      <c r="BD347" s="22">
        <f>IFERROR(__xludf.DUMMYFUNCTION("""COMPUTED_VALUE"""),0.0)</f>
        <v>0</v>
      </c>
      <c r="BE347" s="22">
        <f>IFERROR(__xludf.DUMMYFUNCTION("""COMPUTED_VALUE"""),0.0)</f>
        <v>0</v>
      </c>
      <c r="BF347" s="22">
        <f>IFERROR(__xludf.DUMMYFUNCTION("""COMPUTED_VALUE"""),0.0)</f>
        <v>0</v>
      </c>
    </row>
    <row r="348">
      <c r="A348" s="27" t="str">
        <f>IFERROR(__xludf.DUMMYFUNCTION("""COMPUTED_VALUE"""),"")</f>
        <v/>
      </c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2">
        <f>IFERROR(__xludf.DUMMYFUNCTION("""COMPUTED_VALUE"""),0.0)</f>
        <v>0</v>
      </c>
      <c r="BD348" s="22">
        <f>IFERROR(__xludf.DUMMYFUNCTION("""COMPUTED_VALUE"""),0.0)</f>
        <v>0</v>
      </c>
      <c r="BE348" s="22">
        <f>IFERROR(__xludf.DUMMYFUNCTION("""COMPUTED_VALUE"""),0.0)</f>
        <v>0</v>
      </c>
      <c r="BF348" s="22">
        <f>IFERROR(__xludf.DUMMYFUNCTION("""COMPUTED_VALUE"""),0.0)</f>
        <v>0</v>
      </c>
    </row>
    <row r="349">
      <c r="A349" s="27" t="str">
        <f>IFERROR(__xludf.DUMMYFUNCTION("""COMPUTED_VALUE"""),"")</f>
        <v/>
      </c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2">
        <f>IFERROR(__xludf.DUMMYFUNCTION("""COMPUTED_VALUE"""),0.0)</f>
        <v>0</v>
      </c>
      <c r="BD349" s="22">
        <f>IFERROR(__xludf.DUMMYFUNCTION("""COMPUTED_VALUE"""),0.0)</f>
        <v>0</v>
      </c>
      <c r="BE349" s="22">
        <f>IFERROR(__xludf.DUMMYFUNCTION("""COMPUTED_VALUE"""),0.0)</f>
        <v>0</v>
      </c>
      <c r="BF349" s="22">
        <f>IFERROR(__xludf.DUMMYFUNCTION("""COMPUTED_VALUE"""),0.0)</f>
        <v>0</v>
      </c>
    </row>
    <row r="350">
      <c r="A350" s="27" t="str">
        <f>IFERROR(__xludf.DUMMYFUNCTION("""COMPUTED_VALUE"""),"")</f>
        <v/>
      </c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2">
        <f>IFERROR(__xludf.DUMMYFUNCTION("""COMPUTED_VALUE"""),0.0)</f>
        <v>0</v>
      </c>
      <c r="BD350" s="22">
        <f>IFERROR(__xludf.DUMMYFUNCTION("""COMPUTED_VALUE"""),0.0)</f>
        <v>0</v>
      </c>
      <c r="BE350" s="22">
        <f>IFERROR(__xludf.DUMMYFUNCTION("""COMPUTED_VALUE"""),0.0)</f>
        <v>0</v>
      </c>
      <c r="BF350" s="22">
        <f>IFERROR(__xludf.DUMMYFUNCTION("""COMPUTED_VALUE"""),0.0)</f>
        <v>0</v>
      </c>
    </row>
    <row r="351">
      <c r="A351" s="27" t="str">
        <f>IFERROR(__xludf.DUMMYFUNCTION("""COMPUTED_VALUE"""),"")</f>
        <v/>
      </c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2">
        <f>IFERROR(__xludf.DUMMYFUNCTION("""COMPUTED_VALUE"""),0.0)</f>
        <v>0</v>
      </c>
      <c r="BD351" s="22">
        <f>IFERROR(__xludf.DUMMYFUNCTION("""COMPUTED_VALUE"""),0.0)</f>
        <v>0</v>
      </c>
      <c r="BE351" s="22">
        <f>IFERROR(__xludf.DUMMYFUNCTION("""COMPUTED_VALUE"""),0.0)</f>
        <v>0</v>
      </c>
      <c r="BF351" s="22">
        <f>IFERROR(__xludf.DUMMYFUNCTION("""COMPUTED_VALUE"""),0.0)</f>
        <v>0</v>
      </c>
    </row>
    <row r="352">
      <c r="A352" s="27" t="str">
        <f>IFERROR(__xludf.DUMMYFUNCTION("""COMPUTED_VALUE"""),"")</f>
        <v/>
      </c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2">
        <f>IFERROR(__xludf.DUMMYFUNCTION("""COMPUTED_VALUE"""),0.0)</f>
        <v>0</v>
      </c>
      <c r="BD352" s="22">
        <f>IFERROR(__xludf.DUMMYFUNCTION("""COMPUTED_VALUE"""),0.0)</f>
        <v>0</v>
      </c>
      <c r="BE352" s="22">
        <f>IFERROR(__xludf.DUMMYFUNCTION("""COMPUTED_VALUE"""),0.0)</f>
        <v>0</v>
      </c>
      <c r="BF352" s="22">
        <f>IFERROR(__xludf.DUMMYFUNCTION("""COMPUTED_VALUE"""),0.0)</f>
        <v>0</v>
      </c>
    </row>
    <row r="353">
      <c r="A353" s="27" t="str">
        <f>IFERROR(__xludf.DUMMYFUNCTION("""COMPUTED_VALUE"""),"")</f>
        <v/>
      </c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2">
        <f>IFERROR(__xludf.DUMMYFUNCTION("""COMPUTED_VALUE"""),0.0)</f>
        <v>0</v>
      </c>
      <c r="BD353" s="22">
        <f>IFERROR(__xludf.DUMMYFUNCTION("""COMPUTED_VALUE"""),0.0)</f>
        <v>0</v>
      </c>
      <c r="BE353" s="22">
        <f>IFERROR(__xludf.DUMMYFUNCTION("""COMPUTED_VALUE"""),0.0)</f>
        <v>0</v>
      </c>
      <c r="BF353" s="22">
        <f>IFERROR(__xludf.DUMMYFUNCTION("""COMPUTED_VALUE"""),0.0)</f>
        <v>0</v>
      </c>
    </row>
    <row r="354">
      <c r="A354" s="27" t="str">
        <f>IFERROR(__xludf.DUMMYFUNCTION("""COMPUTED_VALUE"""),"")</f>
        <v/>
      </c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2">
        <f>IFERROR(__xludf.DUMMYFUNCTION("""COMPUTED_VALUE"""),0.0)</f>
        <v>0</v>
      </c>
      <c r="BD354" s="22">
        <f>IFERROR(__xludf.DUMMYFUNCTION("""COMPUTED_VALUE"""),0.0)</f>
        <v>0</v>
      </c>
      <c r="BE354" s="22">
        <f>IFERROR(__xludf.DUMMYFUNCTION("""COMPUTED_VALUE"""),0.0)</f>
        <v>0</v>
      </c>
      <c r="BF354" s="22">
        <f>IFERROR(__xludf.DUMMYFUNCTION("""COMPUTED_VALUE"""),0.0)</f>
        <v>0</v>
      </c>
    </row>
    <row r="355">
      <c r="A355" s="27" t="str">
        <f>IFERROR(__xludf.DUMMYFUNCTION("""COMPUTED_VALUE"""),"")</f>
        <v/>
      </c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2">
        <f>IFERROR(__xludf.DUMMYFUNCTION("""COMPUTED_VALUE"""),0.0)</f>
        <v>0</v>
      </c>
      <c r="BD355" s="22">
        <f>IFERROR(__xludf.DUMMYFUNCTION("""COMPUTED_VALUE"""),0.0)</f>
        <v>0</v>
      </c>
      <c r="BE355" s="22">
        <f>IFERROR(__xludf.DUMMYFUNCTION("""COMPUTED_VALUE"""),0.0)</f>
        <v>0</v>
      </c>
      <c r="BF355" s="22">
        <f>IFERROR(__xludf.DUMMYFUNCTION("""COMPUTED_VALUE"""),0.0)</f>
        <v>0</v>
      </c>
    </row>
    <row r="356">
      <c r="A356" s="27" t="str">
        <f>IFERROR(__xludf.DUMMYFUNCTION("""COMPUTED_VALUE"""),"")</f>
        <v/>
      </c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2">
        <f>IFERROR(__xludf.DUMMYFUNCTION("""COMPUTED_VALUE"""),0.0)</f>
        <v>0</v>
      </c>
      <c r="BD356" s="22">
        <f>IFERROR(__xludf.DUMMYFUNCTION("""COMPUTED_VALUE"""),0.0)</f>
        <v>0</v>
      </c>
      <c r="BE356" s="22">
        <f>IFERROR(__xludf.DUMMYFUNCTION("""COMPUTED_VALUE"""),0.0)</f>
        <v>0</v>
      </c>
      <c r="BF356" s="22">
        <f>IFERROR(__xludf.DUMMYFUNCTION("""COMPUTED_VALUE"""),0.0)</f>
        <v>0</v>
      </c>
    </row>
    <row r="357">
      <c r="A357" s="27" t="str">
        <f>IFERROR(__xludf.DUMMYFUNCTION("""COMPUTED_VALUE"""),"")</f>
        <v/>
      </c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2">
        <f>IFERROR(__xludf.DUMMYFUNCTION("""COMPUTED_VALUE"""),0.0)</f>
        <v>0</v>
      </c>
      <c r="BD357" s="22">
        <f>IFERROR(__xludf.DUMMYFUNCTION("""COMPUTED_VALUE"""),0.0)</f>
        <v>0</v>
      </c>
      <c r="BE357" s="22">
        <f>IFERROR(__xludf.DUMMYFUNCTION("""COMPUTED_VALUE"""),0.0)</f>
        <v>0</v>
      </c>
      <c r="BF357" s="22">
        <f>IFERROR(__xludf.DUMMYFUNCTION("""COMPUTED_VALUE"""),0.0)</f>
        <v>0</v>
      </c>
    </row>
    <row r="358">
      <c r="A358" s="27" t="str">
        <f>IFERROR(__xludf.DUMMYFUNCTION("""COMPUTED_VALUE"""),"")</f>
        <v/>
      </c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2">
        <f>IFERROR(__xludf.DUMMYFUNCTION("""COMPUTED_VALUE"""),0.0)</f>
        <v>0</v>
      </c>
      <c r="BD358" s="22">
        <f>IFERROR(__xludf.DUMMYFUNCTION("""COMPUTED_VALUE"""),0.0)</f>
        <v>0</v>
      </c>
      <c r="BE358" s="22">
        <f>IFERROR(__xludf.DUMMYFUNCTION("""COMPUTED_VALUE"""),0.0)</f>
        <v>0</v>
      </c>
      <c r="BF358" s="22">
        <f>IFERROR(__xludf.DUMMYFUNCTION("""COMPUTED_VALUE"""),0.0)</f>
        <v>0</v>
      </c>
    </row>
    <row r="359">
      <c r="A359" s="27" t="str">
        <f>IFERROR(__xludf.DUMMYFUNCTION("""COMPUTED_VALUE"""),"")</f>
        <v/>
      </c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2">
        <f>IFERROR(__xludf.DUMMYFUNCTION("""COMPUTED_VALUE"""),0.0)</f>
        <v>0</v>
      </c>
      <c r="BD359" s="22">
        <f>IFERROR(__xludf.DUMMYFUNCTION("""COMPUTED_VALUE"""),0.0)</f>
        <v>0</v>
      </c>
      <c r="BE359" s="22">
        <f>IFERROR(__xludf.DUMMYFUNCTION("""COMPUTED_VALUE"""),0.0)</f>
        <v>0</v>
      </c>
      <c r="BF359" s="22">
        <f>IFERROR(__xludf.DUMMYFUNCTION("""COMPUTED_VALUE"""),0.0)</f>
        <v>0</v>
      </c>
    </row>
    <row r="360">
      <c r="A360" s="27" t="str">
        <f>IFERROR(__xludf.DUMMYFUNCTION("""COMPUTED_VALUE"""),"")</f>
        <v/>
      </c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2">
        <f>IFERROR(__xludf.DUMMYFUNCTION("""COMPUTED_VALUE"""),0.0)</f>
        <v>0</v>
      </c>
      <c r="BD360" s="22">
        <f>IFERROR(__xludf.DUMMYFUNCTION("""COMPUTED_VALUE"""),0.0)</f>
        <v>0</v>
      </c>
      <c r="BE360" s="22">
        <f>IFERROR(__xludf.DUMMYFUNCTION("""COMPUTED_VALUE"""),0.0)</f>
        <v>0</v>
      </c>
      <c r="BF360" s="22">
        <f>IFERROR(__xludf.DUMMYFUNCTION("""COMPUTED_VALUE"""),0.0)</f>
        <v>0</v>
      </c>
    </row>
    <row r="361">
      <c r="A361" s="27" t="str">
        <f>IFERROR(__xludf.DUMMYFUNCTION("""COMPUTED_VALUE"""),"")</f>
        <v/>
      </c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2">
        <f>IFERROR(__xludf.DUMMYFUNCTION("""COMPUTED_VALUE"""),0.0)</f>
        <v>0</v>
      </c>
      <c r="BD361" s="22">
        <f>IFERROR(__xludf.DUMMYFUNCTION("""COMPUTED_VALUE"""),0.0)</f>
        <v>0</v>
      </c>
      <c r="BE361" s="22">
        <f>IFERROR(__xludf.DUMMYFUNCTION("""COMPUTED_VALUE"""),0.0)</f>
        <v>0</v>
      </c>
      <c r="BF361" s="22">
        <f>IFERROR(__xludf.DUMMYFUNCTION("""COMPUTED_VALUE"""),0.0)</f>
        <v>0</v>
      </c>
    </row>
    <row r="362">
      <c r="A362" s="27" t="str">
        <f>IFERROR(__xludf.DUMMYFUNCTION("""COMPUTED_VALUE"""),"")</f>
        <v/>
      </c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2">
        <f>IFERROR(__xludf.DUMMYFUNCTION("""COMPUTED_VALUE"""),0.0)</f>
        <v>0</v>
      </c>
      <c r="BD362" s="22">
        <f>IFERROR(__xludf.DUMMYFUNCTION("""COMPUTED_VALUE"""),0.0)</f>
        <v>0</v>
      </c>
      <c r="BE362" s="22">
        <f>IFERROR(__xludf.DUMMYFUNCTION("""COMPUTED_VALUE"""),0.0)</f>
        <v>0</v>
      </c>
      <c r="BF362" s="22">
        <f>IFERROR(__xludf.DUMMYFUNCTION("""COMPUTED_VALUE"""),0.0)</f>
        <v>0</v>
      </c>
    </row>
    <row r="363">
      <c r="A363" s="27" t="str">
        <f>IFERROR(__xludf.DUMMYFUNCTION("""COMPUTED_VALUE"""),"")</f>
        <v/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2">
        <f>IFERROR(__xludf.DUMMYFUNCTION("""COMPUTED_VALUE"""),0.0)</f>
        <v>0</v>
      </c>
      <c r="BD363" s="22">
        <f>IFERROR(__xludf.DUMMYFUNCTION("""COMPUTED_VALUE"""),0.0)</f>
        <v>0</v>
      </c>
      <c r="BE363" s="22">
        <f>IFERROR(__xludf.DUMMYFUNCTION("""COMPUTED_VALUE"""),0.0)</f>
        <v>0</v>
      </c>
      <c r="BF363" s="22">
        <f>IFERROR(__xludf.DUMMYFUNCTION("""COMPUTED_VALUE"""),0.0)</f>
        <v>0</v>
      </c>
    </row>
    <row r="364">
      <c r="A364" s="27" t="str">
        <f>IFERROR(__xludf.DUMMYFUNCTION("""COMPUTED_VALUE"""),"")</f>
        <v/>
      </c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2">
        <f>IFERROR(__xludf.DUMMYFUNCTION("""COMPUTED_VALUE"""),0.0)</f>
        <v>0</v>
      </c>
      <c r="BD364" s="22">
        <f>IFERROR(__xludf.DUMMYFUNCTION("""COMPUTED_VALUE"""),0.0)</f>
        <v>0</v>
      </c>
      <c r="BE364" s="22">
        <f>IFERROR(__xludf.DUMMYFUNCTION("""COMPUTED_VALUE"""),0.0)</f>
        <v>0</v>
      </c>
      <c r="BF364" s="22">
        <f>IFERROR(__xludf.DUMMYFUNCTION("""COMPUTED_VALUE"""),0.0)</f>
        <v>0</v>
      </c>
    </row>
    <row r="365">
      <c r="A365" s="27" t="str">
        <f>IFERROR(__xludf.DUMMYFUNCTION("""COMPUTED_VALUE"""),"")</f>
        <v/>
      </c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2">
        <f>IFERROR(__xludf.DUMMYFUNCTION("""COMPUTED_VALUE"""),0.0)</f>
        <v>0</v>
      </c>
      <c r="BD365" s="22">
        <f>IFERROR(__xludf.DUMMYFUNCTION("""COMPUTED_VALUE"""),0.0)</f>
        <v>0</v>
      </c>
      <c r="BE365" s="22">
        <f>IFERROR(__xludf.DUMMYFUNCTION("""COMPUTED_VALUE"""),0.0)</f>
        <v>0</v>
      </c>
      <c r="BF365" s="22">
        <f>IFERROR(__xludf.DUMMYFUNCTION("""COMPUTED_VALUE"""),0.0)</f>
        <v>0</v>
      </c>
    </row>
    <row r="366">
      <c r="A366" s="27" t="str">
        <f>IFERROR(__xludf.DUMMYFUNCTION("""COMPUTED_VALUE"""),"")</f>
        <v/>
      </c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2">
        <f>IFERROR(__xludf.DUMMYFUNCTION("""COMPUTED_VALUE"""),0.0)</f>
        <v>0</v>
      </c>
      <c r="BD366" s="22">
        <f>IFERROR(__xludf.DUMMYFUNCTION("""COMPUTED_VALUE"""),0.0)</f>
        <v>0</v>
      </c>
      <c r="BE366" s="22">
        <f>IFERROR(__xludf.DUMMYFUNCTION("""COMPUTED_VALUE"""),0.0)</f>
        <v>0</v>
      </c>
      <c r="BF366" s="22">
        <f>IFERROR(__xludf.DUMMYFUNCTION("""COMPUTED_VALUE"""),0.0)</f>
        <v>0</v>
      </c>
    </row>
    <row r="367">
      <c r="A367" s="27" t="str">
        <f>IFERROR(__xludf.DUMMYFUNCTION("""COMPUTED_VALUE"""),"")</f>
        <v/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2">
        <f>IFERROR(__xludf.DUMMYFUNCTION("""COMPUTED_VALUE"""),0.0)</f>
        <v>0</v>
      </c>
      <c r="BD367" s="22">
        <f>IFERROR(__xludf.DUMMYFUNCTION("""COMPUTED_VALUE"""),0.0)</f>
        <v>0</v>
      </c>
      <c r="BE367" s="22">
        <f>IFERROR(__xludf.DUMMYFUNCTION("""COMPUTED_VALUE"""),0.0)</f>
        <v>0</v>
      </c>
      <c r="BF367" s="22">
        <f>IFERROR(__xludf.DUMMYFUNCTION("""COMPUTED_VALUE"""),0.0)</f>
        <v>0</v>
      </c>
    </row>
    <row r="368">
      <c r="A368" s="27" t="str">
        <f>IFERROR(__xludf.DUMMYFUNCTION("""COMPUTED_VALUE"""),"")</f>
        <v/>
      </c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2">
        <f>IFERROR(__xludf.DUMMYFUNCTION("""COMPUTED_VALUE"""),0.0)</f>
        <v>0</v>
      </c>
      <c r="BD368" s="22">
        <f>IFERROR(__xludf.DUMMYFUNCTION("""COMPUTED_VALUE"""),0.0)</f>
        <v>0</v>
      </c>
      <c r="BE368" s="22">
        <f>IFERROR(__xludf.DUMMYFUNCTION("""COMPUTED_VALUE"""),0.0)</f>
        <v>0</v>
      </c>
      <c r="BF368" s="22">
        <f>IFERROR(__xludf.DUMMYFUNCTION("""COMPUTED_VALUE"""),0.0)</f>
        <v>0</v>
      </c>
    </row>
    <row r="369">
      <c r="A369" s="27" t="str">
        <f>IFERROR(__xludf.DUMMYFUNCTION("""COMPUTED_VALUE"""),"")</f>
        <v/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2">
        <f>IFERROR(__xludf.DUMMYFUNCTION("""COMPUTED_VALUE"""),0.0)</f>
        <v>0</v>
      </c>
      <c r="BD369" s="22">
        <f>IFERROR(__xludf.DUMMYFUNCTION("""COMPUTED_VALUE"""),0.0)</f>
        <v>0</v>
      </c>
      <c r="BE369" s="22">
        <f>IFERROR(__xludf.DUMMYFUNCTION("""COMPUTED_VALUE"""),0.0)</f>
        <v>0</v>
      </c>
      <c r="BF369" s="22">
        <f>IFERROR(__xludf.DUMMYFUNCTION("""COMPUTED_VALUE"""),0.0)</f>
        <v>0</v>
      </c>
    </row>
    <row r="370">
      <c r="A370" s="27" t="str">
        <f>IFERROR(__xludf.DUMMYFUNCTION("""COMPUTED_VALUE"""),"")</f>
        <v/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2">
        <f>IFERROR(__xludf.DUMMYFUNCTION("""COMPUTED_VALUE"""),0.0)</f>
        <v>0</v>
      </c>
      <c r="BD370" s="22">
        <f>IFERROR(__xludf.DUMMYFUNCTION("""COMPUTED_VALUE"""),0.0)</f>
        <v>0</v>
      </c>
      <c r="BE370" s="22">
        <f>IFERROR(__xludf.DUMMYFUNCTION("""COMPUTED_VALUE"""),0.0)</f>
        <v>0</v>
      </c>
      <c r="BF370" s="22">
        <f>IFERROR(__xludf.DUMMYFUNCTION("""COMPUTED_VALUE"""),0.0)</f>
        <v>0</v>
      </c>
    </row>
    <row r="371">
      <c r="A371" s="27" t="str">
        <f>IFERROR(__xludf.DUMMYFUNCTION("""COMPUTED_VALUE"""),"")</f>
        <v/>
      </c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</row>
    <row r="372">
      <c r="A372" s="27" t="str">
        <f>IFERROR(__xludf.DUMMYFUNCTION("""COMPUTED_VALUE"""),"")</f>
        <v/>
      </c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</row>
    <row r="373">
      <c r="A373" s="27" t="str">
        <f>IFERROR(__xludf.DUMMYFUNCTION("""COMPUTED_VALUE"""),"")</f>
        <v/>
      </c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</row>
    <row r="374">
      <c r="A374" s="27" t="str">
        <f>IFERROR(__xludf.DUMMYFUNCTION("""COMPUTED_VALUE"""),"")</f>
        <v/>
      </c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</row>
    <row r="375">
      <c r="A375" s="27" t="str">
        <f>IFERROR(__xludf.DUMMYFUNCTION("""COMPUTED_VALUE"""),"")</f>
        <v/>
      </c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</row>
    <row r="376">
      <c r="A376" s="27" t="str">
        <f>IFERROR(__xludf.DUMMYFUNCTION("""COMPUTED_VALUE"""),"")</f>
        <v/>
      </c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</row>
    <row r="377">
      <c r="A377" s="27" t="str">
        <f>IFERROR(__xludf.DUMMYFUNCTION("""COMPUTED_VALUE"""),"")</f>
        <v/>
      </c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</row>
    <row r="378">
      <c r="A378" s="27" t="str">
        <f>IFERROR(__xludf.DUMMYFUNCTION("""COMPUTED_VALUE"""),"")</f>
        <v/>
      </c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</row>
    <row r="379">
      <c r="A379" s="27" t="str">
        <f>IFERROR(__xludf.DUMMYFUNCTION("""COMPUTED_VALUE"""),"")</f>
        <v/>
      </c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</row>
    <row r="380">
      <c r="A380" s="27" t="str">
        <f>IFERROR(__xludf.DUMMYFUNCTION("""COMPUTED_VALUE"""),"")</f>
        <v/>
      </c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</row>
    <row r="381">
      <c r="A381" s="27" t="str">
        <f>IFERROR(__xludf.DUMMYFUNCTION("""COMPUTED_VALUE"""),"")</f>
        <v/>
      </c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</row>
    <row r="382">
      <c r="A382" s="27" t="str">
        <f>IFERROR(__xludf.DUMMYFUNCTION("""COMPUTED_VALUE"""),"")</f>
        <v/>
      </c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</row>
    <row r="383">
      <c r="A383" s="27" t="str">
        <f>IFERROR(__xludf.DUMMYFUNCTION("""COMPUTED_VALUE"""),"")</f>
        <v/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</row>
    <row r="384">
      <c r="A384" s="27" t="str">
        <f>IFERROR(__xludf.DUMMYFUNCTION("""COMPUTED_VALUE"""),"")</f>
        <v/>
      </c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</row>
    <row r="385">
      <c r="A385" s="27" t="str">
        <f>IFERROR(__xludf.DUMMYFUNCTION("""COMPUTED_VALUE"""),"")</f>
        <v/>
      </c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</row>
    <row r="386">
      <c r="A386" s="27" t="str">
        <f>IFERROR(__xludf.DUMMYFUNCTION("""COMPUTED_VALUE"""),"")</f>
        <v/>
      </c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</row>
    <row r="387">
      <c r="A387" s="27" t="str">
        <f>IFERROR(__xludf.DUMMYFUNCTION("""COMPUTED_VALUE"""),"")</f>
        <v/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</row>
    <row r="388">
      <c r="A388" s="27" t="str">
        <f>IFERROR(__xludf.DUMMYFUNCTION("""COMPUTED_VALUE"""),"")</f>
        <v/>
      </c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</row>
    <row r="389">
      <c r="A389" s="27" t="str">
        <f>IFERROR(__xludf.DUMMYFUNCTION("""COMPUTED_VALUE"""),"")</f>
        <v/>
      </c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</row>
    <row r="390">
      <c r="A390" s="27" t="str">
        <f>IFERROR(__xludf.DUMMYFUNCTION("""COMPUTED_VALUE"""),"")</f>
        <v/>
      </c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</row>
    <row r="391">
      <c r="A391" s="27" t="str">
        <f>IFERROR(__xludf.DUMMYFUNCTION("""COMPUTED_VALUE"""),"")</f>
        <v/>
      </c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</row>
    <row r="392">
      <c r="A392" s="27" t="str">
        <f>IFERROR(__xludf.DUMMYFUNCTION("""COMPUTED_VALUE"""),"")</f>
        <v/>
      </c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</row>
    <row r="393">
      <c r="A393" s="27" t="str">
        <f>IFERROR(__xludf.DUMMYFUNCTION("""COMPUTED_VALUE"""),"")</f>
        <v/>
      </c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</row>
    <row r="394">
      <c r="A394" s="27" t="str">
        <f>IFERROR(__xludf.DUMMYFUNCTION("""COMPUTED_VALUE"""),"")</f>
        <v/>
      </c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</row>
    <row r="395">
      <c r="A395" s="27" t="str">
        <f>IFERROR(__xludf.DUMMYFUNCTION("""COMPUTED_VALUE"""),"")</f>
        <v/>
      </c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</row>
    <row r="396">
      <c r="A396" s="27" t="str">
        <f>IFERROR(__xludf.DUMMYFUNCTION("""COMPUTED_VALUE"""),"")</f>
        <v/>
      </c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</row>
    <row r="397">
      <c r="A397" s="27" t="str">
        <f>IFERROR(__xludf.DUMMYFUNCTION("""COMPUTED_VALUE"""),"")</f>
        <v/>
      </c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</row>
    <row r="398">
      <c r="A398" s="27" t="str">
        <f>IFERROR(__xludf.DUMMYFUNCTION("""COMPUTED_VALUE"""),"")</f>
        <v/>
      </c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</row>
    <row r="399">
      <c r="A399" s="27" t="str">
        <f>IFERROR(__xludf.DUMMYFUNCTION("""COMPUTED_VALUE"""),"")</f>
        <v/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</row>
    <row r="400">
      <c r="A400" s="27" t="str">
        <f>IFERROR(__xludf.DUMMYFUNCTION("""COMPUTED_VALUE"""),"")</f>
        <v/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</row>
    <row r="401">
      <c r="A401" s="27" t="str">
        <f>IFERROR(__xludf.DUMMYFUNCTION("""COMPUTED_VALUE"""),"")</f>
        <v/>
      </c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</row>
    <row r="402">
      <c r="A402" s="27" t="str">
        <f>IFERROR(__xludf.DUMMYFUNCTION("""COMPUTED_VALUE"""),"")</f>
        <v/>
      </c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</row>
    <row r="403">
      <c r="A403" s="27" t="str">
        <f>IFERROR(__xludf.DUMMYFUNCTION("""COMPUTED_VALUE"""),"")</f>
        <v/>
      </c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</row>
    <row r="404">
      <c r="A404" s="27" t="str">
        <f>IFERROR(__xludf.DUMMYFUNCTION("""COMPUTED_VALUE"""),"")</f>
        <v/>
      </c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</row>
    <row r="405">
      <c r="A405" s="27" t="str">
        <f>IFERROR(__xludf.DUMMYFUNCTION("""COMPUTED_VALUE"""),"")</f>
        <v/>
      </c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</row>
    <row r="406">
      <c r="A406" s="27" t="str">
        <f>IFERROR(__xludf.DUMMYFUNCTION("""COMPUTED_VALUE"""),"")</f>
        <v/>
      </c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</row>
    <row r="407">
      <c r="A407" s="27" t="str">
        <f>IFERROR(__xludf.DUMMYFUNCTION("""COMPUTED_VALUE"""),"")</f>
        <v/>
      </c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</row>
    <row r="408">
      <c r="A408" s="27" t="str">
        <f>IFERROR(__xludf.DUMMYFUNCTION("""COMPUTED_VALUE"""),"")</f>
        <v/>
      </c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</row>
    <row r="409">
      <c r="A409" s="27" t="str">
        <f>IFERROR(__xludf.DUMMYFUNCTION("""COMPUTED_VALUE"""),"")</f>
        <v/>
      </c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</row>
    <row r="410">
      <c r="A410" s="27" t="str">
        <f>IFERROR(__xludf.DUMMYFUNCTION("""COMPUTED_VALUE"""),"")</f>
        <v/>
      </c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</row>
    <row r="411">
      <c r="A411" s="27" t="str">
        <f>IFERROR(__xludf.DUMMYFUNCTION("""COMPUTED_VALUE"""),"")</f>
        <v/>
      </c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</row>
    <row r="412">
      <c r="A412" s="27" t="str">
        <f>IFERROR(__xludf.DUMMYFUNCTION("""COMPUTED_VALUE"""),"")</f>
        <v/>
      </c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</row>
    <row r="413">
      <c r="A413" s="27" t="str">
        <f>IFERROR(__xludf.DUMMYFUNCTION("""COMPUTED_VALUE"""),"")</f>
        <v/>
      </c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</row>
    <row r="414">
      <c r="A414" s="27" t="str">
        <f>IFERROR(__xludf.DUMMYFUNCTION("""COMPUTED_VALUE"""),"")</f>
        <v/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</row>
    <row r="415">
      <c r="A415" s="27" t="str">
        <f>IFERROR(__xludf.DUMMYFUNCTION("""COMPUTED_VALUE"""),"")</f>
        <v/>
      </c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</row>
    <row r="416">
      <c r="A416" s="27" t="str">
        <f>IFERROR(__xludf.DUMMYFUNCTION("""COMPUTED_VALUE"""),"")</f>
        <v/>
      </c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</row>
    <row r="417">
      <c r="A417" s="27" t="str">
        <f>IFERROR(__xludf.DUMMYFUNCTION("""COMPUTED_VALUE"""),"")</f>
        <v/>
      </c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</row>
    <row r="418">
      <c r="A418" s="27" t="str">
        <f>IFERROR(__xludf.DUMMYFUNCTION("""COMPUTED_VALUE"""),"")</f>
        <v/>
      </c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</row>
    <row r="419">
      <c r="A419" s="27" t="str">
        <f>IFERROR(__xludf.DUMMYFUNCTION("""COMPUTED_VALUE"""),"")</f>
        <v/>
      </c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</row>
    <row r="420">
      <c r="A420" s="27" t="str">
        <f>IFERROR(__xludf.DUMMYFUNCTION("""COMPUTED_VALUE"""),"")</f>
        <v/>
      </c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</row>
    <row r="421">
      <c r="A421" s="27" t="str">
        <f>IFERROR(__xludf.DUMMYFUNCTION("""COMPUTED_VALUE"""),"")</f>
        <v/>
      </c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</row>
    <row r="422">
      <c r="A422" s="27" t="str">
        <f>IFERROR(__xludf.DUMMYFUNCTION("""COMPUTED_VALUE"""),"")</f>
        <v/>
      </c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</row>
    <row r="423">
      <c r="A423" s="27" t="str">
        <f>IFERROR(__xludf.DUMMYFUNCTION("""COMPUTED_VALUE"""),"")</f>
        <v/>
      </c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</row>
    <row r="424">
      <c r="A424" s="27" t="str">
        <f>IFERROR(__xludf.DUMMYFUNCTION("""COMPUTED_VALUE"""),"")</f>
        <v/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</row>
    <row r="425">
      <c r="A425" s="27" t="str">
        <f>IFERROR(__xludf.DUMMYFUNCTION("""COMPUTED_VALUE"""),"")</f>
        <v/>
      </c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</row>
    <row r="426">
      <c r="A426" s="27" t="str">
        <f>IFERROR(__xludf.DUMMYFUNCTION("""COMPUTED_VALUE"""),"")</f>
        <v/>
      </c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</row>
    <row r="427">
      <c r="A427" s="27" t="str">
        <f>IFERROR(__xludf.DUMMYFUNCTION("""COMPUTED_VALUE"""),"")</f>
        <v/>
      </c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</row>
    <row r="428">
      <c r="A428" s="27" t="str">
        <f>IFERROR(__xludf.DUMMYFUNCTION("""COMPUTED_VALUE"""),"")</f>
        <v/>
      </c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</row>
    <row r="429">
      <c r="A429" s="27" t="str">
        <f>IFERROR(__xludf.DUMMYFUNCTION("""COMPUTED_VALUE"""),"")</f>
        <v/>
      </c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</row>
    <row r="430">
      <c r="A430" s="27" t="str">
        <f>IFERROR(__xludf.DUMMYFUNCTION("""COMPUTED_VALUE"""),"")</f>
        <v/>
      </c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</row>
    <row r="431">
      <c r="A431" s="27" t="str">
        <f>IFERROR(__xludf.DUMMYFUNCTION("""COMPUTED_VALUE"""),"")</f>
        <v/>
      </c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</row>
    <row r="432">
      <c r="A432" s="27" t="str">
        <f>IFERROR(__xludf.DUMMYFUNCTION("""COMPUTED_VALUE"""),"")</f>
        <v/>
      </c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</row>
    <row r="433">
      <c r="A433" s="27" t="str">
        <f>IFERROR(__xludf.DUMMYFUNCTION("""COMPUTED_VALUE"""),"")</f>
        <v/>
      </c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</row>
    <row r="434">
      <c r="A434" s="27" t="str">
        <f>IFERROR(__xludf.DUMMYFUNCTION("""COMPUTED_VALUE"""),"")</f>
        <v/>
      </c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</row>
    <row r="435">
      <c r="A435" s="27" t="str">
        <f>IFERROR(__xludf.DUMMYFUNCTION("""COMPUTED_VALUE"""),"")</f>
        <v/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</row>
    <row r="436">
      <c r="A436" s="27" t="str">
        <f>IFERROR(__xludf.DUMMYFUNCTION("""COMPUTED_VALUE"""),"")</f>
        <v/>
      </c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</row>
    <row r="437">
      <c r="A437" s="27" t="str">
        <f>IFERROR(__xludf.DUMMYFUNCTION("""COMPUTED_VALUE"""),"")</f>
        <v/>
      </c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</row>
    <row r="438">
      <c r="A438" s="27" t="str">
        <f>IFERROR(__xludf.DUMMYFUNCTION("""COMPUTED_VALUE"""),"")</f>
        <v/>
      </c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</row>
    <row r="439">
      <c r="A439" s="27" t="str">
        <f>IFERROR(__xludf.DUMMYFUNCTION("""COMPUTED_VALUE"""),"")</f>
        <v/>
      </c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</row>
    <row r="440">
      <c r="A440" s="27" t="str">
        <f>IFERROR(__xludf.DUMMYFUNCTION("""COMPUTED_VALUE"""),"")</f>
        <v/>
      </c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</row>
    <row r="441">
      <c r="A441" s="27" t="str">
        <f>IFERROR(__xludf.DUMMYFUNCTION("""COMPUTED_VALUE"""),"")</f>
        <v/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</row>
    <row r="442">
      <c r="A442" s="27" t="str">
        <f>IFERROR(__xludf.DUMMYFUNCTION("""COMPUTED_VALUE"""),"")</f>
        <v/>
      </c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</row>
    <row r="443">
      <c r="A443" s="27" t="str">
        <f>IFERROR(__xludf.DUMMYFUNCTION("""COMPUTED_VALUE"""),"")</f>
        <v/>
      </c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</row>
    <row r="444">
      <c r="A444" s="27" t="str">
        <f>IFERROR(__xludf.DUMMYFUNCTION("""COMPUTED_VALUE"""),"")</f>
        <v/>
      </c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</row>
    <row r="445">
      <c r="A445" s="27" t="str">
        <f>IFERROR(__xludf.DUMMYFUNCTION("""COMPUTED_VALUE"""),"")</f>
        <v/>
      </c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</row>
    <row r="446">
      <c r="A446" s="27" t="str">
        <f>IFERROR(__xludf.DUMMYFUNCTION("""COMPUTED_VALUE"""),"")</f>
        <v/>
      </c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</row>
    <row r="447">
      <c r="A447" s="27" t="str">
        <f>IFERROR(__xludf.DUMMYFUNCTION("""COMPUTED_VALUE"""),"")</f>
        <v/>
      </c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</row>
    <row r="448">
      <c r="A448" s="27" t="str">
        <f>IFERROR(__xludf.DUMMYFUNCTION("""COMPUTED_VALUE"""),"")</f>
        <v/>
      </c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</row>
    <row r="449">
      <c r="A449" s="27" t="str">
        <f>IFERROR(__xludf.DUMMYFUNCTION("""COMPUTED_VALUE"""),"")</f>
        <v/>
      </c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</row>
    <row r="450">
      <c r="A450" s="27" t="str">
        <f>IFERROR(__xludf.DUMMYFUNCTION("""COMPUTED_VALUE"""),"")</f>
        <v/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</row>
    <row r="451">
      <c r="A451" s="27" t="str">
        <f>IFERROR(__xludf.DUMMYFUNCTION("""COMPUTED_VALUE"""),"")</f>
        <v/>
      </c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</row>
    <row r="452">
      <c r="A452" s="27" t="str">
        <f>IFERROR(__xludf.DUMMYFUNCTION("""COMPUTED_VALUE"""),"")</f>
        <v/>
      </c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</row>
    <row r="453">
      <c r="A453" s="27" t="str">
        <f>IFERROR(__xludf.DUMMYFUNCTION("""COMPUTED_VALUE"""),"")</f>
        <v/>
      </c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</row>
    <row r="454">
      <c r="A454" s="27" t="str">
        <f>IFERROR(__xludf.DUMMYFUNCTION("""COMPUTED_VALUE"""),"")</f>
        <v/>
      </c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</row>
    <row r="455">
      <c r="A455" s="27" t="str">
        <f>IFERROR(__xludf.DUMMYFUNCTION("""COMPUTED_VALUE"""),"")</f>
        <v/>
      </c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</row>
    <row r="456">
      <c r="A456" s="27" t="str">
        <f>IFERROR(__xludf.DUMMYFUNCTION("""COMPUTED_VALUE"""),"")</f>
        <v/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</row>
    <row r="457">
      <c r="A457" s="27" t="str">
        <f>IFERROR(__xludf.DUMMYFUNCTION("""COMPUTED_VALUE"""),"")</f>
        <v/>
      </c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</row>
    <row r="458">
      <c r="A458" s="27" t="str">
        <f>IFERROR(__xludf.DUMMYFUNCTION("""COMPUTED_VALUE"""),"")</f>
        <v/>
      </c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</row>
    <row r="459">
      <c r="A459" s="27" t="str">
        <f>IFERROR(__xludf.DUMMYFUNCTION("""COMPUTED_VALUE"""),"")</f>
        <v/>
      </c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</row>
    <row r="460">
      <c r="A460" s="27" t="str">
        <f>IFERROR(__xludf.DUMMYFUNCTION("""COMPUTED_VALUE"""),"")</f>
        <v/>
      </c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</row>
    <row r="461">
      <c r="A461" s="27" t="str">
        <f>IFERROR(__xludf.DUMMYFUNCTION("""COMPUTED_VALUE"""),"")</f>
        <v/>
      </c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</row>
    <row r="462">
      <c r="A462" s="27" t="str">
        <f>IFERROR(__xludf.DUMMYFUNCTION("""COMPUTED_VALUE"""),"")</f>
        <v/>
      </c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</row>
    <row r="463">
      <c r="A463" s="27" t="str">
        <f>IFERROR(__xludf.DUMMYFUNCTION("""COMPUTED_VALUE"""),"")</f>
        <v/>
      </c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</row>
    <row r="464">
      <c r="A464" s="27" t="str">
        <f>IFERROR(__xludf.DUMMYFUNCTION("""COMPUTED_VALUE"""),"")</f>
        <v/>
      </c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</row>
    <row r="465">
      <c r="A465" s="27" t="str">
        <f>IFERROR(__xludf.DUMMYFUNCTION("""COMPUTED_VALUE"""),"")</f>
        <v/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</row>
    <row r="466">
      <c r="A466" s="27" t="str">
        <f>IFERROR(__xludf.DUMMYFUNCTION("""COMPUTED_VALUE"""),"")</f>
        <v/>
      </c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</row>
    <row r="467">
      <c r="A467" s="27" t="str">
        <f>IFERROR(__xludf.DUMMYFUNCTION("""COMPUTED_VALUE"""),"")</f>
        <v/>
      </c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</row>
    <row r="468">
      <c r="A468" s="27" t="str">
        <f>IFERROR(__xludf.DUMMYFUNCTION("""COMPUTED_VALUE"""),"")</f>
        <v/>
      </c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</row>
    <row r="469">
      <c r="A469" s="27" t="str">
        <f>IFERROR(__xludf.DUMMYFUNCTION("""COMPUTED_VALUE"""),"")</f>
        <v/>
      </c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</row>
    <row r="470">
      <c r="A470" s="27" t="str">
        <f>IFERROR(__xludf.DUMMYFUNCTION("""COMPUTED_VALUE"""),"")</f>
        <v/>
      </c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</row>
    <row r="471">
      <c r="A471" s="27" t="str">
        <f>IFERROR(__xludf.DUMMYFUNCTION("""COMPUTED_VALUE"""),"")</f>
        <v/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</row>
    <row r="472">
      <c r="A472" s="27" t="str">
        <f>IFERROR(__xludf.DUMMYFUNCTION("""COMPUTED_VALUE"""),"")</f>
        <v/>
      </c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</row>
    <row r="473">
      <c r="A473" s="27" t="str">
        <f>IFERROR(__xludf.DUMMYFUNCTION("""COMPUTED_VALUE"""),"")</f>
        <v/>
      </c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</row>
    <row r="474">
      <c r="A474" s="27" t="str">
        <f>IFERROR(__xludf.DUMMYFUNCTION("""COMPUTED_VALUE"""),"")</f>
        <v/>
      </c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</row>
    <row r="475">
      <c r="A475" s="27" t="str">
        <f>IFERROR(__xludf.DUMMYFUNCTION("""COMPUTED_VALUE"""),"")</f>
        <v/>
      </c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</row>
    <row r="476">
      <c r="A476" s="27" t="str">
        <f>IFERROR(__xludf.DUMMYFUNCTION("""COMPUTED_VALUE"""),"")</f>
        <v/>
      </c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</row>
    <row r="477">
      <c r="A477" s="27" t="str">
        <f>IFERROR(__xludf.DUMMYFUNCTION("""COMPUTED_VALUE"""),"")</f>
        <v/>
      </c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</row>
    <row r="478">
      <c r="A478" s="27" t="str">
        <f>IFERROR(__xludf.DUMMYFUNCTION("""COMPUTED_VALUE"""),"")</f>
        <v/>
      </c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</row>
    <row r="479">
      <c r="A479" s="27" t="str">
        <f>IFERROR(__xludf.DUMMYFUNCTION("""COMPUTED_VALUE"""),"")</f>
        <v/>
      </c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</row>
    <row r="480">
      <c r="A480" s="27" t="str">
        <f>IFERROR(__xludf.DUMMYFUNCTION("""COMPUTED_VALUE"""),"")</f>
        <v/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</row>
    <row r="481">
      <c r="A481" s="27" t="str">
        <f>IFERROR(__xludf.DUMMYFUNCTION("""COMPUTED_VALUE"""),"")</f>
        <v/>
      </c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</row>
    <row r="482">
      <c r="A482" s="27" t="str">
        <f>IFERROR(__xludf.DUMMYFUNCTION("""COMPUTED_VALUE"""),"")</f>
        <v/>
      </c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</row>
    <row r="483">
      <c r="A483" s="27" t="str">
        <f>IFERROR(__xludf.DUMMYFUNCTION("""COMPUTED_VALUE"""),"")</f>
        <v/>
      </c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</row>
    <row r="484">
      <c r="A484" s="27" t="str">
        <f>IFERROR(__xludf.DUMMYFUNCTION("""COMPUTED_VALUE"""),"")</f>
        <v/>
      </c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</row>
    <row r="485">
      <c r="A485" s="27" t="str">
        <f>IFERROR(__xludf.DUMMYFUNCTION("""COMPUTED_VALUE"""),"")</f>
        <v/>
      </c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</row>
    <row r="486">
      <c r="A486" s="27" t="str">
        <f>IFERROR(__xludf.DUMMYFUNCTION("""COMPUTED_VALUE"""),"")</f>
        <v/>
      </c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</row>
    <row r="487">
      <c r="A487" s="27" t="str">
        <f>IFERROR(__xludf.DUMMYFUNCTION("""COMPUTED_VALUE"""),"")</f>
        <v/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</row>
    <row r="488">
      <c r="A488" s="27" t="str">
        <f>IFERROR(__xludf.DUMMYFUNCTION("""COMPUTED_VALUE"""),"")</f>
        <v/>
      </c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</row>
    <row r="489">
      <c r="A489" s="27" t="str">
        <f>IFERROR(__xludf.DUMMYFUNCTION("""COMPUTED_VALUE"""),"")</f>
        <v/>
      </c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</row>
    <row r="490">
      <c r="A490" s="27" t="str">
        <f>IFERROR(__xludf.DUMMYFUNCTION("""COMPUTED_VALUE"""),"")</f>
        <v/>
      </c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</row>
    <row r="491">
      <c r="A491" s="27" t="str">
        <f>IFERROR(__xludf.DUMMYFUNCTION("""COMPUTED_VALUE"""),"")</f>
        <v/>
      </c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</row>
    <row r="492">
      <c r="A492" s="27" t="str">
        <f>IFERROR(__xludf.DUMMYFUNCTION("""COMPUTED_VALUE"""),"")</f>
        <v/>
      </c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</row>
    <row r="493">
      <c r="A493" s="27" t="str">
        <f>IFERROR(__xludf.DUMMYFUNCTION("""COMPUTED_VALUE"""),"")</f>
        <v/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</row>
    <row r="494">
      <c r="A494" s="27" t="str">
        <f>IFERROR(__xludf.DUMMYFUNCTION("""COMPUTED_VALUE"""),"")</f>
        <v/>
      </c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</row>
    <row r="495">
      <c r="A495" s="27" t="str">
        <f>IFERROR(__xludf.DUMMYFUNCTION("""COMPUTED_VALUE"""),"")</f>
        <v/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</row>
    <row r="496">
      <c r="A496" s="27" t="str">
        <f>IFERROR(__xludf.DUMMYFUNCTION("""COMPUTED_VALUE"""),"")</f>
        <v/>
      </c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</row>
    <row r="497">
      <c r="A497" s="27" t="str">
        <f>IFERROR(__xludf.DUMMYFUNCTION("""COMPUTED_VALUE"""),"")</f>
        <v/>
      </c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</row>
    <row r="498">
      <c r="A498" s="27" t="str">
        <f>IFERROR(__xludf.DUMMYFUNCTION("""COMPUTED_VALUE"""),"")</f>
        <v/>
      </c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</row>
    <row r="499">
      <c r="A499" s="27" t="str">
        <f>IFERROR(__xludf.DUMMYFUNCTION("""COMPUTED_VALUE"""),"")</f>
        <v/>
      </c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</row>
    <row r="500">
      <c r="A500" s="27" t="str">
        <f>IFERROR(__xludf.DUMMYFUNCTION("""COMPUTED_VALUE"""),"")</f>
        <v/>
      </c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</row>
    <row r="501">
      <c r="A501" s="27" t="str">
        <f>IFERROR(__xludf.DUMMYFUNCTION("""COMPUTED_VALUE"""),"")</f>
        <v/>
      </c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</row>
    <row r="502">
      <c r="A502" s="27" t="str">
        <f>IFERROR(__xludf.DUMMYFUNCTION("""COMPUTED_VALUE"""),"")</f>
        <v/>
      </c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</row>
    <row r="503">
      <c r="A503" s="27" t="str">
        <f>IFERROR(__xludf.DUMMYFUNCTION("""COMPUTED_VALUE"""),"")</f>
        <v/>
      </c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</row>
    <row r="504">
      <c r="A504" s="27" t="str">
        <f>IFERROR(__xludf.DUMMYFUNCTION("""COMPUTED_VALUE"""),"")</f>
        <v/>
      </c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</row>
    <row r="505">
      <c r="A505" s="27" t="str">
        <f>IFERROR(__xludf.DUMMYFUNCTION("""COMPUTED_VALUE"""),"")</f>
        <v/>
      </c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</row>
    <row r="506">
      <c r="A506" s="27" t="str">
        <f>IFERROR(__xludf.DUMMYFUNCTION("""COMPUTED_VALUE"""),"")</f>
        <v/>
      </c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</row>
    <row r="507">
      <c r="A507" s="27" t="str">
        <f>IFERROR(__xludf.DUMMYFUNCTION("""COMPUTED_VALUE"""),"")</f>
        <v/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</row>
    <row r="508">
      <c r="A508" s="27" t="str">
        <f>IFERROR(__xludf.DUMMYFUNCTION("""COMPUTED_VALUE"""),"")</f>
        <v/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</row>
    <row r="509">
      <c r="A509" s="27" t="str">
        <f>IFERROR(__xludf.DUMMYFUNCTION("""COMPUTED_VALUE"""),"")</f>
        <v/>
      </c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</row>
    <row r="510">
      <c r="A510" s="27" t="str">
        <f>IFERROR(__xludf.DUMMYFUNCTION("""COMPUTED_VALUE"""),"")</f>
        <v/>
      </c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</row>
    <row r="511">
      <c r="A511" s="27" t="str">
        <f>IFERROR(__xludf.DUMMYFUNCTION("""COMPUTED_VALUE"""),"")</f>
        <v/>
      </c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</row>
    <row r="512">
      <c r="A512" s="27" t="str">
        <f>IFERROR(__xludf.DUMMYFUNCTION("""COMPUTED_VALUE"""),"")</f>
        <v/>
      </c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</row>
    <row r="513">
      <c r="A513" s="27" t="str">
        <f>IFERROR(__xludf.DUMMYFUNCTION("""COMPUTED_VALUE"""),"")</f>
        <v/>
      </c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</row>
    <row r="514">
      <c r="A514" s="27" t="str">
        <f>IFERROR(__xludf.DUMMYFUNCTION("""COMPUTED_VALUE"""),"")</f>
        <v/>
      </c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</row>
    <row r="515">
      <c r="A515" s="27" t="str">
        <f>IFERROR(__xludf.DUMMYFUNCTION("""COMPUTED_VALUE"""),"")</f>
        <v/>
      </c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</row>
    <row r="516">
      <c r="A516" s="27" t="str">
        <f>IFERROR(__xludf.DUMMYFUNCTION("""COMPUTED_VALUE"""),"")</f>
        <v/>
      </c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</row>
    <row r="517">
      <c r="A517" s="27" t="str">
        <f>IFERROR(__xludf.DUMMYFUNCTION("""COMPUTED_VALUE"""),"")</f>
        <v/>
      </c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</row>
    <row r="518">
      <c r="A518" s="27" t="str">
        <f>IFERROR(__xludf.DUMMYFUNCTION("""COMPUTED_VALUE"""),"")</f>
        <v/>
      </c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</row>
    <row r="519">
      <c r="A519" s="27" t="str">
        <f>IFERROR(__xludf.DUMMYFUNCTION("""COMPUTED_VALUE"""),"")</f>
        <v/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</row>
    <row r="520">
      <c r="A520" s="27" t="str">
        <f>IFERROR(__xludf.DUMMYFUNCTION("""COMPUTED_VALUE"""),"")</f>
        <v/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</row>
    <row r="521">
      <c r="A521" s="27" t="str">
        <f>IFERROR(__xludf.DUMMYFUNCTION("""COMPUTED_VALUE"""),"")</f>
        <v/>
      </c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</row>
    <row r="522">
      <c r="A522" s="27" t="str">
        <f>IFERROR(__xludf.DUMMYFUNCTION("""COMPUTED_VALUE"""),"")</f>
        <v/>
      </c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</row>
    <row r="523">
      <c r="A523" s="27" t="str">
        <f>IFERROR(__xludf.DUMMYFUNCTION("""COMPUTED_VALUE"""),"")</f>
        <v/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</row>
    <row r="524">
      <c r="A524" s="27" t="str">
        <f>IFERROR(__xludf.DUMMYFUNCTION("""COMPUTED_VALUE"""),"")</f>
        <v/>
      </c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</row>
    <row r="525">
      <c r="A525" s="27" t="str">
        <f>IFERROR(__xludf.DUMMYFUNCTION("""COMPUTED_VALUE"""),"")</f>
        <v/>
      </c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</row>
    <row r="526">
      <c r="A526" s="27" t="str">
        <f>IFERROR(__xludf.DUMMYFUNCTION("""COMPUTED_VALUE"""),"")</f>
        <v/>
      </c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</row>
    <row r="527">
      <c r="A527" s="27" t="str">
        <f>IFERROR(__xludf.DUMMYFUNCTION("""COMPUTED_VALUE"""),"")</f>
        <v/>
      </c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</row>
    <row r="528">
      <c r="A528" s="27" t="str">
        <f>IFERROR(__xludf.DUMMYFUNCTION("""COMPUTED_VALUE"""),"")</f>
        <v/>
      </c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</row>
    <row r="529">
      <c r="A529" s="27" t="str">
        <f>IFERROR(__xludf.DUMMYFUNCTION("""COMPUTED_VALUE"""),"")</f>
        <v/>
      </c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</row>
    <row r="530">
      <c r="A530" s="27" t="str">
        <f>IFERROR(__xludf.DUMMYFUNCTION("""COMPUTED_VALUE"""),"")</f>
        <v/>
      </c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</row>
    <row r="531">
      <c r="A531" s="27" t="str">
        <f>IFERROR(__xludf.DUMMYFUNCTION("""COMPUTED_VALUE"""),"")</f>
        <v/>
      </c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</row>
    <row r="532">
      <c r="A532" s="27" t="str">
        <f>IFERROR(__xludf.DUMMYFUNCTION("""COMPUTED_VALUE"""),"")</f>
        <v/>
      </c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</row>
    <row r="533">
      <c r="A533" s="27" t="str">
        <f>IFERROR(__xludf.DUMMYFUNCTION("""COMPUTED_VALUE"""),"")</f>
        <v/>
      </c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</row>
    <row r="534">
      <c r="A534" s="27" t="str">
        <f>IFERROR(__xludf.DUMMYFUNCTION("""COMPUTED_VALUE"""),"")</f>
        <v/>
      </c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</row>
    <row r="535">
      <c r="A535" s="27" t="str">
        <f>IFERROR(__xludf.DUMMYFUNCTION("""COMPUTED_VALUE"""),"")</f>
        <v/>
      </c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</row>
    <row r="536">
      <c r="A536" s="27" t="str">
        <f>IFERROR(__xludf.DUMMYFUNCTION("""COMPUTED_VALUE"""),"")</f>
        <v/>
      </c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</row>
    <row r="537">
      <c r="A537" s="27" t="str">
        <f>IFERROR(__xludf.DUMMYFUNCTION("""COMPUTED_VALUE"""),"")</f>
        <v/>
      </c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</row>
    <row r="538">
      <c r="A538" s="27" t="str">
        <f>IFERROR(__xludf.DUMMYFUNCTION("""COMPUTED_VALUE"""),"")</f>
        <v/>
      </c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</row>
    <row r="539">
      <c r="A539" s="27" t="str">
        <f>IFERROR(__xludf.DUMMYFUNCTION("""COMPUTED_VALUE"""),"")</f>
        <v/>
      </c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</row>
    <row r="540">
      <c r="A540" s="27" t="str">
        <f>IFERROR(__xludf.DUMMYFUNCTION("""COMPUTED_VALUE"""),"")</f>
        <v/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</row>
    <row r="541">
      <c r="A541" s="27" t="str">
        <f>IFERROR(__xludf.DUMMYFUNCTION("""COMPUTED_VALUE"""),"")</f>
        <v/>
      </c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</row>
    <row r="542">
      <c r="A542" s="27" t="str">
        <f>IFERROR(__xludf.DUMMYFUNCTION("""COMPUTED_VALUE"""),"")</f>
        <v/>
      </c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</row>
    <row r="543">
      <c r="A543" s="27" t="str">
        <f>IFERROR(__xludf.DUMMYFUNCTION("""COMPUTED_VALUE"""),"")</f>
        <v/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</row>
    <row r="544">
      <c r="A544" s="27" t="str">
        <f>IFERROR(__xludf.DUMMYFUNCTION("""COMPUTED_VALUE"""),"")</f>
        <v/>
      </c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</row>
    <row r="545">
      <c r="A545" s="27" t="str">
        <f>IFERROR(__xludf.DUMMYFUNCTION("""COMPUTED_VALUE"""),"")</f>
        <v/>
      </c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</row>
    <row r="546">
      <c r="A546" s="27" t="str">
        <f>IFERROR(__xludf.DUMMYFUNCTION("""COMPUTED_VALUE"""),"")</f>
        <v/>
      </c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</row>
    <row r="547">
      <c r="A547" s="27" t="str">
        <f>IFERROR(__xludf.DUMMYFUNCTION("""COMPUTED_VALUE"""),"")</f>
        <v/>
      </c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</row>
    <row r="548">
      <c r="A548" s="27" t="str">
        <f>IFERROR(__xludf.DUMMYFUNCTION("""COMPUTED_VALUE"""),"")</f>
        <v/>
      </c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</row>
    <row r="549">
      <c r="A549" s="27" t="str">
        <f>IFERROR(__xludf.DUMMYFUNCTION("""COMPUTED_VALUE"""),"")</f>
        <v/>
      </c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</row>
    <row r="550">
      <c r="A550" s="27" t="str">
        <f>IFERROR(__xludf.DUMMYFUNCTION("""COMPUTED_VALUE"""),"")</f>
        <v/>
      </c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</row>
    <row r="551">
      <c r="A551" s="27" t="str">
        <f>IFERROR(__xludf.DUMMYFUNCTION("""COMPUTED_VALUE"""),"")</f>
        <v/>
      </c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</row>
    <row r="552">
      <c r="A552" s="27" t="str">
        <f>IFERROR(__xludf.DUMMYFUNCTION("""COMPUTED_VALUE"""),"")</f>
        <v/>
      </c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</row>
    <row r="553">
      <c r="A553" s="27" t="str">
        <f>IFERROR(__xludf.DUMMYFUNCTION("""COMPUTED_VALUE"""),"")</f>
        <v/>
      </c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</row>
    <row r="554">
      <c r="A554" s="27" t="str">
        <f>IFERROR(__xludf.DUMMYFUNCTION("""COMPUTED_VALUE"""),"")</f>
        <v/>
      </c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</row>
    <row r="555">
      <c r="A555" s="27" t="str">
        <f>IFERROR(__xludf.DUMMYFUNCTION("""COMPUTED_VALUE"""),"")</f>
        <v/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</row>
    <row r="556">
      <c r="A556" s="27" t="str">
        <f>IFERROR(__xludf.DUMMYFUNCTION("""COMPUTED_VALUE"""),"")</f>
        <v/>
      </c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</row>
    <row r="557">
      <c r="A557" s="27" t="str">
        <f>IFERROR(__xludf.DUMMYFUNCTION("""COMPUTED_VALUE"""),"")</f>
        <v/>
      </c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</row>
    <row r="558">
      <c r="A558" s="27" t="str">
        <f>IFERROR(__xludf.DUMMYFUNCTION("""COMPUTED_VALUE"""),"")</f>
        <v/>
      </c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</row>
    <row r="559">
      <c r="A559" s="27" t="str">
        <f>IFERROR(__xludf.DUMMYFUNCTION("""COMPUTED_VALUE"""),"")</f>
        <v/>
      </c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</row>
    <row r="560">
      <c r="A560" s="27" t="str">
        <f>IFERROR(__xludf.DUMMYFUNCTION("""COMPUTED_VALUE"""),"")</f>
        <v/>
      </c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</row>
    <row r="561">
      <c r="A561" s="27" t="str">
        <f>IFERROR(__xludf.DUMMYFUNCTION("""COMPUTED_VALUE"""),"")</f>
        <v/>
      </c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</row>
    <row r="562">
      <c r="A562" s="27" t="str">
        <f>IFERROR(__xludf.DUMMYFUNCTION("""COMPUTED_VALUE"""),"")</f>
        <v/>
      </c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</row>
    <row r="563">
      <c r="A563" s="27" t="str">
        <f>IFERROR(__xludf.DUMMYFUNCTION("""COMPUTED_VALUE"""),"")</f>
        <v/>
      </c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</row>
    <row r="564">
      <c r="A564" s="27" t="str">
        <f>IFERROR(__xludf.DUMMYFUNCTION("""COMPUTED_VALUE"""),"")</f>
        <v/>
      </c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</row>
    <row r="565">
      <c r="A565" s="27" t="str">
        <f>IFERROR(__xludf.DUMMYFUNCTION("""COMPUTED_VALUE"""),"")</f>
        <v/>
      </c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</row>
    <row r="566">
      <c r="A566" s="27" t="str">
        <f>IFERROR(__xludf.DUMMYFUNCTION("""COMPUTED_VALUE"""),"")</f>
        <v/>
      </c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</row>
    <row r="567">
      <c r="A567" s="27" t="str">
        <f>IFERROR(__xludf.DUMMYFUNCTION("""COMPUTED_VALUE"""),"")</f>
        <v/>
      </c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</row>
    <row r="568">
      <c r="A568" s="27" t="str">
        <f>IFERROR(__xludf.DUMMYFUNCTION("""COMPUTED_VALUE"""),"")</f>
        <v/>
      </c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</row>
    <row r="569">
      <c r="A569" s="27" t="str">
        <f>IFERROR(__xludf.DUMMYFUNCTION("""COMPUTED_VALUE"""),"")</f>
        <v/>
      </c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</row>
    <row r="570">
      <c r="A570" s="27" t="str">
        <f>IFERROR(__xludf.DUMMYFUNCTION("""COMPUTED_VALUE"""),"")</f>
        <v/>
      </c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</row>
    <row r="571">
      <c r="A571" s="27" t="str">
        <f>IFERROR(__xludf.DUMMYFUNCTION("""COMPUTED_VALUE"""),"")</f>
        <v/>
      </c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</row>
    <row r="572">
      <c r="A572" s="27" t="str">
        <f>IFERROR(__xludf.DUMMYFUNCTION("""COMPUTED_VALUE"""),"")</f>
        <v/>
      </c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</row>
    <row r="573">
      <c r="A573" s="27" t="str">
        <f>IFERROR(__xludf.DUMMYFUNCTION("""COMPUTED_VALUE"""),"")</f>
        <v/>
      </c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</row>
    <row r="574">
      <c r="A574" s="27" t="str">
        <f>IFERROR(__xludf.DUMMYFUNCTION("""COMPUTED_VALUE"""),"")</f>
        <v/>
      </c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</row>
    <row r="575">
      <c r="A575" s="27" t="str">
        <f>IFERROR(__xludf.DUMMYFUNCTION("""COMPUTED_VALUE"""),"")</f>
        <v/>
      </c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</row>
    <row r="576">
      <c r="A576" s="27" t="str">
        <f>IFERROR(__xludf.DUMMYFUNCTION("""COMPUTED_VALUE"""),"")</f>
        <v/>
      </c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</row>
    <row r="577">
      <c r="A577" s="27" t="str">
        <f>IFERROR(__xludf.DUMMYFUNCTION("""COMPUTED_VALUE"""),"")</f>
        <v/>
      </c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</row>
    <row r="578">
      <c r="A578" s="27" t="str">
        <f>IFERROR(__xludf.DUMMYFUNCTION("""COMPUTED_VALUE"""),"")</f>
        <v/>
      </c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</row>
    <row r="579">
      <c r="A579" s="27" t="str">
        <f>IFERROR(__xludf.DUMMYFUNCTION("""COMPUTED_VALUE"""),"")</f>
        <v/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</row>
    <row r="580">
      <c r="A580" s="27" t="str">
        <f>IFERROR(__xludf.DUMMYFUNCTION("""COMPUTED_VALUE"""),"")</f>
        <v/>
      </c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</row>
    <row r="581">
      <c r="A581" s="27" t="str">
        <f>IFERROR(__xludf.DUMMYFUNCTION("""COMPUTED_VALUE"""),"")</f>
        <v/>
      </c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</row>
    <row r="582">
      <c r="A582" s="27" t="str">
        <f>IFERROR(__xludf.DUMMYFUNCTION("""COMPUTED_VALUE"""),"")</f>
        <v/>
      </c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</row>
    <row r="583">
      <c r="A583" s="27" t="str">
        <f>IFERROR(__xludf.DUMMYFUNCTION("""COMPUTED_VALUE"""),"")</f>
        <v/>
      </c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</row>
    <row r="584">
      <c r="A584" s="27" t="str">
        <f>IFERROR(__xludf.DUMMYFUNCTION("""COMPUTED_VALUE"""),"")</f>
        <v/>
      </c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</row>
    <row r="585">
      <c r="A585" s="27" t="str">
        <f>IFERROR(__xludf.DUMMYFUNCTION("""COMPUTED_VALUE"""),"")</f>
        <v/>
      </c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</row>
    <row r="586">
      <c r="A586" s="27" t="str">
        <f>IFERROR(__xludf.DUMMYFUNCTION("""COMPUTED_VALUE"""),"")</f>
        <v/>
      </c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</row>
    <row r="587">
      <c r="A587" s="27" t="str">
        <f>IFERROR(__xludf.DUMMYFUNCTION("""COMPUTED_VALUE"""),"")</f>
        <v/>
      </c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</row>
    <row r="588">
      <c r="A588" s="27" t="str">
        <f>IFERROR(__xludf.DUMMYFUNCTION("""COMPUTED_VALUE"""),"")</f>
        <v/>
      </c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</row>
    <row r="589">
      <c r="A589" s="27" t="str">
        <f>IFERROR(__xludf.DUMMYFUNCTION("""COMPUTED_VALUE"""),"")</f>
        <v/>
      </c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</row>
    <row r="590">
      <c r="A590" s="27" t="str">
        <f>IFERROR(__xludf.DUMMYFUNCTION("""COMPUTED_VALUE"""),"")</f>
        <v/>
      </c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</row>
    <row r="591">
      <c r="A591" s="27" t="str">
        <f>IFERROR(__xludf.DUMMYFUNCTION("""COMPUTED_VALUE"""),"")</f>
        <v/>
      </c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</row>
    <row r="592">
      <c r="A592" s="27" t="str">
        <f>IFERROR(__xludf.DUMMYFUNCTION("""COMPUTED_VALUE"""),"")</f>
        <v/>
      </c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</row>
    <row r="593">
      <c r="A593" s="27" t="str">
        <f>IFERROR(__xludf.DUMMYFUNCTION("""COMPUTED_VALUE"""),"")</f>
        <v/>
      </c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</row>
    <row r="594">
      <c r="A594" s="27" t="str">
        <f>IFERROR(__xludf.DUMMYFUNCTION("""COMPUTED_VALUE"""),"")</f>
        <v/>
      </c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</row>
    <row r="595">
      <c r="A595" s="27" t="str">
        <f>IFERROR(__xludf.DUMMYFUNCTION("""COMPUTED_VALUE"""),"")</f>
        <v/>
      </c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</row>
    <row r="596">
      <c r="A596" s="27" t="str">
        <f>IFERROR(__xludf.DUMMYFUNCTION("""COMPUTED_VALUE"""),"")</f>
        <v/>
      </c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</row>
    <row r="597">
      <c r="A597" s="27" t="str">
        <f>IFERROR(__xludf.DUMMYFUNCTION("""COMPUTED_VALUE"""),"")</f>
        <v/>
      </c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</row>
    <row r="598">
      <c r="A598" s="27" t="str">
        <f>IFERROR(__xludf.DUMMYFUNCTION("""COMPUTED_VALUE"""),"")</f>
        <v/>
      </c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</row>
    <row r="599">
      <c r="A599" s="27" t="str">
        <f>IFERROR(__xludf.DUMMYFUNCTION("""COMPUTED_VALUE"""),"")</f>
        <v/>
      </c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</row>
    <row r="600">
      <c r="A600" s="27" t="str">
        <f>IFERROR(__xludf.DUMMYFUNCTION("""COMPUTED_VALUE"""),"")</f>
        <v/>
      </c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</row>
    <row r="601">
      <c r="A601" s="27" t="str">
        <f>IFERROR(__xludf.DUMMYFUNCTION("""COMPUTED_VALUE"""),"")</f>
        <v/>
      </c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</row>
    <row r="602">
      <c r="A602" s="27" t="str">
        <f>IFERROR(__xludf.DUMMYFUNCTION("""COMPUTED_VALUE"""),"")</f>
        <v/>
      </c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</row>
    <row r="603">
      <c r="A603" s="27" t="str">
        <f>IFERROR(__xludf.DUMMYFUNCTION("""COMPUTED_VALUE"""),"")</f>
        <v/>
      </c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</row>
    <row r="604">
      <c r="A604" s="27" t="str">
        <f>IFERROR(__xludf.DUMMYFUNCTION("""COMPUTED_VALUE"""),"")</f>
        <v/>
      </c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</row>
    <row r="605">
      <c r="A605" s="27" t="str">
        <f>IFERROR(__xludf.DUMMYFUNCTION("""COMPUTED_VALUE"""),"")</f>
        <v/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</row>
    <row r="606">
      <c r="A606" s="27" t="str">
        <f>IFERROR(__xludf.DUMMYFUNCTION("""COMPUTED_VALUE"""),"")</f>
        <v/>
      </c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</row>
    <row r="607">
      <c r="A607" s="27" t="str">
        <f>IFERROR(__xludf.DUMMYFUNCTION("""COMPUTED_VALUE"""),"")</f>
        <v/>
      </c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</row>
    <row r="608">
      <c r="A608" s="27" t="str">
        <f>IFERROR(__xludf.DUMMYFUNCTION("""COMPUTED_VALUE"""),"")</f>
        <v/>
      </c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</row>
    <row r="609">
      <c r="A609" s="27" t="str">
        <f>IFERROR(__xludf.DUMMYFUNCTION("""COMPUTED_VALUE"""),"")</f>
        <v/>
      </c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</row>
    <row r="610">
      <c r="A610" s="27" t="str">
        <f>IFERROR(__xludf.DUMMYFUNCTION("""COMPUTED_VALUE"""),"")</f>
        <v/>
      </c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</row>
    <row r="611">
      <c r="A611" s="27" t="str">
        <f>IFERROR(__xludf.DUMMYFUNCTION("""COMPUTED_VALUE"""),"")</f>
        <v/>
      </c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</row>
    <row r="612">
      <c r="A612" s="27" t="str">
        <f>IFERROR(__xludf.DUMMYFUNCTION("""COMPUTED_VALUE"""),"")</f>
        <v/>
      </c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</row>
    <row r="613">
      <c r="A613" s="27" t="str">
        <f>IFERROR(__xludf.DUMMYFUNCTION("""COMPUTED_VALUE"""),"")</f>
        <v/>
      </c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</row>
    <row r="614">
      <c r="A614" s="27" t="str">
        <f>IFERROR(__xludf.DUMMYFUNCTION("""COMPUTED_VALUE"""),"")</f>
        <v/>
      </c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</row>
    <row r="615">
      <c r="A615" s="27" t="str">
        <f>IFERROR(__xludf.DUMMYFUNCTION("""COMPUTED_VALUE"""),"")</f>
        <v/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</row>
    <row r="616">
      <c r="A616" s="27" t="str">
        <f>IFERROR(__xludf.DUMMYFUNCTION("""COMPUTED_VALUE"""),"")</f>
        <v/>
      </c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</row>
    <row r="617">
      <c r="A617" s="27" t="str">
        <f>IFERROR(__xludf.DUMMYFUNCTION("""COMPUTED_VALUE"""),"")</f>
        <v/>
      </c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</row>
    <row r="618">
      <c r="A618" s="27" t="str">
        <f>IFERROR(__xludf.DUMMYFUNCTION("""COMPUTED_VALUE"""),"")</f>
        <v/>
      </c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</row>
    <row r="619">
      <c r="A619" s="27" t="str">
        <f>IFERROR(__xludf.DUMMYFUNCTION("""COMPUTED_VALUE"""),"")</f>
        <v/>
      </c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</row>
    <row r="620">
      <c r="A620" s="27" t="str">
        <f>IFERROR(__xludf.DUMMYFUNCTION("""COMPUTED_VALUE"""),"")</f>
        <v/>
      </c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</row>
    <row r="621">
      <c r="A621" s="27" t="str">
        <f>IFERROR(__xludf.DUMMYFUNCTION("""COMPUTED_VALUE"""),"")</f>
        <v/>
      </c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</row>
    <row r="622">
      <c r="A622" s="27" t="str">
        <f>IFERROR(__xludf.DUMMYFUNCTION("""COMPUTED_VALUE"""),"")</f>
        <v/>
      </c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</row>
    <row r="623">
      <c r="A623" s="27" t="str">
        <f>IFERROR(__xludf.DUMMYFUNCTION("""COMPUTED_VALUE"""),"")</f>
        <v/>
      </c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</row>
    <row r="624">
      <c r="A624" s="27" t="str">
        <f>IFERROR(__xludf.DUMMYFUNCTION("""COMPUTED_VALUE"""),"")</f>
        <v/>
      </c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</row>
    <row r="625">
      <c r="A625" s="27" t="str">
        <f>IFERROR(__xludf.DUMMYFUNCTION("""COMPUTED_VALUE"""),"")</f>
        <v/>
      </c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</row>
    <row r="626">
      <c r="A626" s="27" t="str">
        <f>IFERROR(__xludf.DUMMYFUNCTION("""COMPUTED_VALUE"""),"")</f>
        <v/>
      </c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</row>
    <row r="627">
      <c r="A627" s="27" t="str">
        <f>IFERROR(__xludf.DUMMYFUNCTION("""COMPUTED_VALUE"""),"")</f>
        <v/>
      </c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</row>
    <row r="628">
      <c r="A628" s="27" t="str">
        <f>IFERROR(__xludf.DUMMYFUNCTION("""COMPUTED_VALUE"""),"")</f>
        <v/>
      </c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</row>
    <row r="629">
      <c r="A629" s="27" t="str">
        <f>IFERROR(__xludf.DUMMYFUNCTION("""COMPUTED_VALUE"""),"")</f>
        <v/>
      </c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</row>
    <row r="630">
      <c r="A630" s="27" t="str">
        <f>IFERROR(__xludf.DUMMYFUNCTION("""COMPUTED_VALUE"""),"")</f>
        <v/>
      </c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</row>
    <row r="631">
      <c r="A631" s="27" t="str">
        <f>IFERROR(__xludf.DUMMYFUNCTION("""COMPUTED_VALUE"""),"")</f>
        <v/>
      </c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</row>
    <row r="632">
      <c r="A632" s="27" t="str">
        <f>IFERROR(__xludf.DUMMYFUNCTION("""COMPUTED_VALUE"""),"")</f>
        <v/>
      </c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</row>
    <row r="633">
      <c r="A633" s="27" t="str">
        <f>IFERROR(__xludf.DUMMYFUNCTION("""COMPUTED_VALUE"""),"")</f>
        <v/>
      </c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</row>
    <row r="634">
      <c r="A634" s="27" t="str">
        <f>IFERROR(__xludf.DUMMYFUNCTION("""COMPUTED_VALUE"""),"")</f>
        <v/>
      </c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</row>
    <row r="635">
      <c r="A635" s="27" t="str">
        <f>IFERROR(__xludf.DUMMYFUNCTION("""COMPUTED_VALUE"""),"")</f>
        <v/>
      </c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</row>
    <row r="636">
      <c r="A636" s="27" t="str">
        <f>IFERROR(__xludf.DUMMYFUNCTION("""COMPUTED_VALUE"""),"")</f>
        <v/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</row>
    <row r="637">
      <c r="A637" s="27" t="str">
        <f>IFERROR(__xludf.DUMMYFUNCTION("""COMPUTED_VALUE"""),"")</f>
        <v/>
      </c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</row>
    <row r="638">
      <c r="A638" s="27" t="str">
        <f>IFERROR(__xludf.DUMMYFUNCTION("""COMPUTED_VALUE"""),"")</f>
        <v/>
      </c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</row>
    <row r="639">
      <c r="A639" s="27" t="str">
        <f>IFERROR(__xludf.DUMMYFUNCTION("""COMPUTED_VALUE"""),"")</f>
        <v/>
      </c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</row>
    <row r="640">
      <c r="A640" s="27" t="str">
        <f>IFERROR(__xludf.DUMMYFUNCTION("""COMPUTED_VALUE"""),"")</f>
        <v/>
      </c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</row>
    <row r="641">
      <c r="A641" s="27" t="str">
        <f>IFERROR(__xludf.DUMMYFUNCTION("""COMPUTED_VALUE"""),"")</f>
        <v/>
      </c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</row>
    <row r="642">
      <c r="A642" s="27" t="str">
        <f>IFERROR(__xludf.DUMMYFUNCTION("""COMPUTED_VALUE"""),"")</f>
        <v/>
      </c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</row>
    <row r="643">
      <c r="A643" s="27" t="str">
        <f>IFERROR(__xludf.DUMMYFUNCTION("""COMPUTED_VALUE"""),"")</f>
        <v/>
      </c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</row>
    <row r="644">
      <c r="A644" s="27" t="str">
        <f>IFERROR(__xludf.DUMMYFUNCTION("""COMPUTED_VALUE"""),"")</f>
        <v/>
      </c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</row>
    <row r="645">
      <c r="A645" s="27" t="str">
        <f>IFERROR(__xludf.DUMMYFUNCTION("""COMPUTED_VALUE"""),"")</f>
        <v/>
      </c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</row>
    <row r="646">
      <c r="A646" s="27" t="str">
        <f>IFERROR(__xludf.DUMMYFUNCTION("""COMPUTED_VALUE"""),"")</f>
        <v/>
      </c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</row>
    <row r="647">
      <c r="A647" s="27" t="str">
        <f>IFERROR(__xludf.DUMMYFUNCTION("""COMPUTED_VALUE"""),"")</f>
        <v/>
      </c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</row>
    <row r="648">
      <c r="A648" s="27" t="str">
        <f>IFERROR(__xludf.DUMMYFUNCTION("""COMPUTED_VALUE"""),"")</f>
        <v/>
      </c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</row>
    <row r="649">
      <c r="A649" s="27" t="str">
        <f>IFERROR(__xludf.DUMMYFUNCTION("""COMPUTED_VALUE"""),"")</f>
        <v/>
      </c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</row>
    <row r="650">
      <c r="A650" s="27" t="str">
        <f>IFERROR(__xludf.DUMMYFUNCTION("""COMPUTED_VALUE"""),"")</f>
        <v/>
      </c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</row>
    <row r="651">
      <c r="A651" s="27" t="str">
        <f>IFERROR(__xludf.DUMMYFUNCTION("""COMPUTED_VALUE"""),"")</f>
        <v/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</row>
    <row r="652">
      <c r="A652" s="27" t="str">
        <f>IFERROR(__xludf.DUMMYFUNCTION("""COMPUTED_VALUE"""),"")</f>
        <v/>
      </c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</row>
    <row r="653">
      <c r="A653" s="27" t="str">
        <f>IFERROR(__xludf.DUMMYFUNCTION("""COMPUTED_VALUE"""),"")</f>
        <v/>
      </c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</row>
    <row r="654">
      <c r="A654" s="27" t="str">
        <f>IFERROR(__xludf.DUMMYFUNCTION("""COMPUTED_VALUE"""),"")</f>
        <v/>
      </c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</row>
    <row r="655">
      <c r="A655" s="27" t="str">
        <f>IFERROR(__xludf.DUMMYFUNCTION("""COMPUTED_VALUE"""),"")</f>
        <v/>
      </c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</row>
    <row r="656">
      <c r="A656" s="27" t="str">
        <f>IFERROR(__xludf.DUMMYFUNCTION("""COMPUTED_VALUE"""),"")</f>
        <v/>
      </c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</row>
    <row r="657">
      <c r="A657" s="27" t="str">
        <f>IFERROR(__xludf.DUMMYFUNCTION("""COMPUTED_VALUE"""),"")</f>
        <v/>
      </c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</row>
    <row r="658">
      <c r="A658" s="27" t="str">
        <f>IFERROR(__xludf.DUMMYFUNCTION("""COMPUTED_VALUE"""),"")</f>
        <v/>
      </c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</row>
    <row r="659">
      <c r="A659" s="27" t="str">
        <f>IFERROR(__xludf.DUMMYFUNCTION("""COMPUTED_VALUE"""),"")</f>
        <v/>
      </c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</row>
    <row r="660">
      <c r="A660" s="27" t="str">
        <f>IFERROR(__xludf.DUMMYFUNCTION("""COMPUTED_VALUE"""),"")</f>
        <v/>
      </c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</row>
    <row r="661">
      <c r="A661" s="27" t="str">
        <f>IFERROR(__xludf.DUMMYFUNCTION("""COMPUTED_VALUE"""),"")</f>
        <v/>
      </c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</row>
    <row r="662">
      <c r="A662" s="27" t="str">
        <f>IFERROR(__xludf.DUMMYFUNCTION("""COMPUTED_VALUE"""),"")</f>
        <v/>
      </c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</row>
    <row r="663">
      <c r="A663" s="27" t="str">
        <f>IFERROR(__xludf.DUMMYFUNCTION("""COMPUTED_VALUE"""),"")</f>
        <v/>
      </c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</row>
    <row r="664">
      <c r="A664" s="27" t="str">
        <f>IFERROR(__xludf.DUMMYFUNCTION("""COMPUTED_VALUE"""),"")</f>
        <v/>
      </c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</row>
    <row r="665">
      <c r="A665" s="27" t="str">
        <f>IFERROR(__xludf.DUMMYFUNCTION("""COMPUTED_VALUE"""),"")</f>
        <v/>
      </c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</row>
    <row r="666">
      <c r="A666" s="27" t="str">
        <f>IFERROR(__xludf.DUMMYFUNCTION("""COMPUTED_VALUE"""),"")</f>
        <v/>
      </c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</row>
    <row r="667">
      <c r="A667" s="27" t="str">
        <f>IFERROR(__xludf.DUMMYFUNCTION("""COMPUTED_VALUE"""),"")</f>
        <v/>
      </c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</row>
    <row r="668">
      <c r="A668" s="27" t="str">
        <f>IFERROR(__xludf.DUMMYFUNCTION("""COMPUTED_VALUE"""),"")</f>
        <v/>
      </c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</row>
    <row r="669">
      <c r="A669" s="27" t="str">
        <f>IFERROR(__xludf.DUMMYFUNCTION("""COMPUTED_VALUE"""),"")</f>
        <v/>
      </c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</row>
    <row r="670">
      <c r="A670" s="27" t="str">
        <f>IFERROR(__xludf.DUMMYFUNCTION("""COMPUTED_VALUE"""),"")</f>
        <v/>
      </c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</row>
    <row r="671">
      <c r="A671" s="27" t="str">
        <f>IFERROR(__xludf.DUMMYFUNCTION("""COMPUTED_VALUE"""),"")</f>
        <v/>
      </c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</row>
    <row r="672">
      <c r="A672" s="27" t="str">
        <f>IFERROR(__xludf.DUMMYFUNCTION("""COMPUTED_VALUE"""),"")</f>
        <v/>
      </c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</row>
    <row r="673">
      <c r="A673" s="27" t="str">
        <f>IFERROR(__xludf.DUMMYFUNCTION("""COMPUTED_VALUE"""),"")</f>
        <v/>
      </c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</row>
    <row r="674">
      <c r="A674" s="27" t="str">
        <f>IFERROR(__xludf.DUMMYFUNCTION("""COMPUTED_VALUE"""),"")</f>
        <v/>
      </c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</row>
    <row r="675">
      <c r="A675" s="27" t="str">
        <f>IFERROR(__xludf.DUMMYFUNCTION("""COMPUTED_VALUE"""),"")</f>
        <v/>
      </c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</row>
    <row r="676">
      <c r="A676" s="27" t="str">
        <f>IFERROR(__xludf.DUMMYFUNCTION("""COMPUTED_VALUE"""),"")</f>
        <v/>
      </c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</row>
    <row r="677">
      <c r="A677" s="27" t="str">
        <f>IFERROR(__xludf.DUMMYFUNCTION("""COMPUTED_VALUE"""),"")</f>
        <v/>
      </c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</row>
    <row r="678">
      <c r="A678" s="27" t="str">
        <f>IFERROR(__xludf.DUMMYFUNCTION("""COMPUTED_VALUE"""),"")</f>
        <v/>
      </c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</row>
    <row r="679">
      <c r="A679" s="27" t="str">
        <f>IFERROR(__xludf.DUMMYFUNCTION("""COMPUTED_VALUE"""),"")</f>
        <v/>
      </c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</row>
    <row r="680">
      <c r="A680" s="27" t="str">
        <f>IFERROR(__xludf.DUMMYFUNCTION("""COMPUTED_VALUE"""),"")</f>
        <v/>
      </c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</row>
    <row r="681">
      <c r="A681" s="27" t="str">
        <f>IFERROR(__xludf.DUMMYFUNCTION("""COMPUTED_VALUE"""),"")</f>
        <v/>
      </c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</row>
    <row r="682">
      <c r="A682" s="27" t="str">
        <f>IFERROR(__xludf.DUMMYFUNCTION("""COMPUTED_VALUE"""),"")</f>
        <v/>
      </c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</row>
    <row r="683">
      <c r="A683" s="27" t="str">
        <f>IFERROR(__xludf.DUMMYFUNCTION("""COMPUTED_VALUE"""),"")</f>
        <v/>
      </c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</row>
    <row r="684">
      <c r="A684" s="27" t="str">
        <f>IFERROR(__xludf.DUMMYFUNCTION("""COMPUTED_VALUE"""),"")</f>
        <v/>
      </c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</row>
    <row r="685">
      <c r="A685" s="27" t="str">
        <f>IFERROR(__xludf.DUMMYFUNCTION("""COMPUTED_VALUE"""),"")</f>
        <v/>
      </c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</row>
    <row r="686">
      <c r="A686" s="27" t="str">
        <f>IFERROR(__xludf.DUMMYFUNCTION("""COMPUTED_VALUE"""),"")</f>
        <v/>
      </c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</row>
    <row r="687">
      <c r="A687" s="27" t="str">
        <f>IFERROR(__xludf.DUMMYFUNCTION("""COMPUTED_VALUE"""),"")</f>
        <v/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</row>
    <row r="688">
      <c r="A688" s="27" t="str">
        <f>IFERROR(__xludf.DUMMYFUNCTION("""COMPUTED_VALUE"""),"")</f>
        <v/>
      </c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</row>
    <row r="689">
      <c r="A689" s="27" t="str">
        <f>IFERROR(__xludf.DUMMYFUNCTION("""COMPUTED_VALUE"""),"")</f>
        <v/>
      </c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</row>
    <row r="690">
      <c r="A690" s="27" t="str">
        <f>IFERROR(__xludf.DUMMYFUNCTION("""COMPUTED_VALUE"""),"")</f>
        <v/>
      </c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</row>
    <row r="691">
      <c r="A691" s="27" t="str">
        <f>IFERROR(__xludf.DUMMYFUNCTION("""COMPUTED_VALUE"""),"")</f>
        <v/>
      </c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</row>
    <row r="692">
      <c r="A692" s="27" t="str">
        <f>IFERROR(__xludf.DUMMYFUNCTION("""COMPUTED_VALUE"""),"")</f>
        <v/>
      </c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</row>
    <row r="693">
      <c r="A693" s="27" t="str">
        <f>IFERROR(__xludf.DUMMYFUNCTION("""COMPUTED_VALUE"""),"")</f>
        <v/>
      </c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</row>
    <row r="694">
      <c r="A694" s="27" t="str">
        <f>IFERROR(__xludf.DUMMYFUNCTION("""COMPUTED_VALUE"""),"")</f>
        <v/>
      </c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</row>
    <row r="695">
      <c r="A695" s="27" t="str">
        <f>IFERROR(__xludf.DUMMYFUNCTION("""COMPUTED_VALUE"""),"")</f>
        <v/>
      </c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</row>
    <row r="696">
      <c r="A696" s="27" t="str">
        <f>IFERROR(__xludf.DUMMYFUNCTION("""COMPUTED_VALUE"""),"")</f>
        <v/>
      </c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</row>
    <row r="697">
      <c r="A697" s="27" t="str">
        <f>IFERROR(__xludf.DUMMYFUNCTION("""COMPUTED_VALUE"""),"")</f>
        <v/>
      </c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</row>
    <row r="698">
      <c r="A698" s="27" t="str">
        <f>IFERROR(__xludf.DUMMYFUNCTION("""COMPUTED_VALUE"""),"")</f>
        <v/>
      </c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</row>
    <row r="699">
      <c r="A699" s="27" t="str">
        <f>IFERROR(__xludf.DUMMYFUNCTION("""COMPUTED_VALUE"""),"")</f>
        <v/>
      </c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</row>
    <row r="700">
      <c r="A700" s="27" t="str">
        <f>IFERROR(__xludf.DUMMYFUNCTION("""COMPUTED_VALUE"""),"")</f>
        <v/>
      </c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</row>
    <row r="701">
      <c r="A701" s="27" t="str">
        <f>IFERROR(__xludf.DUMMYFUNCTION("""COMPUTED_VALUE"""),"")</f>
        <v/>
      </c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</row>
    <row r="702">
      <c r="A702" s="27" t="str">
        <f>IFERROR(__xludf.DUMMYFUNCTION("""COMPUTED_VALUE"""),"")</f>
        <v/>
      </c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</row>
    <row r="703">
      <c r="A703" s="27" t="str">
        <f>IFERROR(__xludf.DUMMYFUNCTION("""COMPUTED_VALUE"""),"")</f>
        <v/>
      </c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</row>
    <row r="704">
      <c r="A704" s="27" t="str">
        <f>IFERROR(__xludf.DUMMYFUNCTION("""COMPUTED_VALUE"""),"")</f>
        <v/>
      </c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</row>
    <row r="705">
      <c r="A705" s="27" t="str">
        <f>IFERROR(__xludf.DUMMYFUNCTION("""COMPUTED_VALUE"""),"")</f>
        <v/>
      </c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</row>
    <row r="706">
      <c r="A706" s="27" t="str">
        <f>IFERROR(__xludf.DUMMYFUNCTION("""COMPUTED_VALUE"""),"")</f>
        <v/>
      </c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</row>
    <row r="707">
      <c r="A707" s="27" t="str">
        <f>IFERROR(__xludf.DUMMYFUNCTION("""COMPUTED_VALUE"""),"")</f>
        <v/>
      </c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</row>
    <row r="708">
      <c r="A708" s="27" t="str">
        <f>IFERROR(__xludf.DUMMYFUNCTION("""COMPUTED_VALUE"""),"")</f>
        <v/>
      </c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</row>
    <row r="709">
      <c r="A709" s="27" t="str">
        <f>IFERROR(__xludf.DUMMYFUNCTION("""COMPUTED_VALUE"""),"")</f>
        <v/>
      </c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</row>
    <row r="710">
      <c r="A710" s="27" t="str">
        <f>IFERROR(__xludf.DUMMYFUNCTION("""COMPUTED_VALUE"""),"")</f>
        <v/>
      </c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</row>
    <row r="711">
      <c r="A711" s="27" t="str">
        <f>IFERROR(__xludf.DUMMYFUNCTION("""COMPUTED_VALUE"""),"")</f>
        <v/>
      </c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</row>
    <row r="712">
      <c r="A712" s="27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</row>
    <row r="713">
      <c r="A713" s="27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</row>
    <row r="714">
      <c r="A714" s="27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</row>
    <row r="715">
      <c r="A715" s="27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</row>
    <row r="716">
      <c r="A716" s="27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</row>
    <row r="717">
      <c r="A717" s="27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</row>
    <row r="718">
      <c r="A718" s="27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</row>
    <row r="719">
      <c r="A719" s="27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</row>
    <row r="720">
      <c r="A720" s="27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</row>
    <row r="721">
      <c r="A721" s="27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</row>
    <row r="722">
      <c r="A722" s="27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</row>
    <row r="723">
      <c r="A723" s="27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</row>
    <row r="724">
      <c r="A724" s="27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</row>
    <row r="725">
      <c r="A725" s="27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</row>
    <row r="726">
      <c r="A726" s="27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</row>
    <row r="727">
      <c r="A727" s="27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</row>
    <row r="728">
      <c r="A728" s="27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</row>
    <row r="729">
      <c r="A729" s="27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</row>
    <row r="730">
      <c r="A730" s="27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</row>
    <row r="731">
      <c r="A731" s="2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</row>
    <row r="732">
      <c r="A732" s="27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</row>
    <row r="733">
      <c r="A733" s="27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</row>
    <row r="734">
      <c r="A734" s="27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</row>
    <row r="735">
      <c r="A735" s="27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</row>
    <row r="736">
      <c r="A736" s="27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</row>
    <row r="737">
      <c r="A737" s="27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</row>
    <row r="738">
      <c r="A738" s="27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</row>
    <row r="739">
      <c r="A739" s="27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</row>
    <row r="740">
      <c r="A740" s="27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</row>
    <row r="741">
      <c r="A741" s="27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</row>
    <row r="742">
      <c r="A742" s="27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</row>
    <row r="743">
      <c r="A743" s="27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</row>
    <row r="744">
      <c r="A744" s="27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</row>
    <row r="745">
      <c r="A745" s="27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</row>
    <row r="746">
      <c r="A746" s="27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</row>
    <row r="747">
      <c r="A747" s="27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</row>
    <row r="748">
      <c r="A748" s="27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</row>
    <row r="749">
      <c r="A749" s="27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5"/>
    <col customWidth="1" min="3" max="3" width="10.38"/>
    <col customWidth="1" min="4" max="4" width="27.13"/>
    <col customWidth="1" min="5" max="5" width="29.75"/>
    <col customWidth="1" min="6" max="6" width="93.38"/>
    <col customWidth="1" min="7" max="7" width="14.0"/>
    <col customWidth="1" min="8" max="8" width="8.13"/>
    <col customWidth="1" min="9" max="9" width="7.0"/>
    <col customWidth="1" min="10" max="10" width="8.13"/>
    <col customWidth="1" min="11" max="11" width="11.0"/>
    <col customWidth="1" min="12" max="12" width="15.0"/>
    <col customWidth="1" min="13" max="13" width="8.88"/>
    <col customWidth="1" min="14" max="14" width="14.38"/>
    <col customWidth="1" min="15" max="17" width="7.0"/>
    <col customWidth="1" min="18" max="18" width="2.88"/>
    <col customWidth="1" min="19" max="19" width="2.75"/>
    <col customWidth="1" min="20" max="20" width="2.88"/>
    <col customWidth="1" min="21" max="26" width="1.88"/>
    <col customWidth="1" min="27" max="27" width="21.0"/>
    <col customWidth="1" min="28" max="28" width="9.38"/>
    <col customWidth="1" min="29" max="31" width="1.88"/>
    <col customWidth="1" min="32" max="32" width="2.88"/>
    <col customWidth="1" min="33" max="33" width="2.75"/>
    <col customWidth="1" min="34" max="34" width="2.88"/>
    <col customWidth="1" min="35" max="40" width="1.88"/>
    <col customWidth="1" min="41" max="41" width="21.5"/>
    <col customWidth="1" min="42" max="42" width="9.75"/>
    <col customWidth="1" min="43" max="45" width="1.88"/>
    <col customWidth="1" min="46" max="46" width="2.88"/>
    <col customWidth="1" min="47" max="47" width="2.75"/>
    <col customWidth="1" min="48" max="48" width="2.88"/>
    <col customWidth="1" min="49" max="54" width="1.88"/>
    <col customWidth="1" min="55" max="55" width="17.63"/>
    <col customWidth="1" min="56" max="56" width="15.13"/>
    <col customWidth="1" min="57" max="57" width="21.0"/>
    <col customWidth="1" min="58" max="58" width="24.5"/>
    <col customWidth="1" min="59" max="59" width="17.75"/>
    <col customWidth="1" min="60" max="60" width="15.25"/>
    <col customWidth="1" min="61" max="61" width="21.13"/>
    <col customWidth="1" min="62" max="62" width="8.13"/>
    <col customWidth="1" min="63" max="63" width="7.0"/>
    <col customWidth="1" min="64" max="64" width="15.5"/>
  </cols>
  <sheetData>
    <row r="1" ht="54.75" customHeight="1">
      <c r="A1" s="25" t="str">
        <f>IFERROR(__xludf.DUMMYFUNCTION("IMPORTRANGE(""1r--qa2i5jCx8YeQ_mLlUrqLRTQh7y-fik2wTdRKBimk/edit?gid=675166745#gid=675166745"",""KELAS II!A2:BF750"")"),"NO")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IFERROR(__xludf.DUMMYFUNCTION("""COMPUTED_VALUE"""),"AYAH")</f>
        <v>AYAH</v>
      </c>
      <c r="E1" s="25" t="str">
        <f>IFERROR(__xludf.DUMMYFUNCTION("""COMPUTED_VALUE"""),"IBU")</f>
        <v>IBU</v>
      </c>
      <c r="F1" s="25" t="str">
        <f>IFERROR(__xludf.DUMMYFUNCTION("""COMPUTED_VALUE"""),"ALAMAT")</f>
        <v>ALAMAT</v>
      </c>
      <c r="G1" s="25" t="str">
        <f>IFERROR(__xludf.DUMMYFUNCTION("""COMPUTED_VALUE"""),"SEKOLAH")</f>
        <v>SEKOLAH</v>
      </c>
      <c r="H1" s="25" t="str">
        <f>IFERROR(__xludf.DUMMYFUNCTION("""COMPUTED_VALUE"""),"ASRAMA")</f>
        <v>ASRAMA</v>
      </c>
      <c r="I1" s="25" t="str">
        <f>IFERROR(__xludf.DUMMYFUNCTION("""COMPUTED_VALUE"""),"KAMAR")</f>
        <v>KAMAR</v>
      </c>
      <c r="J1" s="25" t="str">
        <f>IFERROR(__xludf.DUMMYFUNCTION("""COMPUTED_VALUE"""),"TINGKAT")</f>
        <v>TINGKAT</v>
      </c>
      <c r="K1" s="25" t="str">
        <f>IFERROR(__xludf.DUMMYFUNCTION("""COMPUTED_VALUE"""),"MADRASIAH")</f>
        <v>MADRASIAH</v>
      </c>
      <c r="L1" s="26" t="str">
        <f>IFERROR(__xludf.DUMMYFUNCTION("""COMPUTED_VALUE"""),"HP")</f>
        <v>HP</v>
      </c>
      <c r="M1" s="25" t="str">
        <f>IFERROR(__xludf.DUMMYFUNCTION("""COMPUTED_VALUE"""),"JARIYAH I")</f>
        <v>JARIYAH I</v>
      </c>
      <c r="N1" s="25" t="str">
        <f>IFERROR(__xludf.DUMMYFUNCTION("""COMPUTED_VALUE"""),"DANA KEGIATAN")</f>
        <v>DANA KEGIATAN</v>
      </c>
      <c r="O1" s="25">
        <f>IFERROR(__xludf.DUMMYFUNCTION("""COMPUTED_VALUE"""),7.0)</f>
        <v>7</v>
      </c>
      <c r="P1" s="25">
        <f>IFERROR(__xludf.DUMMYFUNCTION("""COMPUTED_VALUE"""),8.0)</f>
        <v>8</v>
      </c>
      <c r="Q1" s="25">
        <f>IFERROR(__xludf.DUMMYFUNCTION("""COMPUTED_VALUE"""),9.0)</f>
        <v>9</v>
      </c>
      <c r="R1" s="25">
        <f>IFERROR(__xludf.DUMMYFUNCTION("""COMPUTED_VALUE"""),10.0)</f>
        <v>10</v>
      </c>
      <c r="S1" s="25">
        <f>IFERROR(__xludf.DUMMYFUNCTION("""COMPUTED_VALUE"""),11.0)</f>
        <v>11</v>
      </c>
      <c r="T1" s="25">
        <f>IFERROR(__xludf.DUMMYFUNCTION("""COMPUTED_VALUE"""),12.0)</f>
        <v>12</v>
      </c>
      <c r="U1" s="25">
        <f>IFERROR(__xludf.DUMMYFUNCTION("""COMPUTED_VALUE"""),1.0)</f>
        <v>1</v>
      </c>
      <c r="V1" s="25">
        <f>IFERROR(__xludf.DUMMYFUNCTION("""COMPUTED_VALUE"""),2.0)</f>
        <v>2</v>
      </c>
      <c r="W1" s="25">
        <f>IFERROR(__xludf.DUMMYFUNCTION("""COMPUTED_VALUE"""),3.0)</f>
        <v>3</v>
      </c>
      <c r="X1" s="25">
        <f>IFERROR(__xludf.DUMMYFUNCTION("""COMPUTED_VALUE"""),4.0)</f>
        <v>4</v>
      </c>
      <c r="Y1" s="25">
        <f>IFERROR(__xludf.DUMMYFUNCTION("""COMPUTED_VALUE"""),5.0)</f>
        <v>5</v>
      </c>
      <c r="Z1" s="25">
        <f>IFERROR(__xludf.DUMMYFUNCTION("""COMPUTED_VALUE"""),6.0)</f>
        <v>6</v>
      </c>
      <c r="AA1" s="25" t="str">
        <f>IFERROR(__xludf.DUMMYFUNCTION("""COMPUTED_VALUE"""),"DAFTAR ULANG KELAS II")</f>
        <v>DAFTAR ULANG KELAS II</v>
      </c>
      <c r="AB1" s="25" t="str">
        <f>IFERROR(__xludf.DUMMYFUNCTION("""COMPUTED_VALUE"""),"JARIYAH II")</f>
        <v>JARIYAH II</v>
      </c>
      <c r="AC1" s="25">
        <f>IFERROR(__xludf.DUMMYFUNCTION("""COMPUTED_VALUE"""),7.0)</f>
        <v>7</v>
      </c>
      <c r="AD1" s="25">
        <f>IFERROR(__xludf.DUMMYFUNCTION("""COMPUTED_VALUE"""),8.0)</f>
        <v>8</v>
      </c>
      <c r="AE1" s="25">
        <f>IFERROR(__xludf.DUMMYFUNCTION("""COMPUTED_VALUE"""),9.0)</f>
        <v>9</v>
      </c>
      <c r="AF1" s="25">
        <f>IFERROR(__xludf.DUMMYFUNCTION("""COMPUTED_VALUE"""),10.0)</f>
        <v>10</v>
      </c>
      <c r="AG1" s="25">
        <f>IFERROR(__xludf.DUMMYFUNCTION("""COMPUTED_VALUE"""),11.0)</f>
        <v>11</v>
      </c>
      <c r="AH1" s="25">
        <f>IFERROR(__xludf.DUMMYFUNCTION("""COMPUTED_VALUE"""),12.0)</f>
        <v>12</v>
      </c>
      <c r="AI1" s="25">
        <f>IFERROR(__xludf.DUMMYFUNCTION("""COMPUTED_VALUE"""),1.0)</f>
        <v>1</v>
      </c>
      <c r="AJ1" s="25">
        <f>IFERROR(__xludf.DUMMYFUNCTION("""COMPUTED_VALUE"""),2.0)</f>
        <v>2</v>
      </c>
      <c r="AK1" s="25">
        <f>IFERROR(__xludf.DUMMYFUNCTION("""COMPUTED_VALUE"""),3.0)</f>
        <v>3</v>
      </c>
      <c r="AL1" s="25">
        <f>IFERROR(__xludf.DUMMYFUNCTION("""COMPUTED_VALUE"""),4.0)</f>
        <v>4</v>
      </c>
      <c r="AM1" s="25">
        <f>IFERROR(__xludf.DUMMYFUNCTION("""COMPUTED_VALUE"""),5.0)</f>
        <v>5</v>
      </c>
      <c r="AN1" s="25">
        <f>IFERROR(__xludf.DUMMYFUNCTION("""COMPUTED_VALUE"""),6.0)</f>
        <v>6</v>
      </c>
      <c r="AO1" s="25" t="str">
        <f>IFERROR(__xludf.DUMMYFUNCTION("""COMPUTED_VALUE"""),"DAFTAR ULANG KELAS III")</f>
        <v>DAFTAR ULANG KELAS III</v>
      </c>
      <c r="AP1" s="25" t="str">
        <f>IFERROR(__xludf.DUMMYFUNCTION("""COMPUTED_VALUE"""),"JARIYAH III")</f>
        <v>JARIYAH III</v>
      </c>
      <c r="AQ1" s="25">
        <f>IFERROR(__xludf.DUMMYFUNCTION("""COMPUTED_VALUE"""),7.0)</f>
        <v>7</v>
      </c>
      <c r="AR1" s="25">
        <f>IFERROR(__xludf.DUMMYFUNCTION("""COMPUTED_VALUE"""),8.0)</f>
        <v>8</v>
      </c>
      <c r="AS1" s="25">
        <f>IFERROR(__xludf.DUMMYFUNCTION("""COMPUTED_VALUE"""),9.0)</f>
        <v>9</v>
      </c>
      <c r="AT1" s="25">
        <f>IFERROR(__xludf.DUMMYFUNCTION("""COMPUTED_VALUE"""),10.0)</f>
        <v>10</v>
      </c>
      <c r="AU1" s="25">
        <f>IFERROR(__xludf.DUMMYFUNCTION("""COMPUTED_VALUE"""),11.0)</f>
        <v>11</v>
      </c>
      <c r="AV1" s="25">
        <f>IFERROR(__xludf.DUMMYFUNCTION("""COMPUTED_VALUE"""),12.0)</f>
        <v>12</v>
      </c>
      <c r="AW1" s="25">
        <f>IFERROR(__xludf.DUMMYFUNCTION("""COMPUTED_VALUE"""),1.0)</f>
        <v>1</v>
      </c>
      <c r="AX1" s="25">
        <f>IFERROR(__xludf.DUMMYFUNCTION("""COMPUTED_VALUE"""),2.0)</f>
        <v>2</v>
      </c>
      <c r="AY1" s="25">
        <f>IFERROR(__xludf.DUMMYFUNCTION("""COMPUTED_VALUE"""),3.0)</f>
        <v>3</v>
      </c>
      <c r="AZ1" s="25">
        <f>IFERROR(__xludf.DUMMYFUNCTION("""COMPUTED_VALUE"""),4.0)</f>
        <v>4</v>
      </c>
      <c r="BA1" s="25">
        <f>IFERROR(__xludf.DUMMYFUNCTION("""COMPUTED_VALUE"""),5.0)</f>
        <v>5</v>
      </c>
      <c r="BB1" s="25">
        <f>IFERROR(__xludf.DUMMYFUNCTION("""COMPUTED_VALUE"""),6.0)</f>
        <v>6</v>
      </c>
      <c r="BC1" s="25" t="str">
        <f>IFERROR(__xludf.DUMMYFUNCTION("""COMPUTED_VALUE"""),"JUMLAH SYAHRIYAH")</f>
        <v>JUMLAH SYAHRIYAH</v>
      </c>
      <c r="BD1" s="25" t="str">
        <f>IFERROR(__xludf.DUMMYFUNCTION("""COMPUTED_VALUE"""),"JUMLAH JARIYAH")</f>
        <v>JUMLAH JARIYAH</v>
      </c>
      <c r="BE1" s="25" t="str">
        <f>IFERROR(__xludf.DUMMYFUNCTION("""COMPUTED_VALUE"""),"JUMLAH DAFTAR ULANG")</f>
        <v>JUMLAH DAFTAR ULANG</v>
      </c>
      <c r="BF1" s="25" t="str">
        <f>IFERROR(__xludf.DUMMYFUNCTION("""COMPUTED_VALUE"""),"JUMLAH TOTAL TUNGGAKAN")</f>
        <v>JUMLAH TOTAL TUNGGAKAN</v>
      </c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</row>
    <row r="2">
      <c r="A2" s="27">
        <f>IFERROR(__xludf.DUMMYFUNCTION("""COMPUTED_VALUE"""),1.0)</f>
        <v>1</v>
      </c>
      <c r="B2" s="28" t="str">
        <f>IFERROR(__xludf.DUMMYFUNCTION("""COMPUTED_VALUE"""),"ABD. RO`UF WISNU WARDANA")</f>
        <v>ABD. RO`UF WISNU WARDANA</v>
      </c>
      <c r="C2" s="28">
        <f>IFERROR(__xludf.DUMMYFUNCTION("""COMPUTED_VALUE"""),2.025070115E9)</f>
        <v>2025070115</v>
      </c>
      <c r="D2" s="28" t="str">
        <f>IFERROR(__xludf.DUMMYFUNCTION("""COMPUTED_VALUE"""),"ABDUL MUKHIT")</f>
        <v>ABDUL MUKHIT</v>
      </c>
      <c r="E2" s="28" t="str">
        <f>IFERROR(__xludf.DUMMYFUNCTION("""COMPUTED_VALUE"""),"NUR LAYLI ROHMAWATI")</f>
        <v>NUR LAYLI ROHMAWATI</v>
      </c>
      <c r="F2" s="28" t="str">
        <f>IFERROR(__xludf.DUMMYFUNCTION("""COMPUTED_VALUE"""),"KLATING TAKERANKLATING RT 005 RW 001 TIKUNG LAMONGAN")</f>
        <v>KLATING TAKERANKLATING RT 005 RW 001 TIKUNG LAMONGAN</v>
      </c>
      <c r="G2" s="28" t="str">
        <f>IFERROR(__xludf.DUMMYFUNCTION("""COMPUTED_VALUE"""),"MA-XI.13")</f>
        <v>MA-XI.13</v>
      </c>
      <c r="H2" s="28" t="str">
        <f>IFERROR(__xludf.DUMMYFUNCTION("""COMPUTED_VALUE"""),"A")</f>
        <v>A</v>
      </c>
      <c r="I2" s="28" t="str">
        <f>IFERROR(__xludf.DUMMYFUNCTION("""COMPUTED_VALUE"""),"A-4")</f>
        <v>A-4</v>
      </c>
      <c r="J2" s="28">
        <f>IFERROR(__xludf.DUMMYFUNCTION("""COMPUTED_VALUE"""),2.0)</f>
        <v>2</v>
      </c>
      <c r="K2" s="28" t="str">
        <f>IFERROR(__xludf.DUMMYFUNCTION("""COMPUTED_VALUE"""),"2 MAK PUTRA")</f>
        <v>2 MAK PUTRA</v>
      </c>
      <c r="L2" s="29" t="str">
        <f>IFERROR(__xludf.DUMMYFUNCTION("""COMPUTED_VALUE"""),"6285707284833")</f>
        <v>6285707284833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2">
        <f>IFERROR(__xludf.DUMMYFUNCTION("""COMPUTED_VALUE"""),500000.0)</f>
        <v>500000</v>
      </c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2">
        <f>IFERROR(__xludf.DUMMYFUNCTION("""COMPUTED_VALUE"""),500000.0)</f>
        <v>500000</v>
      </c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2">
        <f>IFERROR(__xludf.DUMMYFUNCTION("""COMPUTED_VALUE"""),0.0)</f>
        <v>0</v>
      </c>
      <c r="BD2" s="22">
        <f>IFERROR(__xludf.DUMMYFUNCTION("""COMPUTED_VALUE"""),1000000.0)</f>
        <v>1000000</v>
      </c>
      <c r="BE2" s="22">
        <f>IFERROR(__xludf.DUMMYFUNCTION("""COMPUTED_VALUE"""),0.0)</f>
        <v>0</v>
      </c>
      <c r="BF2" s="22">
        <f>IFERROR(__xludf.DUMMYFUNCTION("""COMPUTED_VALUE"""),1000000.0)</f>
        <v>1000000</v>
      </c>
    </row>
    <row r="3">
      <c r="A3" s="27">
        <f>IFERROR(__xludf.DUMMYFUNCTION("""COMPUTED_VALUE"""),2.0)</f>
        <v>2</v>
      </c>
      <c r="B3" s="28" t="str">
        <f>IFERROR(__xludf.DUMMYFUNCTION("""COMPUTED_VALUE"""),"ABDUL AZIZ")</f>
        <v>ABDUL AZIZ</v>
      </c>
      <c r="C3" s="28">
        <f>IFERROR(__xludf.DUMMYFUNCTION("""COMPUTED_VALUE"""),2.025070596E9)</f>
        <v>2025070596</v>
      </c>
      <c r="D3" s="28" t="str">
        <f>IFERROR(__xludf.DUMMYFUNCTION("""COMPUTED_VALUE"""),"ABDUL ROHIM")</f>
        <v>ABDUL ROHIM</v>
      </c>
      <c r="E3" s="28" t="str">
        <f>IFERROR(__xludf.DUMMYFUNCTION("""COMPUTED_VALUE"""),"MAHWIYAH")</f>
        <v>MAHWIYAH</v>
      </c>
      <c r="F3" s="28" t="str">
        <f>IFERROR(__xludf.DUMMYFUNCTION("""COMPUTED_VALUE"""),"KALIREJO RT 003 RW 002 DUKUN GRESIK")</f>
        <v>KALIREJO RT 003 RW 002 DUKUN GRESIK</v>
      </c>
      <c r="G3" s="28" t="str">
        <f>IFERROR(__xludf.DUMMYFUNCTION("""COMPUTED_VALUE"""),"MTS-8 C")</f>
        <v>MTS-8 C</v>
      </c>
      <c r="H3" s="28" t="str">
        <f>IFERROR(__xludf.DUMMYFUNCTION("""COMPUTED_VALUE"""),"A")</f>
        <v>A</v>
      </c>
      <c r="I3" s="28" t="str">
        <f>IFERROR(__xludf.DUMMYFUNCTION("""COMPUTED_VALUE"""),"A-1")</f>
        <v>A-1</v>
      </c>
      <c r="J3" s="28">
        <f>IFERROR(__xludf.DUMMYFUNCTION("""COMPUTED_VALUE"""),2.0)</f>
        <v>2</v>
      </c>
      <c r="K3" s="28" t="str">
        <f>IFERROR(__xludf.DUMMYFUNCTION("""COMPUTED_VALUE"""),"2 ULA A PUTRA")</f>
        <v>2 ULA A PUTRA</v>
      </c>
      <c r="L3" s="29" t="str">
        <f>IFERROR(__xludf.DUMMYFUNCTION("""COMPUTED_VALUE"""),"6285784330109")</f>
        <v>6285784330109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2">
        <f>IFERROR(__xludf.DUMMYFUNCTION("""COMPUTED_VALUE"""),500000.0)</f>
        <v>500000</v>
      </c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2">
        <f>IFERROR(__xludf.DUMMYFUNCTION("""COMPUTED_VALUE"""),0.0)</f>
        <v>0</v>
      </c>
      <c r="BD3" s="22">
        <f>IFERROR(__xludf.DUMMYFUNCTION("""COMPUTED_VALUE"""),500000.0)</f>
        <v>500000</v>
      </c>
      <c r="BE3" s="22">
        <f>IFERROR(__xludf.DUMMYFUNCTION("""COMPUTED_VALUE"""),0.0)</f>
        <v>0</v>
      </c>
      <c r="BF3" s="22">
        <f>IFERROR(__xludf.DUMMYFUNCTION("""COMPUTED_VALUE"""),500000.0)</f>
        <v>500000</v>
      </c>
    </row>
    <row r="4">
      <c r="A4" s="27">
        <f>IFERROR(__xludf.DUMMYFUNCTION("""COMPUTED_VALUE"""),3.0)</f>
        <v>3</v>
      </c>
      <c r="B4" s="28" t="str">
        <f>IFERROR(__xludf.DUMMYFUNCTION("""COMPUTED_VALUE"""),"ABDUL MALIK ARIF DAULAY")</f>
        <v>ABDUL MALIK ARIF DAULAY</v>
      </c>
      <c r="C4" s="28">
        <f>IFERROR(__xludf.DUMMYFUNCTION("""COMPUTED_VALUE"""),2.025070299E9)</f>
        <v>2025070299</v>
      </c>
      <c r="D4" s="28" t="str">
        <f>IFERROR(__xludf.DUMMYFUNCTION("""COMPUTED_VALUE"""),"HARI MAULIADI DAULAY")</f>
        <v>HARI MAULIADI DAULAY</v>
      </c>
      <c r="E4" s="28" t="str">
        <f>IFERROR(__xludf.DUMMYFUNCTION("""COMPUTED_VALUE"""),"SITI NURAFIYAH")</f>
        <v>SITI NURAFIYAH</v>
      </c>
      <c r="F4" s="28" t="str">
        <f>IFERROR(__xludf.DUMMYFUNCTION("""COMPUTED_VALUE"""),"GENDONG RT 002 RW 004 LAREN LAMONGAN")</f>
        <v>GENDONG RT 002 RW 004 LAREN LAMONGAN</v>
      </c>
      <c r="G4" s="28" t="str">
        <f>IFERROR(__xludf.DUMMYFUNCTION("""COMPUTED_VALUE"""),"MA-XI.13")</f>
        <v>MA-XI.13</v>
      </c>
      <c r="H4" s="28" t="str">
        <f>IFERROR(__xludf.DUMMYFUNCTION("""COMPUTED_VALUE"""),"A")</f>
        <v>A</v>
      </c>
      <c r="I4" s="28" t="str">
        <f>IFERROR(__xludf.DUMMYFUNCTION("""COMPUTED_VALUE"""),"A-2")</f>
        <v>A-2</v>
      </c>
      <c r="J4" s="28">
        <f>IFERROR(__xludf.DUMMYFUNCTION("""COMPUTED_VALUE"""),2.0)</f>
        <v>2</v>
      </c>
      <c r="K4" s="28" t="str">
        <f>IFERROR(__xludf.DUMMYFUNCTION("""COMPUTED_VALUE"""),"2 MAK PUTRA")</f>
        <v>2 MAK PUTRA</v>
      </c>
      <c r="L4" s="29" t="str">
        <f>IFERROR(__xludf.DUMMYFUNCTION("""COMPUTED_VALUE"""),"6285646321062")</f>
        <v>6285646321062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2">
        <f>IFERROR(__xludf.DUMMYFUNCTION("""COMPUTED_VALUE"""),500000.0)</f>
        <v>500000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2">
        <f>IFERROR(__xludf.DUMMYFUNCTION("""COMPUTED_VALUE"""),0.0)</f>
        <v>0</v>
      </c>
      <c r="BD4" s="22">
        <f>IFERROR(__xludf.DUMMYFUNCTION("""COMPUTED_VALUE"""),500000.0)</f>
        <v>500000</v>
      </c>
      <c r="BE4" s="22">
        <f>IFERROR(__xludf.DUMMYFUNCTION("""COMPUTED_VALUE"""),0.0)</f>
        <v>0</v>
      </c>
      <c r="BF4" s="22">
        <f>IFERROR(__xludf.DUMMYFUNCTION("""COMPUTED_VALUE"""),500000.0)</f>
        <v>500000</v>
      </c>
    </row>
    <row r="5">
      <c r="A5" s="27">
        <f>IFERROR(__xludf.DUMMYFUNCTION("""COMPUTED_VALUE"""),4.0)</f>
        <v>4</v>
      </c>
      <c r="B5" s="28" t="str">
        <f>IFERROR(__xludf.DUMMYFUNCTION("""COMPUTED_VALUE"""),"ABDUL MUIZ SALAM")</f>
        <v>ABDUL MUIZ SALAM</v>
      </c>
      <c r="C5" s="28">
        <f>IFERROR(__xludf.DUMMYFUNCTION("""COMPUTED_VALUE"""),2.025070224E9)</f>
        <v>2025070224</v>
      </c>
      <c r="D5" s="28" t="str">
        <f>IFERROR(__xludf.DUMMYFUNCTION("""COMPUTED_VALUE"""),"SUHARTOYO")</f>
        <v>SUHARTOYO</v>
      </c>
      <c r="E5" s="28" t="str">
        <f>IFERROR(__xludf.DUMMYFUNCTION("""COMPUTED_VALUE"""),"KASMUNTIK")</f>
        <v>KASMUNTIK</v>
      </c>
      <c r="F5" s="28" t="str">
        <f>IFERROR(__xludf.DUMMYFUNCTION("""COMPUTED_VALUE"""),"KEPATIHAN SUKOREJO RT 007 RW 002 TURI LAMONGAN")</f>
        <v>KEPATIHAN SUKOREJO RT 007 RW 002 TURI LAMONGAN</v>
      </c>
      <c r="G5" s="28" t="str">
        <f>IFERROR(__xludf.DUMMYFUNCTION("""COMPUTED_VALUE"""),"MA-XI.13")</f>
        <v>MA-XI.13</v>
      </c>
      <c r="H5" s="28" t="str">
        <f>IFERROR(__xludf.DUMMYFUNCTION("""COMPUTED_VALUE"""),"A")</f>
        <v>A</v>
      </c>
      <c r="I5" s="28" t="str">
        <f>IFERROR(__xludf.DUMMYFUNCTION("""COMPUTED_VALUE"""),"A-4")</f>
        <v>A-4</v>
      </c>
      <c r="J5" s="28">
        <f>IFERROR(__xludf.DUMMYFUNCTION("""COMPUTED_VALUE"""),2.0)</f>
        <v>2</v>
      </c>
      <c r="K5" s="28" t="str">
        <f>IFERROR(__xludf.DUMMYFUNCTION("""COMPUTED_VALUE"""),"2 MAK PUTRA")</f>
        <v>2 MAK PUTRA</v>
      </c>
      <c r="L5" s="29" t="str">
        <f>IFERROR(__xludf.DUMMYFUNCTION("""COMPUTED_VALUE"""),"6285731779996")</f>
        <v>6285731779996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2">
        <f>IFERROR(__xludf.DUMMYFUNCTION("""COMPUTED_VALUE"""),500000.0)</f>
        <v>500000</v>
      </c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2">
        <f>IFERROR(__xludf.DUMMYFUNCTION("""COMPUTED_VALUE"""),500000.0)</f>
        <v>500000</v>
      </c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2">
        <f>IFERROR(__xludf.DUMMYFUNCTION("""COMPUTED_VALUE"""),0.0)</f>
        <v>0</v>
      </c>
      <c r="BD5" s="22">
        <f>IFERROR(__xludf.DUMMYFUNCTION("""COMPUTED_VALUE"""),1000000.0)</f>
        <v>1000000</v>
      </c>
      <c r="BE5" s="22">
        <f>IFERROR(__xludf.DUMMYFUNCTION("""COMPUTED_VALUE"""),0.0)</f>
        <v>0</v>
      </c>
      <c r="BF5" s="22">
        <f>IFERROR(__xludf.DUMMYFUNCTION("""COMPUTED_VALUE"""),1000000.0)</f>
        <v>1000000</v>
      </c>
    </row>
    <row r="6">
      <c r="A6" s="27">
        <f>IFERROR(__xludf.DUMMYFUNCTION("""COMPUTED_VALUE"""),5.0)</f>
        <v>5</v>
      </c>
      <c r="B6" s="28" t="str">
        <f>IFERROR(__xludf.DUMMYFUNCTION("""COMPUTED_VALUE"""),"ABDUL QODIR AL JAILANI")</f>
        <v>ABDUL QODIR AL JAILANI</v>
      </c>
      <c r="C6" s="28">
        <f>IFERROR(__xludf.DUMMYFUNCTION("""COMPUTED_VALUE"""),2.025070418E9)</f>
        <v>2025070418</v>
      </c>
      <c r="D6" s="28" t="str">
        <f>IFERROR(__xludf.DUMMYFUNCTION("""COMPUTED_VALUE"""),"SHOLEHODDIN")</f>
        <v>SHOLEHODDIN</v>
      </c>
      <c r="E6" s="28" t="str">
        <f>IFERROR(__xludf.DUMMYFUNCTION("""COMPUTED_VALUE"""),"MUNIROH")</f>
        <v>MUNIROH</v>
      </c>
      <c r="F6" s="28" t="str">
        <f>IFERROR(__xludf.DUMMYFUNCTION("""COMPUTED_VALUE"""),"BERLANTONG PANDIYANGAN RT 000 RW 000 ROBATAL SAMPANG")</f>
        <v>BERLANTONG PANDIYANGAN RT 000 RW 000 ROBATAL SAMPANG</v>
      </c>
      <c r="G6" s="28" t="str">
        <f>IFERROR(__xludf.DUMMYFUNCTION("""COMPUTED_VALUE"""),"MA-XI.13")</f>
        <v>MA-XI.13</v>
      </c>
      <c r="H6" s="28" t="str">
        <f>IFERROR(__xludf.DUMMYFUNCTION("""COMPUTED_VALUE"""),"A")</f>
        <v>A</v>
      </c>
      <c r="I6" s="28" t="str">
        <f>IFERROR(__xludf.DUMMYFUNCTION("""COMPUTED_VALUE"""),"A-2")</f>
        <v>A-2</v>
      </c>
      <c r="J6" s="28">
        <f>IFERROR(__xludf.DUMMYFUNCTION("""COMPUTED_VALUE"""),2.0)</f>
        <v>2</v>
      </c>
      <c r="K6" s="28" t="str">
        <f>IFERROR(__xludf.DUMMYFUNCTION("""COMPUTED_VALUE"""),"2 MAK PUTRA")</f>
        <v>2 MAK PUTRA</v>
      </c>
      <c r="L6" s="29" t="str">
        <f>IFERROR(__xludf.DUMMYFUNCTION("""COMPUTED_VALUE"""),"6282334141174")</f>
        <v>6282334141174</v>
      </c>
      <c r="M6" s="28"/>
      <c r="N6" s="22" t="str">
        <f>IFERROR(__xludf.DUMMYFUNCTION("""COMPUTED_VALUE""")," ")</f>
        <v> 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2">
        <f>IFERROR(__xludf.DUMMYFUNCTION("""COMPUTED_VALUE"""),450000.0)</f>
        <v>450000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2">
        <f>IFERROR(__xludf.DUMMYFUNCTION("""COMPUTED_VALUE"""),450000.0)</f>
        <v>450000</v>
      </c>
      <c r="BD6" s="22">
        <f>IFERROR(__xludf.DUMMYFUNCTION("""COMPUTED_VALUE"""),0.0)</f>
        <v>0</v>
      </c>
      <c r="BE6" s="22">
        <f>IFERROR(__xludf.DUMMYFUNCTION("""COMPUTED_VALUE"""),0.0)</f>
        <v>0</v>
      </c>
      <c r="BF6" s="22">
        <f>IFERROR(__xludf.DUMMYFUNCTION("""COMPUTED_VALUE"""),450000.0)</f>
        <v>450000</v>
      </c>
    </row>
    <row r="7">
      <c r="A7" s="27">
        <f>IFERROR(__xludf.DUMMYFUNCTION("""COMPUTED_VALUE"""),6.0)</f>
        <v>6</v>
      </c>
      <c r="B7" s="28" t="str">
        <f>IFERROR(__xludf.DUMMYFUNCTION("""COMPUTED_VALUE"""),"ABI DZAR AL GHIFARI")</f>
        <v>ABI DZAR AL GHIFARI</v>
      </c>
      <c r="C7" s="28">
        <f>IFERROR(__xludf.DUMMYFUNCTION("""COMPUTED_VALUE"""),2.025070493E9)</f>
        <v>2025070493</v>
      </c>
      <c r="D7" s="28" t="str">
        <f>IFERROR(__xludf.DUMMYFUNCTION("""COMPUTED_VALUE"""),"MOH. ROHMAN")</f>
        <v>MOH. ROHMAN</v>
      </c>
      <c r="E7" s="28" t="str">
        <f>IFERROR(__xludf.DUMMYFUNCTION("""COMPUTED_VALUE"""),"SITI WAHYUNI")</f>
        <v>SITI WAHYUNI</v>
      </c>
      <c r="F7" s="28" t="str">
        <f>IFERROR(__xludf.DUMMYFUNCTION("""COMPUTED_VALUE"""),"GLUMO JELAKCATUR RT 001 RW 005 KALITENGAH LAMONGAN")</f>
        <v>GLUMO JELAKCATUR RT 001 RW 005 KALITENGAH LAMONGAN</v>
      </c>
      <c r="G7" s="28" t="str">
        <f>IFERROR(__xludf.DUMMYFUNCTION("""COMPUTED_VALUE"""),"SMP-VIII C")</f>
        <v>SMP-VIII C</v>
      </c>
      <c r="H7" s="28" t="str">
        <f>IFERROR(__xludf.DUMMYFUNCTION("""COMPUTED_VALUE"""),"A")</f>
        <v>A</v>
      </c>
      <c r="I7" s="28" t="str">
        <f>IFERROR(__xludf.DUMMYFUNCTION("""COMPUTED_VALUE"""),"A-1")</f>
        <v>A-1</v>
      </c>
      <c r="J7" s="28">
        <f>IFERROR(__xludf.DUMMYFUNCTION("""COMPUTED_VALUE"""),2.0)</f>
        <v>2</v>
      </c>
      <c r="K7" s="28" t="str">
        <f>IFERROR(__xludf.DUMMYFUNCTION("""COMPUTED_VALUE"""),"2 ULA A PUTRA")</f>
        <v>2 ULA A PUTRA</v>
      </c>
      <c r="L7" s="29" t="str">
        <f>IFERROR(__xludf.DUMMYFUNCTION("""COMPUTED_VALUE"""),"6285855722817")</f>
        <v>6285855722817</v>
      </c>
      <c r="M7" s="22">
        <f>IFERROR(__xludf.DUMMYFUNCTION("""COMPUTED_VALUE"""),600000.0)</f>
        <v>600000</v>
      </c>
      <c r="N7" s="28"/>
      <c r="O7" s="28"/>
      <c r="P7" s="28"/>
      <c r="Q7" s="22">
        <f>IFERROR(__xludf.DUMMYFUNCTION("""COMPUTED_VALUE"""),450000.0)</f>
        <v>450000</v>
      </c>
      <c r="R7" s="22">
        <f>IFERROR(__xludf.DUMMYFUNCTION("""COMPUTED_VALUE"""),450000.0)</f>
        <v>450000</v>
      </c>
      <c r="S7" s="22">
        <f>IFERROR(__xludf.DUMMYFUNCTION("""COMPUTED_VALUE"""),450000.0)</f>
        <v>450000</v>
      </c>
      <c r="T7" s="22">
        <f>IFERROR(__xludf.DUMMYFUNCTION("""COMPUTED_VALUE"""),450000.0)</f>
        <v>450000</v>
      </c>
      <c r="U7" s="22">
        <f>IFERROR(__xludf.DUMMYFUNCTION("""COMPUTED_VALUE"""),450000.0)</f>
        <v>450000</v>
      </c>
      <c r="V7" s="22">
        <f>IFERROR(__xludf.DUMMYFUNCTION("""COMPUTED_VALUE"""),450000.0)</f>
        <v>450000</v>
      </c>
      <c r="W7" s="22">
        <f>IFERROR(__xludf.DUMMYFUNCTION("""COMPUTED_VALUE"""),450000.0)</f>
        <v>450000</v>
      </c>
      <c r="X7" s="22">
        <f>IFERROR(__xludf.DUMMYFUNCTION("""COMPUTED_VALUE"""),450000.0)</f>
        <v>450000</v>
      </c>
      <c r="Y7" s="22">
        <f>IFERROR(__xludf.DUMMYFUNCTION("""COMPUTED_VALUE"""),450000.0)</f>
        <v>450000</v>
      </c>
      <c r="Z7" s="22">
        <f>IFERROR(__xludf.DUMMYFUNCTION("""COMPUTED_VALUE"""),450000.0)</f>
        <v>450000</v>
      </c>
      <c r="AA7" s="28"/>
      <c r="AB7" s="22">
        <f>IFERROR(__xludf.DUMMYFUNCTION("""COMPUTED_VALUE"""),500000.0)</f>
        <v>500000</v>
      </c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2">
        <f>IFERROR(__xludf.DUMMYFUNCTION("""COMPUTED_VALUE"""),500000.0)</f>
        <v>500000</v>
      </c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2">
        <f>IFERROR(__xludf.DUMMYFUNCTION("""COMPUTED_VALUE"""),4500000.0)</f>
        <v>4500000</v>
      </c>
      <c r="BD7" s="22">
        <f>IFERROR(__xludf.DUMMYFUNCTION("""COMPUTED_VALUE"""),1600000.0)</f>
        <v>1600000</v>
      </c>
      <c r="BE7" s="22">
        <f>IFERROR(__xludf.DUMMYFUNCTION("""COMPUTED_VALUE"""),0.0)</f>
        <v>0</v>
      </c>
      <c r="BF7" s="22">
        <f>IFERROR(__xludf.DUMMYFUNCTION("""COMPUTED_VALUE"""),6100000.0)</f>
        <v>6100000</v>
      </c>
    </row>
    <row r="8">
      <c r="A8" s="27">
        <f>IFERROR(__xludf.DUMMYFUNCTION("""COMPUTED_VALUE"""),7.0)</f>
        <v>7</v>
      </c>
      <c r="B8" s="28" t="str">
        <f>IFERROR(__xludf.DUMMYFUNCTION("""COMPUTED_VALUE"""),"ACHMAD MIFTAHUL AN-NURIL HUDA")</f>
        <v>ACHMAD MIFTAHUL AN-NURIL HUDA</v>
      </c>
      <c r="C8" s="28">
        <f>IFERROR(__xludf.DUMMYFUNCTION("""COMPUTED_VALUE"""),2.025070328E9)</f>
        <v>2025070328</v>
      </c>
      <c r="D8" s="28" t="str">
        <f>IFERROR(__xludf.DUMMYFUNCTION("""COMPUTED_VALUE"""),"MUHAMMAD ROQIB")</f>
        <v>MUHAMMAD ROQIB</v>
      </c>
      <c r="E8" s="28" t="str">
        <f>IFERROR(__xludf.DUMMYFUNCTION("""COMPUTED_VALUE"""),"QOMAI EFTIKA")</f>
        <v>QOMAI EFTIKA</v>
      </c>
      <c r="F8" s="28" t="str">
        <f>IFERROR(__xludf.DUMMYFUNCTION("""COMPUTED_VALUE"""),"SUKOLILO RT 002 RW 003 SUKODADI LAMONGAN")</f>
        <v>SUKOLILO RT 002 RW 003 SUKODADI LAMONGAN</v>
      </c>
      <c r="G8" s="28" t="str">
        <f>IFERROR(__xludf.DUMMYFUNCTION("""COMPUTED_VALUE"""),"MA-XI.13")</f>
        <v>MA-XI.13</v>
      </c>
      <c r="H8" s="28" t="str">
        <f>IFERROR(__xludf.DUMMYFUNCTION("""COMPUTED_VALUE"""),"A")</f>
        <v>A</v>
      </c>
      <c r="I8" s="28" t="str">
        <f>IFERROR(__xludf.DUMMYFUNCTION("""COMPUTED_VALUE"""),"A-2")</f>
        <v>A-2</v>
      </c>
      <c r="J8" s="28">
        <f>IFERROR(__xludf.DUMMYFUNCTION("""COMPUTED_VALUE"""),2.0)</f>
        <v>2</v>
      </c>
      <c r="K8" s="28" t="str">
        <f>IFERROR(__xludf.DUMMYFUNCTION("""COMPUTED_VALUE"""),"2 MAK PUTRA")</f>
        <v>2 MAK PUTRA</v>
      </c>
      <c r="L8" s="29" t="str">
        <f>IFERROR(__xludf.DUMMYFUNCTION("""COMPUTED_VALUE"""),"62895420477717")</f>
        <v>62895420477717</v>
      </c>
      <c r="M8" s="28"/>
      <c r="N8" s="22">
        <f>IFERROR(__xludf.DUMMYFUNCTION("""COMPUTED_VALUE"""),200000.0)</f>
        <v>200000</v>
      </c>
      <c r="O8" s="28"/>
      <c r="P8" s="28"/>
      <c r="Q8" s="28"/>
      <c r="R8" s="28"/>
      <c r="S8" s="28"/>
      <c r="T8" s="28"/>
      <c r="U8" s="28"/>
      <c r="V8" s="28"/>
      <c r="W8" s="28"/>
      <c r="X8" s="22">
        <f>IFERROR(__xludf.DUMMYFUNCTION("""COMPUTED_VALUE"""),450000.0)</f>
        <v>450000</v>
      </c>
      <c r="Y8" s="22">
        <f>IFERROR(__xludf.DUMMYFUNCTION("""COMPUTED_VALUE"""),450000.0)</f>
        <v>450000</v>
      </c>
      <c r="Z8" s="22">
        <f>IFERROR(__xludf.DUMMYFUNCTION("""COMPUTED_VALUE"""),450000.0)</f>
        <v>450000</v>
      </c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2">
        <f>IFERROR(__xludf.DUMMYFUNCTION("""COMPUTED_VALUE"""),1350000.0)</f>
        <v>1350000</v>
      </c>
      <c r="BD8" s="22">
        <f>IFERROR(__xludf.DUMMYFUNCTION("""COMPUTED_VALUE"""),0.0)</f>
        <v>0</v>
      </c>
      <c r="BE8" s="22">
        <f>IFERROR(__xludf.DUMMYFUNCTION("""COMPUTED_VALUE"""),0.0)</f>
        <v>0</v>
      </c>
      <c r="BF8" s="22">
        <f>IFERROR(__xludf.DUMMYFUNCTION("""COMPUTED_VALUE"""),1350000.0)</f>
        <v>1350000</v>
      </c>
    </row>
    <row r="9">
      <c r="A9" s="27">
        <f>IFERROR(__xludf.DUMMYFUNCTION("""COMPUTED_VALUE"""),8.0)</f>
        <v>8</v>
      </c>
      <c r="B9" s="28" t="str">
        <f>IFERROR(__xludf.DUMMYFUNCTION("""COMPUTED_VALUE"""),"ACHMAD SIDDIQ")</f>
        <v>ACHMAD SIDDIQ</v>
      </c>
      <c r="C9" s="28">
        <f>IFERROR(__xludf.DUMMYFUNCTION("""COMPUTED_VALUE"""),2.025070306E9)</f>
        <v>2025070306</v>
      </c>
      <c r="D9" s="28" t="str">
        <f>IFERROR(__xludf.DUMMYFUNCTION("""COMPUTED_VALUE"""),"ZAENAL MUSTOFA")</f>
        <v>ZAENAL MUSTOFA</v>
      </c>
      <c r="E9" s="28" t="str">
        <f>IFERROR(__xludf.DUMMYFUNCTION("""COMPUTED_VALUE"""),"KUSENAH")</f>
        <v>KUSENAH</v>
      </c>
      <c r="F9" s="28" t="str">
        <f>IFERROR(__xludf.DUMMYFUNCTION("""COMPUTED_VALUE"""),"BANYUBANG RT 011 RW 003 SOLOKURO LAMONGAN")</f>
        <v>BANYUBANG RT 011 RW 003 SOLOKURO LAMONGAN</v>
      </c>
      <c r="G9" s="28" t="str">
        <f>IFERROR(__xludf.DUMMYFUNCTION("""COMPUTED_VALUE"""),"MA-XI.13")</f>
        <v>MA-XI.13</v>
      </c>
      <c r="H9" s="28" t="str">
        <f>IFERROR(__xludf.DUMMYFUNCTION("""COMPUTED_VALUE"""),"A")</f>
        <v>A</v>
      </c>
      <c r="I9" s="28" t="str">
        <f>IFERROR(__xludf.DUMMYFUNCTION("""COMPUTED_VALUE"""),"A-4")</f>
        <v>A-4</v>
      </c>
      <c r="J9" s="28">
        <f>IFERROR(__xludf.DUMMYFUNCTION("""COMPUTED_VALUE"""),2.0)</f>
        <v>2</v>
      </c>
      <c r="K9" s="28" t="str">
        <f>IFERROR(__xludf.DUMMYFUNCTION("""COMPUTED_VALUE"""),"2 MAK PUTRA")</f>
        <v>2 MAK PUTRA</v>
      </c>
      <c r="L9" s="29" t="str">
        <f>IFERROR(__xludf.DUMMYFUNCTION("""COMPUTED_VALUE"""),"6282214993212")</f>
        <v>6282214993212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2">
        <f>IFERROR(__xludf.DUMMYFUNCTION("""COMPUTED_VALUE"""),500000.0)</f>
        <v>500000</v>
      </c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2">
        <f>IFERROR(__xludf.DUMMYFUNCTION("""COMPUTED_VALUE"""),500000.0)</f>
        <v>500000</v>
      </c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2">
        <f>IFERROR(__xludf.DUMMYFUNCTION("""COMPUTED_VALUE"""),0.0)</f>
        <v>0</v>
      </c>
      <c r="BD9" s="22">
        <f>IFERROR(__xludf.DUMMYFUNCTION("""COMPUTED_VALUE"""),1000000.0)</f>
        <v>1000000</v>
      </c>
      <c r="BE9" s="22">
        <f>IFERROR(__xludf.DUMMYFUNCTION("""COMPUTED_VALUE"""),0.0)</f>
        <v>0</v>
      </c>
      <c r="BF9" s="22">
        <f>IFERROR(__xludf.DUMMYFUNCTION("""COMPUTED_VALUE"""),1000000.0)</f>
        <v>1000000</v>
      </c>
    </row>
    <row r="10">
      <c r="A10" s="27">
        <f>IFERROR(__xludf.DUMMYFUNCTION("""COMPUTED_VALUE"""),9.0)</f>
        <v>9</v>
      </c>
      <c r="B10" s="28" t="str">
        <f>IFERROR(__xludf.DUMMYFUNCTION("""COMPUTED_VALUE"""),"ACHMAD SYAHRUL DZAKIE AL KAUTSAR")</f>
        <v>ACHMAD SYAHRUL DZAKIE AL KAUTSAR</v>
      </c>
      <c r="C10" s="28">
        <f>IFERROR(__xludf.DUMMYFUNCTION("""COMPUTED_VALUE"""),2.025070523E9)</f>
        <v>2025070523</v>
      </c>
      <c r="D10" s="28" t="str">
        <f>IFERROR(__xludf.DUMMYFUNCTION("""COMPUTED_VALUE"""),"MOH. SYAIFUL ANSHOR")</f>
        <v>MOH. SYAIFUL ANSHOR</v>
      </c>
      <c r="E10" s="28" t="str">
        <f>IFERROR(__xludf.DUMMYFUNCTION("""COMPUTED_VALUE"""),"SHOLIHATUL MUFIDAH")</f>
        <v>SHOLIHATUL MUFIDAH</v>
      </c>
      <c r="F10" s="28" t="str">
        <f>IFERROR(__xludf.DUMMYFUNCTION("""COMPUTED_VALUE"""),"JL AMBARAWA PETUNG RT 010 RW 004 PANCENG BABAT")</f>
        <v>JL AMBARAWA PETUNG RT 010 RW 004 PANCENG BABAT</v>
      </c>
      <c r="G10" s="28" t="str">
        <f>IFERROR(__xludf.DUMMYFUNCTION("""COMPUTED_VALUE"""),"MTS-8 F")</f>
        <v>MTS-8 F</v>
      </c>
      <c r="H10" s="28" t="str">
        <f>IFERROR(__xludf.DUMMYFUNCTION("""COMPUTED_VALUE"""),"A")</f>
        <v>A</v>
      </c>
      <c r="I10" s="28" t="str">
        <f>IFERROR(__xludf.DUMMYFUNCTION("""COMPUTED_VALUE"""),"A-3")</f>
        <v>A-3</v>
      </c>
      <c r="J10" s="28">
        <f>IFERROR(__xludf.DUMMYFUNCTION("""COMPUTED_VALUE"""),2.0)</f>
        <v>2</v>
      </c>
      <c r="K10" s="28" t="str">
        <f>IFERROR(__xludf.DUMMYFUNCTION("""COMPUTED_VALUE"""),"2 ULA A PUTRA")</f>
        <v>2 ULA A PUTRA</v>
      </c>
      <c r="L10" s="29" t="str">
        <f>IFERROR(__xludf.DUMMYFUNCTION("""COMPUTED_VALUE"""),"62881027793394")</f>
        <v>62881027793394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2">
        <f>IFERROR(__xludf.DUMMYFUNCTION("""COMPUTED_VALUE"""),500000.0)</f>
        <v>500000</v>
      </c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2">
        <f>IFERROR(__xludf.DUMMYFUNCTION("""COMPUTED_VALUE"""),500000.0)</f>
        <v>500000</v>
      </c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2">
        <f>IFERROR(__xludf.DUMMYFUNCTION("""COMPUTED_VALUE"""),0.0)</f>
        <v>0</v>
      </c>
      <c r="BD10" s="22">
        <f>IFERROR(__xludf.DUMMYFUNCTION("""COMPUTED_VALUE"""),1000000.0)</f>
        <v>1000000</v>
      </c>
      <c r="BE10" s="22">
        <f>IFERROR(__xludf.DUMMYFUNCTION("""COMPUTED_VALUE"""),0.0)</f>
        <v>0</v>
      </c>
      <c r="BF10" s="22">
        <f>IFERROR(__xludf.DUMMYFUNCTION("""COMPUTED_VALUE"""),1000000.0)</f>
        <v>1000000</v>
      </c>
    </row>
    <row r="11">
      <c r="A11" s="27">
        <f>IFERROR(__xludf.DUMMYFUNCTION("""COMPUTED_VALUE"""),10.0)</f>
        <v>10</v>
      </c>
      <c r="B11" s="28" t="str">
        <f>IFERROR(__xludf.DUMMYFUNCTION("""COMPUTED_VALUE"""),"ADHIAN SAKANI ZADDA")</f>
        <v>ADHIAN SAKANI ZADDA</v>
      </c>
      <c r="C11" s="28">
        <f>IFERROR(__xludf.DUMMYFUNCTION("""COMPUTED_VALUE"""),2.025070582E9)</f>
        <v>2025070582</v>
      </c>
      <c r="D11" s="28" t="str">
        <f>IFERROR(__xludf.DUMMYFUNCTION("""COMPUTED_VALUE"""),"KUSNUL SAKIN")</f>
        <v>KUSNUL SAKIN</v>
      </c>
      <c r="E11" s="28" t="str">
        <f>IFERROR(__xludf.DUMMYFUNCTION("""COMPUTED_VALUE"""),"MARKUTIK")</f>
        <v>MARKUTIK</v>
      </c>
      <c r="F11" s="28" t="str">
        <f>IFERROR(__xludf.DUMMYFUNCTION("""COMPUTED_VALUE"""),"SUGIHAN RT 012 RW 002 SOLOKURO LAMONGAN")</f>
        <v>SUGIHAN RT 012 RW 002 SOLOKURO LAMONGAN</v>
      </c>
      <c r="G11" s="28" t="str">
        <f>IFERROR(__xludf.DUMMYFUNCTION("""COMPUTED_VALUE"""),"MTS-8 G")</f>
        <v>MTS-8 G</v>
      </c>
      <c r="H11" s="28" t="str">
        <f>IFERROR(__xludf.DUMMYFUNCTION("""COMPUTED_VALUE"""),"A")</f>
        <v>A</v>
      </c>
      <c r="I11" s="28" t="str">
        <f>IFERROR(__xludf.DUMMYFUNCTION("""COMPUTED_VALUE"""),"A-3")</f>
        <v>A-3</v>
      </c>
      <c r="J11" s="28">
        <f>IFERROR(__xludf.DUMMYFUNCTION("""COMPUTED_VALUE"""),2.0)</f>
        <v>2</v>
      </c>
      <c r="K11" s="28" t="str">
        <f>IFERROR(__xludf.DUMMYFUNCTION("""COMPUTED_VALUE"""),"2 ULA A PUTRA")</f>
        <v>2 ULA A PUTRA</v>
      </c>
      <c r="L11" s="29" t="str">
        <f>IFERROR(__xludf.DUMMYFUNCTION("""COMPUTED_VALUE"""),"628563276002")</f>
        <v>628563276002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2">
        <f>IFERROR(__xludf.DUMMYFUNCTION("""COMPUTED_VALUE"""),500000.0)</f>
        <v>500000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2">
        <f>IFERROR(__xludf.DUMMYFUNCTION("""COMPUTED_VALUE"""),500000.0)</f>
        <v>500000</v>
      </c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2">
        <f>IFERROR(__xludf.DUMMYFUNCTION("""COMPUTED_VALUE"""),0.0)</f>
        <v>0</v>
      </c>
      <c r="BD11" s="22">
        <f>IFERROR(__xludf.DUMMYFUNCTION("""COMPUTED_VALUE"""),1000000.0)</f>
        <v>1000000</v>
      </c>
      <c r="BE11" s="22">
        <f>IFERROR(__xludf.DUMMYFUNCTION("""COMPUTED_VALUE"""),0.0)</f>
        <v>0</v>
      </c>
      <c r="BF11" s="22">
        <f>IFERROR(__xludf.DUMMYFUNCTION("""COMPUTED_VALUE"""),1000000.0)</f>
        <v>1000000</v>
      </c>
    </row>
    <row r="12">
      <c r="A12" s="27">
        <f>IFERROR(__xludf.DUMMYFUNCTION("""COMPUTED_VALUE"""),11.0)</f>
        <v>11</v>
      </c>
      <c r="B12" s="28" t="str">
        <f>IFERROR(__xludf.DUMMYFUNCTION("""COMPUTED_VALUE"""),"ADI FAJAR MUAYYAD")</f>
        <v>ADI FAJAR MUAYYAD</v>
      </c>
      <c r="C12" s="28">
        <f>IFERROR(__xludf.DUMMYFUNCTION("""COMPUTED_VALUE"""),2.025070642E9)</f>
        <v>2025070642</v>
      </c>
      <c r="D12" s="28" t="str">
        <f>IFERROR(__xludf.DUMMYFUNCTION("""COMPUTED_VALUE"""),"SRIMAT")</f>
        <v>SRIMAT</v>
      </c>
      <c r="E12" s="28" t="str">
        <f>IFERROR(__xludf.DUMMYFUNCTION("""COMPUTED_VALUE"""),"UMMUL HASANAH")</f>
        <v>UMMUL HASANAH</v>
      </c>
      <c r="F12" s="28" t="str">
        <f>IFERROR(__xludf.DUMMYFUNCTION("""COMPUTED_VALUE"""),"KARANGTAWAR RT 002 RW 001 LAREN LAMONGAN")</f>
        <v>KARANGTAWAR RT 002 RW 001 LAREN LAMONGAN</v>
      </c>
      <c r="G12" s="28" t="str">
        <f>IFERROR(__xludf.DUMMYFUNCTION("""COMPUTED_VALUE"""),"MTS-8 B")</f>
        <v>MTS-8 B</v>
      </c>
      <c r="H12" s="28" t="str">
        <f>IFERROR(__xludf.DUMMYFUNCTION("""COMPUTED_VALUE"""),"A")</f>
        <v>A</v>
      </c>
      <c r="I12" s="28" t="str">
        <f>IFERROR(__xludf.DUMMYFUNCTION("""COMPUTED_VALUE"""),"A-1")</f>
        <v>A-1</v>
      </c>
      <c r="J12" s="28">
        <f>IFERROR(__xludf.DUMMYFUNCTION("""COMPUTED_VALUE"""),2.0)</f>
        <v>2</v>
      </c>
      <c r="K12" s="28" t="str">
        <f>IFERROR(__xludf.DUMMYFUNCTION("""COMPUTED_VALUE"""),"2 ULA A PUTRA")</f>
        <v>2 ULA A PUTRA</v>
      </c>
      <c r="L12" s="29" t="str">
        <f>IFERROR(__xludf.DUMMYFUNCTION("""COMPUTED_VALUE"""),"6285739097145")</f>
        <v>6285739097145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2">
        <f>IFERROR(__xludf.DUMMYFUNCTION("""COMPUTED_VALUE"""),0.0)</f>
        <v>0</v>
      </c>
      <c r="BD12" s="22">
        <f>IFERROR(__xludf.DUMMYFUNCTION("""COMPUTED_VALUE"""),0.0)</f>
        <v>0</v>
      </c>
      <c r="BE12" s="22">
        <f>IFERROR(__xludf.DUMMYFUNCTION("""COMPUTED_VALUE"""),0.0)</f>
        <v>0</v>
      </c>
      <c r="BF12" s="22">
        <f>IFERROR(__xludf.DUMMYFUNCTION("""COMPUTED_VALUE"""),0.0)</f>
        <v>0</v>
      </c>
    </row>
    <row r="13">
      <c r="A13" s="27">
        <f>IFERROR(__xludf.DUMMYFUNCTION("""COMPUTED_VALUE"""),12.0)</f>
        <v>12</v>
      </c>
      <c r="B13" s="28" t="str">
        <f>IFERROR(__xludf.DUMMYFUNCTION("""COMPUTED_VALUE"""),"ADITYA FERYANSYAH")</f>
        <v>ADITYA FERYANSYAH</v>
      </c>
      <c r="C13" s="28">
        <f>IFERROR(__xludf.DUMMYFUNCTION("""COMPUTED_VALUE"""),2.02507046E9)</f>
        <v>2025070460</v>
      </c>
      <c r="D13" s="28" t="str">
        <f>IFERROR(__xludf.DUMMYFUNCTION("""COMPUTED_VALUE"""),"ZAENAL ARIFIN W")</f>
        <v>ZAENAL ARIFIN W</v>
      </c>
      <c r="E13" s="28" t="str">
        <f>IFERROR(__xludf.DUMMYFUNCTION("""COMPUTED_VALUE"""),"ASLAMIYAH")</f>
        <v>ASLAMIYAH</v>
      </c>
      <c r="F13" s="28" t="str">
        <f>IFERROR(__xludf.DUMMYFUNCTION("""COMPUTED_VALUE"""),"JL. DEMAK JAYA GG 8 NO 9 TEMBOK DUKUH  RT 012 RW 010 BUBUTAN SURABAYA")</f>
        <v>JL. DEMAK JAYA GG 8 NO 9 TEMBOK DUKUH  RT 012 RW 010 BUBUTAN SURABAYA</v>
      </c>
      <c r="G13" s="28" t="str">
        <f>IFERROR(__xludf.DUMMYFUNCTION("""COMPUTED_VALUE"""),"SMK-XI TSM")</f>
        <v>SMK-XI TSM</v>
      </c>
      <c r="H13" s="28" t="str">
        <f>IFERROR(__xludf.DUMMYFUNCTION("""COMPUTED_VALUE"""),"A")</f>
        <v>A</v>
      </c>
      <c r="I13" s="28" t="str">
        <f>IFERROR(__xludf.DUMMYFUNCTION("""COMPUTED_VALUE"""),"A-4")</f>
        <v>A-4</v>
      </c>
      <c r="J13" s="28">
        <f>IFERROR(__xludf.DUMMYFUNCTION("""COMPUTED_VALUE"""),2.0)</f>
        <v>2</v>
      </c>
      <c r="K13" s="28" t="str">
        <f>IFERROR(__xludf.DUMMYFUNCTION("""COMPUTED_VALUE"""),"2 WUSTHO A PUTRA")</f>
        <v>2 WUSTHO A PUTRA</v>
      </c>
      <c r="L13" s="29" t="str">
        <f>IFERROR(__xludf.DUMMYFUNCTION("""COMPUTED_VALUE"""),"6283857988668")</f>
        <v>6283857988668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2">
        <f>IFERROR(__xludf.DUMMYFUNCTION("""COMPUTED_VALUE"""),500000.0)</f>
        <v>500000</v>
      </c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2">
        <f>IFERROR(__xludf.DUMMYFUNCTION("""COMPUTED_VALUE"""),500000.0)</f>
        <v>500000</v>
      </c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2">
        <f>IFERROR(__xludf.DUMMYFUNCTION("""COMPUTED_VALUE"""),0.0)</f>
        <v>0</v>
      </c>
      <c r="BD13" s="22">
        <f>IFERROR(__xludf.DUMMYFUNCTION("""COMPUTED_VALUE"""),1000000.0)</f>
        <v>1000000</v>
      </c>
      <c r="BE13" s="22">
        <f>IFERROR(__xludf.DUMMYFUNCTION("""COMPUTED_VALUE"""),0.0)</f>
        <v>0</v>
      </c>
      <c r="BF13" s="22">
        <f>IFERROR(__xludf.DUMMYFUNCTION("""COMPUTED_VALUE"""),1000000.0)</f>
        <v>1000000</v>
      </c>
    </row>
    <row r="14">
      <c r="A14" s="27">
        <f>IFERROR(__xludf.DUMMYFUNCTION("""COMPUTED_VALUE"""),13.0)</f>
        <v>13</v>
      </c>
      <c r="B14" s="28" t="str">
        <f>IFERROR(__xludf.DUMMYFUNCTION("""COMPUTED_VALUE"""),"ADJIE PANGESTU NURZAINI")</f>
        <v>ADJIE PANGESTU NURZAINI</v>
      </c>
      <c r="C14" s="28">
        <f>IFERROR(__xludf.DUMMYFUNCTION("""COMPUTED_VALUE"""),2.02507061E9)</f>
        <v>2025070610</v>
      </c>
      <c r="D14" s="28" t="str">
        <f>IFERROR(__xludf.DUMMYFUNCTION("""COMPUTED_VALUE"""),"AHKMAD ZAINUDDIN")</f>
        <v>AHKMAD ZAINUDDIN</v>
      </c>
      <c r="E14" s="28" t="str">
        <f>IFERROR(__xludf.DUMMYFUNCTION("""COMPUTED_VALUE"""),"YUNI HARIATI NINGSIH")</f>
        <v>YUNI HARIATI NINGSIH</v>
      </c>
      <c r="F14" s="28" t="str">
        <f>IFERROR(__xludf.DUMMYFUNCTION("""COMPUTED_VALUE"""),"GERMAN RT 002 RW 004 SUGIO LAMONGAN")</f>
        <v>GERMAN RT 002 RW 004 SUGIO LAMONGAN</v>
      </c>
      <c r="G14" s="28" t="str">
        <f>IFERROR(__xludf.DUMMYFUNCTION("""COMPUTED_VALUE"""),"MTS-8 C")</f>
        <v>MTS-8 C</v>
      </c>
      <c r="H14" s="28" t="str">
        <f>IFERROR(__xludf.DUMMYFUNCTION("""COMPUTED_VALUE"""),"A")</f>
        <v>A</v>
      </c>
      <c r="I14" s="28" t="str">
        <f>IFERROR(__xludf.DUMMYFUNCTION("""COMPUTED_VALUE"""),"A-1")</f>
        <v>A-1</v>
      </c>
      <c r="J14" s="28">
        <f>IFERROR(__xludf.DUMMYFUNCTION("""COMPUTED_VALUE"""),2.0)</f>
        <v>2</v>
      </c>
      <c r="K14" s="28" t="str">
        <f>IFERROR(__xludf.DUMMYFUNCTION("""COMPUTED_VALUE"""),"2 ULA A PUTRA")</f>
        <v>2 ULA A PUTRA</v>
      </c>
      <c r="L14" s="29" t="str">
        <f>IFERROR(__xludf.DUMMYFUNCTION("""COMPUTED_VALUE"""),"6282132209162")</f>
        <v>6282132209162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2">
        <f>IFERROR(__xludf.DUMMYFUNCTION("""COMPUTED_VALUE"""),450000.0)</f>
        <v>450000</v>
      </c>
      <c r="Z14" s="22">
        <f>IFERROR(__xludf.DUMMYFUNCTION("""COMPUTED_VALUE"""),450000.0)</f>
        <v>450000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2">
        <f>IFERROR(__xludf.DUMMYFUNCTION("""COMPUTED_VALUE"""),500000.0)</f>
        <v>500000</v>
      </c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2">
        <f>IFERROR(__xludf.DUMMYFUNCTION("""COMPUTED_VALUE"""),900000.0)</f>
        <v>900000</v>
      </c>
      <c r="BD14" s="22">
        <f>IFERROR(__xludf.DUMMYFUNCTION("""COMPUTED_VALUE"""),500000.0)</f>
        <v>500000</v>
      </c>
      <c r="BE14" s="22">
        <f>IFERROR(__xludf.DUMMYFUNCTION("""COMPUTED_VALUE"""),0.0)</f>
        <v>0</v>
      </c>
      <c r="BF14" s="22">
        <f>IFERROR(__xludf.DUMMYFUNCTION("""COMPUTED_VALUE"""),1400000.0)</f>
        <v>1400000</v>
      </c>
    </row>
    <row r="15">
      <c r="A15" s="27">
        <f>IFERROR(__xludf.DUMMYFUNCTION("""COMPUTED_VALUE"""),14.0)</f>
        <v>14</v>
      </c>
      <c r="B15" s="28" t="str">
        <f>IFERROR(__xludf.DUMMYFUNCTION("""COMPUTED_VALUE"""),"AFDHOL MUSYAFA")</f>
        <v>AFDHOL MUSYAFA</v>
      </c>
      <c r="C15" s="28">
        <f>IFERROR(__xludf.DUMMYFUNCTION("""COMPUTED_VALUE"""),2.025070436E9)</f>
        <v>2025070436</v>
      </c>
      <c r="D15" s="28" t="str">
        <f>IFERROR(__xludf.DUMMYFUNCTION("""COMPUTED_VALUE"""),"IRWAN")</f>
        <v>IRWAN</v>
      </c>
      <c r="E15" s="28" t="str">
        <f>IFERROR(__xludf.DUMMYFUNCTION("""COMPUTED_VALUE"""),"MAISAROH")</f>
        <v>MAISAROH</v>
      </c>
      <c r="F15" s="28" t="str">
        <f>IFERROR(__xludf.DUMMYFUNCTION("""COMPUTED_VALUE"""),"JL. KAPAL SELAM LOK TUAN RT 018 RW 000 BONTANG UTARA BONTANG")</f>
        <v>JL. KAPAL SELAM LOK TUAN RT 018 RW 000 BONTANG UTARA BONTANG</v>
      </c>
      <c r="G15" s="28" t="str">
        <f>IFERROR(__xludf.DUMMYFUNCTION("""COMPUTED_VALUE"""),"SMK-XI TKJ 1")</f>
        <v>SMK-XI TKJ 1</v>
      </c>
      <c r="H15" s="28" t="str">
        <f>IFERROR(__xludf.DUMMYFUNCTION("""COMPUTED_VALUE"""),"A")</f>
        <v>A</v>
      </c>
      <c r="I15" s="28" t="str">
        <f>IFERROR(__xludf.DUMMYFUNCTION("""COMPUTED_VALUE"""),"A-9")</f>
        <v>A-9</v>
      </c>
      <c r="J15" s="28">
        <f>IFERROR(__xludf.DUMMYFUNCTION("""COMPUTED_VALUE"""),2.0)</f>
        <v>2</v>
      </c>
      <c r="K15" s="28" t="str">
        <f>IFERROR(__xludf.DUMMYFUNCTION("""COMPUTED_VALUE"""),"2 WUSTHO A PUTRA")</f>
        <v>2 WUSTHO A PUTRA</v>
      </c>
      <c r="L15" s="29" t="str">
        <f>IFERROR(__xludf.DUMMYFUNCTION("""COMPUTED_VALUE"""),"6282240716916")</f>
        <v>6282240716916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2">
        <f>IFERROR(__xludf.DUMMYFUNCTION("""COMPUTED_VALUE"""),0.0)</f>
        <v>0</v>
      </c>
      <c r="BD15" s="22">
        <f>IFERROR(__xludf.DUMMYFUNCTION("""COMPUTED_VALUE"""),0.0)</f>
        <v>0</v>
      </c>
      <c r="BE15" s="22">
        <f>IFERROR(__xludf.DUMMYFUNCTION("""COMPUTED_VALUE"""),0.0)</f>
        <v>0</v>
      </c>
      <c r="BF15" s="22">
        <f>IFERROR(__xludf.DUMMYFUNCTION("""COMPUTED_VALUE"""),0.0)</f>
        <v>0</v>
      </c>
    </row>
    <row r="16">
      <c r="A16" s="27">
        <f>IFERROR(__xludf.DUMMYFUNCTION("""COMPUTED_VALUE"""),15.0)</f>
        <v>15</v>
      </c>
      <c r="B16" s="28" t="str">
        <f>IFERROR(__xludf.DUMMYFUNCTION("""COMPUTED_VALUE"""),"AHMAD AUFAR SHOLAHAN HIRZI")</f>
        <v>AHMAD AUFAR SHOLAHAN HIRZI</v>
      </c>
      <c r="C16" s="28">
        <f>IFERROR(__xludf.DUMMYFUNCTION("""COMPUTED_VALUE"""),2.025070632E9)</f>
        <v>2025070632</v>
      </c>
      <c r="D16" s="28" t="str">
        <f>IFERROR(__xludf.DUMMYFUNCTION("""COMPUTED_VALUE"""),"MOHAMAD NURUL IHSAN")</f>
        <v>MOHAMAD NURUL IHSAN</v>
      </c>
      <c r="E16" s="28" t="str">
        <f>IFERROR(__xludf.DUMMYFUNCTION("""COMPUTED_VALUE"""),"SHOFIYATUN")</f>
        <v>SHOFIYATUN</v>
      </c>
      <c r="F16" s="28" t="str">
        <f>IFERROR(__xludf.DUMMYFUNCTION("""COMPUTED_VALUE"""),"PUCANGRO RT 004 RW 001 KALITENGAH LAMONGAN")</f>
        <v>PUCANGRO RT 004 RW 001 KALITENGAH LAMONGAN</v>
      </c>
      <c r="G16" s="28" t="str">
        <f>IFERROR(__xludf.DUMMYFUNCTION("""COMPUTED_VALUE"""),"MTS-8 C")</f>
        <v>MTS-8 C</v>
      </c>
      <c r="H16" s="28" t="str">
        <f>IFERROR(__xludf.DUMMYFUNCTION("""COMPUTED_VALUE"""),"A")</f>
        <v>A</v>
      </c>
      <c r="I16" s="28" t="str">
        <f>IFERROR(__xludf.DUMMYFUNCTION("""COMPUTED_VALUE"""),"A-3")</f>
        <v>A-3</v>
      </c>
      <c r="J16" s="28">
        <f>IFERROR(__xludf.DUMMYFUNCTION("""COMPUTED_VALUE"""),2.0)</f>
        <v>2</v>
      </c>
      <c r="K16" s="28" t="str">
        <f>IFERROR(__xludf.DUMMYFUNCTION("""COMPUTED_VALUE"""),"2 ULA A PUTRA")</f>
        <v>2 ULA A PUTRA</v>
      </c>
      <c r="L16" s="29" t="str">
        <f>IFERROR(__xludf.DUMMYFUNCTION("""COMPUTED_VALUE"""),"6285707398701")</f>
        <v>6285707398701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2">
        <f>IFERROR(__xludf.DUMMYFUNCTION("""COMPUTED_VALUE"""),500000.0)</f>
        <v>500000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2">
        <f>IFERROR(__xludf.DUMMYFUNCTION("""COMPUTED_VALUE"""),500000.0)</f>
        <v>500000</v>
      </c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2">
        <f>IFERROR(__xludf.DUMMYFUNCTION("""COMPUTED_VALUE"""),0.0)</f>
        <v>0</v>
      </c>
      <c r="BD16" s="22">
        <f>IFERROR(__xludf.DUMMYFUNCTION("""COMPUTED_VALUE"""),1000000.0)</f>
        <v>1000000</v>
      </c>
      <c r="BE16" s="22">
        <f>IFERROR(__xludf.DUMMYFUNCTION("""COMPUTED_VALUE"""),0.0)</f>
        <v>0</v>
      </c>
      <c r="BF16" s="22">
        <f>IFERROR(__xludf.DUMMYFUNCTION("""COMPUTED_VALUE"""),1000000.0)</f>
        <v>1000000</v>
      </c>
    </row>
    <row r="17">
      <c r="A17" s="27">
        <f>IFERROR(__xludf.DUMMYFUNCTION("""COMPUTED_VALUE"""),16.0)</f>
        <v>16</v>
      </c>
      <c r="B17" s="28" t="str">
        <f>IFERROR(__xludf.DUMMYFUNCTION("""COMPUTED_VALUE"""),"AHMAD AVICENNA AHZA")</f>
        <v>AHMAD AVICENNA AHZA</v>
      </c>
      <c r="C17" s="28">
        <f>IFERROR(__xludf.DUMMYFUNCTION("""COMPUTED_VALUE"""),2.025070625E9)</f>
        <v>2025070625</v>
      </c>
      <c r="D17" s="28" t="str">
        <f>IFERROR(__xludf.DUMMYFUNCTION("""COMPUTED_VALUE"""),"ILHAM")</f>
        <v>ILHAM</v>
      </c>
      <c r="E17" s="28" t="str">
        <f>IFERROR(__xludf.DUMMYFUNCTION("""COMPUTED_VALUE"""),"ARKANI")</f>
        <v>ARKANI</v>
      </c>
      <c r="F17" s="28" t="str">
        <f>IFERROR(__xludf.DUMMYFUNCTION("""COMPUTED_VALUE"""),"PADENGANPLOSO RT 005 RW 001 PUCUK LAMONGAN")</f>
        <v>PADENGANPLOSO RT 005 RW 001 PUCUK LAMONGAN</v>
      </c>
      <c r="G17" s="28" t="str">
        <f>IFERROR(__xludf.DUMMYFUNCTION("""COMPUTED_VALUE"""),"MTS-8 E")</f>
        <v>MTS-8 E</v>
      </c>
      <c r="H17" s="28" t="str">
        <f>IFERROR(__xludf.DUMMYFUNCTION("""COMPUTED_VALUE"""),"A")</f>
        <v>A</v>
      </c>
      <c r="I17" s="28" t="str">
        <f>IFERROR(__xludf.DUMMYFUNCTION("""COMPUTED_VALUE"""),"A-3")</f>
        <v>A-3</v>
      </c>
      <c r="J17" s="28">
        <f>IFERROR(__xludf.DUMMYFUNCTION("""COMPUTED_VALUE"""),2.0)</f>
        <v>2</v>
      </c>
      <c r="K17" s="28" t="str">
        <f>IFERROR(__xludf.DUMMYFUNCTION("""COMPUTED_VALUE"""),"2 ULA A PUTRA")</f>
        <v>2 ULA A PUTRA</v>
      </c>
      <c r="L17" s="29" t="str">
        <f>IFERROR(__xludf.DUMMYFUNCTION("""COMPUTED_VALUE"""),"6285231952815")</f>
        <v>6285231952815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2">
        <f>IFERROR(__xludf.DUMMYFUNCTION("""COMPUTED_VALUE"""),500000.0)</f>
        <v>500000</v>
      </c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2">
        <f>IFERROR(__xludf.DUMMYFUNCTION("""COMPUTED_VALUE"""),500000.0)</f>
        <v>500000</v>
      </c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2">
        <f>IFERROR(__xludf.DUMMYFUNCTION("""COMPUTED_VALUE"""),0.0)</f>
        <v>0</v>
      </c>
      <c r="BD17" s="22">
        <f>IFERROR(__xludf.DUMMYFUNCTION("""COMPUTED_VALUE"""),1000000.0)</f>
        <v>1000000</v>
      </c>
      <c r="BE17" s="22">
        <f>IFERROR(__xludf.DUMMYFUNCTION("""COMPUTED_VALUE"""),0.0)</f>
        <v>0</v>
      </c>
      <c r="BF17" s="22">
        <f>IFERROR(__xludf.DUMMYFUNCTION("""COMPUTED_VALUE"""),1000000.0)</f>
        <v>1000000</v>
      </c>
    </row>
    <row r="18">
      <c r="A18" s="27">
        <f>IFERROR(__xludf.DUMMYFUNCTION("""COMPUTED_VALUE"""),17.0)</f>
        <v>17</v>
      </c>
      <c r="B18" s="28" t="str">
        <f>IFERROR(__xludf.DUMMYFUNCTION("""COMPUTED_VALUE"""),"AHMAD AZMUL ARIF")</f>
        <v>AHMAD AZMUL ARIF</v>
      </c>
      <c r="C18" s="28">
        <f>IFERROR(__xludf.DUMMYFUNCTION("""COMPUTED_VALUE"""),2.025070136E9)</f>
        <v>2025070136</v>
      </c>
      <c r="D18" s="28" t="str">
        <f>IFERROR(__xludf.DUMMYFUNCTION("""COMPUTED_VALUE"""),"HUSNUN NADLIF")</f>
        <v>HUSNUN NADLIF</v>
      </c>
      <c r="E18" s="28" t="str">
        <f>IFERROR(__xludf.DUMMYFUNCTION("""COMPUTED_VALUE"""),"KHOLIDATUL MA`RIFAH")</f>
        <v>KHOLIDATUL MA`RIFAH</v>
      </c>
      <c r="F18" s="28" t="str">
        <f>IFERROR(__xludf.DUMMYFUNCTION("""COMPUTED_VALUE"""),"BANGERAN GENENG BANGERAN RT 005 RW 003 DUKUN GRESIK")</f>
        <v>BANGERAN GENENG BANGERAN RT 005 RW 003 DUKUN GRESIK</v>
      </c>
      <c r="G18" s="28" t="str">
        <f>IFERROR(__xludf.DUMMYFUNCTION("""COMPUTED_VALUE"""),"MA-XI.13")</f>
        <v>MA-XI.13</v>
      </c>
      <c r="H18" s="28" t="str">
        <f>IFERROR(__xludf.DUMMYFUNCTION("""COMPUTED_VALUE"""),"A")</f>
        <v>A</v>
      </c>
      <c r="I18" s="28" t="str">
        <f>IFERROR(__xludf.DUMMYFUNCTION("""COMPUTED_VALUE"""),"A-4")</f>
        <v>A-4</v>
      </c>
      <c r="J18" s="28">
        <f>IFERROR(__xludf.DUMMYFUNCTION("""COMPUTED_VALUE"""),2.0)</f>
        <v>2</v>
      </c>
      <c r="K18" s="28" t="str">
        <f>IFERROR(__xludf.DUMMYFUNCTION("""COMPUTED_VALUE"""),"2 WUSTHO A PUTRA")</f>
        <v>2 WUSTHO A PUTRA</v>
      </c>
      <c r="L18" s="29" t="str">
        <f>IFERROR(__xludf.DUMMYFUNCTION("""COMPUTED_VALUE"""),"6287862214524")</f>
        <v>6287862214524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2">
        <f>IFERROR(__xludf.DUMMYFUNCTION("""COMPUTED_VALUE"""),500000.0)</f>
        <v>500000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2">
        <f>IFERROR(__xludf.DUMMYFUNCTION("""COMPUTED_VALUE"""),500000.0)</f>
        <v>500000</v>
      </c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2">
        <f>IFERROR(__xludf.DUMMYFUNCTION("""COMPUTED_VALUE"""),0.0)</f>
        <v>0</v>
      </c>
      <c r="BD18" s="22">
        <f>IFERROR(__xludf.DUMMYFUNCTION("""COMPUTED_VALUE"""),1000000.0)</f>
        <v>1000000</v>
      </c>
      <c r="BE18" s="22">
        <f>IFERROR(__xludf.DUMMYFUNCTION("""COMPUTED_VALUE"""),0.0)</f>
        <v>0</v>
      </c>
      <c r="BF18" s="22">
        <f>IFERROR(__xludf.DUMMYFUNCTION("""COMPUTED_VALUE"""),1000000.0)</f>
        <v>1000000</v>
      </c>
    </row>
    <row r="19">
      <c r="A19" s="27">
        <f>IFERROR(__xludf.DUMMYFUNCTION("""COMPUTED_VALUE"""),18.0)</f>
        <v>18</v>
      </c>
      <c r="B19" s="28" t="str">
        <f>IFERROR(__xludf.DUMMYFUNCTION("""COMPUTED_VALUE"""),"AHMAD BAHTIAR AL BUSTHOMY")</f>
        <v>AHMAD BAHTIAR AL BUSTHOMY</v>
      </c>
      <c r="C19" s="28">
        <f>IFERROR(__xludf.DUMMYFUNCTION("""COMPUTED_VALUE"""),2.025070592E9)</f>
        <v>2025070592</v>
      </c>
      <c r="D19" s="28" t="str">
        <f>IFERROR(__xludf.DUMMYFUNCTION("""COMPUTED_VALUE"""),"MOCH.IWAN PRIBADI")</f>
        <v>MOCH.IWAN PRIBADI</v>
      </c>
      <c r="E19" s="28" t="str">
        <f>IFERROR(__xludf.DUMMYFUNCTION("""COMPUTED_VALUE"""),"NURUS SAIDATUL FUADAH")</f>
        <v>NURUS SAIDATUL FUADAH</v>
      </c>
      <c r="F19" s="28" t="str">
        <f>IFERROR(__xludf.DUMMYFUNCTION("""COMPUTED_VALUE"""),"BALONGPANGGANG RT 004 RW 002 BALONGPANGGANG GRESIK")</f>
        <v>BALONGPANGGANG RT 004 RW 002 BALONGPANGGANG GRESIK</v>
      </c>
      <c r="G19" s="28" t="str">
        <f>IFERROR(__xludf.DUMMYFUNCTION("""COMPUTED_VALUE"""),"MTS-8 B")</f>
        <v>MTS-8 B</v>
      </c>
      <c r="H19" s="28" t="str">
        <f>IFERROR(__xludf.DUMMYFUNCTION("""COMPUTED_VALUE"""),"A")</f>
        <v>A</v>
      </c>
      <c r="I19" s="28" t="str">
        <f>IFERROR(__xludf.DUMMYFUNCTION("""COMPUTED_VALUE"""),"A-1")</f>
        <v>A-1</v>
      </c>
      <c r="J19" s="28">
        <f>IFERROR(__xludf.DUMMYFUNCTION("""COMPUTED_VALUE"""),2.0)</f>
        <v>2</v>
      </c>
      <c r="K19" s="28" t="str">
        <f>IFERROR(__xludf.DUMMYFUNCTION("""COMPUTED_VALUE"""),"2 ULA A PUTRA")</f>
        <v>2 ULA A PUTRA</v>
      </c>
      <c r="L19" s="29" t="str">
        <f>IFERROR(__xludf.DUMMYFUNCTION("""COMPUTED_VALUE"""),"6282231132034")</f>
        <v>6282231132034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2">
        <f>IFERROR(__xludf.DUMMYFUNCTION("""COMPUTED_VALUE"""),0.0)</f>
        <v>0</v>
      </c>
      <c r="BD19" s="22">
        <f>IFERROR(__xludf.DUMMYFUNCTION("""COMPUTED_VALUE"""),0.0)</f>
        <v>0</v>
      </c>
      <c r="BE19" s="22">
        <f>IFERROR(__xludf.DUMMYFUNCTION("""COMPUTED_VALUE"""),0.0)</f>
        <v>0</v>
      </c>
      <c r="BF19" s="22">
        <f>IFERROR(__xludf.DUMMYFUNCTION("""COMPUTED_VALUE"""),0.0)</f>
        <v>0</v>
      </c>
    </row>
    <row r="20">
      <c r="A20" s="27">
        <f>IFERROR(__xludf.DUMMYFUNCTION("""COMPUTED_VALUE"""),19.0)</f>
        <v>19</v>
      </c>
      <c r="B20" s="28" t="str">
        <f>IFERROR(__xludf.DUMMYFUNCTION("""COMPUTED_VALUE"""),"AHMAD DANIEL IHSAN ADHITAMA")</f>
        <v>AHMAD DANIEL IHSAN ADHITAMA</v>
      </c>
      <c r="C20" s="28">
        <f>IFERROR(__xludf.DUMMYFUNCTION("""COMPUTED_VALUE"""),2.025070607E9)</f>
        <v>2025070607</v>
      </c>
      <c r="D20" s="28" t="str">
        <f>IFERROR(__xludf.DUMMYFUNCTION("""COMPUTED_VALUE"""),"MOH. IRSAN")</f>
        <v>MOH. IRSAN</v>
      </c>
      <c r="E20" s="28" t="str">
        <f>IFERROR(__xludf.DUMMYFUNCTION("""COMPUTED_VALUE"""),"MUNJAROTUN")</f>
        <v>MUNJAROTUN</v>
      </c>
      <c r="F20" s="28" t="str">
        <f>IFERROR(__xludf.DUMMYFUNCTION("""COMPUTED_VALUE"""),"KULURAN RT 004 RW 004 KALITENGAH LAMONGAN")</f>
        <v>KULURAN RT 004 RW 004 KALITENGAH LAMONGAN</v>
      </c>
      <c r="G20" s="28" t="str">
        <f>IFERROR(__xludf.DUMMYFUNCTION("""COMPUTED_VALUE"""),"MTS-8 G")</f>
        <v>MTS-8 G</v>
      </c>
      <c r="H20" s="28" t="str">
        <f>IFERROR(__xludf.DUMMYFUNCTION("""COMPUTED_VALUE"""),"A")</f>
        <v>A</v>
      </c>
      <c r="I20" s="28" t="str">
        <f>IFERROR(__xludf.DUMMYFUNCTION("""COMPUTED_VALUE"""),"A-1")</f>
        <v>A-1</v>
      </c>
      <c r="J20" s="28">
        <f>IFERROR(__xludf.DUMMYFUNCTION("""COMPUTED_VALUE"""),2.0)</f>
        <v>2</v>
      </c>
      <c r="K20" s="28" t="str">
        <f>IFERROR(__xludf.DUMMYFUNCTION("""COMPUTED_VALUE"""),"2 ULA A PUTRA")</f>
        <v>2 ULA A PUTRA</v>
      </c>
      <c r="L20" s="29" t="str">
        <f>IFERROR(__xludf.DUMMYFUNCTION("""COMPUTED_VALUE"""),"6285791936623")</f>
        <v>6285791936623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2">
        <f>IFERROR(__xludf.DUMMYFUNCTION("""COMPUTED_VALUE"""),450000.0)</f>
        <v>450000</v>
      </c>
      <c r="AA20" s="28"/>
      <c r="AB20" s="22">
        <f>IFERROR(__xludf.DUMMYFUNCTION("""COMPUTED_VALUE"""),500000.0)</f>
        <v>500000</v>
      </c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2">
        <f>IFERROR(__xludf.DUMMYFUNCTION("""COMPUTED_VALUE"""),500000.0)</f>
        <v>500000</v>
      </c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2">
        <f>IFERROR(__xludf.DUMMYFUNCTION("""COMPUTED_VALUE"""),450000.0)</f>
        <v>450000</v>
      </c>
      <c r="BD20" s="22">
        <f>IFERROR(__xludf.DUMMYFUNCTION("""COMPUTED_VALUE"""),1000000.0)</f>
        <v>1000000</v>
      </c>
      <c r="BE20" s="22">
        <f>IFERROR(__xludf.DUMMYFUNCTION("""COMPUTED_VALUE"""),0.0)</f>
        <v>0</v>
      </c>
      <c r="BF20" s="22">
        <f>IFERROR(__xludf.DUMMYFUNCTION("""COMPUTED_VALUE"""),1450000.0)</f>
        <v>1450000</v>
      </c>
    </row>
    <row r="21">
      <c r="A21" s="27">
        <f>IFERROR(__xludf.DUMMYFUNCTION("""COMPUTED_VALUE"""),20.0)</f>
        <v>20</v>
      </c>
      <c r="B21" s="28" t="str">
        <f>IFERROR(__xludf.DUMMYFUNCTION("""COMPUTED_VALUE"""),"AHMAD DANISH SYAHPUTRA")</f>
        <v>AHMAD DANISH SYAHPUTRA</v>
      </c>
      <c r="C21" s="28">
        <f>IFERROR(__xludf.DUMMYFUNCTION("""COMPUTED_VALUE"""),2.025070602E9)</f>
        <v>2025070602</v>
      </c>
      <c r="D21" s="28" t="str">
        <f>IFERROR(__xludf.DUMMYFUNCTION("""COMPUTED_VALUE"""),"ESNANTO HADI SAPUTRO")</f>
        <v>ESNANTO HADI SAPUTRO</v>
      </c>
      <c r="E21" s="28" t="str">
        <f>IFERROR(__xludf.DUMMYFUNCTION("""COMPUTED_VALUE"""),"ZUNI ANISAH")</f>
        <v>ZUNI ANISAH</v>
      </c>
      <c r="F21" s="28" t="str">
        <f>IFERROR(__xludf.DUMMYFUNCTION("""COMPUTED_VALUE"""),"GEGER RT 003 RW 003 TURI LAMONGAN")</f>
        <v>GEGER RT 003 RW 003 TURI LAMONGAN</v>
      </c>
      <c r="G21" s="28" t="str">
        <f>IFERROR(__xludf.DUMMYFUNCTION("""COMPUTED_VALUE"""),"MTS-8 C")</f>
        <v>MTS-8 C</v>
      </c>
      <c r="H21" s="28" t="str">
        <f>IFERROR(__xludf.DUMMYFUNCTION("""COMPUTED_VALUE"""),"A")</f>
        <v>A</v>
      </c>
      <c r="I21" s="28" t="str">
        <f>IFERROR(__xludf.DUMMYFUNCTION("""COMPUTED_VALUE"""),"A-1")</f>
        <v>A-1</v>
      </c>
      <c r="J21" s="28">
        <f>IFERROR(__xludf.DUMMYFUNCTION("""COMPUTED_VALUE"""),2.0)</f>
        <v>2</v>
      </c>
      <c r="K21" s="28" t="str">
        <f>IFERROR(__xludf.DUMMYFUNCTION("""COMPUTED_VALUE"""),"2 ULA A PUTRA")</f>
        <v>2 ULA A PUTRA</v>
      </c>
      <c r="L21" s="29" t="str">
        <f>IFERROR(__xludf.DUMMYFUNCTION("""COMPUTED_VALUE"""),"6285648764381")</f>
        <v>6285648764381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2">
        <f>IFERROR(__xludf.DUMMYFUNCTION("""COMPUTED_VALUE"""),500000.0)</f>
        <v>500000</v>
      </c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2">
        <f>IFERROR(__xludf.DUMMYFUNCTION("""COMPUTED_VALUE"""),500000.0)</f>
        <v>500000</v>
      </c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2">
        <f>IFERROR(__xludf.DUMMYFUNCTION("""COMPUTED_VALUE"""),0.0)</f>
        <v>0</v>
      </c>
      <c r="BD21" s="22">
        <f>IFERROR(__xludf.DUMMYFUNCTION("""COMPUTED_VALUE"""),1000000.0)</f>
        <v>1000000</v>
      </c>
      <c r="BE21" s="22">
        <f>IFERROR(__xludf.DUMMYFUNCTION("""COMPUTED_VALUE"""),0.0)</f>
        <v>0</v>
      </c>
      <c r="BF21" s="22">
        <f>IFERROR(__xludf.DUMMYFUNCTION("""COMPUTED_VALUE"""),1000000.0)</f>
        <v>1000000</v>
      </c>
    </row>
    <row r="22">
      <c r="A22" s="27">
        <f>IFERROR(__xludf.DUMMYFUNCTION("""COMPUTED_VALUE"""),21.0)</f>
        <v>21</v>
      </c>
      <c r="B22" s="28" t="str">
        <f>IFERROR(__xludf.DUMMYFUNCTION("""COMPUTED_VALUE"""),"AHMAD FAIZIN")</f>
        <v>AHMAD FAIZIN</v>
      </c>
      <c r="C22" s="28">
        <f>IFERROR(__xludf.DUMMYFUNCTION("""COMPUTED_VALUE"""),2.025070492E9)</f>
        <v>2025070492</v>
      </c>
      <c r="D22" s="28" t="str">
        <f>IFERROR(__xludf.DUMMYFUNCTION("""COMPUTED_VALUE"""),"SUKAMTO")</f>
        <v>SUKAMTO</v>
      </c>
      <c r="E22" s="28" t="str">
        <f>IFERROR(__xludf.DUMMYFUNCTION("""COMPUTED_VALUE"""),"SITI ROMLAH")</f>
        <v>SITI ROMLAH</v>
      </c>
      <c r="F22" s="28" t="str">
        <f>IFERROR(__xludf.DUMMYFUNCTION("""COMPUTED_VALUE"""),"PELUK PENDOWOLIMO RT 001 RW 003 KARANGBINANGUN LAMONGAN")</f>
        <v>PELUK PENDOWOLIMO RT 001 RW 003 KARANGBINANGUN LAMONGAN</v>
      </c>
      <c r="G22" s="28" t="str">
        <f>IFERROR(__xludf.DUMMYFUNCTION("""COMPUTED_VALUE"""),"MTS-8 A")</f>
        <v>MTS-8 A</v>
      </c>
      <c r="H22" s="28" t="str">
        <f>IFERROR(__xludf.DUMMYFUNCTION("""COMPUTED_VALUE"""),"A")</f>
        <v>A</v>
      </c>
      <c r="I22" s="28" t="str">
        <f>IFERROR(__xludf.DUMMYFUNCTION("""COMPUTED_VALUE"""),"A-13")</f>
        <v>A-13</v>
      </c>
      <c r="J22" s="28">
        <f>IFERROR(__xludf.DUMMYFUNCTION("""COMPUTED_VALUE"""),2.0)</f>
        <v>2</v>
      </c>
      <c r="K22" s="28" t="str">
        <f>IFERROR(__xludf.DUMMYFUNCTION("""COMPUTED_VALUE"""),"2 ULA A PUTRA")</f>
        <v>2 ULA A PUTRA</v>
      </c>
      <c r="L22" s="29" t="str">
        <f>IFERROR(__xludf.DUMMYFUNCTION("""COMPUTED_VALUE"""),"6285730840655")</f>
        <v>6285730840655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2">
        <f>IFERROR(__xludf.DUMMYFUNCTION("""COMPUTED_VALUE"""),450000.0)</f>
        <v>450000</v>
      </c>
      <c r="Z22" s="22">
        <f>IFERROR(__xludf.DUMMYFUNCTION("""COMPUTED_VALUE"""),450000.0)</f>
        <v>450000</v>
      </c>
      <c r="AA22" s="28"/>
      <c r="AB22" s="22">
        <f>IFERROR(__xludf.DUMMYFUNCTION("""COMPUTED_VALUE"""),500000.0)</f>
        <v>500000</v>
      </c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2">
        <f>IFERROR(__xludf.DUMMYFUNCTION("""COMPUTED_VALUE"""),500000.0)</f>
        <v>500000</v>
      </c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2">
        <f>IFERROR(__xludf.DUMMYFUNCTION("""COMPUTED_VALUE"""),900000.0)</f>
        <v>900000</v>
      </c>
      <c r="BD22" s="22">
        <f>IFERROR(__xludf.DUMMYFUNCTION("""COMPUTED_VALUE"""),1000000.0)</f>
        <v>1000000</v>
      </c>
      <c r="BE22" s="22">
        <f>IFERROR(__xludf.DUMMYFUNCTION("""COMPUTED_VALUE"""),0.0)</f>
        <v>0</v>
      </c>
      <c r="BF22" s="22">
        <f>IFERROR(__xludf.DUMMYFUNCTION("""COMPUTED_VALUE"""),1900000.0)</f>
        <v>1900000</v>
      </c>
    </row>
    <row r="23">
      <c r="A23" s="27">
        <f>IFERROR(__xludf.DUMMYFUNCTION("""COMPUTED_VALUE"""),22.0)</f>
        <v>22</v>
      </c>
      <c r="B23" s="28" t="str">
        <f>IFERROR(__xludf.DUMMYFUNCTION("""COMPUTED_VALUE"""),"AHMAD FAKHRI AFIF")</f>
        <v>AHMAD FAKHRI AFIF</v>
      </c>
      <c r="C23" s="28">
        <f>IFERROR(__xludf.DUMMYFUNCTION("""COMPUTED_VALUE"""),2.025070393E9)</f>
        <v>2025070393</v>
      </c>
      <c r="D23" s="28" t="str">
        <f>IFERROR(__xludf.DUMMYFUNCTION("""COMPUTED_VALUE"""),"SUPENDI")</f>
        <v>SUPENDI</v>
      </c>
      <c r="E23" s="28" t="str">
        <f>IFERROR(__xludf.DUMMYFUNCTION("""COMPUTED_VALUE"""),"DWI ALFIAH LUTFIANINGSIH")</f>
        <v>DWI ALFIAH LUTFIANINGSIH</v>
      </c>
      <c r="F23" s="28" t="str">
        <f>IFERROR(__xludf.DUMMYFUNCTION("""COMPUTED_VALUE"""),"BLOK C SUKA DAMAI RT 006 RW 002 MADANG SUKU III OKU TIMUR")</f>
        <v>BLOK C SUKA DAMAI RT 006 RW 002 MADANG SUKU III OKU TIMUR</v>
      </c>
      <c r="G23" s="28" t="str">
        <f>IFERROR(__xludf.DUMMYFUNCTION("""COMPUTED_VALUE"""),"MA-XI.10")</f>
        <v>MA-XI.10</v>
      </c>
      <c r="H23" s="28" t="str">
        <f>IFERROR(__xludf.DUMMYFUNCTION("""COMPUTED_VALUE"""),"A")</f>
        <v>A</v>
      </c>
      <c r="I23" s="28" t="str">
        <f>IFERROR(__xludf.DUMMYFUNCTION("""COMPUTED_VALUE"""),"A-4")</f>
        <v>A-4</v>
      </c>
      <c r="J23" s="28">
        <f>IFERROR(__xludf.DUMMYFUNCTION("""COMPUTED_VALUE"""),2.0)</f>
        <v>2</v>
      </c>
      <c r="K23" s="28" t="str">
        <f>IFERROR(__xludf.DUMMYFUNCTION("""COMPUTED_VALUE"""),"2 WUSTHO A PUTRA")</f>
        <v>2 WUSTHO A PUTRA</v>
      </c>
      <c r="L23" s="29" t="str">
        <f>IFERROR(__xludf.DUMMYFUNCTION("""COMPUTED_VALUE"""),"6285664844095")</f>
        <v>6285664844095</v>
      </c>
      <c r="M23" s="28"/>
      <c r="N23" s="28"/>
      <c r="O23" s="28"/>
      <c r="P23" s="28"/>
      <c r="Q23" s="28"/>
      <c r="R23" s="28"/>
      <c r="S23" s="28"/>
      <c r="T23" s="22">
        <f>IFERROR(__xludf.DUMMYFUNCTION("""COMPUTED_VALUE"""),450000.0)</f>
        <v>450000</v>
      </c>
      <c r="U23" s="22">
        <f>IFERROR(__xludf.DUMMYFUNCTION("""COMPUTED_VALUE"""),450000.0)</f>
        <v>450000</v>
      </c>
      <c r="V23" s="22">
        <f>IFERROR(__xludf.DUMMYFUNCTION("""COMPUTED_VALUE"""),450000.0)</f>
        <v>450000</v>
      </c>
      <c r="W23" s="22">
        <f>IFERROR(__xludf.DUMMYFUNCTION("""COMPUTED_VALUE"""),450000.0)</f>
        <v>450000</v>
      </c>
      <c r="X23" s="22">
        <f>IFERROR(__xludf.DUMMYFUNCTION("""COMPUTED_VALUE"""),450000.0)</f>
        <v>450000</v>
      </c>
      <c r="Y23" s="22">
        <f>IFERROR(__xludf.DUMMYFUNCTION("""COMPUTED_VALUE"""),450000.0)</f>
        <v>450000</v>
      </c>
      <c r="Z23" s="22">
        <f>IFERROR(__xludf.DUMMYFUNCTION("""COMPUTED_VALUE"""),450000.0)</f>
        <v>450000</v>
      </c>
      <c r="AA23" s="28"/>
      <c r="AB23" s="22">
        <f>IFERROR(__xludf.DUMMYFUNCTION("""COMPUTED_VALUE"""),500000.0)</f>
        <v>500000</v>
      </c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2">
        <f>IFERROR(__xludf.DUMMYFUNCTION("""COMPUTED_VALUE"""),500000.0)</f>
        <v>500000</v>
      </c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2">
        <f>IFERROR(__xludf.DUMMYFUNCTION("""COMPUTED_VALUE"""),3150000.0)</f>
        <v>3150000</v>
      </c>
      <c r="BD23" s="22">
        <f>IFERROR(__xludf.DUMMYFUNCTION("""COMPUTED_VALUE"""),1000000.0)</f>
        <v>1000000</v>
      </c>
      <c r="BE23" s="22">
        <f>IFERROR(__xludf.DUMMYFUNCTION("""COMPUTED_VALUE"""),0.0)</f>
        <v>0</v>
      </c>
      <c r="BF23" s="22">
        <f>IFERROR(__xludf.DUMMYFUNCTION("""COMPUTED_VALUE"""),4150000.0)</f>
        <v>4150000</v>
      </c>
    </row>
    <row r="24">
      <c r="A24" s="27">
        <f>IFERROR(__xludf.DUMMYFUNCTION("""COMPUTED_VALUE"""),23.0)</f>
        <v>23</v>
      </c>
      <c r="B24" s="28" t="str">
        <f>IFERROR(__xludf.DUMMYFUNCTION("""COMPUTED_VALUE"""),"AHMAD FATIH HASAN AL-FARROS")</f>
        <v>AHMAD FATIH HASAN AL-FARROS</v>
      </c>
      <c r="C24" s="28">
        <f>IFERROR(__xludf.DUMMYFUNCTION("""COMPUTED_VALUE"""),2.025070375E9)</f>
        <v>2025070375</v>
      </c>
      <c r="D24" s="28" t="str">
        <f>IFERROR(__xludf.DUMMYFUNCTION("""COMPUTED_VALUE"""),"ARIS TRYONO")</f>
        <v>ARIS TRYONO</v>
      </c>
      <c r="E24" s="28" t="str">
        <f>IFERROR(__xludf.DUMMYFUNCTION("""COMPUTED_VALUE"""),"SYARIFATUL FARIDAH")</f>
        <v>SYARIFATUL FARIDAH</v>
      </c>
      <c r="F24" s="28" t="str">
        <f>IFERROR(__xludf.DUMMYFUNCTION("""COMPUTED_VALUE"""),"BLAWI RT 002 RW 004 KARANGBINANGUN LAMONGAN")</f>
        <v>BLAWI RT 002 RW 004 KARANGBINANGUN LAMONGAN</v>
      </c>
      <c r="G24" s="28" t="str">
        <f>IFERROR(__xludf.DUMMYFUNCTION("""COMPUTED_VALUE"""),"MA-XI.10")</f>
        <v>MA-XI.10</v>
      </c>
      <c r="H24" s="28" t="str">
        <f>IFERROR(__xludf.DUMMYFUNCTION("""COMPUTED_VALUE"""),"A")</f>
        <v>A</v>
      </c>
      <c r="I24" s="28" t="str">
        <f>IFERROR(__xludf.DUMMYFUNCTION("""COMPUTED_VALUE"""),"A-4")</f>
        <v>A-4</v>
      </c>
      <c r="J24" s="28">
        <f>IFERROR(__xludf.DUMMYFUNCTION("""COMPUTED_VALUE"""),2.0)</f>
        <v>2</v>
      </c>
      <c r="K24" s="28" t="str">
        <f>IFERROR(__xludf.DUMMYFUNCTION("""COMPUTED_VALUE"""),"2 WUSTHO A PUTRA")</f>
        <v>2 WUSTHO A PUTRA</v>
      </c>
      <c r="L24" s="29" t="str">
        <f>IFERROR(__xludf.DUMMYFUNCTION("""COMPUTED_VALUE"""),"6281234406503")</f>
        <v>6281234406503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2">
        <f>IFERROR(__xludf.DUMMYFUNCTION("""COMPUTED_VALUE"""),0.0)</f>
        <v>0</v>
      </c>
      <c r="BD24" s="22">
        <f>IFERROR(__xludf.DUMMYFUNCTION("""COMPUTED_VALUE"""),0.0)</f>
        <v>0</v>
      </c>
      <c r="BE24" s="22">
        <f>IFERROR(__xludf.DUMMYFUNCTION("""COMPUTED_VALUE"""),0.0)</f>
        <v>0</v>
      </c>
      <c r="BF24" s="22">
        <f>IFERROR(__xludf.DUMMYFUNCTION("""COMPUTED_VALUE"""),0.0)</f>
        <v>0</v>
      </c>
    </row>
    <row r="25">
      <c r="A25" s="27">
        <f>IFERROR(__xludf.DUMMYFUNCTION("""COMPUTED_VALUE"""),24.0)</f>
        <v>24</v>
      </c>
      <c r="B25" s="28" t="str">
        <f>IFERROR(__xludf.DUMMYFUNCTION("""COMPUTED_VALUE"""),"AHMAD FIRDAUS")</f>
        <v>AHMAD FIRDAUS</v>
      </c>
      <c r="C25" s="28">
        <f>IFERROR(__xludf.DUMMYFUNCTION("""COMPUTED_VALUE"""),2.025070151E9)</f>
        <v>2025070151</v>
      </c>
      <c r="D25" s="28" t="str">
        <f>IFERROR(__xludf.DUMMYFUNCTION("""COMPUTED_VALUE"""),"ALAUDIN")</f>
        <v>ALAUDIN</v>
      </c>
      <c r="E25" s="28" t="str">
        <f>IFERROR(__xludf.DUMMYFUNCTION("""COMPUTED_VALUE"""),"AFIDAH")</f>
        <v>AFIDAH</v>
      </c>
      <c r="F25" s="28" t="str">
        <f>IFERROR(__xludf.DUMMYFUNCTION("""COMPUTED_VALUE"""),"TEJOASRI RT 001 RW 002 LAREN LAMONGAN")</f>
        <v>TEJOASRI RT 001 RW 002 LAREN LAMONGAN</v>
      </c>
      <c r="G25" s="28" t="str">
        <f>IFERROR(__xludf.DUMMYFUNCTION("""COMPUTED_VALUE"""),"MA-XI.10")</f>
        <v>MA-XI.10</v>
      </c>
      <c r="H25" s="28" t="str">
        <f>IFERROR(__xludf.DUMMYFUNCTION("""COMPUTED_VALUE"""),"A")</f>
        <v>A</v>
      </c>
      <c r="I25" s="28" t="str">
        <f>IFERROR(__xludf.DUMMYFUNCTION("""COMPUTED_VALUE"""),"A-4")</f>
        <v>A-4</v>
      </c>
      <c r="J25" s="28">
        <f>IFERROR(__xludf.DUMMYFUNCTION("""COMPUTED_VALUE"""),2.0)</f>
        <v>2</v>
      </c>
      <c r="K25" s="28" t="str">
        <f>IFERROR(__xludf.DUMMYFUNCTION("""COMPUTED_VALUE"""),"2 WUSTHO A PUTRA")</f>
        <v>2 WUSTHO A PUTRA</v>
      </c>
      <c r="L25" s="29" t="str">
        <f>IFERROR(__xludf.DUMMYFUNCTION("""COMPUTED_VALUE"""),"6285777892081")</f>
        <v>6285777892081</v>
      </c>
      <c r="M25" s="28"/>
      <c r="N25" s="28"/>
      <c r="O25" s="28"/>
      <c r="P25" s="28"/>
      <c r="Q25" s="28"/>
      <c r="R25" s="28"/>
      <c r="S25" s="28"/>
      <c r="T25" s="28"/>
      <c r="U25" s="22">
        <f>IFERROR(__xludf.DUMMYFUNCTION("""COMPUTED_VALUE"""),450000.0)</f>
        <v>450000</v>
      </c>
      <c r="V25" s="22">
        <f>IFERROR(__xludf.DUMMYFUNCTION("""COMPUTED_VALUE"""),450000.0)</f>
        <v>450000</v>
      </c>
      <c r="W25" s="22">
        <f>IFERROR(__xludf.DUMMYFUNCTION("""COMPUTED_VALUE"""),450000.0)</f>
        <v>450000</v>
      </c>
      <c r="X25" s="22">
        <f>IFERROR(__xludf.DUMMYFUNCTION("""COMPUTED_VALUE"""),450000.0)</f>
        <v>450000</v>
      </c>
      <c r="Y25" s="22">
        <f>IFERROR(__xludf.DUMMYFUNCTION("""COMPUTED_VALUE"""),450000.0)</f>
        <v>450000</v>
      </c>
      <c r="Z25" s="22">
        <f>IFERROR(__xludf.DUMMYFUNCTION("""COMPUTED_VALUE"""),450000.0)</f>
        <v>450000</v>
      </c>
      <c r="AA25" s="28"/>
      <c r="AB25" s="22">
        <f>IFERROR(__xludf.DUMMYFUNCTION("""COMPUTED_VALUE"""),500000.0)</f>
        <v>500000</v>
      </c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2">
        <f>IFERROR(__xludf.DUMMYFUNCTION("""COMPUTED_VALUE"""),500000.0)</f>
        <v>500000</v>
      </c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2">
        <f>IFERROR(__xludf.DUMMYFUNCTION("""COMPUTED_VALUE"""),2700000.0)</f>
        <v>2700000</v>
      </c>
      <c r="BD25" s="22">
        <f>IFERROR(__xludf.DUMMYFUNCTION("""COMPUTED_VALUE"""),1000000.0)</f>
        <v>1000000</v>
      </c>
      <c r="BE25" s="22">
        <f>IFERROR(__xludf.DUMMYFUNCTION("""COMPUTED_VALUE"""),0.0)</f>
        <v>0</v>
      </c>
      <c r="BF25" s="22">
        <f>IFERROR(__xludf.DUMMYFUNCTION("""COMPUTED_VALUE"""),3700000.0)</f>
        <v>3700000</v>
      </c>
    </row>
    <row r="26">
      <c r="A26" s="27">
        <f>IFERROR(__xludf.DUMMYFUNCTION("""COMPUTED_VALUE"""),25.0)</f>
        <v>25</v>
      </c>
      <c r="B26" s="28" t="str">
        <f>IFERROR(__xludf.DUMMYFUNCTION("""COMPUTED_VALUE"""),"AHMAD FIROS MUSADDAD")</f>
        <v>AHMAD FIROS MUSADDAD</v>
      </c>
      <c r="C26" s="28">
        <f>IFERROR(__xludf.DUMMYFUNCTION("""COMPUTED_VALUE"""),2.025070197E9)</f>
        <v>2025070197</v>
      </c>
      <c r="D26" s="28" t="str">
        <f>IFERROR(__xludf.DUMMYFUNCTION("""COMPUTED_VALUE"""),"MOH. ASYIKIN")</f>
        <v>MOH. ASYIKIN</v>
      </c>
      <c r="E26" s="28" t="str">
        <f>IFERROR(__xludf.DUMMYFUNCTION("""COMPUTED_VALUE"""),"MUKAYAROH")</f>
        <v>MUKAYAROH</v>
      </c>
      <c r="F26" s="28" t="str">
        <f>IFERROR(__xludf.DUMMYFUNCTION("""COMPUTED_VALUE"""),"KULURAN RT 003 RW 003 KALITENGAH LAMONGAN")</f>
        <v>KULURAN RT 003 RW 003 KALITENGAH LAMONGAN</v>
      </c>
      <c r="G26" s="28" t="str">
        <f>IFERROR(__xludf.DUMMYFUNCTION("""COMPUTED_VALUE"""),"MA-XI.13")</f>
        <v>MA-XI.13</v>
      </c>
      <c r="H26" s="28" t="str">
        <f>IFERROR(__xludf.DUMMYFUNCTION("""COMPUTED_VALUE"""),"A")</f>
        <v>A</v>
      </c>
      <c r="I26" s="28" t="str">
        <f>IFERROR(__xludf.DUMMYFUNCTION("""COMPUTED_VALUE"""),"A-2")</f>
        <v>A-2</v>
      </c>
      <c r="J26" s="28">
        <f>IFERROR(__xludf.DUMMYFUNCTION("""COMPUTED_VALUE"""),2.0)</f>
        <v>2</v>
      </c>
      <c r="K26" s="28" t="str">
        <f>IFERROR(__xludf.DUMMYFUNCTION("""COMPUTED_VALUE"""),"2 MAK PUTRA")</f>
        <v>2 MAK PUTRA</v>
      </c>
      <c r="L26" s="29" t="str">
        <f>IFERROR(__xludf.DUMMYFUNCTION("""COMPUTED_VALUE"""),"6285606726357")</f>
        <v>6285606726357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2">
        <f>IFERROR(__xludf.DUMMYFUNCTION("""COMPUTED_VALUE"""),450000.0)</f>
        <v>450000</v>
      </c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2">
        <f>IFERROR(__xludf.DUMMYFUNCTION("""COMPUTED_VALUE"""),450000.0)</f>
        <v>450000</v>
      </c>
      <c r="BD26" s="22">
        <f>IFERROR(__xludf.DUMMYFUNCTION("""COMPUTED_VALUE"""),0.0)</f>
        <v>0</v>
      </c>
      <c r="BE26" s="22">
        <f>IFERROR(__xludf.DUMMYFUNCTION("""COMPUTED_VALUE"""),0.0)</f>
        <v>0</v>
      </c>
      <c r="BF26" s="22">
        <f>IFERROR(__xludf.DUMMYFUNCTION("""COMPUTED_VALUE"""),450000.0)</f>
        <v>450000</v>
      </c>
    </row>
    <row r="27">
      <c r="A27" s="27">
        <f>IFERROR(__xludf.DUMMYFUNCTION("""COMPUTED_VALUE"""),26.0)</f>
        <v>26</v>
      </c>
      <c r="B27" s="28" t="str">
        <f>IFERROR(__xludf.DUMMYFUNCTION("""COMPUTED_VALUE"""),"AHMAD HABIBUR RAHMAN")</f>
        <v>AHMAD HABIBUR RAHMAN</v>
      </c>
      <c r="C27" s="28">
        <f>IFERROR(__xludf.DUMMYFUNCTION("""COMPUTED_VALUE"""),2.02507053E9)</f>
        <v>2025070530</v>
      </c>
      <c r="D27" s="28" t="str">
        <f>IFERROR(__xludf.DUMMYFUNCTION("""COMPUTED_VALUE"""),"KARTAM")</f>
        <v>KARTAM</v>
      </c>
      <c r="E27" s="28" t="str">
        <f>IFERROR(__xludf.DUMMYFUNCTION("""COMPUTED_VALUE"""),"JAYANTI")</f>
        <v>JAYANTI</v>
      </c>
      <c r="F27" s="28" t="str">
        <f>IFERROR(__xludf.DUMMYFUNCTION("""COMPUTED_VALUE"""),"BADU BADURAME RT 002 RW 004 TURI LAMONGAN")</f>
        <v>BADU BADURAME RT 002 RW 004 TURI LAMONGAN</v>
      </c>
      <c r="G27" s="28" t="str">
        <f>IFERROR(__xludf.DUMMYFUNCTION("""COMPUTED_VALUE"""),"MTS-8 G")</f>
        <v>MTS-8 G</v>
      </c>
      <c r="H27" s="28" t="str">
        <f>IFERROR(__xludf.DUMMYFUNCTION("""COMPUTED_VALUE"""),"A")</f>
        <v>A</v>
      </c>
      <c r="I27" s="28" t="str">
        <f>IFERROR(__xludf.DUMMYFUNCTION("""COMPUTED_VALUE"""),"A-3")</f>
        <v>A-3</v>
      </c>
      <c r="J27" s="28">
        <f>IFERROR(__xludf.DUMMYFUNCTION("""COMPUTED_VALUE"""),2.0)</f>
        <v>2</v>
      </c>
      <c r="K27" s="28" t="str">
        <f>IFERROR(__xludf.DUMMYFUNCTION("""COMPUTED_VALUE"""),"2 ULA A PUTRA")</f>
        <v>2 ULA A PUTRA</v>
      </c>
      <c r="L27" s="29" t="str">
        <f>IFERROR(__xludf.DUMMYFUNCTION("""COMPUTED_VALUE"""),"6281649582028")</f>
        <v>6281649582028</v>
      </c>
      <c r="M27" s="22">
        <f>IFERROR(__xludf.DUMMYFUNCTION("""COMPUTED_VALUE"""),600000.0)</f>
        <v>600000</v>
      </c>
      <c r="N27" s="28"/>
      <c r="O27" s="28"/>
      <c r="P27" s="28"/>
      <c r="Q27" s="28"/>
      <c r="R27" s="22">
        <f>IFERROR(__xludf.DUMMYFUNCTION("""COMPUTED_VALUE"""),450000.0)</f>
        <v>450000</v>
      </c>
      <c r="S27" s="22">
        <f>IFERROR(__xludf.DUMMYFUNCTION("""COMPUTED_VALUE"""),450000.0)</f>
        <v>450000</v>
      </c>
      <c r="T27" s="22">
        <f>IFERROR(__xludf.DUMMYFUNCTION("""COMPUTED_VALUE"""),450000.0)</f>
        <v>450000</v>
      </c>
      <c r="U27" s="22">
        <f>IFERROR(__xludf.DUMMYFUNCTION("""COMPUTED_VALUE"""),450000.0)</f>
        <v>450000</v>
      </c>
      <c r="V27" s="22">
        <f>IFERROR(__xludf.DUMMYFUNCTION("""COMPUTED_VALUE"""),450000.0)</f>
        <v>450000</v>
      </c>
      <c r="W27" s="22">
        <f>IFERROR(__xludf.DUMMYFUNCTION("""COMPUTED_VALUE"""),450000.0)</f>
        <v>450000</v>
      </c>
      <c r="X27" s="22">
        <f>IFERROR(__xludf.DUMMYFUNCTION("""COMPUTED_VALUE"""),450000.0)</f>
        <v>450000</v>
      </c>
      <c r="Y27" s="22">
        <f>IFERROR(__xludf.DUMMYFUNCTION("""COMPUTED_VALUE"""),450000.0)</f>
        <v>450000</v>
      </c>
      <c r="Z27" s="22">
        <f>IFERROR(__xludf.DUMMYFUNCTION("""COMPUTED_VALUE"""),450000.0)</f>
        <v>450000</v>
      </c>
      <c r="AA27" s="28"/>
      <c r="AB27" s="22">
        <f>IFERROR(__xludf.DUMMYFUNCTION("""COMPUTED_VALUE"""),500000.0)</f>
        <v>500000</v>
      </c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2">
        <f>IFERROR(__xludf.DUMMYFUNCTION("""COMPUTED_VALUE"""),500000.0)</f>
        <v>500000</v>
      </c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2">
        <f>IFERROR(__xludf.DUMMYFUNCTION("""COMPUTED_VALUE"""),4050000.0)</f>
        <v>4050000</v>
      </c>
      <c r="BD27" s="22">
        <f>IFERROR(__xludf.DUMMYFUNCTION("""COMPUTED_VALUE"""),1600000.0)</f>
        <v>1600000</v>
      </c>
      <c r="BE27" s="22">
        <f>IFERROR(__xludf.DUMMYFUNCTION("""COMPUTED_VALUE"""),0.0)</f>
        <v>0</v>
      </c>
      <c r="BF27" s="22">
        <f>IFERROR(__xludf.DUMMYFUNCTION("""COMPUTED_VALUE"""),5650000.0)</f>
        <v>5650000</v>
      </c>
    </row>
    <row r="28">
      <c r="A28" s="27">
        <f>IFERROR(__xludf.DUMMYFUNCTION("""COMPUTED_VALUE"""),27.0)</f>
        <v>27</v>
      </c>
      <c r="B28" s="28" t="str">
        <f>IFERROR(__xludf.DUMMYFUNCTION("""COMPUTED_VALUE"""),"AHMAD IRVAN SURYA MAHENDRA")</f>
        <v>AHMAD IRVAN SURYA MAHENDRA</v>
      </c>
      <c r="C28" s="28">
        <f>IFERROR(__xludf.DUMMYFUNCTION("""COMPUTED_VALUE"""),2.025070397E9)</f>
        <v>2025070397</v>
      </c>
      <c r="D28" s="28" t="str">
        <f>IFERROR(__xludf.DUMMYFUNCTION("""COMPUTED_VALUE"""),"SUYANTO")</f>
        <v>SUYANTO</v>
      </c>
      <c r="E28" s="28" t="str">
        <f>IFERROR(__xludf.DUMMYFUNCTION("""COMPUTED_VALUE"""),"FATIMAH")</f>
        <v>FATIMAH</v>
      </c>
      <c r="F28" s="28" t="str">
        <f>IFERROR(__xludf.DUMMYFUNCTION("""COMPUTED_VALUE"""),"TAMAN PRIJEG TAMAN PRIJEK RT 006 RW 002 LAREN LAMONGAN")</f>
        <v>TAMAN PRIJEG TAMAN PRIJEK RT 006 RW 002 LAREN LAMONGAN</v>
      </c>
      <c r="G28" s="28" t="str">
        <f>IFERROR(__xludf.DUMMYFUNCTION("""COMPUTED_VALUE"""),"MA-XI.6")</f>
        <v>MA-XI.6</v>
      </c>
      <c r="H28" s="28" t="str">
        <f>IFERROR(__xludf.DUMMYFUNCTION("""COMPUTED_VALUE"""),"A")</f>
        <v>A</v>
      </c>
      <c r="I28" s="28" t="str">
        <f>IFERROR(__xludf.DUMMYFUNCTION("""COMPUTED_VALUE"""),"A-4")</f>
        <v>A-4</v>
      </c>
      <c r="J28" s="28">
        <f>IFERROR(__xludf.DUMMYFUNCTION("""COMPUTED_VALUE"""),2.0)</f>
        <v>2</v>
      </c>
      <c r="K28" s="28" t="str">
        <f>IFERROR(__xludf.DUMMYFUNCTION("""COMPUTED_VALUE"""),"2 WUSTHO A PUTRA")</f>
        <v>2 WUSTHO A PUTRA</v>
      </c>
      <c r="L28" s="29" t="str">
        <f>IFERROR(__xludf.DUMMYFUNCTION("""COMPUTED_VALUE"""),"6281331330878")</f>
        <v>6281331330878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2">
        <f>IFERROR(__xludf.DUMMYFUNCTION("""COMPUTED_VALUE"""),500000.0)</f>
        <v>500000</v>
      </c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2">
        <f>IFERROR(__xludf.DUMMYFUNCTION("""COMPUTED_VALUE"""),500000.0)</f>
        <v>500000</v>
      </c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2">
        <f>IFERROR(__xludf.DUMMYFUNCTION("""COMPUTED_VALUE"""),0.0)</f>
        <v>0</v>
      </c>
      <c r="BD28" s="22">
        <f>IFERROR(__xludf.DUMMYFUNCTION("""COMPUTED_VALUE"""),1000000.0)</f>
        <v>1000000</v>
      </c>
      <c r="BE28" s="22">
        <f>IFERROR(__xludf.DUMMYFUNCTION("""COMPUTED_VALUE"""),0.0)</f>
        <v>0</v>
      </c>
      <c r="BF28" s="22">
        <f>IFERROR(__xludf.DUMMYFUNCTION("""COMPUTED_VALUE"""),1000000.0)</f>
        <v>1000000</v>
      </c>
    </row>
    <row r="29">
      <c r="A29" s="27">
        <f>IFERROR(__xludf.DUMMYFUNCTION("""COMPUTED_VALUE"""),28.0)</f>
        <v>28</v>
      </c>
      <c r="B29" s="28" t="str">
        <f>IFERROR(__xludf.DUMMYFUNCTION("""COMPUTED_VALUE"""),"AHMAD KHOMEINI UWAIS SUSILO")</f>
        <v>AHMAD KHOMEINI UWAIS SUSILO</v>
      </c>
      <c r="C29" s="28">
        <f>IFERROR(__xludf.DUMMYFUNCTION("""COMPUTED_VALUE"""),2.025070574E9)</f>
        <v>2025070574</v>
      </c>
      <c r="D29" s="28" t="str">
        <f>IFERROR(__xludf.DUMMYFUNCTION("""COMPUTED_VALUE"""),"WAWAN SUSILO")</f>
        <v>WAWAN SUSILO</v>
      </c>
      <c r="E29" s="28" t="str">
        <f>IFERROR(__xludf.DUMMYFUNCTION("""COMPUTED_VALUE"""),"BADHI`ATUL ATHORIYAH")</f>
        <v>BADHI`ATUL ATHORIYAH</v>
      </c>
      <c r="F29" s="28" t="str">
        <f>IFERROR(__xludf.DUMMYFUNCTION("""COMPUTED_VALUE"""),"TABONA RT 010 RW 004 TERNATE SELATAN TERNATE")</f>
        <v>TABONA RT 010 RW 004 TERNATE SELATAN TERNATE</v>
      </c>
      <c r="G29" s="28" t="str">
        <f>IFERROR(__xludf.DUMMYFUNCTION("""COMPUTED_VALUE"""),"MTS-8 C")</f>
        <v>MTS-8 C</v>
      </c>
      <c r="H29" s="28" t="str">
        <f>IFERROR(__xludf.DUMMYFUNCTION("""COMPUTED_VALUE"""),"A")</f>
        <v>A</v>
      </c>
      <c r="I29" s="28" t="str">
        <f>IFERROR(__xludf.DUMMYFUNCTION("""COMPUTED_VALUE"""),"A-1")</f>
        <v>A-1</v>
      </c>
      <c r="J29" s="28">
        <f>IFERROR(__xludf.DUMMYFUNCTION("""COMPUTED_VALUE"""),2.0)</f>
        <v>2</v>
      </c>
      <c r="K29" s="28" t="str">
        <f>IFERROR(__xludf.DUMMYFUNCTION("""COMPUTED_VALUE"""),"2 ULA A PUTRA")</f>
        <v>2 ULA A PUTRA</v>
      </c>
      <c r="L29" s="29" t="str">
        <f>IFERROR(__xludf.DUMMYFUNCTION("""COMPUTED_VALUE"""),"6281218437264")</f>
        <v>6281218437264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2">
        <f>IFERROR(__xludf.DUMMYFUNCTION("""COMPUTED_VALUE"""),0.0)</f>
        <v>0</v>
      </c>
      <c r="BD29" s="22">
        <f>IFERROR(__xludf.DUMMYFUNCTION("""COMPUTED_VALUE"""),0.0)</f>
        <v>0</v>
      </c>
      <c r="BE29" s="22">
        <f>IFERROR(__xludf.DUMMYFUNCTION("""COMPUTED_VALUE"""),0.0)</f>
        <v>0</v>
      </c>
      <c r="BF29" s="22">
        <f>IFERROR(__xludf.DUMMYFUNCTION("""COMPUTED_VALUE"""),0.0)</f>
        <v>0</v>
      </c>
    </row>
    <row r="30">
      <c r="A30" s="27">
        <f>IFERROR(__xludf.DUMMYFUNCTION("""COMPUTED_VALUE"""),29.0)</f>
        <v>29</v>
      </c>
      <c r="B30" s="28" t="str">
        <f>IFERROR(__xludf.DUMMYFUNCTION("""COMPUTED_VALUE"""),"AHMAD LAIQLABI ASROFI")</f>
        <v>AHMAD LAIQLABI ASROFI</v>
      </c>
      <c r="C30" s="28">
        <f>IFERROR(__xludf.DUMMYFUNCTION("""COMPUTED_VALUE"""),2.025070653E9)</f>
        <v>2025070653</v>
      </c>
      <c r="D30" s="28" t="str">
        <f>IFERROR(__xludf.DUMMYFUNCTION("""COMPUTED_VALUE"""),"SUSANTO")</f>
        <v>SUSANTO</v>
      </c>
      <c r="E30" s="28" t="str">
        <f>IFERROR(__xludf.DUMMYFUNCTION("""COMPUTED_VALUE"""),"ENDANG SUSILOWATI")</f>
        <v>ENDANG SUSILOWATI</v>
      </c>
      <c r="F30" s="28" t="str">
        <f>IFERROR(__xludf.DUMMYFUNCTION("""COMPUTED_VALUE"""),"GERMAN RT 001 RW 003 SUGIO LAMONGAN")</f>
        <v>GERMAN RT 001 RW 003 SUGIO LAMONGAN</v>
      </c>
      <c r="G30" s="28" t="str">
        <f>IFERROR(__xludf.DUMMYFUNCTION("""COMPUTED_VALUE"""),"MTS-8 F")</f>
        <v>MTS-8 F</v>
      </c>
      <c r="H30" s="28" t="str">
        <f>IFERROR(__xludf.DUMMYFUNCTION("""COMPUTED_VALUE"""),"A")</f>
        <v>A</v>
      </c>
      <c r="I30" s="28" t="str">
        <f>IFERROR(__xludf.DUMMYFUNCTION("""COMPUTED_VALUE"""),"A-1")</f>
        <v>A-1</v>
      </c>
      <c r="J30" s="28">
        <f>IFERROR(__xludf.DUMMYFUNCTION("""COMPUTED_VALUE"""),2.0)</f>
        <v>2</v>
      </c>
      <c r="K30" s="28" t="str">
        <f>IFERROR(__xludf.DUMMYFUNCTION("""COMPUTED_VALUE"""),"2 ULA A PUTRA")</f>
        <v>2 ULA A PUTRA</v>
      </c>
      <c r="L30" s="29" t="str">
        <f>IFERROR(__xludf.DUMMYFUNCTION("""COMPUTED_VALUE"""),"6285649385716")</f>
        <v>6285649385716</v>
      </c>
      <c r="M30" s="28"/>
      <c r="N30" s="28"/>
      <c r="O30" s="28"/>
      <c r="P30" s="22">
        <f>IFERROR(__xludf.DUMMYFUNCTION("""COMPUTED_VALUE"""),450000.0)</f>
        <v>450000</v>
      </c>
      <c r="Q30" s="22">
        <f>IFERROR(__xludf.DUMMYFUNCTION("""COMPUTED_VALUE"""),450000.0)</f>
        <v>450000</v>
      </c>
      <c r="R30" s="22">
        <f>IFERROR(__xludf.DUMMYFUNCTION("""COMPUTED_VALUE"""),450000.0)</f>
        <v>450000</v>
      </c>
      <c r="S30" s="22">
        <f>IFERROR(__xludf.DUMMYFUNCTION("""COMPUTED_VALUE"""),450000.0)</f>
        <v>450000</v>
      </c>
      <c r="T30" s="22">
        <f>IFERROR(__xludf.DUMMYFUNCTION("""COMPUTED_VALUE"""),450000.0)</f>
        <v>450000</v>
      </c>
      <c r="U30" s="22">
        <f>IFERROR(__xludf.DUMMYFUNCTION("""COMPUTED_VALUE"""),450000.0)</f>
        <v>450000</v>
      </c>
      <c r="V30" s="22">
        <f>IFERROR(__xludf.DUMMYFUNCTION("""COMPUTED_VALUE"""),450000.0)</f>
        <v>450000</v>
      </c>
      <c r="W30" s="22">
        <f>IFERROR(__xludf.DUMMYFUNCTION("""COMPUTED_VALUE"""),450000.0)</f>
        <v>450000</v>
      </c>
      <c r="X30" s="22">
        <f>IFERROR(__xludf.DUMMYFUNCTION("""COMPUTED_VALUE"""),450000.0)</f>
        <v>450000</v>
      </c>
      <c r="Y30" s="22">
        <f>IFERROR(__xludf.DUMMYFUNCTION("""COMPUTED_VALUE"""),450000.0)</f>
        <v>450000</v>
      </c>
      <c r="Z30" s="22">
        <f>IFERROR(__xludf.DUMMYFUNCTION("""COMPUTED_VALUE"""),450000.0)</f>
        <v>450000</v>
      </c>
      <c r="AA30" s="28"/>
      <c r="AB30" s="22">
        <f>IFERROR(__xludf.DUMMYFUNCTION("""COMPUTED_VALUE"""),500000.0)</f>
        <v>500000</v>
      </c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2">
        <f>IFERROR(__xludf.DUMMYFUNCTION("""COMPUTED_VALUE"""),500000.0)</f>
        <v>500000</v>
      </c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2">
        <f>IFERROR(__xludf.DUMMYFUNCTION("""COMPUTED_VALUE"""),4950000.0)</f>
        <v>4950000</v>
      </c>
      <c r="BD30" s="22">
        <f>IFERROR(__xludf.DUMMYFUNCTION("""COMPUTED_VALUE"""),1000000.0)</f>
        <v>1000000</v>
      </c>
      <c r="BE30" s="22">
        <f>IFERROR(__xludf.DUMMYFUNCTION("""COMPUTED_VALUE"""),0.0)</f>
        <v>0</v>
      </c>
      <c r="BF30" s="22">
        <f>IFERROR(__xludf.DUMMYFUNCTION("""COMPUTED_VALUE"""),5950000.0)</f>
        <v>5950000</v>
      </c>
    </row>
    <row r="31">
      <c r="A31" s="27">
        <f>IFERROR(__xludf.DUMMYFUNCTION("""COMPUTED_VALUE"""),30.0)</f>
        <v>30</v>
      </c>
      <c r="B31" s="28" t="str">
        <f>IFERROR(__xludf.DUMMYFUNCTION("""COMPUTED_VALUE"""),"AHMAD MUSFIS SALAM")</f>
        <v>AHMAD MUSFIS SALAM</v>
      </c>
      <c r="C31" s="28">
        <f>IFERROR(__xludf.DUMMYFUNCTION("""COMPUTED_VALUE"""),2.02507062E9)</f>
        <v>2025070620</v>
      </c>
      <c r="D31" s="28" t="str">
        <f>IFERROR(__xludf.DUMMYFUNCTION("""COMPUTED_VALUE"""),"MAHFUDZ")</f>
        <v>MAHFUDZ</v>
      </c>
      <c r="E31" s="28" t="str">
        <f>IFERROR(__xludf.DUMMYFUNCTION("""COMPUTED_VALUE"""),"MINARIYATI")</f>
        <v>MINARIYATI</v>
      </c>
      <c r="F31" s="28" t="str">
        <f>IFERROR(__xludf.DUMMYFUNCTION("""COMPUTED_VALUE"""),"KULURAN RT 002 RW 003 KALITENGAH LAMONGAN")</f>
        <v>KULURAN RT 002 RW 003 KALITENGAH LAMONGAN</v>
      </c>
      <c r="G31" s="28" t="str">
        <f>IFERROR(__xludf.DUMMYFUNCTION("""COMPUTED_VALUE"""),"MTS-8 G")</f>
        <v>MTS-8 G</v>
      </c>
      <c r="H31" s="28" t="str">
        <f>IFERROR(__xludf.DUMMYFUNCTION("""COMPUTED_VALUE"""),"A")</f>
        <v>A</v>
      </c>
      <c r="I31" s="28" t="str">
        <f>IFERROR(__xludf.DUMMYFUNCTION("""COMPUTED_VALUE"""),"A-1")</f>
        <v>A-1</v>
      </c>
      <c r="J31" s="28">
        <f>IFERROR(__xludf.DUMMYFUNCTION("""COMPUTED_VALUE"""),2.0)</f>
        <v>2</v>
      </c>
      <c r="K31" s="28" t="str">
        <f>IFERROR(__xludf.DUMMYFUNCTION("""COMPUTED_VALUE"""),"2 ULA A PUTRA")</f>
        <v>2 ULA A PUTRA</v>
      </c>
      <c r="L31" s="29" t="str">
        <f>IFERROR(__xludf.DUMMYFUNCTION("""COMPUTED_VALUE"""),"6285899393570")</f>
        <v>6285899393570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2">
        <f>IFERROR(__xludf.DUMMYFUNCTION("""COMPUTED_VALUE"""),450000.0)</f>
        <v>450000</v>
      </c>
      <c r="Z31" s="22">
        <f>IFERROR(__xludf.DUMMYFUNCTION("""COMPUTED_VALUE"""),450000.0)</f>
        <v>450000</v>
      </c>
      <c r="AA31" s="28"/>
      <c r="AB31" s="22">
        <f>IFERROR(__xludf.DUMMYFUNCTION("""COMPUTED_VALUE"""),500000.0)</f>
        <v>500000</v>
      </c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2">
        <f>IFERROR(__xludf.DUMMYFUNCTION("""COMPUTED_VALUE"""),500000.0)</f>
        <v>500000</v>
      </c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2">
        <f>IFERROR(__xludf.DUMMYFUNCTION("""COMPUTED_VALUE"""),900000.0)</f>
        <v>900000</v>
      </c>
      <c r="BD31" s="22">
        <f>IFERROR(__xludf.DUMMYFUNCTION("""COMPUTED_VALUE"""),1000000.0)</f>
        <v>1000000</v>
      </c>
      <c r="BE31" s="22">
        <f>IFERROR(__xludf.DUMMYFUNCTION("""COMPUTED_VALUE"""),0.0)</f>
        <v>0</v>
      </c>
      <c r="BF31" s="22">
        <f>IFERROR(__xludf.DUMMYFUNCTION("""COMPUTED_VALUE"""),1900000.0)</f>
        <v>1900000</v>
      </c>
    </row>
    <row r="32">
      <c r="A32" s="27">
        <f>IFERROR(__xludf.DUMMYFUNCTION("""COMPUTED_VALUE"""),31.0)</f>
        <v>31</v>
      </c>
      <c r="B32" s="28" t="str">
        <f>IFERROR(__xludf.DUMMYFUNCTION("""COMPUTED_VALUE"""),"AHMAD NUR RIFKY FEBRIANSYAH")</f>
        <v>AHMAD NUR RIFKY FEBRIANSYAH</v>
      </c>
      <c r="C32" s="28">
        <f>IFERROR(__xludf.DUMMYFUNCTION("""COMPUTED_VALUE"""),2.025070638E9)</f>
        <v>2025070638</v>
      </c>
      <c r="D32" s="28" t="str">
        <f>IFERROR(__xludf.DUMMYFUNCTION("""COMPUTED_VALUE"""),"PASIRUN")</f>
        <v>PASIRUN</v>
      </c>
      <c r="E32" s="28" t="str">
        <f>IFERROR(__xludf.DUMMYFUNCTION("""COMPUTED_VALUE"""),"NI`MATUS SHOLIKHAH")</f>
        <v>NI`MATUS SHOLIKHAH</v>
      </c>
      <c r="F32" s="28" t="str">
        <f>IFERROR(__xludf.DUMMYFUNCTION("""COMPUTED_VALUE"""),"GLUMO JELAKCATUR RT 003 RW 005 KALITENGAH LAMONGAN")</f>
        <v>GLUMO JELAKCATUR RT 003 RW 005 KALITENGAH LAMONGAN</v>
      </c>
      <c r="G32" s="28" t="str">
        <f>IFERROR(__xludf.DUMMYFUNCTION("""COMPUTED_VALUE"""),"MTS-8 F")</f>
        <v>MTS-8 F</v>
      </c>
      <c r="H32" s="28" t="str">
        <f>IFERROR(__xludf.DUMMYFUNCTION("""COMPUTED_VALUE"""),"A")</f>
        <v>A</v>
      </c>
      <c r="I32" s="28" t="str">
        <f>IFERROR(__xludf.DUMMYFUNCTION("""COMPUTED_VALUE"""),"A-1")</f>
        <v>A-1</v>
      </c>
      <c r="J32" s="28">
        <f>IFERROR(__xludf.DUMMYFUNCTION("""COMPUTED_VALUE"""),2.0)</f>
        <v>2</v>
      </c>
      <c r="K32" s="28" t="str">
        <f>IFERROR(__xludf.DUMMYFUNCTION("""COMPUTED_VALUE"""),"2 ULA A PUTRA")</f>
        <v>2 ULA A PUTRA</v>
      </c>
      <c r="L32" s="29" t="str">
        <f>IFERROR(__xludf.DUMMYFUNCTION("""COMPUTED_VALUE"""),"6285852480277")</f>
        <v>6285852480277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2">
        <f>IFERROR(__xludf.DUMMYFUNCTION("""COMPUTED_VALUE"""),500000.0)</f>
        <v>500000</v>
      </c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2">
        <f>IFERROR(__xludf.DUMMYFUNCTION("""COMPUTED_VALUE"""),500000.0)</f>
        <v>500000</v>
      </c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2">
        <f>IFERROR(__xludf.DUMMYFUNCTION("""COMPUTED_VALUE"""),0.0)</f>
        <v>0</v>
      </c>
      <c r="BD32" s="22">
        <f>IFERROR(__xludf.DUMMYFUNCTION("""COMPUTED_VALUE"""),1000000.0)</f>
        <v>1000000</v>
      </c>
      <c r="BE32" s="22">
        <f>IFERROR(__xludf.DUMMYFUNCTION("""COMPUTED_VALUE"""),0.0)</f>
        <v>0</v>
      </c>
      <c r="BF32" s="22">
        <f>IFERROR(__xludf.DUMMYFUNCTION("""COMPUTED_VALUE"""),1000000.0)</f>
        <v>1000000</v>
      </c>
    </row>
    <row r="33">
      <c r="A33" s="27">
        <f>IFERROR(__xludf.DUMMYFUNCTION("""COMPUTED_VALUE"""),32.0)</f>
        <v>32</v>
      </c>
      <c r="B33" s="28" t="str">
        <f>IFERROR(__xludf.DUMMYFUNCTION("""COMPUTED_VALUE"""),"AHMAD RAFI MAULANA YUSUF")</f>
        <v>AHMAD RAFI MAULANA YUSUF</v>
      </c>
      <c r="C33" s="28">
        <f>IFERROR(__xludf.DUMMYFUNCTION("""COMPUTED_VALUE"""),2.02507031E9)</f>
        <v>2025070310</v>
      </c>
      <c r="D33" s="28" t="str">
        <f>IFERROR(__xludf.DUMMYFUNCTION("""COMPUTED_VALUE"""),"SAI")</f>
        <v>SAI</v>
      </c>
      <c r="E33" s="28" t="str">
        <f>IFERROR(__xludf.DUMMYFUNCTION("""COMPUTED_VALUE"""),"SHOLIHATUN")</f>
        <v>SHOLIHATUN</v>
      </c>
      <c r="F33" s="28" t="str">
        <f>IFERROR(__xludf.DUMMYFUNCTION("""COMPUTED_VALUE"""),"BARU KEMLAGILOR RT 003 RW 001 TURI LAMONGAN")</f>
        <v>BARU KEMLAGILOR RT 003 RW 001 TURI LAMONGAN</v>
      </c>
      <c r="G33" s="28" t="str">
        <f>IFERROR(__xludf.DUMMYFUNCTION("""COMPUTED_VALUE"""),"MA-XI.13")</f>
        <v>MA-XI.13</v>
      </c>
      <c r="H33" s="28" t="str">
        <f>IFERROR(__xludf.DUMMYFUNCTION("""COMPUTED_VALUE"""),"A")</f>
        <v>A</v>
      </c>
      <c r="I33" s="28" t="str">
        <f>IFERROR(__xludf.DUMMYFUNCTION("""COMPUTED_VALUE"""),"A-2")</f>
        <v>A-2</v>
      </c>
      <c r="J33" s="28">
        <f>IFERROR(__xludf.DUMMYFUNCTION("""COMPUTED_VALUE"""),2.0)</f>
        <v>2</v>
      </c>
      <c r="K33" s="28" t="str">
        <f>IFERROR(__xludf.DUMMYFUNCTION("""COMPUTED_VALUE"""),"2 MAK PUTRA")</f>
        <v>2 MAK PUTRA</v>
      </c>
      <c r="L33" s="29" t="str">
        <f>IFERROR(__xludf.DUMMYFUNCTION("""COMPUTED_VALUE"""),"6285706624674")</f>
        <v>6285706624674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2">
        <f>IFERROR(__xludf.DUMMYFUNCTION("""COMPUTED_VALUE"""),450000.0)</f>
        <v>450000</v>
      </c>
      <c r="AA33" s="28"/>
      <c r="AB33" s="22">
        <f>IFERROR(__xludf.DUMMYFUNCTION("""COMPUTED_VALUE"""),500000.0)</f>
        <v>500000</v>
      </c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2">
        <f>IFERROR(__xludf.DUMMYFUNCTION("""COMPUTED_VALUE"""),500000.0)</f>
        <v>500000</v>
      </c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2">
        <f>IFERROR(__xludf.DUMMYFUNCTION("""COMPUTED_VALUE"""),450000.0)</f>
        <v>450000</v>
      </c>
      <c r="BD33" s="22">
        <f>IFERROR(__xludf.DUMMYFUNCTION("""COMPUTED_VALUE"""),1000000.0)</f>
        <v>1000000</v>
      </c>
      <c r="BE33" s="22">
        <f>IFERROR(__xludf.DUMMYFUNCTION("""COMPUTED_VALUE"""),0.0)</f>
        <v>0</v>
      </c>
      <c r="BF33" s="22">
        <f>IFERROR(__xludf.DUMMYFUNCTION("""COMPUTED_VALUE"""),1450000.0)</f>
        <v>1450000</v>
      </c>
    </row>
    <row r="34">
      <c r="A34" s="27">
        <f>IFERROR(__xludf.DUMMYFUNCTION("""COMPUTED_VALUE"""),33.0)</f>
        <v>33</v>
      </c>
      <c r="B34" s="28" t="str">
        <f>IFERROR(__xludf.DUMMYFUNCTION("""COMPUTED_VALUE"""),"AHMAD RAFIF RADITIA SA`BANA")</f>
        <v>AHMAD RAFIF RADITIA SA`BANA</v>
      </c>
      <c r="C34" s="28">
        <f>IFERROR(__xludf.DUMMYFUNCTION("""COMPUTED_VALUE"""),2.025070563E9)</f>
        <v>2025070563</v>
      </c>
      <c r="D34" s="28" t="str">
        <f>IFERROR(__xludf.DUMMYFUNCTION("""COMPUTED_VALUE"""),"ABDUL QODIR")</f>
        <v>ABDUL QODIR</v>
      </c>
      <c r="E34" s="28" t="str">
        <f>IFERROR(__xludf.DUMMYFUNCTION("""COMPUTED_VALUE"""),"HIDAYATUL MUNAWAROH")</f>
        <v>HIDAYATUL MUNAWAROH</v>
      </c>
      <c r="F34" s="28" t="str">
        <f>IFERROR(__xludf.DUMMYFUNCTION("""COMPUTED_VALUE"""),"PUTATLOR PUTATKUMPUL RT 002 RW 003 TURI LAMONGAN")</f>
        <v>PUTATLOR PUTATKUMPUL RT 002 RW 003 TURI LAMONGAN</v>
      </c>
      <c r="G34" s="28" t="str">
        <f>IFERROR(__xludf.DUMMYFUNCTION("""COMPUTED_VALUE"""),"MTS-8 D")</f>
        <v>MTS-8 D</v>
      </c>
      <c r="H34" s="28" t="str">
        <f>IFERROR(__xludf.DUMMYFUNCTION("""COMPUTED_VALUE"""),"A")</f>
        <v>A</v>
      </c>
      <c r="I34" s="28" t="str">
        <f>IFERROR(__xludf.DUMMYFUNCTION("""COMPUTED_VALUE"""),"A-1")</f>
        <v>A-1</v>
      </c>
      <c r="J34" s="28">
        <f>IFERROR(__xludf.DUMMYFUNCTION("""COMPUTED_VALUE"""),2.0)</f>
        <v>2</v>
      </c>
      <c r="K34" s="28" t="str">
        <f>IFERROR(__xludf.DUMMYFUNCTION("""COMPUTED_VALUE"""),"2 ULA A PUTRA")</f>
        <v>2 ULA A PUTRA</v>
      </c>
      <c r="L34" s="29" t="str">
        <f>IFERROR(__xludf.DUMMYFUNCTION("""COMPUTED_VALUE"""),"6281347599509")</f>
        <v>6281347599509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2">
        <f>IFERROR(__xludf.DUMMYFUNCTION("""COMPUTED_VALUE"""),500000.0)</f>
        <v>500000</v>
      </c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2">
        <f>IFERROR(__xludf.DUMMYFUNCTION("""COMPUTED_VALUE"""),0.0)</f>
        <v>0</v>
      </c>
      <c r="BD34" s="22">
        <f>IFERROR(__xludf.DUMMYFUNCTION("""COMPUTED_VALUE"""),500000.0)</f>
        <v>500000</v>
      </c>
      <c r="BE34" s="22">
        <f>IFERROR(__xludf.DUMMYFUNCTION("""COMPUTED_VALUE"""),0.0)</f>
        <v>0</v>
      </c>
      <c r="BF34" s="22">
        <f>IFERROR(__xludf.DUMMYFUNCTION("""COMPUTED_VALUE"""),500000.0)</f>
        <v>500000</v>
      </c>
    </row>
    <row r="35">
      <c r="A35" s="27">
        <f>IFERROR(__xludf.DUMMYFUNCTION("""COMPUTED_VALUE"""),34.0)</f>
        <v>34</v>
      </c>
      <c r="B35" s="28" t="str">
        <f>IFERROR(__xludf.DUMMYFUNCTION("""COMPUTED_VALUE"""),"AHMAD SYAUQI AL QORNI")</f>
        <v>AHMAD SYAUQI AL QORNI</v>
      </c>
      <c r="C35" s="28">
        <f>IFERROR(__xludf.DUMMYFUNCTION("""COMPUTED_VALUE"""),2.025070554E9)</f>
        <v>2025070554</v>
      </c>
      <c r="D35" s="28" t="str">
        <f>IFERROR(__xludf.DUMMYFUNCTION("""COMPUTED_VALUE"""),"MUKAIZIN")</f>
        <v>MUKAIZIN</v>
      </c>
      <c r="E35" s="28" t="str">
        <f>IFERROR(__xludf.DUMMYFUNCTION("""COMPUTED_VALUE"""),"TITIN HENY HAYYINAH")</f>
        <v>TITIN HENY HAYYINAH</v>
      </c>
      <c r="F35" s="28" t="str">
        <f>IFERROR(__xludf.DUMMYFUNCTION("""COMPUTED_VALUE"""),"JL. SIDO MAKMUR PETUNG RT 003 RW 001 PANCENG GRESIK")</f>
        <v>JL. SIDO MAKMUR PETUNG RT 003 RW 001 PANCENG GRESIK</v>
      </c>
      <c r="G35" s="28" t="str">
        <f>IFERROR(__xludf.DUMMYFUNCTION("""COMPUTED_VALUE"""),"MTS-8 G")</f>
        <v>MTS-8 G</v>
      </c>
      <c r="H35" s="28" t="str">
        <f>IFERROR(__xludf.DUMMYFUNCTION("""COMPUTED_VALUE"""),"A")</f>
        <v>A</v>
      </c>
      <c r="I35" s="28" t="str">
        <f>IFERROR(__xludf.DUMMYFUNCTION("""COMPUTED_VALUE"""),"A-3")</f>
        <v>A-3</v>
      </c>
      <c r="J35" s="28">
        <f>IFERROR(__xludf.DUMMYFUNCTION("""COMPUTED_VALUE"""),2.0)</f>
        <v>2</v>
      </c>
      <c r="K35" s="28" t="str">
        <f>IFERROR(__xludf.DUMMYFUNCTION("""COMPUTED_VALUE"""),"2 ULA A PUTRA")</f>
        <v>2 ULA A PUTRA</v>
      </c>
      <c r="L35" s="29" t="str">
        <f>IFERROR(__xludf.DUMMYFUNCTION("""COMPUTED_VALUE"""),"6285645546566")</f>
        <v>6285645546566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2">
        <f>IFERROR(__xludf.DUMMYFUNCTION("""COMPUTED_VALUE"""),500000.0)</f>
        <v>500000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2">
        <f>IFERROR(__xludf.DUMMYFUNCTION("""COMPUTED_VALUE"""),500000.0)</f>
        <v>500000</v>
      </c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2">
        <f>IFERROR(__xludf.DUMMYFUNCTION("""COMPUTED_VALUE"""),0.0)</f>
        <v>0</v>
      </c>
      <c r="BD35" s="22">
        <f>IFERROR(__xludf.DUMMYFUNCTION("""COMPUTED_VALUE"""),1000000.0)</f>
        <v>1000000</v>
      </c>
      <c r="BE35" s="22">
        <f>IFERROR(__xludf.DUMMYFUNCTION("""COMPUTED_VALUE"""),0.0)</f>
        <v>0</v>
      </c>
      <c r="BF35" s="22">
        <f>IFERROR(__xludf.DUMMYFUNCTION("""COMPUTED_VALUE"""),1000000.0)</f>
        <v>1000000</v>
      </c>
    </row>
    <row r="36">
      <c r="A36" s="27">
        <f>IFERROR(__xludf.DUMMYFUNCTION("""COMPUTED_VALUE"""),35.0)</f>
        <v>35</v>
      </c>
      <c r="B36" s="28" t="str">
        <f>IFERROR(__xludf.DUMMYFUNCTION("""COMPUTED_VALUE"""),"AHMAD WILDAN ARRIFQI")</f>
        <v>AHMAD WILDAN ARRIFQI</v>
      </c>
      <c r="C36" s="28">
        <f>IFERROR(__xludf.DUMMYFUNCTION("""COMPUTED_VALUE"""),2.025070651E9)</f>
        <v>2025070651</v>
      </c>
      <c r="D36" s="28" t="str">
        <f>IFERROR(__xludf.DUMMYFUNCTION("""COMPUTED_VALUE"""),"H. ABD ROHIM")</f>
        <v>H. ABD ROHIM</v>
      </c>
      <c r="E36" s="28" t="str">
        <f>IFERROR(__xludf.DUMMYFUNCTION("""COMPUTED_VALUE"""),"SHOCHIBAH")</f>
        <v>SHOCHIBAH</v>
      </c>
      <c r="F36" s="28" t="str">
        <f>IFERROR(__xludf.DUMMYFUNCTION("""COMPUTED_VALUE"""),"IMAAN RT 001 RW 001 DUKUN GRESIK")</f>
        <v>IMAAN RT 001 RW 001 DUKUN GRESIK</v>
      </c>
      <c r="G36" s="28" t="str">
        <f>IFERROR(__xludf.DUMMYFUNCTION("""COMPUTED_VALUE"""),"#N/A")</f>
        <v>#N/A</v>
      </c>
      <c r="H36" s="28" t="str">
        <f>IFERROR(__xludf.DUMMYFUNCTION("""COMPUTED_VALUE"""),"A")</f>
        <v>A</v>
      </c>
      <c r="I36" s="28" t="str">
        <f>IFERROR(__xludf.DUMMYFUNCTION("""COMPUTED_VALUE"""),"A-5")</f>
        <v>A-5</v>
      </c>
      <c r="J36" s="28">
        <f>IFERROR(__xludf.DUMMYFUNCTION("""COMPUTED_VALUE"""),2.0)</f>
        <v>2</v>
      </c>
      <c r="K36" s="28" t="str">
        <f>IFERROR(__xludf.DUMMYFUNCTION("""COMPUTED_VALUE"""),"ULA")</f>
        <v>ULA</v>
      </c>
      <c r="L36" s="29" t="str">
        <f>IFERROR(__xludf.DUMMYFUNCTION("""COMPUTED_VALUE"""),"6282143079056")</f>
        <v>6282143079056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2">
        <f>IFERROR(__xludf.DUMMYFUNCTION("""COMPUTED_VALUE"""),0.0)</f>
        <v>0</v>
      </c>
      <c r="BD36" s="22">
        <f>IFERROR(__xludf.DUMMYFUNCTION("""COMPUTED_VALUE"""),0.0)</f>
        <v>0</v>
      </c>
      <c r="BE36" s="22">
        <f>IFERROR(__xludf.DUMMYFUNCTION("""COMPUTED_VALUE"""),0.0)</f>
        <v>0</v>
      </c>
      <c r="BF36" s="22">
        <f>IFERROR(__xludf.DUMMYFUNCTION("""COMPUTED_VALUE"""),0.0)</f>
        <v>0</v>
      </c>
    </row>
    <row r="37">
      <c r="A37" s="27">
        <f>IFERROR(__xludf.DUMMYFUNCTION("""COMPUTED_VALUE"""),36.0)</f>
        <v>36</v>
      </c>
      <c r="B37" s="28" t="str">
        <f>IFERROR(__xludf.DUMMYFUNCTION("""COMPUTED_VALUE"""),"AHMAD YAZID AL BUSTHOMI")</f>
        <v>AHMAD YAZID AL BUSTHOMI</v>
      </c>
      <c r="C37" s="28">
        <f>IFERROR(__xludf.DUMMYFUNCTION("""COMPUTED_VALUE"""),2.025070612E9)</f>
        <v>2025070612</v>
      </c>
      <c r="D37" s="28" t="str">
        <f>IFERROR(__xludf.DUMMYFUNCTION("""COMPUTED_VALUE"""),"ARI KUSMIANTO")</f>
        <v>ARI KUSMIANTO</v>
      </c>
      <c r="E37" s="28" t="str">
        <f>IFERROR(__xludf.DUMMYFUNCTION("""COMPUTED_VALUE"""),"SITI MUSTAINAH")</f>
        <v>SITI MUSTAINAH</v>
      </c>
      <c r="F37" s="28" t="str">
        <f>IFERROR(__xludf.DUMMYFUNCTION("""COMPUTED_VALUE"""),"BALUNGTAWUN RT 002 RW 003 SUKODADI LAMONGAN")</f>
        <v>BALUNGTAWUN RT 002 RW 003 SUKODADI LAMONGAN</v>
      </c>
      <c r="G37" s="28" t="str">
        <f>IFERROR(__xludf.DUMMYFUNCTION("""COMPUTED_VALUE"""),"MTS-8 E")</f>
        <v>MTS-8 E</v>
      </c>
      <c r="H37" s="28" t="str">
        <f>IFERROR(__xludf.DUMMYFUNCTION("""COMPUTED_VALUE"""),"A")</f>
        <v>A</v>
      </c>
      <c r="I37" s="28" t="str">
        <f>IFERROR(__xludf.DUMMYFUNCTION("""COMPUTED_VALUE"""),"A-1")</f>
        <v>A-1</v>
      </c>
      <c r="J37" s="28">
        <f>IFERROR(__xludf.DUMMYFUNCTION("""COMPUTED_VALUE"""),2.0)</f>
        <v>2</v>
      </c>
      <c r="K37" s="28" t="str">
        <f>IFERROR(__xludf.DUMMYFUNCTION("""COMPUTED_VALUE"""),"2 ULA A PUTRA")</f>
        <v>2 ULA A PUTRA</v>
      </c>
      <c r="L37" s="29" t="str">
        <f>IFERROR(__xludf.DUMMYFUNCTION("""COMPUTED_VALUE"""),"6285730041984")</f>
        <v>6285730041984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2">
        <f>IFERROR(__xludf.DUMMYFUNCTION("""COMPUTED_VALUE"""),500000.0)</f>
        <v>500000</v>
      </c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2">
        <f>IFERROR(__xludf.DUMMYFUNCTION("""COMPUTED_VALUE"""),500000.0)</f>
        <v>500000</v>
      </c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2">
        <f>IFERROR(__xludf.DUMMYFUNCTION("""COMPUTED_VALUE"""),0.0)</f>
        <v>0</v>
      </c>
      <c r="BD37" s="22">
        <f>IFERROR(__xludf.DUMMYFUNCTION("""COMPUTED_VALUE"""),1000000.0)</f>
        <v>1000000</v>
      </c>
      <c r="BE37" s="22">
        <f>IFERROR(__xludf.DUMMYFUNCTION("""COMPUTED_VALUE"""),0.0)</f>
        <v>0</v>
      </c>
      <c r="BF37" s="22">
        <f>IFERROR(__xludf.DUMMYFUNCTION("""COMPUTED_VALUE"""),1000000.0)</f>
        <v>1000000</v>
      </c>
    </row>
    <row r="38">
      <c r="A38" s="27">
        <f>IFERROR(__xludf.DUMMYFUNCTION("""COMPUTED_VALUE"""),37.0)</f>
        <v>37</v>
      </c>
      <c r="B38" s="28" t="str">
        <f>IFERROR(__xludf.DUMMYFUNCTION("""COMPUTED_VALUE"""),"AHMAD ZUBAD AL ASROR")</f>
        <v>AHMAD ZUBAD AL ASROR</v>
      </c>
      <c r="C38" s="28">
        <f>IFERROR(__xludf.DUMMYFUNCTION("""COMPUTED_VALUE"""),2.025070367E9)</f>
        <v>2025070367</v>
      </c>
      <c r="D38" s="28" t="str">
        <f>IFERROR(__xludf.DUMMYFUNCTION("""COMPUTED_VALUE"""),"EKO PRASETIYO NURZAINI")</f>
        <v>EKO PRASETIYO NURZAINI</v>
      </c>
      <c r="E38" s="28" t="str">
        <f>IFERROR(__xludf.DUMMYFUNCTION("""COMPUTED_VALUE"""),"MUTHOHAROH")</f>
        <v>MUTHOHAROH</v>
      </c>
      <c r="F38" s="28" t="str">
        <f>IFERROR(__xludf.DUMMYFUNCTION("""COMPUTED_VALUE"""),"BANJARMADU RT 002 RW 007 KARANGGENENG LAMONGAN")</f>
        <v>BANJARMADU RT 002 RW 007 KARANGGENENG LAMONGAN</v>
      </c>
      <c r="G38" s="28" t="str">
        <f>IFERROR(__xludf.DUMMYFUNCTION("""COMPUTED_VALUE"""),"MA-XI.13")</f>
        <v>MA-XI.13</v>
      </c>
      <c r="H38" s="28" t="str">
        <f>IFERROR(__xludf.DUMMYFUNCTION("""COMPUTED_VALUE"""),"A")</f>
        <v>A</v>
      </c>
      <c r="I38" s="28" t="str">
        <f>IFERROR(__xludf.DUMMYFUNCTION("""COMPUTED_VALUE"""),"A-2")</f>
        <v>A-2</v>
      </c>
      <c r="J38" s="28">
        <f>IFERROR(__xludf.DUMMYFUNCTION("""COMPUTED_VALUE"""),2.0)</f>
        <v>2</v>
      </c>
      <c r="K38" s="28" t="str">
        <f>IFERROR(__xludf.DUMMYFUNCTION("""COMPUTED_VALUE"""),"2 MAK PUTRA")</f>
        <v>2 MAK PUTRA</v>
      </c>
      <c r="L38" s="29" t="str">
        <f>IFERROR(__xludf.DUMMYFUNCTION("""COMPUTED_VALUE"""),"6285707241922")</f>
        <v>6285707241922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2">
        <f>IFERROR(__xludf.DUMMYFUNCTION("""COMPUTED_VALUE"""),0.0)</f>
        <v>0</v>
      </c>
      <c r="BD38" s="22">
        <f>IFERROR(__xludf.DUMMYFUNCTION("""COMPUTED_VALUE"""),0.0)</f>
        <v>0</v>
      </c>
      <c r="BE38" s="22">
        <f>IFERROR(__xludf.DUMMYFUNCTION("""COMPUTED_VALUE"""),0.0)</f>
        <v>0</v>
      </c>
      <c r="BF38" s="22">
        <f>IFERROR(__xludf.DUMMYFUNCTION("""COMPUTED_VALUE"""),0.0)</f>
        <v>0</v>
      </c>
    </row>
    <row r="39">
      <c r="A39" s="27">
        <f>IFERROR(__xludf.DUMMYFUNCTION("""COMPUTED_VALUE"""),38.0)</f>
        <v>38</v>
      </c>
      <c r="B39" s="28" t="str">
        <f>IFERROR(__xludf.DUMMYFUNCTION("""COMPUTED_VALUE"""),"AKBAR MAULANA")</f>
        <v>AKBAR MAULANA</v>
      </c>
      <c r="C39" s="28">
        <f>IFERROR(__xludf.DUMMYFUNCTION("""COMPUTED_VALUE"""),2.025070272E9)</f>
        <v>2025070272</v>
      </c>
      <c r="D39" s="28" t="str">
        <f>IFERROR(__xludf.DUMMYFUNCTION("""COMPUTED_VALUE"""),"AJI")</f>
        <v>AJI</v>
      </c>
      <c r="E39" s="28" t="str">
        <f>IFERROR(__xludf.DUMMYFUNCTION("""COMPUTED_VALUE"""),"SITI MAIMUNAH")</f>
        <v>SITI MAIMUNAH</v>
      </c>
      <c r="F39" s="28" t="str">
        <f>IFERROR(__xludf.DUMMYFUNCTION("""COMPUTED_VALUE"""),"TENGGULUN RT 001 RW 001 SOLOKURO LAMONGAN")</f>
        <v>TENGGULUN RT 001 RW 001 SOLOKURO LAMONGAN</v>
      </c>
      <c r="G39" s="28" t="str">
        <f>IFERROR(__xludf.DUMMYFUNCTION("""COMPUTED_VALUE"""),"MA-XI.2")</f>
        <v>MA-XI.2</v>
      </c>
      <c r="H39" s="28" t="str">
        <f>IFERROR(__xludf.DUMMYFUNCTION("""COMPUTED_VALUE"""),"A")</f>
        <v>A</v>
      </c>
      <c r="I39" s="28" t="str">
        <f>IFERROR(__xludf.DUMMYFUNCTION("""COMPUTED_VALUE"""),"A-4")</f>
        <v>A-4</v>
      </c>
      <c r="J39" s="28">
        <f>IFERROR(__xludf.DUMMYFUNCTION("""COMPUTED_VALUE"""),2.0)</f>
        <v>2</v>
      </c>
      <c r="K39" s="28" t="str">
        <f>IFERROR(__xludf.DUMMYFUNCTION("""COMPUTED_VALUE"""),"2 WUSTHO A PUTRA")</f>
        <v>2 WUSTHO A PUTRA</v>
      </c>
      <c r="L39" s="29" t="str">
        <f>IFERROR(__xludf.DUMMYFUNCTION("""COMPUTED_VALUE"""),"6285743392823")</f>
        <v>6285743392823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2">
        <f>IFERROR(__xludf.DUMMYFUNCTION("""COMPUTED_VALUE"""),0.0)</f>
        <v>0</v>
      </c>
      <c r="BD39" s="22">
        <f>IFERROR(__xludf.DUMMYFUNCTION("""COMPUTED_VALUE"""),0.0)</f>
        <v>0</v>
      </c>
      <c r="BE39" s="22">
        <f>IFERROR(__xludf.DUMMYFUNCTION("""COMPUTED_VALUE"""),0.0)</f>
        <v>0</v>
      </c>
      <c r="BF39" s="22">
        <f>IFERROR(__xludf.DUMMYFUNCTION("""COMPUTED_VALUE"""),0.0)</f>
        <v>0</v>
      </c>
    </row>
    <row r="40">
      <c r="A40" s="27">
        <f>IFERROR(__xludf.DUMMYFUNCTION("""COMPUTED_VALUE"""),39.0)</f>
        <v>39</v>
      </c>
      <c r="B40" s="28" t="str">
        <f>IFERROR(__xludf.DUMMYFUNCTION("""COMPUTED_VALUE"""),"ALFIN FAIRUS AGATHA")</f>
        <v>ALFIN FAIRUS AGATHA</v>
      </c>
      <c r="C40" s="28">
        <f>IFERROR(__xludf.DUMMYFUNCTION("""COMPUTED_VALUE"""),2.025070558E9)</f>
        <v>2025070558</v>
      </c>
      <c r="D40" s="28" t="str">
        <f>IFERROR(__xludf.DUMMYFUNCTION("""COMPUTED_VALUE"""),"UJUD PRASETYO")</f>
        <v>UJUD PRASETYO</v>
      </c>
      <c r="E40" s="28" t="str">
        <f>IFERROR(__xludf.DUMMYFUNCTION("""COMPUTED_VALUE"""),"SRI ZULIANINGSIH")</f>
        <v>SRI ZULIANINGSIH</v>
      </c>
      <c r="F40" s="28" t="str">
        <f>IFERROR(__xludf.DUMMYFUNCTION("""COMPUTED_VALUE"""),"SUMURAN SEKARBAGUS RT 002 RW 004 SUGIO LAMONGAN")</f>
        <v>SUMURAN SEKARBAGUS RT 002 RW 004 SUGIO LAMONGAN</v>
      </c>
      <c r="G40" s="28" t="str">
        <f>IFERROR(__xludf.DUMMYFUNCTION("""COMPUTED_VALUE"""),"MTS-8 G")</f>
        <v>MTS-8 G</v>
      </c>
      <c r="H40" s="28" t="str">
        <f>IFERROR(__xludf.DUMMYFUNCTION("""COMPUTED_VALUE"""),"A")</f>
        <v>A</v>
      </c>
      <c r="I40" s="28" t="str">
        <f>IFERROR(__xludf.DUMMYFUNCTION("""COMPUTED_VALUE"""),"A-3")</f>
        <v>A-3</v>
      </c>
      <c r="J40" s="28">
        <f>IFERROR(__xludf.DUMMYFUNCTION("""COMPUTED_VALUE"""),2.0)</f>
        <v>2</v>
      </c>
      <c r="K40" s="28" t="str">
        <f>IFERROR(__xludf.DUMMYFUNCTION("""COMPUTED_VALUE"""),"2 ULA A PUTRA")</f>
        <v>2 ULA A PUTRA</v>
      </c>
      <c r="L40" s="29" t="str">
        <f>IFERROR(__xludf.DUMMYFUNCTION("""COMPUTED_VALUE"""),"6281615235302")</f>
        <v>6281615235302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2">
        <f>IFERROR(__xludf.DUMMYFUNCTION("""COMPUTED_VALUE"""),500000.0)</f>
        <v>500000</v>
      </c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2">
        <f>IFERROR(__xludf.DUMMYFUNCTION("""COMPUTED_VALUE"""),500000.0)</f>
        <v>500000</v>
      </c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2">
        <f>IFERROR(__xludf.DUMMYFUNCTION("""COMPUTED_VALUE"""),0.0)</f>
        <v>0</v>
      </c>
      <c r="BD40" s="22">
        <f>IFERROR(__xludf.DUMMYFUNCTION("""COMPUTED_VALUE"""),1000000.0)</f>
        <v>1000000</v>
      </c>
      <c r="BE40" s="22">
        <f>IFERROR(__xludf.DUMMYFUNCTION("""COMPUTED_VALUE"""),0.0)</f>
        <v>0</v>
      </c>
      <c r="BF40" s="22">
        <f>IFERROR(__xludf.DUMMYFUNCTION("""COMPUTED_VALUE"""),1000000.0)</f>
        <v>1000000</v>
      </c>
    </row>
    <row r="41">
      <c r="A41" s="27">
        <f>IFERROR(__xludf.DUMMYFUNCTION("""COMPUTED_VALUE"""),40.0)</f>
        <v>40</v>
      </c>
      <c r="B41" s="28" t="str">
        <f>IFERROR(__xludf.DUMMYFUNCTION("""COMPUTED_VALUE"""),"ANDREI ARSHAVIN ADITYA PRATAMA")</f>
        <v>ANDREI ARSHAVIN ADITYA PRATAMA</v>
      </c>
      <c r="C41" s="28">
        <f>IFERROR(__xludf.DUMMYFUNCTION("""COMPUTED_VALUE"""),2.025070174E9)</f>
        <v>2025070174</v>
      </c>
      <c r="D41" s="28" t="str">
        <f>IFERROR(__xludf.DUMMYFUNCTION("""COMPUTED_VALUE"""),"BENNY KARDYAWAN")</f>
        <v>BENNY KARDYAWAN</v>
      </c>
      <c r="E41" s="28" t="str">
        <f>IFERROR(__xludf.DUMMYFUNCTION("""COMPUTED_VALUE"""),"LULUK LUTFIA")</f>
        <v>LULUK LUTFIA</v>
      </c>
      <c r="F41" s="28" t="str">
        <f>IFERROR(__xludf.DUMMYFUNCTION("""COMPUTED_VALUE"""),"BUTUNGAN RT 002 RW 002 KALITENGAH LAMONGAN")</f>
        <v>BUTUNGAN RT 002 RW 002 KALITENGAH LAMONGAN</v>
      </c>
      <c r="G41" s="28" t="str">
        <f>IFERROR(__xludf.DUMMYFUNCTION("""COMPUTED_VALUE"""),"MA-XI.10")</f>
        <v>MA-XI.10</v>
      </c>
      <c r="H41" s="28" t="str">
        <f>IFERROR(__xludf.DUMMYFUNCTION("""COMPUTED_VALUE"""),"A")</f>
        <v>A</v>
      </c>
      <c r="I41" s="28" t="str">
        <f>IFERROR(__xludf.DUMMYFUNCTION("""COMPUTED_VALUE"""),"A-4")</f>
        <v>A-4</v>
      </c>
      <c r="J41" s="28">
        <f>IFERROR(__xludf.DUMMYFUNCTION("""COMPUTED_VALUE"""),2.0)</f>
        <v>2</v>
      </c>
      <c r="K41" s="28" t="str">
        <f>IFERROR(__xludf.DUMMYFUNCTION("""COMPUTED_VALUE"""),"2 WUSTHO A PUTRA")</f>
        <v>2 WUSTHO A PUTRA</v>
      </c>
      <c r="L41" s="29" t="str">
        <f>IFERROR(__xludf.DUMMYFUNCTION("""COMPUTED_VALUE"""),"6285853921007")</f>
        <v>6285853921007</v>
      </c>
      <c r="M41" s="22">
        <f>IFERROR(__xludf.DUMMYFUNCTION("""COMPUTED_VALUE"""),600000.0)</f>
        <v>600000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2">
        <f>IFERROR(__xludf.DUMMYFUNCTION("""COMPUTED_VALUE"""),500000.0)</f>
        <v>500000</v>
      </c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2">
        <f>IFERROR(__xludf.DUMMYFUNCTION("""COMPUTED_VALUE"""),500000.0)</f>
        <v>500000</v>
      </c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2">
        <f>IFERROR(__xludf.DUMMYFUNCTION("""COMPUTED_VALUE"""),0.0)</f>
        <v>0</v>
      </c>
      <c r="BD41" s="22">
        <f>IFERROR(__xludf.DUMMYFUNCTION("""COMPUTED_VALUE"""),1600000.0)</f>
        <v>1600000</v>
      </c>
      <c r="BE41" s="22">
        <f>IFERROR(__xludf.DUMMYFUNCTION("""COMPUTED_VALUE"""),0.0)</f>
        <v>0</v>
      </c>
      <c r="BF41" s="22">
        <f>IFERROR(__xludf.DUMMYFUNCTION("""COMPUTED_VALUE"""),1600000.0)</f>
        <v>1600000</v>
      </c>
    </row>
    <row r="42">
      <c r="A42" s="27">
        <f>IFERROR(__xludf.DUMMYFUNCTION("""COMPUTED_VALUE"""),41.0)</f>
        <v>41</v>
      </c>
      <c r="B42" s="28" t="str">
        <f>IFERROR(__xludf.DUMMYFUNCTION("""COMPUTED_VALUE"""),"ANTADANNA MAULANA ALVINO")</f>
        <v>ANTADANNA MAULANA ALVINO</v>
      </c>
      <c r="C42" s="28">
        <f>IFERROR(__xludf.DUMMYFUNCTION("""COMPUTED_VALUE"""),2.025070437E9)</f>
        <v>2025070437</v>
      </c>
      <c r="D42" s="28" t="str">
        <f>IFERROR(__xludf.DUMMYFUNCTION("""COMPUTED_VALUE"""),"VITNARKO")</f>
        <v>VITNARKO</v>
      </c>
      <c r="E42" s="28" t="str">
        <f>IFERROR(__xludf.DUMMYFUNCTION("""COMPUTED_VALUE"""),"KATSIROTUN NI`MAH")</f>
        <v>KATSIROTUN NI`MAH</v>
      </c>
      <c r="F42" s="28" t="str">
        <f>IFERROR(__xludf.DUMMYFUNCTION("""COMPUTED_VALUE"""),"KARANGLANGIT RT 001 RW 002 LAMONGAN LAMONGAN")</f>
        <v>KARANGLANGIT RT 001 RW 002 LAMONGAN LAMONGAN</v>
      </c>
      <c r="G42" s="28" t="str">
        <f>IFERROR(__xludf.DUMMYFUNCTION("""COMPUTED_VALUE"""),"SMK-XI TKJ 2")</f>
        <v>SMK-XI TKJ 2</v>
      </c>
      <c r="H42" s="28" t="str">
        <f>IFERROR(__xludf.DUMMYFUNCTION("""COMPUTED_VALUE"""),"A")</f>
        <v>A</v>
      </c>
      <c r="I42" s="28" t="str">
        <f>IFERROR(__xludf.DUMMYFUNCTION("""COMPUTED_VALUE"""),"A-9")</f>
        <v>A-9</v>
      </c>
      <c r="J42" s="28">
        <f>IFERROR(__xludf.DUMMYFUNCTION("""COMPUTED_VALUE"""),2.0)</f>
        <v>2</v>
      </c>
      <c r="K42" s="28" t="str">
        <f>IFERROR(__xludf.DUMMYFUNCTION("""COMPUTED_VALUE"""),"2 WUSTHO A PUTRA")</f>
        <v>2 WUSTHO A PUTRA</v>
      </c>
      <c r="L42" s="29" t="str">
        <f>IFERROR(__xludf.DUMMYFUNCTION("""COMPUTED_VALUE"""),"6282243925015")</f>
        <v>6282243925015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2">
        <f>IFERROR(__xludf.DUMMYFUNCTION("""COMPUTED_VALUE"""),0.0)</f>
        <v>0</v>
      </c>
      <c r="BD42" s="22">
        <f>IFERROR(__xludf.DUMMYFUNCTION("""COMPUTED_VALUE"""),0.0)</f>
        <v>0</v>
      </c>
      <c r="BE42" s="22">
        <f>IFERROR(__xludf.DUMMYFUNCTION("""COMPUTED_VALUE"""),0.0)</f>
        <v>0</v>
      </c>
      <c r="BF42" s="22">
        <f>IFERROR(__xludf.DUMMYFUNCTION("""COMPUTED_VALUE"""),0.0)</f>
        <v>0</v>
      </c>
    </row>
    <row r="43">
      <c r="A43" s="27">
        <f>IFERROR(__xludf.DUMMYFUNCTION("""COMPUTED_VALUE"""),42.0)</f>
        <v>42</v>
      </c>
      <c r="B43" s="28" t="str">
        <f>IFERROR(__xludf.DUMMYFUNCTION("""COMPUTED_VALUE"""),"APRIANSYAH BAYU ROBBANY")</f>
        <v>APRIANSYAH BAYU ROBBANY</v>
      </c>
      <c r="C43" s="28">
        <f>IFERROR(__xludf.DUMMYFUNCTION("""COMPUTED_VALUE"""),2.025070371E9)</f>
        <v>2025070371</v>
      </c>
      <c r="D43" s="28" t="str">
        <f>IFERROR(__xludf.DUMMYFUNCTION("""COMPUTED_VALUE"""),"SUPRIYANTO")</f>
        <v>SUPRIYANTO</v>
      </c>
      <c r="E43" s="28" t="str">
        <f>IFERROR(__xludf.DUMMYFUNCTION("""COMPUTED_VALUE"""),"BINTI KHOTIMAH")</f>
        <v>BINTI KHOTIMAH</v>
      </c>
      <c r="F43" s="28" t="str">
        <f>IFERROR(__xludf.DUMMYFUNCTION("""COMPUTED_VALUE"""),"TENGGER BLONGKO RT 004 RW 005 NGETOS NGANJUK")</f>
        <v>TENGGER BLONGKO RT 004 RW 005 NGETOS NGANJUK</v>
      </c>
      <c r="G43" s="28" t="str">
        <f>IFERROR(__xludf.DUMMYFUNCTION("""COMPUTED_VALUE"""),"MA-XI.13")</f>
        <v>MA-XI.13</v>
      </c>
      <c r="H43" s="28" t="str">
        <f>IFERROR(__xludf.DUMMYFUNCTION("""COMPUTED_VALUE"""),"A")</f>
        <v>A</v>
      </c>
      <c r="I43" s="28" t="str">
        <f>IFERROR(__xludf.DUMMYFUNCTION("""COMPUTED_VALUE"""),"A-4")</f>
        <v>A-4</v>
      </c>
      <c r="J43" s="28">
        <f>IFERROR(__xludf.DUMMYFUNCTION("""COMPUTED_VALUE"""),2.0)</f>
        <v>2</v>
      </c>
      <c r="K43" s="28" t="str">
        <f>IFERROR(__xludf.DUMMYFUNCTION("""COMPUTED_VALUE"""),"2 MAK PUTRA")</f>
        <v>2 MAK PUTRA</v>
      </c>
      <c r="L43" s="29" t="str">
        <f>IFERROR(__xludf.DUMMYFUNCTION("""COMPUTED_VALUE"""),"6282230736243")</f>
        <v>6282230736243</v>
      </c>
      <c r="M43" s="22">
        <f>IFERROR(__xludf.DUMMYFUNCTION("""COMPUTED_VALUE"""),600000.0)</f>
        <v>600000</v>
      </c>
      <c r="N43" s="28"/>
      <c r="O43" s="28"/>
      <c r="P43" s="28"/>
      <c r="Q43" s="28"/>
      <c r="R43" s="28"/>
      <c r="S43" s="28"/>
      <c r="T43" s="28"/>
      <c r="U43" s="28"/>
      <c r="V43" s="28"/>
      <c r="W43" s="22">
        <f>IFERROR(__xludf.DUMMYFUNCTION("""COMPUTED_VALUE"""),450000.0)</f>
        <v>450000</v>
      </c>
      <c r="X43" s="22">
        <f>IFERROR(__xludf.DUMMYFUNCTION("""COMPUTED_VALUE"""),450000.0)</f>
        <v>450000</v>
      </c>
      <c r="Y43" s="22">
        <f>IFERROR(__xludf.DUMMYFUNCTION("""COMPUTED_VALUE"""),450000.0)</f>
        <v>450000</v>
      </c>
      <c r="Z43" s="22">
        <f>IFERROR(__xludf.DUMMYFUNCTION("""COMPUTED_VALUE"""),450000.0)</f>
        <v>450000</v>
      </c>
      <c r="AA43" s="28"/>
      <c r="AB43" s="22">
        <f>IFERROR(__xludf.DUMMYFUNCTION("""COMPUTED_VALUE"""),500000.0)</f>
        <v>500000</v>
      </c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2">
        <f>IFERROR(__xludf.DUMMYFUNCTION("""COMPUTED_VALUE"""),500000.0)</f>
        <v>500000</v>
      </c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2">
        <f>IFERROR(__xludf.DUMMYFUNCTION("""COMPUTED_VALUE"""),1800000.0)</f>
        <v>1800000</v>
      </c>
      <c r="BD43" s="22">
        <f>IFERROR(__xludf.DUMMYFUNCTION("""COMPUTED_VALUE"""),1600000.0)</f>
        <v>1600000</v>
      </c>
      <c r="BE43" s="22">
        <f>IFERROR(__xludf.DUMMYFUNCTION("""COMPUTED_VALUE"""),0.0)</f>
        <v>0</v>
      </c>
      <c r="BF43" s="22">
        <f>IFERROR(__xludf.DUMMYFUNCTION("""COMPUTED_VALUE"""),3400000.0)</f>
        <v>3400000</v>
      </c>
    </row>
    <row r="44">
      <c r="A44" s="27">
        <f>IFERROR(__xludf.DUMMYFUNCTION("""COMPUTED_VALUE"""),43.0)</f>
        <v>43</v>
      </c>
      <c r="B44" s="28" t="str">
        <f>IFERROR(__xludf.DUMMYFUNCTION("""COMPUTED_VALUE"""),"AQILA AJI ILLIAN SYAH")</f>
        <v>AQILA AJI ILLIAN SYAH</v>
      </c>
      <c r="C44" s="28">
        <f>IFERROR(__xludf.DUMMYFUNCTION("""COMPUTED_VALUE"""),2.025070571E9)</f>
        <v>2025070571</v>
      </c>
      <c r="D44" s="28" t="str">
        <f>IFERROR(__xludf.DUMMYFUNCTION("""COMPUTED_VALUE"""),"SUTIAJI")</f>
        <v>SUTIAJI</v>
      </c>
      <c r="E44" s="28" t="str">
        <f>IFERROR(__xludf.DUMMYFUNCTION("""COMPUTED_VALUE"""),"ELLA TRI YUWANITA")</f>
        <v>ELLA TRI YUWANITA</v>
      </c>
      <c r="F44" s="28" t="str">
        <f>IFERROR(__xludf.DUMMYFUNCTION("""COMPUTED_VALUE"""),"JL. KH. AGUS SALIM NO. 11 KULURAN RT 002 RW 001 KALITENGAH LAMONGAN")</f>
        <v>JL. KH. AGUS SALIM NO. 11 KULURAN RT 002 RW 001 KALITENGAH LAMONGAN</v>
      </c>
      <c r="G44" s="28" t="str">
        <f>IFERROR(__xludf.DUMMYFUNCTION("""COMPUTED_VALUE"""),"MTS-8 D")</f>
        <v>MTS-8 D</v>
      </c>
      <c r="H44" s="28" t="str">
        <f>IFERROR(__xludf.DUMMYFUNCTION("""COMPUTED_VALUE"""),"A")</f>
        <v>A</v>
      </c>
      <c r="I44" s="28" t="str">
        <f>IFERROR(__xludf.DUMMYFUNCTION("""COMPUTED_VALUE"""),"A-1")</f>
        <v>A-1</v>
      </c>
      <c r="J44" s="28">
        <f>IFERROR(__xludf.DUMMYFUNCTION("""COMPUTED_VALUE"""),2.0)</f>
        <v>2</v>
      </c>
      <c r="K44" s="28" t="str">
        <f>IFERROR(__xludf.DUMMYFUNCTION("""COMPUTED_VALUE"""),"2 ULA A PUTRA")</f>
        <v>2 ULA A PUTRA</v>
      </c>
      <c r="L44" s="29" t="str">
        <f>IFERROR(__xludf.DUMMYFUNCTION("""COMPUTED_VALUE"""),"6285697039280")</f>
        <v>6285697039280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2">
        <f>IFERROR(__xludf.DUMMYFUNCTION("""COMPUTED_VALUE"""),500000.0)</f>
        <v>500000</v>
      </c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2">
        <f>IFERROR(__xludf.DUMMYFUNCTION("""COMPUTED_VALUE"""),500000.0)</f>
        <v>500000</v>
      </c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2">
        <f>IFERROR(__xludf.DUMMYFUNCTION("""COMPUTED_VALUE"""),0.0)</f>
        <v>0</v>
      </c>
      <c r="BD44" s="22">
        <f>IFERROR(__xludf.DUMMYFUNCTION("""COMPUTED_VALUE"""),1000000.0)</f>
        <v>1000000</v>
      </c>
      <c r="BE44" s="22">
        <f>IFERROR(__xludf.DUMMYFUNCTION("""COMPUTED_VALUE"""),0.0)</f>
        <v>0</v>
      </c>
      <c r="BF44" s="22">
        <f>IFERROR(__xludf.DUMMYFUNCTION("""COMPUTED_VALUE"""),1000000.0)</f>
        <v>1000000</v>
      </c>
    </row>
    <row r="45">
      <c r="A45" s="27">
        <f>IFERROR(__xludf.DUMMYFUNCTION("""COMPUTED_VALUE"""),44.0)</f>
        <v>44</v>
      </c>
      <c r="B45" s="28" t="str">
        <f>IFERROR(__xludf.DUMMYFUNCTION("""COMPUTED_VALUE"""),"ARJUNA AUFAR FEBRIAN")</f>
        <v>ARJUNA AUFAR FEBRIAN</v>
      </c>
      <c r="C45" s="28">
        <f>IFERROR(__xludf.DUMMYFUNCTION("""COMPUTED_VALUE"""),2.025070474E9)</f>
        <v>2025070474</v>
      </c>
      <c r="D45" s="28" t="str">
        <f>IFERROR(__xludf.DUMMYFUNCTION("""COMPUTED_VALUE"""),"CANDRA PERWIRA WIBAWANTO")</f>
        <v>CANDRA PERWIRA WIBAWANTO</v>
      </c>
      <c r="E45" s="28" t="str">
        <f>IFERROR(__xludf.DUMMYFUNCTION("""COMPUTED_VALUE"""),"EVI KARTIKA SARI")</f>
        <v>EVI KARTIKA SARI</v>
      </c>
      <c r="F45" s="28" t="str">
        <f>IFERROR(__xludf.DUMMYFUNCTION("""COMPUTED_VALUE"""),"PERUM GRAHA INDAH BLOK M 12 A TAMBAKRIGADUNG RT 001 RW 010 TIKUNG LAMONGAN")</f>
        <v>PERUM GRAHA INDAH BLOK M 12 A TAMBAKRIGADUNG RT 001 RW 010 TIKUNG LAMONGAN</v>
      </c>
      <c r="G45" s="28" t="str">
        <f>IFERROR(__xludf.DUMMYFUNCTION("""COMPUTED_VALUE"""),"SMP-VIII A")</f>
        <v>SMP-VIII A</v>
      </c>
      <c r="H45" s="28" t="str">
        <f>IFERROR(__xludf.DUMMYFUNCTION("""COMPUTED_VALUE"""),"A")</f>
        <v>A</v>
      </c>
      <c r="I45" s="28" t="str">
        <f>IFERROR(__xludf.DUMMYFUNCTION("""COMPUTED_VALUE"""),"A-3")</f>
        <v>A-3</v>
      </c>
      <c r="J45" s="28">
        <f>IFERROR(__xludf.DUMMYFUNCTION("""COMPUTED_VALUE"""),2.0)</f>
        <v>2</v>
      </c>
      <c r="K45" s="28" t="str">
        <f>IFERROR(__xludf.DUMMYFUNCTION("""COMPUTED_VALUE"""),"2 ULA A PUTRA")</f>
        <v>2 ULA A PUTRA</v>
      </c>
      <c r="L45" s="29" t="str">
        <f>IFERROR(__xludf.DUMMYFUNCTION("""COMPUTED_VALUE"""),"6285748239151")</f>
        <v>6285748239151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2">
        <f>IFERROR(__xludf.DUMMYFUNCTION("""COMPUTED_VALUE"""),500000.0)</f>
        <v>500000</v>
      </c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2">
        <f>IFERROR(__xludf.DUMMYFUNCTION("""COMPUTED_VALUE"""),500000.0)</f>
        <v>500000</v>
      </c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2">
        <f>IFERROR(__xludf.DUMMYFUNCTION("""COMPUTED_VALUE"""),0.0)</f>
        <v>0</v>
      </c>
      <c r="BD45" s="22">
        <f>IFERROR(__xludf.DUMMYFUNCTION("""COMPUTED_VALUE"""),1000000.0)</f>
        <v>1000000</v>
      </c>
      <c r="BE45" s="22">
        <f>IFERROR(__xludf.DUMMYFUNCTION("""COMPUTED_VALUE"""),0.0)</f>
        <v>0</v>
      </c>
      <c r="BF45" s="22">
        <f>IFERROR(__xludf.DUMMYFUNCTION("""COMPUTED_VALUE"""),1000000.0)</f>
        <v>1000000</v>
      </c>
    </row>
    <row r="46">
      <c r="A46" s="27">
        <f>IFERROR(__xludf.DUMMYFUNCTION("""COMPUTED_VALUE"""),45.0)</f>
        <v>45</v>
      </c>
      <c r="B46" s="28" t="str">
        <f>IFERROR(__xludf.DUMMYFUNCTION("""COMPUTED_VALUE"""),"AZKA ATHFAL AL IMRON")</f>
        <v>AZKA ATHFAL AL IMRON</v>
      </c>
      <c r="C46" s="28">
        <f>IFERROR(__xludf.DUMMYFUNCTION("""COMPUTED_VALUE"""),2.025070619E9)</f>
        <v>2025070619</v>
      </c>
      <c r="D46" s="28" t="str">
        <f>IFERROR(__xludf.DUMMYFUNCTION("""COMPUTED_VALUE"""),"MUHAMMAD IMRON")</f>
        <v>MUHAMMAD IMRON</v>
      </c>
      <c r="E46" s="28" t="str">
        <f>IFERROR(__xludf.DUMMYFUNCTION("""COMPUTED_VALUE"""),"ANIS SHOLIKHAH")</f>
        <v>ANIS SHOLIKHAH</v>
      </c>
      <c r="F46" s="28" t="str">
        <f>IFERROR(__xludf.DUMMYFUNCTION("""COMPUTED_VALUE"""),"KARANGWUNGU RT 005 RW 001 KARANGGENENG LAMONGAN")</f>
        <v>KARANGWUNGU RT 005 RW 001 KARANGGENENG LAMONGAN</v>
      </c>
      <c r="G46" s="28" t="str">
        <f>IFERROR(__xludf.DUMMYFUNCTION("""COMPUTED_VALUE"""),"MTS-8 B")</f>
        <v>MTS-8 B</v>
      </c>
      <c r="H46" s="28" t="str">
        <f>IFERROR(__xludf.DUMMYFUNCTION("""COMPUTED_VALUE"""),"A")</f>
        <v>A</v>
      </c>
      <c r="I46" s="28" t="str">
        <f>IFERROR(__xludf.DUMMYFUNCTION("""COMPUTED_VALUE"""),"A-3")</f>
        <v>A-3</v>
      </c>
      <c r="J46" s="28">
        <f>IFERROR(__xludf.DUMMYFUNCTION("""COMPUTED_VALUE"""),2.0)</f>
        <v>2</v>
      </c>
      <c r="K46" s="28" t="str">
        <f>IFERROR(__xludf.DUMMYFUNCTION("""COMPUTED_VALUE"""),"2 ULA A PUTRA")</f>
        <v>2 ULA A PUTRA</v>
      </c>
      <c r="L46" s="29" t="str">
        <f>IFERROR(__xludf.DUMMYFUNCTION("""COMPUTED_VALUE"""),"6289509221082")</f>
        <v>6289509221082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2">
        <f>IFERROR(__xludf.DUMMYFUNCTION("""COMPUTED_VALUE"""),500000.0)</f>
        <v>500000</v>
      </c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2">
        <f>IFERROR(__xludf.DUMMYFUNCTION("""COMPUTED_VALUE"""),500000.0)</f>
        <v>500000</v>
      </c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2">
        <f>IFERROR(__xludf.DUMMYFUNCTION("""COMPUTED_VALUE"""),0.0)</f>
        <v>0</v>
      </c>
      <c r="BD46" s="22">
        <f>IFERROR(__xludf.DUMMYFUNCTION("""COMPUTED_VALUE"""),1000000.0)</f>
        <v>1000000</v>
      </c>
      <c r="BE46" s="22">
        <f>IFERROR(__xludf.DUMMYFUNCTION("""COMPUTED_VALUE"""),0.0)</f>
        <v>0</v>
      </c>
      <c r="BF46" s="22">
        <f>IFERROR(__xludf.DUMMYFUNCTION("""COMPUTED_VALUE"""),1000000.0)</f>
        <v>1000000</v>
      </c>
    </row>
    <row r="47">
      <c r="A47" s="27">
        <f>IFERROR(__xludf.DUMMYFUNCTION("""COMPUTED_VALUE"""),46.0)</f>
        <v>46</v>
      </c>
      <c r="B47" s="28" t="str">
        <f>IFERROR(__xludf.DUMMYFUNCTION("""COMPUTED_VALUE"""),"BILFAQIH REY ALTEZA")</f>
        <v>BILFAQIH REY ALTEZA</v>
      </c>
      <c r="C47" s="28">
        <f>IFERROR(__xludf.DUMMYFUNCTION("""COMPUTED_VALUE"""),2.025070486E9)</f>
        <v>2025070486</v>
      </c>
      <c r="D47" s="28" t="str">
        <f>IFERROR(__xludf.DUMMYFUNCTION("""COMPUTED_VALUE"""),"ARIFIN")</f>
        <v>ARIFIN</v>
      </c>
      <c r="E47" s="28" t="str">
        <f>IFERROR(__xludf.DUMMYFUNCTION("""COMPUTED_VALUE"""),"KHADHIROTUL KUDSIYA")</f>
        <v>KHADHIROTUL KUDSIYA</v>
      </c>
      <c r="F47" s="28" t="str">
        <f>IFERROR(__xludf.DUMMYFUNCTION("""COMPUTED_VALUE"""),"BESI TLOGOAGUNG RT 002 RW 002 KEMBANGBAHU LAMONGAN")</f>
        <v>BESI TLOGOAGUNG RT 002 RW 002 KEMBANGBAHU LAMONGAN</v>
      </c>
      <c r="G47" s="28" t="str">
        <f>IFERROR(__xludf.DUMMYFUNCTION("""COMPUTED_VALUE"""),"SMP-VIII C")</f>
        <v>SMP-VIII C</v>
      </c>
      <c r="H47" s="28" t="str">
        <f>IFERROR(__xludf.DUMMYFUNCTION("""COMPUTED_VALUE"""),"A")</f>
        <v>A</v>
      </c>
      <c r="I47" s="28" t="str">
        <f>IFERROR(__xludf.DUMMYFUNCTION("""COMPUTED_VALUE"""),"A-1")</f>
        <v>A-1</v>
      </c>
      <c r="J47" s="28">
        <f>IFERROR(__xludf.DUMMYFUNCTION("""COMPUTED_VALUE"""),2.0)</f>
        <v>2</v>
      </c>
      <c r="K47" s="28" t="str">
        <f>IFERROR(__xludf.DUMMYFUNCTION("""COMPUTED_VALUE"""),"2 ULA A PUTRA")</f>
        <v>2 ULA A PUTRA</v>
      </c>
      <c r="L47" s="29" t="str">
        <f>IFERROR(__xludf.DUMMYFUNCTION("""COMPUTED_VALUE"""),"6285748773131")</f>
        <v>6285748773131</v>
      </c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2">
        <f>IFERROR(__xludf.DUMMYFUNCTION("""COMPUTED_VALUE"""),500000.0)</f>
        <v>500000</v>
      </c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2">
        <f>IFERROR(__xludf.DUMMYFUNCTION("""COMPUTED_VALUE"""),0.0)</f>
        <v>0</v>
      </c>
      <c r="BD47" s="22">
        <f>IFERROR(__xludf.DUMMYFUNCTION("""COMPUTED_VALUE"""),500000.0)</f>
        <v>500000</v>
      </c>
      <c r="BE47" s="22">
        <f>IFERROR(__xludf.DUMMYFUNCTION("""COMPUTED_VALUE"""),0.0)</f>
        <v>0</v>
      </c>
      <c r="BF47" s="22">
        <f>IFERROR(__xludf.DUMMYFUNCTION("""COMPUTED_VALUE"""),500000.0)</f>
        <v>500000</v>
      </c>
    </row>
    <row r="48">
      <c r="A48" s="27">
        <f>IFERROR(__xludf.DUMMYFUNCTION("""COMPUTED_VALUE"""),47.0)</f>
        <v>47</v>
      </c>
      <c r="B48" s="28" t="str">
        <f>IFERROR(__xludf.DUMMYFUNCTION("""COMPUTED_VALUE"""),"BRIAN BILLIY ZADAH")</f>
        <v>BRIAN BILLIY ZADAH</v>
      </c>
      <c r="C48" s="28">
        <f>IFERROR(__xludf.DUMMYFUNCTION("""COMPUTED_VALUE"""),2.025070624E9)</f>
        <v>2025070624</v>
      </c>
      <c r="D48" s="28" t="str">
        <f>IFERROR(__xludf.DUMMYFUNCTION("""COMPUTED_VALUE"""),"EFAN ISWANDI")</f>
        <v>EFAN ISWANDI</v>
      </c>
      <c r="E48" s="28" t="str">
        <f>IFERROR(__xludf.DUMMYFUNCTION("""COMPUTED_VALUE"""),"LISMA DWI PRASASTI")</f>
        <v>LISMA DWI PRASASTI</v>
      </c>
      <c r="F48" s="28" t="str">
        <f>IFERROR(__xludf.DUMMYFUNCTION("""COMPUTED_VALUE"""),"PADENGANPLOSO RT 012 RW 001 PUCUK LAMONGAN")</f>
        <v>PADENGANPLOSO RT 012 RW 001 PUCUK LAMONGAN</v>
      </c>
      <c r="G48" s="28" t="str">
        <f>IFERROR(__xludf.DUMMYFUNCTION("""COMPUTED_VALUE"""),"MTS-8 E")</f>
        <v>MTS-8 E</v>
      </c>
      <c r="H48" s="28" t="str">
        <f>IFERROR(__xludf.DUMMYFUNCTION("""COMPUTED_VALUE"""),"A")</f>
        <v>A</v>
      </c>
      <c r="I48" s="28" t="str">
        <f>IFERROR(__xludf.DUMMYFUNCTION("""COMPUTED_VALUE"""),"A-3")</f>
        <v>A-3</v>
      </c>
      <c r="J48" s="28">
        <f>IFERROR(__xludf.DUMMYFUNCTION("""COMPUTED_VALUE"""),2.0)</f>
        <v>2</v>
      </c>
      <c r="K48" s="28" t="str">
        <f>IFERROR(__xludf.DUMMYFUNCTION("""COMPUTED_VALUE"""),"2 ULA A PUTRA")</f>
        <v>2 ULA A PUTRA</v>
      </c>
      <c r="L48" s="29" t="str">
        <f>IFERROR(__xludf.DUMMYFUNCTION("""COMPUTED_VALUE"""),"6281333533845")</f>
        <v>6281333533845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2">
        <f>IFERROR(__xludf.DUMMYFUNCTION("""COMPUTED_VALUE"""),0.0)</f>
        <v>0</v>
      </c>
      <c r="BD48" s="22">
        <f>IFERROR(__xludf.DUMMYFUNCTION("""COMPUTED_VALUE"""),0.0)</f>
        <v>0</v>
      </c>
      <c r="BE48" s="22">
        <f>IFERROR(__xludf.DUMMYFUNCTION("""COMPUTED_VALUE"""),0.0)</f>
        <v>0</v>
      </c>
      <c r="BF48" s="22">
        <f>IFERROR(__xludf.DUMMYFUNCTION("""COMPUTED_VALUE"""),0.0)</f>
        <v>0</v>
      </c>
    </row>
    <row r="49">
      <c r="A49" s="27">
        <f>IFERROR(__xludf.DUMMYFUNCTION("""COMPUTED_VALUE"""),48.0)</f>
        <v>48</v>
      </c>
      <c r="B49" s="28" t="str">
        <f>IFERROR(__xludf.DUMMYFUNCTION("""COMPUTED_VALUE"""),"DAVID ELBERTA PRAKASA")</f>
        <v>DAVID ELBERTA PRAKASA</v>
      </c>
      <c r="C49" s="28">
        <f>IFERROR(__xludf.DUMMYFUNCTION("""COMPUTED_VALUE"""),2.025070603E9)</f>
        <v>2025070603</v>
      </c>
      <c r="D49" s="28" t="str">
        <f>IFERROR(__xludf.DUMMYFUNCTION("""COMPUTED_VALUE"""),"ROCHMAN")</f>
        <v>ROCHMAN</v>
      </c>
      <c r="E49" s="28" t="str">
        <f>IFERROR(__xludf.DUMMYFUNCTION("""COMPUTED_VALUE"""),"SUMIATI")</f>
        <v>SUMIATI</v>
      </c>
      <c r="F49" s="28" t="str">
        <f>IFERROR(__xludf.DUMMYFUNCTION("""COMPUTED_VALUE"""),"MOROGO PUTATKUMPUL RT 006 RW 005 TURI LAMONGAN")</f>
        <v>MOROGO PUTATKUMPUL RT 006 RW 005 TURI LAMONGAN</v>
      </c>
      <c r="G49" s="28" t="str">
        <f>IFERROR(__xludf.DUMMYFUNCTION("""COMPUTED_VALUE"""),"MTS-8 F")</f>
        <v>MTS-8 F</v>
      </c>
      <c r="H49" s="28" t="str">
        <f>IFERROR(__xludf.DUMMYFUNCTION("""COMPUTED_VALUE"""),"A")</f>
        <v>A</v>
      </c>
      <c r="I49" s="28" t="str">
        <f>IFERROR(__xludf.DUMMYFUNCTION("""COMPUTED_VALUE"""),"A-3")</f>
        <v>A-3</v>
      </c>
      <c r="J49" s="28">
        <f>IFERROR(__xludf.DUMMYFUNCTION("""COMPUTED_VALUE"""),2.0)</f>
        <v>2</v>
      </c>
      <c r="K49" s="28" t="str">
        <f>IFERROR(__xludf.DUMMYFUNCTION("""COMPUTED_VALUE"""),"2 ULA A PUTRA")</f>
        <v>2 ULA A PUTRA</v>
      </c>
      <c r="L49" s="29" t="str">
        <f>IFERROR(__xludf.DUMMYFUNCTION("""COMPUTED_VALUE"""),"6285150634655")</f>
        <v>6285150634655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2">
        <f>IFERROR(__xludf.DUMMYFUNCTION("""COMPUTED_VALUE"""),500000.0)</f>
        <v>500000</v>
      </c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2">
        <f>IFERROR(__xludf.DUMMYFUNCTION("""COMPUTED_VALUE"""),500000.0)</f>
        <v>500000</v>
      </c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2">
        <f>IFERROR(__xludf.DUMMYFUNCTION("""COMPUTED_VALUE"""),0.0)</f>
        <v>0</v>
      </c>
      <c r="BD49" s="22">
        <f>IFERROR(__xludf.DUMMYFUNCTION("""COMPUTED_VALUE"""),1000000.0)</f>
        <v>1000000</v>
      </c>
      <c r="BE49" s="22">
        <f>IFERROR(__xludf.DUMMYFUNCTION("""COMPUTED_VALUE"""),0.0)</f>
        <v>0</v>
      </c>
      <c r="BF49" s="22">
        <f>IFERROR(__xludf.DUMMYFUNCTION("""COMPUTED_VALUE"""),1000000.0)</f>
        <v>1000000</v>
      </c>
    </row>
    <row r="50">
      <c r="A50" s="27">
        <f>IFERROR(__xludf.DUMMYFUNCTION("""COMPUTED_VALUE"""),49.0)</f>
        <v>49</v>
      </c>
      <c r="B50" s="28" t="str">
        <f>IFERROR(__xludf.DUMMYFUNCTION("""COMPUTED_VALUE"""),"FAIRUS ALFIAN ALBAIHAQI")</f>
        <v>FAIRUS ALFIAN ALBAIHAQI</v>
      </c>
      <c r="C50" s="28">
        <f>IFERROR(__xludf.DUMMYFUNCTION("""COMPUTED_VALUE"""),2.025070594E9)</f>
        <v>2025070594</v>
      </c>
      <c r="D50" s="28" t="str">
        <f>IFERROR(__xludf.DUMMYFUNCTION("""COMPUTED_VALUE"""),"ANDIS EKO IRAWAN")</f>
        <v>ANDIS EKO IRAWAN</v>
      </c>
      <c r="E50" s="28" t="str">
        <f>IFERROR(__xludf.DUMMYFUNCTION("""COMPUTED_VALUE"""),"UMANI WULANDARI")</f>
        <v>UMANI WULANDARI</v>
      </c>
      <c r="F50" s="28" t="str">
        <f>IFERROR(__xludf.DUMMYFUNCTION("""COMPUTED_VALUE"""),"KLAMPIS BANJAREJO RT 001 RW 006 KARANGBINANGUN LAMONGAN")</f>
        <v>KLAMPIS BANJAREJO RT 001 RW 006 KARANGBINANGUN LAMONGAN</v>
      </c>
      <c r="G50" s="28" t="str">
        <f>IFERROR(__xludf.DUMMYFUNCTION("""COMPUTED_VALUE"""),"MTS-8 A")</f>
        <v>MTS-8 A</v>
      </c>
      <c r="H50" s="28" t="str">
        <f>IFERROR(__xludf.DUMMYFUNCTION("""COMPUTED_VALUE"""),"A")</f>
        <v>A</v>
      </c>
      <c r="I50" s="28" t="str">
        <f>IFERROR(__xludf.DUMMYFUNCTION("""COMPUTED_VALUE"""),"A-13")</f>
        <v>A-13</v>
      </c>
      <c r="J50" s="28">
        <f>IFERROR(__xludf.DUMMYFUNCTION("""COMPUTED_VALUE"""),2.0)</f>
        <v>2</v>
      </c>
      <c r="K50" s="28" t="str">
        <f>IFERROR(__xludf.DUMMYFUNCTION("""COMPUTED_VALUE"""),"2 ULA A PUTRA")</f>
        <v>2 ULA A PUTRA</v>
      </c>
      <c r="L50" s="29" t="str">
        <f>IFERROR(__xludf.DUMMYFUNCTION("""COMPUTED_VALUE"""),"6283161806155")</f>
        <v>6283161806155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2">
        <f>IFERROR(__xludf.DUMMYFUNCTION("""COMPUTED_VALUE"""),500000.0)</f>
        <v>500000</v>
      </c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2">
        <f>IFERROR(__xludf.DUMMYFUNCTION("""COMPUTED_VALUE"""),500000.0)</f>
        <v>500000</v>
      </c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2">
        <f>IFERROR(__xludf.DUMMYFUNCTION("""COMPUTED_VALUE"""),0.0)</f>
        <v>0</v>
      </c>
      <c r="BD50" s="22">
        <f>IFERROR(__xludf.DUMMYFUNCTION("""COMPUTED_VALUE"""),1000000.0)</f>
        <v>1000000</v>
      </c>
      <c r="BE50" s="22">
        <f>IFERROR(__xludf.DUMMYFUNCTION("""COMPUTED_VALUE"""),0.0)</f>
        <v>0</v>
      </c>
      <c r="BF50" s="22">
        <f>IFERROR(__xludf.DUMMYFUNCTION("""COMPUTED_VALUE"""),1000000.0)</f>
        <v>1000000</v>
      </c>
    </row>
    <row r="51">
      <c r="A51" s="27">
        <f>IFERROR(__xludf.DUMMYFUNCTION("""COMPUTED_VALUE"""),50.0)</f>
        <v>50</v>
      </c>
      <c r="B51" s="28" t="str">
        <f>IFERROR(__xludf.DUMMYFUNCTION("""COMPUTED_VALUE"""),"FAREL YOGI MAHARDIKA")</f>
        <v>FAREL YOGI MAHARDIKA</v>
      </c>
      <c r="C51" s="28">
        <f>IFERROR(__xludf.DUMMYFUNCTION("""COMPUTED_VALUE"""),2.025070499E9)</f>
        <v>2025070499</v>
      </c>
      <c r="D51" s="28" t="str">
        <f>IFERROR(__xludf.DUMMYFUNCTION("""COMPUTED_VALUE"""),"HERU SUSANTO")</f>
        <v>HERU SUSANTO</v>
      </c>
      <c r="E51" s="28" t="str">
        <f>IFERROR(__xludf.DUMMYFUNCTION("""COMPUTED_VALUE"""),"RINI ASTUTIK")</f>
        <v>RINI ASTUTIK</v>
      </c>
      <c r="F51" s="28" t="str">
        <f>IFERROR(__xludf.DUMMYFUNCTION("""COMPUTED_VALUE"""),"GENTING TAMBAK DALAM NO. 200 RT 004 RW 002 ASEMROWO SURABAYA")</f>
        <v>GENTING TAMBAK DALAM NO. 200 RT 004 RW 002 ASEMROWO SURABAYA</v>
      </c>
      <c r="G51" s="28" t="str">
        <f>IFERROR(__xludf.DUMMYFUNCTION("""COMPUTED_VALUE"""),"MTS-8 B")</f>
        <v>MTS-8 B</v>
      </c>
      <c r="H51" s="28" t="str">
        <f>IFERROR(__xludf.DUMMYFUNCTION("""COMPUTED_VALUE"""),"A")</f>
        <v>A</v>
      </c>
      <c r="I51" s="28" t="str">
        <f>IFERROR(__xludf.DUMMYFUNCTION("""COMPUTED_VALUE"""),"A-3")</f>
        <v>A-3</v>
      </c>
      <c r="J51" s="28">
        <f>IFERROR(__xludf.DUMMYFUNCTION("""COMPUTED_VALUE"""),2.0)</f>
        <v>2</v>
      </c>
      <c r="K51" s="28" t="str">
        <f>IFERROR(__xludf.DUMMYFUNCTION("""COMPUTED_VALUE"""),"2 ULA A PUTRA")</f>
        <v>2 ULA A PUTRA</v>
      </c>
      <c r="L51" s="29" t="str">
        <f>IFERROR(__xludf.DUMMYFUNCTION("""COMPUTED_VALUE"""),"6281333110186")</f>
        <v>6281333110186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2">
        <f>IFERROR(__xludf.DUMMYFUNCTION("""COMPUTED_VALUE"""),0.0)</f>
        <v>0</v>
      </c>
      <c r="BD51" s="22">
        <f>IFERROR(__xludf.DUMMYFUNCTION("""COMPUTED_VALUE"""),0.0)</f>
        <v>0</v>
      </c>
      <c r="BE51" s="22">
        <f>IFERROR(__xludf.DUMMYFUNCTION("""COMPUTED_VALUE"""),0.0)</f>
        <v>0</v>
      </c>
      <c r="BF51" s="22">
        <f>IFERROR(__xludf.DUMMYFUNCTION("""COMPUTED_VALUE"""),0.0)</f>
        <v>0</v>
      </c>
    </row>
    <row r="52">
      <c r="A52" s="27">
        <f>IFERROR(__xludf.DUMMYFUNCTION("""COMPUTED_VALUE"""),51.0)</f>
        <v>51</v>
      </c>
      <c r="B52" s="28" t="str">
        <f>IFERROR(__xludf.DUMMYFUNCTION("""COMPUTED_VALUE"""),"FARIEL DWI NUGROHO")</f>
        <v>FARIEL DWI NUGROHO</v>
      </c>
      <c r="C52" s="28">
        <f>IFERROR(__xludf.DUMMYFUNCTION("""COMPUTED_VALUE"""),2.025070648E9)</f>
        <v>2025070648</v>
      </c>
      <c r="D52" s="28" t="str">
        <f>IFERROR(__xludf.DUMMYFUNCTION("""COMPUTED_VALUE"""),"MUASAN")</f>
        <v>MUASAN</v>
      </c>
      <c r="E52" s="28" t="str">
        <f>IFERROR(__xludf.DUMMYFUNCTION("""COMPUTED_VALUE"""),"SAMSIATUR ROCHMI")</f>
        <v>SAMSIATUR ROCHMI</v>
      </c>
      <c r="F52" s="28" t="str">
        <f>IFERROR(__xludf.DUMMYFUNCTION("""COMPUTED_VALUE"""),"APEL TUNJUNGMEKAR RT 001 RW 003 KALITENGAH LAMONGAN")</f>
        <v>APEL TUNJUNGMEKAR RT 001 RW 003 KALITENGAH LAMONGAN</v>
      </c>
      <c r="G52" s="28" t="str">
        <f>IFERROR(__xludf.DUMMYFUNCTION("""COMPUTED_VALUE"""),"MTS-8 F")</f>
        <v>MTS-8 F</v>
      </c>
      <c r="H52" s="28" t="str">
        <f>IFERROR(__xludf.DUMMYFUNCTION("""COMPUTED_VALUE"""),"A")</f>
        <v>A</v>
      </c>
      <c r="I52" s="28" t="str">
        <f>IFERROR(__xludf.DUMMYFUNCTION("""COMPUTED_VALUE"""),"A-1")</f>
        <v>A-1</v>
      </c>
      <c r="J52" s="28">
        <f>IFERROR(__xludf.DUMMYFUNCTION("""COMPUTED_VALUE"""),2.0)</f>
        <v>2</v>
      </c>
      <c r="K52" s="28" t="str">
        <f>IFERROR(__xludf.DUMMYFUNCTION("""COMPUTED_VALUE"""),"2 ULA B PUTRA")</f>
        <v>2 ULA B PUTRA</v>
      </c>
      <c r="L52" s="29" t="str">
        <f>IFERROR(__xludf.DUMMYFUNCTION("""COMPUTED_VALUE"""),"6281532827112")</f>
        <v>6281532827112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2">
        <f>IFERROR(__xludf.DUMMYFUNCTION("""COMPUTED_VALUE"""),500000.0)</f>
        <v>500000</v>
      </c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2">
        <f>IFERROR(__xludf.DUMMYFUNCTION("""COMPUTED_VALUE"""),0.0)</f>
        <v>0</v>
      </c>
      <c r="BD52" s="22">
        <f>IFERROR(__xludf.DUMMYFUNCTION("""COMPUTED_VALUE"""),500000.0)</f>
        <v>500000</v>
      </c>
      <c r="BE52" s="22">
        <f>IFERROR(__xludf.DUMMYFUNCTION("""COMPUTED_VALUE"""),0.0)</f>
        <v>0</v>
      </c>
      <c r="BF52" s="22">
        <f>IFERROR(__xludf.DUMMYFUNCTION("""COMPUTED_VALUE"""),500000.0)</f>
        <v>500000</v>
      </c>
    </row>
    <row r="53">
      <c r="A53" s="27">
        <f>IFERROR(__xludf.DUMMYFUNCTION("""COMPUTED_VALUE"""),52.0)</f>
        <v>52</v>
      </c>
      <c r="B53" s="28" t="str">
        <f>IFERROR(__xludf.DUMMYFUNCTION("""COMPUTED_VALUE"""),"FAUZAN ZAKARIA FIRDAUS")</f>
        <v>FAUZAN ZAKARIA FIRDAUS</v>
      </c>
      <c r="C53" s="28">
        <f>IFERROR(__xludf.DUMMYFUNCTION("""COMPUTED_VALUE"""),2.02507035E9)</f>
        <v>2025070350</v>
      </c>
      <c r="D53" s="28" t="str">
        <f>IFERROR(__xludf.DUMMYFUNCTION("""COMPUTED_VALUE"""),"KAMAT")</f>
        <v>KAMAT</v>
      </c>
      <c r="E53" s="28" t="str">
        <f>IFERROR(__xludf.DUMMYFUNCTION("""COMPUTED_VALUE"""),"TAMBIYAH")</f>
        <v>TAMBIYAH</v>
      </c>
      <c r="F53" s="28" t="str">
        <f>IFERROR(__xludf.DUMMYFUNCTION("""COMPUTED_VALUE"""),"PELABUHAN RT 001 RW 005 JETIS MOJOKERTO")</f>
        <v>PELABUHAN RT 001 RW 005 JETIS MOJOKERTO</v>
      </c>
      <c r="G53" s="28" t="str">
        <f>IFERROR(__xludf.DUMMYFUNCTION("""COMPUTED_VALUE"""),"MA-XI.13")</f>
        <v>MA-XI.13</v>
      </c>
      <c r="H53" s="28" t="str">
        <f>IFERROR(__xludf.DUMMYFUNCTION("""COMPUTED_VALUE"""),"A")</f>
        <v>A</v>
      </c>
      <c r="I53" s="28" t="str">
        <f>IFERROR(__xludf.DUMMYFUNCTION("""COMPUTED_VALUE"""),"A-2")</f>
        <v>A-2</v>
      </c>
      <c r="J53" s="28">
        <f>IFERROR(__xludf.DUMMYFUNCTION("""COMPUTED_VALUE"""),2.0)</f>
        <v>2</v>
      </c>
      <c r="K53" s="28" t="str">
        <f>IFERROR(__xludf.DUMMYFUNCTION("""COMPUTED_VALUE"""),"2 MAK PUTRA")</f>
        <v>2 MAK PUTRA</v>
      </c>
      <c r="L53" s="29" t="str">
        <f>IFERROR(__xludf.DUMMYFUNCTION("""COMPUTED_VALUE"""),"6285649576786")</f>
        <v>6285649576786</v>
      </c>
      <c r="M53" s="28"/>
      <c r="N53" s="22">
        <f>IFERROR(__xludf.DUMMYFUNCTION("""COMPUTED_VALUE"""),200000.0)</f>
        <v>200000</v>
      </c>
      <c r="O53" s="22">
        <f>IFERROR(__xludf.DUMMYFUNCTION("""COMPUTED_VALUE"""),450000.0)</f>
        <v>450000</v>
      </c>
      <c r="P53" s="22">
        <f>IFERROR(__xludf.DUMMYFUNCTION("""COMPUTED_VALUE"""),450000.0)</f>
        <v>450000</v>
      </c>
      <c r="Q53" s="22">
        <f>IFERROR(__xludf.DUMMYFUNCTION("""COMPUTED_VALUE"""),450000.0)</f>
        <v>450000</v>
      </c>
      <c r="R53" s="22">
        <f>IFERROR(__xludf.DUMMYFUNCTION("""COMPUTED_VALUE"""),450000.0)</f>
        <v>450000</v>
      </c>
      <c r="S53" s="22">
        <f>IFERROR(__xludf.DUMMYFUNCTION("""COMPUTED_VALUE"""),450000.0)</f>
        <v>450000</v>
      </c>
      <c r="T53" s="22">
        <f>IFERROR(__xludf.DUMMYFUNCTION("""COMPUTED_VALUE"""),450000.0)</f>
        <v>450000</v>
      </c>
      <c r="U53" s="22">
        <f>IFERROR(__xludf.DUMMYFUNCTION("""COMPUTED_VALUE"""),450000.0)</f>
        <v>450000</v>
      </c>
      <c r="V53" s="22">
        <f>IFERROR(__xludf.DUMMYFUNCTION("""COMPUTED_VALUE"""),450000.0)</f>
        <v>450000</v>
      </c>
      <c r="W53" s="22">
        <f>IFERROR(__xludf.DUMMYFUNCTION("""COMPUTED_VALUE"""),450000.0)</f>
        <v>450000</v>
      </c>
      <c r="X53" s="22">
        <f>IFERROR(__xludf.DUMMYFUNCTION("""COMPUTED_VALUE"""),450000.0)</f>
        <v>450000</v>
      </c>
      <c r="Y53" s="22">
        <f>IFERROR(__xludf.DUMMYFUNCTION("""COMPUTED_VALUE"""),450000.0)</f>
        <v>450000</v>
      </c>
      <c r="Z53" s="22">
        <f>IFERROR(__xludf.DUMMYFUNCTION("""COMPUTED_VALUE"""),450000.0)</f>
        <v>450000</v>
      </c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2">
        <f>IFERROR(__xludf.DUMMYFUNCTION("""COMPUTED_VALUE"""),5400000.0)</f>
        <v>5400000</v>
      </c>
      <c r="BD53" s="22">
        <f>IFERROR(__xludf.DUMMYFUNCTION("""COMPUTED_VALUE"""),0.0)</f>
        <v>0</v>
      </c>
      <c r="BE53" s="22">
        <f>IFERROR(__xludf.DUMMYFUNCTION("""COMPUTED_VALUE"""),0.0)</f>
        <v>0</v>
      </c>
      <c r="BF53" s="22">
        <f>IFERROR(__xludf.DUMMYFUNCTION("""COMPUTED_VALUE"""),5400000.0)</f>
        <v>5400000</v>
      </c>
    </row>
    <row r="54">
      <c r="A54" s="27">
        <f>IFERROR(__xludf.DUMMYFUNCTION("""COMPUTED_VALUE"""),53.0)</f>
        <v>53</v>
      </c>
      <c r="B54" s="28" t="str">
        <f>IFERROR(__xludf.DUMMYFUNCTION("""COMPUTED_VALUE"""),"GALVIN UNA ROMAN SANDI")</f>
        <v>GALVIN UNA ROMAN SANDI</v>
      </c>
      <c r="C54" s="28">
        <f>IFERROR(__xludf.DUMMYFUNCTION("""COMPUTED_VALUE"""),2.025070646E9)</f>
        <v>2025070646</v>
      </c>
      <c r="D54" s="28" t="str">
        <f>IFERROR(__xludf.DUMMYFUNCTION("""COMPUTED_VALUE"""),"SUWANDI")</f>
        <v>SUWANDI</v>
      </c>
      <c r="E54" s="28" t="str">
        <f>IFERROR(__xludf.DUMMYFUNCTION("""COMPUTED_VALUE"""),"SRINI ROKAYAH")</f>
        <v>SRINI ROKAYAH</v>
      </c>
      <c r="F54" s="28" t="str">
        <f>IFERROR(__xludf.DUMMYFUNCTION("""COMPUTED_VALUE"""),"PENGANGSALAN RT 001 RW 002 KALITENGAH LAMONGAN")</f>
        <v>PENGANGSALAN RT 001 RW 002 KALITENGAH LAMONGAN</v>
      </c>
      <c r="G54" s="28" t="str">
        <f>IFERROR(__xludf.DUMMYFUNCTION("""COMPUTED_VALUE"""),"MTS-8 D")</f>
        <v>MTS-8 D</v>
      </c>
      <c r="H54" s="28" t="str">
        <f>IFERROR(__xludf.DUMMYFUNCTION("""COMPUTED_VALUE"""),"A")</f>
        <v>A</v>
      </c>
      <c r="I54" s="28" t="str">
        <f>IFERROR(__xludf.DUMMYFUNCTION("""COMPUTED_VALUE"""),"A-3")</f>
        <v>A-3</v>
      </c>
      <c r="J54" s="28">
        <f>IFERROR(__xludf.DUMMYFUNCTION("""COMPUTED_VALUE"""),2.0)</f>
        <v>2</v>
      </c>
      <c r="K54" s="28" t="str">
        <f>IFERROR(__xludf.DUMMYFUNCTION("""COMPUTED_VALUE"""),"2 ULA B PUTRA")</f>
        <v>2 ULA B PUTRA</v>
      </c>
      <c r="L54" s="29" t="str">
        <f>IFERROR(__xludf.DUMMYFUNCTION("""COMPUTED_VALUE"""),"6285648208817")</f>
        <v>6285648208817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2">
        <f>IFERROR(__xludf.DUMMYFUNCTION("""COMPUTED_VALUE"""),450000.0)</f>
        <v>450000</v>
      </c>
      <c r="Z54" s="22">
        <f>IFERROR(__xludf.DUMMYFUNCTION("""COMPUTED_VALUE"""),450000.0)</f>
        <v>450000</v>
      </c>
      <c r="AA54" s="28"/>
      <c r="AB54" s="22">
        <f>IFERROR(__xludf.DUMMYFUNCTION("""COMPUTED_VALUE"""),500000.0)</f>
        <v>500000</v>
      </c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2">
        <f>IFERROR(__xludf.DUMMYFUNCTION("""COMPUTED_VALUE"""),500000.0)</f>
        <v>500000</v>
      </c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2">
        <f>IFERROR(__xludf.DUMMYFUNCTION("""COMPUTED_VALUE"""),900000.0)</f>
        <v>900000</v>
      </c>
      <c r="BD54" s="22">
        <f>IFERROR(__xludf.DUMMYFUNCTION("""COMPUTED_VALUE"""),1000000.0)</f>
        <v>1000000</v>
      </c>
      <c r="BE54" s="22">
        <f>IFERROR(__xludf.DUMMYFUNCTION("""COMPUTED_VALUE"""),0.0)</f>
        <v>0</v>
      </c>
      <c r="BF54" s="22">
        <f>IFERROR(__xludf.DUMMYFUNCTION("""COMPUTED_VALUE"""),1900000.0)</f>
        <v>1900000</v>
      </c>
    </row>
    <row r="55">
      <c r="A55" s="27">
        <f>IFERROR(__xludf.DUMMYFUNCTION("""COMPUTED_VALUE"""),54.0)</f>
        <v>54</v>
      </c>
      <c r="B55" s="28" t="str">
        <f>IFERROR(__xludf.DUMMYFUNCTION("""COMPUTED_VALUE"""),"GAVIN DARREL ZYWANTA")</f>
        <v>GAVIN DARREL ZYWANTA</v>
      </c>
      <c r="C55" s="28">
        <f>IFERROR(__xludf.DUMMYFUNCTION("""COMPUTED_VALUE"""),2.025070528E9)</f>
        <v>2025070528</v>
      </c>
      <c r="D55" s="28" t="str">
        <f>IFERROR(__xludf.DUMMYFUNCTION("""COMPUTED_VALUE"""),"HERU SETIYAWAN")</f>
        <v>HERU SETIYAWAN</v>
      </c>
      <c r="E55" s="28" t="str">
        <f>IFERROR(__xludf.DUMMYFUNCTION("""COMPUTED_VALUE"""),"UMZILAH")</f>
        <v>UMZILAH</v>
      </c>
      <c r="F55" s="28" t="str">
        <f>IFERROR(__xludf.DUMMYFUNCTION("""COMPUTED_VALUE"""),"WATANGAN WATANGPANJANG RT 002 RW 002 KARANGBINANGUN LAMONGAN")</f>
        <v>WATANGAN WATANGPANJANG RT 002 RW 002 KARANGBINANGUN LAMONGAN</v>
      </c>
      <c r="G55" s="28" t="str">
        <f>IFERROR(__xludf.DUMMYFUNCTION("""COMPUTED_VALUE"""),"MTS-8 C")</f>
        <v>MTS-8 C</v>
      </c>
      <c r="H55" s="28" t="str">
        <f>IFERROR(__xludf.DUMMYFUNCTION("""COMPUTED_VALUE"""),"A")</f>
        <v>A</v>
      </c>
      <c r="I55" s="28" t="str">
        <f>IFERROR(__xludf.DUMMYFUNCTION("""COMPUTED_VALUE"""),"A-1")</f>
        <v>A-1</v>
      </c>
      <c r="J55" s="28">
        <f>IFERROR(__xludf.DUMMYFUNCTION("""COMPUTED_VALUE"""),2.0)</f>
        <v>2</v>
      </c>
      <c r="K55" s="28" t="str">
        <f>IFERROR(__xludf.DUMMYFUNCTION("""COMPUTED_VALUE"""),"2 ULA B PUTRA")</f>
        <v>2 ULA B PUTRA</v>
      </c>
      <c r="L55" s="29" t="str">
        <f>IFERROR(__xludf.DUMMYFUNCTION("""COMPUTED_VALUE"""),"6281515528147")</f>
        <v>6281515528147</v>
      </c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2">
        <f>IFERROR(__xludf.DUMMYFUNCTION("""COMPUTED_VALUE"""),500000.0)</f>
        <v>500000</v>
      </c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2">
        <f>IFERROR(__xludf.DUMMYFUNCTION("""COMPUTED_VALUE"""),500000.0)</f>
        <v>500000</v>
      </c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2">
        <f>IFERROR(__xludf.DUMMYFUNCTION("""COMPUTED_VALUE"""),0.0)</f>
        <v>0</v>
      </c>
      <c r="BD55" s="22">
        <f>IFERROR(__xludf.DUMMYFUNCTION("""COMPUTED_VALUE"""),1000000.0)</f>
        <v>1000000</v>
      </c>
      <c r="BE55" s="22">
        <f>IFERROR(__xludf.DUMMYFUNCTION("""COMPUTED_VALUE"""),0.0)</f>
        <v>0</v>
      </c>
      <c r="BF55" s="22">
        <f>IFERROR(__xludf.DUMMYFUNCTION("""COMPUTED_VALUE"""),1000000.0)</f>
        <v>1000000</v>
      </c>
    </row>
    <row r="56">
      <c r="A56" s="27">
        <f>IFERROR(__xludf.DUMMYFUNCTION("""COMPUTED_VALUE"""),55.0)</f>
        <v>55</v>
      </c>
      <c r="B56" s="28" t="str">
        <f>IFERROR(__xludf.DUMMYFUNCTION("""COMPUTED_VALUE"""),"GHULAM AURELIO BHADRIKA")</f>
        <v>GHULAM AURELIO BHADRIKA</v>
      </c>
      <c r="C56" s="28">
        <f>IFERROR(__xludf.DUMMYFUNCTION("""COMPUTED_VALUE"""),2.025070553E9)</f>
        <v>2025070553</v>
      </c>
      <c r="D56" s="28" t="str">
        <f>IFERROR(__xludf.DUMMYFUNCTION("""COMPUTED_VALUE"""),"HAMID ARIF")</f>
        <v>HAMID ARIF</v>
      </c>
      <c r="E56" s="28" t="str">
        <f>IFERROR(__xludf.DUMMYFUNCTION("""COMPUTED_VALUE"""),"SEPTINING WULANDARI")</f>
        <v>SEPTINING WULANDARI</v>
      </c>
      <c r="F56" s="28" t="str">
        <f>IFERROR(__xludf.DUMMYFUNCTION("""COMPUTED_VALUE"""),"TANJUNG RT 001 RW 002 LAMONGAN LAMONGAN")</f>
        <v>TANJUNG RT 001 RW 002 LAMONGAN LAMONGAN</v>
      </c>
      <c r="G56" s="28" t="str">
        <f>IFERROR(__xludf.DUMMYFUNCTION("""COMPUTED_VALUE"""),"MTS-8 F")</f>
        <v>MTS-8 F</v>
      </c>
      <c r="H56" s="28" t="str">
        <f>IFERROR(__xludf.DUMMYFUNCTION("""COMPUTED_VALUE"""),"A")</f>
        <v>A</v>
      </c>
      <c r="I56" s="28" t="str">
        <f>IFERROR(__xludf.DUMMYFUNCTION("""COMPUTED_VALUE"""),"A-1")</f>
        <v>A-1</v>
      </c>
      <c r="J56" s="28">
        <f>IFERROR(__xludf.DUMMYFUNCTION("""COMPUTED_VALUE"""),2.0)</f>
        <v>2</v>
      </c>
      <c r="K56" s="28" t="str">
        <f>IFERROR(__xludf.DUMMYFUNCTION("""COMPUTED_VALUE"""),"2 ULA B PUTRA")</f>
        <v>2 ULA B PUTRA</v>
      </c>
      <c r="L56" s="29" t="str">
        <f>IFERROR(__xludf.DUMMYFUNCTION("""COMPUTED_VALUE"""),"628561750784")</f>
        <v>628561750784</v>
      </c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2">
        <f>IFERROR(__xludf.DUMMYFUNCTION("""COMPUTED_VALUE"""),500000.0)</f>
        <v>500000</v>
      </c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2">
        <f>IFERROR(__xludf.DUMMYFUNCTION("""COMPUTED_VALUE"""),500000.0)</f>
        <v>500000</v>
      </c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2">
        <f>IFERROR(__xludf.DUMMYFUNCTION("""COMPUTED_VALUE"""),0.0)</f>
        <v>0</v>
      </c>
      <c r="BD56" s="22">
        <f>IFERROR(__xludf.DUMMYFUNCTION("""COMPUTED_VALUE"""),1000000.0)</f>
        <v>1000000</v>
      </c>
      <c r="BE56" s="22">
        <f>IFERROR(__xludf.DUMMYFUNCTION("""COMPUTED_VALUE"""),0.0)</f>
        <v>0</v>
      </c>
      <c r="BF56" s="22">
        <f>IFERROR(__xludf.DUMMYFUNCTION("""COMPUTED_VALUE"""),1000000.0)</f>
        <v>1000000</v>
      </c>
    </row>
    <row r="57">
      <c r="A57" s="27">
        <f>IFERROR(__xludf.DUMMYFUNCTION("""COMPUTED_VALUE"""),56.0)</f>
        <v>56</v>
      </c>
      <c r="B57" s="28" t="str">
        <f>IFERROR(__xludf.DUMMYFUNCTION("""COMPUTED_VALUE"""),"HABIBAULLAH ZADAH VARIAN")</f>
        <v>HABIBAULLAH ZADAH VARIAN</v>
      </c>
      <c r="C57" s="28">
        <f>IFERROR(__xludf.DUMMYFUNCTION("""COMPUTED_VALUE"""),2.025070652E9)</f>
        <v>2025070652</v>
      </c>
      <c r="D57" s="28" t="str">
        <f>IFERROR(__xludf.DUMMYFUNCTION("""COMPUTED_VALUE"""),"A. KHARIS. R")</f>
        <v>A. KHARIS. R</v>
      </c>
      <c r="E57" s="28" t="str">
        <f>IFERROR(__xludf.DUMMYFUNCTION("""COMPUTED_VALUE"""),"INTAN DWI SATRIYA")</f>
        <v>INTAN DWI SATRIYA</v>
      </c>
      <c r="F57" s="28" t="str">
        <f>IFERROR(__xludf.DUMMYFUNCTION("""COMPUTED_VALUE"""),"PADENGANPLOSO RT 013 RW 002 PUCUK LAMONGAN")</f>
        <v>PADENGANPLOSO RT 013 RW 002 PUCUK LAMONGAN</v>
      </c>
      <c r="G57" s="28" t="str">
        <f>IFERROR(__xludf.DUMMYFUNCTION("""COMPUTED_VALUE"""),"MTS-8 E")</f>
        <v>MTS-8 E</v>
      </c>
      <c r="H57" s="28" t="str">
        <f>IFERROR(__xludf.DUMMYFUNCTION("""COMPUTED_VALUE"""),"A")</f>
        <v>A</v>
      </c>
      <c r="I57" s="28" t="str">
        <f>IFERROR(__xludf.DUMMYFUNCTION("""COMPUTED_VALUE"""),"A-3")</f>
        <v>A-3</v>
      </c>
      <c r="J57" s="28">
        <f>IFERROR(__xludf.DUMMYFUNCTION("""COMPUTED_VALUE"""),2.0)</f>
        <v>2</v>
      </c>
      <c r="K57" s="28" t="str">
        <f>IFERROR(__xludf.DUMMYFUNCTION("""COMPUTED_VALUE"""),"2 ULA B PUTRA")</f>
        <v>2 ULA B PUTRA</v>
      </c>
      <c r="L57" s="29" t="str">
        <f>IFERROR(__xludf.DUMMYFUNCTION("""COMPUTED_VALUE"""),"6285645225607")</f>
        <v>6285645225607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2">
        <f>IFERROR(__xludf.DUMMYFUNCTION("""COMPUTED_VALUE"""),500000.0)</f>
        <v>500000</v>
      </c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2">
        <f>IFERROR(__xludf.DUMMYFUNCTION("""COMPUTED_VALUE"""),500000.0)</f>
        <v>500000</v>
      </c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2">
        <f>IFERROR(__xludf.DUMMYFUNCTION("""COMPUTED_VALUE"""),0.0)</f>
        <v>0</v>
      </c>
      <c r="BD57" s="22">
        <f>IFERROR(__xludf.DUMMYFUNCTION("""COMPUTED_VALUE"""),1000000.0)</f>
        <v>1000000</v>
      </c>
      <c r="BE57" s="22">
        <f>IFERROR(__xludf.DUMMYFUNCTION("""COMPUTED_VALUE"""),0.0)</f>
        <v>0</v>
      </c>
      <c r="BF57" s="22">
        <f>IFERROR(__xludf.DUMMYFUNCTION("""COMPUTED_VALUE"""),1000000.0)</f>
        <v>1000000</v>
      </c>
    </row>
    <row r="58">
      <c r="A58" s="27">
        <f>IFERROR(__xludf.DUMMYFUNCTION("""COMPUTED_VALUE"""),57.0)</f>
        <v>57</v>
      </c>
      <c r="B58" s="28" t="str">
        <f>IFERROR(__xludf.DUMMYFUNCTION("""COMPUTED_VALUE"""),"HALLI SALAKHUDIN")</f>
        <v>HALLI SALAKHUDIN</v>
      </c>
      <c r="C58" s="28">
        <f>IFERROR(__xludf.DUMMYFUNCTION("""COMPUTED_VALUE"""),2.025070459E9)</f>
        <v>2025070459</v>
      </c>
      <c r="D58" s="28" t="str">
        <f>IFERROR(__xludf.DUMMYFUNCTION("""COMPUTED_VALUE"""),"KHAFIDLUM MUJIB")</f>
        <v>KHAFIDLUM MUJIB</v>
      </c>
      <c r="E58" s="28" t="str">
        <f>IFERROR(__xludf.DUMMYFUNCTION("""COMPUTED_VALUE"""),"SUMILAH")</f>
        <v>SUMILAH</v>
      </c>
      <c r="F58" s="28" t="str">
        <f>IFERROR(__xludf.DUMMYFUNCTION("""COMPUTED_VALUE"""),"RINGIN PAYAMAN RT 001 RW 007 SOLOKURO LAMONGAN")</f>
        <v>RINGIN PAYAMAN RT 001 RW 007 SOLOKURO LAMONGAN</v>
      </c>
      <c r="G58" s="28" t="str">
        <f>IFERROR(__xludf.DUMMYFUNCTION("""COMPUTED_VALUE"""),"SMK-XI TKJ 2")</f>
        <v>SMK-XI TKJ 2</v>
      </c>
      <c r="H58" s="28" t="str">
        <f>IFERROR(__xludf.DUMMYFUNCTION("""COMPUTED_VALUE"""),"A")</f>
        <v>A</v>
      </c>
      <c r="I58" s="28" t="str">
        <f>IFERROR(__xludf.DUMMYFUNCTION("""COMPUTED_VALUE"""),"A-9")</f>
        <v>A-9</v>
      </c>
      <c r="J58" s="28">
        <f>IFERROR(__xludf.DUMMYFUNCTION("""COMPUTED_VALUE"""),2.0)</f>
        <v>2</v>
      </c>
      <c r="K58" s="28" t="str">
        <f>IFERROR(__xludf.DUMMYFUNCTION("""COMPUTED_VALUE"""),"2 WUSTHO A PUTRA")</f>
        <v>2 WUSTHO A PUTRA</v>
      </c>
      <c r="L58" s="29" t="str">
        <f>IFERROR(__xludf.DUMMYFUNCTION("""COMPUTED_VALUE"""),"6281357414185")</f>
        <v>6281357414185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2">
        <f>IFERROR(__xludf.DUMMYFUNCTION("""COMPUTED_VALUE"""),450000.0)</f>
        <v>450000</v>
      </c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2">
        <f>IFERROR(__xludf.DUMMYFUNCTION("""COMPUTED_VALUE"""),450000.0)</f>
        <v>450000</v>
      </c>
      <c r="BD58" s="22">
        <f>IFERROR(__xludf.DUMMYFUNCTION("""COMPUTED_VALUE"""),0.0)</f>
        <v>0</v>
      </c>
      <c r="BE58" s="22">
        <f>IFERROR(__xludf.DUMMYFUNCTION("""COMPUTED_VALUE"""),0.0)</f>
        <v>0</v>
      </c>
      <c r="BF58" s="22">
        <f>IFERROR(__xludf.DUMMYFUNCTION("""COMPUTED_VALUE"""),450000.0)</f>
        <v>450000</v>
      </c>
    </row>
    <row r="59">
      <c r="A59" s="27">
        <f>IFERROR(__xludf.DUMMYFUNCTION("""COMPUTED_VALUE"""),58.0)</f>
        <v>58</v>
      </c>
      <c r="B59" s="28" t="str">
        <f>IFERROR(__xludf.DUMMYFUNCTION("""COMPUTED_VALUE"""),"JABHAL ARZAD AL HUSAIN")</f>
        <v>JABHAL ARZAD AL HUSAIN</v>
      </c>
      <c r="C59" s="28">
        <f>IFERROR(__xludf.DUMMYFUNCTION("""COMPUTED_VALUE"""),2.025070583E9)</f>
        <v>2025070583</v>
      </c>
      <c r="D59" s="28" t="str">
        <f>IFERROR(__xludf.DUMMYFUNCTION("""COMPUTED_VALUE"""),"SUWANDI")</f>
        <v>SUWANDI</v>
      </c>
      <c r="E59" s="28" t="str">
        <f>IFERROR(__xludf.DUMMYFUNCTION("""COMPUTED_VALUE"""),"SUNARTI")</f>
        <v>SUNARTI</v>
      </c>
      <c r="F59" s="28" t="str">
        <f>IFERROR(__xludf.DUMMYFUNCTION("""COMPUTED_VALUE"""),"KEBONANANOM RT 003 RW 002 GEDANGAN SIDOARJO")</f>
        <v>KEBONANANOM RT 003 RW 002 GEDANGAN SIDOARJO</v>
      </c>
      <c r="G59" s="28" t="str">
        <f>IFERROR(__xludf.DUMMYFUNCTION("""COMPUTED_VALUE"""),"MTS-8 E")</f>
        <v>MTS-8 E</v>
      </c>
      <c r="H59" s="28" t="str">
        <f>IFERROR(__xludf.DUMMYFUNCTION("""COMPUTED_VALUE"""),"A")</f>
        <v>A</v>
      </c>
      <c r="I59" s="28" t="str">
        <f>IFERROR(__xludf.DUMMYFUNCTION("""COMPUTED_VALUE"""),"A-1")</f>
        <v>A-1</v>
      </c>
      <c r="J59" s="28">
        <f>IFERROR(__xludf.DUMMYFUNCTION("""COMPUTED_VALUE"""),2.0)</f>
        <v>2</v>
      </c>
      <c r="K59" s="28" t="str">
        <f>IFERROR(__xludf.DUMMYFUNCTION("""COMPUTED_VALUE"""),"2 ULA B PUTRA")</f>
        <v>2 ULA B PUTRA</v>
      </c>
      <c r="L59" s="29" t="str">
        <f>IFERROR(__xludf.DUMMYFUNCTION("""COMPUTED_VALUE"""),"6281286606782")</f>
        <v>6281286606782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2">
        <f>IFERROR(__xludf.DUMMYFUNCTION("""COMPUTED_VALUE"""),500000.0)</f>
        <v>500000</v>
      </c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2">
        <f>IFERROR(__xludf.DUMMYFUNCTION("""COMPUTED_VALUE"""),500000.0)</f>
        <v>500000</v>
      </c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2">
        <f>IFERROR(__xludf.DUMMYFUNCTION("""COMPUTED_VALUE"""),0.0)</f>
        <v>0</v>
      </c>
      <c r="BD59" s="22">
        <f>IFERROR(__xludf.DUMMYFUNCTION("""COMPUTED_VALUE"""),1000000.0)</f>
        <v>1000000</v>
      </c>
      <c r="BE59" s="22">
        <f>IFERROR(__xludf.DUMMYFUNCTION("""COMPUTED_VALUE"""),0.0)</f>
        <v>0</v>
      </c>
      <c r="BF59" s="22">
        <f>IFERROR(__xludf.DUMMYFUNCTION("""COMPUTED_VALUE"""),1000000.0)</f>
        <v>1000000</v>
      </c>
    </row>
    <row r="60">
      <c r="A60" s="27">
        <f>IFERROR(__xludf.DUMMYFUNCTION("""COMPUTED_VALUE"""),59.0)</f>
        <v>59</v>
      </c>
      <c r="B60" s="28" t="str">
        <f>IFERROR(__xludf.DUMMYFUNCTION("""COMPUTED_VALUE"""),"KAKA MAULANA AHMAD AL KAHFI")</f>
        <v>KAKA MAULANA AHMAD AL KAHFI</v>
      </c>
      <c r="C60" s="28">
        <f>IFERROR(__xludf.DUMMYFUNCTION("""COMPUTED_VALUE"""),2.025070639E9)</f>
        <v>2025070639</v>
      </c>
      <c r="D60" s="28" t="str">
        <f>IFERROR(__xludf.DUMMYFUNCTION("""COMPUTED_VALUE"""),"SHOKHIBUL KAHFI")</f>
        <v>SHOKHIBUL KAHFI</v>
      </c>
      <c r="E60" s="28" t="str">
        <f>IFERROR(__xludf.DUMMYFUNCTION("""COMPUTED_VALUE"""),"I`ANATUS SA`ADAH")</f>
        <v>I`ANATUS SA`ADAH</v>
      </c>
      <c r="F60" s="28" t="str">
        <f>IFERROR(__xludf.DUMMYFUNCTION("""COMPUTED_VALUE"""),"PADENGANPLOSO RT 006 RW 001 PUCUK LAMONGAN")</f>
        <v>PADENGANPLOSO RT 006 RW 001 PUCUK LAMONGAN</v>
      </c>
      <c r="G60" s="28" t="str">
        <f>IFERROR(__xludf.DUMMYFUNCTION("""COMPUTED_VALUE"""),"MTS-8 B")</f>
        <v>MTS-8 B</v>
      </c>
      <c r="H60" s="28" t="str">
        <f>IFERROR(__xludf.DUMMYFUNCTION("""COMPUTED_VALUE"""),"A")</f>
        <v>A</v>
      </c>
      <c r="I60" s="28" t="str">
        <f>IFERROR(__xludf.DUMMYFUNCTION("""COMPUTED_VALUE"""),"A-1")</f>
        <v>A-1</v>
      </c>
      <c r="J60" s="28">
        <f>IFERROR(__xludf.DUMMYFUNCTION("""COMPUTED_VALUE"""),2.0)</f>
        <v>2</v>
      </c>
      <c r="K60" s="28" t="str">
        <f>IFERROR(__xludf.DUMMYFUNCTION("""COMPUTED_VALUE"""),"2 ULA B PUTRA")</f>
        <v>2 ULA B PUTRA</v>
      </c>
      <c r="L60" s="29" t="str">
        <f>IFERROR(__xludf.DUMMYFUNCTION("""COMPUTED_VALUE"""),"6285854881555")</f>
        <v>6285854881555</v>
      </c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2">
        <f>IFERROR(__xludf.DUMMYFUNCTION("""COMPUTED_VALUE"""),450000.0)</f>
        <v>450000</v>
      </c>
      <c r="Z60" s="22">
        <f>IFERROR(__xludf.DUMMYFUNCTION("""COMPUTED_VALUE"""),450000.0)</f>
        <v>450000</v>
      </c>
      <c r="AA60" s="28"/>
      <c r="AB60" s="22">
        <f>IFERROR(__xludf.DUMMYFUNCTION("""COMPUTED_VALUE"""),500000.0)</f>
        <v>500000</v>
      </c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2">
        <f>IFERROR(__xludf.DUMMYFUNCTION("""COMPUTED_VALUE"""),500000.0)</f>
        <v>500000</v>
      </c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2">
        <f>IFERROR(__xludf.DUMMYFUNCTION("""COMPUTED_VALUE"""),900000.0)</f>
        <v>900000</v>
      </c>
      <c r="BD60" s="22">
        <f>IFERROR(__xludf.DUMMYFUNCTION("""COMPUTED_VALUE"""),1000000.0)</f>
        <v>1000000</v>
      </c>
      <c r="BE60" s="22">
        <f>IFERROR(__xludf.DUMMYFUNCTION("""COMPUTED_VALUE"""),0.0)</f>
        <v>0</v>
      </c>
      <c r="BF60" s="22">
        <f>IFERROR(__xludf.DUMMYFUNCTION("""COMPUTED_VALUE"""),1900000.0)</f>
        <v>1900000</v>
      </c>
    </row>
    <row r="61">
      <c r="A61" s="27">
        <f>IFERROR(__xludf.DUMMYFUNCTION("""COMPUTED_VALUE"""),60.0)</f>
        <v>60</v>
      </c>
      <c r="B61" s="28" t="str">
        <f>IFERROR(__xludf.DUMMYFUNCTION("""COMPUTED_VALUE"""),"M. FARHAN FRANANDA RADITYA")</f>
        <v>M. FARHAN FRANANDA RADITYA</v>
      </c>
      <c r="C61" s="28">
        <f>IFERROR(__xludf.DUMMYFUNCTION("""COMPUTED_VALUE"""),2.025070541E9)</f>
        <v>2025070541</v>
      </c>
      <c r="D61" s="28" t="str">
        <f>IFERROR(__xludf.DUMMYFUNCTION("""COMPUTED_VALUE"""),"KASNADI")</f>
        <v>KASNADI</v>
      </c>
      <c r="E61" s="28" t="str">
        <f>IFERROR(__xludf.DUMMYFUNCTION("""COMPUTED_VALUE"""),"LULUK MAF`ULLAH")</f>
        <v>LULUK MAF`ULLAH</v>
      </c>
      <c r="F61" s="28" t="str">
        <f>IFERROR(__xludf.DUMMYFUNCTION("""COMPUTED_VALUE"""),"NGUJUNG NGUJUNGREJO RT 002 RW 001 TURI LAMONGAN")</f>
        <v>NGUJUNG NGUJUNGREJO RT 002 RW 001 TURI LAMONGAN</v>
      </c>
      <c r="G61" s="28" t="str">
        <f>IFERROR(__xludf.DUMMYFUNCTION("""COMPUTED_VALUE"""),"MTS-8 G")</f>
        <v>MTS-8 G</v>
      </c>
      <c r="H61" s="28" t="str">
        <f>IFERROR(__xludf.DUMMYFUNCTION("""COMPUTED_VALUE"""),"A")</f>
        <v>A</v>
      </c>
      <c r="I61" s="28" t="str">
        <f>IFERROR(__xludf.DUMMYFUNCTION("""COMPUTED_VALUE"""),"A-3")</f>
        <v>A-3</v>
      </c>
      <c r="J61" s="28">
        <f>IFERROR(__xludf.DUMMYFUNCTION("""COMPUTED_VALUE"""),2.0)</f>
        <v>2</v>
      </c>
      <c r="K61" s="28" t="str">
        <f>IFERROR(__xludf.DUMMYFUNCTION("""COMPUTED_VALUE"""),"2 ULA B PUTRA")</f>
        <v>2 ULA B PUTRA</v>
      </c>
      <c r="L61" s="29" t="str">
        <f>IFERROR(__xludf.DUMMYFUNCTION("""COMPUTED_VALUE"""),"6285850274729")</f>
        <v>6285850274729</v>
      </c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2">
        <f>IFERROR(__xludf.DUMMYFUNCTION("""COMPUTED_VALUE"""),500000.0)</f>
        <v>500000</v>
      </c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2">
        <f>IFERROR(__xludf.DUMMYFUNCTION("""COMPUTED_VALUE"""),500000.0)</f>
        <v>500000</v>
      </c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2">
        <f>IFERROR(__xludf.DUMMYFUNCTION("""COMPUTED_VALUE"""),0.0)</f>
        <v>0</v>
      </c>
      <c r="BD61" s="22">
        <f>IFERROR(__xludf.DUMMYFUNCTION("""COMPUTED_VALUE"""),1000000.0)</f>
        <v>1000000</v>
      </c>
      <c r="BE61" s="22">
        <f>IFERROR(__xludf.DUMMYFUNCTION("""COMPUTED_VALUE"""),0.0)</f>
        <v>0</v>
      </c>
      <c r="BF61" s="22">
        <f>IFERROR(__xludf.DUMMYFUNCTION("""COMPUTED_VALUE"""),1000000.0)</f>
        <v>1000000</v>
      </c>
    </row>
    <row r="62">
      <c r="A62" s="27">
        <f>IFERROR(__xludf.DUMMYFUNCTION("""COMPUTED_VALUE"""),61.0)</f>
        <v>61</v>
      </c>
      <c r="B62" s="28" t="str">
        <f>IFERROR(__xludf.DUMMYFUNCTION("""COMPUTED_VALUE"""),"M. FATIHU AHSANI TAQWIM")</f>
        <v>M. FATIHU AHSANI TAQWIM</v>
      </c>
      <c r="C62" s="28">
        <f>IFERROR(__xludf.DUMMYFUNCTION("""COMPUTED_VALUE"""),2.02507022E9)</f>
        <v>2025070220</v>
      </c>
      <c r="D62" s="28" t="str">
        <f>IFERROR(__xludf.DUMMYFUNCTION("""COMPUTED_VALUE"""),"MUDHOFAR")</f>
        <v>MUDHOFAR</v>
      </c>
      <c r="E62" s="28" t="str">
        <f>IFERROR(__xludf.DUMMYFUNCTION("""COMPUTED_VALUE"""),"KARYATI")</f>
        <v>KARYATI</v>
      </c>
      <c r="F62" s="28" t="str">
        <f>IFERROR(__xludf.DUMMYFUNCTION("""COMPUTED_VALUE"""),"MENGAI SUKOREJO RT 002 RW 005 KARANGBINANGUN LAMONGAN")</f>
        <v>MENGAI SUKOREJO RT 002 RW 005 KARANGBINANGUN LAMONGAN</v>
      </c>
      <c r="G62" s="28" t="str">
        <f>IFERROR(__xludf.DUMMYFUNCTION("""COMPUTED_VALUE"""),"MA-XI.8")</f>
        <v>MA-XI.8</v>
      </c>
      <c r="H62" s="28" t="str">
        <f>IFERROR(__xludf.DUMMYFUNCTION("""COMPUTED_VALUE"""),"A")</f>
        <v>A</v>
      </c>
      <c r="I62" s="28" t="str">
        <f>IFERROR(__xludf.DUMMYFUNCTION("""COMPUTED_VALUE"""),"A-9")</f>
        <v>A-9</v>
      </c>
      <c r="J62" s="28">
        <f>IFERROR(__xludf.DUMMYFUNCTION("""COMPUTED_VALUE"""),2.0)</f>
        <v>2</v>
      </c>
      <c r="K62" s="28" t="str">
        <f>IFERROR(__xludf.DUMMYFUNCTION("""COMPUTED_VALUE"""),"2 WUSTHO A PUTRA")</f>
        <v>2 WUSTHO A PUTRA</v>
      </c>
      <c r="L62" s="29" t="str">
        <f>IFERROR(__xludf.DUMMYFUNCTION("""COMPUTED_VALUE"""),"6285607890133")</f>
        <v>6285607890133</v>
      </c>
      <c r="M62" s="28"/>
      <c r="N62" s="28"/>
      <c r="O62" s="28"/>
      <c r="P62" s="28"/>
      <c r="Q62" s="22">
        <f>IFERROR(__xludf.DUMMYFUNCTION("""COMPUTED_VALUE"""),450000.0)</f>
        <v>450000</v>
      </c>
      <c r="R62" s="22">
        <f>IFERROR(__xludf.DUMMYFUNCTION("""COMPUTED_VALUE"""),450000.0)</f>
        <v>450000</v>
      </c>
      <c r="S62" s="22">
        <f>IFERROR(__xludf.DUMMYFUNCTION("""COMPUTED_VALUE"""),450000.0)</f>
        <v>450000</v>
      </c>
      <c r="T62" s="22">
        <f>IFERROR(__xludf.DUMMYFUNCTION("""COMPUTED_VALUE"""),450000.0)</f>
        <v>450000</v>
      </c>
      <c r="U62" s="22">
        <f>IFERROR(__xludf.DUMMYFUNCTION("""COMPUTED_VALUE"""),450000.0)</f>
        <v>450000</v>
      </c>
      <c r="V62" s="22">
        <f>IFERROR(__xludf.DUMMYFUNCTION("""COMPUTED_VALUE"""),450000.0)</f>
        <v>450000</v>
      </c>
      <c r="W62" s="22">
        <f>IFERROR(__xludf.DUMMYFUNCTION("""COMPUTED_VALUE"""),450000.0)</f>
        <v>450000</v>
      </c>
      <c r="X62" s="22">
        <f>IFERROR(__xludf.DUMMYFUNCTION("""COMPUTED_VALUE"""),450000.0)</f>
        <v>450000</v>
      </c>
      <c r="Y62" s="22">
        <f>IFERROR(__xludf.DUMMYFUNCTION("""COMPUTED_VALUE"""),450000.0)</f>
        <v>450000</v>
      </c>
      <c r="Z62" s="22">
        <f>IFERROR(__xludf.DUMMYFUNCTION("""COMPUTED_VALUE"""),450000.0)</f>
        <v>450000</v>
      </c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2">
        <f>IFERROR(__xludf.DUMMYFUNCTION("""COMPUTED_VALUE"""),4500000.0)</f>
        <v>4500000</v>
      </c>
      <c r="BD62" s="22">
        <f>IFERROR(__xludf.DUMMYFUNCTION("""COMPUTED_VALUE"""),0.0)</f>
        <v>0</v>
      </c>
      <c r="BE62" s="22">
        <f>IFERROR(__xludf.DUMMYFUNCTION("""COMPUTED_VALUE"""),0.0)</f>
        <v>0</v>
      </c>
      <c r="BF62" s="22">
        <f>IFERROR(__xludf.DUMMYFUNCTION("""COMPUTED_VALUE"""),4500000.0)</f>
        <v>4500000</v>
      </c>
    </row>
    <row r="63">
      <c r="A63" s="27">
        <f>IFERROR(__xludf.DUMMYFUNCTION("""COMPUTED_VALUE"""),62.0)</f>
        <v>62</v>
      </c>
      <c r="B63" s="28" t="str">
        <f>IFERROR(__xludf.DUMMYFUNCTION("""COMPUTED_VALUE"""),"M. MARCEL AULIA WICAKSANA")</f>
        <v>M. MARCEL AULIA WICAKSANA</v>
      </c>
      <c r="C63" s="28">
        <f>IFERROR(__xludf.DUMMYFUNCTION("""COMPUTED_VALUE"""),2.02507028E9)</f>
        <v>2025070280</v>
      </c>
      <c r="D63" s="28" t="str">
        <f>IFERROR(__xludf.DUMMYFUNCTION("""COMPUTED_VALUE"""),"ROHMAD")</f>
        <v>ROHMAD</v>
      </c>
      <c r="E63" s="28" t="str">
        <f>IFERROR(__xludf.DUMMYFUNCTION("""COMPUTED_VALUE"""),"FENI SUSANTI")</f>
        <v>FENI SUSANTI</v>
      </c>
      <c r="F63" s="28" t="str">
        <f>IFERROR(__xludf.DUMMYFUNCTION("""COMPUTED_VALUE"""),"BAMBANG RT 005 RW 002 TURI LAMONGAN")</f>
        <v>BAMBANG RT 005 RW 002 TURI LAMONGAN</v>
      </c>
      <c r="G63" s="28" t="str">
        <f>IFERROR(__xludf.DUMMYFUNCTION("""COMPUTED_VALUE"""),"MA-XI.2")</f>
        <v>MA-XI.2</v>
      </c>
      <c r="H63" s="28" t="str">
        <f>IFERROR(__xludf.DUMMYFUNCTION("""COMPUTED_VALUE"""),"A")</f>
        <v>A</v>
      </c>
      <c r="I63" s="28" t="str">
        <f>IFERROR(__xludf.DUMMYFUNCTION("""COMPUTED_VALUE"""),"A-9")</f>
        <v>A-9</v>
      </c>
      <c r="J63" s="28">
        <f>IFERROR(__xludf.DUMMYFUNCTION("""COMPUTED_VALUE"""),2.0)</f>
        <v>2</v>
      </c>
      <c r="K63" s="28" t="str">
        <f>IFERROR(__xludf.DUMMYFUNCTION("""COMPUTED_VALUE"""),"2 WUSTHO B PUTRA")</f>
        <v>2 WUSTHO B PUTRA</v>
      </c>
      <c r="L63" s="29" t="str">
        <f>IFERROR(__xludf.DUMMYFUNCTION("""COMPUTED_VALUE"""),"6285692959785")</f>
        <v>6285692959785</v>
      </c>
      <c r="M63" s="28"/>
      <c r="N63" s="28"/>
      <c r="O63" s="28"/>
      <c r="P63" s="28"/>
      <c r="Q63" s="22">
        <f>IFERROR(__xludf.DUMMYFUNCTION("""COMPUTED_VALUE"""),450000.0)</f>
        <v>450000</v>
      </c>
      <c r="R63" s="22">
        <f>IFERROR(__xludf.DUMMYFUNCTION("""COMPUTED_VALUE"""),450000.0)</f>
        <v>450000</v>
      </c>
      <c r="S63" s="22">
        <f>IFERROR(__xludf.DUMMYFUNCTION("""COMPUTED_VALUE"""),450000.0)</f>
        <v>450000</v>
      </c>
      <c r="T63" s="22">
        <f>IFERROR(__xludf.DUMMYFUNCTION("""COMPUTED_VALUE"""),450000.0)</f>
        <v>450000</v>
      </c>
      <c r="U63" s="22">
        <f>IFERROR(__xludf.DUMMYFUNCTION("""COMPUTED_VALUE"""),450000.0)</f>
        <v>450000</v>
      </c>
      <c r="V63" s="22">
        <f>IFERROR(__xludf.DUMMYFUNCTION("""COMPUTED_VALUE"""),450000.0)</f>
        <v>450000</v>
      </c>
      <c r="W63" s="22">
        <f>IFERROR(__xludf.DUMMYFUNCTION("""COMPUTED_VALUE"""),450000.0)</f>
        <v>450000</v>
      </c>
      <c r="X63" s="22">
        <f>IFERROR(__xludf.DUMMYFUNCTION("""COMPUTED_VALUE"""),450000.0)</f>
        <v>450000</v>
      </c>
      <c r="Y63" s="22">
        <f>IFERROR(__xludf.DUMMYFUNCTION("""COMPUTED_VALUE"""),450000.0)</f>
        <v>450000</v>
      </c>
      <c r="Z63" s="22">
        <f>IFERROR(__xludf.DUMMYFUNCTION("""COMPUTED_VALUE"""),450000.0)</f>
        <v>450000</v>
      </c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2">
        <f>IFERROR(__xludf.DUMMYFUNCTION("""COMPUTED_VALUE"""),4500000.0)</f>
        <v>4500000</v>
      </c>
      <c r="BD63" s="22">
        <f>IFERROR(__xludf.DUMMYFUNCTION("""COMPUTED_VALUE"""),0.0)</f>
        <v>0</v>
      </c>
      <c r="BE63" s="22">
        <f>IFERROR(__xludf.DUMMYFUNCTION("""COMPUTED_VALUE"""),0.0)</f>
        <v>0</v>
      </c>
      <c r="BF63" s="22">
        <f>IFERROR(__xludf.DUMMYFUNCTION("""COMPUTED_VALUE"""),4500000.0)</f>
        <v>4500000</v>
      </c>
    </row>
    <row r="64">
      <c r="A64" s="27">
        <f>IFERROR(__xludf.DUMMYFUNCTION("""COMPUTED_VALUE"""),63.0)</f>
        <v>63</v>
      </c>
      <c r="B64" s="28" t="str">
        <f>IFERROR(__xludf.DUMMYFUNCTION("""COMPUTED_VALUE"""),"M. SHEVA AL ABID")</f>
        <v>M. SHEVA AL ABID</v>
      </c>
      <c r="C64" s="28">
        <f>IFERROR(__xludf.DUMMYFUNCTION("""COMPUTED_VALUE"""),2.025070445E9)</f>
        <v>2025070445</v>
      </c>
      <c r="D64" s="28" t="str">
        <f>IFERROR(__xludf.DUMMYFUNCTION("""COMPUTED_VALUE"""),"M. AFIFUDDIN")</f>
        <v>M. AFIFUDDIN</v>
      </c>
      <c r="E64" s="28" t="str">
        <f>IFERROR(__xludf.DUMMYFUNCTION("""COMPUTED_VALUE"""),"SITI MUBAROKATUN NI'MAH")</f>
        <v>SITI MUBAROKATUN NI'MAH</v>
      </c>
      <c r="F64" s="28" t="str">
        <f>IFERROR(__xludf.DUMMYFUNCTION("""COMPUTED_VALUE"""),"KANUGRAHAN RT 004 RW 001 MADURAN LAMONGAN")</f>
        <v>KANUGRAHAN RT 004 RW 001 MADURAN LAMONGAN</v>
      </c>
      <c r="G64" s="28" t="str">
        <f>IFERROR(__xludf.DUMMYFUNCTION("""COMPUTED_VALUE"""),"SMK-XI TKR 2")</f>
        <v>SMK-XI TKR 2</v>
      </c>
      <c r="H64" s="28" t="str">
        <f>IFERROR(__xludf.DUMMYFUNCTION("""COMPUTED_VALUE"""),"A")</f>
        <v>A</v>
      </c>
      <c r="I64" s="28" t="str">
        <f>IFERROR(__xludf.DUMMYFUNCTION("""COMPUTED_VALUE"""),"A-11")</f>
        <v>A-11</v>
      </c>
      <c r="J64" s="28">
        <f>IFERROR(__xludf.DUMMYFUNCTION("""COMPUTED_VALUE"""),2.0)</f>
        <v>2</v>
      </c>
      <c r="K64" s="28" t="str">
        <f>IFERROR(__xludf.DUMMYFUNCTION("""COMPUTED_VALUE"""),"2 WUSTHO A PUTRA")</f>
        <v>2 WUSTHO A PUTRA</v>
      </c>
      <c r="L64" s="29" t="str">
        <f>IFERROR(__xludf.DUMMYFUNCTION("""COMPUTED_VALUE"""),"6285637331175")</f>
        <v>6285637331175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2">
        <f>IFERROR(__xludf.DUMMYFUNCTION("""COMPUTED_VALUE"""),450000.0)</f>
        <v>450000</v>
      </c>
      <c r="X64" s="22">
        <f>IFERROR(__xludf.DUMMYFUNCTION("""COMPUTED_VALUE"""),450000.0)</f>
        <v>450000</v>
      </c>
      <c r="Y64" s="22">
        <f>IFERROR(__xludf.DUMMYFUNCTION("""COMPUTED_VALUE"""),450000.0)</f>
        <v>450000</v>
      </c>
      <c r="Z64" s="22">
        <f>IFERROR(__xludf.DUMMYFUNCTION("""COMPUTED_VALUE"""),450000.0)</f>
        <v>450000</v>
      </c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2">
        <f>IFERROR(__xludf.DUMMYFUNCTION("""COMPUTED_VALUE"""),1800000.0)</f>
        <v>1800000</v>
      </c>
      <c r="BD64" s="22">
        <f>IFERROR(__xludf.DUMMYFUNCTION("""COMPUTED_VALUE"""),0.0)</f>
        <v>0</v>
      </c>
      <c r="BE64" s="22">
        <f>IFERROR(__xludf.DUMMYFUNCTION("""COMPUTED_VALUE"""),0.0)</f>
        <v>0</v>
      </c>
      <c r="BF64" s="22">
        <f>IFERROR(__xludf.DUMMYFUNCTION("""COMPUTED_VALUE"""),1800000.0)</f>
        <v>1800000</v>
      </c>
    </row>
    <row r="65">
      <c r="A65" s="27">
        <f>IFERROR(__xludf.DUMMYFUNCTION("""COMPUTED_VALUE"""),64.0)</f>
        <v>64</v>
      </c>
      <c r="B65" s="28" t="str">
        <f>IFERROR(__xludf.DUMMYFUNCTION("""COMPUTED_VALUE"""),"MALLAHUL JAYYIDI ALITSNAN")</f>
        <v>MALLAHUL JAYYIDI ALITSNAN</v>
      </c>
      <c r="C65" s="28">
        <f>IFERROR(__xludf.DUMMYFUNCTION("""COMPUTED_VALUE"""),2.025070273E9)</f>
        <v>2025070273</v>
      </c>
      <c r="D65" s="28" t="str">
        <f>IFERROR(__xludf.DUMMYFUNCTION("""COMPUTED_VALUE"""),"SUHAJIR")</f>
        <v>SUHAJIR</v>
      </c>
      <c r="E65" s="28" t="str">
        <f>IFERROR(__xludf.DUMMYFUNCTION("""COMPUTED_VALUE"""),"ISLAMIYATI")</f>
        <v>ISLAMIYATI</v>
      </c>
      <c r="F65" s="28" t="str">
        <f>IFERROR(__xludf.DUMMYFUNCTION("""COMPUTED_VALUE"""),"JETAK RT 001 RW 002 PACIRAN LAMONGAN")</f>
        <v>JETAK RT 001 RW 002 PACIRAN LAMONGAN</v>
      </c>
      <c r="G65" s="28" t="str">
        <f>IFERROR(__xludf.DUMMYFUNCTION("""COMPUTED_VALUE"""),"MA-XI.2")</f>
        <v>MA-XI.2</v>
      </c>
      <c r="H65" s="28" t="str">
        <f>IFERROR(__xludf.DUMMYFUNCTION("""COMPUTED_VALUE"""),"A")</f>
        <v>A</v>
      </c>
      <c r="I65" s="28" t="str">
        <f>IFERROR(__xludf.DUMMYFUNCTION("""COMPUTED_VALUE"""),"A-4")</f>
        <v>A-4</v>
      </c>
      <c r="J65" s="28">
        <f>IFERROR(__xludf.DUMMYFUNCTION("""COMPUTED_VALUE"""),2.0)</f>
        <v>2</v>
      </c>
      <c r="K65" s="28" t="str">
        <f>IFERROR(__xludf.DUMMYFUNCTION("""COMPUTED_VALUE"""),"2 WUSTHO A PUTRA")</f>
        <v>2 WUSTHO A PUTRA</v>
      </c>
      <c r="L65" s="29" t="str">
        <f>IFERROR(__xludf.DUMMYFUNCTION("""COMPUTED_VALUE"""),"6285232394315")</f>
        <v>6285232394315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2">
        <f>IFERROR(__xludf.DUMMYFUNCTION("""COMPUTED_VALUE"""),500000.0)</f>
        <v>500000</v>
      </c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2">
        <f>IFERROR(__xludf.DUMMYFUNCTION("""COMPUTED_VALUE"""),500000.0)</f>
        <v>500000</v>
      </c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2">
        <f>IFERROR(__xludf.DUMMYFUNCTION("""COMPUTED_VALUE"""),0.0)</f>
        <v>0</v>
      </c>
      <c r="BD65" s="22">
        <f>IFERROR(__xludf.DUMMYFUNCTION("""COMPUTED_VALUE"""),1000000.0)</f>
        <v>1000000</v>
      </c>
      <c r="BE65" s="22">
        <f>IFERROR(__xludf.DUMMYFUNCTION("""COMPUTED_VALUE"""),0.0)</f>
        <v>0</v>
      </c>
      <c r="BF65" s="22">
        <f>IFERROR(__xludf.DUMMYFUNCTION("""COMPUTED_VALUE"""),1000000.0)</f>
        <v>1000000</v>
      </c>
    </row>
    <row r="66">
      <c r="A66" s="27">
        <f>IFERROR(__xludf.DUMMYFUNCTION("""COMPUTED_VALUE"""),65.0)</f>
        <v>65</v>
      </c>
      <c r="B66" s="28" t="str">
        <f>IFERROR(__xludf.DUMMYFUNCTION("""COMPUTED_VALUE"""),"MICKAIL JALU JAGAD")</f>
        <v>MICKAIL JALU JAGAD</v>
      </c>
      <c r="C66" s="28">
        <f>IFERROR(__xludf.DUMMYFUNCTION("""COMPUTED_VALUE"""),2.02507044E9)</f>
        <v>2025070440</v>
      </c>
      <c r="D66" s="28" t="str">
        <f>IFERROR(__xludf.DUMMYFUNCTION("""COMPUTED_VALUE"""),"PITONO")</f>
        <v>PITONO</v>
      </c>
      <c r="E66" s="28" t="str">
        <f>IFERROR(__xludf.DUMMYFUNCTION("""COMPUTED_VALUE"""),"MARDHIYATUS SHOLIKHAH")</f>
        <v>MARDHIYATUS SHOLIKHAH</v>
      </c>
      <c r="F66" s="28" t="str">
        <f>IFERROR(__xludf.DUMMYFUNCTION("""COMPUTED_VALUE"""),"TULUNG WANAR RT 001 RW 004 PUCUK LAMONGAN")</f>
        <v>TULUNG WANAR RT 001 RW 004 PUCUK LAMONGAN</v>
      </c>
      <c r="G66" s="28" t="str">
        <f>IFERROR(__xludf.DUMMYFUNCTION("""COMPUTED_VALUE"""),"SMK-XI DKV")</f>
        <v>SMK-XI DKV</v>
      </c>
      <c r="H66" s="28" t="str">
        <f>IFERROR(__xludf.DUMMYFUNCTION("""COMPUTED_VALUE"""),"A")</f>
        <v>A</v>
      </c>
      <c r="I66" s="28" t="str">
        <f>IFERROR(__xludf.DUMMYFUNCTION("""COMPUTED_VALUE"""),"A-9")</f>
        <v>A-9</v>
      </c>
      <c r="J66" s="28">
        <f>IFERROR(__xludf.DUMMYFUNCTION("""COMPUTED_VALUE"""),2.0)</f>
        <v>2</v>
      </c>
      <c r="K66" s="28" t="str">
        <f>IFERROR(__xludf.DUMMYFUNCTION("""COMPUTED_VALUE"""),"2 WUSTHO B PUTRA")</f>
        <v>2 WUSTHO B PUTRA</v>
      </c>
      <c r="L66" s="29" t="str">
        <f>IFERROR(__xludf.DUMMYFUNCTION("""COMPUTED_VALUE"""),"6281357162725")</f>
        <v>6281357162725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2">
        <f>IFERROR(__xludf.DUMMYFUNCTION("""COMPUTED_VALUE"""),450000.0)</f>
        <v>450000</v>
      </c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2">
        <f>IFERROR(__xludf.DUMMYFUNCTION("""COMPUTED_VALUE"""),450000.0)</f>
        <v>450000</v>
      </c>
      <c r="BD66" s="22">
        <f>IFERROR(__xludf.DUMMYFUNCTION("""COMPUTED_VALUE"""),0.0)</f>
        <v>0</v>
      </c>
      <c r="BE66" s="22">
        <f>IFERROR(__xludf.DUMMYFUNCTION("""COMPUTED_VALUE"""),0.0)</f>
        <v>0</v>
      </c>
      <c r="BF66" s="22">
        <f>IFERROR(__xludf.DUMMYFUNCTION("""COMPUTED_VALUE"""),450000.0)</f>
        <v>450000</v>
      </c>
    </row>
    <row r="67">
      <c r="A67" s="27">
        <f>IFERROR(__xludf.DUMMYFUNCTION("""COMPUTED_VALUE"""),66.0)</f>
        <v>66</v>
      </c>
      <c r="B67" s="28" t="str">
        <f>IFERROR(__xludf.DUMMYFUNCTION("""COMPUTED_VALUE"""),"MOCH. DANISH IRFAN NUSHFIANTO WAHID")</f>
        <v>MOCH. DANISH IRFAN NUSHFIANTO WAHID</v>
      </c>
      <c r="C67" s="28">
        <f>IFERROR(__xludf.DUMMYFUNCTION("""COMPUTED_VALUE"""),2.025070066E9)</f>
        <v>2025070066</v>
      </c>
      <c r="D67" s="28" t="str">
        <f>IFERROR(__xludf.DUMMYFUNCTION("""COMPUTED_VALUE"""),"ULUM FIYANTO")</f>
        <v>ULUM FIYANTO</v>
      </c>
      <c r="E67" s="28" t="str">
        <f>IFERROR(__xludf.DUMMYFUNCTION("""COMPUTED_VALUE"""),"LILIK SUDARWATI")</f>
        <v>LILIK SUDARWATI</v>
      </c>
      <c r="F67" s="28" t="str">
        <f>IFERROR(__xludf.DUMMYFUNCTION("""COMPUTED_VALUE"""),"BLURI RT 004 RW 003 SOLOKURO LAMONGAN")</f>
        <v>BLURI RT 004 RW 003 SOLOKURO LAMONGAN</v>
      </c>
      <c r="G67" s="28" t="str">
        <f>IFERROR(__xludf.DUMMYFUNCTION("""COMPUTED_VALUE"""),"MA-XI.10")</f>
        <v>MA-XI.10</v>
      </c>
      <c r="H67" s="28" t="str">
        <f>IFERROR(__xludf.DUMMYFUNCTION("""COMPUTED_VALUE"""),"A")</f>
        <v>A</v>
      </c>
      <c r="I67" s="28" t="str">
        <f>IFERROR(__xludf.DUMMYFUNCTION("""COMPUTED_VALUE"""),"A-4")</f>
        <v>A-4</v>
      </c>
      <c r="J67" s="28">
        <f>IFERROR(__xludf.DUMMYFUNCTION("""COMPUTED_VALUE"""),2.0)</f>
        <v>2</v>
      </c>
      <c r="K67" s="28" t="str">
        <f>IFERROR(__xludf.DUMMYFUNCTION("""COMPUTED_VALUE"""),"WUSTHO")</f>
        <v>WUSTHO</v>
      </c>
      <c r="L67" s="29" t="str">
        <f>IFERROR(__xludf.DUMMYFUNCTION("""COMPUTED_VALUE"""),"6282333978889")</f>
        <v>6282333978889</v>
      </c>
      <c r="M67" s="28"/>
      <c r="N67" s="28"/>
      <c r="O67" s="28"/>
      <c r="P67" s="22">
        <f>IFERROR(__xludf.DUMMYFUNCTION("""COMPUTED_VALUE"""),450000.0)</f>
        <v>450000</v>
      </c>
      <c r="Q67" s="22">
        <f>IFERROR(__xludf.DUMMYFUNCTION("""COMPUTED_VALUE"""),450000.0)</f>
        <v>450000</v>
      </c>
      <c r="R67" s="22">
        <f>IFERROR(__xludf.DUMMYFUNCTION("""COMPUTED_VALUE"""),450000.0)</f>
        <v>450000</v>
      </c>
      <c r="S67" s="22">
        <f>IFERROR(__xludf.DUMMYFUNCTION("""COMPUTED_VALUE"""),450000.0)</f>
        <v>450000</v>
      </c>
      <c r="T67" s="22">
        <f>IFERROR(__xludf.DUMMYFUNCTION("""COMPUTED_VALUE"""),450000.0)</f>
        <v>450000</v>
      </c>
      <c r="U67" s="22">
        <f>IFERROR(__xludf.DUMMYFUNCTION("""COMPUTED_VALUE"""),450000.0)</f>
        <v>450000</v>
      </c>
      <c r="V67" s="22">
        <f>IFERROR(__xludf.DUMMYFUNCTION("""COMPUTED_VALUE"""),450000.0)</f>
        <v>450000</v>
      </c>
      <c r="W67" s="22">
        <f>IFERROR(__xludf.DUMMYFUNCTION("""COMPUTED_VALUE"""),450000.0)</f>
        <v>450000</v>
      </c>
      <c r="X67" s="22">
        <f>IFERROR(__xludf.DUMMYFUNCTION("""COMPUTED_VALUE"""),450000.0)</f>
        <v>450000</v>
      </c>
      <c r="Y67" s="22">
        <f>IFERROR(__xludf.DUMMYFUNCTION("""COMPUTED_VALUE"""),450000.0)</f>
        <v>450000</v>
      </c>
      <c r="Z67" s="22">
        <f>IFERROR(__xludf.DUMMYFUNCTION("""COMPUTED_VALUE"""),450000.0)</f>
        <v>450000</v>
      </c>
      <c r="AA67" s="28"/>
      <c r="AB67" s="22">
        <f>IFERROR(__xludf.DUMMYFUNCTION("""COMPUTED_VALUE"""),500000.0)</f>
        <v>500000</v>
      </c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2">
        <f>IFERROR(__xludf.DUMMYFUNCTION("""COMPUTED_VALUE"""),500000.0)</f>
        <v>500000</v>
      </c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2">
        <f>IFERROR(__xludf.DUMMYFUNCTION("""COMPUTED_VALUE"""),4950000.0)</f>
        <v>4950000</v>
      </c>
      <c r="BD67" s="22">
        <f>IFERROR(__xludf.DUMMYFUNCTION("""COMPUTED_VALUE"""),1000000.0)</f>
        <v>1000000</v>
      </c>
      <c r="BE67" s="22">
        <f>IFERROR(__xludf.DUMMYFUNCTION("""COMPUTED_VALUE"""),0.0)</f>
        <v>0</v>
      </c>
      <c r="BF67" s="22">
        <f>IFERROR(__xludf.DUMMYFUNCTION("""COMPUTED_VALUE"""),5950000.0)</f>
        <v>5950000</v>
      </c>
    </row>
    <row r="68">
      <c r="A68" s="27">
        <f>IFERROR(__xludf.DUMMYFUNCTION("""COMPUTED_VALUE"""),67.0)</f>
        <v>67</v>
      </c>
      <c r="B68" s="28" t="str">
        <f>IFERROR(__xludf.DUMMYFUNCTION("""COMPUTED_VALUE"""),"MOCH. FEBRIZANSYAH SAPUTRA")</f>
        <v>MOCH. FEBRIZANSYAH SAPUTRA</v>
      </c>
      <c r="C68" s="28">
        <f>IFERROR(__xludf.DUMMYFUNCTION("""COMPUTED_VALUE"""),2.025070343E9)</f>
        <v>2025070343</v>
      </c>
      <c r="D68" s="28" t="str">
        <f>IFERROR(__xludf.DUMMYFUNCTION("""COMPUTED_VALUE"""),"MOH. SYAIFUDIN")</f>
        <v>MOH. SYAIFUDIN</v>
      </c>
      <c r="E68" s="28" t="str">
        <f>IFERROR(__xludf.DUMMYFUNCTION("""COMPUTED_VALUE"""),"ALIYA")</f>
        <v>ALIYA</v>
      </c>
      <c r="F68" s="28" t="str">
        <f>IFERROR(__xludf.DUMMYFUNCTION("""COMPUTED_VALUE"""),"PLANDI SUMBEREJO RT 001 RW 003 LAMONGAN LAMONGAN")</f>
        <v>PLANDI SUMBEREJO RT 001 RW 003 LAMONGAN LAMONGAN</v>
      </c>
      <c r="G68" s="28" t="str">
        <f>IFERROR(__xludf.DUMMYFUNCTION("""COMPUTED_VALUE"""),"MA-XI.8")</f>
        <v>MA-XI.8</v>
      </c>
      <c r="H68" s="28" t="str">
        <f>IFERROR(__xludf.DUMMYFUNCTION("""COMPUTED_VALUE"""),"A")</f>
        <v>A</v>
      </c>
      <c r="I68" s="28" t="str">
        <f>IFERROR(__xludf.DUMMYFUNCTION("""COMPUTED_VALUE"""),"A-4")</f>
        <v>A-4</v>
      </c>
      <c r="J68" s="28">
        <f>IFERROR(__xludf.DUMMYFUNCTION("""COMPUTED_VALUE"""),2.0)</f>
        <v>2</v>
      </c>
      <c r="K68" s="28" t="str">
        <f>IFERROR(__xludf.DUMMYFUNCTION("""COMPUTED_VALUE"""),"2 MAK PUTRA")</f>
        <v>2 MAK PUTRA</v>
      </c>
      <c r="L68" s="29" t="str">
        <f>IFERROR(__xludf.DUMMYFUNCTION("""COMPUTED_VALUE"""),"6285857260015")</f>
        <v>6285857260015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2">
        <f>IFERROR(__xludf.DUMMYFUNCTION("""COMPUTED_VALUE"""),500000.0)</f>
        <v>500000</v>
      </c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2">
        <f>IFERROR(__xludf.DUMMYFUNCTION("""COMPUTED_VALUE"""),500000.0)</f>
        <v>500000</v>
      </c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2">
        <f>IFERROR(__xludf.DUMMYFUNCTION("""COMPUTED_VALUE"""),0.0)</f>
        <v>0</v>
      </c>
      <c r="BD68" s="22">
        <f>IFERROR(__xludf.DUMMYFUNCTION("""COMPUTED_VALUE"""),1000000.0)</f>
        <v>1000000</v>
      </c>
      <c r="BE68" s="22">
        <f>IFERROR(__xludf.DUMMYFUNCTION("""COMPUTED_VALUE"""),0.0)</f>
        <v>0</v>
      </c>
      <c r="BF68" s="22">
        <f>IFERROR(__xludf.DUMMYFUNCTION("""COMPUTED_VALUE"""),1000000.0)</f>
        <v>1000000</v>
      </c>
    </row>
    <row r="69">
      <c r="A69" s="27">
        <f>IFERROR(__xludf.DUMMYFUNCTION("""COMPUTED_VALUE"""),68.0)</f>
        <v>68</v>
      </c>
      <c r="B69" s="28" t="str">
        <f>IFERROR(__xludf.DUMMYFUNCTION("""COMPUTED_VALUE"""),"MOH. AQIL MUBAROK")</f>
        <v>MOH. AQIL MUBAROK</v>
      </c>
      <c r="C69" s="28">
        <f>IFERROR(__xludf.DUMMYFUNCTION("""COMPUTED_VALUE"""),2.025070219E9)</f>
        <v>2025070219</v>
      </c>
      <c r="D69" s="28" t="str">
        <f>IFERROR(__xludf.DUMMYFUNCTION("""COMPUTED_VALUE"""),"SUTAMAT")</f>
        <v>SUTAMAT</v>
      </c>
      <c r="E69" s="28" t="str">
        <f>IFERROR(__xludf.DUMMYFUNCTION("""COMPUTED_VALUE"""),"SITI ISMAROH")</f>
        <v>SITI ISMAROH</v>
      </c>
      <c r="F69" s="28" t="str">
        <f>IFERROR(__xludf.DUMMYFUNCTION("""COMPUTED_VALUE"""),"TALE BLURI RT 001 RW 001 SOLOKURO LAMONGAN")</f>
        <v>TALE BLURI RT 001 RW 001 SOLOKURO LAMONGAN</v>
      </c>
      <c r="G69" s="28" t="str">
        <f>IFERROR(__xludf.DUMMYFUNCTION("""COMPUTED_VALUE"""),"MA-XI.9")</f>
        <v>MA-XI.9</v>
      </c>
      <c r="H69" s="28" t="str">
        <f>IFERROR(__xludf.DUMMYFUNCTION("""COMPUTED_VALUE"""),"A")</f>
        <v>A</v>
      </c>
      <c r="I69" s="28" t="str">
        <f>IFERROR(__xludf.DUMMYFUNCTION("""COMPUTED_VALUE"""),"A-4")</f>
        <v>A-4</v>
      </c>
      <c r="J69" s="28">
        <f>IFERROR(__xludf.DUMMYFUNCTION("""COMPUTED_VALUE"""),2.0)</f>
        <v>2</v>
      </c>
      <c r="K69" s="28" t="str">
        <f>IFERROR(__xludf.DUMMYFUNCTION("""COMPUTED_VALUE"""),"2 WUSTHO A PUTRA")</f>
        <v>2 WUSTHO A PUTRA</v>
      </c>
      <c r="L69" s="29" t="str">
        <f>IFERROR(__xludf.DUMMYFUNCTION("""COMPUTED_VALUE"""),"6283169854714")</f>
        <v>6283169854714</v>
      </c>
      <c r="M69" s="28"/>
      <c r="N69" s="28"/>
      <c r="O69" s="28"/>
      <c r="P69" s="28"/>
      <c r="Q69" s="28"/>
      <c r="R69" s="28"/>
      <c r="S69" s="28"/>
      <c r="T69" s="22">
        <f>IFERROR(__xludf.DUMMYFUNCTION("""COMPUTED_VALUE"""),450000.0)</f>
        <v>450000</v>
      </c>
      <c r="U69" s="22">
        <f>IFERROR(__xludf.DUMMYFUNCTION("""COMPUTED_VALUE"""),450000.0)</f>
        <v>450000</v>
      </c>
      <c r="V69" s="22">
        <f>IFERROR(__xludf.DUMMYFUNCTION("""COMPUTED_VALUE"""),450000.0)</f>
        <v>450000</v>
      </c>
      <c r="W69" s="22">
        <f>IFERROR(__xludf.DUMMYFUNCTION("""COMPUTED_VALUE"""),450000.0)</f>
        <v>450000</v>
      </c>
      <c r="X69" s="22">
        <f>IFERROR(__xludf.DUMMYFUNCTION("""COMPUTED_VALUE"""),450000.0)</f>
        <v>450000</v>
      </c>
      <c r="Y69" s="22">
        <f>IFERROR(__xludf.DUMMYFUNCTION("""COMPUTED_VALUE"""),450000.0)</f>
        <v>450000</v>
      </c>
      <c r="Z69" s="22">
        <f>IFERROR(__xludf.DUMMYFUNCTION("""COMPUTED_VALUE"""),450000.0)</f>
        <v>450000</v>
      </c>
      <c r="AA69" s="28"/>
      <c r="AB69" s="22">
        <f>IFERROR(__xludf.DUMMYFUNCTION("""COMPUTED_VALUE"""),500000.0)</f>
        <v>500000</v>
      </c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2">
        <f>IFERROR(__xludf.DUMMYFUNCTION("""COMPUTED_VALUE"""),500000.0)</f>
        <v>500000</v>
      </c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2">
        <f>IFERROR(__xludf.DUMMYFUNCTION("""COMPUTED_VALUE"""),3150000.0)</f>
        <v>3150000</v>
      </c>
      <c r="BD69" s="22">
        <f>IFERROR(__xludf.DUMMYFUNCTION("""COMPUTED_VALUE"""),1000000.0)</f>
        <v>1000000</v>
      </c>
      <c r="BE69" s="22">
        <f>IFERROR(__xludf.DUMMYFUNCTION("""COMPUTED_VALUE"""),0.0)</f>
        <v>0</v>
      </c>
      <c r="BF69" s="22">
        <f>IFERROR(__xludf.DUMMYFUNCTION("""COMPUTED_VALUE"""),4150000.0)</f>
        <v>4150000</v>
      </c>
    </row>
    <row r="70">
      <c r="A70" s="27">
        <f>IFERROR(__xludf.DUMMYFUNCTION("""COMPUTED_VALUE"""),69.0)</f>
        <v>69</v>
      </c>
      <c r="B70" s="28" t="str">
        <f>IFERROR(__xludf.DUMMYFUNCTION("""COMPUTED_VALUE"""),"MOH. ELMAR NAFARIL HANIS")</f>
        <v>MOH. ELMAR NAFARIL HANIS</v>
      </c>
      <c r="C70" s="28">
        <f>IFERROR(__xludf.DUMMYFUNCTION("""COMPUTED_VALUE"""),2.025070616E9)</f>
        <v>2025070616</v>
      </c>
      <c r="D70" s="28" t="str">
        <f>IFERROR(__xludf.DUMMYFUNCTION("""COMPUTED_VALUE"""),"IMRON HABIB")</f>
        <v>IMRON HABIB</v>
      </c>
      <c r="E70" s="28" t="str">
        <f>IFERROR(__xludf.DUMMYFUNCTION("""COMPUTED_VALUE"""),"SITI NISWATUN HASANAH")</f>
        <v>SITI NISWATUN HASANAH</v>
      </c>
      <c r="F70" s="28" t="str">
        <f>IFERROR(__xludf.DUMMYFUNCTION("""COMPUTED_VALUE"""),"DATINAWONG RT 001 RW 006 BABAT LAMONGAN")</f>
        <v>DATINAWONG RT 001 RW 006 BABAT LAMONGAN</v>
      </c>
      <c r="G70" s="28" t="str">
        <f>IFERROR(__xludf.DUMMYFUNCTION("""COMPUTED_VALUE"""),"MTS-8 E")</f>
        <v>MTS-8 E</v>
      </c>
      <c r="H70" s="28" t="str">
        <f>IFERROR(__xludf.DUMMYFUNCTION("""COMPUTED_VALUE"""),"A")</f>
        <v>A</v>
      </c>
      <c r="I70" s="28" t="str">
        <f>IFERROR(__xludf.DUMMYFUNCTION("""COMPUTED_VALUE"""),"A-1")</f>
        <v>A-1</v>
      </c>
      <c r="J70" s="28">
        <f>IFERROR(__xludf.DUMMYFUNCTION("""COMPUTED_VALUE"""),2.0)</f>
        <v>2</v>
      </c>
      <c r="K70" s="28" t="str">
        <f>IFERROR(__xludf.DUMMYFUNCTION("""COMPUTED_VALUE"""),"2 ULA B PUTRA")</f>
        <v>2 ULA B PUTRA</v>
      </c>
      <c r="L70" s="29" t="str">
        <f>IFERROR(__xludf.DUMMYFUNCTION("""COMPUTED_VALUE"""),"6281332384248")</f>
        <v>6281332384248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2">
        <f>IFERROR(__xludf.DUMMYFUNCTION("""COMPUTED_VALUE"""),0.0)</f>
        <v>0</v>
      </c>
      <c r="BD70" s="22">
        <f>IFERROR(__xludf.DUMMYFUNCTION("""COMPUTED_VALUE"""),0.0)</f>
        <v>0</v>
      </c>
      <c r="BE70" s="22">
        <f>IFERROR(__xludf.DUMMYFUNCTION("""COMPUTED_VALUE"""),0.0)</f>
        <v>0</v>
      </c>
      <c r="BF70" s="22">
        <f>IFERROR(__xludf.DUMMYFUNCTION("""COMPUTED_VALUE"""),0.0)</f>
        <v>0</v>
      </c>
    </row>
    <row r="71">
      <c r="A71" s="27">
        <f>IFERROR(__xludf.DUMMYFUNCTION("""COMPUTED_VALUE"""),70.0)</f>
        <v>70</v>
      </c>
      <c r="B71" s="28" t="str">
        <f>IFERROR(__xludf.DUMMYFUNCTION("""COMPUTED_VALUE"""),"MOH. FADLIL SAPUTRA")</f>
        <v>MOH. FADLIL SAPUTRA</v>
      </c>
      <c r="C71" s="28">
        <f>IFERROR(__xludf.DUMMYFUNCTION("""COMPUTED_VALUE"""),2.025070416E9)</f>
        <v>2025070416</v>
      </c>
      <c r="D71" s="28" t="str">
        <f>IFERROR(__xludf.DUMMYFUNCTION("""COMPUTED_VALUE"""),"AMARI")</f>
        <v>AMARI</v>
      </c>
      <c r="E71" s="28" t="str">
        <f>IFERROR(__xludf.DUMMYFUNCTION("""COMPUTED_VALUE"""),"TUMIASRI")</f>
        <v>TUMIASRI</v>
      </c>
      <c r="F71" s="28" t="str">
        <f>IFERROR(__xludf.DUMMYFUNCTION("""COMPUTED_VALUE"""),"KULURAN RT 002 RW 007 KALITENGAH LAMONGAN")</f>
        <v>KULURAN RT 002 RW 007 KALITENGAH LAMONGAN</v>
      </c>
      <c r="G71" s="28" t="str">
        <f>IFERROR(__xludf.DUMMYFUNCTION("""COMPUTED_VALUE"""),"MA-XI.13")</f>
        <v>MA-XI.13</v>
      </c>
      <c r="H71" s="28" t="str">
        <f>IFERROR(__xludf.DUMMYFUNCTION("""COMPUTED_VALUE"""),"A")</f>
        <v>A</v>
      </c>
      <c r="I71" s="28" t="str">
        <f>IFERROR(__xludf.DUMMYFUNCTION("""COMPUTED_VALUE"""),"A-2")</f>
        <v>A-2</v>
      </c>
      <c r="J71" s="28">
        <f>IFERROR(__xludf.DUMMYFUNCTION("""COMPUTED_VALUE"""),2.0)</f>
        <v>2</v>
      </c>
      <c r="K71" s="28" t="str">
        <f>IFERROR(__xludf.DUMMYFUNCTION("""COMPUTED_VALUE"""),"2 MAK PUTRA")</f>
        <v>2 MAK PUTRA</v>
      </c>
      <c r="L71" s="29" t="str">
        <f>IFERROR(__xludf.DUMMYFUNCTION("""COMPUTED_VALUE"""),"6285852082730")</f>
        <v>6285852082730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2">
        <f>IFERROR(__xludf.DUMMYFUNCTION("""COMPUTED_VALUE"""),0.0)</f>
        <v>0</v>
      </c>
      <c r="BD71" s="22">
        <f>IFERROR(__xludf.DUMMYFUNCTION("""COMPUTED_VALUE"""),0.0)</f>
        <v>0</v>
      </c>
      <c r="BE71" s="22">
        <f>IFERROR(__xludf.DUMMYFUNCTION("""COMPUTED_VALUE"""),0.0)</f>
        <v>0</v>
      </c>
      <c r="BF71" s="22">
        <f>IFERROR(__xludf.DUMMYFUNCTION("""COMPUTED_VALUE"""),0.0)</f>
        <v>0</v>
      </c>
    </row>
    <row r="72">
      <c r="A72" s="27">
        <f>IFERROR(__xludf.DUMMYFUNCTION("""COMPUTED_VALUE"""),71.0)</f>
        <v>71</v>
      </c>
      <c r="B72" s="28" t="str">
        <f>IFERROR(__xludf.DUMMYFUNCTION("""COMPUTED_VALUE"""),"MOH. FAUQON HALWANI")</f>
        <v>MOH. FAUQON HALWANI</v>
      </c>
      <c r="C72" s="28">
        <f>IFERROR(__xludf.DUMMYFUNCTION("""COMPUTED_VALUE"""),2.025070564E9)</f>
        <v>2025070564</v>
      </c>
      <c r="D72" s="28" t="str">
        <f>IFERROR(__xludf.DUMMYFUNCTION("""COMPUTED_VALUE"""),"IHWAN HADI")</f>
        <v>IHWAN HADI</v>
      </c>
      <c r="E72" s="28" t="str">
        <f>IFERROR(__xludf.DUMMYFUNCTION("""COMPUTED_VALUE"""),"AMALIATIN")</f>
        <v>AMALIATIN</v>
      </c>
      <c r="F72" s="28" t="str">
        <f>IFERROR(__xludf.DUMMYFUNCTION("""COMPUTED_VALUE"""),"KIRINGAN BERASAN KEMLAGILOR RT 004 RW 003 TURI LAMONGAN")</f>
        <v>KIRINGAN BERASAN KEMLAGILOR RT 004 RW 003 TURI LAMONGAN</v>
      </c>
      <c r="G72" s="28" t="str">
        <f>IFERROR(__xludf.DUMMYFUNCTION("""COMPUTED_VALUE"""),"MTS-8 F")</f>
        <v>MTS-8 F</v>
      </c>
      <c r="H72" s="28" t="str">
        <f>IFERROR(__xludf.DUMMYFUNCTION("""COMPUTED_VALUE"""),"A")</f>
        <v>A</v>
      </c>
      <c r="I72" s="28" t="str">
        <f>IFERROR(__xludf.DUMMYFUNCTION("""COMPUTED_VALUE"""),"A-1")</f>
        <v>A-1</v>
      </c>
      <c r="J72" s="28">
        <f>IFERROR(__xludf.DUMMYFUNCTION("""COMPUTED_VALUE"""),2.0)</f>
        <v>2</v>
      </c>
      <c r="K72" s="28" t="str">
        <f>IFERROR(__xludf.DUMMYFUNCTION("""COMPUTED_VALUE"""),"2 ULA B PUTRA")</f>
        <v>2 ULA B PUTRA</v>
      </c>
      <c r="L72" s="29" t="str">
        <f>IFERROR(__xludf.DUMMYFUNCTION("""COMPUTED_VALUE"""),"6285806002627")</f>
        <v>6285806002627</v>
      </c>
      <c r="M72" s="28"/>
      <c r="N72" s="28"/>
      <c r="O72" s="28"/>
      <c r="P72" s="28"/>
      <c r="Q72" s="28"/>
      <c r="R72" s="28"/>
      <c r="S72" s="28"/>
      <c r="T72" s="28"/>
      <c r="U72" s="28"/>
      <c r="V72" s="22">
        <f>IFERROR(__xludf.DUMMYFUNCTION("""COMPUTED_VALUE"""),450000.0)</f>
        <v>450000</v>
      </c>
      <c r="W72" s="22">
        <f>IFERROR(__xludf.DUMMYFUNCTION("""COMPUTED_VALUE"""),450000.0)</f>
        <v>450000</v>
      </c>
      <c r="X72" s="22">
        <f>IFERROR(__xludf.DUMMYFUNCTION("""COMPUTED_VALUE"""),450000.0)</f>
        <v>450000</v>
      </c>
      <c r="Y72" s="22">
        <f>IFERROR(__xludf.DUMMYFUNCTION("""COMPUTED_VALUE"""),450000.0)</f>
        <v>450000</v>
      </c>
      <c r="Z72" s="22">
        <f>IFERROR(__xludf.DUMMYFUNCTION("""COMPUTED_VALUE"""),450000.0)</f>
        <v>450000</v>
      </c>
      <c r="AA72" s="28"/>
      <c r="AB72" s="22">
        <f>IFERROR(__xludf.DUMMYFUNCTION("""COMPUTED_VALUE"""),500000.0)</f>
        <v>500000</v>
      </c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2">
        <f>IFERROR(__xludf.DUMMYFUNCTION("""COMPUTED_VALUE"""),500000.0)</f>
        <v>500000</v>
      </c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2">
        <f>IFERROR(__xludf.DUMMYFUNCTION("""COMPUTED_VALUE"""),2250000.0)</f>
        <v>2250000</v>
      </c>
      <c r="BD72" s="22">
        <f>IFERROR(__xludf.DUMMYFUNCTION("""COMPUTED_VALUE"""),1000000.0)</f>
        <v>1000000</v>
      </c>
      <c r="BE72" s="22">
        <f>IFERROR(__xludf.DUMMYFUNCTION("""COMPUTED_VALUE"""),0.0)</f>
        <v>0</v>
      </c>
      <c r="BF72" s="22">
        <f>IFERROR(__xludf.DUMMYFUNCTION("""COMPUTED_VALUE"""),3250000.0)</f>
        <v>3250000</v>
      </c>
    </row>
    <row r="73">
      <c r="A73" s="27">
        <f>IFERROR(__xludf.DUMMYFUNCTION("""COMPUTED_VALUE"""),72.0)</f>
        <v>72</v>
      </c>
      <c r="B73" s="28" t="str">
        <f>IFERROR(__xludf.DUMMYFUNCTION("""COMPUTED_VALUE"""),"MOH. HAYKAL ZAHID AZZA")</f>
        <v>MOH. HAYKAL ZAHID AZZA</v>
      </c>
      <c r="C73" s="28">
        <f>IFERROR(__xludf.DUMMYFUNCTION("""COMPUTED_VALUE"""),2.025070435E9)</f>
        <v>2025070435</v>
      </c>
      <c r="D73" s="28" t="str">
        <f>IFERROR(__xludf.DUMMYFUNCTION("""COMPUTED_VALUE"""),"AHMAD ZUHDIANTO")</f>
        <v>AHMAD ZUHDIANTO</v>
      </c>
      <c r="E73" s="28" t="str">
        <f>IFERROR(__xludf.DUMMYFUNCTION("""COMPUTED_VALUE"""),"FITROTIN AZIZAH")</f>
        <v>FITROTIN AZIZAH</v>
      </c>
      <c r="F73" s="28" t="str">
        <f>IFERROR(__xludf.DUMMYFUNCTION("""COMPUTED_VALUE"""),"BANJARMADU RT 002 RW 001 KARANGGENENG LAMONGAN")</f>
        <v>BANJARMADU RT 002 RW 001 KARANGGENENG LAMONGAN</v>
      </c>
      <c r="G73" s="28" t="str">
        <f>IFERROR(__xludf.DUMMYFUNCTION("""COMPUTED_VALUE"""),"SMK-XI DKV")</f>
        <v>SMK-XI DKV</v>
      </c>
      <c r="H73" s="28" t="str">
        <f>IFERROR(__xludf.DUMMYFUNCTION("""COMPUTED_VALUE"""),"A")</f>
        <v>A</v>
      </c>
      <c r="I73" s="28" t="str">
        <f>IFERROR(__xludf.DUMMYFUNCTION("""COMPUTED_VALUE"""),"A-9")</f>
        <v>A-9</v>
      </c>
      <c r="J73" s="28">
        <f>IFERROR(__xludf.DUMMYFUNCTION("""COMPUTED_VALUE"""),2.0)</f>
        <v>2</v>
      </c>
      <c r="K73" s="28" t="str">
        <f>IFERROR(__xludf.DUMMYFUNCTION("""COMPUTED_VALUE"""),"2 WUSTHO B PUTRA")</f>
        <v>2 WUSTHO B PUTRA</v>
      </c>
      <c r="L73" s="29" t="str">
        <f>IFERROR(__xludf.DUMMYFUNCTION("""COMPUTED_VALUE"""),"6285655316184")</f>
        <v>6285655316184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2">
        <f>IFERROR(__xludf.DUMMYFUNCTION("""COMPUTED_VALUE"""),0.0)</f>
        <v>0</v>
      </c>
      <c r="BD73" s="22">
        <f>IFERROR(__xludf.DUMMYFUNCTION("""COMPUTED_VALUE"""),0.0)</f>
        <v>0</v>
      </c>
      <c r="BE73" s="22">
        <f>IFERROR(__xludf.DUMMYFUNCTION("""COMPUTED_VALUE"""),0.0)</f>
        <v>0</v>
      </c>
      <c r="BF73" s="22">
        <f>IFERROR(__xludf.DUMMYFUNCTION("""COMPUTED_VALUE"""),0.0)</f>
        <v>0</v>
      </c>
    </row>
    <row r="74">
      <c r="A74" s="27">
        <f>IFERROR(__xludf.DUMMYFUNCTION("""COMPUTED_VALUE"""),73.0)</f>
        <v>73</v>
      </c>
      <c r="B74" s="28" t="str">
        <f>IFERROR(__xludf.DUMMYFUNCTION("""COMPUTED_VALUE"""),"MOHAMMAD BAGAS ARDIAN PUTRA")</f>
        <v>MOHAMMAD BAGAS ARDIAN PUTRA</v>
      </c>
      <c r="C74" s="28">
        <f>IFERROR(__xludf.DUMMYFUNCTION("""COMPUTED_VALUE"""),2.02507012E9)</f>
        <v>2025070120</v>
      </c>
      <c r="D74" s="28" t="str">
        <f>IFERROR(__xludf.DUMMYFUNCTION("""COMPUTED_VALUE"""),"NARDI")</f>
        <v>NARDI</v>
      </c>
      <c r="E74" s="28" t="str">
        <f>IFERROR(__xludf.DUMMYFUNCTION("""COMPUTED_VALUE"""),"FAJRIN KHOTIMA")</f>
        <v>FAJRIN KHOTIMA</v>
      </c>
      <c r="F74" s="28" t="str">
        <f>IFERROR(__xludf.DUMMYFUNCTION("""COMPUTED_VALUE"""),"KLATING TAKERANKLATING RT 005 RW 001 TIKUNG LAMONGAN")</f>
        <v>KLATING TAKERANKLATING RT 005 RW 001 TIKUNG LAMONGAN</v>
      </c>
      <c r="G74" s="28" t="str">
        <f>IFERROR(__xludf.DUMMYFUNCTION("""COMPUTED_VALUE"""),"MA-XI.13")</f>
        <v>MA-XI.13</v>
      </c>
      <c r="H74" s="28" t="str">
        <f>IFERROR(__xludf.DUMMYFUNCTION("""COMPUTED_VALUE"""),"A")</f>
        <v>A</v>
      </c>
      <c r="I74" s="28" t="str">
        <f>IFERROR(__xludf.DUMMYFUNCTION("""COMPUTED_VALUE"""),"A-4")</f>
        <v>A-4</v>
      </c>
      <c r="J74" s="28">
        <f>IFERROR(__xludf.DUMMYFUNCTION("""COMPUTED_VALUE"""),2.0)</f>
        <v>2</v>
      </c>
      <c r="K74" s="28" t="str">
        <f>IFERROR(__xludf.DUMMYFUNCTION("""COMPUTED_VALUE"""),"2 MAK PUTRA")</f>
        <v>2 MAK PUTRA</v>
      </c>
      <c r="L74" s="29" t="str">
        <f>IFERROR(__xludf.DUMMYFUNCTION("""COMPUTED_VALUE"""),"6281235897606")</f>
        <v>6281235897606</v>
      </c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2">
        <f>IFERROR(__xludf.DUMMYFUNCTION("""COMPUTED_VALUE"""),450000.0)</f>
        <v>450000</v>
      </c>
      <c r="AA74" s="28"/>
      <c r="AB74" s="22">
        <f>IFERROR(__xludf.DUMMYFUNCTION("""COMPUTED_VALUE"""),500000.0)</f>
        <v>500000</v>
      </c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2">
        <f>IFERROR(__xludf.DUMMYFUNCTION("""COMPUTED_VALUE"""),500000.0)</f>
        <v>500000</v>
      </c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2">
        <f>IFERROR(__xludf.DUMMYFUNCTION("""COMPUTED_VALUE"""),450000.0)</f>
        <v>450000</v>
      </c>
      <c r="BD74" s="22">
        <f>IFERROR(__xludf.DUMMYFUNCTION("""COMPUTED_VALUE"""),1000000.0)</f>
        <v>1000000</v>
      </c>
      <c r="BE74" s="22">
        <f>IFERROR(__xludf.DUMMYFUNCTION("""COMPUTED_VALUE"""),0.0)</f>
        <v>0</v>
      </c>
      <c r="BF74" s="22">
        <f>IFERROR(__xludf.DUMMYFUNCTION("""COMPUTED_VALUE"""),1450000.0)</f>
        <v>1450000</v>
      </c>
    </row>
    <row r="75">
      <c r="A75" s="27">
        <f>IFERROR(__xludf.DUMMYFUNCTION("""COMPUTED_VALUE"""),74.0)</f>
        <v>74</v>
      </c>
      <c r="B75" s="28" t="str">
        <f>IFERROR(__xludf.DUMMYFUNCTION("""COMPUTED_VALUE"""),"MOHAMMAD MAKKI RAFIQNA ADABI")</f>
        <v>MOHAMMAD MAKKI RAFIQNA ADABI</v>
      </c>
      <c r="C75" s="28">
        <f>IFERROR(__xludf.DUMMYFUNCTION("""COMPUTED_VALUE"""),2.025070409E9)</f>
        <v>2025070409</v>
      </c>
      <c r="D75" s="28" t="str">
        <f>IFERROR(__xludf.DUMMYFUNCTION("""COMPUTED_VALUE"""),"MOH IMRON")</f>
        <v>MOH IMRON</v>
      </c>
      <c r="E75" s="28" t="str">
        <f>IFERROR(__xludf.DUMMYFUNCTION("""COMPUTED_VALUE"""),"IIS MAFIDAH")</f>
        <v>IIS MAFIDAH</v>
      </c>
      <c r="F75" s="28" t="str">
        <f>IFERROR(__xludf.DUMMYFUNCTION("""COMPUTED_VALUE"""),"GEDANGAN RT 002 RW 006 SIDAYU GRESIK")</f>
        <v>GEDANGAN RT 002 RW 006 SIDAYU GRESIK</v>
      </c>
      <c r="G75" s="28" t="str">
        <f>IFERROR(__xludf.DUMMYFUNCTION("""COMPUTED_VALUE"""),"MA-XI.13")</f>
        <v>MA-XI.13</v>
      </c>
      <c r="H75" s="28" t="str">
        <f>IFERROR(__xludf.DUMMYFUNCTION("""COMPUTED_VALUE"""),"A")</f>
        <v>A</v>
      </c>
      <c r="I75" s="28" t="str">
        <f>IFERROR(__xludf.DUMMYFUNCTION("""COMPUTED_VALUE"""),"A-4")</f>
        <v>A-4</v>
      </c>
      <c r="J75" s="28">
        <f>IFERROR(__xludf.DUMMYFUNCTION("""COMPUTED_VALUE"""),2.0)</f>
        <v>2</v>
      </c>
      <c r="K75" s="28" t="str">
        <f>IFERROR(__xludf.DUMMYFUNCTION("""COMPUTED_VALUE"""),"2 MAK PUTRA")</f>
        <v>2 MAK PUTRA</v>
      </c>
      <c r="L75" s="29" t="str">
        <f>IFERROR(__xludf.DUMMYFUNCTION("""COMPUTED_VALUE"""),"6285749696444")</f>
        <v>6285749696444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2">
        <f>IFERROR(__xludf.DUMMYFUNCTION("""COMPUTED_VALUE"""),0.0)</f>
        <v>0</v>
      </c>
      <c r="BD75" s="22">
        <f>IFERROR(__xludf.DUMMYFUNCTION("""COMPUTED_VALUE"""),0.0)</f>
        <v>0</v>
      </c>
      <c r="BE75" s="22">
        <f>IFERROR(__xludf.DUMMYFUNCTION("""COMPUTED_VALUE"""),0.0)</f>
        <v>0</v>
      </c>
      <c r="BF75" s="22">
        <f>IFERROR(__xludf.DUMMYFUNCTION("""COMPUTED_VALUE"""),0.0)</f>
        <v>0</v>
      </c>
    </row>
    <row r="76">
      <c r="A76" s="27">
        <f>IFERROR(__xludf.DUMMYFUNCTION("""COMPUTED_VALUE"""),75.0)</f>
        <v>75</v>
      </c>
      <c r="B76" s="28" t="str">
        <f>IFERROR(__xludf.DUMMYFUNCTION("""COMPUTED_VALUE"""),"MOHAMMAD RIDHO")</f>
        <v>MOHAMMAD RIDHO</v>
      </c>
      <c r="C76" s="28">
        <f>IFERROR(__xludf.DUMMYFUNCTION("""COMPUTED_VALUE"""),2.025070376E9)</f>
        <v>2025070376</v>
      </c>
      <c r="D76" s="28" t="str">
        <f>IFERROR(__xludf.DUMMYFUNCTION("""COMPUTED_VALUE"""),"RAHMAT")</f>
        <v>RAHMAT</v>
      </c>
      <c r="E76" s="28" t="str">
        <f>IFERROR(__xludf.DUMMYFUNCTION("""COMPUTED_VALUE"""),"SITI MAHMUDAH")</f>
        <v>SITI MAHMUDAH</v>
      </c>
      <c r="F76" s="28" t="str">
        <f>IFERROR(__xludf.DUMMYFUNCTION("""COMPUTED_VALUE"""),"BAMBANG RT 004 RW 001 TURI LAMONGAN")</f>
        <v>BAMBANG RT 004 RW 001 TURI LAMONGAN</v>
      </c>
      <c r="G76" s="28" t="str">
        <f>IFERROR(__xludf.DUMMYFUNCTION("""COMPUTED_VALUE"""),"MA-XI.5")</f>
        <v>MA-XI.5</v>
      </c>
      <c r="H76" s="28" t="str">
        <f>IFERROR(__xludf.DUMMYFUNCTION("""COMPUTED_VALUE"""),"A")</f>
        <v>A</v>
      </c>
      <c r="I76" s="28" t="str">
        <f>IFERROR(__xludf.DUMMYFUNCTION("""COMPUTED_VALUE"""),"A-4")</f>
        <v>A-4</v>
      </c>
      <c r="J76" s="28">
        <f>IFERROR(__xludf.DUMMYFUNCTION("""COMPUTED_VALUE"""),2.0)</f>
        <v>2</v>
      </c>
      <c r="K76" s="28" t="str">
        <f>IFERROR(__xludf.DUMMYFUNCTION("""COMPUTED_VALUE"""),"2 WUSTHO B PUTRA")</f>
        <v>2 WUSTHO B PUTRA</v>
      </c>
      <c r="L76" s="29" t="str">
        <f>IFERROR(__xludf.DUMMYFUNCTION("""COMPUTED_VALUE"""),"6285718313441")</f>
        <v>6285718313441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2">
        <f>IFERROR(__xludf.DUMMYFUNCTION("""COMPUTED_VALUE"""),500000.0)</f>
        <v>500000</v>
      </c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2">
        <f>IFERROR(__xludf.DUMMYFUNCTION("""COMPUTED_VALUE"""),500000.0)</f>
        <v>500000</v>
      </c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2">
        <f>IFERROR(__xludf.DUMMYFUNCTION("""COMPUTED_VALUE"""),0.0)</f>
        <v>0</v>
      </c>
      <c r="BD76" s="22">
        <f>IFERROR(__xludf.DUMMYFUNCTION("""COMPUTED_VALUE"""),1000000.0)</f>
        <v>1000000</v>
      </c>
      <c r="BE76" s="22">
        <f>IFERROR(__xludf.DUMMYFUNCTION("""COMPUTED_VALUE"""),0.0)</f>
        <v>0</v>
      </c>
      <c r="BF76" s="22">
        <f>IFERROR(__xludf.DUMMYFUNCTION("""COMPUTED_VALUE"""),1000000.0)</f>
        <v>1000000</v>
      </c>
    </row>
    <row r="77">
      <c r="A77" s="27">
        <f>IFERROR(__xludf.DUMMYFUNCTION("""COMPUTED_VALUE"""),76.0)</f>
        <v>76</v>
      </c>
      <c r="B77" s="28" t="str">
        <f>IFERROR(__xludf.DUMMYFUNCTION("""COMPUTED_VALUE"""),"MOHAMMAD RISWANDA IMAWAN")</f>
        <v>MOHAMMAD RISWANDA IMAWAN</v>
      </c>
      <c r="C77" s="28">
        <f>IFERROR(__xludf.DUMMYFUNCTION("""COMPUTED_VALUE"""),2.025070623E9)</f>
        <v>2025070623</v>
      </c>
      <c r="D77" s="28" t="str">
        <f>IFERROR(__xludf.DUMMYFUNCTION("""COMPUTED_VALUE"""),"ZAINUL ARIFIN")</f>
        <v>ZAINUL ARIFIN</v>
      </c>
      <c r="E77" s="28" t="str">
        <f>IFERROR(__xludf.DUMMYFUNCTION("""COMPUTED_VALUE"""),"MUSANATUN")</f>
        <v>MUSANATUN</v>
      </c>
      <c r="F77" s="28" t="str">
        <f>IFERROR(__xludf.DUMMYFUNCTION("""COMPUTED_VALUE"""),"KULURAN RT 005 RW 001 KALITENGAH LAMONGAN")</f>
        <v>KULURAN RT 005 RW 001 KALITENGAH LAMONGAN</v>
      </c>
      <c r="G77" s="28" t="str">
        <f>IFERROR(__xludf.DUMMYFUNCTION("""COMPUTED_VALUE"""),"MTS-8 F")</f>
        <v>MTS-8 F</v>
      </c>
      <c r="H77" s="28" t="str">
        <f>IFERROR(__xludf.DUMMYFUNCTION("""COMPUTED_VALUE"""),"A")</f>
        <v>A</v>
      </c>
      <c r="I77" s="28" t="str">
        <f>IFERROR(__xludf.DUMMYFUNCTION("""COMPUTED_VALUE"""),"A-1")</f>
        <v>A-1</v>
      </c>
      <c r="J77" s="28">
        <f>IFERROR(__xludf.DUMMYFUNCTION("""COMPUTED_VALUE"""),2.0)</f>
        <v>2</v>
      </c>
      <c r="K77" s="28" t="str">
        <f>IFERROR(__xludf.DUMMYFUNCTION("""COMPUTED_VALUE"""),"2 ULA B PUTRA")</f>
        <v>2 ULA B PUTRA</v>
      </c>
      <c r="L77" s="29" t="str">
        <f>IFERROR(__xludf.DUMMYFUNCTION("""COMPUTED_VALUE"""),"6285604160825")</f>
        <v>6285604160825</v>
      </c>
      <c r="M77" s="28"/>
      <c r="N77" s="28"/>
      <c r="O77" s="28"/>
      <c r="P77" s="28"/>
      <c r="Q77" s="28"/>
      <c r="R77" s="28"/>
      <c r="S77" s="22">
        <f>IFERROR(__xludf.DUMMYFUNCTION("""COMPUTED_VALUE"""),450000.0)</f>
        <v>450000</v>
      </c>
      <c r="T77" s="22">
        <f>IFERROR(__xludf.DUMMYFUNCTION("""COMPUTED_VALUE"""),450000.0)</f>
        <v>450000</v>
      </c>
      <c r="U77" s="22">
        <f>IFERROR(__xludf.DUMMYFUNCTION("""COMPUTED_VALUE"""),450000.0)</f>
        <v>450000</v>
      </c>
      <c r="V77" s="22">
        <f>IFERROR(__xludf.DUMMYFUNCTION("""COMPUTED_VALUE"""),450000.0)</f>
        <v>450000</v>
      </c>
      <c r="W77" s="22">
        <f>IFERROR(__xludf.DUMMYFUNCTION("""COMPUTED_VALUE"""),450000.0)</f>
        <v>450000</v>
      </c>
      <c r="X77" s="22">
        <f>IFERROR(__xludf.DUMMYFUNCTION("""COMPUTED_VALUE"""),450000.0)</f>
        <v>450000</v>
      </c>
      <c r="Y77" s="22">
        <f>IFERROR(__xludf.DUMMYFUNCTION("""COMPUTED_VALUE"""),450000.0)</f>
        <v>450000</v>
      </c>
      <c r="Z77" s="22">
        <f>IFERROR(__xludf.DUMMYFUNCTION("""COMPUTED_VALUE"""),450000.0)</f>
        <v>450000</v>
      </c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2">
        <f>IFERROR(__xludf.DUMMYFUNCTION("""COMPUTED_VALUE"""),500000.0)</f>
        <v>500000</v>
      </c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2">
        <f>IFERROR(__xludf.DUMMYFUNCTION("""COMPUTED_VALUE"""),3600000.0)</f>
        <v>3600000</v>
      </c>
      <c r="BD77" s="22">
        <f>IFERROR(__xludf.DUMMYFUNCTION("""COMPUTED_VALUE"""),500000.0)</f>
        <v>500000</v>
      </c>
      <c r="BE77" s="22">
        <f>IFERROR(__xludf.DUMMYFUNCTION("""COMPUTED_VALUE"""),0.0)</f>
        <v>0</v>
      </c>
      <c r="BF77" s="22">
        <f>IFERROR(__xludf.DUMMYFUNCTION("""COMPUTED_VALUE"""),4100000.0)</f>
        <v>4100000</v>
      </c>
    </row>
    <row r="78">
      <c r="A78" s="27">
        <f>IFERROR(__xludf.DUMMYFUNCTION("""COMPUTED_VALUE"""),77.0)</f>
        <v>77</v>
      </c>
      <c r="B78" s="28" t="str">
        <f>IFERROR(__xludf.DUMMYFUNCTION("""COMPUTED_VALUE"""),"MUHAMMAD AYUBI TRI NURIL AZZAMY")</f>
        <v>MUHAMMAD AYUBI TRI NURIL AZZAMY</v>
      </c>
      <c r="C78" s="28">
        <f>IFERROR(__xludf.DUMMYFUNCTION("""COMPUTED_VALUE"""),2.025070615E9)</f>
        <v>2025070615</v>
      </c>
      <c r="D78" s="28" t="str">
        <f>IFERROR(__xludf.DUMMYFUNCTION("""COMPUTED_VALUE"""),"KASTOPO")</f>
        <v>KASTOPO</v>
      </c>
      <c r="E78" s="28" t="str">
        <f>IFERROR(__xludf.DUMMYFUNCTION("""COMPUTED_VALUE"""),"SULASTRI")</f>
        <v>SULASTRI</v>
      </c>
      <c r="F78" s="28" t="str">
        <f>IFERROR(__xludf.DUMMYFUNCTION("""COMPUTED_VALUE"""),"CANDITUNGGAL RT 003 RW 001 KALITENGAH LAMONGAN")</f>
        <v>CANDITUNGGAL RT 003 RW 001 KALITENGAH LAMONGAN</v>
      </c>
      <c r="G78" s="28" t="str">
        <f>IFERROR(__xludf.DUMMYFUNCTION("""COMPUTED_VALUE"""),"MTS-8 D")</f>
        <v>MTS-8 D</v>
      </c>
      <c r="H78" s="28" t="str">
        <f>IFERROR(__xludf.DUMMYFUNCTION("""COMPUTED_VALUE"""),"A")</f>
        <v>A</v>
      </c>
      <c r="I78" s="28" t="str">
        <f>IFERROR(__xludf.DUMMYFUNCTION("""COMPUTED_VALUE"""),"A-3")</f>
        <v>A-3</v>
      </c>
      <c r="J78" s="28">
        <f>IFERROR(__xludf.DUMMYFUNCTION("""COMPUTED_VALUE"""),2.0)</f>
        <v>2</v>
      </c>
      <c r="K78" s="28" t="str">
        <f>IFERROR(__xludf.DUMMYFUNCTION("""COMPUTED_VALUE"""),"2 ULA B PUTRA")</f>
        <v>2 ULA B PUTRA</v>
      </c>
      <c r="L78" s="29" t="str">
        <f>IFERROR(__xludf.DUMMYFUNCTION("""COMPUTED_VALUE"""),"6285607247419")</f>
        <v>6285607247419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2">
        <f>IFERROR(__xludf.DUMMYFUNCTION("""COMPUTED_VALUE"""),0.0)</f>
        <v>0</v>
      </c>
      <c r="BD78" s="22">
        <f>IFERROR(__xludf.DUMMYFUNCTION("""COMPUTED_VALUE"""),0.0)</f>
        <v>0</v>
      </c>
      <c r="BE78" s="22">
        <f>IFERROR(__xludf.DUMMYFUNCTION("""COMPUTED_VALUE"""),0.0)</f>
        <v>0</v>
      </c>
      <c r="BF78" s="22">
        <f>IFERROR(__xludf.DUMMYFUNCTION("""COMPUTED_VALUE"""),0.0)</f>
        <v>0</v>
      </c>
    </row>
    <row r="79">
      <c r="A79" s="27">
        <f>IFERROR(__xludf.DUMMYFUNCTION("""COMPUTED_VALUE"""),78.0)</f>
        <v>78</v>
      </c>
      <c r="B79" s="28" t="str">
        <f>IFERROR(__xludf.DUMMYFUNCTION("""COMPUTED_VALUE"""),"MUHAMMAD AZZAM AL BARIQ")</f>
        <v>MUHAMMAD AZZAM AL BARIQ</v>
      </c>
      <c r="C79" s="28">
        <f>IFERROR(__xludf.DUMMYFUNCTION("""COMPUTED_VALUE"""),2.025070538E9)</f>
        <v>2025070538</v>
      </c>
      <c r="D79" s="28" t="str">
        <f>IFERROR(__xludf.DUMMYFUNCTION("""COMPUTED_VALUE"""),"NANANG EFENDI")</f>
        <v>NANANG EFENDI</v>
      </c>
      <c r="E79" s="28" t="str">
        <f>IFERROR(__xludf.DUMMYFUNCTION("""COMPUTED_VALUE"""),"SOIMAH")</f>
        <v>SOIMAH</v>
      </c>
      <c r="F79" s="28" t="str">
        <f>IFERROR(__xludf.DUMMYFUNCTION("""COMPUTED_VALUE"""),"PERUM BHUMMI JATI PERMAI BLOK GG NO. 20 JATIREMBE RT 016 RW 002 BENJENG GRESIK")</f>
        <v>PERUM BHUMMI JATI PERMAI BLOK GG NO. 20 JATIREMBE RT 016 RW 002 BENJENG GRESIK</v>
      </c>
      <c r="G79" s="28" t="str">
        <f>IFERROR(__xludf.DUMMYFUNCTION("""COMPUTED_VALUE"""),"MTS-8 A")</f>
        <v>MTS-8 A</v>
      </c>
      <c r="H79" s="28" t="str">
        <f>IFERROR(__xludf.DUMMYFUNCTION("""COMPUTED_VALUE"""),"A")</f>
        <v>A</v>
      </c>
      <c r="I79" s="28" t="str">
        <f>IFERROR(__xludf.DUMMYFUNCTION("""COMPUTED_VALUE"""),"A-3")</f>
        <v>A-3</v>
      </c>
      <c r="J79" s="28">
        <f>IFERROR(__xludf.DUMMYFUNCTION("""COMPUTED_VALUE"""),2.0)</f>
        <v>2</v>
      </c>
      <c r="K79" s="28" t="str">
        <f>IFERROR(__xludf.DUMMYFUNCTION("""COMPUTED_VALUE"""),"2 ULA B PUTRA")</f>
        <v>2 ULA B PUTRA</v>
      </c>
      <c r="L79" s="29" t="str">
        <f>IFERROR(__xludf.DUMMYFUNCTION("""COMPUTED_VALUE"""),"6281334828231")</f>
        <v>6281334828231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2">
        <f>IFERROR(__xludf.DUMMYFUNCTION("""COMPUTED_VALUE"""),500000.0)</f>
        <v>500000</v>
      </c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2">
        <f>IFERROR(__xludf.DUMMYFUNCTION("""COMPUTED_VALUE"""),500000.0)</f>
        <v>500000</v>
      </c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2">
        <f>IFERROR(__xludf.DUMMYFUNCTION("""COMPUTED_VALUE"""),0.0)</f>
        <v>0</v>
      </c>
      <c r="BD79" s="22">
        <f>IFERROR(__xludf.DUMMYFUNCTION("""COMPUTED_VALUE"""),1000000.0)</f>
        <v>1000000</v>
      </c>
      <c r="BE79" s="22">
        <f>IFERROR(__xludf.DUMMYFUNCTION("""COMPUTED_VALUE"""),0.0)</f>
        <v>0</v>
      </c>
      <c r="BF79" s="22">
        <f>IFERROR(__xludf.DUMMYFUNCTION("""COMPUTED_VALUE"""),1000000.0)</f>
        <v>1000000</v>
      </c>
    </row>
    <row r="80">
      <c r="A80" s="27">
        <f>IFERROR(__xludf.DUMMYFUNCTION("""COMPUTED_VALUE"""),79.0)</f>
        <v>79</v>
      </c>
      <c r="B80" s="28" t="str">
        <f>IFERROR(__xludf.DUMMYFUNCTION("""COMPUTED_VALUE"""),"MUHAMMAD BAHRU NADA")</f>
        <v>MUHAMMAD BAHRU NADA</v>
      </c>
      <c r="C80" s="28">
        <f>IFERROR(__xludf.DUMMYFUNCTION("""COMPUTED_VALUE"""),2.025070228E9)</f>
        <v>2025070228</v>
      </c>
      <c r="D80" s="28" t="str">
        <f>IFERROR(__xludf.DUMMYFUNCTION("""COMPUTED_VALUE"""),"MIFTAHUL HUDA")</f>
        <v>MIFTAHUL HUDA</v>
      </c>
      <c r="E80" s="28" t="str">
        <f>IFERROR(__xludf.DUMMYFUNCTION("""COMPUTED_VALUE"""),"JUWARMIN")</f>
        <v>JUWARMIN</v>
      </c>
      <c r="F80" s="28" t="str">
        <f>IFERROR(__xludf.DUMMYFUNCTION("""COMPUTED_VALUE"""),"TEJOASRI RT 003 RW 001 LAREN LAMONGAN")</f>
        <v>TEJOASRI RT 003 RW 001 LAREN LAMONGAN</v>
      </c>
      <c r="G80" s="28" t="str">
        <f>IFERROR(__xludf.DUMMYFUNCTION("""COMPUTED_VALUE"""),"MA-XI.6")</f>
        <v>MA-XI.6</v>
      </c>
      <c r="H80" s="28" t="str">
        <f>IFERROR(__xludf.DUMMYFUNCTION("""COMPUTED_VALUE"""),"A")</f>
        <v>A</v>
      </c>
      <c r="I80" s="28" t="str">
        <f>IFERROR(__xludf.DUMMYFUNCTION("""COMPUTED_VALUE"""),"A-4")</f>
        <v>A-4</v>
      </c>
      <c r="J80" s="28">
        <f>IFERROR(__xludf.DUMMYFUNCTION("""COMPUTED_VALUE"""),2.0)</f>
        <v>2</v>
      </c>
      <c r="K80" s="28" t="str">
        <f>IFERROR(__xludf.DUMMYFUNCTION("""COMPUTED_VALUE"""),"2 WUSTHO B PUTRA")</f>
        <v>2 WUSTHO B PUTRA</v>
      </c>
      <c r="L80" s="29" t="str">
        <f>IFERROR(__xludf.DUMMYFUNCTION("""COMPUTED_VALUE"""),"6281332375889")</f>
        <v>6281332375889</v>
      </c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2">
        <f>IFERROR(__xludf.DUMMYFUNCTION("""COMPUTED_VALUE"""),500000.0)</f>
        <v>500000</v>
      </c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2">
        <f>IFERROR(__xludf.DUMMYFUNCTION("""COMPUTED_VALUE"""),500000.0)</f>
        <v>500000</v>
      </c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2">
        <f>IFERROR(__xludf.DUMMYFUNCTION("""COMPUTED_VALUE"""),0.0)</f>
        <v>0</v>
      </c>
      <c r="BD80" s="22">
        <f>IFERROR(__xludf.DUMMYFUNCTION("""COMPUTED_VALUE"""),1000000.0)</f>
        <v>1000000</v>
      </c>
      <c r="BE80" s="22">
        <f>IFERROR(__xludf.DUMMYFUNCTION("""COMPUTED_VALUE"""),0.0)</f>
        <v>0</v>
      </c>
      <c r="BF80" s="22">
        <f>IFERROR(__xludf.DUMMYFUNCTION("""COMPUTED_VALUE"""),1000000.0)</f>
        <v>1000000</v>
      </c>
    </row>
    <row r="81">
      <c r="A81" s="27">
        <f>IFERROR(__xludf.DUMMYFUNCTION("""COMPUTED_VALUE"""),80.0)</f>
        <v>80</v>
      </c>
      <c r="B81" s="28" t="str">
        <f>IFERROR(__xludf.DUMMYFUNCTION("""COMPUTED_VALUE"""),"MUHAMMAD DZAKY MUBARAK")</f>
        <v>MUHAMMAD DZAKY MUBARAK</v>
      </c>
      <c r="C81" s="28">
        <f>IFERROR(__xludf.DUMMYFUNCTION("""COMPUTED_VALUE"""),2.025070471E9)</f>
        <v>2025070471</v>
      </c>
      <c r="D81" s="28" t="str">
        <f>IFERROR(__xludf.DUMMYFUNCTION("""COMPUTED_VALUE"""),"MUCHAMAD SURADJI")</f>
        <v>MUCHAMAD SURADJI</v>
      </c>
      <c r="E81" s="28" t="str">
        <f>IFERROR(__xludf.DUMMYFUNCTION("""COMPUTED_VALUE"""),"NIHAYATUL KHIJJAH")</f>
        <v>NIHAYATUL KHIJJAH</v>
      </c>
      <c r="F81" s="28" t="str">
        <f>IFERROR(__xludf.DUMMYFUNCTION("""COMPUTED_VALUE"""),"KARANGAGUNG RT 003 RW 001 GLAGAH LAMONGAN")</f>
        <v>KARANGAGUNG RT 003 RW 001 GLAGAH LAMONGAN</v>
      </c>
      <c r="G81" s="28" t="str">
        <f>IFERROR(__xludf.DUMMYFUNCTION("""COMPUTED_VALUE"""),"SMP-VIII C")</f>
        <v>SMP-VIII C</v>
      </c>
      <c r="H81" s="28" t="str">
        <f>IFERROR(__xludf.DUMMYFUNCTION("""COMPUTED_VALUE"""),"A")</f>
        <v>A</v>
      </c>
      <c r="I81" s="28" t="str">
        <f>IFERROR(__xludf.DUMMYFUNCTION("""COMPUTED_VALUE"""),"A-1")</f>
        <v>A-1</v>
      </c>
      <c r="J81" s="28">
        <f>IFERROR(__xludf.DUMMYFUNCTION("""COMPUTED_VALUE"""),2.0)</f>
        <v>2</v>
      </c>
      <c r="K81" s="28" t="str">
        <f>IFERROR(__xludf.DUMMYFUNCTION("""COMPUTED_VALUE"""),"2 ULA B PUTRA")</f>
        <v>2 ULA B PUTRA</v>
      </c>
      <c r="L81" s="29" t="str">
        <f>IFERROR(__xludf.DUMMYFUNCTION("""COMPUTED_VALUE"""),"6281230649991")</f>
        <v>6281230649991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2">
        <f>IFERROR(__xludf.DUMMYFUNCTION("""COMPUTED_VALUE"""),500000.0)</f>
        <v>500000</v>
      </c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2">
        <f>IFERROR(__xludf.DUMMYFUNCTION("""COMPUTED_VALUE"""),0.0)</f>
        <v>0</v>
      </c>
      <c r="BD81" s="22">
        <f>IFERROR(__xludf.DUMMYFUNCTION("""COMPUTED_VALUE"""),500000.0)</f>
        <v>500000</v>
      </c>
      <c r="BE81" s="22">
        <f>IFERROR(__xludf.DUMMYFUNCTION("""COMPUTED_VALUE"""),0.0)</f>
        <v>0</v>
      </c>
      <c r="BF81" s="22">
        <f>IFERROR(__xludf.DUMMYFUNCTION("""COMPUTED_VALUE"""),500000.0)</f>
        <v>500000</v>
      </c>
    </row>
    <row r="82">
      <c r="A82" s="27">
        <f>IFERROR(__xludf.DUMMYFUNCTION("""COMPUTED_VALUE"""),81.0)</f>
        <v>81</v>
      </c>
      <c r="B82" s="28" t="str">
        <f>IFERROR(__xludf.DUMMYFUNCTION("""COMPUTED_VALUE"""),"MUHAMMAD FAIRUS NADHIR AMRULLAH")</f>
        <v>MUHAMMAD FAIRUS NADHIR AMRULLAH</v>
      </c>
      <c r="C82" s="28">
        <f>IFERROR(__xludf.DUMMYFUNCTION("""COMPUTED_VALUE"""),2.025070555E9)</f>
        <v>2025070555</v>
      </c>
      <c r="D82" s="28" t="str">
        <f>IFERROR(__xludf.DUMMYFUNCTION("""COMPUTED_VALUE"""),"ABDUL SALAM")</f>
        <v>ABDUL SALAM</v>
      </c>
      <c r="E82" s="28" t="str">
        <f>IFERROR(__xludf.DUMMYFUNCTION("""COMPUTED_VALUE"""),"LAILATUL MUNAWAROH")</f>
        <v>LAILATUL MUNAWAROH</v>
      </c>
      <c r="F82" s="28" t="str">
        <f>IFERROR(__xludf.DUMMYFUNCTION("""COMPUTED_VALUE"""),"SAWO RT 008 RW 004 DUKUN GRESIK")</f>
        <v>SAWO RT 008 RW 004 DUKUN GRESIK</v>
      </c>
      <c r="G82" s="28" t="str">
        <f>IFERROR(__xludf.DUMMYFUNCTION("""COMPUTED_VALUE"""),"MTS-8 G")</f>
        <v>MTS-8 G</v>
      </c>
      <c r="H82" s="28" t="str">
        <f>IFERROR(__xludf.DUMMYFUNCTION("""COMPUTED_VALUE"""),"A")</f>
        <v>A</v>
      </c>
      <c r="I82" s="28" t="str">
        <f>IFERROR(__xludf.DUMMYFUNCTION("""COMPUTED_VALUE"""),"A-1")</f>
        <v>A-1</v>
      </c>
      <c r="J82" s="28">
        <f>IFERROR(__xludf.DUMMYFUNCTION("""COMPUTED_VALUE"""),2.0)</f>
        <v>2</v>
      </c>
      <c r="K82" s="28" t="str">
        <f>IFERROR(__xludf.DUMMYFUNCTION("""COMPUTED_VALUE"""),"2 ULA B PUTRA")</f>
        <v>2 ULA B PUTRA</v>
      </c>
      <c r="L82" s="29" t="str">
        <f>IFERROR(__xludf.DUMMYFUNCTION("""COMPUTED_VALUE"""),"6285733603080")</f>
        <v>6285733603080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2">
        <f>IFERROR(__xludf.DUMMYFUNCTION("""COMPUTED_VALUE"""),500000.0)</f>
        <v>500000</v>
      </c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2">
        <f>IFERROR(__xludf.DUMMYFUNCTION("""COMPUTED_VALUE"""),500000.0)</f>
        <v>500000</v>
      </c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2">
        <f>IFERROR(__xludf.DUMMYFUNCTION("""COMPUTED_VALUE"""),0.0)</f>
        <v>0</v>
      </c>
      <c r="BD82" s="22">
        <f>IFERROR(__xludf.DUMMYFUNCTION("""COMPUTED_VALUE"""),1000000.0)</f>
        <v>1000000</v>
      </c>
      <c r="BE82" s="22">
        <f>IFERROR(__xludf.DUMMYFUNCTION("""COMPUTED_VALUE"""),0.0)</f>
        <v>0</v>
      </c>
      <c r="BF82" s="22">
        <f>IFERROR(__xludf.DUMMYFUNCTION("""COMPUTED_VALUE"""),1000000.0)</f>
        <v>1000000</v>
      </c>
    </row>
    <row r="83">
      <c r="A83" s="27">
        <f>IFERROR(__xludf.DUMMYFUNCTION("""COMPUTED_VALUE"""),82.0)</f>
        <v>82</v>
      </c>
      <c r="B83" s="28" t="str">
        <f>IFERROR(__xludf.DUMMYFUNCTION("""COMPUTED_VALUE"""),"MUHAMMAD HISYAM")</f>
        <v>MUHAMMAD HISYAM</v>
      </c>
      <c r="C83" s="28">
        <f>IFERROR(__xludf.DUMMYFUNCTION("""COMPUTED_VALUE"""),2.02507048E9)</f>
        <v>2025070480</v>
      </c>
      <c r="D83" s="28" t="str">
        <f>IFERROR(__xludf.DUMMYFUNCTION("""COMPUTED_VALUE"""),"ABDUL QODIR")</f>
        <v>ABDUL QODIR</v>
      </c>
      <c r="E83" s="28" t="str">
        <f>IFERROR(__xludf.DUMMYFUNCTION("""COMPUTED_VALUE"""),"NASOKHATUL MUNAWAROH")</f>
        <v>NASOKHATUL MUNAWAROH</v>
      </c>
      <c r="F83" s="28" t="str">
        <f>IFERROR(__xludf.DUMMYFUNCTION("""COMPUTED_VALUE"""),"GUNUNGANYAR KIDUL RT 002 RW 003 GUNUNG ANYAR SURABAYA")</f>
        <v>GUNUNGANYAR KIDUL RT 002 RW 003 GUNUNG ANYAR SURABAYA</v>
      </c>
      <c r="G83" s="28" t="str">
        <f>IFERROR(__xludf.DUMMYFUNCTION("""COMPUTED_VALUE"""),"SMP-VIII A")</f>
        <v>SMP-VIII A</v>
      </c>
      <c r="H83" s="28" t="str">
        <f>IFERROR(__xludf.DUMMYFUNCTION("""COMPUTED_VALUE"""),"A")</f>
        <v>A</v>
      </c>
      <c r="I83" s="28" t="str">
        <f>IFERROR(__xludf.DUMMYFUNCTION("""COMPUTED_VALUE"""),"A-13")</f>
        <v>A-13</v>
      </c>
      <c r="J83" s="28">
        <f>IFERROR(__xludf.DUMMYFUNCTION("""COMPUTED_VALUE"""),2.0)</f>
        <v>2</v>
      </c>
      <c r="K83" s="28" t="str">
        <f>IFERROR(__xludf.DUMMYFUNCTION("""COMPUTED_VALUE"""),"ULA")</f>
        <v>ULA</v>
      </c>
      <c r="L83" s="29" t="str">
        <f>IFERROR(__xludf.DUMMYFUNCTION("""COMPUTED_VALUE"""),"628758704525")</f>
        <v>628758704525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2">
        <f>IFERROR(__xludf.DUMMYFUNCTION("""COMPUTED_VALUE"""),0.0)</f>
        <v>0</v>
      </c>
      <c r="BD83" s="22">
        <f>IFERROR(__xludf.DUMMYFUNCTION("""COMPUTED_VALUE"""),0.0)</f>
        <v>0</v>
      </c>
      <c r="BE83" s="22">
        <f>IFERROR(__xludf.DUMMYFUNCTION("""COMPUTED_VALUE"""),0.0)</f>
        <v>0</v>
      </c>
      <c r="BF83" s="22">
        <f>IFERROR(__xludf.DUMMYFUNCTION("""COMPUTED_VALUE"""),0.0)</f>
        <v>0</v>
      </c>
    </row>
    <row r="84">
      <c r="A84" s="27">
        <f>IFERROR(__xludf.DUMMYFUNCTION("""COMPUTED_VALUE"""),83.0)</f>
        <v>83</v>
      </c>
      <c r="B84" s="28" t="str">
        <f>IFERROR(__xludf.DUMMYFUNCTION("""COMPUTED_VALUE"""),"MUHAMMAD KAVA RIZQI ADITYA")</f>
        <v>MUHAMMAD KAVA RIZQI ADITYA</v>
      </c>
      <c r="C84" s="28">
        <f>IFERROR(__xludf.DUMMYFUNCTION("""COMPUTED_VALUE"""),2.025070609E9)</f>
        <v>2025070609</v>
      </c>
      <c r="D84" s="28" t="str">
        <f>IFERROR(__xludf.DUMMYFUNCTION("""COMPUTED_VALUE"""),"AAN KHUNAIFI")</f>
        <v>AAN KHUNAIFI</v>
      </c>
      <c r="E84" s="28" t="str">
        <f>IFERROR(__xludf.DUMMYFUNCTION("""COMPUTED_VALUE"""),"MUALLIFATUL HISBIYAH")</f>
        <v>MUALLIFATUL HISBIYAH</v>
      </c>
      <c r="F84" s="28" t="str">
        <f>IFERROR(__xludf.DUMMYFUNCTION("""COMPUTED_VALUE"""),"MENGAI SUKOREJO RT 002 RW 006 KARANGBINANGUN LAMONGAN")</f>
        <v>MENGAI SUKOREJO RT 002 RW 006 KARANGBINANGUN LAMONGAN</v>
      </c>
      <c r="G84" s="28" t="str">
        <f>IFERROR(__xludf.DUMMYFUNCTION("""COMPUTED_VALUE"""),"MTS-8 A")</f>
        <v>MTS-8 A</v>
      </c>
      <c r="H84" s="28" t="str">
        <f>IFERROR(__xludf.DUMMYFUNCTION("""COMPUTED_VALUE"""),"A")</f>
        <v>A</v>
      </c>
      <c r="I84" s="28" t="str">
        <f>IFERROR(__xludf.DUMMYFUNCTION("""COMPUTED_VALUE"""),"A-13")</f>
        <v>A-13</v>
      </c>
      <c r="J84" s="28">
        <f>IFERROR(__xludf.DUMMYFUNCTION("""COMPUTED_VALUE"""),2.0)</f>
        <v>2</v>
      </c>
      <c r="K84" s="28" t="str">
        <f>IFERROR(__xludf.DUMMYFUNCTION("""COMPUTED_VALUE"""),"ULA")</f>
        <v>ULA</v>
      </c>
      <c r="L84" s="29" t="str">
        <f>IFERROR(__xludf.DUMMYFUNCTION("""COMPUTED_VALUE"""),"6285852514150")</f>
        <v>6285852514150</v>
      </c>
      <c r="M84" s="28"/>
      <c r="N84" s="28"/>
      <c r="O84" s="28"/>
      <c r="P84" s="28"/>
      <c r="Q84" s="28"/>
      <c r="R84" s="28"/>
      <c r="S84" s="28"/>
      <c r="T84" s="22">
        <f>IFERROR(__xludf.DUMMYFUNCTION("""COMPUTED_VALUE"""),450000.0)</f>
        <v>450000</v>
      </c>
      <c r="U84" s="22">
        <f>IFERROR(__xludf.DUMMYFUNCTION("""COMPUTED_VALUE"""),450000.0)</f>
        <v>450000</v>
      </c>
      <c r="V84" s="22">
        <f>IFERROR(__xludf.DUMMYFUNCTION("""COMPUTED_VALUE"""),450000.0)</f>
        <v>450000</v>
      </c>
      <c r="W84" s="22">
        <f>IFERROR(__xludf.DUMMYFUNCTION("""COMPUTED_VALUE"""),450000.0)</f>
        <v>450000</v>
      </c>
      <c r="X84" s="22">
        <f>IFERROR(__xludf.DUMMYFUNCTION("""COMPUTED_VALUE"""),450000.0)</f>
        <v>450000</v>
      </c>
      <c r="Y84" s="22">
        <f>IFERROR(__xludf.DUMMYFUNCTION("""COMPUTED_VALUE"""),450000.0)</f>
        <v>450000</v>
      </c>
      <c r="Z84" s="22">
        <f>IFERROR(__xludf.DUMMYFUNCTION("""COMPUTED_VALUE"""),450000.0)</f>
        <v>450000</v>
      </c>
      <c r="AA84" s="28"/>
      <c r="AB84" s="22">
        <f>IFERROR(__xludf.DUMMYFUNCTION("""COMPUTED_VALUE"""),500000.0)</f>
        <v>500000</v>
      </c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2">
        <f>IFERROR(__xludf.DUMMYFUNCTION("""COMPUTED_VALUE"""),500000.0)</f>
        <v>500000</v>
      </c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2">
        <f>IFERROR(__xludf.DUMMYFUNCTION("""COMPUTED_VALUE"""),3150000.0)</f>
        <v>3150000</v>
      </c>
      <c r="BD84" s="22">
        <f>IFERROR(__xludf.DUMMYFUNCTION("""COMPUTED_VALUE"""),1000000.0)</f>
        <v>1000000</v>
      </c>
      <c r="BE84" s="22">
        <f>IFERROR(__xludf.DUMMYFUNCTION("""COMPUTED_VALUE"""),0.0)</f>
        <v>0</v>
      </c>
      <c r="BF84" s="22">
        <f>IFERROR(__xludf.DUMMYFUNCTION("""COMPUTED_VALUE"""),4150000.0)</f>
        <v>4150000</v>
      </c>
    </row>
    <row r="85">
      <c r="A85" s="27">
        <f>IFERROR(__xludf.DUMMYFUNCTION("""COMPUTED_VALUE"""),84.0)</f>
        <v>84</v>
      </c>
      <c r="B85" s="28" t="str">
        <f>IFERROR(__xludf.DUMMYFUNCTION("""COMPUTED_VALUE"""),"MUHAMMAD MAULIDI NURWAHID")</f>
        <v>MUHAMMAD MAULIDI NURWAHID</v>
      </c>
      <c r="C85" s="28">
        <f>IFERROR(__xludf.DUMMYFUNCTION("""COMPUTED_VALUE"""),2.02507007E9)</f>
        <v>2025070070</v>
      </c>
      <c r="D85" s="28" t="str">
        <f>IFERROR(__xludf.DUMMYFUNCTION("""COMPUTED_VALUE"""),"SUJARIONO")</f>
        <v>SUJARIONO</v>
      </c>
      <c r="E85" s="28" t="str">
        <f>IFERROR(__xludf.DUMMYFUNCTION("""COMPUTED_VALUE"""),"ZULAEMAH")</f>
        <v>ZULAEMAH</v>
      </c>
      <c r="F85" s="28" t="str">
        <f>IFERROR(__xludf.DUMMYFUNCTION("""COMPUTED_VALUE"""),"RAJAWALI TANGGUNGAN RT 003 RW 001 PUCUK LAMONGAN")</f>
        <v>RAJAWALI TANGGUNGAN RT 003 RW 001 PUCUK LAMONGAN</v>
      </c>
      <c r="G85" s="28" t="str">
        <f>IFERROR(__xludf.DUMMYFUNCTION("""COMPUTED_VALUE"""),"MA-XI.8")</f>
        <v>MA-XI.8</v>
      </c>
      <c r="H85" s="28" t="str">
        <f>IFERROR(__xludf.DUMMYFUNCTION("""COMPUTED_VALUE"""),"A")</f>
        <v>A</v>
      </c>
      <c r="I85" s="28" t="str">
        <f>IFERROR(__xludf.DUMMYFUNCTION("""COMPUTED_VALUE"""),"A-4")</f>
        <v>A-4</v>
      </c>
      <c r="J85" s="28">
        <f>IFERROR(__xludf.DUMMYFUNCTION("""COMPUTED_VALUE"""),2.0)</f>
        <v>2</v>
      </c>
      <c r="K85" s="28" t="str">
        <f>IFERROR(__xludf.DUMMYFUNCTION("""COMPUTED_VALUE"""),"2 WUSTHO B PUTRA")</f>
        <v>2 WUSTHO B PUTRA</v>
      </c>
      <c r="L85" s="29" t="str">
        <f>IFERROR(__xludf.DUMMYFUNCTION("""COMPUTED_VALUE"""),"62895391636106")</f>
        <v>62895391636106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2">
        <f>IFERROR(__xludf.DUMMYFUNCTION("""COMPUTED_VALUE"""),450000.0)</f>
        <v>450000</v>
      </c>
      <c r="AA85" s="28"/>
      <c r="AB85" s="22">
        <f>IFERROR(__xludf.DUMMYFUNCTION("""COMPUTED_VALUE"""),500000.0)</f>
        <v>500000</v>
      </c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2">
        <f>IFERROR(__xludf.DUMMYFUNCTION("""COMPUTED_VALUE"""),500000.0)</f>
        <v>500000</v>
      </c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2">
        <f>IFERROR(__xludf.DUMMYFUNCTION("""COMPUTED_VALUE"""),450000.0)</f>
        <v>450000</v>
      </c>
      <c r="BD85" s="22">
        <f>IFERROR(__xludf.DUMMYFUNCTION("""COMPUTED_VALUE"""),1000000.0)</f>
        <v>1000000</v>
      </c>
      <c r="BE85" s="22">
        <f>IFERROR(__xludf.DUMMYFUNCTION("""COMPUTED_VALUE"""),0.0)</f>
        <v>0</v>
      </c>
      <c r="BF85" s="22">
        <f>IFERROR(__xludf.DUMMYFUNCTION("""COMPUTED_VALUE"""),1450000.0)</f>
        <v>1450000</v>
      </c>
    </row>
    <row r="86">
      <c r="A86" s="27">
        <f>IFERROR(__xludf.DUMMYFUNCTION("""COMPUTED_VALUE"""),85.0)</f>
        <v>85</v>
      </c>
      <c r="B86" s="28" t="str">
        <f>IFERROR(__xludf.DUMMYFUNCTION("""COMPUTED_VALUE"""),"MUHAMMAD NABIL SALMAN")</f>
        <v>MUHAMMAD NABIL SALMAN</v>
      </c>
      <c r="C86" s="28">
        <f>IFERROR(__xludf.DUMMYFUNCTION("""COMPUTED_VALUE"""),2.025070429E9)</f>
        <v>2025070429</v>
      </c>
      <c r="D86" s="28" t="str">
        <f>IFERROR(__xludf.DUMMYFUNCTION("""COMPUTED_VALUE"""),"MUKHTAR")</f>
        <v>MUKHTAR</v>
      </c>
      <c r="E86" s="28" t="str">
        <f>IFERROR(__xludf.DUMMYFUNCTION("""COMPUTED_VALUE"""),"ASMAUL KHUSNAH")</f>
        <v>ASMAUL KHUSNAH</v>
      </c>
      <c r="F86" s="28" t="str">
        <f>IFERROR(__xludf.DUMMYFUNCTION("""COMPUTED_VALUE"""),"BLAWI RT 002 RW 003 KARANGBINANGUN LAMONGAN")</f>
        <v>BLAWI RT 002 RW 003 KARANGBINANGUN LAMONGAN</v>
      </c>
      <c r="G86" s="28" t="str">
        <f>IFERROR(__xludf.DUMMYFUNCTION("""COMPUTED_VALUE"""),"SMK-XI TSM")</f>
        <v>SMK-XI TSM</v>
      </c>
      <c r="H86" s="28" t="str">
        <f>IFERROR(__xludf.DUMMYFUNCTION("""COMPUTED_VALUE"""),"A")</f>
        <v>A</v>
      </c>
      <c r="I86" s="28" t="str">
        <f>IFERROR(__xludf.DUMMYFUNCTION("""COMPUTED_VALUE"""),"A-9")</f>
        <v>A-9</v>
      </c>
      <c r="J86" s="28">
        <f>IFERROR(__xludf.DUMMYFUNCTION("""COMPUTED_VALUE"""),2.0)</f>
        <v>2</v>
      </c>
      <c r="K86" s="28" t="str">
        <f>IFERROR(__xludf.DUMMYFUNCTION("""COMPUTED_VALUE"""),"2 WUSTHO B PUTRA")</f>
        <v>2 WUSTHO B PUTRA</v>
      </c>
      <c r="L86" s="29" t="str">
        <f>IFERROR(__xludf.DUMMYFUNCTION("""COMPUTED_VALUE"""),"6282334470986")</f>
        <v>6282334470986</v>
      </c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2">
        <f>IFERROR(__xludf.DUMMYFUNCTION("""COMPUTED_VALUE"""),450000.0)</f>
        <v>450000</v>
      </c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2">
        <f>IFERROR(__xludf.DUMMYFUNCTION("""COMPUTED_VALUE"""),450000.0)</f>
        <v>450000</v>
      </c>
      <c r="BD86" s="22">
        <f>IFERROR(__xludf.DUMMYFUNCTION("""COMPUTED_VALUE"""),0.0)</f>
        <v>0</v>
      </c>
      <c r="BE86" s="22">
        <f>IFERROR(__xludf.DUMMYFUNCTION("""COMPUTED_VALUE"""),0.0)</f>
        <v>0</v>
      </c>
      <c r="BF86" s="22">
        <f>IFERROR(__xludf.DUMMYFUNCTION("""COMPUTED_VALUE"""),450000.0)</f>
        <v>450000</v>
      </c>
    </row>
    <row r="87">
      <c r="A87" s="27">
        <f>IFERROR(__xludf.DUMMYFUNCTION("""COMPUTED_VALUE"""),86.0)</f>
        <v>86</v>
      </c>
      <c r="B87" s="28" t="str">
        <f>IFERROR(__xludf.DUMMYFUNCTION("""COMPUTED_VALUE"""),"MUHAMMAD RAFFA NUR RAMADHAN")</f>
        <v>MUHAMMAD RAFFA NUR RAMADHAN</v>
      </c>
      <c r="C87" s="28">
        <f>IFERROR(__xludf.DUMMYFUNCTION("""COMPUTED_VALUE"""),2.025070065E9)</f>
        <v>2025070065</v>
      </c>
      <c r="D87" s="28" t="str">
        <f>IFERROR(__xludf.DUMMYFUNCTION("""COMPUTED_VALUE"""),"RAMELAN")</f>
        <v>RAMELAN</v>
      </c>
      <c r="E87" s="28" t="str">
        <f>IFERROR(__xludf.DUMMYFUNCTION("""COMPUTED_VALUE"""),"MUYASIROTUL UMAH")</f>
        <v>MUYASIROTUL UMAH</v>
      </c>
      <c r="F87" s="28" t="str">
        <f>IFERROR(__xludf.DUMMYFUNCTION("""COMPUTED_VALUE"""),"BLURI RT 009 RW 002 SOLOKURO LAMONGAN")</f>
        <v>BLURI RT 009 RW 002 SOLOKURO LAMONGAN</v>
      </c>
      <c r="G87" s="28" t="str">
        <f>IFERROR(__xludf.DUMMYFUNCTION("""COMPUTED_VALUE"""),"MA-XI.8")</f>
        <v>MA-XI.8</v>
      </c>
      <c r="H87" s="28" t="str">
        <f>IFERROR(__xludf.DUMMYFUNCTION("""COMPUTED_VALUE"""),"A")</f>
        <v>A</v>
      </c>
      <c r="I87" s="28" t="str">
        <f>IFERROR(__xludf.DUMMYFUNCTION("""COMPUTED_VALUE"""),"A-4")</f>
        <v>A-4</v>
      </c>
      <c r="J87" s="28">
        <f>IFERROR(__xludf.DUMMYFUNCTION("""COMPUTED_VALUE"""),2.0)</f>
        <v>2</v>
      </c>
      <c r="K87" s="28" t="str">
        <f>IFERROR(__xludf.DUMMYFUNCTION("""COMPUTED_VALUE"""),"2 WUSTHO B PUTRA")</f>
        <v>2 WUSTHO B PUTRA</v>
      </c>
      <c r="L87" s="29" t="str">
        <f>IFERROR(__xludf.DUMMYFUNCTION("""COMPUTED_VALUE"""),"6285852311302")</f>
        <v>6285852311302</v>
      </c>
      <c r="M87" s="28"/>
      <c r="N87" s="28"/>
      <c r="O87" s="28"/>
      <c r="P87" s="22">
        <f>IFERROR(__xludf.DUMMYFUNCTION("""COMPUTED_VALUE"""),450000.0)</f>
        <v>450000</v>
      </c>
      <c r="Q87" s="22">
        <f>IFERROR(__xludf.DUMMYFUNCTION("""COMPUTED_VALUE"""),450000.0)</f>
        <v>450000</v>
      </c>
      <c r="R87" s="22">
        <f>IFERROR(__xludf.DUMMYFUNCTION("""COMPUTED_VALUE"""),450000.0)</f>
        <v>450000</v>
      </c>
      <c r="S87" s="22">
        <f>IFERROR(__xludf.DUMMYFUNCTION("""COMPUTED_VALUE"""),450000.0)</f>
        <v>450000</v>
      </c>
      <c r="T87" s="22">
        <f>IFERROR(__xludf.DUMMYFUNCTION("""COMPUTED_VALUE"""),450000.0)</f>
        <v>450000</v>
      </c>
      <c r="U87" s="22">
        <f>IFERROR(__xludf.DUMMYFUNCTION("""COMPUTED_VALUE"""),450000.0)</f>
        <v>450000</v>
      </c>
      <c r="V87" s="22">
        <f>IFERROR(__xludf.DUMMYFUNCTION("""COMPUTED_VALUE"""),450000.0)</f>
        <v>450000</v>
      </c>
      <c r="W87" s="22">
        <f>IFERROR(__xludf.DUMMYFUNCTION("""COMPUTED_VALUE"""),450000.0)</f>
        <v>450000</v>
      </c>
      <c r="X87" s="22">
        <f>IFERROR(__xludf.DUMMYFUNCTION("""COMPUTED_VALUE"""),450000.0)</f>
        <v>450000</v>
      </c>
      <c r="Y87" s="22">
        <f>IFERROR(__xludf.DUMMYFUNCTION("""COMPUTED_VALUE"""),450000.0)</f>
        <v>450000</v>
      </c>
      <c r="Z87" s="22">
        <f>IFERROR(__xludf.DUMMYFUNCTION("""COMPUTED_VALUE"""),450000.0)</f>
        <v>450000</v>
      </c>
      <c r="AA87" s="28"/>
      <c r="AB87" s="22">
        <f>IFERROR(__xludf.DUMMYFUNCTION("""COMPUTED_VALUE"""),500000.0)</f>
        <v>500000</v>
      </c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2">
        <f>IFERROR(__xludf.DUMMYFUNCTION("""COMPUTED_VALUE"""),500000.0)</f>
        <v>500000</v>
      </c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2">
        <f>IFERROR(__xludf.DUMMYFUNCTION("""COMPUTED_VALUE"""),4950000.0)</f>
        <v>4950000</v>
      </c>
      <c r="BD87" s="22">
        <f>IFERROR(__xludf.DUMMYFUNCTION("""COMPUTED_VALUE"""),1000000.0)</f>
        <v>1000000</v>
      </c>
      <c r="BE87" s="22">
        <f>IFERROR(__xludf.DUMMYFUNCTION("""COMPUTED_VALUE"""),0.0)</f>
        <v>0</v>
      </c>
      <c r="BF87" s="22">
        <f>IFERROR(__xludf.DUMMYFUNCTION("""COMPUTED_VALUE"""),5950000.0)</f>
        <v>5950000</v>
      </c>
    </row>
    <row r="88">
      <c r="A88" s="27">
        <f>IFERROR(__xludf.DUMMYFUNCTION("""COMPUTED_VALUE"""),87.0)</f>
        <v>87</v>
      </c>
      <c r="B88" s="28" t="str">
        <f>IFERROR(__xludf.DUMMYFUNCTION("""COMPUTED_VALUE"""),"MUHAMMAD RAUUF MAULANA")</f>
        <v>MUHAMMAD RAUUF MAULANA</v>
      </c>
      <c r="C88" s="28">
        <f>IFERROR(__xludf.DUMMYFUNCTION("""COMPUTED_VALUE"""),2.025070497E9)</f>
        <v>2025070497</v>
      </c>
      <c r="D88" s="28" t="str">
        <f>IFERROR(__xludf.DUMMYFUNCTION("""COMPUTED_VALUE"""),"MOCHAMAD ARIF")</f>
        <v>MOCHAMAD ARIF</v>
      </c>
      <c r="E88" s="28" t="str">
        <f>IFERROR(__xludf.DUMMYFUNCTION("""COMPUTED_VALUE"""),"DEWI WAHYUNINGSIH")</f>
        <v>DEWI WAHYUNINGSIH</v>
      </c>
      <c r="F88" s="28" t="str">
        <f>IFERROR(__xludf.DUMMYFUNCTION("""COMPUTED_VALUE"""),"SUKOMULYO RT 005 RW 003 LAMONGAN LAMONGAN")</f>
        <v>SUKOMULYO RT 005 RW 003 LAMONGAN LAMONGAN</v>
      </c>
      <c r="G88" s="28" t="str">
        <f>IFERROR(__xludf.DUMMYFUNCTION("""COMPUTED_VALUE"""),"MTS-8 F")</f>
        <v>MTS-8 F</v>
      </c>
      <c r="H88" s="28" t="str">
        <f>IFERROR(__xludf.DUMMYFUNCTION("""COMPUTED_VALUE"""),"A")</f>
        <v>A</v>
      </c>
      <c r="I88" s="28" t="str">
        <f>IFERROR(__xludf.DUMMYFUNCTION("""COMPUTED_VALUE"""),"A-1")</f>
        <v>A-1</v>
      </c>
      <c r="J88" s="28">
        <f>IFERROR(__xludf.DUMMYFUNCTION("""COMPUTED_VALUE"""),2.0)</f>
        <v>2</v>
      </c>
      <c r="K88" s="28" t="str">
        <f>IFERROR(__xludf.DUMMYFUNCTION("""COMPUTED_VALUE"""),"2 ULA B PUTRA")</f>
        <v>2 ULA B PUTRA</v>
      </c>
      <c r="L88" s="29" t="str">
        <f>IFERROR(__xludf.DUMMYFUNCTION("""COMPUTED_VALUE"""),"6288741091429")</f>
        <v>6288741091429</v>
      </c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2">
        <f>IFERROR(__xludf.DUMMYFUNCTION("""COMPUTED_VALUE"""),500000.0)</f>
        <v>500000</v>
      </c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2">
        <f>IFERROR(__xludf.DUMMYFUNCTION("""COMPUTED_VALUE"""),500000.0)</f>
        <v>500000</v>
      </c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2">
        <f>IFERROR(__xludf.DUMMYFUNCTION("""COMPUTED_VALUE"""),0.0)</f>
        <v>0</v>
      </c>
      <c r="BD88" s="22">
        <f>IFERROR(__xludf.DUMMYFUNCTION("""COMPUTED_VALUE"""),1000000.0)</f>
        <v>1000000</v>
      </c>
      <c r="BE88" s="22">
        <f>IFERROR(__xludf.DUMMYFUNCTION("""COMPUTED_VALUE"""),0.0)</f>
        <v>0</v>
      </c>
      <c r="BF88" s="22">
        <f>IFERROR(__xludf.DUMMYFUNCTION("""COMPUTED_VALUE"""),1000000.0)</f>
        <v>1000000</v>
      </c>
    </row>
    <row r="89">
      <c r="A89" s="27">
        <f>IFERROR(__xludf.DUMMYFUNCTION("""COMPUTED_VALUE"""),88.0)</f>
        <v>88</v>
      </c>
      <c r="B89" s="28" t="str">
        <f>IFERROR(__xludf.DUMMYFUNCTION("""COMPUTED_VALUE"""),"MUHAMMAD RAZIQ RAHMAN")</f>
        <v>MUHAMMAD RAZIQ RAHMAN</v>
      </c>
      <c r="C89" s="28">
        <f>IFERROR(__xludf.DUMMYFUNCTION("""COMPUTED_VALUE"""),2.02507004E9)</f>
        <v>2025070040</v>
      </c>
      <c r="D89" s="28" t="str">
        <f>IFERROR(__xludf.DUMMYFUNCTION("""COMPUTED_VALUE"""),"KURDI")</f>
        <v>KURDI</v>
      </c>
      <c r="E89" s="28" t="str">
        <f>IFERROR(__xludf.DUMMYFUNCTION("""COMPUTED_VALUE"""),"MUSLIHAH")</f>
        <v>MUSLIHAH</v>
      </c>
      <c r="F89" s="28" t="str">
        <f>IFERROR(__xludf.DUMMYFUNCTION("""COMPUTED_VALUE"""),"SAWO RT 008 RW 004 DUKUN GRESIK")</f>
        <v>SAWO RT 008 RW 004 DUKUN GRESIK</v>
      </c>
      <c r="G89" s="28" t="str">
        <f>IFERROR(__xludf.DUMMYFUNCTION("""COMPUTED_VALUE"""),"MA-XI.9")</f>
        <v>MA-XI.9</v>
      </c>
      <c r="H89" s="28" t="str">
        <f>IFERROR(__xludf.DUMMYFUNCTION("""COMPUTED_VALUE"""),"A")</f>
        <v>A</v>
      </c>
      <c r="I89" s="28" t="str">
        <f>IFERROR(__xludf.DUMMYFUNCTION("""COMPUTED_VALUE"""),"A-4")</f>
        <v>A-4</v>
      </c>
      <c r="J89" s="28">
        <f>IFERROR(__xludf.DUMMYFUNCTION("""COMPUTED_VALUE"""),2.0)</f>
        <v>2</v>
      </c>
      <c r="K89" s="28" t="str">
        <f>IFERROR(__xludf.DUMMYFUNCTION("""COMPUTED_VALUE"""),"2 WUSTHO B PUTRA")</f>
        <v>2 WUSTHO B PUTRA</v>
      </c>
      <c r="L89" s="29" t="str">
        <f>IFERROR(__xludf.DUMMYFUNCTION("""COMPUTED_VALUE"""),"6285815333968")</f>
        <v>6285815333968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2">
        <f>IFERROR(__xludf.DUMMYFUNCTION("""COMPUTED_VALUE"""),500000.0)</f>
        <v>500000</v>
      </c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2">
        <f>IFERROR(__xludf.DUMMYFUNCTION("""COMPUTED_VALUE"""),500000.0)</f>
        <v>500000</v>
      </c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2">
        <f>IFERROR(__xludf.DUMMYFUNCTION("""COMPUTED_VALUE"""),0.0)</f>
        <v>0</v>
      </c>
      <c r="BD89" s="22">
        <f>IFERROR(__xludf.DUMMYFUNCTION("""COMPUTED_VALUE"""),1000000.0)</f>
        <v>1000000</v>
      </c>
      <c r="BE89" s="22">
        <f>IFERROR(__xludf.DUMMYFUNCTION("""COMPUTED_VALUE"""),0.0)</f>
        <v>0</v>
      </c>
      <c r="BF89" s="22">
        <f>IFERROR(__xludf.DUMMYFUNCTION("""COMPUTED_VALUE"""),1000000.0)</f>
        <v>1000000</v>
      </c>
    </row>
    <row r="90">
      <c r="A90" s="27">
        <f>IFERROR(__xludf.DUMMYFUNCTION("""COMPUTED_VALUE"""),89.0)</f>
        <v>89</v>
      </c>
      <c r="B90" s="28" t="str">
        <f>IFERROR(__xludf.DUMMYFUNCTION("""COMPUTED_VALUE"""),"MUHAMMAD RIZKI RAMDHANI")</f>
        <v>MUHAMMAD RIZKI RAMDHANI</v>
      </c>
      <c r="C90" s="28">
        <f>IFERROR(__xludf.DUMMYFUNCTION("""COMPUTED_VALUE"""),2.025070452E9)</f>
        <v>2025070452</v>
      </c>
      <c r="D90" s="28" t="str">
        <f>IFERROR(__xludf.DUMMYFUNCTION("""COMPUTED_VALUE"""),"MOH. ZAHID")</f>
        <v>MOH. ZAHID</v>
      </c>
      <c r="E90" s="28" t="str">
        <f>IFERROR(__xludf.DUMMYFUNCTION("""COMPUTED_VALUE"""),"SITI ROHIMAH")</f>
        <v>SITI ROHIMAH</v>
      </c>
      <c r="F90" s="28" t="str">
        <f>IFERROR(__xludf.DUMMYFUNCTION("""COMPUTED_VALUE"""),"BAMBANG RT 004 RW 002 TURI LAMONGAN")</f>
        <v>BAMBANG RT 004 RW 002 TURI LAMONGAN</v>
      </c>
      <c r="G90" s="28" t="str">
        <f>IFERROR(__xludf.DUMMYFUNCTION("""COMPUTED_VALUE"""),"SMK-XI TKJ 1")</f>
        <v>SMK-XI TKJ 1</v>
      </c>
      <c r="H90" s="28" t="str">
        <f>IFERROR(__xludf.DUMMYFUNCTION("""COMPUTED_VALUE"""),"A")</f>
        <v>A</v>
      </c>
      <c r="I90" s="28" t="str">
        <f>IFERROR(__xludf.DUMMYFUNCTION("""COMPUTED_VALUE"""),"A-4")</f>
        <v>A-4</v>
      </c>
      <c r="J90" s="28">
        <f>IFERROR(__xludf.DUMMYFUNCTION("""COMPUTED_VALUE"""),2.0)</f>
        <v>2</v>
      </c>
      <c r="K90" s="28" t="str">
        <f>IFERROR(__xludf.DUMMYFUNCTION("""COMPUTED_VALUE"""),"2 WUSTHO B PUTRA")</f>
        <v>2 WUSTHO B PUTRA</v>
      </c>
      <c r="L90" s="29" t="str">
        <f>IFERROR(__xludf.DUMMYFUNCTION("""COMPUTED_VALUE"""),"6285730186043")</f>
        <v>6285730186043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2">
        <f>IFERROR(__xludf.DUMMYFUNCTION("""COMPUTED_VALUE"""),500000.0)</f>
        <v>500000</v>
      </c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2">
        <f>IFERROR(__xludf.DUMMYFUNCTION("""COMPUTED_VALUE"""),500000.0)</f>
        <v>500000</v>
      </c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2">
        <f>IFERROR(__xludf.DUMMYFUNCTION("""COMPUTED_VALUE"""),0.0)</f>
        <v>0</v>
      </c>
      <c r="BD90" s="22">
        <f>IFERROR(__xludf.DUMMYFUNCTION("""COMPUTED_VALUE"""),1000000.0)</f>
        <v>1000000</v>
      </c>
      <c r="BE90" s="22">
        <f>IFERROR(__xludf.DUMMYFUNCTION("""COMPUTED_VALUE"""),0.0)</f>
        <v>0</v>
      </c>
      <c r="BF90" s="22">
        <f>IFERROR(__xludf.DUMMYFUNCTION("""COMPUTED_VALUE"""),1000000.0)</f>
        <v>1000000</v>
      </c>
    </row>
    <row r="91">
      <c r="A91" s="27">
        <f>IFERROR(__xludf.DUMMYFUNCTION("""COMPUTED_VALUE"""),90.0)</f>
        <v>90</v>
      </c>
      <c r="B91" s="28" t="str">
        <f>IFERROR(__xludf.DUMMYFUNCTION("""COMPUTED_VALUE"""),"MUHAMMAD WATSIQUZ ZIMAM")</f>
        <v>MUHAMMAD WATSIQUZ ZIMAM</v>
      </c>
      <c r="C91" s="28">
        <f>IFERROR(__xludf.DUMMYFUNCTION("""COMPUTED_VALUE"""),2.025070059E9)</f>
        <v>2025070059</v>
      </c>
      <c r="D91" s="28" t="str">
        <f>IFERROR(__xludf.DUMMYFUNCTION("""COMPUTED_VALUE"""),"MOH. FATAWI")</f>
        <v>MOH. FATAWI</v>
      </c>
      <c r="E91" s="28" t="str">
        <f>IFERROR(__xludf.DUMMYFUNCTION("""COMPUTED_VALUE"""),"ZULAIKHAH")</f>
        <v>ZULAIKHAH</v>
      </c>
      <c r="F91" s="28" t="str">
        <f>IFERROR(__xludf.DUMMYFUNCTION("""COMPUTED_VALUE"""),"BLURI RT 003 RW 001 SOLOKURO LAMONGAN")</f>
        <v>BLURI RT 003 RW 001 SOLOKURO LAMONGAN</v>
      </c>
      <c r="G91" s="28" t="str">
        <f>IFERROR(__xludf.DUMMYFUNCTION("""COMPUTED_VALUE"""),"MA-XI.8")</f>
        <v>MA-XI.8</v>
      </c>
      <c r="H91" s="28" t="str">
        <f>IFERROR(__xludf.DUMMYFUNCTION("""COMPUTED_VALUE"""),"A")</f>
        <v>A</v>
      </c>
      <c r="I91" s="28" t="str">
        <f>IFERROR(__xludf.DUMMYFUNCTION("""COMPUTED_VALUE"""),"A-4")</f>
        <v>A-4</v>
      </c>
      <c r="J91" s="28">
        <f>IFERROR(__xludf.DUMMYFUNCTION("""COMPUTED_VALUE"""),2.0)</f>
        <v>2</v>
      </c>
      <c r="K91" s="28" t="str">
        <f>IFERROR(__xludf.DUMMYFUNCTION("""COMPUTED_VALUE"""),"2 WUSTHO B PUTRA")</f>
        <v>2 WUSTHO B PUTRA</v>
      </c>
      <c r="L91" s="29" t="str">
        <f>IFERROR(__xludf.DUMMYFUNCTION("""COMPUTED_VALUE"""),"6285604191141")</f>
        <v>6285604191141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2">
        <f>IFERROR(__xludf.DUMMYFUNCTION("""COMPUTED_VALUE"""),450000.0)</f>
        <v>450000</v>
      </c>
      <c r="Y91" s="22">
        <f>IFERROR(__xludf.DUMMYFUNCTION("""COMPUTED_VALUE"""),450000.0)</f>
        <v>450000</v>
      </c>
      <c r="Z91" s="22">
        <f>IFERROR(__xludf.DUMMYFUNCTION("""COMPUTED_VALUE"""),450000.0)</f>
        <v>450000</v>
      </c>
      <c r="AA91" s="28"/>
      <c r="AB91" s="22">
        <f>IFERROR(__xludf.DUMMYFUNCTION("""COMPUTED_VALUE"""),500000.0)</f>
        <v>500000</v>
      </c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2">
        <f>IFERROR(__xludf.DUMMYFUNCTION("""COMPUTED_VALUE"""),500000.0)</f>
        <v>500000</v>
      </c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2">
        <f>IFERROR(__xludf.DUMMYFUNCTION("""COMPUTED_VALUE"""),1350000.0)</f>
        <v>1350000</v>
      </c>
      <c r="BD91" s="22">
        <f>IFERROR(__xludf.DUMMYFUNCTION("""COMPUTED_VALUE"""),1000000.0)</f>
        <v>1000000</v>
      </c>
      <c r="BE91" s="22">
        <f>IFERROR(__xludf.DUMMYFUNCTION("""COMPUTED_VALUE"""),0.0)</f>
        <v>0</v>
      </c>
      <c r="BF91" s="22">
        <f>IFERROR(__xludf.DUMMYFUNCTION("""COMPUTED_VALUE"""),2350000.0)</f>
        <v>2350000</v>
      </c>
    </row>
    <row r="92">
      <c r="A92" s="27">
        <f>IFERROR(__xludf.DUMMYFUNCTION("""COMPUTED_VALUE"""),91.0)</f>
        <v>91</v>
      </c>
      <c r="B92" s="28" t="str">
        <f>IFERROR(__xludf.DUMMYFUNCTION("""COMPUTED_VALUE"""),"MUHAMMAD ZIDAN SAPUTRA")</f>
        <v>MUHAMMAD ZIDAN SAPUTRA</v>
      </c>
      <c r="C92" s="28">
        <f>IFERROR(__xludf.DUMMYFUNCTION("""COMPUTED_VALUE"""),2.025070577E9)</f>
        <v>2025070577</v>
      </c>
      <c r="D92" s="28" t="str">
        <f>IFERROR(__xludf.DUMMYFUNCTION("""COMPUTED_VALUE"""),"MOH. JAINI")</f>
        <v>MOH. JAINI</v>
      </c>
      <c r="E92" s="28" t="str">
        <f>IFERROR(__xludf.DUMMYFUNCTION("""COMPUTED_VALUE"""),"NUR HIDAYATI")</f>
        <v>NUR HIDAYATI</v>
      </c>
      <c r="F92" s="28" t="str">
        <f>IFERROR(__xludf.DUMMYFUNCTION("""COMPUTED_VALUE"""),"BUTOREJO SIDOGEMBUL RT 002 RW 001 SUKODADI LAMONGAN")</f>
        <v>BUTOREJO SIDOGEMBUL RT 002 RW 001 SUKODADI LAMONGAN</v>
      </c>
      <c r="G92" s="28" t="str">
        <f>IFERROR(__xludf.DUMMYFUNCTION("""COMPUTED_VALUE"""),"MTS-8 E")</f>
        <v>MTS-8 E</v>
      </c>
      <c r="H92" s="28" t="str">
        <f>IFERROR(__xludf.DUMMYFUNCTION("""COMPUTED_VALUE"""),"A")</f>
        <v>A</v>
      </c>
      <c r="I92" s="28" t="str">
        <f>IFERROR(__xludf.DUMMYFUNCTION("""COMPUTED_VALUE"""),"A-1")</f>
        <v>A-1</v>
      </c>
      <c r="J92" s="28">
        <f>IFERROR(__xludf.DUMMYFUNCTION("""COMPUTED_VALUE"""),2.0)</f>
        <v>2</v>
      </c>
      <c r="K92" s="28" t="str">
        <f>IFERROR(__xludf.DUMMYFUNCTION("""COMPUTED_VALUE"""),"2 ULA B PUTRA")</f>
        <v>2 ULA B PUTRA</v>
      </c>
      <c r="L92" s="29" t="str">
        <f>IFERROR(__xludf.DUMMYFUNCTION("""COMPUTED_VALUE"""),"6281283671417")</f>
        <v>6281283671417</v>
      </c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2">
        <f>IFERROR(__xludf.DUMMYFUNCTION("""COMPUTED_VALUE"""),500000.0)</f>
        <v>500000</v>
      </c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2">
        <f>IFERROR(__xludf.DUMMYFUNCTION("""COMPUTED_VALUE"""),0.0)</f>
        <v>0</v>
      </c>
      <c r="BD92" s="22">
        <f>IFERROR(__xludf.DUMMYFUNCTION("""COMPUTED_VALUE"""),500000.0)</f>
        <v>500000</v>
      </c>
      <c r="BE92" s="22">
        <f>IFERROR(__xludf.DUMMYFUNCTION("""COMPUTED_VALUE"""),0.0)</f>
        <v>0</v>
      </c>
      <c r="BF92" s="22">
        <f>IFERROR(__xludf.DUMMYFUNCTION("""COMPUTED_VALUE"""),500000.0)</f>
        <v>500000</v>
      </c>
    </row>
    <row r="93">
      <c r="A93" s="27">
        <f>IFERROR(__xludf.DUMMYFUNCTION("""COMPUTED_VALUE"""),92.0)</f>
        <v>92</v>
      </c>
      <c r="B93" s="28" t="str">
        <f>IFERROR(__xludf.DUMMYFUNCTION("""COMPUTED_VALUE"""),"NAUFAL SEBASTIAN ZUHDI")</f>
        <v>NAUFAL SEBASTIAN ZUHDI</v>
      </c>
      <c r="C93" s="28">
        <f>IFERROR(__xludf.DUMMYFUNCTION("""COMPUTED_VALUE"""),2.025070576E9)</f>
        <v>2025070576</v>
      </c>
      <c r="D93" s="28" t="str">
        <f>IFERROR(__xludf.DUMMYFUNCTION("""COMPUTED_VALUE"""),"NURUL ZUHDI")</f>
        <v>NURUL ZUHDI</v>
      </c>
      <c r="E93" s="28" t="str">
        <f>IFERROR(__xludf.DUMMYFUNCTION("""COMPUTED_VALUE"""),"IKE YUSTIN DEVIA")</f>
        <v>IKE YUSTIN DEVIA</v>
      </c>
      <c r="F93" s="28" t="str">
        <f>IFERROR(__xludf.DUMMYFUNCTION("""COMPUTED_VALUE"""),"DADAPAN RT 003 RW 002 SOLOKURO LAMONGAN")</f>
        <v>DADAPAN RT 003 RW 002 SOLOKURO LAMONGAN</v>
      </c>
      <c r="G93" s="28" t="str">
        <f>IFERROR(__xludf.DUMMYFUNCTION("""COMPUTED_VALUE"""),"MTS-8 E")</f>
        <v>MTS-8 E</v>
      </c>
      <c r="H93" s="28" t="str">
        <f>IFERROR(__xludf.DUMMYFUNCTION("""COMPUTED_VALUE"""),"A")</f>
        <v>A</v>
      </c>
      <c r="I93" s="28" t="str">
        <f>IFERROR(__xludf.DUMMYFUNCTION("""COMPUTED_VALUE"""),"A-3")</f>
        <v>A-3</v>
      </c>
      <c r="J93" s="28">
        <f>IFERROR(__xludf.DUMMYFUNCTION("""COMPUTED_VALUE"""),2.0)</f>
        <v>2</v>
      </c>
      <c r="K93" s="28" t="str">
        <f>IFERROR(__xludf.DUMMYFUNCTION("""COMPUTED_VALUE"""),"2 ULA B PUTRA")</f>
        <v>2 ULA B PUTRA</v>
      </c>
      <c r="L93" s="29" t="str">
        <f>IFERROR(__xludf.DUMMYFUNCTION("""COMPUTED_VALUE"""),"6285933222243")</f>
        <v>6285933222243</v>
      </c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2">
        <f>IFERROR(__xludf.DUMMYFUNCTION("""COMPUTED_VALUE"""),500000.0)</f>
        <v>500000</v>
      </c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2">
        <f>IFERROR(__xludf.DUMMYFUNCTION("""COMPUTED_VALUE"""),500000.0)</f>
        <v>500000</v>
      </c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2">
        <f>IFERROR(__xludf.DUMMYFUNCTION("""COMPUTED_VALUE"""),0.0)</f>
        <v>0</v>
      </c>
      <c r="BD93" s="22">
        <f>IFERROR(__xludf.DUMMYFUNCTION("""COMPUTED_VALUE"""),1000000.0)</f>
        <v>1000000</v>
      </c>
      <c r="BE93" s="22">
        <f>IFERROR(__xludf.DUMMYFUNCTION("""COMPUTED_VALUE"""),0.0)</f>
        <v>0</v>
      </c>
      <c r="BF93" s="22">
        <f>IFERROR(__xludf.DUMMYFUNCTION("""COMPUTED_VALUE"""),1000000.0)</f>
        <v>1000000</v>
      </c>
    </row>
    <row r="94">
      <c r="A94" s="27">
        <f>IFERROR(__xludf.DUMMYFUNCTION("""COMPUTED_VALUE"""),93.0)</f>
        <v>93</v>
      </c>
      <c r="B94" s="28" t="str">
        <f>IFERROR(__xludf.DUMMYFUNCTION("""COMPUTED_VALUE"""),"PUTRADANA ABDY ASY`ARY")</f>
        <v>PUTRADANA ABDY ASY`ARY</v>
      </c>
      <c r="C94" s="28">
        <f>IFERROR(__xludf.DUMMYFUNCTION("""COMPUTED_VALUE"""),2.025070608E9)</f>
        <v>2025070608</v>
      </c>
      <c r="D94" s="28" t="str">
        <f>IFERROR(__xludf.DUMMYFUNCTION("""COMPUTED_VALUE"""),"KHASUN NIDLOM ASY`ARY")</f>
        <v>KHASUN NIDLOM ASY`ARY</v>
      </c>
      <c r="E94" s="28" t="str">
        <f>IFERROR(__xludf.DUMMYFUNCTION("""COMPUTED_VALUE"""),"KHOLIFATUL MA`RIFAH")</f>
        <v>KHOLIFATUL MA`RIFAH</v>
      </c>
      <c r="F94" s="28" t="str">
        <f>IFERROR(__xludf.DUMMYFUNCTION("""COMPUTED_VALUE"""),"KULURAN RT 004 RW 002 KALITENGAH LAMONGAN")</f>
        <v>KULURAN RT 004 RW 002 KALITENGAH LAMONGAN</v>
      </c>
      <c r="G94" s="28" t="str">
        <f>IFERROR(__xludf.DUMMYFUNCTION("""COMPUTED_VALUE"""),"MTS-8 F")</f>
        <v>MTS-8 F</v>
      </c>
      <c r="H94" s="28" t="str">
        <f>IFERROR(__xludf.DUMMYFUNCTION("""COMPUTED_VALUE"""),"A")</f>
        <v>A</v>
      </c>
      <c r="I94" s="28" t="str">
        <f>IFERROR(__xludf.DUMMYFUNCTION("""COMPUTED_VALUE"""),"A-1")</f>
        <v>A-1</v>
      </c>
      <c r="J94" s="28">
        <f>IFERROR(__xludf.DUMMYFUNCTION("""COMPUTED_VALUE"""),2.0)</f>
        <v>2</v>
      </c>
      <c r="K94" s="28" t="str">
        <f>IFERROR(__xludf.DUMMYFUNCTION("""COMPUTED_VALUE"""),"2 ULA B PUTRA")</f>
        <v>2 ULA B PUTRA</v>
      </c>
      <c r="L94" s="29" t="str">
        <f>IFERROR(__xludf.DUMMYFUNCTION("""COMPUTED_VALUE"""),"6285790574521")</f>
        <v>6285790574521</v>
      </c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2">
        <f>IFERROR(__xludf.DUMMYFUNCTION("""COMPUTED_VALUE"""),450000.0)</f>
        <v>450000</v>
      </c>
      <c r="AA94" s="28"/>
      <c r="AB94" s="22">
        <f>IFERROR(__xludf.DUMMYFUNCTION("""COMPUTED_VALUE"""),500000.0)</f>
        <v>500000</v>
      </c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2">
        <f>IFERROR(__xludf.DUMMYFUNCTION("""COMPUTED_VALUE"""),500000.0)</f>
        <v>500000</v>
      </c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C94" s="22">
        <f>IFERROR(__xludf.DUMMYFUNCTION("""COMPUTED_VALUE"""),450000.0)</f>
        <v>450000</v>
      </c>
      <c r="BD94" s="22">
        <f>IFERROR(__xludf.DUMMYFUNCTION("""COMPUTED_VALUE"""),1000000.0)</f>
        <v>1000000</v>
      </c>
      <c r="BE94" s="22">
        <f>IFERROR(__xludf.DUMMYFUNCTION("""COMPUTED_VALUE"""),0.0)</f>
        <v>0</v>
      </c>
      <c r="BF94" s="22">
        <f>IFERROR(__xludf.DUMMYFUNCTION("""COMPUTED_VALUE"""),1450000.0)</f>
        <v>1450000</v>
      </c>
    </row>
    <row r="95">
      <c r="A95" s="27">
        <f>IFERROR(__xludf.DUMMYFUNCTION("""COMPUTED_VALUE"""),94.0)</f>
        <v>94</v>
      </c>
      <c r="B95" s="28" t="str">
        <f>IFERROR(__xludf.DUMMYFUNCTION("""COMPUTED_VALUE"""),"RADITYA GUNA ATMAJA")</f>
        <v>RADITYA GUNA ATMAJA</v>
      </c>
      <c r="C95" s="28">
        <f>IFERROR(__xludf.DUMMYFUNCTION("""COMPUTED_VALUE"""),2.025070014E9)</f>
        <v>2025070014</v>
      </c>
      <c r="D95" s="28" t="str">
        <f>IFERROR(__xludf.DUMMYFUNCTION("""COMPUTED_VALUE"""),"NIFUD ROBUL MASUD")</f>
        <v>NIFUD ROBUL MASUD</v>
      </c>
      <c r="E95" s="28" t="str">
        <f>IFERROR(__xludf.DUMMYFUNCTION("""COMPUTED_VALUE"""),"SUIRAWATI")</f>
        <v>SUIRAWATI</v>
      </c>
      <c r="F95" s="28" t="str">
        <f>IFERROR(__xludf.DUMMYFUNCTION("""COMPUTED_VALUE"""),"WIDHE SENDANGHARJO RT 014 RW 002 BRONDONG LAMONGAN")</f>
        <v>WIDHE SENDANGHARJO RT 014 RW 002 BRONDONG LAMONGAN</v>
      </c>
      <c r="G95" s="28" t="str">
        <f>IFERROR(__xludf.DUMMYFUNCTION("""COMPUTED_VALUE"""),"MA-XI.4")</f>
        <v>MA-XI.4</v>
      </c>
      <c r="H95" s="28" t="str">
        <f>IFERROR(__xludf.DUMMYFUNCTION("""COMPUTED_VALUE"""),"A")</f>
        <v>A</v>
      </c>
      <c r="I95" s="28" t="str">
        <f>IFERROR(__xludf.DUMMYFUNCTION("""COMPUTED_VALUE"""),"A-4")</f>
        <v>A-4</v>
      </c>
      <c r="J95" s="28">
        <f>IFERROR(__xludf.DUMMYFUNCTION("""COMPUTED_VALUE"""),2.0)</f>
        <v>2</v>
      </c>
      <c r="K95" s="28" t="str">
        <f>IFERROR(__xludf.DUMMYFUNCTION("""COMPUTED_VALUE"""),"2 WUSTHO B PUTRA")</f>
        <v>2 WUSTHO B PUTRA</v>
      </c>
      <c r="L95" s="29" t="str">
        <f>IFERROR(__xludf.DUMMYFUNCTION("""COMPUTED_VALUE"""),"6285708380208")</f>
        <v>6285708380208</v>
      </c>
      <c r="M95" s="28"/>
      <c r="N95" s="28"/>
      <c r="O95" s="28"/>
      <c r="P95" s="28"/>
      <c r="Q95" s="28"/>
      <c r="R95" s="28"/>
      <c r="S95" s="28"/>
      <c r="T95" s="28"/>
      <c r="U95" s="22">
        <f>IFERROR(__xludf.DUMMYFUNCTION("""COMPUTED_VALUE"""),450000.0)</f>
        <v>450000</v>
      </c>
      <c r="V95" s="22">
        <f>IFERROR(__xludf.DUMMYFUNCTION("""COMPUTED_VALUE"""),450000.0)</f>
        <v>450000</v>
      </c>
      <c r="W95" s="22">
        <f>IFERROR(__xludf.DUMMYFUNCTION("""COMPUTED_VALUE"""),450000.0)</f>
        <v>450000</v>
      </c>
      <c r="X95" s="22">
        <f>IFERROR(__xludf.DUMMYFUNCTION("""COMPUTED_VALUE"""),450000.0)</f>
        <v>450000</v>
      </c>
      <c r="Y95" s="22">
        <f>IFERROR(__xludf.DUMMYFUNCTION("""COMPUTED_VALUE"""),450000.0)</f>
        <v>450000</v>
      </c>
      <c r="Z95" s="22">
        <f>IFERROR(__xludf.DUMMYFUNCTION("""COMPUTED_VALUE"""),450000.0)</f>
        <v>450000</v>
      </c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2">
        <f>IFERROR(__xludf.DUMMYFUNCTION("""COMPUTED_VALUE"""),2700000.0)</f>
        <v>2700000</v>
      </c>
      <c r="BD95" s="22">
        <f>IFERROR(__xludf.DUMMYFUNCTION("""COMPUTED_VALUE"""),0.0)</f>
        <v>0</v>
      </c>
      <c r="BE95" s="22">
        <f>IFERROR(__xludf.DUMMYFUNCTION("""COMPUTED_VALUE"""),0.0)</f>
        <v>0</v>
      </c>
      <c r="BF95" s="22">
        <f>IFERROR(__xludf.DUMMYFUNCTION("""COMPUTED_VALUE"""),2700000.0)</f>
        <v>2700000</v>
      </c>
    </row>
    <row r="96">
      <c r="A96" s="27">
        <f>IFERROR(__xludf.DUMMYFUNCTION("""COMPUTED_VALUE"""),95.0)</f>
        <v>95</v>
      </c>
      <c r="B96" s="28" t="str">
        <f>IFERROR(__xludf.DUMMYFUNCTION("""COMPUTED_VALUE"""),"RAIHAN AUFAR ALDIVA ARSYIL")</f>
        <v>RAIHAN AUFAR ALDIVA ARSYIL</v>
      </c>
      <c r="C96" s="28">
        <f>IFERROR(__xludf.DUMMYFUNCTION("""COMPUTED_VALUE"""),2.025070537E9)</f>
        <v>2025070537</v>
      </c>
      <c r="D96" s="28" t="str">
        <f>IFERROR(__xludf.DUMMYFUNCTION("""COMPUTED_VALUE"""),"SUKARSONO")</f>
        <v>SUKARSONO</v>
      </c>
      <c r="E96" s="28" t="str">
        <f>IFERROR(__xludf.DUMMYFUNCTION("""COMPUTED_VALUE"""),"NANIK ERMAWATI")</f>
        <v>NANIK ERMAWATI</v>
      </c>
      <c r="F96" s="28" t="str">
        <f>IFERROR(__xludf.DUMMYFUNCTION("""COMPUTED_VALUE"""),"NGUJUNG NGUJUNGREJO RT 001 RW 001 TURI LAMONGAN")</f>
        <v>NGUJUNG NGUJUNGREJO RT 001 RW 001 TURI LAMONGAN</v>
      </c>
      <c r="G96" s="28" t="str">
        <f>IFERROR(__xludf.DUMMYFUNCTION("""COMPUTED_VALUE"""),"MTS-8 G")</f>
        <v>MTS-8 G</v>
      </c>
      <c r="H96" s="28" t="str">
        <f>IFERROR(__xludf.DUMMYFUNCTION("""COMPUTED_VALUE"""),"A")</f>
        <v>A</v>
      </c>
      <c r="I96" s="28" t="str">
        <f>IFERROR(__xludf.DUMMYFUNCTION("""COMPUTED_VALUE"""),"A-3")</f>
        <v>A-3</v>
      </c>
      <c r="J96" s="28">
        <f>IFERROR(__xludf.DUMMYFUNCTION("""COMPUTED_VALUE"""),2.0)</f>
        <v>2</v>
      </c>
      <c r="K96" s="28" t="str">
        <f>IFERROR(__xludf.DUMMYFUNCTION("""COMPUTED_VALUE"""),"2 ULA B PUTRA")</f>
        <v>2 ULA B PUTRA</v>
      </c>
      <c r="L96" s="29" t="str">
        <f>IFERROR(__xludf.DUMMYFUNCTION("""COMPUTED_VALUE"""),"6285708809822")</f>
        <v>6285708809822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2">
        <f>IFERROR(__xludf.DUMMYFUNCTION("""COMPUTED_VALUE"""),500000.0)</f>
        <v>500000</v>
      </c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2">
        <f>IFERROR(__xludf.DUMMYFUNCTION("""COMPUTED_VALUE"""),500000.0)</f>
        <v>500000</v>
      </c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2">
        <f>IFERROR(__xludf.DUMMYFUNCTION("""COMPUTED_VALUE"""),0.0)</f>
        <v>0</v>
      </c>
      <c r="BD96" s="22">
        <f>IFERROR(__xludf.DUMMYFUNCTION("""COMPUTED_VALUE"""),1000000.0)</f>
        <v>1000000</v>
      </c>
      <c r="BE96" s="22">
        <f>IFERROR(__xludf.DUMMYFUNCTION("""COMPUTED_VALUE"""),0.0)</f>
        <v>0</v>
      </c>
      <c r="BF96" s="22">
        <f>IFERROR(__xludf.DUMMYFUNCTION("""COMPUTED_VALUE"""),1000000.0)</f>
        <v>1000000</v>
      </c>
    </row>
    <row r="97">
      <c r="A97" s="27">
        <f>IFERROR(__xludf.DUMMYFUNCTION("""COMPUTED_VALUE"""),96.0)</f>
        <v>96</v>
      </c>
      <c r="B97" s="28" t="str">
        <f>IFERROR(__xludf.DUMMYFUNCTION("""COMPUTED_VALUE"""),"RAIHAN MAWARDI PUTRA ZAINAL")</f>
        <v>RAIHAN MAWARDI PUTRA ZAINAL</v>
      </c>
      <c r="C97" s="28">
        <f>IFERROR(__xludf.DUMMYFUNCTION("""COMPUTED_VALUE"""),2.025070505E9)</f>
        <v>2025070505</v>
      </c>
      <c r="D97" s="28" t="str">
        <f>IFERROR(__xludf.DUMMYFUNCTION("""COMPUTED_VALUE"""),"ZAINAL ARIF")</f>
        <v>ZAINAL ARIF</v>
      </c>
      <c r="E97" s="28" t="str">
        <f>IFERROR(__xludf.DUMMYFUNCTION("""COMPUTED_VALUE"""),"SANTY KUMALA SARY")</f>
        <v>SANTY KUMALA SARY</v>
      </c>
      <c r="F97" s="28" t="str">
        <f>IFERROR(__xludf.DUMMYFUNCTION("""COMPUTED_VALUE"""),"BADAN BOGOBABADAN RT 001 RW 004 KARANGBINANGUN LAMONGAN")</f>
        <v>BADAN BOGOBABADAN RT 001 RW 004 KARANGBINANGUN LAMONGAN</v>
      </c>
      <c r="G97" s="28" t="str">
        <f>IFERROR(__xludf.DUMMYFUNCTION("""COMPUTED_VALUE"""),"MTS-8 B")</f>
        <v>MTS-8 B</v>
      </c>
      <c r="H97" s="28" t="str">
        <f>IFERROR(__xludf.DUMMYFUNCTION("""COMPUTED_VALUE"""),"A")</f>
        <v>A</v>
      </c>
      <c r="I97" s="28" t="str">
        <f>IFERROR(__xludf.DUMMYFUNCTION("""COMPUTED_VALUE"""),"A-13")</f>
        <v>A-13</v>
      </c>
      <c r="J97" s="28">
        <f>IFERROR(__xludf.DUMMYFUNCTION("""COMPUTED_VALUE"""),2.0)</f>
        <v>2</v>
      </c>
      <c r="K97" s="28" t="str">
        <f>IFERROR(__xludf.DUMMYFUNCTION("""COMPUTED_VALUE"""),"ULA")</f>
        <v>ULA</v>
      </c>
      <c r="L97" s="29" t="str">
        <f>IFERROR(__xludf.DUMMYFUNCTION("""COMPUTED_VALUE"""),"6285655897293")</f>
        <v>6285655897293</v>
      </c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2">
        <f>IFERROR(__xludf.DUMMYFUNCTION("""COMPUTED_VALUE"""),450000.0)</f>
        <v>450000</v>
      </c>
      <c r="AA97" s="28"/>
      <c r="AB97" s="22">
        <f>IFERROR(__xludf.DUMMYFUNCTION("""COMPUTED_VALUE"""),500000.0)</f>
        <v>500000</v>
      </c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2">
        <f>IFERROR(__xludf.DUMMYFUNCTION("""COMPUTED_VALUE"""),500000.0)</f>
        <v>500000</v>
      </c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2">
        <f>IFERROR(__xludf.DUMMYFUNCTION("""COMPUTED_VALUE"""),450000.0)</f>
        <v>450000</v>
      </c>
      <c r="BD97" s="22">
        <f>IFERROR(__xludf.DUMMYFUNCTION("""COMPUTED_VALUE"""),1000000.0)</f>
        <v>1000000</v>
      </c>
      <c r="BE97" s="22">
        <f>IFERROR(__xludf.DUMMYFUNCTION("""COMPUTED_VALUE"""),0.0)</f>
        <v>0</v>
      </c>
      <c r="BF97" s="22">
        <f>IFERROR(__xludf.DUMMYFUNCTION("""COMPUTED_VALUE"""),1450000.0)</f>
        <v>1450000</v>
      </c>
    </row>
    <row r="98">
      <c r="A98" s="27">
        <f>IFERROR(__xludf.DUMMYFUNCTION("""COMPUTED_VALUE"""),97.0)</f>
        <v>97</v>
      </c>
      <c r="B98" s="28" t="str">
        <f>IFERROR(__xludf.DUMMYFUNCTION("""COMPUTED_VALUE"""),"RAMANDA ALKATIRI PRINCE MUIS")</f>
        <v>RAMANDA ALKATIRI PRINCE MUIS</v>
      </c>
      <c r="C98" s="28">
        <f>IFERROR(__xludf.DUMMYFUNCTION("""COMPUTED_VALUE"""),2.025070369E9)</f>
        <v>2025070369</v>
      </c>
      <c r="D98" s="28" t="str">
        <f>IFERROR(__xludf.DUMMYFUNCTION("""COMPUTED_VALUE"""),"ABD. MUIS")</f>
        <v>ABD. MUIS</v>
      </c>
      <c r="E98" s="28" t="str">
        <f>IFERROR(__xludf.DUMMYFUNCTION("""COMPUTED_VALUE"""),"RATNA SYARIYANI")</f>
        <v>RATNA SYARIYANI</v>
      </c>
      <c r="F98" s="28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G98" s="28" t="str">
        <f>IFERROR(__xludf.DUMMYFUNCTION("""COMPUTED_VALUE"""),"MA-XI.2")</f>
        <v>MA-XI.2</v>
      </c>
      <c r="H98" s="28" t="str">
        <f>IFERROR(__xludf.DUMMYFUNCTION("""COMPUTED_VALUE"""),"A")</f>
        <v>A</v>
      </c>
      <c r="I98" s="28" t="str">
        <f>IFERROR(__xludf.DUMMYFUNCTION("""COMPUTED_VALUE"""),"A-4")</f>
        <v>A-4</v>
      </c>
      <c r="J98" s="28">
        <f>IFERROR(__xludf.DUMMYFUNCTION("""COMPUTED_VALUE"""),2.0)</f>
        <v>2</v>
      </c>
      <c r="K98" s="28" t="str">
        <f>IFERROR(__xludf.DUMMYFUNCTION("""COMPUTED_VALUE"""),"2 WUSTHO B PUTRA")</f>
        <v>2 WUSTHO B PUTRA</v>
      </c>
      <c r="L98" s="29" t="str">
        <f>IFERROR(__xludf.DUMMYFUNCTION("""COMPUTED_VALUE"""),"6281520481213")</f>
        <v>6281520481213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2">
        <f>IFERROR(__xludf.DUMMYFUNCTION("""COMPUTED_VALUE"""),500000.0)</f>
        <v>500000</v>
      </c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2">
        <f>IFERROR(__xludf.DUMMYFUNCTION("""COMPUTED_VALUE"""),500000.0)</f>
        <v>500000</v>
      </c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2">
        <f>IFERROR(__xludf.DUMMYFUNCTION("""COMPUTED_VALUE"""),0.0)</f>
        <v>0</v>
      </c>
      <c r="BD98" s="22">
        <f>IFERROR(__xludf.DUMMYFUNCTION("""COMPUTED_VALUE"""),1000000.0)</f>
        <v>1000000</v>
      </c>
      <c r="BE98" s="22">
        <f>IFERROR(__xludf.DUMMYFUNCTION("""COMPUTED_VALUE"""),0.0)</f>
        <v>0</v>
      </c>
      <c r="BF98" s="22">
        <f>IFERROR(__xludf.DUMMYFUNCTION("""COMPUTED_VALUE"""),1000000.0)</f>
        <v>1000000</v>
      </c>
    </row>
    <row r="99">
      <c r="A99" s="27">
        <f>IFERROR(__xludf.DUMMYFUNCTION("""COMPUTED_VALUE"""),98.0)</f>
        <v>98</v>
      </c>
      <c r="B99" s="28" t="str">
        <f>IFERROR(__xludf.DUMMYFUNCTION("""COMPUTED_VALUE"""),"RYAN ARDHIYANSYAH EKA SAPUTRA")</f>
        <v>RYAN ARDHIYANSYAH EKA SAPUTRA</v>
      </c>
      <c r="C99" s="28">
        <f>IFERROR(__xludf.DUMMYFUNCTION("""COMPUTED_VALUE"""),2.025070185E9)</f>
        <v>2025070185</v>
      </c>
      <c r="D99" s="28" t="str">
        <f>IFERROR(__xludf.DUMMYFUNCTION("""COMPUTED_VALUE"""),"GUNTUR SUPRIYANTO")</f>
        <v>GUNTUR SUPRIYANTO</v>
      </c>
      <c r="E99" s="28" t="str">
        <f>IFERROR(__xludf.DUMMYFUNCTION("""COMPUTED_VALUE"""),"RANIK FURI RAHAYUNINGSIH")</f>
        <v>RANIK FURI RAHAYUNINGSIH</v>
      </c>
      <c r="F99" s="28" t="str">
        <f>IFERROR(__xludf.DUMMYFUNCTION("""COMPUTED_VALUE"""),"MULYOREJO SELATAN II NO. 24 BELAKANG RT 002 RW 004 MULYOREJO SURABAYA")</f>
        <v>MULYOREJO SELATAN II NO. 24 BELAKANG RT 002 RW 004 MULYOREJO SURABAYA</v>
      </c>
      <c r="G99" s="28" t="str">
        <f>IFERROR(__xludf.DUMMYFUNCTION("""COMPUTED_VALUE"""),"MA-XI.6")</f>
        <v>MA-XI.6</v>
      </c>
      <c r="H99" s="28" t="str">
        <f>IFERROR(__xludf.DUMMYFUNCTION("""COMPUTED_VALUE"""),"A")</f>
        <v>A</v>
      </c>
      <c r="I99" s="28" t="str">
        <f>IFERROR(__xludf.DUMMYFUNCTION("""COMPUTED_VALUE"""),"A-9")</f>
        <v>A-9</v>
      </c>
      <c r="J99" s="28">
        <f>IFERROR(__xludf.DUMMYFUNCTION("""COMPUTED_VALUE"""),2.0)</f>
        <v>2</v>
      </c>
      <c r="K99" s="28" t="str">
        <f>IFERROR(__xludf.DUMMYFUNCTION("""COMPUTED_VALUE"""),"2 WUSTHO B PUTRA")</f>
        <v>2 WUSTHO B PUTRA</v>
      </c>
      <c r="L99" s="29" t="str">
        <f>IFERROR(__xludf.DUMMYFUNCTION("""COMPUTED_VALUE"""),"6282250540860")</f>
        <v>6282250540860</v>
      </c>
      <c r="M99" s="28"/>
      <c r="N99" s="28"/>
      <c r="O99" s="28"/>
      <c r="P99" s="28"/>
      <c r="Q99" s="28"/>
      <c r="R99" s="28"/>
      <c r="S99" s="28"/>
      <c r="T99" s="28"/>
      <c r="U99" s="22">
        <f>IFERROR(__xludf.DUMMYFUNCTION("""COMPUTED_VALUE"""),450000.0)</f>
        <v>450000</v>
      </c>
      <c r="V99" s="22">
        <f>IFERROR(__xludf.DUMMYFUNCTION("""COMPUTED_VALUE"""),450000.0)</f>
        <v>450000</v>
      </c>
      <c r="W99" s="22">
        <f>IFERROR(__xludf.DUMMYFUNCTION("""COMPUTED_VALUE"""),450000.0)</f>
        <v>450000</v>
      </c>
      <c r="X99" s="22">
        <f>IFERROR(__xludf.DUMMYFUNCTION("""COMPUTED_VALUE"""),450000.0)</f>
        <v>450000</v>
      </c>
      <c r="Y99" s="22">
        <f>IFERROR(__xludf.DUMMYFUNCTION("""COMPUTED_VALUE"""),450000.0)</f>
        <v>450000</v>
      </c>
      <c r="Z99" s="22">
        <f>IFERROR(__xludf.DUMMYFUNCTION("""COMPUTED_VALUE"""),450000.0)</f>
        <v>450000</v>
      </c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2">
        <f>IFERROR(__xludf.DUMMYFUNCTION("""COMPUTED_VALUE"""),2700000.0)</f>
        <v>2700000</v>
      </c>
      <c r="BD99" s="22">
        <f>IFERROR(__xludf.DUMMYFUNCTION("""COMPUTED_VALUE"""),0.0)</f>
        <v>0</v>
      </c>
      <c r="BE99" s="22">
        <f>IFERROR(__xludf.DUMMYFUNCTION("""COMPUTED_VALUE"""),0.0)</f>
        <v>0</v>
      </c>
      <c r="BF99" s="22">
        <f>IFERROR(__xludf.DUMMYFUNCTION("""COMPUTED_VALUE"""),2700000.0)</f>
        <v>2700000</v>
      </c>
    </row>
    <row r="100">
      <c r="A100" s="27">
        <f>IFERROR(__xludf.DUMMYFUNCTION("""COMPUTED_VALUE"""),99.0)</f>
        <v>99</v>
      </c>
      <c r="B100" s="28" t="str">
        <f>IFERROR(__xludf.DUMMYFUNCTION("""COMPUTED_VALUE"""),"SA`ID AQIL AL MURTADLA")</f>
        <v>SA`ID AQIL AL MURTADLA</v>
      </c>
      <c r="C100" s="28">
        <f>IFERROR(__xludf.DUMMYFUNCTION("""COMPUTED_VALUE"""),2.025070294E9)</f>
        <v>2025070294</v>
      </c>
      <c r="D100" s="28" t="str">
        <f>IFERROR(__xludf.DUMMYFUNCTION("""COMPUTED_VALUE"""),"MOH. ALI MURTADLO")</f>
        <v>MOH. ALI MURTADLO</v>
      </c>
      <c r="E100" s="28" t="str">
        <f>IFERROR(__xludf.DUMMYFUNCTION("""COMPUTED_VALUE"""),"NUR MA`RIFATUN")</f>
        <v>NUR MA`RIFATUN</v>
      </c>
      <c r="F100" s="28" t="str">
        <f>IFERROR(__xludf.DUMMYFUNCTION("""COMPUTED_VALUE"""),"SIDOMUKTI RT 010 RW 003 KEMBANGBAHU LAMONGAN")</f>
        <v>SIDOMUKTI RT 010 RW 003 KEMBANGBAHU LAMONGAN</v>
      </c>
      <c r="G100" s="28" t="str">
        <f>IFERROR(__xludf.DUMMYFUNCTION("""COMPUTED_VALUE"""),"MA-XI.5")</f>
        <v>MA-XI.5</v>
      </c>
      <c r="H100" s="28" t="str">
        <f>IFERROR(__xludf.DUMMYFUNCTION("""COMPUTED_VALUE"""),"A")</f>
        <v>A</v>
      </c>
      <c r="I100" s="28" t="str">
        <f>IFERROR(__xludf.DUMMYFUNCTION("""COMPUTED_VALUE"""),"A-4")</f>
        <v>A-4</v>
      </c>
      <c r="J100" s="28">
        <f>IFERROR(__xludf.DUMMYFUNCTION("""COMPUTED_VALUE"""),2.0)</f>
        <v>2</v>
      </c>
      <c r="K100" s="28" t="str">
        <f>IFERROR(__xludf.DUMMYFUNCTION("""COMPUTED_VALUE"""),"2 WUSTHO B PUTRA")</f>
        <v>2 WUSTHO B PUTRA</v>
      </c>
      <c r="L100" s="29" t="str">
        <f>IFERROR(__xludf.DUMMYFUNCTION("""COMPUTED_VALUE"""),"6285730837888")</f>
        <v>6285730837888</v>
      </c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2">
        <f>IFERROR(__xludf.DUMMYFUNCTION("""COMPUTED_VALUE"""),500000.0)</f>
        <v>500000</v>
      </c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2">
        <f>IFERROR(__xludf.DUMMYFUNCTION("""COMPUTED_VALUE"""),500000.0)</f>
        <v>500000</v>
      </c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2">
        <f>IFERROR(__xludf.DUMMYFUNCTION("""COMPUTED_VALUE"""),0.0)</f>
        <v>0</v>
      </c>
      <c r="BD100" s="22">
        <f>IFERROR(__xludf.DUMMYFUNCTION("""COMPUTED_VALUE"""),1000000.0)</f>
        <v>1000000</v>
      </c>
      <c r="BE100" s="22">
        <f>IFERROR(__xludf.DUMMYFUNCTION("""COMPUTED_VALUE"""),0.0)</f>
        <v>0</v>
      </c>
      <c r="BF100" s="22">
        <f>IFERROR(__xludf.DUMMYFUNCTION("""COMPUTED_VALUE"""),1000000.0)</f>
        <v>1000000</v>
      </c>
    </row>
    <row r="101">
      <c r="A101" s="27">
        <f>IFERROR(__xludf.DUMMYFUNCTION("""COMPUTED_VALUE"""),100.0)</f>
        <v>100</v>
      </c>
      <c r="B101" s="28" t="str">
        <f>IFERROR(__xludf.DUMMYFUNCTION("""COMPUTED_VALUE"""),"SHOKHIBUL MUQSIT RAMADANI")</f>
        <v>SHOKHIBUL MUQSIT RAMADANI</v>
      </c>
      <c r="C101" s="28">
        <f>IFERROR(__xludf.DUMMYFUNCTION("""COMPUTED_VALUE"""),2.025070489E9)</f>
        <v>2025070489</v>
      </c>
      <c r="D101" s="28" t="str">
        <f>IFERROR(__xludf.DUMMYFUNCTION("""COMPUTED_VALUE"""),"MARTONO")</f>
        <v>MARTONO</v>
      </c>
      <c r="E101" s="28" t="str">
        <f>IFERROR(__xludf.DUMMYFUNCTION("""COMPUTED_VALUE"""),"SITI KALIMAH")</f>
        <v>SITI KALIMAH</v>
      </c>
      <c r="F101" s="28" t="str">
        <f>IFERROR(__xludf.DUMMYFUNCTION("""COMPUTED_VALUE"""),"NGANGKRIK BALUN RT 003 RW 004 TURI LAMONGAN")</f>
        <v>NGANGKRIK BALUN RT 003 RW 004 TURI LAMONGAN</v>
      </c>
      <c r="G101" s="28" t="str">
        <f>IFERROR(__xludf.DUMMYFUNCTION("""COMPUTED_VALUE"""),"SMP-VIII A")</f>
        <v>SMP-VIII A</v>
      </c>
      <c r="H101" s="28" t="str">
        <f>IFERROR(__xludf.DUMMYFUNCTION("""COMPUTED_VALUE"""),"A")</f>
        <v>A</v>
      </c>
      <c r="I101" s="28" t="str">
        <f>IFERROR(__xludf.DUMMYFUNCTION("""COMPUTED_VALUE"""),"A-1")</f>
        <v>A-1</v>
      </c>
      <c r="J101" s="28">
        <f>IFERROR(__xludf.DUMMYFUNCTION("""COMPUTED_VALUE"""),2.0)</f>
        <v>2</v>
      </c>
      <c r="K101" s="28" t="str">
        <f>IFERROR(__xludf.DUMMYFUNCTION("""COMPUTED_VALUE"""),"2 ULA B PUTRA")</f>
        <v>2 ULA B PUTRA</v>
      </c>
      <c r="L101" s="29" t="str">
        <f>IFERROR(__xludf.DUMMYFUNCTION("""COMPUTED_VALUE"""),"6285655881598")</f>
        <v>6285655881598</v>
      </c>
      <c r="M101" s="22">
        <f>IFERROR(__xludf.DUMMYFUNCTION("""COMPUTED_VALUE"""),600000.0)</f>
        <v>600000</v>
      </c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2">
        <f>IFERROR(__xludf.DUMMYFUNCTION("""COMPUTED_VALUE"""),0.0)</f>
        <v>0</v>
      </c>
      <c r="BD101" s="22">
        <f>IFERROR(__xludf.DUMMYFUNCTION("""COMPUTED_VALUE"""),600000.0)</f>
        <v>600000</v>
      </c>
      <c r="BE101" s="22">
        <f>IFERROR(__xludf.DUMMYFUNCTION("""COMPUTED_VALUE"""),0.0)</f>
        <v>0</v>
      </c>
      <c r="BF101" s="22">
        <f>IFERROR(__xludf.DUMMYFUNCTION("""COMPUTED_VALUE"""),600000.0)</f>
        <v>600000</v>
      </c>
    </row>
    <row r="102">
      <c r="A102" s="27">
        <f>IFERROR(__xludf.DUMMYFUNCTION("""COMPUTED_VALUE"""),101.0)</f>
        <v>101</v>
      </c>
      <c r="B102" s="28" t="str">
        <f>IFERROR(__xludf.DUMMYFUNCTION("""COMPUTED_VALUE"""),"SYARIFUDIN ZUHRI JAELANI IRSYAD")</f>
        <v>SYARIFUDIN ZUHRI JAELANI IRSYAD</v>
      </c>
      <c r="C102" s="28">
        <f>IFERROR(__xludf.DUMMYFUNCTION("""COMPUTED_VALUE"""),2.025070403E9)</f>
        <v>2025070403</v>
      </c>
      <c r="D102" s="28" t="str">
        <f>IFERROR(__xludf.DUMMYFUNCTION("""COMPUTED_VALUE"""),"SAPII")</f>
        <v>SAPII</v>
      </c>
      <c r="E102" s="28" t="str">
        <f>IFERROR(__xludf.DUMMYFUNCTION("""COMPUTED_VALUE"""),"ILYA HASANAH")</f>
        <v>ILYA HASANAH</v>
      </c>
      <c r="F102" s="28" t="str">
        <f>IFERROR(__xludf.DUMMYFUNCTION("""COMPUTED_VALUE"""),"DJATI SUKOSONGO RT 003 RW 002 KEMBANGBAHU LAMONGAN")</f>
        <v>DJATI SUKOSONGO RT 003 RW 002 KEMBANGBAHU LAMONGAN</v>
      </c>
      <c r="G102" s="28" t="str">
        <f>IFERROR(__xludf.DUMMYFUNCTION("""COMPUTED_VALUE"""),"MA-XI.13")</f>
        <v>MA-XI.13</v>
      </c>
      <c r="H102" s="28" t="str">
        <f>IFERROR(__xludf.DUMMYFUNCTION("""COMPUTED_VALUE"""),"A")</f>
        <v>A</v>
      </c>
      <c r="I102" s="28" t="str">
        <f>IFERROR(__xludf.DUMMYFUNCTION("""COMPUTED_VALUE"""),"A-4")</f>
        <v>A-4</v>
      </c>
      <c r="J102" s="28">
        <f>IFERROR(__xludf.DUMMYFUNCTION("""COMPUTED_VALUE"""),2.0)</f>
        <v>2</v>
      </c>
      <c r="K102" s="28" t="str">
        <f>IFERROR(__xludf.DUMMYFUNCTION("""COMPUTED_VALUE"""),"2 MAK PUTRA")</f>
        <v>2 MAK PUTRA</v>
      </c>
      <c r="L102" s="29" t="str">
        <f>IFERROR(__xludf.DUMMYFUNCTION("""COMPUTED_VALUE"""),"6281331364804")</f>
        <v>6281331364804</v>
      </c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2">
        <f>IFERROR(__xludf.DUMMYFUNCTION("""COMPUTED_VALUE"""),500000.0)</f>
        <v>500000</v>
      </c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2">
        <f>IFERROR(__xludf.DUMMYFUNCTION("""COMPUTED_VALUE"""),500000.0)</f>
        <v>500000</v>
      </c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2">
        <f>IFERROR(__xludf.DUMMYFUNCTION("""COMPUTED_VALUE"""),0.0)</f>
        <v>0</v>
      </c>
      <c r="BD102" s="22">
        <f>IFERROR(__xludf.DUMMYFUNCTION("""COMPUTED_VALUE"""),1000000.0)</f>
        <v>1000000</v>
      </c>
      <c r="BE102" s="22">
        <f>IFERROR(__xludf.DUMMYFUNCTION("""COMPUTED_VALUE"""),0.0)</f>
        <v>0</v>
      </c>
      <c r="BF102" s="22">
        <f>IFERROR(__xludf.DUMMYFUNCTION("""COMPUTED_VALUE"""),1000000.0)</f>
        <v>1000000</v>
      </c>
    </row>
    <row r="103">
      <c r="A103" s="27">
        <f>IFERROR(__xludf.DUMMYFUNCTION("""COMPUTED_VALUE"""),102.0)</f>
        <v>102</v>
      </c>
      <c r="B103" s="28" t="str">
        <f>IFERROR(__xludf.DUMMYFUNCTION("""COMPUTED_VALUE"""),"SYHARIL FIRMAN MAULANA IRLANGGAH")</f>
        <v>SYHARIL FIRMAN MAULANA IRLANGGAH</v>
      </c>
      <c r="C103" s="28">
        <f>IFERROR(__xludf.DUMMYFUNCTION("""COMPUTED_VALUE"""),2.025070396E9)</f>
        <v>2025070396</v>
      </c>
      <c r="D103" s="28" t="str">
        <f>IFERROR(__xludf.DUMMYFUNCTION("""COMPUTED_VALUE"""),"JAMIL")</f>
        <v>JAMIL</v>
      </c>
      <c r="E103" s="28" t="str">
        <f>IFERROR(__xludf.DUMMYFUNCTION("""COMPUTED_VALUE"""),"NINGSIH")</f>
        <v>NINGSIH</v>
      </c>
      <c r="F103" s="28" t="str">
        <f>IFERROR(__xludf.DUMMYFUNCTION("""COMPUTED_VALUE"""),"TAMAN PRIJEG TAMAN PRIJEK RT 006 RW 002 LAREN LAMONGAN")</f>
        <v>TAMAN PRIJEG TAMAN PRIJEK RT 006 RW 002 LAREN LAMONGAN</v>
      </c>
      <c r="G103" s="28" t="str">
        <f>IFERROR(__xludf.DUMMYFUNCTION("""COMPUTED_VALUE"""),"MA-XI.8")</f>
        <v>MA-XI.8</v>
      </c>
      <c r="H103" s="28" t="str">
        <f>IFERROR(__xludf.DUMMYFUNCTION("""COMPUTED_VALUE"""),"A")</f>
        <v>A</v>
      </c>
      <c r="I103" s="28" t="str">
        <f>IFERROR(__xludf.DUMMYFUNCTION("""COMPUTED_VALUE"""),"A-4")</f>
        <v>A-4</v>
      </c>
      <c r="J103" s="28">
        <f>IFERROR(__xludf.DUMMYFUNCTION("""COMPUTED_VALUE"""),2.0)</f>
        <v>2</v>
      </c>
      <c r="K103" s="28" t="str">
        <f>IFERROR(__xludf.DUMMYFUNCTION("""COMPUTED_VALUE"""),"2 WUSTHO B PUTRA")</f>
        <v>2 WUSTHO B PUTRA</v>
      </c>
      <c r="L103" s="29" t="str">
        <f>IFERROR(__xludf.DUMMYFUNCTION("""COMPUTED_VALUE"""),"6285846482646")</f>
        <v>6285846482646</v>
      </c>
      <c r="M103" s="22">
        <f>IFERROR(__xludf.DUMMYFUNCTION("""COMPUTED_VALUE"""),600000.0)</f>
        <v>600000</v>
      </c>
      <c r="N103" s="28"/>
      <c r="O103" s="28"/>
      <c r="P103" s="28"/>
      <c r="Q103" s="28"/>
      <c r="R103" s="22">
        <f>IFERROR(__xludf.DUMMYFUNCTION("""COMPUTED_VALUE"""),450000.0)</f>
        <v>450000</v>
      </c>
      <c r="S103" s="22">
        <f>IFERROR(__xludf.DUMMYFUNCTION("""COMPUTED_VALUE"""),450000.0)</f>
        <v>450000</v>
      </c>
      <c r="T103" s="22">
        <f>IFERROR(__xludf.DUMMYFUNCTION("""COMPUTED_VALUE"""),450000.0)</f>
        <v>450000</v>
      </c>
      <c r="U103" s="22">
        <f>IFERROR(__xludf.DUMMYFUNCTION("""COMPUTED_VALUE"""),450000.0)</f>
        <v>450000</v>
      </c>
      <c r="V103" s="22">
        <f>IFERROR(__xludf.DUMMYFUNCTION("""COMPUTED_VALUE"""),450000.0)</f>
        <v>450000</v>
      </c>
      <c r="W103" s="22">
        <f>IFERROR(__xludf.DUMMYFUNCTION("""COMPUTED_VALUE"""),450000.0)</f>
        <v>450000</v>
      </c>
      <c r="X103" s="22">
        <f>IFERROR(__xludf.DUMMYFUNCTION("""COMPUTED_VALUE"""),450000.0)</f>
        <v>450000</v>
      </c>
      <c r="Y103" s="22">
        <f>IFERROR(__xludf.DUMMYFUNCTION("""COMPUTED_VALUE"""),450000.0)</f>
        <v>450000</v>
      </c>
      <c r="Z103" s="22">
        <f>IFERROR(__xludf.DUMMYFUNCTION("""COMPUTED_VALUE"""),450000.0)</f>
        <v>450000</v>
      </c>
      <c r="AA103" s="28"/>
      <c r="AB103" s="22">
        <f>IFERROR(__xludf.DUMMYFUNCTION("""COMPUTED_VALUE"""),500000.0)</f>
        <v>500000</v>
      </c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2">
        <f>IFERROR(__xludf.DUMMYFUNCTION("""COMPUTED_VALUE"""),500000.0)</f>
        <v>500000</v>
      </c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2">
        <f>IFERROR(__xludf.DUMMYFUNCTION("""COMPUTED_VALUE"""),4050000.0)</f>
        <v>4050000</v>
      </c>
      <c r="BD103" s="22">
        <f>IFERROR(__xludf.DUMMYFUNCTION("""COMPUTED_VALUE"""),1600000.0)</f>
        <v>1600000</v>
      </c>
      <c r="BE103" s="22">
        <f>IFERROR(__xludf.DUMMYFUNCTION("""COMPUTED_VALUE"""),0.0)</f>
        <v>0</v>
      </c>
      <c r="BF103" s="22">
        <f>IFERROR(__xludf.DUMMYFUNCTION("""COMPUTED_VALUE"""),5650000.0)</f>
        <v>5650000</v>
      </c>
    </row>
    <row r="104">
      <c r="A104" s="27">
        <f>IFERROR(__xludf.DUMMYFUNCTION("""COMPUTED_VALUE"""),103.0)</f>
        <v>103</v>
      </c>
      <c r="B104" s="28" t="str">
        <f>IFERROR(__xludf.DUMMYFUNCTION("""COMPUTED_VALUE"""),"THAMIL ARIF IBRAHIM")</f>
        <v>THAMIL ARIF IBRAHIM</v>
      </c>
      <c r="C104" s="28">
        <f>IFERROR(__xludf.DUMMYFUNCTION("""COMPUTED_VALUE"""),2.025070501E9)</f>
        <v>2025070501</v>
      </c>
      <c r="D104" s="28" t="str">
        <f>IFERROR(__xludf.DUMMYFUNCTION("""COMPUTED_VALUE"""),"SUKIMAN")</f>
        <v>SUKIMAN</v>
      </c>
      <c r="E104" s="28" t="str">
        <f>IFERROR(__xludf.DUMMYFUNCTION("""COMPUTED_VALUE"""),"SAROFAH")</f>
        <v>SAROFAH</v>
      </c>
      <c r="F104" s="28" t="str">
        <f>IFERROR(__xludf.DUMMYFUNCTION("""COMPUTED_VALUE"""),"SOKO RT 001 RW 001 TIKUNG LAMONGAN")</f>
        <v>SOKO RT 001 RW 001 TIKUNG LAMONGAN</v>
      </c>
      <c r="G104" s="28" t="str">
        <f>IFERROR(__xludf.DUMMYFUNCTION("""COMPUTED_VALUE"""),"MTS-8 C")</f>
        <v>MTS-8 C</v>
      </c>
      <c r="H104" s="28" t="str">
        <f>IFERROR(__xludf.DUMMYFUNCTION("""COMPUTED_VALUE"""),"A")</f>
        <v>A</v>
      </c>
      <c r="I104" s="28" t="str">
        <f>IFERROR(__xludf.DUMMYFUNCTION("""COMPUTED_VALUE"""),"A-1")</f>
        <v>A-1</v>
      </c>
      <c r="J104" s="28">
        <f>IFERROR(__xludf.DUMMYFUNCTION("""COMPUTED_VALUE"""),2.0)</f>
        <v>2</v>
      </c>
      <c r="K104" s="28" t="str">
        <f>IFERROR(__xludf.DUMMYFUNCTION("""COMPUTED_VALUE"""),"2 ULA B PUTRA")</f>
        <v>2 ULA B PUTRA</v>
      </c>
      <c r="L104" s="29" t="str">
        <f>IFERROR(__xludf.DUMMYFUNCTION("""COMPUTED_VALUE"""),"6282132399800")</f>
        <v>6282132399800</v>
      </c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2">
        <f>IFERROR(__xludf.DUMMYFUNCTION("""COMPUTED_VALUE"""),500000.0)</f>
        <v>500000</v>
      </c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2">
        <f>IFERROR(__xludf.DUMMYFUNCTION("""COMPUTED_VALUE"""),500000.0)</f>
        <v>500000</v>
      </c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2">
        <f>IFERROR(__xludf.DUMMYFUNCTION("""COMPUTED_VALUE"""),0.0)</f>
        <v>0</v>
      </c>
      <c r="BD104" s="22">
        <f>IFERROR(__xludf.DUMMYFUNCTION("""COMPUTED_VALUE"""),1000000.0)</f>
        <v>1000000</v>
      </c>
      <c r="BE104" s="22">
        <f>IFERROR(__xludf.DUMMYFUNCTION("""COMPUTED_VALUE"""),0.0)</f>
        <v>0</v>
      </c>
      <c r="BF104" s="22">
        <f>IFERROR(__xludf.DUMMYFUNCTION("""COMPUTED_VALUE"""),1000000.0)</f>
        <v>1000000</v>
      </c>
    </row>
    <row r="105">
      <c r="A105" s="27">
        <f>IFERROR(__xludf.DUMMYFUNCTION("""COMPUTED_VALUE"""),104.0)</f>
        <v>104</v>
      </c>
      <c r="B105" s="28" t="str">
        <f>IFERROR(__xludf.DUMMYFUNCTION("""COMPUTED_VALUE"""),"VANNY ZUDHA PRATAMA")</f>
        <v>VANNY ZUDHA PRATAMA</v>
      </c>
      <c r="C105" s="28">
        <f>IFERROR(__xludf.DUMMYFUNCTION("""COMPUTED_VALUE"""),2.025070351E9)</f>
        <v>2025070351</v>
      </c>
      <c r="D105" s="28" t="str">
        <f>IFERROR(__xludf.DUMMYFUNCTION("""COMPUTED_VALUE"""),"MOCH ERVAN SUKIMAN")</f>
        <v>MOCH ERVAN SUKIMAN</v>
      </c>
      <c r="E105" s="28" t="str">
        <f>IFERROR(__xludf.DUMMYFUNCTION("""COMPUTED_VALUE"""),"QURROTUN AINIYAH")</f>
        <v>QURROTUN AINIYAH</v>
      </c>
      <c r="F105" s="28" t="str">
        <f>IFERROR(__xludf.DUMMYFUNCTION("""COMPUTED_VALUE"""),"BANJARMADU RT 001 RW 007 KARANGGENENG LAMONGAN")</f>
        <v>BANJARMADU RT 001 RW 007 KARANGGENENG LAMONGAN</v>
      </c>
      <c r="G105" s="28" t="str">
        <f>IFERROR(__xludf.DUMMYFUNCTION("""COMPUTED_VALUE"""),"MA-XI.13")</f>
        <v>MA-XI.13</v>
      </c>
      <c r="H105" s="28" t="str">
        <f>IFERROR(__xludf.DUMMYFUNCTION("""COMPUTED_VALUE"""),"A")</f>
        <v>A</v>
      </c>
      <c r="I105" s="28" t="str">
        <f>IFERROR(__xludf.DUMMYFUNCTION("""COMPUTED_VALUE"""),"A-2")</f>
        <v>A-2</v>
      </c>
      <c r="J105" s="28">
        <f>IFERROR(__xludf.DUMMYFUNCTION("""COMPUTED_VALUE"""),2.0)</f>
        <v>2</v>
      </c>
      <c r="K105" s="28" t="str">
        <f>IFERROR(__xludf.DUMMYFUNCTION("""COMPUTED_VALUE"""),"2 MAK PUTRA")</f>
        <v>2 MAK PUTRA</v>
      </c>
      <c r="L105" s="29" t="str">
        <f>IFERROR(__xludf.DUMMYFUNCTION("""COMPUTED_VALUE"""),"6283893321061")</f>
        <v>6283893321061</v>
      </c>
      <c r="M105" s="22">
        <f>IFERROR(__xludf.DUMMYFUNCTION("""COMPUTED_VALUE"""),600000.0)</f>
        <v>600000</v>
      </c>
      <c r="N105" s="22">
        <f>IFERROR(__xludf.DUMMYFUNCTION("""COMPUTED_VALUE"""),200000.0)</f>
        <v>200000</v>
      </c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2">
        <f>IFERROR(__xludf.DUMMYFUNCTION("""COMPUTED_VALUE"""),500000.0)</f>
        <v>500000</v>
      </c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2">
        <f>IFERROR(__xludf.DUMMYFUNCTION("""COMPUTED_VALUE"""),500000.0)</f>
        <v>500000</v>
      </c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2">
        <f>IFERROR(__xludf.DUMMYFUNCTION("""COMPUTED_VALUE"""),0.0)</f>
        <v>0</v>
      </c>
      <c r="BD105" s="22">
        <f>IFERROR(__xludf.DUMMYFUNCTION("""COMPUTED_VALUE"""),1600000.0)</f>
        <v>1600000</v>
      </c>
      <c r="BE105" s="22">
        <f>IFERROR(__xludf.DUMMYFUNCTION("""COMPUTED_VALUE"""),0.0)</f>
        <v>0</v>
      </c>
      <c r="BF105" s="22">
        <f>IFERROR(__xludf.DUMMYFUNCTION("""COMPUTED_VALUE"""),1600000.0)</f>
        <v>1600000</v>
      </c>
    </row>
    <row r="106">
      <c r="A106" s="27">
        <f>IFERROR(__xludf.DUMMYFUNCTION("""COMPUTED_VALUE"""),105.0)</f>
        <v>105</v>
      </c>
      <c r="B106" s="28" t="str">
        <f>IFERROR(__xludf.DUMMYFUNCTION("""COMPUTED_VALUE"""),"YOGA PUTRA PRATAMA")</f>
        <v>YOGA PUTRA PRATAMA</v>
      </c>
      <c r="C106" s="28">
        <f>IFERROR(__xludf.DUMMYFUNCTION("""COMPUTED_VALUE"""),2.025070462E9)</f>
        <v>2025070462</v>
      </c>
      <c r="D106" s="28" t="str">
        <f>IFERROR(__xludf.DUMMYFUNCTION("""COMPUTED_VALUE"""),"ABDUL WAHID")</f>
        <v>ABDUL WAHID</v>
      </c>
      <c r="E106" s="28" t="str">
        <f>IFERROR(__xludf.DUMMYFUNCTION("""COMPUTED_VALUE"""),"NUZIFATIN")</f>
        <v>NUZIFATIN</v>
      </c>
      <c r="F106" s="28" t="str">
        <f>IFERROR(__xludf.DUMMYFUNCTION("""COMPUTED_VALUE"""),"MOJOPETUNG RT 004 RW 002 DUKUN GRESIK")</f>
        <v>MOJOPETUNG RT 004 RW 002 DUKUN GRESIK</v>
      </c>
      <c r="G106" s="28" t="str">
        <f>IFERROR(__xludf.DUMMYFUNCTION("""COMPUTED_VALUE"""),"SMK-XI TSM")</f>
        <v>SMK-XI TSM</v>
      </c>
      <c r="H106" s="28" t="str">
        <f>IFERROR(__xludf.DUMMYFUNCTION("""COMPUTED_VALUE"""),"A")</f>
        <v>A</v>
      </c>
      <c r="I106" s="28" t="str">
        <f>IFERROR(__xludf.DUMMYFUNCTION("""COMPUTED_VALUE"""),"A-4")</f>
        <v>A-4</v>
      </c>
      <c r="J106" s="28">
        <f>IFERROR(__xludf.DUMMYFUNCTION("""COMPUTED_VALUE"""),2.0)</f>
        <v>2</v>
      </c>
      <c r="K106" s="28" t="str">
        <f>IFERROR(__xludf.DUMMYFUNCTION("""COMPUTED_VALUE"""),"2 WUSTHO B PUTRA")</f>
        <v>2 WUSTHO B PUTRA</v>
      </c>
      <c r="L106" s="29" t="str">
        <f>IFERROR(__xludf.DUMMYFUNCTION("""COMPUTED_VALUE"""),"6285604385253")</f>
        <v>6285604385253</v>
      </c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2">
        <f>IFERROR(__xludf.DUMMYFUNCTION("""COMPUTED_VALUE"""),0.0)</f>
        <v>0</v>
      </c>
      <c r="BD106" s="22">
        <f>IFERROR(__xludf.DUMMYFUNCTION("""COMPUTED_VALUE"""),0.0)</f>
        <v>0</v>
      </c>
      <c r="BE106" s="22">
        <f>IFERROR(__xludf.DUMMYFUNCTION("""COMPUTED_VALUE"""),0.0)</f>
        <v>0</v>
      </c>
      <c r="BF106" s="22">
        <f>IFERROR(__xludf.DUMMYFUNCTION("""COMPUTED_VALUE"""),0.0)</f>
        <v>0</v>
      </c>
    </row>
    <row r="107">
      <c r="A107" s="27">
        <f>IFERROR(__xludf.DUMMYFUNCTION("""COMPUTED_VALUE"""),106.0)</f>
        <v>106</v>
      </c>
      <c r="B107" s="28" t="str">
        <f>IFERROR(__xludf.DUMMYFUNCTION("""COMPUTED_VALUE"""),"ALDA RISMAYANTI")</f>
        <v>ALDA RISMAYANTI</v>
      </c>
      <c r="C107" s="28">
        <f>IFERROR(__xludf.DUMMYFUNCTION("""COMPUTED_VALUE"""),2.025070378E9)</f>
        <v>2025070378</v>
      </c>
      <c r="D107" s="28" t="str">
        <f>IFERROR(__xludf.DUMMYFUNCTION("""COMPUTED_VALUE"""),"DIDIK PRAMONO")</f>
        <v>DIDIK PRAMONO</v>
      </c>
      <c r="E107" s="28" t="str">
        <f>IFERROR(__xludf.DUMMYFUNCTION("""COMPUTED_VALUE"""),"UMALIYAH")</f>
        <v>UMALIYAH</v>
      </c>
      <c r="F107" s="28" t="str">
        <f>IFERROR(__xludf.DUMMYFUNCTION("""COMPUTED_VALUE"""),"TENGGULUN RT 001 RW 001 SOLOKURO LAMONGAN")</f>
        <v>TENGGULUN RT 001 RW 001 SOLOKURO LAMONGAN</v>
      </c>
      <c r="G107" s="28" t="str">
        <f>IFERROR(__xludf.DUMMYFUNCTION("""COMPUTED_VALUE"""),"MA-XI.3")</f>
        <v>MA-XI.3</v>
      </c>
      <c r="H107" s="28" t="str">
        <f>IFERROR(__xludf.DUMMYFUNCTION("""COMPUTED_VALUE"""),"B")</f>
        <v>B</v>
      </c>
      <c r="I107" s="28" t="str">
        <f>IFERROR(__xludf.DUMMYFUNCTION("""COMPUTED_VALUE"""),"B-1")</f>
        <v>B-1</v>
      </c>
      <c r="J107" s="28">
        <f>IFERROR(__xludf.DUMMYFUNCTION("""COMPUTED_VALUE"""),2.0)</f>
        <v>2</v>
      </c>
      <c r="K107" s="28" t="str">
        <f>IFERROR(__xludf.DUMMYFUNCTION("""COMPUTED_VALUE"""),"2 WUSTHO C PUTRI")</f>
        <v>2 WUSTHO C PUTRI</v>
      </c>
      <c r="L107" s="29" t="str">
        <f>IFERROR(__xludf.DUMMYFUNCTION("""COMPUTED_VALUE"""),"6285746669052")</f>
        <v>6285746669052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2">
        <f>IFERROR(__xludf.DUMMYFUNCTION("""COMPUTED_VALUE"""),0.0)</f>
        <v>0</v>
      </c>
      <c r="BD107" s="22">
        <f>IFERROR(__xludf.DUMMYFUNCTION("""COMPUTED_VALUE"""),0.0)</f>
        <v>0</v>
      </c>
      <c r="BE107" s="22">
        <f>IFERROR(__xludf.DUMMYFUNCTION("""COMPUTED_VALUE"""),0.0)</f>
        <v>0</v>
      </c>
      <c r="BF107" s="22">
        <f>IFERROR(__xludf.DUMMYFUNCTION("""COMPUTED_VALUE"""),0.0)</f>
        <v>0</v>
      </c>
    </row>
    <row r="108">
      <c r="A108" s="27">
        <f>IFERROR(__xludf.DUMMYFUNCTION("""COMPUTED_VALUE"""),107.0)</f>
        <v>107</v>
      </c>
      <c r="B108" s="28" t="str">
        <f>IFERROR(__xludf.DUMMYFUNCTION("""COMPUTED_VALUE"""),"ALFIRA NURUS SA`ADAH")</f>
        <v>ALFIRA NURUS SA`ADAH</v>
      </c>
      <c r="C108" s="28">
        <f>IFERROR(__xludf.DUMMYFUNCTION("""COMPUTED_VALUE"""),2.025070483E9)</f>
        <v>2025070483</v>
      </c>
      <c r="D108" s="28" t="str">
        <f>IFERROR(__xludf.DUMMYFUNCTION("""COMPUTED_VALUE"""),"KHUDHORI")</f>
        <v>KHUDHORI</v>
      </c>
      <c r="E108" s="28" t="str">
        <f>IFERROR(__xludf.DUMMYFUNCTION("""COMPUTED_VALUE"""),"SRI AGENG ARICH PRATIWI")</f>
        <v>SRI AGENG ARICH PRATIWI</v>
      </c>
      <c r="F108" s="28" t="str">
        <f>IFERROR(__xludf.DUMMYFUNCTION("""COMPUTED_VALUE"""),"TIWET RT 002 RW 002 KALITENGAH LAMONGAN")</f>
        <v>TIWET RT 002 RW 002 KALITENGAH LAMONGAN</v>
      </c>
      <c r="G108" s="28" t="str">
        <f>IFERROR(__xludf.DUMMYFUNCTION("""COMPUTED_VALUE"""),"SMP-VIII B")</f>
        <v>SMP-VIII B</v>
      </c>
      <c r="H108" s="28" t="str">
        <f>IFERROR(__xludf.DUMMYFUNCTION("""COMPUTED_VALUE"""),"B")</f>
        <v>B</v>
      </c>
      <c r="I108" s="28" t="str">
        <f>IFERROR(__xludf.DUMMYFUNCTION("""COMPUTED_VALUE"""),"B-10")</f>
        <v>B-10</v>
      </c>
      <c r="J108" s="28">
        <f>IFERROR(__xludf.DUMMYFUNCTION("""COMPUTED_VALUE"""),2.0)</f>
        <v>2</v>
      </c>
      <c r="K108" s="28" t="str">
        <f>IFERROR(__xludf.DUMMYFUNCTION("""COMPUTED_VALUE"""),"2 ULA A PUTRI")</f>
        <v>2 ULA A PUTRI</v>
      </c>
      <c r="L108" s="29" t="str">
        <f>IFERROR(__xludf.DUMMYFUNCTION("""COMPUTED_VALUE"""),"6285812495184")</f>
        <v>6285812495184</v>
      </c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2">
        <f>IFERROR(__xludf.DUMMYFUNCTION("""COMPUTED_VALUE"""),500000.0)</f>
        <v>500000</v>
      </c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2">
        <f>IFERROR(__xludf.DUMMYFUNCTION("""COMPUTED_VALUE"""),500000.0)</f>
        <v>500000</v>
      </c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2">
        <f>IFERROR(__xludf.DUMMYFUNCTION("""COMPUTED_VALUE"""),0.0)</f>
        <v>0</v>
      </c>
      <c r="BD108" s="22">
        <f>IFERROR(__xludf.DUMMYFUNCTION("""COMPUTED_VALUE"""),1000000.0)</f>
        <v>1000000</v>
      </c>
      <c r="BE108" s="22">
        <f>IFERROR(__xludf.DUMMYFUNCTION("""COMPUTED_VALUE"""),0.0)</f>
        <v>0</v>
      </c>
      <c r="BF108" s="22">
        <f>IFERROR(__xludf.DUMMYFUNCTION("""COMPUTED_VALUE"""),1000000.0)</f>
        <v>1000000</v>
      </c>
    </row>
    <row r="109">
      <c r="A109" s="27">
        <f>IFERROR(__xludf.DUMMYFUNCTION("""COMPUTED_VALUE"""),108.0)</f>
        <v>108</v>
      </c>
      <c r="B109" s="28" t="str">
        <f>IFERROR(__xludf.DUMMYFUNCTION("""COMPUTED_VALUE"""),"ALIFAH MAISAROH")</f>
        <v>ALIFAH MAISAROH</v>
      </c>
      <c r="C109" s="28">
        <f>IFERROR(__xludf.DUMMYFUNCTION("""COMPUTED_VALUE"""),2.025070543E9)</f>
        <v>2025070543</v>
      </c>
      <c r="D109" s="28" t="str">
        <f>IFERROR(__xludf.DUMMYFUNCTION("""COMPUTED_VALUE"""),"CHOIRUL AMRI")</f>
        <v>CHOIRUL AMRI</v>
      </c>
      <c r="E109" s="28" t="str">
        <f>IFERROR(__xludf.DUMMYFUNCTION("""COMPUTED_VALUE"""),"INDRAWATI")</f>
        <v>INDRAWATI</v>
      </c>
      <c r="F109" s="28" t="str">
        <f>IFERROR(__xludf.DUMMYFUNCTION("""COMPUTED_VALUE"""),"KH. ABDUL GHONI KESAMBI RT 001 RW 003 PUCUK LAMONGAN")</f>
        <v>KH. ABDUL GHONI KESAMBI RT 001 RW 003 PUCUK LAMONGAN</v>
      </c>
      <c r="G109" s="28" t="str">
        <f>IFERROR(__xludf.DUMMYFUNCTION("""COMPUTED_VALUE"""),"MTS-8 F")</f>
        <v>MTS-8 F</v>
      </c>
      <c r="H109" s="28" t="str">
        <f>IFERROR(__xludf.DUMMYFUNCTION("""COMPUTED_VALUE"""),"B")</f>
        <v>B</v>
      </c>
      <c r="I109" s="28" t="str">
        <f>IFERROR(__xludf.DUMMYFUNCTION("""COMPUTED_VALUE"""),"B-2")</f>
        <v>B-2</v>
      </c>
      <c r="J109" s="28">
        <f>IFERROR(__xludf.DUMMYFUNCTION("""COMPUTED_VALUE"""),2.0)</f>
        <v>2</v>
      </c>
      <c r="K109" s="28" t="str">
        <f>IFERROR(__xludf.DUMMYFUNCTION("""COMPUTED_VALUE"""),"2 ULA C PUTRI")</f>
        <v>2 ULA C PUTRI</v>
      </c>
      <c r="L109" s="29" t="str">
        <f>IFERROR(__xludf.DUMMYFUNCTION("""COMPUTED_VALUE"""),"6285291411425")</f>
        <v>6285291411425</v>
      </c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2">
        <f>IFERROR(__xludf.DUMMYFUNCTION("""COMPUTED_VALUE"""),500000.0)</f>
        <v>500000</v>
      </c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2">
        <f>IFERROR(__xludf.DUMMYFUNCTION("""COMPUTED_VALUE"""),500000.0)</f>
        <v>500000</v>
      </c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2">
        <f>IFERROR(__xludf.DUMMYFUNCTION("""COMPUTED_VALUE"""),0.0)</f>
        <v>0</v>
      </c>
      <c r="BD109" s="22">
        <f>IFERROR(__xludf.DUMMYFUNCTION("""COMPUTED_VALUE"""),1000000.0)</f>
        <v>1000000</v>
      </c>
      <c r="BE109" s="22">
        <f>IFERROR(__xludf.DUMMYFUNCTION("""COMPUTED_VALUE"""),0.0)</f>
        <v>0</v>
      </c>
      <c r="BF109" s="22">
        <f>IFERROR(__xludf.DUMMYFUNCTION("""COMPUTED_VALUE"""),1000000.0)</f>
        <v>1000000</v>
      </c>
    </row>
    <row r="110">
      <c r="A110" s="27">
        <f>IFERROR(__xludf.DUMMYFUNCTION("""COMPUTED_VALUE"""),109.0)</f>
        <v>109</v>
      </c>
      <c r="B110" s="28" t="str">
        <f>IFERROR(__xludf.DUMMYFUNCTION("""COMPUTED_VALUE"""),"ALISIA RAHMA AMALIA")</f>
        <v>ALISIA RAHMA AMALIA</v>
      </c>
      <c r="C110" s="28">
        <f>IFERROR(__xludf.DUMMYFUNCTION("""COMPUTED_VALUE"""),2.025070662E9)</f>
        <v>2025070662</v>
      </c>
      <c r="D110" s="28" t="str">
        <f>IFERROR(__xludf.DUMMYFUNCTION("""COMPUTED_VALUE"""),"MUTHI'UR ROHMAN")</f>
        <v>MUTHI'UR ROHMAN</v>
      </c>
      <c r="E110" s="28" t="str">
        <f>IFERROR(__xludf.DUMMYFUNCTION("""COMPUTED_VALUE"""),"SITI HALIMAH SA'DIYAH")</f>
        <v>SITI HALIMAH SA'DIYAH</v>
      </c>
      <c r="F110" s="28" t="str">
        <f>IFERROR(__xludf.DUMMYFUNCTION("""COMPUTED_VALUE"""),"BANGERAN RT 001 RW 001 DUKUN GRESIK")</f>
        <v>BANGERAN RT 001 RW 001 DUKUN GRESIK</v>
      </c>
      <c r="G110" s="28" t="str">
        <f>IFERROR(__xludf.DUMMYFUNCTION("""COMPUTED_VALUE"""),"SMK-XI BD")</f>
        <v>SMK-XI BD</v>
      </c>
      <c r="H110" s="28" t="str">
        <f>IFERROR(__xludf.DUMMYFUNCTION("""COMPUTED_VALUE"""),"B")</f>
        <v>B</v>
      </c>
      <c r="I110" s="28" t="str">
        <f>IFERROR(__xludf.DUMMYFUNCTION("""COMPUTED_VALUE"""),"B-3")</f>
        <v>B-3</v>
      </c>
      <c r="J110" s="28">
        <f>IFERROR(__xludf.DUMMYFUNCTION("""COMPUTED_VALUE"""),2.0)</f>
        <v>2</v>
      </c>
      <c r="K110" s="28" t="str">
        <f>IFERROR(__xludf.DUMMYFUNCTION("""COMPUTED_VALUE"""),"2 WUSTHO B PUTRI")</f>
        <v>2 WUSTHO B PUTRI</v>
      </c>
      <c r="L110" s="29" t="str">
        <f>IFERROR(__xludf.DUMMYFUNCTION("""COMPUTED_VALUE"""),"6285732704697")</f>
        <v>6285732704697</v>
      </c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2">
        <f>IFERROR(__xludf.DUMMYFUNCTION("""COMPUTED_VALUE"""),0.0)</f>
        <v>0</v>
      </c>
      <c r="BD110" s="22">
        <f>IFERROR(__xludf.DUMMYFUNCTION("""COMPUTED_VALUE"""),0.0)</f>
        <v>0</v>
      </c>
      <c r="BE110" s="22">
        <f>IFERROR(__xludf.DUMMYFUNCTION("""COMPUTED_VALUE"""),0.0)</f>
        <v>0</v>
      </c>
      <c r="BF110" s="22">
        <f>IFERROR(__xludf.DUMMYFUNCTION("""COMPUTED_VALUE"""),0.0)</f>
        <v>0</v>
      </c>
    </row>
    <row r="111">
      <c r="A111" s="27">
        <f>IFERROR(__xludf.DUMMYFUNCTION("""COMPUTED_VALUE"""),110.0)</f>
        <v>110</v>
      </c>
      <c r="B111" s="28" t="str">
        <f>IFERROR(__xludf.DUMMYFUNCTION("""COMPUTED_VALUE"""),"ALYA INDRA FARISAH")</f>
        <v>ALYA INDRA FARISAH</v>
      </c>
      <c r="C111" s="28">
        <f>IFERROR(__xludf.DUMMYFUNCTION("""COMPUTED_VALUE"""),2.025070488E9)</f>
        <v>2025070488</v>
      </c>
      <c r="D111" s="28" t="str">
        <f>IFERROR(__xludf.DUMMYFUNCTION("""COMPUTED_VALUE"""),"INDRA MURWANTO")</f>
        <v>INDRA MURWANTO</v>
      </c>
      <c r="E111" s="28" t="str">
        <f>IFERROR(__xludf.DUMMYFUNCTION("""COMPUTED_VALUE"""),"INDRAWATI")</f>
        <v>INDRAWATI</v>
      </c>
      <c r="F111" s="28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G111" s="28" t="str">
        <f>IFERROR(__xludf.DUMMYFUNCTION("""COMPUTED_VALUE"""),"SMP-VIII A")</f>
        <v>SMP-VIII A</v>
      </c>
      <c r="H111" s="28" t="str">
        <f>IFERROR(__xludf.DUMMYFUNCTION("""COMPUTED_VALUE"""),"B")</f>
        <v>B</v>
      </c>
      <c r="I111" s="28" t="str">
        <f>IFERROR(__xludf.DUMMYFUNCTION("""COMPUTED_VALUE"""),"B-3")</f>
        <v>B-3</v>
      </c>
      <c r="J111" s="28">
        <f>IFERROR(__xludf.DUMMYFUNCTION("""COMPUTED_VALUE"""),2.0)</f>
        <v>2</v>
      </c>
      <c r="K111" s="28" t="str">
        <f>IFERROR(__xludf.DUMMYFUNCTION("""COMPUTED_VALUE"""),"2 ULA C PUTRI")</f>
        <v>2 ULA C PUTRI</v>
      </c>
      <c r="L111" s="29" t="str">
        <f>IFERROR(__xludf.DUMMYFUNCTION("""COMPUTED_VALUE"""),"628158257433")</f>
        <v>628158257433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2">
        <f>IFERROR(__xludf.DUMMYFUNCTION("""COMPUTED_VALUE"""),0.0)</f>
        <v>0</v>
      </c>
      <c r="BD111" s="22">
        <f>IFERROR(__xludf.DUMMYFUNCTION("""COMPUTED_VALUE"""),0.0)</f>
        <v>0</v>
      </c>
      <c r="BE111" s="22">
        <f>IFERROR(__xludf.DUMMYFUNCTION("""COMPUTED_VALUE"""),0.0)</f>
        <v>0</v>
      </c>
      <c r="BF111" s="22">
        <f>IFERROR(__xludf.DUMMYFUNCTION("""COMPUTED_VALUE"""),0.0)</f>
        <v>0</v>
      </c>
    </row>
    <row r="112">
      <c r="A112" s="27">
        <f>IFERROR(__xludf.DUMMYFUNCTION("""COMPUTED_VALUE"""),111.0)</f>
        <v>111</v>
      </c>
      <c r="B112" s="28" t="str">
        <f>IFERROR(__xludf.DUMMYFUNCTION("""COMPUTED_VALUE"""),"ANINDYA KALLISTA PUTRI")</f>
        <v>ANINDYA KALLISTA PUTRI</v>
      </c>
      <c r="C112" s="28">
        <f>IFERROR(__xludf.DUMMYFUNCTION("""COMPUTED_VALUE"""),2.025070542E9)</f>
        <v>2025070542</v>
      </c>
      <c r="D112" s="28" t="str">
        <f>IFERROR(__xludf.DUMMYFUNCTION("""COMPUTED_VALUE"""),"DARU AJAR PRASETYA")</f>
        <v>DARU AJAR PRASETYA</v>
      </c>
      <c r="E112" s="28" t="str">
        <f>IFERROR(__xludf.DUMMYFUNCTION("""COMPUTED_VALUE"""),"SITI MUAROFAH")</f>
        <v>SITI MUAROFAH</v>
      </c>
      <c r="F112" s="28" t="str">
        <f>IFERROR(__xludf.DUMMYFUNCTION("""COMPUTED_VALUE"""),"JL. JAKFAR KESAMBI RT 002 RW 002 PUCUK LAMONGAN")</f>
        <v>JL. JAKFAR KESAMBI RT 002 RW 002 PUCUK LAMONGAN</v>
      </c>
      <c r="G112" s="28" t="str">
        <f>IFERROR(__xludf.DUMMYFUNCTION("""COMPUTED_VALUE"""),"MTS-8 D")</f>
        <v>MTS-8 D</v>
      </c>
      <c r="H112" s="28" t="str">
        <f>IFERROR(__xludf.DUMMYFUNCTION("""COMPUTED_VALUE"""),"B")</f>
        <v>B</v>
      </c>
      <c r="I112" s="28" t="str">
        <f>IFERROR(__xludf.DUMMYFUNCTION("""COMPUTED_VALUE"""),"B-2")</f>
        <v>B-2</v>
      </c>
      <c r="J112" s="28">
        <f>IFERROR(__xludf.DUMMYFUNCTION("""COMPUTED_VALUE"""),2.0)</f>
        <v>2</v>
      </c>
      <c r="K112" s="28" t="str">
        <f>IFERROR(__xludf.DUMMYFUNCTION("""COMPUTED_VALUE"""),"2 ULA B PUTRI")</f>
        <v>2 ULA B PUTRI</v>
      </c>
      <c r="L112" s="29" t="str">
        <f>IFERROR(__xludf.DUMMYFUNCTION("""COMPUTED_VALUE"""),"6281331157200")</f>
        <v>6281331157200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2" t="str">
        <f>IFERROR(__xludf.DUMMYFUNCTION("""COMPUTED_VALUE"""),"   ")</f>
        <v>   </v>
      </c>
      <c r="Y112" s="22">
        <f>IFERROR(__xludf.DUMMYFUNCTION("""COMPUTED_VALUE"""),450000.0)</f>
        <v>450000</v>
      </c>
      <c r="Z112" s="22">
        <f>IFERROR(__xludf.DUMMYFUNCTION("""COMPUTED_VALUE"""),450000.0)</f>
        <v>450000</v>
      </c>
      <c r="AA112" s="28"/>
      <c r="AB112" s="22">
        <f>IFERROR(__xludf.DUMMYFUNCTION("""COMPUTED_VALUE"""),500000.0)</f>
        <v>500000</v>
      </c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2">
        <f>IFERROR(__xludf.DUMMYFUNCTION("""COMPUTED_VALUE"""),500000.0)</f>
        <v>500000</v>
      </c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2">
        <f>IFERROR(__xludf.DUMMYFUNCTION("""COMPUTED_VALUE"""),900000.0)</f>
        <v>900000</v>
      </c>
      <c r="BD112" s="22">
        <f>IFERROR(__xludf.DUMMYFUNCTION("""COMPUTED_VALUE"""),1000000.0)</f>
        <v>1000000</v>
      </c>
      <c r="BE112" s="22">
        <f>IFERROR(__xludf.DUMMYFUNCTION("""COMPUTED_VALUE"""),0.0)</f>
        <v>0</v>
      </c>
      <c r="BF112" s="22">
        <f>IFERROR(__xludf.DUMMYFUNCTION("""COMPUTED_VALUE"""),1900000.0)</f>
        <v>1900000</v>
      </c>
    </row>
    <row r="113">
      <c r="A113" s="27">
        <f>IFERROR(__xludf.DUMMYFUNCTION("""COMPUTED_VALUE"""),112.0)</f>
        <v>112</v>
      </c>
      <c r="B113" s="28" t="str">
        <f>IFERROR(__xludf.DUMMYFUNCTION("""COMPUTED_VALUE"""),"ANINDYAH ISMI")</f>
        <v>ANINDYAH ISMI</v>
      </c>
      <c r="C113" s="28">
        <f>IFERROR(__xludf.DUMMYFUNCTION("""COMPUTED_VALUE"""),2.025070649E9)</f>
        <v>2025070649</v>
      </c>
      <c r="D113" s="28" t="str">
        <f>IFERROR(__xludf.DUMMYFUNCTION("""COMPUTED_VALUE"""),"MIFTAKHUL HUDA")</f>
        <v>MIFTAKHUL HUDA</v>
      </c>
      <c r="E113" s="28" t="str">
        <f>IFERROR(__xludf.DUMMYFUNCTION("""COMPUTED_VALUE"""),"EVI NUR HIDAYAH")</f>
        <v>EVI NUR HIDAYAH</v>
      </c>
      <c r="F113" s="28" t="str">
        <f>IFERROR(__xludf.DUMMYFUNCTION("""COMPUTED_VALUE"""),"WANAR RT 002 RW 002 PUCUK LAMONGAN")</f>
        <v>WANAR RT 002 RW 002 PUCUK LAMONGAN</v>
      </c>
      <c r="G113" s="28" t="str">
        <f>IFERROR(__xludf.DUMMYFUNCTION("""COMPUTED_VALUE"""),"MTS-8 E")</f>
        <v>MTS-8 E</v>
      </c>
      <c r="H113" s="28" t="str">
        <f>IFERROR(__xludf.DUMMYFUNCTION("""COMPUTED_VALUE"""),"B")</f>
        <v>B</v>
      </c>
      <c r="I113" s="28" t="str">
        <f>IFERROR(__xludf.DUMMYFUNCTION("""COMPUTED_VALUE"""),"B-2")</f>
        <v>B-2</v>
      </c>
      <c r="J113" s="28">
        <f>IFERROR(__xludf.DUMMYFUNCTION("""COMPUTED_VALUE"""),2.0)</f>
        <v>2</v>
      </c>
      <c r="K113" s="28" t="str">
        <f>IFERROR(__xludf.DUMMYFUNCTION("""COMPUTED_VALUE"""),"2 ULA C PUTRI")</f>
        <v>2 ULA C PUTRI</v>
      </c>
      <c r="L113" s="29" t="str">
        <f>IFERROR(__xludf.DUMMYFUNCTION("""COMPUTED_VALUE"""),"6281210337004")</f>
        <v>6281210337004</v>
      </c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2">
        <f>IFERROR(__xludf.DUMMYFUNCTION("""COMPUTED_VALUE"""),450000.0)</f>
        <v>450000</v>
      </c>
      <c r="Z113" s="22">
        <f>IFERROR(__xludf.DUMMYFUNCTION("""COMPUTED_VALUE"""),450000.0)</f>
        <v>450000</v>
      </c>
      <c r="AA113" s="28"/>
      <c r="AB113" s="22">
        <f>IFERROR(__xludf.DUMMYFUNCTION("""COMPUTED_VALUE"""),500000.0)</f>
        <v>500000</v>
      </c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2">
        <f>IFERROR(__xludf.DUMMYFUNCTION("""COMPUTED_VALUE"""),500000.0)</f>
        <v>500000</v>
      </c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2">
        <f>IFERROR(__xludf.DUMMYFUNCTION("""COMPUTED_VALUE"""),900000.0)</f>
        <v>900000</v>
      </c>
      <c r="BD113" s="22">
        <f>IFERROR(__xludf.DUMMYFUNCTION("""COMPUTED_VALUE"""),1000000.0)</f>
        <v>1000000</v>
      </c>
      <c r="BE113" s="22">
        <f>IFERROR(__xludf.DUMMYFUNCTION("""COMPUTED_VALUE"""),0.0)</f>
        <v>0</v>
      </c>
      <c r="BF113" s="22">
        <f>IFERROR(__xludf.DUMMYFUNCTION("""COMPUTED_VALUE"""),1900000.0)</f>
        <v>1900000</v>
      </c>
    </row>
    <row r="114">
      <c r="A114" s="27">
        <f>IFERROR(__xludf.DUMMYFUNCTION("""COMPUTED_VALUE"""),113.0)</f>
        <v>113</v>
      </c>
      <c r="B114" s="28" t="str">
        <f>IFERROR(__xludf.DUMMYFUNCTION("""COMPUTED_VALUE"""),"ATIQO NAILATUL FAKHIROH")</f>
        <v>ATIQO NAILATUL FAKHIROH</v>
      </c>
      <c r="C114" s="28">
        <f>IFERROR(__xludf.DUMMYFUNCTION("""COMPUTED_VALUE"""),2.025070017E9)</f>
        <v>2025070017</v>
      </c>
      <c r="D114" s="28" t="str">
        <f>IFERROR(__xludf.DUMMYFUNCTION("""COMPUTED_VALUE"""),"MUJTABA")</f>
        <v>MUJTABA</v>
      </c>
      <c r="E114" s="28" t="str">
        <f>IFERROR(__xludf.DUMMYFUNCTION("""COMPUTED_VALUE"""),"MUYASAROH")</f>
        <v>MUYASAROH</v>
      </c>
      <c r="F114" s="28" t="str">
        <f>IFERROR(__xludf.DUMMYFUNCTION("""COMPUTED_VALUE"""),"BALONGPANGGANG RT 004 RW 002 BALONGPANGGANG GRESIK")</f>
        <v>BALONGPANGGANG RT 004 RW 002 BALONGPANGGANG GRESIK</v>
      </c>
      <c r="G114" s="28" t="str">
        <f>IFERROR(__xludf.DUMMYFUNCTION("""COMPUTED_VALUE"""),"MA-XI.2")</f>
        <v>MA-XI.2</v>
      </c>
      <c r="H114" s="28" t="str">
        <f>IFERROR(__xludf.DUMMYFUNCTION("""COMPUTED_VALUE"""),"B")</f>
        <v>B</v>
      </c>
      <c r="I114" s="28" t="str">
        <f>IFERROR(__xludf.DUMMYFUNCTION("""COMPUTED_VALUE"""),"B-1")</f>
        <v>B-1</v>
      </c>
      <c r="J114" s="28">
        <f>IFERROR(__xludf.DUMMYFUNCTION("""COMPUTED_VALUE"""),2.0)</f>
        <v>2</v>
      </c>
      <c r="K114" s="28" t="str">
        <f>IFERROR(__xludf.DUMMYFUNCTION("""COMPUTED_VALUE"""),"2 WUSTHO D PUTRI")</f>
        <v>2 WUSTHO D PUTRI</v>
      </c>
      <c r="L114" s="29" t="str">
        <f>IFERROR(__xludf.DUMMYFUNCTION("""COMPUTED_VALUE"""),"6282245008448")</f>
        <v>6282245008448</v>
      </c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2">
        <f>IFERROR(__xludf.DUMMYFUNCTION("""COMPUTED_VALUE"""),500000.0)</f>
        <v>500000</v>
      </c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2">
        <f>IFERROR(__xludf.DUMMYFUNCTION("""COMPUTED_VALUE"""),500000.0)</f>
        <v>500000</v>
      </c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2">
        <f>IFERROR(__xludf.DUMMYFUNCTION("""COMPUTED_VALUE"""),0.0)</f>
        <v>0</v>
      </c>
      <c r="BD114" s="22">
        <f>IFERROR(__xludf.DUMMYFUNCTION("""COMPUTED_VALUE"""),1000000.0)</f>
        <v>1000000</v>
      </c>
      <c r="BE114" s="22">
        <f>IFERROR(__xludf.DUMMYFUNCTION("""COMPUTED_VALUE"""),0.0)</f>
        <v>0</v>
      </c>
      <c r="BF114" s="22">
        <f>IFERROR(__xludf.DUMMYFUNCTION("""COMPUTED_VALUE"""),1000000.0)</f>
        <v>1000000</v>
      </c>
    </row>
    <row r="115">
      <c r="A115" s="27">
        <f>IFERROR(__xludf.DUMMYFUNCTION("""COMPUTED_VALUE"""),114.0)</f>
        <v>114</v>
      </c>
      <c r="B115" s="28" t="str">
        <f>IFERROR(__xludf.DUMMYFUNCTION("""COMPUTED_VALUE"""),"AURA FAJRINA SALSABILA")</f>
        <v>AURA FAJRINA SALSABILA</v>
      </c>
      <c r="C115" s="28">
        <f>IFERROR(__xludf.DUMMYFUNCTION("""COMPUTED_VALUE"""),2.025070502E9)</f>
        <v>2025070502</v>
      </c>
      <c r="D115" s="28" t="str">
        <f>IFERROR(__xludf.DUMMYFUNCTION("""COMPUTED_VALUE"""),"MISBAHUL AQSHO")</f>
        <v>MISBAHUL AQSHO</v>
      </c>
      <c r="E115" s="28" t="str">
        <f>IFERROR(__xludf.DUMMYFUNCTION("""COMPUTED_VALUE"""),"NISWATIN")</f>
        <v>NISWATIN</v>
      </c>
      <c r="F115" s="28" t="str">
        <f>IFERROR(__xludf.DUMMYFUNCTION("""COMPUTED_VALUE"""),"TENGGULUN RT 004 RW 002 SOLOKURO LAMONGAN")</f>
        <v>TENGGULUN RT 004 RW 002 SOLOKURO LAMONGAN</v>
      </c>
      <c r="G115" s="28" t="str">
        <f>IFERROR(__xludf.DUMMYFUNCTION("""COMPUTED_VALUE"""),"SMP-VIII A")</f>
        <v>SMP-VIII A</v>
      </c>
      <c r="H115" s="28" t="str">
        <f>IFERROR(__xludf.DUMMYFUNCTION("""COMPUTED_VALUE"""),"B")</f>
        <v>B</v>
      </c>
      <c r="I115" s="28" t="str">
        <f>IFERROR(__xludf.DUMMYFUNCTION("""COMPUTED_VALUE"""),"B-3")</f>
        <v>B-3</v>
      </c>
      <c r="J115" s="28">
        <f>IFERROR(__xludf.DUMMYFUNCTION("""COMPUTED_VALUE"""),2.0)</f>
        <v>2</v>
      </c>
      <c r="K115" s="28" t="str">
        <f>IFERROR(__xludf.DUMMYFUNCTION("""COMPUTED_VALUE"""),"2 ULA B PUTRI")</f>
        <v>2 ULA B PUTRI</v>
      </c>
      <c r="L115" s="29" t="str">
        <f>IFERROR(__xludf.DUMMYFUNCTION("""COMPUTED_VALUE"""),"6281330339700")</f>
        <v>6281330339700</v>
      </c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2">
        <f>IFERROR(__xludf.DUMMYFUNCTION("""COMPUTED_VALUE"""),0.0)</f>
        <v>0</v>
      </c>
      <c r="BD115" s="22">
        <f>IFERROR(__xludf.DUMMYFUNCTION("""COMPUTED_VALUE"""),0.0)</f>
        <v>0</v>
      </c>
      <c r="BE115" s="22">
        <f>IFERROR(__xludf.DUMMYFUNCTION("""COMPUTED_VALUE"""),0.0)</f>
        <v>0</v>
      </c>
      <c r="BF115" s="22">
        <f>IFERROR(__xludf.DUMMYFUNCTION("""COMPUTED_VALUE"""),0.0)</f>
        <v>0</v>
      </c>
    </row>
    <row r="116">
      <c r="A116" s="27">
        <f>IFERROR(__xludf.DUMMYFUNCTION("""COMPUTED_VALUE"""),115.0)</f>
        <v>115</v>
      </c>
      <c r="B116" s="28" t="str">
        <f>IFERROR(__xludf.DUMMYFUNCTION("""COMPUTED_VALUE"""),"AYU WIDYA")</f>
        <v>AYU WIDYA</v>
      </c>
      <c r="C116" s="28">
        <f>IFERROR(__xludf.DUMMYFUNCTION("""COMPUTED_VALUE"""),2.025070398E9)</f>
        <v>2025070398</v>
      </c>
      <c r="D116" s="28" t="str">
        <f>IFERROR(__xludf.DUMMYFUNCTION("""COMPUTED_VALUE"""),"SHOLEH FUDIN")</f>
        <v>SHOLEH FUDIN</v>
      </c>
      <c r="E116" s="28" t="str">
        <f>IFERROR(__xludf.DUMMYFUNCTION("""COMPUTED_VALUE"""),"SITI NUR MASITO")</f>
        <v>SITI NUR MASITO</v>
      </c>
      <c r="F116" s="28" t="str">
        <f>IFERROR(__xludf.DUMMYFUNCTION("""COMPUTED_VALUE"""),"BLAWI RT 002 RW 003 KARANGBINANGUN LAMONGAN")</f>
        <v>BLAWI RT 002 RW 003 KARANGBINANGUN LAMONGAN</v>
      </c>
      <c r="G116" s="28" t="str">
        <f>IFERROR(__xludf.DUMMYFUNCTION("""COMPUTED_VALUE"""),"MA-XI.10")</f>
        <v>MA-XI.10</v>
      </c>
      <c r="H116" s="28" t="str">
        <f>IFERROR(__xludf.DUMMYFUNCTION("""COMPUTED_VALUE"""),"B")</f>
        <v>B</v>
      </c>
      <c r="I116" s="28" t="str">
        <f>IFERROR(__xludf.DUMMYFUNCTION("""COMPUTED_VALUE"""),"B-1")</f>
        <v>B-1</v>
      </c>
      <c r="J116" s="28">
        <f>IFERROR(__xludf.DUMMYFUNCTION("""COMPUTED_VALUE"""),2.0)</f>
        <v>2</v>
      </c>
      <c r="K116" s="28" t="str">
        <f>IFERROR(__xludf.DUMMYFUNCTION("""COMPUTED_VALUE"""),"2 WUSTHO C PUTRI")</f>
        <v>2 WUSTHO C PUTRI</v>
      </c>
      <c r="L116" s="29" t="str">
        <f>IFERROR(__xludf.DUMMYFUNCTION("""COMPUTED_VALUE"""),"6285857702561")</f>
        <v>6285857702561</v>
      </c>
      <c r="M116" s="22">
        <f>IFERROR(__xludf.DUMMYFUNCTION("""COMPUTED_VALUE"""),600000.0)</f>
        <v>600000</v>
      </c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2">
        <f>IFERROR(__xludf.DUMMYFUNCTION("""COMPUTED_VALUE"""),500000.0)</f>
        <v>500000</v>
      </c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2">
        <f>IFERROR(__xludf.DUMMYFUNCTION("""COMPUTED_VALUE"""),500000.0)</f>
        <v>500000</v>
      </c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2">
        <f>IFERROR(__xludf.DUMMYFUNCTION("""COMPUTED_VALUE"""),0.0)</f>
        <v>0</v>
      </c>
      <c r="BD116" s="22">
        <f>IFERROR(__xludf.DUMMYFUNCTION("""COMPUTED_VALUE"""),1600000.0)</f>
        <v>1600000</v>
      </c>
      <c r="BE116" s="22">
        <f>IFERROR(__xludf.DUMMYFUNCTION("""COMPUTED_VALUE"""),0.0)</f>
        <v>0</v>
      </c>
      <c r="BF116" s="22">
        <f>IFERROR(__xludf.DUMMYFUNCTION("""COMPUTED_VALUE"""),1600000.0)</f>
        <v>1600000</v>
      </c>
    </row>
    <row r="117">
      <c r="A117" s="27">
        <f>IFERROR(__xludf.DUMMYFUNCTION("""COMPUTED_VALUE"""),116.0)</f>
        <v>116</v>
      </c>
      <c r="B117" s="28" t="str">
        <f>IFERROR(__xludf.DUMMYFUNCTION("""COMPUTED_VALUE"""),"BIYATI AHWARUNI")</f>
        <v>BIYATI AHWARUNI</v>
      </c>
      <c r="C117" s="28">
        <f>IFERROR(__xludf.DUMMYFUNCTION("""COMPUTED_VALUE"""),2.025070235E9)</f>
        <v>2025070235</v>
      </c>
      <c r="D117" s="28" t="str">
        <f>IFERROR(__xludf.DUMMYFUNCTION("""COMPUTED_VALUE"""),"M SYA`RONI")</f>
        <v>M SYA`RONI</v>
      </c>
      <c r="E117" s="28" t="str">
        <f>IFERROR(__xludf.DUMMYFUNCTION("""COMPUTED_VALUE"""),"MAILISTIN")</f>
        <v>MAILISTIN</v>
      </c>
      <c r="F117" s="28" t="str">
        <f>IFERROR(__xludf.DUMMYFUNCTION("""COMPUTED_VALUE"""),"JANGGAN POMAHANJANGGAN RT 007 RW 003 TURI LAMONGAN")</f>
        <v>JANGGAN POMAHANJANGGAN RT 007 RW 003 TURI LAMONGAN</v>
      </c>
      <c r="G117" s="28" t="str">
        <f>IFERROR(__xludf.DUMMYFUNCTION("""COMPUTED_VALUE"""),"MA-XI.10")</f>
        <v>MA-XI.10</v>
      </c>
      <c r="H117" s="28" t="str">
        <f>IFERROR(__xludf.DUMMYFUNCTION("""COMPUTED_VALUE"""),"B")</f>
        <v>B</v>
      </c>
      <c r="I117" s="28" t="str">
        <f>IFERROR(__xludf.DUMMYFUNCTION("""COMPUTED_VALUE"""),"B-1")</f>
        <v>B-1</v>
      </c>
      <c r="J117" s="28">
        <f>IFERROR(__xludf.DUMMYFUNCTION("""COMPUTED_VALUE"""),2.0)</f>
        <v>2</v>
      </c>
      <c r="K117" s="28" t="str">
        <f>IFERROR(__xludf.DUMMYFUNCTION("""COMPUTED_VALUE"""),"2 WUSTHO D PUTRI")</f>
        <v>2 WUSTHO D PUTRI</v>
      </c>
      <c r="L117" s="29" t="str">
        <f>IFERROR(__xludf.DUMMYFUNCTION("""COMPUTED_VALUE"""),"6285736466131")</f>
        <v>6285736466131</v>
      </c>
      <c r="M117" s="22">
        <f>IFERROR(__xludf.DUMMYFUNCTION("""COMPUTED_VALUE"""),600000.0)</f>
        <v>600000</v>
      </c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2">
        <f>IFERROR(__xludf.DUMMYFUNCTION("""COMPUTED_VALUE"""),450000.0)</f>
        <v>450000</v>
      </c>
      <c r="Z117" s="22">
        <f>IFERROR(__xludf.DUMMYFUNCTION("""COMPUTED_VALUE"""),450000.0)</f>
        <v>450000</v>
      </c>
      <c r="AA117" s="28"/>
      <c r="AB117" s="22">
        <f>IFERROR(__xludf.DUMMYFUNCTION("""COMPUTED_VALUE"""),500000.0)</f>
        <v>500000</v>
      </c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2">
        <f>IFERROR(__xludf.DUMMYFUNCTION("""COMPUTED_VALUE"""),500000.0)</f>
        <v>500000</v>
      </c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2">
        <f>IFERROR(__xludf.DUMMYFUNCTION("""COMPUTED_VALUE"""),900000.0)</f>
        <v>900000</v>
      </c>
      <c r="BD117" s="22">
        <f>IFERROR(__xludf.DUMMYFUNCTION("""COMPUTED_VALUE"""),1600000.0)</f>
        <v>1600000</v>
      </c>
      <c r="BE117" s="22">
        <f>IFERROR(__xludf.DUMMYFUNCTION("""COMPUTED_VALUE"""),0.0)</f>
        <v>0</v>
      </c>
      <c r="BF117" s="22">
        <f>IFERROR(__xludf.DUMMYFUNCTION("""COMPUTED_VALUE"""),2500000.0)</f>
        <v>2500000</v>
      </c>
    </row>
    <row r="118">
      <c r="A118" s="27">
        <f>IFERROR(__xludf.DUMMYFUNCTION("""COMPUTED_VALUE"""),117.0)</f>
        <v>117</v>
      </c>
      <c r="B118" s="28" t="str">
        <f>IFERROR(__xludf.DUMMYFUNCTION("""COMPUTED_VALUE"""),"DIAZ ATIKA RAIS")</f>
        <v>DIAZ ATIKA RAIS</v>
      </c>
      <c r="C118" s="28">
        <f>IFERROR(__xludf.DUMMYFUNCTION("""COMPUTED_VALUE"""),2.025070098E9)</f>
        <v>2025070098</v>
      </c>
      <c r="D118" s="28" t="str">
        <f>IFERROR(__xludf.DUMMYFUNCTION("""COMPUTED_VALUE"""),"AINUL HIDAYAT")</f>
        <v>AINUL HIDAYAT</v>
      </c>
      <c r="E118" s="28" t="str">
        <f>IFERROR(__xludf.DUMMYFUNCTION("""COMPUTED_VALUE"""),"ARIKATUL MAKADAH")</f>
        <v>ARIKATUL MAKADAH</v>
      </c>
      <c r="F118" s="28" t="str">
        <f>IFERROR(__xludf.DUMMYFUNCTION("""COMPUTED_VALUE"""),"BADU WANAR RT 003 RW 007 PUCUK LAMONGAN")</f>
        <v>BADU WANAR RT 003 RW 007 PUCUK LAMONGAN</v>
      </c>
      <c r="G118" s="28" t="str">
        <f>IFERROR(__xludf.DUMMYFUNCTION("""COMPUTED_VALUE"""),"MA-XI.11")</f>
        <v>MA-XI.11</v>
      </c>
      <c r="H118" s="28" t="str">
        <f>IFERROR(__xludf.DUMMYFUNCTION("""COMPUTED_VALUE"""),"B")</f>
        <v>B</v>
      </c>
      <c r="I118" s="28" t="str">
        <f>IFERROR(__xludf.DUMMYFUNCTION("""COMPUTED_VALUE"""),"B-1")</f>
        <v>B-1</v>
      </c>
      <c r="J118" s="28">
        <f>IFERROR(__xludf.DUMMYFUNCTION("""COMPUTED_VALUE"""),2.0)</f>
        <v>2</v>
      </c>
      <c r="K118" s="28" t="str">
        <f>IFERROR(__xludf.DUMMYFUNCTION("""COMPUTED_VALUE"""),"2 WUSTHO C PUTRI")</f>
        <v>2 WUSTHO C PUTRI</v>
      </c>
      <c r="L118" s="29" t="str">
        <f>IFERROR(__xludf.DUMMYFUNCTION("""COMPUTED_VALUE"""),"6285331177040")</f>
        <v>6285331177040</v>
      </c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2">
        <f>IFERROR(__xludf.DUMMYFUNCTION("""COMPUTED_VALUE"""),450000.0)</f>
        <v>450000</v>
      </c>
      <c r="Z118" s="22">
        <f>IFERROR(__xludf.DUMMYFUNCTION("""COMPUTED_VALUE"""),450000.0)</f>
        <v>450000</v>
      </c>
      <c r="AA118" s="28"/>
      <c r="AB118" s="22">
        <f>IFERROR(__xludf.DUMMYFUNCTION("""COMPUTED_VALUE"""),200000.0)</f>
        <v>200000</v>
      </c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2">
        <f>IFERROR(__xludf.DUMMYFUNCTION("""COMPUTED_VALUE"""),500000.0)</f>
        <v>500000</v>
      </c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2">
        <f>IFERROR(__xludf.DUMMYFUNCTION("""COMPUTED_VALUE"""),900000.0)</f>
        <v>900000</v>
      </c>
      <c r="BD118" s="22">
        <f>IFERROR(__xludf.DUMMYFUNCTION("""COMPUTED_VALUE"""),700000.0)</f>
        <v>700000</v>
      </c>
      <c r="BE118" s="22">
        <f>IFERROR(__xludf.DUMMYFUNCTION("""COMPUTED_VALUE"""),0.0)</f>
        <v>0</v>
      </c>
      <c r="BF118" s="22">
        <f>IFERROR(__xludf.DUMMYFUNCTION("""COMPUTED_VALUE"""),1600000.0)</f>
        <v>1600000</v>
      </c>
    </row>
    <row r="119">
      <c r="A119" s="27">
        <f>IFERROR(__xludf.DUMMYFUNCTION("""COMPUTED_VALUE"""),118.0)</f>
        <v>118</v>
      </c>
      <c r="B119" s="28" t="str">
        <f>IFERROR(__xludf.DUMMYFUNCTION("""COMPUTED_VALUE"""),"DINA AULIYAH")</f>
        <v>DINA AULIYAH</v>
      </c>
      <c r="C119" s="28">
        <f>IFERROR(__xludf.DUMMYFUNCTION("""COMPUTED_VALUE"""),2.025070061E9)</f>
        <v>2025070061</v>
      </c>
      <c r="D119" s="28" t="str">
        <f>IFERROR(__xludf.DUMMYFUNCTION("""COMPUTED_VALUE"""),"MUNIF")</f>
        <v>MUNIF</v>
      </c>
      <c r="E119" s="28" t="str">
        <f>IFERROR(__xludf.DUMMYFUNCTION("""COMPUTED_VALUE"""),"SHOLIHAH")</f>
        <v>SHOLIHAH</v>
      </c>
      <c r="F119" s="28" t="str">
        <f>IFERROR(__xludf.DUMMYFUNCTION("""COMPUTED_VALUE"""),"BANYUBANG RT 003 RW 001 SOLOKURO LAMONGAN")</f>
        <v>BANYUBANG RT 003 RW 001 SOLOKURO LAMONGAN</v>
      </c>
      <c r="G119" s="28" t="str">
        <f>IFERROR(__xludf.DUMMYFUNCTION("""COMPUTED_VALUE"""),"MA-XI.10")</f>
        <v>MA-XI.10</v>
      </c>
      <c r="H119" s="28" t="str">
        <f>IFERROR(__xludf.DUMMYFUNCTION("""COMPUTED_VALUE"""),"B")</f>
        <v>B</v>
      </c>
      <c r="I119" s="28" t="str">
        <f>IFERROR(__xludf.DUMMYFUNCTION("""COMPUTED_VALUE"""),"B-1")</f>
        <v>B-1</v>
      </c>
      <c r="J119" s="28">
        <f>IFERROR(__xludf.DUMMYFUNCTION("""COMPUTED_VALUE"""),2.0)</f>
        <v>2</v>
      </c>
      <c r="K119" s="28" t="str">
        <f>IFERROR(__xludf.DUMMYFUNCTION("""COMPUTED_VALUE"""),"2 WUSTHO C PUTRI")</f>
        <v>2 WUSTHO C PUTRI</v>
      </c>
      <c r="L119" s="29" t="str">
        <f>IFERROR(__xludf.DUMMYFUNCTION("""COMPUTED_VALUE"""),"6285604510864")</f>
        <v>6285604510864</v>
      </c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2">
        <f>IFERROR(__xludf.DUMMYFUNCTION("""COMPUTED_VALUE"""),500000.0)</f>
        <v>500000</v>
      </c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2">
        <f>IFERROR(__xludf.DUMMYFUNCTION("""COMPUTED_VALUE"""),500000.0)</f>
        <v>500000</v>
      </c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2">
        <f>IFERROR(__xludf.DUMMYFUNCTION("""COMPUTED_VALUE"""),0.0)</f>
        <v>0</v>
      </c>
      <c r="BD119" s="22">
        <f>IFERROR(__xludf.DUMMYFUNCTION("""COMPUTED_VALUE"""),1000000.0)</f>
        <v>1000000</v>
      </c>
      <c r="BE119" s="22">
        <f>IFERROR(__xludf.DUMMYFUNCTION("""COMPUTED_VALUE"""),0.0)</f>
        <v>0</v>
      </c>
      <c r="BF119" s="22">
        <f>IFERROR(__xludf.DUMMYFUNCTION("""COMPUTED_VALUE"""),1000000.0)</f>
        <v>1000000</v>
      </c>
    </row>
    <row r="120">
      <c r="A120" s="27">
        <f>IFERROR(__xludf.DUMMYFUNCTION("""COMPUTED_VALUE"""),119.0)</f>
        <v>119</v>
      </c>
      <c r="B120" s="28" t="str">
        <f>IFERROR(__xludf.DUMMYFUNCTION("""COMPUTED_VALUE"""),"DINDA FIZZAH ANNISA`")</f>
        <v>DINDA FIZZAH ANNISA`</v>
      </c>
      <c r="C120" s="28">
        <f>IFERROR(__xludf.DUMMYFUNCTION("""COMPUTED_VALUE"""),2.025070377E9)</f>
        <v>2025070377</v>
      </c>
      <c r="D120" s="28" t="str">
        <f>IFERROR(__xludf.DUMMYFUNCTION("""COMPUTED_VALUE"""),"AHMAD ZAINURI")</f>
        <v>AHMAD ZAINURI</v>
      </c>
      <c r="E120" s="28" t="str">
        <f>IFERROR(__xludf.DUMMYFUNCTION("""COMPUTED_VALUE"""),"LISWATIN")</f>
        <v>LISWATIN</v>
      </c>
      <c r="F120" s="28" t="str">
        <f>IFERROR(__xludf.DUMMYFUNCTION("""COMPUTED_VALUE"""),"TENGGULUN RT 007 RW 003 SOLOKURO LAMONGAN")</f>
        <v>TENGGULUN RT 007 RW 003 SOLOKURO LAMONGAN</v>
      </c>
      <c r="G120" s="28" t="str">
        <f>IFERROR(__xludf.DUMMYFUNCTION("""COMPUTED_VALUE"""),"MA-XI.10")</f>
        <v>MA-XI.10</v>
      </c>
      <c r="H120" s="28" t="str">
        <f>IFERROR(__xludf.DUMMYFUNCTION("""COMPUTED_VALUE"""),"B")</f>
        <v>B</v>
      </c>
      <c r="I120" s="28" t="str">
        <f>IFERROR(__xludf.DUMMYFUNCTION("""COMPUTED_VALUE"""),"B-1")</f>
        <v>B-1</v>
      </c>
      <c r="J120" s="28">
        <f>IFERROR(__xludf.DUMMYFUNCTION("""COMPUTED_VALUE"""),2.0)</f>
        <v>2</v>
      </c>
      <c r="K120" s="28" t="str">
        <f>IFERROR(__xludf.DUMMYFUNCTION("""COMPUTED_VALUE"""),"2 WUSTHO C PUTRI")</f>
        <v>2 WUSTHO C PUTRI</v>
      </c>
      <c r="L120" s="29" t="str">
        <f>IFERROR(__xludf.DUMMYFUNCTION("""COMPUTED_VALUE"""),"6285649099700")</f>
        <v>6285649099700</v>
      </c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2">
        <f>IFERROR(__xludf.DUMMYFUNCTION("""COMPUTED_VALUE"""),0.0)</f>
        <v>0</v>
      </c>
      <c r="BD120" s="22">
        <f>IFERROR(__xludf.DUMMYFUNCTION("""COMPUTED_VALUE"""),0.0)</f>
        <v>0</v>
      </c>
      <c r="BE120" s="22">
        <f>IFERROR(__xludf.DUMMYFUNCTION("""COMPUTED_VALUE"""),0.0)</f>
        <v>0</v>
      </c>
      <c r="BF120" s="22">
        <f>IFERROR(__xludf.DUMMYFUNCTION("""COMPUTED_VALUE"""),0.0)</f>
        <v>0</v>
      </c>
    </row>
    <row r="121">
      <c r="A121" s="27">
        <f>IFERROR(__xludf.DUMMYFUNCTION("""COMPUTED_VALUE"""),120.0)</f>
        <v>120</v>
      </c>
      <c r="B121" s="28" t="str">
        <f>IFERROR(__xludf.DUMMYFUNCTION("""COMPUTED_VALUE"""),"DURROTUN NASIHAH")</f>
        <v>DURROTUN NASIHAH</v>
      </c>
      <c r="C121" s="28">
        <f>IFERROR(__xludf.DUMMYFUNCTION("""COMPUTED_VALUE"""),2.02507027E9)</f>
        <v>2025070270</v>
      </c>
      <c r="D121" s="28" t="str">
        <f>IFERROR(__xludf.DUMMYFUNCTION("""COMPUTED_VALUE"""),"KHOIRUL ABDI")</f>
        <v>KHOIRUL ABDI</v>
      </c>
      <c r="E121" s="28" t="str">
        <f>IFERROR(__xludf.DUMMYFUNCTION("""COMPUTED_VALUE"""),"MUKHAROMAH")</f>
        <v>MUKHAROMAH</v>
      </c>
      <c r="F121" s="28" t="str">
        <f>IFERROR(__xludf.DUMMYFUNCTION("""COMPUTED_VALUE"""),"KEPUDIKULON KEPUDIBENER RT 003 RW 001 TURI LAMONGAN")</f>
        <v>KEPUDIKULON KEPUDIBENER RT 003 RW 001 TURI LAMONGAN</v>
      </c>
      <c r="G121" s="28" t="str">
        <f>IFERROR(__xludf.DUMMYFUNCTION("""COMPUTED_VALUE"""),"MA-XI.4")</f>
        <v>MA-XI.4</v>
      </c>
      <c r="H121" s="28" t="str">
        <f>IFERROR(__xludf.DUMMYFUNCTION("""COMPUTED_VALUE"""),"B")</f>
        <v>B</v>
      </c>
      <c r="I121" s="28" t="str">
        <f>IFERROR(__xludf.DUMMYFUNCTION("""COMPUTED_VALUE"""),"B-1")</f>
        <v>B-1</v>
      </c>
      <c r="J121" s="28">
        <f>IFERROR(__xludf.DUMMYFUNCTION("""COMPUTED_VALUE"""),2.0)</f>
        <v>2</v>
      </c>
      <c r="K121" s="28" t="str">
        <f>IFERROR(__xludf.DUMMYFUNCTION("""COMPUTED_VALUE"""),"2 WUSTHO D PUTRI")</f>
        <v>2 WUSTHO D PUTRI</v>
      </c>
      <c r="L121" s="29" t="str">
        <f>IFERROR(__xludf.DUMMYFUNCTION("""COMPUTED_VALUE"""),"6281347075557")</f>
        <v>6281347075557</v>
      </c>
      <c r="M121" s="28"/>
      <c r="N121" s="28"/>
      <c r="O121" s="28"/>
      <c r="P121" s="28"/>
      <c r="Q121" s="28"/>
      <c r="R121" s="22" t="str">
        <f>IFERROR(__xludf.DUMMYFUNCTION("""COMPUTED_VALUE"""),"                              ")</f>
        <v>                              </v>
      </c>
      <c r="S121" s="28"/>
      <c r="T121" s="28"/>
      <c r="U121" s="28"/>
      <c r="V121" s="28"/>
      <c r="W121" s="28"/>
      <c r="X121" s="28"/>
      <c r="Y121" s="28"/>
      <c r="Z121" s="28"/>
      <c r="AA121" s="28"/>
      <c r="AB121" s="22">
        <f>IFERROR(__xludf.DUMMYFUNCTION("""COMPUTED_VALUE"""),500000.0)</f>
        <v>500000</v>
      </c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2">
        <f>IFERROR(__xludf.DUMMYFUNCTION("""COMPUTED_VALUE"""),500000.0)</f>
        <v>500000</v>
      </c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2">
        <f>IFERROR(__xludf.DUMMYFUNCTION("""COMPUTED_VALUE"""),0.0)</f>
        <v>0</v>
      </c>
      <c r="BD121" s="22">
        <f>IFERROR(__xludf.DUMMYFUNCTION("""COMPUTED_VALUE"""),1000000.0)</f>
        <v>1000000</v>
      </c>
      <c r="BE121" s="22">
        <f>IFERROR(__xludf.DUMMYFUNCTION("""COMPUTED_VALUE"""),0.0)</f>
        <v>0</v>
      </c>
      <c r="BF121" s="22">
        <f>IFERROR(__xludf.DUMMYFUNCTION("""COMPUTED_VALUE"""),1000000.0)</f>
        <v>1000000</v>
      </c>
    </row>
    <row r="122">
      <c r="A122" s="27">
        <f>IFERROR(__xludf.DUMMYFUNCTION("""COMPUTED_VALUE"""),121.0)</f>
        <v>121</v>
      </c>
      <c r="B122" s="28" t="str">
        <f>IFERROR(__xludf.DUMMYFUNCTION("""COMPUTED_VALUE"""),"FAHMIDA NAILIL AGHNIYA")</f>
        <v>FAHMIDA NAILIL AGHNIYA</v>
      </c>
      <c r="C122" s="28">
        <f>IFERROR(__xludf.DUMMYFUNCTION("""COMPUTED_VALUE"""),2.025070047E9)</f>
        <v>2025070047</v>
      </c>
      <c r="D122" s="28" t="str">
        <f>IFERROR(__xludf.DUMMYFUNCTION("""COMPUTED_VALUE"""),"AHMAD ZAINUL MUSTAKHIM")</f>
        <v>AHMAD ZAINUL MUSTAKHIM</v>
      </c>
      <c r="E122" s="28" t="str">
        <f>IFERROR(__xludf.DUMMYFUNCTION("""COMPUTED_VALUE"""),"NUR HAYATI")</f>
        <v>NUR HAYATI</v>
      </c>
      <c r="F122" s="28" t="str">
        <f>IFERROR(__xludf.DUMMYFUNCTION("""COMPUTED_VALUE"""),"SLATUNG TLOGOAGUNG RT 001 RW 001 KEMBANGBAHU LAMONGAN")</f>
        <v>SLATUNG TLOGOAGUNG RT 001 RW 001 KEMBANGBAHU LAMONGAN</v>
      </c>
      <c r="G122" s="28" t="str">
        <f>IFERROR(__xludf.DUMMYFUNCTION("""COMPUTED_VALUE"""),"MA-XI.8")</f>
        <v>MA-XI.8</v>
      </c>
      <c r="H122" s="28" t="str">
        <f>IFERROR(__xludf.DUMMYFUNCTION("""COMPUTED_VALUE"""),"B")</f>
        <v>B</v>
      </c>
      <c r="I122" s="28" t="str">
        <f>IFERROR(__xludf.DUMMYFUNCTION("""COMPUTED_VALUE"""),"B-1")</f>
        <v>B-1</v>
      </c>
      <c r="J122" s="28">
        <f>IFERROR(__xludf.DUMMYFUNCTION("""COMPUTED_VALUE"""),2.0)</f>
        <v>2</v>
      </c>
      <c r="K122" s="28" t="str">
        <f>IFERROR(__xludf.DUMMYFUNCTION("""COMPUTED_VALUE"""),"2 WUSTHO B PUTRI")</f>
        <v>2 WUSTHO B PUTRI</v>
      </c>
      <c r="L122" s="29" t="str">
        <f>IFERROR(__xludf.DUMMYFUNCTION("""COMPUTED_VALUE"""),"6285731807166")</f>
        <v>6285731807166</v>
      </c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2">
        <f>IFERROR(__xludf.DUMMYFUNCTION("""COMPUTED_VALUE"""),0.0)</f>
        <v>0</v>
      </c>
      <c r="BD122" s="22">
        <f>IFERROR(__xludf.DUMMYFUNCTION("""COMPUTED_VALUE"""),0.0)</f>
        <v>0</v>
      </c>
      <c r="BE122" s="22">
        <f>IFERROR(__xludf.DUMMYFUNCTION("""COMPUTED_VALUE"""),0.0)</f>
        <v>0</v>
      </c>
      <c r="BF122" s="22">
        <f>IFERROR(__xludf.DUMMYFUNCTION("""COMPUTED_VALUE"""),0.0)</f>
        <v>0</v>
      </c>
    </row>
    <row r="123">
      <c r="A123" s="27">
        <f>IFERROR(__xludf.DUMMYFUNCTION("""COMPUTED_VALUE"""),122.0)</f>
        <v>122</v>
      </c>
      <c r="B123" s="28" t="str">
        <f>IFERROR(__xludf.DUMMYFUNCTION("""COMPUTED_VALUE"""),"FARIH FIRDAUSI NUZULA")</f>
        <v>FARIH FIRDAUSI NUZULA</v>
      </c>
      <c r="C123" s="28">
        <f>IFERROR(__xludf.DUMMYFUNCTION("""COMPUTED_VALUE"""),2.02507049E9)</f>
        <v>2025070490</v>
      </c>
      <c r="D123" s="28" t="str">
        <f>IFERROR(__xludf.DUMMYFUNCTION("""COMPUTED_VALUE"""),"CHOIRUL HUDA")</f>
        <v>CHOIRUL HUDA</v>
      </c>
      <c r="E123" s="28" t="str">
        <f>IFERROR(__xludf.DUMMYFUNCTION("""COMPUTED_VALUE"""),"PRATIWI AFAITA")</f>
        <v>PRATIWI AFAITA</v>
      </c>
      <c r="F123" s="28" t="str">
        <f>IFERROR(__xludf.DUMMYFUNCTION("""COMPUTED_VALUE"""),"GETUNG TAWANGREJO RT 003 RW 002 TURI LAMONGAN")</f>
        <v>GETUNG TAWANGREJO RT 003 RW 002 TURI LAMONGAN</v>
      </c>
      <c r="G123" s="28" t="str">
        <f>IFERROR(__xludf.DUMMYFUNCTION("""COMPUTED_VALUE"""),"SMP-VIII B")</f>
        <v>SMP-VIII B</v>
      </c>
      <c r="H123" s="28" t="str">
        <f>IFERROR(__xludf.DUMMYFUNCTION("""COMPUTED_VALUE"""),"B")</f>
        <v>B</v>
      </c>
      <c r="I123" s="28" t="str">
        <f>IFERROR(__xludf.DUMMYFUNCTION("""COMPUTED_VALUE"""),"B-10")</f>
        <v>B-10</v>
      </c>
      <c r="J123" s="28">
        <f>IFERROR(__xludf.DUMMYFUNCTION("""COMPUTED_VALUE"""),2.0)</f>
        <v>2</v>
      </c>
      <c r="K123" s="28" t="str">
        <f>IFERROR(__xludf.DUMMYFUNCTION("""COMPUTED_VALUE"""),"2 ULA C PUTRI")</f>
        <v>2 ULA C PUTRI</v>
      </c>
      <c r="L123" s="29" t="str">
        <f>IFERROR(__xludf.DUMMYFUNCTION("""COMPUTED_VALUE"""),"6285854669194")</f>
        <v>6285854669194</v>
      </c>
      <c r="M123" s="22">
        <f>IFERROR(__xludf.DUMMYFUNCTION("""COMPUTED_VALUE"""),600000.0)</f>
        <v>600000</v>
      </c>
      <c r="N123" s="22">
        <f>IFERROR(__xludf.DUMMYFUNCTION("""COMPUTED_VALUE"""),200000.0)</f>
        <v>200000</v>
      </c>
      <c r="O123" s="22">
        <f>IFERROR(__xludf.DUMMYFUNCTION("""COMPUTED_VALUE"""),450000.0)</f>
        <v>450000</v>
      </c>
      <c r="P123" s="22">
        <f>IFERROR(__xludf.DUMMYFUNCTION("""COMPUTED_VALUE"""),450000.0)</f>
        <v>450000</v>
      </c>
      <c r="Q123" s="22">
        <f>IFERROR(__xludf.DUMMYFUNCTION("""COMPUTED_VALUE"""),450000.0)</f>
        <v>450000</v>
      </c>
      <c r="R123" s="22">
        <f>IFERROR(__xludf.DUMMYFUNCTION("""COMPUTED_VALUE"""),450000.0)</f>
        <v>450000</v>
      </c>
      <c r="S123" s="22">
        <f>IFERROR(__xludf.DUMMYFUNCTION("""COMPUTED_VALUE"""),450000.0)</f>
        <v>450000</v>
      </c>
      <c r="T123" s="22">
        <f>IFERROR(__xludf.DUMMYFUNCTION("""COMPUTED_VALUE"""),450000.0)</f>
        <v>450000</v>
      </c>
      <c r="U123" s="22">
        <f>IFERROR(__xludf.DUMMYFUNCTION("""COMPUTED_VALUE"""),450000.0)</f>
        <v>450000</v>
      </c>
      <c r="V123" s="22">
        <f>IFERROR(__xludf.DUMMYFUNCTION("""COMPUTED_VALUE"""),450000.0)</f>
        <v>450000</v>
      </c>
      <c r="W123" s="22">
        <f>IFERROR(__xludf.DUMMYFUNCTION("""COMPUTED_VALUE"""),450000.0)</f>
        <v>450000</v>
      </c>
      <c r="X123" s="22">
        <f>IFERROR(__xludf.DUMMYFUNCTION("""COMPUTED_VALUE"""),450000.0)</f>
        <v>450000</v>
      </c>
      <c r="Y123" s="22">
        <f>IFERROR(__xludf.DUMMYFUNCTION("""COMPUTED_VALUE"""),450000.0)</f>
        <v>450000</v>
      </c>
      <c r="Z123" s="22">
        <f>IFERROR(__xludf.DUMMYFUNCTION("""COMPUTED_VALUE"""),450000.0)</f>
        <v>450000</v>
      </c>
      <c r="AA123" s="28"/>
      <c r="AB123" s="22">
        <f>IFERROR(__xludf.DUMMYFUNCTION("""COMPUTED_VALUE"""),500000.0)</f>
        <v>500000</v>
      </c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2">
        <f>IFERROR(__xludf.DUMMYFUNCTION("""COMPUTED_VALUE"""),500000.0)</f>
        <v>500000</v>
      </c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2">
        <f>IFERROR(__xludf.DUMMYFUNCTION("""COMPUTED_VALUE"""),5400000.0)</f>
        <v>5400000</v>
      </c>
      <c r="BD123" s="22">
        <f>IFERROR(__xludf.DUMMYFUNCTION("""COMPUTED_VALUE"""),1600000.0)</f>
        <v>1600000</v>
      </c>
      <c r="BE123" s="22">
        <f>IFERROR(__xludf.DUMMYFUNCTION("""COMPUTED_VALUE"""),0.0)</f>
        <v>0</v>
      </c>
      <c r="BF123" s="22">
        <f>IFERROR(__xludf.DUMMYFUNCTION("""COMPUTED_VALUE"""),7000000.0)</f>
        <v>7000000</v>
      </c>
    </row>
    <row r="124">
      <c r="A124" s="27">
        <f>IFERROR(__xludf.DUMMYFUNCTION("""COMPUTED_VALUE"""),123.0)</f>
        <v>123</v>
      </c>
      <c r="B124" s="28" t="str">
        <f>IFERROR(__xludf.DUMMYFUNCTION("""COMPUTED_VALUE"""),"HANAH RAFIKA AMALIA PUTRI")</f>
        <v>HANAH RAFIKA AMALIA PUTRI</v>
      </c>
      <c r="C124" s="28">
        <f>IFERROR(__xludf.DUMMYFUNCTION("""COMPUTED_VALUE"""),2.025070253E9)</f>
        <v>2025070253</v>
      </c>
      <c r="D124" s="28" t="str">
        <f>IFERROR(__xludf.DUMMYFUNCTION("""COMPUTED_VALUE"""),"MUJIONO")</f>
        <v>MUJIONO</v>
      </c>
      <c r="E124" s="28" t="str">
        <f>IFERROR(__xludf.DUMMYFUNCTION("""COMPUTED_VALUE"""),"ROFIQOH")</f>
        <v>ROFIQOH</v>
      </c>
      <c r="F124" s="28" t="str">
        <f>IFERROR(__xludf.DUMMYFUNCTION("""COMPUTED_VALUE"""),"BALONGPANGGANG RT 002 RW 003 BALONGPANGGANG GRESIK")</f>
        <v>BALONGPANGGANG RT 002 RW 003 BALONGPANGGANG GRESIK</v>
      </c>
      <c r="G124" s="28" t="str">
        <f>IFERROR(__xludf.DUMMYFUNCTION("""COMPUTED_VALUE"""),"MA-XI.4")</f>
        <v>MA-XI.4</v>
      </c>
      <c r="H124" s="28" t="str">
        <f>IFERROR(__xludf.DUMMYFUNCTION("""COMPUTED_VALUE"""),"B")</f>
        <v>B</v>
      </c>
      <c r="I124" s="28"/>
      <c r="J124" s="28">
        <f>IFERROR(__xludf.DUMMYFUNCTION("""COMPUTED_VALUE"""),2.0)</f>
        <v>2</v>
      </c>
      <c r="K124" s="28" t="str">
        <f>IFERROR(__xludf.DUMMYFUNCTION("""COMPUTED_VALUE"""),"2 WUSTHO D PUTRI")</f>
        <v>2 WUSTHO D PUTRI</v>
      </c>
      <c r="L124" s="29" t="str">
        <f>IFERROR(__xludf.DUMMYFUNCTION("""COMPUTED_VALUE"""),"6282257303445")</f>
        <v>6282257303445</v>
      </c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2">
        <f>IFERROR(__xludf.DUMMYFUNCTION("""COMPUTED_VALUE"""),500000.0)</f>
        <v>500000</v>
      </c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2">
        <f>IFERROR(__xludf.DUMMYFUNCTION("""COMPUTED_VALUE"""),500000.0)</f>
        <v>500000</v>
      </c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2">
        <f>IFERROR(__xludf.DUMMYFUNCTION("""COMPUTED_VALUE"""),0.0)</f>
        <v>0</v>
      </c>
      <c r="BD124" s="22">
        <f>IFERROR(__xludf.DUMMYFUNCTION("""COMPUTED_VALUE"""),1000000.0)</f>
        <v>1000000</v>
      </c>
      <c r="BE124" s="22">
        <f>IFERROR(__xludf.DUMMYFUNCTION("""COMPUTED_VALUE"""),0.0)</f>
        <v>0</v>
      </c>
      <c r="BF124" s="22">
        <f>IFERROR(__xludf.DUMMYFUNCTION("""COMPUTED_VALUE"""),1000000.0)</f>
        <v>1000000</v>
      </c>
    </row>
    <row r="125">
      <c r="A125" s="27">
        <f>IFERROR(__xludf.DUMMYFUNCTION("""COMPUTED_VALUE"""),124.0)</f>
        <v>124</v>
      </c>
      <c r="B125" s="28" t="str">
        <f>IFERROR(__xludf.DUMMYFUNCTION("""COMPUTED_VALUE"""),"HANI HUMAIROH ANNAFISAH")</f>
        <v>HANI HUMAIROH ANNAFISAH</v>
      </c>
      <c r="C125" s="28">
        <f>IFERROR(__xludf.DUMMYFUNCTION("""COMPUTED_VALUE"""),2.025070118E9)</f>
        <v>2025070118</v>
      </c>
      <c r="D125" s="28" t="str">
        <f>IFERROR(__xludf.DUMMYFUNCTION("""COMPUTED_VALUE"""),"M. HARUN ALWI")</f>
        <v>M. HARUN ALWI</v>
      </c>
      <c r="E125" s="28" t="str">
        <f>IFERROR(__xludf.DUMMYFUNCTION("""COMPUTED_VALUE"""),"NIKMATUN HAYATI")</f>
        <v>NIKMATUN HAYATI</v>
      </c>
      <c r="F125" s="28" t="str">
        <f>IFERROR(__xludf.DUMMYFUNCTION("""COMPUTED_VALUE"""),"PLAKARAN SOMOSARI RT 003 RW 002 KALITENGAH LAMONGAN")</f>
        <v>PLAKARAN SOMOSARI RT 003 RW 002 KALITENGAH LAMONGAN</v>
      </c>
      <c r="G125" s="28" t="str">
        <f>IFERROR(__xludf.DUMMYFUNCTION("""COMPUTED_VALUE"""),"MA-XI.3")</f>
        <v>MA-XI.3</v>
      </c>
      <c r="H125" s="28" t="str">
        <f>IFERROR(__xludf.DUMMYFUNCTION("""COMPUTED_VALUE"""),"B")</f>
        <v>B</v>
      </c>
      <c r="I125" s="28" t="str">
        <f>IFERROR(__xludf.DUMMYFUNCTION("""COMPUTED_VALUE"""),"B-7")</f>
        <v>B-7</v>
      </c>
      <c r="J125" s="28">
        <f>IFERROR(__xludf.DUMMYFUNCTION("""COMPUTED_VALUE"""),2.0)</f>
        <v>2</v>
      </c>
      <c r="K125" s="28" t="str">
        <f>IFERROR(__xludf.DUMMYFUNCTION("""COMPUTED_VALUE"""),"2 WUSTHO C PUTRI")</f>
        <v>2 WUSTHO C PUTRI</v>
      </c>
      <c r="L125" s="29" t="str">
        <f>IFERROR(__xludf.DUMMYFUNCTION("""COMPUTED_VALUE"""),"6285707627884")</f>
        <v>6285707627884</v>
      </c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2">
        <f>IFERROR(__xludf.DUMMYFUNCTION("""COMPUTED_VALUE"""),450000.0)</f>
        <v>450000</v>
      </c>
      <c r="Z125" s="22">
        <f>IFERROR(__xludf.DUMMYFUNCTION("""COMPUTED_VALUE"""),450000.0)</f>
        <v>450000</v>
      </c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2">
        <f>IFERROR(__xludf.DUMMYFUNCTION("""COMPUTED_VALUE"""),900000.0)</f>
        <v>900000</v>
      </c>
      <c r="BD125" s="22">
        <f>IFERROR(__xludf.DUMMYFUNCTION("""COMPUTED_VALUE"""),0.0)</f>
        <v>0</v>
      </c>
      <c r="BE125" s="22">
        <f>IFERROR(__xludf.DUMMYFUNCTION("""COMPUTED_VALUE"""),0.0)</f>
        <v>0</v>
      </c>
      <c r="BF125" s="22">
        <f>IFERROR(__xludf.DUMMYFUNCTION("""COMPUTED_VALUE"""),900000.0)</f>
        <v>900000</v>
      </c>
    </row>
    <row r="126">
      <c r="A126" s="27">
        <f>IFERROR(__xludf.DUMMYFUNCTION("""COMPUTED_VALUE"""),125.0)</f>
        <v>125</v>
      </c>
      <c r="B126" s="28" t="str">
        <f>IFERROR(__xludf.DUMMYFUNCTION("""COMPUTED_VALUE"""),"HANNAH DAMIA IRHAMNI")</f>
        <v>HANNAH DAMIA IRHAMNI</v>
      </c>
      <c r="C126" s="28">
        <f>IFERROR(__xludf.DUMMYFUNCTION("""COMPUTED_VALUE"""),2.025070626E9)</f>
        <v>2025070626</v>
      </c>
      <c r="D126" s="28" t="str">
        <f>IFERROR(__xludf.DUMMYFUNCTION("""COMPUTED_VALUE"""),"YUDI IRHAMNI")</f>
        <v>YUDI IRHAMNI</v>
      </c>
      <c r="E126" s="28" t="str">
        <f>IFERROR(__xludf.DUMMYFUNCTION("""COMPUTED_VALUE"""),"EVIE YAWATI")</f>
        <v>EVIE YAWATI</v>
      </c>
      <c r="F126" s="28" t="str">
        <f>IFERROR(__xludf.DUMMYFUNCTION("""COMPUTED_VALUE"""),"BANJARAN TURI RT 007 RW 002 MADURAN LAMONGAN")</f>
        <v>BANJARAN TURI RT 007 RW 002 MADURAN LAMONGAN</v>
      </c>
      <c r="G126" s="28" t="str">
        <f>IFERROR(__xludf.DUMMYFUNCTION("""COMPUTED_VALUE"""),"MTS-8 E")</f>
        <v>MTS-8 E</v>
      </c>
      <c r="H126" s="28" t="str">
        <f>IFERROR(__xludf.DUMMYFUNCTION("""COMPUTED_VALUE"""),"B")</f>
        <v>B</v>
      </c>
      <c r="I126" s="28" t="str">
        <f>IFERROR(__xludf.DUMMYFUNCTION("""COMPUTED_VALUE"""),"B-2")</f>
        <v>B-2</v>
      </c>
      <c r="J126" s="28">
        <f>IFERROR(__xludf.DUMMYFUNCTION("""COMPUTED_VALUE"""),2.0)</f>
        <v>2</v>
      </c>
      <c r="K126" s="28" t="str">
        <f>IFERROR(__xludf.DUMMYFUNCTION("""COMPUTED_VALUE"""),"2 ULA C PUTRI")</f>
        <v>2 ULA C PUTRI</v>
      </c>
      <c r="L126" s="29" t="str">
        <f>IFERROR(__xludf.DUMMYFUNCTION("""COMPUTED_VALUE"""),"6281515114494")</f>
        <v>6281515114494</v>
      </c>
      <c r="M126" s="28"/>
      <c r="N126" s="28"/>
      <c r="O126" s="22" t="str">
        <f>IFERROR(__xludf.DUMMYFUNCTION("""COMPUTED_VALUE""")," ")</f>
        <v> </v>
      </c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2">
        <f>IFERROR(__xludf.DUMMYFUNCTION("""COMPUTED_VALUE"""),500000.0)</f>
        <v>500000</v>
      </c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2">
        <f>IFERROR(__xludf.DUMMYFUNCTION("""COMPUTED_VALUE"""),500000.0)</f>
        <v>500000</v>
      </c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2">
        <f>IFERROR(__xludf.DUMMYFUNCTION("""COMPUTED_VALUE"""),0.0)</f>
        <v>0</v>
      </c>
      <c r="BD126" s="22">
        <f>IFERROR(__xludf.DUMMYFUNCTION("""COMPUTED_VALUE"""),1000000.0)</f>
        <v>1000000</v>
      </c>
      <c r="BE126" s="22">
        <f>IFERROR(__xludf.DUMMYFUNCTION("""COMPUTED_VALUE"""),0.0)</f>
        <v>0</v>
      </c>
      <c r="BF126" s="22">
        <f>IFERROR(__xludf.DUMMYFUNCTION("""COMPUTED_VALUE"""),1000000.0)</f>
        <v>1000000</v>
      </c>
    </row>
    <row r="127">
      <c r="A127" s="27">
        <f>IFERROR(__xludf.DUMMYFUNCTION("""COMPUTED_VALUE"""),126.0)</f>
        <v>126</v>
      </c>
      <c r="B127" s="28" t="str">
        <f>IFERROR(__xludf.DUMMYFUNCTION("""COMPUTED_VALUE"""),"HILYATUL FAIRAH")</f>
        <v>HILYATUL FAIRAH</v>
      </c>
      <c r="C127" s="28">
        <f>IFERROR(__xludf.DUMMYFUNCTION("""COMPUTED_VALUE"""),2.025070119E9)</f>
        <v>2025070119</v>
      </c>
      <c r="D127" s="28" t="str">
        <f>IFERROR(__xludf.DUMMYFUNCTION("""COMPUTED_VALUE"""),"ALFAN")</f>
        <v>ALFAN</v>
      </c>
      <c r="E127" s="28" t="str">
        <f>IFERROR(__xludf.DUMMYFUNCTION("""COMPUTED_VALUE"""),"SUNANIK NUR INAYAH")</f>
        <v>SUNANIK NUR INAYAH</v>
      </c>
      <c r="F127" s="28" t="str">
        <f>IFERROR(__xludf.DUMMYFUNCTION("""COMPUTED_VALUE"""),"MARGOREJO MARGOANYAR RT 001 RW 004 GLAGAH LAMONGAN")</f>
        <v>MARGOREJO MARGOANYAR RT 001 RW 004 GLAGAH LAMONGAN</v>
      </c>
      <c r="G127" s="28" t="str">
        <f>IFERROR(__xludf.DUMMYFUNCTION("""COMPUTED_VALUE"""),"MA-XI.13")</f>
        <v>MA-XI.13</v>
      </c>
      <c r="H127" s="28" t="str">
        <f>IFERROR(__xludf.DUMMYFUNCTION("""COMPUTED_VALUE"""),"B")</f>
        <v>B</v>
      </c>
      <c r="I127" s="28" t="str">
        <f>IFERROR(__xludf.DUMMYFUNCTION("""COMPUTED_VALUE"""),"B-7")</f>
        <v>B-7</v>
      </c>
      <c r="J127" s="28">
        <f>IFERROR(__xludf.DUMMYFUNCTION("""COMPUTED_VALUE"""),2.0)</f>
        <v>2</v>
      </c>
      <c r="K127" s="28" t="str">
        <f>IFERROR(__xludf.DUMMYFUNCTION("""COMPUTED_VALUE"""),"2 MAK PUTRI")</f>
        <v>2 MAK PUTRI</v>
      </c>
      <c r="L127" s="29" t="str">
        <f>IFERROR(__xludf.DUMMYFUNCTION("""COMPUTED_VALUE"""),"6281515855152")</f>
        <v>6281515855152</v>
      </c>
      <c r="M127" s="22">
        <f>IFERROR(__xludf.DUMMYFUNCTION("""COMPUTED_VALUE"""),600000.0)</f>
        <v>600000</v>
      </c>
      <c r="N127" s="28"/>
      <c r="O127" s="28"/>
      <c r="P127" s="22">
        <f>IFERROR(__xludf.DUMMYFUNCTION("""COMPUTED_VALUE"""),450000.0)</f>
        <v>450000</v>
      </c>
      <c r="Q127" s="22">
        <f>IFERROR(__xludf.DUMMYFUNCTION("""COMPUTED_VALUE"""),450000.0)</f>
        <v>450000</v>
      </c>
      <c r="R127" s="22">
        <f>IFERROR(__xludf.DUMMYFUNCTION("""COMPUTED_VALUE"""),450000.0)</f>
        <v>450000</v>
      </c>
      <c r="S127" s="22">
        <f>IFERROR(__xludf.DUMMYFUNCTION("""COMPUTED_VALUE"""),450000.0)</f>
        <v>450000</v>
      </c>
      <c r="T127" s="22">
        <f>IFERROR(__xludf.DUMMYFUNCTION("""COMPUTED_VALUE"""),450000.0)</f>
        <v>450000</v>
      </c>
      <c r="U127" s="22">
        <f>IFERROR(__xludf.DUMMYFUNCTION("""COMPUTED_VALUE"""),450000.0)</f>
        <v>450000</v>
      </c>
      <c r="V127" s="22">
        <f>IFERROR(__xludf.DUMMYFUNCTION("""COMPUTED_VALUE"""),450000.0)</f>
        <v>450000</v>
      </c>
      <c r="W127" s="22">
        <f>IFERROR(__xludf.DUMMYFUNCTION("""COMPUTED_VALUE"""),450000.0)</f>
        <v>450000</v>
      </c>
      <c r="X127" s="22">
        <f>IFERROR(__xludf.DUMMYFUNCTION("""COMPUTED_VALUE"""),450000.0)</f>
        <v>450000</v>
      </c>
      <c r="Y127" s="22">
        <f>IFERROR(__xludf.DUMMYFUNCTION("""COMPUTED_VALUE"""),450000.0)</f>
        <v>450000</v>
      </c>
      <c r="Z127" s="22">
        <f>IFERROR(__xludf.DUMMYFUNCTION("""COMPUTED_VALUE"""),450000.0)</f>
        <v>450000</v>
      </c>
      <c r="AA127" s="28"/>
      <c r="AB127" s="22">
        <f>IFERROR(__xludf.DUMMYFUNCTION("""COMPUTED_VALUE"""),500000.0)</f>
        <v>500000</v>
      </c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2">
        <f>IFERROR(__xludf.DUMMYFUNCTION("""COMPUTED_VALUE"""),500000.0)</f>
        <v>500000</v>
      </c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2">
        <f>IFERROR(__xludf.DUMMYFUNCTION("""COMPUTED_VALUE"""),4950000.0)</f>
        <v>4950000</v>
      </c>
      <c r="BD127" s="22">
        <f>IFERROR(__xludf.DUMMYFUNCTION("""COMPUTED_VALUE"""),1600000.0)</f>
        <v>1600000</v>
      </c>
      <c r="BE127" s="22">
        <f>IFERROR(__xludf.DUMMYFUNCTION("""COMPUTED_VALUE"""),0.0)</f>
        <v>0</v>
      </c>
      <c r="BF127" s="22">
        <f>IFERROR(__xludf.DUMMYFUNCTION("""COMPUTED_VALUE"""),6550000.0)</f>
        <v>6550000</v>
      </c>
    </row>
    <row r="128">
      <c r="A128" s="27">
        <f>IFERROR(__xludf.DUMMYFUNCTION("""COMPUTED_VALUE"""),127.0)</f>
        <v>127</v>
      </c>
      <c r="B128" s="28" t="str">
        <f>IFERROR(__xludf.DUMMYFUNCTION("""COMPUTED_VALUE"""),"INDAH MARTHA NUR AINI")</f>
        <v>INDAH MARTHA NUR AINI</v>
      </c>
      <c r="C128" s="28">
        <f>IFERROR(__xludf.DUMMYFUNCTION("""COMPUTED_VALUE"""),2.025070468E9)</f>
        <v>2025070468</v>
      </c>
      <c r="D128" s="28" t="str">
        <f>IFERROR(__xludf.DUMMYFUNCTION("""COMPUTED_VALUE"""),"SUKAMTO")</f>
        <v>SUKAMTO</v>
      </c>
      <c r="E128" s="28" t="str">
        <f>IFERROR(__xludf.DUMMYFUNCTION("""COMPUTED_VALUE"""),"SUMARMI")</f>
        <v>SUMARMI</v>
      </c>
      <c r="F128" s="28" t="str">
        <f>IFERROR(__xludf.DUMMYFUNCTION("""COMPUTED_VALUE"""),"VETERAN GANG KAMBOJA JETIS RT 004 RW 003 LAMONGAN LAMONGAN")</f>
        <v>VETERAN GANG KAMBOJA JETIS RT 004 RW 003 LAMONGAN LAMONGAN</v>
      </c>
      <c r="G128" s="28" t="str">
        <f>IFERROR(__xludf.DUMMYFUNCTION("""COMPUTED_VALUE"""),"SMP-VIII A")</f>
        <v>SMP-VIII A</v>
      </c>
      <c r="H128" s="28" t="str">
        <f>IFERROR(__xludf.DUMMYFUNCTION("""COMPUTED_VALUE"""),"B")</f>
        <v>B</v>
      </c>
      <c r="I128" s="28" t="str">
        <f>IFERROR(__xludf.DUMMYFUNCTION("""COMPUTED_VALUE"""),"B-3")</f>
        <v>B-3</v>
      </c>
      <c r="J128" s="28">
        <f>IFERROR(__xludf.DUMMYFUNCTION("""COMPUTED_VALUE"""),2.0)</f>
        <v>2</v>
      </c>
      <c r="K128" s="28" t="str">
        <f>IFERROR(__xludf.DUMMYFUNCTION("""COMPUTED_VALUE"""),"2 ULA A PUTRI")</f>
        <v>2 ULA A PUTRI</v>
      </c>
      <c r="L128" s="29" t="str">
        <f>IFERROR(__xludf.DUMMYFUNCTION("""COMPUTED_VALUE"""),"62895603864010")</f>
        <v>62895603864010</v>
      </c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2">
        <f>IFERROR(__xludf.DUMMYFUNCTION("""COMPUTED_VALUE"""),0.0)</f>
        <v>0</v>
      </c>
      <c r="BD128" s="22">
        <f>IFERROR(__xludf.DUMMYFUNCTION("""COMPUTED_VALUE"""),0.0)</f>
        <v>0</v>
      </c>
      <c r="BE128" s="22">
        <f>IFERROR(__xludf.DUMMYFUNCTION("""COMPUTED_VALUE"""),0.0)</f>
        <v>0</v>
      </c>
      <c r="BF128" s="22">
        <f>IFERROR(__xludf.DUMMYFUNCTION("""COMPUTED_VALUE"""),0.0)</f>
        <v>0</v>
      </c>
    </row>
    <row r="129">
      <c r="A129" s="27">
        <f>IFERROR(__xludf.DUMMYFUNCTION("""COMPUTED_VALUE"""),128.0)</f>
        <v>128</v>
      </c>
      <c r="B129" s="28" t="str">
        <f>IFERROR(__xludf.DUMMYFUNCTION("""COMPUTED_VALUE"""),"INTAN TIFFAH KURNIA ARIF")</f>
        <v>INTAN TIFFAH KURNIA ARIF</v>
      </c>
      <c r="C129" s="28">
        <f>IFERROR(__xludf.DUMMYFUNCTION("""COMPUTED_VALUE"""),2.025070276E9)</f>
        <v>2025070276</v>
      </c>
      <c r="D129" s="28" t="str">
        <f>IFERROR(__xludf.DUMMYFUNCTION("""COMPUTED_VALUE"""),"SYAIFUL ARIF")</f>
        <v>SYAIFUL ARIF</v>
      </c>
      <c r="E129" s="28" t="str">
        <f>IFERROR(__xludf.DUMMYFUNCTION("""COMPUTED_VALUE"""),"MUHAIMINAH")</f>
        <v>MUHAIMINAH</v>
      </c>
      <c r="F129" s="28" t="str">
        <f>IFERROR(__xludf.DUMMYFUNCTION("""COMPUTED_VALUE"""),"WARUK RT 003 RW 002 KARANGBINANGUN LAMONGAN")</f>
        <v>WARUK RT 003 RW 002 KARANGBINANGUN LAMONGAN</v>
      </c>
      <c r="G129" s="28" t="str">
        <f>IFERROR(__xludf.DUMMYFUNCTION("""COMPUTED_VALUE"""),"MA-XI.11")</f>
        <v>MA-XI.11</v>
      </c>
      <c r="H129" s="28" t="str">
        <f>IFERROR(__xludf.DUMMYFUNCTION("""COMPUTED_VALUE"""),"B")</f>
        <v>B</v>
      </c>
      <c r="I129" s="28" t="str">
        <f>IFERROR(__xludf.DUMMYFUNCTION("""COMPUTED_VALUE"""),"B-1")</f>
        <v>B-1</v>
      </c>
      <c r="J129" s="28">
        <f>IFERROR(__xludf.DUMMYFUNCTION("""COMPUTED_VALUE"""),2.0)</f>
        <v>2</v>
      </c>
      <c r="K129" s="28" t="str">
        <f>IFERROR(__xludf.DUMMYFUNCTION("""COMPUTED_VALUE"""),"2 WUSTHO C PUTRI")</f>
        <v>2 WUSTHO C PUTRI</v>
      </c>
      <c r="L129" s="29" t="str">
        <f>IFERROR(__xludf.DUMMYFUNCTION("""COMPUTED_VALUE"""),"6285731326025")</f>
        <v>6285731326025</v>
      </c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2">
        <f>IFERROR(__xludf.DUMMYFUNCTION("""COMPUTED_VALUE"""),500000.0)</f>
        <v>500000</v>
      </c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2">
        <f>IFERROR(__xludf.DUMMYFUNCTION("""COMPUTED_VALUE"""),500000.0)</f>
        <v>500000</v>
      </c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2">
        <f>IFERROR(__xludf.DUMMYFUNCTION("""COMPUTED_VALUE"""),0.0)</f>
        <v>0</v>
      </c>
      <c r="BD129" s="22">
        <f>IFERROR(__xludf.DUMMYFUNCTION("""COMPUTED_VALUE"""),1000000.0)</f>
        <v>1000000</v>
      </c>
      <c r="BE129" s="22">
        <f>IFERROR(__xludf.DUMMYFUNCTION("""COMPUTED_VALUE"""),0.0)</f>
        <v>0</v>
      </c>
      <c r="BF129" s="22">
        <f>IFERROR(__xludf.DUMMYFUNCTION("""COMPUTED_VALUE"""),1000000.0)</f>
        <v>1000000</v>
      </c>
    </row>
    <row r="130">
      <c r="A130" s="27">
        <f>IFERROR(__xludf.DUMMYFUNCTION("""COMPUTED_VALUE"""),129.0)</f>
        <v>129</v>
      </c>
      <c r="B130" s="28" t="str">
        <f>IFERROR(__xludf.DUMMYFUNCTION("""COMPUTED_VALUE"""),"ISTNA NOUR SHAUMI RAMADHANI")</f>
        <v>ISTNA NOUR SHAUMI RAMADHANI</v>
      </c>
      <c r="C130" s="28">
        <f>IFERROR(__xludf.DUMMYFUNCTION("""COMPUTED_VALUE"""),2.025070484E9)</f>
        <v>2025070484</v>
      </c>
      <c r="D130" s="28" t="str">
        <f>IFERROR(__xludf.DUMMYFUNCTION("""COMPUTED_VALUE"""),"M. RUKUN SUPRANATA")</f>
        <v>M. RUKUN SUPRANATA</v>
      </c>
      <c r="E130" s="28" t="str">
        <f>IFERROR(__xludf.DUMMYFUNCTION("""COMPUTED_VALUE"""),"SULASTRI")</f>
        <v>SULASTRI</v>
      </c>
      <c r="F130" s="28" t="str">
        <f>IFERROR(__xludf.DUMMYFUNCTION("""COMPUTED_VALUE"""),"TIWET RT 001 RW 001 KALITENGAH LAMONGAN")</f>
        <v>TIWET RT 001 RW 001 KALITENGAH LAMONGAN</v>
      </c>
      <c r="G130" s="28" t="str">
        <f>IFERROR(__xludf.DUMMYFUNCTION("""COMPUTED_VALUE"""),"SMP-VIII B")</f>
        <v>SMP-VIII B</v>
      </c>
      <c r="H130" s="28" t="str">
        <f>IFERROR(__xludf.DUMMYFUNCTION("""COMPUTED_VALUE"""),"B")</f>
        <v>B</v>
      </c>
      <c r="I130" s="28" t="str">
        <f>IFERROR(__xludf.DUMMYFUNCTION("""COMPUTED_VALUE"""),"B-10")</f>
        <v>B-10</v>
      </c>
      <c r="J130" s="28">
        <f>IFERROR(__xludf.DUMMYFUNCTION("""COMPUTED_VALUE"""),2.0)</f>
        <v>2</v>
      </c>
      <c r="K130" s="28" t="str">
        <f>IFERROR(__xludf.DUMMYFUNCTION("""COMPUTED_VALUE"""),"2 ULA C PUTRI")</f>
        <v>2 ULA C PUTRI</v>
      </c>
      <c r="L130" s="29" t="str">
        <f>IFERROR(__xludf.DUMMYFUNCTION("""COMPUTED_VALUE"""),"6289530455849")</f>
        <v>6289530455849</v>
      </c>
      <c r="M130" s="22">
        <f>IFERROR(__xludf.DUMMYFUNCTION("""COMPUTED_VALUE"""),600000.0)</f>
        <v>600000</v>
      </c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2">
        <f>IFERROR(__xludf.DUMMYFUNCTION("""COMPUTED_VALUE"""),500000.0)</f>
        <v>500000</v>
      </c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2">
        <f>IFERROR(__xludf.DUMMYFUNCTION("""COMPUTED_VALUE"""),500000.0)</f>
        <v>500000</v>
      </c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2">
        <f>IFERROR(__xludf.DUMMYFUNCTION("""COMPUTED_VALUE"""),0.0)</f>
        <v>0</v>
      </c>
      <c r="BD130" s="22">
        <f>IFERROR(__xludf.DUMMYFUNCTION("""COMPUTED_VALUE"""),1600000.0)</f>
        <v>1600000</v>
      </c>
      <c r="BE130" s="22">
        <f>IFERROR(__xludf.DUMMYFUNCTION("""COMPUTED_VALUE"""),0.0)</f>
        <v>0</v>
      </c>
      <c r="BF130" s="22">
        <f>IFERROR(__xludf.DUMMYFUNCTION("""COMPUTED_VALUE"""),1600000.0)</f>
        <v>1600000</v>
      </c>
    </row>
    <row r="131">
      <c r="A131" s="27">
        <f>IFERROR(__xludf.DUMMYFUNCTION("""COMPUTED_VALUE"""),130.0)</f>
        <v>130</v>
      </c>
      <c r="B131" s="28" t="str">
        <f>IFERROR(__xludf.DUMMYFUNCTION("""COMPUTED_VALUE"""),"JANUARIS AZKA GUMAISHA SAPUTRI")</f>
        <v>JANUARIS AZKA GUMAISHA SAPUTRI</v>
      </c>
      <c r="C131" s="28">
        <f>IFERROR(__xludf.DUMMYFUNCTION("""COMPUTED_VALUE"""),2.02507009E9)</f>
        <v>2025070090</v>
      </c>
      <c r="D131" s="28" t="str">
        <f>IFERROR(__xludf.DUMMYFUNCTION("""COMPUTED_VALUE"""),"NARIP SAPUTRO")</f>
        <v>NARIP SAPUTRO</v>
      </c>
      <c r="E131" s="28" t="str">
        <f>IFERROR(__xludf.DUMMYFUNCTION("""COMPUTED_VALUE"""),"ENIK ULIYATIN")</f>
        <v>ENIK ULIYATIN</v>
      </c>
      <c r="F131" s="28" t="str">
        <f>IFERROR(__xludf.DUMMYFUNCTION("""COMPUTED_VALUE"""),"TEJOASRI RT 003 RW 004 LAREN LAMONGAN")</f>
        <v>TEJOASRI RT 003 RW 004 LAREN LAMONGAN</v>
      </c>
      <c r="G131" s="28" t="str">
        <f>IFERROR(__xludf.DUMMYFUNCTION("""COMPUTED_VALUE"""),"MA-XI.2")</f>
        <v>MA-XI.2</v>
      </c>
      <c r="H131" s="28" t="str">
        <f>IFERROR(__xludf.DUMMYFUNCTION("""COMPUTED_VALUE"""),"B")</f>
        <v>B</v>
      </c>
      <c r="I131" s="28" t="str">
        <f>IFERROR(__xludf.DUMMYFUNCTION("""COMPUTED_VALUE"""),"B-10")</f>
        <v>B-10</v>
      </c>
      <c r="J131" s="28">
        <f>IFERROR(__xludf.DUMMYFUNCTION("""COMPUTED_VALUE"""),2.0)</f>
        <v>2</v>
      </c>
      <c r="K131" s="28" t="str">
        <f>IFERROR(__xludf.DUMMYFUNCTION("""COMPUTED_VALUE"""),"2 WUSTHO B PUTRI")</f>
        <v>2 WUSTHO B PUTRI</v>
      </c>
      <c r="L131" s="29" t="str">
        <f>IFERROR(__xludf.DUMMYFUNCTION("""COMPUTED_VALUE"""),"6282141394371")</f>
        <v>6282141394371</v>
      </c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2">
        <f>IFERROR(__xludf.DUMMYFUNCTION("""COMPUTED_VALUE"""),0.0)</f>
        <v>0</v>
      </c>
      <c r="BD131" s="22">
        <f>IFERROR(__xludf.DUMMYFUNCTION("""COMPUTED_VALUE"""),0.0)</f>
        <v>0</v>
      </c>
      <c r="BE131" s="22">
        <f>IFERROR(__xludf.DUMMYFUNCTION("""COMPUTED_VALUE"""),0.0)</f>
        <v>0</v>
      </c>
      <c r="BF131" s="22">
        <f>IFERROR(__xludf.DUMMYFUNCTION("""COMPUTED_VALUE"""),0.0)</f>
        <v>0</v>
      </c>
    </row>
    <row r="132">
      <c r="A132" s="27">
        <f>IFERROR(__xludf.DUMMYFUNCTION("""COMPUTED_VALUE"""),131.0)</f>
        <v>131</v>
      </c>
      <c r="B132" s="28" t="str">
        <f>IFERROR(__xludf.DUMMYFUNCTION("""COMPUTED_VALUE"""),"LAESYTAH AGGUSTINA RAMADHANI")</f>
        <v>LAESYTAH AGGUSTINA RAMADHANI</v>
      </c>
      <c r="C132" s="28">
        <f>IFERROR(__xludf.DUMMYFUNCTION("""COMPUTED_VALUE"""),2.025070005E9)</f>
        <v>2025070005</v>
      </c>
      <c r="D132" s="28" t="str">
        <f>IFERROR(__xludf.DUMMYFUNCTION("""COMPUTED_VALUE"""),"AL MUTA`IN")</f>
        <v>AL MUTA`IN</v>
      </c>
      <c r="E132" s="28" t="str">
        <f>IFERROR(__xludf.DUMMYFUNCTION("""COMPUTED_VALUE"""),"LILIK ZUBAIDAH")</f>
        <v>LILIK ZUBAIDAH</v>
      </c>
      <c r="F132" s="28" t="str">
        <f>IFERROR(__xludf.DUMMYFUNCTION("""COMPUTED_VALUE"""),"TAKERHARJO RT 002 RW 003 SOLOKURO LAMONGAN")</f>
        <v>TAKERHARJO RT 002 RW 003 SOLOKURO LAMONGAN</v>
      </c>
      <c r="G132" s="28" t="str">
        <f>IFERROR(__xludf.DUMMYFUNCTION("""COMPUTED_VALUE"""),"MA-XI.2")</f>
        <v>MA-XI.2</v>
      </c>
      <c r="H132" s="28" t="str">
        <f>IFERROR(__xludf.DUMMYFUNCTION("""COMPUTED_VALUE"""),"B")</f>
        <v>B</v>
      </c>
      <c r="I132" s="28" t="str">
        <f>IFERROR(__xludf.DUMMYFUNCTION("""COMPUTED_VALUE"""),"B-1")</f>
        <v>B-1</v>
      </c>
      <c r="J132" s="28">
        <f>IFERROR(__xludf.DUMMYFUNCTION("""COMPUTED_VALUE"""),2.0)</f>
        <v>2</v>
      </c>
      <c r="K132" s="28" t="str">
        <f>IFERROR(__xludf.DUMMYFUNCTION("""COMPUTED_VALUE"""),"2 WUSTHO C PUTRI")</f>
        <v>2 WUSTHO C PUTRI</v>
      </c>
      <c r="L132" s="29" t="str">
        <f>IFERROR(__xludf.DUMMYFUNCTION("""COMPUTED_VALUE"""),"6285854669977")</f>
        <v>6285854669977</v>
      </c>
      <c r="M132" s="28"/>
      <c r="N132" s="28"/>
      <c r="O132" s="28"/>
      <c r="P132" s="28"/>
      <c r="Q132" s="28"/>
      <c r="R132" s="28"/>
      <c r="S132" s="28"/>
      <c r="T132" s="28"/>
      <c r="U132" s="22">
        <f>IFERROR(__xludf.DUMMYFUNCTION("""COMPUTED_VALUE"""),450000.0)</f>
        <v>450000</v>
      </c>
      <c r="V132" s="22">
        <f>IFERROR(__xludf.DUMMYFUNCTION("""COMPUTED_VALUE"""),450000.0)</f>
        <v>450000</v>
      </c>
      <c r="W132" s="22">
        <f>IFERROR(__xludf.DUMMYFUNCTION("""COMPUTED_VALUE"""),450000.0)</f>
        <v>450000</v>
      </c>
      <c r="X132" s="22">
        <f>IFERROR(__xludf.DUMMYFUNCTION("""COMPUTED_VALUE"""),450000.0)</f>
        <v>450000</v>
      </c>
      <c r="Y132" s="22">
        <f>IFERROR(__xludf.DUMMYFUNCTION("""COMPUTED_VALUE"""),450000.0)</f>
        <v>450000</v>
      </c>
      <c r="Z132" s="22">
        <f>IFERROR(__xludf.DUMMYFUNCTION("""COMPUTED_VALUE"""),450000.0)</f>
        <v>450000</v>
      </c>
      <c r="AA132" s="28"/>
      <c r="AB132" s="22">
        <f>IFERROR(__xludf.DUMMYFUNCTION("""COMPUTED_VALUE"""),500000.0)</f>
        <v>500000</v>
      </c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2">
        <f>IFERROR(__xludf.DUMMYFUNCTION("""COMPUTED_VALUE"""),500000.0)</f>
        <v>500000</v>
      </c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2">
        <f>IFERROR(__xludf.DUMMYFUNCTION("""COMPUTED_VALUE"""),2700000.0)</f>
        <v>2700000</v>
      </c>
      <c r="BD132" s="22">
        <f>IFERROR(__xludf.DUMMYFUNCTION("""COMPUTED_VALUE"""),1000000.0)</f>
        <v>1000000</v>
      </c>
      <c r="BE132" s="22">
        <f>IFERROR(__xludf.DUMMYFUNCTION("""COMPUTED_VALUE"""),0.0)</f>
        <v>0</v>
      </c>
      <c r="BF132" s="22">
        <f>IFERROR(__xludf.DUMMYFUNCTION("""COMPUTED_VALUE"""),3700000.0)</f>
        <v>3700000</v>
      </c>
    </row>
    <row r="133">
      <c r="A133" s="27">
        <f>IFERROR(__xludf.DUMMYFUNCTION("""COMPUTED_VALUE"""),132.0)</f>
        <v>132</v>
      </c>
      <c r="B133" s="28" t="str">
        <f>IFERROR(__xludf.DUMMYFUNCTION("""COMPUTED_VALUE"""),"MAKAYLA SAFIRA DWINATASYA")</f>
        <v>MAKAYLA SAFIRA DWINATASYA</v>
      </c>
      <c r="C133" s="28">
        <f>IFERROR(__xludf.DUMMYFUNCTION("""COMPUTED_VALUE"""),2.025070125E9)</f>
        <v>2025070125</v>
      </c>
      <c r="D133" s="28" t="str">
        <f>IFERROR(__xludf.DUMMYFUNCTION("""COMPUTED_VALUE"""),"ZAINAL ABIDIN")</f>
        <v>ZAINAL ABIDIN</v>
      </c>
      <c r="E133" s="28" t="str">
        <f>IFERROR(__xludf.DUMMYFUNCTION("""COMPUTED_VALUE"""),"SUN`IYAH")</f>
        <v>SUN`IYAH</v>
      </c>
      <c r="F133" s="28" t="str">
        <f>IFERROR(__xludf.DUMMYFUNCTION("""COMPUTED_VALUE"""),"KURO RT 002 RW 001 KARANGBINANGUN LAMONGAN")</f>
        <v>KURO RT 002 RW 001 KARANGBINANGUN LAMONGAN</v>
      </c>
      <c r="G133" s="28" t="str">
        <f>IFERROR(__xludf.DUMMYFUNCTION("""COMPUTED_VALUE"""),"MA-XI.11")</f>
        <v>MA-XI.11</v>
      </c>
      <c r="H133" s="28" t="str">
        <f>IFERROR(__xludf.DUMMYFUNCTION("""COMPUTED_VALUE"""),"B")</f>
        <v>B</v>
      </c>
      <c r="I133" s="28" t="str">
        <f>IFERROR(__xludf.DUMMYFUNCTION("""COMPUTED_VALUE"""),"B-1")</f>
        <v>B-1</v>
      </c>
      <c r="J133" s="28">
        <f>IFERROR(__xludf.DUMMYFUNCTION("""COMPUTED_VALUE"""),2.0)</f>
        <v>2</v>
      </c>
      <c r="K133" s="28" t="str">
        <f>IFERROR(__xludf.DUMMYFUNCTION("""COMPUTED_VALUE"""),"2 WUSTHO D PUTRI")</f>
        <v>2 WUSTHO D PUTRI</v>
      </c>
      <c r="L133" s="29" t="str">
        <f>IFERROR(__xludf.DUMMYFUNCTION("""COMPUTED_VALUE"""),"6285853252042")</f>
        <v>6285853252042</v>
      </c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2">
        <f>IFERROR(__xludf.DUMMYFUNCTION("""COMPUTED_VALUE"""),450000.0)</f>
        <v>450000</v>
      </c>
      <c r="Y133" s="22">
        <f>IFERROR(__xludf.DUMMYFUNCTION("""COMPUTED_VALUE"""),450000.0)</f>
        <v>450000</v>
      </c>
      <c r="Z133" s="22">
        <f>IFERROR(__xludf.DUMMYFUNCTION("""COMPUTED_VALUE"""),450000.0)</f>
        <v>450000</v>
      </c>
      <c r="AA133" s="28"/>
      <c r="AB133" s="22">
        <f>IFERROR(__xludf.DUMMYFUNCTION("""COMPUTED_VALUE"""),500000.0)</f>
        <v>500000</v>
      </c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2">
        <f>IFERROR(__xludf.DUMMYFUNCTION("""COMPUTED_VALUE"""),500000.0)</f>
        <v>500000</v>
      </c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2">
        <f>IFERROR(__xludf.DUMMYFUNCTION("""COMPUTED_VALUE"""),1350000.0)</f>
        <v>1350000</v>
      </c>
      <c r="BD133" s="22">
        <f>IFERROR(__xludf.DUMMYFUNCTION("""COMPUTED_VALUE"""),1000000.0)</f>
        <v>1000000</v>
      </c>
      <c r="BE133" s="22">
        <f>IFERROR(__xludf.DUMMYFUNCTION("""COMPUTED_VALUE"""),0.0)</f>
        <v>0</v>
      </c>
      <c r="BF133" s="22">
        <f>IFERROR(__xludf.DUMMYFUNCTION("""COMPUTED_VALUE"""),2350000.0)</f>
        <v>2350000</v>
      </c>
    </row>
    <row r="134">
      <c r="A134" s="27">
        <f>IFERROR(__xludf.DUMMYFUNCTION("""COMPUTED_VALUE"""),133.0)</f>
        <v>133</v>
      </c>
      <c r="B134" s="28" t="str">
        <f>IFERROR(__xludf.DUMMYFUNCTION("""COMPUTED_VALUE"""),"MANOHARA GENDHIS FAROKHA")</f>
        <v>MANOHARA GENDHIS FAROKHA</v>
      </c>
      <c r="C134" s="28">
        <f>IFERROR(__xludf.DUMMYFUNCTION("""COMPUTED_VALUE"""),2.025070204E9)</f>
        <v>2025070204</v>
      </c>
      <c r="D134" s="28" t="str">
        <f>IFERROR(__xludf.DUMMYFUNCTION("""COMPUTED_VALUE"""),"KADIR")</f>
        <v>KADIR</v>
      </c>
      <c r="E134" s="28" t="str">
        <f>IFERROR(__xludf.DUMMYFUNCTION("""COMPUTED_VALUE"""),"MUNINGSIH")</f>
        <v>MUNINGSIH</v>
      </c>
      <c r="F134" s="28" t="str">
        <f>IFERROR(__xludf.DUMMYFUNCTION("""COMPUTED_VALUE"""),"KUDON MADULEGI RT 001 RW 002 SUKODADI LAMONGAN")</f>
        <v>KUDON MADULEGI RT 001 RW 002 SUKODADI LAMONGAN</v>
      </c>
      <c r="G134" s="28" t="str">
        <f>IFERROR(__xludf.DUMMYFUNCTION("""COMPUTED_VALUE"""),"MA-XI.5")</f>
        <v>MA-XI.5</v>
      </c>
      <c r="H134" s="28" t="str">
        <f>IFERROR(__xludf.DUMMYFUNCTION("""COMPUTED_VALUE"""),"B")</f>
        <v>B</v>
      </c>
      <c r="I134" s="28" t="str">
        <f>IFERROR(__xludf.DUMMYFUNCTION("""COMPUTED_VALUE"""),"B-1")</f>
        <v>B-1</v>
      </c>
      <c r="J134" s="28">
        <f>IFERROR(__xludf.DUMMYFUNCTION("""COMPUTED_VALUE"""),2.0)</f>
        <v>2</v>
      </c>
      <c r="K134" s="28" t="str">
        <f>IFERROR(__xludf.DUMMYFUNCTION("""COMPUTED_VALUE"""),"2 WUSTHO C PUTRI")</f>
        <v>2 WUSTHO C PUTRI</v>
      </c>
      <c r="L134" s="29" t="str">
        <f>IFERROR(__xludf.DUMMYFUNCTION("""COMPUTED_VALUE"""),"6285632444976")</f>
        <v>6285632444976</v>
      </c>
      <c r="M134" s="22">
        <f>IFERROR(__xludf.DUMMYFUNCTION("""COMPUTED_VALUE"""),600000.0)</f>
        <v>600000</v>
      </c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2">
        <f>IFERROR(__xludf.DUMMYFUNCTION("""COMPUTED_VALUE"""),450000.0)</f>
        <v>450000</v>
      </c>
      <c r="AA134" s="28"/>
      <c r="AB134" s="22">
        <f>IFERROR(__xludf.DUMMYFUNCTION("""COMPUTED_VALUE"""),500000.0)</f>
        <v>500000</v>
      </c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2">
        <f>IFERROR(__xludf.DUMMYFUNCTION("""COMPUTED_VALUE"""),500000.0)</f>
        <v>500000</v>
      </c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2">
        <f>IFERROR(__xludf.DUMMYFUNCTION("""COMPUTED_VALUE"""),450000.0)</f>
        <v>450000</v>
      </c>
      <c r="BD134" s="22">
        <f>IFERROR(__xludf.DUMMYFUNCTION("""COMPUTED_VALUE"""),1600000.0)</f>
        <v>1600000</v>
      </c>
      <c r="BE134" s="22">
        <f>IFERROR(__xludf.DUMMYFUNCTION("""COMPUTED_VALUE"""),0.0)</f>
        <v>0</v>
      </c>
      <c r="BF134" s="22">
        <f>IFERROR(__xludf.DUMMYFUNCTION("""COMPUTED_VALUE"""),2050000.0)</f>
        <v>2050000</v>
      </c>
    </row>
    <row r="135">
      <c r="A135" s="27">
        <f>IFERROR(__xludf.DUMMYFUNCTION("""COMPUTED_VALUE"""),134.0)</f>
        <v>134</v>
      </c>
      <c r="B135" s="28" t="str">
        <f>IFERROR(__xludf.DUMMYFUNCTION("""COMPUTED_VALUE"""),"MAULIDA BIMILATI ZAKIYAH")</f>
        <v>MAULIDA BIMILATI ZAKIYAH</v>
      </c>
      <c r="C135" s="28">
        <f>IFERROR(__xludf.DUMMYFUNCTION("""COMPUTED_VALUE"""),2.025070074E9)</f>
        <v>2025070074</v>
      </c>
      <c r="D135" s="28" t="str">
        <f>IFERROR(__xludf.DUMMYFUNCTION("""COMPUTED_VALUE"""),"SENADIANTO")</f>
        <v>SENADIANTO</v>
      </c>
      <c r="E135" s="28" t="str">
        <f>IFERROR(__xludf.DUMMYFUNCTION("""COMPUTED_VALUE"""),"ANIFAH")</f>
        <v>ANIFAH</v>
      </c>
      <c r="F135" s="28" t="str">
        <f>IFERROR(__xludf.DUMMYFUNCTION("""COMPUTED_VALUE"""),"WIDE SENDANGHARJO RT 003 RW 002 BRONDONG LAMONGAN")</f>
        <v>WIDE SENDANGHARJO RT 003 RW 002 BRONDONG LAMONGAN</v>
      </c>
      <c r="G135" s="28" t="str">
        <f>IFERROR(__xludf.DUMMYFUNCTION("""COMPUTED_VALUE"""),"MA-XI.4")</f>
        <v>MA-XI.4</v>
      </c>
      <c r="H135" s="28" t="str">
        <f>IFERROR(__xludf.DUMMYFUNCTION("""COMPUTED_VALUE"""),"B")</f>
        <v>B</v>
      </c>
      <c r="I135" s="28" t="str">
        <f>IFERROR(__xludf.DUMMYFUNCTION("""COMPUTED_VALUE"""),"B-1")</f>
        <v>B-1</v>
      </c>
      <c r="J135" s="28">
        <f>IFERROR(__xludf.DUMMYFUNCTION("""COMPUTED_VALUE"""),2.0)</f>
        <v>2</v>
      </c>
      <c r="K135" s="28" t="str">
        <f>IFERROR(__xludf.DUMMYFUNCTION("""COMPUTED_VALUE"""),"2 WUSTHO C PUTRI")</f>
        <v>2 WUSTHO C PUTRI</v>
      </c>
      <c r="L135" s="29" t="str">
        <f>IFERROR(__xludf.DUMMYFUNCTION("""COMPUTED_VALUE"""),"6285606172880")</f>
        <v>6285606172880</v>
      </c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2">
        <f>IFERROR(__xludf.DUMMYFUNCTION("""COMPUTED_VALUE"""),500000.0)</f>
        <v>500000</v>
      </c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2">
        <f>IFERROR(__xludf.DUMMYFUNCTION("""COMPUTED_VALUE"""),500000.0)</f>
        <v>500000</v>
      </c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2">
        <f>IFERROR(__xludf.DUMMYFUNCTION("""COMPUTED_VALUE"""),0.0)</f>
        <v>0</v>
      </c>
      <c r="BD135" s="22">
        <f>IFERROR(__xludf.DUMMYFUNCTION("""COMPUTED_VALUE"""),1000000.0)</f>
        <v>1000000</v>
      </c>
      <c r="BE135" s="22">
        <f>IFERROR(__xludf.DUMMYFUNCTION("""COMPUTED_VALUE"""),0.0)</f>
        <v>0</v>
      </c>
      <c r="BF135" s="22">
        <f>IFERROR(__xludf.DUMMYFUNCTION("""COMPUTED_VALUE"""),1000000.0)</f>
        <v>1000000</v>
      </c>
    </row>
    <row r="136">
      <c r="A136" s="27">
        <f>IFERROR(__xludf.DUMMYFUNCTION("""COMPUTED_VALUE"""),135.0)</f>
        <v>135</v>
      </c>
      <c r="B136" s="28" t="str">
        <f>IFERROR(__xludf.DUMMYFUNCTION("""COMPUTED_VALUE"""),"MILLATUN THOYIBAH")</f>
        <v>MILLATUN THOYIBAH</v>
      </c>
      <c r="C136" s="28">
        <f>IFERROR(__xludf.DUMMYFUNCTION("""COMPUTED_VALUE"""),2.025070221E9)</f>
        <v>2025070221</v>
      </c>
      <c r="D136" s="28" t="str">
        <f>IFERROR(__xludf.DUMMYFUNCTION("""COMPUTED_VALUE"""),"MASYHADI")</f>
        <v>MASYHADI</v>
      </c>
      <c r="E136" s="28" t="str">
        <f>IFERROR(__xludf.DUMMYFUNCTION("""COMPUTED_VALUE"""),"SITI KHODIJAH")</f>
        <v>SITI KHODIJAH</v>
      </c>
      <c r="F136" s="28" t="str">
        <f>IFERROR(__xludf.DUMMYFUNCTION("""COMPUTED_VALUE"""),"JANGGAN POMAHANJANGGAN RT 006 RW 003 TURI LAMONGAN")</f>
        <v>JANGGAN POMAHANJANGGAN RT 006 RW 003 TURI LAMONGAN</v>
      </c>
      <c r="G136" s="28" t="str">
        <f>IFERROR(__xludf.DUMMYFUNCTION("""COMPUTED_VALUE"""),"MA-XI.4")</f>
        <v>MA-XI.4</v>
      </c>
      <c r="H136" s="28" t="str">
        <f>IFERROR(__xludf.DUMMYFUNCTION("""COMPUTED_VALUE"""),"B")</f>
        <v>B</v>
      </c>
      <c r="I136" s="28" t="str">
        <f>IFERROR(__xludf.DUMMYFUNCTION("""COMPUTED_VALUE"""),"B-1")</f>
        <v>B-1</v>
      </c>
      <c r="J136" s="28">
        <f>IFERROR(__xludf.DUMMYFUNCTION("""COMPUTED_VALUE"""),2.0)</f>
        <v>2</v>
      </c>
      <c r="K136" s="28" t="str">
        <f>IFERROR(__xludf.DUMMYFUNCTION("""COMPUTED_VALUE"""),"2 WUSTHO C PUTRI")</f>
        <v>2 WUSTHO C PUTRI</v>
      </c>
      <c r="L136" s="29" t="str">
        <f>IFERROR(__xludf.DUMMYFUNCTION("""COMPUTED_VALUE"""),"6285732713016")</f>
        <v>6285732713016</v>
      </c>
      <c r="M136" s="22">
        <f>IFERROR(__xludf.DUMMYFUNCTION("""COMPUTED_VALUE"""),600000.0)</f>
        <v>600000</v>
      </c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2">
        <f>IFERROR(__xludf.DUMMYFUNCTION("""COMPUTED_VALUE"""),450000.0)</f>
        <v>450000</v>
      </c>
      <c r="Y136" s="22">
        <f>IFERROR(__xludf.DUMMYFUNCTION("""COMPUTED_VALUE"""),450000.0)</f>
        <v>450000</v>
      </c>
      <c r="Z136" s="22">
        <f>IFERROR(__xludf.DUMMYFUNCTION("""COMPUTED_VALUE"""),450000.0)</f>
        <v>450000</v>
      </c>
      <c r="AA136" s="28"/>
      <c r="AB136" s="22">
        <f>IFERROR(__xludf.DUMMYFUNCTION("""COMPUTED_VALUE"""),500000.0)</f>
        <v>500000</v>
      </c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2">
        <f>IFERROR(__xludf.DUMMYFUNCTION("""COMPUTED_VALUE"""),500000.0)</f>
        <v>500000</v>
      </c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2">
        <f>IFERROR(__xludf.DUMMYFUNCTION("""COMPUTED_VALUE"""),1350000.0)</f>
        <v>1350000</v>
      </c>
      <c r="BD136" s="22">
        <f>IFERROR(__xludf.DUMMYFUNCTION("""COMPUTED_VALUE"""),1600000.0)</f>
        <v>1600000</v>
      </c>
      <c r="BE136" s="22">
        <f>IFERROR(__xludf.DUMMYFUNCTION("""COMPUTED_VALUE"""),0.0)</f>
        <v>0</v>
      </c>
      <c r="BF136" s="22">
        <f>IFERROR(__xludf.DUMMYFUNCTION("""COMPUTED_VALUE"""),2950000.0)</f>
        <v>2950000</v>
      </c>
    </row>
    <row r="137">
      <c r="A137" s="27">
        <f>IFERROR(__xludf.DUMMYFUNCTION("""COMPUTED_VALUE"""),136.0)</f>
        <v>136</v>
      </c>
      <c r="B137" s="28" t="str">
        <f>IFERROR(__xludf.DUMMYFUNCTION("""COMPUTED_VALUE"""),"NAFIATUL KHOIROH")</f>
        <v>NAFIATUL KHOIROH</v>
      </c>
      <c r="C137" s="28">
        <f>IFERROR(__xludf.DUMMYFUNCTION("""COMPUTED_VALUE"""),2.025070379E9)</f>
        <v>2025070379</v>
      </c>
      <c r="D137" s="28" t="str">
        <f>IFERROR(__xludf.DUMMYFUNCTION("""COMPUTED_VALUE"""),"PRIYADI")</f>
        <v>PRIYADI</v>
      </c>
      <c r="E137" s="28" t="str">
        <f>IFERROR(__xludf.DUMMYFUNCTION("""COMPUTED_VALUE"""),"SYAROFAH")</f>
        <v>SYAROFAH</v>
      </c>
      <c r="F137" s="28" t="str">
        <f>IFERROR(__xludf.DUMMYFUNCTION("""COMPUTED_VALUE"""),"BANYUBANG RT 005 RW 002 SOLOKURO LAMONGAN")</f>
        <v>BANYUBANG RT 005 RW 002 SOLOKURO LAMONGAN</v>
      </c>
      <c r="G137" s="28" t="str">
        <f>IFERROR(__xludf.DUMMYFUNCTION("""COMPUTED_VALUE"""),"MA-XI.11")</f>
        <v>MA-XI.11</v>
      </c>
      <c r="H137" s="28" t="str">
        <f>IFERROR(__xludf.DUMMYFUNCTION("""COMPUTED_VALUE"""),"B")</f>
        <v>B</v>
      </c>
      <c r="I137" s="28" t="str">
        <f>IFERROR(__xludf.DUMMYFUNCTION("""COMPUTED_VALUE"""),"B-1")</f>
        <v>B-1</v>
      </c>
      <c r="J137" s="28">
        <f>IFERROR(__xludf.DUMMYFUNCTION("""COMPUTED_VALUE"""),2.0)</f>
        <v>2</v>
      </c>
      <c r="K137" s="28" t="str">
        <f>IFERROR(__xludf.DUMMYFUNCTION("""COMPUTED_VALUE"""),"2 WUSTHO B PUTRI")</f>
        <v>2 WUSTHO B PUTRI</v>
      </c>
      <c r="L137" s="29" t="str">
        <f>IFERROR(__xludf.DUMMYFUNCTION("""COMPUTED_VALUE"""),"6285231576976")</f>
        <v>6285231576976</v>
      </c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2">
        <f>IFERROR(__xludf.DUMMYFUNCTION("""COMPUTED_VALUE"""),0.0)</f>
        <v>0</v>
      </c>
      <c r="BD137" s="22">
        <f>IFERROR(__xludf.DUMMYFUNCTION("""COMPUTED_VALUE"""),0.0)</f>
        <v>0</v>
      </c>
      <c r="BE137" s="22">
        <f>IFERROR(__xludf.DUMMYFUNCTION("""COMPUTED_VALUE"""),0.0)</f>
        <v>0</v>
      </c>
      <c r="BF137" s="22">
        <f>IFERROR(__xludf.DUMMYFUNCTION("""COMPUTED_VALUE"""),0.0)</f>
        <v>0</v>
      </c>
    </row>
    <row r="138">
      <c r="A138" s="27">
        <f>IFERROR(__xludf.DUMMYFUNCTION("""COMPUTED_VALUE"""),137.0)</f>
        <v>137</v>
      </c>
      <c r="B138" s="28" t="str">
        <f>IFERROR(__xludf.DUMMYFUNCTION("""COMPUTED_VALUE"""),"NIDIAH ANNISA` ISKARIMAH")</f>
        <v>NIDIAH ANNISA` ISKARIMAH</v>
      </c>
      <c r="C138" s="28">
        <f>IFERROR(__xludf.DUMMYFUNCTION("""COMPUTED_VALUE"""),2.025070068E9)</f>
        <v>2025070068</v>
      </c>
      <c r="D138" s="28" t="str">
        <f>IFERROR(__xludf.DUMMYFUNCTION("""COMPUTED_VALUE"""),"SHAFWAN")</f>
        <v>SHAFWAN</v>
      </c>
      <c r="E138" s="28" t="str">
        <f>IFERROR(__xludf.DUMMYFUNCTION("""COMPUTED_VALUE"""),"MUTAQIYAH")</f>
        <v>MUTAQIYAH</v>
      </c>
      <c r="F138" s="28" t="str">
        <f>IFERROR(__xludf.DUMMYFUNCTION("""COMPUTED_VALUE"""),"RAYUNG RAYUNGGUMUK RT 001 RW 003 GLAGAH LAMONGAN")</f>
        <v>RAYUNG RAYUNGGUMUK RT 001 RW 003 GLAGAH LAMONGAN</v>
      </c>
      <c r="G138" s="28" t="str">
        <f>IFERROR(__xludf.DUMMYFUNCTION("""COMPUTED_VALUE"""),"MA-XI.8")</f>
        <v>MA-XI.8</v>
      </c>
      <c r="H138" s="28" t="str">
        <f>IFERROR(__xludf.DUMMYFUNCTION("""COMPUTED_VALUE"""),"B")</f>
        <v>B</v>
      </c>
      <c r="I138" s="28" t="str">
        <f>IFERROR(__xludf.DUMMYFUNCTION("""COMPUTED_VALUE"""),"B-10")</f>
        <v>B-10</v>
      </c>
      <c r="J138" s="28">
        <f>IFERROR(__xludf.DUMMYFUNCTION("""COMPUTED_VALUE"""),2.0)</f>
        <v>2</v>
      </c>
      <c r="K138" s="28" t="str">
        <f>IFERROR(__xludf.DUMMYFUNCTION("""COMPUTED_VALUE"""),"2 WUSTHO B PUTRI")</f>
        <v>2 WUSTHO B PUTRI</v>
      </c>
      <c r="L138" s="29" t="str">
        <f>IFERROR(__xludf.DUMMYFUNCTION("""COMPUTED_VALUE"""),"6285746102022")</f>
        <v>6285746102022</v>
      </c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2">
        <f>IFERROR(__xludf.DUMMYFUNCTION("""COMPUTED_VALUE"""),450000.0)</f>
        <v>450000</v>
      </c>
      <c r="Z138" s="22">
        <f>IFERROR(__xludf.DUMMYFUNCTION("""COMPUTED_VALUE"""),450000.0)</f>
        <v>450000</v>
      </c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2">
        <f>IFERROR(__xludf.DUMMYFUNCTION("""COMPUTED_VALUE"""),900000.0)</f>
        <v>900000</v>
      </c>
      <c r="BD138" s="22">
        <f>IFERROR(__xludf.DUMMYFUNCTION("""COMPUTED_VALUE"""),0.0)</f>
        <v>0</v>
      </c>
      <c r="BE138" s="22">
        <f>IFERROR(__xludf.DUMMYFUNCTION("""COMPUTED_VALUE"""),0.0)</f>
        <v>0</v>
      </c>
      <c r="BF138" s="22">
        <f>IFERROR(__xludf.DUMMYFUNCTION("""COMPUTED_VALUE"""),900000.0)</f>
        <v>900000</v>
      </c>
    </row>
    <row r="139">
      <c r="A139" s="27">
        <f>IFERROR(__xludf.DUMMYFUNCTION("""COMPUTED_VALUE"""),138.0)</f>
        <v>138</v>
      </c>
      <c r="B139" s="28" t="str">
        <f>IFERROR(__xludf.DUMMYFUNCTION("""COMPUTED_VALUE"""),"NUR ASIVA RAHAYU")</f>
        <v>NUR ASIVA RAHAYU</v>
      </c>
      <c r="C139" s="28">
        <f>IFERROR(__xludf.DUMMYFUNCTION("""COMPUTED_VALUE"""),2.025070481E9)</f>
        <v>2025070481</v>
      </c>
      <c r="D139" s="28" t="str">
        <f>IFERROR(__xludf.DUMMYFUNCTION("""COMPUTED_VALUE"""),"AS`AD")</f>
        <v>AS`AD</v>
      </c>
      <c r="E139" s="28" t="str">
        <f>IFERROR(__xludf.DUMMYFUNCTION("""COMPUTED_VALUE"""),"ISVA UMROAH")</f>
        <v>ISVA UMROAH</v>
      </c>
      <c r="F139" s="28" t="str">
        <f>IFERROR(__xludf.DUMMYFUNCTION("""COMPUTED_VALUE"""),"TIWET RT 002 RW 003 KALITENGAH LAMONGAN")</f>
        <v>TIWET RT 002 RW 003 KALITENGAH LAMONGAN</v>
      </c>
      <c r="G139" s="28" t="str">
        <f>IFERROR(__xludf.DUMMYFUNCTION("""COMPUTED_VALUE"""),"SMP-VIII B")</f>
        <v>SMP-VIII B</v>
      </c>
      <c r="H139" s="28" t="str">
        <f>IFERROR(__xludf.DUMMYFUNCTION("""COMPUTED_VALUE"""),"B")</f>
        <v>B</v>
      </c>
      <c r="I139" s="28" t="str">
        <f>IFERROR(__xludf.DUMMYFUNCTION("""COMPUTED_VALUE"""),"B-10")</f>
        <v>B-10</v>
      </c>
      <c r="J139" s="28">
        <f>IFERROR(__xludf.DUMMYFUNCTION("""COMPUTED_VALUE"""),2.0)</f>
        <v>2</v>
      </c>
      <c r="K139" s="28" t="str">
        <f>IFERROR(__xludf.DUMMYFUNCTION("""COMPUTED_VALUE"""),"2 ULA C PUTRI")</f>
        <v>2 ULA C PUTRI</v>
      </c>
      <c r="L139" s="29" t="str">
        <f>IFERROR(__xludf.DUMMYFUNCTION("""COMPUTED_VALUE"""),"6285784441243")</f>
        <v>6285784441243</v>
      </c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2">
        <f>IFERROR(__xludf.DUMMYFUNCTION("""COMPUTED_VALUE"""),450000.0)</f>
        <v>450000</v>
      </c>
      <c r="X139" s="22">
        <f>IFERROR(__xludf.DUMMYFUNCTION("""COMPUTED_VALUE"""),450000.0)</f>
        <v>450000</v>
      </c>
      <c r="Y139" s="22">
        <f>IFERROR(__xludf.DUMMYFUNCTION("""COMPUTED_VALUE"""),450000.0)</f>
        <v>450000</v>
      </c>
      <c r="Z139" s="22">
        <f>IFERROR(__xludf.DUMMYFUNCTION("""COMPUTED_VALUE"""),450000.0)</f>
        <v>450000</v>
      </c>
      <c r="AA139" s="28"/>
      <c r="AB139" s="22">
        <f>IFERROR(__xludf.DUMMYFUNCTION("""COMPUTED_VALUE"""),500000.0)</f>
        <v>500000</v>
      </c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2">
        <f>IFERROR(__xludf.DUMMYFUNCTION("""COMPUTED_VALUE"""),500000.0)</f>
        <v>500000</v>
      </c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2">
        <f>IFERROR(__xludf.DUMMYFUNCTION("""COMPUTED_VALUE"""),1800000.0)</f>
        <v>1800000</v>
      </c>
      <c r="BD139" s="22">
        <f>IFERROR(__xludf.DUMMYFUNCTION("""COMPUTED_VALUE"""),1000000.0)</f>
        <v>1000000</v>
      </c>
      <c r="BE139" s="22">
        <f>IFERROR(__xludf.DUMMYFUNCTION("""COMPUTED_VALUE"""),0.0)</f>
        <v>0</v>
      </c>
      <c r="BF139" s="22">
        <f>IFERROR(__xludf.DUMMYFUNCTION("""COMPUTED_VALUE"""),2800000.0)</f>
        <v>2800000</v>
      </c>
    </row>
    <row r="140">
      <c r="A140" s="27">
        <f>IFERROR(__xludf.DUMMYFUNCTION("""COMPUTED_VALUE"""),139.0)</f>
        <v>139</v>
      </c>
      <c r="B140" s="28" t="str">
        <f>IFERROR(__xludf.DUMMYFUNCTION("""COMPUTED_VALUE"""),"NUR ROFIDATUZ ZAHRA")</f>
        <v>NUR ROFIDATUZ ZAHRA</v>
      </c>
      <c r="C140" s="28">
        <f>IFERROR(__xludf.DUMMYFUNCTION("""COMPUTED_VALUE"""),2.025070438E9)</f>
        <v>2025070438</v>
      </c>
      <c r="D140" s="28" t="str">
        <f>IFERROR(__xludf.DUMMYFUNCTION("""COMPUTED_VALUE"""),"MUJAZIN")</f>
        <v>MUJAZIN</v>
      </c>
      <c r="E140" s="28" t="str">
        <f>IFERROR(__xludf.DUMMYFUNCTION("""COMPUTED_VALUE"""),"RINI NORHAYATI")</f>
        <v>RINI NORHAYATI</v>
      </c>
      <c r="F140" s="28" t="str">
        <f>IFERROR(__xludf.DUMMYFUNCTION("""COMPUTED_VALUE"""),"KENDALKEMLAGI RT 003 RW 001 KARANGGENENG LAMONGAN")</f>
        <v>KENDALKEMLAGI RT 003 RW 001 KARANGGENENG LAMONGAN</v>
      </c>
      <c r="G140" s="28" t="str">
        <f>IFERROR(__xludf.DUMMYFUNCTION("""COMPUTED_VALUE"""),"SMK-XI Ak")</f>
        <v>SMK-XI Ak</v>
      </c>
      <c r="H140" s="28" t="str">
        <f>IFERROR(__xludf.DUMMYFUNCTION("""COMPUTED_VALUE"""),"B")</f>
        <v>B</v>
      </c>
      <c r="I140" s="28" t="str">
        <f>IFERROR(__xludf.DUMMYFUNCTION("""COMPUTED_VALUE"""),"B-10")</f>
        <v>B-10</v>
      </c>
      <c r="J140" s="28">
        <f>IFERROR(__xludf.DUMMYFUNCTION("""COMPUTED_VALUE"""),2.0)</f>
        <v>2</v>
      </c>
      <c r="K140" s="28" t="str">
        <f>IFERROR(__xludf.DUMMYFUNCTION("""COMPUTED_VALUE"""),"2 WUSTHO C PUTRI")</f>
        <v>2 WUSTHO C PUTRI</v>
      </c>
      <c r="L140" s="29" t="str">
        <f>IFERROR(__xludf.DUMMYFUNCTION("""COMPUTED_VALUE"""),"6281553870082")</f>
        <v>6281553870082</v>
      </c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2">
        <f>IFERROR(__xludf.DUMMYFUNCTION("""COMPUTED_VALUE"""),0.0)</f>
        <v>0</v>
      </c>
      <c r="BD140" s="22">
        <f>IFERROR(__xludf.DUMMYFUNCTION("""COMPUTED_VALUE"""),0.0)</f>
        <v>0</v>
      </c>
      <c r="BE140" s="22">
        <f>IFERROR(__xludf.DUMMYFUNCTION("""COMPUTED_VALUE"""),0.0)</f>
        <v>0</v>
      </c>
      <c r="BF140" s="22">
        <f>IFERROR(__xludf.DUMMYFUNCTION("""COMPUTED_VALUE"""),0.0)</f>
        <v>0</v>
      </c>
    </row>
    <row r="141">
      <c r="A141" s="27">
        <f>IFERROR(__xludf.DUMMYFUNCTION("""COMPUTED_VALUE"""),140.0)</f>
        <v>140</v>
      </c>
      <c r="B141" s="28" t="str">
        <f>IFERROR(__xludf.DUMMYFUNCTION("""COMPUTED_VALUE"""),"NUZILAT SHOFWATUL MAR`AH")</f>
        <v>NUZILAT SHOFWATUL MAR`AH</v>
      </c>
      <c r="C141" s="28">
        <f>IFERROR(__xludf.DUMMYFUNCTION("""COMPUTED_VALUE"""),2.025070093E9)</f>
        <v>2025070093</v>
      </c>
      <c r="D141" s="28" t="str">
        <f>IFERROR(__xludf.DUMMYFUNCTION("""COMPUTED_VALUE"""),"SYUKUR, S.PD")</f>
        <v>SYUKUR, S.PD</v>
      </c>
      <c r="E141" s="28" t="str">
        <f>IFERROR(__xludf.DUMMYFUNCTION("""COMPUTED_VALUE"""),"ZULIYATI")</f>
        <v>ZULIYATI</v>
      </c>
      <c r="F141" s="28" t="str">
        <f>IFERROR(__xludf.DUMMYFUNCTION("""COMPUTED_VALUE"""),"PUCANGRO RT 002 RW 004 KALITENGAH LAMONGAN")</f>
        <v>PUCANGRO RT 002 RW 004 KALITENGAH LAMONGAN</v>
      </c>
      <c r="G141" s="28" t="str">
        <f>IFERROR(__xludf.DUMMYFUNCTION("""COMPUTED_VALUE"""),"MA-XI.1")</f>
        <v>MA-XI.1</v>
      </c>
      <c r="H141" s="28" t="str">
        <f>IFERROR(__xludf.DUMMYFUNCTION("""COMPUTED_VALUE"""),"B")</f>
        <v>B</v>
      </c>
      <c r="I141" s="28" t="str">
        <f>IFERROR(__xludf.DUMMYFUNCTION("""COMPUTED_VALUE"""),"B-3")</f>
        <v>B-3</v>
      </c>
      <c r="J141" s="28">
        <f>IFERROR(__xludf.DUMMYFUNCTION("""COMPUTED_VALUE"""),2.0)</f>
        <v>2</v>
      </c>
      <c r="K141" s="28" t="str">
        <f>IFERROR(__xludf.DUMMYFUNCTION("""COMPUTED_VALUE"""),"TAHFIDZ")</f>
        <v>TAHFIDZ</v>
      </c>
      <c r="L141" s="29" t="str">
        <f>IFERROR(__xludf.DUMMYFUNCTION("""COMPUTED_VALUE"""),"6281554236367")</f>
        <v>6281554236367</v>
      </c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2">
        <f>IFERROR(__xludf.DUMMYFUNCTION("""COMPUTED_VALUE"""),0.0)</f>
        <v>0</v>
      </c>
      <c r="BD141" s="22">
        <f>IFERROR(__xludf.DUMMYFUNCTION("""COMPUTED_VALUE"""),0.0)</f>
        <v>0</v>
      </c>
      <c r="BE141" s="22">
        <f>IFERROR(__xludf.DUMMYFUNCTION("""COMPUTED_VALUE"""),0.0)</f>
        <v>0</v>
      </c>
      <c r="BF141" s="22">
        <f>IFERROR(__xludf.DUMMYFUNCTION("""COMPUTED_VALUE"""),0.0)</f>
        <v>0</v>
      </c>
    </row>
    <row r="142">
      <c r="A142" s="27">
        <f>IFERROR(__xludf.DUMMYFUNCTION("""COMPUTED_VALUE"""),141.0)</f>
        <v>141</v>
      </c>
      <c r="B142" s="28" t="str">
        <f>IFERROR(__xludf.DUMMYFUNCTION("""COMPUTED_VALUE"""),"OLIVIA SABITA PUTRI")</f>
        <v>OLIVIA SABITA PUTRI</v>
      </c>
      <c r="C142" s="28">
        <f>IFERROR(__xludf.DUMMYFUNCTION("""COMPUTED_VALUE"""),2.025070453E9)</f>
        <v>2025070453</v>
      </c>
      <c r="D142" s="28" t="str">
        <f>IFERROR(__xludf.DUMMYFUNCTION("""COMPUTED_VALUE"""),"MARJO")</f>
        <v>MARJO</v>
      </c>
      <c r="E142" s="28" t="str">
        <f>IFERROR(__xludf.DUMMYFUNCTION("""COMPUTED_VALUE"""),"NAIHATUL MUFIDAH")</f>
        <v>NAIHATUL MUFIDAH</v>
      </c>
      <c r="F142" s="28" t="str">
        <f>IFERROR(__xludf.DUMMYFUNCTION("""COMPUTED_VALUE"""),"BANGERAN GENENG BANGERAN RT 004 RW 002 DUKUN GRESIK")</f>
        <v>BANGERAN GENENG BANGERAN RT 004 RW 002 DUKUN GRESIK</v>
      </c>
      <c r="G142" s="28" t="str">
        <f>IFERROR(__xludf.DUMMYFUNCTION("""COMPUTED_VALUE"""),"SMK-XI DKV")</f>
        <v>SMK-XI DKV</v>
      </c>
      <c r="H142" s="28" t="str">
        <f>IFERROR(__xludf.DUMMYFUNCTION("""COMPUTED_VALUE"""),"B")</f>
        <v>B</v>
      </c>
      <c r="I142" s="28" t="str">
        <f>IFERROR(__xludf.DUMMYFUNCTION("""COMPUTED_VALUE"""),"B-3")</f>
        <v>B-3</v>
      </c>
      <c r="J142" s="28">
        <f>IFERROR(__xludf.DUMMYFUNCTION("""COMPUTED_VALUE"""),2.0)</f>
        <v>2</v>
      </c>
      <c r="K142" s="28" t="str">
        <f>IFERROR(__xludf.DUMMYFUNCTION("""COMPUTED_VALUE"""),"2 WUSTHO C PUTRI")</f>
        <v>2 WUSTHO C PUTRI</v>
      </c>
      <c r="L142" s="29" t="str">
        <f>IFERROR(__xludf.DUMMYFUNCTION("""COMPUTED_VALUE"""),"6285890583479")</f>
        <v>6285890583479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2">
        <f>IFERROR(__xludf.DUMMYFUNCTION("""COMPUTED_VALUE"""),500000.0)</f>
        <v>500000</v>
      </c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2">
        <f>IFERROR(__xludf.DUMMYFUNCTION("""COMPUTED_VALUE"""),500000.0)</f>
        <v>500000</v>
      </c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2">
        <f>IFERROR(__xludf.DUMMYFUNCTION("""COMPUTED_VALUE"""),0.0)</f>
        <v>0</v>
      </c>
      <c r="BD142" s="22">
        <f>IFERROR(__xludf.DUMMYFUNCTION("""COMPUTED_VALUE"""),1000000.0)</f>
        <v>1000000</v>
      </c>
      <c r="BE142" s="22">
        <f>IFERROR(__xludf.DUMMYFUNCTION("""COMPUTED_VALUE"""),0.0)</f>
        <v>0</v>
      </c>
      <c r="BF142" s="22">
        <f>IFERROR(__xludf.DUMMYFUNCTION("""COMPUTED_VALUE"""),1000000.0)</f>
        <v>1000000</v>
      </c>
    </row>
    <row r="143">
      <c r="A143" s="27">
        <f>IFERROR(__xludf.DUMMYFUNCTION("""COMPUTED_VALUE"""),142.0)</f>
        <v>142</v>
      </c>
      <c r="B143" s="28" t="str">
        <f>IFERROR(__xludf.DUMMYFUNCTION("""COMPUTED_VALUE"""),"RAEESA NABILA YAKTA WAFIQ")</f>
        <v>RAEESA NABILA YAKTA WAFIQ</v>
      </c>
      <c r="C143" s="28">
        <f>IFERROR(__xludf.DUMMYFUNCTION("""COMPUTED_VALUE"""),2.025070469E9)</f>
        <v>2025070469</v>
      </c>
      <c r="D143" s="28" t="str">
        <f>IFERROR(__xludf.DUMMYFUNCTION("""COMPUTED_VALUE"""),"MOCHAMAD THOHA FATWA")</f>
        <v>MOCHAMAD THOHA FATWA</v>
      </c>
      <c r="E143" s="28" t="str">
        <f>IFERROR(__xludf.DUMMYFUNCTION("""COMPUTED_VALUE"""),"WINARSIH")</f>
        <v>WINARSIH</v>
      </c>
      <c r="F143" s="28" t="str">
        <f>IFERROR(__xludf.DUMMYFUNCTION("""COMPUTED_VALUE"""),"BANJARGONDANG RT 002 RW 003 BLULUK LAMONGAN")</f>
        <v>BANJARGONDANG RT 002 RW 003 BLULUK LAMONGAN</v>
      </c>
      <c r="G143" s="28" t="str">
        <f>IFERROR(__xludf.DUMMYFUNCTION("""COMPUTED_VALUE"""),"SMP-VIII A")</f>
        <v>SMP-VIII A</v>
      </c>
      <c r="H143" s="28" t="str">
        <f>IFERROR(__xludf.DUMMYFUNCTION("""COMPUTED_VALUE"""),"B")</f>
        <v>B</v>
      </c>
      <c r="I143" s="28" t="str">
        <f>IFERROR(__xludf.DUMMYFUNCTION("""COMPUTED_VALUE"""),"B-3")</f>
        <v>B-3</v>
      </c>
      <c r="J143" s="28">
        <f>IFERROR(__xludf.DUMMYFUNCTION("""COMPUTED_VALUE"""),2.0)</f>
        <v>2</v>
      </c>
      <c r="K143" s="28" t="str">
        <f>IFERROR(__xludf.DUMMYFUNCTION("""COMPUTED_VALUE"""),"2 ULA B PUTRI")</f>
        <v>2 ULA B PUTRI</v>
      </c>
      <c r="L143" s="29" t="str">
        <f>IFERROR(__xludf.DUMMYFUNCTION("""COMPUTED_VALUE"""),"6281332471369")</f>
        <v>6281332471369</v>
      </c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2">
        <f>IFERROR(__xludf.DUMMYFUNCTION("""COMPUTED_VALUE"""),500000.0)</f>
        <v>500000</v>
      </c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2">
        <f>IFERROR(__xludf.DUMMYFUNCTION("""COMPUTED_VALUE"""),0.0)</f>
        <v>0</v>
      </c>
      <c r="BD143" s="22">
        <f>IFERROR(__xludf.DUMMYFUNCTION("""COMPUTED_VALUE"""),500000.0)</f>
        <v>500000</v>
      </c>
      <c r="BE143" s="22">
        <f>IFERROR(__xludf.DUMMYFUNCTION("""COMPUTED_VALUE"""),0.0)</f>
        <v>0</v>
      </c>
      <c r="BF143" s="22">
        <f>IFERROR(__xludf.DUMMYFUNCTION("""COMPUTED_VALUE"""),500000.0)</f>
        <v>500000</v>
      </c>
    </row>
    <row r="144">
      <c r="A144" s="27">
        <f>IFERROR(__xludf.DUMMYFUNCTION("""COMPUTED_VALUE"""),143.0)</f>
        <v>143</v>
      </c>
      <c r="B144" s="28" t="str">
        <f>IFERROR(__xludf.DUMMYFUNCTION("""COMPUTED_VALUE"""),"RANI HARIROTUL MAHMUDAH")</f>
        <v>RANI HARIROTUL MAHMUDAH</v>
      </c>
      <c r="C144" s="28">
        <f>IFERROR(__xludf.DUMMYFUNCTION("""COMPUTED_VALUE"""),2.025070588E9)</f>
        <v>2025070588</v>
      </c>
      <c r="D144" s="28" t="str">
        <f>IFERROR(__xludf.DUMMYFUNCTION("""COMPUTED_VALUE"""),"MAHMUDI")</f>
        <v>MAHMUDI</v>
      </c>
      <c r="E144" s="28" t="str">
        <f>IFERROR(__xludf.DUMMYFUNCTION("""COMPUTED_VALUE"""),"ALIYAH")</f>
        <v>ALIYAH</v>
      </c>
      <c r="F144" s="28" t="str">
        <f>IFERROR(__xludf.DUMMYFUNCTION("""COMPUTED_VALUE"""),"WARUK RT 003 RW 001 KARANGBINANGUN LAMONGAN")</f>
        <v>WARUK RT 003 RW 001 KARANGBINANGUN LAMONGAN</v>
      </c>
      <c r="G144" s="28" t="str">
        <f>IFERROR(__xludf.DUMMYFUNCTION("""COMPUTED_VALUE"""),"MTS-8 B")</f>
        <v>MTS-8 B</v>
      </c>
      <c r="H144" s="28" t="str">
        <f>IFERROR(__xludf.DUMMYFUNCTION("""COMPUTED_VALUE"""),"B")</f>
        <v>B</v>
      </c>
      <c r="I144" s="28" t="str">
        <f>IFERROR(__xludf.DUMMYFUNCTION("""COMPUTED_VALUE"""),"B-2")</f>
        <v>B-2</v>
      </c>
      <c r="J144" s="28">
        <f>IFERROR(__xludf.DUMMYFUNCTION("""COMPUTED_VALUE"""),2.0)</f>
        <v>2</v>
      </c>
      <c r="K144" s="28" t="str">
        <f>IFERROR(__xludf.DUMMYFUNCTION("""COMPUTED_VALUE"""),"2 ULA A PUTRI")</f>
        <v>2 ULA A PUTRI</v>
      </c>
      <c r="L144" s="29" t="str">
        <f>IFERROR(__xludf.DUMMYFUNCTION("""COMPUTED_VALUE"""),"6281336008122")</f>
        <v>6281336008122</v>
      </c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2">
        <f>IFERROR(__xludf.DUMMYFUNCTION("""COMPUTED_VALUE"""),500000.0)</f>
        <v>500000</v>
      </c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2">
        <f>IFERROR(__xludf.DUMMYFUNCTION("""COMPUTED_VALUE"""),0.0)</f>
        <v>0</v>
      </c>
      <c r="BD144" s="22">
        <f>IFERROR(__xludf.DUMMYFUNCTION("""COMPUTED_VALUE"""),500000.0)</f>
        <v>500000</v>
      </c>
      <c r="BE144" s="22">
        <f>IFERROR(__xludf.DUMMYFUNCTION("""COMPUTED_VALUE"""),0.0)</f>
        <v>0</v>
      </c>
      <c r="BF144" s="22">
        <f>IFERROR(__xludf.DUMMYFUNCTION("""COMPUTED_VALUE"""),500000.0)</f>
        <v>500000</v>
      </c>
    </row>
    <row r="145">
      <c r="A145" s="27">
        <f>IFERROR(__xludf.DUMMYFUNCTION("""COMPUTED_VALUE"""),144.0)</f>
        <v>144</v>
      </c>
      <c r="B145" s="28" t="str">
        <f>IFERROR(__xludf.DUMMYFUNCTION("""COMPUTED_VALUE"""),"REVALINA INTAN PARAMITA")</f>
        <v>REVALINA INTAN PARAMITA</v>
      </c>
      <c r="C145" s="28">
        <f>IFERROR(__xludf.DUMMYFUNCTION("""COMPUTED_VALUE"""),2.025070201E9)</f>
        <v>2025070201</v>
      </c>
      <c r="D145" s="28" t="str">
        <f>IFERROR(__xludf.DUMMYFUNCTION("""COMPUTED_VALUE"""),"MARUWAN")</f>
        <v>MARUWAN</v>
      </c>
      <c r="E145" s="28" t="str">
        <f>IFERROR(__xludf.DUMMYFUNCTION("""COMPUTED_VALUE"""),"SUMARNI")</f>
        <v>SUMARNI</v>
      </c>
      <c r="F145" s="28" t="str">
        <f>IFERROR(__xludf.DUMMYFUNCTION("""COMPUTED_VALUE"""),"PLOSOLEBAK TAMBAKPLOSO RT 015 RW 003 TURI LAMONGAN")</f>
        <v>PLOSOLEBAK TAMBAKPLOSO RT 015 RW 003 TURI LAMONGAN</v>
      </c>
      <c r="G145" s="28" t="str">
        <f>IFERROR(__xludf.DUMMYFUNCTION("""COMPUTED_VALUE"""),"MA-XI.4")</f>
        <v>MA-XI.4</v>
      </c>
      <c r="H145" s="28" t="str">
        <f>IFERROR(__xludf.DUMMYFUNCTION("""COMPUTED_VALUE"""),"B")</f>
        <v>B</v>
      </c>
      <c r="I145" s="28" t="str">
        <f>IFERROR(__xludf.DUMMYFUNCTION("""COMPUTED_VALUE"""),"B-10")</f>
        <v>B-10</v>
      </c>
      <c r="J145" s="28">
        <f>IFERROR(__xludf.DUMMYFUNCTION("""COMPUTED_VALUE"""),2.0)</f>
        <v>2</v>
      </c>
      <c r="K145" s="28" t="str">
        <f>IFERROR(__xludf.DUMMYFUNCTION("""COMPUTED_VALUE"""),"2 WUSTHO C PUTRI")</f>
        <v>2 WUSTHO C PUTRI</v>
      </c>
      <c r="L145" s="29" t="str">
        <f>IFERROR(__xludf.DUMMYFUNCTION("""COMPUTED_VALUE"""),"6285806977954")</f>
        <v>6285806977954</v>
      </c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2">
        <f>IFERROR(__xludf.DUMMYFUNCTION("""COMPUTED_VALUE"""),450000.0)</f>
        <v>450000</v>
      </c>
      <c r="Y145" s="22">
        <f>IFERROR(__xludf.DUMMYFUNCTION("""COMPUTED_VALUE"""),450000.0)</f>
        <v>450000</v>
      </c>
      <c r="Z145" s="22">
        <f>IFERROR(__xludf.DUMMYFUNCTION("""COMPUTED_VALUE"""),450000.0)</f>
        <v>450000</v>
      </c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2">
        <f>IFERROR(__xludf.DUMMYFUNCTION("""COMPUTED_VALUE"""),1350000.0)</f>
        <v>1350000</v>
      </c>
      <c r="BD145" s="22">
        <f>IFERROR(__xludf.DUMMYFUNCTION("""COMPUTED_VALUE"""),0.0)</f>
        <v>0</v>
      </c>
      <c r="BE145" s="22">
        <f>IFERROR(__xludf.DUMMYFUNCTION("""COMPUTED_VALUE"""),0.0)</f>
        <v>0</v>
      </c>
      <c r="BF145" s="22">
        <f>IFERROR(__xludf.DUMMYFUNCTION("""COMPUTED_VALUE"""),1350000.0)</f>
        <v>1350000</v>
      </c>
    </row>
    <row r="146">
      <c r="A146" s="27">
        <f>IFERROR(__xludf.DUMMYFUNCTION("""COMPUTED_VALUE"""),145.0)</f>
        <v>145</v>
      </c>
      <c r="B146" s="28" t="str">
        <f>IFERROR(__xludf.DUMMYFUNCTION("""COMPUTED_VALUE"""),"SEKAR AYU WARDHANI")</f>
        <v>SEKAR AYU WARDHANI</v>
      </c>
      <c r="C146" s="28">
        <f>IFERROR(__xludf.DUMMYFUNCTION("""COMPUTED_VALUE"""),2.025070475E9)</f>
        <v>2025070475</v>
      </c>
      <c r="D146" s="28" t="str">
        <f>IFERROR(__xludf.DUMMYFUNCTION("""COMPUTED_VALUE"""),"SAINULLAH")</f>
        <v>SAINULLAH</v>
      </c>
      <c r="E146" s="28" t="str">
        <f>IFERROR(__xludf.DUMMYFUNCTION("""COMPUTED_VALUE"""),"IIS HUSNAWATI")</f>
        <v>IIS HUSNAWATI</v>
      </c>
      <c r="F146" s="28" t="str">
        <f>IFERROR(__xludf.DUMMYFUNCTION("""COMPUTED_VALUE"""),"BARON RT 004 RW 002 DUKUN GRESIK")</f>
        <v>BARON RT 004 RW 002 DUKUN GRESIK</v>
      </c>
      <c r="G146" s="28" t="str">
        <f>IFERROR(__xludf.DUMMYFUNCTION("""COMPUTED_VALUE"""),"SMP-VIII A")</f>
        <v>SMP-VIII A</v>
      </c>
      <c r="H146" s="28" t="str">
        <f>IFERROR(__xludf.DUMMYFUNCTION("""COMPUTED_VALUE"""),"B")</f>
        <v>B</v>
      </c>
      <c r="I146" s="28" t="str">
        <f>IFERROR(__xludf.DUMMYFUNCTION("""COMPUTED_VALUE"""),"B-3")</f>
        <v>B-3</v>
      </c>
      <c r="J146" s="28">
        <f>IFERROR(__xludf.DUMMYFUNCTION("""COMPUTED_VALUE"""),2.0)</f>
        <v>2</v>
      </c>
      <c r="K146" s="28" t="str">
        <f>IFERROR(__xludf.DUMMYFUNCTION("""COMPUTED_VALUE"""),"2 ULA B PUTRI")</f>
        <v>2 ULA B PUTRI</v>
      </c>
      <c r="L146" s="29" t="str">
        <f>IFERROR(__xludf.DUMMYFUNCTION("""COMPUTED_VALUE"""),"6282338115599")</f>
        <v>6282338115599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2">
        <f>IFERROR(__xludf.DUMMYFUNCTION("""COMPUTED_VALUE"""),500000.0)</f>
        <v>500000</v>
      </c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2">
        <f>IFERROR(__xludf.DUMMYFUNCTION("""COMPUTED_VALUE"""),500000.0)</f>
        <v>500000</v>
      </c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2">
        <f>IFERROR(__xludf.DUMMYFUNCTION("""COMPUTED_VALUE"""),0.0)</f>
        <v>0</v>
      </c>
      <c r="BD146" s="22">
        <f>IFERROR(__xludf.DUMMYFUNCTION("""COMPUTED_VALUE"""),1000000.0)</f>
        <v>1000000</v>
      </c>
      <c r="BE146" s="22">
        <f>IFERROR(__xludf.DUMMYFUNCTION("""COMPUTED_VALUE"""),0.0)</f>
        <v>0</v>
      </c>
      <c r="BF146" s="22">
        <f>IFERROR(__xludf.DUMMYFUNCTION("""COMPUTED_VALUE"""),1000000.0)</f>
        <v>1000000</v>
      </c>
    </row>
    <row r="147">
      <c r="A147" s="27">
        <f>IFERROR(__xludf.DUMMYFUNCTION("""COMPUTED_VALUE"""),146.0)</f>
        <v>146</v>
      </c>
      <c r="B147" s="28" t="str">
        <f>IFERROR(__xludf.DUMMYFUNCTION("""COMPUTED_VALUE"""),"SEVANI CHINTIA ANGELIA")</f>
        <v>SEVANI CHINTIA ANGELIA</v>
      </c>
      <c r="C147" s="28">
        <f>IFERROR(__xludf.DUMMYFUNCTION("""COMPUTED_VALUE"""),2.025070533E9)</f>
        <v>2025070533</v>
      </c>
      <c r="D147" s="28" t="str">
        <f>IFERROR(__xludf.DUMMYFUNCTION("""COMPUTED_VALUE"""),"RIEKY WAHYU HERMAWAN")</f>
        <v>RIEKY WAHYU HERMAWAN</v>
      </c>
      <c r="E147" s="28" t="str">
        <f>IFERROR(__xludf.DUMMYFUNCTION("""COMPUTED_VALUE"""),"ROMLAWATI")</f>
        <v>ROMLAWATI</v>
      </c>
      <c r="F147" s="28" t="str">
        <f>IFERROR(__xludf.DUMMYFUNCTION("""COMPUTED_VALUE"""),"GORAME BADURAME RT 001 RW 003 TURI LAMONGAN")</f>
        <v>GORAME BADURAME RT 001 RW 003 TURI LAMONGAN</v>
      </c>
      <c r="G147" s="28" t="str">
        <f>IFERROR(__xludf.DUMMYFUNCTION("""COMPUTED_VALUE"""),"MTS-8 F")</f>
        <v>MTS-8 F</v>
      </c>
      <c r="H147" s="28" t="str">
        <f>IFERROR(__xludf.DUMMYFUNCTION("""COMPUTED_VALUE"""),"B")</f>
        <v>B</v>
      </c>
      <c r="I147" s="28" t="str">
        <f>IFERROR(__xludf.DUMMYFUNCTION("""COMPUTED_VALUE"""),"B-2")</f>
        <v>B-2</v>
      </c>
      <c r="J147" s="28">
        <f>IFERROR(__xludf.DUMMYFUNCTION("""COMPUTED_VALUE"""),2.0)</f>
        <v>2</v>
      </c>
      <c r="K147" s="28" t="str">
        <f>IFERROR(__xludf.DUMMYFUNCTION("""COMPUTED_VALUE"""),"2 ULA C PUTRI")</f>
        <v>2 ULA C PUTRI</v>
      </c>
      <c r="L147" s="29" t="str">
        <f>IFERROR(__xludf.DUMMYFUNCTION("""COMPUTED_VALUE"""),"6285859644980")</f>
        <v>6285859644980</v>
      </c>
      <c r="M147" s="28"/>
      <c r="N147" s="28"/>
      <c r="O147" s="28"/>
      <c r="P147" s="28"/>
      <c r="Q147" s="28"/>
      <c r="R147" s="28"/>
      <c r="S147" s="28"/>
      <c r="T147" s="22">
        <f>IFERROR(__xludf.DUMMYFUNCTION("""COMPUTED_VALUE"""),450000.0)</f>
        <v>450000</v>
      </c>
      <c r="U147" s="22">
        <f>IFERROR(__xludf.DUMMYFUNCTION("""COMPUTED_VALUE"""),450000.0)</f>
        <v>450000</v>
      </c>
      <c r="V147" s="22">
        <f>IFERROR(__xludf.DUMMYFUNCTION("""COMPUTED_VALUE"""),450000.0)</f>
        <v>450000</v>
      </c>
      <c r="W147" s="22">
        <f>IFERROR(__xludf.DUMMYFUNCTION("""COMPUTED_VALUE"""),450000.0)</f>
        <v>450000</v>
      </c>
      <c r="X147" s="22">
        <f>IFERROR(__xludf.DUMMYFUNCTION("""COMPUTED_VALUE"""),450000.0)</f>
        <v>450000</v>
      </c>
      <c r="Y147" s="22">
        <f>IFERROR(__xludf.DUMMYFUNCTION("""COMPUTED_VALUE"""),450000.0)</f>
        <v>450000</v>
      </c>
      <c r="Z147" s="22">
        <f>IFERROR(__xludf.DUMMYFUNCTION("""COMPUTED_VALUE"""),450000.0)</f>
        <v>450000</v>
      </c>
      <c r="AA147" s="28"/>
      <c r="AB147" s="22">
        <f>IFERROR(__xludf.DUMMYFUNCTION("""COMPUTED_VALUE"""),500000.0)</f>
        <v>500000</v>
      </c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2">
        <f>IFERROR(__xludf.DUMMYFUNCTION("""COMPUTED_VALUE"""),500000.0)</f>
        <v>500000</v>
      </c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2">
        <f>IFERROR(__xludf.DUMMYFUNCTION("""COMPUTED_VALUE"""),3150000.0)</f>
        <v>3150000</v>
      </c>
      <c r="BD147" s="22">
        <f>IFERROR(__xludf.DUMMYFUNCTION("""COMPUTED_VALUE"""),1000000.0)</f>
        <v>1000000</v>
      </c>
      <c r="BE147" s="22">
        <f>IFERROR(__xludf.DUMMYFUNCTION("""COMPUTED_VALUE"""),0.0)</f>
        <v>0</v>
      </c>
      <c r="BF147" s="22">
        <f>IFERROR(__xludf.DUMMYFUNCTION("""COMPUTED_VALUE"""),4150000.0)</f>
        <v>4150000</v>
      </c>
    </row>
    <row r="148">
      <c r="A148" s="27">
        <f>IFERROR(__xludf.DUMMYFUNCTION("""COMPUTED_VALUE"""),147.0)</f>
        <v>147</v>
      </c>
      <c r="B148" s="28" t="str">
        <f>IFERROR(__xludf.DUMMYFUNCTION("""COMPUTED_VALUE"""),"SHABRINA RAHMADANI")</f>
        <v>SHABRINA RAHMADANI</v>
      </c>
      <c r="C148" s="28">
        <f>IFERROR(__xludf.DUMMYFUNCTION("""COMPUTED_VALUE"""),2.025070091E9)</f>
        <v>2025070091</v>
      </c>
      <c r="D148" s="28" t="str">
        <f>IFERROR(__xludf.DUMMYFUNCTION("""COMPUTED_VALUE"""),"SULIANTO")</f>
        <v>SULIANTO</v>
      </c>
      <c r="E148" s="28" t="str">
        <f>IFERROR(__xludf.DUMMYFUNCTION("""COMPUTED_VALUE"""),"SUKINI")</f>
        <v>SUKINI</v>
      </c>
      <c r="F148" s="28" t="str">
        <f>IFERROR(__xludf.DUMMYFUNCTION("""COMPUTED_VALUE"""),"SUDIMORO MENDOGO RT 002 RW 001 GLAGAH LAMONGAN")</f>
        <v>SUDIMORO MENDOGO RT 002 RW 001 GLAGAH LAMONGAN</v>
      </c>
      <c r="G148" s="28" t="str">
        <f>IFERROR(__xludf.DUMMYFUNCTION("""COMPUTED_VALUE"""),"MA-XI.10")</f>
        <v>MA-XI.10</v>
      </c>
      <c r="H148" s="28" t="str">
        <f>IFERROR(__xludf.DUMMYFUNCTION("""COMPUTED_VALUE"""),"B")</f>
        <v>B</v>
      </c>
      <c r="I148" s="28" t="str">
        <f>IFERROR(__xludf.DUMMYFUNCTION("""COMPUTED_VALUE"""),"B-1")</f>
        <v>B-1</v>
      </c>
      <c r="J148" s="28">
        <f>IFERROR(__xludf.DUMMYFUNCTION("""COMPUTED_VALUE"""),2.0)</f>
        <v>2</v>
      </c>
      <c r="K148" s="28" t="str">
        <f>IFERROR(__xludf.DUMMYFUNCTION("""COMPUTED_VALUE"""),"2 WUSTHO B PUTRI")</f>
        <v>2 WUSTHO B PUTRI</v>
      </c>
      <c r="L148" s="29" t="str">
        <f>IFERROR(__xludf.DUMMYFUNCTION("""COMPUTED_VALUE"""),"6285831478645")</f>
        <v>6285831478645</v>
      </c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2">
        <f>IFERROR(__xludf.DUMMYFUNCTION("""COMPUTED_VALUE"""),500000.0)</f>
        <v>500000</v>
      </c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2">
        <f>IFERROR(__xludf.DUMMYFUNCTION("""COMPUTED_VALUE"""),0.0)</f>
        <v>0</v>
      </c>
      <c r="BD148" s="22">
        <f>IFERROR(__xludf.DUMMYFUNCTION("""COMPUTED_VALUE"""),500000.0)</f>
        <v>500000</v>
      </c>
      <c r="BE148" s="22">
        <f>IFERROR(__xludf.DUMMYFUNCTION("""COMPUTED_VALUE"""),0.0)</f>
        <v>0</v>
      </c>
      <c r="BF148" s="22">
        <f>IFERROR(__xludf.DUMMYFUNCTION("""COMPUTED_VALUE"""),500000.0)</f>
        <v>500000</v>
      </c>
    </row>
    <row r="149">
      <c r="A149" s="27">
        <f>IFERROR(__xludf.DUMMYFUNCTION("""COMPUTED_VALUE"""),148.0)</f>
        <v>148</v>
      </c>
      <c r="B149" s="28" t="str">
        <f>IFERROR(__xludf.DUMMYFUNCTION("""COMPUTED_VALUE"""),"SHOFIYATUN NISA`")</f>
        <v>SHOFIYATUN NISA`</v>
      </c>
      <c r="C149" s="28">
        <f>IFERROR(__xludf.DUMMYFUNCTION("""COMPUTED_VALUE"""),2.025070477E9)</f>
        <v>2025070477</v>
      </c>
      <c r="D149" s="28" t="str">
        <f>IFERROR(__xludf.DUMMYFUNCTION("""COMPUTED_VALUE"""),"SUNAIN")</f>
        <v>SUNAIN</v>
      </c>
      <c r="E149" s="28" t="str">
        <f>IFERROR(__xludf.DUMMYFUNCTION("""COMPUTED_VALUE"""),"MAZROATUL AKHIROH")</f>
        <v>MAZROATUL AKHIROH</v>
      </c>
      <c r="F149" s="28" t="str">
        <f>IFERROR(__xludf.DUMMYFUNCTION("""COMPUTED_VALUE"""),"BARON RT 006 RW 003 DUKUN GRESIK")</f>
        <v>BARON RT 006 RW 003 DUKUN GRESIK</v>
      </c>
      <c r="G149" s="28" t="str">
        <f>IFERROR(__xludf.DUMMYFUNCTION("""COMPUTED_VALUE"""),"SMP-VIII B")</f>
        <v>SMP-VIII B</v>
      </c>
      <c r="H149" s="28" t="str">
        <f>IFERROR(__xludf.DUMMYFUNCTION("""COMPUTED_VALUE"""),"B")</f>
        <v>B</v>
      </c>
      <c r="I149" s="28" t="str">
        <f>IFERROR(__xludf.DUMMYFUNCTION("""COMPUTED_VALUE"""),"B-10")</f>
        <v>B-10</v>
      </c>
      <c r="J149" s="28">
        <f>IFERROR(__xludf.DUMMYFUNCTION("""COMPUTED_VALUE"""),2.0)</f>
        <v>2</v>
      </c>
      <c r="K149" s="28" t="str">
        <f>IFERROR(__xludf.DUMMYFUNCTION("""COMPUTED_VALUE"""),"2 ULA B PUTRI")</f>
        <v>2 ULA B PUTRI</v>
      </c>
      <c r="L149" s="29" t="str">
        <f>IFERROR(__xludf.DUMMYFUNCTION("""COMPUTED_VALUE"""),"6287853490818")</f>
        <v>6287853490818</v>
      </c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2">
        <f>IFERROR(__xludf.DUMMYFUNCTION("""COMPUTED_VALUE"""),500000.0)</f>
        <v>500000</v>
      </c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2">
        <f>IFERROR(__xludf.DUMMYFUNCTION("""COMPUTED_VALUE"""),0.0)</f>
        <v>0</v>
      </c>
      <c r="BD149" s="22">
        <f>IFERROR(__xludf.DUMMYFUNCTION("""COMPUTED_VALUE"""),500000.0)</f>
        <v>500000</v>
      </c>
      <c r="BE149" s="22">
        <f>IFERROR(__xludf.DUMMYFUNCTION("""COMPUTED_VALUE"""),0.0)</f>
        <v>0</v>
      </c>
      <c r="BF149" s="22">
        <f>IFERROR(__xludf.DUMMYFUNCTION("""COMPUTED_VALUE"""),500000.0)</f>
        <v>500000</v>
      </c>
    </row>
    <row r="150">
      <c r="A150" s="27">
        <f>IFERROR(__xludf.DUMMYFUNCTION("""COMPUTED_VALUE"""),149.0)</f>
        <v>149</v>
      </c>
      <c r="B150" s="28" t="str">
        <f>IFERROR(__xludf.DUMMYFUNCTION("""COMPUTED_VALUE"""),"SYAIDATUN MAULIDIYA MUNAWAROH")</f>
        <v>SYAIDATUN MAULIDIYA MUNAWAROH</v>
      </c>
      <c r="C150" s="28">
        <f>IFERROR(__xludf.DUMMYFUNCTION("""COMPUTED_VALUE"""),2.02507047E9)</f>
        <v>2025070470</v>
      </c>
      <c r="D150" s="28" t="str">
        <f>IFERROR(__xludf.DUMMYFUNCTION("""COMPUTED_VALUE"""),"KARTO")</f>
        <v>KARTO</v>
      </c>
      <c r="E150" s="28" t="str">
        <f>IFERROR(__xludf.DUMMYFUNCTION("""COMPUTED_VALUE"""),"WATINI DWI LESTARI")</f>
        <v>WATINI DWI LESTARI</v>
      </c>
      <c r="F150" s="28" t="str">
        <f>IFERROR(__xludf.DUMMYFUNCTION("""COMPUTED_VALUE"""),"KALITENGAH SOKO RT 001 RW 007 TIKUNG LAMONGAN")</f>
        <v>KALITENGAH SOKO RT 001 RW 007 TIKUNG LAMONGAN</v>
      </c>
      <c r="G150" s="28" t="str">
        <f>IFERROR(__xludf.DUMMYFUNCTION("""COMPUTED_VALUE"""),"SMP-VIII C")</f>
        <v>SMP-VIII C</v>
      </c>
      <c r="H150" s="28" t="str">
        <f>IFERROR(__xludf.DUMMYFUNCTION("""COMPUTED_VALUE"""),"B")</f>
        <v>B</v>
      </c>
      <c r="I150" s="28" t="str">
        <f>IFERROR(__xludf.DUMMYFUNCTION("""COMPUTED_VALUE"""),"B-3")</f>
        <v>B-3</v>
      </c>
      <c r="J150" s="28">
        <f>IFERROR(__xludf.DUMMYFUNCTION("""COMPUTED_VALUE"""),2.0)</f>
        <v>2</v>
      </c>
      <c r="K150" s="28" t="str">
        <f>IFERROR(__xludf.DUMMYFUNCTION("""COMPUTED_VALUE"""),"2 ULA A PUTRI")</f>
        <v>2 ULA A PUTRI</v>
      </c>
      <c r="L150" s="29" t="str">
        <f>IFERROR(__xludf.DUMMYFUNCTION("""COMPUTED_VALUE"""),"6285604924379")</f>
        <v>6285604924379</v>
      </c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2">
        <f>IFERROR(__xludf.DUMMYFUNCTION("""COMPUTED_VALUE"""),500000.0)</f>
        <v>500000</v>
      </c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2">
        <f>IFERROR(__xludf.DUMMYFUNCTION("""COMPUTED_VALUE"""),0.0)</f>
        <v>0</v>
      </c>
      <c r="BD150" s="22">
        <f>IFERROR(__xludf.DUMMYFUNCTION("""COMPUTED_VALUE"""),500000.0)</f>
        <v>500000</v>
      </c>
      <c r="BE150" s="22">
        <f>IFERROR(__xludf.DUMMYFUNCTION("""COMPUTED_VALUE"""),0.0)</f>
        <v>0</v>
      </c>
      <c r="BF150" s="22">
        <f>IFERROR(__xludf.DUMMYFUNCTION("""COMPUTED_VALUE"""),500000.0)</f>
        <v>500000</v>
      </c>
    </row>
    <row r="151">
      <c r="A151" s="27">
        <f>IFERROR(__xludf.DUMMYFUNCTION("""COMPUTED_VALUE"""),150.0)</f>
        <v>150</v>
      </c>
      <c r="B151" s="28" t="str">
        <f>IFERROR(__xludf.DUMMYFUNCTION("""COMPUTED_VALUE"""),"SYAKILA RAMADHANI")</f>
        <v>SYAKILA RAMADHANI</v>
      </c>
      <c r="C151" s="28">
        <f>IFERROR(__xludf.DUMMYFUNCTION("""COMPUTED_VALUE"""),2.02507037E9)</f>
        <v>2025070370</v>
      </c>
      <c r="D151" s="28" t="str">
        <f>IFERROR(__xludf.DUMMYFUNCTION("""COMPUTED_VALUE"""),"CHAIRUL ANAM")</f>
        <v>CHAIRUL ANAM</v>
      </c>
      <c r="E151" s="28" t="str">
        <f>IFERROR(__xludf.DUMMYFUNCTION("""COMPUTED_VALUE"""),"MASFUFAH")</f>
        <v>MASFUFAH</v>
      </c>
      <c r="F151" s="28" t="str">
        <f>IFERROR(__xludf.DUMMYFUNCTION("""COMPUTED_VALUE"""),"TUNJUNGMEKAR RT 002 RW 004 KALITENGAH LAMONGAN")</f>
        <v>TUNJUNGMEKAR RT 002 RW 004 KALITENGAH LAMONGAN</v>
      </c>
      <c r="G151" s="28" t="str">
        <f>IFERROR(__xludf.DUMMYFUNCTION("""COMPUTED_VALUE"""),"MA-XI.8")</f>
        <v>MA-XI.8</v>
      </c>
      <c r="H151" s="28" t="str">
        <f>IFERROR(__xludf.DUMMYFUNCTION("""COMPUTED_VALUE"""),"B")</f>
        <v>B</v>
      </c>
      <c r="I151" s="28" t="str">
        <f>IFERROR(__xludf.DUMMYFUNCTION("""COMPUTED_VALUE"""),"B-1")</f>
        <v>B-1</v>
      </c>
      <c r="J151" s="28">
        <f>IFERROR(__xludf.DUMMYFUNCTION("""COMPUTED_VALUE"""),2.0)</f>
        <v>2</v>
      </c>
      <c r="K151" s="28" t="str">
        <f>IFERROR(__xludf.DUMMYFUNCTION("""COMPUTED_VALUE"""),"2 WUSTHO C PUTRI")</f>
        <v>2 WUSTHO C PUTRI</v>
      </c>
      <c r="L151" s="29" t="str">
        <f>IFERROR(__xludf.DUMMYFUNCTION("""COMPUTED_VALUE"""),"6285536376619")</f>
        <v>6285536376619</v>
      </c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2">
        <f>IFERROR(__xludf.DUMMYFUNCTION("""COMPUTED_VALUE"""),450000.0)</f>
        <v>450000</v>
      </c>
      <c r="AA151" s="28"/>
      <c r="AB151" s="22">
        <f>IFERROR(__xludf.DUMMYFUNCTION("""COMPUTED_VALUE"""),500000.0)</f>
        <v>500000</v>
      </c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2">
        <f>IFERROR(__xludf.DUMMYFUNCTION("""COMPUTED_VALUE"""),500000.0)</f>
        <v>500000</v>
      </c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2">
        <f>IFERROR(__xludf.DUMMYFUNCTION("""COMPUTED_VALUE"""),450000.0)</f>
        <v>450000</v>
      </c>
      <c r="BD151" s="22">
        <f>IFERROR(__xludf.DUMMYFUNCTION("""COMPUTED_VALUE"""),1000000.0)</f>
        <v>1000000</v>
      </c>
      <c r="BE151" s="22">
        <f>IFERROR(__xludf.DUMMYFUNCTION("""COMPUTED_VALUE"""),0.0)</f>
        <v>0</v>
      </c>
      <c r="BF151" s="22">
        <f>IFERROR(__xludf.DUMMYFUNCTION("""COMPUTED_VALUE"""),1450000.0)</f>
        <v>1450000</v>
      </c>
    </row>
    <row r="152">
      <c r="A152" s="27">
        <f>IFERROR(__xludf.DUMMYFUNCTION("""COMPUTED_VALUE"""),151.0)</f>
        <v>151</v>
      </c>
      <c r="B152" s="28" t="str">
        <f>IFERROR(__xludf.DUMMYFUNCTION("""COMPUTED_VALUE"""),"SYARIFA ZUHRIYAH")</f>
        <v>SYARIFA ZUHRIYAH</v>
      </c>
      <c r="C152" s="28">
        <f>IFERROR(__xludf.DUMMYFUNCTION("""COMPUTED_VALUE"""),2.025070473E9)</f>
        <v>2025070473</v>
      </c>
      <c r="D152" s="28" t="str">
        <f>IFERROR(__xludf.DUMMYFUNCTION("""COMPUTED_VALUE"""),"KISWADI")</f>
        <v>KISWADI</v>
      </c>
      <c r="E152" s="28" t="str">
        <f>IFERROR(__xludf.DUMMYFUNCTION("""COMPUTED_VALUE"""),"SITI ZUMAEROH")</f>
        <v>SITI ZUMAEROH</v>
      </c>
      <c r="F152" s="28" t="str">
        <f>IFERROR(__xludf.DUMMYFUNCTION("""COMPUTED_VALUE"""),"KEDIREN RT 003 RW 002 KALITENGAH LAMONGAN")</f>
        <v>KEDIREN RT 003 RW 002 KALITENGAH LAMONGAN</v>
      </c>
      <c r="G152" s="28" t="str">
        <f>IFERROR(__xludf.DUMMYFUNCTION("""COMPUTED_VALUE"""),"SMP-VIII A")</f>
        <v>SMP-VIII A</v>
      </c>
      <c r="H152" s="28" t="str">
        <f>IFERROR(__xludf.DUMMYFUNCTION("""COMPUTED_VALUE"""),"B")</f>
        <v>B</v>
      </c>
      <c r="I152" s="28" t="str">
        <f>IFERROR(__xludf.DUMMYFUNCTION("""COMPUTED_VALUE"""),"B-3")</f>
        <v>B-3</v>
      </c>
      <c r="J152" s="28">
        <f>IFERROR(__xludf.DUMMYFUNCTION("""COMPUTED_VALUE"""),2.0)</f>
        <v>2</v>
      </c>
      <c r="K152" s="28" t="str">
        <f>IFERROR(__xludf.DUMMYFUNCTION("""COMPUTED_VALUE"""),"2 ULA A PUTRI")</f>
        <v>2 ULA A PUTRI</v>
      </c>
      <c r="L152" s="29" t="str">
        <f>IFERROR(__xludf.DUMMYFUNCTION("""COMPUTED_VALUE"""),"6285739096483")</f>
        <v>6285739096483</v>
      </c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2">
        <f>IFERROR(__xludf.DUMMYFUNCTION("""COMPUTED_VALUE"""),500000.0)</f>
        <v>500000</v>
      </c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2">
        <f>IFERROR(__xludf.DUMMYFUNCTION("""COMPUTED_VALUE"""),500000.0)</f>
        <v>500000</v>
      </c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2">
        <f>IFERROR(__xludf.DUMMYFUNCTION("""COMPUTED_VALUE"""),0.0)</f>
        <v>0</v>
      </c>
      <c r="BD152" s="22">
        <f>IFERROR(__xludf.DUMMYFUNCTION("""COMPUTED_VALUE"""),1000000.0)</f>
        <v>1000000</v>
      </c>
      <c r="BE152" s="22">
        <f>IFERROR(__xludf.DUMMYFUNCTION("""COMPUTED_VALUE"""),0.0)</f>
        <v>0</v>
      </c>
      <c r="BF152" s="22">
        <f>IFERROR(__xludf.DUMMYFUNCTION("""COMPUTED_VALUE"""),1000000.0)</f>
        <v>1000000</v>
      </c>
    </row>
    <row r="153">
      <c r="A153" s="27">
        <f>IFERROR(__xludf.DUMMYFUNCTION("""COMPUTED_VALUE"""),152.0)</f>
        <v>152</v>
      </c>
      <c r="B153" s="28" t="str">
        <f>IFERROR(__xludf.DUMMYFUNCTION("""COMPUTED_VALUE"""),"THEA CLARESTA")</f>
        <v>THEA CLARESTA</v>
      </c>
      <c r="C153" s="28">
        <f>IFERROR(__xludf.DUMMYFUNCTION("""COMPUTED_VALUE"""),2.025070545E9)</f>
        <v>2025070545</v>
      </c>
      <c r="D153" s="28" t="str">
        <f>IFERROR(__xludf.DUMMYFUNCTION("""COMPUTED_VALUE"""),"SISWANTO")</f>
        <v>SISWANTO</v>
      </c>
      <c r="E153" s="28" t="str">
        <f>IFERROR(__xludf.DUMMYFUNCTION("""COMPUTED_VALUE"""),"DWI KRISTINA")</f>
        <v>DWI KRISTINA</v>
      </c>
      <c r="F153" s="28" t="str">
        <f>IFERROR(__xludf.DUMMYFUNCTION("""COMPUTED_VALUE"""),"BUCUKIDUL MENGANTI RT 004 RW 001 GLAGAH LAMONGAN")</f>
        <v>BUCUKIDUL MENGANTI RT 004 RW 001 GLAGAH LAMONGAN</v>
      </c>
      <c r="G153" s="28" t="str">
        <f>IFERROR(__xludf.DUMMYFUNCTION("""COMPUTED_VALUE"""),"MTS-8 C")</f>
        <v>MTS-8 C</v>
      </c>
      <c r="H153" s="28" t="str">
        <f>IFERROR(__xludf.DUMMYFUNCTION("""COMPUTED_VALUE"""),"B")</f>
        <v>B</v>
      </c>
      <c r="I153" s="28" t="str">
        <f>IFERROR(__xludf.DUMMYFUNCTION("""COMPUTED_VALUE"""),"B-2")</f>
        <v>B-2</v>
      </c>
      <c r="J153" s="28">
        <f>IFERROR(__xludf.DUMMYFUNCTION("""COMPUTED_VALUE"""),2.0)</f>
        <v>2</v>
      </c>
      <c r="K153" s="28" t="str">
        <f>IFERROR(__xludf.DUMMYFUNCTION("""COMPUTED_VALUE"""),"2 ULA C PUTRI")</f>
        <v>2 ULA C PUTRI</v>
      </c>
      <c r="L153" s="29" t="str">
        <f>IFERROR(__xludf.DUMMYFUNCTION("""COMPUTED_VALUE"""),"6285806503341")</f>
        <v>6285806503341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2">
        <f>IFERROR(__xludf.DUMMYFUNCTION("""COMPUTED_VALUE"""),450000.0)</f>
        <v>450000</v>
      </c>
      <c r="Z153" s="22">
        <f>IFERROR(__xludf.DUMMYFUNCTION("""COMPUTED_VALUE"""),450000.0)</f>
        <v>450000</v>
      </c>
      <c r="AA153" s="28"/>
      <c r="AB153" s="22">
        <f>IFERROR(__xludf.DUMMYFUNCTION("""COMPUTED_VALUE"""),500000.0)</f>
        <v>500000</v>
      </c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2">
        <f>IFERROR(__xludf.DUMMYFUNCTION("""COMPUTED_VALUE"""),500000.0)</f>
        <v>500000</v>
      </c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2">
        <f>IFERROR(__xludf.DUMMYFUNCTION("""COMPUTED_VALUE"""),900000.0)</f>
        <v>900000</v>
      </c>
      <c r="BD153" s="22">
        <f>IFERROR(__xludf.DUMMYFUNCTION("""COMPUTED_VALUE"""),1000000.0)</f>
        <v>1000000</v>
      </c>
      <c r="BE153" s="22">
        <f>IFERROR(__xludf.DUMMYFUNCTION("""COMPUTED_VALUE"""),0.0)</f>
        <v>0</v>
      </c>
      <c r="BF153" s="22">
        <f>IFERROR(__xludf.DUMMYFUNCTION("""COMPUTED_VALUE"""),1900000.0)</f>
        <v>1900000</v>
      </c>
    </row>
    <row r="154">
      <c r="A154" s="27">
        <f>IFERROR(__xludf.DUMMYFUNCTION("""COMPUTED_VALUE"""),153.0)</f>
        <v>153</v>
      </c>
      <c r="B154" s="28" t="str">
        <f>IFERROR(__xludf.DUMMYFUNCTION("""COMPUTED_VALUE"""),"TITIN NUR MAULIDIA")</f>
        <v>TITIN NUR MAULIDIA</v>
      </c>
      <c r="C154" s="28">
        <f>IFERROR(__xludf.DUMMYFUNCTION("""COMPUTED_VALUE"""),2.025070621E9)</f>
        <v>2025070621</v>
      </c>
      <c r="D154" s="28" t="str">
        <f>IFERROR(__xludf.DUMMYFUNCTION("""COMPUTED_VALUE"""),"ALI AFANDI")</f>
        <v>ALI AFANDI</v>
      </c>
      <c r="E154" s="28" t="str">
        <f>IFERROR(__xludf.DUMMYFUNCTION("""COMPUTED_VALUE"""),"PIYATI")</f>
        <v>PIYATI</v>
      </c>
      <c r="F154" s="28" t="str">
        <f>IFERROR(__xludf.DUMMYFUNCTION("""COMPUTED_VALUE"""),"RANGKAH NGUJUNGREJO RT 011 RW 005 TURI LAMONGAN")</f>
        <v>RANGKAH NGUJUNGREJO RT 011 RW 005 TURI LAMONGAN</v>
      </c>
      <c r="G154" s="28" t="str">
        <f>IFERROR(__xludf.DUMMYFUNCTION("""COMPUTED_VALUE"""),"MTS-8 F")</f>
        <v>MTS-8 F</v>
      </c>
      <c r="H154" s="28" t="str">
        <f>IFERROR(__xludf.DUMMYFUNCTION("""COMPUTED_VALUE"""),"B")</f>
        <v>B</v>
      </c>
      <c r="I154" s="28" t="str">
        <f>IFERROR(__xludf.DUMMYFUNCTION("""COMPUTED_VALUE"""),"B-2")</f>
        <v>B-2</v>
      </c>
      <c r="J154" s="28">
        <f>IFERROR(__xludf.DUMMYFUNCTION("""COMPUTED_VALUE"""),2.0)</f>
        <v>2</v>
      </c>
      <c r="K154" s="28" t="str">
        <f>IFERROR(__xludf.DUMMYFUNCTION("""COMPUTED_VALUE"""),"2 ULA B PUTRI")</f>
        <v>2 ULA B PUTRI</v>
      </c>
      <c r="L154" s="29" t="str">
        <f>IFERROR(__xludf.DUMMYFUNCTION("""COMPUTED_VALUE"""),"6285859264732")</f>
        <v>6285859264732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2">
        <f>IFERROR(__xludf.DUMMYFUNCTION("""COMPUTED_VALUE"""),500000.0)</f>
        <v>500000</v>
      </c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2">
        <f>IFERROR(__xludf.DUMMYFUNCTION("""COMPUTED_VALUE"""),500000.0)</f>
        <v>500000</v>
      </c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2">
        <f>IFERROR(__xludf.DUMMYFUNCTION("""COMPUTED_VALUE"""),0.0)</f>
        <v>0</v>
      </c>
      <c r="BD154" s="22">
        <f>IFERROR(__xludf.DUMMYFUNCTION("""COMPUTED_VALUE"""),1000000.0)</f>
        <v>1000000</v>
      </c>
      <c r="BE154" s="22">
        <f>IFERROR(__xludf.DUMMYFUNCTION("""COMPUTED_VALUE"""),0.0)</f>
        <v>0</v>
      </c>
      <c r="BF154" s="22">
        <f>IFERROR(__xludf.DUMMYFUNCTION("""COMPUTED_VALUE"""),1000000.0)</f>
        <v>1000000</v>
      </c>
    </row>
    <row r="155">
      <c r="A155" s="27">
        <f>IFERROR(__xludf.DUMMYFUNCTION("""COMPUTED_VALUE"""),154.0)</f>
        <v>154</v>
      </c>
      <c r="B155" s="28" t="str">
        <f>IFERROR(__xludf.DUMMYFUNCTION("""COMPUTED_VALUE"""),"TRIANOVA AMALIA AZ-ZAHRA")</f>
        <v>TRIANOVA AMALIA AZ-ZAHRA</v>
      </c>
      <c r="C155" s="28">
        <f>IFERROR(__xludf.DUMMYFUNCTION("""COMPUTED_VALUE"""),2.025070578E9)</f>
        <v>2025070578</v>
      </c>
      <c r="D155" s="28" t="str">
        <f>IFERROR(__xludf.DUMMYFUNCTION("""COMPUTED_VALUE"""),"ABDULLAH UBET")</f>
        <v>ABDULLAH UBET</v>
      </c>
      <c r="E155" s="28" t="str">
        <f>IFERROR(__xludf.DUMMYFUNCTION("""COMPUTED_VALUE"""),"DWI DIAH ANGGRAINI")</f>
        <v>DWI DIAH ANGGRAINI</v>
      </c>
      <c r="F155" s="28" t="str">
        <f>IFERROR(__xludf.DUMMYFUNCTION("""COMPUTED_VALUE"""),"JL. KH. A. DAHLAN GG. MAWAR MERAH II TLOGOANYAR RT 001 RW 001 LAMONGAN LAMONGAN")</f>
        <v>JL. KH. A. DAHLAN GG. MAWAR MERAH II TLOGOANYAR RT 001 RW 001 LAMONGAN LAMONGAN</v>
      </c>
      <c r="G155" s="28" t="str">
        <f>IFERROR(__xludf.DUMMYFUNCTION("""COMPUTED_VALUE"""),"MTS-8 E")</f>
        <v>MTS-8 E</v>
      </c>
      <c r="H155" s="28" t="str">
        <f>IFERROR(__xludf.DUMMYFUNCTION("""COMPUTED_VALUE"""),"B")</f>
        <v>B</v>
      </c>
      <c r="I155" s="28" t="str">
        <f>IFERROR(__xludf.DUMMYFUNCTION("""COMPUTED_VALUE"""),"B-2")</f>
        <v>B-2</v>
      </c>
      <c r="J155" s="28">
        <f>IFERROR(__xludf.DUMMYFUNCTION("""COMPUTED_VALUE"""),2.0)</f>
        <v>2</v>
      </c>
      <c r="K155" s="28" t="str">
        <f>IFERROR(__xludf.DUMMYFUNCTION("""COMPUTED_VALUE"""),"2 ULA C PUTRI")</f>
        <v>2 ULA C PUTRI</v>
      </c>
      <c r="L155" s="29" t="str">
        <f>IFERROR(__xludf.DUMMYFUNCTION("""COMPUTED_VALUE"""),"6281357970159")</f>
        <v>6281357970159</v>
      </c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2" t="str">
        <f>IFERROR(__xludf.DUMMYFUNCTION("""COMPUTED_VALUE""")," ")</f>
        <v> </v>
      </c>
      <c r="Y155" s="22">
        <f>IFERROR(__xludf.DUMMYFUNCTION("""COMPUTED_VALUE"""),450000.0)</f>
        <v>450000</v>
      </c>
      <c r="Z155" s="22">
        <f>IFERROR(__xludf.DUMMYFUNCTION("""COMPUTED_VALUE"""),450000.0)</f>
        <v>450000</v>
      </c>
      <c r="AA155" s="28"/>
      <c r="AB155" s="22">
        <f>IFERROR(__xludf.DUMMYFUNCTION("""COMPUTED_VALUE"""),500000.0)</f>
        <v>500000</v>
      </c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2">
        <f>IFERROR(__xludf.DUMMYFUNCTION("""COMPUTED_VALUE"""),500000.0)</f>
        <v>500000</v>
      </c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2">
        <f>IFERROR(__xludf.DUMMYFUNCTION("""COMPUTED_VALUE"""),900000.0)</f>
        <v>900000</v>
      </c>
      <c r="BD155" s="22">
        <f>IFERROR(__xludf.DUMMYFUNCTION("""COMPUTED_VALUE"""),1000000.0)</f>
        <v>1000000</v>
      </c>
      <c r="BE155" s="22">
        <f>IFERROR(__xludf.DUMMYFUNCTION("""COMPUTED_VALUE"""),0.0)</f>
        <v>0</v>
      </c>
      <c r="BF155" s="22">
        <f>IFERROR(__xludf.DUMMYFUNCTION("""COMPUTED_VALUE"""),1900000.0)</f>
        <v>1900000</v>
      </c>
    </row>
    <row r="156">
      <c r="A156" s="27">
        <f>IFERROR(__xludf.DUMMYFUNCTION("""COMPUTED_VALUE"""),155.0)</f>
        <v>155</v>
      </c>
      <c r="B156" s="28" t="str">
        <f>IFERROR(__xludf.DUMMYFUNCTION("""COMPUTED_VALUE"""),"ZAHRIATUL MUHIMATUN NISA`")</f>
        <v>ZAHRIATUL MUHIMATUN NISA`</v>
      </c>
      <c r="C156" s="28">
        <f>IFERROR(__xludf.DUMMYFUNCTION("""COMPUTED_VALUE"""),2.025070094E9)</f>
        <v>2025070094</v>
      </c>
      <c r="D156" s="28" t="str">
        <f>IFERROR(__xludf.DUMMYFUNCTION("""COMPUTED_VALUE"""),"MOHAMMAD ZAERI")</f>
        <v>MOHAMMAD ZAERI</v>
      </c>
      <c r="E156" s="28" t="str">
        <f>IFERROR(__xludf.DUMMYFUNCTION("""COMPUTED_VALUE"""),"ANISATUR ROSIDAH")</f>
        <v>ANISATUR ROSIDAH</v>
      </c>
      <c r="F156" s="28" t="str">
        <f>IFERROR(__xludf.DUMMYFUNCTION("""COMPUTED_VALUE"""),"RAYUNG RAYUNGGUMUK RT 003 RW 003 GLAGAH LAMONGAN")</f>
        <v>RAYUNG RAYUNGGUMUK RT 003 RW 003 GLAGAH LAMONGAN</v>
      </c>
      <c r="G156" s="28" t="str">
        <f>IFERROR(__xludf.DUMMYFUNCTION("""COMPUTED_VALUE"""),"MA-XI.1")</f>
        <v>MA-XI.1</v>
      </c>
      <c r="H156" s="28" t="str">
        <f>IFERROR(__xludf.DUMMYFUNCTION("""COMPUTED_VALUE"""),"B")</f>
        <v>B</v>
      </c>
      <c r="I156" s="28" t="str">
        <f>IFERROR(__xludf.DUMMYFUNCTION("""COMPUTED_VALUE"""),"B-3")</f>
        <v>B-3</v>
      </c>
      <c r="J156" s="28">
        <f>IFERROR(__xludf.DUMMYFUNCTION("""COMPUTED_VALUE"""),2.0)</f>
        <v>2</v>
      </c>
      <c r="K156" s="28" t="str">
        <f>IFERROR(__xludf.DUMMYFUNCTION("""COMPUTED_VALUE"""),"TAHFIDZ")</f>
        <v>TAHFIDZ</v>
      </c>
      <c r="L156" s="29" t="str">
        <f>IFERROR(__xludf.DUMMYFUNCTION("""COMPUTED_VALUE"""),"6285607132023")</f>
        <v>6285607132023</v>
      </c>
      <c r="M156" s="28"/>
      <c r="N156" s="22">
        <f>IFERROR(__xludf.DUMMYFUNCTION("""COMPUTED_VALUE"""),200000.0)</f>
        <v>200000</v>
      </c>
      <c r="O156" s="22">
        <f>IFERROR(__xludf.DUMMYFUNCTION("""COMPUTED_VALUE"""),450000.0)</f>
        <v>450000</v>
      </c>
      <c r="P156" s="22">
        <f>IFERROR(__xludf.DUMMYFUNCTION("""COMPUTED_VALUE"""),450000.0)</f>
        <v>450000</v>
      </c>
      <c r="Q156" s="22">
        <f>IFERROR(__xludf.DUMMYFUNCTION("""COMPUTED_VALUE"""),450000.0)</f>
        <v>450000</v>
      </c>
      <c r="R156" s="22">
        <f>IFERROR(__xludf.DUMMYFUNCTION("""COMPUTED_VALUE"""),450000.0)</f>
        <v>450000</v>
      </c>
      <c r="S156" s="22">
        <f>IFERROR(__xludf.DUMMYFUNCTION("""COMPUTED_VALUE"""),450000.0)</f>
        <v>450000</v>
      </c>
      <c r="T156" s="22">
        <f>IFERROR(__xludf.DUMMYFUNCTION("""COMPUTED_VALUE"""),450000.0)</f>
        <v>450000</v>
      </c>
      <c r="U156" s="22">
        <f>IFERROR(__xludf.DUMMYFUNCTION("""COMPUTED_VALUE"""),450000.0)</f>
        <v>450000</v>
      </c>
      <c r="V156" s="22">
        <f>IFERROR(__xludf.DUMMYFUNCTION("""COMPUTED_VALUE"""),450000.0)</f>
        <v>450000</v>
      </c>
      <c r="W156" s="22">
        <f>IFERROR(__xludf.DUMMYFUNCTION("""COMPUTED_VALUE"""),450000.0)</f>
        <v>450000</v>
      </c>
      <c r="X156" s="22">
        <f>IFERROR(__xludf.DUMMYFUNCTION("""COMPUTED_VALUE"""),450000.0)</f>
        <v>450000</v>
      </c>
      <c r="Y156" s="22">
        <f>IFERROR(__xludf.DUMMYFUNCTION("""COMPUTED_VALUE"""),450000.0)</f>
        <v>450000</v>
      </c>
      <c r="Z156" s="22">
        <f>IFERROR(__xludf.DUMMYFUNCTION("""COMPUTED_VALUE"""),450000.0)</f>
        <v>450000</v>
      </c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2">
        <f>IFERROR(__xludf.DUMMYFUNCTION("""COMPUTED_VALUE"""),5400000.0)</f>
        <v>5400000</v>
      </c>
      <c r="BD156" s="22">
        <f>IFERROR(__xludf.DUMMYFUNCTION("""COMPUTED_VALUE"""),0.0)</f>
        <v>0</v>
      </c>
      <c r="BE156" s="22">
        <f>IFERROR(__xludf.DUMMYFUNCTION("""COMPUTED_VALUE"""),0.0)</f>
        <v>0</v>
      </c>
      <c r="BF156" s="22">
        <f>IFERROR(__xludf.DUMMYFUNCTION("""COMPUTED_VALUE"""),5400000.0)</f>
        <v>5400000</v>
      </c>
    </row>
    <row r="157">
      <c r="A157" s="27">
        <f>IFERROR(__xludf.DUMMYFUNCTION("""COMPUTED_VALUE"""),156.0)</f>
        <v>156</v>
      </c>
      <c r="B157" s="28" t="str">
        <f>IFERROR(__xludf.DUMMYFUNCTION("""COMPUTED_VALUE"""),"ZUNI SARAH")</f>
        <v>ZUNI SARAH</v>
      </c>
      <c r="C157" s="28">
        <f>IFERROR(__xludf.DUMMYFUNCTION("""COMPUTED_VALUE"""),2.025070269E9)</f>
        <v>2025070269</v>
      </c>
      <c r="D157" s="28" t="str">
        <f>IFERROR(__xludf.DUMMYFUNCTION("""COMPUTED_VALUE"""),"TASMAN")</f>
        <v>TASMAN</v>
      </c>
      <c r="E157" s="28" t="str">
        <f>IFERROR(__xludf.DUMMYFUNCTION("""COMPUTED_VALUE"""),"SULIMAH")</f>
        <v>SULIMAH</v>
      </c>
      <c r="F157" s="28" t="str">
        <f>IFERROR(__xludf.DUMMYFUNCTION("""COMPUTED_VALUE"""),"JANGGAN POMAHANJANGGAN RT 005 RW 003 TURI LAMONGAN")</f>
        <v>JANGGAN POMAHANJANGGAN RT 005 RW 003 TURI LAMONGAN</v>
      </c>
      <c r="G157" s="28" t="str">
        <f>IFERROR(__xludf.DUMMYFUNCTION("""COMPUTED_VALUE"""),"MA-XI.11")</f>
        <v>MA-XI.11</v>
      </c>
      <c r="H157" s="28" t="str">
        <f>IFERROR(__xludf.DUMMYFUNCTION("""COMPUTED_VALUE"""),"B")</f>
        <v>B</v>
      </c>
      <c r="I157" s="28" t="str">
        <f>IFERROR(__xludf.DUMMYFUNCTION("""COMPUTED_VALUE"""),"B-1")</f>
        <v>B-1</v>
      </c>
      <c r="J157" s="28">
        <f>IFERROR(__xludf.DUMMYFUNCTION("""COMPUTED_VALUE"""),2.0)</f>
        <v>2</v>
      </c>
      <c r="K157" s="28" t="str">
        <f>IFERROR(__xludf.DUMMYFUNCTION("""COMPUTED_VALUE"""),"2 WUSTHO D PUTRI")</f>
        <v>2 WUSTHO D PUTRI</v>
      </c>
      <c r="L157" s="29" t="str">
        <f>IFERROR(__xludf.DUMMYFUNCTION("""COMPUTED_VALUE"""),"628507967794")</f>
        <v>628507967794</v>
      </c>
      <c r="M157" s="22">
        <f>IFERROR(__xludf.DUMMYFUNCTION("""COMPUTED_VALUE"""),600000.0)</f>
        <v>600000</v>
      </c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2">
        <f>IFERROR(__xludf.DUMMYFUNCTION("""COMPUTED_VALUE"""),500000.0)</f>
        <v>500000</v>
      </c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2">
        <f>IFERROR(__xludf.DUMMYFUNCTION("""COMPUTED_VALUE"""),500000.0)</f>
        <v>500000</v>
      </c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2">
        <f>IFERROR(__xludf.DUMMYFUNCTION("""COMPUTED_VALUE"""),0.0)</f>
        <v>0</v>
      </c>
      <c r="BD157" s="22">
        <f>IFERROR(__xludf.DUMMYFUNCTION("""COMPUTED_VALUE"""),1600000.0)</f>
        <v>1600000</v>
      </c>
      <c r="BE157" s="22">
        <f>IFERROR(__xludf.DUMMYFUNCTION("""COMPUTED_VALUE"""),0.0)</f>
        <v>0</v>
      </c>
      <c r="BF157" s="22">
        <f>IFERROR(__xludf.DUMMYFUNCTION("""COMPUTED_VALUE"""),1600000.0)</f>
        <v>1600000</v>
      </c>
    </row>
    <row r="158">
      <c r="A158" s="27">
        <f>IFERROR(__xludf.DUMMYFUNCTION("""COMPUTED_VALUE"""),157.0)</f>
        <v>157</v>
      </c>
      <c r="B158" s="28" t="str">
        <f>IFERROR(__xludf.DUMMYFUNCTION("""COMPUTED_VALUE"""),"ABNA NADHROH KAMALA FEBRIANI")</f>
        <v>ABNA NADHROH KAMALA FEBRIANI</v>
      </c>
      <c r="C158" s="28">
        <f>IFERROR(__xludf.DUMMYFUNCTION("""COMPUTED_VALUE"""),2.02507064E9)</f>
        <v>2025070640</v>
      </c>
      <c r="D158" s="28" t="str">
        <f>IFERROR(__xludf.DUMMYFUNCTION("""COMPUTED_VALUE"""),"KOMARI")</f>
        <v>KOMARI</v>
      </c>
      <c r="E158" s="28" t="str">
        <f>IFERROR(__xludf.DUMMYFUNCTION("""COMPUTED_VALUE"""),"NUR AFIFAH")</f>
        <v>NUR AFIFAH</v>
      </c>
      <c r="F158" s="28" t="str">
        <f>IFERROR(__xludf.DUMMYFUNCTION("""COMPUTED_VALUE"""),"SUGIHWARAS RT 002 RW 002 DEKET LAMONGAN")</f>
        <v>SUGIHWARAS RT 002 RW 002 DEKET LAMONGAN</v>
      </c>
      <c r="G158" s="28" t="str">
        <f>IFERROR(__xludf.DUMMYFUNCTION("""COMPUTED_VALUE"""),"MTS-8 G")</f>
        <v>MTS-8 G</v>
      </c>
      <c r="H158" s="28" t="str">
        <f>IFERROR(__xludf.DUMMYFUNCTION("""COMPUTED_VALUE"""),"C")</f>
        <v>C</v>
      </c>
      <c r="I158" s="28" t="str">
        <f>IFERROR(__xludf.DUMMYFUNCTION("""COMPUTED_VALUE"""),"C-6")</f>
        <v>C-6</v>
      </c>
      <c r="J158" s="28">
        <f>IFERROR(__xludf.DUMMYFUNCTION("""COMPUTED_VALUE"""),2.0)</f>
        <v>2</v>
      </c>
      <c r="K158" s="28" t="str">
        <f>IFERROR(__xludf.DUMMYFUNCTION("""COMPUTED_VALUE"""),"2 ULA B PUTRI")</f>
        <v>2 ULA B PUTRI</v>
      </c>
      <c r="L158" s="29" t="str">
        <f>IFERROR(__xludf.DUMMYFUNCTION("""COMPUTED_VALUE"""),"6289530455442")</f>
        <v>6289530455442</v>
      </c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2">
        <f>IFERROR(__xludf.DUMMYFUNCTION("""COMPUTED_VALUE"""),500000.0)</f>
        <v>500000</v>
      </c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2">
        <f>IFERROR(__xludf.DUMMYFUNCTION("""COMPUTED_VALUE"""),500000.0)</f>
        <v>500000</v>
      </c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2">
        <f>IFERROR(__xludf.DUMMYFUNCTION("""COMPUTED_VALUE"""),0.0)</f>
        <v>0</v>
      </c>
      <c r="BD158" s="22">
        <f>IFERROR(__xludf.DUMMYFUNCTION("""COMPUTED_VALUE"""),1000000.0)</f>
        <v>1000000</v>
      </c>
      <c r="BE158" s="22">
        <f>IFERROR(__xludf.DUMMYFUNCTION("""COMPUTED_VALUE"""),0.0)</f>
        <v>0</v>
      </c>
      <c r="BF158" s="22">
        <f>IFERROR(__xludf.DUMMYFUNCTION("""COMPUTED_VALUE"""),1000000.0)</f>
        <v>1000000</v>
      </c>
    </row>
    <row r="159">
      <c r="A159" s="27">
        <f>IFERROR(__xludf.DUMMYFUNCTION("""COMPUTED_VALUE"""),158.0)</f>
        <v>158</v>
      </c>
      <c r="B159" s="28" t="str">
        <f>IFERROR(__xludf.DUMMYFUNCTION("""COMPUTED_VALUE"""),"AFIFATUT THOHIRO")</f>
        <v>AFIFATUT THOHIRO</v>
      </c>
      <c r="C159" s="28">
        <f>IFERROR(__xludf.DUMMYFUNCTION("""COMPUTED_VALUE"""),2.0250702E9)</f>
        <v>2025070200</v>
      </c>
      <c r="D159" s="28" t="str">
        <f>IFERROR(__xludf.DUMMYFUNCTION("""COMPUTED_VALUE"""),"NURUL ZUBAD")</f>
        <v>NURUL ZUBAD</v>
      </c>
      <c r="E159" s="28" t="str">
        <f>IFERROR(__xludf.DUMMYFUNCTION("""COMPUTED_VALUE"""),"NISWATUL FAIZUN")</f>
        <v>NISWATUL FAIZUN</v>
      </c>
      <c r="F159" s="28" t="str">
        <f>IFERROR(__xludf.DUMMYFUNCTION("""COMPUTED_VALUE"""),"TEBLURU RT 005 RW 001 SOLOKURO LAMONGAN")</f>
        <v>TEBLURU RT 005 RW 001 SOLOKURO LAMONGAN</v>
      </c>
      <c r="G159" s="28" t="str">
        <f>IFERROR(__xludf.DUMMYFUNCTION("""COMPUTED_VALUE"""),"MA-XI.4")</f>
        <v>MA-XI.4</v>
      </c>
      <c r="H159" s="28" t="str">
        <f>IFERROR(__xludf.DUMMYFUNCTION("""COMPUTED_VALUE"""),"C")</f>
        <v>C</v>
      </c>
      <c r="I159" s="28" t="str">
        <f>IFERROR(__xludf.DUMMYFUNCTION("""COMPUTED_VALUE"""),"C-10")</f>
        <v>C-10</v>
      </c>
      <c r="J159" s="28">
        <f>IFERROR(__xludf.DUMMYFUNCTION("""COMPUTED_VALUE"""),2.0)</f>
        <v>2</v>
      </c>
      <c r="K159" s="28" t="str">
        <f>IFERROR(__xludf.DUMMYFUNCTION("""COMPUTED_VALUE"""),"2 WUSTHO D PUTRI")</f>
        <v>2 WUSTHO D PUTRI</v>
      </c>
      <c r="L159" s="29" t="str">
        <f>IFERROR(__xludf.DUMMYFUNCTION("""COMPUTED_VALUE"""),"6288973733770")</f>
        <v>6288973733770</v>
      </c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2">
        <f>IFERROR(__xludf.DUMMYFUNCTION("""COMPUTED_VALUE"""),500000.0)</f>
        <v>500000</v>
      </c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2">
        <f>IFERROR(__xludf.DUMMYFUNCTION("""COMPUTED_VALUE"""),500000.0)</f>
        <v>500000</v>
      </c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2">
        <f>IFERROR(__xludf.DUMMYFUNCTION("""COMPUTED_VALUE"""),0.0)</f>
        <v>0</v>
      </c>
      <c r="BD159" s="22">
        <f>IFERROR(__xludf.DUMMYFUNCTION("""COMPUTED_VALUE"""),1000000.0)</f>
        <v>1000000</v>
      </c>
      <c r="BE159" s="22">
        <f>IFERROR(__xludf.DUMMYFUNCTION("""COMPUTED_VALUE"""),0.0)</f>
        <v>0</v>
      </c>
      <c r="BF159" s="22">
        <f>IFERROR(__xludf.DUMMYFUNCTION("""COMPUTED_VALUE"""),1000000.0)</f>
        <v>1000000</v>
      </c>
    </row>
    <row r="160">
      <c r="A160" s="27">
        <f>IFERROR(__xludf.DUMMYFUNCTION("""COMPUTED_VALUE"""),159.0)</f>
        <v>159</v>
      </c>
      <c r="B160" s="28" t="str">
        <f>IFERROR(__xludf.DUMMYFUNCTION("""COMPUTED_VALUE"""),"AINUR ZULFA AL-FARIKHAH")</f>
        <v>AINUR ZULFA AL-FARIKHAH</v>
      </c>
      <c r="C160" s="28">
        <f>IFERROR(__xludf.DUMMYFUNCTION("""COMPUTED_VALUE"""),2.025070016E9)</f>
        <v>2025070016</v>
      </c>
      <c r="D160" s="28" t="str">
        <f>IFERROR(__xludf.DUMMYFUNCTION("""COMPUTED_VALUE"""),"SUTRISNO")</f>
        <v>SUTRISNO</v>
      </c>
      <c r="E160" s="28" t="str">
        <f>IFERROR(__xludf.DUMMYFUNCTION("""COMPUTED_VALUE"""),"UMIYATI")</f>
        <v>UMIYATI</v>
      </c>
      <c r="F160" s="28" t="str">
        <f>IFERROR(__xludf.DUMMYFUNCTION("""COMPUTED_VALUE"""),"SUGIHAN RT 011 RW 002 SOLOKURO LAMONGAN")</f>
        <v>SUGIHAN RT 011 RW 002 SOLOKURO LAMONGAN</v>
      </c>
      <c r="G160" s="28" t="str">
        <f>IFERROR(__xludf.DUMMYFUNCTION("""COMPUTED_VALUE"""),"MA-XI.2")</f>
        <v>MA-XI.2</v>
      </c>
      <c r="H160" s="28" t="str">
        <f>IFERROR(__xludf.DUMMYFUNCTION("""COMPUTED_VALUE"""),"C")</f>
        <v>C</v>
      </c>
      <c r="I160" s="28" t="str">
        <f>IFERROR(__xludf.DUMMYFUNCTION("""COMPUTED_VALUE"""),"C-10")</f>
        <v>C-10</v>
      </c>
      <c r="J160" s="28">
        <f>IFERROR(__xludf.DUMMYFUNCTION("""COMPUTED_VALUE"""),2.0)</f>
        <v>2</v>
      </c>
      <c r="K160" s="28" t="str">
        <f>IFERROR(__xludf.DUMMYFUNCTION("""COMPUTED_VALUE"""),"2 WUSTHO B PUTRI")</f>
        <v>2 WUSTHO B PUTRI</v>
      </c>
      <c r="L160" s="29" t="str">
        <f>IFERROR(__xludf.DUMMYFUNCTION("""COMPUTED_VALUE"""),"6285746835653")</f>
        <v>6285746835653</v>
      </c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2">
        <f>IFERROR(__xludf.DUMMYFUNCTION("""COMPUTED_VALUE"""),500000.0)</f>
        <v>500000</v>
      </c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2">
        <f>IFERROR(__xludf.DUMMYFUNCTION("""COMPUTED_VALUE"""),500000.0)</f>
        <v>500000</v>
      </c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2">
        <f>IFERROR(__xludf.DUMMYFUNCTION("""COMPUTED_VALUE"""),0.0)</f>
        <v>0</v>
      </c>
      <c r="BD160" s="22">
        <f>IFERROR(__xludf.DUMMYFUNCTION("""COMPUTED_VALUE"""),1000000.0)</f>
        <v>1000000</v>
      </c>
      <c r="BE160" s="22">
        <f>IFERROR(__xludf.DUMMYFUNCTION("""COMPUTED_VALUE"""),0.0)</f>
        <v>0</v>
      </c>
      <c r="BF160" s="22">
        <f>IFERROR(__xludf.DUMMYFUNCTION("""COMPUTED_VALUE"""),1000000.0)</f>
        <v>1000000</v>
      </c>
    </row>
    <row r="161">
      <c r="A161" s="27">
        <f>IFERROR(__xludf.DUMMYFUNCTION("""COMPUTED_VALUE"""),160.0)</f>
        <v>160</v>
      </c>
      <c r="B161" s="28" t="str">
        <f>IFERROR(__xludf.DUMMYFUNCTION("""COMPUTED_VALUE"""),"AISYA DWI FITRIANI")</f>
        <v>AISYA DWI FITRIANI</v>
      </c>
      <c r="C161" s="28">
        <f>IFERROR(__xludf.DUMMYFUNCTION("""COMPUTED_VALUE"""),2.025070504E9)</f>
        <v>2025070504</v>
      </c>
      <c r="D161" s="28" t="str">
        <f>IFERROR(__xludf.DUMMYFUNCTION("""COMPUTED_VALUE"""),"SUWAJI")</f>
        <v>SUWAJI</v>
      </c>
      <c r="E161" s="28" t="str">
        <f>IFERROR(__xludf.DUMMYFUNCTION("""COMPUTED_VALUE"""),"MARJINEM")</f>
        <v>MARJINEM</v>
      </c>
      <c r="F161" s="28" t="str">
        <f>IFERROR(__xludf.DUMMYFUNCTION("""COMPUTED_VALUE"""),"GUNUNG LINGKAS TARAKAN TIMUR RT 006 RW 003  ")</f>
        <v>GUNUNG LINGKAS TARAKAN TIMUR RT 006 RW 003  </v>
      </c>
      <c r="G161" s="28" t="str">
        <f>IFERROR(__xludf.DUMMYFUNCTION("""COMPUTED_VALUE"""),"MTS-8 G")</f>
        <v>MTS-8 G</v>
      </c>
      <c r="H161" s="28" t="str">
        <f>IFERROR(__xludf.DUMMYFUNCTION("""COMPUTED_VALUE"""),"C")</f>
        <v>C</v>
      </c>
      <c r="I161" s="28" t="str">
        <f>IFERROR(__xludf.DUMMYFUNCTION("""COMPUTED_VALUE"""),"C-12")</f>
        <v>C-12</v>
      </c>
      <c r="J161" s="28">
        <f>IFERROR(__xludf.DUMMYFUNCTION("""COMPUTED_VALUE"""),2.0)</f>
        <v>2</v>
      </c>
      <c r="K161" s="28" t="str">
        <f>IFERROR(__xludf.DUMMYFUNCTION("""COMPUTED_VALUE"""),"2 ULA C PUTRI")</f>
        <v>2 ULA C PUTRI</v>
      </c>
      <c r="L161" s="29" t="str">
        <f>IFERROR(__xludf.DUMMYFUNCTION("""COMPUTED_VALUE"""),"6281273814498")</f>
        <v>6281273814498</v>
      </c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2">
        <f>IFERROR(__xludf.DUMMYFUNCTION("""COMPUTED_VALUE"""),500000.0)</f>
        <v>500000</v>
      </c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2">
        <f>IFERROR(__xludf.DUMMYFUNCTION("""COMPUTED_VALUE"""),500000.0)</f>
        <v>500000</v>
      </c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2">
        <f>IFERROR(__xludf.DUMMYFUNCTION("""COMPUTED_VALUE"""),0.0)</f>
        <v>0</v>
      </c>
      <c r="BD161" s="22">
        <f>IFERROR(__xludf.DUMMYFUNCTION("""COMPUTED_VALUE"""),1000000.0)</f>
        <v>1000000</v>
      </c>
      <c r="BE161" s="22">
        <f>IFERROR(__xludf.DUMMYFUNCTION("""COMPUTED_VALUE"""),0.0)</f>
        <v>0</v>
      </c>
      <c r="BF161" s="22">
        <f>IFERROR(__xludf.DUMMYFUNCTION("""COMPUTED_VALUE"""),1000000.0)</f>
        <v>1000000</v>
      </c>
    </row>
    <row r="162">
      <c r="A162" s="27">
        <f>IFERROR(__xludf.DUMMYFUNCTION("""COMPUTED_VALUE"""),161.0)</f>
        <v>161</v>
      </c>
      <c r="B162" s="28" t="str">
        <f>IFERROR(__xludf.DUMMYFUNCTION("""COMPUTED_VALUE"""),"AISYAH INDAH FARAWANSYAH")</f>
        <v>AISYAH INDAH FARAWANSYAH</v>
      </c>
      <c r="C162" s="28">
        <f>IFERROR(__xludf.DUMMYFUNCTION("""COMPUTED_VALUE"""),2.02507002E9)</f>
        <v>2025070020</v>
      </c>
      <c r="D162" s="28" t="str">
        <f>IFERROR(__xludf.DUMMYFUNCTION("""COMPUTED_VALUE"""),"EKO CAHYONO")</f>
        <v>EKO CAHYONO</v>
      </c>
      <c r="E162" s="28" t="str">
        <f>IFERROR(__xludf.DUMMYFUNCTION("""COMPUTED_VALUE"""),"UMI MUDHOLIFAH")</f>
        <v>UMI MUDHOLIFAH</v>
      </c>
      <c r="F162" s="28" t="str">
        <f>IFERROR(__xludf.DUMMYFUNCTION("""COMPUTED_VALUE"""),"SETRO BARU UTARA 10/113 DUKUH SETRO RT 008 RW 004 TAMBAKSARI SURABAYA")</f>
        <v>SETRO BARU UTARA 10/113 DUKUH SETRO RT 008 RW 004 TAMBAKSARI SURABAYA</v>
      </c>
      <c r="G162" s="28" t="str">
        <f>IFERROR(__xludf.DUMMYFUNCTION("""COMPUTED_VALUE"""),"MA-XI.1")</f>
        <v>MA-XI.1</v>
      </c>
      <c r="H162" s="28" t="str">
        <f>IFERROR(__xludf.DUMMYFUNCTION("""COMPUTED_VALUE"""),"C")</f>
        <v>C</v>
      </c>
      <c r="I162" s="28" t="str">
        <f>IFERROR(__xludf.DUMMYFUNCTION("""COMPUTED_VALUE"""),"C-6")</f>
        <v>C-6</v>
      </c>
      <c r="J162" s="28">
        <f>IFERROR(__xludf.DUMMYFUNCTION("""COMPUTED_VALUE"""),2.0)</f>
        <v>2</v>
      </c>
      <c r="K162" s="28" t="str">
        <f>IFERROR(__xludf.DUMMYFUNCTION("""COMPUTED_VALUE"""),"TAHFIDZ")</f>
        <v>TAHFIDZ</v>
      </c>
      <c r="L162" s="29" t="str">
        <f>IFERROR(__xludf.DUMMYFUNCTION("""COMPUTED_VALUE"""),"6281330346915")</f>
        <v>6281330346915</v>
      </c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2">
        <f>IFERROR(__xludf.DUMMYFUNCTION("""COMPUTED_VALUE"""),500000.0)</f>
        <v>500000</v>
      </c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2">
        <f>IFERROR(__xludf.DUMMYFUNCTION("""COMPUTED_VALUE"""),500000.0)</f>
        <v>500000</v>
      </c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2">
        <f>IFERROR(__xludf.DUMMYFUNCTION("""COMPUTED_VALUE"""),0.0)</f>
        <v>0</v>
      </c>
      <c r="BD162" s="22">
        <f>IFERROR(__xludf.DUMMYFUNCTION("""COMPUTED_VALUE"""),1000000.0)</f>
        <v>1000000</v>
      </c>
      <c r="BE162" s="22">
        <f>IFERROR(__xludf.DUMMYFUNCTION("""COMPUTED_VALUE"""),0.0)</f>
        <v>0</v>
      </c>
      <c r="BF162" s="22">
        <f>IFERROR(__xludf.DUMMYFUNCTION("""COMPUTED_VALUE"""),1000000.0)</f>
        <v>1000000</v>
      </c>
    </row>
    <row r="163">
      <c r="A163" s="27">
        <f>IFERROR(__xludf.DUMMYFUNCTION("""COMPUTED_VALUE"""),162.0)</f>
        <v>162</v>
      </c>
      <c r="B163" s="28" t="str">
        <f>IFERROR(__xludf.DUMMYFUNCTION("""COMPUTED_VALUE"""),"AISYAH NUR KHOLIFAH")</f>
        <v>AISYAH NUR KHOLIFAH</v>
      </c>
      <c r="C163" s="28">
        <f>IFERROR(__xludf.DUMMYFUNCTION("""COMPUTED_VALUE"""),2.025070509E9)</f>
        <v>2025070509</v>
      </c>
      <c r="D163" s="28" t="str">
        <f>IFERROR(__xludf.DUMMYFUNCTION("""COMPUTED_VALUE"""),"SUPARMAN")</f>
        <v>SUPARMAN</v>
      </c>
      <c r="E163" s="28" t="str">
        <f>IFERROR(__xludf.DUMMYFUNCTION("""COMPUTED_VALUE"""),"SRIYATI")</f>
        <v>SRIYATI</v>
      </c>
      <c r="F163" s="28" t="str">
        <f>IFERROR(__xludf.DUMMYFUNCTION("""COMPUTED_VALUE"""),"NGAYUNG RT 009 RW 003 MADURAN LAMONGAN")</f>
        <v>NGAYUNG RT 009 RW 003 MADURAN LAMONGAN</v>
      </c>
      <c r="G163" s="28" t="str">
        <f>IFERROR(__xludf.DUMMYFUNCTION("""COMPUTED_VALUE"""),"MTS-8 C")</f>
        <v>MTS-8 C</v>
      </c>
      <c r="H163" s="28" t="str">
        <f>IFERROR(__xludf.DUMMYFUNCTION("""COMPUTED_VALUE"""),"C")</f>
        <v>C</v>
      </c>
      <c r="I163" s="28" t="str">
        <f>IFERROR(__xludf.DUMMYFUNCTION("""COMPUTED_VALUE"""),"C-13")</f>
        <v>C-13</v>
      </c>
      <c r="J163" s="28">
        <f>IFERROR(__xludf.DUMMYFUNCTION("""COMPUTED_VALUE"""),2.0)</f>
        <v>2</v>
      </c>
      <c r="K163" s="28" t="str">
        <f>IFERROR(__xludf.DUMMYFUNCTION("""COMPUTED_VALUE"""),"2 ULA B PUTRI")</f>
        <v>2 ULA B PUTRI</v>
      </c>
      <c r="L163" s="29" t="str">
        <f>IFERROR(__xludf.DUMMYFUNCTION("""COMPUTED_VALUE"""),"6281511152728")</f>
        <v>6281511152728</v>
      </c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2">
        <f>IFERROR(__xludf.DUMMYFUNCTION("""COMPUTED_VALUE"""),0.0)</f>
        <v>0</v>
      </c>
      <c r="BD163" s="22">
        <f>IFERROR(__xludf.DUMMYFUNCTION("""COMPUTED_VALUE"""),0.0)</f>
        <v>0</v>
      </c>
      <c r="BE163" s="22">
        <f>IFERROR(__xludf.DUMMYFUNCTION("""COMPUTED_VALUE"""),0.0)</f>
        <v>0</v>
      </c>
      <c r="BF163" s="22">
        <f>IFERROR(__xludf.DUMMYFUNCTION("""COMPUTED_VALUE"""),0.0)</f>
        <v>0</v>
      </c>
    </row>
    <row r="164">
      <c r="A164" s="27">
        <f>IFERROR(__xludf.DUMMYFUNCTION("""COMPUTED_VALUE"""),163.0)</f>
        <v>163</v>
      </c>
      <c r="B164" s="28" t="str">
        <f>IFERROR(__xludf.DUMMYFUNCTION("""COMPUTED_VALUE"""),"AISYAH REGINA FAHMI AZ-ZAHRA")</f>
        <v>AISYAH REGINA FAHMI AZ-ZAHRA</v>
      </c>
      <c r="C164" s="28">
        <f>IFERROR(__xludf.DUMMYFUNCTION("""COMPUTED_VALUE"""),2.025070331E9)</f>
        <v>2025070331</v>
      </c>
      <c r="D164" s="28" t="str">
        <f>IFERROR(__xludf.DUMMYFUNCTION("""COMPUTED_VALUE"""),"M. FATCHUL HADI")</f>
        <v>M. FATCHUL HADI</v>
      </c>
      <c r="E164" s="28" t="str">
        <f>IFERROR(__xludf.DUMMYFUNCTION("""COMPUTED_VALUE"""),"MARDLIYAH")</f>
        <v>MARDLIYAH</v>
      </c>
      <c r="F164" s="28" t="str">
        <f>IFERROR(__xludf.DUMMYFUNCTION("""COMPUTED_VALUE"""),"GUNUNG ANYAR TAMBAK RT 001 RW 001 GUNUNG ANYAR SURABAYA")</f>
        <v>GUNUNG ANYAR TAMBAK RT 001 RW 001 GUNUNG ANYAR SURABAYA</v>
      </c>
      <c r="G164" s="28" t="str">
        <f>IFERROR(__xludf.DUMMYFUNCTION("""COMPUTED_VALUE"""),"MA-XI.10")</f>
        <v>MA-XI.10</v>
      </c>
      <c r="H164" s="28" t="str">
        <f>IFERROR(__xludf.DUMMYFUNCTION("""COMPUTED_VALUE"""),"C")</f>
        <v>C</v>
      </c>
      <c r="I164" s="28" t="str">
        <f>IFERROR(__xludf.DUMMYFUNCTION("""COMPUTED_VALUE"""),"C-10")</f>
        <v>C-10</v>
      </c>
      <c r="J164" s="28">
        <f>IFERROR(__xludf.DUMMYFUNCTION("""COMPUTED_VALUE"""),2.0)</f>
        <v>2</v>
      </c>
      <c r="K164" s="28" t="str">
        <f>IFERROR(__xludf.DUMMYFUNCTION("""COMPUTED_VALUE"""),"2 WUSTHO D PUTRI")</f>
        <v>2 WUSTHO D PUTRI</v>
      </c>
      <c r="L164" s="29" t="str">
        <f>IFERROR(__xludf.DUMMYFUNCTION("""COMPUTED_VALUE"""),"6281775072287")</f>
        <v>6281775072287</v>
      </c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2">
        <f>IFERROR(__xludf.DUMMYFUNCTION("""COMPUTED_VALUE"""),0.0)</f>
        <v>0</v>
      </c>
      <c r="BD164" s="22">
        <f>IFERROR(__xludf.DUMMYFUNCTION("""COMPUTED_VALUE"""),0.0)</f>
        <v>0</v>
      </c>
      <c r="BE164" s="22">
        <f>IFERROR(__xludf.DUMMYFUNCTION("""COMPUTED_VALUE"""),0.0)</f>
        <v>0</v>
      </c>
      <c r="BF164" s="22">
        <f>IFERROR(__xludf.DUMMYFUNCTION("""COMPUTED_VALUE"""),0.0)</f>
        <v>0</v>
      </c>
    </row>
    <row r="165">
      <c r="A165" s="27">
        <f>IFERROR(__xludf.DUMMYFUNCTION("""COMPUTED_VALUE"""),164.0)</f>
        <v>164</v>
      </c>
      <c r="B165" s="28" t="str">
        <f>IFERROR(__xludf.DUMMYFUNCTION("""COMPUTED_VALUE"""),"ALESSIA SYIFA RAMADHANI")</f>
        <v>ALESSIA SYIFA RAMADHANI</v>
      </c>
      <c r="C165" s="28">
        <f>IFERROR(__xludf.DUMMYFUNCTION("""COMPUTED_VALUE"""),2.025070055E9)</f>
        <v>2025070055</v>
      </c>
      <c r="D165" s="28" t="str">
        <f>IFERROR(__xludf.DUMMYFUNCTION("""COMPUTED_VALUE"""),"DIDIK SUHARTO")</f>
        <v>DIDIK SUHARTO</v>
      </c>
      <c r="E165" s="28" t="str">
        <f>IFERROR(__xludf.DUMMYFUNCTION("""COMPUTED_VALUE"""),"ANIK TRI HANDAYANI")</f>
        <v>ANIK TRI HANDAYANI</v>
      </c>
      <c r="F165" s="28" t="str">
        <f>IFERROR(__xludf.DUMMYFUNCTION("""COMPUTED_VALUE"""),"GLOGOK SUMBERWUDI RT 002 RW 001 KARANGGENENG LAMONGAN")</f>
        <v>GLOGOK SUMBERWUDI RT 002 RW 001 KARANGGENENG LAMONGAN</v>
      </c>
      <c r="G165" s="28" t="str">
        <f>IFERROR(__xludf.DUMMYFUNCTION("""COMPUTED_VALUE"""),"MA-XI.1")</f>
        <v>MA-XI.1</v>
      </c>
      <c r="H165" s="28" t="str">
        <f>IFERROR(__xludf.DUMMYFUNCTION("""COMPUTED_VALUE"""),"C")</f>
        <v>C</v>
      </c>
      <c r="I165" s="28" t="str">
        <f>IFERROR(__xludf.DUMMYFUNCTION("""COMPUTED_VALUE"""),"C-6")</f>
        <v>C-6</v>
      </c>
      <c r="J165" s="28">
        <f>IFERROR(__xludf.DUMMYFUNCTION("""COMPUTED_VALUE"""),2.0)</f>
        <v>2</v>
      </c>
      <c r="K165" s="28" t="str">
        <f>IFERROR(__xludf.DUMMYFUNCTION("""COMPUTED_VALUE"""),"TAHFIDZ")</f>
        <v>TAHFIDZ</v>
      </c>
      <c r="L165" s="29" t="str">
        <f>IFERROR(__xludf.DUMMYFUNCTION("""COMPUTED_VALUE"""),"6285812350778")</f>
        <v>6285812350778</v>
      </c>
      <c r="M165" s="22">
        <f>IFERROR(__xludf.DUMMYFUNCTION("""COMPUTED_VALUE"""),600000.0)</f>
        <v>600000</v>
      </c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2">
        <f>IFERROR(__xludf.DUMMYFUNCTION("""COMPUTED_VALUE"""),450000.0)</f>
        <v>450000</v>
      </c>
      <c r="AA165" s="28"/>
      <c r="AB165" s="22">
        <f>IFERROR(__xludf.DUMMYFUNCTION("""COMPUTED_VALUE"""),500000.0)</f>
        <v>500000</v>
      </c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2">
        <f>IFERROR(__xludf.DUMMYFUNCTION("""COMPUTED_VALUE"""),500000.0)</f>
        <v>500000</v>
      </c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2">
        <f>IFERROR(__xludf.DUMMYFUNCTION("""COMPUTED_VALUE"""),450000.0)</f>
        <v>450000</v>
      </c>
      <c r="BD165" s="22">
        <f>IFERROR(__xludf.DUMMYFUNCTION("""COMPUTED_VALUE"""),1600000.0)</f>
        <v>1600000</v>
      </c>
      <c r="BE165" s="22">
        <f>IFERROR(__xludf.DUMMYFUNCTION("""COMPUTED_VALUE"""),0.0)</f>
        <v>0</v>
      </c>
      <c r="BF165" s="22">
        <f>IFERROR(__xludf.DUMMYFUNCTION("""COMPUTED_VALUE"""),2050000.0)</f>
        <v>2050000</v>
      </c>
    </row>
    <row r="166">
      <c r="A166" s="27">
        <f>IFERROR(__xludf.DUMMYFUNCTION("""COMPUTED_VALUE"""),165.0)</f>
        <v>165</v>
      </c>
      <c r="B166" s="28" t="str">
        <f>IFERROR(__xludf.DUMMYFUNCTION("""COMPUTED_VALUE"""),"ALFIYATIN NASHIROH")</f>
        <v>ALFIYATIN NASHIROH</v>
      </c>
      <c r="C166" s="28">
        <f>IFERROR(__xludf.DUMMYFUNCTION("""COMPUTED_VALUE"""),2.025070096E9)</f>
        <v>2025070096</v>
      </c>
      <c r="D166" s="28" t="str">
        <f>IFERROR(__xludf.DUMMYFUNCTION("""COMPUTED_VALUE"""),"MUHAMMAD HAMIDUN")</f>
        <v>MUHAMMAD HAMIDUN</v>
      </c>
      <c r="E166" s="28" t="str">
        <f>IFERROR(__xludf.DUMMYFUNCTION("""COMPUTED_VALUE"""),"WATIRAH")</f>
        <v>WATIRAH</v>
      </c>
      <c r="F166" s="28" t="str">
        <f>IFERROR(__xludf.DUMMYFUNCTION("""COMPUTED_VALUE"""),"TEBLURU RT 007 RW 002 SOLOKURO LAMONGAN")</f>
        <v>TEBLURU RT 007 RW 002 SOLOKURO LAMONGAN</v>
      </c>
      <c r="G166" s="28" t="str">
        <f>IFERROR(__xludf.DUMMYFUNCTION("""COMPUTED_VALUE"""),"MA-XI.8")</f>
        <v>MA-XI.8</v>
      </c>
      <c r="H166" s="28" t="str">
        <f>IFERROR(__xludf.DUMMYFUNCTION("""COMPUTED_VALUE"""),"C")</f>
        <v>C</v>
      </c>
      <c r="I166" s="28" t="str">
        <f>IFERROR(__xludf.DUMMYFUNCTION("""COMPUTED_VALUE"""),"C-10")</f>
        <v>C-10</v>
      </c>
      <c r="J166" s="28">
        <f>IFERROR(__xludf.DUMMYFUNCTION("""COMPUTED_VALUE"""),2.0)</f>
        <v>2</v>
      </c>
      <c r="K166" s="28" t="str">
        <f>IFERROR(__xludf.DUMMYFUNCTION("""COMPUTED_VALUE"""),"2 WUSTHO C PUTRI")</f>
        <v>2 WUSTHO C PUTRI</v>
      </c>
      <c r="L166" s="29" t="str">
        <f>IFERROR(__xludf.DUMMYFUNCTION("""COMPUTED_VALUE"""),"6285655845161")</f>
        <v>6285655845161</v>
      </c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2">
        <f>IFERROR(__xludf.DUMMYFUNCTION("""COMPUTED_VALUE"""),500000.0)</f>
        <v>500000</v>
      </c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2">
        <f>IFERROR(__xludf.DUMMYFUNCTION("""COMPUTED_VALUE"""),0.0)</f>
        <v>0</v>
      </c>
      <c r="BD166" s="22">
        <f>IFERROR(__xludf.DUMMYFUNCTION("""COMPUTED_VALUE"""),500000.0)</f>
        <v>500000</v>
      </c>
      <c r="BE166" s="22">
        <f>IFERROR(__xludf.DUMMYFUNCTION("""COMPUTED_VALUE"""),0.0)</f>
        <v>0</v>
      </c>
      <c r="BF166" s="22">
        <f>IFERROR(__xludf.DUMMYFUNCTION("""COMPUTED_VALUE"""),500000.0)</f>
        <v>500000</v>
      </c>
    </row>
    <row r="167">
      <c r="A167" s="27">
        <f>IFERROR(__xludf.DUMMYFUNCTION("""COMPUTED_VALUE"""),166.0)</f>
        <v>166</v>
      </c>
      <c r="B167" s="28" t="str">
        <f>IFERROR(__xludf.DUMMYFUNCTION("""COMPUTED_VALUE"""),"ALICYA RAHMADITA")</f>
        <v>ALICYA RAHMADITA</v>
      </c>
      <c r="C167" s="28">
        <f>IFERROR(__xludf.DUMMYFUNCTION("""COMPUTED_VALUE"""),2.025070525E9)</f>
        <v>2025070525</v>
      </c>
      <c r="D167" s="28" t="str">
        <f>IFERROR(__xludf.DUMMYFUNCTION("""COMPUTED_VALUE"""),"MOCH. ALEK")</f>
        <v>MOCH. ALEK</v>
      </c>
      <c r="E167" s="28" t="str">
        <f>IFERROR(__xludf.DUMMYFUNCTION("""COMPUTED_VALUE"""),"ASTUTIK")</f>
        <v>ASTUTIK</v>
      </c>
      <c r="F167" s="28" t="str">
        <f>IFERROR(__xludf.DUMMYFUNCTION("""COMPUTED_VALUE"""),"BABATKULON BABATAGUNG RT 002 RW 003 DEKET LAMONGAN")</f>
        <v>BABATKULON BABATAGUNG RT 002 RW 003 DEKET LAMONGAN</v>
      </c>
      <c r="G167" s="28" t="str">
        <f>IFERROR(__xludf.DUMMYFUNCTION("""COMPUTED_VALUE"""),"MTS-8 D")</f>
        <v>MTS-8 D</v>
      </c>
      <c r="H167" s="28" t="str">
        <f>IFERROR(__xludf.DUMMYFUNCTION("""COMPUTED_VALUE"""),"C")</f>
        <v>C</v>
      </c>
      <c r="I167" s="28" t="str">
        <f>IFERROR(__xludf.DUMMYFUNCTION("""COMPUTED_VALUE"""),"C-6")</f>
        <v>C-6</v>
      </c>
      <c r="J167" s="28">
        <f>IFERROR(__xludf.DUMMYFUNCTION("""COMPUTED_VALUE"""),2.0)</f>
        <v>2</v>
      </c>
      <c r="K167" s="28" t="str">
        <f>IFERROR(__xludf.DUMMYFUNCTION("""COMPUTED_VALUE"""),"2 ULA A PUTRI")</f>
        <v>2 ULA A PUTRI</v>
      </c>
      <c r="L167" s="29" t="str">
        <f>IFERROR(__xludf.DUMMYFUNCTION("""COMPUTED_VALUE"""),"6285877753654")</f>
        <v>6285877753654</v>
      </c>
      <c r="M167" s="28"/>
      <c r="N167" s="28"/>
      <c r="O167" s="28"/>
      <c r="P167" s="28"/>
      <c r="Q167" s="28"/>
      <c r="R167" s="28"/>
      <c r="S167" s="28"/>
      <c r="T167" s="28"/>
      <c r="U167" s="28"/>
      <c r="V167" s="22">
        <f>IFERROR(__xludf.DUMMYFUNCTION("""COMPUTED_VALUE"""),450000.0)</f>
        <v>450000</v>
      </c>
      <c r="W167" s="22">
        <f>IFERROR(__xludf.DUMMYFUNCTION("""COMPUTED_VALUE"""),450000.0)</f>
        <v>450000</v>
      </c>
      <c r="X167" s="22">
        <f>IFERROR(__xludf.DUMMYFUNCTION("""COMPUTED_VALUE"""),450000.0)</f>
        <v>450000</v>
      </c>
      <c r="Y167" s="22">
        <f>IFERROR(__xludf.DUMMYFUNCTION("""COMPUTED_VALUE"""),450000.0)</f>
        <v>450000</v>
      </c>
      <c r="Z167" s="22">
        <f>IFERROR(__xludf.DUMMYFUNCTION("""COMPUTED_VALUE"""),450000.0)</f>
        <v>450000</v>
      </c>
      <c r="AA167" s="28"/>
      <c r="AB167" s="22">
        <f>IFERROR(__xludf.DUMMYFUNCTION("""COMPUTED_VALUE"""),500000.0)</f>
        <v>500000</v>
      </c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2">
        <f>IFERROR(__xludf.DUMMYFUNCTION("""COMPUTED_VALUE"""),500000.0)</f>
        <v>500000</v>
      </c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2">
        <f>IFERROR(__xludf.DUMMYFUNCTION("""COMPUTED_VALUE"""),2250000.0)</f>
        <v>2250000</v>
      </c>
      <c r="BD167" s="22">
        <f>IFERROR(__xludf.DUMMYFUNCTION("""COMPUTED_VALUE"""),1000000.0)</f>
        <v>1000000</v>
      </c>
      <c r="BE167" s="22">
        <f>IFERROR(__xludf.DUMMYFUNCTION("""COMPUTED_VALUE"""),0.0)</f>
        <v>0</v>
      </c>
      <c r="BF167" s="22">
        <f>IFERROR(__xludf.DUMMYFUNCTION("""COMPUTED_VALUE"""),3250000.0)</f>
        <v>3250000</v>
      </c>
    </row>
    <row r="168">
      <c r="A168" s="27">
        <f>IFERROR(__xludf.DUMMYFUNCTION("""COMPUTED_VALUE"""),167.0)</f>
        <v>167</v>
      </c>
      <c r="B168" s="28" t="str">
        <f>IFERROR(__xludf.DUMMYFUNCTION("""COMPUTED_VALUE"""),"ALINDIKA AYU FAHRABI")</f>
        <v>ALINDIKA AYU FAHRABI</v>
      </c>
      <c r="C168" s="28">
        <f>IFERROR(__xludf.DUMMYFUNCTION("""COMPUTED_VALUE"""),2.025070507E9)</f>
        <v>2025070507</v>
      </c>
      <c r="D168" s="28" t="str">
        <f>IFERROR(__xludf.DUMMYFUNCTION("""COMPUTED_VALUE"""),"JUNAIDI ABDILLAH")</f>
        <v>JUNAIDI ABDILLAH</v>
      </c>
      <c r="E168" s="28" t="str">
        <f>IFERROR(__xludf.DUMMYFUNCTION("""COMPUTED_VALUE"""),"MUFLIHAH")</f>
        <v>MUFLIHAH</v>
      </c>
      <c r="F168" s="28" t="str">
        <f>IFERROR(__xludf.DUMMYFUNCTION("""COMPUTED_VALUE"""),"KEBALANPELANG RT 002 RW 002 BABAT LAMONGAN")</f>
        <v>KEBALANPELANG RT 002 RW 002 BABAT LAMONGAN</v>
      </c>
      <c r="G168" s="28" t="str">
        <f>IFERROR(__xludf.DUMMYFUNCTION("""COMPUTED_VALUE"""),"MTS-8 B")</f>
        <v>MTS-8 B</v>
      </c>
      <c r="H168" s="28" t="str">
        <f>IFERROR(__xludf.DUMMYFUNCTION("""COMPUTED_VALUE"""),"C")</f>
        <v>C</v>
      </c>
      <c r="I168" s="28" t="str">
        <f>IFERROR(__xludf.DUMMYFUNCTION("""COMPUTED_VALUE"""),"C-5")</f>
        <v>C-5</v>
      </c>
      <c r="J168" s="28">
        <f>IFERROR(__xludf.DUMMYFUNCTION("""COMPUTED_VALUE"""),2.0)</f>
        <v>2</v>
      </c>
      <c r="K168" s="28" t="str">
        <f>IFERROR(__xludf.DUMMYFUNCTION("""COMPUTED_VALUE"""),"2 ULA A PUTRI")</f>
        <v>2 ULA A PUTRI</v>
      </c>
      <c r="L168" s="29" t="str">
        <f>IFERROR(__xludf.DUMMYFUNCTION("""COMPUTED_VALUE"""),"6281336343938")</f>
        <v>6281336343938</v>
      </c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2">
        <f>IFERROR(__xludf.DUMMYFUNCTION("""COMPUTED_VALUE"""),500000.0)</f>
        <v>500000</v>
      </c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2">
        <f>IFERROR(__xludf.DUMMYFUNCTION("""COMPUTED_VALUE"""),500000.0)</f>
        <v>500000</v>
      </c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2">
        <f>IFERROR(__xludf.DUMMYFUNCTION("""COMPUTED_VALUE"""),0.0)</f>
        <v>0</v>
      </c>
      <c r="BD168" s="22">
        <f>IFERROR(__xludf.DUMMYFUNCTION("""COMPUTED_VALUE"""),1000000.0)</f>
        <v>1000000</v>
      </c>
      <c r="BE168" s="22">
        <f>IFERROR(__xludf.DUMMYFUNCTION("""COMPUTED_VALUE"""),0.0)</f>
        <v>0</v>
      </c>
      <c r="BF168" s="22">
        <f>IFERROR(__xludf.DUMMYFUNCTION("""COMPUTED_VALUE"""),1000000.0)</f>
        <v>1000000</v>
      </c>
    </row>
    <row r="169">
      <c r="A169" s="27">
        <f>IFERROR(__xludf.DUMMYFUNCTION("""COMPUTED_VALUE"""),168.0)</f>
        <v>168</v>
      </c>
      <c r="B169" s="28" t="str">
        <f>IFERROR(__xludf.DUMMYFUNCTION("""COMPUTED_VALUE"""),"ALYA WAHIDAH DIVA ADINATA")</f>
        <v>ALYA WAHIDAH DIVA ADINATA</v>
      </c>
      <c r="C169" s="28">
        <f>IFERROR(__xludf.DUMMYFUNCTION("""COMPUTED_VALUE"""),2.025070006E9)</f>
        <v>2025070006</v>
      </c>
      <c r="D169" s="28" t="str">
        <f>IFERROR(__xludf.DUMMYFUNCTION("""COMPUTED_VALUE"""),"MAHMUDI ADINATA")</f>
        <v>MAHMUDI ADINATA</v>
      </c>
      <c r="E169" s="28" t="str">
        <f>IFERROR(__xludf.DUMMYFUNCTION("""COMPUTED_VALUE"""),"IVA CHUSUMAWATI")</f>
        <v>IVA CHUSUMAWATI</v>
      </c>
      <c r="F169" s="28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G169" s="28" t="str">
        <f>IFERROR(__xludf.DUMMYFUNCTION("""COMPUTED_VALUE"""),"MA-XI.5")</f>
        <v>MA-XI.5</v>
      </c>
      <c r="H169" s="28" t="str">
        <f>IFERROR(__xludf.DUMMYFUNCTION("""COMPUTED_VALUE"""),"C")</f>
        <v>C</v>
      </c>
      <c r="I169" s="28" t="str">
        <f>IFERROR(__xludf.DUMMYFUNCTION("""COMPUTED_VALUE"""),"C-5")</f>
        <v>C-5</v>
      </c>
      <c r="J169" s="28">
        <f>IFERROR(__xludf.DUMMYFUNCTION("""COMPUTED_VALUE"""),2.0)</f>
        <v>2</v>
      </c>
      <c r="K169" s="28" t="str">
        <f>IFERROR(__xludf.DUMMYFUNCTION("""COMPUTED_VALUE"""),"2 WUSTHO D PUTRI")</f>
        <v>2 WUSTHO D PUTRI</v>
      </c>
      <c r="L169" s="29" t="str">
        <f>IFERROR(__xludf.DUMMYFUNCTION("""COMPUTED_VALUE"""),"6282334095226")</f>
        <v>6282334095226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2">
        <f>IFERROR(__xludf.DUMMYFUNCTION("""COMPUTED_VALUE"""),500000.0)</f>
        <v>500000</v>
      </c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2">
        <f>IFERROR(__xludf.DUMMYFUNCTION("""COMPUTED_VALUE"""),500000.0)</f>
        <v>500000</v>
      </c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2">
        <f>IFERROR(__xludf.DUMMYFUNCTION("""COMPUTED_VALUE"""),0.0)</f>
        <v>0</v>
      </c>
      <c r="BD169" s="22">
        <f>IFERROR(__xludf.DUMMYFUNCTION("""COMPUTED_VALUE"""),1000000.0)</f>
        <v>1000000</v>
      </c>
      <c r="BE169" s="22">
        <f>IFERROR(__xludf.DUMMYFUNCTION("""COMPUTED_VALUE"""),0.0)</f>
        <v>0</v>
      </c>
      <c r="BF169" s="22">
        <f>IFERROR(__xludf.DUMMYFUNCTION("""COMPUTED_VALUE"""),1000000.0)</f>
        <v>1000000</v>
      </c>
    </row>
    <row r="170">
      <c r="A170" s="27">
        <f>IFERROR(__xludf.DUMMYFUNCTION("""COMPUTED_VALUE"""),169.0)</f>
        <v>169</v>
      </c>
      <c r="B170" s="28" t="str">
        <f>IFERROR(__xludf.DUMMYFUNCTION("""COMPUTED_VALUE"""),"ANDHIRA REGINA PRAMESTI")</f>
        <v>ANDHIRA REGINA PRAMESTI</v>
      </c>
      <c r="C170" s="28">
        <f>IFERROR(__xludf.DUMMYFUNCTION("""COMPUTED_VALUE"""),2.025070559E9)</f>
        <v>2025070559</v>
      </c>
      <c r="D170" s="28" t="str">
        <f>IFERROR(__xludf.DUMMYFUNCTION("""COMPUTED_VALUE"""),"KHOLIS")</f>
        <v>KHOLIS</v>
      </c>
      <c r="E170" s="28" t="str">
        <f>IFERROR(__xludf.DUMMYFUNCTION("""COMPUTED_VALUE"""),"SUKARTI")</f>
        <v>SUKARTI</v>
      </c>
      <c r="F170" s="28" t="str">
        <f>IFERROR(__xludf.DUMMYFUNCTION("""COMPUTED_VALUE"""),"NGUJUNG NGUJUNGREJO RT 003 RW 002 TURI LAMONGAN")</f>
        <v>NGUJUNG NGUJUNGREJO RT 003 RW 002 TURI LAMONGAN</v>
      </c>
      <c r="G170" s="28" t="str">
        <f>IFERROR(__xludf.DUMMYFUNCTION("""COMPUTED_VALUE"""),"MTS-8 D")</f>
        <v>MTS-8 D</v>
      </c>
      <c r="H170" s="28" t="str">
        <f>IFERROR(__xludf.DUMMYFUNCTION("""COMPUTED_VALUE"""),"C")</f>
        <v>C</v>
      </c>
      <c r="I170" s="28" t="str">
        <f>IFERROR(__xludf.DUMMYFUNCTION("""COMPUTED_VALUE"""),"C-13")</f>
        <v>C-13</v>
      </c>
      <c r="J170" s="28">
        <f>IFERROR(__xludf.DUMMYFUNCTION("""COMPUTED_VALUE"""),2.0)</f>
        <v>2</v>
      </c>
      <c r="K170" s="28" t="str">
        <f>IFERROR(__xludf.DUMMYFUNCTION("""COMPUTED_VALUE"""),"2 ULA B PUTRI")</f>
        <v>2 ULA B PUTRI</v>
      </c>
      <c r="L170" s="29" t="str">
        <f>IFERROR(__xludf.DUMMYFUNCTION("""COMPUTED_VALUE"""),"6288804968028")</f>
        <v>6288804968028</v>
      </c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2">
        <f>IFERROR(__xludf.DUMMYFUNCTION("""COMPUTED_VALUE"""),450000.0)</f>
        <v>450000</v>
      </c>
      <c r="Y170" s="22">
        <f>IFERROR(__xludf.DUMMYFUNCTION("""COMPUTED_VALUE"""),450000.0)</f>
        <v>450000</v>
      </c>
      <c r="Z170" s="22">
        <f>IFERROR(__xludf.DUMMYFUNCTION("""COMPUTED_VALUE"""),450000.0)</f>
        <v>450000</v>
      </c>
      <c r="AA170" s="28"/>
      <c r="AB170" s="22">
        <f>IFERROR(__xludf.DUMMYFUNCTION("""COMPUTED_VALUE"""),500000.0)</f>
        <v>500000</v>
      </c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2">
        <f>IFERROR(__xludf.DUMMYFUNCTION("""COMPUTED_VALUE"""),500000.0)</f>
        <v>500000</v>
      </c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2">
        <f>IFERROR(__xludf.DUMMYFUNCTION("""COMPUTED_VALUE"""),1350000.0)</f>
        <v>1350000</v>
      </c>
      <c r="BD170" s="22">
        <f>IFERROR(__xludf.DUMMYFUNCTION("""COMPUTED_VALUE"""),1000000.0)</f>
        <v>1000000</v>
      </c>
      <c r="BE170" s="22">
        <f>IFERROR(__xludf.DUMMYFUNCTION("""COMPUTED_VALUE"""),0.0)</f>
        <v>0</v>
      </c>
      <c r="BF170" s="22">
        <f>IFERROR(__xludf.DUMMYFUNCTION("""COMPUTED_VALUE"""),2350000.0)</f>
        <v>2350000</v>
      </c>
    </row>
    <row r="171">
      <c r="A171" s="27">
        <f>IFERROR(__xludf.DUMMYFUNCTION("""COMPUTED_VALUE"""),170.0)</f>
        <v>170</v>
      </c>
      <c r="B171" s="28" t="str">
        <f>IFERROR(__xludf.DUMMYFUNCTION("""COMPUTED_VALUE"""),"ARINA NIDA AL QUDSIYAH")</f>
        <v>ARINA NIDA AL QUDSIYAH</v>
      </c>
      <c r="C171" s="28">
        <f>IFERROR(__xludf.DUMMYFUNCTION("""COMPUTED_VALUE"""),2.025070052E9)</f>
        <v>2025070052</v>
      </c>
      <c r="D171" s="28" t="str">
        <f>IFERROR(__xludf.DUMMYFUNCTION("""COMPUTED_VALUE"""),"MOH. RODLI")</f>
        <v>MOH. RODLI</v>
      </c>
      <c r="E171" s="28" t="str">
        <f>IFERROR(__xludf.DUMMYFUNCTION("""COMPUTED_VALUE"""),"IFADAH")</f>
        <v>IFADAH</v>
      </c>
      <c r="F171" s="28" t="str">
        <f>IFERROR(__xludf.DUMMYFUNCTION("""COMPUTED_VALUE"""),"JL. KARANG ASEM DRAJAT RT 001 RW 003 PACIRAN LAMONGAN")</f>
        <v>JL. KARANG ASEM DRAJAT RT 001 RW 003 PACIRAN LAMONGAN</v>
      </c>
      <c r="G171" s="28" t="str">
        <f>IFERROR(__xludf.DUMMYFUNCTION("""COMPUTED_VALUE"""),"MA-XI.1")</f>
        <v>MA-XI.1</v>
      </c>
      <c r="H171" s="28" t="str">
        <f>IFERROR(__xludf.DUMMYFUNCTION("""COMPUTED_VALUE"""),"C")</f>
        <v>C</v>
      </c>
      <c r="I171" s="28" t="str">
        <f>IFERROR(__xludf.DUMMYFUNCTION("""COMPUTED_VALUE"""),"C-6")</f>
        <v>C-6</v>
      </c>
      <c r="J171" s="28">
        <f>IFERROR(__xludf.DUMMYFUNCTION("""COMPUTED_VALUE"""),2.0)</f>
        <v>2</v>
      </c>
      <c r="K171" s="28" t="str">
        <f>IFERROR(__xludf.DUMMYFUNCTION("""COMPUTED_VALUE"""),"TAHFIDZ")</f>
        <v>TAHFIDZ</v>
      </c>
      <c r="L171" s="29" t="str">
        <f>IFERROR(__xludf.DUMMYFUNCTION("""COMPUTED_VALUE"""),"6285872618634")</f>
        <v>6285872618634</v>
      </c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2">
        <f>IFERROR(__xludf.DUMMYFUNCTION("""COMPUTED_VALUE"""),0.0)</f>
        <v>0</v>
      </c>
      <c r="BD171" s="22">
        <f>IFERROR(__xludf.DUMMYFUNCTION("""COMPUTED_VALUE"""),0.0)</f>
        <v>0</v>
      </c>
      <c r="BE171" s="22">
        <f>IFERROR(__xludf.DUMMYFUNCTION("""COMPUTED_VALUE"""),0.0)</f>
        <v>0</v>
      </c>
      <c r="BF171" s="22">
        <f>IFERROR(__xludf.DUMMYFUNCTION("""COMPUTED_VALUE"""),0.0)</f>
        <v>0</v>
      </c>
    </row>
    <row r="172">
      <c r="A172" s="27">
        <f>IFERROR(__xludf.DUMMYFUNCTION("""COMPUTED_VALUE"""),171.0)</f>
        <v>171</v>
      </c>
      <c r="B172" s="28" t="str">
        <f>IFERROR(__xludf.DUMMYFUNCTION("""COMPUTED_VALUE"""),"ARINAH DINA DHABITAH")</f>
        <v>ARINAH DINA DHABITAH</v>
      </c>
      <c r="C172" s="28">
        <f>IFERROR(__xludf.DUMMYFUNCTION("""COMPUTED_VALUE"""),2.025070108E9)</f>
        <v>2025070108</v>
      </c>
      <c r="D172" s="28" t="str">
        <f>IFERROR(__xludf.DUMMYFUNCTION("""COMPUTED_VALUE"""),"MOHAMMAD YASIN")</f>
        <v>MOHAMMAD YASIN</v>
      </c>
      <c r="E172" s="28" t="str">
        <f>IFERROR(__xludf.DUMMYFUNCTION("""COMPUTED_VALUE"""),"ERLI NUR INDA SARI")</f>
        <v>ERLI NUR INDA SARI</v>
      </c>
      <c r="F172" s="28" t="str">
        <f>IFERROR(__xludf.DUMMYFUNCTION("""COMPUTED_VALUE"""),"TAKERHARJO RT 004 RW 002 SOLOKURO LAMONGAN")</f>
        <v>TAKERHARJO RT 004 RW 002 SOLOKURO LAMONGAN</v>
      </c>
      <c r="G172" s="28" t="str">
        <f>IFERROR(__xludf.DUMMYFUNCTION("""COMPUTED_VALUE"""),"MA-XI.10")</f>
        <v>MA-XI.10</v>
      </c>
      <c r="H172" s="28" t="str">
        <f>IFERROR(__xludf.DUMMYFUNCTION("""COMPUTED_VALUE"""),"C")</f>
        <v>C</v>
      </c>
      <c r="I172" s="28" t="str">
        <f>IFERROR(__xludf.DUMMYFUNCTION("""COMPUTED_VALUE"""),"C-5")</f>
        <v>C-5</v>
      </c>
      <c r="J172" s="28">
        <f>IFERROR(__xludf.DUMMYFUNCTION("""COMPUTED_VALUE"""),2.0)</f>
        <v>2</v>
      </c>
      <c r="K172" s="28" t="str">
        <f>IFERROR(__xludf.DUMMYFUNCTION("""COMPUTED_VALUE"""),"2 WUSTHO B PUTRI")</f>
        <v>2 WUSTHO B PUTRI</v>
      </c>
      <c r="L172" s="29" t="str">
        <f>IFERROR(__xludf.DUMMYFUNCTION("""COMPUTED_VALUE"""),"6285732236800")</f>
        <v>6285732236800</v>
      </c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2">
        <f>IFERROR(__xludf.DUMMYFUNCTION("""COMPUTED_VALUE"""),500000.0)</f>
        <v>500000</v>
      </c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2">
        <f>IFERROR(__xludf.DUMMYFUNCTION("""COMPUTED_VALUE"""),500000.0)</f>
        <v>500000</v>
      </c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2">
        <f>IFERROR(__xludf.DUMMYFUNCTION("""COMPUTED_VALUE"""),0.0)</f>
        <v>0</v>
      </c>
      <c r="BD172" s="22">
        <f>IFERROR(__xludf.DUMMYFUNCTION("""COMPUTED_VALUE"""),1000000.0)</f>
        <v>1000000</v>
      </c>
      <c r="BE172" s="22">
        <f>IFERROR(__xludf.DUMMYFUNCTION("""COMPUTED_VALUE"""),0.0)</f>
        <v>0</v>
      </c>
      <c r="BF172" s="22">
        <f>IFERROR(__xludf.DUMMYFUNCTION("""COMPUTED_VALUE"""),1000000.0)</f>
        <v>1000000</v>
      </c>
    </row>
    <row r="173">
      <c r="A173" s="27">
        <f>IFERROR(__xludf.DUMMYFUNCTION("""COMPUTED_VALUE"""),172.0)</f>
        <v>172</v>
      </c>
      <c r="B173" s="28" t="str">
        <f>IFERROR(__xludf.DUMMYFUNCTION("""COMPUTED_VALUE"""),"ARIS TANIA PUTRI")</f>
        <v>ARIS TANIA PUTRI</v>
      </c>
      <c r="C173" s="28">
        <f>IFERROR(__xludf.DUMMYFUNCTION("""COMPUTED_VALUE"""),2.025070346E9)</f>
        <v>2025070346</v>
      </c>
      <c r="D173" s="28" t="str">
        <f>IFERROR(__xludf.DUMMYFUNCTION("""COMPUTED_VALUE"""),"HASAN ANSORI")</f>
        <v>HASAN ANSORI</v>
      </c>
      <c r="E173" s="28" t="str">
        <f>IFERROR(__xludf.DUMMYFUNCTION("""COMPUTED_VALUE"""),"UMI SUNZAITIN")</f>
        <v>UMI SUNZAITIN</v>
      </c>
      <c r="F173" s="28" t="str">
        <f>IFERROR(__xludf.DUMMYFUNCTION("""COMPUTED_VALUE"""),"SUGIHAN RT 007 RW 002 SOLOKURO LAMONGAN")</f>
        <v>SUGIHAN RT 007 RW 002 SOLOKURO LAMONGAN</v>
      </c>
      <c r="G173" s="28" t="str">
        <f>IFERROR(__xludf.DUMMYFUNCTION("""COMPUTED_VALUE"""),"MA-XI.10")</f>
        <v>MA-XI.10</v>
      </c>
      <c r="H173" s="28" t="str">
        <f>IFERROR(__xludf.DUMMYFUNCTION("""COMPUTED_VALUE"""),"C")</f>
        <v>C</v>
      </c>
      <c r="I173" s="28"/>
      <c r="J173" s="28">
        <f>IFERROR(__xludf.DUMMYFUNCTION("""COMPUTED_VALUE"""),2.0)</f>
        <v>2</v>
      </c>
      <c r="K173" s="28" t="str">
        <f>IFERROR(__xludf.DUMMYFUNCTION("""COMPUTED_VALUE"""),"2 WUSTHO B PUTRI")</f>
        <v>2 WUSTHO B PUTRI</v>
      </c>
      <c r="L173" s="29" t="str">
        <f>IFERROR(__xludf.DUMMYFUNCTION("""COMPUTED_VALUE"""),"6285730004247")</f>
        <v>6285730004247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2">
        <f>IFERROR(__xludf.DUMMYFUNCTION("""COMPUTED_VALUE"""),500000.0)</f>
        <v>500000</v>
      </c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2">
        <f>IFERROR(__xludf.DUMMYFUNCTION("""COMPUTED_VALUE"""),500000.0)</f>
        <v>500000</v>
      </c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2">
        <f>IFERROR(__xludf.DUMMYFUNCTION("""COMPUTED_VALUE"""),0.0)</f>
        <v>0</v>
      </c>
      <c r="BD173" s="22">
        <f>IFERROR(__xludf.DUMMYFUNCTION("""COMPUTED_VALUE"""),1000000.0)</f>
        <v>1000000</v>
      </c>
      <c r="BE173" s="22">
        <f>IFERROR(__xludf.DUMMYFUNCTION("""COMPUTED_VALUE"""),0.0)</f>
        <v>0</v>
      </c>
      <c r="BF173" s="22">
        <f>IFERROR(__xludf.DUMMYFUNCTION("""COMPUTED_VALUE"""),1000000.0)</f>
        <v>1000000</v>
      </c>
    </row>
    <row r="174">
      <c r="A174" s="27">
        <f>IFERROR(__xludf.DUMMYFUNCTION("""COMPUTED_VALUE"""),173.0)</f>
        <v>173</v>
      </c>
      <c r="B174" s="28" t="str">
        <f>IFERROR(__xludf.DUMMYFUNCTION("""COMPUTED_VALUE"""),"AS SYIFANI NUR KHOLIF")</f>
        <v>AS SYIFANI NUR KHOLIF</v>
      </c>
      <c r="C174" s="28">
        <f>IFERROR(__xludf.DUMMYFUNCTION("""COMPUTED_VALUE"""),2.025070641E9)</f>
        <v>2025070641</v>
      </c>
      <c r="D174" s="28" t="str">
        <f>IFERROR(__xludf.DUMMYFUNCTION("""COMPUTED_VALUE"""),"MISKAN")</f>
        <v>MISKAN</v>
      </c>
      <c r="E174" s="28" t="str">
        <f>IFERROR(__xludf.DUMMYFUNCTION("""COMPUTED_VALUE"""),"SITI MAEMONAH")</f>
        <v>SITI MAEMONAH</v>
      </c>
      <c r="F174" s="28" t="str">
        <f>IFERROR(__xludf.DUMMYFUNCTION("""COMPUTED_VALUE"""),"NGAYUNG RT 008 RW 003 MADURAN LAMONGAN")</f>
        <v>NGAYUNG RT 008 RW 003 MADURAN LAMONGAN</v>
      </c>
      <c r="G174" s="28" t="str">
        <f>IFERROR(__xludf.DUMMYFUNCTION("""COMPUTED_VALUE"""),"MTS-8 C")</f>
        <v>MTS-8 C</v>
      </c>
      <c r="H174" s="28" t="str">
        <f>IFERROR(__xludf.DUMMYFUNCTION("""COMPUTED_VALUE"""),"C")</f>
        <v>C</v>
      </c>
      <c r="I174" s="28" t="str">
        <f>IFERROR(__xludf.DUMMYFUNCTION("""COMPUTED_VALUE"""),"C-13")</f>
        <v>C-13</v>
      </c>
      <c r="J174" s="28">
        <f>IFERROR(__xludf.DUMMYFUNCTION("""COMPUTED_VALUE"""),2.0)</f>
        <v>2</v>
      </c>
      <c r="K174" s="28" t="str">
        <f>IFERROR(__xludf.DUMMYFUNCTION("""COMPUTED_VALUE"""),"2 ULA B PUTRI")</f>
        <v>2 ULA B PUTRI</v>
      </c>
      <c r="L174" s="29" t="str">
        <f>IFERROR(__xludf.DUMMYFUNCTION("""COMPUTED_VALUE"""),"6281259603646")</f>
        <v>6281259603646</v>
      </c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2">
        <f>IFERROR(__xludf.DUMMYFUNCTION("""COMPUTED_VALUE"""),500000.0)</f>
        <v>500000</v>
      </c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2">
        <f>IFERROR(__xludf.DUMMYFUNCTION("""COMPUTED_VALUE"""),500000.0)</f>
        <v>500000</v>
      </c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2">
        <f>IFERROR(__xludf.DUMMYFUNCTION("""COMPUTED_VALUE"""),0.0)</f>
        <v>0</v>
      </c>
      <c r="BD174" s="22">
        <f>IFERROR(__xludf.DUMMYFUNCTION("""COMPUTED_VALUE"""),1000000.0)</f>
        <v>1000000</v>
      </c>
      <c r="BE174" s="22">
        <f>IFERROR(__xludf.DUMMYFUNCTION("""COMPUTED_VALUE"""),0.0)</f>
        <v>0</v>
      </c>
      <c r="BF174" s="22">
        <f>IFERROR(__xludf.DUMMYFUNCTION("""COMPUTED_VALUE"""),1000000.0)</f>
        <v>1000000</v>
      </c>
    </row>
    <row r="175">
      <c r="A175" s="27">
        <f>IFERROR(__xludf.DUMMYFUNCTION("""COMPUTED_VALUE"""),174.0)</f>
        <v>174</v>
      </c>
      <c r="B175" s="28" t="str">
        <f>IFERROR(__xludf.DUMMYFUNCTION("""COMPUTED_VALUE"""),"ASMA WAFIYAH")</f>
        <v>ASMA WAFIYAH</v>
      </c>
      <c r="C175" s="28">
        <f>IFERROR(__xludf.DUMMYFUNCTION("""COMPUTED_VALUE"""),2.025070148E9)</f>
        <v>2025070148</v>
      </c>
      <c r="D175" s="28" t="str">
        <f>IFERROR(__xludf.DUMMYFUNCTION("""COMPUTED_VALUE"""),"ASMAN")</f>
        <v>ASMAN</v>
      </c>
      <c r="E175" s="28" t="str">
        <f>IFERROR(__xludf.DUMMYFUNCTION("""COMPUTED_VALUE"""),"KASIYATUN")</f>
        <v>KASIYATUN</v>
      </c>
      <c r="F175" s="28" t="str">
        <f>IFERROR(__xludf.DUMMYFUNCTION("""COMPUTED_VALUE"""),"BESUR RT 005 RW 003 SEKARAN LAMONGAN")</f>
        <v>BESUR RT 005 RW 003 SEKARAN LAMONGAN</v>
      </c>
      <c r="G175" s="28" t="str">
        <f>IFERROR(__xludf.DUMMYFUNCTION("""COMPUTED_VALUE"""),"MA-XI.4")</f>
        <v>MA-XI.4</v>
      </c>
      <c r="H175" s="28" t="str">
        <f>IFERROR(__xludf.DUMMYFUNCTION("""COMPUTED_VALUE"""),"C")</f>
        <v>C</v>
      </c>
      <c r="I175" s="28" t="str">
        <f>IFERROR(__xludf.DUMMYFUNCTION("""COMPUTED_VALUE"""),"C-10")</f>
        <v>C-10</v>
      </c>
      <c r="J175" s="28">
        <f>IFERROR(__xludf.DUMMYFUNCTION("""COMPUTED_VALUE"""),2.0)</f>
        <v>2</v>
      </c>
      <c r="K175" s="28" t="str">
        <f>IFERROR(__xludf.DUMMYFUNCTION("""COMPUTED_VALUE"""),"2 WUSTHO D PUTRI")</f>
        <v>2 WUSTHO D PUTRI</v>
      </c>
      <c r="L175" s="29" t="str">
        <f>IFERROR(__xludf.DUMMYFUNCTION("""COMPUTED_VALUE"""),"6285853464204")</f>
        <v>6285853464204</v>
      </c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2">
        <f>IFERROR(__xludf.DUMMYFUNCTION("""COMPUTED_VALUE"""),500000.0)</f>
        <v>500000</v>
      </c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2">
        <f>IFERROR(__xludf.DUMMYFUNCTION("""COMPUTED_VALUE"""),500000.0)</f>
        <v>500000</v>
      </c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2">
        <f>IFERROR(__xludf.DUMMYFUNCTION("""COMPUTED_VALUE"""),0.0)</f>
        <v>0</v>
      </c>
      <c r="BD175" s="22">
        <f>IFERROR(__xludf.DUMMYFUNCTION("""COMPUTED_VALUE"""),1000000.0)</f>
        <v>1000000</v>
      </c>
      <c r="BE175" s="22">
        <f>IFERROR(__xludf.DUMMYFUNCTION("""COMPUTED_VALUE"""),0.0)</f>
        <v>0</v>
      </c>
      <c r="BF175" s="22">
        <f>IFERROR(__xludf.DUMMYFUNCTION("""COMPUTED_VALUE"""),1000000.0)</f>
        <v>1000000</v>
      </c>
    </row>
    <row r="176">
      <c r="A176" s="27">
        <f>IFERROR(__xludf.DUMMYFUNCTION("""COMPUTED_VALUE"""),175.0)</f>
        <v>175</v>
      </c>
      <c r="B176" s="28" t="str">
        <f>IFERROR(__xludf.DUMMYFUNCTION("""COMPUTED_VALUE"""),"ASYIFAH KAMILATUN NI`AMI")</f>
        <v>ASYIFAH KAMILATUN NI`AMI</v>
      </c>
      <c r="C176" s="28">
        <f>IFERROR(__xludf.DUMMYFUNCTION("""COMPUTED_VALUE"""),2.025070494E9)</f>
        <v>2025070494</v>
      </c>
      <c r="D176" s="28" t="str">
        <f>IFERROR(__xludf.DUMMYFUNCTION("""COMPUTED_VALUE"""),"ASNAWI")</f>
        <v>ASNAWI</v>
      </c>
      <c r="E176" s="28" t="str">
        <f>IFERROR(__xludf.DUMMYFUNCTION("""COMPUTED_VALUE"""),"ERNA EKONAWATI")</f>
        <v>ERNA EKONAWATI</v>
      </c>
      <c r="F176" s="28" t="str">
        <f>IFERROR(__xludf.DUMMYFUNCTION("""COMPUTED_VALUE"""),"DORO KARANGWEDORO RT 007 RW 003 TURI LAMONGAN")</f>
        <v>DORO KARANGWEDORO RT 007 RW 003 TURI LAMONGAN</v>
      </c>
      <c r="G176" s="28" t="str">
        <f>IFERROR(__xludf.DUMMYFUNCTION("""COMPUTED_VALUE"""),"SMP-VIII A")</f>
        <v>SMP-VIII A</v>
      </c>
      <c r="H176" s="28" t="str">
        <f>IFERROR(__xludf.DUMMYFUNCTION("""COMPUTED_VALUE"""),"C")</f>
        <v>C</v>
      </c>
      <c r="I176" s="28" t="str">
        <f>IFERROR(__xludf.DUMMYFUNCTION("""COMPUTED_VALUE"""),"C-12")</f>
        <v>C-12</v>
      </c>
      <c r="J176" s="28">
        <f>IFERROR(__xludf.DUMMYFUNCTION("""COMPUTED_VALUE"""),2.0)</f>
        <v>2</v>
      </c>
      <c r="K176" s="28" t="str">
        <f>IFERROR(__xludf.DUMMYFUNCTION("""COMPUTED_VALUE"""),"2 ULA B PUTRI")</f>
        <v>2 ULA B PUTRI</v>
      </c>
      <c r="L176" s="29" t="str">
        <f>IFERROR(__xludf.DUMMYFUNCTION("""COMPUTED_VALUE"""),"6285812349021")</f>
        <v>6285812349021</v>
      </c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2">
        <f>IFERROR(__xludf.DUMMYFUNCTION("""COMPUTED_VALUE"""),500000.0)</f>
        <v>500000</v>
      </c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2">
        <f>IFERROR(__xludf.DUMMYFUNCTION("""COMPUTED_VALUE"""),500000.0)</f>
        <v>500000</v>
      </c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2">
        <f>IFERROR(__xludf.DUMMYFUNCTION("""COMPUTED_VALUE"""),0.0)</f>
        <v>0</v>
      </c>
      <c r="BD176" s="22">
        <f>IFERROR(__xludf.DUMMYFUNCTION("""COMPUTED_VALUE"""),1000000.0)</f>
        <v>1000000</v>
      </c>
      <c r="BE176" s="22">
        <f>IFERROR(__xludf.DUMMYFUNCTION("""COMPUTED_VALUE"""),0.0)</f>
        <v>0</v>
      </c>
      <c r="BF176" s="22">
        <f>IFERROR(__xludf.DUMMYFUNCTION("""COMPUTED_VALUE"""),1000000.0)</f>
        <v>1000000</v>
      </c>
    </row>
    <row r="177">
      <c r="A177" s="27">
        <f>IFERROR(__xludf.DUMMYFUNCTION("""COMPUTED_VALUE"""),176.0)</f>
        <v>176</v>
      </c>
      <c r="B177" s="28" t="str">
        <f>IFERROR(__xludf.DUMMYFUNCTION("""COMPUTED_VALUE"""),"ATIKA NIDYA SHOFWA")</f>
        <v>ATIKA NIDYA SHOFWA</v>
      </c>
      <c r="C177" s="28">
        <f>IFERROR(__xludf.DUMMYFUNCTION("""COMPUTED_VALUE"""),2.025070275E9)</f>
        <v>2025070275</v>
      </c>
      <c r="D177" s="28" t="str">
        <f>IFERROR(__xludf.DUMMYFUNCTION("""COMPUTED_VALUE"""),"ABDUL MUJIB")</f>
        <v>ABDUL MUJIB</v>
      </c>
      <c r="E177" s="28" t="str">
        <f>IFERROR(__xludf.DUMMYFUNCTION("""COMPUTED_VALUE"""),"SUMARNI")</f>
        <v>SUMARNI</v>
      </c>
      <c r="F177" s="28" t="str">
        <f>IFERROR(__xludf.DUMMYFUNCTION("""COMPUTED_VALUE"""),"WOTAN RT 009 RW 003 PANCENG GRESIK")</f>
        <v>WOTAN RT 009 RW 003 PANCENG GRESIK</v>
      </c>
      <c r="G177" s="28" t="str">
        <f>IFERROR(__xludf.DUMMYFUNCTION("""COMPUTED_VALUE"""),"MA-XI.1")</f>
        <v>MA-XI.1</v>
      </c>
      <c r="H177" s="28" t="str">
        <f>IFERROR(__xludf.DUMMYFUNCTION("""COMPUTED_VALUE"""),"C")</f>
        <v>C</v>
      </c>
      <c r="I177" s="28" t="str">
        <f>IFERROR(__xludf.DUMMYFUNCTION("""COMPUTED_VALUE"""),"C-6")</f>
        <v>C-6</v>
      </c>
      <c r="J177" s="28">
        <f>IFERROR(__xludf.DUMMYFUNCTION("""COMPUTED_VALUE"""),2.0)</f>
        <v>2</v>
      </c>
      <c r="K177" s="28" t="str">
        <f>IFERROR(__xludf.DUMMYFUNCTION("""COMPUTED_VALUE"""),"TAHFIDZ")</f>
        <v>TAHFIDZ</v>
      </c>
      <c r="L177" s="29" t="str">
        <f>IFERROR(__xludf.DUMMYFUNCTION("""COMPUTED_VALUE"""),"6282140161650")</f>
        <v>6282140161650</v>
      </c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2" t="str">
        <f>IFERROR(__xludf.DUMMYFUNCTION("""COMPUTED_VALUE"""),"    ")</f>
        <v>    </v>
      </c>
      <c r="AB177" s="22">
        <f>IFERROR(__xludf.DUMMYFUNCTION("""COMPUTED_VALUE"""),500000.0)</f>
        <v>500000</v>
      </c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2">
        <f>IFERROR(__xludf.DUMMYFUNCTION("""COMPUTED_VALUE"""),500000.0)</f>
        <v>500000</v>
      </c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2">
        <f>IFERROR(__xludf.DUMMYFUNCTION("""COMPUTED_VALUE"""),0.0)</f>
        <v>0</v>
      </c>
      <c r="BD177" s="22">
        <f>IFERROR(__xludf.DUMMYFUNCTION("""COMPUTED_VALUE"""),1000000.0)</f>
        <v>1000000</v>
      </c>
      <c r="BE177" s="22" t="str">
        <f>IFERROR(__xludf.DUMMYFUNCTION("""COMPUTED_VALUE"""),"#VALUE!")</f>
        <v>#VALUE!</v>
      </c>
      <c r="BF177" s="22" t="str">
        <f>IFERROR(__xludf.DUMMYFUNCTION("""COMPUTED_VALUE"""),"#VALUE!")</f>
        <v>#VALUE!</v>
      </c>
    </row>
    <row r="178">
      <c r="A178" s="27">
        <f>IFERROR(__xludf.DUMMYFUNCTION("""COMPUTED_VALUE"""),177.0)</f>
        <v>177</v>
      </c>
      <c r="B178" s="28" t="str">
        <f>IFERROR(__xludf.DUMMYFUNCTION("""COMPUTED_VALUE"""),"AULIA SARAH RAHMAWATI")</f>
        <v>AULIA SARAH RAHMAWATI</v>
      </c>
      <c r="C178" s="28">
        <f>IFERROR(__xludf.DUMMYFUNCTION("""COMPUTED_VALUE"""),2.025070561E9)</f>
        <v>2025070561</v>
      </c>
      <c r="D178" s="28" t="str">
        <f>IFERROR(__xludf.DUMMYFUNCTION("""COMPUTED_VALUE"""),"ASRODI")</f>
        <v>ASRODI</v>
      </c>
      <c r="E178" s="28" t="str">
        <f>IFERROR(__xludf.DUMMYFUNCTION("""COMPUTED_VALUE"""),"RUPIATUN")</f>
        <v>RUPIATUN</v>
      </c>
      <c r="F178" s="28" t="str">
        <f>IFERROR(__xludf.DUMMYFUNCTION("""COMPUTED_VALUE"""),"KEDIREN RT 002 RW 001 KALITENGAH LAMONGAN")</f>
        <v>KEDIREN RT 002 RW 001 KALITENGAH LAMONGAN</v>
      </c>
      <c r="G178" s="28" t="str">
        <f>IFERROR(__xludf.DUMMYFUNCTION("""COMPUTED_VALUE"""),"MTS-8 G")</f>
        <v>MTS-8 G</v>
      </c>
      <c r="H178" s="28" t="str">
        <f>IFERROR(__xludf.DUMMYFUNCTION("""COMPUTED_VALUE"""),"C")</f>
        <v>C</v>
      </c>
      <c r="I178" s="28" t="str">
        <f>IFERROR(__xludf.DUMMYFUNCTION("""COMPUTED_VALUE"""),"C-12")</f>
        <v>C-12</v>
      </c>
      <c r="J178" s="28">
        <f>IFERROR(__xludf.DUMMYFUNCTION("""COMPUTED_VALUE"""),2.0)</f>
        <v>2</v>
      </c>
      <c r="K178" s="28" t="str">
        <f>IFERROR(__xludf.DUMMYFUNCTION("""COMPUTED_VALUE"""),"2 ULA B PUTRI")</f>
        <v>2 ULA B PUTRI</v>
      </c>
      <c r="L178" s="29" t="str">
        <f>IFERROR(__xludf.DUMMYFUNCTION("""COMPUTED_VALUE"""),"6285804221107")</f>
        <v>6285804221107</v>
      </c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2">
        <f>IFERROR(__xludf.DUMMYFUNCTION("""COMPUTED_VALUE"""),500000.0)</f>
        <v>500000</v>
      </c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2">
        <f>IFERROR(__xludf.DUMMYFUNCTION("""COMPUTED_VALUE"""),500000.0)</f>
        <v>500000</v>
      </c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2">
        <f>IFERROR(__xludf.DUMMYFUNCTION("""COMPUTED_VALUE"""),0.0)</f>
        <v>0</v>
      </c>
      <c r="BD178" s="22">
        <f>IFERROR(__xludf.DUMMYFUNCTION("""COMPUTED_VALUE"""),1000000.0)</f>
        <v>1000000</v>
      </c>
      <c r="BE178" s="22">
        <f>IFERROR(__xludf.DUMMYFUNCTION("""COMPUTED_VALUE"""),0.0)</f>
        <v>0</v>
      </c>
      <c r="BF178" s="22">
        <f>IFERROR(__xludf.DUMMYFUNCTION("""COMPUTED_VALUE"""),1000000.0)</f>
        <v>1000000</v>
      </c>
    </row>
    <row r="179">
      <c r="A179" s="27">
        <f>IFERROR(__xludf.DUMMYFUNCTION("""COMPUTED_VALUE"""),178.0)</f>
        <v>178</v>
      </c>
      <c r="B179" s="28" t="str">
        <f>IFERROR(__xludf.DUMMYFUNCTION("""COMPUTED_VALUE"""),"AULIYA QONITA ALMAIRA")</f>
        <v>AULIYA QONITA ALMAIRA</v>
      </c>
      <c r="C179" s="28">
        <f>IFERROR(__xludf.DUMMYFUNCTION("""COMPUTED_VALUE"""),2.025070547E9)</f>
        <v>2025070547</v>
      </c>
      <c r="D179" s="28" t="str">
        <f>IFERROR(__xludf.DUMMYFUNCTION("""COMPUTED_VALUE"""),"MAHMUDIN")</f>
        <v>MAHMUDIN</v>
      </c>
      <c r="E179" s="28" t="str">
        <f>IFERROR(__xludf.DUMMYFUNCTION("""COMPUTED_VALUE"""),"MUSLICHAH")</f>
        <v>MUSLICHAH</v>
      </c>
      <c r="F179" s="28" t="str">
        <f>IFERROR(__xludf.DUMMYFUNCTION("""COMPUTED_VALUE"""),"BADU BADURAME RT 001 RW 004 TURI LAMONGAN")</f>
        <v>BADU BADURAME RT 001 RW 004 TURI LAMONGAN</v>
      </c>
      <c r="G179" s="28" t="str">
        <f>IFERROR(__xludf.DUMMYFUNCTION("""COMPUTED_VALUE"""),"MTS-8 B")</f>
        <v>MTS-8 B</v>
      </c>
      <c r="H179" s="28" t="str">
        <f>IFERROR(__xludf.DUMMYFUNCTION("""COMPUTED_VALUE"""),"C")</f>
        <v>C</v>
      </c>
      <c r="I179" s="28" t="str">
        <f>IFERROR(__xludf.DUMMYFUNCTION("""COMPUTED_VALUE"""),"C-12")</f>
        <v>C-12</v>
      </c>
      <c r="J179" s="28">
        <f>IFERROR(__xludf.DUMMYFUNCTION("""COMPUTED_VALUE"""),2.0)</f>
        <v>2</v>
      </c>
      <c r="K179" s="28" t="str">
        <f>IFERROR(__xludf.DUMMYFUNCTION("""COMPUTED_VALUE"""),"2 ULA B PUTRI")</f>
        <v>2 ULA B PUTRI</v>
      </c>
      <c r="L179" s="29" t="str">
        <f>IFERROR(__xludf.DUMMYFUNCTION("""COMPUTED_VALUE"""),"6283870992471")</f>
        <v>6283870992471</v>
      </c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2">
        <f>IFERROR(__xludf.DUMMYFUNCTION("""COMPUTED_VALUE"""),450000.0)</f>
        <v>450000</v>
      </c>
      <c r="AA179" s="28"/>
      <c r="AB179" s="22">
        <f>IFERROR(__xludf.DUMMYFUNCTION("""COMPUTED_VALUE"""),500000.0)</f>
        <v>500000</v>
      </c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2">
        <f>IFERROR(__xludf.DUMMYFUNCTION("""COMPUTED_VALUE"""),500000.0)</f>
        <v>500000</v>
      </c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2">
        <f>IFERROR(__xludf.DUMMYFUNCTION("""COMPUTED_VALUE"""),450000.0)</f>
        <v>450000</v>
      </c>
      <c r="BD179" s="22">
        <f>IFERROR(__xludf.DUMMYFUNCTION("""COMPUTED_VALUE"""),1000000.0)</f>
        <v>1000000</v>
      </c>
      <c r="BE179" s="22">
        <f>IFERROR(__xludf.DUMMYFUNCTION("""COMPUTED_VALUE"""),0.0)</f>
        <v>0</v>
      </c>
      <c r="BF179" s="22">
        <f>IFERROR(__xludf.DUMMYFUNCTION("""COMPUTED_VALUE"""),1450000.0)</f>
        <v>1450000</v>
      </c>
    </row>
    <row r="180">
      <c r="A180" s="27">
        <f>IFERROR(__xludf.DUMMYFUNCTION("""COMPUTED_VALUE"""),179.0)</f>
        <v>179</v>
      </c>
      <c r="B180" s="28" t="str">
        <f>IFERROR(__xludf.DUMMYFUNCTION("""COMPUTED_VALUE"""),"AZZA ULFHIEYANNA FATYYN")</f>
        <v>AZZA ULFHIEYANNA FATYYN</v>
      </c>
      <c r="C180" s="28">
        <f>IFERROR(__xludf.DUMMYFUNCTION("""COMPUTED_VALUE"""),2.025070565E9)</f>
        <v>2025070565</v>
      </c>
      <c r="D180" s="28" t="str">
        <f>IFERROR(__xludf.DUMMYFUNCTION("""COMPUTED_VALUE"""),"RUMIJO")</f>
        <v>RUMIJO</v>
      </c>
      <c r="E180" s="28" t="str">
        <f>IFERROR(__xludf.DUMMYFUNCTION("""COMPUTED_VALUE"""),"KARIYANTI")</f>
        <v>KARIYANTI</v>
      </c>
      <c r="F180" s="28" t="str">
        <f>IFERROR(__xludf.DUMMYFUNCTION("""COMPUTED_VALUE"""),"KEDIREN RT 001 RW 001 KALITENGAH LAMONGAN")</f>
        <v>KEDIREN RT 001 RW 001 KALITENGAH LAMONGAN</v>
      </c>
      <c r="G180" s="28" t="str">
        <f>IFERROR(__xludf.DUMMYFUNCTION("""COMPUTED_VALUE"""),"MTS-8 F")</f>
        <v>MTS-8 F</v>
      </c>
      <c r="H180" s="28" t="str">
        <f>IFERROR(__xludf.DUMMYFUNCTION("""COMPUTED_VALUE"""),"C")</f>
        <v>C</v>
      </c>
      <c r="I180" s="28" t="str">
        <f>IFERROR(__xludf.DUMMYFUNCTION("""COMPUTED_VALUE"""),"C-12")</f>
        <v>C-12</v>
      </c>
      <c r="J180" s="28">
        <f>IFERROR(__xludf.DUMMYFUNCTION("""COMPUTED_VALUE"""),2.0)</f>
        <v>2</v>
      </c>
      <c r="K180" s="28" t="str">
        <f>IFERROR(__xludf.DUMMYFUNCTION("""COMPUTED_VALUE"""),"2 ULA C PUTRI")</f>
        <v>2 ULA C PUTRI</v>
      </c>
      <c r="L180" s="29" t="str">
        <f>IFERROR(__xludf.DUMMYFUNCTION("""COMPUTED_VALUE"""),"6285785367894")</f>
        <v>6285785367894</v>
      </c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2">
        <f>IFERROR(__xludf.DUMMYFUNCTION("""COMPUTED_VALUE"""),0.0)</f>
        <v>0</v>
      </c>
      <c r="BD180" s="22">
        <f>IFERROR(__xludf.DUMMYFUNCTION("""COMPUTED_VALUE"""),0.0)</f>
        <v>0</v>
      </c>
      <c r="BE180" s="22">
        <f>IFERROR(__xludf.DUMMYFUNCTION("""COMPUTED_VALUE"""),0.0)</f>
        <v>0</v>
      </c>
      <c r="BF180" s="22">
        <f>IFERROR(__xludf.DUMMYFUNCTION("""COMPUTED_VALUE"""),0.0)</f>
        <v>0</v>
      </c>
    </row>
    <row r="181">
      <c r="A181" s="27">
        <f>IFERROR(__xludf.DUMMYFUNCTION("""COMPUTED_VALUE"""),180.0)</f>
        <v>180</v>
      </c>
      <c r="B181" s="28" t="str">
        <f>IFERROR(__xludf.DUMMYFUNCTION("""COMPUTED_VALUE"""),"BISSILMIKAAFA AULIA")</f>
        <v>BISSILMIKAAFA AULIA</v>
      </c>
      <c r="C181" s="28">
        <f>IFERROR(__xludf.DUMMYFUNCTION("""COMPUTED_VALUE"""),2.025070323E9)</f>
        <v>2025070323</v>
      </c>
      <c r="D181" s="28" t="str">
        <f>IFERROR(__xludf.DUMMYFUNCTION("""COMPUTED_VALUE"""),"KUSENO")</f>
        <v>KUSENO</v>
      </c>
      <c r="E181" s="28" t="str">
        <f>IFERROR(__xludf.DUMMYFUNCTION("""COMPUTED_VALUE"""),"NURUL FATMAWATI")</f>
        <v>NURUL FATMAWATI</v>
      </c>
      <c r="F181" s="28" t="str">
        <f>IFERROR(__xludf.DUMMYFUNCTION("""COMPUTED_VALUE"""),"TEBLURU RT 006 RW 001 SOLOKURO LAMONGAN")</f>
        <v>TEBLURU RT 006 RW 001 SOLOKURO LAMONGAN</v>
      </c>
      <c r="G181" s="28" t="str">
        <f>IFERROR(__xludf.DUMMYFUNCTION("""COMPUTED_VALUE"""),"MA-XI.11")</f>
        <v>MA-XI.11</v>
      </c>
      <c r="H181" s="28" t="str">
        <f>IFERROR(__xludf.DUMMYFUNCTION("""COMPUTED_VALUE"""),"C")</f>
        <v>C</v>
      </c>
      <c r="I181" s="28" t="str">
        <f>IFERROR(__xludf.DUMMYFUNCTION("""COMPUTED_VALUE"""),"C-10")</f>
        <v>C-10</v>
      </c>
      <c r="J181" s="28">
        <f>IFERROR(__xludf.DUMMYFUNCTION("""COMPUTED_VALUE"""),2.0)</f>
        <v>2</v>
      </c>
      <c r="K181" s="28" t="str">
        <f>IFERROR(__xludf.DUMMYFUNCTION("""COMPUTED_VALUE"""),"2 WUSTHO C PUTRI")</f>
        <v>2 WUSTHO C PUTRI</v>
      </c>
      <c r="L181" s="29" t="str">
        <f>IFERROR(__xludf.DUMMYFUNCTION("""COMPUTED_VALUE"""),"6285706493322")</f>
        <v>6285706493322</v>
      </c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2">
        <f>IFERROR(__xludf.DUMMYFUNCTION("""COMPUTED_VALUE"""),500000.0)</f>
        <v>500000</v>
      </c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2">
        <f>IFERROR(__xludf.DUMMYFUNCTION("""COMPUTED_VALUE"""),500000.0)</f>
        <v>500000</v>
      </c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2">
        <f>IFERROR(__xludf.DUMMYFUNCTION("""COMPUTED_VALUE"""),0.0)</f>
        <v>0</v>
      </c>
      <c r="BD181" s="22">
        <f>IFERROR(__xludf.DUMMYFUNCTION("""COMPUTED_VALUE"""),1000000.0)</f>
        <v>1000000</v>
      </c>
      <c r="BE181" s="22">
        <f>IFERROR(__xludf.DUMMYFUNCTION("""COMPUTED_VALUE"""),0.0)</f>
        <v>0</v>
      </c>
      <c r="BF181" s="22">
        <f>IFERROR(__xludf.DUMMYFUNCTION("""COMPUTED_VALUE"""),1000000.0)</f>
        <v>1000000</v>
      </c>
    </row>
    <row r="182">
      <c r="A182" s="27">
        <f>IFERROR(__xludf.DUMMYFUNCTION("""COMPUTED_VALUE"""),181.0)</f>
        <v>181</v>
      </c>
      <c r="B182" s="28" t="str">
        <f>IFERROR(__xludf.DUMMYFUNCTION("""COMPUTED_VALUE"""),"BUNGA OKTAVIA SASKIA")</f>
        <v>BUNGA OKTAVIA SASKIA</v>
      </c>
      <c r="C182" s="28">
        <f>IFERROR(__xludf.DUMMYFUNCTION("""COMPUTED_VALUE"""),2.025070622E9)</f>
        <v>2025070622</v>
      </c>
      <c r="D182" s="28" t="str">
        <f>IFERROR(__xludf.DUMMYFUNCTION("""COMPUTED_VALUE"""),"HUSNAN MARZUQI")</f>
        <v>HUSNAN MARZUQI</v>
      </c>
      <c r="E182" s="28" t="str">
        <f>IFERROR(__xludf.DUMMYFUNCTION("""COMPUTED_VALUE"""),"SITI UMAYAH")</f>
        <v>SITI UMAYAH</v>
      </c>
      <c r="F182" s="28" t="str">
        <f>IFERROR(__xludf.DUMMYFUNCTION("""COMPUTED_VALUE"""),"UJUNG KRAWANG PULO GEBANG RT 009 RW 005 CAKUNG JAKARTA TIMUR")</f>
        <v>UJUNG KRAWANG PULO GEBANG RT 009 RW 005 CAKUNG JAKARTA TIMUR</v>
      </c>
      <c r="G182" s="28" t="str">
        <f>IFERROR(__xludf.DUMMYFUNCTION("""COMPUTED_VALUE"""),"MTS-8 D")</f>
        <v>MTS-8 D</v>
      </c>
      <c r="H182" s="28" t="str">
        <f>IFERROR(__xludf.DUMMYFUNCTION("""COMPUTED_VALUE"""),"C")</f>
        <v>C</v>
      </c>
      <c r="I182" s="28" t="str">
        <f>IFERROR(__xludf.DUMMYFUNCTION("""COMPUTED_VALUE"""),"C-12")</f>
        <v>C-12</v>
      </c>
      <c r="J182" s="28">
        <f>IFERROR(__xludf.DUMMYFUNCTION("""COMPUTED_VALUE"""),2.0)</f>
        <v>2</v>
      </c>
      <c r="K182" s="28" t="str">
        <f>IFERROR(__xludf.DUMMYFUNCTION("""COMPUTED_VALUE"""),"2 ULA C PUTRI")</f>
        <v>2 ULA C PUTRI</v>
      </c>
      <c r="L182" s="29" t="str">
        <f>IFERROR(__xludf.DUMMYFUNCTION("""COMPUTED_VALUE"""),"6282334563206")</f>
        <v>6282334563206</v>
      </c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2">
        <f>IFERROR(__xludf.DUMMYFUNCTION("""COMPUTED_VALUE"""),450000.0)</f>
        <v>450000</v>
      </c>
      <c r="AA182" s="28"/>
      <c r="AB182" s="22">
        <f>IFERROR(__xludf.DUMMYFUNCTION("""COMPUTED_VALUE"""),500000.0)</f>
        <v>500000</v>
      </c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2">
        <f>IFERROR(__xludf.DUMMYFUNCTION("""COMPUTED_VALUE"""),500000.0)</f>
        <v>500000</v>
      </c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2">
        <f>IFERROR(__xludf.DUMMYFUNCTION("""COMPUTED_VALUE"""),450000.0)</f>
        <v>450000</v>
      </c>
      <c r="BD182" s="22">
        <f>IFERROR(__xludf.DUMMYFUNCTION("""COMPUTED_VALUE"""),1000000.0)</f>
        <v>1000000</v>
      </c>
      <c r="BE182" s="22">
        <f>IFERROR(__xludf.DUMMYFUNCTION("""COMPUTED_VALUE"""),0.0)</f>
        <v>0</v>
      </c>
      <c r="BF182" s="22">
        <f>IFERROR(__xludf.DUMMYFUNCTION("""COMPUTED_VALUE"""),1450000.0)</f>
        <v>1450000</v>
      </c>
    </row>
    <row r="183">
      <c r="A183" s="27">
        <f>IFERROR(__xludf.DUMMYFUNCTION("""COMPUTED_VALUE"""),182.0)</f>
        <v>182</v>
      </c>
      <c r="B183" s="28" t="str">
        <f>IFERROR(__xludf.DUMMYFUNCTION("""COMPUTED_VALUE"""),"CHAVINA MUFIDAH HARIYANTO")</f>
        <v>CHAVINA MUFIDAH HARIYANTO</v>
      </c>
      <c r="C183" s="28">
        <f>IFERROR(__xludf.DUMMYFUNCTION("""COMPUTED_VALUE"""),2.025070113E9)</f>
        <v>2025070113</v>
      </c>
      <c r="D183" s="28" t="str">
        <f>IFERROR(__xludf.DUMMYFUNCTION("""COMPUTED_VALUE"""),"BAMBANG HARIYANTO")</f>
        <v>BAMBANG HARIYANTO</v>
      </c>
      <c r="E183" s="28" t="str">
        <f>IFERROR(__xludf.DUMMYFUNCTION("""COMPUTED_VALUE"""),"YULIA MAGHFIROH")</f>
        <v>YULIA MAGHFIROH</v>
      </c>
      <c r="F183" s="28" t="str">
        <f>IFERROR(__xludf.DUMMYFUNCTION("""COMPUTED_VALUE"""),"SEMPU DRADAHBLUMBANG RT 003 RW 010 KEDUNGPRING LAMONGAN")</f>
        <v>SEMPU DRADAHBLUMBANG RT 003 RW 010 KEDUNGPRING LAMONGAN</v>
      </c>
      <c r="G183" s="28" t="str">
        <f>IFERROR(__xludf.DUMMYFUNCTION("""COMPUTED_VALUE"""),"MA-XI.11")</f>
        <v>MA-XI.11</v>
      </c>
      <c r="H183" s="28" t="str">
        <f>IFERROR(__xludf.DUMMYFUNCTION("""COMPUTED_VALUE"""),"C")</f>
        <v>C</v>
      </c>
      <c r="I183" s="28" t="str">
        <f>IFERROR(__xludf.DUMMYFUNCTION("""COMPUTED_VALUE"""),"C-10")</f>
        <v>C-10</v>
      </c>
      <c r="J183" s="28">
        <f>IFERROR(__xludf.DUMMYFUNCTION("""COMPUTED_VALUE"""),2.0)</f>
        <v>2</v>
      </c>
      <c r="K183" s="28" t="str">
        <f>IFERROR(__xludf.DUMMYFUNCTION("""COMPUTED_VALUE"""),"2 WUSTHO B PUTRI")</f>
        <v>2 WUSTHO B PUTRI</v>
      </c>
      <c r="L183" s="29" t="str">
        <f>IFERROR(__xludf.DUMMYFUNCTION("""COMPUTED_VALUE"""),"6281235578444")</f>
        <v>6281235578444</v>
      </c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2">
        <f>IFERROR(__xludf.DUMMYFUNCTION("""COMPUTED_VALUE"""),0.0)</f>
        <v>0</v>
      </c>
      <c r="BD183" s="22">
        <f>IFERROR(__xludf.DUMMYFUNCTION("""COMPUTED_VALUE"""),0.0)</f>
        <v>0</v>
      </c>
      <c r="BE183" s="22">
        <f>IFERROR(__xludf.DUMMYFUNCTION("""COMPUTED_VALUE"""),0.0)</f>
        <v>0</v>
      </c>
      <c r="BF183" s="22">
        <f>IFERROR(__xludf.DUMMYFUNCTION("""COMPUTED_VALUE"""),0.0)</f>
        <v>0</v>
      </c>
    </row>
    <row r="184">
      <c r="A184" s="27">
        <f>IFERROR(__xludf.DUMMYFUNCTION("""COMPUTED_VALUE"""),183.0)</f>
        <v>183</v>
      </c>
      <c r="B184" s="28" t="str">
        <f>IFERROR(__xludf.DUMMYFUNCTION("""COMPUTED_VALUE"""),"CIKA YULISTINA ADILATUZ ZAFIRAH LI`IZZATI")</f>
        <v>CIKA YULISTINA ADILATUZ ZAFIRAH LI`IZZATI</v>
      </c>
      <c r="C184" s="28">
        <f>IFERROR(__xludf.DUMMYFUNCTION("""COMPUTED_VALUE"""),2.025070214E9)</f>
        <v>2025070214</v>
      </c>
      <c r="D184" s="28" t="str">
        <f>IFERROR(__xludf.DUMMYFUNCTION("""COMPUTED_VALUE"""),"MIFTAHUL ARIF")</f>
        <v>MIFTAHUL ARIF</v>
      </c>
      <c r="E184" s="28" t="str">
        <f>IFERROR(__xludf.DUMMYFUNCTION("""COMPUTED_VALUE"""),"QONI`AH")</f>
        <v>QONI`AH</v>
      </c>
      <c r="F184" s="28" t="str">
        <f>IFERROR(__xludf.DUMMYFUNCTION("""COMPUTED_VALUE"""),"WONOKERTO RT 012 RW 003 DUKUN GRESIK")</f>
        <v>WONOKERTO RT 012 RW 003 DUKUN GRESIK</v>
      </c>
      <c r="G184" s="28" t="str">
        <f>IFERROR(__xludf.DUMMYFUNCTION("""COMPUTED_VALUE"""),"MA-XI.2")</f>
        <v>MA-XI.2</v>
      </c>
      <c r="H184" s="28" t="str">
        <f>IFERROR(__xludf.DUMMYFUNCTION("""COMPUTED_VALUE"""),"C")</f>
        <v>C</v>
      </c>
      <c r="I184" s="28" t="str">
        <f>IFERROR(__xludf.DUMMYFUNCTION("""COMPUTED_VALUE"""),"C-6")</f>
        <v>C-6</v>
      </c>
      <c r="J184" s="28">
        <f>IFERROR(__xludf.DUMMYFUNCTION("""COMPUTED_VALUE"""),2.0)</f>
        <v>2</v>
      </c>
      <c r="K184" s="28" t="str">
        <f>IFERROR(__xludf.DUMMYFUNCTION("""COMPUTED_VALUE"""),"2 WUSTHO B PUTRI")</f>
        <v>2 WUSTHO B PUTRI</v>
      </c>
      <c r="L184" s="29" t="str">
        <f>IFERROR(__xludf.DUMMYFUNCTION("""COMPUTED_VALUE"""),"6285732533877")</f>
        <v>6285732533877</v>
      </c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2">
        <f>IFERROR(__xludf.DUMMYFUNCTION("""COMPUTED_VALUE"""),500000.0)</f>
        <v>500000</v>
      </c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2">
        <f>IFERROR(__xludf.DUMMYFUNCTION("""COMPUTED_VALUE"""),500000.0)</f>
        <v>500000</v>
      </c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2">
        <f>IFERROR(__xludf.DUMMYFUNCTION("""COMPUTED_VALUE"""),0.0)</f>
        <v>0</v>
      </c>
      <c r="BD184" s="22">
        <f>IFERROR(__xludf.DUMMYFUNCTION("""COMPUTED_VALUE"""),1000000.0)</f>
        <v>1000000</v>
      </c>
      <c r="BE184" s="22">
        <f>IFERROR(__xludf.DUMMYFUNCTION("""COMPUTED_VALUE"""),0.0)</f>
        <v>0</v>
      </c>
      <c r="BF184" s="22">
        <f>IFERROR(__xludf.DUMMYFUNCTION("""COMPUTED_VALUE"""),1000000.0)</f>
        <v>1000000</v>
      </c>
    </row>
    <row r="185">
      <c r="A185" s="27">
        <f>IFERROR(__xludf.DUMMYFUNCTION("""COMPUTED_VALUE"""),184.0)</f>
        <v>184</v>
      </c>
      <c r="B185" s="28" t="str">
        <f>IFERROR(__xludf.DUMMYFUNCTION("""COMPUTED_VALUE"""),"DAFINAH ALISHA BATRISYA HARIANTO")</f>
        <v>DAFINAH ALISHA BATRISYA HARIANTO</v>
      </c>
      <c r="C185" s="28">
        <f>IFERROR(__xludf.DUMMYFUNCTION("""COMPUTED_VALUE"""),2.025070514E9)</f>
        <v>2025070514</v>
      </c>
      <c r="D185" s="28" t="str">
        <f>IFERROR(__xludf.DUMMYFUNCTION("""COMPUTED_VALUE"""),"HARIANTO")</f>
        <v>HARIANTO</v>
      </c>
      <c r="E185" s="28" t="str">
        <f>IFERROR(__xludf.DUMMYFUNCTION("""COMPUTED_VALUE"""),"SUNARTI")</f>
        <v>SUNARTI</v>
      </c>
      <c r="F185" s="28" t="str">
        <f>IFERROR(__xludf.DUMMYFUNCTION("""COMPUTED_VALUE"""),"CANDIPARI TAMBAKPLOSO RT 003 RW 001 TURI LAMONGAN")</f>
        <v>CANDIPARI TAMBAKPLOSO RT 003 RW 001 TURI LAMONGAN</v>
      </c>
      <c r="G185" s="28" t="str">
        <f>IFERROR(__xludf.DUMMYFUNCTION("""COMPUTED_VALUE"""),"MTS-8 D")</f>
        <v>MTS-8 D</v>
      </c>
      <c r="H185" s="28" t="str">
        <f>IFERROR(__xludf.DUMMYFUNCTION("""COMPUTED_VALUE"""),"C")</f>
        <v>C</v>
      </c>
      <c r="I185" s="28" t="str">
        <f>IFERROR(__xludf.DUMMYFUNCTION("""COMPUTED_VALUE"""),"C-13")</f>
        <v>C-13</v>
      </c>
      <c r="J185" s="28">
        <f>IFERROR(__xludf.DUMMYFUNCTION("""COMPUTED_VALUE"""),2.0)</f>
        <v>2</v>
      </c>
      <c r="K185" s="28" t="str">
        <f>IFERROR(__xludf.DUMMYFUNCTION("""COMPUTED_VALUE"""),"2 ULA A PUTRI")</f>
        <v>2 ULA A PUTRI</v>
      </c>
      <c r="L185" s="29" t="str">
        <f>IFERROR(__xludf.DUMMYFUNCTION("""COMPUTED_VALUE"""),"6285733302349")</f>
        <v>6285733302349</v>
      </c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2">
        <f>IFERROR(__xludf.DUMMYFUNCTION("""COMPUTED_VALUE"""),0.0)</f>
        <v>0</v>
      </c>
      <c r="BD185" s="22">
        <f>IFERROR(__xludf.DUMMYFUNCTION("""COMPUTED_VALUE"""),0.0)</f>
        <v>0</v>
      </c>
      <c r="BE185" s="22">
        <f>IFERROR(__xludf.DUMMYFUNCTION("""COMPUTED_VALUE"""),0.0)</f>
        <v>0</v>
      </c>
      <c r="BF185" s="22">
        <f>IFERROR(__xludf.DUMMYFUNCTION("""COMPUTED_VALUE"""),0.0)</f>
        <v>0</v>
      </c>
    </row>
    <row r="186">
      <c r="A186" s="27">
        <f>IFERROR(__xludf.DUMMYFUNCTION("""COMPUTED_VALUE"""),185.0)</f>
        <v>185</v>
      </c>
      <c r="B186" s="28" t="str">
        <f>IFERROR(__xludf.DUMMYFUNCTION("""COMPUTED_VALUE"""),"DAMARA NAJWA CARISSA")</f>
        <v>DAMARA NAJWA CARISSA</v>
      </c>
      <c r="C186" s="28">
        <f>IFERROR(__xludf.DUMMYFUNCTION("""COMPUTED_VALUE"""),2.025070268E9)</f>
        <v>2025070268</v>
      </c>
      <c r="D186" s="28" t="str">
        <f>IFERROR(__xludf.DUMMYFUNCTION("""COMPUTED_VALUE"""),"SUJARWO")</f>
        <v>SUJARWO</v>
      </c>
      <c r="E186" s="28" t="str">
        <f>IFERROR(__xludf.DUMMYFUNCTION("""COMPUTED_VALUE"""),"ITA AISAROH")</f>
        <v>ITA AISAROH</v>
      </c>
      <c r="F186" s="28" t="str">
        <f>IFERROR(__xludf.DUMMYFUNCTION("""COMPUTED_VALUE"""),"KULURAN RT 004 RW 004 KALITENGAH LAMONGAN")</f>
        <v>KULURAN RT 004 RW 004 KALITENGAH LAMONGAN</v>
      </c>
      <c r="G186" s="28" t="str">
        <f>IFERROR(__xludf.DUMMYFUNCTION("""COMPUTED_VALUE"""),"MA-XI.1")</f>
        <v>MA-XI.1</v>
      </c>
      <c r="H186" s="28" t="str">
        <f>IFERROR(__xludf.DUMMYFUNCTION("""COMPUTED_VALUE"""),"C")</f>
        <v>C</v>
      </c>
      <c r="I186" s="28" t="str">
        <f>IFERROR(__xludf.DUMMYFUNCTION("""COMPUTED_VALUE"""),"C-6")</f>
        <v>C-6</v>
      </c>
      <c r="J186" s="28">
        <f>IFERROR(__xludf.DUMMYFUNCTION("""COMPUTED_VALUE"""),2.0)</f>
        <v>2</v>
      </c>
      <c r="K186" s="28" t="str">
        <f>IFERROR(__xludf.DUMMYFUNCTION("""COMPUTED_VALUE"""),"TAHFIDZ")</f>
        <v>TAHFIDZ</v>
      </c>
      <c r="L186" s="29" t="str">
        <f>IFERROR(__xludf.DUMMYFUNCTION("""COMPUTED_VALUE"""),"6285745102590")</f>
        <v>6285745102590</v>
      </c>
      <c r="M186" s="22">
        <f>IFERROR(__xludf.DUMMYFUNCTION("""COMPUTED_VALUE"""),600000.0)</f>
        <v>600000</v>
      </c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2">
        <f>IFERROR(__xludf.DUMMYFUNCTION("""COMPUTED_VALUE"""),450000.0)</f>
        <v>450000</v>
      </c>
      <c r="Y186" s="22">
        <f>IFERROR(__xludf.DUMMYFUNCTION("""COMPUTED_VALUE"""),450000.0)</f>
        <v>450000</v>
      </c>
      <c r="Z186" s="22">
        <f>IFERROR(__xludf.DUMMYFUNCTION("""COMPUTED_VALUE"""),450000.0)</f>
        <v>450000</v>
      </c>
      <c r="AA186" s="28"/>
      <c r="AB186" s="22">
        <f>IFERROR(__xludf.DUMMYFUNCTION("""COMPUTED_VALUE"""),500000.0)</f>
        <v>500000</v>
      </c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2">
        <f>IFERROR(__xludf.DUMMYFUNCTION("""COMPUTED_VALUE"""),500000.0)</f>
        <v>500000</v>
      </c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2">
        <f>IFERROR(__xludf.DUMMYFUNCTION("""COMPUTED_VALUE"""),1350000.0)</f>
        <v>1350000</v>
      </c>
      <c r="BD186" s="22">
        <f>IFERROR(__xludf.DUMMYFUNCTION("""COMPUTED_VALUE"""),1600000.0)</f>
        <v>1600000</v>
      </c>
      <c r="BE186" s="22">
        <f>IFERROR(__xludf.DUMMYFUNCTION("""COMPUTED_VALUE"""),0.0)</f>
        <v>0</v>
      </c>
      <c r="BF186" s="22">
        <f>IFERROR(__xludf.DUMMYFUNCTION("""COMPUTED_VALUE"""),2950000.0)</f>
        <v>2950000</v>
      </c>
    </row>
    <row r="187">
      <c r="A187" s="27">
        <f>IFERROR(__xludf.DUMMYFUNCTION("""COMPUTED_VALUE"""),186.0)</f>
        <v>186</v>
      </c>
      <c r="B187" s="28" t="str">
        <f>IFERROR(__xludf.DUMMYFUNCTION("""COMPUTED_VALUE"""),"DARA AULIA SYAHBAN")</f>
        <v>DARA AULIA SYAHBAN</v>
      </c>
      <c r="C187" s="28">
        <f>IFERROR(__xludf.DUMMYFUNCTION("""COMPUTED_VALUE"""),2.025070516E9)</f>
        <v>2025070516</v>
      </c>
      <c r="D187" s="28" t="str">
        <f>IFERROR(__xludf.DUMMYFUNCTION("""COMPUTED_VALUE"""),"NURYANTO")</f>
        <v>NURYANTO</v>
      </c>
      <c r="E187" s="28" t="str">
        <f>IFERROR(__xludf.DUMMYFUNCTION("""COMPUTED_VALUE"""),"LIS ERNAWATI")</f>
        <v>LIS ERNAWATI</v>
      </c>
      <c r="F187" s="28" t="str">
        <f>IFERROR(__xludf.DUMMYFUNCTION("""COMPUTED_VALUE"""),"NGAYUNG RT 002 RW 001 MADURAN LAMONGAN")</f>
        <v>NGAYUNG RT 002 RW 001 MADURAN LAMONGAN</v>
      </c>
      <c r="G187" s="28" t="str">
        <f>IFERROR(__xludf.DUMMYFUNCTION("""COMPUTED_VALUE"""),"MTS-8 E")</f>
        <v>MTS-8 E</v>
      </c>
      <c r="H187" s="28" t="str">
        <f>IFERROR(__xludf.DUMMYFUNCTION("""COMPUTED_VALUE"""),"C")</f>
        <v>C</v>
      </c>
      <c r="I187" s="28" t="str">
        <f>IFERROR(__xludf.DUMMYFUNCTION("""COMPUTED_VALUE"""),"C-13")</f>
        <v>C-13</v>
      </c>
      <c r="J187" s="28">
        <f>IFERROR(__xludf.DUMMYFUNCTION("""COMPUTED_VALUE"""),2.0)</f>
        <v>2</v>
      </c>
      <c r="K187" s="28" t="str">
        <f>IFERROR(__xludf.DUMMYFUNCTION("""COMPUTED_VALUE"""),"2 ULA A PUTRI")</f>
        <v>2 ULA A PUTRI</v>
      </c>
      <c r="L187" s="29" t="str">
        <f>IFERROR(__xludf.DUMMYFUNCTION("""COMPUTED_VALUE"""),"6282232108268")</f>
        <v>6282232108268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2">
        <f>IFERROR(__xludf.DUMMYFUNCTION("""COMPUTED_VALUE"""),500000.0)</f>
        <v>500000</v>
      </c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2">
        <f>IFERROR(__xludf.DUMMYFUNCTION("""COMPUTED_VALUE"""),500000.0)</f>
        <v>500000</v>
      </c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2">
        <f>IFERROR(__xludf.DUMMYFUNCTION("""COMPUTED_VALUE"""),0.0)</f>
        <v>0</v>
      </c>
      <c r="BD187" s="22">
        <f>IFERROR(__xludf.DUMMYFUNCTION("""COMPUTED_VALUE"""),1000000.0)</f>
        <v>1000000</v>
      </c>
      <c r="BE187" s="22">
        <f>IFERROR(__xludf.DUMMYFUNCTION("""COMPUTED_VALUE"""),0.0)</f>
        <v>0</v>
      </c>
      <c r="BF187" s="22">
        <f>IFERROR(__xludf.DUMMYFUNCTION("""COMPUTED_VALUE"""),1000000.0)</f>
        <v>1000000</v>
      </c>
    </row>
    <row r="188">
      <c r="A188" s="27">
        <f>IFERROR(__xludf.DUMMYFUNCTION("""COMPUTED_VALUE"""),187.0)</f>
        <v>187</v>
      </c>
      <c r="B188" s="28" t="str">
        <f>IFERROR(__xludf.DUMMYFUNCTION("""COMPUTED_VALUE"""),"DINA AYU SASTIYA")</f>
        <v>DINA AYU SASTIYA</v>
      </c>
      <c r="C188" s="28">
        <f>IFERROR(__xludf.DUMMYFUNCTION("""COMPUTED_VALUE"""),2.025070158E9)</f>
        <v>2025070158</v>
      </c>
      <c r="D188" s="28" t="str">
        <f>IFERROR(__xludf.DUMMYFUNCTION("""COMPUTED_VALUE"""),"DARMAJI")</f>
        <v>DARMAJI</v>
      </c>
      <c r="E188" s="28" t="str">
        <f>IFERROR(__xludf.DUMMYFUNCTION("""COMPUTED_VALUE"""),"MALIKAH")</f>
        <v>MALIKAH</v>
      </c>
      <c r="F188" s="28" t="str">
        <f>IFERROR(__xludf.DUMMYFUNCTION("""COMPUTED_VALUE"""),"KEMLAGILOR RT 005 RW 002 TURI LAMONGAN")</f>
        <v>KEMLAGILOR RT 005 RW 002 TURI LAMONGAN</v>
      </c>
      <c r="G188" s="28" t="str">
        <f>IFERROR(__xludf.DUMMYFUNCTION("""COMPUTED_VALUE"""),"MA-XI.5")</f>
        <v>MA-XI.5</v>
      </c>
      <c r="H188" s="28" t="str">
        <f>IFERROR(__xludf.DUMMYFUNCTION("""COMPUTED_VALUE"""),"C")</f>
        <v>C</v>
      </c>
      <c r="I188" s="28" t="str">
        <f>IFERROR(__xludf.DUMMYFUNCTION("""COMPUTED_VALUE"""),"C-10")</f>
        <v>C-10</v>
      </c>
      <c r="J188" s="28">
        <f>IFERROR(__xludf.DUMMYFUNCTION("""COMPUTED_VALUE"""),2.0)</f>
        <v>2</v>
      </c>
      <c r="K188" s="28" t="str">
        <f>IFERROR(__xludf.DUMMYFUNCTION("""COMPUTED_VALUE"""),"2 WUSTHO A PUTRI")</f>
        <v>2 WUSTHO A PUTRI</v>
      </c>
      <c r="L188" s="29" t="str">
        <f>IFERROR(__xludf.DUMMYFUNCTION("""COMPUTED_VALUE"""),"6289518431642")</f>
        <v>6289518431642</v>
      </c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2">
        <f>IFERROR(__xludf.DUMMYFUNCTION("""COMPUTED_VALUE"""),500000.0)</f>
        <v>500000</v>
      </c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2">
        <f>IFERROR(__xludf.DUMMYFUNCTION("""COMPUTED_VALUE"""),500000.0)</f>
        <v>500000</v>
      </c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2">
        <f>IFERROR(__xludf.DUMMYFUNCTION("""COMPUTED_VALUE"""),0.0)</f>
        <v>0</v>
      </c>
      <c r="BD188" s="22">
        <f>IFERROR(__xludf.DUMMYFUNCTION("""COMPUTED_VALUE"""),1000000.0)</f>
        <v>1000000</v>
      </c>
      <c r="BE188" s="22">
        <f>IFERROR(__xludf.DUMMYFUNCTION("""COMPUTED_VALUE"""),0.0)</f>
        <v>0</v>
      </c>
      <c r="BF188" s="22">
        <f>IFERROR(__xludf.DUMMYFUNCTION("""COMPUTED_VALUE"""),1000000.0)</f>
        <v>1000000</v>
      </c>
    </row>
    <row r="189">
      <c r="A189" s="27">
        <f>IFERROR(__xludf.DUMMYFUNCTION("""COMPUTED_VALUE"""),188.0)</f>
        <v>188</v>
      </c>
      <c r="B189" s="28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89" s="28">
        <f>IFERROR(__xludf.DUMMYFUNCTION("""COMPUTED_VALUE"""),2.025070015E9)</f>
        <v>2025070015</v>
      </c>
      <c r="D189" s="28" t="str">
        <f>IFERROR(__xludf.DUMMYFUNCTION("""COMPUTED_VALUE"""),"ZUHDI")</f>
        <v>ZUHDI</v>
      </c>
      <c r="E189" s="28" t="str">
        <f>IFERROR(__xludf.DUMMYFUNCTION("""COMPUTED_VALUE"""),"YENI MUFTARO")</f>
        <v>YENI MUFTARO</v>
      </c>
      <c r="F189" s="28" t="str">
        <f>IFERROR(__xludf.DUMMYFUNCTION("""COMPUTED_VALUE"""),"LEMBOR RT 007 RW 002 BRONDONG LAMONGAN")</f>
        <v>LEMBOR RT 007 RW 002 BRONDONG LAMONGAN</v>
      </c>
      <c r="G189" s="28" t="str">
        <f>IFERROR(__xludf.DUMMYFUNCTION("""COMPUTED_VALUE"""),"MA-XI.3")</f>
        <v>MA-XI.3</v>
      </c>
      <c r="H189" s="28" t="str">
        <f>IFERROR(__xludf.DUMMYFUNCTION("""COMPUTED_VALUE"""),"C")</f>
        <v>C</v>
      </c>
      <c r="I189" s="28" t="str">
        <f>IFERROR(__xludf.DUMMYFUNCTION("""COMPUTED_VALUE"""),"C-5")</f>
        <v>C-5</v>
      </c>
      <c r="J189" s="28">
        <f>IFERROR(__xludf.DUMMYFUNCTION("""COMPUTED_VALUE"""),2.0)</f>
        <v>2</v>
      </c>
      <c r="K189" s="28" t="str">
        <f>IFERROR(__xludf.DUMMYFUNCTION("""COMPUTED_VALUE"""),"2 WUSTHO A PUTRI")</f>
        <v>2 WUSTHO A PUTRI</v>
      </c>
      <c r="L189" s="29" t="str">
        <f>IFERROR(__xludf.DUMMYFUNCTION("""COMPUTED_VALUE"""),"6281554408544")</f>
        <v>6281554408544</v>
      </c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2">
        <f>IFERROR(__xludf.DUMMYFUNCTION("""COMPUTED_VALUE"""),500000.0)</f>
        <v>500000</v>
      </c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2">
        <f>IFERROR(__xludf.DUMMYFUNCTION("""COMPUTED_VALUE"""),500000.0)</f>
        <v>500000</v>
      </c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2">
        <f>IFERROR(__xludf.DUMMYFUNCTION("""COMPUTED_VALUE"""),0.0)</f>
        <v>0</v>
      </c>
      <c r="BD189" s="22">
        <f>IFERROR(__xludf.DUMMYFUNCTION("""COMPUTED_VALUE"""),1000000.0)</f>
        <v>1000000</v>
      </c>
      <c r="BE189" s="22">
        <f>IFERROR(__xludf.DUMMYFUNCTION("""COMPUTED_VALUE"""),0.0)</f>
        <v>0</v>
      </c>
      <c r="BF189" s="22">
        <f>IFERROR(__xludf.DUMMYFUNCTION("""COMPUTED_VALUE"""),1000000.0)</f>
        <v>1000000</v>
      </c>
    </row>
    <row r="190">
      <c r="A190" s="27">
        <f>IFERROR(__xludf.DUMMYFUNCTION("""COMPUTED_VALUE"""),189.0)</f>
        <v>189</v>
      </c>
      <c r="B190" s="28" t="str">
        <f>IFERROR(__xludf.DUMMYFUNCTION("""COMPUTED_VALUE"""),"DZAKIYAH TALITA SAKHI")</f>
        <v>DZAKIYAH TALITA SAKHI</v>
      </c>
      <c r="C190" s="28">
        <f>IFERROR(__xludf.DUMMYFUNCTION("""COMPUTED_VALUE"""),2.025070252E9)</f>
        <v>2025070252</v>
      </c>
      <c r="D190" s="28" t="str">
        <f>IFERROR(__xludf.DUMMYFUNCTION("""COMPUTED_VALUE"""),"ABDULLAH FARIH")</f>
        <v>ABDULLAH FARIH</v>
      </c>
      <c r="E190" s="28" t="str">
        <f>IFERROR(__xludf.DUMMYFUNCTION("""COMPUTED_VALUE"""),"WINDASARI")</f>
        <v>WINDASARI</v>
      </c>
      <c r="F190" s="28" t="str">
        <f>IFERROR(__xludf.DUMMYFUNCTION("""COMPUTED_VALUE"""),"BANYUURIP RT 001 RW 003 UJUNGPANGKAH GRESIK")</f>
        <v>BANYUURIP RT 001 RW 003 UJUNGPANGKAH GRESIK</v>
      </c>
      <c r="G190" s="28" t="str">
        <f>IFERROR(__xludf.DUMMYFUNCTION("""COMPUTED_VALUE"""),"MA-XI.13")</f>
        <v>MA-XI.13</v>
      </c>
      <c r="H190" s="28" t="str">
        <f>IFERROR(__xludf.DUMMYFUNCTION("""COMPUTED_VALUE"""),"C")</f>
        <v>C</v>
      </c>
      <c r="I190" s="28" t="str">
        <f>IFERROR(__xludf.DUMMYFUNCTION("""COMPUTED_VALUE"""),"C-7")</f>
        <v>C-7</v>
      </c>
      <c r="J190" s="28">
        <f>IFERROR(__xludf.DUMMYFUNCTION("""COMPUTED_VALUE"""),2.0)</f>
        <v>2</v>
      </c>
      <c r="K190" s="28" t="str">
        <f>IFERROR(__xludf.DUMMYFUNCTION("""COMPUTED_VALUE"""),"2 MAK PUTRI")</f>
        <v>2 MAK PUTRI</v>
      </c>
      <c r="L190" s="29" t="str">
        <f>IFERROR(__xludf.DUMMYFUNCTION("""COMPUTED_VALUE"""),"6285934330538")</f>
        <v>6285934330538</v>
      </c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2">
        <f>IFERROR(__xludf.DUMMYFUNCTION("""COMPUTED_VALUE"""),0.0)</f>
        <v>0</v>
      </c>
      <c r="BD190" s="22">
        <f>IFERROR(__xludf.DUMMYFUNCTION("""COMPUTED_VALUE"""),0.0)</f>
        <v>0</v>
      </c>
      <c r="BE190" s="22">
        <f>IFERROR(__xludf.DUMMYFUNCTION("""COMPUTED_VALUE"""),0.0)</f>
        <v>0</v>
      </c>
      <c r="BF190" s="22">
        <f>IFERROR(__xludf.DUMMYFUNCTION("""COMPUTED_VALUE"""),0.0)</f>
        <v>0</v>
      </c>
    </row>
    <row r="191">
      <c r="A191" s="27">
        <f>IFERROR(__xludf.DUMMYFUNCTION("""COMPUTED_VALUE"""),190.0)</f>
        <v>190</v>
      </c>
      <c r="B191" s="28" t="str">
        <f>IFERROR(__xludf.DUMMYFUNCTION("""COMPUTED_VALUE"""),"EKA BERLIANA AISYAH MAHARANI")</f>
        <v>EKA BERLIANA AISYAH MAHARANI</v>
      </c>
      <c r="C191" s="28">
        <f>IFERROR(__xludf.DUMMYFUNCTION("""COMPUTED_VALUE"""),2.025070026E9)</f>
        <v>2025070026</v>
      </c>
      <c r="D191" s="28" t="str">
        <f>IFERROR(__xludf.DUMMYFUNCTION("""COMPUTED_VALUE"""),"SA`IDUN")</f>
        <v>SA`IDUN</v>
      </c>
      <c r="E191" s="28" t="str">
        <f>IFERROR(__xludf.DUMMYFUNCTION("""COMPUTED_VALUE"""),"KHOIROH")</f>
        <v>KHOIROH</v>
      </c>
      <c r="F191" s="28" t="str">
        <f>IFERROR(__xludf.DUMMYFUNCTION("""COMPUTED_VALUE"""),"MENTARAS RT 015 RW 006 DUKUN GRESIK")</f>
        <v>MENTARAS RT 015 RW 006 DUKUN GRESIK</v>
      </c>
      <c r="G191" s="28" t="str">
        <f>IFERROR(__xludf.DUMMYFUNCTION("""COMPUTED_VALUE"""),"MA-XI.3")</f>
        <v>MA-XI.3</v>
      </c>
      <c r="H191" s="28" t="str">
        <f>IFERROR(__xludf.DUMMYFUNCTION("""COMPUTED_VALUE"""),"C")</f>
        <v>C</v>
      </c>
      <c r="I191" s="28" t="str">
        <f>IFERROR(__xludf.DUMMYFUNCTION("""COMPUTED_VALUE"""),"C-6")</f>
        <v>C-6</v>
      </c>
      <c r="J191" s="28">
        <f>IFERROR(__xludf.DUMMYFUNCTION("""COMPUTED_VALUE"""),2.0)</f>
        <v>2</v>
      </c>
      <c r="K191" s="28" t="str">
        <f>IFERROR(__xludf.DUMMYFUNCTION("""COMPUTED_VALUE"""),"2 WUSTHO A PUTRI")</f>
        <v>2 WUSTHO A PUTRI</v>
      </c>
      <c r="L191" s="29" t="str">
        <f>IFERROR(__xludf.DUMMYFUNCTION("""COMPUTED_VALUE"""),"6281232076074")</f>
        <v>6281232076074</v>
      </c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2">
        <f>IFERROR(__xludf.DUMMYFUNCTION("""COMPUTED_VALUE"""),500000.0)</f>
        <v>500000</v>
      </c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2">
        <f>IFERROR(__xludf.DUMMYFUNCTION("""COMPUTED_VALUE"""),500000.0)</f>
        <v>500000</v>
      </c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2">
        <f>IFERROR(__xludf.DUMMYFUNCTION("""COMPUTED_VALUE"""),0.0)</f>
        <v>0</v>
      </c>
      <c r="BD191" s="22">
        <f>IFERROR(__xludf.DUMMYFUNCTION("""COMPUTED_VALUE"""),1000000.0)</f>
        <v>1000000</v>
      </c>
      <c r="BE191" s="22">
        <f>IFERROR(__xludf.DUMMYFUNCTION("""COMPUTED_VALUE"""),0.0)</f>
        <v>0</v>
      </c>
      <c r="BF191" s="22">
        <f>IFERROR(__xludf.DUMMYFUNCTION("""COMPUTED_VALUE"""),1000000.0)</f>
        <v>1000000</v>
      </c>
    </row>
    <row r="192">
      <c r="A192" s="27">
        <f>IFERROR(__xludf.DUMMYFUNCTION("""COMPUTED_VALUE"""),191.0)</f>
        <v>191</v>
      </c>
      <c r="B192" s="28" t="str">
        <f>IFERROR(__xludf.DUMMYFUNCTION("""COMPUTED_VALUE"""),"EKA FADHILATUN NAFSI")</f>
        <v>EKA FADHILATUN NAFSI</v>
      </c>
      <c r="C192" s="28">
        <f>IFERROR(__xludf.DUMMYFUNCTION("""COMPUTED_VALUE"""),2.025070448E9)</f>
        <v>2025070448</v>
      </c>
      <c r="D192" s="28" t="str">
        <f>IFERROR(__xludf.DUMMYFUNCTION("""COMPUTED_VALUE"""),"TAUFIQ ZIN")</f>
        <v>TAUFIQ ZIN</v>
      </c>
      <c r="E192" s="28" t="str">
        <f>IFERROR(__xludf.DUMMYFUNCTION("""COMPUTED_VALUE"""),"SISWATI")</f>
        <v>SISWATI</v>
      </c>
      <c r="F192" s="28" t="str">
        <f>IFERROR(__xludf.DUMMYFUNCTION("""COMPUTED_VALUE"""),"GEDONDONG RT 001 RW 003 SARIREJO LAMONGAN")</f>
        <v>GEDONDONG RT 001 RW 003 SARIREJO LAMONGAN</v>
      </c>
      <c r="G192" s="28" t="str">
        <f>IFERROR(__xludf.DUMMYFUNCTION("""COMPUTED_VALUE"""),"#N/A")</f>
        <v>#N/A</v>
      </c>
      <c r="H192" s="28" t="str">
        <f>IFERROR(__xludf.DUMMYFUNCTION("""COMPUTED_VALUE"""),"C")</f>
        <v>C</v>
      </c>
      <c r="I192" s="28"/>
      <c r="J192" s="28">
        <f>IFERROR(__xludf.DUMMYFUNCTION("""COMPUTED_VALUE"""),2.0)</f>
        <v>2</v>
      </c>
      <c r="K192" s="28" t="str">
        <f>IFERROR(__xludf.DUMMYFUNCTION("""COMPUTED_VALUE"""),"WUSTHO")</f>
        <v>WUSTHO</v>
      </c>
      <c r="L192" s="29" t="str">
        <f>IFERROR(__xludf.DUMMYFUNCTION("""COMPUTED_VALUE"""),"6285964364794")</f>
        <v>6285964364794</v>
      </c>
      <c r="M192" s="22">
        <f>IFERROR(__xludf.DUMMYFUNCTION("""COMPUTED_VALUE"""),600000.0)</f>
        <v>600000</v>
      </c>
      <c r="N192" s="22">
        <f>IFERROR(__xludf.DUMMYFUNCTION("""COMPUTED_VALUE"""),200000.0)</f>
        <v>200000</v>
      </c>
      <c r="O192" s="22">
        <f>IFERROR(__xludf.DUMMYFUNCTION("""COMPUTED_VALUE"""),450000.0)</f>
        <v>450000</v>
      </c>
      <c r="P192" s="22">
        <f>IFERROR(__xludf.DUMMYFUNCTION("""COMPUTED_VALUE"""),450000.0)</f>
        <v>450000</v>
      </c>
      <c r="Q192" s="22">
        <f>IFERROR(__xludf.DUMMYFUNCTION("""COMPUTED_VALUE"""),450000.0)</f>
        <v>450000</v>
      </c>
      <c r="R192" s="22">
        <f>IFERROR(__xludf.DUMMYFUNCTION("""COMPUTED_VALUE"""),450000.0)</f>
        <v>450000</v>
      </c>
      <c r="S192" s="22">
        <f>IFERROR(__xludf.DUMMYFUNCTION("""COMPUTED_VALUE"""),450000.0)</f>
        <v>450000</v>
      </c>
      <c r="T192" s="22">
        <f>IFERROR(__xludf.DUMMYFUNCTION("""COMPUTED_VALUE"""),450000.0)</f>
        <v>450000</v>
      </c>
      <c r="U192" s="22">
        <f>IFERROR(__xludf.DUMMYFUNCTION("""COMPUTED_VALUE"""),450000.0)</f>
        <v>450000</v>
      </c>
      <c r="V192" s="22">
        <f>IFERROR(__xludf.DUMMYFUNCTION("""COMPUTED_VALUE"""),450000.0)</f>
        <v>450000</v>
      </c>
      <c r="W192" s="22">
        <f>IFERROR(__xludf.DUMMYFUNCTION("""COMPUTED_VALUE"""),450000.0)</f>
        <v>450000</v>
      </c>
      <c r="X192" s="22">
        <f>IFERROR(__xludf.DUMMYFUNCTION("""COMPUTED_VALUE"""),450000.0)</f>
        <v>450000</v>
      </c>
      <c r="Y192" s="22">
        <f>IFERROR(__xludf.DUMMYFUNCTION("""COMPUTED_VALUE"""),450000.0)</f>
        <v>450000</v>
      </c>
      <c r="Z192" s="22">
        <f>IFERROR(__xludf.DUMMYFUNCTION("""COMPUTED_VALUE"""),450000.0)</f>
        <v>450000</v>
      </c>
      <c r="AA192" s="28"/>
      <c r="AB192" s="22">
        <f>IFERROR(__xludf.DUMMYFUNCTION("""COMPUTED_VALUE"""),500000.0)</f>
        <v>500000</v>
      </c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2">
        <f>IFERROR(__xludf.DUMMYFUNCTION("""COMPUTED_VALUE"""),500000.0)</f>
        <v>500000</v>
      </c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2">
        <f>IFERROR(__xludf.DUMMYFUNCTION("""COMPUTED_VALUE"""),5400000.0)</f>
        <v>5400000</v>
      </c>
      <c r="BD192" s="22">
        <f>IFERROR(__xludf.DUMMYFUNCTION("""COMPUTED_VALUE"""),1600000.0)</f>
        <v>1600000</v>
      </c>
      <c r="BE192" s="22">
        <f>IFERROR(__xludf.DUMMYFUNCTION("""COMPUTED_VALUE"""),0.0)</f>
        <v>0</v>
      </c>
      <c r="BF192" s="22">
        <f>IFERROR(__xludf.DUMMYFUNCTION("""COMPUTED_VALUE"""),7000000.0)</f>
        <v>7000000</v>
      </c>
    </row>
    <row r="193">
      <c r="A193" s="27">
        <f>IFERROR(__xludf.DUMMYFUNCTION("""COMPUTED_VALUE"""),192.0)</f>
        <v>192</v>
      </c>
      <c r="B193" s="28" t="str">
        <f>IFERROR(__xludf.DUMMYFUNCTION("""COMPUTED_VALUE"""),"EKA MEISHA AS SYIFAH")</f>
        <v>EKA MEISHA AS SYIFAH</v>
      </c>
      <c r="C193" s="28">
        <f>IFERROR(__xludf.DUMMYFUNCTION("""COMPUTED_VALUE"""),2.025070531E9)</f>
        <v>2025070531</v>
      </c>
      <c r="D193" s="28" t="str">
        <f>IFERROR(__xludf.DUMMYFUNCTION("""COMPUTED_VALUE"""),"HERIONO")</f>
        <v>HERIONO</v>
      </c>
      <c r="E193" s="28" t="str">
        <f>IFERROR(__xludf.DUMMYFUNCTION("""COMPUTED_VALUE"""),"LATIFATUL MA`RIFAH")</f>
        <v>LATIFATUL MA`RIFAH</v>
      </c>
      <c r="F193" s="28" t="str">
        <f>IFERROR(__xludf.DUMMYFUNCTION("""COMPUTED_VALUE"""),"TLANAK SUKOBENDU RT 001 RW 001 MANTUP LAMONGAN")</f>
        <v>TLANAK SUKOBENDU RT 001 RW 001 MANTUP LAMONGAN</v>
      </c>
      <c r="G193" s="28" t="str">
        <f>IFERROR(__xludf.DUMMYFUNCTION("""COMPUTED_VALUE"""),"MTS-8 B")</f>
        <v>MTS-8 B</v>
      </c>
      <c r="H193" s="28" t="str">
        <f>IFERROR(__xludf.DUMMYFUNCTION("""COMPUTED_VALUE"""),"C")</f>
        <v>C</v>
      </c>
      <c r="I193" s="28" t="str">
        <f>IFERROR(__xludf.DUMMYFUNCTION("""COMPUTED_VALUE"""),"C-5")</f>
        <v>C-5</v>
      </c>
      <c r="J193" s="28">
        <f>IFERROR(__xludf.DUMMYFUNCTION("""COMPUTED_VALUE"""),2.0)</f>
        <v>2</v>
      </c>
      <c r="K193" s="28" t="str">
        <f>IFERROR(__xludf.DUMMYFUNCTION("""COMPUTED_VALUE"""),"2 ULA B PUTRI")</f>
        <v>2 ULA B PUTRI</v>
      </c>
      <c r="L193" s="29" t="str">
        <f>IFERROR(__xludf.DUMMYFUNCTION("""COMPUTED_VALUE"""),"6281353064791")</f>
        <v>6281353064791</v>
      </c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2">
        <f>IFERROR(__xludf.DUMMYFUNCTION("""COMPUTED_VALUE"""),450000.0)</f>
        <v>450000</v>
      </c>
      <c r="X193" s="22">
        <f>IFERROR(__xludf.DUMMYFUNCTION("""COMPUTED_VALUE"""),450000.0)</f>
        <v>450000</v>
      </c>
      <c r="Y193" s="22">
        <f>IFERROR(__xludf.DUMMYFUNCTION("""COMPUTED_VALUE"""),450000.0)</f>
        <v>450000</v>
      </c>
      <c r="Z193" s="22">
        <f>IFERROR(__xludf.DUMMYFUNCTION("""COMPUTED_VALUE"""),450000.0)</f>
        <v>450000</v>
      </c>
      <c r="AA193" s="28"/>
      <c r="AB193" s="22">
        <f>IFERROR(__xludf.DUMMYFUNCTION("""COMPUTED_VALUE"""),500000.0)</f>
        <v>500000</v>
      </c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2">
        <f>IFERROR(__xludf.DUMMYFUNCTION("""COMPUTED_VALUE"""),500000.0)</f>
        <v>500000</v>
      </c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2">
        <f>IFERROR(__xludf.DUMMYFUNCTION("""COMPUTED_VALUE"""),1800000.0)</f>
        <v>1800000</v>
      </c>
      <c r="BD193" s="22">
        <f>IFERROR(__xludf.DUMMYFUNCTION("""COMPUTED_VALUE"""),1000000.0)</f>
        <v>1000000</v>
      </c>
      <c r="BE193" s="22">
        <f>IFERROR(__xludf.DUMMYFUNCTION("""COMPUTED_VALUE"""),0.0)</f>
        <v>0</v>
      </c>
      <c r="BF193" s="22">
        <f>IFERROR(__xludf.DUMMYFUNCTION("""COMPUTED_VALUE"""),2800000.0)</f>
        <v>2800000</v>
      </c>
    </row>
    <row r="194">
      <c r="A194" s="27">
        <f>IFERROR(__xludf.DUMMYFUNCTION("""COMPUTED_VALUE"""),193.0)</f>
        <v>193</v>
      </c>
      <c r="B194" s="28" t="str">
        <f>IFERROR(__xludf.DUMMYFUNCTION("""COMPUTED_VALUE"""),"ELOK FAIQOH")</f>
        <v>ELOK FAIQOH</v>
      </c>
      <c r="C194" s="28">
        <f>IFERROR(__xludf.DUMMYFUNCTION("""COMPUTED_VALUE"""),2.025070278E9)</f>
        <v>2025070278</v>
      </c>
      <c r="D194" s="28" t="str">
        <f>IFERROR(__xludf.DUMMYFUNCTION("""COMPUTED_VALUE"""),"MUHAMMAD HAKIM")</f>
        <v>MUHAMMAD HAKIM</v>
      </c>
      <c r="E194" s="28" t="str">
        <f>IFERROR(__xludf.DUMMYFUNCTION("""COMPUTED_VALUE"""),"ZAHROTUL WARDAH")</f>
        <v>ZAHROTUL WARDAH</v>
      </c>
      <c r="F194" s="28" t="str">
        <f>IFERROR(__xludf.DUMMYFUNCTION("""COMPUTED_VALUE"""),"KARANGREJO RT 008 RW 004 UJUNGPANGKAH GRESIK")</f>
        <v>KARANGREJO RT 008 RW 004 UJUNGPANGKAH GRESIK</v>
      </c>
      <c r="G194" s="28" t="str">
        <f>IFERROR(__xludf.DUMMYFUNCTION("""COMPUTED_VALUE"""),"MA-XI.12")</f>
        <v>MA-XI.12</v>
      </c>
      <c r="H194" s="28" t="str">
        <f>IFERROR(__xludf.DUMMYFUNCTION("""COMPUTED_VALUE"""),"C")</f>
        <v>C</v>
      </c>
      <c r="I194" s="28" t="str">
        <f>IFERROR(__xludf.DUMMYFUNCTION("""COMPUTED_VALUE"""),"C-10")</f>
        <v>C-10</v>
      </c>
      <c r="J194" s="28">
        <f>IFERROR(__xludf.DUMMYFUNCTION("""COMPUTED_VALUE"""),2.0)</f>
        <v>2</v>
      </c>
      <c r="K194" s="28" t="str">
        <f>IFERROR(__xludf.DUMMYFUNCTION("""COMPUTED_VALUE"""),"2 WUSTHO D PUTRI")</f>
        <v>2 WUSTHO D PUTRI</v>
      </c>
      <c r="L194" s="29" t="str">
        <f>IFERROR(__xludf.DUMMYFUNCTION("""COMPUTED_VALUE"""),"6282120004936")</f>
        <v>6282120004936</v>
      </c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2">
        <f>IFERROR(__xludf.DUMMYFUNCTION("""COMPUTED_VALUE"""),500000.0)</f>
        <v>500000</v>
      </c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2">
        <f>IFERROR(__xludf.DUMMYFUNCTION("""COMPUTED_VALUE"""),500000.0)</f>
        <v>500000</v>
      </c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2">
        <f>IFERROR(__xludf.DUMMYFUNCTION("""COMPUTED_VALUE"""),0.0)</f>
        <v>0</v>
      </c>
      <c r="BD194" s="22">
        <f>IFERROR(__xludf.DUMMYFUNCTION("""COMPUTED_VALUE"""),1000000.0)</f>
        <v>1000000</v>
      </c>
      <c r="BE194" s="22">
        <f>IFERROR(__xludf.DUMMYFUNCTION("""COMPUTED_VALUE"""),0.0)</f>
        <v>0</v>
      </c>
      <c r="BF194" s="22">
        <f>IFERROR(__xludf.DUMMYFUNCTION("""COMPUTED_VALUE"""),1000000.0)</f>
        <v>1000000</v>
      </c>
    </row>
    <row r="195">
      <c r="A195" s="27">
        <f>IFERROR(__xludf.DUMMYFUNCTION("""COMPUTED_VALUE"""),194.0)</f>
        <v>194</v>
      </c>
      <c r="B195" s="28" t="str">
        <f>IFERROR(__xludf.DUMMYFUNCTION("""COMPUTED_VALUE"""),"FARAH AULIA SYIFA UBAIDILLAH")</f>
        <v>FARAH AULIA SYIFA UBAIDILLAH</v>
      </c>
      <c r="C195" s="28">
        <f>IFERROR(__xludf.DUMMYFUNCTION("""COMPUTED_VALUE"""),2.025070579E9)</f>
        <v>2025070579</v>
      </c>
      <c r="D195" s="28" t="str">
        <f>IFERROR(__xludf.DUMMYFUNCTION("""COMPUTED_VALUE"""),"MUCH. SUUDIN UBAIDILLAH")</f>
        <v>MUCH. SUUDIN UBAIDILLAH</v>
      </c>
      <c r="E195" s="28" t="str">
        <f>IFERROR(__xludf.DUMMYFUNCTION("""COMPUTED_VALUE"""),"SUMARMI")</f>
        <v>SUMARMI</v>
      </c>
      <c r="F195" s="28" t="str">
        <f>IFERROR(__xludf.DUMMYFUNCTION("""COMPUTED_VALUE"""),"WUDI SUKOANYAR RT 001 RW 003 TURI LAMONGAN")</f>
        <v>WUDI SUKOANYAR RT 001 RW 003 TURI LAMONGAN</v>
      </c>
      <c r="G195" s="28" t="str">
        <f>IFERROR(__xludf.DUMMYFUNCTION("""COMPUTED_VALUE"""),"MTS-8 C")</f>
        <v>MTS-8 C</v>
      </c>
      <c r="H195" s="28" t="str">
        <f>IFERROR(__xludf.DUMMYFUNCTION("""COMPUTED_VALUE"""),"C")</f>
        <v>C</v>
      </c>
      <c r="I195" s="28" t="str">
        <f>IFERROR(__xludf.DUMMYFUNCTION("""COMPUTED_VALUE"""),"C-13")</f>
        <v>C-13</v>
      </c>
      <c r="J195" s="28">
        <f>IFERROR(__xludf.DUMMYFUNCTION("""COMPUTED_VALUE"""),2.0)</f>
        <v>2</v>
      </c>
      <c r="K195" s="28" t="str">
        <f>IFERROR(__xludf.DUMMYFUNCTION("""COMPUTED_VALUE"""),"2 ULA C PUTRI")</f>
        <v>2 ULA C PUTRI</v>
      </c>
      <c r="L195" s="29" t="str">
        <f>IFERROR(__xludf.DUMMYFUNCTION("""COMPUTED_VALUE"""),"6282231237990")</f>
        <v>6282231237990</v>
      </c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2">
        <f>IFERROR(__xludf.DUMMYFUNCTION("""COMPUTED_VALUE"""),0.0)</f>
        <v>0</v>
      </c>
      <c r="BD195" s="22">
        <f>IFERROR(__xludf.DUMMYFUNCTION("""COMPUTED_VALUE"""),0.0)</f>
        <v>0</v>
      </c>
      <c r="BE195" s="22">
        <f>IFERROR(__xludf.DUMMYFUNCTION("""COMPUTED_VALUE"""),0.0)</f>
        <v>0</v>
      </c>
      <c r="BF195" s="22">
        <f>IFERROR(__xludf.DUMMYFUNCTION("""COMPUTED_VALUE"""),0.0)</f>
        <v>0</v>
      </c>
    </row>
    <row r="196">
      <c r="A196" s="27">
        <f>IFERROR(__xludf.DUMMYFUNCTION("""COMPUTED_VALUE"""),195.0)</f>
        <v>195</v>
      </c>
      <c r="B196" s="28" t="str">
        <f>IFERROR(__xludf.DUMMYFUNCTION("""COMPUTED_VALUE"""),"GITA TSANIA ASY SYIFA KHOLIK")</f>
        <v>GITA TSANIA ASY SYIFA KHOLIK</v>
      </c>
      <c r="C196" s="28">
        <f>IFERROR(__xludf.DUMMYFUNCTION("""COMPUTED_VALUE"""),2.025070644E9)</f>
        <v>2025070644</v>
      </c>
      <c r="D196" s="28" t="str">
        <f>IFERROR(__xludf.DUMMYFUNCTION("""COMPUTED_VALUE"""),"AHMAD KHOLIK")</f>
        <v>AHMAD KHOLIK</v>
      </c>
      <c r="E196" s="28" t="str">
        <f>IFERROR(__xludf.DUMMYFUNCTION("""COMPUTED_VALUE"""),"NIKMATUL KHUSNAH")</f>
        <v>NIKMATUL KHUSNAH</v>
      </c>
      <c r="F196" s="28" t="str">
        <f>IFERROR(__xludf.DUMMYFUNCTION("""COMPUTED_VALUE"""),"JL. AIS NASUTION NO 16 KULURAN RT 005 RW 001 KALITENGAH LAMONGAN")</f>
        <v>JL. AIS NASUTION NO 16 KULURAN RT 005 RW 001 KALITENGAH LAMONGAN</v>
      </c>
      <c r="G196" s="28" t="str">
        <f>IFERROR(__xludf.DUMMYFUNCTION("""COMPUTED_VALUE"""),"MTS-8 C")</f>
        <v>MTS-8 C</v>
      </c>
      <c r="H196" s="28" t="str">
        <f>IFERROR(__xludf.DUMMYFUNCTION("""COMPUTED_VALUE"""),"C")</f>
        <v>C</v>
      </c>
      <c r="I196" s="28" t="str">
        <f>IFERROR(__xludf.DUMMYFUNCTION("""COMPUTED_VALUE"""),"C-6")</f>
        <v>C-6</v>
      </c>
      <c r="J196" s="28">
        <f>IFERROR(__xludf.DUMMYFUNCTION("""COMPUTED_VALUE"""),2.0)</f>
        <v>2</v>
      </c>
      <c r="K196" s="28" t="str">
        <f>IFERROR(__xludf.DUMMYFUNCTION("""COMPUTED_VALUE"""),"2 ULA A PUTRI")</f>
        <v>2 ULA A PUTRI</v>
      </c>
      <c r="L196" s="29" t="str">
        <f>IFERROR(__xludf.DUMMYFUNCTION("""COMPUTED_VALUE"""),"6285708607686")</f>
        <v>6285708607686</v>
      </c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2">
        <f>IFERROR(__xludf.DUMMYFUNCTION("""COMPUTED_VALUE"""),450000.0)</f>
        <v>450000</v>
      </c>
      <c r="Y196" s="22">
        <f>IFERROR(__xludf.DUMMYFUNCTION("""COMPUTED_VALUE"""),450000.0)</f>
        <v>450000</v>
      </c>
      <c r="Z196" s="22">
        <f>IFERROR(__xludf.DUMMYFUNCTION("""COMPUTED_VALUE"""),450000.0)</f>
        <v>450000</v>
      </c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2">
        <f>IFERROR(__xludf.DUMMYFUNCTION("""COMPUTED_VALUE"""),1350000.0)</f>
        <v>1350000</v>
      </c>
      <c r="BD196" s="22">
        <f>IFERROR(__xludf.DUMMYFUNCTION("""COMPUTED_VALUE"""),0.0)</f>
        <v>0</v>
      </c>
      <c r="BE196" s="22">
        <f>IFERROR(__xludf.DUMMYFUNCTION("""COMPUTED_VALUE"""),0.0)</f>
        <v>0</v>
      </c>
      <c r="BF196" s="22">
        <f>IFERROR(__xludf.DUMMYFUNCTION("""COMPUTED_VALUE"""),1350000.0)</f>
        <v>1350000</v>
      </c>
    </row>
    <row r="197">
      <c r="A197" s="27">
        <f>IFERROR(__xludf.DUMMYFUNCTION("""COMPUTED_VALUE"""),196.0)</f>
        <v>196</v>
      </c>
      <c r="B197" s="28" t="str">
        <f>IFERROR(__xludf.DUMMYFUNCTION("""COMPUTED_VALUE"""),"HANIA SYAKIRA FIRNINA")</f>
        <v>HANIA SYAKIRA FIRNINA</v>
      </c>
      <c r="C197" s="28">
        <f>IFERROR(__xludf.DUMMYFUNCTION("""COMPUTED_VALUE"""),2.0250706E9)</f>
        <v>2025070600</v>
      </c>
      <c r="D197" s="28" t="str">
        <f>IFERROR(__xludf.DUMMYFUNCTION("""COMPUTED_VALUE"""),"MUSTAHAR")</f>
        <v>MUSTAHAR</v>
      </c>
      <c r="E197" s="28" t="str">
        <f>IFERROR(__xludf.DUMMYFUNCTION("""COMPUTED_VALUE"""),"SITI MASULAH")</f>
        <v>SITI MASULAH</v>
      </c>
      <c r="F197" s="28" t="str">
        <f>IFERROR(__xludf.DUMMYFUNCTION("""COMPUTED_VALUE"""),"GETUNG TAWANGREJO RT 001 RW 001 TURI LAMONGAN")</f>
        <v>GETUNG TAWANGREJO RT 001 RW 001 TURI LAMONGAN</v>
      </c>
      <c r="G197" s="28" t="str">
        <f>IFERROR(__xludf.DUMMYFUNCTION("""COMPUTED_VALUE"""),"MTS-8 B")</f>
        <v>MTS-8 B</v>
      </c>
      <c r="H197" s="28" t="str">
        <f>IFERROR(__xludf.DUMMYFUNCTION("""COMPUTED_VALUE"""),"C")</f>
        <v>C</v>
      </c>
      <c r="I197" s="28" t="str">
        <f>IFERROR(__xludf.DUMMYFUNCTION("""COMPUTED_VALUE"""),"C-13")</f>
        <v>C-13</v>
      </c>
      <c r="J197" s="28">
        <f>IFERROR(__xludf.DUMMYFUNCTION("""COMPUTED_VALUE"""),2.0)</f>
        <v>2</v>
      </c>
      <c r="K197" s="28" t="str">
        <f>IFERROR(__xludf.DUMMYFUNCTION("""COMPUTED_VALUE"""),"2 ULA B PUTRI")</f>
        <v>2 ULA B PUTRI</v>
      </c>
      <c r="L197" s="29" t="str">
        <f>IFERROR(__xludf.DUMMYFUNCTION("""COMPUTED_VALUE"""),"6285606245524")</f>
        <v>6285606245524</v>
      </c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2">
        <f>IFERROR(__xludf.DUMMYFUNCTION("""COMPUTED_VALUE"""),0.0)</f>
        <v>0</v>
      </c>
      <c r="BD197" s="22">
        <f>IFERROR(__xludf.DUMMYFUNCTION("""COMPUTED_VALUE"""),0.0)</f>
        <v>0</v>
      </c>
      <c r="BE197" s="22">
        <f>IFERROR(__xludf.DUMMYFUNCTION("""COMPUTED_VALUE"""),0.0)</f>
        <v>0</v>
      </c>
      <c r="BF197" s="22">
        <f>IFERROR(__xludf.DUMMYFUNCTION("""COMPUTED_VALUE"""),0.0)</f>
        <v>0</v>
      </c>
    </row>
    <row r="198">
      <c r="A198" s="27">
        <f>IFERROR(__xludf.DUMMYFUNCTION("""COMPUTED_VALUE"""),197.0)</f>
        <v>197</v>
      </c>
      <c r="B198" s="28" t="str">
        <f>IFERROR(__xludf.DUMMYFUNCTION("""COMPUTED_VALUE"""),"IFFAT TABRIZ NIHAYAH")</f>
        <v>IFFAT TABRIZ NIHAYAH</v>
      </c>
      <c r="C198" s="28">
        <f>IFERROR(__xludf.DUMMYFUNCTION("""COMPUTED_VALUE"""),2.025070303E9)</f>
        <v>2025070303</v>
      </c>
      <c r="D198" s="28" t="str">
        <f>IFERROR(__xludf.DUMMYFUNCTION("""COMPUTED_VALUE"""),"SUHARTONO")</f>
        <v>SUHARTONO</v>
      </c>
      <c r="E198" s="28" t="str">
        <f>IFERROR(__xludf.DUMMYFUNCTION("""COMPUTED_VALUE"""),"TITIK HARIANI")</f>
        <v>TITIK HARIANI</v>
      </c>
      <c r="F198" s="28" t="str">
        <f>IFERROR(__xludf.DUMMYFUNCTION("""COMPUTED_VALUE"""),"MENGAI SUKOREJO RT 001 RW 006 KARANGBINANGUN LAMONGAN")</f>
        <v>MENGAI SUKOREJO RT 001 RW 006 KARANGBINANGUN LAMONGAN</v>
      </c>
      <c r="G198" s="28" t="str">
        <f>IFERROR(__xludf.DUMMYFUNCTION("""COMPUTED_VALUE"""),"MA-XI.13")</f>
        <v>MA-XI.13</v>
      </c>
      <c r="H198" s="28" t="str">
        <f>IFERROR(__xludf.DUMMYFUNCTION("""COMPUTED_VALUE"""),"C")</f>
        <v>C</v>
      </c>
      <c r="I198" s="28" t="str">
        <f>IFERROR(__xludf.DUMMYFUNCTION("""COMPUTED_VALUE"""),"C-7")</f>
        <v>C-7</v>
      </c>
      <c r="J198" s="28">
        <f>IFERROR(__xludf.DUMMYFUNCTION("""COMPUTED_VALUE"""),2.0)</f>
        <v>2</v>
      </c>
      <c r="K198" s="28" t="str">
        <f>IFERROR(__xludf.DUMMYFUNCTION("""COMPUTED_VALUE"""),"2 MAK PUTRI")</f>
        <v>2 MAK PUTRI</v>
      </c>
      <c r="L198" s="29" t="str">
        <f>IFERROR(__xludf.DUMMYFUNCTION("""COMPUTED_VALUE"""),"6285714309498")</f>
        <v>6285714309498</v>
      </c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2">
        <f>IFERROR(__xludf.DUMMYFUNCTION("""COMPUTED_VALUE"""),500000.0)</f>
        <v>500000</v>
      </c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2">
        <f>IFERROR(__xludf.DUMMYFUNCTION("""COMPUTED_VALUE"""),500000.0)</f>
        <v>500000</v>
      </c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2">
        <f>IFERROR(__xludf.DUMMYFUNCTION("""COMPUTED_VALUE"""),0.0)</f>
        <v>0</v>
      </c>
      <c r="BD198" s="22">
        <f>IFERROR(__xludf.DUMMYFUNCTION("""COMPUTED_VALUE"""),1000000.0)</f>
        <v>1000000</v>
      </c>
      <c r="BE198" s="22">
        <f>IFERROR(__xludf.DUMMYFUNCTION("""COMPUTED_VALUE"""),0.0)</f>
        <v>0</v>
      </c>
      <c r="BF198" s="22">
        <f>IFERROR(__xludf.DUMMYFUNCTION("""COMPUTED_VALUE"""),1000000.0)</f>
        <v>1000000</v>
      </c>
    </row>
    <row r="199">
      <c r="A199" s="27">
        <f>IFERROR(__xludf.DUMMYFUNCTION("""COMPUTED_VALUE"""),198.0)</f>
        <v>198</v>
      </c>
      <c r="B199" s="28" t="str">
        <f>IFERROR(__xludf.DUMMYFUNCTION("""COMPUTED_VALUE"""),"JESSICA MAHARANI KURNIA")</f>
        <v>JESSICA MAHARANI KURNIA</v>
      </c>
      <c r="C199" s="28">
        <f>IFERROR(__xludf.DUMMYFUNCTION("""COMPUTED_VALUE"""),2.025070606E9)</f>
        <v>2025070606</v>
      </c>
      <c r="D199" s="28" t="str">
        <f>IFERROR(__xludf.DUMMYFUNCTION("""COMPUTED_VALUE"""),"KURNIAWAN")</f>
        <v>KURNIAWAN</v>
      </c>
      <c r="E199" s="28" t="str">
        <f>IFERROR(__xludf.DUMMYFUNCTION("""COMPUTED_VALUE"""),"IIS NUR ROHAYATI")</f>
        <v>IIS NUR ROHAYATI</v>
      </c>
      <c r="F199" s="28" t="str">
        <f>IFERROR(__xludf.DUMMYFUNCTION("""COMPUTED_VALUE"""),"KH. AGUS SALIM KULURAN RT 001 RW 003 KALITENGAH LAMONGAN")</f>
        <v>KH. AGUS SALIM KULURAN RT 001 RW 003 KALITENGAH LAMONGAN</v>
      </c>
      <c r="G199" s="28" t="str">
        <f>IFERROR(__xludf.DUMMYFUNCTION("""COMPUTED_VALUE"""),"MTS-8 D")</f>
        <v>MTS-8 D</v>
      </c>
      <c r="H199" s="28" t="str">
        <f>IFERROR(__xludf.DUMMYFUNCTION("""COMPUTED_VALUE"""),"C")</f>
        <v>C</v>
      </c>
      <c r="I199" s="28" t="str">
        <f>IFERROR(__xludf.DUMMYFUNCTION("""COMPUTED_VALUE"""),"C-6")</f>
        <v>C-6</v>
      </c>
      <c r="J199" s="28">
        <f>IFERROR(__xludf.DUMMYFUNCTION("""COMPUTED_VALUE"""),2.0)</f>
        <v>2</v>
      </c>
      <c r="K199" s="28" t="str">
        <f>IFERROR(__xludf.DUMMYFUNCTION("""COMPUTED_VALUE"""),"2 ULA B PUTRI")</f>
        <v>2 ULA B PUTRI</v>
      </c>
      <c r="L199" s="29" t="str">
        <f>IFERROR(__xludf.DUMMYFUNCTION("""COMPUTED_VALUE"""),"6282332616386")</f>
        <v>6282332616386</v>
      </c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2">
        <f>IFERROR(__xludf.DUMMYFUNCTION("""COMPUTED_VALUE"""),450000.0)</f>
        <v>450000</v>
      </c>
      <c r="Y199" s="22">
        <f>IFERROR(__xludf.DUMMYFUNCTION("""COMPUTED_VALUE"""),450000.0)</f>
        <v>450000</v>
      </c>
      <c r="Z199" s="22">
        <f>IFERROR(__xludf.DUMMYFUNCTION("""COMPUTED_VALUE"""),450000.0)</f>
        <v>450000</v>
      </c>
      <c r="AA199" s="28"/>
      <c r="AB199" s="22">
        <f>IFERROR(__xludf.DUMMYFUNCTION("""COMPUTED_VALUE"""),500000.0)</f>
        <v>500000</v>
      </c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2">
        <f>IFERROR(__xludf.DUMMYFUNCTION("""COMPUTED_VALUE"""),500000.0)</f>
        <v>500000</v>
      </c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2">
        <f>IFERROR(__xludf.DUMMYFUNCTION("""COMPUTED_VALUE"""),1350000.0)</f>
        <v>1350000</v>
      </c>
      <c r="BD199" s="22">
        <f>IFERROR(__xludf.DUMMYFUNCTION("""COMPUTED_VALUE"""),1000000.0)</f>
        <v>1000000</v>
      </c>
      <c r="BE199" s="22">
        <f>IFERROR(__xludf.DUMMYFUNCTION("""COMPUTED_VALUE"""),0.0)</f>
        <v>0</v>
      </c>
      <c r="BF199" s="22">
        <f>IFERROR(__xludf.DUMMYFUNCTION("""COMPUTED_VALUE"""),2350000.0)</f>
        <v>2350000</v>
      </c>
    </row>
    <row r="200">
      <c r="A200" s="27">
        <f>IFERROR(__xludf.DUMMYFUNCTION("""COMPUTED_VALUE"""),199.0)</f>
        <v>199</v>
      </c>
      <c r="B200" s="28" t="str">
        <f>IFERROR(__xludf.DUMMYFUNCTION("""COMPUTED_VALUE"""),"JIHAN APRILIA")</f>
        <v>JIHAN APRILIA</v>
      </c>
      <c r="C200" s="28">
        <f>IFERROR(__xludf.DUMMYFUNCTION("""COMPUTED_VALUE"""),2.025070307E9)</f>
        <v>2025070307</v>
      </c>
      <c r="D200" s="28" t="str">
        <f>IFERROR(__xludf.DUMMYFUNCTION("""COMPUTED_VALUE"""),"AHMAD ERFAN")</f>
        <v>AHMAD ERFAN</v>
      </c>
      <c r="E200" s="28" t="str">
        <f>IFERROR(__xludf.DUMMYFUNCTION("""COMPUTED_VALUE"""),"SUDARWATI")</f>
        <v>SUDARWATI</v>
      </c>
      <c r="F200" s="28" t="str">
        <f>IFERROR(__xludf.DUMMYFUNCTION("""COMPUTED_VALUE"""),"TEJOASRI RT 001 RW 003 LAREN LAMONGAN")</f>
        <v>TEJOASRI RT 001 RW 003 LAREN LAMONGAN</v>
      </c>
      <c r="G200" s="28" t="str">
        <f>IFERROR(__xludf.DUMMYFUNCTION("""COMPUTED_VALUE"""),"MA-XI.6")</f>
        <v>MA-XI.6</v>
      </c>
      <c r="H200" s="28" t="str">
        <f>IFERROR(__xludf.DUMMYFUNCTION("""COMPUTED_VALUE"""),"C")</f>
        <v>C</v>
      </c>
      <c r="I200" s="28" t="str">
        <f>IFERROR(__xludf.DUMMYFUNCTION("""COMPUTED_VALUE"""),"C-10")</f>
        <v>C-10</v>
      </c>
      <c r="J200" s="28">
        <f>IFERROR(__xludf.DUMMYFUNCTION("""COMPUTED_VALUE"""),2.0)</f>
        <v>2</v>
      </c>
      <c r="K200" s="28" t="str">
        <f>IFERROR(__xludf.DUMMYFUNCTION("""COMPUTED_VALUE"""),"2 WUSTHO C PUTRI")</f>
        <v>2 WUSTHO C PUTRI</v>
      </c>
      <c r="L200" s="29" t="str">
        <f>IFERROR(__xludf.DUMMYFUNCTION("""COMPUTED_VALUE"""),"6282230612891")</f>
        <v>6282230612891</v>
      </c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2">
        <f>IFERROR(__xludf.DUMMYFUNCTION("""COMPUTED_VALUE"""),500000.0)</f>
        <v>500000</v>
      </c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2">
        <f>IFERROR(__xludf.DUMMYFUNCTION("""COMPUTED_VALUE"""),500000.0)</f>
        <v>500000</v>
      </c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2">
        <f>IFERROR(__xludf.DUMMYFUNCTION("""COMPUTED_VALUE"""),0.0)</f>
        <v>0</v>
      </c>
      <c r="BD200" s="22">
        <f>IFERROR(__xludf.DUMMYFUNCTION("""COMPUTED_VALUE"""),1000000.0)</f>
        <v>1000000</v>
      </c>
      <c r="BE200" s="22">
        <f>IFERROR(__xludf.DUMMYFUNCTION("""COMPUTED_VALUE"""),0.0)</f>
        <v>0</v>
      </c>
      <c r="BF200" s="22">
        <f>IFERROR(__xludf.DUMMYFUNCTION("""COMPUTED_VALUE"""),1000000.0)</f>
        <v>1000000</v>
      </c>
    </row>
    <row r="201">
      <c r="A201" s="27">
        <f>IFERROR(__xludf.DUMMYFUNCTION("""COMPUTED_VALUE"""),200.0)</f>
        <v>200</v>
      </c>
      <c r="B201" s="28" t="str">
        <f>IFERROR(__xludf.DUMMYFUNCTION("""COMPUTED_VALUE"""),"JOVANKA ALIFFATUZ ZAM-ZAMI")</f>
        <v>JOVANKA ALIFFATUZ ZAM-ZAMI</v>
      </c>
      <c r="C201" s="28">
        <f>IFERROR(__xludf.DUMMYFUNCTION("""COMPUTED_VALUE"""),2.025070267E9)</f>
        <v>2025070267</v>
      </c>
      <c r="D201" s="28" t="str">
        <f>IFERROR(__xludf.DUMMYFUNCTION("""COMPUTED_VALUE"""),"JUMIANTO")</f>
        <v>JUMIANTO</v>
      </c>
      <c r="E201" s="28" t="str">
        <f>IFERROR(__xludf.DUMMYFUNCTION("""COMPUTED_VALUE"""),"IVA KUMALA")</f>
        <v>IVA KUMALA</v>
      </c>
      <c r="F201" s="28" t="str">
        <f>IFERROR(__xludf.DUMMYFUNCTION("""COMPUTED_VALUE"""),"KULURAN RT 001 RW 001 KALITENGAH LAMONGAN")</f>
        <v>KULURAN RT 001 RW 001 KALITENGAH LAMONGAN</v>
      </c>
      <c r="G201" s="28" t="str">
        <f>IFERROR(__xludf.DUMMYFUNCTION("""COMPUTED_VALUE"""),"MA-XI.13")</f>
        <v>MA-XI.13</v>
      </c>
      <c r="H201" s="28" t="str">
        <f>IFERROR(__xludf.DUMMYFUNCTION("""COMPUTED_VALUE"""),"C")</f>
        <v>C</v>
      </c>
      <c r="I201" s="28" t="str">
        <f>IFERROR(__xludf.DUMMYFUNCTION("""COMPUTED_VALUE"""),"C-7")</f>
        <v>C-7</v>
      </c>
      <c r="J201" s="28">
        <f>IFERROR(__xludf.DUMMYFUNCTION("""COMPUTED_VALUE"""),2.0)</f>
        <v>2</v>
      </c>
      <c r="K201" s="28" t="str">
        <f>IFERROR(__xludf.DUMMYFUNCTION("""COMPUTED_VALUE"""),"2 MAK PUTRI")</f>
        <v>2 MAK PUTRI</v>
      </c>
      <c r="L201" s="29" t="str">
        <f>IFERROR(__xludf.DUMMYFUNCTION("""COMPUTED_VALUE"""),"6281559767628")</f>
        <v>6281559767628</v>
      </c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2">
        <f>IFERROR(__xludf.DUMMYFUNCTION("""COMPUTED_VALUE"""),450000.0)</f>
        <v>450000</v>
      </c>
      <c r="AA201" s="28"/>
      <c r="AB201" s="22">
        <f>IFERROR(__xludf.DUMMYFUNCTION("""COMPUTED_VALUE"""),500000.0)</f>
        <v>500000</v>
      </c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2">
        <f>IFERROR(__xludf.DUMMYFUNCTION("""COMPUTED_VALUE"""),500000.0)</f>
        <v>500000</v>
      </c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2">
        <f>IFERROR(__xludf.DUMMYFUNCTION("""COMPUTED_VALUE"""),450000.0)</f>
        <v>450000</v>
      </c>
      <c r="BD201" s="22">
        <f>IFERROR(__xludf.DUMMYFUNCTION("""COMPUTED_VALUE"""),1000000.0)</f>
        <v>1000000</v>
      </c>
      <c r="BE201" s="22">
        <f>IFERROR(__xludf.DUMMYFUNCTION("""COMPUTED_VALUE"""),0.0)</f>
        <v>0</v>
      </c>
      <c r="BF201" s="22">
        <f>IFERROR(__xludf.DUMMYFUNCTION("""COMPUTED_VALUE"""),1450000.0)</f>
        <v>1450000</v>
      </c>
    </row>
    <row r="202">
      <c r="A202" s="27">
        <f>IFERROR(__xludf.DUMMYFUNCTION("""COMPUTED_VALUE"""),201.0)</f>
        <v>201</v>
      </c>
      <c r="B202" s="28" t="str">
        <f>IFERROR(__xludf.DUMMYFUNCTION("""COMPUTED_VALUE"""),"KAMILA RENATA NABILA RIVANZHA")</f>
        <v>KAMILA RENATA NABILA RIVANZHA</v>
      </c>
      <c r="C202" s="28">
        <f>IFERROR(__xludf.DUMMYFUNCTION("""COMPUTED_VALUE"""),2.025070635E9)</f>
        <v>2025070635</v>
      </c>
      <c r="D202" s="28" t="str">
        <f>IFERROR(__xludf.DUMMYFUNCTION("""COMPUTED_VALUE"""),"SUN`AN RIVA`I")</f>
        <v>SUN`AN RIVA`I</v>
      </c>
      <c r="E202" s="28" t="str">
        <f>IFERROR(__xludf.DUMMYFUNCTION("""COMPUTED_VALUE"""),"ZARA")</f>
        <v>ZARA</v>
      </c>
      <c r="F202" s="28" t="str">
        <f>IFERROR(__xludf.DUMMYFUNCTION("""COMPUTED_VALUE"""),"DEKET KULON RT 003 RW 001 DEKET LAMONGAN")</f>
        <v>DEKET KULON RT 003 RW 001 DEKET LAMONGAN</v>
      </c>
      <c r="G202" s="28" t="str">
        <f>IFERROR(__xludf.DUMMYFUNCTION("""COMPUTED_VALUE"""),"MTS-8 B")</f>
        <v>MTS-8 B</v>
      </c>
      <c r="H202" s="28" t="str">
        <f>IFERROR(__xludf.DUMMYFUNCTION("""COMPUTED_VALUE"""),"C")</f>
        <v>C</v>
      </c>
      <c r="I202" s="28" t="str">
        <f>IFERROR(__xludf.DUMMYFUNCTION("""COMPUTED_VALUE"""),"C-5")</f>
        <v>C-5</v>
      </c>
      <c r="J202" s="28">
        <f>IFERROR(__xludf.DUMMYFUNCTION("""COMPUTED_VALUE"""),2.0)</f>
        <v>2</v>
      </c>
      <c r="K202" s="28" t="str">
        <f>IFERROR(__xludf.DUMMYFUNCTION("""COMPUTED_VALUE"""),"2 ULA C PUTRI")</f>
        <v>2 ULA C PUTRI</v>
      </c>
      <c r="L202" s="29" t="str">
        <f>IFERROR(__xludf.DUMMYFUNCTION("""COMPUTED_VALUE"""),"BOYONG SEMENTARA")</f>
        <v>BOYONG SEMENTARA</v>
      </c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2">
        <f>IFERROR(__xludf.DUMMYFUNCTION("""COMPUTED_VALUE"""),450000.0)</f>
        <v>450000</v>
      </c>
      <c r="X202" s="22">
        <f>IFERROR(__xludf.DUMMYFUNCTION("""COMPUTED_VALUE"""),450000.0)</f>
        <v>450000</v>
      </c>
      <c r="Y202" s="22">
        <f>IFERROR(__xludf.DUMMYFUNCTION("""COMPUTED_VALUE"""),450000.0)</f>
        <v>450000</v>
      </c>
      <c r="Z202" s="22">
        <f>IFERROR(__xludf.DUMMYFUNCTION("""COMPUTED_VALUE"""),450000.0)</f>
        <v>450000</v>
      </c>
      <c r="AA202" s="28"/>
      <c r="AB202" s="22">
        <f>IFERROR(__xludf.DUMMYFUNCTION("""COMPUTED_VALUE"""),500000.0)</f>
        <v>500000</v>
      </c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2">
        <f>IFERROR(__xludf.DUMMYFUNCTION("""COMPUTED_VALUE"""),500000.0)</f>
        <v>500000</v>
      </c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2">
        <f>IFERROR(__xludf.DUMMYFUNCTION("""COMPUTED_VALUE"""),1800000.0)</f>
        <v>1800000</v>
      </c>
      <c r="BD202" s="22">
        <f>IFERROR(__xludf.DUMMYFUNCTION("""COMPUTED_VALUE"""),1000000.0)</f>
        <v>1000000</v>
      </c>
      <c r="BE202" s="22">
        <f>IFERROR(__xludf.DUMMYFUNCTION("""COMPUTED_VALUE"""),0.0)</f>
        <v>0</v>
      </c>
      <c r="BF202" s="22">
        <f>IFERROR(__xludf.DUMMYFUNCTION("""COMPUTED_VALUE"""),2800000.0)</f>
        <v>2800000</v>
      </c>
    </row>
    <row r="203">
      <c r="A203" s="27">
        <f>IFERROR(__xludf.DUMMYFUNCTION("""COMPUTED_VALUE"""),202.0)</f>
        <v>202</v>
      </c>
      <c r="B203" s="28" t="str">
        <f>IFERROR(__xludf.DUMMYFUNCTION("""COMPUTED_VALUE"""),"KAYLA AFRIZA ROHMAH")</f>
        <v>KAYLA AFRIZA ROHMAH</v>
      </c>
      <c r="C203" s="28">
        <f>IFERROR(__xludf.DUMMYFUNCTION("""COMPUTED_VALUE"""),2.025070258E9)</f>
        <v>2025070258</v>
      </c>
      <c r="D203" s="28" t="str">
        <f>IFERROR(__xludf.DUMMYFUNCTION("""COMPUTED_VALUE"""),"ALIB KUSTIN")</f>
        <v>ALIB KUSTIN</v>
      </c>
      <c r="E203" s="28" t="str">
        <f>IFERROR(__xludf.DUMMYFUNCTION("""COMPUTED_VALUE"""),"TITIN NUR FARIDAH")</f>
        <v>TITIN NUR FARIDAH</v>
      </c>
      <c r="F203" s="28" t="str">
        <f>IFERROR(__xludf.DUMMYFUNCTION("""COMPUTED_VALUE"""),"JL. TIMOR RAYA NO. 72 PASIR PANJANG RT 007 RW 003 KOTA LAMA KUPANG")</f>
        <v>JL. TIMOR RAYA NO. 72 PASIR PANJANG RT 007 RW 003 KOTA LAMA KUPANG</v>
      </c>
      <c r="G203" s="28" t="str">
        <f>IFERROR(__xludf.DUMMYFUNCTION("""COMPUTED_VALUE"""),"MA-XI.6")</f>
        <v>MA-XI.6</v>
      </c>
      <c r="H203" s="28" t="str">
        <f>IFERROR(__xludf.DUMMYFUNCTION("""COMPUTED_VALUE"""),"C")</f>
        <v>C</v>
      </c>
      <c r="I203" s="28" t="str">
        <f>IFERROR(__xludf.DUMMYFUNCTION("""COMPUTED_VALUE"""),"C-10")</f>
        <v>C-10</v>
      </c>
      <c r="J203" s="28">
        <f>IFERROR(__xludf.DUMMYFUNCTION("""COMPUTED_VALUE"""),2.0)</f>
        <v>2</v>
      </c>
      <c r="K203" s="28" t="str">
        <f>IFERROR(__xludf.DUMMYFUNCTION("""COMPUTED_VALUE"""),"2 WUSTHO B PUTRI")</f>
        <v>2 WUSTHO B PUTRI</v>
      </c>
      <c r="L203" s="29" t="str">
        <f>IFERROR(__xludf.DUMMYFUNCTION("""COMPUTED_VALUE"""),"6285829314640")</f>
        <v>6285829314640</v>
      </c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2">
        <f>IFERROR(__xludf.DUMMYFUNCTION("""COMPUTED_VALUE"""),500000.0)</f>
        <v>500000</v>
      </c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2">
        <f>IFERROR(__xludf.DUMMYFUNCTION("""COMPUTED_VALUE"""),500000.0)</f>
        <v>500000</v>
      </c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2">
        <f>IFERROR(__xludf.DUMMYFUNCTION("""COMPUTED_VALUE"""),0.0)</f>
        <v>0</v>
      </c>
      <c r="BD203" s="22">
        <f>IFERROR(__xludf.DUMMYFUNCTION("""COMPUTED_VALUE"""),1000000.0)</f>
        <v>1000000</v>
      </c>
      <c r="BE203" s="22">
        <f>IFERROR(__xludf.DUMMYFUNCTION("""COMPUTED_VALUE"""),0.0)</f>
        <v>0</v>
      </c>
      <c r="BF203" s="22">
        <f>IFERROR(__xludf.DUMMYFUNCTION("""COMPUTED_VALUE"""),1000000.0)</f>
        <v>1000000</v>
      </c>
    </row>
    <row r="204">
      <c r="A204" s="27">
        <f>IFERROR(__xludf.DUMMYFUNCTION("""COMPUTED_VALUE"""),203.0)</f>
        <v>203</v>
      </c>
      <c r="B204" s="28" t="str">
        <f>IFERROR(__xludf.DUMMYFUNCTION("""COMPUTED_VALUE"""),"KIRANI AHMADA SALSABILA")</f>
        <v>KIRANI AHMADA SALSABILA</v>
      </c>
      <c r="C204" s="28">
        <f>IFERROR(__xludf.DUMMYFUNCTION("""COMPUTED_VALUE"""),2.025070075E9)</f>
        <v>2025070075</v>
      </c>
      <c r="D204" s="28" t="str">
        <f>IFERROR(__xludf.DUMMYFUNCTION("""COMPUTED_VALUE"""),"ALIMIN")</f>
        <v>ALIMIN</v>
      </c>
      <c r="E204" s="28" t="str">
        <f>IFERROR(__xludf.DUMMYFUNCTION("""COMPUTED_VALUE"""),"NINIK SUDARWATI")</f>
        <v>NINIK SUDARWATI</v>
      </c>
      <c r="F204" s="28" t="str">
        <f>IFERROR(__xludf.DUMMYFUNCTION("""COMPUTED_VALUE"""),"JL. MBAH RANGGON WIDE SENDANGHARJO RT 012 RW 001 BRONDONG LAMONGAN")</f>
        <v>JL. MBAH RANGGON WIDE SENDANGHARJO RT 012 RW 001 BRONDONG LAMONGAN</v>
      </c>
      <c r="G204" s="28" t="str">
        <f>IFERROR(__xludf.DUMMYFUNCTION("""COMPUTED_VALUE"""),"MA-XI.4")</f>
        <v>MA-XI.4</v>
      </c>
      <c r="H204" s="28" t="str">
        <f>IFERROR(__xludf.DUMMYFUNCTION("""COMPUTED_VALUE"""),"C")</f>
        <v>C</v>
      </c>
      <c r="I204" s="28" t="str">
        <f>IFERROR(__xludf.DUMMYFUNCTION("""COMPUTED_VALUE"""),"C-5")</f>
        <v>C-5</v>
      </c>
      <c r="J204" s="28">
        <f>IFERROR(__xludf.DUMMYFUNCTION("""COMPUTED_VALUE"""),2.0)</f>
        <v>2</v>
      </c>
      <c r="K204" s="28" t="str">
        <f>IFERROR(__xludf.DUMMYFUNCTION("""COMPUTED_VALUE"""),"2 WUSTHO B PUTRI")</f>
        <v>2 WUSTHO B PUTRI</v>
      </c>
      <c r="L204" s="29" t="str">
        <f>IFERROR(__xludf.DUMMYFUNCTION("""COMPUTED_VALUE"""),"6285706529314")</f>
        <v>6285706529314</v>
      </c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2">
        <f>IFERROR(__xludf.DUMMYFUNCTION("""COMPUTED_VALUE"""),500000.0)</f>
        <v>500000</v>
      </c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2">
        <f>IFERROR(__xludf.DUMMYFUNCTION("""COMPUTED_VALUE"""),500000.0)</f>
        <v>500000</v>
      </c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2">
        <f>IFERROR(__xludf.DUMMYFUNCTION("""COMPUTED_VALUE"""),0.0)</f>
        <v>0</v>
      </c>
      <c r="BD204" s="22">
        <f>IFERROR(__xludf.DUMMYFUNCTION("""COMPUTED_VALUE"""),1000000.0)</f>
        <v>1000000</v>
      </c>
      <c r="BE204" s="22">
        <f>IFERROR(__xludf.DUMMYFUNCTION("""COMPUTED_VALUE"""),0.0)</f>
        <v>0</v>
      </c>
      <c r="BF204" s="22">
        <f>IFERROR(__xludf.DUMMYFUNCTION("""COMPUTED_VALUE"""),1000000.0)</f>
        <v>1000000</v>
      </c>
    </row>
    <row r="205">
      <c r="A205" s="27">
        <f>IFERROR(__xludf.DUMMYFUNCTION("""COMPUTED_VALUE"""),204.0)</f>
        <v>204</v>
      </c>
      <c r="B205" s="28" t="str">
        <f>IFERROR(__xludf.DUMMYFUNCTION("""COMPUTED_VALUE"""),"LAILATUL KHUSNA")</f>
        <v>LAILATUL KHUSNA</v>
      </c>
      <c r="C205" s="28">
        <f>IFERROR(__xludf.DUMMYFUNCTION("""COMPUTED_VALUE"""),2.025070356E9)</f>
        <v>2025070356</v>
      </c>
      <c r="D205" s="28" t="str">
        <f>IFERROR(__xludf.DUMMYFUNCTION("""COMPUTED_VALUE"""),"MOCHAMAD ANDIK BUONO")</f>
        <v>MOCHAMAD ANDIK BUONO</v>
      </c>
      <c r="E205" s="28" t="str">
        <f>IFERROR(__xludf.DUMMYFUNCTION("""COMPUTED_VALUE"""),"MAYA DEVI KARTIKA")</f>
        <v>MAYA DEVI KARTIKA</v>
      </c>
      <c r="F205" s="28" t="str">
        <f>IFERROR(__xludf.DUMMYFUNCTION("""COMPUTED_VALUE"""),"SEMANDING TIMUR RT 002 RW 006 SEMANDING TUBAN")</f>
        <v>SEMANDING TIMUR RT 002 RW 006 SEMANDING TUBAN</v>
      </c>
      <c r="G205" s="28" t="str">
        <f>IFERROR(__xludf.DUMMYFUNCTION("""COMPUTED_VALUE"""),"MA-XI.11")</f>
        <v>MA-XI.11</v>
      </c>
      <c r="H205" s="28" t="str">
        <f>IFERROR(__xludf.DUMMYFUNCTION("""COMPUTED_VALUE"""),"C")</f>
        <v>C</v>
      </c>
      <c r="I205" s="28" t="str">
        <f>IFERROR(__xludf.DUMMYFUNCTION("""COMPUTED_VALUE"""),"C-5")</f>
        <v>C-5</v>
      </c>
      <c r="J205" s="28">
        <f>IFERROR(__xludf.DUMMYFUNCTION("""COMPUTED_VALUE"""),2.0)</f>
        <v>2</v>
      </c>
      <c r="K205" s="28" t="str">
        <f>IFERROR(__xludf.DUMMYFUNCTION("""COMPUTED_VALUE"""),"2 WUSTHO A PUTRI")</f>
        <v>2 WUSTHO A PUTRI</v>
      </c>
      <c r="L205" s="29" t="str">
        <f>IFERROR(__xludf.DUMMYFUNCTION("""COMPUTED_VALUE"""),"6285706850696")</f>
        <v>6285706850696</v>
      </c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2">
        <f>IFERROR(__xludf.DUMMYFUNCTION("""COMPUTED_VALUE"""),500000.0)</f>
        <v>500000</v>
      </c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2">
        <f>IFERROR(__xludf.DUMMYFUNCTION("""COMPUTED_VALUE"""),500000.0)</f>
        <v>500000</v>
      </c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2">
        <f>IFERROR(__xludf.DUMMYFUNCTION("""COMPUTED_VALUE"""),0.0)</f>
        <v>0</v>
      </c>
      <c r="BD205" s="22">
        <f>IFERROR(__xludf.DUMMYFUNCTION("""COMPUTED_VALUE"""),1000000.0)</f>
        <v>1000000</v>
      </c>
      <c r="BE205" s="22">
        <f>IFERROR(__xludf.DUMMYFUNCTION("""COMPUTED_VALUE"""),0.0)</f>
        <v>0</v>
      </c>
      <c r="BF205" s="22">
        <f>IFERROR(__xludf.DUMMYFUNCTION("""COMPUTED_VALUE"""),1000000.0)</f>
        <v>1000000</v>
      </c>
    </row>
    <row r="206">
      <c r="A206" s="27">
        <f>IFERROR(__xludf.DUMMYFUNCTION("""COMPUTED_VALUE"""),205.0)</f>
        <v>205</v>
      </c>
      <c r="B206" s="28" t="str">
        <f>IFERROR(__xludf.DUMMYFUNCTION("""COMPUTED_VALUE"""),"LENY ANGGRAINI")</f>
        <v>LENY ANGGRAINI</v>
      </c>
      <c r="C206" s="28">
        <f>IFERROR(__xludf.DUMMYFUNCTION("""COMPUTED_VALUE"""),2.025070245E9)</f>
        <v>2025070245</v>
      </c>
      <c r="D206" s="28" t="str">
        <f>IFERROR(__xludf.DUMMYFUNCTION("""COMPUTED_VALUE"""),"ALI")</f>
        <v>ALI</v>
      </c>
      <c r="E206" s="28" t="str">
        <f>IFERROR(__xludf.DUMMYFUNCTION("""COMPUTED_VALUE"""),"RIANI")</f>
        <v>RIANI</v>
      </c>
      <c r="F206" s="28" t="str">
        <f>IFERROR(__xludf.DUMMYFUNCTION("""COMPUTED_VALUE"""),"MUNGSU SUGIHWARAS RT 002 RW 004 KALITENGAH LAMONGAN")</f>
        <v>MUNGSU SUGIHWARAS RT 002 RW 004 KALITENGAH LAMONGAN</v>
      </c>
      <c r="G206" s="28" t="str">
        <f>IFERROR(__xludf.DUMMYFUNCTION("""COMPUTED_VALUE"""),"MA-XI.10")</f>
        <v>MA-XI.10</v>
      </c>
      <c r="H206" s="28" t="str">
        <f>IFERROR(__xludf.DUMMYFUNCTION("""COMPUTED_VALUE"""),"C")</f>
        <v>C</v>
      </c>
      <c r="I206" s="28" t="str">
        <f>IFERROR(__xludf.DUMMYFUNCTION("""COMPUTED_VALUE"""),"C-10")</f>
        <v>C-10</v>
      </c>
      <c r="J206" s="28">
        <f>IFERROR(__xludf.DUMMYFUNCTION("""COMPUTED_VALUE"""),2.0)</f>
        <v>2</v>
      </c>
      <c r="K206" s="28" t="str">
        <f>IFERROR(__xludf.DUMMYFUNCTION("""COMPUTED_VALUE"""),"2 WUSTHO B PUTRI")</f>
        <v>2 WUSTHO B PUTRI</v>
      </c>
      <c r="L206" s="29" t="str">
        <f>IFERROR(__xludf.DUMMYFUNCTION("""COMPUTED_VALUE"""),"6285815513440")</f>
        <v>6285815513440</v>
      </c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2">
        <f>IFERROR(__xludf.DUMMYFUNCTION("""COMPUTED_VALUE"""),450000.0)</f>
        <v>450000</v>
      </c>
      <c r="AA206" s="28"/>
      <c r="AB206" s="22">
        <f>IFERROR(__xludf.DUMMYFUNCTION("""COMPUTED_VALUE"""),500000.0)</f>
        <v>500000</v>
      </c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2">
        <f>IFERROR(__xludf.DUMMYFUNCTION("""COMPUTED_VALUE"""),500000.0)</f>
        <v>500000</v>
      </c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2">
        <f>IFERROR(__xludf.DUMMYFUNCTION("""COMPUTED_VALUE"""),450000.0)</f>
        <v>450000</v>
      </c>
      <c r="BD206" s="22">
        <f>IFERROR(__xludf.DUMMYFUNCTION("""COMPUTED_VALUE"""),1000000.0)</f>
        <v>1000000</v>
      </c>
      <c r="BE206" s="22">
        <f>IFERROR(__xludf.DUMMYFUNCTION("""COMPUTED_VALUE"""),0.0)</f>
        <v>0</v>
      </c>
      <c r="BF206" s="22">
        <f>IFERROR(__xludf.DUMMYFUNCTION("""COMPUTED_VALUE"""),1450000.0)</f>
        <v>1450000</v>
      </c>
    </row>
    <row r="207">
      <c r="A207" s="27">
        <f>IFERROR(__xludf.DUMMYFUNCTION("""COMPUTED_VALUE"""),206.0)</f>
        <v>206</v>
      </c>
      <c r="B207" s="28" t="str">
        <f>IFERROR(__xludf.DUMMYFUNCTION("""COMPUTED_VALUE"""),"LINTANG RAMADHANI")</f>
        <v>LINTANG RAMADHANI</v>
      </c>
      <c r="C207" s="28">
        <f>IFERROR(__xludf.DUMMYFUNCTION("""COMPUTED_VALUE"""),2.025070179E9)</f>
        <v>2025070179</v>
      </c>
      <c r="D207" s="28" t="str">
        <f>IFERROR(__xludf.DUMMYFUNCTION("""COMPUTED_VALUE"""),"MIFTAHUL BARIR")</f>
        <v>MIFTAHUL BARIR</v>
      </c>
      <c r="E207" s="28" t="str">
        <f>IFERROR(__xludf.DUMMYFUNCTION("""COMPUTED_VALUE"""),"ANI SAIDAH")</f>
        <v>ANI SAIDAH</v>
      </c>
      <c r="F207" s="28" t="str">
        <f>IFERROR(__xludf.DUMMYFUNCTION("""COMPUTED_VALUE"""),"PACIRAN RT 003 RW 002 PACIRAN LAMONGAN")</f>
        <v>PACIRAN RT 003 RW 002 PACIRAN LAMONGAN</v>
      </c>
      <c r="G207" s="28" t="str">
        <f>IFERROR(__xludf.DUMMYFUNCTION("""COMPUTED_VALUE"""),"MA-XI.2")</f>
        <v>MA-XI.2</v>
      </c>
      <c r="H207" s="28" t="str">
        <f>IFERROR(__xludf.DUMMYFUNCTION("""COMPUTED_VALUE"""),"C")</f>
        <v>C</v>
      </c>
      <c r="I207" s="28" t="str">
        <f>IFERROR(__xludf.DUMMYFUNCTION("""COMPUTED_VALUE"""),"C-10")</f>
        <v>C-10</v>
      </c>
      <c r="J207" s="28">
        <f>IFERROR(__xludf.DUMMYFUNCTION("""COMPUTED_VALUE"""),2.0)</f>
        <v>2</v>
      </c>
      <c r="K207" s="28" t="str">
        <f>IFERROR(__xludf.DUMMYFUNCTION("""COMPUTED_VALUE"""),"2 WUSTHO D PUTRI")</f>
        <v>2 WUSTHO D PUTRI</v>
      </c>
      <c r="L207" s="29" t="str">
        <f>IFERROR(__xludf.DUMMYFUNCTION("""COMPUTED_VALUE"""),"6285257577436")</f>
        <v>6285257577436</v>
      </c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2">
        <f>IFERROR(__xludf.DUMMYFUNCTION("""COMPUTED_VALUE"""),450000.0)</f>
        <v>450000</v>
      </c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2">
        <f>IFERROR(__xludf.DUMMYFUNCTION("""COMPUTED_VALUE"""),450000.0)</f>
        <v>450000</v>
      </c>
      <c r="BD207" s="22">
        <f>IFERROR(__xludf.DUMMYFUNCTION("""COMPUTED_VALUE"""),0.0)</f>
        <v>0</v>
      </c>
      <c r="BE207" s="22">
        <f>IFERROR(__xludf.DUMMYFUNCTION("""COMPUTED_VALUE"""),0.0)</f>
        <v>0</v>
      </c>
      <c r="BF207" s="22">
        <f>IFERROR(__xludf.DUMMYFUNCTION("""COMPUTED_VALUE"""),450000.0)</f>
        <v>450000</v>
      </c>
    </row>
    <row r="208">
      <c r="A208" s="27">
        <f>IFERROR(__xludf.DUMMYFUNCTION("""COMPUTED_VALUE"""),207.0)</f>
        <v>207</v>
      </c>
      <c r="B208" s="28" t="str">
        <f>IFERROR(__xludf.DUMMYFUNCTION("""COMPUTED_VALUE"""),"LUTFIYAH FARADELLA")</f>
        <v>LUTFIYAH FARADELLA</v>
      </c>
      <c r="C208" s="28">
        <f>IFERROR(__xludf.DUMMYFUNCTION("""COMPUTED_VALUE"""),2.025070568E9)</f>
        <v>2025070568</v>
      </c>
      <c r="D208" s="28" t="str">
        <f>IFERROR(__xludf.DUMMYFUNCTION("""COMPUTED_VALUE"""),"SUKARTONO")</f>
        <v>SUKARTONO</v>
      </c>
      <c r="E208" s="28" t="str">
        <f>IFERROR(__xludf.DUMMYFUNCTION("""COMPUTED_VALUE"""),"RUMAINAH")</f>
        <v>RUMAINAH</v>
      </c>
      <c r="F208" s="28" t="str">
        <f>IFERROR(__xludf.DUMMYFUNCTION("""COMPUTED_VALUE"""),"KEBEN RT 002 RW 001 TURI LAMONGAN")</f>
        <v>KEBEN RT 002 RW 001 TURI LAMONGAN</v>
      </c>
      <c r="G208" s="28" t="str">
        <f>IFERROR(__xludf.DUMMYFUNCTION("""COMPUTED_VALUE"""),"MTS-8 D")</f>
        <v>MTS-8 D</v>
      </c>
      <c r="H208" s="28" t="str">
        <f>IFERROR(__xludf.DUMMYFUNCTION("""COMPUTED_VALUE"""),"C")</f>
        <v>C</v>
      </c>
      <c r="I208" s="28" t="str">
        <f>IFERROR(__xludf.DUMMYFUNCTION("""COMPUTED_VALUE"""),"C-13")</f>
        <v>C-13</v>
      </c>
      <c r="J208" s="28">
        <f>IFERROR(__xludf.DUMMYFUNCTION("""COMPUTED_VALUE"""),2.0)</f>
        <v>2</v>
      </c>
      <c r="K208" s="28" t="str">
        <f>IFERROR(__xludf.DUMMYFUNCTION("""COMPUTED_VALUE"""),"2 ULA B PUTRI")</f>
        <v>2 ULA B PUTRI</v>
      </c>
      <c r="L208" s="29" t="str">
        <f>IFERROR(__xludf.DUMMYFUNCTION("""COMPUTED_VALUE"""),"6285731146502")</f>
        <v>6285731146502</v>
      </c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2">
        <f>IFERROR(__xludf.DUMMYFUNCTION("""COMPUTED_VALUE"""),0.0)</f>
        <v>0</v>
      </c>
      <c r="BD208" s="22">
        <f>IFERROR(__xludf.DUMMYFUNCTION("""COMPUTED_VALUE"""),0.0)</f>
        <v>0</v>
      </c>
      <c r="BE208" s="22">
        <f>IFERROR(__xludf.DUMMYFUNCTION("""COMPUTED_VALUE"""),0.0)</f>
        <v>0</v>
      </c>
      <c r="BF208" s="22">
        <f>IFERROR(__xludf.DUMMYFUNCTION("""COMPUTED_VALUE"""),0.0)</f>
        <v>0</v>
      </c>
    </row>
    <row r="209">
      <c r="A209" s="27">
        <f>IFERROR(__xludf.DUMMYFUNCTION("""COMPUTED_VALUE"""),208.0)</f>
        <v>208</v>
      </c>
      <c r="B209" s="28" t="str">
        <f>IFERROR(__xludf.DUMMYFUNCTION("""COMPUTED_VALUE"""),"MASTALENA FRADITA")</f>
        <v>MASTALENA FRADITA</v>
      </c>
      <c r="C209" s="28">
        <f>IFERROR(__xludf.DUMMYFUNCTION("""COMPUTED_VALUE"""),2.025070271E9)</f>
        <v>2025070271</v>
      </c>
      <c r="D209" s="28" t="str">
        <f>IFERROR(__xludf.DUMMYFUNCTION("""COMPUTED_VALUE"""),"ABDUL MUHID")</f>
        <v>ABDUL MUHID</v>
      </c>
      <c r="E209" s="28" t="str">
        <f>IFERROR(__xludf.DUMMYFUNCTION("""COMPUTED_VALUE"""),"ROSWATI")</f>
        <v>ROSWATI</v>
      </c>
      <c r="F209" s="28" t="str">
        <f>IFERROR(__xludf.DUMMYFUNCTION("""COMPUTED_VALUE"""),"GELAP RT 006 RW 002 LAREN LAMONGAN")</f>
        <v>GELAP RT 006 RW 002 LAREN LAMONGAN</v>
      </c>
      <c r="G209" s="28" t="str">
        <f>IFERROR(__xludf.DUMMYFUNCTION("""COMPUTED_VALUE"""),"MA-XI.5")</f>
        <v>MA-XI.5</v>
      </c>
      <c r="H209" s="28" t="str">
        <f>IFERROR(__xludf.DUMMYFUNCTION("""COMPUTED_VALUE"""),"C")</f>
        <v>C</v>
      </c>
      <c r="I209" s="28" t="str">
        <f>IFERROR(__xludf.DUMMYFUNCTION("""COMPUTED_VALUE"""),"C-10")</f>
        <v>C-10</v>
      </c>
      <c r="J209" s="28">
        <f>IFERROR(__xludf.DUMMYFUNCTION("""COMPUTED_VALUE"""),2.0)</f>
        <v>2</v>
      </c>
      <c r="K209" s="28" t="str">
        <f>IFERROR(__xludf.DUMMYFUNCTION("""COMPUTED_VALUE"""),"2 WUSTHO A PUTRI")</f>
        <v>2 WUSTHO A PUTRI</v>
      </c>
      <c r="L209" s="29" t="str">
        <f>IFERROR(__xludf.DUMMYFUNCTION("""COMPUTED_VALUE"""),"6285792398015")</f>
        <v>6285792398015</v>
      </c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2">
        <f>IFERROR(__xludf.DUMMYFUNCTION("""COMPUTED_VALUE"""),500000.0)</f>
        <v>500000</v>
      </c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2">
        <f>IFERROR(__xludf.DUMMYFUNCTION("""COMPUTED_VALUE"""),500000.0)</f>
        <v>500000</v>
      </c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2">
        <f>IFERROR(__xludf.DUMMYFUNCTION("""COMPUTED_VALUE"""),0.0)</f>
        <v>0</v>
      </c>
      <c r="BD209" s="22">
        <f>IFERROR(__xludf.DUMMYFUNCTION("""COMPUTED_VALUE"""),1000000.0)</f>
        <v>1000000</v>
      </c>
      <c r="BE209" s="22">
        <f>IFERROR(__xludf.DUMMYFUNCTION("""COMPUTED_VALUE"""),0.0)</f>
        <v>0</v>
      </c>
      <c r="BF209" s="22">
        <f>IFERROR(__xludf.DUMMYFUNCTION("""COMPUTED_VALUE"""),1000000.0)</f>
        <v>1000000</v>
      </c>
    </row>
    <row r="210">
      <c r="A210" s="27">
        <f>IFERROR(__xludf.DUMMYFUNCTION("""COMPUTED_VALUE"""),209.0)</f>
        <v>209</v>
      </c>
      <c r="B210" s="28" t="str">
        <f>IFERROR(__xludf.DUMMYFUNCTION("""COMPUTED_VALUE"""),"MAYA NUR ANDYNI")</f>
        <v>MAYA NUR ANDYNI</v>
      </c>
      <c r="C210" s="28">
        <f>IFERROR(__xludf.DUMMYFUNCTION("""COMPUTED_VALUE"""),2.025070063E9)</f>
        <v>2025070063</v>
      </c>
      <c r="D210" s="28" t="str">
        <f>IFERROR(__xludf.DUMMYFUNCTION("""COMPUTED_VALUE"""),"KASMUJI")</f>
        <v>KASMUJI</v>
      </c>
      <c r="E210" s="28" t="str">
        <f>IFERROR(__xludf.DUMMYFUNCTION("""COMPUTED_VALUE"""),"MUBARIROH")</f>
        <v>MUBARIROH</v>
      </c>
      <c r="F210" s="28" t="str">
        <f>IFERROR(__xludf.DUMMYFUNCTION("""COMPUTED_VALUE"""),"BLURI RT 002 RW 003 SOLOKURO LAMONGAN")</f>
        <v>BLURI RT 002 RW 003 SOLOKURO LAMONGAN</v>
      </c>
      <c r="G210" s="28" t="str">
        <f>IFERROR(__xludf.DUMMYFUNCTION("""COMPUTED_VALUE"""),"MA-XI.5")</f>
        <v>MA-XI.5</v>
      </c>
      <c r="H210" s="28" t="str">
        <f>IFERROR(__xludf.DUMMYFUNCTION("""COMPUTED_VALUE"""),"C")</f>
        <v>C</v>
      </c>
      <c r="I210" s="28" t="str">
        <f>IFERROR(__xludf.DUMMYFUNCTION("""COMPUTED_VALUE"""),"C-10")</f>
        <v>C-10</v>
      </c>
      <c r="J210" s="28">
        <f>IFERROR(__xludf.DUMMYFUNCTION("""COMPUTED_VALUE"""),2.0)</f>
        <v>2</v>
      </c>
      <c r="K210" s="28" t="str">
        <f>IFERROR(__xludf.DUMMYFUNCTION("""COMPUTED_VALUE"""),"2 WUSTHO A PUTRI")</f>
        <v>2 WUSTHO A PUTRI</v>
      </c>
      <c r="L210" s="29" t="str">
        <f>IFERROR(__xludf.DUMMYFUNCTION("""COMPUTED_VALUE"""),"6285648895170")</f>
        <v>6285648895170</v>
      </c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2">
        <f>IFERROR(__xludf.DUMMYFUNCTION("""COMPUTED_VALUE"""),500000.0)</f>
        <v>500000</v>
      </c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2">
        <f>IFERROR(__xludf.DUMMYFUNCTION("""COMPUTED_VALUE"""),500000.0)</f>
        <v>500000</v>
      </c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2">
        <f>IFERROR(__xludf.DUMMYFUNCTION("""COMPUTED_VALUE"""),0.0)</f>
        <v>0</v>
      </c>
      <c r="BD210" s="22">
        <f>IFERROR(__xludf.DUMMYFUNCTION("""COMPUTED_VALUE"""),1000000.0)</f>
        <v>1000000</v>
      </c>
      <c r="BE210" s="22">
        <f>IFERROR(__xludf.DUMMYFUNCTION("""COMPUTED_VALUE"""),0.0)</f>
        <v>0</v>
      </c>
      <c r="BF210" s="22">
        <f>IFERROR(__xludf.DUMMYFUNCTION("""COMPUTED_VALUE"""),1000000.0)</f>
        <v>1000000</v>
      </c>
    </row>
    <row r="211">
      <c r="A211" s="27">
        <f>IFERROR(__xludf.DUMMYFUNCTION("""COMPUTED_VALUE"""),210.0)</f>
        <v>210</v>
      </c>
      <c r="B211" s="28" t="str">
        <f>IFERROR(__xludf.DUMMYFUNCTION("""COMPUTED_VALUE"""),"MAZIYAH SARIROH")</f>
        <v>MAZIYAH SARIROH</v>
      </c>
      <c r="C211" s="28">
        <f>IFERROR(__xludf.DUMMYFUNCTION("""COMPUTED_VALUE"""),2.025070384E9)</f>
        <v>2025070384</v>
      </c>
      <c r="D211" s="28" t="str">
        <f>IFERROR(__xludf.DUMMYFUNCTION("""COMPUTED_VALUE"""),"ABDUL MUN`IM")</f>
        <v>ABDUL MUN`IM</v>
      </c>
      <c r="E211" s="28" t="str">
        <f>IFERROR(__xludf.DUMMYFUNCTION("""COMPUTED_VALUE"""),"SHOLIHATIN")</f>
        <v>SHOLIHATIN</v>
      </c>
      <c r="F211" s="28" t="str">
        <f>IFERROR(__xludf.DUMMYFUNCTION("""COMPUTED_VALUE"""),"DEPEK SUGIHWARAS RT 001 RW 001 KALITENGAH LAMONGAN")</f>
        <v>DEPEK SUGIHWARAS RT 001 RW 001 KALITENGAH LAMONGAN</v>
      </c>
      <c r="G211" s="28" t="str">
        <f>IFERROR(__xludf.DUMMYFUNCTION("""COMPUTED_VALUE"""),"MA-XI.1")</f>
        <v>MA-XI.1</v>
      </c>
      <c r="H211" s="28" t="str">
        <f>IFERROR(__xludf.DUMMYFUNCTION("""COMPUTED_VALUE"""),"C")</f>
        <v>C</v>
      </c>
      <c r="I211" s="28" t="str">
        <f>IFERROR(__xludf.DUMMYFUNCTION("""COMPUTED_VALUE"""),"C-6")</f>
        <v>C-6</v>
      </c>
      <c r="J211" s="28">
        <f>IFERROR(__xludf.DUMMYFUNCTION("""COMPUTED_VALUE"""),2.0)</f>
        <v>2</v>
      </c>
      <c r="K211" s="28" t="str">
        <f>IFERROR(__xludf.DUMMYFUNCTION("""COMPUTED_VALUE"""),"TAHFIDZ")</f>
        <v>TAHFIDZ</v>
      </c>
      <c r="L211" s="29" t="str">
        <f>IFERROR(__xludf.DUMMYFUNCTION("""COMPUTED_VALUE"""),"6281554466483")</f>
        <v>6281554466483</v>
      </c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2">
        <f>IFERROR(__xludf.DUMMYFUNCTION("""COMPUTED_VALUE"""),450000.0)</f>
        <v>450000</v>
      </c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2">
        <f>IFERROR(__xludf.DUMMYFUNCTION("""COMPUTED_VALUE"""),500000.0)</f>
        <v>500000</v>
      </c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2">
        <f>IFERROR(__xludf.DUMMYFUNCTION("""COMPUTED_VALUE"""),450000.0)</f>
        <v>450000</v>
      </c>
      <c r="BD211" s="22">
        <f>IFERROR(__xludf.DUMMYFUNCTION("""COMPUTED_VALUE"""),500000.0)</f>
        <v>500000</v>
      </c>
      <c r="BE211" s="22">
        <f>IFERROR(__xludf.DUMMYFUNCTION("""COMPUTED_VALUE"""),0.0)</f>
        <v>0</v>
      </c>
      <c r="BF211" s="22">
        <f>IFERROR(__xludf.DUMMYFUNCTION("""COMPUTED_VALUE"""),950000.0)</f>
        <v>950000</v>
      </c>
    </row>
    <row r="212">
      <c r="A212" s="27">
        <f>IFERROR(__xludf.DUMMYFUNCTION("""COMPUTED_VALUE"""),211.0)</f>
        <v>211</v>
      </c>
      <c r="B212" s="28" t="str">
        <f>IFERROR(__xludf.DUMMYFUNCTION("""COMPUTED_VALUE"""),"MEISYA JUWITA SARI")</f>
        <v>MEISYA JUWITA SARI</v>
      </c>
      <c r="C212" s="28">
        <f>IFERROR(__xludf.DUMMYFUNCTION("""COMPUTED_VALUE"""),2.025070526E9)</f>
        <v>2025070526</v>
      </c>
      <c r="D212" s="28" t="str">
        <f>IFERROR(__xludf.DUMMYFUNCTION("""COMPUTED_VALUE"""),"WIWIT PURWANTORO")</f>
        <v>WIWIT PURWANTORO</v>
      </c>
      <c r="E212" s="28" t="str">
        <f>IFERROR(__xludf.DUMMYFUNCTION("""COMPUTED_VALUE"""),"DJUWARNI")</f>
        <v>DJUWARNI</v>
      </c>
      <c r="F212" s="28" t="str">
        <f>IFERROR(__xludf.DUMMYFUNCTION("""COMPUTED_VALUE"""),"JL. DURIAN KETAJEN RT 001 RW 004 GEDANGAN SIDOARJO")</f>
        <v>JL. DURIAN KETAJEN RT 001 RW 004 GEDANGAN SIDOARJO</v>
      </c>
      <c r="G212" s="28" t="str">
        <f>IFERROR(__xludf.DUMMYFUNCTION("""COMPUTED_VALUE"""),"MTS-8 D")</f>
        <v>MTS-8 D</v>
      </c>
      <c r="H212" s="28" t="str">
        <f>IFERROR(__xludf.DUMMYFUNCTION("""COMPUTED_VALUE"""),"C")</f>
        <v>C</v>
      </c>
      <c r="I212" s="28" t="str">
        <f>IFERROR(__xludf.DUMMYFUNCTION("""COMPUTED_VALUE"""),"C-6")</f>
        <v>C-6</v>
      </c>
      <c r="J212" s="28">
        <f>IFERROR(__xludf.DUMMYFUNCTION("""COMPUTED_VALUE"""),2.0)</f>
        <v>2</v>
      </c>
      <c r="K212" s="28" t="str">
        <f>IFERROR(__xludf.DUMMYFUNCTION("""COMPUTED_VALUE"""),"2 ULA C PUTRI")</f>
        <v>2 ULA C PUTRI</v>
      </c>
      <c r="L212" s="29" t="str">
        <f>IFERROR(__xludf.DUMMYFUNCTION("""COMPUTED_VALUE"""),"6285648971522")</f>
        <v>6285648971522</v>
      </c>
      <c r="M212" s="22">
        <f>IFERROR(__xludf.DUMMYFUNCTION("""COMPUTED_VALUE"""),600000.0)</f>
        <v>600000</v>
      </c>
      <c r="N212" s="28"/>
      <c r="O212" s="28"/>
      <c r="P212" s="28"/>
      <c r="Q212" s="28"/>
      <c r="R212" s="28"/>
      <c r="S212" s="28"/>
      <c r="T212" s="28"/>
      <c r="U212" s="22">
        <f>IFERROR(__xludf.DUMMYFUNCTION("""COMPUTED_VALUE"""),450000.0)</f>
        <v>450000</v>
      </c>
      <c r="V212" s="22">
        <f>IFERROR(__xludf.DUMMYFUNCTION("""COMPUTED_VALUE"""),450000.0)</f>
        <v>450000</v>
      </c>
      <c r="W212" s="22">
        <f>IFERROR(__xludf.DUMMYFUNCTION("""COMPUTED_VALUE"""),450000.0)</f>
        <v>450000</v>
      </c>
      <c r="X212" s="22">
        <f>IFERROR(__xludf.DUMMYFUNCTION("""COMPUTED_VALUE"""),450000.0)</f>
        <v>450000</v>
      </c>
      <c r="Y212" s="22">
        <f>IFERROR(__xludf.DUMMYFUNCTION("""COMPUTED_VALUE"""),450000.0)</f>
        <v>450000</v>
      </c>
      <c r="Z212" s="22">
        <f>IFERROR(__xludf.DUMMYFUNCTION("""COMPUTED_VALUE"""),450000.0)</f>
        <v>450000</v>
      </c>
      <c r="AA212" s="28"/>
      <c r="AB212" s="22">
        <f>IFERROR(__xludf.DUMMYFUNCTION("""COMPUTED_VALUE"""),500000.0)</f>
        <v>500000</v>
      </c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2">
        <f>IFERROR(__xludf.DUMMYFUNCTION("""COMPUTED_VALUE"""),500000.0)</f>
        <v>500000</v>
      </c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2">
        <f>IFERROR(__xludf.DUMMYFUNCTION("""COMPUTED_VALUE"""),2700000.0)</f>
        <v>2700000</v>
      </c>
      <c r="BD212" s="22">
        <f>IFERROR(__xludf.DUMMYFUNCTION("""COMPUTED_VALUE"""),1600000.0)</f>
        <v>1600000</v>
      </c>
      <c r="BE212" s="22">
        <f>IFERROR(__xludf.DUMMYFUNCTION("""COMPUTED_VALUE"""),0.0)</f>
        <v>0</v>
      </c>
      <c r="BF212" s="22">
        <f>IFERROR(__xludf.DUMMYFUNCTION("""COMPUTED_VALUE"""),4300000.0)</f>
        <v>4300000</v>
      </c>
    </row>
    <row r="213">
      <c r="A213" s="27">
        <f>IFERROR(__xludf.DUMMYFUNCTION("""COMPUTED_VALUE"""),212.0)</f>
        <v>212</v>
      </c>
      <c r="B213" s="28" t="str">
        <f>IFERROR(__xludf.DUMMYFUNCTION("""COMPUTED_VALUE"""),"NABILAH FAYRUZ ZAHROH")</f>
        <v>NABILAH FAYRUZ ZAHROH</v>
      </c>
      <c r="C213" s="28">
        <f>IFERROR(__xludf.DUMMYFUNCTION("""COMPUTED_VALUE"""),2.025070291E9)</f>
        <v>2025070291</v>
      </c>
      <c r="D213" s="28" t="str">
        <f>IFERROR(__xludf.DUMMYFUNCTION("""COMPUTED_VALUE"""),"PENDI DARMONO")</f>
        <v>PENDI DARMONO</v>
      </c>
      <c r="E213" s="28" t="str">
        <f>IFERROR(__xludf.DUMMYFUNCTION("""COMPUTED_VALUE"""),"RUSMINI")</f>
        <v>RUSMINI</v>
      </c>
      <c r="F213" s="28" t="str">
        <f>IFERROR(__xludf.DUMMYFUNCTION("""COMPUTED_VALUE"""),"GUNDIK SUKOREJO RT 001 RW 004 KARANGBINANGUN LAMONGAN")</f>
        <v>GUNDIK SUKOREJO RT 001 RW 004 KARANGBINANGUN LAMONGAN</v>
      </c>
      <c r="G213" s="28" t="str">
        <f>IFERROR(__xludf.DUMMYFUNCTION("""COMPUTED_VALUE"""),"MA-XI.11")</f>
        <v>MA-XI.11</v>
      </c>
      <c r="H213" s="28" t="str">
        <f>IFERROR(__xludf.DUMMYFUNCTION("""COMPUTED_VALUE"""),"C")</f>
        <v>C</v>
      </c>
      <c r="I213" s="28" t="str">
        <f>IFERROR(__xludf.DUMMYFUNCTION("""COMPUTED_VALUE"""),"C-10")</f>
        <v>C-10</v>
      </c>
      <c r="J213" s="28">
        <f>IFERROR(__xludf.DUMMYFUNCTION("""COMPUTED_VALUE"""),2.0)</f>
        <v>2</v>
      </c>
      <c r="K213" s="28" t="str">
        <f>IFERROR(__xludf.DUMMYFUNCTION("""COMPUTED_VALUE"""),"2 WUSTHO B PUTRI")</f>
        <v>2 WUSTHO B PUTRI</v>
      </c>
      <c r="L213" s="29" t="str">
        <f>IFERROR(__xludf.DUMMYFUNCTION("""COMPUTED_VALUE"""),"6285850710087")</f>
        <v>6285850710087</v>
      </c>
      <c r="M213" s="22">
        <f>IFERROR(__xludf.DUMMYFUNCTION("""COMPUTED_VALUE"""),600000.0)</f>
        <v>600000</v>
      </c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2">
        <f>IFERROR(__xludf.DUMMYFUNCTION("""COMPUTED_VALUE"""),450000.0)</f>
        <v>450000</v>
      </c>
      <c r="AA213" s="28"/>
      <c r="AB213" s="22">
        <f>IFERROR(__xludf.DUMMYFUNCTION("""COMPUTED_VALUE"""),500000.0)</f>
        <v>500000</v>
      </c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2">
        <f>IFERROR(__xludf.DUMMYFUNCTION("""COMPUTED_VALUE"""),500000.0)</f>
        <v>500000</v>
      </c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2">
        <f>IFERROR(__xludf.DUMMYFUNCTION("""COMPUTED_VALUE"""),450000.0)</f>
        <v>450000</v>
      </c>
      <c r="BD213" s="22">
        <f>IFERROR(__xludf.DUMMYFUNCTION("""COMPUTED_VALUE"""),1600000.0)</f>
        <v>1600000</v>
      </c>
      <c r="BE213" s="22">
        <f>IFERROR(__xludf.DUMMYFUNCTION("""COMPUTED_VALUE"""),0.0)</f>
        <v>0</v>
      </c>
      <c r="BF213" s="22">
        <f>IFERROR(__xludf.DUMMYFUNCTION("""COMPUTED_VALUE"""),2050000.0)</f>
        <v>2050000</v>
      </c>
    </row>
    <row r="214">
      <c r="A214" s="27">
        <f>IFERROR(__xludf.DUMMYFUNCTION("""COMPUTED_VALUE"""),213.0)</f>
        <v>213</v>
      </c>
      <c r="B214" s="28" t="str">
        <f>IFERROR(__xludf.DUMMYFUNCTION("""COMPUTED_VALUE"""),"NABILLAH DWI SISILIA")</f>
        <v>NABILLAH DWI SISILIA</v>
      </c>
      <c r="C214" s="28">
        <f>IFERROR(__xludf.DUMMYFUNCTION("""COMPUTED_VALUE"""),2.025070021E9)</f>
        <v>2025070021</v>
      </c>
      <c r="D214" s="28" t="str">
        <f>IFERROR(__xludf.DUMMYFUNCTION("""COMPUTED_VALUE"""),"IMAM SAFI`I")</f>
        <v>IMAM SAFI`I</v>
      </c>
      <c r="E214" s="28" t="str">
        <f>IFERROR(__xludf.DUMMYFUNCTION("""COMPUTED_VALUE"""),"KASMULIATIN")</f>
        <v>KASMULIATIN</v>
      </c>
      <c r="F214" s="28" t="str">
        <f>IFERROR(__xludf.DUMMYFUNCTION("""COMPUTED_VALUE"""),"JL. PENDIDIKAN TANAH MERAH RT 005 RW 000 TANA LIA TANA TIDUNG")</f>
        <v>JL. PENDIDIKAN TANAH MERAH RT 005 RW 000 TANA LIA TANA TIDUNG</v>
      </c>
      <c r="G214" s="28" t="str">
        <f>IFERROR(__xludf.DUMMYFUNCTION("""COMPUTED_VALUE"""),"MA-XI.10")</f>
        <v>MA-XI.10</v>
      </c>
      <c r="H214" s="28" t="str">
        <f>IFERROR(__xludf.DUMMYFUNCTION("""COMPUTED_VALUE"""),"C")</f>
        <v>C</v>
      </c>
      <c r="I214" s="28" t="str">
        <f>IFERROR(__xludf.DUMMYFUNCTION("""COMPUTED_VALUE"""),"C-6")</f>
        <v>C-6</v>
      </c>
      <c r="J214" s="28">
        <f>IFERROR(__xludf.DUMMYFUNCTION("""COMPUTED_VALUE"""),2.0)</f>
        <v>2</v>
      </c>
      <c r="K214" s="28" t="str">
        <f>IFERROR(__xludf.DUMMYFUNCTION("""COMPUTED_VALUE"""),"2 WUSTHO D PUTRI")</f>
        <v>2 WUSTHO D PUTRI</v>
      </c>
      <c r="L214" s="29" t="str">
        <f>IFERROR(__xludf.DUMMYFUNCTION("""COMPUTED_VALUE"""),"6285349502674")</f>
        <v>6285349502674</v>
      </c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2">
        <f>IFERROR(__xludf.DUMMYFUNCTION("""COMPUTED_VALUE"""),0.0)</f>
        <v>0</v>
      </c>
      <c r="BD214" s="22">
        <f>IFERROR(__xludf.DUMMYFUNCTION("""COMPUTED_VALUE"""),0.0)</f>
        <v>0</v>
      </c>
      <c r="BE214" s="22">
        <f>IFERROR(__xludf.DUMMYFUNCTION("""COMPUTED_VALUE"""),0.0)</f>
        <v>0</v>
      </c>
      <c r="BF214" s="22">
        <f>IFERROR(__xludf.DUMMYFUNCTION("""COMPUTED_VALUE"""),0.0)</f>
        <v>0</v>
      </c>
    </row>
    <row r="215">
      <c r="A215" s="27">
        <f>IFERROR(__xludf.DUMMYFUNCTION("""COMPUTED_VALUE"""),214.0)</f>
        <v>214</v>
      </c>
      <c r="B215" s="28" t="str">
        <f>IFERROR(__xludf.DUMMYFUNCTION("""COMPUTED_VALUE"""),"NADIA LATISHA PUTRI JUNAIDI")</f>
        <v>NADIA LATISHA PUTRI JUNAIDI</v>
      </c>
      <c r="C215" s="28">
        <f>IFERROR(__xludf.DUMMYFUNCTION("""COMPUTED_VALUE"""),2.025070562E9)</f>
        <v>2025070562</v>
      </c>
      <c r="D215" s="28" t="str">
        <f>IFERROR(__xludf.DUMMYFUNCTION("""COMPUTED_VALUE"""),"JUNAIDI SALAT")</f>
        <v>JUNAIDI SALAT</v>
      </c>
      <c r="E215" s="28" t="str">
        <f>IFERROR(__xludf.DUMMYFUNCTION("""COMPUTED_VALUE"""),"SUNADA")</f>
        <v>SUNADA</v>
      </c>
      <c r="F215" s="28" t="str">
        <f>IFERROR(__xludf.DUMMYFUNCTION("""COMPUTED_VALUE"""),"KEDIREN RT 002 RW 002 KALITENGAH LAMONGAN")</f>
        <v>KEDIREN RT 002 RW 002 KALITENGAH LAMONGAN</v>
      </c>
      <c r="G215" s="28" t="str">
        <f>IFERROR(__xludf.DUMMYFUNCTION("""COMPUTED_VALUE"""),"MTS-8 E")</f>
        <v>MTS-8 E</v>
      </c>
      <c r="H215" s="28" t="str">
        <f>IFERROR(__xludf.DUMMYFUNCTION("""COMPUTED_VALUE"""),"C")</f>
        <v>C</v>
      </c>
      <c r="I215" s="28" t="str">
        <f>IFERROR(__xludf.DUMMYFUNCTION("""COMPUTED_VALUE"""),"C-12")</f>
        <v>C-12</v>
      </c>
      <c r="J215" s="28">
        <f>IFERROR(__xludf.DUMMYFUNCTION("""COMPUTED_VALUE"""),2.0)</f>
        <v>2</v>
      </c>
      <c r="K215" s="28" t="str">
        <f>IFERROR(__xludf.DUMMYFUNCTION("""COMPUTED_VALUE"""),"2 ULA B PUTRI")</f>
        <v>2 ULA B PUTRI</v>
      </c>
      <c r="L215" s="29" t="str">
        <f>IFERROR(__xludf.DUMMYFUNCTION("""COMPUTED_VALUE"""),"6285804145415")</f>
        <v>6285804145415</v>
      </c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2">
        <f>IFERROR(__xludf.DUMMYFUNCTION("""COMPUTED_VALUE"""),500000.0)</f>
        <v>500000</v>
      </c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2">
        <f>IFERROR(__xludf.DUMMYFUNCTION("""COMPUTED_VALUE"""),500000.0)</f>
        <v>500000</v>
      </c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2">
        <f>IFERROR(__xludf.DUMMYFUNCTION("""COMPUTED_VALUE"""),0.0)</f>
        <v>0</v>
      </c>
      <c r="BD215" s="22">
        <f>IFERROR(__xludf.DUMMYFUNCTION("""COMPUTED_VALUE"""),1000000.0)</f>
        <v>1000000</v>
      </c>
      <c r="BE215" s="22">
        <f>IFERROR(__xludf.DUMMYFUNCTION("""COMPUTED_VALUE"""),0.0)</f>
        <v>0</v>
      </c>
      <c r="BF215" s="22">
        <f>IFERROR(__xludf.DUMMYFUNCTION("""COMPUTED_VALUE"""),1000000.0)</f>
        <v>1000000</v>
      </c>
    </row>
    <row r="216">
      <c r="A216" s="27">
        <f>IFERROR(__xludf.DUMMYFUNCTION("""COMPUTED_VALUE"""),215.0)</f>
        <v>215</v>
      </c>
      <c r="B216" s="28" t="str">
        <f>IFERROR(__xludf.DUMMYFUNCTION("""COMPUTED_VALUE"""),"NAFI`ATUL HAKIMAH")</f>
        <v>NAFI`ATUL HAKIMAH</v>
      </c>
      <c r="C216" s="28">
        <f>IFERROR(__xludf.DUMMYFUNCTION("""COMPUTED_VALUE"""),2.025070495E9)</f>
        <v>2025070495</v>
      </c>
      <c r="D216" s="28" t="str">
        <f>IFERROR(__xludf.DUMMYFUNCTION("""COMPUTED_VALUE"""),"ABDUL WAHID")</f>
        <v>ABDUL WAHID</v>
      </c>
      <c r="E216" s="28" t="str">
        <f>IFERROR(__xludf.DUMMYFUNCTION("""COMPUTED_VALUE"""),"SITI MIFTAHUR ROHMAH")</f>
        <v>SITI MIFTAHUR ROHMAH</v>
      </c>
      <c r="F216" s="28" t="str">
        <f>IFERROR(__xludf.DUMMYFUNCTION("""COMPUTED_VALUE"""),"DORO KARANGWEDORO RT 004 RW 002 TURI LAMONGAN")</f>
        <v>DORO KARANGWEDORO RT 004 RW 002 TURI LAMONGAN</v>
      </c>
      <c r="G216" s="28" t="str">
        <f>IFERROR(__xludf.DUMMYFUNCTION("""COMPUTED_VALUE"""),"SMP-VIII A")</f>
        <v>SMP-VIII A</v>
      </c>
      <c r="H216" s="28" t="str">
        <f>IFERROR(__xludf.DUMMYFUNCTION("""COMPUTED_VALUE"""),"C")</f>
        <v>C</v>
      </c>
      <c r="I216" s="28" t="str">
        <f>IFERROR(__xludf.DUMMYFUNCTION("""COMPUTED_VALUE"""),"C-12")</f>
        <v>C-12</v>
      </c>
      <c r="J216" s="28">
        <f>IFERROR(__xludf.DUMMYFUNCTION("""COMPUTED_VALUE"""),2.0)</f>
        <v>2</v>
      </c>
      <c r="K216" s="28" t="str">
        <f>IFERROR(__xludf.DUMMYFUNCTION("""COMPUTED_VALUE"""),"2 ULA C PUTRI")</f>
        <v>2 ULA C PUTRI</v>
      </c>
      <c r="L216" s="29" t="str">
        <f>IFERROR(__xludf.DUMMYFUNCTION("""COMPUTED_VALUE"""),"6285853062087")</f>
        <v>6285853062087</v>
      </c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2">
        <f>IFERROR(__xludf.DUMMYFUNCTION("""COMPUTED_VALUE"""),500000.0)</f>
        <v>500000</v>
      </c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2">
        <f>IFERROR(__xludf.DUMMYFUNCTION("""COMPUTED_VALUE"""),500000.0)</f>
        <v>500000</v>
      </c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2">
        <f>IFERROR(__xludf.DUMMYFUNCTION("""COMPUTED_VALUE"""),0.0)</f>
        <v>0</v>
      </c>
      <c r="BD216" s="22">
        <f>IFERROR(__xludf.DUMMYFUNCTION("""COMPUTED_VALUE"""),1000000.0)</f>
        <v>1000000</v>
      </c>
      <c r="BE216" s="22">
        <f>IFERROR(__xludf.DUMMYFUNCTION("""COMPUTED_VALUE"""),0.0)</f>
        <v>0</v>
      </c>
      <c r="BF216" s="22">
        <f>IFERROR(__xludf.DUMMYFUNCTION("""COMPUTED_VALUE"""),1000000.0)</f>
        <v>1000000</v>
      </c>
    </row>
    <row r="217">
      <c r="A217" s="27">
        <f>IFERROR(__xludf.DUMMYFUNCTION("""COMPUTED_VALUE"""),216.0)</f>
        <v>216</v>
      </c>
      <c r="B217" s="28" t="str">
        <f>IFERROR(__xludf.DUMMYFUNCTION("""COMPUTED_VALUE"""),"NAILA SHOFWA AMALIAH")</f>
        <v>NAILA SHOFWA AMALIAH</v>
      </c>
      <c r="C217" s="28">
        <f>IFERROR(__xludf.DUMMYFUNCTION("""COMPUTED_VALUE"""),2.025070233E9)</f>
        <v>2025070233</v>
      </c>
      <c r="D217" s="28" t="str">
        <f>IFERROR(__xludf.DUMMYFUNCTION("""COMPUTED_VALUE"""),"NURMAL")</f>
        <v>NURMAL</v>
      </c>
      <c r="E217" s="28" t="str">
        <f>IFERROR(__xludf.DUMMYFUNCTION("""COMPUTED_VALUE"""),"SITI ASTUTIN")</f>
        <v>SITI ASTUTIN</v>
      </c>
      <c r="F217" s="28" t="str">
        <f>IFERROR(__xludf.DUMMYFUNCTION("""COMPUTED_VALUE"""),"DAGAN RT 001 RW 002 SOLOKURO LAMONGAN")</f>
        <v>DAGAN RT 001 RW 002 SOLOKURO LAMONGAN</v>
      </c>
      <c r="G217" s="28" t="str">
        <f>IFERROR(__xludf.DUMMYFUNCTION("""COMPUTED_VALUE"""),"MA-XI.12")</f>
        <v>MA-XI.12</v>
      </c>
      <c r="H217" s="28" t="str">
        <f>IFERROR(__xludf.DUMMYFUNCTION("""COMPUTED_VALUE"""),"C")</f>
        <v>C</v>
      </c>
      <c r="I217" s="28" t="str">
        <f>IFERROR(__xludf.DUMMYFUNCTION("""COMPUTED_VALUE"""),"C-10")</f>
        <v>C-10</v>
      </c>
      <c r="J217" s="28">
        <f>IFERROR(__xludf.DUMMYFUNCTION("""COMPUTED_VALUE"""),2.0)</f>
        <v>2</v>
      </c>
      <c r="K217" s="28" t="str">
        <f>IFERROR(__xludf.DUMMYFUNCTION("""COMPUTED_VALUE"""),"2 WUSTHO A PUTRI")</f>
        <v>2 WUSTHO A PUTRI</v>
      </c>
      <c r="L217" s="29" t="str">
        <f>IFERROR(__xludf.DUMMYFUNCTION("""COMPUTED_VALUE"""),"6285785806949")</f>
        <v>6285785806949</v>
      </c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2">
        <f>IFERROR(__xludf.DUMMYFUNCTION("""COMPUTED_VALUE"""),0.0)</f>
        <v>0</v>
      </c>
      <c r="BD217" s="22">
        <f>IFERROR(__xludf.DUMMYFUNCTION("""COMPUTED_VALUE"""),0.0)</f>
        <v>0</v>
      </c>
      <c r="BE217" s="22">
        <f>IFERROR(__xludf.DUMMYFUNCTION("""COMPUTED_VALUE"""),0.0)</f>
        <v>0</v>
      </c>
      <c r="BF217" s="22">
        <f>IFERROR(__xludf.DUMMYFUNCTION("""COMPUTED_VALUE"""),0.0)</f>
        <v>0</v>
      </c>
    </row>
    <row r="218">
      <c r="A218" s="27">
        <f>IFERROR(__xludf.DUMMYFUNCTION("""COMPUTED_VALUE"""),217.0)</f>
        <v>217</v>
      </c>
      <c r="B218" s="28" t="str">
        <f>IFERROR(__xludf.DUMMYFUNCTION("""COMPUTED_VALUE"""),"NAILAH RAHADATUL ASIY ADELIAH")</f>
        <v>NAILAH RAHADATUL ASIY ADELIAH</v>
      </c>
      <c r="C218" s="28">
        <f>IFERROR(__xludf.DUMMYFUNCTION("""COMPUTED_VALUE"""),2.025070078E9)</f>
        <v>2025070078</v>
      </c>
      <c r="D218" s="28" t="str">
        <f>IFERROR(__xludf.DUMMYFUNCTION("""COMPUTED_VALUE"""),"BUDI LISMANTO")</f>
        <v>BUDI LISMANTO</v>
      </c>
      <c r="E218" s="28" t="str">
        <f>IFERROR(__xludf.DUMMYFUNCTION("""COMPUTED_VALUE"""),"KHUSNUL SAHADAH")</f>
        <v>KHUSNUL SAHADAH</v>
      </c>
      <c r="F218" s="28" t="str">
        <f>IFERROR(__xludf.DUMMYFUNCTION("""COMPUTED_VALUE"""),"BLURI RT 011 RW 003 SOLOKURO LAMONGAN")</f>
        <v>BLURI RT 011 RW 003 SOLOKURO LAMONGAN</v>
      </c>
      <c r="G218" s="28" t="str">
        <f>IFERROR(__xludf.DUMMYFUNCTION("""COMPUTED_VALUE"""),"MA-XI.5")</f>
        <v>MA-XI.5</v>
      </c>
      <c r="H218" s="28" t="str">
        <f>IFERROR(__xludf.DUMMYFUNCTION("""COMPUTED_VALUE"""),"C")</f>
        <v>C</v>
      </c>
      <c r="I218" s="28" t="str">
        <f>IFERROR(__xludf.DUMMYFUNCTION("""COMPUTED_VALUE"""),"C-10")</f>
        <v>C-10</v>
      </c>
      <c r="J218" s="28">
        <f>IFERROR(__xludf.DUMMYFUNCTION("""COMPUTED_VALUE"""),2.0)</f>
        <v>2</v>
      </c>
      <c r="K218" s="28" t="str">
        <f>IFERROR(__xludf.DUMMYFUNCTION("""COMPUTED_VALUE"""),"2 WUSTHO D PUTRI")</f>
        <v>2 WUSTHO D PUTRI</v>
      </c>
      <c r="L218" s="29" t="str">
        <f>IFERROR(__xludf.DUMMYFUNCTION("""COMPUTED_VALUE"""),"6285731461924")</f>
        <v>6285731461924</v>
      </c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2">
        <f>IFERROR(__xludf.DUMMYFUNCTION("""COMPUTED_VALUE"""),500000.0)</f>
        <v>500000</v>
      </c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2">
        <f>IFERROR(__xludf.DUMMYFUNCTION("""COMPUTED_VALUE"""),500000.0)</f>
        <v>500000</v>
      </c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2">
        <f>IFERROR(__xludf.DUMMYFUNCTION("""COMPUTED_VALUE"""),0.0)</f>
        <v>0</v>
      </c>
      <c r="BD218" s="22">
        <f>IFERROR(__xludf.DUMMYFUNCTION("""COMPUTED_VALUE"""),1000000.0)</f>
        <v>1000000</v>
      </c>
      <c r="BE218" s="22">
        <f>IFERROR(__xludf.DUMMYFUNCTION("""COMPUTED_VALUE"""),0.0)</f>
        <v>0</v>
      </c>
      <c r="BF218" s="22">
        <f>IFERROR(__xludf.DUMMYFUNCTION("""COMPUTED_VALUE"""),1000000.0)</f>
        <v>1000000</v>
      </c>
    </row>
    <row r="219">
      <c r="A219" s="27">
        <f>IFERROR(__xludf.DUMMYFUNCTION("""COMPUTED_VALUE"""),218.0)</f>
        <v>218</v>
      </c>
      <c r="B219" s="28" t="str">
        <f>IFERROR(__xludf.DUMMYFUNCTION("""COMPUTED_VALUE"""),"NATASYA ZUHROTUL ULA")</f>
        <v>NATASYA ZUHROTUL ULA</v>
      </c>
      <c r="C219" s="28">
        <f>IFERROR(__xludf.DUMMYFUNCTION("""COMPUTED_VALUE"""),2.025070137E9)</f>
        <v>2025070137</v>
      </c>
      <c r="D219" s="28" t="str">
        <f>IFERROR(__xludf.DUMMYFUNCTION("""COMPUTED_VALUE"""),"KHAFID ABDILLAH")</f>
        <v>KHAFID ABDILLAH</v>
      </c>
      <c r="E219" s="28" t="str">
        <f>IFERROR(__xludf.DUMMYFUNCTION("""COMPUTED_VALUE"""),"SITI ZAINATUL HABIBAH")</f>
        <v>SITI ZAINATUL HABIBAH</v>
      </c>
      <c r="F219" s="28" t="str">
        <f>IFERROR(__xludf.DUMMYFUNCTION("""COMPUTED_VALUE"""),"KULURAN RT 004 RW 003 KALITENGAH LAMONGAN")</f>
        <v>KULURAN RT 004 RW 003 KALITENGAH LAMONGAN</v>
      </c>
      <c r="G219" s="28" t="str">
        <f>IFERROR(__xludf.DUMMYFUNCTION("""COMPUTED_VALUE"""),"MA-XI.2")</f>
        <v>MA-XI.2</v>
      </c>
      <c r="H219" s="28" t="str">
        <f>IFERROR(__xludf.DUMMYFUNCTION("""COMPUTED_VALUE"""),"C")</f>
        <v>C</v>
      </c>
      <c r="I219" s="28" t="str">
        <f>IFERROR(__xludf.DUMMYFUNCTION("""COMPUTED_VALUE"""),"C-6")</f>
        <v>C-6</v>
      </c>
      <c r="J219" s="28">
        <f>IFERROR(__xludf.DUMMYFUNCTION("""COMPUTED_VALUE"""),2.0)</f>
        <v>2</v>
      </c>
      <c r="K219" s="28" t="str">
        <f>IFERROR(__xludf.DUMMYFUNCTION("""COMPUTED_VALUE"""),"2 WUSTHO A PUTRI")</f>
        <v>2 WUSTHO A PUTRI</v>
      </c>
      <c r="L219" s="29" t="str">
        <f>IFERROR(__xludf.DUMMYFUNCTION("""COMPUTED_VALUE"""),"6281556649032")</f>
        <v>6281556649032</v>
      </c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2">
        <f>IFERROR(__xludf.DUMMYFUNCTION("""COMPUTED_VALUE"""),500000.0)</f>
        <v>500000</v>
      </c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2">
        <f>IFERROR(__xludf.DUMMYFUNCTION("""COMPUTED_VALUE"""),500000.0)</f>
        <v>500000</v>
      </c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2">
        <f>IFERROR(__xludf.DUMMYFUNCTION("""COMPUTED_VALUE"""),0.0)</f>
        <v>0</v>
      </c>
      <c r="BD219" s="22">
        <f>IFERROR(__xludf.DUMMYFUNCTION("""COMPUTED_VALUE"""),1000000.0)</f>
        <v>1000000</v>
      </c>
      <c r="BE219" s="22">
        <f>IFERROR(__xludf.DUMMYFUNCTION("""COMPUTED_VALUE"""),0.0)</f>
        <v>0</v>
      </c>
      <c r="BF219" s="22">
        <f>IFERROR(__xludf.DUMMYFUNCTION("""COMPUTED_VALUE"""),1000000.0)</f>
        <v>1000000</v>
      </c>
    </row>
    <row r="220">
      <c r="A220" s="27">
        <f>IFERROR(__xludf.DUMMYFUNCTION("""COMPUTED_VALUE"""),219.0)</f>
        <v>219</v>
      </c>
      <c r="B220" s="28" t="str">
        <f>IFERROR(__xludf.DUMMYFUNCTION("""COMPUTED_VALUE"""),"NAURA NADHIFA FITRI FAJRIA")</f>
        <v>NAURA NADHIFA FITRI FAJRIA</v>
      </c>
      <c r="C220" s="28">
        <f>IFERROR(__xludf.DUMMYFUNCTION("""COMPUTED_VALUE"""),2.025070569E9)</f>
        <v>2025070569</v>
      </c>
      <c r="D220" s="28" t="str">
        <f>IFERROR(__xludf.DUMMYFUNCTION("""COMPUTED_VALUE"""),"PARMUJI")</f>
        <v>PARMUJI</v>
      </c>
      <c r="E220" s="28" t="str">
        <f>IFERROR(__xludf.DUMMYFUNCTION("""COMPUTED_VALUE"""),"IDA FITRIYAH")</f>
        <v>IDA FITRIYAH</v>
      </c>
      <c r="F220" s="28" t="str">
        <f>IFERROR(__xludf.DUMMYFUNCTION("""COMPUTED_VALUE"""),"TRACAL RT 001 RW 002 KARANGGENENG LAMONGAN")</f>
        <v>TRACAL RT 001 RW 002 KARANGGENENG LAMONGAN</v>
      </c>
      <c r="G220" s="28" t="str">
        <f>IFERROR(__xludf.DUMMYFUNCTION("""COMPUTED_VALUE"""),"MTS-8 D")</f>
        <v>MTS-8 D</v>
      </c>
      <c r="H220" s="28" t="str">
        <f>IFERROR(__xludf.DUMMYFUNCTION("""COMPUTED_VALUE"""),"C")</f>
        <v>C</v>
      </c>
      <c r="I220" s="28" t="str">
        <f>IFERROR(__xludf.DUMMYFUNCTION("""COMPUTED_VALUE"""),"C-13")</f>
        <v>C-13</v>
      </c>
      <c r="J220" s="28">
        <f>IFERROR(__xludf.DUMMYFUNCTION("""COMPUTED_VALUE"""),2.0)</f>
        <v>2</v>
      </c>
      <c r="K220" s="28" t="str">
        <f>IFERROR(__xludf.DUMMYFUNCTION("""COMPUTED_VALUE"""),"2 ULA A PUTRI")</f>
        <v>2 ULA A PUTRI</v>
      </c>
      <c r="L220" s="29" t="str">
        <f>IFERROR(__xludf.DUMMYFUNCTION("""COMPUTED_VALUE"""),"6281350312748")</f>
        <v>6281350312748</v>
      </c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2">
        <f>IFERROR(__xludf.DUMMYFUNCTION("""COMPUTED_VALUE"""),500000.0)</f>
        <v>500000</v>
      </c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2">
        <f>IFERROR(__xludf.DUMMYFUNCTION("""COMPUTED_VALUE"""),500000.0)</f>
        <v>500000</v>
      </c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2">
        <f>IFERROR(__xludf.DUMMYFUNCTION("""COMPUTED_VALUE"""),0.0)</f>
        <v>0</v>
      </c>
      <c r="BD220" s="22">
        <f>IFERROR(__xludf.DUMMYFUNCTION("""COMPUTED_VALUE"""),1000000.0)</f>
        <v>1000000</v>
      </c>
      <c r="BE220" s="22">
        <f>IFERROR(__xludf.DUMMYFUNCTION("""COMPUTED_VALUE"""),0.0)</f>
        <v>0</v>
      </c>
      <c r="BF220" s="22">
        <f>IFERROR(__xludf.DUMMYFUNCTION("""COMPUTED_VALUE"""),1000000.0)</f>
        <v>1000000</v>
      </c>
    </row>
    <row r="221">
      <c r="A221" s="27">
        <f>IFERROR(__xludf.DUMMYFUNCTION("""COMPUTED_VALUE"""),220.0)</f>
        <v>220</v>
      </c>
      <c r="B221" s="28" t="str">
        <f>IFERROR(__xludf.DUMMYFUNCTION("""COMPUTED_VALUE"""),"NAURA NADHIFAH AKMAL")</f>
        <v>NAURA NADHIFAH AKMAL</v>
      </c>
      <c r="C221" s="28">
        <f>IFERROR(__xludf.DUMMYFUNCTION("""COMPUTED_VALUE"""),2.02507058E9)</f>
        <v>2025070580</v>
      </c>
      <c r="D221" s="28" t="str">
        <f>IFERROR(__xludf.DUMMYFUNCTION("""COMPUTED_VALUE"""),"MOH. NASIHUDDIN")</f>
        <v>MOH. NASIHUDDIN</v>
      </c>
      <c r="E221" s="28" t="str">
        <f>IFERROR(__xludf.DUMMYFUNCTION("""COMPUTED_VALUE"""),"SITI FATIMATUL MAGHNUNAH")</f>
        <v>SITI FATIMATUL MAGHNUNAH</v>
      </c>
      <c r="F221" s="28" t="str">
        <f>IFERROR(__xludf.DUMMYFUNCTION("""COMPUTED_VALUE"""),"GETUNG TAWANGREJO RT 003 RW 001 TURI LAMONGAN")</f>
        <v>GETUNG TAWANGREJO RT 003 RW 001 TURI LAMONGAN</v>
      </c>
      <c r="G221" s="28" t="str">
        <f>IFERROR(__xludf.DUMMYFUNCTION("""COMPUTED_VALUE"""),"MTS-8 C")</f>
        <v>MTS-8 C</v>
      </c>
      <c r="H221" s="28" t="str">
        <f>IFERROR(__xludf.DUMMYFUNCTION("""COMPUTED_VALUE"""),"C")</f>
        <v>C</v>
      </c>
      <c r="I221" s="28" t="str">
        <f>IFERROR(__xludf.DUMMYFUNCTION("""COMPUTED_VALUE"""),"C-13")</f>
        <v>C-13</v>
      </c>
      <c r="J221" s="28">
        <f>IFERROR(__xludf.DUMMYFUNCTION("""COMPUTED_VALUE"""),2.0)</f>
        <v>2</v>
      </c>
      <c r="K221" s="28" t="str">
        <f>IFERROR(__xludf.DUMMYFUNCTION("""COMPUTED_VALUE"""),"2 ULA A PUTRI")</f>
        <v>2 ULA A PUTRI</v>
      </c>
      <c r="L221" s="29" t="str">
        <f>IFERROR(__xludf.DUMMYFUNCTION("""COMPUTED_VALUE"""),"6285745731616")</f>
        <v>6285745731616</v>
      </c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2">
        <f>IFERROR(__xludf.DUMMYFUNCTION("""COMPUTED_VALUE"""),500000.0)</f>
        <v>500000</v>
      </c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2">
        <f>IFERROR(__xludf.DUMMYFUNCTION("""COMPUTED_VALUE"""),500000.0)</f>
        <v>500000</v>
      </c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2">
        <f>IFERROR(__xludf.DUMMYFUNCTION("""COMPUTED_VALUE"""),0.0)</f>
        <v>0</v>
      </c>
      <c r="BD221" s="22">
        <f>IFERROR(__xludf.DUMMYFUNCTION("""COMPUTED_VALUE"""),1000000.0)</f>
        <v>1000000</v>
      </c>
      <c r="BE221" s="22">
        <f>IFERROR(__xludf.DUMMYFUNCTION("""COMPUTED_VALUE"""),0.0)</f>
        <v>0</v>
      </c>
      <c r="BF221" s="22">
        <f>IFERROR(__xludf.DUMMYFUNCTION("""COMPUTED_VALUE"""),1000000.0)</f>
        <v>1000000</v>
      </c>
    </row>
    <row r="222">
      <c r="A222" s="27">
        <f>IFERROR(__xludf.DUMMYFUNCTION("""COMPUTED_VALUE"""),221.0)</f>
        <v>221</v>
      </c>
      <c r="B222" s="28" t="str">
        <f>IFERROR(__xludf.DUMMYFUNCTION("""COMPUTED_VALUE"""),"NAYSILLA NAFIZZA OKTAVIA")</f>
        <v>NAYSILLA NAFIZZA OKTAVIA</v>
      </c>
      <c r="C222" s="28">
        <f>IFERROR(__xludf.DUMMYFUNCTION("""COMPUTED_VALUE"""),2.025070522E9)</f>
        <v>2025070522</v>
      </c>
      <c r="D222" s="28" t="str">
        <f>IFERROR(__xludf.DUMMYFUNCTION("""COMPUTED_VALUE"""),"SUNAZIR")</f>
        <v>SUNAZIR</v>
      </c>
      <c r="E222" s="28" t="str">
        <f>IFERROR(__xludf.DUMMYFUNCTION("""COMPUTED_VALUE"""),"SUHARIYATI")</f>
        <v>SUHARIYATI</v>
      </c>
      <c r="F222" s="28" t="str">
        <f>IFERROR(__xludf.DUMMYFUNCTION("""COMPUTED_VALUE"""),"NGAYUNG RT 009 RW 003 MADURAN LAMONGAN")</f>
        <v>NGAYUNG RT 009 RW 003 MADURAN LAMONGAN</v>
      </c>
      <c r="G222" s="28" t="str">
        <f>IFERROR(__xludf.DUMMYFUNCTION("""COMPUTED_VALUE"""),"MTS-8 C")</f>
        <v>MTS-8 C</v>
      </c>
      <c r="H222" s="28" t="str">
        <f>IFERROR(__xludf.DUMMYFUNCTION("""COMPUTED_VALUE"""),"C")</f>
        <v>C</v>
      </c>
      <c r="I222" s="28" t="str">
        <f>IFERROR(__xludf.DUMMYFUNCTION("""COMPUTED_VALUE"""),"C-13")</f>
        <v>C-13</v>
      </c>
      <c r="J222" s="28">
        <f>IFERROR(__xludf.DUMMYFUNCTION("""COMPUTED_VALUE"""),2.0)</f>
        <v>2</v>
      </c>
      <c r="K222" s="28" t="str">
        <f>IFERROR(__xludf.DUMMYFUNCTION("""COMPUTED_VALUE"""),"2 ULA A PUTRI")</f>
        <v>2 ULA A PUTRI</v>
      </c>
      <c r="L222" s="29" t="str">
        <f>IFERROR(__xludf.DUMMYFUNCTION("""COMPUTED_VALUE"""),"6282257586385")</f>
        <v>6282257586385</v>
      </c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2">
        <f>IFERROR(__xludf.DUMMYFUNCTION("""COMPUTED_VALUE"""),500000.0)</f>
        <v>500000</v>
      </c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2">
        <f>IFERROR(__xludf.DUMMYFUNCTION("""COMPUTED_VALUE"""),500000.0)</f>
        <v>500000</v>
      </c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2">
        <f>IFERROR(__xludf.DUMMYFUNCTION("""COMPUTED_VALUE"""),0.0)</f>
        <v>0</v>
      </c>
      <c r="BD222" s="22">
        <f>IFERROR(__xludf.DUMMYFUNCTION("""COMPUTED_VALUE"""),1000000.0)</f>
        <v>1000000</v>
      </c>
      <c r="BE222" s="22">
        <f>IFERROR(__xludf.DUMMYFUNCTION("""COMPUTED_VALUE"""),0.0)</f>
        <v>0</v>
      </c>
      <c r="BF222" s="22">
        <f>IFERROR(__xludf.DUMMYFUNCTION("""COMPUTED_VALUE"""),1000000.0)</f>
        <v>1000000</v>
      </c>
    </row>
    <row r="223">
      <c r="A223" s="27">
        <f>IFERROR(__xludf.DUMMYFUNCTION("""COMPUTED_VALUE"""),222.0)</f>
        <v>222</v>
      </c>
      <c r="B223" s="28" t="str">
        <f>IFERROR(__xludf.DUMMYFUNCTION("""COMPUTED_VALUE"""),"NAZWA ZAHROTUL RAMADHANI")</f>
        <v>NAZWA ZAHROTUL RAMADHANI</v>
      </c>
      <c r="C223" s="28">
        <f>IFERROR(__xludf.DUMMYFUNCTION("""COMPUTED_VALUE"""),2.025070575E9)</f>
        <v>2025070575</v>
      </c>
      <c r="D223" s="28" t="str">
        <f>IFERROR(__xludf.DUMMYFUNCTION("""COMPUTED_VALUE"""),"MUTFA`IN")</f>
        <v>MUTFA`IN</v>
      </c>
      <c r="E223" s="28" t="str">
        <f>IFERROR(__xludf.DUMMYFUNCTION("""COMPUTED_VALUE"""),"SRIFATUN")</f>
        <v>SRIFATUN</v>
      </c>
      <c r="F223" s="28" t="str">
        <f>IFERROR(__xludf.DUMMYFUNCTION("""COMPUTED_VALUE"""),"DAGAN RT 003 RW 001 SOLOKURO LAMONGAN")</f>
        <v>DAGAN RT 003 RW 001 SOLOKURO LAMONGAN</v>
      </c>
      <c r="G223" s="28" t="str">
        <f>IFERROR(__xludf.DUMMYFUNCTION("""COMPUTED_VALUE"""),"MTS-8 B")</f>
        <v>MTS-8 B</v>
      </c>
      <c r="H223" s="28" t="str">
        <f>IFERROR(__xludf.DUMMYFUNCTION("""COMPUTED_VALUE"""),"C")</f>
        <v>C</v>
      </c>
      <c r="I223" s="28" t="str">
        <f>IFERROR(__xludf.DUMMYFUNCTION("""COMPUTED_VALUE"""),"C-5")</f>
        <v>C-5</v>
      </c>
      <c r="J223" s="28">
        <f>IFERROR(__xludf.DUMMYFUNCTION("""COMPUTED_VALUE"""),2.0)</f>
        <v>2</v>
      </c>
      <c r="K223" s="28" t="str">
        <f>IFERROR(__xludf.DUMMYFUNCTION("""COMPUTED_VALUE"""),"2 ULA A PUTRI")</f>
        <v>2 ULA A PUTRI</v>
      </c>
      <c r="L223" s="29" t="str">
        <f>IFERROR(__xludf.DUMMYFUNCTION("""COMPUTED_VALUE"""),"6285850263622")</f>
        <v>6285850263622</v>
      </c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2">
        <f>IFERROR(__xludf.DUMMYFUNCTION("""COMPUTED_VALUE"""),0.0)</f>
        <v>0</v>
      </c>
      <c r="BD223" s="22">
        <f>IFERROR(__xludf.DUMMYFUNCTION("""COMPUTED_VALUE"""),0.0)</f>
        <v>0</v>
      </c>
      <c r="BE223" s="22">
        <f>IFERROR(__xludf.DUMMYFUNCTION("""COMPUTED_VALUE"""),0.0)</f>
        <v>0</v>
      </c>
      <c r="BF223" s="22">
        <f>IFERROR(__xludf.DUMMYFUNCTION("""COMPUTED_VALUE"""),0.0)</f>
        <v>0</v>
      </c>
    </row>
    <row r="224">
      <c r="A224" s="27">
        <f>IFERROR(__xludf.DUMMYFUNCTION("""COMPUTED_VALUE"""),223.0)</f>
        <v>223</v>
      </c>
      <c r="B224" s="28" t="str">
        <f>IFERROR(__xludf.DUMMYFUNCTION("""COMPUTED_VALUE"""),"NEYLA MARITSA AZ ZAHRA")</f>
        <v>NEYLA MARITSA AZ ZAHRA</v>
      </c>
      <c r="C224" s="28">
        <f>IFERROR(__xludf.DUMMYFUNCTION("""COMPUTED_VALUE"""),2.025070657E9)</f>
        <v>2025070657</v>
      </c>
      <c r="D224" s="28" t="str">
        <f>IFERROR(__xludf.DUMMYFUNCTION("""COMPUTED_VALUE"""),"ARIFAN")</f>
        <v>ARIFAN</v>
      </c>
      <c r="E224" s="28" t="str">
        <f>IFERROR(__xludf.DUMMYFUNCTION("""COMPUTED_VALUE"""),"LAILY KHULAILAH")</f>
        <v>LAILY KHULAILAH</v>
      </c>
      <c r="F224" s="28" t="str">
        <f>IFERROR(__xludf.DUMMYFUNCTION("""COMPUTED_VALUE"""),"SERAH RT 011 RW 005 PANCENG GRESIK")</f>
        <v>SERAH RT 011 RW 005 PANCENG GRESIK</v>
      </c>
      <c r="G224" s="28" t="str">
        <f>IFERROR(__xludf.DUMMYFUNCTION("""COMPUTED_VALUE"""),"MTS-8 D")</f>
        <v>MTS-8 D</v>
      </c>
      <c r="H224" s="28" t="str">
        <f>IFERROR(__xludf.DUMMYFUNCTION("""COMPUTED_VALUE"""),"C")</f>
        <v>C</v>
      </c>
      <c r="I224" s="28" t="str">
        <f>IFERROR(__xludf.DUMMYFUNCTION("""COMPUTED_VALUE"""),"C-13")</f>
        <v>C-13</v>
      </c>
      <c r="J224" s="28">
        <f>IFERROR(__xludf.DUMMYFUNCTION("""COMPUTED_VALUE"""),2.0)</f>
        <v>2</v>
      </c>
      <c r="K224" s="28" t="str">
        <f>IFERROR(__xludf.DUMMYFUNCTION("""COMPUTED_VALUE"""),"ULA")</f>
        <v>ULA</v>
      </c>
      <c r="L224" s="29" t="str">
        <f>IFERROR(__xludf.DUMMYFUNCTION("""COMPUTED_VALUE"""),"628563450049")</f>
        <v>628563450049</v>
      </c>
      <c r="M224" s="22">
        <f>IFERROR(__xludf.DUMMYFUNCTION("""COMPUTED_VALUE"""),600000.0)</f>
        <v>600000</v>
      </c>
      <c r="N224" s="22">
        <f>IFERROR(__xludf.DUMMYFUNCTION("""COMPUTED_VALUE"""),200000.0)</f>
        <v>200000</v>
      </c>
      <c r="O224" s="28"/>
      <c r="P224" s="28"/>
      <c r="Q224" s="22">
        <f>IFERROR(__xludf.DUMMYFUNCTION("""COMPUTED_VALUE"""),450000.0)</f>
        <v>450000</v>
      </c>
      <c r="R224" s="22">
        <f>IFERROR(__xludf.DUMMYFUNCTION("""COMPUTED_VALUE"""),450000.0)</f>
        <v>450000</v>
      </c>
      <c r="S224" s="22">
        <f>IFERROR(__xludf.DUMMYFUNCTION("""COMPUTED_VALUE"""),450000.0)</f>
        <v>450000</v>
      </c>
      <c r="T224" s="22">
        <f>IFERROR(__xludf.DUMMYFUNCTION("""COMPUTED_VALUE"""),450000.0)</f>
        <v>450000</v>
      </c>
      <c r="U224" s="22">
        <f>IFERROR(__xludf.DUMMYFUNCTION("""COMPUTED_VALUE"""),450000.0)</f>
        <v>450000</v>
      </c>
      <c r="V224" s="22">
        <f>IFERROR(__xludf.DUMMYFUNCTION("""COMPUTED_VALUE"""),450000.0)</f>
        <v>450000</v>
      </c>
      <c r="W224" s="22">
        <f>IFERROR(__xludf.DUMMYFUNCTION("""COMPUTED_VALUE"""),450000.0)</f>
        <v>450000</v>
      </c>
      <c r="X224" s="22">
        <f>IFERROR(__xludf.DUMMYFUNCTION("""COMPUTED_VALUE"""),450000.0)</f>
        <v>450000</v>
      </c>
      <c r="Y224" s="22">
        <f>IFERROR(__xludf.DUMMYFUNCTION("""COMPUTED_VALUE"""),450000.0)</f>
        <v>450000</v>
      </c>
      <c r="Z224" s="22">
        <f>IFERROR(__xludf.DUMMYFUNCTION("""COMPUTED_VALUE"""),450000.0)</f>
        <v>450000</v>
      </c>
      <c r="AA224" s="28"/>
      <c r="AB224" s="22">
        <f>IFERROR(__xludf.DUMMYFUNCTION("""COMPUTED_VALUE"""),500000.0)</f>
        <v>500000</v>
      </c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2">
        <f>IFERROR(__xludf.DUMMYFUNCTION("""COMPUTED_VALUE"""),500000.0)</f>
        <v>500000</v>
      </c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2">
        <f>IFERROR(__xludf.DUMMYFUNCTION("""COMPUTED_VALUE"""),4500000.0)</f>
        <v>4500000</v>
      </c>
      <c r="BD224" s="22">
        <f>IFERROR(__xludf.DUMMYFUNCTION("""COMPUTED_VALUE"""),1600000.0)</f>
        <v>1600000</v>
      </c>
      <c r="BE224" s="22">
        <f>IFERROR(__xludf.DUMMYFUNCTION("""COMPUTED_VALUE"""),0.0)</f>
        <v>0</v>
      </c>
      <c r="BF224" s="22">
        <f>IFERROR(__xludf.DUMMYFUNCTION("""COMPUTED_VALUE"""),6100000.0)</f>
        <v>6100000</v>
      </c>
    </row>
    <row r="225">
      <c r="A225" s="27">
        <f>IFERROR(__xludf.DUMMYFUNCTION("""COMPUTED_VALUE"""),224.0)</f>
        <v>224</v>
      </c>
      <c r="B225" s="28" t="str">
        <f>IFERROR(__xludf.DUMMYFUNCTION("""COMPUTED_VALUE"""),"NIDAUL KHOFIYAH")</f>
        <v>NIDAUL KHOFIYAH</v>
      </c>
      <c r="C225" s="28">
        <f>IFERROR(__xludf.DUMMYFUNCTION("""COMPUTED_VALUE"""),2.025070535E9)</f>
        <v>2025070535</v>
      </c>
      <c r="D225" s="28" t="str">
        <f>IFERROR(__xludf.DUMMYFUNCTION("""COMPUTED_VALUE"""),"UBED KHOTIBUL UMAM")</f>
        <v>UBED KHOTIBUL UMAM</v>
      </c>
      <c r="E225" s="28" t="str">
        <f>IFERROR(__xludf.DUMMYFUNCTION("""COMPUTED_VALUE"""),"MAFTUHATUL A`YUN")</f>
        <v>MAFTUHATUL A`YUN</v>
      </c>
      <c r="F225" s="28" t="str">
        <f>IFERROR(__xludf.DUMMYFUNCTION("""COMPUTED_VALUE"""),"DAGAN RT 003 RW 004 SOLOKURO LAMONGAN")</f>
        <v>DAGAN RT 003 RW 004 SOLOKURO LAMONGAN</v>
      </c>
      <c r="G225" s="28" t="str">
        <f>IFERROR(__xludf.DUMMYFUNCTION("""COMPUTED_VALUE"""),"MTS-8 C")</f>
        <v>MTS-8 C</v>
      </c>
      <c r="H225" s="28" t="str">
        <f>IFERROR(__xludf.DUMMYFUNCTION("""COMPUTED_VALUE"""),"C")</f>
        <v>C</v>
      </c>
      <c r="I225" s="28" t="str">
        <f>IFERROR(__xludf.DUMMYFUNCTION("""COMPUTED_VALUE"""),"C-5")</f>
        <v>C-5</v>
      </c>
      <c r="J225" s="28">
        <f>IFERROR(__xludf.DUMMYFUNCTION("""COMPUTED_VALUE"""),2.0)</f>
        <v>2</v>
      </c>
      <c r="K225" s="28" t="str">
        <f>IFERROR(__xludf.DUMMYFUNCTION("""COMPUTED_VALUE"""),"2 ULA A PUTRI")</f>
        <v>2 ULA A PUTRI</v>
      </c>
      <c r="L225" s="29" t="str">
        <f>IFERROR(__xludf.DUMMYFUNCTION("""COMPUTED_VALUE"""),"6285649695274")</f>
        <v>6285649695274</v>
      </c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2">
        <f>IFERROR(__xludf.DUMMYFUNCTION("""COMPUTED_VALUE"""),500000.0)</f>
        <v>500000</v>
      </c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2">
        <f>IFERROR(__xludf.DUMMYFUNCTION("""COMPUTED_VALUE"""),500000.0)</f>
        <v>500000</v>
      </c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2">
        <f>IFERROR(__xludf.DUMMYFUNCTION("""COMPUTED_VALUE"""),0.0)</f>
        <v>0</v>
      </c>
      <c r="BD225" s="22">
        <f>IFERROR(__xludf.DUMMYFUNCTION("""COMPUTED_VALUE"""),1000000.0)</f>
        <v>1000000</v>
      </c>
      <c r="BE225" s="22">
        <f>IFERROR(__xludf.DUMMYFUNCTION("""COMPUTED_VALUE"""),0.0)</f>
        <v>0</v>
      </c>
      <c r="BF225" s="22">
        <f>IFERROR(__xludf.DUMMYFUNCTION("""COMPUTED_VALUE"""),1000000.0)</f>
        <v>1000000</v>
      </c>
    </row>
    <row r="226">
      <c r="A226" s="27">
        <f>IFERROR(__xludf.DUMMYFUNCTION("""COMPUTED_VALUE"""),225.0)</f>
        <v>225</v>
      </c>
      <c r="B226" s="28" t="str">
        <f>IFERROR(__xludf.DUMMYFUNCTION("""COMPUTED_VALUE"""),"NIKITA KHAHECA GISELLA")</f>
        <v>NIKITA KHAHECA GISELLA</v>
      </c>
      <c r="C226" s="28">
        <f>IFERROR(__xludf.DUMMYFUNCTION("""COMPUTED_VALUE"""),2.02507036E9)</f>
        <v>2025070360</v>
      </c>
      <c r="D226" s="28" t="str">
        <f>IFERROR(__xludf.DUMMYFUNCTION("""COMPUTED_VALUE"""),"KADIR")</f>
        <v>KADIR</v>
      </c>
      <c r="E226" s="28" t="str">
        <f>IFERROR(__xludf.DUMMYFUNCTION("""COMPUTED_VALUE"""),"LILIK KUMIATI")</f>
        <v>LILIK KUMIATI</v>
      </c>
      <c r="F226" s="28" t="str">
        <f>IFERROR(__xludf.DUMMYFUNCTION("""COMPUTED_VALUE"""),"LOWAYU RT 001 RW 001 DUKUN GRESIK")</f>
        <v>LOWAYU RT 001 RW 001 DUKUN GRESIK</v>
      </c>
      <c r="G226" s="28" t="str">
        <f>IFERROR(__xludf.DUMMYFUNCTION("""COMPUTED_VALUE"""),"MA-XI.1")</f>
        <v>MA-XI.1</v>
      </c>
      <c r="H226" s="28" t="str">
        <f>IFERROR(__xludf.DUMMYFUNCTION("""COMPUTED_VALUE"""),"C")</f>
        <v>C</v>
      </c>
      <c r="I226" s="28" t="str">
        <f>IFERROR(__xludf.DUMMYFUNCTION("""COMPUTED_VALUE"""),"C-6")</f>
        <v>C-6</v>
      </c>
      <c r="J226" s="28">
        <f>IFERROR(__xludf.DUMMYFUNCTION("""COMPUTED_VALUE"""),2.0)</f>
        <v>2</v>
      </c>
      <c r="K226" s="28" t="str">
        <f>IFERROR(__xludf.DUMMYFUNCTION("""COMPUTED_VALUE"""),"TAHFIDZ")</f>
        <v>TAHFIDZ</v>
      </c>
      <c r="L226" s="29" t="str">
        <f>IFERROR(__xludf.DUMMYFUNCTION("""COMPUTED_VALUE"""),"6285853013489")</f>
        <v>6285853013489</v>
      </c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2">
        <f>IFERROR(__xludf.DUMMYFUNCTION("""COMPUTED_VALUE"""),0.0)</f>
        <v>0</v>
      </c>
      <c r="BD226" s="22">
        <f>IFERROR(__xludf.DUMMYFUNCTION("""COMPUTED_VALUE"""),0.0)</f>
        <v>0</v>
      </c>
      <c r="BE226" s="22">
        <f>IFERROR(__xludf.DUMMYFUNCTION("""COMPUTED_VALUE"""),0.0)</f>
        <v>0</v>
      </c>
      <c r="BF226" s="22">
        <f>IFERROR(__xludf.DUMMYFUNCTION("""COMPUTED_VALUE"""),0.0)</f>
        <v>0</v>
      </c>
    </row>
    <row r="227">
      <c r="A227" s="27">
        <f>IFERROR(__xludf.DUMMYFUNCTION("""COMPUTED_VALUE"""),226.0)</f>
        <v>226</v>
      </c>
      <c r="B227" s="28" t="str">
        <f>IFERROR(__xludf.DUMMYFUNCTION("""COMPUTED_VALUE"""),"NOVI AWWALIYATUS SHOLIHAH")</f>
        <v>NOVI AWWALIYATUS SHOLIHAH</v>
      </c>
      <c r="C227" s="28">
        <f>IFERROR(__xludf.DUMMYFUNCTION("""COMPUTED_VALUE"""),2.0250701E9)</f>
        <v>2025070100</v>
      </c>
      <c r="D227" s="28" t="str">
        <f>IFERROR(__xludf.DUMMYFUNCTION("""COMPUTED_VALUE"""),"MAT TUKIM")</f>
        <v>MAT TUKIM</v>
      </c>
      <c r="E227" s="28" t="str">
        <f>IFERROR(__xludf.DUMMYFUNCTION("""COMPUTED_VALUE"""),"IDA INDA NURHIDAYATI")</f>
        <v>IDA INDA NURHIDAYATI</v>
      </c>
      <c r="F227" s="28" t="str">
        <f>IFERROR(__xludf.DUMMYFUNCTION("""COMPUTED_VALUE"""),"DAGAN RT 001 RW 003 SOLOKURO LAMONGAN")</f>
        <v>DAGAN RT 001 RW 003 SOLOKURO LAMONGAN</v>
      </c>
      <c r="G227" s="28" t="str">
        <f>IFERROR(__xludf.DUMMYFUNCTION("""COMPUTED_VALUE"""),"MA-XI.2")</f>
        <v>MA-XI.2</v>
      </c>
      <c r="H227" s="28" t="str">
        <f>IFERROR(__xludf.DUMMYFUNCTION("""COMPUTED_VALUE"""),"C")</f>
        <v>C</v>
      </c>
      <c r="I227" s="28" t="str">
        <f>IFERROR(__xludf.DUMMYFUNCTION("""COMPUTED_VALUE"""),"C-10")</f>
        <v>C-10</v>
      </c>
      <c r="J227" s="28">
        <f>IFERROR(__xludf.DUMMYFUNCTION("""COMPUTED_VALUE"""),2.0)</f>
        <v>2</v>
      </c>
      <c r="K227" s="28" t="str">
        <f>IFERROR(__xludf.DUMMYFUNCTION("""COMPUTED_VALUE"""),"2 WUSTHO B PUTRI")</f>
        <v>2 WUSTHO B PUTRI</v>
      </c>
      <c r="L227" s="29" t="str">
        <f>IFERROR(__xludf.DUMMYFUNCTION("""COMPUTED_VALUE"""),"6285645284852")</f>
        <v>6285645284852</v>
      </c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2">
        <f>IFERROR(__xludf.DUMMYFUNCTION("""COMPUTED_VALUE"""),500000.0)</f>
        <v>500000</v>
      </c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2">
        <f>IFERROR(__xludf.DUMMYFUNCTION("""COMPUTED_VALUE"""),500000.0)</f>
        <v>500000</v>
      </c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2">
        <f>IFERROR(__xludf.DUMMYFUNCTION("""COMPUTED_VALUE"""),0.0)</f>
        <v>0</v>
      </c>
      <c r="BD227" s="22">
        <f>IFERROR(__xludf.DUMMYFUNCTION("""COMPUTED_VALUE"""),1000000.0)</f>
        <v>1000000</v>
      </c>
      <c r="BE227" s="22">
        <f>IFERROR(__xludf.DUMMYFUNCTION("""COMPUTED_VALUE"""),0.0)</f>
        <v>0</v>
      </c>
      <c r="BF227" s="22">
        <f>IFERROR(__xludf.DUMMYFUNCTION("""COMPUTED_VALUE"""),1000000.0)</f>
        <v>1000000</v>
      </c>
    </row>
    <row r="228">
      <c r="A228" s="27">
        <f>IFERROR(__xludf.DUMMYFUNCTION("""COMPUTED_VALUE"""),227.0)</f>
        <v>227</v>
      </c>
      <c r="B228" s="28" t="str">
        <f>IFERROR(__xludf.DUMMYFUNCTION("""COMPUTED_VALUE"""),"NUR ADILA FITRI")</f>
        <v>NUR ADILA FITRI</v>
      </c>
      <c r="C228" s="28">
        <f>IFERROR(__xludf.DUMMYFUNCTION("""COMPUTED_VALUE"""),2.025070062E9)</f>
        <v>2025070062</v>
      </c>
      <c r="D228" s="28" t="str">
        <f>IFERROR(__xludf.DUMMYFUNCTION("""COMPUTED_VALUE"""),"MOH. YAMAN")</f>
        <v>MOH. YAMAN</v>
      </c>
      <c r="E228" s="28" t="str">
        <f>IFERROR(__xludf.DUMMYFUNCTION("""COMPUTED_VALUE"""),"MURIYEM")</f>
        <v>MURIYEM</v>
      </c>
      <c r="F228" s="28" t="str">
        <f>IFERROR(__xludf.DUMMYFUNCTION("""COMPUTED_VALUE"""),"BANYUBANG RT 011 RW 003 SOLOKURO LAMONGAN")</f>
        <v>BANYUBANG RT 011 RW 003 SOLOKURO LAMONGAN</v>
      </c>
      <c r="G228" s="28" t="str">
        <f>IFERROR(__xludf.DUMMYFUNCTION("""COMPUTED_VALUE"""),"MA-XI.12")</f>
        <v>MA-XI.12</v>
      </c>
      <c r="H228" s="28" t="str">
        <f>IFERROR(__xludf.DUMMYFUNCTION("""COMPUTED_VALUE"""),"C")</f>
        <v>C</v>
      </c>
      <c r="I228" s="28" t="str">
        <f>IFERROR(__xludf.DUMMYFUNCTION("""COMPUTED_VALUE"""),"C-10")</f>
        <v>C-10</v>
      </c>
      <c r="J228" s="28">
        <f>IFERROR(__xludf.DUMMYFUNCTION("""COMPUTED_VALUE"""),2.0)</f>
        <v>2</v>
      </c>
      <c r="K228" s="28" t="str">
        <f>IFERROR(__xludf.DUMMYFUNCTION("""COMPUTED_VALUE"""),"2 WUSTHO C PUTRI")</f>
        <v>2 WUSTHO C PUTRI</v>
      </c>
      <c r="L228" s="29" t="str">
        <f>IFERROR(__xludf.DUMMYFUNCTION("""COMPUTED_VALUE"""),"6285855012085")</f>
        <v>6285855012085</v>
      </c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2">
        <f>IFERROR(__xludf.DUMMYFUNCTION("""COMPUTED_VALUE"""),500000.0)</f>
        <v>500000</v>
      </c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2">
        <f>IFERROR(__xludf.DUMMYFUNCTION("""COMPUTED_VALUE"""),500000.0)</f>
        <v>500000</v>
      </c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2">
        <f>IFERROR(__xludf.DUMMYFUNCTION("""COMPUTED_VALUE"""),0.0)</f>
        <v>0</v>
      </c>
      <c r="BD228" s="22">
        <f>IFERROR(__xludf.DUMMYFUNCTION("""COMPUTED_VALUE"""),1000000.0)</f>
        <v>1000000</v>
      </c>
      <c r="BE228" s="22">
        <f>IFERROR(__xludf.DUMMYFUNCTION("""COMPUTED_VALUE"""),0.0)</f>
        <v>0</v>
      </c>
      <c r="BF228" s="22">
        <f>IFERROR(__xludf.DUMMYFUNCTION("""COMPUTED_VALUE"""),1000000.0)</f>
        <v>1000000</v>
      </c>
    </row>
    <row r="229">
      <c r="A229" s="27">
        <f>IFERROR(__xludf.DUMMYFUNCTION("""COMPUTED_VALUE"""),228.0)</f>
        <v>228</v>
      </c>
      <c r="B229" s="28" t="str">
        <f>IFERROR(__xludf.DUMMYFUNCTION("""COMPUTED_VALUE"""),"NUR QOMARIYAH")</f>
        <v>NUR QOMARIYAH</v>
      </c>
      <c r="C229" s="28">
        <f>IFERROR(__xludf.DUMMYFUNCTION("""COMPUTED_VALUE"""),2.025070347E9)</f>
        <v>2025070347</v>
      </c>
      <c r="D229" s="28" t="str">
        <f>IFERROR(__xludf.DUMMYFUNCTION("""COMPUTED_VALUE"""),"SUTA`AT")</f>
        <v>SUTA`AT</v>
      </c>
      <c r="E229" s="28" t="str">
        <f>IFERROR(__xludf.DUMMYFUNCTION("""COMPUTED_VALUE"""),"SUCI SANIA")</f>
        <v>SUCI SANIA</v>
      </c>
      <c r="F229" s="28" t="str">
        <f>IFERROR(__xludf.DUMMYFUNCTION("""COMPUTED_VALUE"""),"PILANG TEJOASRI RT 003 RW 001 LAREN LAMONGAN")</f>
        <v>PILANG TEJOASRI RT 003 RW 001 LAREN LAMONGAN</v>
      </c>
      <c r="G229" s="28" t="str">
        <f>IFERROR(__xludf.DUMMYFUNCTION("""COMPUTED_VALUE"""),"MA-XI.6")</f>
        <v>MA-XI.6</v>
      </c>
      <c r="H229" s="28" t="str">
        <f>IFERROR(__xludf.DUMMYFUNCTION("""COMPUTED_VALUE"""),"C")</f>
        <v>C</v>
      </c>
      <c r="I229" s="28" t="str">
        <f>IFERROR(__xludf.DUMMYFUNCTION("""COMPUTED_VALUE"""),"C-10")</f>
        <v>C-10</v>
      </c>
      <c r="J229" s="28">
        <f>IFERROR(__xludf.DUMMYFUNCTION("""COMPUTED_VALUE"""),2.0)</f>
        <v>2</v>
      </c>
      <c r="K229" s="28" t="str">
        <f>IFERROR(__xludf.DUMMYFUNCTION("""COMPUTED_VALUE"""),"2 WUSTHO C PUTRI")</f>
        <v>2 WUSTHO C PUTRI</v>
      </c>
      <c r="L229" s="29" t="str">
        <f>IFERROR(__xludf.DUMMYFUNCTION("""COMPUTED_VALUE"""),"6288991851255")</f>
        <v>6288991851255</v>
      </c>
      <c r="M229" s="22">
        <f>IFERROR(__xludf.DUMMYFUNCTION("""COMPUTED_VALUE"""),600000.0)</f>
        <v>600000</v>
      </c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2">
        <f>IFERROR(__xludf.DUMMYFUNCTION("""COMPUTED_VALUE"""),450000.0)</f>
        <v>450000</v>
      </c>
      <c r="AA229" s="28"/>
      <c r="AB229" s="22">
        <f>IFERROR(__xludf.DUMMYFUNCTION("""COMPUTED_VALUE"""),500000.0)</f>
        <v>500000</v>
      </c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2">
        <f>IFERROR(__xludf.DUMMYFUNCTION("""COMPUTED_VALUE"""),500000.0)</f>
        <v>500000</v>
      </c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2">
        <f>IFERROR(__xludf.DUMMYFUNCTION("""COMPUTED_VALUE"""),450000.0)</f>
        <v>450000</v>
      </c>
      <c r="BD229" s="22">
        <f>IFERROR(__xludf.DUMMYFUNCTION("""COMPUTED_VALUE"""),1600000.0)</f>
        <v>1600000</v>
      </c>
      <c r="BE229" s="22">
        <f>IFERROR(__xludf.DUMMYFUNCTION("""COMPUTED_VALUE"""),0.0)</f>
        <v>0</v>
      </c>
      <c r="BF229" s="22">
        <f>IFERROR(__xludf.DUMMYFUNCTION("""COMPUTED_VALUE"""),2050000.0)</f>
        <v>2050000</v>
      </c>
    </row>
    <row r="230">
      <c r="A230" s="27">
        <f>IFERROR(__xludf.DUMMYFUNCTION("""COMPUTED_VALUE"""),229.0)</f>
        <v>229</v>
      </c>
      <c r="B230" s="28" t="str">
        <f>IFERROR(__xludf.DUMMYFUNCTION("""COMPUTED_VALUE"""),"NURUL AINI LAILIYAH")</f>
        <v>NURUL AINI LAILIYAH</v>
      </c>
      <c r="C230" s="28">
        <f>IFERROR(__xludf.DUMMYFUNCTION("""COMPUTED_VALUE"""),2.025070567E9)</f>
        <v>2025070567</v>
      </c>
      <c r="D230" s="28" t="str">
        <f>IFERROR(__xludf.DUMMYFUNCTION("""COMPUTED_VALUE"""),"SYAFI`I")</f>
        <v>SYAFI`I</v>
      </c>
      <c r="E230" s="28" t="str">
        <f>IFERROR(__xludf.DUMMYFUNCTION("""COMPUTED_VALUE"""),"ALIMATUS SHOLIKHAH")</f>
        <v>ALIMATUS SHOLIKHAH</v>
      </c>
      <c r="F230" s="28" t="str">
        <f>IFERROR(__xludf.DUMMYFUNCTION("""COMPUTED_VALUE"""),"KEBEN RT 002 RW 001 TURI LAMONGAN")</f>
        <v>KEBEN RT 002 RW 001 TURI LAMONGAN</v>
      </c>
      <c r="G230" s="28" t="str">
        <f>IFERROR(__xludf.DUMMYFUNCTION("""COMPUTED_VALUE"""),"MTS-8 D")</f>
        <v>MTS-8 D</v>
      </c>
      <c r="H230" s="28" t="str">
        <f>IFERROR(__xludf.DUMMYFUNCTION("""COMPUTED_VALUE"""),"C")</f>
        <v>C</v>
      </c>
      <c r="I230" s="28" t="str">
        <f>IFERROR(__xludf.DUMMYFUNCTION("""COMPUTED_VALUE"""),"C-13")</f>
        <v>C-13</v>
      </c>
      <c r="J230" s="28">
        <f>IFERROR(__xludf.DUMMYFUNCTION("""COMPUTED_VALUE"""),2.0)</f>
        <v>2</v>
      </c>
      <c r="K230" s="28" t="str">
        <f>IFERROR(__xludf.DUMMYFUNCTION("""COMPUTED_VALUE"""),"2 ULA B PUTRI")</f>
        <v>2 ULA B PUTRI</v>
      </c>
      <c r="L230" s="29" t="str">
        <f>IFERROR(__xludf.DUMMYFUNCTION("""COMPUTED_VALUE"""),"628121782262")</f>
        <v>628121782262</v>
      </c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2">
        <f>IFERROR(__xludf.DUMMYFUNCTION("""COMPUTED_VALUE"""),0.0)</f>
        <v>0</v>
      </c>
      <c r="BD230" s="22">
        <f>IFERROR(__xludf.DUMMYFUNCTION("""COMPUTED_VALUE"""),0.0)</f>
        <v>0</v>
      </c>
      <c r="BE230" s="22">
        <f>IFERROR(__xludf.DUMMYFUNCTION("""COMPUTED_VALUE"""),0.0)</f>
        <v>0</v>
      </c>
      <c r="BF230" s="22">
        <f>IFERROR(__xludf.DUMMYFUNCTION("""COMPUTED_VALUE"""),0.0)</f>
        <v>0</v>
      </c>
    </row>
    <row r="231">
      <c r="A231" s="27">
        <f>IFERROR(__xludf.DUMMYFUNCTION("""COMPUTED_VALUE"""),230.0)</f>
        <v>230</v>
      </c>
      <c r="B231" s="28" t="str">
        <f>IFERROR(__xludf.DUMMYFUNCTION("""COMPUTED_VALUE"""),"NURUL HAFIZAH")</f>
        <v>NURUL HAFIZAH</v>
      </c>
      <c r="C231" s="28">
        <f>IFERROR(__xludf.DUMMYFUNCTION("""COMPUTED_VALUE"""),2.025070237E9)</f>
        <v>2025070237</v>
      </c>
      <c r="D231" s="28" t="str">
        <f>IFERROR(__xludf.DUMMYFUNCTION("""COMPUTED_VALUE"""),"AHMAD ZAINI")</f>
        <v>AHMAD ZAINI</v>
      </c>
      <c r="E231" s="28" t="str">
        <f>IFERROR(__xludf.DUMMYFUNCTION("""COMPUTED_VALUE"""),"SITI THOYYIBATUN NI`MAH")</f>
        <v>SITI THOYYIBATUN NI`MAH</v>
      </c>
      <c r="F231" s="28" t="str">
        <f>IFERROR(__xludf.DUMMYFUNCTION("""COMPUTED_VALUE"""),"DAGAN RT 003 RW 002 SOLOKURO LAMONGAN")</f>
        <v>DAGAN RT 003 RW 002 SOLOKURO LAMONGAN</v>
      </c>
      <c r="G231" s="28" t="str">
        <f>IFERROR(__xludf.DUMMYFUNCTION("""COMPUTED_VALUE"""),"MA-XI.3")</f>
        <v>MA-XI.3</v>
      </c>
      <c r="H231" s="28" t="str">
        <f>IFERROR(__xludf.DUMMYFUNCTION("""COMPUTED_VALUE"""),"C")</f>
        <v>C</v>
      </c>
      <c r="I231" s="28" t="str">
        <f>IFERROR(__xludf.DUMMYFUNCTION("""COMPUTED_VALUE"""),"C-10")</f>
        <v>C-10</v>
      </c>
      <c r="J231" s="28">
        <f>IFERROR(__xludf.DUMMYFUNCTION("""COMPUTED_VALUE"""),2.0)</f>
        <v>2</v>
      </c>
      <c r="K231" s="28" t="str">
        <f>IFERROR(__xludf.DUMMYFUNCTION("""COMPUTED_VALUE"""),"2 WUSTHO A PUTRI")</f>
        <v>2 WUSTHO A PUTRI</v>
      </c>
      <c r="L231" s="29" t="str">
        <f>IFERROR(__xludf.DUMMYFUNCTION("""COMPUTED_VALUE"""),"6285648857302")</f>
        <v>6285648857302</v>
      </c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2">
        <f>IFERROR(__xludf.DUMMYFUNCTION("""COMPUTED_VALUE"""),0.0)</f>
        <v>0</v>
      </c>
      <c r="BD231" s="22">
        <f>IFERROR(__xludf.DUMMYFUNCTION("""COMPUTED_VALUE"""),0.0)</f>
        <v>0</v>
      </c>
      <c r="BE231" s="22">
        <f>IFERROR(__xludf.DUMMYFUNCTION("""COMPUTED_VALUE"""),0.0)</f>
        <v>0</v>
      </c>
      <c r="BF231" s="22">
        <f>IFERROR(__xludf.DUMMYFUNCTION("""COMPUTED_VALUE"""),0.0)</f>
        <v>0</v>
      </c>
    </row>
    <row r="232">
      <c r="A232" s="27">
        <f>IFERROR(__xludf.DUMMYFUNCTION("""COMPUTED_VALUE"""),231.0)</f>
        <v>231</v>
      </c>
      <c r="B232" s="28" t="str">
        <f>IFERROR(__xludf.DUMMYFUNCTION("""COMPUTED_VALUE"""),"NUZULUL AINURROHMA")</f>
        <v>NUZULUL AINURROHMA</v>
      </c>
      <c r="C232" s="28">
        <f>IFERROR(__xludf.DUMMYFUNCTION("""COMPUTED_VALUE"""),2.025070584E9)</f>
        <v>2025070584</v>
      </c>
      <c r="D232" s="28" t="str">
        <f>IFERROR(__xludf.DUMMYFUNCTION("""COMPUTED_VALUE"""),"ASNAN")</f>
        <v>ASNAN</v>
      </c>
      <c r="E232" s="28" t="str">
        <f>IFERROR(__xludf.DUMMYFUNCTION("""COMPUTED_VALUE"""),"NUZULATUS SHOIDAH")</f>
        <v>NUZULATUS SHOIDAH</v>
      </c>
      <c r="F232" s="28" t="str">
        <f>IFERROR(__xludf.DUMMYFUNCTION("""COMPUTED_VALUE"""),"SAWO RT 008 RW 004 DUKUN DUKUN")</f>
        <v>SAWO RT 008 RW 004 DUKUN DUKUN</v>
      </c>
      <c r="G232" s="28" t="str">
        <f>IFERROR(__xludf.DUMMYFUNCTION("""COMPUTED_VALUE"""),"MTS-8 C")</f>
        <v>MTS-8 C</v>
      </c>
      <c r="H232" s="28" t="str">
        <f>IFERROR(__xludf.DUMMYFUNCTION("""COMPUTED_VALUE"""),"C")</f>
        <v>C</v>
      </c>
      <c r="I232" s="28" t="str">
        <f>IFERROR(__xludf.DUMMYFUNCTION("""COMPUTED_VALUE"""),"C-13")</f>
        <v>C-13</v>
      </c>
      <c r="J232" s="28">
        <f>IFERROR(__xludf.DUMMYFUNCTION("""COMPUTED_VALUE"""),2.0)</f>
        <v>2</v>
      </c>
      <c r="K232" s="28" t="str">
        <f>IFERROR(__xludf.DUMMYFUNCTION("""COMPUTED_VALUE"""),"2 ULA A PUTRI")</f>
        <v>2 ULA A PUTRI</v>
      </c>
      <c r="L232" s="29" t="str">
        <f>IFERROR(__xludf.DUMMYFUNCTION("""COMPUTED_VALUE"""),"6285649304810")</f>
        <v>6285649304810</v>
      </c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2">
        <f>IFERROR(__xludf.DUMMYFUNCTION("""COMPUTED_VALUE"""),500000.0)</f>
        <v>500000</v>
      </c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2">
        <f>IFERROR(__xludf.DUMMYFUNCTION("""COMPUTED_VALUE"""),500000.0)</f>
        <v>500000</v>
      </c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2">
        <f>IFERROR(__xludf.DUMMYFUNCTION("""COMPUTED_VALUE"""),0.0)</f>
        <v>0</v>
      </c>
      <c r="BD232" s="22">
        <f>IFERROR(__xludf.DUMMYFUNCTION("""COMPUTED_VALUE"""),1000000.0)</f>
        <v>1000000</v>
      </c>
      <c r="BE232" s="22">
        <f>IFERROR(__xludf.DUMMYFUNCTION("""COMPUTED_VALUE"""),0.0)</f>
        <v>0</v>
      </c>
      <c r="BF232" s="22">
        <f>IFERROR(__xludf.DUMMYFUNCTION("""COMPUTED_VALUE"""),1000000.0)</f>
        <v>1000000</v>
      </c>
    </row>
    <row r="233">
      <c r="A233" s="27">
        <f>IFERROR(__xludf.DUMMYFUNCTION("""COMPUTED_VALUE"""),232.0)</f>
        <v>232</v>
      </c>
      <c r="B233" s="28" t="str">
        <f>IFERROR(__xludf.DUMMYFUNCTION("""COMPUTED_VALUE"""),"PUTRI DEWI SEKAR SARI")</f>
        <v>PUTRI DEWI SEKAR SARI</v>
      </c>
      <c r="C233" s="28">
        <f>IFERROR(__xludf.DUMMYFUNCTION("""COMPUTED_VALUE"""),2.025070247E9)</f>
        <v>2025070247</v>
      </c>
      <c r="D233" s="28" t="str">
        <f>IFERROR(__xludf.DUMMYFUNCTION("""COMPUTED_VALUE"""),"KASIADI")</f>
        <v>KASIADI</v>
      </c>
      <c r="E233" s="28" t="str">
        <f>IFERROR(__xludf.DUMMYFUNCTION("""COMPUTED_VALUE"""),"SUSILOWATI")</f>
        <v>SUSILOWATI</v>
      </c>
      <c r="F233" s="28" t="str">
        <f>IFERROR(__xludf.DUMMYFUNCTION("""COMPUTED_VALUE"""),"GUCI RT 003 RW 001 KARANGGENENG LAMONGAN")</f>
        <v>GUCI RT 003 RW 001 KARANGGENENG LAMONGAN</v>
      </c>
      <c r="G233" s="28" t="str">
        <f>IFERROR(__xludf.DUMMYFUNCTION("""COMPUTED_VALUE"""),"MA-XI.1")</f>
        <v>MA-XI.1</v>
      </c>
      <c r="H233" s="28" t="str">
        <f>IFERROR(__xludf.DUMMYFUNCTION("""COMPUTED_VALUE"""),"C")</f>
        <v>C</v>
      </c>
      <c r="I233" s="28" t="str">
        <f>IFERROR(__xludf.DUMMYFUNCTION("""COMPUTED_VALUE"""),"C-6")</f>
        <v>C-6</v>
      </c>
      <c r="J233" s="28">
        <f>IFERROR(__xludf.DUMMYFUNCTION("""COMPUTED_VALUE"""),2.0)</f>
        <v>2</v>
      </c>
      <c r="K233" s="28" t="str">
        <f>IFERROR(__xludf.DUMMYFUNCTION("""COMPUTED_VALUE"""),"TAHFIDZ")</f>
        <v>TAHFIDZ</v>
      </c>
      <c r="L233" s="29" t="str">
        <f>IFERROR(__xludf.DUMMYFUNCTION("""COMPUTED_VALUE"""),"6285852532735")</f>
        <v>6285852532735</v>
      </c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2">
        <f>IFERROR(__xludf.DUMMYFUNCTION("""COMPUTED_VALUE"""),500000.0)</f>
        <v>500000</v>
      </c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2">
        <f>IFERROR(__xludf.DUMMYFUNCTION("""COMPUTED_VALUE"""),500000.0)</f>
        <v>500000</v>
      </c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2">
        <f>IFERROR(__xludf.DUMMYFUNCTION("""COMPUTED_VALUE"""),0.0)</f>
        <v>0</v>
      </c>
      <c r="BD233" s="22">
        <f>IFERROR(__xludf.DUMMYFUNCTION("""COMPUTED_VALUE"""),1000000.0)</f>
        <v>1000000</v>
      </c>
      <c r="BE233" s="22">
        <f>IFERROR(__xludf.DUMMYFUNCTION("""COMPUTED_VALUE"""),0.0)</f>
        <v>0</v>
      </c>
      <c r="BF233" s="22">
        <f>IFERROR(__xludf.DUMMYFUNCTION("""COMPUTED_VALUE"""),1000000.0)</f>
        <v>1000000</v>
      </c>
    </row>
    <row r="234">
      <c r="A234" s="27">
        <f>IFERROR(__xludf.DUMMYFUNCTION("""COMPUTED_VALUE"""),233.0)</f>
        <v>233</v>
      </c>
      <c r="B234" s="28" t="str">
        <f>IFERROR(__xludf.DUMMYFUNCTION("""COMPUTED_VALUE"""),"PUTRI NOVIANA")</f>
        <v>PUTRI NOVIANA</v>
      </c>
      <c r="C234" s="28">
        <f>IFERROR(__xludf.DUMMYFUNCTION("""COMPUTED_VALUE"""),2.025070391E9)</f>
        <v>2025070391</v>
      </c>
      <c r="D234" s="28" t="str">
        <f>IFERROR(__xludf.DUMMYFUNCTION("""COMPUTED_VALUE"""),"M. YUYUS ANWAR")</f>
        <v>M. YUYUS ANWAR</v>
      </c>
      <c r="E234" s="28" t="str">
        <f>IFERROR(__xludf.DUMMYFUNCTION("""COMPUTED_VALUE"""),"SIFAURROHMAH")</f>
        <v>SIFAURROHMAH</v>
      </c>
      <c r="F234" s="28" t="str">
        <f>IFERROR(__xludf.DUMMYFUNCTION("""COMPUTED_VALUE"""),"DARINGAN MAESAN RT 001 RW 008 MOJO KEDIRI")</f>
        <v>DARINGAN MAESAN RT 001 RW 008 MOJO KEDIRI</v>
      </c>
      <c r="G234" s="28" t="str">
        <f>IFERROR(__xludf.DUMMYFUNCTION("""COMPUTED_VALUE"""),"MA-XI.13")</f>
        <v>MA-XI.13</v>
      </c>
      <c r="H234" s="28" t="str">
        <f>IFERROR(__xludf.DUMMYFUNCTION("""COMPUTED_VALUE"""),"C")</f>
        <v>C</v>
      </c>
      <c r="I234" s="28" t="str">
        <f>IFERROR(__xludf.DUMMYFUNCTION("""COMPUTED_VALUE"""),"C-7")</f>
        <v>C-7</v>
      </c>
      <c r="J234" s="28">
        <f>IFERROR(__xludf.DUMMYFUNCTION("""COMPUTED_VALUE"""),2.0)</f>
        <v>2</v>
      </c>
      <c r="K234" s="28" t="str">
        <f>IFERROR(__xludf.DUMMYFUNCTION("""COMPUTED_VALUE"""),"2 MAK PUTRI")</f>
        <v>2 MAK PUTRI</v>
      </c>
      <c r="L234" s="29" t="str">
        <f>IFERROR(__xludf.DUMMYFUNCTION("""COMPUTED_VALUE"""),"6285707375910")</f>
        <v>6285707375910</v>
      </c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2">
        <f>IFERROR(__xludf.DUMMYFUNCTION("""COMPUTED_VALUE"""),500000.0)</f>
        <v>500000</v>
      </c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2">
        <f>IFERROR(__xludf.DUMMYFUNCTION("""COMPUTED_VALUE"""),500000.0)</f>
        <v>500000</v>
      </c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2">
        <f>IFERROR(__xludf.DUMMYFUNCTION("""COMPUTED_VALUE"""),0.0)</f>
        <v>0</v>
      </c>
      <c r="BD234" s="22">
        <f>IFERROR(__xludf.DUMMYFUNCTION("""COMPUTED_VALUE"""),1000000.0)</f>
        <v>1000000</v>
      </c>
      <c r="BE234" s="22">
        <f>IFERROR(__xludf.DUMMYFUNCTION("""COMPUTED_VALUE"""),0.0)</f>
        <v>0</v>
      </c>
      <c r="BF234" s="22">
        <f>IFERROR(__xludf.DUMMYFUNCTION("""COMPUTED_VALUE"""),1000000.0)</f>
        <v>1000000</v>
      </c>
    </row>
    <row r="235">
      <c r="A235" s="27">
        <f>IFERROR(__xludf.DUMMYFUNCTION("""COMPUTED_VALUE"""),234.0)</f>
        <v>234</v>
      </c>
      <c r="B235" s="28" t="str">
        <f>IFERROR(__xludf.DUMMYFUNCTION("""COMPUTED_VALUE"""),"RARA CINDRA NATASYA")</f>
        <v>RARA CINDRA NATASYA</v>
      </c>
      <c r="C235" s="28">
        <f>IFERROR(__xludf.DUMMYFUNCTION("""COMPUTED_VALUE"""),2.025070387E9)</f>
        <v>2025070387</v>
      </c>
      <c r="D235" s="28" t="str">
        <f>IFERROR(__xludf.DUMMYFUNCTION("""COMPUTED_VALUE"""),"SARIYANTO")</f>
        <v>SARIYANTO</v>
      </c>
      <c r="E235" s="28" t="str">
        <f>IFERROR(__xludf.DUMMYFUNCTION("""COMPUTED_VALUE"""),"HARTIK")</f>
        <v>HARTIK</v>
      </c>
      <c r="F235" s="28" t="str">
        <f>IFERROR(__xludf.DUMMYFUNCTION("""COMPUTED_VALUE"""),"TAMAN PRIJEK TAMANPRIJEG RT 002 RW 001 LAREN LAMONGAN")</f>
        <v>TAMAN PRIJEK TAMANPRIJEG RT 002 RW 001 LAREN LAMONGAN</v>
      </c>
      <c r="G235" s="28" t="str">
        <f>IFERROR(__xludf.DUMMYFUNCTION("""COMPUTED_VALUE"""),"MA-XI.13")</f>
        <v>MA-XI.13</v>
      </c>
      <c r="H235" s="28" t="str">
        <f>IFERROR(__xludf.DUMMYFUNCTION("""COMPUTED_VALUE"""),"C")</f>
        <v>C</v>
      </c>
      <c r="I235" s="28" t="str">
        <f>IFERROR(__xludf.DUMMYFUNCTION("""COMPUTED_VALUE"""),"C-7")</f>
        <v>C-7</v>
      </c>
      <c r="J235" s="28">
        <f>IFERROR(__xludf.DUMMYFUNCTION("""COMPUTED_VALUE"""),2.0)</f>
        <v>2</v>
      </c>
      <c r="K235" s="28" t="str">
        <f>IFERROR(__xludf.DUMMYFUNCTION("""COMPUTED_VALUE"""),"2 MAK PUTRI")</f>
        <v>2 MAK PUTRI</v>
      </c>
      <c r="L235" s="29" t="str">
        <f>IFERROR(__xludf.DUMMYFUNCTION("""COMPUTED_VALUE"""),"6285707136264")</f>
        <v>6285707136264</v>
      </c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2">
        <f>IFERROR(__xludf.DUMMYFUNCTION("""COMPUTED_VALUE"""),500000.0)</f>
        <v>500000</v>
      </c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2">
        <f>IFERROR(__xludf.DUMMYFUNCTION("""COMPUTED_VALUE"""),500000.0)</f>
        <v>500000</v>
      </c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2">
        <f>IFERROR(__xludf.DUMMYFUNCTION("""COMPUTED_VALUE"""),0.0)</f>
        <v>0</v>
      </c>
      <c r="BD235" s="22">
        <f>IFERROR(__xludf.DUMMYFUNCTION("""COMPUTED_VALUE"""),1000000.0)</f>
        <v>1000000</v>
      </c>
      <c r="BE235" s="22">
        <f>IFERROR(__xludf.DUMMYFUNCTION("""COMPUTED_VALUE"""),0.0)</f>
        <v>0</v>
      </c>
      <c r="BF235" s="22">
        <f>IFERROR(__xludf.DUMMYFUNCTION("""COMPUTED_VALUE"""),1000000.0)</f>
        <v>1000000</v>
      </c>
    </row>
    <row r="236">
      <c r="A236" s="27">
        <f>IFERROR(__xludf.DUMMYFUNCTION("""COMPUTED_VALUE"""),235.0)</f>
        <v>235</v>
      </c>
      <c r="B236" s="28" t="str">
        <f>IFERROR(__xludf.DUMMYFUNCTION("""COMPUTED_VALUE"""),"REVANA HIKMATUL AULIA")</f>
        <v>REVANA HIKMATUL AULIA</v>
      </c>
      <c r="C236" s="28">
        <f>IFERROR(__xludf.DUMMYFUNCTION("""COMPUTED_VALUE"""),2.025070225E9)</f>
        <v>2025070225</v>
      </c>
      <c r="D236" s="28" t="str">
        <f>IFERROR(__xludf.DUMMYFUNCTION("""COMPUTED_VALUE"""),"NUR HASAN")</f>
        <v>NUR HASAN</v>
      </c>
      <c r="E236" s="28" t="str">
        <f>IFERROR(__xludf.DUMMYFUNCTION("""COMPUTED_VALUE"""),"KHUSNUL KHOTIMAH ")</f>
        <v>KHUSNUL KHOTIMAH </v>
      </c>
      <c r="F236" s="28" t="str">
        <f>IFERROR(__xludf.DUMMYFUNCTION("""COMPUTED_VALUE"""),"BLURI RT 012 RW 003 SOLOKURO LAMONGAN")</f>
        <v>BLURI RT 012 RW 003 SOLOKURO LAMONGAN</v>
      </c>
      <c r="G236" s="28" t="str">
        <f>IFERROR(__xludf.DUMMYFUNCTION("""COMPUTED_VALUE"""),"MA-XI.8")</f>
        <v>MA-XI.8</v>
      </c>
      <c r="H236" s="28" t="str">
        <f>IFERROR(__xludf.DUMMYFUNCTION("""COMPUTED_VALUE"""),"C")</f>
        <v>C</v>
      </c>
      <c r="I236" s="28" t="str">
        <f>IFERROR(__xludf.DUMMYFUNCTION("""COMPUTED_VALUE"""),"C-10")</f>
        <v>C-10</v>
      </c>
      <c r="J236" s="28">
        <f>IFERROR(__xludf.DUMMYFUNCTION("""COMPUTED_VALUE"""),2.0)</f>
        <v>2</v>
      </c>
      <c r="K236" s="28" t="str">
        <f>IFERROR(__xludf.DUMMYFUNCTION("""COMPUTED_VALUE"""),"2 WUSTHO A PUTRI")</f>
        <v>2 WUSTHO A PUTRI</v>
      </c>
      <c r="L236" s="29" t="str">
        <f>IFERROR(__xludf.DUMMYFUNCTION("""COMPUTED_VALUE"""),"628155162065")</f>
        <v>628155162065</v>
      </c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2">
        <f>IFERROR(__xludf.DUMMYFUNCTION("""COMPUTED_VALUE"""),450000.0)</f>
        <v>450000</v>
      </c>
      <c r="AA236" s="28"/>
      <c r="AB236" s="22">
        <f>IFERROR(__xludf.DUMMYFUNCTION("""COMPUTED_VALUE"""),500000.0)</f>
        <v>500000</v>
      </c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2">
        <f>IFERROR(__xludf.DUMMYFUNCTION("""COMPUTED_VALUE"""),500000.0)</f>
        <v>500000</v>
      </c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2">
        <f>IFERROR(__xludf.DUMMYFUNCTION("""COMPUTED_VALUE"""),450000.0)</f>
        <v>450000</v>
      </c>
      <c r="BD236" s="22">
        <f>IFERROR(__xludf.DUMMYFUNCTION("""COMPUTED_VALUE"""),1000000.0)</f>
        <v>1000000</v>
      </c>
      <c r="BE236" s="22">
        <f>IFERROR(__xludf.DUMMYFUNCTION("""COMPUTED_VALUE"""),0.0)</f>
        <v>0</v>
      </c>
      <c r="BF236" s="22">
        <f>IFERROR(__xludf.DUMMYFUNCTION("""COMPUTED_VALUE"""),1450000.0)</f>
        <v>1450000</v>
      </c>
    </row>
    <row r="237">
      <c r="A237" s="27">
        <f>IFERROR(__xludf.DUMMYFUNCTION("""COMPUTED_VALUE"""),236.0)</f>
        <v>236</v>
      </c>
      <c r="B237" s="28" t="str">
        <f>IFERROR(__xludf.DUMMYFUNCTION("""COMPUTED_VALUE"""),"REVANI PUTRI ANGGRAENI")</f>
        <v>REVANI PUTRI ANGGRAENI</v>
      </c>
      <c r="C237" s="28">
        <f>IFERROR(__xludf.DUMMYFUNCTION("""COMPUTED_VALUE"""),2.025070128E9)</f>
        <v>2025070128</v>
      </c>
      <c r="D237" s="28" t="str">
        <f>IFERROR(__xludf.DUMMYFUNCTION("""COMPUTED_VALUE"""),"BENI ISWANTO")</f>
        <v>BENI ISWANTO</v>
      </c>
      <c r="E237" s="28" t="str">
        <f>IFERROR(__xludf.DUMMYFUNCTION("""COMPUTED_VALUE"""),"SELVIA ANGGRAENI")</f>
        <v>SELVIA ANGGRAENI</v>
      </c>
      <c r="F237" s="28" t="str">
        <f>IFERROR(__xludf.DUMMYFUNCTION("""COMPUTED_VALUE"""),"PADENGANPLOSO RT 011 RW 001 PUCUK LAMONGAN")</f>
        <v>PADENGANPLOSO RT 011 RW 001 PUCUK LAMONGAN</v>
      </c>
      <c r="G237" s="28" t="str">
        <f>IFERROR(__xludf.DUMMYFUNCTION("""COMPUTED_VALUE"""),"MA-XI.13")</f>
        <v>MA-XI.13</v>
      </c>
      <c r="H237" s="28" t="str">
        <f>IFERROR(__xludf.DUMMYFUNCTION("""COMPUTED_VALUE"""),"C")</f>
        <v>C</v>
      </c>
      <c r="I237" s="28" t="str">
        <f>IFERROR(__xludf.DUMMYFUNCTION("""COMPUTED_VALUE"""),"C-7")</f>
        <v>C-7</v>
      </c>
      <c r="J237" s="28">
        <f>IFERROR(__xludf.DUMMYFUNCTION("""COMPUTED_VALUE"""),2.0)</f>
        <v>2</v>
      </c>
      <c r="K237" s="28" t="str">
        <f>IFERROR(__xludf.DUMMYFUNCTION("""COMPUTED_VALUE"""),"2 MAK PUTRI")</f>
        <v>2 MAK PUTRI</v>
      </c>
      <c r="L237" s="29" t="str">
        <f>IFERROR(__xludf.DUMMYFUNCTION("""COMPUTED_VALUE"""),"6285785848825")</f>
        <v>6285785848825</v>
      </c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2">
        <f>IFERROR(__xludf.DUMMYFUNCTION("""COMPUTED_VALUE"""),500000.0)</f>
        <v>500000</v>
      </c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2">
        <f>IFERROR(__xludf.DUMMYFUNCTION("""COMPUTED_VALUE"""),500000.0)</f>
        <v>500000</v>
      </c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2">
        <f>IFERROR(__xludf.DUMMYFUNCTION("""COMPUTED_VALUE"""),0.0)</f>
        <v>0</v>
      </c>
      <c r="BD237" s="22">
        <f>IFERROR(__xludf.DUMMYFUNCTION("""COMPUTED_VALUE"""),1000000.0)</f>
        <v>1000000</v>
      </c>
      <c r="BE237" s="22">
        <f>IFERROR(__xludf.DUMMYFUNCTION("""COMPUTED_VALUE"""),0.0)</f>
        <v>0</v>
      </c>
      <c r="BF237" s="22">
        <f>IFERROR(__xludf.DUMMYFUNCTION("""COMPUTED_VALUE"""),1000000.0)</f>
        <v>1000000</v>
      </c>
    </row>
    <row r="238">
      <c r="A238" s="27">
        <f>IFERROR(__xludf.DUMMYFUNCTION("""COMPUTED_VALUE"""),237.0)</f>
        <v>237</v>
      </c>
      <c r="B238" s="28" t="str">
        <f>IFERROR(__xludf.DUMMYFUNCTION("""COMPUTED_VALUE"""),"SAFNA NUR AULIYA`")</f>
        <v>SAFNA NUR AULIYA`</v>
      </c>
      <c r="C238" s="28">
        <f>IFERROR(__xludf.DUMMYFUNCTION("""COMPUTED_VALUE"""),2.025070153E9)</f>
        <v>2025070153</v>
      </c>
      <c r="D238" s="28" t="str">
        <f>IFERROR(__xludf.DUMMYFUNCTION("""COMPUTED_VALUE"""),"A YANI")</f>
        <v>A YANI</v>
      </c>
      <c r="E238" s="28" t="str">
        <f>IFERROR(__xludf.DUMMYFUNCTION("""COMPUTED_VALUE"""),"KHOIROH NISWATIN")</f>
        <v>KHOIROH NISWATIN</v>
      </c>
      <c r="F238" s="28" t="str">
        <f>IFERROR(__xludf.DUMMYFUNCTION("""COMPUTED_VALUE"""),"BESUR RT 005 RW 003 SEKARAN LAMONGAN")</f>
        <v>BESUR RT 005 RW 003 SEKARAN LAMONGAN</v>
      </c>
      <c r="G238" s="28" t="str">
        <f>IFERROR(__xludf.DUMMYFUNCTION("""COMPUTED_VALUE"""),"MA-XI.4")</f>
        <v>MA-XI.4</v>
      </c>
      <c r="H238" s="28" t="str">
        <f>IFERROR(__xludf.DUMMYFUNCTION("""COMPUTED_VALUE"""),"C")</f>
        <v>C</v>
      </c>
      <c r="I238" s="28" t="str">
        <f>IFERROR(__xludf.DUMMYFUNCTION("""COMPUTED_VALUE"""),"C-10")</f>
        <v>C-10</v>
      </c>
      <c r="J238" s="28">
        <f>IFERROR(__xludf.DUMMYFUNCTION("""COMPUTED_VALUE"""),2.0)</f>
        <v>2</v>
      </c>
      <c r="K238" s="28" t="str">
        <f>IFERROR(__xludf.DUMMYFUNCTION("""COMPUTED_VALUE"""),"2 WUSTHO C PUTRI")</f>
        <v>2 WUSTHO C PUTRI</v>
      </c>
      <c r="L238" s="29" t="str">
        <f>IFERROR(__xludf.DUMMYFUNCTION("""COMPUTED_VALUE"""),"6282232129390")</f>
        <v>6282232129390</v>
      </c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2">
        <f>IFERROR(__xludf.DUMMYFUNCTION("""COMPUTED_VALUE"""),500000.0)</f>
        <v>500000</v>
      </c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2">
        <f>IFERROR(__xludf.DUMMYFUNCTION("""COMPUTED_VALUE"""),500000.0)</f>
        <v>500000</v>
      </c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2">
        <f>IFERROR(__xludf.DUMMYFUNCTION("""COMPUTED_VALUE"""),0.0)</f>
        <v>0</v>
      </c>
      <c r="BD238" s="22">
        <f>IFERROR(__xludf.DUMMYFUNCTION("""COMPUTED_VALUE"""),1000000.0)</f>
        <v>1000000</v>
      </c>
      <c r="BE238" s="22">
        <f>IFERROR(__xludf.DUMMYFUNCTION("""COMPUTED_VALUE"""),0.0)</f>
        <v>0</v>
      </c>
      <c r="BF238" s="22">
        <f>IFERROR(__xludf.DUMMYFUNCTION("""COMPUTED_VALUE"""),1000000.0)</f>
        <v>1000000</v>
      </c>
    </row>
    <row r="239">
      <c r="A239" s="27">
        <f>IFERROR(__xludf.DUMMYFUNCTION("""COMPUTED_VALUE"""),238.0)</f>
        <v>238</v>
      </c>
      <c r="B239" s="28" t="str">
        <f>IFERROR(__xludf.DUMMYFUNCTION("""COMPUTED_VALUE"""),"SALSA ZANI RAMADINA")</f>
        <v>SALSA ZANI RAMADINA</v>
      </c>
      <c r="C239" s="28">
        <f>IFERROR(__xludf.DUMMYFUNCTION("""COMPUTED_VALUE"""),2.025070011E9)</f>
        <v>2025070011</v>
      </c>
      <c r="D239" s="28" t="str">
        <f>IFERROR(__xludf.DUMMYFUNCTION("""COMPUTED_VALUE"""),"MATENUR")</f>
        <v>MATENUR</v>
      </c>
      <c r="E239" s="28" t="str">
        <f>IFERROR(__xludf.DUMMYFUNCTION("""COMPUTED_VALUE"""),"ALIYA")</f>
        <v>ALIYA</v>
      </c>
      <c r="F239" s="28" t="str">
        <f>IFERROR(__xludf.DUMMYFUNCTION("""COMPUTED_VALUE"""),"SEPAT TAMBAKMENJANGAN RT 001 RW 008 SARIREJO LAMONGAN")</f>
        <v>SEPAT TAMBAKMENJANGAN RT 001 RW 008 SARIREJO LAMONGAN</v>
      </c>
      <c r="G239" s="28" t="str">
        <f>IFERROR(__xludf.DUMMYFUNCTION("""COMPUTED_VALUE"""),"MA-XI.12")</f>
        <v>MA-XI.12</v>
      </c>
      <c r="H239" s="28" t="str">
        <f>IFERROR(__xludf.DUMMYFUNCTION("""COMPUTED_VALUE"""),"C")</f>
        <v>C</v>
      </c>
      <c r="I239" s="28" t="str">
        <f>IFERROR(__xludf.DUMMYFUNCTION("""COMPUTED_VALUE"""),"C-10")</f>
        <v>C-10</v>
      </c>
      <c r="J239" s="28">
        <f>IFERROR(__xludf.DUMMYFUNCTION("""COMPUTED_VALUE"""),2.0)</f>
        <v>2</v>
      </c>
      <c r="K239" s="28" t="str">
        <f>IFERROR(__xludf.DUMMYFUNCTION("""COMPUTED_VALUE"""),"2 WUSTHO C PUTRI")</f>
        <v>2 WUSTHO C PUTRI</v>
      </c>
      <c r="L239" s="29" t="str">
        <f>IFERROR(__xludf.DUMMYFUNCTION("""COMPUTED_VALUE"""),"6285136532021")</f>
        <v>6285136532021</v>
      </c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2">
        <f>IFERROR(__xludf.DUMMYFUNCTION("""COMPUTED_VALUE"""),500000.0)</f>
        <v>500000</v>
      </c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2">
        <f>IFERROR(__xludf.DUMMYFUNCTION("""COMPUTED_VALUE"""),500000.0)</f>
        <v>500000</v>
      </c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2">
        <f>IFERROR(__xludf.DUMMYFUNCTION("""COMPUTED_VALUE"""),0.0)</f>
        <v>0</v>
      </c>
      <c r="BD239" s="22">
        <f>IFERROR(__xludf.DUMMYFUNCTION("""COMPUTED_VALUE"""),1000000.0)</f>
        <v>1000000</v>
      </c>
      <c r="BE239" s="22">
        <f>IFERROR(__xludf.DUMMYFUNCTION("""COMPUTED_VALUE"""),0.0)</f>
        <v>0</v>
      </c>
      <c r="BF239" s="22">
        <f>IFERROR(__xludf.DUMMYFUNCTION("""COMPUTED_VALUE"""),1000000.0)</f>
        <v>1000000</v>
      </c>
    </row>
    <row r="240">
      <c r="A240" s="27">
        <f>IFERROR(__xludf.DUMMYFUNCTION("""COMPUTED_VALUE"""),239.0)</f>
        <v>239</v>
      </c>
      <c r="B240" s="28" t="str">
        <f>IFERROR(__xludf.DUMMYFUNCTION("""COMPUTED_VALUE"""),"SALWA `ALINA ROSYADA")</f>
        <v>SALWA `ALINA ROSYADA</v>
      </c>
      <c r="C240" s="28">
        <f>IFERROR(__xludf.DUMMYFUNCTION("""COMPUTED_VALUE"""),2.025070064E9)</f>
        <v>2025070064</v>
      </c>
      <c r="D240" s="28" t="str">
        <f>IFERROR(__xludf.DUMMYFUNCTION("""COMPUTED_VALUE"""),"ISLAHUL FAUZI")</f>
        <v>ISLAHUL FAUZI</v>
      </c>
      <c r="E240" s="28" t="str">
        <f>IFERROR(__xludf.DUMMYFUNCTION("""COMPUTED_VALUE"""),"ALFATUN NIKMAH")</f>
        <v>ALFATUN NIKMAH</v>
      </c>
      <c r="F240" s="28" t="str">
        <f>IFERROR(__xludf.DUMMYFUNCTION("""COMPUTED_VALUE"""),"BLURI RT 001 RW 001 SOLOKURO LAMONGAN")</f>
        <v>BLURI RT 001 RW 001 SOLOKURO LAMONGAN</v>
      </c>
      <c r="G240" s="28" t="str">
        <f>IFERROR(__xludf.DUMMYFUNCTION("""COMPUTED_VALUE"""),"MA-XI.13")</f>
        <v>MA-XI.13</v>
      </c>
      <c r="H240" s="28" t="str">
        <f>IFERROR(__xludf.DUMMYFUNCTION("""COMPUTED_VALUE"""),"C")</f>
        <v>C</v>
      </c>
      <c r="I240" s="28" t="str">
        <f>IFERROR(__xludf.DUMMYFUNCTION("""COMPUTED_VALUE"""),"C-7")</f>
        <v>C-7</v>
      </c>
      <c r="J240" s="28">
        <f>IFERROR(__xludf.DUMMYFUNCTION("""COMPUTED_VALUE"""),2.0)</f>
        <v>2</v>
      </c>
      <c r="K240" s="28" t="str">
        <f>IFERROR(__xludf.DUMMYFUNCTION("""COMPUTED_VALUE"""),"2 MAK PUTRI")</f>
        <v>2 MAK PUTRI</v>
      </c>
      <c r="L240" s="29" t="str">
        <f>IFERROR(__xludf.DUMMYFUNCTION("""COMPUTED_VALUE"""),"6285731139975")</f>
        <v>6285731139975</v>
      </c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2">
        <f>IFERROR(__xludf.DUMMYFUNCTION("""COMPUTED_VALUE"""),500000.0)</f>
        <v>500000</v>
      </c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2">
        <f>IFERROR(__xludf.DUMMYFUNCTION("""COMPUTED_VALUE"""),500000.0)</f>
        <v>500000</v>
      </c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2">
        <f>IFERROR(__xludf.DUMMYFUNCTION("""COMPUTED_VALUE"""),0.0)</f>
        <v>0</v>
      </c>
      <c r="BD240" s="22">
        <f>IFERROR(__xludf.DUMMYFUNCTION("""COMPUTED_VALUE"""),1000000.0)</f>
        <v>1000000</v>
      </c>
      <c r="BE240" s="22">
        <f>IFERROR(__xludf.DUMMYFUNCTION("""COMPUTED_VALUE"""),0.0)</f>
        <v>0</v>
      </c>
      <c r="BF240" s="22">
        <f>IFERROR(__xludf.DUMMYFUNCTION("""COMPUTED_VALUE"""),1000000.0)</f>
        <v>1000000</v>
      </c>
    </row>
    <row r="241">
      <c r="A241" s="27">
        <f>IFERROR(__xludf.DUMMYFUNCTION("""COMPUTED_VALUE"""),240.0)</f>
        <v>240</v>
      </c>
      <c r="B241" s="28" t="str">
        <f>IFERROR(__xludf.DUMMYFUNCTION("""COMPUTED_VALUE"""),"SALWA SHOFIYANA ATIQOH")</f>
        <v>SALWA SHOFIYANA ATIQOH</v>
      </c>
      <c r="C241" s="28">
        <f>IFERROR(__xludf.DUMMYFUNCTION("""COMPUTED_VALUE"""),2.025070183E9)</f>
        <v>2025070183</v>
      </c>
      <c r="D241" s="28" t="str">
        <f>IFERROR(__xludf.DUMMYFUNCTION("""COMPUTED_VALUE"""),"ALI AHMADI")</f>
        <v>ALI AHMADI</v>
      </c>
      <c r="E241" s="28" t="str">
        <f>IFERROR(__xludf.DUMMYFUNCTION("""COMPUTED_VALUE"""),"IIS IZZATUL LUTHFIYAH")</f>
        <v>IIS IZZATUL LUTHFIYAH</v>
      </c>
      <c r="F241" s="28" t="str">
        <f>IFERROR(__xludf.DUMMYFUNCTION("""COMPUTED_VALUE"""),"BANGERAN RT 003 RW 002 DUKUN GRESIK")</f>
        <v>BANGERAN RT 003 RW 002 DUKUN GRESIK</v>
      </c>
      <c r="G241" s="28" t="str">
        <f>IFERROR(__xludf.DUMMYFUNCTION("""COMPUTED_VALUE"""),"MA-XI.1")</f>
        <v>MA-XI.1</v>
      </c>
      <c r="H241" s="28" t="str">
        <f>IFERROR(__xludf.DUMMYFUNCTION("""COMPUTED_VALUE"""),"C")</f>
        <v>C</v>
      </c>
      <c r="I241" s="28" t="str">
        <f>IFERROR(__xludf.DUMMYFUNCTION("""COMPUTED_VALUE"""),"C-6")</f>
        <v>C-6</v>
      </c>
      <c r="J241" s="28">
        <f>IFERROR(__xludf.DUMMYFUNCTION("""COMPUTED_VALUE"""),2.0)</f>
        <v>2</v>
      </c>
      <c r="K241" s="28" t="str">
        <f>IFERROR(__xludf.DUMMYFUNCTION("""COMPUTED_VALUE"""),"TAHFIDZ")</f>
        <v>TAHFIDZ</v>
      </c>
      <c r="L241" s="29" t="str">
        <f>IFERROR(__xludf.DUMMYFUNCTION("""COMPUTED_VALUE"""),"6285829454955")</f>
        <v>6285829454955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2">
        <f>IFERROR(__xludf.DUMMYFUNCTION("""COMPUTED_VALUE"""),0.0)</f>
        <v>0</v>
      </c>
      <c r="BD241" s="22">
        <f>IFERROR(__xludf.DUMMYFUNCTION("""COMPUTED_VALUE"""),0.0)</f>
        <v>0</v>
      </c>
      <c r="BE241" s="22">
        <f>IFERROR(__xludf.DUMMYFUNCTION("""COMPUTED_VALUE"""),0.0)</f>
        <v>0</v>
      </c>
      <c r="BF241" s="22">
        <f>IFERROR(__xludf.DUMMYFUNCTION("""COMPUTED_VALUE"""),0.0)</f>
        <v>0</v>
      </c>
    </row>
    <row r="242">
      <c r="A242" s="27">
        <f>IFERROR(__xludf.DUMMYFUNCTION("""COMPUTED_VALUE"""),241.0)</f>
        <v>241</v>
      </c>
      <c r="B242" s="28" t="str">
        <f>IFERROR(__xludf.DUMMYFUNCTION("""COMPUTED_VALUE"""),"SAVA NUR ALFIKA")</f>
        <v>SAVA NUR ALFIKA</v>
      </c>
      <c r="C242" s="28">
        <f>IFERROR(__xludf.DUMMYFUNCTION("""COMPUTED_VALUE"""),2.025070067E9)</f>
        <v>2025070067</v>
      </c>
      <c r="D242" s="28" t="str">
        <f>IFERROR(__xludf.DUMMYFUNCTION("""COMPUTED_VALUE"""),"MUFIDL")</f>
        <v>MUFIDL</v>
      </c>
      <c r="E242" s="28" t="str">
        <f>IFERROR(__xludf.DUMMYFUNCTION("""COMPUTED_VALUE"""),"SITI MUSLIKAH")</f>
        <v>SITI MUSLIKAH</v>
      </c>
      <c r="F242" s="28" t="str">
        <f>IFERROR(__xludf.DUMMYFUNCTION("""COMPUTED_VALUE"""),"JL. PUTRI AYU SIDOMULYO BABAKBAWO RT 011 RW 004 DUKUN GRESIK")</f>
        <v>JL. PUTRI AYU SIDOMULYO BABAKBAWO RT 011 RW 004 DUKUN GRESIK</v>
      </c>
      <c r="G242" s="28" t="str">
        <f>IFERROR(__xludf.DUMMYFUNCTION("""COMPUTED_VALUE"""),"MA-XI.5")</f>
        <v>MA-XI.5</v>
      </c>
      <c r="H242" s="28" t="str">
        <f>IFERROR(__xludf.DUMMYFUNCTION("""COMPUTED_VALUE"""),"C")</f>
        <v>C</v>
      </c>
      <c r="I242" s="28" t="str">
        <f>IFERROR(__xludf.DUMMYFUNCTION("""COMPUTED_VALUE"""),"C-10")</f>
        <v>C-10</v>
      </c>
      <c r="J242" s="28">
        <f>IFERROR(__xludf.DUMMYFUNCTION("""COMPUTED_VALUE"""),2.0)</f>
        <v>2</v>
      </c>
      <c r="K242" s="28" t="str">
        <f>IFERROR(__xludf.DUMMYFUNCTION("""COMPUTED_VALUE"""),"2 WUSTHO D PUTRI")</f>
        <v>2 WUSTHO D PUTRI</v>
      </c>
      <c r="L242" s="29" t="str">
        <f>IFERROR(__xludf.DUMMYFUNCTION("""COMPUTED_VALUE"""),"6281515801313")</f>
        <v>6281515801313</v>
      </c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Y242" s="28"/>
      <c r="Z242" s="22">
        <f>IFERROR(__xludf.DUMMYFUNCTION("""COMPUTED_VALUE"""),450000.0)</f>
        <v>450000</v>
      </c>
      <c r="AA242" s="28"/>
      <c r="AB242" s="22">
        <f>IFERROR(__xludf.DUMMYFUNCTION("""COMPUTED_VALUE"""),500000.0)</f>
        <v>500000</v>
      </c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2">
        <f>IFERROR(__xludf.DUMMYFUNCTION("""COMPUTED_VALUE"""),500000.0)</f>
        <v>500000</v>
      </c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2">
        <f>IFERROR(__xludf.DUMMYFUNCTION("""COMPUTED_VALUE"""),450000.0)</f>
        <v>450000</v>
      </c>
      <c r="BD242" s="22">
        <f>IFERROR(__xludf.DUMMYFUNCTION("""COMPUTED_VALUE"""),1000000.0)</f>
        <v>1000000</v>
      </c>
      <c r="BE242" s="22">
        <f>IFERROR(__xludf.DUMMYFUNCTION("""COMPUTED_VALUE"""),0.0)</f>
        <v>0</v>
      </c>
      <c r="BF242" s="22">
        <f>IFERROR(__xludf.DUMMYFUNCTION("""COMPUTED_VALUE"""),1450000.0)</f>
        <v>1450000</v>
      </c>
    </row>
    <row r="243">
      <c r="A243" s="27">
        <f>IFERROR(__xludf.DUMMYFUNCTION("""COMPUTED_VALUE"""),242.0)</f>
        <v>242</v>
      </c>
      <c r="B243" s="28" t="str">
        <f>IFERROR(__xludf.DUMMYFUNCTION("""COMPUTED_VALUE"""),"SHOFIYATUL AWWALIYYAH")</f>
        <v>SHOFIYATUL AWWALIYYAH</v>
      </c>
      <c r="C243" s="28">
        <f>IFERROR(__xludf.DUMMYFUNCTION("""COMPUTED_VALUE"""),2.025070255E9)</f>
        <v>2025070255</v>
      </c>
      <c r="D243" s="28" t="str">
        <f>IFERROR(__xludf.DUMMYFUNCTION("""COMPUTED_VALUE"""),"ABDUL GHOFUR")</f>
        <v>ABDUL GHOFUR</v>
      </c>
      <c r="E243" s="28" t="str">
        <f>IFERROR(__xludf.DUMMYFUNCTION("""COMPUTED_VALUE"""),"QOMARIYATUL HIDAYAH")</f>
        <v>QOMARIYATUL HIDAYAH</v>
      </c>
      <c r="F243" s="28" t="str">
        <f>IFERROR(__xludf.DUMMYFUNCTION("""COMPUTED_VALUE"""),"GAYAM PAYAMAN RT 004 RW 009 SOLOKURO LAMONGAN")</f>
        <v>GAYAM PAYAMAN RT 004 RW 009 SOLOKURO LAMONGAN</v>
      </c>
      <c r="G243" s="28" t="str">
        <f>IFERROR(__xludf.DUMMYFUNCTION("""COMPUTED_VALUE"""),"MA-XI.3")</f>
        <v>MA-XI.3</v>
      </c>
      <c r="H243" s="28" t="str">
        <f>IFERROR(__xludf.DUMMYFUNCTION("""COMPUTED_VALUE"""),"C")</f>
        <v>C</v>
      </c>
      <c r="I243" s="28" t="str">
        <f>IFERROR(__xludf.DUMMYFUNCTION("""COMPUTED_VALUE"""),"C-5")</f>
        <v>C-5</v>
      </c>
      <c r="J243" s="28">
        <f>IFERROR(__xludf.DUMMYFUNCTION("""COMPUTED_VALUE"""),2.0)</f>
        <v>2</v>
      </c>
      <c r="K243" s="28" t="str">
        <f>IFERROR(__xludf.DUMMYFUNCTION("""COMPUTED_VALUE"""),"2 WUSTHO A PUTRI")</f>
        <v>2 WUSTHO A PUTRI</v>
      </c>
      <c r="L243" s="29" t="str">
        <f>IFERROR(__xludf.DUMMYFUNCTION("""COMPUTED_VALUE"""),"6285746894245")</f>
        <v>6285746894245</v>
      </c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2">
        <f>IFERROR(__xludf.DUMMYFUNCTION("""COMPUTED_VALUE"""),0.0)</f>
        <v>0</v>
      </c>
      <c r="BD243" s="22">
        <f>IFERROR(__xludf.DUMMYFUNCTION("""COMPUTED_VALUE"""),0.0)</f>
        <v>0</v>
      </c>
      <c r="BE243" s="22">
        <f>IFERROR(__xludf.DUMMYFUNCTION("""COMPUTED_VALUE"""),0.0)</f>
        <v>0</v>
      </c>
      <c r="BF243" s="22">
        <f>IFERROR(__xludf.DUMMYFUNCTION("""COMPUTED_VALUE"""),0.0)</f>
        <v>0</v>
      </c>
    </row>
    <row r="244">
      <c r="A244" s="27">
        <f>IFERROR(__xludf.DUMMYFUNCTION("""COMPUTED_VALUE"""),243.0)</f>
        <v>243</v>
      </c>
      <c r="B244" s="28" t="str">
        <f>IFERROR(__xludf.DUMMYFUNCTION("""COMPUTED_VALUE"""),"SILAH KAMILAH")</f>
        <v>SILAH KAMILAH</v>
      </c>
      <c r="C244" s="28">
        <f>IFERROR(__xludf.DUMMYFUNCTION("""COMPUTED_VALUE"""),2.025070182E9)</f>
        <v>2025070182</v>
      </c>
      <c r="D244" s="28" t="str">
        <f>IFERROR(__xludf.DUMMYFUNCTION("""COMPUTED_VALUE"""),"MUJIONO")</f>
        <v>MUJIONO</v>
      </c>
      <c r="E244" s="28" t="str">
        <f>IFERROR(__xludf.DUMMYFUNCTION("""COMPUTED_VALUE"""),"ENDANG MUJIATI")</f>
        <v>ENDANG MUJIATI</v>
      </c>
      <c r="F244" s="28" t="str">
        <f>IFERROR(__xludf.DUMMYFUNCTION("""COMPUTED_VALUE"""),"BUGOHARJO RT 003 RW 005 PUCUK LAMONGAN")</f>
        <v>BUGOHARJO RT 003 RW 005 PUCUK LAMONGAN</v>
      </c>
      <c r="G244" s="28" t="str">
        <f>IFERROR(__xludf.DUMMYFUNCTION("""COMPUTED_VALUE"""),"MA-XI.2")</f>
        <v>MA-XI.2</v>
      </c>
      <c r="H244" s="28" t="str">
        <f>IFERROR(__xludf.DUMMYFUNCTION("""COMPUTED_VALUE"""),"C")</f>
        <v>C</v>
      </c>
      <c r="I244" s="28" t="str">
        <f>IFERROR(__xludf.DUMMYFUNCTION("""COMPUTED_VALUE"""),"C-10")</f>
        <v>C-10</v>
      </c>
      <c r="J244" s="28">
        <f>IFERROR(__xludf.DUMMYFUNCTION("""COMPUTED_VALUE"""),2.0)</f>
        <v>2</v>
      </c>
      <c r="K244" s="28" t="str">
        <f>IFERROR(__xludf.DUMMYFUNCTION("""COMPUTED_VALUE"""),"2 WUSTHO C PUTRI")</f>
        <v>2 WUSTHO C PUTRI</v>
      </c>
      <c r="L244" s="29" t="str">
        <f>IFERROR(__xludf.DUMMYFUNCTION("""COMPUTED_VALUE"""),"6285230611819")</f>
        <v>6285230611819</v>
      </c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2">
        <f>IFERROR(__xludf.DUMMYFUNCTION("""COMPUTED_VALUE"""),0.0)</f>
        <v>0</v>
      </c>
      <c r="BD244" s="22">
        <f>IFERROR(__xludf.DUMMYFUNCTION("""COMPUTED_VALUE"""),0.0)</f>
        <v>0</v>
      </c>
      <c r="BE244" s="22">
        <f>IFERROR(__xludf.DUMMYFUNCTION("""COMPUTED_VALUE"""),0.0)</f>
        <v>0</v>
      </c>
      <c r="BF244" s="22">
        <f>IFERROR(__xludf.DUMMYFUNCTION("""COMPUTED_VALUE"""),0.0)</f>
        <v>0</v>
      </c>
    </row>
    <row r="245">
      <c r="A245" s="27">
        <f>IFERROR(__xludf.DUMMYFUNCTION("""COMPUTED_VALUE"""),244.0)</f>
        <v>244</v>
      </c>
      <c r="B245" s="28" t="str">
        <f>IFERROR(__xludf.DUMMYFUNCTION("""COMPUTED_VALUE"""),"SINTA ROBBATUL BARIYAH")</f>
        <v>SINTA ROBBATUL BARIYAH</v>
      </c>
      <c r="C245" s="28">
        <f>IFERROR(__xludf.DUMMYFUNCTION("""COMPUTED_VALUE"""),2.025070292E9)</f>
        <v>2025070292</v>
      </c>
      <c r="D245" s="28" t="str">
        <f>IFERROR(__xludf.DUMMYFUNCTION("""COMPUTED_VALUE"""),"ISTIKLAN BUDI UTOMO")</f>
        <v>ISTIKLAN BUDI UTOMO</v>
      </c>
      <c r="E245" s="28" t="str">
        <f>IFERROR(__xludf.DUMMYFUNCTION("""COMPUTED_VALUE"""),"UMI HANIK")</f>
        <v>UMI HANIK</v>
      </c>
      <c r="F245" s="28" t="str">
        <f>IFERROR(__xludf.DUMMYFUNCTION("""COMPUTED_VALUE"""),"GUNDIK SUKOREJO RT 001 RW 004 KARANGBINANGUN LAMONGAN")</f>
        <v>GUNDIK SUKOREJO RT 001 RW 004 KARANGBINANGUN LAMONGAN</v>
      </c>
      <c r="G245" s="28" t="str">
        <f>IFERROR(__xludf.DUMMYFUNCTION("""COMPUTED_VALUE"""),"MA-XI.4")</f>
        <v>MA-XI.4</v>
      </c>
      <c r="H245" s="28" t="str">
        <f>IFERROR(__xludf.DUMMYFUNCTION("""COMPUTED_VALUE"""),"C")</f>
        <v>C</v>
      </c>
      <c r="I245" s="28" t="str">
        <f>IFERROR(__xludf.DUMMYFUNCTION("""COMPUTED_VALUE"""),"C-10")</f>
        <v>C-10</v>
      </c>
      <c r="J245" s="28">
        <f>IFERROR(__xludf.DUMMYFUNCTION("""COMPUTED_VALUE"""),2.0)</f>
        <v>2</v>
      </c>
      <c r="K245" s="28" t="str">
        <f>IFERROR(__xludf.DUMMYFUNCTION("""COMPUTED_VALUE"""),"2 WUSTHO A PUTRI")</f>
        <v>2 WUSTHO A PUTRI</v>
      </c>
      <c r="L245" s="29" t="str">
        <f>IFERROR(__xludf.DUMMYFUNCTION("""COMPUTED_VALUE"""),"6285850178252")</f>
        <v>6285850178252</v>
      </c>
      <c r="M245" s="22">
        <f>IFERROR(__xludf.DUMMYFUNCTION("""COMPUTED_VALUE"""),600000.0)</f>
        <v>600000</v>
      </c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2">
        <f>IFERROR(__xludf.DUMMYFUNCTION("""COMPUTED_VALUE"""),450000.0)</f>
        <v>450000</v>
      </c>
      <c r="Z245" s="22">
        <f>IFERROR(__xludf.DUMMYFUNCTION("""COMPUTED_VALUE"""),450000.0)</f>
        <v>450000</v>
      </c>
      <c r="AA245" s="28"/>
      <c r="AB245" s="22">
        <f>IFERROR(__xludf.DUMMYFUNCTION("""COMPUTED_VALUE"""),500000.0)</f>
        <v>500000</v>
      </c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2">
        <f>IFERROR(__xludf.DUMMYFUNCTION("""COMPUTED_VALUE"""),500000.0)</f>
        <v>500000</v>
      </c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2">
        <f>IFERROR(__xludf.DUMMYFUNCTION("""COMPUTED_VALUE"""),900000.0)</f>
        <v>900000</v>
      </c>
      <c r="BD245" s="22">
        <f>IFERROR(__xludf.DUMMYFUNCTION("""COMPUTED_VALUE"""),1600000.0)</f>
        <v>1600000</v>
      </c>
      <c r="BE245" s="22">
        <f>IFERROR(__xludf.DUMMYFUNCTION("""COMPUTED_VALUE"""),0.0)</f>
        <v>0</v>
      </c>
      <c r="BF245" s="22">
        <f>IFERROR(__xludf.DUMMYFUNCTION("""COMPUTED_VALUE"""),2500000.0)</f>
        <v>2500000</v>
      </c>
    </row>
    <row r="246">
      <c r="A246" s="27">
        <f>IFERROR(__xludf.DUMMYFUNCTION("""COMPUTED_VALUE"""),245.0)</f>
        <v>245</v>
      </c>
      <c r="B246" s="28" t="str">
        <f>IFERROR(__xludf.DUMMYFUNCTION("""COMPUTED_VALUE"""),"SINTYA AYU RAMADHONI")</f>
        <v>SINTYA AYU RAMADHONI</v>
      </c>
      <c r="C246" s="28">
        <f>IFERROR(__xludf.DUMMYFUNCTION("""COMPUTED_VALUE"""),2.025070288E9)</f>
        <v>2025070288</v>
      </c>
      <c r="D246" s="28" t="str">
        <f>IFERROR(__xludf.DUMMYFUNCTION("""COMPUTED_VALUE"""),"NURUL HUDA")</f>
        <v>NURUL HUDA</v>
      </c>
      <c r="E246" s="28" t="str">
        <f>IFERROR(__xludf.DUMMYFUNCTION("""COMPUTED_VALUE"""),"SRI RAHAYU")</f>
        <v>SRI RAHAYU</v>
      </c>
      <c r="F246" s="28" t="str">
        <f>IFERROR(__xludf.DUMMYFUNCTION("""COMPUTED_VALUE"""),"SANUR JOTOSANUR RT 001 RW 004 TIKUNG LAMONGAN")</f>
        <v>SANUR JOTOSANUR RT 001 RW 004 TIKUNG LAMONGAN</v>
      </c>
      <c r="G246" s="28" t="str">
        <f>IFERROR(__xludf.DUMMYFUNCTION("""COMPUTED_VALUE"""),"MA-XI.13")</f>
        <v>MA-XI.13</v>
      </c>
      <c r="H246" s="28" t="str">
        <f>IFERROR(__xludf.DUMMYFUNCTION("""COMPUTED_VALUE"""),"C")</f>
        <v>C</v>
      </c>
      <c r="I246" s="28" t="str">
        <f>IFERROR(__xludf.DUMMYFUNCTION("""COMPUTED_VALUE"""),"C-7")</f>
        <v>C-7</v>
      </c>
      <c r="J246" s="28">
        <f>IFERROR(__xludf.DUMMYFUNCTION("""COMPUTED_VALUE"""),2.0)</f>
        <v>2</v>
      </c>
      <c r="K246" s="28" t="str">
        <f>IFERROR(__xludf.DUMMYFUNCTION("""COMPUTED_VALUE"""),"2 MAK PUTRI")</f>
        <v>2 MAK PUTRI</v>
      </c>
      <c r="L246" s="29" t="str">
        <f>IFERROR(__xludf.DUMMYFUNCTION("""COMPUTED_VALUE"""),"6285730288055")</f>
        <v>6285730288055</v>
      </c>
      <c r="M246" s="22">
        <f>IFERROR(__xludf.DUMMYFUNCTION("""COMPUTED_VALUE"""),600000.0)</f>
        <v>600000</v>
      </c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2">
        <f>IFERROR(__xludf.DUMMYFUNCTION("""COMPUTED_VALUE"""),500000.0)</f>
        <v>500000</v>
      </c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2">
        <f>IFERROR(__xludf.DUMMYFUNCTION("""COMPUTED_VALUE"""),500000.0)</f>
        <v>500000</v>
      </c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2">
        <f>IFERROR(__xludf.DUMMYFUNCTION("""COMPUTED_VALUE"""),0.0)</f>
        <v>0</v>
      </c>
      <c r="BD246" s="22">
        <f>IFERROR(__xludf.DUMMYFUNCTION("""COMPUTED_VALUE"""),1600000.0)</f>
        <v>1600000</v>
      </c>
      <c r="BE246" s="22">
        <f>IFERROR(__xludf.DUMMYFUNCTION("""COMPUTED_VALUE"""),0.0)</f>
        <v>0</v>
      </c>
      <c r="BF246" s="22">
        <f>IFERROR(__xludf.DUMMYFUNCTION("""COMPUTED_VALUE"""),1600000.0)</f>
        <v>1600000</v>
      </c>
    </row>
    <row r="247">
      <c r="A247" s="27">
        <f>IFERROR(__xludf.DUMMYFUNCTION("""COMPUTED_VALUE"""),246.0)</f>
        <v>246</v>
      </c>
      <c r="B247" s="28" t="str">
        <f>IFERROR(__xludf.DUMMYFUNCTION("""COMPUTED_VALUE"""),"SYA`BANIA ROHMA RISQIYAH WULANDARI")</f>
        <v>SYA`BANIA ROHMA RISQIYAH WULANDARI</v>
      </c>
      <c r="C247" s="28">
        <f>IFERROR(__xludf.DUMMYFUNCTION("""COMPUTED_VALUE"""),2.025070527E9)</f>
        <v>2025070527</v>
      </c>
      <c r="D247" s="28" t="str">
        <f>IFERROR(__xludf.DUMMYFUNCTION("""COMPUTED_VALUE"""),"ACHMAD TOHAR")</f>
        <v>ACHMAD TOHAR</v>
      </c>
      <c r="E247" s="28" t="str">
        <f>IFERROR(__xludf.DUMMYFUNCTION("""COMPUTED_VALUE"""),"KUSNAH")</f>
        <v>KUSNAH</v>
      </c>
      <c r="F247" s="28" t="str">
        <f>IFERROR(__xludf.DUMMYFUNCTION("""COMPUTED_VALUE"""),"SARIREJO SUKOREJO RT 003 RW 003 LAMONGAN LAMONGAN")</f>
        <v>SARIREJO SUKOREJO RT 003 RW 003 LAMONGAN LAMONGAN</v>
      </c>
      <c r="G247" s="28" t="str">
        <f>IFERROR(__xludf.DUMMYFUNCTION("""COMPUTED_VALUE"""),"MTS-8 A")</f>
        <v>MTS-8 A</v>
      </c>
      <c r="H247" s="28" t="str">
        <f>IFERROR(__xludf.DUMMYFUNCTION("""COMPUTED_VALUE"""),"C")</f>
        <v>C</v>
      </c>
      <c r="I247" s="28" t="str">
        <f>IFERROR(__xludf.DUMMYFUNCTION("""COMPUTED_VALUE"""),"C-6")</f>
        <v>C-6</v>
      </c>
      <c r="J247" s="28">
        <f>IFERROR(__xludf.DUMMYFUNCTION("""COMPUTED_VALUE"""),2.0)</f>
        <v>2</v>
      </c>
      <c r="K247" s="28" t="str">
        <f>IFERROR(__xludf.DUMMYFUNCTION("""COMPUTED_VALUE"""),"2 ULA C PUTRI")</f>
        <v>2 ULA C PUTRI</v>
      </c>
      <c r="L247" s="29" t="str">
        <f>IFERROR(__xludf.DUMMYFUNCTION("""COMPUTED_VALUE"""),"6285796171854")</f>
        <v>6285796171854</v>
      </c>
      <c r="M247" s="28"/>
      <c r="N247" s="28"/>
      <c r="O247" s="28"/>
      <c r="P247" s="28"/>
      <c r="Q247" s="28"/>
      <c r="R247" s="28"/>
      <c r="S247" s="28"/>
      <c r="T247" s="22">
        <f>IFERROR(__xludf.DUMMYFUNCTION("""COMPUTED_VALUE"""),450000.0)</f>
        <v>450000</v>
      </c>
      <c r="U247" s="22">
        <f>IFERROR(__xludf.DUMMYFUNCTION("""COMPUTED_VALUE"""),450000.0)</f>
        <v>450000</v>
      </c>
      <c r="V247" s="22">
        <f>IFERROR(__xludf.DUMMYFUNCTION("""COMPUTED_VALUE"""),450000.0)</f>
        <v>450000</v>
      </c>
      <c r="W247" s="22">
        <f>IFERROR(__xludf.DUMMYFUNCTION("""COMPUTED_VALUE"""),450000.0)</f>
        <v>450000</v>
      </c>
      <c r="X247" s="22">
        <f>IFERROR(__xludf.DUMMYFUNCTION("""COMPUTED_VALUE"""),450000.0)</f>
        <v>450000</v>
      </c>
      <c r="Y247" s="22">
        <f>IFERROR(__xludf.DUMMYFUNCTION("""COMPUTED_VALUE"""),450000.0)</f>
        <v>450000</v>
      </c>
      <c r="Z247" s="22">
        <f>IFERROR(__xludf.DUMMYFUNCTION("""COMPUTED_VALUE"""),450000.0)</f>
        <v>450000</v>
      </c>
      <c r="AA247" s="28"/>
      <c r="AB247" s="22">
        <f>IFERROR(__xludf.DUMMYFUNCTION("""COMPUTED_VALUE"""),500000.0)</f>
        <v>500000</v>
      </c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2">
        <f>IFERROR(__xludf.DUMMYFUNCTION("""COMPUTED_VALUE"""),500000.0)</f>
        <v>500000</v>
      </c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2">
        <f>IFERROR(__xludf.DUMMYFUNCTION("""COMPUTED_VALUE"""),3150000.0)</f>
        <v>3150000</v>
      </c>
      <c r="BD247" s="22">
        <f>IFERROR(__xludf.DUMMYFUNCTION("""COMPUTED_VALUE"""),1000000.0)</f>
        <v>1000000</v>
      </c>
      <c r="BE247" s="22">
        <f>IFERROR(__xludf.DUMMYFUNCTION("""COMPUTED_VALUE"""),0.0)</f>
        <v>0</v>
      </c>
      <c r="BF247" s="22">
        <f>IFERROR(__xludf.DUMMYFUNCTION("""COMPUTED_VALUE"""),4150000.0)</f>
        <v>4150000</v>
      </c>
    </row>
    <row r="248">
      <c r="A248" s="27">
        <f>IFERROR(__xludf.DUMMYFUNCTION("""COMPUTED_VALUE"""),247.0)</f>
        <v>247</v>
      </c>
      <c r="B248" s="28" t="str">
        <f>IFERROR(__xludf.DUMMYFUNCTION("""COMPUTED_VALUE"""),"SYAHIDA MAULA")</f>
        <v>SYAHIDA MAULA</v>
      </c>
      <c r="C248" s="28">
        <f>IFERROR(__xludf.DUMMYFUNCTION("""COMPUTED_VALUE"""),2.025070279E9)</f>
        <v>2025070279</v>
      </c>
      <c r="D248" s="28" t="str">
        <f>IFERROR(__xludf.DUMMYFUNCTION("""COMPUTED_VALUE"""),"SHOLIHUN")</f>
        <v>SHOLIHUN</v>
      </c>
      <c r="E248" s="28" t="str">
        <f>IFERROR(__xludf.DUMMYFUNCTION("""COMPUTED_VALUE"""),"NURUL MAHMUDAH")</f>
        <v>NURUL MAHMUDAH</v>
      </c>
      <c r="F248" s="28" t="str">
        <f>IFERROR(__xludf.DUMMYFUNCTION("""COMPUTED_VALUE"""),"KARANGREJO RT 008 RW 004 UJUNGPANGKAH GRESIK")</f>
        <v>KARANGREJO RT 008 RW 004 UJUNGPANGKAH GRESIK</v>
      </c>
      <c r="G248" s="28" t="str">
        <f>IFERROR(__xludf.DUMMYFUNCTION("""COMPUTED_VALUE"""),"MA-XI.3")</f>
        <v>MA-XI.3</v>
      </c>
      <c r="H248" s="28" t="str">
        <f>IFERROR(__xludf.DUMMYFUNCTION("""COMPUTED_VALUE"""),"C")</f>
        <v>C</v>
      </c>
      <c r="I248" s="28" t="str">
        <f>IFERROR(__xludf.DUMMYFUNCTION("""COMPUTED_VALUE"""),"C-10")</f>
        <v>C-10</v>
      </c>
      <c r="J248" s="28">
        <f>IFERROR(__xludf.DUMMYFUNCTION("""COMPUTED_VALUE"""),2.0)</f>
        <v>2</v>
      </c>
      <c r="K248" s="28" t="str">
        <f>IFERROR(__xludf.DUMMYFUNCTION("""COMPUTED_VALUE"""),"2 WUSTHO A PUTRI")</f>
        <v>2 WUSTHO A PUTRI</v>
      </c>
      <c r="L248" s="29" t="str">
        <f>IFERROR(__xludf.DUMMYFUNCTION("""COMPUTED_VALUE"""),"6281515501631")</f>
        <v>6281515501631</v>
      </c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2">
        <f>IFERROR(__xludf.DUMMYFUNCTION("""COMPUTED_VALUE"""),450000.0)</f>
        <v>450000</v>
      </c>
      <c r="AA248" s="28"/>
      <c r="AB248" s="22">
        <f>IFERROR(__xludf.DUMMYFUNCTION("""COMPUTED_VALUE"""),500000.0)</f>
        <v>500000</v>
      </c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2">
        <f>IFERROR(__xludf.DUMMYFUNCTION("""COMPUTED_VALUE"""),500000.0)</f>
        <v>500000</v>
      </c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2">
        <f>IFERROR(__xludf.DUMMYFUNCTION("""COMPUTED_VALUE"""),450000.0)</f>
        <v>450000</v>
      </c>
      <c r="BD248" s="22">
        <f>IFERROR(__xludf.DUMMYFUNCTION("""COMPUTED_VALUE"""),1000000.0)</f>
        <v>1000000</v>
      </c>
      <c r="BE248" s="22">
        <f>IFERROR(__xludf.DUMMYFUNCTION("""COMPUTED_VALUE"""),0.0)</f>
        <v>0</v>
      </c>
      <c r="BF248" s="22">
        <f>IFERROR(__xludf.DUMMYFUNCTION("""COMPUTED_VALUE"""),1450000.0)</f>
        <v>1450000</v>
      </c>
    </row>
    <row r="249">
      <c r="A249" s="27">
        <f>IFERROR(__xludf.DUMMYFUNCTION("""COMPUTED_VALUE"""),248.0)</f>
        <v>248</v>
      </c>
      <c r="B249" s="28" t="str">
        <f>IFERROR(__xludf.DUMMYFUNCTION("""COMPUTED_VALUE"""),"TRI AMALIYAH NABILA")</f>
        <v>TRI AMALIYAH NABILA</v>
      </c>
      <c r="C249" s="28">
        <f>IFERROR(__xludf.DUMMYFUNCTION("""COMPUTED_VALUE"""),2.025070421E9)</f>
        <v>2025070421</v>
      </c>
      <c r="D249" s="28" t="str">
        <f>IFERROR(__xludf.DUMMYFUNCTION("""COMPUTED_VALUE"""),"HERMAN")</f>
        <v>HERMAN</v>
      </c>
      <c r="E249" s="28" t="str">
        <f>IFERROR(__xludf.DUMMYFUNCTION("""COMPUTED_VALUE"""),"HIDAYATUL FITRIYAH")</f>
        <v>HIDAYATUL FITRIYAH</v>
      </c>
      <c r="F249" s="28" t="str">
        <f>IFERROR(__xludf.DUMMYFUNCTION("""COMPUTED_VALUE"""),"BANYUTENGAH RT 001 RW 001 PANCENG GRESIK")</f>
        <v>BANYUTENGAH RT 001 RW 001 PANCENG GRESIK</v>
      </c>
      <c r="G249" s="28" t="str">
        <f>IFERROR(__xludf.DUMMYFUNCTION("""COMPUTED_VALUE"""),"MA-XI.12")</f>
        <v>MA-XI.12</v>
      </c>
      <c r="H249" s="28" t="str">
        <f>IFERROR(__xludf.DUMMYFUNCTION("""COMPUTED_VALUE"""),"C")</f>
        <v>C</v>
      </c>
      <c r="I249" s="28" t="str">
        <f>IFERROR(__xludf.DUMMYFUNCTION("""COMPUTED_VALUE"""),"C-10")</f>
        <v>C-10</v>
      </c>
      <c r="J249" s="28">
        <f>IFERROR(__xludf.DUMMYFUNCTION("""COMPUTED_VALUE"""),2.0)</f>
        <v>2</v>
      </c>
      <c r="K249" s="28" t="str">
        <f>IFERROR(__xludf.DUMMYFUNCTION("""COMPUTED_VALUE"""),"2 WUSTHO C PUTRI")</f>
        <v>2 WUSTHO C PUTRI</v>
      </c>
      <c r="L249" s="29" t="str">
        <f>IFERROR(__xludf.DUMMYFUNCTION("""COMPUTED_VALUE"""),"6282132903669")</f>
        <v>6282132903669</v>
      </c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2">
        <f>IFERROR(__xludf.DUMMYFUNCTION("""COMPUTED_VALUE"""),0.0)</f>
        <v>0</v>
      </c>
      <c r="BD249" s="22">
        <f>IFERROR(__xludf.DUMMYFUNCTION("""COMPUTED_VALUE"""),0.0)</f>
        <v>0</v>
      </c>
      <c r="BE249" s="22">
        <f>IFERROR(__xludf.DUMMYFUNCTION("""COMPUTED_VALUE"""),0.0)</f>
        <v>0</v>
      </c>
      <c r="BF249" s="22">
        <f>IFERROR(__xludf.DUMMYFUNCTION("""COMPUTED_VALUE"""),0.0)</f>
        <v>0</v>
      </c>
    </row>
    <row r="250">
      <c r="A250" s="27">
        <f>IFERROR(__xludf.DUMMYFUNCTION("""COMPUTED_VALUE"""),249.0)</f>
        <v>249</v>
      </c>
      <c r="B250" s="28" t="str">
        <f>IFERROR(__xludf.DUMMYFUNCTION("""COMPUTED_VALUE"""),"TRIAS NABILA ARCHIDEA SYARIFAH")</f>
        <v>TRIAS NABILA ARCHIDEA SYARIFAH</v>
      </c>
      <c r="C250" s="28">
        <f>IFERROR(__xludf.DUMMYFUNCTION("""COMPUTED_VALUE"""),2.02507056E9)</f>
        <v>2025070560</v>
      </c>
      <c r="D250" s="28" t="str">
        <f>IFERROR(__xludf.DUMMYFUNCTION("""COMPUTED_VALUE"""),"LAPIN")</f>
        <v>LAPIN</v>
      </c>
      <c r="E250" s="28" t="str">
        <f>IFERROR(__xludf.DUMMYFUNCTION("""COMPUTED_VALUE"""),"ERRY MURNIASIH")</f>
        <v>ERRY MURNIASIH</v>
      </c>
      <c r="F250" s="28" t="str">
        <f>IFERROR(__xludf.DUMMYFUNCTION("""COMPUTED_VALUE"""),"KEDIREN RT 004 RW 001 KALITENGAH LAMONGAN")</f>
        <v>KEDIREN RT 004 RW 001 KALITENGAH LAMONGAN</v>
      </c>
      <c r="G250" s="28" t="str">
        <f>IFERROR(__xludf.DUMMYFUNCTION("""COMPUTED_VALUE"""),"MTS-8 G")</f>
        <v>MTS-8 G</v>
      </c>
      <c r="H250" s="28" t="str">
        <f>IFERROR(__xludf.DUMMYFUNCTION("""COMPUTED_VALUE"""),"C")</f>
        <v>C</v>
      </c>
      <c r="I250" s="28" t="str">
        <f>IFERROR(__xludf.DUMMYFUNCTION("""COMPUTED_VALUE"""),"C-12")</f>
        <v>C-12</v>
      </c>
      <c r="J250" s="28">
        <f>IFERROR(__xludf.DUMMYFUNCTION("""COMPUTED_VALUE"""),2.0)</f>
        <v>2</v>
      </c>
      <c r="K250" s="28" t="str">
        <f>IFERROR(__xludf.DUMMYFUNCTION("""COMPUTED_VALUE"""),"ULA")</f>
        <v>ULA</v>
      </c>
      <c r="L250" s="29" t="str">
        <f>IFERROR(__xludf.DUMMYFUNCTION("""COMPUTED_VALUE"""),"6285731727960")</f>
        <v>6285731727960</v>
      </c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2">
        <f>IFERROR(__xludf.DUMMYFUNCTION("""COMPUTED_VALUE"""),500000.0)</f>
        <v>500000</v>
      </c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2">
        <f>IFERROR(__xludf.DUMMYFUNCTION("""COMPUTED_VALUE"""),500000.0)</f>
        <v>500000</v>
      </c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2">
        <f>IFERROR(__xludf.DUMMYFUNCTION("""COMPUTED_VALUE"""),0.0)</f>
        <v>0</v>
      </c>
      <c r="BD250" s="22">
        <f>IFERROR(__xludf.DUMMYFUNCTION("""COMPUTED_VALUE"""),1000000.0)</f>
        <v>1000000</v>
      </c>
      <c r="BE250" s="22">
        <f>IFERROR(__xludf.DUMMYFUNCTION("""COMPUTED_VALUE"""),0.0)</f>
        <v>0</v>
      </c>
      <c r="BF250" s="22">
        <f>IFERROR(__xludf.DUMMYFUNCTION("""COMPUTED_VALUE"""),1000000.0)</f>
        <v>1000000</v>
      </c>
    </row>
    <row r="251">
      <c r="A251" s="27">
        <f>IFERROR(__xludf.DUMMYFUNCTION("""COMPUTED_VALUE"""),250.0)</f>
        <v>250</v>
      </c>
      <c r="B251" s="28" t="str">
        <f>IFERROR(__xludf.DUMMYFUNCTION("""COMPUTED_VALUE"""),"VALENCIA MEGA DEALOVA")</f>
        <v>VALENCIA MEGA DEALOVA</v>
      </c>
      <c r="C251" s="28">
        <f>IFERROR(__xludf.DUMMYFUNCTION("""COMPUTED_VALUE"""),2.025070566E9)</f>
        <v>2025070566</v>
      </c>
      <c r="D251" s="28" t="str">
        <f>IFERROR(__xludf.DUMMYFUNCTION("""COMPUTED_VALUE"""),"SUPRIYANTO")</f>
        <v>SUPRIYANTO</v>
      </c>
      <c r="E251" s="28" t="str">
        <f>IFERROR(__xludf.DUMMYFUNCTION("""COMPUTED_VALUE"""),"SRI LASWIJI")</f>
        <v>SRI LASWIJI</v>
      </c>
      <c r="F251" s="28" t="str">
        <f>IFERROR(__xludf.DUMMYFUNCTION("""COMPUTED_VALUE"""),"WINONG WANGUNREJO RT 001 RW 002 TURI LAMONGAN")</f>
        <v>WINONG WANGUNREJO RT 001 RW 002 TURI LAMONGAN</v>
      </c>
      <c r="G251" s="28" t="str">
        <f>IFERROR(__xludf.DUMMYFUNCTION("""COMPUTED_VALUE"""),"MTS-8 G")</f>
        <v>MTS-8 G</v>
      </c>
      <c r="H251" s="28" t="str">
        <f>IFERROR(__xludf.DUMMYFUNCTION("""COMPUTED_VALUE"""),"C")</f>
        <v>C</v>
      </c>
      <c r="I251" s="28" t="str">
        <f>IFERROR(__xludf.DUMMYFUNCTION("""COMPUTED_VALUE"""),"C-13")</f>
        <v>C-13</v>
      </c>
      <c r="J251" s="28">
        <f>IFERROR(__xludf.DUMMYFUNCTION("""COMPUTED_VALUE"""),2.0)</f>
        <v>2</v>
      </c>
      <c r="K251" s="28" t="str">
        <f>IFERROR(__xludf.DUMMYFUNCTION("""COMPUTED_VALUE"""),"2 ULA C PUTRI")</f>
        <v>2 ULA C PUTRI</v>
      </c>
      <c r="L251" s="29" t="str">
        <f>IFERROR(__xludf.DUMMYFUNCTION("""COMPUTED_VALUE"""),"628123276159")</f>
        <v>628123276159</v>
      </c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2">
        <f>IFERROR(__xludf.DUMMYFUNCTION("""COMPUTED_VALUE"""),0.0)</f>
        <v>0</v>
      </c>
      <c r="BD251" s="22">
        <f>IFERROR(__xludf.DUMMYFUNCTION("""COMPUTED_VALUE"""),0.0)</f>
        <v>0</v>
      </c>
      <c r="BE251" s="22">
        <f>IFERROR(__xludf.DUMMYFUNCTION("""COMPUTED_VALUE"""),0.0)</f>
        <v>0</v>
      </c>
      <c r="BF251" s="22">
        <f>IFERROR(__xludf.DUMMYFUNCTION("""COMPUTED_VALUE"""),0.0)</f>
        <v>0</v>
      </c>
    </row>
    <row r="252">
      <c r="A252" s="27">
        <f>IFERROR(__xludf.DUMMYFUNCTION("""COMPUTED_VALUE"""),251.0)</f>
        <v>251</v>
      </c>
      <c r="B252" s="28" t="str">
        <f>IFERROR(__xludf.DUMMYFUNCTION("""COMPUTED_VALUE"""),"VANESYA OKTAVIDIA AULIA BALQIS")</f>
        <v>VANESYA OKTAVIDIA AULIA BALQIS</v>
      </c>
      <c r="C252" s="28">
        <f>IFERROR(__xludf.DUMMYFUNCTION("""COMPUTED_VALUE"""),2.025070007E9)</f>
        <v>2025070007</v>
      </c>
      <c r="D252" s="28" t="str">
        <f>IFERROR(__xludf.DUMMYFUNCTION("""COMPUTED_VALUE"""),"MANSUR UBAIDI")</f>
        <v>MANSUR UBAIDI</v>
      </c>
      <c r="E252" s="28" t="str">
        <f>IFERROR(__xludf.DUMMYFUNCTION("""COMPUTED_VALUE"""),"IKA VITA NUR DIANA")</f>
        <v>IKA VITA NUR DIANA</v>
      </c>
      <c r="F252" s="28" t="str">
        <f>IFERROR(__xludf.DUMMYFUNCTION("""COMPUTED_VALUE"""),"LEMBOR RT 005 RW 002 BRONDONG LAMONGAN")</f>
        <v>LEMBOR RT 005 RW 002 BRONDONG LAMONGAN</v>
      </c>
      <c r="G252" s="28" t="str">
        <f>IFERROR(__xludf.DUMMYFUNCTION("""COMPUTED_VALUE"""),"MA-XI.12")</f>
        <v>MA-XI.12</v>
      </c>
      <c r="H252" s="28" t="str">
        <f>IFERROR(__xludf.DUMMYFUNCTION("""COMPUTED_VALUE"""),"C")</f>
        <v>C</v>
      </c>
      <c r="I252" s="28" t="str">
        <f>IFERROR(__xludf.DUMMYFUNCTION("""COMPUTED_VALUE"""),"C-5")</f>
        <v>C-5</v>
      </c>
      <c r="J252" s="28">
        <f>IFERROR(__xludf.DUMMYFUNCTION("""COMPUTED_VALUE"""),2.0)</f>
        <v>2</v>
      </c>
      <c r="K252" s="28" t="str">
        <f>IFERROR(__xludf.DUMMYFUNCTION("""COMPUTED_VALUE"""),"2 WUSTHO C PUTRI")</f>
        <v>2 WUSTHO C PUTRI</v>
      </c>
      <c r="L252" s="29" t="str">
        <f>IFERROR(__xludf.DUMMYFUNCTION("""COMPUTED_VALUE"""),"6285251555052")</f>
        <v>6285251555052</v>
      </c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2">
        <f>IFERROR(__xludf.DUMMYFUNCTION("""COMPUTED_VALUE"""),500000.0)</f>
        <v>500000</v>
      </c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2">
        <f>IFERROR(__xludf.DUMMYFUNCTION("""COMPUTED_VALUE"""),0.0)</f>
        <v>0</v>
      </c>
      <c r="BD252" s="22">
        <f>IFERROR(__xludf.DUMMYFUNCTION("""COMPUTED_VALUE"""),500000.0)</f>
        <v>500000</v>
      </c>
      <c r="BE252" s="22">
        <f>IFERROR(__xludf.DUMMYFUNCTION("""COMPUTED_VALUE"""),0.0)</f>
        <v>0</v>
      </c>
      <c r="BF252" s="22">
        <f>IFERROR(__xludf.DUMMYFUNCTION("""COMPUTED_VALUE"""),500000.0)</f>
        <v>500000</v>
      </c>
    </row>
    <row r="253">
      <c r="A253" s="27">
        <f>IFERROR(__xludf.DUMMYFUNCTION("""COMPUTED_VALUE"""),252.0)</f>
        <v>252</v>
      </c>
      <c r="B253" s="28" t="str">
        <f>IFERROR(__xludf.DUMMYFUNCTION("""COMPUTED_VALUE"""),"VIYA DIWANI AUDI")</f>
        <v>VIYA DIWANI AUDI</v>
      </c>
      <c r="C253" s="28">
        <f>IFERROR(__xludf.DUMMYFUNCTION("""COMPUTED_VALUE"""),2.025070293E9)</f>
        <v>2025070293</v>
      </c>
      <c r="D253" s="28" t="str">
        <f>IFERROR(__xludf.DUMMYFUNCTION("""COMPUTED_VALUE"""),"NUR SHODIQ")</f>
        <v>NUR SHODIQ</v>
      </c>
      <c r="E253" s="28" t="str">
        <f>IFERROR(__xludf.DUMMYFUNCTION("""COMPUTED_VALUE"""),"MUTMA`INAH")</f>
        <v>MUTMA`INAH</v>
      </c>
      <c r="F253" s="28" t="str">
        <f>IFERROR(__xludf.DUMMYFUNCTION("""COMPUTED_VALUE"""),"BABAT WETAN BABATAGUNG RT 002 RW 001 DEKET LAMONGAN")</f>
        <v>BABAT WETAN BABATAGUNG RT 002 RW 001 DEKET LAMONGAN</v>
      </c>
      <c r="G253" s="28" t="str">
        <f>IFERROR(__xludf.DUMMYFUNCTION("""COMPUTED_VALUE"""),"MA-XI.13")</f>
        <v>MA-XI.13</v>
      </c>
      <c r="H253" s="28" t="str">
        <f>IFERROR(__xludf.DUMMYFUNCTION("""COMPUTED_VALUE"""),"C")</f>
        <v>C</v>
      </c>
      <c r="I253" s="28" t="str">
        <f>IFERROR(__xludf.DUMMYFUNCTION("""COMPUTED_VALUE"""),"C-7")</f>
        <v>C-7</v>
      </c>
      <c r="J253" s="28">
        <f>IFERROR(__xludf.DUMMYFUNCTION("""COMPUTED_VALUE"""),2.0)</f>
        <v>2</v>
      </c>
      <c r="K253" s="28" t="str">
        <f>IFERROR(__xludf.DUMMYFUNCTION("""COMPUTED_VALUE"""),"2 MAK PUTRI")</f>
        <v>2 MAK PUTRI</v>
      </c>
      <c r="L253" s="29" t="str">
        <f>IFERROR(__xludf.DUMMYFUNCTION("""COMPUTED_VALUE"""),"6285730240542")</f>
        <v>6285730240542</v>
      </c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2">
        <f>IFERROR(__xludf.DUMMYFUNCTION("""COMPUTED_VALUE"""),450000.0)</f>
        <v>450000</v>
      </c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2">
        <f>IFERROR(__xludf.DUMMYFUNCTION("""COMPUTED_VALUE"""),450000.0)</f>
        <v>450000</v>
      </c>
      <c r="BD253" s="22">
        <f>IFERROR(__xludf.DUMMYFUNCTION("""COMPUTED_VALUE"""),0.0)</f>
        <v>0</v>
      </c>
      <c r="BE253" s="22">
        <f>IFERROR(__xludf.DUMMYFUNCTION("""COMPUTED_VALUE"""),0.0)</f>
        <v>0</v>
      </c>
      <c r="BF253" s="22">
        <f>IFERROR(__xludf.DUMMYFUNCTION("""COMPUTED_VALUE"""),450000.0)</f>
        <v>450000</v>
      </c>
    </row>
    <row r="254">
      <c r="A254" s="27">
        <f>IFERROR(__xludf.DUMMYFUNCTION("""COMPUTED_VALUE"""),253.0)</f>
        <v>253</v>
      </c>
      <c r="B254" s="28" t="str">
        <f>IFERROR(__xludf.DUMMYFUNCTION("""COMPUTED_VALUE"""),"WAKHIDATUL AMELIA")</f>
        <v>WAKHIDATUL AMELIA</v>
      </c>
      <c r="C254" s="28">
        <f>IFERROR(__xludf.DUMMYFUNCTION("""COMPUTED_VALUE"""),2.025070246E9)</f>
        <v>2025070246</v>
      </c>
      <c r="D254" s="28" t="str">
        <f>IFERROR(__xludf.DUMMYFUNCTION("""COMPUTED_VALUE"""),"JOKO PURWANTO")</f>
        <v>JOKO PURWANTO</v>
      </c>
      <c r="E254" s="28" t="str">
        <f>IFERROR(__xludf.DUMMYFUNCTION("""COMPUTED_VALUE"""),"MAR`ATUS SHOLIHAH")</f>
        <v>MAR`ATUS SHOLIHAH</v>
      </c>
      <c r="F254" s="28" t="str">
        <f>IFERROR(__xludf.DUMMYFUNCTION("""COMPUTED_VALUE"""),"MUNGSU SUGIHWARAS RT 002 RW 004 KALITENGAH LAMONGAN")</f>
        <v>MUNGSU SUGIHWARAS RT 002 RW 004 KALITENGAH LAMONGAN</v>
      </c>
      <c r="G254" s="28" t="str">
        <f>IFERROR(__xludf.DUMMYFUNCTION("""COMPUTED_VALUE"""),"MA-XI.4")</f>
        <v>MA-XI.4</v>
      </c>
      <c r="H254" s="28" t="str">
        <f>IFERROR(__xludf.DUMMYFUNCTION("""COMPUTED_VALUE"""),"C")</f>
        <v>C</v>
      </c>
      <c r="I254" s="28" t="str">
        <f>IFERROR(__xludf.DUMMYFUNCTION("""COMPUTED_VALUE"""),"C-10")</f>
        <v>C-10</v>
      </c>
      <c r="J254" s="28">
        <f>IFERROR(__xludf.DUMMYFUNCTION("""COMPUTED_VALUE"""),2.0)</f>
        <v>2</v>
      </c>
      <c r="K254" s="28" t="str">
        <f>IFERROR(__xludf.DUMMYFUNCTION("""COMPUTED_VALUE"""),"2 WUSTHO A PUTRI")</f>
        <v>2 WUSTHO A PUTRI</v>
      </c>
      <c r="L254" s="29" t="str">
        <f>IFERROR(__xludf.DUMMYFUNCTION("""COMPUTED_VALUE"""),"6285856126328")</f>
        <v>6285856126328</v>
      </c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2">
        <f>IFERROR(__xludf.DUMMYFUNCTION("""COMPUTED_VALUE"""),500000.0)</f>
        <v>500000</v>
      </c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2">
        <f>IFERROR(__xludf.DUMMYFUNCTION("""COMPUTED_VALUE"""),500000.0)</f>
        <v>500000</v>
      </c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2">
        <f>IFERROR(__xludf.DUMMYFUNCTION("""COMPUTED_VALUE"""),0.0)</f>
        <v>0</v>
      </c>
      <c r="BD254" s="22">
        <f>IFERROR(__xludf.DUMMYFUNCTION("""COMPUTED_VALUE"""),1000000.0)</f>
        <v>1000000</v>
      </c>
      <c r="BE254" s="22">
        <f>IFERROR(__xludf.DUMMYFUNCTION("""COMPUTED_VALUE"""),0.0)</f>
        <v>0</v>
      </c>
      <c r="BF254" s="22">
        <f>IFERROR(__xludf.DUMMYFUNCTION("""COMPUTED_VALUE"""),1000000.0)</f>
        <v>1000000</v>
      </c>
    </row>
    <row r="255">
      <c r="A255" s="27">
        <f>IFERROR(__xludf.DUMMYFUNCTION("""COMPUTED_VALUE"""),254.0)</f>
        <v>254</v>
      </c>
      <c r="B255" s="28" t="str">
        <f>IFERROR(__xludf.DUMMYFUNCTION("""COMPUTED_VALUE"""),"YASMIN ELIKA RAMDANI")</f>
        <v>YASMIN ELIKA RAMDANI</v>
      </c>
      <c r="C255" s="28">
        <f>IFERROR(__xludf.DUMMYFUNCTION("""COMPUTED_VALUE"""),2.025070521E9)</f>
        <v>2025070521</v>
      </c>
      <c r="D255" s="28" t="str">
        <f>IFERROR(__xludf.DUMMYFUNCTION("""COMPUTED_VALUE"""),"LESTARI")</f>
        <v>LESTARI</v>
      </c>
      <c r="E255" s="28" t="str">
        <f>IFERROR(__xludf.DUMMYFUNCTION("""COMPUTED_VALUE"""),"SITI AMANAH")</f>
        <v>SITI AMANAH</v>
      </c>
      <c r="F255" s="28" t="str">
        <f>IFERROR(__xludf.DUMMYFUNCTION("""COMPUTED_VALUE"""),"NGAYUNG RT 010 RW 003 MADURAN LAMONGAN")</f>
        <v>NGAYUNG RT 010 RW 003 MADURAN LAMONGAN</v>
      </c>
      <c r="G255" s="28" t="str">
        <f>IFERROR(__xludf.DUMMYFUNCTION("""COMPUTED_VALUE"""),"MTS-8 B")</f>
        <v>MTS-8 B</v>
      </c>
      <c r="H255" s="28" t="str">
        <f>IFERROR(__xludf.DUMMYFUNCTION("""COMPUTED_VALUE"""),"C")</f>
        <v>C</v>
      </c>
      <c r="I255" s="28" t="str">
        <f>IFERROR(__xludf.DUMMYFUNCTION("""COMPUTED_VALUE"""),"C-13")</f>
        <v>C-13</v>
      </c>
      <c r="J255" s="28">
        <f>IFERROR(__xludf.DUMMYFUNCTION("""COMPUTED_VALUE"""),2.0)</f>
        <v>2</v>
      </c>
      <c r="K255" s="28" t="str">
        <f>IFERROR(__xludf.DUMMYFUNCTION("""COMPUTED_VALUE"""),"2 ULA A PUTRI")</f>
        <v>2 ULA A PUTRI</v>
      </c>
      <c r="L255" s="29" t="str">
        <f>IFERROR(__xludf.DUMMYFUNCTION("""COMPUTED_VALUE"""),"6288983113464")</f>
        <v>6288983113464</v>
      </c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2">
        <f>IFERROR(__xludf.DUMMYFUNCTION("""COMPUTED_VALUE"""),500000.0)</f>
        <v>500000</v>
      </c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2">
        <f>IFERROR(__xludf.DUMMYFUNCTION("""COMPUTED_VALUE"""),500000.0)</f>
        <v>500000</v>
      </c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2">
        <f>IFERROR(__xludf.DUMMYFUNCTION("""COMPUTED_VALUE"""),0.0)</f>
        <v>0</v>
      </c>
      <c r="BD255" s="22">
        <f>IFERROR(__xludf.DUMMYFUNCTION("""COMPUTED_VALUE"""),1000000.0)</f>
        <v>1000000</v>
      </c>
      <c r="BE255" s="22">
        <f>IFERROR(__xludf.DUMMYFUNCTION("""COMPUTED_VALUE"""),0.0)</f>
        <v>0</v>
      </c>
      <c r="BF255" s="22">
        <f>IFERROR(__xludf.DUMMYFUNCTION("""COMPUTED_VALUE"""),1000000.0)</f>
        <v>1000000</v>
      </c>
    </row>
    <row r="256">
      <c r="A256" s="27">
        <f>IFERROR(__xludf.DUMMYFUNCTION("""COMPUTED_VALUE"""),255.0)</f>
        <v>255</v>
      </c>
      <c r="B256" s="28" t="str">
        <f>IFERROR(__xludf.DUMMYFUNCTION("""COMPUTED_VALUE"""),"ZAHRA QURROTA AINI")</f>
        <v>ZAHRA QURROTA AINI</v>
      </c>
      <c r="C256" s="28">
        <f>IFERROR(__xludf.DUMMYFUNCTION("""COMPUTED_VALUE"""),2.025070601E9)</f>
        <v>2025070601</v>
      </c>
      <c r="D256" s="28" t="str">
        <f>IFERROR(__xludf.DUMMYFUNCTION("""COMPUTED_VALUE"""),"MOCH. NURUL HUDA")</f>
        <v>MOCH. NURUL HUDA</v>
      </c>
      <c r="E256" s="28" t="str">
        <f>IFERROR(__xludf.DUMMYFUNCTION("""COMPUTED_VALUE"""),"NURROTUL ILMA")</f>
        <v>NURROTUL ILMA</v>
      </c>
      <c r="F256" s="28" t="str">
        <f>IFERROR(__xludf.DUMMYFUNCTION("""COMPUTED_VALUE"""),"KAUMAN TAWANGREJO RT 004 RW 003 TURI LAMONGAN")</f>
        <v>KAUMAN TAWANGREJO RT 004 RW 003 TURI LAMONGAN</v>
      </c>
      <c r="G256" s="28" t="str">
        <f>IFERROR(__xludf.DUMMYFUNCTION("""COMPUTED_VALUE"""),"MTS-8 B")</f>
        <v>MTS-8 B</v>
      </c>
      <c r="H256" s="28" t="str">
        <f>IFERROR(__xludf.DUMMYFUNCTION("""COMPUTED_VALUE"""),"C")</f>
        <v>C</v>
      </c>
      <c r="I256" s="28" t="str">
        <f>IFERROR(__xludf.DUMMYFUNCTION("""COMPUTED_VALUE"""),"C-13")</f>
        <v>C-13</v>
      </c>
      <c r="J256" s="28">
        <f>IFERROR(__xludf.DUMMYFUNCTION("""COMPUTED_VALUE"""),2.0)</f>
        <v>2</v>
      </c>
      <c r="K256" s="28" t="str">
        <f>IFERROR(__xludf.DUMMYFUNCTION("""COMPUTED_VALUE"""),"2 ULA C PUTRI")</f>
        <v>2 ULA C PUTRI</v>
      </c>
      <c r="L256" s="29" t="str">
        <f>IFERROR(__xludf.DUMMYFUNCTION("""COMPUTED_VALUE"""),"6285711574550")</f>
        <v>6285711574550</v>
      </c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2">
        <f>IFERROR(__xludf.DUMMYFUNCTION("""COMPUTED_VALUE"""),0.0)</f>
        <v>0</v>
      </c>
      <c r="BD256" s="22">
        <f>IFERROR(__xludf.DUMMYFUNCTION("""COMPUTED_VALUE"""),0.0)</f>
        <v>0</v>
      </c>
      <c r="BE256" s="22">
        <f>IFERROR(__xludf.DUMMYFUNCTION("""COMPUTED_VALUE"""),0.0)</f>
        <v>0</v>
      </c>
      <c r="BF256" s="22">
        <f>IFERROR(__xludf.DUMMYFUNCTION("""COMPUTED_VALUE"""),0.0)</f>
        <v>0</v>
      </c>
    </row>
    <row r="257">
      <c r="A257" s="27">
        <f>IFERROR(__xludf.DUMMYFUNCTION("""COMPUTED_VALUE"""),256.0)</f>
        <v>256</v>
      </c>
      <c r="B257" s="28" t="str">
        <f>IFERROR(__xludf.DUMMYFUNCTION("""COMPUTED_VALUE"""),"ZAHWA AULIA SYAHIRAH")</f>
        <v>ZAHWA AULIA SYAHIRAH</v>
      </c>
      <c r="C257" s="28">
        <f>IFERROR(__xludf.DUMMYFUNCTION("""COMPUTED_VALUE"""),2.025070025E9)</f>
        <v>2025070025</v>
      </c>
      <c r="D257" s="28" t="str">
        <f>IFERROR(__xludf.DUMMYFUNCTION("""COMPUTED_VALUE"""),"TAKOH")</f>
        <v>TAKOH</v>
      </c>
      <c r="E257" s="28" t="str">
        <f>IFERROR(__xludf.DUMMYFUNCTION("""COMPUTED_VALUE"""),"NUR IZZATIN")</f>
        <v>NUR IZZATIN</v>
      </c>
      <c r="F257" s="28" t="str">
        <f>IFERROR(__xludf.DUMMYFUNCTION("""COMPUTED_VALUE"""),"MENTARAS RT 012 RW 005 DUKUN GRESIK")</f>
        <v>MENTARAS RT 012 RW 005 DUKUN GRESIK</v>
      </c>
      <c r="G257" s="28" t="str">
        <f>IFERROR(__xludf.DUMMYFUNCTION("""COMPUTED_VALUE"""),"MA-XI.3")</f>
        <v>MA-XI.3</v>
      </c>
      <c r="H257" s="28" t="str">
        <f>IFERROR(__xludf.DUMMYFUNCTION("""COMPUTED_VALUE"""),"C")</f>
        <v>C</v>
      </c>
      <c r="I257" s="28" t="str">
        <f>IFERROR(__xludf.DUMMYFUNCTION("""COMPUTED_VALUE"""),"C-6")</f>
        <v>C-6</v>
      </c>
      <c r="J257" s="28">
        <f>IFERROR(__xludf.DUMMYFUNCTION("""COMPUTED_VALUE"""),2.0)</f>
        <v>2</v>
      </c>
      <c r="K257" s="28" t="str">
        <f>IFERROR(__xludf.DUMMYFUNCTION("""COMPUTED_VALUE"""),"2 WUSTHO A PUTRI")</f>
        <v>2 WUSTHO A PUTRI</v>
      </c>
      <c r="L257" s="29" t="str">
        <f>IFERROR(__xludf.DUMMYFUNCTION("""COMPUTED_VALUE"""),"6281332084557")</f>
        <v>6281332084557</v>
      </c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2">
        <f>IFERROR(__xludf.DUMMYFUNCTION("""COMPUTED_VALUE"""),500000.0)</f>
        <v>500000</v>
      </c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2">
        <f>IFERROR(__xludf.DUMMYFUNCTION("""COMPUTED_VALUE"""),500000.0)</f>
        <v>500000</v>
      </c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2">
        <f>IFERROR(__xludf.DUMMYFUNCTION("""COMPUTED_VALUE"""),0.0)</f>
        <v>0</v>
      </c>
      <c r="BD257" s="22">
        <f>IFERROR(__xludf.DUMMYFUNCTION("""COMPUTED_VALUE"""),1000000.0)</f>
        <v>1000000</v>
      </c>
      <c r="BE257" s="22">
        <f>IFERROR(__xludf.DUMMYFUNCTION("""COMPUTED_VALUE"""),0.0)</f>
        <v>0</v>
      </c>
      <c r="BF257" s="22">
        <f>IFERROR(__xludf.DUMMYFUNCTION("""COMPUTED_VALUE"""),1000000.0)</f>
        <v>1000000</v>
      </c>
    </row>
    <row r="258">
      <c r="A258" s="27">
        <f>IFERROR(__xludf.DUMMYFUNCTION("""COMPUTED_VALUE"""),257.0)</f>
        <v>257</v>
      </c>
      <c r="B258" s="28" t="str">
        <f>IFERROR(__xludf.DUMMYFUNCTION("""COMPUTED_VALUE"""),"ZAKIA AULIA RUSTIC")</f>
        <v>ZAKIA AULIA RUSTIC</v>
      </c>
      <c r="C258" s="28">
        <f>IFERROR(__xludf.DUMMYFUNCTION("""COMPUTED_VALUE"""),2.025070573E9)</f>
        <v>2025070573</v>
      </c>
      <c r="D258" s="28" t="str">
        <f>IFERROR(__xludf.DUMMYFUNCTION("""COMPUTED_VALUE"""),"AKHMAD SAIKHU")</f>
        <v>AKHMAD SAIKHU</v>
      </c>
      <c r="E258" s="28" t="str">
        <f>IFERROR(__xludf.DUMMYFUNCTION("""COMPUTED_VALUE"""),"MUALIMAH")</f>
        <v>MUALIMAH</v>
      </c>
      <c r="F258" s="28" t="str">
        <f>IFERROR(__xludf.DUMMYFUNCTION("""COMPUTED_VALUE"""),"BONTEN BRUMBUN RT 003 RW 003 MADURAN LAMONGAN")</f>
        <v>BONTEN BRUMBUN RT 003 RW 003 MADURAN LAMONGAN</v>
      </c>
      <c r="G258" s="28" t="str">
        <f>IFERROR(__xludf.DUMMYFUNCTION("""COMPUTED_VALUE"""),"MTS-8 A")</f>
        <v>MTS-8 A</v>
      </c>
      <c r="H258" s="28" t="str">
        <f>IFERROR(__xludf.DUMMYFUNCTION("""COMPUTED_VALUE"""),"C")</f>
        <v>C</v>
      </c>
      <c r="I258" s="28" t="str">
        <f>IFERROR(__xludf.DUMMYFUNCTION("""COMPUTED_VALUE"""),"C-6")</f>
        <v>C-6</v>
      </c>
      <c r="J258" s="28">
        <f>IFERROR(__xludf.DUMMYFUNCTION("""COMPUTED_VALUE"""),2.0)</f>
        <v>2</v>
      </c>
      <c r="K258" s="28" t="str">
        <f>IFERROR(__xludf.DUMMYFUNCTION("""COMPUTED_VALUE"""),"2 ULA A PUTRI")</f>
        <v>2 ULA A PUTRI</v>
      </c>
      <c r="L258" s="29" t="str">
        <f>IFERROR(__xludf.DUMMYFUNCTION("""COMPUTED_VALUE"""),"6285258943334")</f>
        <v>6285258943334</v>
      </c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2">
        <f>IFERROR(__xludf.DUMMYFUNCTION("""COMPUTED_VALUE"""),0.0)</f>
        <v>0</v>
      </c>
      <c r="BD258" s="22">
        <f>IFERROR(__xludf.DUMMYFUNCTION("""COMPUTED_VALUE"""),0.0)</f>
        <v>0</v>
      </c>
      <c r="BE258" s="22">
        <f>IFERROR(__xludf.DUMMYFUNCTION("""COMPUTED_VALUE"""),0.0)</f>
        <v>0</v>
      </c>
      <c r="BF258" s="22">
        <f>IFERROR(__xludf.DUMMYFUNCTION("""COMPUTED_VALUE"""),0.0)</f>
        <v>0</v>
      </c>
    </row>
    <row r="259">
      <c r="A259" s="27">
        <f>IFERROR(__xludf.DUMMYFUNCTION("""COMPUTED_VALUE"""),258.0)</f>
        <v>258</v>
      </c>
      <c r="B259" s="28" t="str">
        <f>IFERROR(__xludf.DUMMYFUNCTION("""COMPUTED_VALUE"""),"ZAKIYATUL MAULIDIYAH")</f>
        <v>ZAKIYATUL MAULIDIYAH</v>
      </c>
      <c r="C259" s="28">
        <f>IFERROR(__xludf.DUMMYFUNCTION("""COMPUTED_VALUE"""),2.025070147E9)</f>
        <v>2025070147</v>
      </c>
      <c r="D259" s="28" t="str">
        <f>IFERROR(__xludf.DUMMYFUNCTION("""COMPUTED_VALUE"""),"SUPRO")</f>
        <v>SUPRO</v>
      </c>
      <c r="E259" s="28" t="str">
        <f>IFERROR(__xludf.DUMMYFUNCTION("""COMPUTED_VALUE"""),"SUBAIKAH")</f>
        <v>SUBAIKAH</v>
      </c>
      <c r="F259" s="28" t="str">
        <f>IFERROR(__xludf.DUMMYFUNCTION("""COMPUTED_VALUE"""),"BESUR RT 004 RW 002 SEKARAN LAMONGAN")</f>
        <v>BESUR RT 004 RW 002 SEKARAN LAMONGAN</v>
      </c>
      <c r="G259" s="28" t="str">
        <f>IFERROR(__xludf.DUMMYFUNCTION("""COMPUTED_VALUE"""),"MA-XI.4")</f>
        <v>MA-XI.4</v>
      </c>
      <c r="H259" s="28" t="str">
        <f>IFERROR(__xludf.DUMMYFUNCTION("""COMPUTED_VALUE"""),"C")</f>
        <v>C</v>
      </c>
      <c r="I259" s="28" t="str">
        <f>IFERROR(__xludf.DUMMYFUNCTION("""COMPUTED_VALUE"""),"C-10")</f>
        <v>C-10</v>
      </c>
      <c r="J259" s="28">
        <f>IFERROR(__xludf.DUMMYFUNCTION("""COMPUTED_VALUE"""),2.0)</f>
        <v>2</v>
      </c>
      <c r="K259" s="28" t="str">
        <f>IFERROR(__xludf.DUMMYFUNCTION("""COMPUTED_VALUE"""),"WUSTHO")</f>
        <v>WUSTHO</v>
      </c>
      <c r="L259" s="29" t="str">
        <f>IFERROR(__xludf.DUMMYFUNCTION("""COMPUTED_VALUE"""),"6283121371276")</f>
        <v>6283121371276</v>
      </c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2">
        <f>IFERROR(__xludf.DUMMYFUNCTION("""COMPUTED_VALUE"""),500000.0)</f>
        <v>500000</v>
      </c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2">
        <f>IFERROR(__xludf.DUMMYFUNCTION("""COMPUTED_VALUE"""),500000.0)</f>
        <v>500000</v>
      </c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2">
        <f>IFERROR(__xludf.DUMMYFUNCTION("""COMPUTED_VALUE"""),0.0)</f>
        <v>0</v>
      </c>
      <c r="BD259" s="22">
        <f>IFERROR(__xludf.DUMMYFUNCTION("""COMPUTED_VALUE"""),1000000.0)</f>
        <v>1000000</v>
      </c>
      <c r="BE259" s="22">
        <f>IFERROR(__xludf.DUMMYFUNCTION("""COMPUTED_VALUE"""),0.0)</f>
        <v>0</v>
      </c>
      <c r="BF259" s="22">
        <f>IFERROR(__xludf.DUMMYFUNCTION("""COMPUTED_VALUE"""),1000000.0)</f>
        <v>1000000</v>
      </c>
    </row>
    <row r="260">
      <c r="A260" s="27">
        <f>IFERROR(__xludf.DUMMYFUNCTION("""COMPUTED_VALUE"""),259.0)</f>
        <v>259</v>
      </c>
      <c r="B260" s="28" t="str">
        <f>IFERROR(__xludf.DUMMYFUNCTION("""COMPUTED_VALUE"""),"ZANNUBA ARIFAH HAFSHO")</f>
        <v>ZANNUBA ARIFAH HAFSHO</v>
      </c>
      <c r="C260" s="28">
        <f>IFERROR(__xludf.DUMMYFUNCTION("""COMPUTED_VALUE"""),2.025070208E9)</f>
        <v>2025070208</v>
      </c>
      <c r="D260" s="28" t="str">
        <f>IFERROR(__xludf.DUMMYFUNCTION("""COMPUTED_VALUE"""),"M SUWARNO")</f>
        <v>M SUWARNO</v>
      </c>
      <c r="E260" s="28" t="str">
        <f>IFERROR(__xludf.DUMMYFUNCTION("""COMPUTED_VALUE"""),"MUSTIKA SARI")</f>
        <v>MUSTIKA SARI</v>
      </c>
      <c r="F260" s="28" t="str">
        <f>IFERROR(__xludf.DUMMYFUNCTION("""COMPUTED_VALUE"""),"KARANGASEM KARANGSAMBIGALIH RT 003 RW 004 SUGIO LAMONGAN")</f>
        <v>KARANGASEM KARANGSAMBIGALIH RT 003 RW 004 SUGIO LAMONGAN</v>
      </c>
      <c r="G260" s="28" t="str">
        <f>IFERROR(__xludf.DUMMYFUNCTION("""COMPUTED_VALUE"""),"MA-XI.12")</f>
        <v>MA-XI.12</v>
      </c>
      <c r="H260" s="28" t="str">
        <f>IFERROR(__xludf.DUMMYFUNCTION("""COMPUTED_VALUE"""),"C")</f>
        <v>C</v>
      </c>
      <c r="I260" s="28" t="str">
        <f>IFERROR(__xludf.DUMMYFUNCTION("""COMPUTED_VALUE"""),"C-6")</f>
        <v>C-6</v>
      </c>
      <c r="J260" s="28">
        <f>IFERROR(__xludf.DUMMYFUNCTION("""COMPUTED_VALUE"""),2.0)</f>
        <v>2</v>
      </c>
      <c r="K260" s="28" t="str">
        <f>IFERROR(__xludf.DUMMYFUNCTION("""COMPUTED_VALUE"""),"2 WUSTHO A PUTRI")</f>
        <v>2 WUSTHO A PUTRI</v>
      </c>
      <c r="L260" s="29" t="str">
        <f>IFERROR(__xludf.DUMMYFUNCTION("""COMPUTED_VALUE"""),"6281231204455")</f>
        <v>6281231204455</v>
      </c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2">
        <f>IFERROR(__xludf.DUMMYFUNCTION("""COMPUTED_VALUE"""),0.0)</f>
        <v>0</v>
      </c>
      <c r="BD260" s="22">
        <f>IFERROR(__xludf.DUMMYFUNCTION("""COMPUTED_VALUE"""),0.0)</f>
        <v>0</v>
      </c>
      <c r="BE260" s="22">
        <f>IFERROR(__xludf.DUMMYFUNCTION("""COMPUTED_VALUE"""),0.0)</f>
        <v>0</v>
      </c>
      <c r="BF260" s="22">
        <f>IFERROR(__xludf.DUMMYFUNCTION("""COMPUTED_VALUE"""),0.0)</f>
        <v>0</v>
      </c>
    </row>
    <row r="261">
      <c r="A261" s="27">
        <f>IFERROR(__xludf.DUMMYFUNCTION("""COMPUTED_VALUE"""),260.0)</f>
        <v>260</v>
      </c>
      <c r="B261" s="28" t="str">
        <f>IFERROR(__xludf.DUMMYFUNCTION("""COMPUTED_VALUE"""),"ZANNUBA ARIFFAH CHOFSOH")</f>
        <v>ZANNUBA ARIFFAH CHOFSOH</v>
      </c>
      <c r="C261" s="28">
        <f>IFERROR(__xludf.DUMMYFUNCTION("""COMPUTED_VALUE"""),2.02502041E9)</f>
        <v>2025020410</v>
      </c>
      <c r="D261" s="28" t="str">
        <f>IFERROR(__xludf.DUMMYFUNCTION("""COMPUTED_VALUE"""),"MOHAMMAD ZAENI")</f>
        <v>MOHAMMAD ZAENI</v>
      </c>
      <c r="E261" s="28" t="str">
        <f>IFERROR(__xludf.DUMMYFUNCTION("""COMPUTED_VALUE"""),"CHOIRUL AMALIYAH")</f>
        <v>CHOIRUL AMALIYAH</v>
      </c>
      <c r="F261" s="28" t="str">
        <f>IFERROR(__xludf.DUMMYFUNCTION("""COMPUTED_VALUE"""),"BANTENGPUTIH RT 002 RW 002 KARANGGENENG LAMONGAN")</f>
        <v>BANTENGPUTIH RT 002 RW 002 KARANGGENENG LAMONGAN</v>
      </c>
      <c r="G261" s="28" t="str">
        <f>IFERROR(__xludf.DUMMYFUNCTION("""COMPUTED_VALUE"""),"MA-XI.1")</f>
        <v>MA-XI.1</v>
      </c>
      <c r="H261" s="28" t="str">
        <f>IFERROR(__xludf.DUMMYFUNCTION("""COMPUTED_VALUE"""),"C")</f>
        <v>C</v>
      </c>
      <c r="I261" s="28" t="str">
        <f>IFERROR(__xludf.DUMMYFUNCTION("""COMPUTED_VALUE"""),"C-6")</f>
        <v>C-6</v>
      </c>
      <c r="J261" s="28">
        <f>IFERROR(__xludf.DUMMYFUNCTION("""COMPUTED_VALUE"""),2.0)</f>
        <v>2</v>
      </c>
      <c r="K261" s="28" t="str">
        <f>IFERROR(__xludf.DUMMYFUNCTION("""COMPUTED_VALUE"""),"TAHFIDZ")</f>
        <v>TAHFIDZ</v>
      </c>
      <c r="L261" s="29" t="str">
        <f>IFERROR(__xludf.DUMMYFUNCTION("""COMPUTED_VALUE"""),"6282142912003")</f>
        <v>6282142912003</v>
      </c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2">
        <f>IFERROR(__xludf.DUMMYFUNCTION("""COMPUTED_VALUE"""),0.0)</f>
        <v>0</v>
      </c>
      <c r="BD261" s="22">
        <f>IFERROR(__xludf.DUMMYFUNCTION("""COMPUTED_VALUE"""),0.0)</f>
        <v>0</v>
      </c>
      <c r="BE261" s="22">
        <f>IFERROR(__xludf.DUMMYFUNCTION("""COMPUTED_VALUE"""),0.0)</f>
        <v>0</v>
      </c>
      <c r="BF261" s="22">
        <f>IFERROR(__xludf.DUMMYFUNCTION("""COMPUTED_VALUE"""),0.0)</f>
        <v>0</v>
      </c>
    </row>
    <row r="262">
      <c r="A262" s="27">
        <f>IFERROR(__xludf.DUMMYFUNCTION("""COMPUTED_VALUE"""),261.0)</f>
        <v>261</v>
      </c>
      <c r="B262" s="28" t="str">
        <f>IFERROR(__xludf.DUMMYFUNCTION("""COMPUTED_VALUE"""),"ZETTY FITRIANI AFIDAH")</f>
        <v>ZETTY FITRIANI AFIDAH</v>
      </c>
      <c r="C262" s="28">
        <f>IFERROR(__xludf.DUMMYFUNCTION("""COMPUTED_VALUE"""),2.025070508E9)</f>
        <v>2025070508</v>
      </c>
      <c r="D262" s="28" t="str">
        <f>IFERROR(__xludf.DUMMYFUNCTION("""COMPUTED_VALUE"""),"SUMARJI")</f>
        <v>SUMARJI</v>
      </c>
      <c r="E262" s="28" t="str">
        <f>IFERROR(__xludf.DUMMYFUNCTION("""COMPUTED_VALUE"""),"MUJAYANAH")</f>
        <v>MUJAYANAH</v>
      </c>
      <c r="F262" s="28" t="str">
        <f>IFERROR(__xludf.DUMMYFUNCTION("""COMPUTED_VALUE"""),"KEBALANPELANG RT 002 RW 003 BABAT LAMONGAN")</f>
        <v>KEBALANPELANG RT 002 RW 003 BABAT LAMONGAN</v>
      </c>
      <c r="G262" s="28" t="str">
        <f>IFERROR(__xludf.DUMMYFUNCTION("""COMPUTED_VALUE"""),"MTS-8 C")</f>
        <v>MTS-8 C</v>
      </c>
      <c r="H262" s="28" t="str">
        <f>IFERROR(__xludf.DUMMYFUNCTION("""COMPUTED_VALUE"""),"C")</f>
        <v>C</v>
      </c>
      <c r="I262" s="28" t="str">
        <f>IFERROR(__xludf.DUMMYFUNCTION("""COMPUTED_VALUE"""),"C-5")</f>
        <v>C-5</v>
      </c>
      <c r="J262" s="28">
        <f>IFERROR(__xludf.DUMMYFUNCTION("""COMPUTED_VALUE"""),2.0)</f>
        <v>2</v>
      </c>
      <c r="K262" s="28" t="str">
        <f>IFERROR(__xludf.DUMMYFUNCTION("""COMPUTED_VALUE"""),"2 ULA A PUTRI")</f>
        <v>2 ULA A PUTRI</v>
      </c>
      <c r="L262" s="29" t="str">
        <f>IFERROR(__xludf.DUMMYFUNCTION("""COMPUTED_VALUE"""),"6285739223308")</f>
        <v>6285739223308</v>
      </c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2">
        <f>IFERROR(__xludf.DUMMYFUNCTION("""COMPUTED_VALUE"""),450000.0)</f>
        <v>450000</v>
      </c>
      <c r="Z262" s="22">
        <f>IFERROR(__xludf.DUMMYFUNCTION("""COMPUTED_VALUE"""),450000.0)</f>
        <v>450000</v>
      </c>
      <c r="AA262" s="28"/>
      <c r="AB262" s="22">
        <f>IFERROR(__xludf.DUMMYFUNCTION("""COMPUTED_VALUE"""),500000.0)</f>
        <v>500000</v>
      </c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2">
        <f>IFERROR(__xludf.DUMMYFUNCTION("""COMPUTED_VALUE"""),500000.0)</f>
        <v>500000</v>
      </c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2">
        <f>IFERROR(__xludf.DUMMYFUNCTION("""COMPUTED_VALUE"""),900000.0)</f>
        <v>900000</v>
      </c>
      <c r="BD262" s="22">
        <f>IFERROR(__xludf.DUMMYFUNCTION("""COMPUTED_VALUE"""),1000000.0)</f>
        <v>1000000</v>
      </c>
      <c r="BE262" s="22">
        <f>IFERROR(__xludf.DUMMYFUNCTION("""COMPUTED_VALUE"""),0.0)</f>
        <v>0</v>
      </c>
      <c r="BF262" s="22">
        <f>IFERROR(__xludf.DUMMYFUNCTION("""COMPUTED_VALUE"""),1900000.0)</f>
        <v>1900000</v>
      </c>
    </row>
    <row r="263">
      <c r="A263" s="27">
        <f>IFERROR(__xludf.DUMMYFUNCTION("""COMPUTED_VALUE"""),262.0)</f>
        <v>262</v>
      </c>
      <c r="B263" s="28" t="str">
        <f>IFERROR(__xludf.DUMMYFUNCTION("""COMPUTED_VALUE"""),"ZULIANA HIDAYATUZZAHRAH")</f>
        <v>ZULIANA HIDAYATUZZAHRAH</v>
      </c>
      <c r="C263" s="28">
        <f>IFERROR(__xludf.DUMMYFUNCTION("""COMPUTED_VALUE"""),2.025070287E9)</f>
        <v>2025070287</v>
      </c>
      <c r="D263" s="28" t="str">
        <f>IFERROR(__xludf.DUMMYFUNCTION("""COMPUTED_VALUE"""),"SAMPURNO")</f>
        <v>SAMPURNO</v>
      </c>
      <c r="E263" s="28" t="str">
        <f>IFERROR(__xludf.DUMMYFUNCTION("""COMPUTED_VALUE"""),"SUKARTI")</f>
        <v>SUKARTI</v>
      </c>
      <c r="F263" s="28" t="str">
        <f>IFERROR(__xludf.DUMMYFUNCTION("""COMPUTED_VALUE"""),"KARYA BINANGUN MADURAN RT 001 RW 002 MADURAN LAMONGAN")</f>
        <v>KARYA BINANGUN MADURAN RT 001 RW 002 MADURAN LAMONGAN</v>
      </c>
      <c r="G263" s="28" t="str">
        <f>IFERROR(__xludf.DUMMYFUNCTION("""COMPUTED_VALUE"""),"MA-XI.1")</f>
        <v>MA-XI.1</v>
      </c>
      <c r="H263" s="28" t="str">
        <f>IFERROR(__xludf.DUMMYFUNCTION("""COMPUTED_VALUE"""),"C")</f>
        <v>C</v>
      </c>
      <c r="I263" s="28" t="str">
        <f>IFERROR(__xludf.DUMMYFUNCTION("""COMPUTED_VALUE"""),"C-6")</f>
        <v>C-6</v>
      </c>
      <c r="J263" s="28">
        <f>IFERROR(__xludf.DUMMYFUNCTION("""COMPUTED_VALUE"""),2.0)</f>
        <v>2</v>
      </c>
      <c r="K263" s="28" t="str">
        <f>IFERROR(__xludf.DUMMYFUNCTION("""COMPUTED_VALUE"""),"TAHFIDZ")</f>
        <v>TAHFIDZ</v>
      </c>
      <c r="L263" s="29" t="str">
        <f>IFERROR(__xludf.DUMMYFUNCTION("""COMPUTED_VALUE"""),"6285714806167")</f>
        <v>6285714806167</v>
      </c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2">
        <f>IFERROR(__xludf.DUMMYFUNCTION("""COMPUTED_VALUE"""),450000.0)</f>
        <v>450000</v>
      </c>
      <c r="AA263" s="28"/>
      <c r="AB263" s="22">
        <f>IFERROR(__xludf.DUMMYFUNCTION("""COMPUTED_VALUE"""),500000.0)</f>
        <v>500000</v>
      </c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2">
        <f>IFERROR(__xludf.DUMMYFUNCTION("""COMPUTED_VALUE"""),500000.0)</f>
        <v>500000</v>
      </c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2">
        <f>IFERROR(__xludf.DUMMYFUNCTION("""COMPUTED_VALUE"""),450000.0)</f>
        <v>450000</v>
      </c>
      <c r="BD263" s="22">
        <f>IFERROR(__xludf.DUMMYFUNCTION("""COMPUTED_VALUE"""),1000000.0)</f>
        <v>1000000</v>
      </c>
      <c r="BE263" s="22">
        <f>IFERROR(__xludf.DUMMYFUNCTION("""COMPUTED_VALUE"""),0.0)</f>
        <v>0</v>
      </c>
      <c r="BF263" s="22">
        <f>IFERROR(__xludf.DUMMYFUNCTION("""COMPUTED_VALUE"""),1450000.0)</f>
        <v>1450000</v>
      </c>
    </row>
    <row r="264">
      <c r="A264" s="27">
        <f>IFERROR(__xludf.DUMMYFUNCTION("""COMPUTED_VALUE"""),263.0)</f>
        <v>263</v>
      </c>
      <c r="B264" s="28" t="str">
        <f>IFERROR(__xludf.DUMMYFUNCTION("""COMPUTED_VALUE"""),"ZUYIN NISA AL IZZATI")</f>
        <v>ZUYIN NISA AL IZZATI</v>
      </c>
      <c r="C264" s="28">
        <f>IFERROR(__xludf.DUMMYFUNCTION("""COMPUTED_VALUE"""),2.025070259E9)</f>
        <v>2025070259</v>
      </c>
      <c r="D264" s="28" t="str">
        <f>IFERROR(__xludf.DUMMYFUNCTION("""COMPUTED_VALUE"""),"SISWANDI")</f>
        <v>SISWANDI</v>
      </c>
      <c r="E264" s="28" t="str">
        <f>IFERROR(__xludf.DUMMYFUNCTION("""COMPUTED_VALUE"""),"NINIK ANISA")</f>
        <v>NINIK ANISA</v>
      </c>
      <c r="F264" s="28" t="str">
        <f>IFERROR(__xludf.DUMMYFUNCTION("""COMPUTED_VALUE"""),"KOMPLEKS APO CAMAT BHAYANGKARA RT 005 RW 004 JAYAPURA UTARA JAYAPURA")</f>
        <v>KOMPLEKS APO CAMAT BHAYANGKARA RT 005 RW 004 JAYAPURA UTARA JAYAPURA</v>
      </c>
      <c r="G264" s="28" t="str">
        <f>IFERROR(__xludf.DUMMYFUNCTION("""COMPUTED_VALUE"""),"MA-XI.12")</f>
        <v>MA-XI.12</v>
      </c>
      <c r="H264" s="28" t="str">
        <f>IFERROR(__xludf.DUMMYFUNCTION("""COMPUTED_VALUE"""),"C")</f>
        <v>C</v>
      </c>
      <c r="I264" s="28" t="str">
        <f>IFERROR(__xludf.DUMMYFUNCTION("""COMPUTED_VALUE"""),"C-10")</f>
        <v>C-10</v>
      </c>
      <c r="J264" s="28">
        <f>IFERROR(__xludf.DUMMYFUNCTION("""COMPUTED_VALUE"""),2.0)</f>
        <v>2</v>
      </c>
      <c r="K264" s="28" t="str">
        <f>IFERROR(__xludf.DUMMYFUNCTION("""COMPUTED_VALUE"""),"2 WUSTHO C PUTRI")</f>
        <v>2 WUSTHO C PUTRI</v>
      </c>
      <c r="L264" s="29" t="str">
        <f>IFERROR(__xludf.DUMMYFUNCTION("""COMPUTED_VALUE"""),"6281252554677")</f>
        <v>6281252554677</v>
      </c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2">
        <f>IFERROR(__xludf.DUMMYFUNCTION("""COMPUTED_VALUE"""),500000.0)</f>
        <v>500000</v>
      </c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2">
        <f>IFERROR(__xludf.DUMMYFUNCTION("""COMPUTED_VALUE"""),500000.0)</f>
        <v>500000</v>
      </c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2">
        <f>IFERROR(__xludf.DUMMYFUNCTION("""COMPUTED_VALUE"""),0.0)</f>
        <v>0</v>
      </c>
      <c r="BD264" s="22">
        <f>IFERROR(__xludf.DUMMYFUNCTION("""COMPUTED_VALUE"""),1000000.0)</f>
        <v>1000000</v>
      </c>
      <c r="BE264" s="22">
        <f>IFERROR(__xludf.DUMMYFUNCTION("""COMPUTED_VALUE"""),0.0)</f>
        <v>0</v>
      </c>
      <c r="BF264" s="22">
        <f>IFERROR(__xludf.DUMMYFUNCTION("""COMPUTED_VALUE"""),1000000.0)</f>
        <v>1000000</v>
      </c>
    </row>
    <row r="265">
      <c r="A265" s="27">
        <f>IFERROR(__xludf.DUMMYFUNCTION("""COMPUTED_VALUE"""),264.0)</f>
        <v>264</v>
      </c>
      <c r="B265" s="28" t="str">
        <f>IFERROR(__xludf.DUMMYFUNCTION("""COMPUTED_VALUE"""),"ALLANA PUTRI CALYSTA")</f>
        <v>ALLANA PUTRI CALYSTA</v>
      </c>
      <c r="C265" s="28">
        <f>IFERROR(__xludf.DUMMYFUNCTION("""COMPUTED_VALUE"""),2.025070395E9)</f>
        <v>2025070395</v>
      </c>
      <c r="D265" s="28" t="str">
        <f>IFERROR(__xludf.DUMMYFUNCTION("""COMPUTED_VALUE"""),"NAIMIN HARIANTO")</f>
        <v>NAIMIN HARIANTO</v>
      </c>
      <c r="E265" s="28" t="str">
        <f>IFERROR(__xludf.DUMMYFUNCTION("""COMPUTED_VALUE"""),"MARATUS SHOLIHAH")</f>
        <v>MARATUS SHOLIHAH</v>
      </c>
      <c r="F265" s="28" t="str">
        <f>IFERROR(__xludf.DUMMYFUNCTION("""COMPUTED_VALUE"""),"KARTINI RT 002 RW 004 SOLOKURO LAMONGAN")</f>
        <v>KARTINI RT 002 RW 004 SOLOKURO LAMONGAN</v>
      </c>
      <c r="G265" s="28" t="str">
        <f>IFERROR(__xludf.DUMMYFUNCTION("""COMPUTED_VALUE"""),"MA-XI.4")</f>
        <v>MA-XI.4</v>
      </c>
      <c r="H265" s="28" t="str">
        <f>IFERROR(__xludf.DUMMYFUNCTION("""COMPUTED_VALUE"""),"D")</f>
        <v>D</v>
      </c>
      <c r="I265" s="28" t="str">
        <f>IFERROR(__xludf.DUMMYFUNCTION("""COMPUTED_VALUE"""),"D-7")</f>
        <v>D-7</v>
      </c>
      <c r="J265" s="28">
        <f>IFERROR(__xludf.DUMMYFUNCTION("""COMPUTED_VALUE"""),2.0)</f>
        <v>2</v>
      </c>
      <c r="K265" s="28" t="str">
        <f>IFERROR(__xludf.DUMMYFUNCTION("""COMPUTED_VALUE"""),"2 WUSTHO D PUTRI")</f>
        <v>2 WUSTHO D PUTRI</v>
      </c>
      <c r="L265" s="29" t="str">
        <f>IFERROR(__xludf.DUMMYFUNCTION("""COMPUTED_VALUE"""),"6281230760242")</f>
        <v>6281230760242</v>
      </c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2">
        <f>IFERROR(__xludf.DUMMYFUNCTION("""COMPUTED_VALUE"""),0.0)</f>
        <v>0</v>
      </c>
      <c r="BD265" s="22">
        <f>IFERROR(__xludf.DUMMYFUNCTION("""COMPUTED_VALUE"""),0.0)</f>
        <v>0</v>
      </c>
      <c r="BE265" s="22">
        <f>IFERROR(__xludf.DUMMYFUNCTION("""COMPUTED_VALUE"""),0.0)</f>
        <v>0</v>
      </c>
      <c r="BF265" s="22">
        <f>IFERROR(__xludf.DUMMYFUNCTION("""COMPUTED_VALUE"""),0.0)</f>
        <v>0</v>
      </c>
    </row>
    <row r="266">
      <c r="A266" s="27">
        <f>IFERROR(__xludf.DUMMYFUNCTION("""COMPUTED_VALUE"""),265.0)</f>
        <v>265</v>
      </c>
      <c r="B266" s="28" t="str">
        <f>IFERROR(__xludf.DUMMYFUNCTION("""COMPUTED_VALUE"""),"ALYA KHAIRANI MAHFUDZ")</f>
        <v>ALYA KHAIRANI MAHFUDZ</v>
      </c>
      <c r="C266" s="28">
        <f>IFERROR(__xludf.DUMMYFUNCTION("""COMPUTED_VALUE"""),2.02507063E9)</f>
        <v>2025070630</v>
      </c>
      <c r="D266" s="28" t="str">
        <f>IFERROR(__xludf.DUMMYFUNCTION("""COMPUTED_VALUE"""),"MUKIYANTO")</f>
        <v>MUKIYANTO</v>
      </c>
      <c r="E266" s="28" t="str">
        <f>IFERROR(__xludf.DUMMYFUNCTION("""COMPUTED_VALUE"""),"RIF`ATUL AZIZAH")</f>
        <v>RIF`ATUL AZIZAH</v>
      </c>
      <c r="F266" s="28" t="str">
        <f>IFERROR(__xludf.DUMMYFUNCTION("""COMPUTED_VALUE"""),"SUNGELEBAK RT 007 RW 002 KARANGGENENG LAMONGAN")</f>
        <v>SUNGELEBAK RT 007 RW 002 KARANGGENENG LAMONGAN</v>
      </c>
      <c r="G266" s="28" t="str">
        <f>IFERROR(__xludf.DUMMYFUNCTION("""COMPUTED_VALUE"""),"MTS-8 C")</f>
        <v>MTS-8 C</v>
      </c>
      <c r="H266" s="28" t="str">
        <f>IFERROR(__xludf.DUMMYFUNCTION("""COMPUTED_VALUE"""),"D")</f>
        <v>D</v>
      </c>
      <c r="I266" s="28" t="str">
        <f>IFERROR(__xludf.DUMMYFUNCTION("""COMPUTED_VALUE"""),"D-2")</f>
        <v>D-2</v>
      </c>
      <c r="J266" s="28">
        <f>IFERROR(__xludf.DUMMYFUNCTION("""COMPUTED_VALUE"""),2.0)</f>
        <v>2</v>
      </c>
      <c r="K266" s="28" t="str">
        <f>IFERROR(__xludf.DUMMYFUNCTION("""COMPUTED_VALUE"""),"2 ULA B PUTRI")</f>
        <v>2 ULA B PUTRI</v>
      </c>
      <c r="L266" s="29" t="str">
        <f>IFERROR(__xludf.DUMMYFUNCTION("""COMPUTED_VALUE"""),"6281331482101")</f>
        <v>6281331482101</v>
      </c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2">
        <f>IFERROR(__xludf.DUMMYFUNCTION("""COMPUTED_VALUE"""),500000.0)</f>
        <v>500000</v>
      </c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2">
        <f>IFERROR(__xludf.DUMMYFUNCTION("""COMPUTED_VALUE"""),500000.0)</f>
        <v>500000</v>
      </c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2">
        <f>IFERROR(__xludf.DUMMYFUNCTION("""COMPUTED_VALUE"""),0.0)</f>
        <v>0</v>
      </c>
      <c r="BD266" s="22">
        <f>IFERROR(__xludf.DUMMYFUNCTION("""COMPUTED_VALUE"""),1000000.0)</f>
        <v>1000000</v>
      </c>
      <c r="BE266" s="22">
        <f>IFERROR(__xludf.DUMMYFUNCTION("""COMPUTED_VALUE"""),0.0)</f>
        <v>0</v>
      </c>
      <c r="BF266" s="22">
        <f>IFERROR(__xludf.DUMMYFUNCTION("""COMPUTED_VALUE"""),1000000.0)</f>
        <v>1000000</v>
      </c>
    </row>
    <row r="267">
      <c r="A267" s="27">
        <f>IFERROR(__xludf.DUMMYFUNCTION("""COMPUTED_VALUE"""),266.0)</f>
        <v>266</v>
      </c>
      <c r="B267" s="28" t="str">
        <f>IFERROR(__xludf.DUMMYFUNCTION("""COMPUTED_VALUE"""),"ARISTA WIDYA SALSABILA")</f>
        <v>ARISTA WIDYA SALSABILA</v>
      </c>
      <c r="C267" s="28">
        <f>IFERROR(__xludf.DUMMYFUNCTION("""COMPUTED_VALUE"""),2.025070324E9)</f>
        <v>2025070324</v>
      </c>
      <c r="D267" s="28" t="str">
        <f>IFERROR(__xludf.DUMMYFUNCTION("""COMPUTED_VALUE"""),"DJUMAIN")</f>
        <v>DJUMAIN</v>
      </c>
      <c r="E267" s="28" t="str">
        <f>IFERROR(__xludf.DUMMYFUNCTION("""COMPUTED_VALUE"""),"SITI ZAINAB")</f>
        <v>SITI ZAINAB</v>
      </c>
      <c r="F267" s="28" t="str">
        <f>IFERROR(__xludf.DUMMYFUNCTION("""COMPUTED_VALUE"""),"KARANGANOM KULON KARANGANOM RT 001 RW 001 KARANGBINANGUN LAMONGAN")</f>
        <v>KARANGANOM KULON KARANGANOM RT 001 RW 001 KARANGBINANGUN LAMONGAN</v>
      </c>
      <c r="G267" s="28" t="str">
        <f>IFERROR(__xludf.DUMMYFUNCTION("""COMPUTED_VALUE"""),"MA-XI.12")</f>
        <v>MA-XI.12</v>
      </c>
      <c r="H267" s="28" t="str">
        <f>IFERROR(__xludf.DUMMYFUNCTION("""COMPUTED_VALUE"""),"D")</f>
        <v>D</v>
      </c>
      <c r="I267" s="28" t="str">
        <f>IFERROR(__xludf.DUMMYFUNCTION("""COMPUTED_VALUE"""),"D-8")</f>
        <v>D-8</v>
      </c>
      <c r="J267" s="28">
        <f>IFERROR(__xludf.DUMMYFUNCTION("""COMPUTED_VALUE"""),2.0)</f>
        <v>2</v>
      </c>
      <c r="K267" s="28" t="str">
        <f>IFERROR(__xludf.DUMMYFUNCTION("""COMPUTED_VALUE"""),"2 WUSTHO D PUTRI")</f>
        <v>2 WUSTHO D PUTRI</v>
      </c>
      <c r="L267" s="29" t="str">
        <f>IFERROR(__xludf.DUMMYFUNCTION("""COMPUTED_VALUE"""),"6285707536170")</f>
        <v>6285707536170</v>
      </c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2">
        <f>IFERROR(__xludf.DUMMYFUNCTION("""COMPUTED_VALUE"""),500000.0)</f>
        <v>500000</v>
      </c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2">
        <f>IFERROR(__xludf.DUMMYFUNCTION("""COMPUTED_VALUE"""),500000.0)</f>
        <v>500000</v>
      </c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2">
        <f>IFERROR(__xludf.DUMMYFUNCTION("""COMPUTED_VALUE"""),0.0)</f>
        <v>0</v>
      </c>
      <c r="BD267" s="22">
        <f>IFERROR(__xludf.DUMMYFUNCTION("""COMPUTED_VALUE"""),1000000.0)</f>
        <v>1000000</v>
      </c>
      <c r="BE267" s="22">
        <f>IFERROR(__xludf.DUMMYFUNCTION("""COMPUTED_VALUE"""),0.0)</f>
        <v>0</v>
      </c>
      <c r="BF267" s="22">
        <f>IFERROR(__xludf.DUMMYFUNCTION("""COMPUTED_VALUE"""),1000000.0)</f>
        <v>1000000</v>
      </c>
    </row>
    <row r="268">
      <c r="A268" s="27">
        <f>IFERROR(__xludf.DUMMYFUNCTION("""COMPUTED_VALUE"""),267.0)</f>
        <v>267</v>
      </c>
      <c r="B268" s="28" t="str">
        <f>IFERROR(__xludf.DUMMYFUNCTION("""COMPUTED_VALUE"""),"AZKIYATUL MISKIYAH")</f>
        <v>AZKIYATUL MISKIYAH</v>
      </c>
      <c r="C268" s="28">
        <f>IFERROR(__xludf.DUMMYFUNCTION("""COMPUTED_VALUE"""),2.02507059E9)</f>
        <v>2025070590</v>
      </c>
      <c r="D268" s="28" t="str">
        <f>IFERROR(__xludf.DUMMYFUNCTION("""COMPUTED_VALUE"""),"AHMAD ARIFIN")</f>
        <v>AHMAD ARIFIN</v>
      </c>
      <c r="E268" s="28" t="str">
        <f>IFERROR(__xludf.DUMMYFUNCTION("""COMPUTED_VALUE"""),"MISDAROYAH")</f>
        <v>MISDAROYAH</v>
      </c>
      <c r="F268" s="28" t="str">
        <f>IFERROR(__xludf.DUMMYFUNCTION("""COMPUTED_VALUE"""),"GEGER RT 001 RW 003 TURI LAMONGAN")</f>
        <v>GEGER RT 001 RW 003 TURI LAMONGAN</v>
      </c>
      <c r="G268" s="28" t="str">
        <f>IFERROR(__xludf.DUMMYFUNCTION("""COMPUTED_VALUE"""),"MTS-8 A")</f>
        <v>MTS-8 A</v>
      </c>
      <c r="H268" s="28" t="str">
        <f>IFERROR(__xludf.DUMMYFUNCTION("""COMPUTED_VALUE"""),"D")</f>
        <v>D</v>
      </c>
      <c r="I268" s="28" t="str">
        <f>IFERROR(__xludf.DUMMYFUNCTION("""COMPUTED_VALUE"""),"D-2")</f>
        <v>D-2</v>
      </c>
      <c r="J268" s="28">
        <f>IFERROR(__xludf.DUMMYFUNCTION("""COMPUTED_VALUE"""),2.0)</f>
        <v>2</v>
      </c>
      <c r="K268" s="28" t="str">
        <f>IFERROR(__xludf.DUMMYFUNCTION("""COMPUTED_VALUE"""),"2 ULA C PUTRI")</f>
        <v>2 ULA C PUTRI</v>
      </c>
      <c r="L268" s="29" t="str">
        <f>IFERROR(__xludf.DUMMYFUNCTION("""COMPUTED_VALUE"""),"6285731466168")</f>
        <v>6285731466168</v>
      </c>
      <c r="M268" s="22">
        <f>IFERROR(__xludf.DUMMYFUNCTION("""COMPUTED_VALUE"""),600000.0)</f>
        <v>600000</v>
      </c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2">
        <f>IFERROR(__xludf.DUMMYFUNCTION("""COMPUTED_VALUE"""),500000.0)</f>
        <v>500000</v>
      </c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2">
        <f>IFERROR(__xludf.DUMMYFUNCTION("""COMPUTED_VALUE"""),500000.0)</f>
        <v>500000</v>
      </c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2">
        <f>IFERROR(__xludf.DUMMYFUNCTION("""COMPUTED_VALUE"""),0.0)</f>
        <v>0</v>
      </c>
      <c r="BD268" s="22">
        <f>IFERROR(__xludf.DUMMYFUNCTION("""COMPUTED_VALUE"""),1600000.0)</f>
        <v>1600000</v>
      </c>
      <c r="BE268" s="22">
        <f>IFERROR(__xludf.DUMMYFUNCTION("""COMPUTED_VALUE"""),0.0)</f>
        <v>0</v>
      </c>
      <c r="BF268" s="22">
        <f>IFERROR(__xludf.DUMMYFUNCTION("""COMPUTED_VALUE"""),1600000.0)</f>
        <v>1600000</v>
      </c>
    </row>
    <row r="269">
      <c r="A269" s="27">
        <f>IFERROR(__xludf.DUMMYFUNCTION("""COMPUTED_VALUE"""),268.0)</f>
        <v>268</v>
      </c>
      <c r="B269" s="28" t="str">
        <f>IFERROR(__xludf.DUMMYFUNCTION("""COMPUTED_VALUE"""),"DEWI AZKIYAH RIZQI ALFIAN ULYA")</f>
        <v>DEWI AZKIYAH RIZQI ALFIAN ULYA</v>
      </c>
      <c r="C269" s="28">
        <f>IFERROR(__xludf.DUMMYFUNCTION("""COMPUTED_VALUE"""),2.025070634E9)</f>
        <v>2025070634</v>
      </c>
      <c r="D269" s="28" t="str">
        <f>IFERROR(__xludf.DUMMYFUNCTION("""COMPUTED_VALUE"""),"AINUL YAKIN")</f>
        <v>AINUL YAKIN</v>
      </c>
      <c r="E269" s="28" t="str">
        <f>IFERROR(__xludf.DUMMYFUNCTION("""COMPUTED_VALUE"""),"ULIK MALIKATUS SOLIKAH")</f>
        <v>ULIK MALIKATUS SOLIKAH</v>
      </c>
      <c r="F269" s="28" t="str">
        <f>IFERROR(__xludf.DUMMYFUNCTION("""COMPUTED_VALUE"""),"SUNGELEBAK RT 016 RW 005 KARANGGENENG LAMONGAN")</f>
        <v>SUNGELEBAK RT 016 RW 005 KARANGGENENG LAMONGAN</v>
      </c>
      <c r="G269" s="28" t="str">
        <f>IFERROR(__xludf.DUMMYFUNCTION("""COMPUTED_VALUE"""),"MTS-8 A")</f>
        <v>MTS-8 A</v>
      </c>
      <c r="H269" s="28" t="str">
        <f>IFERROR(__xludf.DUMMYFUNCTION("""COMPUTED_VALUE"""),"D")</f>
        <v>D</v>
      </c>
      <c r="I269" s="28" t="str">
        <f>IFERROR(__xludf.DUMMYFUNCTION("""COMPUTED_VALUE"""),"D-2")</f>
        <v>D-2</v>
      </c>
      <c r="J269" s="28">
        <f>IFERROR(__xludf.DUMMYFUNCTION("""COMPUTED_VALUE"""),2.0)</f>
        <v>2</v>
      </c>
      <c r="K269" s="28" t="str">
        <f>IFERROR(__xludf.DUMMYFUNCTION("""COMPUTED_VALUE"""),"ULA")</f>
        <v>ULA</v>
      </c>
      <c r="L269" s="29" t="str">
        <f>IFERROR(__xludf.DUMMYFUNCTION("""COMPUTED_VALUE"""),"6281249883082")</f>
        <v>6281249883082</v>
      </c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2">
        <f>IFERROR(__xludf.DUMMYFUNCTION("""COMPUTED_VALUE"""),450000.0)</f>
        <v>450000</v>
      </c>
      <c r="Z269" s="22">
        <f>IFERROR(__xludf.DUMMYFUNCTION("""COMPUTED_VALUE"""),450000.0)</f>
        <v>450000</v>
      </c>
      <c r="AA269" s="28"/>
      <c r="AB269" s="22">
        <f>IFERROR(__xludf.DUMMYFUNCTION("""COMPUTED_VALUE"""),500000.0)</f>
        <v>500000</v>
      </c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2">
        <f>IFERROR(__xludf.DUMMYFUNCTION("""COMPUTED_VALUE"""),500000.0)</f>
        <v>500000</v>
      </c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2">
        <f>IFERROR(__xludf.DUMMYFUNCTION("""COMPUTED_VALUE"""),900000.0)</f>
        <v>900000</v>
      </c>
      <c r="BD269" s="22">
        <f>IFERROR(__xludf.DUMMYFUNCTION("""COMPUTED_VALUE"""),1000000.0)</f>
        <v>1000000</v>
      </c>
      <c r="BE269" s="22">
        <f>IFERROR(__xludf.DUMMYFUNCTION("""COMPUTED_VALUE"""),0.0)</f>
        <v>0</v>
      </c>
      <c r="BF269" s="22">
        <f>IFERROR(__xludf.DUMMYFUNCTION("""COMPUTED_VALUE"""),1900000.0)</f>
        <v>1900000</v>
      </c>
    </row>
    <row r="270">
      <c r="A270" s="27">
        <f>IFERROR(__xludf.DUMMYFUNCTION("""COMPUTED_VALUE"""),269.0)</f>
        <v>269</v>
      </c>
      <c r="B270" s="28" t="str">
        <f>IFERROR(__xludf.DUMMYFUNCTION("""COMPUTED_VALUE"""),"DZAKIRA TALITA ZAHRA")</f>
        <v>DZAKIRA TALITA ZAHRA</v>
      </c>
      <c r="C270" s="28">
        <f>IFERROR(__xludf.DUMMYFUNCTION("""COMPUTED_VALUE"""),2.0250705E9)</f>
        <v>2025070500</v>
      </c>
      <c r="D270" s="28" t="str">
        <f>IFERROR(__xludf.DUMMYFUNCTION("""COMPUTED_VALUE"""),"SUWANTO")</f>
        <v>SUWANTO</v>
      </c>
      <c r="E270" s="28" t="str">
        <f>IFERROR(__xludf.DUMMYFUNCTION("""COMPUTED_VALUE"""),"YAYUK")</f>
        <v>YAYUK</v>
      </c>
      <c r="F270" s="28" t="str">
        <f>IFERROR(__xludf.DUMMYFUNCTION("""COMPUTED_VALUE"""),"BALI PLUMPANG RT 002 RW 004 SUKODADI LAMONGAN")</f>
        <v>BALI PLUMPANG RT 002 RW 004 SUKODADI LAMONGAN</v>
      </c>
      <c r="G270" s="28" t="str">
        <f>IFERROR(__xludf.DUMMYFUNCTION("""COMPUTED_VALUE"""),"MTS-8 B")</f>
        <v>MTS-8 B</v>
      </c>
      <c r="H270" s="28" t="str">
        <f>IFERROR(__xludf.DUMMYFUNCTION("""COMPUTED_VALUE"""),"D")</f>
        <v>D</v>
      </c>
      <c r="I270" s="28" t="str">
        <f>IFERROR(__xludf.DUMMYFUNCTION("""COMPUTED_VALUE"""),"D-2")</f>
        <v>D-2</v>
      </c>
      <c r="J270" s="28">
        <f>IFERROR(__xludf.DUMMYFUNCTION("""COMPUTED_VALUE"""),2.0)</f>
        <v>2</v>
      </c>
      <c r="K270" s="28" t="str">
        <f>IFERROR(__xludf.DUMMYFUNCTION("""COMPUTED_VALUE"""),"2 ULA B PUTRI")</f>
        <v>2 ULA B PUTRI</v>
      </c>
      <c r="L270" s="29" t="str">
        <f>IFERROR(__xludf.DUMMYFUNCTION("""COMPUTED_VALUE"""),"6285706513453")</f>
        <v>6285706513453</v>
      </c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2">
        <f>IFERROR(__xludf.DUMMYFUNCTION("""COMPUTED_VALUE"""),500000.0)</f>
        <v>500000</v>
      </c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2">
        <f>IFERROR(__xludf.DUMMYFUNCTION("""COMPUTED_VALUE"""),500000.0)</f>
        <v>500000</v>
      </c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2">
        <f>IFERROR(__xludf.DUMMYFUNCTION("""COMPUTED_VALUE"""),0.0)</f>
        <v>0</v>
      </c>
      <c r="BD270" s="22">
        <f>IFERROR(__xludf.DUMMYFUNCTION("""COMPUTED_VALUE"""),1000000.0)</f>
        <v>1000000</v>
      </c>
      <c r="BE270" s="22">
        <f>IFERROR(__xludf.DUMMYFUNCTION("""COMPUTED_VALUE"""),0.0)</f>
        <v>0</v>
      </c>
      <c r="BF270" s="22">
        <f>IFERROR(__xludf.DUMMYFUNCTION("""COMPUTED_VALUE"""),1000000.0)</f>
        <v>1000000</v>
      </c>
    </row>
    <row r="271">
      <c r="A271" s="27">
        <f>IFERROR(__xludf.DUMMYFUNCTION("""COMPUTED_VALUE"""),270.0)</f>
        <v>270</v>
      </c>
      <c r="B271" s="28" t="str">
        <f>IFERROR(__xludf.DUMMYFUNCTION("""COMPUTED_VALUE"""),"ELSA MARSHA ANDITA")</f>
        <v>ELSA MARSHA ANDITA</v>
      </c>
      <c r="C271" s="28">
        <f>IFERROR(__xludf.DUMMYFUNCTION("""COMPUTED_VALUE"""),2.025070627E9)</f>
        <v>2025070627</v>
      </c>
      <c r="D271" s="28" t="str">
        <f>IFERROR(__xludf.DUMMYFUNCTION("""COMPUTED_VALUE"""),"SURATNO")</f>
        <v>SURATNO</v>
      </c>
      <c r="E271" s="28" t="str">
        <f>IFERROR(__xludf.DUMMYFUNCTION("""COMPUTED_VALUE"""),"PUTRI INDAH LESTARI")</f>
        <v>PUTRI INDAH LESTARI</v>
      </c>
      <c r="F271" s="28" t="str">
        <f>IFERROR(__xludf.DUMMYFUNCTION("""COMPUTED_VALUE"""),"PERUM NAJWA ASRI BLUNGKAN SENDANGREJO RT 007 RW 003 LAMONGAN LAMONGAN")</f>
        <v>PERUM NAJWA ASRI BLUNGKAN SENDANGREJO RT 007 RW 003 LAMONGAN LAMONGAN</v>
      </c>
      <c r="G271" s="28" t="str">
        <f>IFERROR(__xludf.DUMMYFUNCTION("""COMPUTED_VALUE"""),"MTS-8 G")</f>
        <v>MTS-8 G</v>
      </c>
      <c r="H271" s="28" t="str">
        <f>IFERROR(__xludf.DUMMYFUNCTION("""COMPUTED_VALUE"""),"D")</f>
        <v>D</v>
      </c>
      <c r="I271" s="28" t="str">
        <f>IFERROR(__xludf.DUMMYFUNCTION("""COMPUTED_VALUE"""),"D-2")</f>
        <v>D-2</v>
      </c>
      <c r="J271" s="28">
        <f>IFERROR(__xludf.DUMMYFUNCTION("""COMPUTED_VALUE"""),2.0)</f>
        <v>2</v>
      </c>
      <c r="K271" s="28" t="str">
        <f>IFERROR(__xludf.DUMMYFUNCTION("""COMPUTED_VALUE"""),"2 ULA C PUTRI")</f>
        <v>2 ULA C PUTRI</v>
      </c>
      <c r="L271" s="29" t="str">
        <f>IFERROR(__xludf.DUMMYFUNCTION("""COMPUTED_VALUE"""),"6285704642352")</f>
        <v>6285704642352</v>
      </c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2">
        <f>IFERROR(__xludf.DUMMYFUNCTION("""COMPUTED_VALUE"""),0.0)</f>
        <v>0</v>
      </c>
      <c r="BD271" s="22">
        <f>IFERROR(__xludf.DUMMYFUNCTION("""COMPUTED_VALUE"""),0.0)</f>
        <v>0</v>
      </c>
      <c r="BE271" s="22">
        <f>IFERROR(__xludf.DUMMYFUNCTION("""COMPUTED_VALUE"""),0.0)</f>
        <v>0</v>
      </c>
      <c r="BF271" s="22">
        <f>IFERROR(__xludf.DUMMYFUNCTION("""COMPUTED_VALUE"""),0.0)</f>
        <v>0</v>
      </c>
    </row>
    <row r="272">
      <c r="A272" s="27">
        <f>IFERROR(__xludf.DUMMYFUNCTION("""COMPUTED_VALUE"""),271.0)</f>
        <v>271</v>
      </c>
      <c r="B272" s="28" t="str">
        <f>IFERROR(__xludf.DUMMYFUNCTION("""COMPUTED_VALUE"""),"FARAH ADIBAH")</f>
        <v>FARAH ADIBAH</v>
      </c>
      <c r="C272" s="28">
        <f>IFERROR(__xludf.DUMMYFUNCTION("""COMPUTED_VALUE"""),2.025070633E9)</f>
        <v>2025070633</v>
      </c>
      <c r="D272" s="28" t="str">
        <f>IFERROR(__xludf.DUMMYFUNCTION("""COMPUTED_VALUE"""),"AHMAD KHOLIQ")</f>
        <v>AHMAD KHOLIQ</v>
      </c>
      <c r="E272" s="28" t="str">
        <f>IFERROR(__xludf.DUMMYFUNCTION("""COMPUTED_VALUE"""),"FADILAH")</f>
        <v>FADILAH</v>
      </c>
      <c r="F272" s="28" t="str">
        <f>IFERROR(__xludf.DUMMYFUNCTION("""COMPUTED_VALUE"""),"SUNGELEBAK RT 015 RW 005 KARANGGENENG LAMONGAN")</f>
        <v>SUNGELEBAK RT 015 RW 005 KARANGGENENG LAMONGAN</v>
      </c>
      <c r="G272" s="28" t="str">
        <f>IFERROR(__xludf.DUMMYFUNCTION("""COMPUTED_VALUE"""),"MTS-8 D")</f>
        <v>MTS-8 D</v>
      </c>
      <c r="H272" s="28" t="str">
        <f>IFERROR(__xludf.DUMMYFUNCTION("""COMPUTED_VALUE"""),"D")</f>
        <v>D</v>
      </c>
      <c r="I272" s="28" t="str">
        <f>IFERROR(__xludf.DUMMYFUNCTION("""COMPUTED_VALUE"""),"D-2")</f>
        <v>D-2</v>
      </c>
      <c r="J272" s="28">
        <f>IFERROR(__xludf.DUMMYFUNCTION("""COMPUTED_VALUE"""),2.0)</f>
        <v>2</v>
      </c>
      <c r="K272" s="28" t="str">
        <f>IFERROR(__xludf.DUMMYFUNCTION("""COMPUTED_VALUE"""),"2 ULA C PUTRI")</f>
        <v>2 ULA C PUTRI</v>
      </c>
      <c r="L272" s="29" t="str">
        <f>IFERROR(__xludf.DUMMYFUNCTION("""COMPUTED_VALUE"""),"6282142187105")</f>
        <v>6282142187105</v>
      </c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2">
        <f>IFERROR(__xludf.DUMMYFUNCTION("""COMPUTED_VALUE"""),500000.0)</f>
        <v>500000</v>
      </c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2">
        <f>IFERROR(__xludf.DUMMYFUNCTION("""COMPUTED_VALUE"""),500000.0)</f>
        <v>500000</v>
      </c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2">
        <f>IFERROR(__xludf.DUMMYFUNCTION("""COMPUTED_VALUE"""),0.0)</f>
        <v>0</v>
      </c>
      <c r="BD272" s="22">
        <f>IFERROR(__xludf.DUMMYFUNCTION("""COMPUTED_VALUE"""),1000000.0)</f>
        <v>1000000</v>
      </c>
      <c r="BE272" s="22">
        <f>IFERROR(__xludf.DUMMYFUNCTION("""COMPUTED_VALUE"""),0.0)</f>
        <v>0</v>
      </c>
      <c r="BF272" s="22">
        <f>IFERROR(__xludf.DUMMYFUNCTION("""COMPUTED_VALUE"""),1000000.0)</f>
        <v>1000000</v>
      </c>
    </row>
    <row r="273">
      <c r="A273" s="27">
        <f>IFERROR(__xludf.DUMMYFUNCTION("""COMPUTED_VALUE"""),272.0)</f>
        <v>272</v>
      </c>
      <c r="B273" s="28" t="str">
        <f>IFERROR(__xludf.DUMMYFUNCTION("""COMPUTED_VALUE"""),"HALIMATUS SA`DIYYAH")</f>
        <v>HALIMATUS SA`DIYYAH</v>
      </c>
      <c r="C273" s="28">
        <f>IFERROR(__xludf.DUMMYFUNCTION("""COMPUTED_VALUE"""),2.025070335E9)</f>
        <v>2025070335</v>
      </c>
      <c r="D273" s="28" t="str">
        <f>IFERROR(__xludf.DUMMYFUNCTION("""COMPUTED_VALUE"""),"H. MUKHLISIN")</f>
        <v>H. MUKHLISIN</v>
      </c>
      <c r="E273" s="28" t="str">
        <f>IFERROR(__xludf.DUMMYFUNCTION("""COMPUTED_VALUE"""),"HJ. ISTIANAH")</f>
        <v>HJ. ISTIANAH</v>
      </c>
      <c r="F273" s="28" t="str">
        <f>IFERROR(__xludf.DUMMYFUNCTION("""COMPUTED_VALUE"""),"SUNGELEBAK RT 013 RW 004 KARANGGENENG LAMONGAN")</f>
        <v>SUNGELEBAK RT 013 RW 004 KARANGGENENG LAMONGAN</v>
      </c>
      <c r="G273" s="28" t="str">
        <f>IFERROR(__xludf.DUMMYFUNCTION("""COMPUTED_VALUE"""),"MA-XI.2")</f>
        <v>MA-XI.2</v>
      </c>
      <c r="H273" s="28" t="str">
        <f>IFERROR(__xludf.DUMMYFUNCTION("""COMPUTED_VALUE"""),"D")</f>
        <v>D</v>
      </c>
      <c r="I273" s="28" t="str">
        <f>IFERROR(__xludf.DUMMYFUNCTION("""COMPUTED_VALUE"""),"D-8")</f>
        <v>D-8</v>
      </c>
      <c r="J273" s="28">
        <f>IFERROR(__xludf.DUMMYFUNCTION("""COMPUTED_VALUE"""),2.0)</f>
        <v>2</v>
      </c>
      <c r="K273" s="28" t="str">
        <f>IFERROR(__xludf.DUMMYFUNCTION("""COMPUTED_VALUE"""),"2 WUSTHO A PUTRI")</f>
        <v>2 WUSTHO A PUTRI</v>
      </c>
      <c r="L273" s="29" t="str">
        <f>IFERROR(__xludf.DUMMYFUNCTION("""COMPUTED_VALUE"""),"6281332519614")</f>
        <v>6281332519614</v>
      </c>
      <c r="M273" s="28"/>
      <c r="N273" s="22">
        <f>IFERROR(__xludf.DUMMYFUNCTION("""COMPUTED_VALUE"""),200000.0)</f>
        <v>200000</v>
      </c>
      <c r="O273" s="22">
        <f>IFERROR(__xludf.DUMMYFUNCTION("""COMPUTED_VALUE"""),450000.0)</f>
        <v>450000</v>
      </c>
      <c r="P273" s="22">
        <f>IFERROR(__xludf.DUMMYFUNCTION("""COMPUTED_VALUE"""),450000.0)</f>
        <v>450000</v>
      </c>
      <c r="Q273" s="22">
        <f>IFERROR(__xludf.DUMMYFUNCTION("""COMPUTED_VALUE"""),450000.0)</f>
        <v>450000</v>
      </c>
      <c r="R273" s="22">
        <f>IFERROR(__xludf.DUMMYFUNCTION("""COMPUTED_VALUE"""),450000.0)</f>
        <v>450000</v>
      </c>
      <c r="S273" s="22">
        <f>IFERROR(__xludf.DUMMYFUNCTION("""COMPUTED_VALUE"""),450000.0)</f>
        <v>450000</v>
      </c>
      <c r="T273" s="22">
        <f>IFERROR(__xludf.DUMMYFUNCTION("""COMPUTED_VALUE"""),450000.0)</f>
        <v>450000</v>
      </c>
      <c r="U273" s="22">
        <f>IFERROR(__xludf.DUMMYFUNCTION("""COMPUTED_VALUE"""),450000.0)</f>
        <v>450000</v>
      </c>
      <c r="V273" s="22">
        <f>IFERROR(__xludf.DUMMYFUNCTION("""COMPUTED_VALUE"""),450000.0)</f>
        <v>450000</v>
      </c>
      <c r="W273" s="22">
        <f>IFERROR(__xludf.DUMMYFUNCTION("""COMPUTED_VALUE"""),450000.0)</f>
        <v>450000</v>
      </c>
      <c r="X273" s="22">
        <f>IFERROR(__xludf.DUMMYFUNCTION("""COMPUTED_VALUE"""),450000.0)</f>
        <v>450000</v>
      </c>
      <c r="Y273" s="22">
        <f>IFERROR(__xludf.DUMMYFUNCTION("""COMPUTED_VALUE"""),450000.0)</f>
        <v>450000</v>
      </c>
      <c r="Z273" s="22">
        <f>IFERROR(__xludf.DUMMYFUNCTION("""COMPUTED_VALUE"""),450000.0)</f>
        <v>450000</v>
      </c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2">
        <f>IFERROR(__xludf.DUMMYFUNCTION("""COMPUTED_VALUE"""),5400000.0)</f>
        <v>5400000</v>
      </c>
      <c r="BD273" s="22">
        <f>IFERROR(__xludf.DUMMYFUNCTION("""COMPUTED_VALUE"""),0.0)</f>
        <v>0</v>
      </c>
      <c r="BE273" s="22">
        <f>IFERROR(__xludf.DUMMYFUNCTION("""COMPUTED_VALUE"""),0.0)</f>
        <v>0</v>
      </c>
      <c r="BF273" s="22">
        <f>IFERROR(__xludf.DUMMYFUNCTION("""COMPUTED_VALUE"""),5400000.0)</f>
        <v>5400000</v>
      </c>
    </row>
    <row r="274">
      <c r="A274" s="27">
        <f>IFERROR(__xludf.DUMMYFUNCTION("""COMPUTED_VALUE"""),273.0)</f>
        <v>273</v>
      </c>
      <c r="B274" s="28" t="str">
        <f>IFERROR(__xludf.DUMMYFUNCTION("""COMPUTED_VALUE"""),"HILDA ABIDAH ANJANI")</f>
        <v>HILDA ABIDAH ANJANI</v>
      </c>
      <c r="C274" s="28">
        <f>IFERROR(__xludf.DUMMYFUNCTION("""COMPUTED_VALUE"""),2.025070524E9)</f>
        <v>2025070524</v>
      </c>
      <c r="D274" s="28" t="str">
        <f>IFERROR(__xludf.DUMMYFUNCTION("""COMPUTED_VALUE"""),"HANAFI")</f>
        <v>HANAFI</v>
      </c>
      <c r="E274" s="28" t="str">
        <f>IFERROR(__xludf.DUMMYFUNCTION("""COMPUTED_VALUE"""),"SITI MUNAWAROH")</f>
        <v>SITI MUNAWAROH</v>
      </c>
      <c r="F274" s="28" t="str">
        <f>IFERROR(__xludf.DUMMYFUNCTION("""COMPUTED_VALUE"""),"GOWAH POMAHANJANGGAN RT 002 RW 001 TURI LAMONGAN")</f>
        <v>GOWAH POMAHANJANGGAN RT 002 RW 001 TURI LAMONGAN</v>
      </c>
      <c r="G274" s="28" t="str">
        <f>IFERROR(__xludf.DUMMYFUNCTION("""COMPUTED_VALUE"""),"MTS-8 C")</f>
        <v>MTS-8 C</v>
      </c>
      <c r="H274" s="28" t="str">
        <f>IFERROR(__xludf.DUMMYFUNCTION("""COMPUTED_VALUE"""),"D")</f>
        <v>D</v>
      </c>
      <c r="I274" s="28" t="str">
        <f>IFERROR(__xludf.DUMMYFUNCTION("""COMPUTED_VALUE"""),"D-2")</f>
        <v>D-2</v>
      </c>
      <c r="J274" s="28">
        <f>IFERROR(__xludf.DUMMYFUNCTION("""COMPUTED_VALUE"""),2.0)</f>
        <v>2</v>
      </c>
      <c r="K274" s="28" t="str">
        <f>IFERROR(__xludf.DUMMYFUNCTION("""COMPUTED_VALUE"""),"2 ULA A PUTRI")</f>
        <v>2 ULA A PUTRI</v>
      </c>
      <c r="L274" s="29" t="str">
        <f>IFERROR(__xludf.DUMMYFUNCTION("""COMPUTED_VALUE"""),"6285707652707")</f>
        <v>6285707652707</v>
      </c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2">
        <f>IFERROR(__xludf.DUMMYFUNCTION("""COMPUTED_VALUE"""),450000.0)</f>
        <v>450000</v>
      </c>
      <c r="Z274" s="22">
        <f>IFERROR(__xludf.DUMMYFUNCTION("""COMPUTED_VALUE"""),450000.0)</f>
        <v>450000</v>
      </c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2">
        <f>IFERROR(__xludf.DUMMYFUNCTION("""COMPUTED_VALUE"""),900000.0)</f>
        <v>900000</v>
      </c>
      <c r="BD274" s="22">
        <f>IFERROR(__xludf.DUMMYFUNCTION("""COMPUTED_VALUE"""),0.0)</f>
        <v>0</v>
      </c>
      <c r="BE274" s="22">
        <f>IFERROR(__xludf.DUMMYFUNCTION("""COMPUTED_VALUE"""),0.0)</f>
        <v>0</v>
      </c>
      <c r="BF274" s="22">
        <f>IFERROR(__xludf.DUMMYFUNCTION("""COMPUTED_VALUE"""),900000.0)</f>
        <v>900000</v>
      </c>
    </row>
    <row r="275">
      <c r="A275" s="27">
        <f>IFERROR(__xludf.DUMMYFUNCTION("""COMPUTED_VALUE"""),274.0)</f>
        <v>274</v>
      </c>
      <c r="B275" s="28" t="str">
        <f>IFERROR(__xludf.DUMMYFUNCTION("""COMPUTED_VALUE"""),"KHOSIATUL NUR KARIMAH")</f>
        <v>KHOSIATUL NUR KARIMAH</v>
      </c>
      <c r="C275" s="28">
        <f>IFERROR(__xludf.DUMMYFUNCTION("""COMPUTED_VALUE"""),2.025070129E9)</f>
        <v>2025070129</v>
      </c>
      <c r="D275" s="28" t="str">
        <f>IFERROR(__xludf.DUMMYFUNCTION("""COMPUTED_VALUE"""),"SAMIN")</f>
        <v>SAMIN</v>
      </c>
      <c r="E275" s="28" t="str">
        <f>IFERROR(__xludf.DUMMYFUNCTION("""COMPUTED_VALUE"""),"SHOLIKHAH")</f>
        <v>SHOLIKHAH</v>
      </c>
      <c r="F275" s="28" t="str">
        <f>IFERROR(__xludf.DUMMYFUNCTION("""COMPUTED_VALUE"""),"PADENGANPLOSO RT 008 RW 001 PUCUK LAMONGAN")</f>
        <v>PADENGANPLOSO RT 008 RW 001 PUCUK LAMONGAN</v>
      </c>
      <c r="G275" s="28" t="str">
        <f>IFERROR(__xludf.DUMMYFUNCTION("""COMPUTED_VALUE"""),"MA-XI.13")</f>
        <v>MA-XI.13</v>
      </c>
      <c r="H275" s="28" t="str">
        <f>IFERROR(__xludf.DUMMYFUNCTION("""COMPUTED_VALUE"""),"D")</f>
        <v>D</v>
      </c>
      <c r="I275" s="28" t="str">
        <f>IFERROR(__xludf.DUMMYFUNCTION("""COMPUTED_VALUE"""),"D-8")</f>
        <v>D-8</v>
      </c>
      <c r="J275" s="28">
        <f>IFERROR(__xludf.DUMMYFUNCTION("""COMPUTED_VALUE"""),2.0)</f>
        <v>2</v>
      </c>
      <c r="K275" s="28" t="str">
        <f>IFERROR(__xludf.DUMMYFUNCTION("""COMPUTED_VALUE"""),"2 MAK PUTRI")</f>
        <v>2 MAK PUTRI</v>
      </c>
      <c r="L275" s="29" t="str">
        <f>IFERROR(__xludf.DUMMYFUNCTION("""COMPUTED_VALUE"""),"6285732185674")</f>
        <v>6285732185674</v>
      </c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2">
        <f>IFERROR(__xludf.DUMMYFUNCTION("""COMPUTED_VALUE"""),500000.0)</f>
        <v>500000</v>
      </c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2">
        <f>IFERROR(__xludf.DUMMYFUNCTION("""COMPUTED_VALUE"""),500000.0)</f>
        <v>500000</v>
      </c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2">
        <f>IFERROR(__xludf.DUMMYFUNCTION("""COMPUTED_VALUE"""),0.0)</f>
        <v>0</v>
      </c>
      <c r="BD275" s="22">
        <f>IFERROR(__xludf.DUMMYFUNCTION("""COMPUTED_VALUE"""),1000000.0)</f>
        <v>1000000</v>
      </c>
      <c r="BE275" s="22">
        <f>IFERROR(__xludf.DUMMYFUNCTION("""COMPUTED_VALUE"""),0.0)</f>
        <v>0</v>
      </c>
      <c r="BF275" s="22">
        <f>IFERROR(__xludf.DUMMYFUNCTION("""COMPUTED_VALUE"""),1000000.0)</f>
        <v>1000000</v>
      </c>
    </row>
    <row r="276">
      <c r="A276" s="27">
        <f>IFERROR(__xludf.DUMMYFUNCTION("""COMPUTED_VALUE"""),275.0)</f>
        <v>275</v>
      </c>
      <c r="B276" s="28" t="str">
        <f>IFERROR(__xludf.DUMMYFUNCTION("""COMPUTED_VALUE"""),"LATHIFATUL FATIHAH ALMASYRIFAH")</f>
        <v>LATHIFATUL FATIHAH ALMASYRIFAH</v>
      </c>
      <c r="C276" s="28">
        <f>IFERROR(__xludf.DUMMYFUNCTION("""COMPUTED_VALUE"""),2.025070663E9)</f>
        <v>2025070663</v>
      </c>
      <c r="D276" s="28" t="str">
        <f>IFERROR(__xludf.DUMMYFUNCTION("""COMPUTED_VALUE"""),"AHMAD MUJIB")</f>
        <v>AHMAD MUJIB</v>
      </c>
      <c r="E276" s="28" t="str">
        <f>IFERROR(__xludf.DUMMYFUNCTION("""COMPUTED_VALUE"""),"ROHMATUL ARIFAH")</f>
        <v>ROHMATUL ARIFAH</v>
      </c>
      <c r="F276" s="28" t="str">
        <f>IFERROR(__xludf.DUMMYFUNCTION("""COMPUTED_VALUE"""),"KH. FAQIH UTSMAN KARANGTAWAR RT 001 RW 002 LAREN LAMONGAN")</f>
        <v>KH. FAQIH UTSMAN KARANGTAWAR RT 001 RW 002 LAREN LAMONGAN</v>
      </c>
      <c r="G276" s="28" t="str">
        <f>IFERROR(__xludf.DUMMYFUNCTION("""COMPUTED_VALUE"""),"SMK-XI DKV")</f>
        <v>SMK-XI DKV</v>
      </c>
      <c r="H276" s="28" t="str">
        <f>IFERROR(__xludf.DUMMYFUNCTION("""COMPUTED_VALUE"""),"D")</f>
        <v>D</v>
      </c>
      <c r="I276" s="28" t="str">
        <f>IFERROR(__xludf.DUMMYFUNCTION("""COMPUTED_VALUE"""),"D-7")</f>
        <v>D-7</v>
      </c>
      <c r="J276" s="28">
        <f>IFERROR(__xludf.DUMMYFUNCTION("""COMPUTED_VALUE"""),2.0)</f>
        <v>2</v>
      </c>
      <c r="K276" s="28" t="str">
        <f>IFERROR(__xludf.DUMMYFUNCTION("""COMPUTED_VALUE"""),"2 WUSTHO A PUTRI")</f>
        <v>2 WUSTHO A PUTRI</v>
      </c>
      <c r="L276" s="29" t="str">
        <f>IFERROR(__xludf.DUMMYFUNCTION("""COMPUTED_VALUE"""),"6285700800189")</f>
        <v>6285700800189</v>
      </c>
      <c r="M276" s="28"/>
      <c r="N276" s="22">
        <f>IFERROR(__xludf.DUMMYFUNCTION("""COMPUTED_VALUE"""),200000.0)</f>
        <v>200000</v>
      </c>
      <c r="O276" s="28"/>
      <c r="P276" s="28"/>
      <c r="Q276" s="22">
        <f>IFERROR(__xludf.DUMMYFUNCTION("""COMPUTED_VALUE"""),450000.0)</f>
        <v>450000</v>
      </c>
      <c r="R276" s="22">
        <f>IFERROR(__xludf.DUMMYFUNCTION("""COMPUTED_VALUE"""),450000.0)</f>
        <v>450000</v>
      </c>
      <c r="S276" s="22">
        <f>IFERROR(__xludf.DUMMYFUNCTION("""COMPUTED_VALUE"""),450000.0)</f>
        <v>450000</v>
      </c>
      <c r="T276" s="22">
        <f>IFERROR(__xludf.DUMMYFUNCTION("""COMPUTED_VALUE"""),450000.0)</f>
        <v>450000</v>
      </c>
      <c r="U276" s="22">
        <f>IFERROR(__xludf.DUMMYFUNCTION("""COMPUTED_VALUE"""),450000.0)</f>
        <v>450000</v>
      </c>
      <c r="V276" s="22">
        <f>IFERROR(__xludf.DUMMYFUNCTION("""COMPUTED_VALUE"""),450000.0)</f>
        <v>450000</v>
      </c>
      <c r="W276" s="22">
        <f>IFERROR(__xludf.DUMMYFUNCTION("""COMPUTED_VALUE"""),450000.0)</f>
        <v>450000</v>
      </c>
      <c r="X276" s="22">
        <f>IFERROR(__xludf.DUMMYFUNCTION("""COMPUTED_VALUE"""),450000.0)</f>
        <v>450000</v>
      </c>
      <c r="Y276" s="22">
        <f>IFERROR(__xludf.DUMMYFUNCTION("""COMPUTED_VALUE"""),450000.0)</f>
        <v>450000</v>
      </c>
      <c r="Z276" s="22">
        <f>IFERROR(__xludf.DUMMYFUNCTION("""COMPUTED_VALUE"""),450000.0)</f>
        <v>450000</v>
      </c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2">
        <f>IFERROR(__xludf.DUMMYFUNCTION("""COMPUTED_VALUE"""),4500000.0)</f>
        <v>4500000</v>
      </c>
      <c r="BD276" s="22">
        <f>IFERROR(__xludf.DUMMYFUNCTION("""COMPUTED_VALUE"""),0.0)</f>
        <v>0</v>
      </c>
      <c r="BE276" s="22">
        <f>IFERROR(__xludf.DUMMYFUNCTION("""COMPUTED_VALUE"""),0.0)</f>
        <v>0</v>
      </c>
      <c r="BF276" s="22">
        <f>IFERROR(__xludf.DUMMYFUNCTION("""COMPUTED_VALUE"""),4500000.0)</f>
        <v>4500000</v>
      </c>
    </row>
    <row r="277">
      <c r="A277" s="27">
        <f>IFERROR(__xludf.DUMMYFUNCTION("""COMPUTED_VALUE"""),276.0)</f>
        <v>276</v>
      </c>
      <c r="B277" s="28" t="str">
        <f>IFERROR(__xludf.DUMMYFUNCTION("""COMPUTED_VALUE"""),"LUTHFIYAH AHSANAL HURI")</f>
        <v>LUTHFIYAH AHSANAL HURI</v>
      </c>
      <c r="C277" s="28">
        <f>IFERROR(__xludf.DUMMYFUNCTION("""COMPUTED_VALUE"""),2.025070557E9)</f>
        <v>2025070557</v>
      </c>
      <c r="D277" s="28" t="str">
        <f>IFERROR(__xludf.DUMMYFUNCTION("""COMPUTED_VALUE"""),"MUHAMMAD AHSIN HUDA")</f>
        <v>MUHAMMAD AHSIN HUDA</v>
      </c>
      <c r="E277" s="28" t="str">
        <f>IFERROR(__xludf.DUMMYFUNCTION("""COMPUTED_VALUE"""),"MU`AWANAH")</f>
        <v>MU`AWANAH</v>
      </c>
      <c r="F277" s="28" t="str">
        <f>IFERROR(__xludf.DUMMYFUNCTION("""COMPUTED_VALUE"""),"PARENGAN RT 002 RW 004 MADURAN LAMONGAN")</f>
        <v>PARENGAN RT 002 RW 004 MADURAN LAMONGAN</v>
      </c>
      <c r="G277" s="28" t="str">
        <f>IFERROR(__xludf.DUMMYFUNCTION("""COMPUTED_VALUE"""),"MTS-8 E")</f>
        <v>MTS-8 E</v>
      </c>
      <c r="H277" s="28" t="str">
        <f>IFERROR(__xludf.DUMMYFUNCTION("""COMPUTED_VALUE"""),"D")</f>
        <v>D</v>
      </c>
      <c r="I277" s="28" t="str">
        <f>IFERROR(__xludf.DUMMYFUNCTION("""COMPUTED_VALUE"""),"D-2")</f>
        <v>D-2</v>
      </c>
      <c r="J277" s="28">
        <f>IFERROR(__xludf.DUMMYFUNCTION("""COMPUTED_VALUE"""),2.0)</f>
        <v>2</v>
      </c>
      <c r="K277" s="28" t="str">
        <f>IFERROR(__xludf.DUMMYFUNCTION("""COMPUTED_VALUE"""),"2 ULA B PUTRI")</f>
        <v>2 ULA B PUTRI</v>
      </c>
      <c r="L277" s="29" t="str">
        <f>IFERROR(__xludf.DUMMYFUNCTION("""COMPUTED_VALUE"""),"6285735201839")</f>
        <v>6285735201839</v>
      </c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2">
        <f>IFERROR(__xludf.DUMMYFUNCTION("""COMPUTED_VALUE"""),500000.0)</f>
        <v>500000</v>
      </c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2">
        <f>IFERROR(__xludf.DUMMYFUNCTION("""COMPUTED_VALUE"""),500000.0)</f>
        <v>500000</v>
      </c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2">
        <f>IFERROR(__xludf.DUMMYFUNCTION("""COMPUTED_VALUE"""),0.0)</f>
        <v>0</v>
      </c>
      <c r="BD277" s="22">
        <f>IFERROR(__xludf.DUMMYFUNCTION("""COMPUTED_VALUE"""),1000000.0)</f>
        <v>1000000</v>
      </c>
      <c r="BE277" s="22">
        <f>IFERROR(__xludf.DUMMYFUNCTION("""COMPUTED_VALUE"""),0.0)</f>
        <v>0</v>
      </c>
      <c r="BF277" s="22">
        <f>IFERROR(__xludf.DUMMYFUNCTION("""COMPUTED_VALUE"""),1000000.0)</f>
        <v>1000000</v>
      </c>
    </row>
    <row r="278">
      <c r="A278" s="27">
        <f>IFERROR(__xludf.DUMMYFUNCTION("""COMPUTED_VALUE"""),277.0)</f>
        <v>277</v>
      </c>
      <c r="B278" s="28" t="str">
        <f>IFERROR(__xludf.DUMMYFUNCTION("""COMPUTED_VALUE"""),"NUR SAFIRA ALFA NIKMAH")</f>
        <v>NUR SAFIRA ALFA NIKMAH</v>
      </c>
      <c r="C278" s="28">
        <f>IFERROR(__xludf.DUMMYFUNCTION("""COMPUTED_VALUE"""),2.025070392E9)</f>
        <v>2025070392</v>
      </c>
      <c r="D278" s="28" t="str">
        <f>IFERROR(__xludf.DUMMYFUNCTION("""COMPUTED_VALUE"""),"MUSTOHA")</f>
        <v>MUSTOHA</v>
      </c>
      <c r="E278" s="28" t="str">
        <f>IFERROR(__xludf.DUMMYFUNCTION("""COMPUTED_VALUE"""),"ALIYAH")</f>
        <v>ALIYAH</v>
      </c>
      <c r="F278" s="28" t="str">
        <f>IFERROR(__xludf.DUMMYFUNCTION("""COMPUTED_VALUE"""),"DAMPIT GEMPOLTUKMLOKO RT 001 RW 001 SARIREJO LAMONGAN")</f>
        <v>DAMPIT GEMPOLTUKMLOKO RT 001 RW 001 SARIREJO LAMONGAN</v>
      </c>
      <c r="G278" s="28" t="str">
        <f>IFERROR(__xludf.DUMMYFUNCTION("""COMPUTED_VALUE"""),"MA-XI.2")</f>
        <v>MA-XI.2</v>
      </c>
      <c r="H278" s="28" t="str">
        <f>IFERROR(__xludf.DUMMYFUNCTION("""COMPUTED_VALUE"""),"D")</f>
        <v>D</v>
      </c>
      <c r="I278" s="28" t="str">
        <f>IFERROR(__xludf.DUMMYFUNCTION("""COMPUTED_VALUE"""),"D-8")</f>
        <v>D-8</v>
      </c>
      <c r="J278" s="28">
        <f>IFERROR(__xludf.DUMMYFUNCTION("""COMPUTED_VALUE"""),2.0)</f>
        <v>2</v>
      </c>
      <c r="K278" s="28" t="str">
        <f>IFERROR(__xludf.DUMMYFUNCTION("""COMPUTED_VALUE"""),"2 WUSTHO D PUTRI")</f>
        <v>2 WUSTHO D PUTRI</v>
      </c>
      <c r="L278" s="29" t="str">
        <f>IFERROR(__xludf.DUMMYFUNCTION("""COMPUTED_VALUE"""),"6285782663806")</f>
        <v>6285782663806</v>
      </c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2">
        <f>IFERROR(__xludf.DUMMYFUNCTION("""COMPUTED_VALUE"""),450000.0)</f>
        <v>450000</v>
      </c>
      <c r="Z278" s="22">
        <f>IFERROR(__xludf.DUMMYFUNCTION("""COMPUTED_VALUE"""),450000.0)</f>
        <v>450000</v>
      </c>
      <c r="AA278" s="28"/>
      <c r="AB278" s="22">
        <f>IFERROR(__xludf.DUMMYFUNCTION("""COMPUTED_VALUE"""),500000.0)</f>
        <v>500000</v>
      </c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2">
        <f>IFERROR(__xludf.DUMMYFUNCTION("""COMPUTED_VALUE"""),500000.0)</f>
        <v>500000</v>
      </c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2">
        <f>IFERROR(__xludf.DUMMYFUNCTION("""COMPUTED_VALUE"""),900000.0)</f>
        <v>900000</v>
      </c>
      <c r="BD278" s="22">
        <f>IFERROR(__xludf.DUMMYFUNCTION("""COMPUTED_VALUE"""),1000000.0)</f>
        <v>1000000</v>
      </c>
      <c r="BE278" s="22">
        <f>IFERROR(__xludf.DUMMYFUNCTION("""COMPUTED_VALUE"""),0.0)</f>
        <v>0</v>
      </c>
      <c r="BF278" s="22">
        <f>IFERROR(__xludf.DUMMYFUNCTION("""COMPUTED_VALUE"""),1900000.0)</f>
        <v>1900000</v>
      </c>
    </row>
    <row r="279">
      <c r="A279" s="27">
        <f>IFERROR(__xludf.DUMMYFUNCTION("""COMPUTED_VALUE"""),278.0)</f>
        <v>278</v>
      </c>
      <c r="B279" s="28" t="str">
        <f>IFERROR(__xludf.DUMMYFUNCTION("""COMPUTED_VALUE"""),"NURUSSHAFIYAH RAHMANI")</f>
        <v>NURUSSHAFIYAH RAHMANI</v>
      </c>
      <c r="C279" s="28">
        <f>IFERROR(__xludf.DUMMYFUNCTION("""COMPUTED_VALUE"""),2.025070585E9)</f>
        <v>2025070585</v>
      </c>
      <c r="D279" s="28" t="str">
        <f>IFERROR(__xludf.DUMMYFUNCTION("""COMPUTED_VALUE"""),"WOLIANTO")</f>
        <v>WOLIANTO</v>
      </c>
      <c r="E279" s="28" t="str">
        <f>IFERROR(__xludf.DUMMYFUNCTION("""COMPUTED_VALUE"""),"ENDANG SULISTIYOWATI")</f>
        <v>ENDANG SULISTIYOWATI</v>
      </c>
      <c r="F279" s="28" t="str">
        <f>IFERROR(__xludf.DUMMYFUNCTION("""COMPUTED_VALUE"""),"KARANGWUNGULOR RT 001 RW 001 LAREN LAMONGAN")</f>
        <v>KARANGWUNGULOR RT 001 RW 001 LAREN LAMONGAN</v>
      </c>
      <c r="G279" s="28" t="str">
        <f>IFERROR(__xludf.DUMMYFUNCTION("""COMPUTED_VALUE"""),"MTS-8 B")</f>
        <v>MTS-8 B</v>
      </c>
      <c r="H279" s="28" t="str">
        <f>IFERROR(__xludf.DUMMYFUNCTION("""COMPUTED_VALUE"""),"D")</f>
        <v>D</v>
      </c>
      <c r="I279" s="28" t="str">
        <f>IFERROR(__xludf.DUMMYFUNCTION("""COMPUTED_VALUE"""),"D-2")</f>
        <v>D-2</v>
      </c>
      <c r="J279" s="28">
        <f>IFERROR(__xludf.DUMMYFUNCTION("""COMPUTED_VALUE"""),2.0)</f>
        <v>2</v>
      </c>
      <c r="K279" s="28" t="str">
        <f>IFERROR(__xludf.DUMMYFUNCTION("""COMPUTED_VALUE"""),"2 ULA B PUTRI")</f>
        <v>2 ULA B PUTRI</v>
      </c>
      <c r="L279" s="29" t="str">
        <f>IFERROR(__xludf.DUMMYFUNCTION("""COMPUTED_VALUE"""),"6285852886928")</f>
        <v>6285852886928</v>
      </c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2">
        <f>IFERROR(__xludf.DUMMYFUNCTION("""COMPUTED_VALUE"""),0.0)</f>
        <v>0</v>
      </c>
      <c r="BD279" s="22">
        <f>IFERROR(__xludf.DUMMYFUNCTION("""COMPUTED_VALUE"""),0.0)</f>
        <v>0</v>
      </c>
      <c r="BE279" s="22">
        <f>IFERROR(__xludf.DUMMYFUNCTION("""COMPUTED_VALUE"""),0.0)</f>
        <v>0</v>
      </c>
      <c r="BF279" s="22">
        <f>IFERROR(__xludf.DUMMYFUNCTION("""COMPUTED_VALUE"""),0.0)</f>
        <v>0</v>
      </c>
    </row>
    <row r="280">
      <c r="A280" s="27">
        <f>IFERROR(__xludf.DUMMYFUNCTION("""COMPUTED_VALUE"""),279.0)</f>
        <v>279</v>
      </c>
      <c r="B280" s="28" t="str">
        <f>IFERROR(__xludf.DUMMYFUNCTION("""COMPUTED_VALUE"""),"OKTAVIA NUR ASTI WULANDARI")</f>
        <v>OKTAVIA NUR ASTI WULANDARI</v>
      </c>
      <c r="C280" s="28">
        <f>IFERROR(__xludf.DUMMYFUNCTION("""COMPUTED_VALUE"""),2.025070637E9)</f>
        <v>2025070637</v>
      </c>
      <c r="D280" s="28" t="str">
        <f>IFERROR(__xludf.DUMMYFUNCTION("""COMPUTED_VALUE"""),"SUNARIAJI")</f>
        <v>SUNARIAJI</v>
      </c>
      <c r="E280" s="28" t="str">
        <f>IFERROR(__xludf.DUMMYFUNCTION("""COMPUTED_VALUE"""),"ASIYAH")</f>
        <v>ASIYAH</v>
      </c>
      <c r="F280" s="28" t="str">
        <f>IFERROR(__xludf.DUMMYFUNCTION("""COMPUTED_VALUE"""),"GLUMO JELAKCATUR RT 001 RW 005 KALITENGAH LAMONGAN")</f>
        <v>GLUMO JELAKCATUR RT 001 RW 005 KALITENGAH LAMONGAN</v>
      </c>
      <c r="G280" s="28" t="str">
        <f>IFERROR(__xludf.DUMMYFUNCTION("""COMPUTED_VALUE"""),"MTS-8 F")</f>
        <v>MTS-8 F</v>
      </c>
      <c r="H280" s="28" t="str">
        <f>IFERROR(__xludf.DUMMYFUNCTION("""COMPUTED_VALUE"""),"D")</f>
        <v>D</v>
      </c>
      <c r="I280" s="28" t="str">
        <f>IFERROR(__xludf.DUMMYFUNCTION("""COMPUTED_VALUE"""),"D-2")</f>
        <v>D-2</v>
      </c>
      <c r="J280" s="28">
        <f>IFERROR(__xludf.DUMMYFUNCTION("""COMPUTED_VALUE"""),2.0)</f>
        <v>2</v>
      </c>
      <c r="K280" s="28" t="str">
        <f>IFERROR(__xludf.DUMMYFUNCTION("""COMPUTED_VALUE"""),"2 ULA C PUTRI")</f>
        <v>2 ULA C PUTRI</v>
      </c>
      <c r="L280" s="29" t="str">
        <f>IFERROR(__xludf.DUMMYFUNCTION("""COMPUTED_VALUE"""),"6285794636195")</f>
        <v>6285794636195</v>
      </c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2">
        <f>IFERROR(__xludf.DUMMYFUNCTION("""COMPUTED_VALUE"""),500000.0)</f>
        <v>500000</v>
      </c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2">
        <f>IFERROR(__xludf.DUMMYFUNCTION("""COMPUTED_VALUE"""),500000.0)</f>
        <v>500000</v>
      </c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2">
        <f>IFERROR(__xludf.DUMMYFUNCTION("""COMPUTED_VALUE"""),0.0)</f>
        <v>0</v>
      </c>
      <c r="BD280" s="22">
        <f>IFERROR(__xludf.DUMMYFUNCTION("""COMPUTED_VALUE"""),1000000.0)</f>
        <v>1000000</v>
      </c>
      <c r="BE280" s="22">
        <f>IFERROR(__xludf.DUMMYFUNCTION("""COMPUTED_VALUE"""),0.0)</f>
        <v>0</v>
      </c>
      <c r="BF280" s="22">
        <f>IFERROR(__xludf.DUMMYFUNCTION("""COMPUTED_VALUE"""),1000000.0)</f>
        <v>1000000</v>
      </c>
    </row>
    <row r="281">
      <c r="A281" s="27">
        <f>IFERROR(__xludf.DUMMYFUNCTION("""COMPUTED_VALUE"""),280.0)</f>
        <v>280</v>
      </c>
      <c r="B281" s="28" t="str">
        <f>IFERROR(__xludf.DUMMYFUNCTION("""COMPUTED_VALUE"""),"RANA FALIHATUL FARHAH")</f>
        <v>RANA FALIHATUL FARHAH</v>
      </c>
      <c r="C281" s="28">
        <f>IFERROR(__xludf.DUMMYFUNCTION("""COMPUTED_VALUE"""),2.025070479E9)</f>
        <v>2025070479</v>
      </c>
      <c r="D281" s="28" t="str">
        <f>IFERROR(__xludf.DUMMYFUNCTION("""COMPUTED_VALUE"""),"NUR HASAN")</f>
        <v>NUR HASAN</v>
      </c>
      <c r="E281" s="28" t="str">
        <f>IFERROR(__xludf.DUMMYFUNCTION("""COMPUTED_VALUE"""),"ROHATIN")</f>
        <v>ROHATIN</v>
      </c>
      <c r="F281" s="28" t="str">
        <f>IFERROR(__xludf.DUMMYFUNCTION("""COMPUTED_VALUE"""),"BANYUBANG RT 002 RW 001 SOLOKURO LAMONGAN")</f>
        <v>BANYUBANG RT 002 RW 001 SOLOKURO LAMONGAN</v>
      </c>
      <c r="G281" s="28" t="str">
        <f>IFERROR(__xludf.DUMMYFUNCTION("""COMPUTED_VALUE"""),"SMP-VIII C")</f>
        <v>SMP-VIII C</v>
      </c>
      <c r="H281" s="28" t="str">
        <f>IFERROR(__xludf.DUMMYFUNCTION("""COMPUTED_VALUE"""),"D")</f>
        <v>D</v>
      </c>
      <c r="I281" s="28" t="str">
        <f>IFERROR(__xludf.DUMMYFUNCTION("""COMPUTED_VALUE"""),"D-2")</f>
        <v>D-2</v>
      </c>
      <c r="J281" s="28">
        <f>IFERROR(__xludf.DUMMYFUNCTION("""COMPUTED_VALUE"""),2.0)</f>
        <v>2</v>
      </c>
      <c r="K281" s="28" t="str">
        <f>IFERROR(__xludf.DUMMYFUNCTION("""COMPUTED_VALUE"""),"2 ULA C PUTRI")</f>
        <v>2 ULA C PUTRI</v>
      </c>
      <c r="L281" s="29" t="str">
        <f>IFERROR(__xludf.DUMMYFUNCTION("""COMPUTED_VALUE"""),"6285646637564")</f>
        <v>6285646637564</v>
      </c>
      <c r="M281" s="28"/>
      <c r="N281" s="28"/>
      <c r="O281" s="28"/>
      <c r="P281" s="28"/>
      <c r="Q281" s="22" t="str">
        <f>IFERROR(__xludf.DUMMYFUNCTION("""COMPUTED_VALUE"""),"           ")</f>
        <v>           </v>
      </c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2">
        <f>IFERROR(__xludf.DUMMYFUNCTION("""COMPUTED_VALUE"""),500000.0)</f>
        <v>500000</v>
      </c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2">
        <f>IFERROR(__xludf.DUMMYFUNCTION("""COMPUTED_VALUE"""),500000.0)</f>
        <v>500000</v>
      </c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2">
        <f>IFERROR(__xludf.DUMMYFUNCTION("""COMPUTED_VALUE"""),0.0)</f>
        <v>0</v>
      </c>
      <c r="BD281" s="22">
        <f>IFERROR(__xludf.DUMMYFUNCTION("""COMPUTED_VALUE"""),1000000.0)</f>
        <v>1000000</v>
      </c>
      <c r="BE281" s="22">
        <f>IFERROR(__xludf.DUMMYFUNCTION("""COMPUTED_VALUE"""),0.0)</f>
        <v>0</v>
      </c>
      <c r="BF281" s="22">
        <f>IFERROR(__xludf.DUMMYFUNCTION("""COMPUTED_VALUE"""),1000000.0)</f>
        <v>1000000</v>
      </c>
    </row>
    <row r="282">
      <c r="A282" s="27">
        <f>IFERROR(__xludf.DUMMYFUNCTION("""COMPUTED_VALUE"""),281.0)</f>
        <v>281</v>
      </c>
      <c r="B282" s="28" t="str">
        <f>IFERROR(__xludf.DUMMYFUNCTION("""COMPUTED_VALUE"""),"REZA FARAH DILLA")</f>
        <v>REZA FARAH DILLA</v>
      </c>
      <c r="C282" s="28">
        <f>IFERROR(__xludf.DUMMYFUNCTION("""COMPUTED_VALUE"""),2.025070439E9)</f>
        <v>2025070439</v>
      </c>
      <c r="D282" s="28" t="str">
        <f>IFERROR(__xludf.DUMMYFUNCTION("""COMPUTED_VALUE"""),"MUHAMMAD SU'UDI")</f>
        <v>MUHAMMAD SU'UDI</v>
      </c>
      <c r="E282" s="28" t="str">
        <f>IFERROR(__xludf.DUMMYFUNCTION("""COMPUTED_VALUE"""),"MUYASAROH")</f>
        <v>MUYASAROH</v>
      </c>
      <c r="F282" s="28" t="str">
        <f>IFERROR(__xludf.DUMMYFUNCTION("""COMPUTED_VALUE"""),"PINGGIRAN SUMBERAGUNG RT 001 RW 003 SUKODADI KALITENGAH")</f>
        <v>PINGGIRAN SUMBERAGUNG RT 001 RW 003 SUKODADI KALITENGAH</v>
      </c>
      <c r="G282" s="28" t="str">
        <f>IFERROR(__xludf.DUMMYFUNCTION("""COMPUTED_VALUE"""),"SMK-XI LPb")</f>
        <v>SMK-XI LPb</v>
      </c>
      <c r="H282" s="28" t="str">
        <f>IFERROR(__xludf.DUMMYFUNCTION("""COMPUTED_VALUE"""),"D")</f>
        <v>D</v>
      </c>
      <c r="I282" s="28" t="str">
        <f>IFERROR(__xludf.DUMMYFUNCTION("""COMPUTED_VALUE"""),"D-7")</f>
        <v>D-7</v>
      </c>
      <c r="J282" s="28">
        <f>IFERROR(__xludf.DUMMYFUNCTION("""COMPUTED_VALUE"""),2.0)</f>
        <v>2</v>
      </c>
      <c r="K282" s="28" t="str">
        <f>IFERROR(__xludf.DUMMYFUNCTION("""COMPUTED_VALUE"""),"2 WUSTHO A PUTRI")</f>
        <v>2 WUSTHO A PUTRI</v>
      </c>
      <c r="L282" s="29" t="str">
        <f>IFERROR(__xludf.DUMMYFUNCTION("""COMPUTED_VALUE"""),"6285856200276")</f>
        <v>6285856200276</v>
      </c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2">
        <f>IFERROR(__xludf.DUMMYFUNCTION("""COMPUTED_VALUE"""),0.0)</f>
        <v>0</v>
      </c>
      <c r="BD282" s="22">
        <f>IFERROR(__xludf.DUMMYFUNCTION("""COMPUTED_VALUE"""),0.0)</f>
        <v>0</v>
      </c>
      <c r="BE282" s="22">
        <f>IFERROR(__xludf.DUMMYFUNCTION("""COMPUTED_VALUE"""),0.0)</f>
        <v>0</v>
      </c>
      <c r="BF282" s="22">
        <f>IFERROR(__xludf.DUMMYFUNCTION("""COMPUTED_VALUE"""),0.0)</f>
        <v>0</v>
      </c>
    </row>
    <row r="283">
      <c r="A283" s="27">
        <f>IFERROR(__xludf.DUMMYFUNCTION("""COMPUTED_VALUE"""),282.0)</f>
        <v>282</v>
      </c>
      <c r="B283" s="28" t="str">
        <f>IFERROR(__xludf.DUMMYFUNCTION("""COMPUTED_VALUE"""),"RICHANAH NADWA")</f>
        <v>RICHANAH NADWA</v>
      </c>
      <c r="C283" s="28">
        <f>IFERROR(__xludf.DUMMYFUNCTION("""COMPUTED_VALUE"""),2.025070325E9)</f>
        <v>2025070325</v>
      </c>
      <c r="D283" s="28" t="str">
        <f>IFERROR(__xludf.DUMMYFUNCTION("""COMPUTED_VALUE"""),"MOHAMMAD HASAN")</f>
        <v>MOHAMMAD HASAN</v>
      </c>
      <c r="E283" s="28" t="str">
        <f>IFERROR(__xludf.DUMMYFUNCTION("""COMPUTED_VALUE"""),"MUKARROMAH")</f>
        <v>MUKARROMAH</v>
      </c>
      <c r="F283" s="28" t="str">
        <f>IFERROR(__xludf.DUMMYFUNCTION("""COMPUTED_VALUE"""),"KARANGANOM KULON KARANGANOM RT 002 RW 001 KARANGBINANGUN LAMONGAN")</f>
        <v>KARANGANOM KULON KARANGANOM RT 002 RW 001 KARANGBINANGUN LAMONGAN</v>
      </c>
      <c r="G283" s="28" t="str">
        <f>IFERROR(__xludf.DUMMYFUNCTION("""COMPUTED_VALUE"""),"MA-XI.10")</f>
        <v>MA-XI.10</v>
      </c>
      <c r="H283" s="28" t="str">
        <f>IFERROR(__xludf.DUMMYFUNCTION("""COMPUTED_VALUE"""),"D")</f>
        <v>D</v>
      </c>
      <c r="I283" s="28" t="str">
        <f>IFERROR(__xludf.DUMMYFUNCTION("""COMPUTED_VALUE"""),"D-8")</f>
        <v>D-8</v>
      </c>
      <c r="J283" s="28">
        <f>IFERROR(__xludf.DUMMYFUNCTION("""COMPUTED_VALUE"""),2.0)</f>
        <v>2</v>
      </c>
      <c r="K283" s="28" t="str">
        <f>IFERROR(__xludf.DUMMYFUNCTION("""COMPUTED_VALUE"""),"2 WUSTHO D PUTRI")</f>
        <v>2 WUSTHO D PUTRI</v>
      </c>
      <c r="L283" s="29" t="str">
        <f>IFERROR(__xludf.DUMMYFUNCTION("""COMPUTED_VALUE"""),"6281246891846")</f>
        <v>6281246891846</v>
      </c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2">
        <f>IFERROR(__xludf.DUMMYFUNCTION("""COMPUTED_VALUE"""),500000.0)</f>
        <v>500000</v>
      </c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2">
        <f>IFERROR(__xludf.DUMMYFUNCTION("""COMPUTED_VALUE"""),500000.0)</f>
        <v>500000</v>
      </c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2">
        <f>IFERROR(__xludf.DUMMYFUNCTION("""COMPUTED_VALUE"""),0.0)</f>
        <v>0</v>
      </c>
      <c r="BD283" s="22">
        <f>IFERROR(__xludf.DUMMYFUNCTION("""COMPUTED_VALUE"""),1000000.0)</f>
        <v>1000000</v>
      </c>
      <c r="BE283" s="22">
        <f>IFERROR(__xludf.DUMMYFUNCTION("""COMPUTED_VALUE"""),0.0)</f>
        <v>0</v>
      </c>
      <c r="BF283" s="22">
        <f>IFERROR(__xludf.DUMMYFUNCTION("""COMPUTED_VALUE"""),1000000.0)</f>
        <v>1000000</v>
      </c>
    </row>
    <row r="284">
      <c r="A284" s="27">
        <f>IFERROR(__xludf.DUMMYFUNCTION("""COMPUTED_VALUE"""),283.0)</f>
        <v>283</v>
      </c>
      <c r="B284" s="28" t="str">
        <f>IFERROR(__xludf.DUMMYFUNCTION("""COMPUTED_VALUE"""),"SALWA WAFIIA ANNISA`")</f>
        <v>SALWA WAFIIA ANNISA`</v>
      </c>
      <c r="C284" s="28">
        <f>IFERROR(__xludf.DUMMYFUNCTION("""COMPUTED_VALUE"""),2.025070591E9)</f>
        <v>2025070591</v>
      </c>
      <c r="D284" s="28" t="str">
        <f>IFERROR(__xludf.DUMMYFUNCTION("""COMPUTED_VALUE"""),"HARTONO")</f>
        <v>HARTONO</v>
      </c>
      <c r="E284" s="28" t="str">
        <f>IFERROR(__xludf.DUMMYFUNCTION("""COMPUTED_VALUE"""),"MAZIDATUL FAIZAH")</f>
        <v>MAZIDATUL FAIZAH</v>
      </c>
      <c r="F284" s="28" t="str">
        <f>IFERROR(__xludf.DUMMYFUNCTION("""COMPUTED_VALUE"""),"GEGER RT 001 RW 003 TURI LAMONGAN")</f>
        <v>GEGER RT 001 RW 003 TURI LAMONGAN</v>
      </c>
      <c r="G284" s="28" t="str">
        <f>IFERROR(__xludf.DUMMYFUNCTION("""COMPUTED_VALUE"""),"MTS-8 B")</f>
        <v>MTS-8 B</v>
      </c>
      <c r="H284" s="28" t="str">
        <f>IFERROR(__xludf.DUMMYFUNCTION("""COMPUTED_VALUE"""),"D")</f>
        <v>D</v>
      </c>
      <c r="I284" s="28" t="str">
        <f>IFERROR(__xludf.DUMMYFUNCTION("""COMPUTED_VALUE"""),"D-2")</f>
        <v>D-2</v>
      </c>
      <c r="J284" s="28">
        <f>IFERROR(__xludf.DUMMYFUNCTION("""COMPUTED_VALUE"""),2.0)</f>
        <v>2</v>
      </c>
      <c r="K284" s="28" t="str">
        <f>IFERROR(__xludf.DUMMYFUNCTION("""COMPUTED_VALUE"""),"2 ULA C PUTRI")</f>
        <v>2 ULA C PUTRI</v>
      </c>
      <c r="L284" s="29" t="str">
        <f>IFERROR(__xludf.DUMMYFUNCTION("""COMPUTED_VALUE"""),"6285731619846")</f>
        <v>6285731619846</v>
      </c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2">
        <f>IFERROR(__xludf.DUMMYFUNCTION("""COMPUTED_VALUE"""),0.0)</f>
        <v>0</v>
      </c>
      <c r="BD284" s="22">
        <f>IFERROR(__xludf.DUMMYFUNCTION("""COMPUTED_VALUE"""),0.0)</f>
        <v>0</v>
      </c>
      <c r="BE284" s="22">
        <f>IFERROR(__xludf.DUMMYFUNCTION("""COMPUTED_VALUE"""),0.0)</f>
        <v>0</v>
      </c>
      <c r="BF284" s="22">
        <f>IFERROR(__xludf.DUMMYFUNCTION("""COMPUTED_VALUE"""),0.0)</f>
        <v>0</v>
      </c>
    </row>
    <row r="285">
      <c r="A285" s="27">
        <f>IFERROR(__xludf.DUMMYFUNCTION("""COMPUTED_VALUE"""),284.0)</f>
        <v>284</v>
      </c>
      <c r="B285" s="28" t="str">
        <f>IFERROR(__xludf.DUMMYFUNCTION("""COMPUTED_VALUE"""),"SARIFATUL HIDAYAH")</f>
        <v>SARIFATUL HIDAYAH</v>
      </c>
      <c r="C285" s="28">
        <f>IFERROR(__xludf.DUMMYFUNCTION("""COMPUTED_VALUE"""),2.025070433E9)</f>
        <v>2025070433</v>
      </c>
      <c r="D285" s="28" t="str">
        <f>IFERROR(__xludf.DUMMYFUNCTION("""COMPUTED_VALUE"""),"SUPRIYADI")</f>
        <v>SUPRIYADI</v>
      </c>
      <c r="E285" s="28" t="str">
        <f>IFERROR(__xludf.DUMMYFUNCTION("""COMPUTED_VALUE"""),"MAZRO`ATUL HASANAH")</f>
        <v>MAZRO`ATUL HASANAH</v>
      </c>
      <c r="F285" s="28" t="str">
        <f>IFERROR(__xludf.DUMMYFUNCTION("""COMPUTED_VALUE"""),"LUMBANGAN PENDOWOLIMO RT 003 RW 001 KARANGBINANGUN LAMONGAN")</f>
        <v>LUMBANGAN PENDOWOLIMO RT 003 RW 001 KARANGBINANGUN LAMONGAN</v>
      </c>
      <c r="G285" s="28" t="str">
        <f>IFERROR(__xludf.DUMMYFUNCTION("""COMPUTED_VALUE"""),"SMK-XI BD")</f>
        <v>SMK-XI BD</v>
      </c>
      <c r="H285" s="28" t="str">
        <f>IFERROR(__xludf.DUMMYFUNCTION("""COMPUTED_VALUE"""),"D")</f>
        <v>D</v>
      </c>
      <c r="I285" s="28" t="str">
        <f>IFERROR(__xludf.DUMMYFUNCTION("""COMPUTED_VALUE"""),"D-8")</f>
        <v>D-8</v>
      </c>
      <c r="J285" s="28">
        <f>IFERROR(__xludf.DUMMYFUNCTION("""COMPUTED_VALUE"""),2.0)</f>
        <v>2</v>
      </c>
      <c r="K285" s="28" t="str">
        <f>IFERROR(__xludf.DUMMYFUNCTION("""COMPUTED_VALUE"""),"2 WUSTHO A PUTRI")</f>
        <v>2 WUSTHO A PUTRI</v>
      </c>
      <c r="L285" s="29" t="str">
        <f>IFERROR(__xludf.DUMMYFUNCTION("""COMPUTED_VALUE"""),"6285791612961")</f>
        <v>6285791612961</v>
      </c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2">
        <f>IFERROR(__xludf.DUMMYFUNCTION("""COMPUTED_VALUE"""),450000.0)</f>
        <v>450000</v>
      </c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2">
        <f>IFERROR(__xludf.DUMMYFUNCTION("""COMPUTED_VALUE"""),450000.0)</f>
        <v>450000</v>
      </c>
      <c r="BD285" s="22">
        <f>IFERROR(__xludf.DUMMYFUNCTION("""COMPUTED_VALUE"""),0.0)</f>
        <v>0</v>
      </c>
      <c r="BE285" s="22">
        <f>IFERROR(__xludf.DUMMYFUNCTION("""COMPUTED_VALUE"""),0.0)</f>
        <v>0</v>
      </c>
      <c r="BF285" s="22">
        <f>IFERROR(__xludf.DUMMYFUNCTION("""COMPUTED_VALUE"""),450000.0)</f>
        <v>450000</v>
      </c>
    </row>
    <row r="286">
      <c r="A286" s="27">
        <f>IFERROR(__xludf.DUMMYFUNCTION("""COMPUTED_VALUE"""),285.0)</f>
        <v>285</v>
      </c>
      <c r="B286" s="28" t="str">
        <f>IFERROR(__xludf.DUMMYFUNCTION("""COMPUTED_VALUE"""),"SELENA SHERIN MARGARET")</f>
        <v>SELENA SHERIN MARGARET</v>
      </c>
      <c r="C286" s="28">
        <f>IFERROR(__xludf.DUMMYFUNCTION("""COMPUTED_VALUE"""),2.025070589E9)</f>
        <v>2025070589</v>
      </c>
      <c r="D286" s="28" t="str">
        <f>IFERROR(__xludf.DUMMYFUNCTION("""COMPUTED_VALUE"""),"BAMBANG HERMANTO")</f>
        <v>BAMBANG HERMANTO</v>
      </c>
      <c r="E286" s="28" t="str">
        <f>IFERROR(__xludf.DUMMYFUNCTION("""COMPUTED_VALUE"""),"IMAYATUS SA`ADAH")</f>
        <v>IMAYATUS SA`ADAH</v>
      </c>
      <c r="F286" s="28" t="str">
        <f>IFERROR(__xludf.DUMMYFUNCTION("""COMPUTED_VALUE"""),"GEGER RT 003 RW 002 TURI LAMONGAN")</f>
        <v>GEGER RT 003 RW 002 TURI LAMONGAN</v>
      </c>
      <c r="G286" s="28" t="str">
        <f>IFERROR(__xludf.DUMMYFUNCTION("""COMPUTED_VALUE"""),"MTS-8 C")</f>
        <v>MTS-8 C</v>
      </c>
      <c r="H286" s="28" t="str">
        <f>IFERROR(__xludf.DUMMYFUNCTION("""COMPUTED_VALUE"""),"D")</f>
        <v>D</v>
      </c>
      <c r="I286" s="28" t="str">
        <f>IFERROR(__xludf.DUMMYFUNCTION("""COMPUTED_VALUE"""),"D-2")</f>
        <v>D-2</v>
      </c>
      <c r="J286" s="28">
        <f>IFERROR(__xludf.DUMMYFUNCTION("""COMPUTED_VALUE"""),2.0)</f>
        <v>2</v>
      </c>
      <c r="K286" s="28" t="str">
        <f>IFERROR(__xludf.DUMMYFUNCTION("""COMPUTED_VALUE"""),"2 ULA C PUTRI")</f>
        <v>2 ULA C PUTRI</v>
      </c>
      <c r="L286" s="29" t="str">
        <f>IFERROR(__xludf.DUMMYFUNCTION("""COMPUTED_VALUE"""),"6285732432857")</f>
        <v>6285732432857</v>
      </c>
      <c r="M286" s="22">
        <f>IFERROR(__xludf.DUMMYFUNCTION("""COMPUTED_VALUE"""),600000.0)</f>
        <v>600000</v>
      </c>
      <c r="N286" s="28"/>
      <c r="O286" s="28"/>
      <c r="P286" s="28"/>
      <c r="Q286" s="28"/>
      <c r="R286" s="28"/>
      <c r="S286" s="28"/>
      <c r="T286" s="22">
        <f>IFERROR(__xludf.DUMMYFUNCTION("""COMPUTED_VALUE"""),450000.0)</f>
        <v>450000</v>
      </c>
      <c r="U286" s="22">
        <f>IFERROR(__xludf.DUMMYFUNCTION("""COMPUTED_VALUE"""),450000.0)</f>
        <v>450000</v>
      </c>
      <c r="V286" s="22">
        <f>IFERROR(__xludf.DUMMYFUNCTION("""COMPUTED_VALUE"""),450000.0)</f>
        <v>450000</v>
      </c>
      <c r="W286" s="22">
        <f>IFERROR(__xludf.DUMMYFUNCTION("""COMPUTED_VALUE"""),450000.0)</f>
        <v>450000</v>
      </c>
      <c r="X286" s="22">
        <f>IFERROR(__xludf.DUMMYFUNCTION("""COMPUTED_VALUE"""),450000.0)</f>
        <v>450000</v>
      </c>
      <c r="Y286" s="22">
        <f>IFERROR(__xludf.DUMMYFUNCTION("""COMPUTED_VALUE"""),450000.0)</f>
        <v>450000</v>
      </c>
      <c r="Z286" s="22">
        <f>IFERROR(__xludf.DUMMYFUNCTION("""COMPUTED_VALUE"""),450000.0)</f>
        <v>450000</v>
      </c>
      <c r="AA286" s="28"/>
      <c r="AB286" s="22">
        <f>IFERROR(__xludf.DUMMYFUNCTION("""COMPUTED_VALUE"""),500000.0)</f>
        <v>500000</v>
      </c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2">
        <f>IFERROR(__xludf.DUMMYFUNCTION("""COMPUTED_VALUE"""),500000.0)</f>
        <v>500000</v>
      </c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2">
        <f>IFERROR(__xludf.DUMMYFUNCTION("""COMPUTED_VALUE"""),3150000.0)</f>
        <v>3150000</v>
      </c>
      <c r="BD286" s="22">
        <f>IFERROR(__xludf.DUMMYFUNCTION("""COMPUTED_VALUE"""),1600000.0)</f>
        <v>1600000</v>
      </c>
      <c r="BE286" s="22">
        <f>IFERROR(__xludf.DUMMYFUNCTION("""COMPUTED_VALUE"""),0.0)</f>
        <v>0</v>
      </c>
      <c r="BF286" s="22">
        <f>IFERROR(__xludf.DUMMYFUNCTION("""COMPUTED_VALUE"""),4750000.0)</f>
        <v>4750000</v>
      </c>
    </row>
    <row r="287">
      <c r="A287" s="27">
        <f>IFERROR(__xludf.DUMMYFUNCTION("""COMPUTED_VALUE"""),286.0)</f>
        <v>286</v>
      </c>
      <c r="B287" s="28" t="str">
        <f>IFERROR(__xludf.DUMMYFUNCTION("""COMPUTED_VALUE"""),"SYAFA`ATUL INAYAH")</f>
        <v>SYAFA`ATUL INAYAH</v>
      </c>
      <c r="C287" s="28">
        <f>IFERROR(__xludf.DUMMYFUNCTION("""COMPUTED_VALUE"""),2.025070405E9)</f>
        <v>2025070405</v>
      </c>
      <c r="D287" s="28" t="str">
        <f>IFERROR(__xludf.DUMMYFUNCTION("""COMPUTED_VALUE"""),"SHODIQIN")</f>
        <v>SHODIQIN</v>
      </c>
      <c r="E287" s="28" t="str">
        <f>IFERROR(__xludf.DUMMYFUNCTION("""COMPUTED_VALUE"""),"AFIFAH")</f>
        <v>AFIFAH</v>
      </c>
      <c r="F287" s="28" t="str">
        <f>IFERROR(__xludf.DUMMYFUNCTION("""COMPUTED_VALUE"""),"GOWAH POMAHANJANGGAN RT 001 RW 001 TURI LAMONGAN")</f>
        <v>GOWAH POMAHANJANGGAN RT 001 RW 001 TURI LAMONGAN</v>
      </c>
      <c r="G287" s="28" t="str">
        <f>IFERROR(__xludf.DUMMYFUNCTION("""COMPUTED_VALUE"""),"MA-XI.1")</f>
        <v>MA-XI.1</v>
      </c>
      <c r="H287" s="28" t="str">
        <f>IFERROR(__xludf.DUMMYFUNCTION("""COMPUTED_VALUE"""),"D")</f>
        <v>D</v>
      </c>
      <c r="I287" s="28" t="str">
        <f>IFERROR(__xludf.DUMMYFUNCTION("""COMPUTED_VALUE"""),"D-7")</f>
        <v>D-7</v>
      </c>
      <c r="J287" s="28">
        <f>IFERROR(__xludf.DUMMYFUNCTION("""COMPUTED_VALUE"""),2.0)</f>
        <v>2</v>
      </c>
      <c r="K287" s="28" t="str">
        <f>IFERROR(__xludf.DUMMYFUNCTION("""COMPUTED_VALUE"""),"TAHFIDZ")</f>
        <v>TAHFIDZ</v>
      </c>
      <c r="L287" s="29" t="str">
        <f>IFERROR(__xludf.DUMMYFUNCTION("""COMPUTED_VALUE"""),"6285759178949")</f>
        <v>6285759178949</v>
      </c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2">
        <f>IFERROR(__xludf.DUMMYFUNCTION("""COMPUTED_VALUE"""),0.0)</f>
        <v>0</v>
      </c>
      <c r="BD287" s="22">
        <f>IFERROR(__xludf.DUMMYFUNCTION("""COMPUTED_VALUE"""),0.0)</f>
        <v>0</v>
      </c>
      <c r="BE287" s="22">
        <f>IFERROR(__xludf.DUMMYFUNCTION("""COMPUTED_VALUE"""),0.0)</f>
        <v>0</v>
      </c>
      <c r="BF287" s="22">
        <f>IFERROR(__xludf.DUMMYFUNCTION("""COMPUTED_VALUE"""),0.0)</f>
        <v>0</v>
      </c>
    </row>
    <row r="288">
      <c r="A288" s="27">
        <f>IFERROR(__xludf.DUMMYFUNCTION("""COMPUTED_VALUE"""),287.0)</f>
        <v>287</v>
      </c>
      <c r="B288" s="28" t="str">
        <f>IFERROR(__xludf.DUMMYFUNCTION("""COMPUTED_VALUE"""),"SYARIFATUL ULEM AZ ZUMY")</f>
        <v>SYARIFATUL ULEM AZ ZUMY</v>
      </c>
      <c r="C288" s="28">
        <f>IFERROR(__xludf.DUMMYFUNCTION("""COMPUTED_VALUE"""),2.025070361E9)</f>
        <v>2025070361</v>
      </c>
      <c r="D288" s="28" t="str">
        <f>IFERROR(__xludf.DUMMYFUNCTION("""COMPUTED_VALUE"""),"MATUHUM")</f>
        <v>MATUHUM</v>
      </c>
      <c r="E288" s="28" t="str">
        <f>IFERROR(__xludf.DUMMYFUNCTION("""COMPUTED_VALUE"""),"SITI HABIBAH")</f>
        <v>SITI HABIBAH</v>
      </c>
      <c r="F288" s="28" t="str">
        <f>IFERROR(__xludf.DUMMYFUNCTION("""COMPUTED_VALUE"""),"KEPUDIWETAN KEPUDIBENER RT 001 RW 002 TURI LAMONGAN")</f>
        <v>KEPUDIWETAN KEPUDIBENER RT 001 RW 002 TURI LAMONGAN</v>
      </c>
      <c r="G288" s="28" t="str">
        <f>IFERROR(__xludf.DUMMYFUNCTION("""COMPUTED_VALUE"""),"MA-XI.2")</f>
        <v>MA-XI.2</v>
      </c>
      <c r="H288" s="28" t="str">
        <f>IFERROR(__xludf.DUMMYFUNCTION("""COMPUTED_VALUE"""),"D")</f>
        <v>D</v>
      </c>
      <c r="I288" s="28" t="str">
        <f>IFERROR(__xludf.DUMMYFUNCTION("""COMPUTED_VALUE"""),"D-8")</f>
        <v>D-8</v>
      </c>
      <c r="J288" s="28">
        <f>IFERROR(__xludf.DUMMYFUNCTION("""COMPUTED_VALUE"""),2.0)</f>
        <v>2</v>
      </c>
      <c r="K288" s="28" t="str">
        <f>IFERROR(__xludf.DUMMYFUNCTION("""COMPUTED_VALUE"""),"2 WUSTHO A PUTRI")</f>
        <v>2 WUSTHO A PUTRI</v>
      </c>
      <c r="L288" s="29" t="str">
        <f>IFERROR(__xludf.DUMMYFUNCTION("""COMPUTED_VALUE"""),"6281515883545")</f>
        <v>6281515883545</v>
      </c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2">
        <f>IFERROR(__xludf.DUMMYFUNCTION("""COMPUTED_VALUE"""),450000.0)</f>
        <v>450000</v>
      </c>
      <c r="Z288" s="22">
        <f>IFERROR(__xludf.DUMMYFUNCTION("""COMPUTED_VALUE"""),450000.0)</f>
        <v>450000</v>
      </c>
      <c r="AA288" s="28"/>
      <c r="AB288" s="22">
        <f>IFERROR(__xludf.DUMMYFUNCTION("""COMPUTED_VALUE"""),500000.0)</f>
        <v>500000</v>
      </c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2">
        <f>IFERROR(__xludf.DUMMYFUNCTION("""COMPUTED_VALUE"""),500000.0)</f>
        <v>500000</v>
      </c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2">
        <f>IFERROR(__xludf.DUMMYFUNCTION("""COMPUTED_VALUE"""),900000.0)</f>
        <v>900000</v>
      </c>
      <c r="BD288" s="22">
        <f>IFERROR(__xludf.DUMMYFUNCTION("""COMPUTED_VALUE"""),1000000.0)</f>
        <v>1000000</v>
      </c>
      <c r="BE288" s="22">
        <f>IFERROR(__xludf.DUMMYFUNCTION("""COMPUTED_VALUE"""),0.0)</f>
        <v>0</v>
      </c>
      <c r="BF288" s="22">
        <f>IFERROR(__xludf.DUMMYFUNCTION("""COMPUTED_VALUE"""),1900000.0)</f>
        <v>1900000</v>
      </c>
    </row>
    <row r="289">
      <c r="A289" s="27">
        <f>IFERROR(__xludf.DUMMYFUNCTION("""COMPUTED_VALUE"""),288.0)</f>
        <v>288</v>
      </c>
      <c r="B289" s="28" t="str">
        <f>IFERROR(__xludf.DUMMYFUNCTION("""COMPUTED_VALUE"""),"VANESA MAURA AS SHAFANIA")</f>
        <v>VANESA MAURA AS SHAFANIA</v>
      </c>
      <c r="C289" s="28">
        <f>IFERROR(__xludf.DUMMYFUNCTION("""COMPUTED_VALUE"""),2.02507025E9)</f>
        <v>2025070250</v>
      </c>
      <c r="D289" s="28" t="str">
        <f>IFERROR(__xludf.DUMMYFUNCTION("""COMPUTED_VALUE"""),"SUMARTONO")</f>
        <v>SUMARTONO</v>
      </c>
      <c r="E289" s="28" t="str">
        <f>IFERROR(__xludf.DUMMYFUNCTION("""COMPUTED_VALUE"""),"NI'AM AL ULYA")</f>
        <v>NI'AM AL ULYA</v>
      </c>
      <c r="F289" s="28" t="str">
        <f>IFERROR(__xludf.DUMMYFUNCTION("""COMPUTED_VALUE"""),"KARANGTAWAR RT 003 RW 001 LAREN LAMONGAN")</f>
        <v>KARANGTAWAR RT 003 RW 001 LAREN LAMONGAN</v>
      </c>
      <c r="G289" s="28" t="str">
        <f>IFERROR(__xludf.DUMMYFUNCTION("""COMPUTED_VALUE"""),"MA-XI.3")</f>
        <v>MA-XI.3</v>
      </c>
      <c r="H289" s="28" t="str">
        <f>IFERROR(__xludf.DUMMYFUNCTION("""COMPUTED_VALUE"""),"D")</f>
        <v>D</v>
      </c>
      <c r="I289" s="28" t="str">
        <f>IFERROR(__xludf.DUMMYFUNCTION("""COMPUTED_VALUE"""),"D-8")</f>
        <v>D-8</v>
      </c>
      <c r="J289" s="28">
        <f>IFERROR(__xludf.DUMMYFUNCTION("""COMPUTED_VALUE"""),2.0)</f>
        <v>2</v>
      </c>
      <c r="K289" s="28" t="str">
        <f>IFERROR(__xludf.DUMMYFUNCTION("""COMPUTED_VALUE"""),"2 WUSTHO A PUTRI")</f>
        <v>2 WUSTHO A PUTRI</v>
      </c>
      <c r="L289" s="29" t="str">
        <f>IFERROR(__xludf.DUMMYFUNCTION("""COMPUTED_VALUE"""),"6285648260302")</f>
        <v>6285648260302</v>
      </c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2">
        <f>IFERROR(__xludf.DUMMYFUNCTION("""COMPUTED_VALUE"""),0.0)</f>
        <v>0</v>
      </c>
      <c r="BD289" s="22">
        <f>IFERROR(__xludf.DUMMYFUNCTION("""COMPUTED_VALUE"""),0.0)</f>
        <v>0</v>
      </c>
      <c r="BE289" s="22">
        <f>IFERROR(__xludf.DUMMYFUNCTION("""COMPUTED_VALUE"""),0.0)</f>
        <v>0</v>
      </c>
      <c r="BF289" s="22">
        <f>IFERROR(__xludf.DUMMYFUNCTION("""COMPUTED_VALUE"""),0.0)</f>
        <v>0</v>
      </c>
    </row>
    <row r="290">
      <c r="A290" s="27">
        <f>IFERROR(__xludf.DUMMYFUNCTION("""COMPUTED_VALUE"""),289.0)</f>
        <v>289</v>
      </c>
      <c r="B290" s="28" t="str">
        <f>IFERROR(__xludf.DUMMYFUNCTION("""COMPUTED_VALUE"""),"VELANI MAKHSUFI AZZARETHA")</f>
        <v>VELANI MAKHSUFI AZZARETHA</v>
      </c>
      <c r="C290" s="28">
        <f>IFERROR(__xludf.DUMMYFUNCTION("""COMPUTED_VALUE"""),2.025070171E9)</f>
        <v>2025070171</v>
      </c>
      <c r="D290" s="28" t="str">
        <f>IFERROR(__xludf.DUMMYFUNCTION("""COMPUTED_VALUE"""),"SHODIKIN")</f>
        <v>SHODIKIN</v>
      </c>
      <c r="E290" s="28" t="str">
        <f>IFERROR(__xludf.DUMMYFUNCTION("""COMPUTED_VALUE"""),"YENI WIDIAWATI")</f>
        <v>YENI WIDIAWATI</v>
      </c>
      <c r="F290" s="28" t="str">
        <f>IFERROR(__xludf.DUMMYFUNCTION("""COMPUTED_VALUE"""),"BANJARMADU RT 002 RW 002 KARANGGENENG LAMONGAN")</f>
        <v>BANJARMADU RT 002 RW 002 KARANGGENENG LAMONGAN</v>
      </c>
      <c r="G290" s="28" t="str">
        <f>IFERROR(__xludf.DUMMYFUNCTION("""COMPUTED_VALUE"""),"MA-XI.13")</f>
        <v>MA-XI.13</v>
      </c>
      <c r="H290" s="28" t="str">
        <f>IFERROR(__xludf.DUMMYFUNCTION("""COMPUTED_VALUE"""),"D")</f>
        <v>D</v>
      </c>
      <c r="I290" s="28" t="str">
        <f>IFERROR(__xludf.DUMMYFUNCTION("""COMPUTED_VALUE"""),"D-7")</f>
        <v>D-7</v>
      </c>
      <c r="J290" s="28">
        <f>IFERROR(__xludf.DUMMYFUNCTION("""COMPUTED_VALUE"""),2.0)</f>
        <v>2</v>
      </c>
      <c r="K290" s="28" t="str">
        <f>IFERROR(__xludf.DUMMYFUNCTION("""COMPUTED_VALUE"""),"2 MAK PUTRI")</f>
        <v>2 MAK PUTRI</v>
      </c>
      <c r="L290" s="29" t="str">
        <f>IFERROR(__xludf.DUMMYFUNCTION("""COMPUTED_VALUE"""),"6285748191884")</f>
        <v>6285748191884</v>
      </c>
      <c r="M290" s="28"/>
      <c r="N290" s="28"/>
      <c r="O290" s="28"/>
      <c r="P290" s="28"/>
      <c r="Q290" s="28"/>
      <c r="R290" s="28"/>
      <c r="S290" s="28"/>
      <c r="T290" s="22">
        <f>IFERROR(__xludf.DUMMYFUNCTION("""COMPUTED_VALUE"""),450000.0)</f>
        <v>450000</v>
      </c>
      <c r="U290" s="22">
        <f>IFERROR(__xludf.DUMMYFUNCTION("""COMPUTED_VALUE"""),450000.0)</f>
        <v>450000</v>
      </c>
      <c r="V290" s="22">
        <f>IFERROR(__xludf.DUMMYFUNCTION("""COMPUTED_VALUE"""),450000.0)</f>
        <v>450000</v>
      </c>
      <c r="W290" s="22">
        <f>IFERROR(__xludf.DUMMYFUNCTION("""COMPUTED_VALUE"""),450000.0)</f>
        <v>450000</v>
      </c>
      <c r="X290" s="22">
        <f>IFERROR(__xludf.DUMMYFUNCTION("""COMPUTED_VALUE"""),450000.0)</f>
        <v>450000</v>
      </c>
      <c r="Y290" s="22">
        <f>IFERROR(__xludf.DUMMYFUNCTION("""COMPUTED_VALUE"""),450000.0)</f>
        <v>450000</v>
      </c>
      <c r="Z290" s="22">
        <f>IFERROR(__xludf.DUMMYFUNCTION("""COMPUTED_VALUE"""),450000.0)</f>
        <v>450000</v>
      </c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2">
        <f>IFERROR(__xludf.DUMMYFUNCTION("""COMPUTED_VALUE"""),3150000.0)</f>
        <v>3150000</v>
      </c>
      <c r="BD290" s="22">
        <f>IFERROR(__xludf.DUMMYFUNCTION("""COMPUTED_VALUE"""),0.0)</f>
        <v>0</v>
      </c>
      <c r="BE290" s="22">
        <f>IFERROR(__xludf.DUMMYFUNCTION("""COMPUTED_VALUE"""),0.0)</f>
        <v>0</v>
      </c>
      <c r="BF290" s="22">
        <f>IFERROR(__xludf.DUMMYFUNCTION("""COMPUTED_VALUE"""),3150000.0)</f>
        <v>3150000</v>
      </c>
    </row>
    <row r="291">
      <c r="A291" s="27">
        <f>IFERROR(__xludf.DUMMYFUNCTION("""COMPUTED_VALUE"""),290.0)</f>
        <v>290</v>
      </c>
      <c r="B291" s="28" t="str">
        <f>IFERROR(__xludf.DUMMYFUNCTION("""COMPUTED_VALUE"""),"ZUMLATIN AZFIRUH RIZFAH")</f>
        <v>ZUMLATIN AZFIRUH RIZFAH</v>
      </c>
      <c r="C291" s="28">
        <f>IFERROR(__xludf.DUMMYFUNCTION("""COMPUTED_VALUE"""),2.025070383E9)</f>
        <v>2025070383</v>
      </c>
      <c r="D291" s="28" t="str">
        <f>IFERROR(__xludf.DUMMYFUNCTION("""COMPUTED_VALUE"""),"AKHMAD JAIS")</f>
        <v>AKHMAD JAIS</v>
      </c>
      <c r="E291" s="28" t="str">
        <f>IFERROR(__xludf.DUMMYFUNCTION("""COMPUTED_VALUE"""),"SURI`AH")</f>
        <v>SURI`AH</v>
      </c>
      <c r="F291" s="28" t="str">
        <f>IFERROR(__xludf.DUMMYFUNCTION("""COMPUTED_VALUE"""),"NGUJUNG NGUJUNGREJO RT 005 RW 002 TURI LAMONGAN")</f>
        <v>NGUJUNG NGUJUNGREJO RT 005 RW 002 TURI LAMONGAN</v>
      </c>
      <c r="G291" s="28" t="str">
        <f>IFERROR(__xludf.DUMMYFUNCTION("""COMPUTED_VALUE"""),"MA-XI.11")</f>
        <v>MA-XI.11</v>
      </c>
      <c r="H291" s="28" t="str">
        <f>IFERROR(__xludf.DUMMYFUNCTION("""COMPUTED_VALUE"""),"D")</f>
        <v>D</v>
      </c>
      <c r="I291" s="28" t="str">
        <f>IFERROR(__xludf.DUMMYFUNCTION("""COMPUTED_VALUE"""),"D-8")</f>
        <v>D-8</v>
      </c>
      <c r="J291" s="28">
        <f>IFERROR(__xludf.DUMMYFUNCTION("""COMPUTED_VALUE"""),2.0)</f>
        <v>2</v>
      </c>
      <c r="K291" s="28" t="str">
        <f>IFERROR(__xludf.DUMMYFUNCTION("""COMPUTED_VALUE"""),"2 WUSTHO A PUTRI")</f>
        <v>2 WUSTHO A PUTRI</v>
      </c>
      <c r="L291" s="29" t="str">
        <f>IFERROR(__xludf.DUMMYFUNCTION("""COMPUTED_VALUE"""),"6282331336664")</f>
        <v>6282331336664</v>
      </c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2">
        <f>IFERROR(__xludf.DUMMYFUNCTION("""COMPUTED_VALUE"""),500000.0)</f>
        <v>500000</v>
      </c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2">
        <f>IFERROR(__xludf.DUMMYFUNCTION("""COMPUTED_VALUE"""),500000.0)</f>
        <v>500000</v>
      </c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2">
        <f>IFERROR(__xludf.DUMMYFUNCTION("""COMPUTED_VALUE"""),0.0)</f>
        <v>0</v>
      </c>
      <c r="BD291" s="22">
        <f>IFERROR(__xludf.DUMMYFUNCTION("""COMPUTED_VALUE"""),1000000.0)</f>
        <v>1000000</v>
      </c>
      <c r="BE291" s="22">
        <f>IFERROR(__xludf.DUMMYFUNCTION("""COMPUTED_VALUE"""),0.0)</f>
        <v>0</v>
      </c>
      <c r="BF291" s="22">
        <f>IFERROR(__xludf.DUMMYFUNCTION("""COMPUTED_VALUE"""),1000000.0)</f>
        <v>1000000</v>
      </c>
    </row>
    <row r="292">
      <c r="A292" s="27">
        <f>IFERROR(__xludf.DUMMYFUNCTION("""COMPUTED_VALUE"""),291.0)</f>
        <v>291</v>
      </c>
      <c r="B292" s="28" t="str">
        <f>IFERROR(__xludf.DUMMYFUNCTION("""COMPUTED_VALUE"""),"AFRA NAILA ARKARNA")</f>
        <v>AFRA NAILA ARKARNA</v>
      </c>
      <c r="C292" s="28">
        <f>IFERROR(__xludf.DUMMYFUNCTION("""COMPUTED_VALUE"""),2.025070164E9)</f>
        <v>2025070164</v>
      </c>
      <c r="D292" s="28" t="str">
        <f>IFERROR(__xludf.DUMMYFUNCTION("""COMPUTED_VALUE"""),"SUMANTRI")</f>
        <v>SUMANTRI</v>
      </c>
      <c r="E292" s="28" t="str">
        <f>IFERROR(__xludf.DUMMYFUNCTION("""COMPUTED_VALUE"""),"ENDANG ASTUTIK")</f>
        <v>ENDANG ASTUTIK</v>
      </c>
      <c r="F292" s="28" t="str">
        <f>IFERROR(__xludf.DUMMYFUNCTION("""COMPUTED_VALUE"""),"RANDUBENER RT 007 RW 002 KEMBANGBAHU LAMONGAN")</f>
        <v>RANDUBENER RT 007 RW 002 KEMBANGBAHU LAMONGAN</v>
      </c>
      <c r="G292" s="28" t="str">
        <f>IFERROR(__xludf.DUMMYFUNCTION("""COMPUTED_VALUE"""),"MA-XI.12")</f>
        <v>MA-XI.12</v>
      </c>
      <c r="H292" s="28" t="str">
        <f>IFERROR(__xludf.DUMMYFUNCTION("""COMPUTED_VALUE"""),"E")</f>
        <v>E</v>
      </c>
      <c r="I292" s="28" t="str">
        <f>IFERROR(__xludf.DUMMYFUNCTION("""COMPUTED_VALUE"""),"E-5")</f>
        <v>E-5</v>
      </c>
      <c r="J292" s="28">
        <f>IFERROR(__xludf.DUMMYFUNCTION("""COMPUTED_VALUE"""),2.0)</f>
        <v>2</v>
      </c>
      <c r="K292" s="28" t="str">
        <f>IFERROR(__xludf.DUMMYFUNCTION("""COMPUTED_VALUE"""),"2 WUSTHO B PUTRI")</f>
        <v>2 WUSTHO B PUTRI</v>
      </c>
      <c r="L292" s="29" t="str">
        <f>IFERROR(__xludf.DUMMYFUNCTION("""COMPUTED_VALUE"""),"62881026635988")</f>
        <v>62881026635988</v>
      </c>
      <c r="M292" s="28"/>
      <c r="N292" s="22">
        <f>IFERROR(__xludf.DUMMYFUNCTION("""COMPUTED_VALUE"""),200000.0)</f>
        <v>200000</v>
      </c>
      <c r="O292" s="22">
        <f>IFERROR(__xludf.DUMMYFUNCTION("""COMPUTED_VALUE"""),450000.0)</f>
        <v>450000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2">
        <f>IFERROR(__xludf.DUMMYFUNCTION("""COMPUTED_VALUE"""),500000.0)</f>
        <v>500000</v>
      </c>
      <c r="AA292" s="28"/>
      <c r="AB292" s="22">
        <f>IFERROR(__xludf.DUMMYFUNCTION("""COMPUTED_VALUE"""),300000.0)</f>
        <v>300000</v>
      </c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2">
        <f>IFERROR(__xludf.DUMMYFUNCTION("""COMPUTED_VALUE"""),500000.0)</f>
        <v>500000</v>
      </c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2">
        <f>IFERROR(__xludf.DUMMYFUNCTION("""COMPUTED_VALUE"""),950000.0)</f>
        <v>950000</v>
      </c>
      <c r="BD292" s="22">
        <f>IFERROR(__xludf.DUMMYFUNCTION("""COMPUTED_VALUE"""),800000.0)</f>
        <v>800000</v>
      </c>
      <c r="BE292" s="22">
        <f>IFERROR(__xludf.DUMMYFUNCTION("""COMPUTED_VALUE"""),0.0)</f>
        <v>0</v>
      </c>
      <c r="BF292" s="22">
        <f>IFERROR(__xludf.DUMMYFUNCTION("""COMPUTED_VALUE"""),1750000.0)</f>
        <v>1750000</v>
      </c>
    </row>
    <row r="293">
      <c r="A293" s="27">
        <f>IFERROR(__xludf.DUMMYFUNCTION("""COMPUTED_VALUE"""),292.0)</f>
        <v>292</v>
      </c>
      <c r="B293" s="28" t="str">
        <f>IFERROR(__xludf.DUMMYFUNCTION("""COMPUTED_VALUE"""),"ALMIRA GHANIYAH AZ-ZAHRAH")</f>
        <v>ALMIRA GHANIYAH AZ-ZAHRAH</v>
      </c>
      <c r="C293" s="28">
        <f>IFERROR(__xludf.DUMMYFUNCTION("""COMPUTED_VALUE"""),2.025070071E9)</f>
        <v>2025070071</v>
      </c>
      <c r="D293" s="28" t="str">
        <f>IFERROR(__xludf.DUMMYFUNCTION("""COMPUTED_VALUE"""),"HADI SUPRAYITNO")</f>
        <v>HADI SUPRAYITNO</v>
      </c>
      <c r="E293" s="28" t="str">
        <f>IFERROR(__xludf.DUMMYFUNCTION("""COMPUTED_VALUE"""),"NUR LAILI")</f>
        <v>NUR LAILI</v>
      </c>
      <c r="F293" s="28" t="str">
        <f>IFERROR(__xludf.DUMMYFUNCTION("""COMPUTED_VALUE"""),"TUMENGGUNGAN RT 003 RW 006 LAMONGAN LAMONGAN")</f>
        <v>TUMENGGUNGAN RT 003 RW 006 LAMONGAN LAMONGAN</v>
      </c>
      <c r="G293" s="28" t="str">
        <f>IFERROR(__xludf.DUMMYFUNCTION("""COMPUTED_VALUE"""),"MA-XI.5")</f>
        <v>MA-XI.5</v>
      </c>
      <c r="H293" s="28" t="str">
        <f>IFERROR(__xludf.DUMMYFUNCTION("""COMPUTED_VALUE"""),"E")</f>
        <v>E</v>
      </c>
      <c r="I293" s="28" t="str">
        <f>IFERROR(__xludf.DUMMYFUNCTION("""COMPUTED_VALUE"""),"E-5")</f>
        <v>E-5</v>
      </c>
      <c r="J293" s="28">
        <f>IFERROR(__xludf.DUMMYFUNCTION("""COMPUTED_VALUE"""),2.0)</f>
        <v>2</v>
      </c>
      <c r="K293" s="28" t="str">
        <f>IFERROR(__xludf.DUMMYFUNCTION("""COMPUTED_VALUE"""),"2 WUSTHO B PUTRI")</f>
        <v>2 WUSTHO B PUTRI</v>
      </c>
      <c r="L293" s="29" t="str">
        <f>IFERROR(__xludf.DUMMYFUNCTION("""COMPUTED_VALUE"""),"62895410761833")</f>
        <v>62895410761833</v>
      </c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2">
        <f>IFERROR(__xludf.DUMMYFUNCTION("""COMPUTED_VALUE"""),0.0)</f>
        <v>0</v>
      </c>
      <c r="BD293" s="22">
        <f>IFERROR(__xludf.DUMMYFUNCTION("""COMPUTED_VALUE"""),0.0)</f>
        <v>0</v>
      </c>
      <c r="BE293" s="22">
        <f>IFERROR(__xludf.DUMMYFUNCTION("""COMPUTED_VALUE"""),0.0)</f>
        <v>0</v>
      </c>
      <c r="BF293" s="22">
        <f>IFERROR(__xludf.DUMMYFUNCTION("""COMPUTED_VALUE"""),0.0)</f>
        <v>0</v>
      </c>
    </row>
    <row r="294">
      <c r="A294" s="27">
        <f>IFERROR(__xludf.DUMMYFUNCTION("""COMPUTED_VALUE"""),293.0)</f>
        <v>293</v>
      </c>
      <c r="B294" s="28" t="str">
        <f>IFERROR(__xludf.DUMMYFUNCTION("""COMPUTED_VALUE"""),"ALVINA AGHNIYA FATMAH")</f>
        <v>ALVINA AGHNIYA FATMAH</v>
      </c>
      <c r="C294" s="28">
        <f>IFERROR(__xludf.DUMMYFUNCTION("""COMPUTED_VALUE"""),2.025070316E9)</f>
        <v>2025070316</v>
      </c>
      <c r="D294" s="28" t="str">
        <f>IFERROR(__xludf.DUMMYFUNCTION("""COMPUTED_VALUE"""),"EFENDI")</f>
        <v>EFENDI</v>
      </c>
      <c r="E294" s="28" t="str">
        <f>IFERROR(__xludf.DUMMYFUNCTION("""COMPUTED_VALUE"""),"NUR ELIS MUNASHOFA")</f>
        <v>NUR ELIS MUNASHOFA</v>
      </c>
      <c r="F294" s="28" t="str">
        <f>IFERROR(__xludf.DUMMYFUNCTION("""COMPUTED_VALUE"""),"SUNAN MURIA LATUKAN RT 002 RW 001 KARANGGENENG LAMONGAN")</f>
        <v>SUNAN MURIA LATUKAN RT 002 RW 001 KARANGGENENG LAMONGAN</v>
      </c>
      <c r="G294" s="28" t="str">
        <f>IFERROR(__xludf.DUMMYFUNCTION("""COMPUTED_VALUE"""),"MA-XI.1")</f>
        <v>MA-XI.1</v>
      </c>
      <c r="H294" s="28" t="str">
        <f>IFERROR(__xludf.DUMMYFUNCTION("""COMPUTED_VALUE"""),"E")</f>
        <v>E</v>
      </c>
      <c r="I294" s="28" t="str">
        <f>IFERROR(__xludf.DUMMYFUNCTION("""COMPUTED_VALUE"""),"E-5")</f>
        <v>E-5</v>
      </c>
      <c r="J294" s="28">
        <f>IFERROR(__xludf.DUMMYFUNCTION("""COMPUTED_VALUE"""),2.0)</f>
        <v>2</v>
      </c>
      <c r="K294" s="28" t="str">
        <f>IFERROR(__xludf.DUMMYFUNCTION("""COMPUTED_VALUE"""),"TAHFIDZ")</f>
        <v>TAHFIDZ</v>
      </c>
      <c r="L294" s="29" t="str">
        <f>IFERROR(__xludf.DUMMYFUNCTION("""COMPUTED_VALUE"""),"6285802923208")</f>
        <v>6285802923208</v>
      </c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2">
        <f>IFERROR(__xludf.DUMMYFUNCTION("""COMPUTED_VALUE"""),500000.0)</f>
        <v>500000</v>
      </c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2">
        <f>IFERROR(__xludf.DUMMYFUNCTION("""COMPUTED_VALUE"""),500000.0)</f>
        <v>500000</v>
      </c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2">
        <f>IFERROR(__xludf.DUMMYFUNCTION("""COMPUTED_VALUE"""),0.0)</f>
        <v>0</v>
      </c>
      <c r="BD294" s="22">
        <f>IFERROR(__xludf.DUMMYFUNCTION("""COMPUTED_VALUE"""),1000000.0)</f>
        <v>1000000</v>
      </c>
      <c r="BE294" s="22">
        <f>IFERROR(__xludf.DUMMYFUNCTION("""COMPUTED_VALUE"""),0.0)</f>
        <v>0</v>
      </c>
      <c r="BF294" s="22">
        <f>IFERROR(__xludf.DUMMYFUNCTION("""COMPUTED_VALUE"""),1000000.0)</f>
        <v>1000000</v>
      </c>
    </row>
    <row r="295">
      <c r="A295" s="27">
        <f>IFERROR(__xludf.DUMMYFUNCTION("""COMPUTED_VALUE"""),294.0)</f>
        <v>294</v>
      </c>
      <c r="B295" s="28" t="str">
        <f>IFERROR(__xludf.DUMMYFUNCTION("""COMPUTED_VALUE"""),"ANISA RETNO LULUK NUR MANGGALI")</f>
        <v>ANISA RETNO LULUK NUR MANGGALI</v>
      </c>
      <c r="C295" s="28">
        <f>IFERROR(__xludf.DUMMYFUNCTION("""COMPUTED_VALUE"""),2.025070598E9)</f>
        <v>2025070598</v>
      </c>
      <c r="D295" s="28" t="str">
        <f>IFERROR(__xludf.DUMMYFUNCTION("""COMPUTED_VALUE"""),"ARIPIN")</f>
        <v>ARIPIN</v>
      </c>
      <c r="E295" s="28" t="str">
        <f>IFERROR(__xludf.DUMMYFUNCTION("""COMPUTED_VALUE"""),"LULUK MAHFUDHOTIN")</f>
        <v>LULUK MAHFUDHOTIN</v>
      </c>
      <c r="F295" s="28" t="str">
        <f>IFERROR(__xludf.DUMMYFUNCTION("""COMPUTED_VALUE"""),"KLITIK RT 019 RW 005 SUGIHWARAS BOJONEGORO")</f>
        <v>KLITIK RT 019 RW 005 SUGIHWARAS BOJONEGORO</v>
      </c>
      <c r="G295" s="28" t="str">
        <f>IFERROR(__xludf.DUMMYFUNCTION("""COMPUTED_VALUE"""),"MTS-8 A")</f>
        <v>MTS-8 A</v>
      </c>
      <c r="H295" s="28" t="str">
        <f>IFERROR(__xludf.DUMMYFUNCTION("""COMPUTED_VALUE"""),"E")</f>
        <v>E</v>
      </c>
      <c r="I295" s="28" t="str">
        <f>IFERROR(__xludf.DUMMYFUNCTION("""COMPUTED_VALUE"""),"E-6")</f>
        <v>E-6</v>
      </c>
      <c r="J295" s="28">
        <f>IFERROR(__xludf.DUMMYFUNCTION("""COMPUTED_VALUE"""),2.0)</f>
        <v>2</v>
      </c>
      <c r="K295" s="28" t="str">
        <f>IFERROR(__xludf.DUMMYFUNCTION("""COMPUTED_VALUE"""),"2 ULA C PUTRI")</f>
        <v>2 ULA C PUTRI</v>
      </c>
      <c r="L295" s="29" t="str">
        <f>IFERROR(__xludf.DUMMYFUNCTION("""COMPUTED_VALUE"""),"6285749892788")</f>
        <v>6285749892788</v>
      </c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2">
        <f>IFERROR(__xludf.DUMMYFUNCTION("""COMPUTED_VALUE"""),100000.0)</f>
        <v>100000</v>
      </c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2">
        <f>IFERROR(__xludf.DUMMYFUNCTION("""COMPUTED_VALUE"""),100000.0)</f>
        <v>100000</v>
      </c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2">
        <f>IFERROR(__xludf.DUMMYFUNCTION("""COMPUTED_VALUE"""),0.0)</f>
        <v>0</v>
      </c>
      <c r="BD295" s="22">
        <f>IFERROR(__xludf.DUMMYFUNCTION("""COMPUTED_VALUE"""),200000.0)</f>
        <v>200000</v>
      </c>
      <c r="BE295" s="22">
        <f>IFERROR(__xludf.DUMMYFUNCTION("""COMPUTED_VALUE"""),0.0)</f>
        <v>0</v>
      </c>
      <c r="BF295" s="22">
        <f>IFERROR(__xludf.DUMMYFUNCTION("""COMPUTED_VALUE"""),200000.0)</f>
        <v>200000</v>
      </c>
    </row>
    <row r="296">
      <c r="A296" s="27">
        <f>IFERROR(__xludf.DUMMYFUNCTION("""COMPUTED_VALUE"""),295.0)</f>
        <v>295</v>
      </c>
      <c r="B296" s="28" t="str">
        <f>IFERROR(__xludf.DUMMYFUNCTION("""COMPUTED_VALUE"""),"ANITA RETNO LULUK NUR WAKISTASARI")</f>
        <v>ANITA RETNO LULUK NUR WAKISTASARI</v>
      </c>
      <c r="C296" s="28">
        <f>IFERROR(__xludf.DUMMYFUNCTION("""COMPUTED_VALUE"""),2.025070599E9)</f>
        <v>2025070599</v>
      </c>
      <c r="D296" s="28" t="str">
        <f>IFERROR(__xludf.DUMMYFUNCTION("""COMPUTED_VALUE"""),"ARIPIN")</f>
        <v>ARIPIN</v>
      </c>
      <c r="E296" s="28" t="str">
        <f>IFERROR(__xludf.DUMMYFUNCTION("""COMPUTED_VALUE"""),"LULUK MAHFUDHOTIN")</f>
        <v>LULUK MAHFUDHOTIN</v>
      </c>
      <c r="F296" s="28" t="str">
        <f>IFERROR(__xludf.DUMMYFUNCTION("""COMPUTED_VALUE"""),"KLITIK RT 019 RW 005 SUGIHWARAS BOJONEGORO")</f>
        <v>KLITIK RT 019 RW 005 SUGIHWARAS BOJONEGORO</v>
      </c>
      <c r="G296" s="28" t="str">
        <f>IFERROR(__xludf.DUMMYFUNCTION("""COMPUTED_VALUE"""),"MTS-8 A")</f>
        <v>MTS-8 A</v>
      </c>
      <c r="H296" s="28" t="str">
        <f>IFERROR(__xludf.DUMMYFUNCTION("""COMPUTED_VALUE"""),"E")</f>
        <v>E</v>
      </c>
      <c r="I296" s="28" t="str">
        <f>IFERROR(__xludf.DUMMYFUNCTION("""COMPUTED_VALUE"""),"E-6")</f>
        <v>E-6</v>
      </c>
      <c r="J296" s="28">
        <f>IFERROR(__xludf.DUMMYFUNCTION("""COMPUTED_VALUE"""),2.0)</f>
        <v>2</v>
      </c>
      <c r="K296" s="28" t="str">
        <f>IFERROR(__xludf.DUMMYFUNCTION("""COMPUTED_VALUE"""),"2 ULA B PUTRI")</f>
        <v>2 ULA B PUTRI</v>
      </c>
      <c r="L296" s="29" t="str">
        <f>IFERROR(__xludf.DUMMYFUNCTION("""COMPUTED_VALUE"""),"6285749892788")</f>
        <v>6285749892788</v>
      </c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2">
        <f>IFERROR(__xludf.DUMMYFUNCTION("""COMPUTED_VALUE"""),100000.0)</f>
        <v>100000</v>
      </c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2">
        <f>IFERROR(__xludf.DUMMYFUNCTION("""COMPUTED_VALUE"""),100000.0)</f>
        <v>100000</v>
      </c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2">
        <f>IFERROR(__xludf.DUMMYFUNCTION("""COMPUTED_VALUE"""),0.0)</f>
        <v>0</v>
      </c>
      <c r="BD296" s="22">
        <f>IFERROR(__xludf.DUMMYFUNCTION("""COMPUTED_VALUE"""),200000.0)</f>
        <v>200000</v>
      </c>
      <c r="BE296" s="22">
        <f>IFERROR(__xludf.DUMMYFUNCTION("""COMPUTED_VALUE"""),0.0)</f>
        <v>0</v>
      </c>
      <c r="BF296" s="22">
        <f>IFERROR(__xludf.DUMMYFUNCTION("""COMPUTED_VALUE"""),200000.0)</f>
        <v>200000</v>
      </c>
    </row>
    <row r="297">
      <c r="A297" s="27">
        <f>IFERROR(__xludf.DUMMYFUNCTION("""COMPUTED_VALUE"""),296.0)</f>
        <v>296</v>
      </c>
      <c r="B297" s="28" t="str">
        <f>IFERROR(__xludf.DUMMYFUNCTION("""COMPUTED_VALUE"""),"ASYIFATUR RAHMAH AL AZZA")</f>
        <v>ASYIFATUR RAHMAH AL AZZA</v>
      </c>
      <c r="C297" s="28">
        <f>IFERROR(__xludf.DUMMYFUNCTION("""COMPUTED_VALUE"""),2.025070664E9)</f>
        <v>2025070664</v>
      </c>
      <c r="D297" s="28" t="str">
        <f>IFERROR(__xludf.DUMMYFUNCTION("""COMPUTED_VALUE"""),"MARKUWAT")</f>
        <v>MARKUWAT</v>
      </c>
      <c r="E297" s="28" t="str">
        <f>IFERROR(__xludf.DUMMYFUNCTION("""COMPUTED_VALUE"""),"KHOLIFAH")</f>
        <v>KHOLIFAH</v>
      </c>
      <c r="F297" s="28" t="str">
        <f>IFERROR(__xludf.DUMMYFUNCTION("""COMPUTED_VALUE"""),"DIBEE RT 009 RW 003 KALITENGAH LAMONGAN")</f>
        <v>DIBEE RT 009 RW 003 KALITENGAH LAMONGAN</v>
      </c>
      <c r="G297" s="28" t="str">
        <f>IFERROR(__xludf.DUMMYFUNCTION("""COMPUTED_VALUE"""),"#N/A")</f>
        <v>#N/A</v>
      </c>
      <c r="H297" s="28" t="str">
        <f>IFERROR(__xludf.DUMMYFUNCTION("""COMPUTED_VALUE"""),"E")</f>
        <v>E</v>
      </c>
      <c r="I297" s="28" t="str">
        <f>IFERROR(__xludf.DUMMYFUNCTION("""COMPUTED_VALUE"""),"E-6")</f>
        <v>E-6</v>
      </c>
      <c r="J297" s="28">
        <f>IFERROR(__xludf.DUMMYFUNCTION("""COMPUTED_VALUE"""),2.0)</f>
        <v>2</v>
      </c>
      <c r="K297" s="28" t="str">
        <f>IFERROR(__xludf.DUMMYFUNCTION("""COMPUTED_VALUE"""),"2 ULA B PUTRI")</f>
        <v>2 ULA B PUTRI</v>
      </c>
      <c r="L297" s="29" t="str">
        <f>IFERROR(__xludf.DUMMYFUNCTION("""COMPUTED_VALUE"""),"6285859446395")</f>
        <v>6285859446395</v>
      </c>
      <c r="M297" s="28"/>
      <c r="N297" s="28"/>
      <c r="O297" s="28"/>
      <c r="P297" s="28"/>
      <c r="Q297" s="28"/>
      <c r="R297" s="28"/>
      <c r="S297" s="28"/>
      <c r="T297" s="28"/>
      <c r="U297" s="22">
        <f>IFERROR(__xludf.DUMMYFUNCTION("""COMPUTED_VALUE"""),500000.0)</f>
        <v>500000</v>
      </c>
      <c r="V297" s="22">
        <f>IFERROR(__xludf.DUMMYFUNCTION("""COMPUTED_VALUE"""),500000.0)</f>
        <v>500000</v>
      </c>
      <c r="W297" s="22">
        <f>IFERROR(__xludf.DUMMYFUNCTION("""COMPUTED_VALUE"""),500000.0)</f>
        <v>500000</v>
      </c>
      <c r="X297" s="22">
        <f>IFERROR(__xludf.DUMMYFUNCTION("""COMPUTED_VALUE"""),500000.0)</f>
        <v>500000</v>
      </c>
      <c r="Y297" s="22">
        <f>IFERROR(__xludf.DUMMYFUNCTION("""COMPUTED_VALUE"""),500000.0)</f>
        <v>500000</v>
      </c>
      <c r="Z297" s="22">
        <f>IFERROR(__xludf.DUMMYFUNCTION("""COMPUTED_VALUE"""),500000.0)</f>
        <v>500000</v>
      </c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2">
        <f>IFERROR(__xludf.DUMMYFUNCTION("""COMPUTED_VALUE"""),3000000.0)</f>
        <v>3000000</v>
      </c>
      <c r="BD297" s="22">
        <f>IFERROR(__xludf.DUMMYFUNCTION("""COMPUTED_VALUE"""),0.0)</f>
        <v>0</v>
      </c>
      <c r="BE297" s="22">
        <f>IFERROR(__xludf.DUMMYFUNCTION("""COMPUTED_VALUE"""),0.0)</f>
        <v>0</v>
      </c>
      <c r="BF297" s="22">
        <f>IFERROR(__xludf.DUMMYFUNCTION("""COMPUTED_VALUE"""),3000000.0)</f>
        <v>3000000</v>
      </c>
    </row>
    <row r="298">
      <c r="A298" s="27">
        <f>IFERROR(__xludf.DUMMYFUNCTION("""COMPUTED_VALUE"""),297.0)</f>
        <v>297</v>
      </c>
      <c r="B298" s="28" t="str">
        <f>IFERROR(__xludf.DUMMYFUNCTION("""COMPUTED_VALUE"""),"AZZAHRA SAYLA RAHMAH")</f>
        <v>AZZAHRA SAYLA RAHMAH</v>
      </c>
      <c r="C298" s="28">
        <f>IFERROR(__xludf.DUMMYFUNCTION("""COMPUTED_VALUE"""),2.025070536E9)</f>
        <v>2025070536</v>
      </c>
      <c r="D298" s="28" t="str">
        <f>IFERROR(__xludf.DUMMYFUNCTION("""COMPUTED_VALUE"""),"MISBAKHUL KHOIR")</f>
        <v>MISBAKHUL KHOIR</v>
      </c>
      <c r="E298" s="28" t="str">
        <f>IFERROR(__xludf.DUMMYFUNCTION("""COMPUTED_VALUE"""),"ZAHROTUL HASANAH")</f>
        <v>ZAHROTUL HASANAH</v>
      </c>
      <c r="F298" s="28" t="str">
        <f>IFERROR(__xludf.DUMMYFUNCTION("""COMPUTED_VALUE"""),"DAGAN RT 003 RW 004 SOLOKURO LAMONGAN")</f>
        <v>DAGAN RT 003 RW 004 SOLOKURO LAMONGAN</v>
      </c>
      <c r="G298" s="28" t="str">
        <f>IFERROR(__xludf.DUMMYFUNCTION("""COMPUTED_VALUE"""),"MTS-8 E")</f>
        <v>MTS-8 E</v>
      </c>
      <c r="H298" s="28" t="str">
        <f>IFERROR(__xludf.DUMMYFUNCTION("""COMPUTED_VALUE"""),"E")</f>
        <v>E</v>
      </c>
      <c r="I298" s="28" t="str">
        <f>IFERROR(__xludf.DUMMYFUNCTION("""COMPUTED_VALUE"""),"E-4")</f>
        <v>E-4</v>
      </c>
      <c r="J298" s="28">
        <f>IFERROR(__xludf.DUMMYFUNCTION("""COMPUTED_VALUE"""),2.0)</f>
        <v>2</v>
      </c>
      <c r="K298" s="28" t="str">
        <f>IFERROR(__xludf.DUMMYFUNCTION("""COMPUTED_VALUE"""),"2 ULA A PUTRI")</f>
        <v>2 ULA A PUTRI</v>
      </c>
      <c r="L298" s="29" t="str">
        <f>IFERROR(__xludf.DUMMYFUNCTION("""COMPUTED_VALUE"""),"6285706388647")</f>
        <v>6285706388647</v>
      </c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2">
        <f>IFERROR(__xludf.DUMMYFUNCTION("""COMPUTED_VALUE"""),500000.0)</f>
        <v>500000</v>
      </c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2">
        <f>IFERROR(__xludf.DUMMYFUNCTION("""COMPUTED_VALUE"""),500000.0)</f>
        <v>500000</v>
      </c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2">
        <f>IFERROR(__xludf.DUMMYFUNCTION("""COMPUTED_VALUE"""),0.0)</f>
        <v>0</v>
      </c>
      <c r="BD298" s="22">
        <f>IFERROR(__xludf.DUMMYFUNCTION("""COMPUTED_VALUE"""),1000000.0)</f>
        <v>1000000</v>
      </c>
      <c r="BE298" s="22">
        <f>IFERROR(__xludf.DUMMYFUNCTION("""COMPUTED_VALUE"""),0.0)</f>
        <v>0</v>
      </c>
      <c r="BF298" s="22">
        <f>IFERROR(__xludf.DUMMYFUNCTION("""COMPUTED_VALUE"""),1000000.0)</f>
        <v>1000000</v>
      </c>
    </row>
    <row r="299">
      <c r="A299" s="27">
        <f>IFERROR(__xludf.DUMMYFUNCTION("""COMPUTED_VALUE"""),298.0)</f>
        <v>298</v>
      </c>
      <c r="B299" s="28" t="str">
        <f>IFERROR(__xludf.DUMMYFUNCTION("""COMPUTED_VALUE"""),"CITRA RAMADHANIA ABDILLAH")</f>
        <v>CITRA RAMADHANIA ABDILLAH</v>
      </c>
      <c r="C299" s="28">
        <f>IFERROR(__xludf.DUMMYFUNCTION("""COMPUTED_VALUE"""),2.025070549E9)</f>
        <v>2025070549</v>
      </c>
      <c r="D299" s="28" t="str">
        <f>IFERROR(__xludf.DUMMYFUNCTION("""COMPUTED_VALUE"""),"ABDULLAH")</f>
        <v>ABDULLAH</v>
      </c>
      <c r="E299" s="28" t="str">
        <f>IFERROR(__xludf.DUMMYFUNCTION("""COMPUTED_VALUE"""),"WIJIANTI")</f>
        <v>WIJIANTI</v>
      </c>
      <c r="F299" s="28" t="str">
        <f>IFERROR(__xludf.DUMMYFUNCTION("""COMPUTED_VALUE"""),"BETOYOGUCI RT 014 RW 005 MANYAR GRESIK")</f>
        <v>BETOYOGUCI RT 014 RW 005 MANYAR GRESIK</v>
      </c>
      <c r="G299" s="28" t="str">
        <f>IFERROR(__xludf.DUMMYFUNCTION("""COMPUTED_VALUE"""),"MTS-8 A")</f>
        <v>MTS-8 A</v>
      </c>
      <c r="H299" s="28" t="str">
        <f>IFERROR(__xludf.DUMMYFUNCTION("""COMPUTED_VALUE"""),"E")</f>
        <v>E</v>
      </c>
      <c r="I299" s="28" t="str">
        <f>IFERROR(__xludf.DUMMYFUNCTION("""COMPUTED_VALUE"""),"E-6")</f>
        <v>E-6</v>
      </c>
      <c r="J299" s="28">
        <f>IFERROR(__xludf.DUMMYFUNCTION("""COMPUTED_VALUE"""),2.0)</f>
        <v>2</v>
      </c>
      <c r="K299" s="28" t="str">
        <f>IFERROR(__xludf.DUMMYFUNCTION("""COMPUTED_VALUE"""),"2 ULA B PUTRI")</f>
        <v>2 ULA B PUTRI</v>
      </c>
      <c r="L299" s="29" t="str">
        <f>IFERROR(__xludf.DUMMYFUNCTION("""COMPUTED_VALUE"""),"6281293344944")</f>
        <v>6281293344944</v>
      </c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2">
        <f>IFERROR(__xludf.DUMMYFUNCTION("""COMPUTED_VALUE"""),0.0)</f>
        <v>0</v>
      </c>
      <c r="BD299" s="22">
        <f>IFERROR(__xludf.DUMMYFUNCTION("""COMPUTED_VALUE"""),0.0)</f>
        <v>0</v>
      </c>
      <c r="BE299" s="22">
        <f>IFERROR(__xludf.DUMMYFUNCTION("""COMPUTED_VALUE"""),0.0)</f>
        <v>0</v>
      </c>
      <c r="BF299" s="22">
        <f>IFERROR(__xludf.DUMMYFUNCTION("""COMPUTED_VALUE"""),0.0)</f>
        <v>0</v>
      </c>
    </row>
    <row r="300">
      <c r="A300" s="27">
        <f>IFERROR(__xludf.DUMMYFUNCTION("""COMPUTED_VALUE"""),299.0)</f>
        <v>299</v>
      </c>
      <c r="B300" s="28" t="str">
        <f>IFERROR(__xludf.DUMMYFUNCTION("""COMPUTED_VALUE"""),"DEEPIKA ATHALIA PRASANTI")</f>
        <v>DEEPIKA ATHALIA PRASANTI</v>
      </c>
      <c r="C300" s="28">
        <f>IFERROR(__xludf.DUMMYFUNCTION("""COMPUTED_VALUE"""),2.025070496E9)</f>
        <v>2025070496</v>
      </c>
      <c r="D300" s="28" t="str">
        <f>IFERROR(__xludf.DUMMYFUNCTION("""COMPUTED_VALUE"""),"SUMBER AGUNG")</f>
        <v>SUMBER AGUNG</v>
      </c>
      <c r="E300" s="28" t="str">
        <f>IFERROR(__xludf.DUMMYFUNCTION("""COMPUTED_VALUE"""),"KUSNATUL MARYAM")</f>
        <v>KUSNATUL MARYAM</v>
      </c>
      <c r="F300" s="28" t="str">
        <f>IFERROR(__xludf.DUMMYFUNCTION("""COMPUTED_VALUE"""),"KEDUNGMEGARIH RT 007 RW 002 KEMBANGBAHU LAMONGAN")</f>
        <v>KEDUNGMEGARIH RT 007 RW 002 KEMBANGBAHU LAMONGAN</v>
      </c>
      <c r="G300" s="28" t="str">
        <f>IFERROR(__xludf.DUMMYFUNCTION("""COMPUTED_VALUE"""),"MTS-8 B")</f>
        <v>MTS-8 B</v>
      </c>
      <c r="H300" s="28" t="str">
        <f>IFERROR(__xludf.DUMMYFUNCTION("""COMPUTED_VALUE"""),"E")</f>
        <v>E</v>
      </c>
      <c r="I300" s="28" t="str">
        <f>IFERROR(__xludf.DUMMYFUNCTION("""COMPUTED_VALUE"""),"E-4")</f>
        <v>E-4</v>
      </c>
      <c r="J300" s="28">
        <f>IFERROR(__xludf.DUMMYFUNCTION("""COMPUTED_VALUE"""),2.0)</f>
        <v>2</v>
      </c>
      <c r="K300" s="28" t="str">
        <f>IFERROR(__xludf.DUMMYFUNCTION("""COMPUTED_VALUE"""),"2 ULA A PUTRI")</f>
        <v>2 ULA A PUTRI</v>
      </c>
      <c r="L300" s="29" t="str">
        <f>IFERROR(__xludf.DUMMYFUNCTION("""COMPUTED_VALUE"""),"6281235016503")</f>
        <v>6281235016503</v>
      </c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2">
        <f>IFERROR(__xludf.DUMMYFUNCTION("""COMPUTED_VALUE"""),0.0)</f>
        <v>0</v>
      </c>
      <c r="BD300" s="22">
        <f>IFERROR(__xludf.DUMMYFUNCTION("""COMPUTED_VALUE"""),0.0)</f>
        <v>0</v>
      </c>
      <c r="BE300" s="22">
        <f>IFERROR(__xludf.DUMMYFUNCTION("""COMPUTED_VALUE"""),0.0)</f>
        <v>0</v>
      </c>
      <c r="BF300" s="22">
        <f>IFERROR(__xludf.DUMMYFUNCTION("""COMPUTED_VALUE"""),0.0)</f>
        <v>0</v>
      </c>
    </row>
    <row r="301">
      <c r="A301" s="27">
        <f>IFERROR(__xludf.DUMMYFUNCTION("""COMPUTED_VALUE"""),300.0)</f>
        <v>300</v>
      </c>
      <c r="B301" s="28" t="str">
        <f>IFERROR(__xludf.DUMMYFUNCTION("""COMPUTED_VALUE"""),"ELVA FITRIANI FATIKHAH")</f>
        <v>ELVA FITRIANI FATIKHAH</v>
      </c>
      <c r="C301" s="28">
        <f>IFERROR(__xludf.DUMMYFUNCTION("""COMPUTED_VALUE"""),2.025070597E9)</f>
        <v>2025070597</v>
      </c>
      <c r="D301" s="28" t="str">
        <f>IFERROR(__xludf.DUMMYFUNCTION("""COMPUTED_VALUE"""),"MA`RUF")</f>
        <v>MA`RUF</v>
      </c>
      <c r="E301" s="28" t="str">
        <f>IFERROR(__xludf.DUMMYFUNCTION("""COMPUTED_VALUE"""),"MAFTUKAH")</f>
        <v>MAFTUKAH</v>
      </c>
      <c r="F301" s="28" t="str">
        <f>IFERROR(__xludf.DUMMYFUNCTION("""COMPUTED_VALUE"""),"NGAMBEG RT 008 RW 002 PUCUK LAMONGAN")</f>
        <v>NGAMBEG RT 008 RW 002 PUCUK LAMONGAN</v>
      </c>
      <c r="G301" s="28" t="str">
        <f>IFERROR(__xludf.DUMMYFUNCTION("""COMPUTED_VALUE"""),"MTS-8 D")</f>
        <v>MTS-8 D</v>
      </c>
      <c r="H301" s="28" t="str">
        <f>IFERROR(__xludf.DUMMYFUNCTION("""COMPUTED_VALUE"""),"E")</f>
        <v>E</v>
      </c>
      <c r="I301" s="28" t="str">
        <f>IFERROR(__xludf.DUMMYFUNCTION("""COMPUTED_VALUE"""),"E-4")</f>
        <v>E-4</v>
      </c>
      <c r="J301" s="28">
        <f>IFERROR(__xludf.DUMMYFUNCTION("""COMPUTED_VALUE"""),2.0)</f>
        <v>2</v>
      </c>
      <c r="K301" s="28" t="str">
        <f>IFERROR(__xludf.DUMMYFUNCTION("""COMPUTED_VALUE"""),"2 ULA B PUTRI")</f>
        <v>2 ULA B PUTRI</v>
      </c>
      <c r="L301" s="29" t="str">
        <f>IFERROR(__xludf.DUMMYFUNCTION("""COMPUTED_VALUE"""),"6285755196151")</f>
        <v>6285755196151</v>
      </c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2">
        <f>IFERROR(__xludf.DUMMYFUNCTION("""COMPUTED_VALUE"""),500000.0)</f>
        <v>500000</v>
      </c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2">
        <f>IFERROR(__xludf.DUMMYFUNCTION("""COMPUTED_VALUE"""),500000.0)</f>
        <v>500000</v>
      </c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2">
        <f>IFERROR(__xludf.DUMMYFUNCTION("""COMPUTED_VALUE"""),0.0)</f>
        <v>0</v>
      </c>
      <c r="BD301" s="22">
        <f>IFERROR(__xludf.DUMMYFUNCTION("""COMPUTED_VALUE"""),1000000.0)</f>
        <v>1000000</v>
      </c>
      <c r="BE301" s="22">
        <f>IFERROR(__xludf.DUMMYFUNCTION("""COMPUTED_VALUE"""),0.0)</f>
        <v>0</v>
      </c>
      <c r="BF301" s="22">
        <f>IFERROR(__xludf.DUMMYFUNCTION("""COMPUTED_VALUE"""),1000000.0)</f>
        <v>1000000</v>
      </c>
    </row>
    <row r="302">
      <c r="A302" s="27">
        <f>IFERROR(__xludf.DUMMYFUNCTION("""COMPUTED_VALUE"""),301.0)</f>
        <v>301</v>
      </c>
      <c r="B302" s="28" t="str">
        <f>IFERROR(__xludf.DUMMYFUNCTION("""COMPUTED_VALUE"""),"FAIZAH WAHIDATUR RAHMAH")</f>
        <v>FAIZAH WAHIDATUR RAHMAH</v>
      </c>
      <c r="C302" s="28">
        <f>IFERROR(__xludf.DUMMYFUNCTION("""COMPUTED_VALUE"""),2.02507057E9)</f>
        <v>2025070570</v>
      </c>
      <c r="D302" s="28" t="str">
        <f>IFERROR(__xludf.DUMMYFUNCTION("""COMPUTED_VALUE"""),"ARIF RAHMAN")</f>
        <v>ARIF RAHMAN</v>
      </c>
      <c r="E302" s="28" t="str">
        <f>IFERROR(__xludf.DUMMYFUNCTION("""COMPUTED_VALUE"""),"MAISYATUL FARIDAH")</f>
        <v>MAISYATUL FARIDAH</v>
      </c>
      <c r="F302" s="28" t="str">
        <f>IFERROR(__xludf.DUMMYFUNCTION("""COMPUTED_VALUE"""),"JL. SUNAN DRAJAT NO. 87 SIDOHARJO RT 002 RW 002 LAMONGAN LAMONGAN")</f>
        <v>JL. SUNAN DRAJAT NO. 87 SIDOHARJO RT 002 RW 002 LAMONGAN LAMONGAN</v>
      </c>
      <c r="G302" s="28" t="str">
        <f>IFERROR(__xludf.DUMMYFUNCTION("""COMPUTED_VALUE"""),"MTS-8 A")</f>
        <v>MTS-8 A</v>
      </c>
      <c r="H302" s="28" t="str">
        <f>IFERROR(__xludf.DUMMYFUNCTION("""COMPUTED_VALUE"""),"E")</f>
        <v>E</v>
      </c>
      <c r="I302" s="28" t="str">
        <f>IFERROR(__xludf.DUMMYFUNCTION("""COMPUTED_VALUE"""),"E-6")</f>
        <v>E-6</v>
      </c>
      <c r="J302" s="28">
        <f>IFERROR(__xludf.DUMMYFUNCTION("""COMPUTED_VALUE"""),2.0)</f>
        <v>2</v>
      </c>
      <c r="K302" s="28" t="str">
        <f>IFERROR(__xludf.DUMMYFUNCTION("""COMPUTED_VALUE"""),"2 ULA B PUTRI")</f>
        <v>2 ULA B PUTRI</v>
      </c>
      <c r="L302" s="29" t="str">
        <f>IFERROR(__xludf.DUMMYFUNCTION("""COMPUTED_VALUE"""),"6287701956767")</f>
        <v>6287701956767</v>
      </c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2">
        <f>IFERROR(__xludf.DUMMYFUNCTION("""COMPUTED_VALUE"""),500000.0)</f>
        <v>500000</v>
      </c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2">
        <f>IFERROR(__xludf.DUMMYFUNCTION("""COMPUTED_VALUE"""),500000.0)</f>
        <v>500000</v>
      </c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2">
        <f>IFERROR(__xludf.DUMMYFUNCTION("""COMPUTED_VALUE"""),0.0)</f>
        <v>0</v>
      </c>
      <c r="BD302" s="22">
        <f>IFERROR(__xludf.DUMMYFUNCTION("""COMPUTED_VALUE"""),1000000.0)</f>
        <v>1000000</v>
      </c>
      <c r="BE302" s="22">
        <f>IFERROR(__xludf.DUMMYFUNCTION("""COMPUTED_VALUE"""),0.0)</f>
        <v>0</v>
      </c>
      <c r="BF302" s="22">
        <f>IFERROR(__xludf.DUMMYFUNCTION("""COMPUTED_VALUE"""),1000000.0)</f>
        <v>1000000</v>
      </c>
    </row>
    <row r="303">
      <c r="A303" s="27">
        <f>IFERROR(__xludf.DUMMYFUNCTION("""COMPUTED_VALUE"""),302.0)</f>
        <v>302</v>
      </c>
      <c r="B303" s="28" t="str">
        <f>IFERROR(__xludf.DUMMYFUNCTION("""COMPUTED_VALUE"""),"FAJRIYAH NIKMATUS SU`AMAN")</f>
        <v>FAJRIYAH NIKMATUS SU`AMAN</v>
      </c>
      <c r="C303" s="28">
        <f>IFERROR(__xludf.DUMMYFUNCTION("""COMPUTED_VALUE"""),2.025070498E9)</f>
        <v>2025070498</v>
      </c>
      <c r="D303" s="28" t="str">
        <f>IFERROR(__xludf.DUMMYFUNCTION("""COMPUTED_VALUE"""),"SUPENO")</f>
        <v>SUPENO</v>
      </c>
      <c r="E303" s="28" t="str">
        <f>IFERROR(__xludf.DUMMYFUNCTION("""COMPUTED_VALUE"""),"AMANAH")</f>
        <v>AMANAH</v>
      </c>
      <c r="F303" s="28" t="str">
        <f>IFERROR(__xludf.DUMMYFUNCTION("""COMPUTED_VALUE"""),"JL. SIDOREJO KEBALANDONO RT 002 RW 003 BABAT LAMONGAN")</f>
        <v>JL. SIDOREJO KEBALANDONO RT 002 RW 003 BABAT LAMONGAN</v>
      </c>
      <c r="G303" s="28" t="str">
        <f>IFERROR(__xludf.DUMMYFUNCTION("""COMPUTED_VALUE"""),"MTS-8 E")</f>
        <v>MTS-8 E</v>
      </c>
      <c r="H303" s="28" t="str">
        <f>IFERROR(__xludf.DUMMYFUNCTION("""COMPUTED_VALUE"""),"E")</f>
        <v>E</v>
      </c>
      <c r="I303" s="28" t="str">
        <f>IFERROR(__xludf.DUMMYFUNCTION("""COMPUTED_VALUE"""),"E-4")</f>
        <v>E-4</v>
      </c>
      <c r="J303" s="28">
        <f>IFERROR(__xludf.DUMMYFUNCTION("""COMPUTED_VALUE"""),2.0)</f>
        <v>2</v>
      </c>
      <c r="K303" s="28" t="str">
        <f>IFERROR(__xludf.DUMMYFUNCTION("""COMPUTED_VALUE"""),"2 ULA B PUTRI")</f>
        <v>2 ULA B PUTRI</v>
      </c>
      <c r="L303" s="29" t="str">
        <f>IFERROR(__xludf.DUMMYFUNCTION("""COMPUTED_VALUE"""),"6285792072867")</f>
        <v>6285792072867</v>
      </c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2">
        <f>IFERROR(__xludf.DUMMYFUNCTION("""COMPUTED_VALUE"""),0.0)</f>
        <v>0</v>
      </c>
      <c r="BD303" s="22">
        <f>IFERROR(__xludf.DUMMYFUNCTION("""COMPUTED_VALUE"""),0.0)</f>
        <v>0</v>
      </c>
      <c r="BE303" s="22">
        <f>IFERROR(__xludf.DUMMYFUNCTION("""COMPUTED_VALUE"""),0.0)</f>
        <v>0</v>
      </c>
      <c r="BF303" s="22">
        <f>IFERROR(__xludf.DUMMYFUNCTION("""COMPUTED_VALUE"""),0.0)</f>
        <v>0</v>
      </c>
    </row>
    <row r="304">
      <c r="A304" s="27">
        <f>IFERROR(__xludf.DUMMYFUNCTION("""COMPUTED_VALUE"""),303.0)</f>
        <v>303</v>
      </c>
      <c r="B304" s="28" t="str">
        <f>IFERROR(__xludf.DUMMYFUNCTION("""COMPUTED_VALUE"""),"FARIZA KAHLA` NAJWA")</f>
        <v>FARIZA KAHLA` NAJWA</v>
      </c>
      <c r="C304" s="28">
        <f>IFERROR(__xludf.DUMMYFUNCTION("""COMPUTED_VALUE"""),2.025070149E9)</f>
        <v>2025070149</v>
      </c>
      <c r="D304" s="28" t="str">
        <f>IFERROR(__xludf.DUMMYFUNCTION("""COMPUTED_VALUE"""),"ACHMAD NURU DHUHA")</f>
        <v>ACHMAD NURU DHUHA</v>
      </c>
      <c r="E304" s="28" t="str">
        <f>IFERROR(__xludf.DUMMYFUNCTION("""COMPUTED_VALUE"""),"HERLIN FARDA HABIBA")</f>
        <v>HERLIN FARDA HABIBA</v>
      </c>
      <c r="F304" s="28" t="str">
        <f>IFERROR(__xludf.DUMMYFUNCTION("""COMPUTED_VALUE"""),"KALIREJO RT 003 RW 002 DUKUN GRESIK")</f>
        <v>KALIREJO RT 003 RW 002 DUKUN GRESIK</v>
      </c>
      <c r="G304" s="28" t="str">
        <f>IFERROR(__xludf.DUMMYFUNCTION("""COMPUTED_VALUE"""),"MA-XI.11")</f>
        <v>MA-XI.11</v>
      </c>
      <c r="H304" s="28" t="str">
        <f>IFERROR(__xludf.DUMMYFUNCTION("""COMPUTED_VALUE"""),"E")</f>
        <v>E</v>
      </c>
      <c r="I304" s="28" t="str">
        <f>IFERROR(__xludf.DUMMYFUNCTION("""COMPUTED_VALUE"""),"E-5")</f>
        <v>E-5</v>
      </c>
      <c r="J304" s="28">
        <f>IFERROR(__xludf.DUMMYFUNCTION("""COMPUTED_VALUE"""),2.0)</f>
        <v>2</v>
      </c>
      <c r="K304" s="28" t="str">
        <f>IFERROR(__xludf.DUMMYFUNCTION("""COMPUTED_VALUE"""),"2 WUSTHO B PUTRI")</f>
        <v>2 WUSTHO B PUTRI</v>
      </c>
      <c r="L304" s="29" t="str">
        <f>IFERROR(__xludf.DUMMYFUNCTION("""COMPUTED_VALUE"""),"6281216494000")</f>
        <v>6281216494000</v>
      </c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2">
        <f>IFERROR(__xludf.DUMMYFUNCTION("""COMPUTED_VALUE"""),0.0)</f>
        <v>0</v>
      </c>
      <c r="BD304" s="22">
        <f>IFERROR(__xludf.DUMMYFUNCTION("""COMPUTED_VALUE"""),0.0)</f>
        <v>0</v>
      </c>
      <c r="BE304" s="22">
        <f>IFERROR(__xludf.DUMMYFUNCTION("""COMPUTED_VALUE"""),0.0)</f>
        <v>0</v>
      </c>
      <c r="BF304" s="22">
        <f>IFERROR(__xludf.DUMMYFUNCTION("""COMPUTED_VALUE"""),0.0)</f>
        <v>0</v>
      </c>
    </row>
    <row r="305">
      <c r="A305" s="27">
        <f>IFERROR(__xludf.DUMMYFUNCTION("""COMPUTED_VALUE"""),304.0)</f>
        <v>304</v>
      </c>
      <c r="B305" s="28" t="str">
        <f>IFERROR(__xludf.DUMMYFUNCTION("""COMPUTED_VALUE"""),"HALWA MALEEHATUL FITRIYAH")</f>
        <v>HALWA MALEEHATUL FITRIYAH</v>
      </c>
      <c r="C305" s="28">
        <f>IFERROR(__xludf.DUMMYFUNCTION("""COMPUTED_VALUE"""),2.025070655E9)</f>
        <v>2025070655</v>
      </c>
      <c r="D305" s="28" t="str">
        <f>IFERROR(__xludf.DUMMYFUNCTION("""COMPUTED_VALUE"""),"SUKARTO")</f>
        <v>SUKARTO</v>
      </c>
      <c r="E305" s="28" t="str">
        <f>IFERROR(__xludf.DUMMYFUNCTION("""COMPUTED_VALUE"""),"LAILATUL MAYA")</f>
        <v>LAILATUL MAYA</v>
      </c>
      <c r="F305" s="28" t="str">
        <f>IFERROR(__xludf.DUMMYFUNCTION("""COMPUTED_VALUE"""),"PETIYIN TAKERHARJO RT 001 RW 005 SOLOKURO LAMONGAN")</f>
        <v>PETIYIN TAKERHARJO RT 001 RW 005 SOLOKURO LAMONGAN</v>
      </c>
      <c r="G305" s="28" t="str">
        <f>IFERROR(__xludf.DUMMYFUNCTION("""COMPUTED_VALUE"""),"MTS-8 B")</f>
        <v>MTS-8 B</v>
      </c>
      <c r="H305" s="28" t="str">
        <f>IFERROR(__xludf.DUMMYFUNCTION("""COMPUTED_VALUE"""),"E")</f>
        <v>E</v>
      </c>
      <c r="I305" s="28" t="str">
        <f>IFERROR(__xludf.DUMMYFUNCTION("""COMPUTED_VALUE"""),"E-5")</f>
        <v>E-5</v>
      </c>
      <c r="J305" s="28">
        <f>IFERROR(__xludf.DUMMYFUNCTION("""COMPUTED_VALUE"""),2.0)</f>
        <v>2</v>
      </c>
      <c r="K305" s="28" t="str">
        <f>IFERROR(__xludf.DUMMYFUNCTION("""COMPUTED_VALUE"""),"2 ULA A PUTRI")</f>
        <v>2 ULA A PUTRI</v>
      </c>
      <c r="L305" s="29" t="str">
        <f>IFERROR(__xludf.DUMMYFUNCTION("""COMPUTED_VALUE"""),"6281515526152")</f>
        <v>6281515526152</v>
      </c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2">
        <f>IFERROR(__xludf.DUMMYFUNCTION("""COMPUTED_VALUE"""),500000.0)</f>
        <v>500000</v>
      </c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2">
        <f>IFERROR(__xludf.DUMMYFUNCTION("""COMPUTED_VALUE"""),500000.0)</f>
        <v>500000</v>
      </c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2">
        <f>IFERROR(__xludf.DUMMYFUNCTION("""COMPUTED_VALUE"""),0.0)</f>
        <v>0</v>
      </c>
      <c r="BD305" s="22">
        <f>IFERROR(__xludf.DUMMYFUNCTION("""COMPUTED_VALUE"""),1000000.0)</f>
        <v>1000000</v>
      </c>
      <c r="BE305" s="22">
        <f>IFERROR(__xludf.DUMMYFUNCTION("""COMPUTED_VALUE"""),0.0)</f>
        <v>0</v>
      </c>
      <c r="BF305" s="22">
        <f>IFERROR(__xludf.DUMMYFUNCTION("""COMPUTED_VALUE"""),1000000.0)</f>
        <v>1000000</v>
      </c>
    </row>
    <row r="306">
      <c r="A306" s="27">
        <f>IFERROR(__xludf.DUMMYFUNCTION("""COMPUTED_VALUE"""),305.0)</f>
        <v>305</v>
      </c>
      <c r="B306" s="28" t="str">
        <f>IFERROR(__xludf.DUMMYFUNCTION("""COMPUTED_VALUE"""),"HILWAA FARIDATUL AZIZAH")</f>
        <v>HILWAA FARIDATUL AZIZAH</v>
      </c>
      <c r="C306" s="28">
        <f>IFERROR(__xludf.DUMMYFUNCTION("""COMPUTED_VALUE"""),2.025070355E9)</f>
        <v>2025070355</v>
      </c>
      <c r="D306" s="28" t="str">
        <f>IFERROR(__xludf.DUMMYFUNCTION("""COMPUTED_VALUE"""),"ZAINUL FATAH")</f>
        <v>ZAINUL FATAH</v>
      </c>
      <c r="E306" s="28" t="str">
        <f>IFERROR(__xludf.DUMMYFUNCTION("""COMPUTED_VALUE"""),"SITI UMI MAFTUKAH")</f>
        <v>SITI UMI MAFTUKAH</v>
      </c>
      <c r="F306" s="28" t="str">
        <f>IFERROR(__xludf.DUMMYFUNCTION("""COMPUTED_VALUE"""),"TINARO DUKUHAGUNG RT 004 RW 004 TIKUNG LAMONGAN")</f>
        <v>TINARO DUKUHAGUNG RT 004 RW 004 TIKUNG LAMONGAN</v>
      </c>
      <c r="G306" s="28" t="str">
        <f>IFERROR(__xludf.DUMMYFUNCTION("""COMPUTED_VALUE"""),"MA-XI.3")</f>
        <v>MA-XI.3</v>
      </c>
      <c r="H306" s="28" t="str">
        <f>IFERROR(__xludf.DUMMYFUNCTION("""COMPUTED_VALUE"""),"E")</f>
        <v>E</v>
      </c>
      <c r="I306" s="28" t="str">
        <f>IFERROR(__xludf.DUMMYFUNCTION("""COMPUTED_VALUE"""),"E-5")</f>
        <v>E-5</v>
      </c>
      <c r="J306" s="28">
        <f>IFERROR(__xludf.DUMMYFUNCTION("""COMPUTED_VALUE"""),2.0)</f>
        <v>2</v>
      </c>
      <c r="K306" s="28" t="str">
        <f>IFERROR(__xludf.DUMMYFUNCTION("""COMPUTED_VALUE"""),"2 WUSTHO B PUTRI")</f>
        <v>2 WUSTHO B PUTRI</v>
      </c>
      <c r="L306" s="29" t="str">
        <f>IFERROR(__xludf.DUMMYFUNCTION("""COMPUTED_VALUE"""),"6288989765237")</f>
        <v>6288989765237</v>
      </c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2">
        <f>IFERROR(__xludf.DUMMYFUNCTION("""COMPUTED_VALUE"""),0.0)</f>
        <v>0</v>
      </c>
      <c r="BD306" s="22">
        <f>IFERROR(__xludf.DUMMYFUNCTION("""COMPUTED_VALUE"""),0.0)</f>
        <v>0</v>
      </c>
      <c r="BE306" s="22">
        <f>IFERROR(__xludf.DUMMYFUNCTION("""COMPUTED_VALUE"""),0.0)</f>
        <v>0</v>
      </c>
      <c r="BF306" s="22">
        <f>IFERROR(__xludf.DUMMYFUNCTION("""COMPUTED_VALUE"""),0.0)</f>
        <v>0</v>
      </c>
    </row>
    <row r="307">
      <c r="A307" s="27">
        <f>IFERROR(__xludf.DUMMYFUNCTION("""COMPUTED_VALUE"""),306.0)</f>
        <v>306</v>
      </c>
      <c r="B307" s="28" t="str">
        <f>IFERROR(__xludf.DUMMYFUNCTION("""COMPUTED_VALUE"""),"INDAH AYU FERA")</f>
        <v>INDAH AYU FERA</v>
      </c>
      <c r="C307" s="28">
        <f>IFERROR(__xludf.DUMMYFUNCTION("""COMPUTED_VALUE"""),2.025070167E9)</f>
        <v>2025070167</v>
      </c>
      <c r="D307" s="28" t="str">
        <f>IFERROR(__xludf.DUMMYFUNCTION("""COMPUTED_VALUE"""),"MUDHOFIR")</f>
        <v>MUDHOFIR</v>
      </c>
      <c r="E307" s="28" t="str">
        <f>IFERROR(__xludf.DUMMYFUNCTION("""COMPUTED_VALUE"""),"KHOYUM MAHTUM")</f>
        <v>KHOYUM MAHTUM</v>
      </c>
      <c r="F307" s="28" t="str">
        <f>IFERROR(__xludf.DUMMYFUNCTION("""COMPUTED_VALUE"""),"KUCUR SIDOMUKTI RT 001 RW 001 LAMONGAN LAMONGAN")</f>
        <v>KUCUR SIDOMUKTI RT 001 RW 001 LAMONGAN LAMONGAN</v>
      </c>
      <c r="G307" s="28" t="str">
        <f>IFERROR(__xludf.DUMMYFUNCTION("""COMPUTED_VALUE"""),"MA-XI.6")</f>
        <v>MA-XI.6</v>
      </c>
      <c r="H307" s="28" t="str">
        <f>IFERROR(__xludf.DUMMYFUNCTION("""COMPUTED_VALUE"""),"E")</f>
        <v>E</v>
      </c>
      <c r="I307" s="28" t="str">
        <f>IFERROR(__xludf.DUMMYFUNCTION("""COMPUTED_VALUE"""),"E-5")</f>
        <v>E-5</v>
      </c>
      <c r="J307" s="28">
        <f>IFERROR(__xludf.DUMMYFUNCTION("""COMPUTED_VALUE"""),2.0)</f>
        <v>2</v>
      </c>
      <c r="K307" s="28" t="str">
        <f>IFERROR(__xludf.DUMMYFUNCTION("""COMPUTED_VALUE"""),"2 WUSTHO B PUTRI")</f>
        <v>2 WUSTHO B PUTRI</v>
      </c>
      <c r="L307" s="29" t="str">
        <f>IFERROR(__xludf.DUMMYFUNCTION("""COMPUTED_VALUE"""),"6281331557560")</f>
        <v>6281331557560</v>
      </c>
      <c r="M307" s="28"/>
      <c r="N307" s="22">
        <f>IFERROR(__xludf.DUMMYFUNCTION("""COMPUTED_VALUE"""),200000.0)</f>
        <v>200000</v>
      </c>
      <c r="O307" s="28"/>
      <c r="P307" s="28"/>
      <c r="Q307" s="28"/>
      <c r="R307" s="28"/>
      <c r="S307" s="28"/>
      <c r="T307" s="28"/>
      <c r="U307" s="28"/>
      <c r="V307" s="28"/>
      <c r="W307" s="22">
        <f>IFERROR(__xludf.DUMMYFUNCTION("""COMPUTED_VALUE"""),500000.0)</f>
        <v>500000</v>
      </c>
      <c r="X307" s="22">
        <f>IFERROR(__xludf.DUMMYFUNCTION("""COMPUTED_VALUE"""),500000.0)</f>
        <v>500000</v>
      </c>
      <c r="Y307" s="22">
        <f>IFERROR(__xludf.DUMMYFUNCTION("""COMPUTED_VALUE"""),500000.0)</f>
        <v>500000</v>
      </c>
      <c r="Z307" s="22">
        <f>IFERROR(__xludf.DUMMYFUNCTION("""COMPUTED_VALUE"""),500000.0)</f>
        <v>500000</v>
      </c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2">
        <f>IFERROR(__xludf.DUMMYFUNCTION("""COMPUTED_VALUE"""),2000000.0)</f>
        <v>2000000</v>
      </c>
      <c r="BD307" s="22">
        <f>IFERROR(__xludf.DUMMYFUNCTION("""COMPUTED_VALUE"""),0.0)</f>
        <v>0</v>
      </c>
      <c r="BE307" s="22">
        <f>IFERROR(__xludf.DUMMYFUNCTION("""COMPUTED_VALUE"""),0.0)</f>
        <v>0</v>
      </c>
      <c r="BF307" s="22">
        <f>IFERROR(__xludf.DUMMYFUNCTION("""COMPUTED_VALUE"""),2000000.0)</f>
        <v>2000000</v>
      </c>
    </row>
    <row r="308">
      <c r="A308" s="27">
        <f>IFERROR(__xludf.DUMMYFUNCTION("""COMPUTED_VALUE"""),307.0)</f>
        <v>307</v>
      </c>
      <c r="B308" s="28" t="str">
        <f>IFERROR(__xludf.DUMMYFUNCTION("""COMPUTED_VALUE"""),"KAYSYAH AZIZATUS SAADA")</f>
        <v>KAYSYAH AZIZATUS SAADA</v>
      </c>
      <c r="C308" s="28">
        <f>IFERROR(__xludf.DUMMYFUNCTION("""COMPUTED_VALUE"""),2.025070643E9)</f>
        <v>2025070643</v>
      </c>
      <c r="D308" s="28" t="str">
        <f>IFERROR(__xludf.DUMMYFUNCTION("""COMPUTED_VALUE"""),"MOHAMAD ZAINUL ARIFIN")</f>
        <v>MOHAMAD ZAINUL ARIFIN</v>
      </c>
      <c r="E308" s="28" t="str">
        <f>IFERROR(__xludf.DUMMYFUNCTION("""COMPUTED_VALUE"""),"SITI ZULAIKAH")</f>
        <v>SITI ZULAIKAH</v>
      </c>
      <c r="F308" s="28" t="str">
        <f>IFERROR(__xludf.DUMMYFUNCTION("""COMPUTED_VALUE"""),"BANGKAL RT 001 RW 003 LAMONGAN LAMONGAN")</f>
        <v>BANGKAL RT 001 RW 003 LAMONGAN LAMONGAN</v>
      </c>
      <c r="G308" s="28" t="str">
        <f>IFERROR(__xludf.DUMMYFUNCTION("""COMPUTED_VALUE"""),"MTS-8 C")</f>
        <v>MTS-8 C</v>
      </c>
      <c r="H308" s="28" t="str">
        <f>IFERROR(__xludf.DUMMYFUNCTION("""COMPUTED_VALUE"""),"E")</f>
        <v>E</v>
      </c>
      <c r="I308" s="28" t="str">
        <f>IFERROR(__xludf.DUMMYFUNCTION("""COMPUTED_VALUE"""),"E-4")</f>
        <v>E-4</v>
      </c>
      <c r="J308" s="28">
        <f>IFERROR(__xludf.DUMMYFUNCTION("""COMPUTED_VALUE"""),2.0)</f>
        <v>2</v>
      </c>
      <c r="K308" s="28" t="str">
        <f>IFERROR(__xludf.DUMMYFUNCTION("""COMPUTED_VALUE"""),"2 ULA B PUTRI")</f>
        <v>2 ULA B PUTRI</v>
      </c>
      <c r="L308" s="29" t="str">
        <f>IFERROR(__xludf.DUMMYFUNCTION("""COMPUTED_VALUE"""),"6285784282773")</f>
        <v>6285784282773</v>
      </c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2">
        <f>IFERROR(__xludf.DUMMYFUNCTION("""COMPUTED_VALUE"""),500000.0)</f>
        <v>500000</v>
      </c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2">
        <f>IFERROR(__xludf.DUMMYFUNCTION("""COMPUTED_VALUE"""),500000.0)</f>
        <v>500000</v>
      </c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2">
        <f>IFERROR(__xludf.DUMMYFUNCTION("""COMPUTED_VALUE"""),0.0)</f>
        <v>0</v>
      </c>
      <c r="BD308" s="22">
        <f>IFERROR(__xludf.DUMMYFUNCTION("""COMPUTED_VALUE"""),1000000.0)</f>
        <v>1000000</v>
      </c>
      <c r="BE308" s="22">
        <f>IFERROR(__xludf.DUMMYFUNCTION("""COMPUTED_VALUE"""),0.0)</f>
        <v>0</v>
      </c>
      <c r="BF308" s="22">
        <f>IFERROR(__xludf.DUMMYFUNCTION("""COMPUTED_VALUE"""),1000000.0)</f>
        <v>1000000</v>
      </c>
    </row>
    <row r="309">
      <c r="A309" s="27">
        <f>IFERROR(__xludf.DUMMYFUNCTION("""COMPUTED_VALUE"""),308.0)</f>
        <v>308</v>
      </c>
      <c r="B309" s="28" t="str">
        <f>IFERROR(__xludf.DUMMYFUNCTION("""COMPUTED_VALUE"""),"KHANSA ASADEL AL KHAIBAH")</f>
        <v>KHANSA ASADEL AL KHAIBAH</v>
      </c>
      <c r="C309" s="28">
        <f>IFERROR(__xludf.DUMMYFUNCTION("""COMPUTED_VALUE"""),2.025070478E9)</f>
        <v>2025070478</v>
      </c>
      <c r="D309" s="28" t="str">
        <f>IFERROR(__xludf.DUMMYFUNCTION("""COMPUTED_VALUE"""),"MUHAMMAD FAJRUDDIN")</f>
        <v>MUHAMMAD FAJRUDDIN</v>
      </c>
      <c r="E309" s="28" t="str">
        <f>IFERROR(__xludf.DUMMYFUNCTION("""COMPUTED_VALUE"""),"FAMILA KARTIKA FITRI ANGGARANI")</f>
        <v>FAMILA KARTIKA FITRI ANGGARANI</v>
      </c>
      <c r="F309" s="28" t="str">
        <f>IFERROR(__xludf.DUMMYFUNCTION("""COMPUTED_VALUE"""),"KALIREJO RT 003 RW 002 DUKUN GRESIK")</f>
        <v>KALIREJO RT 003 RW 002 DUKUN GRESIK</v>
      </c>
      <c r="G309" s="28" t="str">
        <f>IFERROR(__xludf.DUMMYFUNCTION("""COMPUTED_VALUE"""),"SMP-VIII A")</f>
        <v>SMP-VIII A</v>
      </c>
      <c r="H309" s="28" t="str">
        <f>IFERROR(__xludf.DUMMYFUNCTION("""COMPUTED_VALUE"""),"E")</f>
        <v>E</v>
      </c>
      <c r="I309" s="28" t="str">
        <f>IFERROR(__xludf.DUMMYFUNCTION("""COMPUTED_VALUE"""),"E-4")</f>
        <v>E-4</v>
      </c>
      <c r="J309" s="28">
        <f>IFERROR(__xludf.DUMMYFUNCTION("""COMPUTED_VALUE"""),2.0)</f>
        <v>2</v>
      </c>
      <c r="K309" s="28" t="str">
        <f>IFERROR(__xludf.DUMMYFUNCTION("""COMPUTED_VALUE"""),"2 ULA A PUTRI")</f>
        <v>2 ULA A PUTRI</v>
      </c>
      <c r="L309" s="29" t="str">
        <f>IFERROR(__xludf.DUMMYFUNCTION("""COMPUTED_VALUE"""),"6285755176962")</f>
        <v>6285755176962</v>
      </c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2">
        <f>IFERROR(__xludf.DUMMYFUNCTION("""COMPUTED_VALUE"""),0.0)</f>
        <v>0</v>
      </c>
      <c r="BD309" s="22">
        <f>IFERROR(__xludf.DUMMYFUNCTION("""COMPUTED_VALUE"""),0.0)</f>
        <v>0</v>
      </c>
      <c r="BE309" s="22">
        <f>IFERROR(__xludf.DUMMYFUNCTION("""COMPUTED_VALUE"""),0.0)</f>
        <v>0</v>
      </c>
      <c r="BF309" s="22">
        <f>IFERROR(__xludf.DUMMYFUNCTION("""COMPUTED_VALUE"""),0.0)</f>
        <v>0</v>
      </c>
    </row>
    <row r="310">
      <c r="A310" s="27">
        <f>IFERROR(__xludf.DUMMYFUNCTION("""COMPUTED_VALUE"""),309.0)</f>
        <v>309</v>
      </c>
      <c r="B310" s="28" t="str">
        <f>IFERROR(__xludf.DUMMYFUNCTION("""COMPUTED_VALUE"""),"KHANSA ZHAFIRAH AFRAH")</f>
        <v>KHANSA ZHAFIRAH AFRAH</v>
      </c>
      <c r="C310" s="28">
        <f>IFERROR(__xludf.DUMMYFUNCTION("""COMPUTED_VALUE"""),2.025070141E9)</f>
        <v>2025070141</v>
      </c>
      <c r="D310" s="28" t="str">
        <f>IFERROR(__xludf.DUMMYFUNCTION("""COMPUTED_VALUE"""),"ABD. MANAN")</f>
        <v>ABD. MANAN</v>
      </c>
      <c r="E310" s="28" t="str">
        <f>IFERROR(__xludf.DUMMYFUNCTION("""COMPUTED_VALUE"""),"SUMAINAH")</f>
        <v>SUMAINAH</v>
      </c>
      <c r="F310" s="28" t="str">
        <f>IFERROR(__xludf.DUMMYFUNCTION("""COMPUTED_VALUE"""),"BANGERAN GENENG RT 001 RW 001 DUKUN GRESIK")</f>
        <v>BANGERAN GENENG RT 001 RW 001 DUKUN GRESIK</v>
      </c>
      <c r="G310" s="28" t="str">
        <f>IFERROR(__xludf.DUMMYFUNCTION("""COMPUTED_VALUE"""),"MA-XI.13")</f>
        <v>MA-XI.13</v>
      </c>
      <c r="H310" s="28" t="str">
        <f>IFERROR(__xludf.DUMMYFUNCTION("""COMPUTED_VALUE"""),"E")</f>
        <v>E</v>
      </c>
      <c r="I310" s="28" t="str">
        <f>IFERROR(__xludf.DUMMYFUNCTION("""COMPUTED_VALUE"""),"E-5")</f>
        <v>E-5</v>
      </c>
      <c r="J310" s="28">
        <f>IFERROR(__xludf.DUMMYFUNCTION("""COMPUTED_VALUE"""),2.0)</f>
        <v>2</v>
      </c>
      <c r="K310" s="28" t="str">
        <f>IFERROR(__xludf.DUMMYFUNCTION("""COMPUTED_VALUE"""),"2 MAK PUTRI")</f>
        <v>2 MAK PUTRI</v>
      </c>
      <c r="L310" s="29" t="str">
        <f>IFERROR(__xludf.DUMMYFUNCTION("""COMPUTED_VALUE"""),"6281216956050")</f>
        <v>6281216956050</v>
      </c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2">
        <f>IFERROR(__xludf.DUMMYFUNCTION("""COMPUTED_VALUE"""),500000.0)</f>
        <v>500000</v>
      </c>
      <c r="Z310" s="22">
        <f>IFERROR(__xludf.DUMMYFUNCTION("""COMPUTED_VALUE"""),500000.0)</f>
        <v>500000</v>
      </c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2">
        <f>IFERROR(__xludf.DUMMYFUNCTION("""COMPUTED_VALUE"""),1000000.0)</f>
        <v>1000000</v>
      </c>
      <c r="BD310" s="22">
        <f>IFERROR(__xludf.DUMMYFUNCTION("""COMPUTED_VALUE"""),0.0)</f>
        <v>0</v>
      </c>
      <c r="BE310" s="22">
        <f>IFERROR(__xludf.DUMMYFUNCTION("""COMPUTED_VALUE"""),0.0)</f>
        <v>0</v>
      </c>
      <c r="BF310" s="22">
        <f>IFERROR(__xludf.DUMMYFUNCTION("""COMPUTED_VALUE"""),1000000.0)</f>
        <v>1000000</v>
      </c>
    </row>
    <row r="311">
      <c r="A311" s="27">
        <f>IFERROR(__xludf.DUMMYFUNCTION("""COMPUTED_VALUE"""),310.0)</f>
        <v>310</v>
      </c>
      <c r="B311" s="28" t="str">
        <f>IFERROR(__xludf.DUMMYFUNCTION("""COMPUTED_VALUE"""),"MAULIDA ARIFAH")</f>
        <v>MAULIDA ARIFAH</v>
      </c>
      <c r="C311" s="28">
        <f>IFERROR(__xludf.DUMMYFUNCTION("""COMPUTED_VALUE"""),2.02507051E9)</f>
        <v>2025070510</v>
      </c>
      <c r="D311" s="28" t="str">
        <f>IFERROR(__xludf.DUMMYFUNCTION("""COMPUTED_VALUE"""),"ALI ARIFIN")</f>
        <v>ALI ARIFIN</v>
      </c>
      <c r="E311" s="28" t="str">
        <f>IFERROR(__xludf.DUMMYFUNCTION("""COMPUTED_VALUE"""),"RIRIN ISMIATI")</f>
        <v>RIRIN ISMIATI</v>
      </c>
      <c r="F311" s="28" t="str">
        <f>IFERROR(__xludf.DUMMYFUNCTION("""COMPUTED_VALUE"""),"BLANGIT KARANGLANGIT RT 003 RW 001 LAMONGAN LAMONGAN")</f>
        <v>BLANGIT KARANGLANGIT RT 003 RW 001 LAMONGAN LAMONGAN</v>
      </c>
      <c r="G311" s="28" t="str">
        <f>IFERROR(__xludf.DUMMYFUNCTION("""COMPUTED_VALUE"""),"MTS-8 B")</f>
        <v>MTS-8 B</v>
      </c>
      <c r="H311" s="28" t="str">
        <f>IFERROR(__xludf.DUMMYFUNCTION("""COMPUTED_VALUE"""),"E")</f>
        <v>E</v>
      </c>
      <c r="I311" s="28" t="str">
        <f>IFERROR(__xludf.DUMMYFUNCTION("""COMPUTED_VALUE"""),"E-5")</f>
        <v>E-5</v>
      </c>
      <c r="J311" s="28">
        <f>IFERROR(__xludf.DUMMYFUNCTION("""COMPUTED_VALUE"""),2.0)</f>
        <v>2</v>
      </c>
      <c r="K311" s="28" t="str">
        <f>IFERROR(__xludf.DUMMYFUNCTION("""COMPUTED_VALUE"""),"2 ULA A PUTRI")</f>
        <v>2 ULA A PUTRI</v>
      </c>
      <c r="L311" s="29" t="str">
        <f>IFERROR(__xludf.DUMMYFUNCTION("""COMPUTED_VALUE"""),"6281230750632")</f>
        <v>6281230750632</v>
      </c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2">
        <f>IFERROR(__xludf.DUMMYFUNCTION("""COMPUTED_VALUE"""),500000.0)</f>
        <v>500000</v>
      </c>
      <c r="AA311" s="28"/>
      <c r="AB311" s="22">
        <f>IFERROR(__xludf.DUMMYFUNCTION("""COMPUTED_VALUE"""),500000.0)</f>
        <v>500000</v>
      </c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2">
        <f>IFERROR(__xludf.DUMMYFUNCTION("""COMPUTED_VALUE"""),500000.0)</f>
        <v>500000</v>
      </c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2">
        <f>IFERROR(__xludf.DUMMYFUNCTION("""COMPUTED_VALUE"""),500000.0)</f>
        <v>500000</v>
      </c>
      <c r="BD311" s="22">
        <f>IFERROR(__xludf.DUMMYFUNCTION("""COMPUTED_VALUE"""),1000000.0)</f>
        <v>1000000</v>
      </c>
      <c r="BE311" s="22">
        <f>IFERROR(__xludf.DUMMYFUNCTION("""COMPUTED_VALUE"""),0.0)</f>
        <v>0</v>
      </c>
      <c r="BF311" s="22">
        <f>IFERROR(__xludf.DUMMYFUNCTION("""COMPUTED_VALUE"""),1500000.0)</f>
        <v>1500000</v>
      </c>
    </row>
    <row r="312">
      <c r="A312" s="27">
        <f>IFERROR(__xludf.DUMMYFUNCTION("""COMPUTED_VALUE"""),311.0)</f>
        <v>311</v>
      </c>
      <c r="B312" s="28" t="str">
        <f>IFERROR(__xludf.DUMMYFUNCTION("""COMPUTED_VALUE"""),"NAILATUS SYIFA`UL HUSNA")</f>
        <v>NAILATUS SYIFA`UL HUSNA</v>
      </c>
      <c r="C312" s="28">
        <f>IFERROR(__xludf.DUMMYFUNCTION("""COMPUTED_VALUE"""),2.025070511E9)</f>
        <v>2025070511</v>
      </c>
      <c r="D312" s="28" t="str">
        <f>IFERROR(__xludf.DUMMYFUNCTION("""COMPUTED_VALUE"""),"SUWARNO")</f>
        <v>SUWARNO</v>
      </c>
      <c r="E312" s="28" t="str">
        <f>IFERROR(__xludf.DUMMYFUNCTION("""COMPUTED_VALUE"""),"SRIATUN")</f>
        <v>SRIATUN</v>
      </c>
      <c r="F312" s="28" t="str">
        <f>IFERROR(__xludf.DUMMYFUNCTION("""COMPUTED_VALUE"""),"SIDOREJO PLAOSAN RT 004 RW 003 BABAT LAMONGAN")</f>
        <v>SIDOREJO PLAOSAN RT 004 RW 003 BABAT LAMONGAN</v>
      </c>
      <c r="G312" s="28" t="str">
        <f>IFERROR(__xludf.DUMMYFUNCTION("""COMPUTED_VALUE"""),"MTS-8 C")</f>
        <v>MTS-8 C</v>
      </c>
      <c r="H312" s="28" t="str">
        <f>IFERROR(__xludf.DUMMYFUNCTION("""COMPUTED_VALUE"""),"E")</f>
        <v>E</v>
      </c>
      <c r="I312" s="28" t="str">
        <f>IFERROR(__xludf.DUMMYFUNCTION("""COMPUTED_VALUE"""),"E-4")</f>
        <v>E-4</v>
      </c>
      <c r="J312" s="28">
        <f>IFERROR(__xludf.DUMMYFUNCTION("""COMPUTED_VALUE"""),2.0)</f>
        <v>2</v>
      </c>
      <c r="K312" s="28" t="str">
        <f>IFERROR(__xludf.DUMMYFUNCTION("""COMPUTED_VALUE"""),"2 ULA A PUTRI")</f>
        <v>2 ULA A PUTRI</v>
      </c>
      <c r="L312" s="29" t="str">
        <f>IFERROR(__xludf.DUMMYFUNCTION("""COMPUTED_VALUE"""),"6285257244488")</f>
        <v>6285257244488</v>
      </c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2">
        <f>IFERROR(__xludf.DUMMYFUNCTION("""COMPUTED_VALUE"""),500000.0)</f>
        <v>500000</v>
      </c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2">
        <f>IFERROR(__xludf.DUMMYFUNCTION("""COMPUTED_VALUE"""),500000.0)</f>
        <v>500000</v>
      </c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2">
        <f>IFERROR(__xludf.DUMMYFUNCTION("""COMPUTED_VALUE"""),0.0)</f>
        <v>0</v>
      </c>
      <c r="BD312" s="22">
        <f>IFERROR(__xludf.DUMMYFUNCTION("""COMPUTED_VALUE"""),1000000.0)</f>
        <v>1000000</v>
      </c>
      <c r="BE312" s="22">
        <f>IFERROR(__xludf.DUMMYFUNCTION("""COMPUTED_VALUE"""),0.0)</f>
        <v>0</v>
      </c>
      <c r="BF312" s="22">
        <f>IFERROR(__xludf.DUMMYFUNCTION("""COMPUTED_VALUE"""),1000000.0)</f>
        <v>1000000</v>
      </c>
    </row>
    <row r="313">
      <c r="A313" s="27">
        <f>IFERROR(__xludf.DUMMYFUNCTION("""COMPUTED_VALUE"""),312.0)</f>
        <v>312</v>
      </c>
      <c r="B313" s="28" t="str">
        <f>IFERROR(__xludf.DUMMYFUNCTION("""COMPUTED_VALUE"""),"NAJWA BILQIS NAFISAH")</f>
        <v>NAJWA BILQIS NAFISAH</v>
      </c>
      <c r="C313" s="28">
        <f>IFERROR(__xludf.DUMMYFUNCTION("""COMPUTED_VALUE"""),2.025070552E9)</f>
        <v>2025070552</v>
      </c>
      <c r="D313" s="28" t="str">
        <f>IFERROR(__xludf.DUMMYFUNCTION("""COMPUTED_VALUE"""),"KURNIAWAN DWI SETYONO")</f>
        <v>KURNIAWAN DWI SETYONO</v>
      </c>
      <c r="E313" s="28" t="str">
        <f>IFERROR(__xludf.DUMMYFUNCTION("""COMPUTED_VALUE"""),"ISTICHFARIN CHASANAH")</f>
        <v>ISTICHFARIN CHASANAH</v>
      </c>
      <c r="F313" s="28" t="str">
        <f>IFERROR(__xludf.DUMMYFUNCTION("""COMPUTED_VALUE"""),"JL. SUNAN KALIJOGO GG JAMBU MENTE SUKOREJO RT 001 RW 004 LAMONGAN LAMONGAN")</f>
        <v>JL. SUNAN KALIJOGO GG JAMBU MENTE SUKOREJO RT 001 RW 004 LAMONGAN LAMONGAN</v>
      </c>
      <c r="G313" s="28" t="str">
        <f>IFERROR(__xludf.DUMMYFUNCTION("""COMPUTED_VALUE"""),"MTS-8 D")</f>
        <v>MTS-8 D</v>
      </c>
      <c r="H313" s="28" t="str">
        <f>IFERROR(__xludf.DUMMYFUNCTION("""COMPUTED_VALUE"""),"E")</f>
        <v>E</v>
      </c>
      <c r="I313" s="28" t="str">
        <f>IFERROR(__xludf.DUMMYFUNCTION("""COMPUTED_VALUE"""),"E-4")</f>
        <v>E-4</v>
      </c>
      <c r="J313" s="28">
        <f>IFERROR(__xludf.DUMMYFUNCTION("""COMPUTED_VALUE"""),2.0)</f>
        <v>2</v>
      </c>
      <c r="K313" s="28" t="str">
        <f>IFERROR(__xludf.DUMMYFUNCTION("""COMPUTED_VALUE"""),"2 ULA B PUTRI")</f>
        <v>2 ULA B PUTRI</v>
      </c>
      <c r="L313" s="29" t="str">
        <f>IFERROR(__xludf.DUMMYFUNCTION("""COMPUTED_VALUE"""),"6285606769994")</f>
        <v>6285606769994</v>
      </c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2">
        <f>IFERROR(__xludf.DUMMYFUNCTION("""COMPUTED_VALUE"""),500000.0)</f>
        <v>500000</v>
      </c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2">
        <f>IFERROR(__xludf.DUMMYFUNCTION("""COMPUTED_VALUE"""),500000.0)</f>
        <v>500000</v>
      </c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2">
        <f>IFERROR(__xludf.DUMMYFUNCTION("""COMPUTED_VALUE"""),0.0)</f>
        <v>0</v>
      </c>
      <c r="BD313" s="22">
        <f>IFERROR(__xludf.DUMMYFUNCTION("""COMPUTED_VALUE"""),1000000.0)</f>
        <v>1000000</v>
      </c>
      <c r="BE313" s="22">
        <f>IFERROR(__xludf.DUMMYFUNCTION("""COMPUTED_VALUE"""),0.0)</f>
        <v>0</v>
      </c>
      <c r="BF313" s="22">
        <f>IFERROR(__xludf.DUMMYFUNCTION("""COMPUTED_VALUE"""),1000000.0)</f>
        <v>1000000</v>
      </c>
    </row>
    <row r="314">
      <c r="A314" s="27">
        <f>IFERROR(__xludf.DUMMYFUNCTION("""COMPUTED_VALUE"""),313.0)</f>
        <v>313</v>
      </c>
      <c r="B314" s="28" t="str">
        <f>IFERROR(__xludf.DUMMYFUNCTION("""COMPUTED_VALUE"""),"NOVITA PUTRI SALSABILA")</f>
        <v>NOVITA PUTRI SALSABILA</v>
      </c>
      <c r="C314" s="28">
        <f>IFERROR(__xludf.DUMMYFUNCTION("""COMPUTED_VALUE"""),2.025070506E9)</f>
        <v>2025070506</v>
      </c>
      <c r="D314" s="28" t="str">
        <f>IFERROR(__xludf.DUMMYFUNCTION("""COMPUTED_VALUE"""),"ILHAM ZAWAWI")</f>
        <v>ILHAM ZAWAWI</v>
      </c>
      <c r="E314" s="28" t="str">
        <f>IFERROR(__xludf.DUMMYFUNCTION("""COMPUTED_VALUE"""),"NURHAYANA")</f>
        <v>NURHAYANA</v>
      </c>
      <c r="F314" s="28" t="str">
        <f>IFERROR(__xludf.DUMMYFUNCTION("""COMPUTED_VALUE"""),"JL. CILANGKAP BARU CILANGKAP RT 004 RW 001 CIPAYUNG JAKARTA TIMUR")</f>
        <v>JL. CILANGKAP BARU CILANGKAP RT 004 RW 001 CIPAYUNG JAKARTA TIMUR</v>
      </c>
      <c r="G314" s="28" t="str">
        <f>IFERROR(__xludf.DUMMYFUNCTION("""COMPUTED_VALUE"""),"MTS-8 C")</f>
        <v>MTS-8 C</v>
      </c>
      <c r="H314" s="28" t="str">
        <f>IFERROR(__xludf.DUMMYFUNCTION("""COMPUTED_VALUE"""),"E")</f>
        <v>E</v>
      </c>
      <c r="I314" s="28" t="str">
        <f>IFERROR(__xludf.DUMMYFUNCTION("""COMPUTED_VALUE"""),"E-4")</f>
        <v>E-4</v>
      </c>
      <c r="J314" s="28">
        <f>IFERROR(__xludf.DUMMYFUNCTION("""COMPUTED_VALUE"""),2.0)</f>
        <v>2</v>
      </c>
      <c r="K314" s="28" t="str">
        <f>IFERROR(__xludf.DUMMYFUNCTION("""COMPUTED_VALUE"""),"2 ULA A PUTRI")</f>
        <v>2 ULA A PUTRI</v>
      </c>
      <c r="L314" s="29" t="str">
        <f>IFERROR(__xludf.DUMMYFUNCTION("""COMPUTED_VALUE"""),"6287783842404")</f>
        <v>6287783842404</v>
      </c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2">
        <f>IFERROR(__xludf.DUMMYFUNCTION("""COMPUTED_VALUE"""),0.0)</f>
        <v>0</v>
      </c>
      <c r="BD314" s="22">
        <f>IFERROR(__xludf.DUMMYFUNCTION("""COMPUTED_VALUE"""),0.0)</f>
        <v>0</v>
      </c>
      <c r="BE314" s="22">
        <f>IFERROR(__xludf.DUMMYFUNCTION("""COMPUTED_VALUE"""),0.0)</f>
        <v>0</v>
      </c>
      <c r="BF314" s="22">
        <f>IFERROR(__xludf.DUMMYFUNCTION("""COMPUTED_VALUE"""),0.0)</f>
        <v>0</v>
      </c>
    </row>
    <row r="315">
      <c r="A315" s="27">
        <f>IFERROR(__xludf.DUMMYFUNCTION("""COMPUTED_VALUE"""),314.0)</f>
        <v>314</v>
      </c>
      <c r="B315" s="28" t="str">
        <f>IFERROR(__xludf.DUMMYFUNCTION("""COMPUTED_VALUE"""),"NURISMA ZIANA")</f>
        <v>NURISMA ZIANA</v>
      </c>
      <c r="C315" s="28">
        <f>IFERROR(__xludf.DUMMYFUNCTION("""COMPUTED_VALUE"""),2.025070443E9)</f>
        <v>2025070443</v>
      </c>
      <c r="D315" s="28" t="str">
        <f>IFERROR(__xludf.DUMMYFUNCTION("""COMPUTED_VALUE"""),"SUGIANTO")</f>
        <v>SUGIANTO</v>
      </c>
      <c r="E315" s="28" t="str">
        <f>IFERROR(__xludf.DUMMYFUNCTION("""COMPUTED_VALUE"""),"MURIYATUN")</f>
        <v>MURIYATUN</v>
      </c>
      <c r="F315" s="28" t="str">
        <f>IFERROR(__xludf.DUMMYFUNCTION("""COMPUTED_VALUE"""),"SIWALAN RT 013 RW 005 PANCENG GRESIK")</f>
        <v>SIWALAN RT 013 RW 005 PANCENG GRESIK</v>
      </c>
      <c r="G315" s="28" t="str">
        <f>IFERROR(__xludf.DUMMYFUNCTION("""COMPUTED_VALUE"""),"SMK-XI TKJ 1")</f>
        <v>SMK-XI TKJ 1</v>
      </c>
      <c r="H315" s="28" t="str">
        <f>IFERROR(__xludf.DUMMYFUNCTION("""COMPUTED_VALUE"""),"E")</f>
        <v>E</v>
      </c>
      <c r="I315" s="28" t="str">
        <f>IFERROR(__xludf.DUMMYFUNCTION("""COMPUTED_VALUE"""),"E-5")</f>
        <v>E-5</v>
      </c>
      <c r="J315" s="28">
        <f>IFERROR(__xludf.DUMMYFUNCTION("""COMPUTED_VALUE"""),2.0)</f>
        <v>2</v>
      </c>
      <c r="K315" s="28" t="str">
        <f>IFERROR(__xludf.DUMMYFUNCTION("""COMPUTED_VALUE"""),"2 WUSTHO D PUTRI")</f>
        <v>2 WUSTHO D PUTRI</v>
      </c>
      <c r="L315" s="29" t="str">
        <f>IFERROR(__xludf.DUMMYFUNCTION("""COMPUTED_VALUE"""),"6285815643321")</f>
        <v>6285815643321</v>
      </c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2">
        <f>IFERROR(__xludf.DUMMYFUNCTION("""COMPUTED_VALUE"""),500000.0)</f>
        <v>500000</v>
      </c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2">
        <f>IFERROR(__xludf.DUMMYFUNCTION("""COMPUTED_VALUE"""),500000.0)</f>
        <v>500000</v>
      </c>
      <c r="BD315" s="22">
        <f>IFERROR(__xludf.DUMMYFUNCTION("""COMPUTED_VALUE"""),0.0)</f>
        <v>0</v>
      </c>
      <c r="BE315" s="22">
        <f>IFERROR(__xludf.DUMMYFUNCTION("""COMPUTED_VALUE"""),0.0)</f>
        <v>0</v>
      </c>
      <c r="BF315" s="22">
        <f>IFERROR(__xludf.DUMMYFUNCTION("""COMPUTED_VALUE"""),500000.0)</f>
        <v>500000</v>
      </c>
    </row>
    <row r="316">
      <c r="A316" s="27">
        <f>IFERROR(__xludf.DUMMYFUNCTION("""COMPUTED_VALUE"""),315.0)</f>
        <v>315</v>
      </c>
      <c r="B316" s="28" t="str">
        <f>IFERROR(__xludf.DUMMYFUNCTION("""COMPUTED_VALUE"""),"RIZKA ILMA HAQQIYA")</f>
        <v>RIZKA ILMA HAQQIYA</v>
      </c>
      <c r="C316" s="28">
        <f>IFERROR(__xludf.DUMMYFUNCTION("""COMPUTED_VALUE"""),2.025070629E9)</f>
        <v>2025070629</v>
      </c>
      <c r="D316" s="28" t="str">
        <f>IFERROR(__xludf.DUMMYFUNCTION("""COMPUTED_VALUE"""),"KHOIRUL ANWAR")</f>
        <v>KHOIRUL ANWAR</v>
      </c>
      <c r="E316" s="28" t="str">
        <f>IFERROR(__xludf.DUMMYFUNCTION("""COMPUTED_VALUE"""),"LAILATUL MUKARROMAH")</f>
        <v>LAILATUL MUKARROMAH</v>
      </c>
      <c r="F316" s="28" t="str">
        <f>IFERROR(__xludf.DUMMYFUNCTION("""COMPUTED_VALUE"""),"NGAMBEG RT 004 RW 002 PUCUK LAMONGAN")</f>
        <v>NGAMBEG RT 004 RW 002 PUCUK LAMONGAN</v>
      </c>
      <c r="G316" s="28" t="str">
        <f>IFERROR(__xludf.DUMMYFUNCTION("""COMPUTED_VALUE"""),"MTS-8 D")</f>
        <v>MTS-8 D</v>
      </c>
      <c r="H316" s="28" t="str">
        <f>IFERROR(__xludf.DUMMYFUNCTION("""COMPUTED_VALUE"""),"E")</f>
        <v>E</v>
      </c>
      <c r="I316" s="28" t="str">
        <f>IFERROR(__xludf.DUMMYFUNCTION("""COMPUTED_VALUE"""),"E-4")</f>
        <v>E-4</v>
      </c>
      <c r="J316" s="28">
        <f>IFERROR(__xludf.DUMMYFUNCTION("""COMPUTED_VALUE"""),2.0)</f>
        <v>2</v>
      </c>
      <c r="K316" s="28" t="str">
        <f>IFERROR(__xludf.DUMMYFUNCTION("""COMPUTED_VALUE"""),"2 ULA A PUTRI")</f>
        <v>2 ULA A PUTRI</v>
      </c>
      <c r="L316" s="29" t="str">
        <f>IFERROR(__xludf.DUMMYFUNCTION("""COMPUTED_VALUE"""),"6285815230735")</f>
        <v>6285815230735</v>
      </c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2">
        <f>IFERROR(__xludf.DUMMYFUNCTION("""COMPUTED_VALUE"""),0.0)</f>
        <v>0</v>
      </c>
      <c r="BD316" s="22">
        <f>IFERROR(__xludf.DUMMYFUNCTION("""COMPUTED_VALUE"""),0.0)</f>
        <v>0</v>
      </c>
      <c r="BE316" s="22">
        <f>IFERROR(__xludf.DUMMYFUNCTION("""COMPUTED_VALUE"""),0.0)</f>
        <v>0</v>
      </c>
      <c r="BF316" s="22">
        <f>IFERROR(__xludf.DUMMYFUNCTION("""COMPUTED_VALUE"""),0.0)</f>
        <v>0</v>
      </c>
    </row>
    <row r="317">
      <c r="A317" s="27">
        <f>IFERROR(__xludf.DUMMYFUNCTION("""COMPUTED_VALUE"""),316.0)</f>
        <v>316</v>
      </c>
      <c r="B317" s="28" t="str">
        <f>IFERROR(__xludf.DUMMYFUNCTION("""COMPUTED_VALUE"""),"SHOFFI NANDHA RISTASARI")</f>
        <v>SHOFFI NANDHA RISTASARI</v>
      </c>
      <c r="C317" s="28">
        <f>IFERROR(__xludf.DUMMYFUNCTION("""COMPUTED_VALUE"""),2.025070234E9)</f>
        <v>2025070234</v>
      </c>
      <c r="D317" s="28" t="str">
        <f>IFERROR(__xludf.DUMMYFUNCTION("""COMPUTED_VALUE"""),"SUPARJOH")</f>
        <v>SUPARJOH</v>
      </c>
      <c r="E317" s="28" t="str">
        <f>IFERROR(__xludf.DUMMYFUNCTION("""COMPUTED_VALUE"""),"MUSYAROH")</f>
        <v>MUSYAROH</v>
      </c>
      <c r="F317" s="28" t="str">
        <f>IFERROR(__xludf.DUMMYFUNCTION("""COMPUTED_VALUE"""),"PETIYIN TAKERHARJO RT 002 RW 006 SOLOKURO LAMONGAN")</f>
        <v>PETIYIN TAKERHARJO RT 002 RW 006 SOLOKURO LAMONGAN</v>
      </c>
      <c r="G317" s="28" t="str">
        <f>IFERROR(__xludf.DUMMYFUNCTION("""COMPUTED_VALUE"""),"MA-XI.13")</f>
        <v>MA-XI.13</v>
      </c>
      <c r="H317" s="28" t="str">
        <f>IFERROR(__xludf.DUMMYFUNCTION("""COMPUTED_VALUE"""),"E")</f>
        <v>E</v>
      </c>
      <c r="I317" s="28" t="str">
        <f>IFERROR(__xludf.DUMMYFUNCTION("""COMPUTED_VALUE"""),"E-5")</f>
        <v>E-5</v>
      </c>
      <c r="J317" s="28">
        <f>IFERROR(__xludf.DUMMYFUNCTION("""COMPUTED_VALUE"""),2.0)</f>
        <v>2</v>
      </c>
      <c r="K317" s="28" t="str">
        <f>IFERROR(__xludf.DUMMYFUNCTION("""COMPUTED_VALUE"""),"2 MAK PUTRI")</f>
        <v>2 MAK PUTRI</v>
      </c>
      <c r="L317" s="29" t="str">
        <f>IFERROR(__xludf.DUMMYFUNCTION("""COMPUTED_VALUE"""),"6285755749598")</f>
        <v>6285755749598</v>
      </c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2">
        <f>IFERROR(__xludf.DUMMYFUNCTION("""COMPUTED_VALUE"""),500000.0)</f>
        <v>500000</v>
      </c>
      <c r="AA317" s="28"/>
      <c r="AB317" s="22">
        <f>IFERROR(__xludf.DUMMYFUNCTION("""COMPUTED_VALUE"""),500000.0)</f>
        <v>500000</v>
      </c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2">
        <f>IFERROR(__xludf.DUMMYFUNCTION("""COMPUTED_VALUE"""),500000.0)</f>
        <v>500000</v>
      </c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2">
        <f>IFERROR(__xludf.DUMMYFUNCTION("""COMPUTED_VALUE"""),500000.0)</f>
        <v>500000</v>
      </c>
      <c r="BD317" s="22">
        <f>IFERROR(__xludf.DUMMYFUNCTION("""COMPUTED_VALUE"""),1000000.0)</f>
        <v>1000000</v>
      </c>
      <c r="BE317" s="22">
        <f>IFERROR(__xludf.DUMMYFUNCTION("""COMPUTED_VALUE"""),0.0)</f>
        <v>0</v>
      </c>
      <c r="BF317" s="22">
        <f>IFERROR(__xludf.DUMMYFUNCTION("""COMPUTED_VALUE"""),1500000.0)</f>
        <v>1500000</v>
      </c>
    </row>
    <row r="318">
      <c r="A318" s="27">
        <f>IFERROR(__xludf.DUMMYFUNCTION("""COMPUTED_VALUE"""),317.0)</f>
        <v>317</v>
      </c>
      <c r="B318" s="28" t="str">
        <f>IFERROR(__xludf.DUMMYFUNCTION("""COMPUTED_VALUE"""),"SHOFIE AULIA AFIQAH MARSAID")</f>
        <v>SHOFIE AULIA AFIQAH MARSAID</v>
      </c>
      <c r="C318" s="28">
        <f>IFERROR(__xludf.DUMMYFUNCTION("""COMPUTED_VALUE"""),2.025070593E9)</f>
        <v>2025070593</v>
      </c>
      <c r="D318" s="28" t="str">
        <f>IFERROR(__xludf.DUMMYFUNCTION("""COMPUTED_VALUE"""),"ACHMAD UMAR SAID")</f>
        <v>ACHMAD UMAR SAID</v>
      </c>
      <c r="E318" s="28" t="str">
        <f>IFERROR(__xludf.DUMMYFUNCTION("""COMPUTED_VALUE"""),"MARATUS SHOLIQAH")</f>
        <v>MARATUS SHOLIQAH</v>
      </c>
      <c r="F318" s="28" t="str">
        <f>IFERROR(__xludf.DUMMYFUNCTION("""COMPUTED_VALUE"""),"TENGGER TENGGEREJO RT 001 RW 002 KEDUNGPRING LAMONGAN")</f>
        <v>TENGGER TENGGEREJO RT 001 RW 002 KEDUNGPRING LAMONGAN</v>
      </c>
      <c r="G318" s="28" t="str">
        <f>IFERROR(__xludf.DUMMYFUNCTION("""COMPUTED_VALUE"""),"MTS-8 G")</f>
        <v>MTS-8 G</v>
      </c>
      <c r="H318" s="28" t="str">
        <f>IFERROR(__xludf.DUMMYFUNCTION("""COMPUTED_VALUE"""),"E")</f>
        <v>E</v>
      </c>
      <c r="I318" s="28" t="str">
        <f>IFERROR(__xludf.DUMMYFUNCTION("""COMPUTED_VALUE"""),"E-4")</f>
        <v>E-4</v>
      </c>
      <c r="J318" s="28">
        <f>IFERROR(__xludf.DUMMYFUNCTION("""COMPUTED_VALUE"""),2.0)</f>
        <v>2</v>
      </c>
      <c r="K318" s="28" t="str">
        <f>IFERROR(__xludf.DUMMYFUNCTION("""COMPUTED_VALUE"""),"ULA")</f>
        <v>ULA</v>
      </c>
      <c r="L318" s="29" t="str">
        <f>IFERROR(__xludf.DUMMYFUNCTION("""COMPUTED_VALUE"""),"6285706162506")</f>
        <v>6285706162506</v>
      </c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2">
        <f>IFERROR(__xludf.DUMMYFUNCTION("""COMPUTED_VALUE"""),500000.0)</f>
        <v>500000</v>
      </c>
      <c r="AA318" s="28"/>
      <c r="AB318" s="22">
        <f>IFERROR(__xludf.DUMMYFUNCTION("""COMPUTED_VALUE"""),500000.0)</f>
        <v>500000</v>
      </c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2">
        <f>IFERROR(__xludf.DUMMYFUNCTION("""COMPUTED_VALUE"""),500000.0)</f>
        <v>500000</v>
      </c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2">
        <f>IFERROR(__xludf.DUMMYFUNCTION("""COMPUTED_VALUE"""),500000.0)</f>
        <v>500000</v>
      </c>
      <c r="BD318" s="22">
        <f>IFERROR(__xludf.DUMMYFUNCTION("""COMPUTED_VALUE"""),1000000.0)</f>
        <v>1000000</v>
      </c>
      <c r="BE318" s="22">
        <f>IFERROR(__xludf.DUMMYFUNCTION("""COMPUTED_VALUE"""),0.0)</f>
        <v>0</v>
      </c>
      <c r="BF318" s="22">
        <f>IFERROR(__xludf.DUMMYFUNCTION("""COMPUTED_VALUE"""),1500000.0)</f>
        <v>1500000</v>
      </c>
    </row>
    <row r="319">
      <c r="A319" s="27">
        <f>IFERROR(__xludf.DUMMYFUNCTION("""COMPUTED_VALUE"""),318.0)</f>
        <v>318</v>
      </c>
      <c r="B319" s="28" t="str">
        <f>IFERROR(__xludf.DUMMYFUNCTION("""COMPUTED_VALUE"""),"SINTIYA PUTRI HIDAYAH")</f>
        <v>SINTIYA PUTRI HIDAYAH</v>
      </c>
      <c r="C319" s="28">
        <f>IFERROR(__xludf.DUMMYFUNCTION("""COMPUTED_VALUE"""),2.025070614E9)</f>
        <v>2025070614</v>
      </c>
      <c r="D319" s="28" t="str">
        <f>IFERROR(__xludf.DUMMYFUNCTION("""COMPUTED_VALUE"""),"SUWARNO")</f>
        <v>SUWARNO</v>
      </c>
      <c r="E319" s="28" t="str">
        <f>IFERROR(__xludf.DUMMYFUNCTION("""COMPUTED_VALUE"""),"SITI KHALIMAH")</f>
        <v>SITI KHALIMAH</v>
      </c>
      <c r="F319" s="28" t="str">
        <f>IFERROR(__xludf.DUMMYFUNCTION("""COMPUTED_VALUE"""),"NGEMBET BANJARMADU RT 002 RW 007 KARANGGENENG LAMONGAN")</f>
        <v>NGEMBET BANJARMADU RT 002 RW 007 KARANGGENENG LAMONGAN</v>
      </c>
      <c r="G319" s="28" t="str">
        <f>IFERROR(__xludf.DUMMYFUNCTION("""COMPUTED_VALUE"""),"MTS-8 G")</f>
        <v>MTS-8 G</v>
      </c>
      <c r="H319" s="28" t="str">
        <f>IFERROR(__xludf.DUMMYFUNCTION("""COMPUTED_VALUE"""),"E")</f>
        <v>E</v>
      </c>
      <c r="I319" s="28" t="str">
        <f>IFERROR(__xludf.DUMMYFUNCTION("""COMPUTED_VALUE"""),"E-4")</f>
        <v>E-4</v>
      </c>
      <c r="J319" s="28">
        <f>IFERROR(__xludf.DUMMYFUNCTION("""COMPUTED_VALUE"""),2.0)</f>
        <v>2</v>
      </c>
      <c r="K319" s="28" t="str">
        <f>IFERROR(__xludf.DUMMYFUNCTION("""COMPUTED_VALUE"""),"2 ULA A PUTRI")</f>
        <v>2 ULA A PUTRI</v>
      </c>
      <c r="L319" s="29" t="str">
        <f>IFERROR(__xludf.DUMMYFUNCTION("""COMPUTED_VALUE"""),"6281335474858")</f>
        <v>6281335474858</v>
      </c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2">
        <f>IFERROR(__xludf.DUMMYFUNCTION("""COMPUTED_VALUE"""),500000.0)</f>
        <v>500000</v>
      </c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2">
        <f>IFERROR(__xludf.DUMMYFUNCTION("""COMPUTED_VALUE"""),500000.0)</f>
        <v>500000</v>
      </c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2">
        <f>IFERROR(__xludf.DUMMYFUNCTION("""COMPUTED_VALUE"""),0.0)</f>
        <v>0</v>
      </c>
      <c r="BD319" s="22">
        <f>IFERROR(__xludf.DUMMYFUNCTION("""COMPUTED_VALUE"""),1000000.0)</f>
        <v>1000000</v>
      </c>
      <c r="BE319" s="22">
        <f>IFERROR(__xludf.DUMMYFUNCTION("""COMPUTED_VALUE"""),0.0)</f>
        <v>0</v>
      </c>
      <c r="BF319" s="22">
        <f>IFERROR(__xludf.DUMMYFUNCTION("""COMPUTED_VALUE"""),1000000.0)</f>
        <v>1000000</v>
      </c>
    </row>
    <row r="320">
      <c r="A320" s="27">
        <f>IFERROR(__xludf.DUMMYFUNCTION("""COMPUTED_VALUE"""),319.0)</f>
        <v>319</v>
      </c>
      <c r="B320" s="28" t="str">
        <f>IFERROR(__xludf.DUMMYFUNCTION("""COMPUTED_VALUE"""),"TITIN HAMIDAH ALIFIA")</f>
        <v>TITIN HAMIDAH ALIFIA</v>
      </c>
      <c r="C320" s="28">
        <f>IFERROR(__xludf.DUMMYFUNCTION("""COMPUTED_VALUE"""),2.025070581E9)</f>
        <v>2025070581</v>
      </c>
      <c r="D320" s="28" t="str">
        <f>IFERROR(__xludf.DUMMYFUNCTION("""COMPUTED_VALUE"""),"AHMAD")</f>
        <v>AHMAD</v>
      </c>
      <c r="E320" s="28" t="str">
        <f>IFERROR(__xludf.DUMMYFUNCTION("""COMPUTED_VALUE"""),"SITI MAGHFIROH")</f>
        <v>SITI MAGHFIROH</v>
      </c>
      <c r="F320" s="28" t="str">
        <f>IFERROR(__xludf.DUMMYFUNCTION("""COMPUTED_VALUE"""),"GUYANGAN KEMLAGIGEDE RT 013 RW 003 TURI LAMONGAN")</f>
        <v>GUYANGAN KEMLAGIGEDE RT 013 RW 003 TURI LAMONGAN</v>
      </c>
      <c r="G320" s="28" t="str">
        <f>IFERROR(__xludf.DUMMYFUNCTION("""COMPUTED_VALUE"""),"MTS-8 A")</f>
        <v>MTS-8 A</v>
      </c>
      <c r="H320" s="28" t="str">
        <f>IFERROR(__xludf.DUMMYFUNCTION("""COMPUTED_VALUE"""),"E")</f>
        <v>E</v>
      </c>
      <c r="I320" s="28" t="str">
        <f>IFERROR(__xludf.DUMMYFUNCTION("""COMPUTED_VALUE"""),"E-6")</f>
        <v>E-6</v>
      </c>
      <c r="J320" s="28">
        <f>IFERROR(__xludf.DUMMYFUNCTION("""COMPUTED_VALUE"""),2.0)</f>
        <v>2</v>
      </c>
      <c r="K320" s="28" t="str">
        <f>IFERROR(__xludf.DUMMYFUNCTION("""COMPUTED_VALUE"""),"2 ULA A PUTRI")</f>
        <v>2 ULA A PUTRI</v>
      </c>
      <c r="L320" s="29" t="str">
        <f>IFERROR(__xludf.DUMMYFUNCTION("""COMPUTED_VALUE"""),"6285755628243")</f>
        <v>6285755628243</v>
      </c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2">
        <f>IFERROR(__xludf.DUMMYFUNCTION("""COMPUTED_VALUE"""),500000.0)</f>
        <v>500000</v>
      </c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2" t="str">
        <f>IFERROR(__xludf.DUMMYFUNCTION("""COMPUTED_VALUE"""),"  ")</f>
        <v>  </v>
      </c>
      <c r="BC320" s="22">
        <f>IFERROR(__xludf.DUMMYFUNCTION("""COMPUTED_VALUE"""),0.0)</f>
        <v>0</v>
      </c>
      <c r="BD320" s="22">
        <f>IFERROR(__xludf.DUMMYFUNCTION("""COMPUTED_VALUE"""),500000.0)</f>
        <v>500000</v>
      </c>
      <c r="BE320" s="22">
        <f>IFERROR(__xludf.DUMMYFUNCTION("""COMPUTED_VALUE"""),0.0)</f>
        <v>0</v>
      </c>
      <c r="BF320" s="22">
        <f>IFERROR(__xludf.DUMMYFUNCTION("""COMPUTED_VALUE"""),500000.0)</f>
        <v>500000</v>
      </c>
    </row>
    <row r="321">
      <c r="A321" s="27">
        <f>IFERROR(__xludf.DUMMYFUNCTION("""COMPUTED_VALUE"""),320.0)</f>
        <v>320</v>
      </c>
      <c r="B321" s="28" t="str">
        <f>IFERROR(__xludf.DUMMYFUNCTION("""COMPUTED_VALUE"""),"YOGI ROFIATUS MAULA")</f>
        <v>YOGI ROFIATUS MAULA</v>
      </c>
      <c r="C321" s="28">
        <f>IFERROR(__xludf.DUMMYFUNCTION("""COMPUTED_VALUE"""),2.025070503E9)</f>
        <v>2025070503</v>
      </c>
      <c r="D321" s="28" t="str">
        <f>IFERROR(__xludf.DUMMYFUNCTION("""COMPUTED_VALUE"""),"MOHAMMAD MUSLIK")</f>
        <v>MOHAMMAD MUSLIK</v>
      </c>
      <c r="E321" s="28" t="str">
        <f>IFERROR(__xludf.DUMMYFUNCTION("""COMPUTED_VALUE"""),"SUDARWATI")</f>
        <v>SUDARWATI</v>
      </c>
      <c r="F321" s="28" t="str">
        <f>IFERROR(__xludf.DUMMYFUNCTION("""COMPUTED_VALUE"""),"PILANG GEDANGAN RT 002 RW 003 SUKODADI LAMONGAN")</f>
        <v>PILANG GEDANGAN RT 002 RW 003 SUKODADI LAMONGAN</v>
      </c>
      <c r="G321" s="28" t="str">
        <f>IFERROR(__xludf.DUMMYFUNCTION("""COMPUTED_VALUE"""),"MTS-8 B")</f>
        <v>MTS-8 B</v>
      </c>
      <c r="H321" s="28" t="str">
        <f>IFERROR(__xludf.DUMMYFUNCTION("""COMPUTED_VALUE"""),"E")</f>
        <v>E</v>
      </c>
      <c r="I321" s="28" t="str">
        <f>IFERROR(__xludf.DUMMYFUNCTION("""COMPUTED_VALUE"""),"E-5")</f>
        <v>E-5</v>
      </c>
      <c r="J321" s="28">
        <f>IFERROR(__xludf.DUMMYFUNCTION("""COMPUTED_VALUE"""),2.0)</f>
        <v>2</v>
      </c>
      <c r="K321" s="28" t="str">
        <f>IFERROR(__xludf.DUMMYFUNCTION("""COMPUTED_VALUE"""),"2 ULA C PUTRI")</f>
        <v>2 ULA C PUTRI</v>
      </c>
      <c r="L321" s="29" t="str">
        <f>IFERROR(__xludf.DUMMYFUNCTION("""COMPUTED_VALUE"""),"6285755100370")</f>
        <v>6285755100370</v>
      </c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2">
        <f>IFERROR(__xludf.DUMMYFUNCTION("""COMPUTED_VALUE"""),500000.0)</f>
        <v>500000</v>
      </c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2">
        <f>IFERROR(__xludf.DUMMYFUNCTION("""COMPUTED_VALUE"""),500000.0)</f>
        <v>500000</v>
      </c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2">
        <f>IFERROR(__xludf.DUMMYFUNCTION("""COMPUTED_VALUE"""),0.0)</f>
        <v>0</v>
      </c>
      <c r="BD321" s="22">
        <f>IFERROR(__xludf.DUMMYFUNCTION("""COMPUTED_VALUE"""),1000000.0)</f>
        <v>1000000</v>
      </c>
      <c r="BE321" s="22">
        <f>IFERROR(__xludf.DUMMYFUNCTION("""COMPUTED_VALUE"""),0.0)</f>
        <v>0</v>
      </c>
      <c r="BF321" s="22">
        <f>IFERROR(__xludf.DUMMYFUNCTION("""COMPUTED_VALUE"""),1000000.0)</f>
        <v>1000000</v>
      </c>
    </row>
    <row r="322">
      <c r="A322" s="27">
        <f>IFERROR(__xludf.DUMMYFUNCTION("""COMPUTED_VALUE"""),321.0)</f>
        <v>321</v>
      </c>
      <c r="B322" s="28" t="str">
        <f>IFERROR(__xludf.DUMMYFUNCTION("""COMPUTED_VALUE"""),"ZAHIRA JULIA SAIDAH")</f>
        <v>ZAHIRA JULIA SAIDAH</v>
      </c>
      <c r="C322" s="28">
        <f>IFERROR(__xludf.DUMMYFUNCTION("""COMPUTED_VALUE"""),2.025070168E9)</f>
        <v>2025070168</v>
      </c>
      <c r="D322" s="28" t="str">
        <f>IFERROR(__xludf.DUMMYFUNCTION("""COMPUTED_VALUE"""),"SAKIM")</f>
        <v>SAKIM</v>
      </c>
      <c r="E322" s="28" t="str">
        <f>IFERROR(__xludf.DUMMYFUNCTION("""COMPUTED_VALUE"""),"SAUDAH")</f>
        <v>SAUDAH</v>
      </c>
      <c r="F322" s="28" t="str">
        <f>IFERROR(__xludf.DUMMYFUNCTION("""COMPUTED_VALUE"""),"KUCUR SIDOMUKTI RT 002 RW 001 LAMONGAN LAMONGAN")</f>
        <v>KUCUR SIDOMUKTI RT 002 RW 001 LAMONGAN LAMONGAN</v>
      </c>
      <c r="G322" s="28" t="str">
        <f>IFERROR(__xludf.DUMMYFUNCTION("""COMPUTED_VALUE"""),"MA-XI.12")</f>
        <v>MA-XI.12</v>
      </c>
      <c r="H322" s="28" t="str">
        <f>IFERROR(__xludf.DUMMYFUNCTION("""COMPUTED_VALUE"""),"E")</f>
        <v>E</v>
      </c>
      <c r="I322" s="28" t="str">
        <f>IFERROR(__xludf.DUMMYFUNCTION("""COMPUTED_VALUE"""),"E-5")</f>
        <v>E-5</v>
      </c>
      <c r="J322" s="28">
        <f>IFERROR(__xludf.DUMMYFUNCTION("""COMPUTED_VALUE"""),2.0)</f>
        <v>2</v>
      </c>
      <c r="K322" s="28" t="str">
        <f>IFERROR(__xludf.DUMMYFUNCTION("""COMPUTED_VALUE"""),"2 WUSTHO B PUTRI")</f>
        <v>2 WUSTHO B PUTRI</v>
      </c>
      <c r="L322" s="29" t="str">
        <f>IFERROR(__xludf.DUMMYFUNCTION("""COMPUTED_VALUE"""),"6285859402324")</f>
        <v>6285859402324</v>
      </c>
      <c r="M322" s="28"/>
      <c r="N322" s="28"/>
      <c r="O322" s="28"/>
      <c r="P322" s="28"/>
      <c r="Q322" s="28"/>
      <c r="R322" s="28"/>
      <c r="S322" s="28"/>
      <c r="T322" s="22">
        <f>IFERROR(__xludf.DUMMYFUNCTION("""COMPUTED_VALUE"""),500000.0)</f>
        <v>500000</v>
      </c>
      <c r="U322" s="22">
        <f>IFERROR(__xludf.DUMMYFUNCTION("""COMPUTED_VALUE"""),500000.0)</f>
        <v>500000</v>
      </c>
      <c r="V322" s="22">
        <f>IFERROR(__xludf.DUMMYFUNCTION("""COMPUTED_VALUE"""),500000.0)</f>
        <v>500000</v>
      </c>
      <c r="W322" s="22">
        <f>IFERROR(__xludf.DUMMYFUNCTION("""COMPUTED_VALUE"""),500000.0)</f>
        <v>500000</v>
      </c>
      <c r="X322" s="22">
        <f>IFERROR(__xludf.DUMMYFUNCTION("""COMPUTED_VALUE"""),500000.0)</f>
        <v>500000</v>
      </c>
      <c r="Y322" s="22">
        <f>IFERROR(__xludf.DUMMYFUNCTION("""COMPUTED_VALUE"""),500000.0)</f>
        <v>500000</v>
      </c>
      <c r="Z322" s="22">
        <f>IFERROR(__xludf.DUMMYFUNCTION("""COMPUTED_VALUE"""),500000.0)</f>
        <v>500000</v>
      </c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2">
        <f>IFERROR(__xludf.DUMMYFUNCTION("""COMPUTED_VALUE"""),3500000.0)</f>
        <v>3500000</v>
      </c>
      <c r="BD322" s="22">
        <f>IFERROR(__xludf.DUMMYFUNCTION("""COMPUTED_VALUE"""),0.0)</f>
        <v>0</v>
      </c>
      <c r="BE322" s="22">
        <f>IFERROR(__xludf.DUMMYFUNCTION("""COMPUTED_VALUE"""),0.0)</f>
        <v>0</v>
      </c>
      <c r="BF322" s="22">
        <f>IFERROR(__xludf.DUMMYFUNCTION("""COMPUTED_VALUE"""),3500000.0)</f>
        <v>3500000</v>
      </c>
    </row>
    <row r="323">
      <c r="A323" s="27">
        <f>IFERROR(__xludf.DUMMYFUNCTION("""COMPUTED_VALUE"""),322.0)</f>
        <v>322</v>
      </c>
      <c r="B323" s="28" t="str">
        <f>IFERROR(__xludf.DUMMYFUNCTION("""COMPUTED_VALUE"""),"AQILAH AULIYA` AL FATHONY")</f>
        <v>AQILAH AULIYA` AL FATHONY</v>
      </c>
      <c r="C323" s="28">
        <f>IFERROR(__xludf.DUMMYFUNCTION("""COMPUTED_VALUE"""),2.025070451E9)</f>
        <v>2025070451</v>
      </c>
      <c r="D323" s="28" t="str">
        <f>IFERROR(__xludf.DUMMYFUNCTION("""COMPUTED_VALUE"""),"WAHIB FATHONY")</f>
        <v>WAHIB FATHONY</v>
      </c>
      <c r="E323" s="28" t="str">
        <f>IFERROR(__xludf.DUMMYFUNCTION("""COMPUTED_VALUE"""),"MUDAWAMAH")</f>
        <v>MUDAWAMAH</v>
      </c>
      <c r="F323" s="28" t="str">
        <f>IFERROR(__xludf.DUMMYFUNCTION("""COMPUTED_VALUE"""),"PALOH RT 005 RW 003 PACIRAN LAMONGAN")</f>
        <v>PALOH RT 005 RW 003 PACIRAN LAMONGAN</v>
      </c>
      <c r="G323" s="28" t="str">
        <f>IFERROR(__xludf.DUMMYFUNCTION("""COMPUTED_VALUE"""),"SMK-XI BD")</f>
        <v>SMK-XI BD</v>
      </c>
      <c r="H323" s="28" t="str">
        <f>IFERROR(__xludf.DUMMYFUNCTION("""COMPUTED_VALUE"""),"D")</f>
        <v>D</v>
      </c>
      <c r="I323" s="28" t="str">
        <f>IFERROR(__xludf.DUMMYFUNCTION("""COMPUTED_VALUE"""),"D-8")</f>
        <v>D-8</v>
      </c>
      <c r="J323" s="28">
        <f>IFERROR(__xludf.DUMMYFUNCTION("""COMPUTED_VALUE"""),2.0)</f>
        <v>2</v>
      </c>
      <c r="K323" s="28" t="str">
        <f>IFERROR(__xludf.DUMMYFUNCTION("""COMPUTED_VALUE"""),"2 WUSTHO A PUTRI")</f>
        <v>2 WUSTHO A PUTRI</v>
      </c>
      <c r="L323" s="29" t="str">
        <f>IFERROR(__xludf.DUMMYFUNCTION("""COMPUTED_VALUE"""),"6285855737597")</f>
        <v>6285855737597</v>
      </c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2">
        <f>IFERROR(__xludf.DUMMYFUNCTION("""COMPUTED_VALUE"""),450000.0)</f>
        <v>450000</v>
      </c>
      <c r="Y323" s="22">
        <f>IFERROR(__xludf.DUMMYFUNCTION("""COMPUTED_VALUE"""),450000.0)</f>
        <v>450000</v>
      </c>
      <c r="Z323" s="22">
        <f>IFERROR(__xludf.DUMMYFUNCTION("""COMPUTED_VALUE"""),450000.0)</f>
        <v>450000</v>
      </c>
      <c r="AA323" s="28"/>
      <c r="AB323" s="22">
        <f>IFERROR(__xludf.DUMMYFUNCTION("""COMPUTED_VALUE"""),500000.0)</f>
        <v>500000</v>
      </c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2">
        <f>IFERROR(__xludf.DUMMYFUNCTION("""COMPUTED_VALUE"""),500000.0)</f>
        <v>500000</v>
      </c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2">
        <f>IFERROR(__xludf.DUMMYFUNCTION("""COMPUTED_VALUE"""),1350000.0)</f>
        <v>1350000</v>
      </c>
      <c r="BD323" s="22">
        <f>IFERROR(__xludf.DUMMYFUNCTION("""COMPUTED_VALUE"""),1000000.0)</f>
        <v>1000000</v>
      </c>
      <c r="BE323" s="22">
        <f>IFERROR(__xludf.DUMMYFUNCTION("""COMPUTED_VALUE"""),0.0)</f>
        <v>0</v>
      </c>
      <c r="BF323" s="22">
        <f>IFERROR(__xludf.DUMMYFUNCTION("""COMPUTED_VALUE"""),2350000.0)</f>
        <v>2350000</v>
      </c>
    </row>
    <row r="324">
      <c r="A324" s="27">
        <f>IFERROR(__xludf.DUMMYFUNCTION("""COMPUTED_VALUE"""),323.0)</f>
        <v>323</v>
      </c>
      <c r="B324" s="28" t="str">
        <f>IFERROR(__xludf.DUMMYFUNCTION("""COMPUTED_VALUE"""),"CAHAYA ROSANA AIRA KURNIA CANTIK")</f>
        <v>CAHAYA ROSANA AIRA KURNIA CANTIK</v>
      </c>
      <c r="C324" s="28">
        <f>IFERROR(__xludf.DUMMYFUNCTION("""COMPUTED_VALUE"""),2.025070455E9)</f>
        <v>2025070455</v>
      </c>
      <c r="D324" s="28" t="str">
        <f>IFERROR(__xludf.DUMMYFUNCTION("""COMPUTED_VALUE"""),"I`IM NURYANTO")</f>
        <v>I`IM NURYANTO</v>
      </c>
      <c r="E324" s="28" t="str">
        <f>IFERROR(__xludf.DUMMYFUNCTION("""COMPUTED_VALUE"""),"DESI AYU WULANDARI")</f>
        <v>DESI AYU WULANDARI</v>
      </c>
      <c r="F324" s="28" t="str">
        <f>IFERROR(__xludf.DUMMYFUNCTION("""COMPUTED_VALUE"""),"LENGKONG SIDOMLANGEAN RT 001 RW 001 KEDUNGPRING LAMONGAN")</f>
        <v>LENGKONG SIDOMLANGEAN RT 001 RW 001 KEDUNGPRING LAMONGAN</v>
      </c>
      <c r="G324" s="28" t="str">
        <f>IFERROR(__xludf.DUMMYFUNCTION("""COMPUTED_VALUE"""),"SMK-XI LPb")</f>
        <v>SMK-XI LPb</v>
      </c>
      <c r="H324" s="28" t="str">
        <f>IFERROR(__xludf.DUMMYFUNCTION("""COMPUTED_VALUE"""),"F")</f>
        <v>F</v>
      </c>
      <c r="I324" s="28" t="str">
        <f>IFERROR(__xludf.DUMMYFUNCTION("""COMPUTED_VALUE"""),"F-2")</f>
        <v>F-2</v>
      </c>
      <c r="J324" s="28">
        <f>IFERROR(__xludf.DUMMYFUNCTION("""COMPUTED_VALUE"""),2.0)</f>
        <v>2</v>
      </c>
      <c r="K324" s="28" t="str">
        <f>IFERROR(__xludf.DUMMYFUNCTION("""COMPUTED_VALUE"""),"2 WUSTHO D PUTRI")</f>
        <v>2 WUSTHO D PUTRI</v>
      </c>
      <c r="L324" s="29" t="str">
        <f>IFERROR(__xludf.DUMMYFUNCTION("""COMPUTED_VALUE"""),"6285737577869")</f>
        <v>6285737577869</v>
      </c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2">
        <f>IFERROR(__xludf.DUMMYFUNCTION("""COMPUTED_VALUE"""),500000.0)</f>
        <v>500000</v>
      </c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2">
        <f>IFERROR(__xludf.DUMMYFUNCTION("""COMPUTED_VALUE"""),500000.0)</f>
        <v>500000</v>
      </c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2">
        <f>IFERROR(__xludf.DUMMYFUNCTION("""COMPUTED_VALUE"""),0.0)</f>
        <v>0</v>
      </c>
      <c r="BD324" s="22">
        <f>IFERROR(__xludf.DUMMYFUNCTION("""COMPUTED_VALUE"""),1000000.0)</f>
        <v>1000000</v>
      </c>
      <c r="BE324" s="22">
        <f>IFERROR(__xludf.DUMMYFUNCTION("""COMPUTED_VALUE"""),0.0)</f>
        <v>0</v>
      </c>
      <c r="BF324" s="22">
        <f>IFERROR(__xludf.DUMMYFUNCTION("""COMPUTED_VALUE"""),1000000.0)</f>
        <v>1000000</v>
      </c>
    </row>
    <row r="325">
      <c r="A325" s="27">
        <f>IFERROR(__xludf.DUMMYFUNCTION("""COMPUTED_VALUE"""),324.0)</f>
        <v>324</v>
      </c>
      <c r="B325" s="28" t="str">
        <f>IFERROR(__xludf.DUMMYFUNCTION("""COMPUTED_VALUE"""),"MIRANTI PUSPITA DEWI")</f>
        <v>MIRANTI PUSPITA DEWI</v>
      </c>
      <c r="C325" s="28">
        <f>IFERROR(__xludf.DUMMYFUNCTION("""COMPUTED_VALUE"""),2.025070447E9)</f>
        <v>2025070447</v>
      </c>
      <c r="D325" s="28" t="str">
        <f>IFERROR(__xludf.DUMMYFUNCTION("""COMPUTED_VALUE"""),"MOH. SUTIKNO")</f>
        <v>MOH. SUTIKNO</v>
      </c>
      <c r="E325" s="28" t="str">
        <f>IFERROR(__xludf.DUMMYFUNCTION("""COMPUTED_VALUE"""),"KUMIYATIN")</f>
        <v>KUMIYATIN</v>
      </c>
      <c r="F325" s="28" t="str">
        <f>IFERROR(__xludf.DUMMYFUNCTION("""COMPUTED_VALUE"""),"DAGAN RT 001 RW 002 SOLOKURO LAMONGAN")</f>
        <v>DAGAN RT 001 RW 002 SOLOKURO LAMONGAN</v>
      </c>
      <c r="G325" s="28" t="str">
        <f>IFERROR(__xludf.DUMMYFUNCTION("""COMPUTED_VALUE"""),"SMK-XI Ak")</f>
        <v>SMK-XI Ak</v>
      </c>
      <c r="H325" s="28" t="str">
        <f>IFERROR(__xludf.DUMMYFUNCTION("""COMPUTED_VALUE"""),"F")</f>
        <v>F</v>
      </c>
      <c r="I325" s="28" t="str">
        <f>IFERROR(__xludf.DUMMYFUNCTION("""COMPUTED_VALUE"""),"F-2")</f>
        <v>F-2</v>
      </c>
      <c r="J325" s="28">
        <f>IFERROR(__xludf.DUMMYFUNCTION("""COMPUTED_VALUE"""),2.0)</f>
        <v>2</v>
      </c>
      <c r="K325" s="28" t="str">
        <f>IFERROR(__xludf.DUMMYFUNCTION("""COMPUTED_VALUE"""),"2 WUSTHO B PUTRI")</f>
        <v>2 WUSTHO B PUTRI</v>
      </c>
      <c r="L325" s="29" t="str">
        <f>IFERROR(__xludf.DUMMYFUNCTION("""COMPUTED_VALUE"""),"6285731324023")</f>
        <v>6285731324023</v>
      </c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2">
        <f>IFERROR(__xludf.DUMMYFUNCTION("""COMPUTED_VALUE"""),500000.0)</f>
        <v>500000</v>
      </c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2">
        <f>IFERROR(__xludf.DUMMYFUNCTION("""COMPUTED_VALUE"""),0.0)</f>
        <v>0</v>
      </c>
      <c r="BD325" s="22">
        <f>IFERROR(__xludf.DUMMYFUNCTION("""COMPUTED_VALUE"""),500000.0)</f>
        <v>500000</v>
      </c>
      <c r="BE325" s="22">
        <f>IFERROR(__xludf.DUMMYFUNCTION("""COMPUTED_VALUE"""),0.0)</f>
        <v>0</v>
      </c>
      <c r="BF325" s="22">
        <f>IFERROR(__xludf.DUMMYFUNCTION("""COMPUTED_VALUE"""),500000.0)</f>
        <v>500000</v>
      </c>
    </row>
    <row r="326">
      <c r="A326" s="27">
        <f>IFERROR(__xludf.DUMMYFUNCTION("""COMPUTED_VALUE"""),325.0)</f>
        <v>325</v>
      </c>
      <c r="B326" s="28" t="str">
        <f>IFERROR(__xludf.DUMMYFUNCTION("""COMPUTED_VALUE"""),"NAFISAH AZ-ZAHRAH")</f>
        <v>NAFISAH AZ-ZAHRAH</v>
      </c>
      <c r="C326" s="28">
        <f>IFERROR(__xludf.DUMMYFUNCTION("""COMPUTED_VALUE"""),2.025070461E9)</f>
        <v>2025070461</v>
      </c>
      <c r="D326" s="28" t="str">
        <f>IFERROR(__xludf.DUMMYFUNCTION("""COMPUTED_VALUE"""),"SUPADI")</f>
        <v>SUPADI</v>
      </c>
      <c r="E326" s="28" t="str">
        <f>IFERROR(__xludf.DUMMYFUNCTION("""COMPUTED_VALUE"""),"SUMINARTI")</f>
        <v>SUMINARTI</v>
      </c>
      <c r="F326" s="28" t="str">
        <f>IFERROR(__xludf.DUMMYFUNCTION("""COMPUTED_VALUE"""),"SETRO BLURI RT 005 RW 002 SOLOKURO LAMONGAN")</f>
        <v>SETRO BLURI RT 005 RW 002 SOLOKURO LAMONGAN</v>
      </c>
      <c r="G326" s="28" t="str">
        <f>IFERROR(__xludf.DUMMYFUNCTION("""COMPUTED_VALUE"""),"SMK-XI DKV")</f>
        <v>SMK-XI DKV</v>
      </c>
      <c r="H326" s="28" t="str">
        <f>IFERROR(__xludf.DUMMYFUNCTION("""COMPUTED_VALUE"""),"F")</f>
        <v>F</v>
      </c>
      <c r="I326" s="28" t="str">
        <f>IFERROR(__xludf.DUMMYFUNCTION("""COMPUTED_VALUE"""),"F-2")</f>
        <v>F-2</v>
      </c>
      <c r="J326" s="28">
        <f>IFERROR(__xludf.DUMMYFUNCTION("""COMPUTED_VALUE"""),2.0)</f>
        <v>2</v>
      </c>
      <c r="K326" s="28" t="str">
        <f>IFERROR(__xludf.DUMMYFUNCTION("""COMPUTED_VALUE"""),"2 WUSTHO D PUTRI")</f>
        <v>2 WUSTHO D PUTRI</v>
      </c>
      <c r="L326" s="29" t="str">
        <f>IFERROR(__xludf.DUMMYFUNCTION("""COMPUTED_VALUE"""),"6285696949089")</f>
        <v>6285696949089</v>
      </c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2">
        <f>IFERROR(__xludf.DUMMYFUNCTION("""COMPUTED_VALUE"""),0.0)</f>
        <v>0</v>
      </c>
      <c r="BD326" s="22">
        <f>IFERROR(__xludf.DUMMYFUNCTION("""COMPUTED_VALUE"""),0.0)</f>
        <v>0</v>
      </c>
      <c r="BE326" s="22">
        <f>IFERROR(__xludf.DUMMYFUNCTION("""COMPUTED_VALUE"""),0.0)</f>
        <v>0</v>
      </c>
      <c r="BF326" s="22">
        <f>IFERROR(__xludf.DUMMYFUNCTION("""COMPUTED_VALUE"""),0.0)</f>
        <v>0</v>
      </c>
    </row>
    <row r="327">
      <c r="A327" s="27">
        <f>IFERROR(__xludf.DUMMYFUNCTION("""COMPUTED_VALUE"""),326.0)</f>
        <v>326</v>
      </c>
      <c r="B327" s="28" t="str">
        <f>IFERROR(__xludf.DUMMYFUNCTION("""COMPUTED_VALUE"""),"NAILAH MAULIDAH ISNAH")</f>
        <v>NAILAH MAULIDAH ISNAH</v>
      </c>
      <c r="C327" s="28">
        <f>IFERROR(__xludf.DUMMYFUNCTION("""COMPUTED_VALUE"""),2.025070434E9)</f>
        <v>2025070434</v>
      </c>
      <c r="D327" s="28" t="str">
        <f>IFERROR(__xludf.DUMMYFUNCTION("""COMPUTED_VALUE"""),"YUDI IRAWAN")</f>
        <v>YUDI IRAWAN</v>
      </c>
      <c r="E327" s="28" t="str">
        <f>IFERROR(__xludf.DUMMYFUNCTION("""COMPUTED_VALUE"""),"AMINATUR ROHMAH")</f>
        <v>AMINATUR ROHMAH</v>
      </c>
      <c r="F327" s="28" t="str">
        <f>IFERROR(__xludf.DUMMYFUNCTION("""COMPUTED_VALUE"""),"UKA 4/01 SEMEMI RT 006 RW 002 BENOWO SURABAYA")</f>
        <v>UKA 4/01 SEMEMI RT 006 RW 002 BENOWO SURABAYA</v>
      </c>
      <c r="G327" s="28" t="str">
        <f>IFERROR(__xludf.DUMMYFUNCTION("""COMPUTED_VALUE"""),"SMK-XI TKJ 1")</f>
        <v>SMK-XI TKJ 1</v>
      </c>
      <c r="H327" s="28" t="str">
        <f>IFERROR(__xludf.DUMMYFUNCTION("""COMPUTED_VALUE"""),"F")</f>
        <v>F</v>
      </c>
      <c r="I327" s="28" t="str">
        <f>IFERROR(__xludf.DUMMYFUNCTION("""COMPUTED_VALUE"""),"F-2")</f>
        <v>F-2</v>
      </c>
      <c r="J327" s="28">
        <f>IFERROR(__xludf.DUMMYFUNCTION("""COMPUTED_VALUE"""),2.0)</f>
        <v>2</v>
      </c>
      <c r="K327" s="28" t="str">
        <f>IFERROR(__xludf.DUMMYFUNCTION("""COMPUTED_VALUE"""),"2 WUSTHO A PUTRI")</f>
        <v>2 WUSTHO A PUTRI</v>
      </c>
      <c r="L327" s="28"/>
      <c r="M327" s="28"/>
      <c r="N327" s="28"/>
      <c r="O327" s="28"/>
      <c r="P327" s="22" t="str">
        <f>IFERROR(__xludf.DUMMYFUNCTION("""COMPUTED_VALUE"""),"   ")</f>
        <v>   </v>
      </c>
      <c r="Q327" s="28"/>
      <c r="R327" s="28"/>
      <c r="S327" s="28"/>
      <c r="T327" s="28"/>
      <c r="U327" s="28"/>
      <c r="V327" s="28"/>
      <c r="W327" s="28"/>
      <c r="X327" s="28"/>
      <c r="Y327" s="22">
        <f>IFERROR(__xludf.DUMMYFUNCTION("""COMPUTED_VALUE"""),450000.0)</f>
        <v>450000</v>
      </c>
      <c r="Z327" s="22">
        <f>IFERROR(__xludf.DUMMYFUNCTION("""COMPUTED_VALUE"""),450000.0)</f>
        <v>450000</v>
      </c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2">
        <f>IFERROR(__xludf.DUMMYFUNCTION("""COMPUTED_VALUE"""),900000.0)</f>
        <v>900000</v>
      </c>
      <c r="BD327" s="22">
        <f>IFERROR(__xludf.DUMMYFUNCTION("""COMPUTED_VALUE"""),0.0)</f>
        <v>0</v>
      </c>
      <c r="BE327" s="22">
        <f>IFERROR(__xludf.DUMMYFUNCTION("""COMPUTED_VALUE"""),0.0)</f>
        <v>0</v>
      </c>
      <c r="BF327" s="22">
        <f>IFERROR(__xludf.DUMMYFUNCTION("""COMPUTED_VALUE"""),900000.0)</f>
        <v>900000</v>
      </c>
    </row>
    <row r="328">
      <c r="A328" s="27">
        <f>IFERROR(__xludf.DUMMYFUNCTION("""COMPUTED_VALUE"""),327.0)</f>
        <v>327</v>
      </c>
      <c r="B328" s="28" t="str">
        <f>IFERROR(__xludf.DUMMYFUNCTION("""COMPUTED_VALUE"""),"RATIH RAHMAH YUNITA")</f>
        <v>RATIH RAHMAH YUNITA</v>
      </c>
      <c r="C328" s="28">
        <f>IFERROR(__xludf.DUMMYFUNCTION("""COMPUTED_VALUE"""),2.025070431E9)</f>
        <v>2025070431</v>
      </c>
      <c r="D328" s="28" t="str">
        <f>IFERROR(__xludf.DUMMYFUNCTION("""COMPUTED_VALUE"""),"SIRNOTO")</f>
        <v>SIRNOTO</v>
      </c>
      <c r="E328" s="28" t="str">
        <f>IFERROR(__xludf.DUMMYFUNCTION("""COMPUTED_VALUE"""),"LILIS RUKIYATI")</f>
        <v>LILIS RUKIYATI</v>
      </c>
      <c r="F328" s="28" t="str">
        <f>IFERROR(__xludf.DUMMYFUNCTION("""COMPUTED_VALUE"""),"MOROGO PUTATKUMPUL RT 006 RW 005 TURI LAMONGAN")</f>
        <v>MOROGO PUTATKUMPUL RT 006 RW 005 TURI LAMONGAN</v>
      </c>
      <c r="G328" s="28" t="str">
        <f>IFERROR(__xludf.DUMMYFUNCTION("""COMPUTED_VALUE"""),"SMK-XI DKV")</f>
        <v>SMK-XI DKV</v>
      </c>
      <c r="H328" s="28" t="str">
        <f>IFERROR(__xludf.DUMMYFUNCTION("""COMPUTED_VALUE"""),"F")</f>
        <v>F</v>
      </c>
      <c r="I328" s="28" t="str">
        <f>IFERROR(__xludf.DUMMYFUNCTION("""COMPUTED_VALUE"""),"F-2")</f>
        <v>F-2</v>
      </c>
      <c r="J328" s="28">
        <f>IFERROR(__xludf.DUMMYFUNCTION("""COMPUTED_VALUE"""),2.0)</f>
        <v>2</v>
      </c>
      <c r="K328" s="28" t="str">
        <f>IFERROR(__xludf.DUMMYFUNCTION("""COMPUTED_VALUE"""),"2 WUSTHO B PUTRI")</f>
        <v>2 WUSTHO B PUTRI</v>
      </c>
      <c r="L328" s="29" t="str">
        <f>IFERROR(__xludf.DUMMYFUNCTION("""COMPUTED_VALUE"""),"6285755004790")</f>
        <v>6285755004790</v>
      </c>
      <c r="M328" s="22">
        <f>IFERROR(__xludf.DUMMYFUNCTION("""COMPUTED_VALUE"""),600000.0)</f>
        <v>600000</v>
      </c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2">
        <f>IFERROR(__xludf.DUMMYFUNCTION("""COMPUTED_VALUE"""),500000.0)</f>
        <v>500000</v>
      </c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2">
        <f>IFERROR(__xludf.DUMMYFUNCTION("""COMPUTED_VALUE"""),500000.0)</f>
        <v>500000</v>
      </c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2">
        <f>IFERROR(__xludf.DUMMYFUNCTION("""COMPUTED_VALUE"""),0.0)</f>
        <v>0</v>
      </c>
      <c r="BD328" s="22">
        <f>IFERROR(__xludf.DUMMYFUNCTION("""COMPUTED_VALUE"""),1600000.0)</f>
        <v>1600000</v>
      </c>
      <c r="BE328" s="22">
        <f>IFERROR(__xludf.DUMMYFUNCTION("""COMPUTED_VALUE"""),0.0)</f>
        <v>0</v>
      </c>
      <c r="BF328" s="22">
        <f>IFERROR(__xludf.DUMMYFUNCTION("""COMPUTED_VALUE"""),1600000.0)</f>
        <v>1600000</v>
      </c>
    </row>
    <row r="329">
      <c r="A329" s="27">
        <f>IFERROR(__xludf.DUMMYFUNCTION("""COMPUTED_VALUE"""),328.0)</f>
        <v>328</v>
      </c>
      <c r="B329" s="28" t="str">
        <f>IFERROR(__xludf.DUMMYFUNCTION("""COMPUTED_VALUE"""),"SAFAWATI NURUL AFIQAH")</f>
        <v>SAFAWATI NURUL AFIQAH</v>
      </c>
      <c r="C329" s="28">
        <f>IFERROR(__xludf.DUMMYFUNCTION("""COMPUTED_VALUE"""),2.025070446E9)</f>
        <v>2025070446</v>
      </c>
      <c r="D329" s="28" t="str">
        <f>IFERROR(__xludf.DUMMYFUNCTION("""COMPUTED_VALUE"""),"MU`ALIMIN")</f>
        <v>MU`ALIMIN</v>
      </c>
      <c r="E329" s="28" t="str">
        <f>IFERROR(__xludf.DUMMYFUNCTION("""COMPUTED_VALUE"""),"SITI MUHAYATUN")</f>
        <v>SITI MUHAYATUN</v>
      </c>
      <c r="F329" s="28" t="str">
        <f>IFERROR(__xludf.DUMMYFUNCTION("""COMPUTED_VALUE"""),"DAGAN RT 004 RW 002 SOLOKURO LAMONGAN")</f>
        <v>DAGAN RT 004 RW 002 SOLOKURO LAMONGAN</v>
      </c>
      <c r="G329" s="28" t="str">
        <f>IFERROR(__xludf.DUMMYFUNCTION("""COMPUTED_VALUE"""),"SMK-XI DKV")</f>
        <v>SMK-XI DKV</v>
      </c>
      <c r="H329" s="28" t="str">
        <f>IFERROR(__xludf.DUMMYFUNCTION("""COMPUTED_VALUE"""),"F")</f>
        <v>F</v>
      </c>
      <c r="I329" s="28" t="str">
        <f>IFERROR(__xludf.DUMMYFUNCTION("""COMPUTED_VALUE"""),"F-2")</f>
        <v>F-2</v>
      </c>
      <c r="J329" s="28">
        <f>IFERROR(__xludf.DUMMYFUNCTION("""COMPUTED_VALUE"""),2.0)</f>
        <v>2</v>
      </c>
      <c r="K329" s="28" t="str">
        <f>IFERROR(__xludf.DUMMYFUNCTION("""COMPUTED_VALUE"""),"2 WUSTHO B PUTRI")</f>
        <v>2 WUSTHO B PUTRI</v>
      </c>
      <c r="L329" s="29" t="str">
        <f>IFERROR(__xludf.DUMMYFUNCTION("""COMPUTED_VALUE"""),"6285731562895")</f>
        <v>6285731562895</v>
      </c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2">
        <f>IFERROR(__xludf.DUMMYFUNCTION("""COMPUTED_VALUE"""),500000.0)</f>
        <v>500000</v>
      </c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2">
        <f>IFERROR(__xludf.DUMMYFUNCTION("""COMPUTED_VALUE"""),500000.0)</f>
        <v>500000</v>
      </c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2">
        <f>IFERROR(__xludf.DUMMYFUNCTION("""COMPUTED_VALUE"""),0.0)</f>
        <v>0</v>
      </c>
      <c r="BD329" s="22">
        <f>IFERROR(__xludf.DUMMYFUNCTION("""COMPUTED_VALUE"""),1000000.0)</f>
        <v>1000000</v>
      </c>
      <c r="BE329" s="22">
        <f>IFERROR(__xludf.DUMMYFUNCTION("""COMPUTED_VALUE"""),0.0)</f>
        <v>0</v>
      </c>
      <c r="BF329" s="22">
        <f>IFERROR(__xludf.DUMMYFUNCTION("""COMPUTED_VALUE"""),1000000.0)</f>
        <v>1000000</v>
      </c>
    </row>
    <row r="330">
      <c r="A330" s="27">
        <f>IFERROR(__xludf.DUMMYFUNCTION("""COMPUTED_VALUE"""),329.0)</f>
        <v>329</v>
      </c>
      <c r="B330" s="28" t="str">
        <f>IFERROR(__xludf.DUMMYFUNCTION("""COMPUTED_VALUE"""),"SAFINA NUR AULIA WAHIDA")</f>
        <v>SAFINA NUR AULIA WAHIDA</v>
      </c>
      <c r="C330" s="28">
        <f>IFERROR(__xludf.DUMMYFUNCTION("""COMPUTED_VALUE"""),2.025070465E9)</f>
        <v>2025070465</v>
      </c>
      <c r="D330" s="28" t="str">
        <f>IFERROR(__xludf.DUMMYFUNCTION("""COMPUTED_VALUE"""),"MUHAMMAD SYAIFUL MUNIR")</f>
        <v>MUHAMMAD SYAIFUL MUNIR</v>
      </c>
      <c r="E330" s="28" t="str">
        <f>IFERROR(__xludf.DUMMYFUNCTION("""COMPUTED_VALUE"""),"INARIYATI")</f>
        <v>INARIYATI</v>
      </c>
      <c r="F330" s="28" t="str">
        <f>IFERROR(__xludf.DUMMYFUNCTION("""COMPUTED_VALUE"""),"WONOKERTO RT 014 RW 003 DUKUN GRESIK")</f>
        <v>WONOKERTO RT 014 RW 003 DUKUN GRESIK</v>
      </c>
      <c r="G330" s="28" t="str">
        <f>IFERROR(__xludf.DUMMYFUNCTION("""COMPUTED_VALUE"""),"SMK-XI TKJ 1")</f>
        <v>SMK-XI TKJ 1</v>
      </c>
      <c r="H330" s="28" t="str">
        <f>IFERROR(__xludf.DUMMYFUNCTION("""COMPUTED_VALUE"""),"F")</f>
        <v>F</v>
      </c>
      <c r="I330" s="28" t="str">
        <f>IFERROR(__xludf.DUMMYFUNCTION("""COMPUTED_VALUE"""),"F-2")</f>
        <v>F-2</v>
      </c>
      <c r="J330" s="28">
        <f>IFERROR(__xludf.DUMMYFUNCTION("""COMPUTED_VALUE"""),2.0)</f>
        <v>2</v>
      </c>
      <c r="K330" s="28" t="str">
        <f>IFERROR(__xludf.DUMMYFUNCTION("""COMPUTED_VALUE"""),"2 WUSTHO A PUTRI")</f>
        <v>2 WUSTHO A PUTRI</v>
      </c>
      <c r="L330" s="29" t="str">
        <f>IFERROR(__xludf.DUMMYFUNCTION("""COMPUTED_VALUE"""),"6281329978580")</f>
        <v>6281329978580</v>
      </c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2">
        <f>IFERROR(__xludf.DUMMYFUNCTION("""COMPUTED_VALUE"""),0.0)</f>
        <v>0</v>
      </c>
      <c r="BD330" s="22">
        <f>IFERROR(__xludf.DUMMYFUNCTION("""COMPUTED_VALUE"""),0.0)</f>
        <v>0</v>
      </c>
      <c r="BE330" s="22">
        <f>IFERROR(__xludf.DUMMYFUNCTION("""COMPUTED_VALUE"""),0.0)</f>
        <v>0</v>
      </c>
      <c r="BF330" s="22">
        <f>IFERROR(__xludf.DUMMYFUNCTION("""COMPUTED_VALUE"""),0.0)</f>
        <v>0</v>
      </c>
    </row>
    <row r="331">
      <c r="A331" s="27">
        <f>IFERROR(__xludf.DUMMYFUNCTION("""COMPUTED_VALUE"""),330.0)</f>
        <v>330</v>
      </c>
      <c r="B331" s="28" t="str">
        <f>IFERROR(__xludf.DUMMYFUNCTION("""COMPUTED_VALUE"""),"SALWA WARDATUL MISKIYAH")</f>
        <v>SALWA WARDATUL MISKIYAH</v>
      </c>
      <c r="C331" s="28">
        <f>IFERROR(__xludf.DUMMYFUNCTION("""COMPUTED_VALUE"""),2.02507043E9)</f>
        <v>2025070430</v>
      </c>
      <c r="D331" s="28" t="str">
        <f>IFERROR(__xludf.DUMMYFUNCTION("""COMPUTED_VALUE"""),"H. MASHARI")</f>
        <v>H. MASHARI</v>
      </c>
      <c r="E331" s="28" t="str">
        <f>IFERROR(__xludf.DUMMYFUNCTION("""COMPUTED_VALUE"""),"HJ. MUCHOLIFAH")</f>
        <v>HJ. MUCHOLIFAH</v>
      </c>
      <c r="F331" s="28" t="str">
        <f>IFERROR(__xludf.DUMMYFUNCTION("""COMPUTED_VALUE"""),"DORO KARANGWEDORO RT 004 RW 002 TURI LAMONGAN")</f>
        <v>DORO KARANGWEDORO RT 004 RW 002 TURI LAMONGAN</v>
      </c>
      <c r="G331" s="28" t="str">
        <f>IFERROR(__xludf.DUMMYFUNCTION("""COMPUTED_VALUE"""),"SMK-XI TKJ 2")</f>
        <v>SMK-XI TKJ 2</v>
      </c>
      <c r="H331" s="28" t="str">
        <f>IFERROR(__xludf.DUMMYFUNCTION("""COMPUTED_VALUE"""),"F")</f>
        <v>F</v>
      </c>
      <c r="I331" s="28" t="str">
        <f>IFERROR(__xludf.DUMMYFUNCTION("""COMPUTED_VALUE"""),"F-2")</f>
        <v>F-2</v>
      </c>
      <c r="J331" s="28">
        <f>IFERROR(__xludf.DUMMYFUNCTION("""COMPUTED_VALUE"""),2.0)</f>
        <v>2</v>
      </c>
      <c r="K331" s="28" t="str">
        <f>IFERROR(__xludf.DUMMYFUNCTION("""COMPUTED_VALUE"""),"2 WUSTHO B PUTRI")</f>
        <v>2 WUSTHO B PUTRI</v>
      </c>
      <c r="L331" s="29" t="str">
        <f>IFERROR(__xludf.DUMMYFUNCTION("""COMPUTED_VALUE"""),"6285732833427")</f>
        <v>6285732833427</v>
      </c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2">
        <f>IFERROR(__xludf.DUMMYFUNCTION("""COMPUTED_VALUE"""),450000.0)</f>
        <v>450000</v>
      </c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2">
        <f>IFERROR(__xludf.DUMMYFUNCTION("""COMPUTED_VALUE"""),450000.0)</f>
        <v>450000</v>
      </c>
      <c r="BD331" s="22">
        <f>IFERROR(__xludf.DUMMYFUNCTION("""COMPUTED_VALUE"""),0.0)</f>
        <v>0</v>
      </c>
      <c r="BE331" s="22">
        <f>IFERROR(__xludf.DUMMYFUNCTION("""COMPUTED_VALUE"""),0.0)</f>
        <v>0</v>
      </c>
      <c r="BF331" s="22">
        <f>IFERROR(__xludf.DUMMYFUNCTION("""COMPUTED_VALUE"""),450000.0)</f>
        <v>450000</v>
      </c>
    </row>
    <row r="332">
      <c r="A332" s="27">
        <f>IFERROR(__xludf.DUMMYFUNCTION("""COMPUTED_VALUE"""),331.0)</f>
        <v>331</v>
      </c>
      <c r="B332" s="28" t="str">
        <f>IFERROR(__xludf.DUMMYFUNCTION("""COMPUTED_VALUE"""),"TIFLAH HANIFAH ARSITA")</f>
        <v>TIFLAH HANIFAH ARSITA</v>
      </c>
      <c r="C332" s="28">
        <f>IFERROR(__xludf.DUMMYFUNCTION("""COMPUTED_VALUE"""),2.025070444E9)</f>
        <v>2025070444</v>
      </c>
      <c r="D332" s="28" t="str">
        <f>IFERROR(__xludf.DUMMYFUNCTION("""COMPUTED_VALUE"""),"SUBANDI")</f>
        <v>SUBANDI</v>
      </c>
      <c r="E332" s="28" t="str">
        <f>IFERROR(__xludf.DUMMYFUNCTION("""COMPUTED_VALUE"""),"ARLIYAH")</f>
        <v>ARLIYAH</v>
      </c>
      <c r="F332" s="28" t="str">
        <f>IFERROR(__xludf.DUMMYFUNCTION("""COMPUTED_VALUE"""),"PRIJEK PRIJEKNGABLAG RT 003 RW 001 KARANGGENENG LAMONGAN")</f>
        <v>PRIJEK PRIJEKNGABLAG RT 003 RW 001 KARANGGENENG LAMONGAN</v>
      </c>
      <c r="G332" s="28" t="str">
        <f>IFERROR(__xludf.DUMMYFUNCTION("""COMPUTED_VALUE"""),"SMK-XI BD")</f>
        <v>SMK-XI BD</v>
      </c>
      <c r="H332" s="28" t="str">
        <f>IFERROR(__xludf.DUMMYFUNCTION("""COMPUTED_VALUE"""),"F")</f>
        <v>F</v>
      </c>
      <c r="I332" s="28" t="str">
        <f>IFERROR(__xludf.DUMMYFUNCTION("""COMPUTED_VALUE"""),"F-2")</f>
        <v>F-2</v>
      </c>
      <c r="J332" s="28">
        <f>IFERROR(__xludf.DUMMYFUNCTION("""COMPUTED_VALUE"""),2.0)</f>
        <v>2</v>
      </c>
      <c r="K332" s="28" t="str">
        <f>IFERROR(__xludf.DUMMYFUNCTION("""COMPUTED_VALUE"""),"2 WUSTHO B PUTRI")</f>
        <v>2 WUSTHO B PUTRI</v>
      </c>
      <c r="L332" s="29" t="str">
        <f>IFERROR(__xludf.DUMMYFUNCTION("""COMPUTED_VALUE"""),"6281316684664")</f>
        <v>6281316684664</v>
      </c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2">
        <f>IFERROR(__xludf.DUMMYFUNCTION("""COMPUTED_VALUE"""),0.0)</f>
        <v>0</v>
      </c>
      <c r="BD332" s="22">
        <f>IFERROR(__xludf.DUMMYFUNCTION("""COMPUTED_VALUE"""),0.0)</f>
        <v>0</v>
      </c>
      <c r="BE332" s="22">
        <f>IFERROR(__xludf.DUMMYFUNCTION("""COMPUTED_VALUE"""),0.0)</f>
        <v>0</v>
      </c>
      <c r="BF332" s="22">
        <f>IFERROR(__xludf.DUMMYFUNCTION("""COMPUTED_VALUE"""),0.0)</f>
        <v>0</v>
      </c>
    </row>
    <row r="333">
      <c r="A333" s="27">
        <f>IFERROR(__xludf.DUMMYFUNCTION("""COMPUTED_VALUE"""),332.0)</f>
        <v>332</v>
      </c>
      <c r="B333" s="28" t="str">
        <f>IFERROR(__xludf.DUMMYFUNCTION("""COMPUTED_VALUE"""),"WULAN FIRNANDA")</f>
        <v>WULAN FIRNANDA</v>
      </c>
      <c r="C333" s="28">
        <f>IFERROR(__xludf.DUMMYFUNCTION("""COMPUTED_VALUE"""),2.025070449E9)</f>
        <v>2025070449</v>
      </c>
      <c r="D333" s="28" t="str">
        <f>IFERROR(__xludf.DUMMYFUNCTION("""COMPUTED_VALUE"""),"SUUD")</f>
        <v>SUUD</v>
      </c>
      <c r="E333" s="28" t="str">
        <f>IFERROR(__xludf.DUMMYFUNCTION("""COMPUTED_VALUE"""),"ASRIYAH")</f>
        <v>ASRIYAH</v>
      </c>
      <c r="F333" s="28" t="str">
        <f>IFERROR(__xludf.DUMMYFUNCTION("""COMPUTED_VALUE"""),"BULANGAN RT 006 RW 002 DUKUN GRESIK")</f>
        <v>BULANGAN RT 006 RW 002 DUKUN GRESIK</v>
      </c>
      <c r="G333" s="28" t="str">
        <f>IFERROR(__xludf.DUMMYFUNCTION("""COMPUTED_VALUE"""),"SMK-XI BD")</f>
        <v>SMK-XI BD</v>
      </c>
      <c r="H333" s="28" t="str">
        <f>IFERROR(__xludf.DUMMYFUNCTION("""COMPUTED_VALUE"""),"F")</f>
        <v>F</v>
      </c>
      <c r="I333" s="28" t="str">
        <f>IFERROR(__xludf.DUMMYFUNCTION("""COMPUTED_VALUE"""),"F-2")</f>
        <v>F-2</v>
      </c>
      <c r="J333" s="28">
        <f>IFERROR(__xludf.DUMMYFUNCTION("""COMPUTED_VALUE"""),2.0)</f>
        <v>2</v>
      </c>
      <c r="K333" s="28" t="str">
        <f>IFERROR(__xludf.DUMMYFUNCTION("""COMPUTED_VALUE"""),"2 WUSTHO D PUTRI")</f>
        <v>2 WUSTHO D PUTRI</v>
      </c>
      <c r="L333" s="29" t="str">
        <f>IFERROR(__xludf.DUMMYFUNCTION("""COMPUTED_VALUE"""),"601160807199")</f>
        <v>601160807199</v>
      </c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2" t="str">
        <f>IFERROR(__xludf.DUMMYFUNCTION("""COMPUTED_VALUE"""),"              ")</f>
        <v>              </v>
      </c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2">
        <f>IFERROR(__xludf.DUMMYFUNCTION("""COMPUTED_VALUE"""),0.0)</f>
        <v>0</v>
      </c>
      <c r="BD333" s="22">
        <f>IFERROR(__xludf.DUMMYFUNCTION("""COMPUTED_VALUE"""),0.0)</f>
        <v>0</v>
      </c>
      <c r="BE333" s="22" t="str">
        <f>IFERROR(__xludf.DUMMYFUNCTION("""COMPUTED_VALUE"""),"#VALUE!")</f>
        <v>#VALUE!</v>
      </c>
      <c r="BF333" s="22" t="str">
        <f>IFERROR(__xludf.DUMMYFUNCTION("""COMPUTED_VALUE"""),"#VALUE!")</f>
        <v>#VALUE!</v>
      </c>
    </row>
    <row r="334">
      <c r="A334" s="27">
        <f>IFERROR(__xludf.DUMMYFUNCTION("""COMPUTED_VALUE"""),333.0)</f>
        <v>333</v>
      </c>
      <c r="B334" s="28" t="str">
        <f>IFERROR(__xludf.DUMMYFUNCTION("""COMPUTED_VALUE"""),"XENA AMEERA AZZAHRAH")</f>
        <v>XENA AMEERA AZZAHRAH</v>
      </c>
      <c r="C334" s="28">
        <f>IFERROR(__xludf.DUMMYFUNCTION("""COMPUTED_VALUE"""),2.025070109E9)</f>
        <v>2025070109</v>
      </c>
      <c r="D334" s="28" t="str">
        <f>IFERROR(__xludf.DUMMYFUNCTION("""COMPUTED_VALUE"""),"MARSUDI")</f>
        <v>MARSUDI</v>
      </c>
      <c r="E334" s="28" t="str">
        <f>IFERROR(__xludf.DUMMYFUNCTION("""COMPUTED_VALUE"""),"NUR AZIZAH")</f>
        <v>NUR AZIZAH</v>
      </c>
      <c r="F334" s="28" t="str">
        <f>IFERROR(__xludf.DUMMYFUNCTION("""COMPUTED_VALUE"""),"KALANGANYAR RT 002 RW 001 KARANGGENENG LAMONGAN")</f>
        <v>KALANGANYAR RT 002 RW 001 KARANGGENENG LAMONGAN</v>
      </c>
      <c r="G334" s="28" t="str">
        <f>IFERROR(__xludf.DUMMYFUNCTION("""COMPUTED_VALUE"""),"MA-XI.10")</f>
        <v>MA-XI.10</v>
      </c>
      <c r="H334" s="28" t="str">
        <f>IFERROR(__xludf.DUMMYFUNCTION("""COMPUTED_VALUE"""),"C")</f>
        <v>C</v>
      </c>
      <c r="I334" s="28" t="str">
        <f>IFERROR(__xludf.DUMMYFUNCTION("""COMPUTED_VALUE"""),"C-10")</f>
        <v>C-10</v>
      </c>
      <c r="J334" s="28">
        <f>IFERROR(__xludf.DUMMYFUNCTION("""COMPUTED_VALUE"""),2.0)</f>
        <v>2</v>
      </c>
      <c r="K334" s="28" t="str">
        <f>IFERROR(__xludf.DUMMYFUNCTION("""COMPUTED_VALUE"""),"2 WUSTHO A PUTRI")</f>
        <v>2 WUSTHO A PUTRI</v>
      </c>
      <c r="L334" s="29" t="str">
        <f>IFERROR(__xludf.DUMMYFUNCTION("""COMPUTED_VALUE"""),"6281554218940")</f>
        <v>6281554218940</v>
      </c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2">
        <f>IFERROR(__xludf.DUMMYFUNCTION("""COMPUTED_VALUE"""),0.0)</f>
        <v>0</v>
      </c>
      <c r="BD334" s="22">
        <f>IFERROR(__xludf.DUMMYFUNCTION("""COMPUTED_VALUE"""),0.0)</f>
        <v>0</v>
      </c>
      <c r="BE334" s="22">
        <f>IFERROR(__xludf.DUMMYFUNCTION("""COMPUTED_VALUE"""),0.0)</f>
        <v>0</v>
      </c>
      <c r="BF334" s="22">
        <f>IFERROR(__xludf.DUMMYFUNCTION("""COMPUTED_VALUE"""),0.0)</f>
        <v>0</v>
      </c>
    </row>
    <row r="335">
      <c r="A335" s="27">
        <f>IFERROR(__xludf.DUMMYFUNCTION("""COMPUTED_VALUE"""),334.0)</f>
        <v>334</v>
      </c>
      <c r="B335" s="28" t="str">
        <f>IFERROR(__xludf.DUMMYFUNCTION("""COMPUTED_VALUE"""),"FRIKA AURORA NOVANI")</f>
        <v>FRIKA AURORA NOVANI</v>
      </c>
      <c r="C335" s="28">
        <f>IFERROR(__xludf.DUMMYFUNCTION("""COMPUTED_VALUE"""),2.025070117E9)</f>
        <v>2025070117</v>
      </c>
      <c r="D335" s="28" t="str">
        <f>IFERROR(__xludf.DUMMYFUNCTION("""COMPUTED_VALUE"""),"SUTIKNO")</f>
        <v>SUTIKNO</v>
      </c>
      <c r="E335" s="28" t="str">
        <f>IFERROR(__xludf.DUMMYFUNCTION("""COMPUTED_VALUE"""),"HANNY MUSTIKA")</f>
        <v>HANNY MUSTIKA</v>
      </c>
      <c r="F335" s="28" t="str">
        <f>IFERROR(__xludf.DUMMYFUNCTION("""COMPUTED_VALUE"""),"BALUN RT 003 RW 001 TURI LAMONGAN")</f>
        <v>BALUN RT 003 RW 001 TURI LAMONGAN</v>
      </c>
      <c r="G335" s="28" t="str">
        <f>IFERROR(__xludf.DUMMYFUNCTION("""COMPUTED_VALUE"""),"MA-XI.11")</f>
        <v>MA-XI.11</v>
      </c>
      <c r="H335" s="28" t="str">
        <f>IFERROR(__xludf.DUMMYFUNCTION("""COMPUTED_VALUE"""),"B")</f>
        <v>B</v>
      </c>
      <c r="I335" s="28" t="str">
        <f>IFERROR(__xludf.DUMMYFUNCTION("""COMPUTED_VALUE"""),"B-3")</f>
        <v>B-3</v>
      </c>
      <c r="J335" s="28">
        <f>IFERROR(__xludf.DUMMYFUNCTION("""COMPUTED_VALUE"""),2.0)</f>
        <v>2</v>
      </c>
      <c r="K335" s="28" t="str">
        <f>IFERROR(__xludf.DUMMYFUNCTION("""COMPUTED_VALUE"""),"2 WUSTHO C PUTRI")</f>
        <v>2 WUSTHO C PUTRI</v>
      </c>
      <c r="L335" s="29" t="str">
        <f>IFERROR(__xludf.DUMMYFUNCTION("""COMPUTED_VALUE"""),"6285855666978")</f>
        <v>6285855666978</v>
      </c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2">
        <f>IFERROR(__xludf.DUMMYFUNCTION("""COMPUTED_VALUE"""),450000.0)</f>
        <v>450000</v>
      </c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2">
        <f>IFERROR(__xludf.DUMMYFUNCTION("""COMPUTED_VALUE"""),450000.0)</f>
        <v>450000</v>
      </c>
      <c r="BD335" s="22">
        <f>IFERROR(__xludf.DUMMYFUNCTION("""COMPUTED_VALUE"""),0.0)</f>
        <v>0</v>
      </c>
      <c r="BE335" s="22">
        <f>IFERROR(__xludf.DUMMYFUNCTION("""COMPUTED_VALUE"""),0.0)</f>
        <v>0</v>
      </c>
      <c r="BF335" s="22">
        <f>IFERROR(__xludf.DUMMYFUNCTION("""COMPUTED_VALUE"""),450000.0)</f>
        <v>450000</v>
      </c>
    </row>
    <row r="336">
      <c r="A336" s="27">
        <f>IFERROR(__xludf.DUMMYFUNCTION("""COMPUTED_VALUE"""),335.0)</f>
        <v>335</v>
      </c>
      <c r="B336" s="28" t="str">
        <f>IFERROR(__xludf.DUMMYFUNCTION("""COMPUTED_VALUE"""),"SHOHIFAH")</f>
        <v>SHOHIFAH</v>
      </c>
      <c r="C336" s="28">
        <f>IFERROR(__xludf.DUMMYFUNCTION("""COMPUTED_VALUE"""),2.02507042E9)</f>
        <v>2025070420</v>
      </c>
      <c r="D336" s="28" t="str">
        <f>IFERROR(__xludf.DUMMYFUNCTION("""COMPUTED_VALUE"""),"MUDLOFIR")</f>
        <v>MUDLOFIR</v>
      </c>
      <c r="E336" s="28" t="str">
        <f>IFERROR(__xludf.DUMMYFUNCTION("""COMPUTED_VALUE"""),"ZAIDAH")</f>
        <v>ZAIDAH</v>
      </c>
      <c r="F336" s="28" t="str">
        <f>IFERROR(__xludf.DUMMYFUNCTION("""COMPUTED_VALUE"""),"POMAHANJANGGAN RT 007 RW 003 TURI LAMONGAN")</f>
        <v>POMAHANJANGGAN RT 007 RW 003 TURI LAMONGAN</v>
      </c>
      <c r="G336" s="28" t="str">
        <f>IFERROR(__xludf.DUMMYFUNCTION("""COMPUTED_VALUE"""),"MA-XI.11")</f>
        <v>MA-XI.11</v>
      </c>
      <c r="H336" s="28" t="str">
        <f>IFERROR(__xludf.DUMMYFUNCTION("""COMPUTED_VALUE"""),"D")</f>
        <v>D</v>
      </c>
      <c r="I336" s="28" t="str">
        <f>IFERROR(__xludf.DUMMYFUNCTION("""COMPUTED_VALUE"""),"D-8")</f>
        <v>D-8</v>
      </c>
      <c r="J336" s="28">
        <f>IFERROR(__xludf.DUMMYFUNCTION("""COMPUTED_VALUE"""),2.0)</f>
        <v>2</v>
      </c>
      <c r="K336" s="28" t="str">
        <f>IFERROR(__xludf.DUMMYFUNCTION("""COMPUTED_VALUE"""),"2 WUSTHO D PUTRI")</f>
        <v>2 WUSTHO D PUTRI</v>
      </c>
      <c r="L336" s="29" t="str">
        <f>IFERROR(__xludf.DUMMYFUNCTION("""COMPUTED_VALUE"""),"628139398016")</f>
        <v>628139398016</v>
      </c>
      <c r="M336" s="22">
        <f>IFERROR(__xludf.DUMMYFUNCTION("""COMPUTED_VALUE"""),600000.0)</f>
        <v>600000</v>
      </c>
      <c r="N336" s="28"/>
      <c r="O336" s="28"/>
      <c r="P336" s="28"/>
      <c r="Q336" s="28"/>
      <c r="R336" s="28"/>
      <c r="S336" s="22">
        <f>IFERROR(__xludf.DUMMYFUNCTION("""COMPUTED_VALUE"""),450000.0)</f>
        <v>450000</v>
      </c>
      <c r="T336" s="22">
        <f>IFERROR(__xludf.DUMMYFUNCTION("""COMPUTED_VALUE"""),450000.0)</f>
        <v>450000</v>
      </c>
      <c r="U336" s="22">
        <f>IFERROR(__xludf.DUMMYFUNCTION("""COMPUTED_VALUE"""),450000.0)</f>
        <v>450000</v>
      </c>
      <c r="V336" s="22">
        <f>IFERROR(__xludf.DUMMYFUNCTION("""COMPUTED_VALUE"""),450000.0)</f>
        <v>450000</v>
      </c>
      <c r="W336" s="22">
        <f>IFERROR(__xludf.DUMMYFUNCTION("""COMPUTED_VALUE"""),450000.0)</f>
        <v>450000</v>
      </c>
      <c r="X336" s="22">
        <f>IFERROR(__xludf.DUMMYFUNCTION("""COMPUTED_VALUE"""),450000.0)</f>
        <v>450000</v>
      </c>
      <c r="Y336" s="22">
        <f>IFERROR(__xludf.DUMMYFUNCTION("""COMPUTED_VALUE"""),450000.0)</f>
        <v>450000</v>
      </c>
      <c r="Z336" s="22">
        <f>IFERROR(__xludf.DUMMYFUNCTION("""COMPUTED_VALUE"""),450000.0)</f>
        <v>450000</v>
      </c>
      <c r="AA336" s="28"/>
      <c r="AB336" s="22">
        <f>IFERROR(__xludf.DUMMYFUNCTION("""COMPUTED_VALUE"""),500000.0)</f>
        <v>500000</v>
      </c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2">
        <f>IFERROR(__xludf.DUMMYFUNCTION("""COMPUTED_VALUE"""),500000.0)</f>
        <v>500000</v>
      </c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2">
        <f>IFERROR(__xludf.DUMMYFUNCTION("""COMPUTED_VALUE"""),3600000.0)</f>
        <v>3600000</v>
      </c>
      <c r="BD336" s="22">
        <f>IFERROR(__xludf.DUMMYFUNCTION("""COMPUTED_VALUE"""),1600000.0)</f>
        <v>1600000</v>
      </c>
      <c r="BE336" s="22">
        <f>IFERROR(__xludf.DUMMYFUNCTION("""COMPUTED_VALUE"""),0.0)</f>
        <v>0</v>
      </c>
      <c r="BF336" s="22">
        <f>IFERROR(__xludf.DUMMYFUNCTION("""COMPUTED_VALUE"""),5200000.0)</f>
        <v>5200000</v>
      </c>
    </row>
    <row r="337">
      <c r="A337" s="27">
        <f>IFERROR(__xludf.DUMMYFUNCTION("""COMPUTED_VALUE"""),336.0)</f>
        <v>336</v>
      </c>
      <c r="B337" s="28" t="str">
        <f>IFERROR(__xludf.DUMMYFUNCTION("""COMPUTED_VALUE"""),"MOHAMMAD NAWANG NABIL AL FARISYI")</f>
        <v>MOHAMMAD NAWANG NABIL AL FARISYI</v>
      </c>
      <c r="C337" s="28">
        <f>IFERROR(__xludf.DUMMYFUNCTION("""COMPUTED_VALUE"""),2.025070257E9)</f>
        <v>2025070257</v>
      </c>
      <c r="D337" s="28" t="str">
        <f>IFERROR(__xludf.DUMMYFUNCTION("""COMPUTED_VALUE"""),"ROFIIL ISLAMIYAH")</f>
        <v>ROFIIL ISLAMIYAH</v>
      </c>
      <c r="E337" s="28" t="str">
        <f>IFERROR(__xludf.DUMMYFUNCTION("""COMPUTED_VALUE"""),"USWATUN HASANAH")</f>
        <v>USWATUN HASANAH</v>
      </c>
      <c r="F337" s="28" t="str">
        <f>IFERROR(__xludf.DUMMYFUNCTION("""COMPUTED_VALUE"""),"JL. RAYA SENTANI WAENA RT 002 RW 005 HERAM JAYAPURA")</f>
        <v>JL. RAYA SENTANI WAENA RT 002 RW 005 HERAM JAYAPURA</v>
      </c>
      <c r="G337" s="28" t="str">
        <f>IFERROR(__xludf.DUMMYFUNCTION("""COMPUTED_VALUE"""),"MA-XI.10")</f>
        <v>MA-XI.10</v>
      </c>
      <c r="H337" s="28" t="str">
        <f>IFERROR(__xludf.DUMMYFUNCTION("""COMPUTED_VALUE"""),"A")</f>
        <v>A</v>
      </c>
      <c r="I337" s="28" t="str">
        <f>IFERROR(__xludf.DUMMYFUNCTION("""COMPUTED_VALUE"""),"A-9")</f>
        <v>A-9</v>
      </c>
      <c r="J337" s="28">
        <f>IFERROR(__xludf.DUMMYFUNCTION("""COMPUTED_VALUE"""),2.0)</f>
        <v>2</v>
      </c>
      <c r="K337" s="28" t="str">
        <f>IFERROR(__xludf.DUMMYFUNCTION("""COMPUTED_VALUE"""),"2 WUSTHO B PUTRA")</f>
        <v>2 WUSTHO B PUTRA</v>
      </c>
      <c r="L337" s="29" t="str">
        <f>IFERROR(__xludf.DUMMYFUNCTION("""COMPUTED_VALUE"""),"6281248060403")</f>
        <v>6281248060403</v>
      </c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2">
        <f>IFERROR(__xludf.DUMMYFUNCTION("""COMPUTED_VALUE"""),0.0)</f>
        <v>0</v>
      </c>
      <c r="BD337" s="22">
        <f>IFERROR(__xludf.DUMMYFUNCTION("""COMPUTED_VALUE"""),0.0)</f>
        <v>0</v>
      </c>
      <c r="BE337" s="22">
        <f>IFERROR(__xludf.DUMMYFUNCTION("""COMPUTED_VALUE"""),0.0)</f>
        <v>0</v>
      </c>
      <c r="BF337" s="22">
        <f>IFERROR(__xludf.DUMMYFUNCTION("""COMPUTED_VALUE"""),0.0)</f>
        <v>0</v>
      </c>
    </row>
    <row r="338">
      <c r="A338" s="27">
        <f>IFERROR(__xludf.DUMMYFUNCTION("""COMPUTED_VALUE"""),337.0)</f>
        <v>337</v>
      </c>
      <c r="B338" s="28" t="str">
        <f>IFERROR(__xludf.DUMMYFUNCTION("""COMPUTED_VALUE"""),"MUHAMMAD FAIZUL FAWWAZ")</f>
        <v>MUHAMMAD FAIZUL FAWWAZ</v>
      </c>
      <c r="C338" s="28">
        <f>IFERROR(__xludf.DUMMYFUNCTION("""COMPUTED_VALUE"""),2.025070202E9)</f>
        <v>2025070202</v>
      </c>
      <c r="D338" s="28" t="str">
        <f>IFERROR(__xludf.DUMMYFUNCTION("""COMPUTED_VALUE"""),"HARIYANTO")</f>
        <v>HARIYANTO</v>
      </c>
      <c r="E338" s="28" t="str">
        <f>IFERROR(__xludf.DUMMYFUNCTION("""COMPUTED_VALUE"""),"PANCASENO ANASWORO")</f>
        <v>PANCASENO ANASWORO</v>
      </c>
      <c r="F338" s="28" t="str">
        <f>IFERROR(__xludf.DUMMYFUNCTION("""COMPUTED_VALUE"""),"SUKOANYAR SIDOMUKTI RT 005 RW 002 KEMBANGBAHU LAMONGAN")</f>
        <v>SUKOANYAR SIDOMUKTI RT 005 RW 002 KEMBANGBAHU LAMONGAN</v>
      </c>
      <c r="G338" s="28" t="str">
        <f>IFERROR(__xludf.DUMMYFUNCTION("""COMPUTED_VALUE"""),"MA-XI.2")</f>
        <v>MA-XI.2</v>
      </c>
      <c r="H338" s="28" t="str">
        <f>IFERROR(__xludf.DUMMYFUNCTION("""COMPUTED_VALUE"""),"A")</f>
        <v>A</v>
      </c>
      <c r="I338" s="28" t="str">
        <f>IFERROR(__xludf.DUMMYFUNCTION("""COMPUTED_VALUE"""),"A-9")</f>
        <v>A-9</v>
      </c>
      <c r="J338" s="28">
        <f>IFERROR(__xludf.DUMMYFUNCTION("""COMPUTED_VALUE"""),2.0)</f>
        <v>2</v>
      </c>
      <c r="K338" s="28" t="str">
        <f>IFERROR(__xludf.DUMMYFUNCTION("""COMPUTED_VALUE"""),"2 WUSTHO B PUTRA")</f>
        <v>2 WUSTHO B PUTRA</v>
      </c>
      <c r="L338" s="29" t="str">
        <f>IFERROR(__xludf.DUMMYFUNCTION("""COMPUTED_VALUE"""),"6282245048774")</f>
        <v>6282245048774</v>
      </c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2">
        <f>IFERROR(__xludf.DUMMYFUNCTION("""COMPUTED_VALUE"""),0.0)</f>
        <v>0</v>
      </c>
      <c r="BD338" s="22">
        <f>IFERROR(__xludf.DUMMYFUNCTION("""COMPUTED_VALUE"""),0.0)</f>
        <v>0</v>
      </c>
      <c r="BE338" s="22">
        <f>IFERROR(__xludf.DUMMYFUNCTION("""COMPUTED_VALUE"""),0.0)</f>
        <v>0</v>
      </c>
      <c r="BF338" s="22">
        <f>IFERROR(__xludf.DUMMYFUNCTION("""COMPUTED_VALUE"""),0.0)</f>
        <v>0</v>
      </c>
    </row>
    <row r="339">
      <c r="A339" s="27">
        <f>IFERROR(__xludf.DUMMYFUNCTION("""COMPUTED_VALUE"""),338.0)</f>
        <v>338</v>
      </c>
      <c r="B339" s="28" t="str">
        <f>IFERROR(__xludf.DUMMYFUNCTION("""COMPUTED_VALUE"""),"JALALUDDIN MUHAMMAD AKBAR")</f>
        <v>JALALUDDIN MUHAMMAD AKBAR</v>
      </c>
      <c r="C339" s="28">
        <f>IFERROR(__xludf.DUMMYFUNCTION("""COMPUTED_VALUE"""),2.02507001E9)</f>
        <v>2025070010</v>
      </c>
      <c r="D339" s="28" t="str">
        <f>IFERROR(__xludf.DUMMYFUNCTION("""COMPUTED_VALUE"""),"SUNARTO")</f>
        <v>SUNARTO</v>
      </c>
      <c r="E339" s="28" t="str">
        <f>IFERROR(__xludf.DUMMYFUNCTION("""COMPUTED_VALUE"""),"ELLI ISMAWATI")</f>
        <v>ELLI ISMAWATI</v>
      </c>
      <c r="F339" s="28" t="str">
        <f>IFERROR(__xludf.DUMMYFUNCTION("""COMPUTED_VALUE"""),"MEGARIH KEDUNGMEGARIH RT 007 RW 002 KEMBANGBAHU LAMONGAN")</f>
        <v>MEGARIH KEDUNGMEGARIH RT 007 RW 002 KEMBANGBAHU LAMONGAN</v>
      </c>
      <c r="G339" s="28" t="str">
        <f>IFERROR(__xludf.DUMMYFUNCTION("""COMPUTED_VALUE"""),"MA-XI.2")</f>
        <v>MA-XI.2</v>
      </c>
      <c r="H339" s="28" t="str">
        <f>IFERROR(__xludf.DUMMYFUNCTION("""COMPUTED_VALUE"""),"A")</f>
        <v>A</v>
      </c>
      <c r="I339" s="28" t="str">
        <f>IFERROR(__xludf.DUMMYFUNCTION("""COMPUTED_VALUE"""),"A-9")</f>
        <v>A-9</v>
      </c>
      <c r="J339" s="28">
        <f>IFERROR(__xludf.DUMMYFUNCTION("""COMPUTED_VALUE"""),2.0)</f>
        <v>2</v>
      </c>
      <c r="K339" s="28" t="str">
        <f>IFERROR(__xludf.DUMMYFUNCTION("""COMPUTED_VALUE"""),"2 WUSTHO A PUTRA")</f>
        <v>2 WUSTHO A PUTRA</v>
      </c>
      <c r="L339" s="29" t="str">
        <f>IFERROR(__xludf.DUMMYFUNCTION("""COMPUTED_VALUE"""),"6285707911232")</f>
        <v>6285707911232</v>
      </c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2">
        <f>IFERROR(__xludf.DUMMYFUNCTION("""COMPUTED_VALUE"""),0.0)</f>
        <v>0</v>
      </c>
      <c r="BD339" s="22">
        <f>IFERROR(__xludf.DUMMYFUNCTION("""COMPUTED_VALUE"""),0.0)</f>
        <v>0</v>
      </c>
      <c r="BE339" s="22">
        <f>IFERROR(__xludf.DUMMYFUNCTION("""COMPUTED_VALUE"""),0.0)</f>
        <v>0</v>
      </c>
      <c r="BF339" s="22">
        <f>IFERROR(__xludf.DUMMYFUNCTION("""COMPUTED_VALUE"""),0.0)</f>
        <v>0</v>
      </c>
    </row>
    <row r="340">
      <c r="A340" s="27">
        <f>IFERROR(__xludf.DUMMYFUNCTION("""COMPUTED_VALUE"""),339.0)</f>
        <v>339</v>
      </c>
      <c r="B340" s="28" t="str">
        <f>IFERROR(__xludf.DUMMYFUNCTION("""COMPUTED_VALUE"""),"MUHAMMAD `AAQIL SIROJUL MUNIR")</f>
        <v>MUHAMMAD `AAQIL SIROJUL MUNIR</v>
      </c>
      <c r="C340" s="28">
        <f>IFERROR(__xludf.DUMMYFUNCTION("""COMPUTED_VALUE"""),2.025070175E9)</f>
        <v>2025070175</v>
      </c>
      <c r="D340" s="28" t="str">
        <f>IFERROR(__xludf.DUMMYFUNCTION("""COMPUTED_VALUE"""),"IMAM SYA`RONI")</f>
        <v>IMAM SYA`RONI</v>
      </c>
      <c r="E340" s="28" t="str">
        <f>IFERROR(__xludf.DUMMYFUNCTION("""COMPUTED_VALUE"""),"PUJI ASIYAH")</f>
        <v>PUJI ASIYAH</v>
      </c>
      <c r="F340" s="28" t="str">
        <f>IFERROR(__xludf.DUMMYFUNCTION("""COMPUTED_VALUE"""),"KALANGANYAR RT 005 RW 001 KARANGGENENG LAMONGAN")</f>
        <v>KALANGANYAR RT 005 RW 001 KARANGGENENG LAMONGAN</v>
      </c>
      <c r="G340" s="28" t="str">
        <f>IFERROR(__xludf.DUMMYFUNCTION("""COMPUTED_VALUE"""),"MA-XI.4")</f>
        <v>MA-XI.4</v>
      </c>
      <c r="H340" s="28" t="str">
        <f>IFERROR(__xludf.DUMMYFUNCTION("""COMPUTED_VALUE"""),"A")</f>
        <v>A</v>
      </c>
      <c r="I340" s="28" t="str">
        <f>IFERROR(__xludf.DUMMYFUNCTION("""COMPUTED_VALUE"""),"A-9")</f>
        <v>A-9</v>
      </c>
      <c r="J340" s="28">
        <f>IFERROR(__xludf.DUMMYFUNCTION("""COMPUTED_VALUE"""),2.0)</f>
        <v>2</v>
      </c>
      <c r="K340" s="28" t="str">
        <f>IFERROR(__xludf.DUMMYFUNCTION("""COMPUTED_VALUE"""),"2 WUSTHO B PUTRA")</f>
        <v>2 WUSTHO B PUTRA</v>
      </c>
      <c r="L340" s="29" t="str">
        <f>IFERROR(__xludf.DUMMYFUNCTION("""COMPUTED_VALUE"""),"6285730289577")</f>
        <v>6285730289577</v>
      </c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2">
        <f>IFERROR(__xludf.DUMMYFUNCTION("""COMPUTED_VALUE"""),0.0)</f>
        <v>0</v>
      </c>
      <c r="BD340" s="22">
        <f>IFERROR(__xludf.DUMMYFUNCTION("""COMPUTED_VALUE"""),0.0)</f>
        <v>0</v>
      </c>
      <c r="BE340" s="22">
        <f>IFERROR(__xludf.DUMMYFUNCTION("""COMPUTED_VALUE"""),0.0)</f>
        <v>0</v>
      </c>
      <c r="BF340" s="22">
        <f>IFERROR(__xludf.DUMMYFUNCTION("""COMPUTED_VALUE"""),0.0)</f>
        <v>0</v>
      </c>
    </row>
    <row r="341">
      <c r="A341" s="27">
        <f>IFERROR(__xludf.DUMMYFUNCTION("""COMPUTED_VALUE"""),340.0)</f>
        <v>340</v>
      </c>
      <c r="B341" s="28" t="str">
        <f>IFERROR(__xludf.DUMMYFUNCTION("""COMPUTED_VALUE"""),"MUHAMMAD AINUR DZIKRY")</f>
        <v>MUHAMMAD AINUR DZIKRY</v>
      </c>
      <c r="C341" s="28">
        <f>IFERROR(__xludf.DUMMYFUNCTION("""COMPUTED_VALUE"""),2.025070089E9)</f>
        <v>2025070089</v>
      </c>
      <c r="D341" s="28" t="str">
        <f>IFERROR(__xludf.DUMMYFUNCTION("""COMPUTED_VALUE"""),"SUJONO")</f>
        <v>SUJONO</v>
      </c>
      <c r="E341" s="28" t="str">
        <f>IFERROR(__xludf.DUMMYFUNCTION("""COMPUTED_VALUE"""),"NIKMATUS SOLIKHA")</f>
        <v>NIKMATUS SOLIKHA</v>
      </c>
      <c r="F341" s="28" t="str">
        <f>IFERROR(__xludf.DUMMYFUNCTION("""COMPUTED_VALUE"""),"PENGANGSALAN RT 003 RW 003 KALITENGAH LAMONGAN")</f>
        <v>PENGANGSALAN RT 003 RW 003 KALITENGAH LAMONGAN</v>
      </c>
      <c r="G341" s="28" t="str">
        <f>IFERROR(__xludf.DUMMYFUNCTION("""COMPUTED_VALUE"""),"MA-XI.2")</f>
        <v>MA-XI.2</v>
      </c>
      <c r="H341" s="28" t="str">
        <f>IFERROR(__xludf.DUMMYFUNCTION("""COMPUTED_VALUE"""),"A")</f>
        <v>A</v>
      </c>
      <c r="I341" s="28" t="str">
        <f>IFERROR(__xludf.DUMMYFUNCTION("""COMPUTED_VALUE"""),"A-9")</f>
        <v>A-9</v>
      </c>
      <c r="J341" s="28">
        <f>IFERROR(__xludf.DUMMYFUNCTION("""COMPUTED_VALUE"""),2.0)</f>
        <v>2</v>
      </c>
      <c r="K341" s="28" t="str">
        <f>IFERROR(__xludf.DUMMYFUNCTION("""COMPUTED_VALUE"""),"2 WUSTHO B PUTRA")</f>
        <v>2 WUSTHO B PUTRA</v>
      </c>
      <c r="L341" s="29" t="str">
        <f>IFERROR(__xludf.DUMMYFUNCTION("""COMPUTED_VALUE"""),"6285648107918")</f>
        <v>6285648107918</v>
      </c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2">
        <f>IFERROR(__xludf.DUMMYFUNCTION("""COMPUTED_VALUE"""),0.0)</f>
        <v>0</v>
      </c>
      <c r="BD341" s="22">
        <f>IFERROR(__xludf.DUMMYFUNCTION("""COMPUTED_VALUE"""),0.0)</f>
        <v>0</v>
      </c>
      <c r="BE341" s="22">
        <f>IFERROR(__xludf.DUMMYFUNCTION("""COMPUTED_VALUE"""),0.0)</f>
        <v>0</v>
      </c>
      <c r="BF341" s="22">
        <f>IFERROR(__xludf.DUMMYFUNCTION("""COMPUTED_VALUE"""),0.0)</f>
        <v>0</v>
      </c>
    </row>
    <row r="342">
      <c r="A342" s="27">
        <f>IFERROR(__xludf.DUMMYFUNCTION("""COMPUTED_VALUE"""),341.0)</f>
        <v>341</v>
      </c>
      <c r="B342" s="28" t="str">
        <f>IFERROR(__xludf.DUMMYFUNCTION("""COMPUTED_VALUE"""),"NABIL ZAKWAN ALZENA")</f>
        <v>NABIL ZAKWAN ALZENA</v>
      </c>
      <c r="C342" s="28">
        <f>IFERROR(__xludf.DUMMYFUNCTION("""COMPUTED_VALUE"""),2.025070144E9)</f>
        <v>2025070144</v>
      </c>
      <c r="D342" s="28" t="str">
        <f>IFERROR(__xludf.DUMMYFUNCTION("""COMPUTED_VALUE"""),"SUPRAPTO")</f>
        <v>SUPRAPTO</v>
      </c>
      <c r="E342" s="28" t="str">
        <f>IFERROR(__xludf.DUMMYFUNCTION("""COMPUTED_VALUE"""),"ZUMROTUS SHOLIHAH")</f>
        <v>ZUMROTUS SHOLIHAH</v>
      </c>
      <c r="F342" s="28" t="str">
        <f>IFERROR(__xludf.DUMMYFUNCTION("""COMPUTED_VALUE"""),"NGAYUNG RT 008 RW 001 MADURAN LAMONGAN")</f>
        <v>NGAYUNG RT 008 RW 001 MADURAN LAMONGAN</v>
      </c>
      <c r="G342" s="28" t="str">
        <f>IFERROR(__xludf.DUMMYFUNCTION("""COMPUTED_VALUE"""),"MA-XI.5")</f>
        <v>MA-XI.5</v>
      </c>
      <c r="H342" s="28" t="str">
        <f>IFERROR(__xludf.DUMMYFUNCTION("""COMPUTED_VALUE"""),"A")</f>
        <v>A</v>
      </c>
      <c r="I342" s="28" t="str">
        <f>IFERROR(__xludf.DUMMYFUNCTION("""COMPUTED_VALUE"""),"A-9")</f>
        <v>A-9</v>
      </c>
      <c r="J342" s="28">
        <f>IFERROR(__xludf.DUMMYFUNCTION("""COMPUTED_VALUE"""),2.0)</f>
        <v>2</v>
      </c>
      <c r="K342" s="28" t="str">
        <f>IFERROR(__xludf.DUMMYFUNCTION("""COMPUTED_VALUE"""),"2 WUSTHO B PUTRA")</f>
        <v>2 WUSTHO B PUTRA</v>
      </c>
      <c r="L342" s="29" t="str">
        <f>IFERROR(__xludf.DUMMYFUNCTION("""COMPUTED_VALUE"""),"6285785323818")</f>
        <v>6285785323818</v>
      </c>
      <c r="M342" s="28"/>
      <c r="N342" s="28"/>
      <c r="O342" s="28"/>
      <c r="P342" s="28"/>
      <c r="Q342" s="28"/>
      <c r="R342" s="28"/>
      <c r="S342" s="28"/>
      <c r="T342" s="28"/>
      <c r="U342" s="22">
        <f>IFERROR(__xludf.DUMMYFUNCTION("""COMPUTED_VALUE"""),450000.0)</f>
        <v>450000</v>
      </c>
      <c r="V342" s="22">
        <f>IFERROR(__xludf.DUMMYFUNCTION("""COMPUTED_VALUE"""),450000.0)</f>
        <v>450000</v>
      </c>
      <c r="W342" s="22">
        <f>IFERROR(__xludf.DUMMYFUNCTION("""COMPUTED_VALUE"""),450000.0)</f>
        <v>450000</v>
      </c>
      <c r="X342" s="22">
        <f>IFERROR(__xludf.DUMMYFUNCTION("""COMPUTED_VALUE"""),450000.0)</f>
        <v>450000</v>
      </c>
      <c r="Y342" s="22">
        <f>IFERROR(__xludf.DUMMYFUNCTION("""COMPUTED_VALUE"""),450000.0)</f>
        <v>450000</v>
      </c>
      <c r="Z342" s="22">
        <f>IFERROR(__xludf.DUMMYFUNCTION("""COMPUTED_VALUE"""),450000.0)</f>
        <v>450000</v>
      </c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2">
        <f>IFERROR(__xludf.DUMMYFUNCTION("""COMPUTED_VALUE"""),2700000.0)</f>
        <v>2700000</v>
      </c>
      <c r="BD342" s="22">
        <f>IFERROR(__xludf.DUMMYFUNCTION("""COMPUTED_VALUE"""),0.0)</f>
        <v>0</v>
      </c>
      <c r="BE342" s="22">
        <f>IFERROR(__xludf.DUMMYFUNCTION("""COMPUTED_VALUE"""),0.0)</f>
        <v>0</v>
      </c>
      <c r="BF342" s="22">
        <f>IFERROR(__xludf.DUMMYFUNCTION("""COMPUTED_VALUE"""),2700000.0)</f>
        <v>2700000</v>
      </c>
    </row>
    <row r="343">
      <c r="A343" s="27">
        <f>IFERROR(__xludf.DUMMYFUNCTION("""COMPUTED_VALUE"""),342.0)</f>
        <v>342</v>
      </c>
      <c r="B343" s="28" t="str">
        <f>IFERROR(__xludf.DUMMYFUNCTION("""COMPUTED_VALUE"""),"EMILDA KRISTIANA DWI RAMADHANI")</f>
        <v>EMILDA KRISTIANA DWI RAMADHANI</v>
      </c>
      <c r="C343" s="28">
        <f>IFERROR(__xludf.DUMMYFUNCTION("""COMPUTED_VALUE"""),2.025070231E9)</f>
        <v>2025070231</v>
      </c>
      <c r="D343" s="28" t="str">
        <f>IFERROR(__xludf.DUMMYFUNCTION("""COMPUTED_VALUE"""),"MUNTARI")</f>
        <v>MUNTARI</v>
      </c>
      <c r="E343" s="28" t="str">
        <f>IFERROR(__xludf.DUMMYFUNCTION("""COMPUTED_VALUE"""),"ASMAIYA")</f>
        <v>ASMAIYA</v>
      </c>
      <c r="F343" s="28" t="str">
        <f>IFERROR(__xludf.DUMMYFUNCTION("""COMPUTED_VALUE"""),"TURI RT 011 RW 001 TURI LAMONGAN")</f>
        <v>TURI RT 011 RW 001 TURI LAMONGAN</v>
      </c>
      <c r="G343" s="28" t="str">
        <f>IFERROR(__xludf.DUMMYFUNCTION("""COMPUTED_VALUE"""),"MA-XI.12")</f>
        <v>MA-XI.12</v>
      </c>
      <c r="H343" s="28" t="str">
        <f>IFERROR(__xludf.DUMMYFUNCTION("""COMPUTED_VALUE"""),"C")</f>
        <v>C</v>
      </c>
      <c r="I343" s="28" t="str">
        <f>IFERROR(__xludf.DUMMYFUNCTION("""COMPUTED_VALUE"""),"C-6")</f>
        <v>C-6</v>
      </c>
      <c r="J343" s="28">
        <f>IFERROR(__xludf.DUMMYFUNCTION("""COMPUTED_VALUE"""),2.0)</f>
        <v>2</v>
      </c>
      <c r="K343" s="28" t="str">
        <f>IFERROR(__xludf.DUMMYFUNCTION("""COMPUTED_VALUE"""),"2 WUSTHO D PUTRI")</f>
        <v>2 WUSTHO D PUTRI</v>
      </c>
      <c r="L343" s="29" t="str">
        <f>IFERROR(__xludf.DUMMYFUNCTION("""COMPUTED_VALUE"""),"6281239188019")</f>
        <v>6281239188019</v>
      </c>
      <c r="M343" s="28"/>
      <c r="N343" s="22">
        <f>IFERROR(__xludf.DUMMYFUNCTION("""COMPUTED_VALUE"""),200000.0)</f>
        <v>200000</v>
      </c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2">
        <f>IFERROR(__xludf.DUMMYFUNCTION("""COMPUTED_VALUE"""),450000.0)</f>
        <v>450000</v>
      </c>
      <c r="Z343" s="22">
        <f>IFERROR(__xludf.DUMMYFUNCTION("""COMPUTED_VALUE"""),450000.0)</f>
        <v>450000</v>
      </c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2">
        <f>IFERROR(__xludf.DUMMYFUNCTION("""COMPUTED_VALUE"""),900000.0)</f>
        <v>900000</v>
      </c>
      <c r="BD343" s="22">
        <f>IFERROR(__xludf.DUMMYFUNCTION("""COMPUTED_VALUE"""),0.0)</f>
        <v>0</v>
      </c>
      <c r="BE343" s="22">
        <f>IFERROR(__xludf.DUMMYFUNCTION("""COMPUTED_VALUE"""),0.0)</f>
        <v>0</v>
      </c>
      <c r="BF343" s="22">
        <f>IFERROR(__xludf.DUMMYFUNCTION("""COMPUTED_VALUE"""),900000.0)</f>
        <v>900000</v>
      </c>
    </row>
    <row r="344">
      <c r="A344" s="27">
        <f>IFERROR(__xludf.DUMMYFUNCTION("""COMPUTED_VALUE"""),343.0)</f>
        <v>343</v>
      </c>
      <c r="B344" s="28" t="str">
        <f>IFERROR(__xludf.DUMMYFUNCTION("""COMPUTED_VALUE"""),"ZAHROTUS SHOFA SYAWALIYAH")</f>
        <v>ZAHROTUS SHOFA SYAWALIYAH</v>
      </c>
      <c r="C344" s="28">
        <f>IFERROR(__xludf.DUMMYFUNCTION("""COMPUTED_VALUE"""),2.025070373E9)</f>
        <v>2025070373</v>
      </c>
      <c r="D344" s="28" t="str">
        <f>IFERROR(__xludf.DUMMYFUNCTION("""COMPUTED_VALUE"""),"SUJARWO")</f>
        <v>SUJARWO</v>
      </c>
      <c r="E344" s="28" t="str">
        <f>IFERROR(__xludf.DUMMYFUNCTION("""COMPUTED_VALUE"""),"NUR SA`IDAH")</f>
        <v>NUR SA`IDAH</v>
      </c>
      <c r="F344" s="28" t="str">
        <f>IFERROR(__xludf.DUMMYFUNCTION("""COMPUTED_VALUE"""),"KEMLAGIGEDE RT 001 RW 001 TURI LAMONGAN")</f>
        <v>KEMLAGIGEDE RT 001 RW 001 TURI LAMONGAN</v>
      </c>
      <c r="G344" s="28" t="str">
        <f>IFERROR(__xludf.DUMMYFUNCTION("""COMPUTED_VALUE"""),"MA-XI.6")</f>
        <v>MA-XI.6</v>
      </c>
      <c r="H344" s="28" t="str">
        <f>IFERROR(__xludf.DUMMYFUNCTION("""COMPUTED_VALUE"""),"C")</f>
        <v>C</v>
      </c>
      <c r="I344" s="28" t="str">
        <f>IFERROR(__xludf.DUMMYFUNCTION("""COMPUTED_VALUE"""),"C-6")</f>
        <v>C-6</v>
      </c>
      <c r="J344" s="28">
        <f>IFERROR(__xludf.DUMMYFUNCTION("""COMPUTED_VALUE"""),2.0)</f>
        <v>2</v>
      </c>
      <c r="K344" s="28" t="str">
        <f>IFERROR(__xludf.DUMMYFUNCTION("""COMPUTED_VALUE"""),"2 WUSTHO C PUTRI")</f>
        <v>2 WUSTHO C PUTRI</v>
      </c>
      <c r="L344" s="29" t="str">
        <f>IFERROR(__xludf.DUMMYFUNCTION("""COMPUTED_VALUE"""),"6281357323465")</f>
        <v>6281357323465</v>
      </c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2">
        <f>IFERROR(__xludf.DUMMYFUNCTION("""COMPUTED_VALUE"""),450000.0)</f>
        <v>450000</v>
      </c>
      <c r="Z344" s="22">
        <f>IFERROR(__xludf.DUMMYFUNCTION("""COMPUTED_VALUE"""),450000.0)</f>
        <v>450000</v>
      </c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2">
        <f>IFERROR(__xludf.DUMMYFUNCTION("""COMPUTED_VALUE"""),900000.0)</f>
        <v>900000</v>
      </c>
      <c r="BD344" s="22">
        <f>IFERROR(__xludf.DUMMYFUNCTION("""COMPUTED_VALUE"""),0.0)</f>
        <v>0</v>
      </c>
      <c r="BE344" s="22">
        <f>IFERROR(__xludf.DUMMYFUNCTION("""COMPUTED_VALUE"""),0.0)</f>
        <v>0</v>
      </c>
      <c r="BF344" s="22">
        <f>IFERROR(__xludf.DUMMYFUNCTION("""COMPUTED_VALUE"""),900000.0)</f>
        <v>900000</v>
      </c>
    </row>
    <row r="345">
      <c r="A345" s="27">
        <f>IFERROR(__xludf.DUMMYFUNCTION("""COMPUTED_VALUE"""),344.0)</f>
        <v>344</v>
      </c>
      <c r="B345" s="28" t="str">
        <f>IFERROR(__xludf.DUMMYFUNCTION("""COMPUTED_VALUE"""),"WASILATUL HUSNA ABIDAH AL BANAN")</f>
        <v>WASILATUL HUSNA ABIDAH AL BANAN</v>
      </c>
      <c r="C345" s="28">
        <f>IFERROR(__xludf.DUMMYFUNCTION("""COMPUTED_VALUE"""),2.025070385E9)</f>
        <v>2025070385</v>
      </c>
      <c r="D345" s="28" t="str">
        <f>IFERROR(__xludf.DUMMYFUNCTION("""COMPUTED_VALUE"""),"TSABIT AL BANAN")</f>
        <v>TSABIT AL BANAN</v>
      </c>
      <c r="E345" s="28" t="str">
        <f>IFERROR(__xludf.DUMMYFUNCTION("""COMPUTED_VALUE"""),"HIDAYATUL ABIDAH")</f>
        <v>HIDAYATUL ABIDAH</v>
      </c>
      <c r="F345" s="28" t="str">
        <f>IFERROR(__xludf.DUMMYFUNCTION("""COMPUTED_VALUE"""),"JANGGAN POMAHAN JANGGAN RT 007 RW 003 TURI LAMONGAN")</f>
        <v>JANGGAN POMAHAN JANGGAN RT 007 RW 003 TURI LAMONGAN</v>
      </c>
      <c r="G345" s="28" t="str">
        <f>IFERROR(__xludf.DUMMYFUNCTION("""COMPUTED_VALUE"""),"MA-XI.3")</f>
        <v>MA-XI.3</v>
      </c>
      <c r="H345" s="28" t="str">
        <f>IFERROR(__xludf.DUMMYFUNCTION("""COMPUTED_VALUE"""),"C")</f>
        <v>C</v>
      </c>
      <c r="I345" s="28" t="str">
        <f>IFERROR(__xludf.DUMMYFUNCTION("""COMPUTED_VALUE"""),"C-6")</f>
        <v>C-6</v>
      </c>
      <c r="J345" s="28">
        <f>IFERROR(__xludf.DUMMYFUNCTION("""COMPUTED_VALUE"""),2.0)</f>
        <v>2</v>
      </c>
      <c r="K345" s="28" t="str">
        <f>IFERROR(__xludf.DUMMYFUNCTION("""COMPUTED_VALUE"""),"2 WUSTHO A PUTRI")</f>
        <v>2 WUSTHO A PUTRI</v>
      </c>
      <c r="L345" s="29" t="str">
        <f>IFERROR(__xludf.DUMMYFUNCTION("""COMPUTED_VALUE"""),"6285655438946")</f>
        <v>6285655438946</v>
      </c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2">
        <f>IFERROR(__xludf.DUMMYFUNCTION("""COMPUTED_VALUE"""),0.0)</f>
        <v>0</v>
      </c>
      <c r="BD345" s="22">
        <f>IFERROR(__xludf.DUMMYFUNCTION("""COMPUTED_VALUE"""),0.0)</f>
        <v>0</v>
      </c>
      <c r="BE345" s="22">
        <f>IFERROR(__xludf.DUMMYFUNCTION("""COMPUTED_VALUE"""),0.0)</f>
        <v>0</v>
      </c>
      <c r="BF345" s="22">
        <f>IFERROR(__xludf.DUMMYFUNCTION("""COMPUTED_VALUE"""),0.0)</f>
        <v>0</v>
      </c>
    </row>
    <row r="346">
      <c r="A346" s="27">
        <f>IFERROR(__xludf.DUMMYFUNCTION("""COMPUTED_VALUE"""),345.0)</f>
        <v>345</v>
      </c>
      <c r="B346" s="28" t="str">
        <f>IFERROR(__xludf.DUMMYFUNCTION("""COMPUTED_VALUE"""),"MELI NOVITA SARI")</f>
        <v>MELI NOVITA SARI</v>
      </c>
      <c r="C346" s="28">
        <f>IFERROR(__xludf.DUMMYFUNCTION("""COMPUTED_VALUE"""),2.025070139E9)</f>
        <v>2025070139</v>
      </c>
      <c r="D346" s="28" t="str">
        <f>IFERROR(__xludf.DUMMYFUNCTION("""COMPUTED_VALUE"""),"ALI MASRUKIN")</f>
        <v>ALI MASRUKIN</v>
      </c>
      <c r="E346" s="28" t="str">
        <f>IFERROR(__xludf.DUMMYFUNCTION("""COMPUTED_VALUE"""),"KUSNIFATUN")</f>
        <v>KUSNIFATUN</v>
      </c>
      <c r="F346" s="28" t="str">
        <f>IFERROR(__xludf.DUMMYFUNCTION("""COMPUTED_VALUE"""),"TEJOASRI RT 003 RW 001 LAREN LAMONGAN")</f>
        <v>TEJOASRI RT 003 RW 001 LAREN LAMONGAN</v>
      </c>
      <c r="G346" s="28" t="str">
        <f>IFERROR(__xludf.DUMMYFUNCTION("""COMPUTED_VALUE"""),"MA-XI.8")</f>
        <v>MA-XI.8</v>
      </c>
      <c r="H346" s="28" t="str">
        <f>IFERROR(__xludf.DUMMYFUNCTION("""COMPUTED_VALUE"""),"C")</f>
        <v>C</v>
      </c>
      <c r="I346" s="28" t="str">
        <f>IFERROR(__xludf.DUMMYFUNCTION("""COMPUTED_VALUE"""),"C-10")</f>
        <v>C-10</v>
      </c>
      <c r="J346" s="28">
        <f>IFERROR(__xludf.DUMMYFUNCTION("""COMPUTED_VALUE"""),2.0)</f>
        <v>2</v>
      </c>
      <c r="K346" s="28" t="str">
        <f>IFERROR(__xludf.DUMMYFUNCTION("""COMPUTED_VALUE"""),"2 WUSTHO B PUTRI")</f>
        <v>2 WUSTHO B PUTRI</v>
      </c>
      <c r="L346" s="29" t="str">
        <f>IFERROR(__xludf.DUMMYFUNCTION("""COMPUTED_VALUE"""),"6281248264920")</f>
        <v>6281248264920</v>
      </c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2">
        <f>IFERROR(__xludf.DUMMYFUNCTION("""COMPUTED_VALUE"""),0.0)</f>
        <v>0</v>
      </c>
      <c r="BD346" s="22">
        <f>IFERROR(__xludf.DUMMYFUNCTION("""COMPUTED_VALUE"""),0.0)</f>
        <v>0</v>
      </c>
      <c r="BE346" s="22">
        <f>IFERROR(__xludf.DUMMYFUNCTION("""COMPUTED_VALUE"""),0.0)</f>
        <v>0</v>
      </c>
      <c r="BF346" s="22">
        <f>IFERROR(__xludf.DUMMYFUNCTION("""COMPUTED_VALUE"""),0.0)</f>
        <v>0</v>
      </c>
    </row>
    <row r="347">
      <c r="A347" s="27">
        <f>IFERROR(__xludf.DUMMYFUNCTION("""COMPUTED_VALUE"""),346.0)</f>
        <v>346</v>
      </c>
      <c r="B347" s="28" t="str">
        <f>IFERROR(__xludf.DUMMYFUNCTION("""COMPUTED_VALUE"""),"MUTIARA A`IZZANA LUBIS")</f>
        <v>MUTIARA A`IZZANA LUBIS</v>
      </c>
      <c r="C347" s="28">
        <f>IFERROR(__xludf.DUMMYFUNCTION("""COMPUTED_VALUE"""),2.025070313E9)</f>
        <v>2025070313</v>
      </c>
      <c r="D347" s="28" t="str">
        <f>IFERROR(__xludf.DUMMYFUNCTION("""COMPUTED_VALUE"""),"LUBIS")</f>
        <v>LUBIS</v>
      </c>
      <c r="E347" s="28" t="str">
        <f>IFERROR(__xludf.DUMMYFUNCTION("""COMPUTED_VALUE"""),"DIMAS NUR JANNAH")</f>
        <v>DIMAS NUR JANNAH</v>
      </c>
      <c r="F347" s="28" t="str">
        <f>IFERROR(__xludf.DUMMYFUNCTION("""COMPUTED_VALUE"""),"TELUK SUNGAI TELUK RT 000 RW 000 SANGKAPURA GRESIK")</f>
        <v>TELUK SUNGAI TELUK RT 000 RW 000 SANGKAPURA GRESIK</v>
      </c>
      <c r="G347" s="28" t="str">
        <f>IFERROR(__xludf.DUMMYFUNCTION("""COMPUTED_VALUE"""),"MA-XI.12")</f>
        <v>MA-XI.12</v>
      </c>
      <c r="H347" s="28" t="str">
        <f>IFERROR(__xludf.DUMMYFUNCTION("""COMPUTED_VALUE"""),"C")</f>
        <v>C</v>
      </c>
      <c r="I347" s="28" t="str">
        <f>IFERROR(__xludf.DUMMYFUNCTION("""COMPUTED_VALUE"""),"C-10")</f>
        <v>C-10</v>
      </c>
      <c r="J347" s="28">
        <f>IFERROR(__xludf.DUMMYFUNCTION("""COMPUTED_VALUE"""),2.0)</f>
        <v>2</v>
      </c>
      <c r="K347" s="28" t="str">
        <f>IFERROR(__xludf.DUMMYFUNCTION("""COMPUTED_VALUE"""),"2 WUSTHO D PUTRI")</f>
        <v>2 WUSTHO D PUTRI</v>
      </c>
      <c r="L347" s="29" t="str">
        <f>IFERROR(__xludf.DUMMYFUNCTION("""COMPUTED_VALUE"""),"6282139709144")</f>
        <v>6282139709144</v>
      </c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2">
        <f>IFERROR(__xludf.DUMMYFUNCTION("""COMPUTED_VALUE"""),0.0)</f>
        <v>0</v>
      </c>
      <c r="BD347" s="22">
        <f>IFERROR(__xludf.DUMMYFUNCTION("""COMPUTED_VALUE"""),0.0)</f>
        <v>0</v>
      </c>
      <c r="BE347" s="22">
        <f>IFERROR(__xludf.DUMMYFUNCTION("""COMPUTED_VALUE"""),0.0)</f>
        <v>0</v>
      </c>
      <c r="BF347" s="22">
        <f>IFERROR(__xludf.DUMMYFUNCTION("""COMPUTED_VALUE"""),0.0)</f>
        <v>0</v>
      </c>
    </row>
    <row r="348">
      <c r="A348" s="27">
        <f>IFERROR(__xludf.DUMMYFUNCTION("""COMPUTED_VALUE"""),347.0)</f>
        <v>347</v>
      </c>
      <c r="B348" s="28" t="str">
        <f>IFERROR(__xludf.DUMMYFUNCTION("""COMPUTED_VALUE"""),"ARINI DINA AKMALIYAH")</f>
        <v>ARINI DINA AKMALIYAH</v>
      </c>
      <c r="C348" s="28">
        <f>IFERROR(__xludf.DUMMYFUNCTION("""COMPUTED_VALUE"""),2.025070162E9)</f>
        <v>2025070162</v>
      </c>
      <c r="D348" s="28" t="str">
        <f>IFERROR(__xludf.DUMMYFUNCTION("""COMPUTED_VALUE"""),"KASDI")</f>
        <v>KASDI</v>
      </c>
      <c r="E348" s="28" t="str">
        <f>IFERROR(__xludf.DUMMYFUNCTION("""COMPUTED_VALUE"""),"NUR `AINIYAH")</f>
        <v>NUR `AINIYAH</v>
      </c>
      <c r="F348" s="28" t="str">
        <f>IFERROR(__xludf.DUMMYFUNCTION("""COMPUTED_VALUE"""),"KEMLAGIGEDE RT 010 RW 002 TURI LAMONGAN")</f>
        <v>KEMLAGIGEDE RT 010 RW 002 TURI LAMONGAN</v>
      </c>
      <c r="G348" s="28" t="str">
        <f>IFERROR(__xludf.DUMMYFUNCTION("""COMPUTED_VALUE"""),"MA-XI.6")</f>
        <v>MA-XI.6</v>
      </c>
      <c r="H348" s="28" t="str">
        <f>IFERROR(__xludf.DUMMYFUNCTION("""COMPUTED_VALUE"""),"C")</f>
        <v>C</v>
      </c>
      <c r="I348" s="28" t="str">
        <f>IFERROR(__xludf.DUMMYFUNCTION("""COMPUTED_VALUE"""),"C-10")</f>
        <v>C-10</v>
      </c>
      <c r="J348" s="28">
        <f>IFERROR(__xludf.DUMMYFUNCTION("""COMPUTED_VALUE"""),2.0)</f>
        <v>2</v>
      </c>
      <c r="K348" s="28" t="str">
        <f>IFERROR(__xludf.DUMMYFUNCTION("""COMPUTED_VALUE"""),"2 WUSTHO A PUTRI")</f>
        <v>2 WUSTHO A PUTRI</v>
      </c>
      <c r="L348" s="29" t="str">
        <f>IFERROR(__xludf.DUMMYFUNCTION("""COMPUTED_VALUE"""),"6285730465502")</f>
        <v>6285730465502</v>
      </c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2">
        <f>IFERROR(__xludf.DUMMYFUNCTION("""COMPUTED_VALUE"""),450000.0)</f>
        <v>450000</v>
      </c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2">
        <f>IFERROR(__xludf.DUMMYFUNCTION("""COMPUTED_VALUE"""),450000.0)</f>
        <v>450000</v>
      </c>
      <c r="BD348" s="22">
        <f>IFERROR(__xludf.DUMMYFUNCTION("""COMPUTED_VALUE"""),0.0)</f>
        <v>0</v>
      </c>
      <c r="BE348" s="22">
        <f>IFERROR(__xludf.DUMMYFUNCTION("""COMPUTED_VALUE"""),0.0)</f>
        <v>0</v>
      </c>
      <c r="BF348" s="22">
        <f>IFERROR(__xludf.DUMMYFUNCTION("""COMPUTED_VALUE"""),450000.0)</f>
        <v>450000</v>
      </c>
    </row>
    <row r="349">
      <c r="A349" s="27">
        <f>IFERROR(__xludf.DUMMYFUNCTION("""COMPUTED_VALUE"""),348.0)</f>
        <v>348</v>
      </c>
      <c r="B349" s="28" t="str">
        <f>IFERROR(__xludf.DUMMYFUNCTION("""COMPUTED_VALUE"""),"NAJWA HANUM PUTRI MAHMUDA")</f>
        <v>NAJWA HANUM PUTRI MAHMUDA</v>
      </c>
      <c r="C349" s="28">
        <f>IFERROR(__xludf.DUMMYFUNCTION("""COMPUTED_VALUE"""),2.023080629E9)</f>
        <v>2023080629</v>
      </c>
      <c r="D349" s="28" t="str">
        <f>IFERROR(__xludf.DUMMYFUNCTION("""COMPUTED_VALUE"""),"MAHMUD")</f>
        <v>MAHMUD</v>
      </c>
      <c r="E349" s="28" t="str">
        <f>IFERROR(__xludf.DUMMYFUNCTION("""COMPUTED_VALUE"""),"SUKARYA NINGSIH")</f>
        <v>SUKARYA NINGSIH</v>
      </c>
      <c r="F349" s="28" t="str">
        <f>IFERROR(__xludf.DUMMYFUNCTION("""COMPUTED_VALUE"""),"JATISARI JATIRENGGO RT 003 RW 001 GLAGAH LAMONGAN")</f>
        <v>JATISARI JATIRENGGO RT 003 RW 001 GLAGAH LAMONGAN</v>
      </c>
      <c r="G349" s="28" t="str">
        <f>IFERROR(__xludf.DUMMYFUNCTION("""COMPUTED_VALUE"""),"MA-XI.6")</f>
        <v>MA-XI.6</v>
      </c>
      <c r="H349" s="28" t="str">
        <f>IFERROR(__xludf.DUMMYFUNCTION("""COMPUTED_VALUE"""),"C")</f>
        <v>C</v>
      </c>
      <c r="I349" s="28" t="str">
        <f>IFERROR(__xludf.DUMMYFUNCTION("""COMPUTED_VALUE"""),"C-10")</f>
        <v>C-10</v>
      </c>
      <c r="J349" s="28">
        <f>IFERROR(__xludf.DUMMYFUNCTION("""COMPUTED_VALUE"""),2.0)</f>
        <v>2</v>
      </c>
      <c r="K349" s="28" t="str">
        <f>IFERROR(__xludf.DUMMYFUNCTION("""COMPUTED_VALUE"""),"2 WUSTHO C PUTRI")</f>
        <v>2 WUSTHO C PUTRI</v>
      </c>
      <c r="L349" s="29" t="str">
        <f>IFERROR(__xludf.DUMMYFUNCTION("""COMPUTED_VALUE"""),"6285748610167")</f>
        <v>6285748610167</v>
      </c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2">
        <f>IFERROR(__xludf.DUMMYFUNCTION("""COMPUTED_VALUE"""),0.0)</f>
        <v>0</v>
      </c>
      <c r="BD349" s="22">
        <f>IFERROR(__xludf.DUMMYFUNCTION("""COMPUTED_VALUE"""),0.0)</f>
        <v>0</v>
      </c>
      <c r="BE349" s="22">
        <f>IFERROR(__xludf.DUMMYFUNCTION("""COMPUTED_VALUE"""),0.0)</f>
        <v>0</v>
      </c>
      <c r="BF349" s="22">
        <f>IFERROR(__xludf.DUMMYFUNCTION("""COMPUTED_VALUE"""),0.0)</f>
        <v>0</v>
      </c>
    </row>
    <row r="350">
      <c r="A350" s="27">
        <f>IFERROR(__xludf.DUMMYFUNCTION("""COMPUTED_VALUE"""),349.0)</f>
        <v>349</v>
      </c>
      <c r="B350" s="28" t="str">
        <f>IFERROR(__xludf.DUMMYFUNCTION("""COMPUTED_VALUE"""),"CITRA MULYA SARI")</f>
        <v>CITRA MULYA SARI</v>
      </c>
      <c r="C350" s="28">
        <f>IFERROR(__xludf.DUMMYFUNCTION("""COMPUTED_VALUE"""),2.025070177E9)</f>
        <v>2025070177</v>
      </c>
      <c r="D350" s="28" t="str">
        <f>IFERROR(__xludf.DUMMYFUNCTION("""COMPUTED_VALUE"""),"MULYADI")</f>
        <v>MULYADI</v>
      </c>
      <c r="E350" s="28" t="str">
        <f>IFERROR(__xludf.DUMMYFUNCTION("""COMPUTED_VALUE"""),"SRI WAHYUNINGSIH")</f>
        <v>SRI WAHYUNINGSIH</v>
      </c>
      <c r="F350" s="28" t="str">
        <f>IFERROR(__xludf.DUMMYFUNCTION("""COMPUTED_VALUE"""),"BADU WANAR RT 002 RW 007 PUCUK LAMONGAN")</f>
        <v>BADU WANAR RT 002 RW 007 PUCUK LAMONGAN</v>
      </c>
      <c r="G350" s="28" t="str">
        <f>IFERROR(__xludf.DUMMYFUNCTION("""COMPUTED_VALUE"""),"MA-XI.13")</f>
        <v>MA-XI.13</v>
      </c>
      <c r="H350" s="28" t="str">
        <f>IFERROR(__xludf.DUMMYFUNCTION("""COMPUTED_VALUE"""),"B")</f>
        <v>B</v>
      </c>
      <c r="I350" s="28" t="str">
        <f>IFERROR(__xludf.DUMMYFUNCTION("""COMPUTED_VALUE"""),"B-7")</f>
        <v>B-7</v>
      </c>
      <c r="J350" s="28">
        <f>IFERROR(__xludf.DUMMYFUNCTION("""COMPUTED_VALUE"""),2.0)</f>
        <v>2</v>
      </c>
      <c r="K350" s="28" t="str">
        <f>IFERROR(__xludf.DUMMYFUNCTION("""COMPUTED_VALUE"""),"2 MAK PUTRI")</f>
        <v>2 MAK PUTRI</v>
      </c>
      <c r="L350" s="29" t="str">
        <f>IFERROR(__xludf.DUMMYFUNCTION("""COMPUTED_VALUE"""),"6289604401834")</f>
        <v>6289604401834</v>
      </c>
      <c r="M350" s="28"/>
      <c r="N350" s="28"/>
      <c r="O350" s="28"/>
      <c r="P350" s="22">
        <f>IFERROR(__xludf.DUMMYFUNCTION("""COMPUTED_VALUE"""),450000.0)</f>
        <v>450000</v>
      </c>
      <c r="Q350" s="22">
        <f>IFERROR(__xludf.DUMMYFUNCTION("""COMPUTED_VALUE"""),450000.0)</f>
        <v>450000</v>
      </c>
      <c r="R350" s="22">
        <f>IFERROR(__xludf.DUMMYFUNCTION("""COMPUTED_VALUE"""),450000.0)</f>
        <v>450000</v>
      </c>
      <c r="S350" s="22">
        <f>IFERROR(__xludf.DUMMYFUNCTION("""COMPUTED_VALUE"""),450000.0)</f>
        <v>450000</v>
      </c>
      <c r="T350" s="22">
        <f>IFERROR(__xludf.DUMMYFUNCTION("""COMPUTED_VALUE"""),450000.0)</f>
        <v>450000</v>
      </c>
      <c r="U350" s="22">
        <f>IFERROR(__xludf.DUMMYFUNCTION("""COMPUTED_VALUE"""),450000.0)</f>
        <v>450000</v>
      </c>
      <c r="V350" s="22">
        <f>IFERROR(__xludf.DUMMYFUNCTION("""COMPUTED_VALUE"""),450000.0)</f>
        <v>450000</v>
      </c>
      <c r="W350" s="22">
        <f>IFERROR(__xludf.DUMMYFUNCTION("""COMPUTED_VALUE"""),450000.0)</f>
        <v>450000</v>
      </c>
      <c r="X350" s="22">
        <f>IFERROR(__xludf.DUMMYFUNCTION("""COMPUTED_VALUE"""),450000.0)</f>
        <v>450000</v>
      </c>
      <c r="Y350" s="22">
        <f>IFERROR(__xludf.DUMMYFUNCTION("""COMPUTED_VALUE"""),450000.0)</f>
        <v>450000</v>
      </c>
      <c r="Z350" s="22">
        <f>IFERROR(__xludf.DUMMYFUNCTION("""COMPUTED_VALUE"""),450000.0)</f>
        <v>450000</v>
      </c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2">
        <f>IFERROR(__xludf.DUMMYFUNCTION("""COMPUTED_VALUE"""),4950000.0)</f>
        <v>4950000</v>
      </c>
      <c r="BD350" s="22">
        <f>IFERROR(__xludf.DUMMYFUNCTION("""COMPUTED_VALUE"""),0.0)</f>
        <v>0</v>
      </c>
      <c r="BE350" s="22">
        <f>IFERROR(__xludf.DUMMYFUNCTION("""COMPUTED_VALUE"""),0.0)</f>
        <v>0</v>
      </c>
      <c r="BF350" s="22">
        <f>IFERROR(__xludf.DUMMYFUNCTION("""COMPUTED_VALUE"""),4950000.0)</f>
        <v>4950000</v>
      </c>
    </row>
    <row r="351">
      <c r="A351" s="27">
        <f>IFERROR(__xludf.DUMMYFUNCTION("""COMPUTED_VALUE"""),350.0)</f>
        <v>350</v>
      </c>
      <c r="B351" s="28" t="str">
        <f>IFERROR(__xludf.DUMMYFUNCTION("""COMPUTED_VALUE"""),"DENIS BALQIS IZZA ROHMANI")</f>
        <v>DENIS BALQIS IZZA ROHMANI</v>
      </c>
      <c r="C351" s="28">
        <f>IFERROR(__xludf.DUMMYFUNCTION("""COMPUTED_VALUE"""),2.025070103E9)</f>
        <v>2025070103</v>
      </c>
      <c r="D351" s="28" t="str">
        <f>IFERROR(__xludf.DUMMYFUNCTION("""COMPUTED_VALUE"""),"DENI FATHUR ROHMAN")</f>
        <v>DENI FATHUR ROHMAN</v>
      </c>
      <c r="E351" s="28" t="str">
        <f>IFERROR(__xludf.DUMMYFUNCTION("""COMPUTED_VALUE"""),"WAHYUNIS SHILKHA")</f>
        <v>WAHYUNIS SHILKHA</v>
      </c>
      <c r="F351" s="28" t="str">
        <f>IFERROR(__xludf.DUMMYFUNCTION("""COMPUTED_VALUE"""),"KEMUDI RT 001 RW 001 DUDUKSAMPEAYAN GRESIK")</f>
        <v>KEMUDI RT 001 RW 001 DUDUKSAMPEAYAN GRESIK</v>
      </c>
      <c r="G351" s="28" t="str">
        <f>IFERROR(__xludf.DUMMYFUNCTION("""COMPUTED_VALUE"""),"MA-XI.6")</f>
        <v>MA-XI.6</v>
      </c>
      <c r="H351" s="28" t="str">
        <f>IFERROR(__xludf.DUMMYFUNCTION("""COMPUTED_VALUE"""),"B")</f>
        <v>B</v>
      </c>
      <c r="I351" s="28" t="str">
        <f>IFERROR(__xludf.DUMMYFUNCTION("""COMPUTED_VALUE"""),"B-7")</f>
        <v>B-7</v>
      </c>
      <c r="J351" s="28">
        <f>IFERROR(__xludf.DUMMYFUNCTION("""COMPUTED_VALUE"""),2.0)</f>
        <v>2</v>
      </c>
      <c r="K351" s="28" t="str">
        <f>IFERROR(__xludf.DUMMYFUNCTION("""COMPUTED_VALUE"""),"2 WUSTHO B PUTRI")</f>
        <v>2 WUSTHO B PUTRI</v>
      </c>
      <c r="L351" s="29" t="str">
        <f>IFERROR(__xludf.DUMMYFUNCTION("""COMPUTED_VALUE"""),"6281235618573")</f>
        <v>6281235618573</v>
      </c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2">
        <f>IFERROR(__xludf.DUMMYFUNCTION("""COMPUTED_VALUE"""),0.0)</f>
        <v>0</v>
      </c>
      <c r="BD351" s="22">
        <f>IFERROR(__xludf.DUMMYFUNCTION("""COMPUTED_VALUE"""),0.0)</f>
        <v>0</v>
      </c>
      <c r="BE351" s="22">
        <f>IFERROR(__xludf.DUMMYFUNCTION("""COMPUTED_VALUE"""),0.0)</f>
        <v>0</v>
      </c>
      <c r="BF351" s="22">
        <f>IFERROR(__xludf.DUMMYFUNCTION("""COMPUTED_VALUE"""),0.0)</f>
        <v>0</v>
      </c>
    </row>
    <row r="352">
      <c r="A352" s="27">
        <f>IFERROR(__xludf.DUMMYFUNCTION("""COMPUTED_VALUE"""),351.0)</f>
        <v>351</v>
      </c>
      <c r="B352" s="28" t="str">
        <f>IFERROR(__xludf.DUMMYFUNCTION("""COMPUTED_VALUE"""),"WINDA FAKHIRAH APRILIA")</f>
        <v>WINDA FAKHIRAH APRILIA</v>
      </c>
      <c r="C352" s="28">
        <f>IFERROR(__xludf.DUMMYFUNCTION("""COMPUTED_VALUE"""),2.025070156E9)</f>
        <v>2025070156</v>
      </c>
      <c r="D352" s="28" t="str">
        <f>IFERROR(__xludf.DUMMYFUNCTION("""COMPUTED_VALUE"""),"SLAMET WIDOWO")</f>
        <v>SLAMET WIDOWO</v>
      </c>
      <c r="E352" s="28" t="str">
        <f>IFERROR(__xludf.DUMMYFUNCTION("""COMPUTED_VALUE"""),"HANIATUL LUTFIAH")</f>
        <v>HANIATUL LUTFIAH</v>
      </c>
      <c r="F352" s="28" t="str">
        <f>IFERROR(__xludf.DUMMYFUNCTION("""COMPUTED_VALUE"""),"BANGERAN GENENG RT 001 RW 001 DUKUN GRESIK")</f>
        <v>BANGERAN GENENG RT 001 RW 001 DUKUN GRESIK</v>
      </c>
      <c r="G352" s="28" t="str">
        <f>IFERROR(__xludf.DUMMYFUNCTION("""COMPUTED_VALUE"""),"MA-XI.11")</f>
        <v>MA-XI.11</v>
      </c>
      <c r="H352" s="28" t="str">
        <f>IFERROR(__xludf.DUMMYFUNCTION("""COMPUTED_VALUE"""),"B")</f>
        <v>B</v>
      </c>
      <c r="I352" s="28" t="str">
        <f>IFERROR(__xludf.DUMMYFUNCTION("""COMPUTED_VALUE"""),"B-7")</f>
        <v>B-7</v>
      </c>
      <c r="J352" s="28">
        <f>IFERROR(__xludf.DUMMYFUNCTION("""COMPUTED_VALUE"""),2.0)</f>
        <v>2</v>
      </c>
      <c r="K352" s="28" t="str">
        <f>IFERROR(__xludf.DUMMYFUNCTION("""COMPUTED_VALUE"""),"2 WUSTHO B PUTRI")</f>
        <v>2 WUSTHO B PUTRI</v>
      </c>
      <c r="L352" s="29" t="str">
        <f>IFERROR(__xludf.DUMMYFUNCTION("""COMPUTED_VALUE"""),"62895635136011")</f>
        <v>62895635136011</v>
      </c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2">
        <f>IFERROR(__xludf.DUMMYFUNCTION("""COMPUTED_VALUE"""),0.0)</f>
        <v>0</v>
      </c>
      <c r="BD352" s="22">
        <f>IFERROR(__xludf.DUMMYFUNCTION("""COMPUTED_VALUE"""),0.0)</f>
        <v>0</v>
      </c>
      <c r="BE352" s="22">
        <f>IFERROR(__xludf.DUMMYFUNCTION("""COMPUTED_VALUE"""),0.0)</f>
        <v>0</v>
      </c>
      <c r="BF352" s="22">
        <f>IFERROR(__xludf.DUMMYFUNCTION("""COMPUTED_VALUE"""),0.0)</f>
        <v>0</v>
      </c>
    </row>
    <row r="353">
      <c r="A353" s="27">
        <f>IFERROR(__xludf.DUMMYFUNCTION("""COMPUTED_VALUE"""),352.0)</f>
        <v>352</v>
      </c>
      <c r="B353" s="28" t="str">
        <f>IFERROR(__xludf.DUMMYFUNCTION("""COMPUTED_VALUE"""),"AURA HANNA ZILFAH DLOFWATUL `AISY")</f>
        <v>AURA HANNA ZILFAH DLOFWATUL `AISY</v>
      </c>
      <c r="C353" s="28">
        <f>IFERROR(__xludf.DUMMYFUNCTION("""COMPUTED_VALUE"""),2.025070411E9)</f>
        <v>2025070411</v>
      </c>
      <c r="D353" s="28" t="str">
        <f>IFERROR(__xludf.DUMMYFUNCTION("""COMPUTED_VALUE"""),"SUTIKNO")</f>
        <v>SUTIKNO</v>
      </c>
      <c r="E353" s="28" t="str">
        <f>IFERROR(__xludf.DUMMYFUNCTION("""COMPUTED_VALUE"""),"SUCI NASROTUL UMMAH")</f>
        <v>SUCI NASROTUL UMMAH</v>
      </c>
      <c r="F353" s="28" t="str">
        <f>IFERROR(__xludf.DUMMYFUNCTION("""COMPUTED_VALUE"""),"PANGEAN RT 006 RW 002 MADURAN LAMONGAN")</f>
        <v>PANGEAN RT 006 RW 002 MADURAN LAMONGAN</v>
      </c>
      <c r="G353" s="28" t="str">
        <f>IFERROR(__xludf.DUMMYFUNCTION("""COMPUTED_VALUE"""),"MA-XI.4")</f>
        <v>MA-XI.4</v>
      </c>
      <c r="H353" s="28" t="str">
        <f>IFERROR(__xludf.DUMMYFUNCTION("""COMPUTED_VALUE"""),"E")</f>
        <v>E</v>
      </c>
      <c r="I353" s="28" t="str">
        <f>IFERROR(__xludf.DUMMYFUNCTION("""COMPUTED_VALUE"""),"E-5")</f>
        <v>E-5</v>
      </c>
      <c r="J353" s="28">
        <f>IFERROR(__xludf.DUMMYFUNCTION("""COMPUTED_VALUE"""),2.0)</f>
        <v>2</v>
      </c>
      <c r="K353" s="28" t="str">
        <f>IFERROR(__xludf.DUMMYFUNCTION("""COMPUTED_VALUE"""),"2 WUSTHO B PUTRI")</f>
        <v>2 WUSTHO B PUTRI</v>
      </c>
      <c r="L353" s="29" t="str">
        <f>IFERROR(__xludf.DUMMYFUNCTION("""COMPUTED_VALUE"""),"6282141276033")</f>
        <v>6282141276033</v>
      </c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2">
        <f>IFERROR(__xludf.DUMMYFUNCTION("""COMPUTED_VALUE"""),0.0)</f>
        <v>0</v>
      </c>
      <c r="BD353" s="22">
        <f>IFERROR(__xludf.DUMMYFUNCTION("""COMPUTED_VALUE"""),0.0)</f>
        <v>0</v>
      </c>
      <c r="BE353" s="22">
        <f>IFERROR(__xludf.DUMMYFUNCTION("""COMPUTED_VALUE"""),0.0)</f>
        <v>0</v>
      </c>
      <c r="BF353" s="22">
        <f>IFERROR(__xludf.DUMMYFUNCTION("""COMPUTED_VALUE"""),0.0)</f>
        <v>0</v>
      </c>
    </row>
    <row r="354">
      <c r="A354" s="27">
        <f>IFERROR(__xludf.DUMMYFUNCTION("""COMPUTED_VALUE"""),353.0)</f>
        <v>353</v>
      </c>
      <c r="B354" s="28" t="str">
        <f>IFERROR(__xludf.DUMMYFUNCTION("""COMPUTED_VALUE"""),"RIA RESTY TRI UTAMI")</f>
        <v>RIA RESTY TRI UTAMI</v>
      </c>
      <c r="C354" s="28">
        <f>IFERROR(__xludf.DUMMYFUNCTION("""COMPUTED_VALUE"""),2.025090673E9)</f>
        <v>2025090673</v>
      </c>
      <c r="D354" s="28" t="str">
        <f>IFERROR(__xludf.DUMMYFUNCTION("""COMPUTED_VALUE"""),"MUSTAKIM")</f>
        <v>MUSTAKIM</v>
      </c>
      <c r="E354" s="28" t="str">
        <f>IFERROR(__xludf.DUMMYFUNCTION("""COMPUTED_VALUE"""),"SUBAIAH")</f>
        <v>SUBAIAH</v>
      </c>
      <c r="F354" s="28" t="str">
        <f>IFERROR(__xludf.DUMMYFUNCTION("""COMPUTED_VALUE"""),"KARANGBOYO RT 010 RW 004 KARANGWEDORO TURI LAMONGAN")</f>
        <v>KARANGBOYO RT 010 RW 004 KARANGWEDORO TURI LAMONGAN</v>
      </c>
      <c r="G354" s="28" t="str">
        <f>IFERROR(__xludf.DUMMYFUNCTION("""COMPUTED_VALUE"""),"#N/A")</f>
        <v>#N/A</v>
      </c>
      <c r="H354" s="28" t="str">
        <f>IFERROR(__xludf.DUMMYFUNCTION("""COMPUTED_VALUE"""),"C")</f>
        <v>C</v>
      </c>
      <c r="I354" s="28" t="str">
        <f>IFERROR(__xludf.DUMMYFUNCTION("""COMPUTED_VALUE"""),"C-12")</f>
        <v>C-12</v>
      </c>
      <c r="J354" s="28">
        <f>IFERROR(__xludf.DUMMYFUNCTION("""COMPUTED_VALUE"""),2.0)</f>
        <v>2</v>
      </c>
      <c r="K354" s="28" t="str">
        <f>IFERROR(__xludf.DUMMYFUNCTION("""COMPUTED_VALUE"""),"2 ULA B PUTRI")</f>
        <v>2 ULA B PUTRI</v>
      </c>
      <c r="L354" s="29" t="str">
        <f>IFERROR(__xludf.DUMMYFUNCTION("""COMPUTED_VALUE"""),"6285815946929")</f>
        <v>6285815946929</v>
      </c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2">
        <f>IFERROR(__xludf.DUMMYFUNCTION("""COMPUTED_VALUE"""),500000.0)</f>
        <v>500000</v>
      </c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2">
        <f>IFERROR(__xludf.DUMMYFUNCTION("""COMPUTED_VALUE"""),0.0)</f>
        <v>0</v>
      </c>
      <c r="BD354" s="22">
        <f>IFERROR(__xludf.DUMMYFUNCTION("""COMPUTED_VALUE"""),500000.0)</f>
        <v>500000</v>
      </c>
      <c r="BE354" s="22">
        <f>IFERROR(__xludf.DUMMYFUNCTION("""COMPUTED_VALUE"""),0.0)</f>
        <v>0</v>
      </c>
      <c r="BF354" s="22">
        <f>IFERROR(__xludf.DUMMYFUNCTION("""COMPUTED_VALUE"""),500000.0)</f>
        <v>500000</v>
      </c>
    </row>
    <row r="355">
      <c r="A355" s="27">
        <f>IFERROR(__xludf.DUMMYFUNCTION("""COMPUTED_VALUE"""),354.0)</f>
        <v>354</v>
      </c>
      <c r="B355" s="28" t="str">
        <f>IFERROR(__xludf.DUMMYFUNCTION("""COMPUTED_VALUE"""),"NURUL AZMY")</f>
        <v>NURUL AZMY</v>
      </c>
      <c r="C355" s="28">
        <f>IFERROR(__xludf.DUMMYFUNCTION("""COMPUTED_VALUE"""),2.02507013E9)</f>
        <v>2025070130</v>
      </c>
      <c r="D355" s="28" t="str">
        <f>IFERROR(__xludf.DUMMYFUNCTION("""COMPUTED_VALUE"""),"MUCHLISIN")</f>
        <v>MUCHLISIN</v>
      </c>
      <c r="E355" s="28" t="str">
        <f>IFERROR(__xludf.DUMMYFUNCTION("""COMPUTED_VALUE"""),"NUNUK UMA`IYAH")</f>
        <v>NUNUK UMA`IYAH</v>
      </c>
      <c r="F355" s="28" t="str">
        <f>IFERROR(__xludf.DUMMYFUNCTION("""COMPUTED_VALUE"""),"KEPATIHAN SUKOREJO RT 007 RW 002 TURI LAMONGAN")</f>
        <v>KEPATIHAN SUKOREJO RT 007 RW 002 TURI LAMONGAN</v>
      </c>
      <c r="G355" s="28" t="str">
        <f>IFERROR(__xludf.DUMMYFUNCTION("""COMPUTED_VALUE"""),"MA-XI.13")</f>
        <v>MA-XI.13</v>
      </c>
      <c r="H355" s="28" t="str">
        <f>IFERROR(__xludf.DUMMYFUNCTION("""COMPUTED_VALUE"""),"E")</f>
        <v>E</v>
      </c>
      <c r="I355" s="28" t="str">
        <f>IFERROR(__xludf.DUMMYFUNCTION("""COMPUTED_VALUE"""),"E-5")</f>
        <v>E-5</v>
      </c>
      <c r="J355" s="28">
        <f>IFERROR(__xludf.DUMMYFUNCTION("""COMPUTED_VALUE"""),2.0)</f>
        <v>2</v>
      </c>
      <c r="K355" s="28" t="str">
        <f>IFERROR(__xludf.DUMMYFUNCTION("""COMPUTED_VALUE"""),"2 MAK PUTRI")</f>
        <v>2 MAK PUTRI</v>
      </c>
      <c r="L355" s="29" t="str">
        <f>IFERROR(__xludf.DUMMYFUNCTION("""COMPUTED_VALUE"""),"6285607273151")</f>
        <v>6285607273151</v>
      </c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2">
        <f>IFERROR(__xludf.DUMMYFUNCTION("""COMPUTED_VALUE"""),0.0)</f>
        <v>0</v>
      </c>
      <c r="BD355" s="22">
        <f>IFERROR(__xludf.DUMMYFUNCTION("""COMPUTED_VALUE"""),0.0)</f>
        <v>0</v>
      </c>
      <c r="BE355" s="22">
        <f>IFERROR(__xludf.DUMMYFUNCTION("""COMPUTED_VALUE"""),0.0)</f>
        <v>0</v>
      </c>
      <c r="BF355" s="22">
        <f>IFERROR(__xludf.DUMMYFUNCTION("""COMPUTED_VALUE"""),0.0)</f>
        <v>0</v>
      </c>
    </row>
    <row r="356">
      <c r="A356" s="27">
        <f>IFERROR(__xludf.DUMMYFUNCTION("""COMPUTED_VALUE"""),355.0)</f>
        <v>355</v>
      </c>
      <c r="B356" s="28" t="str">
        <f>IFERROR(__xludf.DUMMYFUNCTION("""COMPUTED_VALUE"""),"INTAN PUTRI CAHYANI")</f>
        <v>INTAN PUTRI CAHYANI</v>
      </c>
      <c r="C356" s="28">
        <f>IFERROR(__xludf.DUMMYFUNCTION("""COMPUTED_VALUE"""),2.025070101E9)</f>
        <v>2025070101</v>
      </c>
      <c r="D356" s="28" t="str">
        <f>IFERROR(__xludf.DUMMYFUNCTION("""COMPUTED_VALUE"""),"SUMARNO")</f>
        <v>SUMARNO</v>
      </c>
      <c r="E356" s="28" t="str">
        <f>IFERROR(__xludf.DUMMYFUNCTION("""COMPUTED_VALUE"""),"TRISNA WATI")</f>
        <v>TRISNA WATI</v>
      </c>
      <c r="F356" s="28" t="str">
        <f>IFERROR(__xludf.DUMMYFUNCTION("""COMPUTED_VALUE"""),"NGASINAN KEPATIHAN RT 002 RW 007 MENGANTI GRESIK")</f>
        <v>NGASINAN KEPATIHAN RT 002 RW 007 MENGANTI GRESIK</v>
      </c>
      <c r="G356" s="28" t="str">
        <f>IFERROR(__xludf.DUMMYFUNCTION("""COMPUTED_VALUE"""),"MA-XI.13")</f>
        <v>MA-XI.13</v>
      </c>
      <c r="H356" s="28" t="str">
        <f>IFERROR(__xludf.DUMMYFUNCTION("""COMPUTED_VALUE"""),"E")</f>
        <v>E</v>
      </c>
      <c r="I356" s="28" t="str">
        <f>IFERROR(__xludf.DUMMYFUNCTION("""COMPUTED_VALUE"""),"E-5")</f>
        <v>E-5</v>
      </c>
      <c r="J356" s="28">
        <f>IFERROR(__xludf.DUMMYFUNCTION("""COMPUTED_VALUE"""),2.0)</f>
        <v>2</v>
      </c>
      <c r="K356" s="28" t="str">
        <f>IFERROR(__xludf.DUMMYFUNCTION("""COMPUTED_VALUE"""),"2 MAK PUTRI")</f>
        <v>2 MAK PUTRI</v>
      </c>
      <c r="L356" s="29" t="str">
        <f>IFERROR(__xludf.DUMMYFUNCTION("""COMPUTED_VALUE"""),"62882010266512")</f>
        <v>62882010266512</v>
      </c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2">
        <f>IFERROR(__xludf.DUMMYFUNCTION("""COMPUTED_VALUE"""),0.0)</f>
        <v>0</v>
      </c>
      <c r="BD356" s="22">
        <f>IFERROR(__xludf.DUMMYFUNCTION("""COMPUTED_VALUE"""),0.0)</f>
        <v>0</v>
      </c>
      <c r="BE356" s="22">
        <f>IFERROR(__xludf.DUMMYFUNCTION("""COMPUTED_VALUE"""),0.0)</f>
        <v>0</v>
      </c>
      <c r="BF356" s="22">
        <f>IFERROR(__xludf.DUMMYFUNCTION("""COMPUTED_VALUE"""),0.0)</f>
        <v>0</v>
      </c>
    </row>
    <row r="357">
      <c r="A357" s="27">
        <f>IFERROR(__xludf.DUMMYFUNCTION("""COMPUTED_VALUE"""),356.0)</f>
        <v>356</v>
      </c>
      <c r="B357" s="28" t="str">
        <f>IFERROR(__xludf.DUMMYFUNCTION("""COMPUTED_VALUE"""),"ZAIMAH LULU AZKIYAH")</f>
        <v>ZAIMAH LULU AZKIYAH</v>
      </c>
      <c r="C357" s="28">
        <f>IFERROR(__xludf.DUMMYFUNCTION("""COMPUTED_VALUE"""),2.02507021E9)</f>
        <v>2025070210</v>
      </c>
      <c r="D357" s="28" t="str">
        <f>IFERROR(__xludf.DUMMYFUNCTION("""COMPUTED_VALUE"""),"FATAHUL HUDA")</f>
        <v>FATAHUL HUDA</v>
      </c>
      <c r="E357" s="28" t="str">
        <f>IFERROR(__xludf.DUMMYFUNCTION("""COMPUTED_VALUE"""),"AISOFATUL HABIBAH")</f>
        <v>AISOFATUL HABIBAH</v>
      </c>
      <c r="F357" s="28" t="str">
        <f>IFERROR(__xludf.DUMMYFUNCTION("""COMPUTED_VALUE"""),"GOWAH POMAHANJANGGAN RT 003 RW 001 TURI LAMONGAN")</f>
        <v>GOWAH POMAHANJANGGAN RT 003 RW 001 TURI LAMONGAN</v>
      </c>
      <c r="G357" s="28" t="str">
        <f>IFERROR(__xludf.DUMMYFUNCTION("""COMPUTED_VALUE"""),"MA-XI.4")</f>
        <v>MA-XI.4</v>
      </c>
      <c r="H357" s="28" t="str">
        <f>IFERROR(__xludf.DUMMYFUNCTION("""COMPUTED_VALUE"""),"E")</f>
        <v>E</v>
      </c>
      <c r="I357" s="28" t="str">
        <f>IFERROR(__xludf.DUMMYFUNCTION("""COMPUTED_VALUE"""),"E-5")</f>
        <v>E-5</v>
      </c>
      <c r="J357" s="28">
        <f>IFERROR(__xludf.DUMMYFUNCTION("""COMPUTED_VALUE"""),2.0)</f>
        <v>2</v>
      </c>
      <c r="K357" s="28" t="str">
        <f>IFERROR(__xludf.DUMMYFUNCTION("""COMPUTED_VALUE"""),"2 WUSTHO B PUTRI")</f>
        <v>2 WUSTHO B PUTRI</v>
      </c>
      <c r="L357" s="29" t="str">
        <f>IFERROR(__xludf.DUMMYFUNCTION("""COMPUTED_VALUE"""),"6285812457269")</f>
        <v>6285812457269</v>
      </c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2">
        <f>IFERROR(__xludf.DUMMYFUNCTION("""COMPUTED_VALUE"""),500000.0)</f>
        <v>500000</v>
      </c>
      <c r="Z357" s="22">
        <f>IFERROR(__xludf.DUMMYFUNCTION("""COMPUTED_VALUE"""),500000.0)</f>
        <v>500000</v>
      </c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2">
        <f>IFERROR(__xludf.DUMMYFUNCTION("""COMPUTED_VALUE"""),1000000.0)</f>
        <v>1000000</v>
      </c>
      <c r="BD357" s="22">
        <f>IFERROR(__xludf.DUMMYFUNCTION("""COMPUTED_VALUE"""),0.0)</f>
        <v>0</v>
      </c>
      <c r="BE357" s="22">
        <f>IFERROR(__xludf.DUMMYFUNCTION("""COMPUTED_VALUE"""),0.0)</f>
        <v>0</v>
      </c>
      <c r="BF357" s="22">
        <f>IFERROR(__xludf.DUMMYFUNCTION("""COMPUTED_VALUE"""),1000000.0)</f>
        <v>1000000</v>
      </c>
    </row>
    <row r="358">
      <c r="A358" s="27">
        <f>IFERROR(__xludf.DUMMYFUNCTION("""COMPUTED_VALUE"""),357.0)</f>
        <v>357</v>
      </c>
      <c r="B358" s="28" t="str">
        <f>IFERROR(__xludf.DUMMYFUNCTION("""COMPUTED_VALUE"""),"AJENG `AINUS SHOFIA")</f>
        <v>AJENG `AINUS SHOFIA</v>
      </c>
      <c r="C358" s="28">
        <f>IFERROR(__xludf.DUMMYFUNCTION("""COMPUTED_VALUE"""),2.025070024E9)</f>
        <v>2025070024</v>
      </c>
      <c r="D358" s="28" t="str">
        <f>IFERROR(__xludf.DUMMYFUNCTION("""COMPUTED_VALUE"""),"KHOIRUL HUDA")</f>
        <v>KHOIRUL HUDA</v>
      </c>
      <c r="E358" s="28" t="str">
        <f>IFERROR(__xludf.DUMMYFUNCTION("""COMPUTED_VALUE"""),"TUTUS YUVANA")</f>
        <v>TUTUS YUVANA</v>
      </c>
      <c r="F358" s="28" t="str">
        <f>IFERROR(__xludf.DUMMYFUNCTION("""COMPUTED_VALUE"""),"GUMINING GUMININGREJO RT 003 RW 001 TIKUNG LAMONGAN")</f>
        <v>GUMINING GUMININGREJO RT 003 RW 001 TIKUNG LAMONGAN</v>
      </c>
      <c r="G358" s="28" t="str">
        <f>IFERROR(__xludf.DUMMYFUNCTION("""COMPUTED_VALUE"""),"MA-XI.5")</f>
        <v>MA-XI.5</v>
      </c>
      <c r="H358" s="28" t="str">
        <f>IFERROR(__xludf.DUMMYFUNCTION("""COMPUTED_VALUE"""),"E")</f>
        <v>E</v>
      </c>
      <c r="I358" s="28" t="str">
        <f>IFERROR(__xludf.DUMMYFUNCTION("""COMPUTED_VALUE"""),"E-6")</f>
        <v>E-6</v>
      </c>
      <c r="J358" s="28">
        <f>IFERROR(__xludf.DUMMYFUNCTION("""COMPUTED_VALUE"""),2.0)</f>
        <v>2</v>
      </c>
      <c r="K358" s="28" t="str">
        <f>IFERROR(__xludf.DUMMYFUNCTION("""COMPUTED_VALUE"""),"2 WUSTHO B PUTRI")</f>
        <v>2 WUSTHO B PUTRI</v>
      </c>
      <c r="L358" s="29" t="str">
        <f>IFERROR(__xludf.DUMMYFUNCTION("""COMPUTED_VALUE"""),"62816216569")</f>
        <v>62816216569</v>
      </c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2">
        <f>IFERROR(__xludf.DUMMYFUNCTION("""COMPUTED_VALUE"""),0.0)</f>
        <v>0</v>
      </c>
      <c r="BD358" s="22">
        <f>IFERROR(__xludf.DUMMYFUNCTION("""COMPUTED_VALUE"""),0.0)</f>
        <v>0</v>
      </c>
      <c r="BE358" s="22">
        <f>IFERROR(__xludf.DUMMYFUNCTION("""COMPUTED_VALUE"""),0.0)</f>
        <v>0</v>
      </c>
      <c r="BF358" s="22">
        <f>IFERROR(__xludf.DUMMYFUNCTION("""COMPUTED_VALUE"""),0.0)</f>
        <v>0</v>
      </c>
    </row>
    <row r="359">
      <c r="A359" s="27">
        <f>IFERROR(__xludf.DUMMYFUNCTION("""COMPUTED_VALUE"""),358.0)</f>
        <v>358</v>
      </c>
      <c r="B359" s="28" t="str">
        <f>IFERROR(__xludf.DUMMYFUNCTION("""COMPUTED_VALUE"""),"NI`MATUL JANNAH")</f>
        <v>NI`MATUL JANNAH</v>
      </c>
      <c r="C359" s="28">
        <f>IFERROR(__xludf.DUMMYFUNCTION("""COMPUTED_VALUE"""),2.025070199E9)</f>
        <v>2025070199</v>
      </c>
      <c r="D359" s="28" t="str">
        <f>IFERROR(__xludf.DUMMYFUNCTION("""COMPUTED_VALUE"""),"IMAM FAUZI")</f>
        <v>IMAM FAUZI</v>
      </c>
      <c r="E359" s="28" t="str">
        <f>IFERROR(__xludf.DUMMYFUNCTION("""COMPUTED_VALUE"""),"YUSROTIN")</f>
        <v>YUSROTIN</v>
      </c>
      <c r="F359" s="28" t="str">
        <f>IFERROR(__xludf.DUMMYFUNCTION("""COMPUTED_VALUE"""),"GEDONGKEDOAN RT 002 RW 001 DUKUN GRESIK")</f>
        <v>GEDONGKEDOAN RT 002 RW 001 DUKUN GRESIK</v>
      </c>
      <c r="G359" s="28" t="str">
        <f>IFERROR(__xludf.DUMMYFUNCTION("""COMPUTED_VALUE"""),"MA-XI.13")</f>
        <v>MA-XI.13</v>
      </c>
      <c r="H359" s="28" t="str">
        <f>IFERROR(__xludf.DUMMYFUNCTION("""COMPUTED_VALUE"""),"E")</f>
        <v>E</v>
      </c>
      <c r="I359" s="28" t="str">
        <f>IFERROR(__xludf.DUMMYFUNCTION("""COMPUTED_VALUE"""),"E-6")</f>
        <v>E-6</v>
      </c>
      <c r="J359" s="28">
        <f>IFERROR(__xludf.DUMMYFUNCTION("""COMPUTED_VALUE"""),2.0)</f>
        <v>2</v>
      </c>
      <c r="K359" s="28" t="str">
        <f>IFERROR(__xludf.DUMMYFUNCTION("""COMPUTED_VALUE"""),"2 MAK PUTRI")</f>
        <v>2 MAK PUTRI</v>
      </c>
      <c r="L359" s="29" t="str">
        <f>IFERROR(__xludf.DUMMYFUNCTION("""COMPUTED_VALUE"""),"6285606014252")</f>
        <v>6285606014252</v>
      </c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2">
        <f>IFERROR(__xludf.DUMMYFUNCTION("""COMPUTED_VALUE"""),0.0)</f>
        <v>0</v>
      </c>
      <c r="BD359" s="22">
        <f>IFERROR(__xludf.DUMMYFUNCTION("""COMPUTED_VALUE"""),0.0)</f>
        <v>0</v>
      </c>
      <c r="BE359" s="22">
        <f>IFERROR(__xludf.DUMMYFUNCTION("""COMPUTED_VALUE"""),0.0)</f>
        <v>0</v>
      </c>
      <c r="BF359" s="22">
        <f>IFERROR(__xludf.DUMMYFUNCTION("""COMPUTED_VALUE"""),0.0)</f>
        <v>0</v>
      </c>
    </row>
    <row r="360">
      <c r="A360" s="27">
        <f>IFERROR(__xludf.DUMMYFUNCTION("""COMPUTED_VALUE"""),359.0)</f>
        <v>359</v>
      </c>
      <c r="B360" s="28" t="str">
        <f>IFERROR(__xludf.DUMMYFUNCTION("""COMPUTED_VALUE"""),"ALILATUL BARIZA")</f>
        <v>ALILATUL BARIZA</v>
      </c>
      <c r="C360" s="28">
        <f>IFERROR(__xludf.DUMMYFUNCTION("""COMPUTED_VALUE"""),2.025090674E9)</f>
        <v>2025090674</v>
      </c>
      <c r="D360" s="28" t="str">
        <f>IFERROR(__xludf.DUMMYFUNCTION("""COMPUTED_VALUE"""),"MUSYAFI`IN")</f>
        <v>MUSYAFI`IN</v>
      </c>
      <c r="E360" s="28" t="str">
        <f>IFERROR(__xludf.DUMMYFUNCTION("""COMPUTED_VALUE"""),"UMI BAROROH")</f>
        <v>UMI BAROROH</v>
      </c>
      <c r="F360" s="28" t="str">
        <f>IFERROR(__xludf.DUMMYFUNCTION("""COMPUTED_VALUE"""),"CUMPLENG BRENGKOK RT 001 RW 012 BRONDONG LAMONGAN")</f>
        <v>CUMPLENG BRENGKOK RT 001 RW 012 BRONDONG LAMONGAN</v>
      </c>
      <c r="G360" s="28" t="str">
        <f>IFERROR(__xludf.DUMMYFUNCTION("""COMPUTED_VALUE"""),"MA-XI.1")</f>
        <v>MA-XI.1</v>
      </c>
      <c r="H360" s="28" t="str">
        <f>IFERROR(__xludf.DUMMYFUNCTION("""COMPUTED_VALUE"""),"C")</f>
        <v>C</v>
      </c>
      <c r="I360" s="28" t="str">
        <f>IFERROR(__xludf.DUMMYFUNCTION("""COMPUTED_VALUE"""),"C-1")</f>
        <v>C-1</v>
      </c>
      <c r="J360" s="28">
        <f>IFERROR(__xludf.DUMMYFUNCTION("""COMPUTED_VALUE"""),2.0)</f>
        <v>2</v>
      </c>
      <c r="K360" s="28" t="str">
        <f>IFERROR(__xludf.DUMMYFUNCTION("""COMPUTED_VALUE"""),"TAHFIDZ")</f>
        <v>TAHFIDZ</v>
      </c>
      <c r="L360" s="29" t="str">
        <f>IFERROR(__xludf.DUMMYFUNCTION("""COMPUTED_VALUE"""),"6285731864758")</f>
        <v>6285731864758</v>
      </c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2">
        <f>IFERROR(__xludf.DUMMYFUNCTION("""COMPUTED_VALUE"""),500000.0)</f>
        <v>500000</v>
      </c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2">
        <f>IFERROR(__xludf.DUMMYFUNCTION("""COMPUTED_VALUE"""),500000.0)</f>
        <v>500000</v>
      </c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2">
        <f>IFERROR(__xludf.DUMMYFUNCTION("""COMPUTED_VALUE"""),0.0)</f>
        <v>0</v>
      </c>
      <c r="BD360" s="22">
        <f>IFERROR(__xludf.DUMMYFUNCTION("""COMPUTED_VALUE"""),1000000.0)</f>
        <v>1000000</v>
      </c>
      <c r="BE360" s="22">
        <f>IFERROR(__xludf.DUMMYFUNCTION("""COMPUTED_VALUE"""),0.0)</f>
        <v>0</v>
      </c>
      <c r="BF360" s="22">
        <f>IFERROR(__xludf.DUMMYFUNCTION("""COMPUTED_VALUE"""),1000000.0)</f>
        <v>1000000</v>
      </c>
    </row>
    <row r="361">
      <c r="A361" s="27">
        <f>IFERROR(__xludf.DUMMYFUNCTION("""COMPUTED_VALUE"""),360.0)</f>
        <v>360</v>
      </c>
      <c r="B361" s="28" t="str">
        <f>IFERROR(__xludf.DUMMYFUNCTION("""COMPUTED_VALUE"""),"NAJWA DURROTUS TSANIA")</f>
        <v>NAJWA DURROTUS TSANIA</v>
      </c>
      <c r="C361" s="28">
        <f>IFERROR(__xludf.DUMMYFUNCTION("""COMPUTED_VALUE"""),2.025070277E9)</f>
        <v>2025070277</v>
      </c>
      <c r="D361" s="28" t="str">
        <f>IFERROR(__xludf.DUMMYFUNCTION("""COMPUTED_VALUE"""),"SUDARSONO")</f>
        <v>SUDARSONO</v>
      </c>
      <c r="E361" s="28" t="str">
        <f>IFERROR(__xludf.DUMMYFUNCTION("""COMPUTED_VALUE"""),"MUJAIYAH")</f>
        <v>MUJAIYAH</v>
      </c>
      <c r="F361" s="28" t="str">
        <f>IFERROR(__xludf.DUMMYFUNCTION("""COMPUTED_VALUE"""),"BADU BADURAME RT 001 RW 004 TURI LAMONGAN")</f>
        <v>BADU BADURAME RT 001 RW 004 TURI LAMONGAN</v>
      </c>
      <c r="G361" s="28" t="str">
        <f>IFERROR(__xludf.DUMMYFUNCTION("""COMPUTED_VALUE"""),"MA-XI.6")</f>
        <v>MA-XI.6</v>
      </c>
      <c r="H361" s="28" t="str">
        <f>IFERROR(__xludf.DUMMYFUNCTION("""COMPUTED_VALUE"""),"C")</f>
        <v>C</v>
      </c>
      <c r="I361" s="28" t="str">
        <f>IFERROR(__xludf.DUMMYFUNCTION("""COMPUTED_VALUE"""),"C-1")</f>
        <v>C-1</v>
      </c>
      <c r="J361" s="28">
        <f>IFERROR(__xludf.DUMMYFUNCTION("""COMPUTED_VALUE"""),2.0)</f>
        <v>2</v>
      </c>
      <c r="K361" s="28" t="str">
        <f>IFERROR(__xludf.DUMMYFUNCTION("""COMPUTED_VALUE"""),"2 WUSTHO B PUTRI")</f>
        <v>2 WUSTHO B PUTRI</v>
      </c>
      <c r="L361" s="29" t="str">
        <f>IFERROR(__xludf.DUMMYFUNCTION("""COMPUTED_VALUE"""),"6285546050558")</f>
        <v>6285546050558</v>
      </c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2">
        <f>IFERROR(__xludf.DUMMYFUNCTION("""COMPUTED_VALUE"""),0.0)</f>
        <v>0</v>
      </c>
      <c r="BD361" s="22">
        <f>IFERROR(__xludf.DUMMYFUNCTION("""COMPUTED_VALUE"""),0.0)</f>
        <v>0</v>
      </c>
      <c r="BE361" s="22">
        <f>IFERROR(__xludf.DUMMYFUNCTION("""COMPUTED_VALUE"""),0.0)</f>
        <v>0</v>
      </c>
      <c r="BF361" s="22">
        <f>IFERROR(__xludf.DUMMYFUNCTION("""COMPUTED_VALUE"""),0.0)</f>
        <v>0</v>
      </c>
    </row>
    <row r="362">
      <c r="A362" s="27">
        <f>IFERROR(__xludf.DUMMYFUNCTION("""COMPUTED_VALUE"""),361.0)</f>
        <v>361</v>
      </c>
      <c r="B362" s="28" t="str">
        <f>IFERROR(__xludf.DUMMYFUNCTION("""COMPUTED_VALUE"""),"MUHAMMAD JEFFRY JUNAIDI")</f>
        <v>MUHAMMAD JEFFRY JUNAIDI</v>
      </c>
      <c r="C362" s="28">
        <f>IFERROR(__xludf.DUMMYFUNCTION("""COMPUTED_VALUE"""),2.025100677E9)</f>
        <v>2025100677</v>
      </c>
      <c r="D362" s="28" t="str">
        <f>IFERROR(__xludf.DUMMYFUNCTION("""COMPUTED_VALUE"""),"KHOIRUL JUNAIDI")</f>
        <v>KHOIRUL JUNAIDI</v>
      </c>
      <c r="E362" s="28" t="str">
        <f>IFERROR(__xludf.DUMMYFUNCTION("""COMPUTED_VALUE"""),"MASRO ERNAWATI")</f>
        <v>MASRO ERNAWATI</v>
      </c>
      <c r="F362" s="28" t="str">
        <f>IFERROR(__xludf.DUMMYFUNCTION("""COMPUTED_VALUE"""),"JL. PANGLIMA SUDIRMAN 33 RT 003 RW 004 SIDOKUMPUL LAMONGAN")</f>
        <v>JL. PANGLIMA SUDIRMAN 33 RT 003 RW 004 SIDOKUMPUL LAMONGAN</v>
      </c>
      <c r="G362" s="28" t="str">
        <f>IFERROR(__xludf.DUMMYFUNCTION("""COMPUTED_VALUE"""),"MA-XI.13")</f>
        <v>MA-XI.13</v>
      </c>
      <c r="H362" s="28" t="str">
        <f>IFERROR(__xludf.DUMMYFUNCTION("""COMPUTED_VALUE"""),"A")</f>
        <v>A</v>
      </c>
      <c r="I362" s="28" t="str">
        <f>IFERROR(__xludf.DUMMYFUNCTION("""COMPUTED_VALUE"""),"A-1")</f>
        <v>A-1</v>
      </c>
      <c r="J362" s="28">
        <f>IFERROR(__xludf.DUMMYFUNCTION("""COMPUTED_VALUE"""),2.0)</f>
        <v>2</v>
      </c>
      <c r="K362" s="28" t="str">
        <f>IFERROR(__xludf.DUMMYFUNCTION("""COMPUTED_VALUE"""),"2 MAK PUTRA")</f>
        <v>2 MAK PUTRA</v>
      </c>
      <c r="L362" s="29" t="str">
        <f>IFERROR(__xludf.DUMMYFUNCTION("""COMPUTED_VALUE"""),"6285880120002")</f>
        <v>6285880120002</v>
      </c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2">
        <f>IFERROR(__xludf.DUMMYFUNCTION("""COMPUTED_VALUE"""),450000.0)</f>
        <v>450000</v>
      </c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2">
        <f>IFERROR(__xludf.DUMMYFUNCTION("""COMPUTED_VALUE"""),450000.0)</f>
        <v>450000</v>
      </c>
      <c r="BD362" s="22">
        <f>IFERROR(__xludf.DUMMYFUNCTION("""COMPUTED_VALUE"""),0.0)</f>
        <v>0</v>
      </c>
      <c r="BE362" s="22">
        <f>IFERROR(__xludf.DUMMYFUNCTION("""COMPUTED_VALUE"""),0.0)</f>
        <v>0</v>
      </c>
      <c r="BF362" s="22">
        <f>IFERROR(__xludf.DUMMYFUNCTION("""COMPUTED_VALUE"""),450000.0)</f>
        <v>450000</v>
      </c>
    </row>
    <row r="363">
      <c r="A363" s="27">
        <f>IFERROR(__xludf.DUMMYFUNCTION("""COMPUTED_VALUE"""),362.0)</f>
        <v>362</v>
      </c>
      <c r="B363" s="28" t="str">
        <f>IFERROR(__xludf.DUMMYFUNCTION("""COMPUTED_VALUE"""),"HURIN INHAYATUS SHOLIHAH")</f>
        <v>HURIN INHAYATUS SHOLIHAH</v>
      </c>
      <c r="C363" s="28">
        <f>IFERROR(__xludf.DUMMYFUNCTION("""COMPUTED_VALUE"""),2.025110682E9)</f>
        <v>2025110682</v>
      </c>
      <c r="D363" s="28" t="str">
        <f>IFERROR(__xludf.DUMMYFUNCTION("""COMPUTED_VALUE"""),"SHOLIHUL AMIN")</f>
        <v>SHOLIHUL AMIN</v>
      </c>
      <c r="E363" s="28" t="str">
        <f>IFERROR(__xludf.DUMMYFUNCTION("""COMPUTED_VALUE"""),"UMU FAROHAH")</f>
        <v>UMU FAROHAH</v>
      </c>
      <c r="F363" s="28" t="str">
        <f>IFERROR(__xludf.DUMMYFUNCTION("""COMPUTED_VALUE"""),"TENGGULUN RT 001 RW 001 SOLOKURO LAMONGAN")</f>
        <v>TENGGULUN RT 001 RW 001 SOLOKURO LAMONGAN</v>
      </c>
      <c r="G363" s="28" t="str">
        <f>IFERROR(__xludf.DUMMYFUNCTION("""COMPUTED_VALUE"""),"MA-XI.11")</f>
        <v>MA-XI.11</v>
      </c>
      <c r="H363" s="28" t="str">
        <f>IFERROR(__xludf.DUMMYFUNCTION("""COMPUTED_VALUE"""),"B")</f>
        <v>B</v>
      </c>
      <c r="I363" s="28" t="str">
        <f>IFERROR(__xludf.DUMMYFUNCTION("""COMPUTED_VALUE"""),"B-1")</f>
        <v>B-1</v>
      </c>
      <c r="J363" s="28">
        <f>IFERROR(__xludf.DUMMYFUNCTION("""COMPUTED_VALUE"""),2.0)</f>
        <v>2</v>
      </c>
      <c r="K363" s="28" t="str">
        <f>IFERROR(__xludf.DUMMYFUNCTION("""COMPUTED_VALUE"""),"2 WUSTHO C PUTRI")</f>
        <v>2 WUSTHO C PUTRI</v>
      </c>
      <c r="L363" s="29" t="str">
        <f>IFERROR(__xludf.DUMMYFUNCTION("""COMPUTED_VALUE"""),"6285856480046")</f>
        <v>6285856480046</v>
      </c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2">
        <f>IFERROR(__xludf.DUMMYFUNCTION("""COMPUTED_VALUE"""),0.0)</f>
        <v>0</v>
      </c>
      <c r="BD363" s="22">
        <f>IFERROR(__xludf.DUMMYFUNCTION("""COMPUTED_VALUE"""),0.0)</f>
        <v>0</v>
      </c>
      <c r="BE363" s="22">
        <f>IFERROR(__xludf.DUMMYFUNCTION("""COMPUTED_VALUE"""),0.0)</f>
        <v>0</v>
      </c>
      <c r="BF363" s="22">
        <f>IFERROR(__xludf.DUMMYFUNCTION("""COMPUTED_VALUE"""),0.0)</f>
        <v>0</v>
      </c>
    </row>
    <row r="364">
      <c r="A364" s="27">
        <f>IFERROR(__xludf.DUMMYFUNCTION("""COMPUTED_VALUE"""),363.0)</f>
        <v>363</v>
      </c>
      <c r="B364" s="28" t="str">
        <f>IFERROR(__xludf.DUMMYFUNCTION("""COMPUTED_VALUE"""),"JAZILATUN NURUN NABILA")</f>
        <v>JAZILATUN NURUN NABILA</v>
      </c>
      <c r="C364" s="28">
        <f>IFERROR(__xludf.DUMMYFUNCTION("""COMPUTED_VALUE"""),2.025110683E9)</f>
        <v>2025110683</v>
      </c>
      <c r="D364" s="28" t="str">
        <f>IFERROR(__xludf.DUMMYFUNCTION("""COMPUTED_VALUE"""),"MUKHAMAD GUNAWAN")</f>
        <v>MUKHAMAD GUNAWAN</v>
      </c>
      <c r="E364" s="28" t="str">
        <f>IFERROR(__xludf.DUMMYFUNCTION("""COMPUTED_VALUE"""),"NINIM LATHIFAH")</f>
        <v>NINIM LATHIFAH</v>
      </c>
      <c r="F364" s="28" t="str">
        <f>IFERROR(__xludf.DUMMYFUNCTION("""COMPUTED_VALUE"""),"BESUR RT 005 RW 002 SEKARAN LAMONGAN")</f>
        <v>BESUR RT 005 RW 002 SEKARAN LAMONGAN</v>
      </c>
      <c r="G364" s="28" t="str">
        <f>IFERROR(__xludf.DUMMYFUNCTION("""COMPUTED_VALUE"""),"#N/A")</f>
        <v>#N/A</v>
      </c>
      <c r="H364" s="28" t="str">
        <f>IFERROR(__xludf.DUMMYFUNCTION("""COMPUTED_VALUE"""),"C")</f>
        <v>C</v>
      </c>
      <c r="I364" s="28" t="str">
        <f>IFERROR(__xludf.DUMMYFUNCTION("""COMPUTED_VALUE"""),"C-1")</f>
        <v>C-1</v>
      </c>
      <c r="J364" s="28">
        <f>IFERROR(__xludf.DUMMYFUNCTION("""COMPUTED_VALUE"""),2.0)</f>
        <v>2</v>
      </c>
      <c r="K364" s="28" t="str">
        <f>IFERROR(__xludf.DUMMYFUNCTION("""COMPUTED_VALUE"""),"2 ULA A PUTRI")</f>
        <v>2 ULA A PUTRI</v>
      </c>
      <c r="L364" s="29" t="str">
        <f>IFERROR(__xludf.DUMMYFUNCTION("""COMPUTED_VALUE"""),"6285746584003")</f>
        <v>6285746584003</v>
      </c>
      <c r="M364" s="28"/>
      <c r="N364" s="28"/>
      <c r="O364" s="28"/>
      <c r="P364" s="28"/>
      <c r="Q364" s="28"/>
      <c r="R364" s="28"/>
      <c r="S364" s="28"/>
      <c r="T364" s="28"/>
      <c r="U364" s="22">
        <f>IFERROR(__xludf.DUMMYFUNCTION("""COMPUTED_VALUE"""),450000.0)</f>
        <v>450000</v>
      </c>
      <c r="V364" s="22">
        <f>IFERROR(__xludf.DUMMYFUNCTION("""COMPUTED_VALUE"""),450000.0)</f>
        <v>450000</v>
      </c>
      <c r="W364" s="22">
        <f>IFERROR(__xludf.DUMMYFUNCTION("""COMPUTED_VALUE"""),450000.0)</f>
        <v>450000</v>
      </c>
      <c r="X364" s="22">
        <f>IFERROR(__xludf.DUMMYFUNCTION("""COMPUTED_VALUE"""),450000.0)</f>
        <v>450000</v>
      </c>
      <c r="Y364" s="22">
        <f>IFERROR(__xludf.DUMMYFUNCTION("""COMPUTED_VALUE"""),450000.0)</f>
        <v>450000</v>
      </c>
      <c r="Z364" s="22">
        <f>IFERROR(__xludf.DUMMYFUNCTION("""COMPUTED_VALUE"""),450000.0)</f>
        <v>450000</v>
      </c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2">
        <f>IFERROR(__xludf.DUMMYFUNCTION("""COMPUTED_VALUE"""),2700000.0)</f>
        <v>2700000</v>
      </c>
      <c r="BD364" s="22">
        <f>IFERROR(__xludf.DUMMYFUNCTION("""COMPUTED_VALUE"""),0.0)</f>
        <v>0</v>
      </c>
      <c r="BE364" s="22">
        <f>IFERROR(__xludf.DUMMYFUNCTION("""COMPUTED_VALUE"""),0.0)</f>
        <v>0</v>
      </c>
      <c r="BF364" s="22">
        <f>IFERROR(__xludf.DUMMYFUNCTION("""COMPUTED_VALUE"""),2700000.0)</f>
        <v>2700000</v>
      </c>
    </row>
    <row r="365">
      <c r="A365" s="27">
        <f>IFERROR(__xludf.DUMMYFUNCTION("""COMPUTED_VALUE"""),364.0)</f>
        <v>364</v>
      </c>
      <c r="B365" s="28" t="str">
        <f>IFERROR(__xludf.DUMMYFUNCTION("""COMPUTED_VALUE"""),"REVALINA AZZAHRA")</f>
        <v>REVALINA AZZAHRA</v>
      </c>
      <c r="C365" s="28">
        <f>IFERROR(__xludf.DUMMYFUNCTION("""COMPUTED_VALUE"""),2.026010001E9)</f>
        <v>2026010001</v>
      </c>
      <c r="D365" s="28"/>
      <c r="E365" s="28"/>
      <c r="F365" s="28"/>
      <c r="G365" s="28" t="str">
        <f>IFERROR(__xludf.DUMMYFUNCTION("""COMPUTED_VALUE"""),"MA-XI.11")</f>
        <v>MA-XI.11</v>
      </c>
      <c r="H365" s="28" t="str">
        <f>IFERROR(__xludf.DUMMYFUNCTION("""COMPUTED_VALUE"""),"B")</f>
        <v>B</v>
      </c>
      <c r="I365" s="28" t="str">
        <f>IFERROR(__xludf.DUMMYFUNCTION("""COMPUTED_VALUE"""),"B-1")</f>
        <v>B-1</v>
      </c>
      <c r="J365" s="28">
        <f>IFERROR(__xludf.DUMMYFUNCTION("""COMPUTED_VALUE"""),2.0)</f>
        <v>2</v>
      </c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2">
        <f>IFERROR(__xludf.DUMMYFUNCTION("""COMPUTED_VALUE"""),450000.0)</f>
        <v>450000</v>
      </c>
      <c r="X365" s="22">
        <f>IFERROR(__xludf.DUMMYFUNCTION("""COMPUTED_VALUE"""),450000.0)</f>
        <v>450000</v>
      </c>
      <c r="Y365" s="22">
        <f>IFERROR(__xludf.DUMMYFUNCTION("""COMPUTED_VALUE"""),450000.0)</f>
        <v>450000</v>
      </c>
      <c r="Z365" s="22">
        <f>IFERROR(__xludf.DUMMYFUNCTION("""COMPUTED_VALUE"""),450000.0)</f>
        <v>450000</v>
      </c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2">
        <f>IFERROR(__xludf.DUMMYFUNCTION("""COMPUTED_VALUE"""),1800000.0)</f>
        <v>1800000</v>
      </c>
      <c r="BD365" s="22">
        <f>IFERROR(__xludf.DUMMYFUNCTION("""COMPUTED_VALUE"""),0.0)</f>
        <v>0</v>
      </c>
      <c r="BE365" s="22">
        <f>IFERROR(__xludf.DUMMYFUNCTION("""COMPUTED_VALUE"""),0.0)</f>
        <v>0</v>
      </c>
      <c r="BF365" s="22">
        <f>IFERROR(__xludf.DUMMYFUNCTION("""COMPUTED_VALUE"""),1800000.0)</f>
        <v>1800000</v>
      </c>
    </row>
    <row r="366">
      <c r="A366" s="27">
        <f>IFERROR(__xludf.DUMMYFUNCTION("""COMPUTED_VALUE"""),365.0)</f>
        <v>365</v>
      </c>
      <c r="B366" s="28" t="str">
        <f>IFERROR(__xludf.DUMMYFUNCTION("""COMPUTED_VALUE"""),"HONEST MAHFUDZOH")</f>
        <v>HONEST MAHFUDZOH</v>
      </c>
      <c r="C366" s="28">
        <f>IFERROR(__xludf.DUMMYFUNCTION("""COMPUTED_VALUE"""),2.026010002E9)</f>
        <v>2026010002</v>
      </c>
      <c r="D366" s="28"/>
      <c r="E366" s="28"/>
      <c r="F366" s="28"/>
      <c r="G366" s="28" t="str">
        <f>IFERROR(__xludf.DUMMYFUNCTION("""COMPUTED_VALUE"""),"MA-XI.11")</f>
        <v>MA-XI.11</v>
      </c>
      <c r="H366" s="28" t="str">
        <f>IFERROR(__xludf.DUMMYFUNCTION("""COMPUTED_VALUE"""),"C")</f>
        <v>C</v>
      </c>
      <c r="I366" s="28" t="str">
        <f>IFERROR(__xludf.DUMMYFUNCTION("""COMPUTED_VALUE"""),"C-1")</f>
        <v>C-1</v>
      </c>
      <c r="J366" s="28">
        <f>IFERROR(__xludf.DUMMYFUNCTION("""COMPUTED_VALUE"""),2.0)</f>
        <v>2</v>
      </c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2">
        <f>IFERROR(__xludf.DUMMYFUNCTION("""COMPUTED_VALUE"""),0.0)</f>
        <v>0</v>
      </c>
      <c r="BD366" s="22">
        <f>IFERROR(__xludf.DUMMYFUNCTION("""COMPUTED_VALUE"""),0.0)</f>
        <v>0</v>
      </c>
      <c r="BE366" s="22">
        <f>IFERROR(__xludf.DUMMYFUNCTION("""COMPUTED_VALUE"""),0.0)</f>
        <v>0</v>
      </c>
      <c r="BF366" s="22">
        <f>IFERROR(__xludf.DUMMYFUNCTION("""COMPUTED_VALUE"""),0.0)</f>
        <v>0</v>
      </c>
    </row>
    <row r="367">
      <c r="A367" s="27" t="str">
        <f>IFERROR(__xludf.DUMMYFUNCTION("""COMPUTED_VALUE"""),"")</f>
        <v/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</row>
    <row r="368">
      <c r="A368" s="27" t="str">
        <f>IFERROR(__xludf.DUMMYFUNCTION("""COMPUTED_VALUE"""),"")</f>
        <v/>
      </c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</row>
    <row r="369">
      <c r="A369" s="27" t="str">
        <f>IFERROR(__xludf.DUMMYFUNCTION("""COMPUTED_VALUE"""),"")</f>
        <v/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</row>
    <row r="370">
      <c r="A370" s="27" t="str">
        <f>IFERROR(__xludf.DUMMYFUNCTION("""COMPUTED_VALUE"""),"")</f>
        <v/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</row>
    <row r="371">
      <c r="A371" s="27" t="str">
        <f>IFERROR(__xludf.DUMMYFUNCTION("""COMPUTED_VALUE"""),"")</f>
        <v/>
      </c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</row>
    <row r="372">
      <c r="A372" s="27" t="str">
        <f>IFERROR(__xludf.DUMMYFUNCTION("""COMPUTED_VALUE"""),"")</f>
        <v/>
      </c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</row>
    <row r="373">
      <c r="A373" s="27" t="str">
        <f>IFERROR(__xludf.DUMMYFUNCTION("""COMPUTED_VALUE"""),"")</f>
        <v/>
      </c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</row>
    <row r="374">
      <c r="A374" s="27" t="str">
        <f>IFERROR(__xludf.DUMMYFUNCTION("""COMPUTED_VALUE"""),"")</f>
        <v/>
      </c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</row>
    <row r="375">
      <c r="A375" s="27" t="str">
        <f>IFERROR(__xludf.DUMMYFUNCTION("""COMPUTED_VALUE"""),"")</f>
        <v/>
      </c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</row>
    <row r="376">
      <c r="A376" s="27" t="str">
        <f>IFERROR(__xludf.DUMMYFUNCTION("""COMPUTED_VALUE"""),"")</f>
        <v/>
      </c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</row>
    <row r="377">
      <c r="A377" s="27" t="str">
        <f>IFERROR(__xludf.DUMMYFUNCTION("""COMPUTED_VALUE"""),"")</f>
        <v/>
      </c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</row>
    <row r="378">
      <c r="A378" s="27" t="str">
        <f>IFERROR(__xludf.DUMMYFUNCTION("""COMPUTED_VALUE"""),"")</f>
        <v/>
      </c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</row>
    <row r="379">
      <c r="A379" s="27" t="str">
        <f>IFERROR(__xludf.DUMMYFUNCTION("""COMPUTED_VALUE"""),"")</f>
        <v/>
      </c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</row>
    <row r="380">
      <c r="A380" s="27" t="str">
        <f>IFERROR(__xludf.DUMMYFUNCTION("""COMPUTED_VALUE"""),"")</f>
        <v/>
      </c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</row>
    <row r="381">
      <c r="A381" s="27" t="str">
        <f>IFERROR(__xludf.DUMMYFUNCTION("""COMPUTED_VALUE"""),"")</f>
        <v/>
      </c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</row>
    <row r="382">
      <c r="A382" s="27" t="str">
        <f>IFERROR(__xludf.DUMMYFUNCTION("""COMPUTED_VALUE"""),"")</f>
        <v/>
      </c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</row>
    <row r="383">
      <c r="A383" s="27" t="str">
        <f>IFERROR(__xludf.DUMMYFUNCTION("""COMPUTED_VALUE"""),"")</f>
        <v/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</row>
    <row r="384">
      <c r="A384" s="27" t="str">
        <f>IFERROR(__xludf.DUMMYFUNCTION("""COMPUTED_VALUE"""),"")</f>
        <v/>
      </c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</row>
    <row r="385">
      <c r="A385" s="27" t="str">
        <f>IFERROR(__xludf.DUMMYFUNCTION("""COMPUTED_VALUE"""),"")</f>
        <v/>
      </c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</row>
    <row r="386">
      <c r="A386" s="27" t="str">
        <f>IFERROR(__xludf.DUMMYFUNCTION("""COMPUTED_VALUE"""),"")</f>
        <v/>
      </c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</row>
    <row r="387">
      <c r="A387" s="27" t="str">
        <f>IFERROR(__xludf.DUMMYFUNCTION("""COMPUTED_VALUE"""),"")</f>
        <v/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</row>
    <row r="388">
      <c r="A388" s="27" t="str">
        <f>IFERROR(__xludf.DUMMYFUNCTION("""COMPUTED_VALUE"""),"")</f>
        <v/>
      </c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</row>
    <row r="389">
      <c r="A389" s="27" t="str">
        <f>IFERROR(__xludf.DUMMYFUNCTION("""COMPUTED_VALUE"""),"")</f>
        <v/>
      </c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</row>
    <row r="390">
      <c r="A390" s="27" t="str">
        <f>IFERROR(__xludf.DUMMYFUNCTION("""COMPUTED_VALUE"""),"")</f>
        <v/>
      </c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</row>
    <row r="391">
      <c r="A391" s="27" t="str">
        <f>IFERROR(__xludf.DUMMYFUNCTION("""COMPUTED_VALUE"""),"")</f>
        <v/>
      </c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</row>
    <row r="392">
      <c r="A392" s="27" t="str">
        <f>IFERROR(__xludf.DUMMYFUNCTION("""COMPUTED_VALUE"""),"")</f>
        <v/>
      </c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</row>
    <row r="393">
      <c r="A393" s="27" t="str">
        <f>IFERROR(__xludf.DUMMYFUNCTION("""COMPUTED_VALUE"""),"")</f>
        <v/>
      </c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</row>
    <row r="394">
      <c r="A394" s="27" t="str">
        <f>IFERROR(__xludf.DUMMYFUNCTION("""COMPUTED_VALUE"""),"")</f>
        <v/>
      </c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</row>
    <row r="395">
      <c r="A395" s="27" t="str">
        <f>IFERROR(__xludf.DUMMYFUNCTION("""COMPUTED_VALUE"""),"")</f>
        <v/>
      </c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</row>
    <row r="396">
      <c r="A396" s="27" t="str">
        <f>IFERROR(__xludf.DUMMYFUNCTION("""COMPUTED_VALUE"""),"")</f>
        <v/>
      </c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</row>
    <row r="397">
      <c r="A397" s="27" t="str">
        <f>IFERROR(__xludf.DUMMYFUNCTION("""COMPUTED_VALUE"""),"")</f>
        <v/>
      </c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</row>
    <row r="398">
      <c r="A398" s="27" t="str">
        <f>IFERROR(__xludf.DUMMYFUNCTION("""COMPUTED_VALUE"""),"")</f>
        <v/>
      </c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</row>
    <row r="399">
      <c r="A399" s="27" t="str">
        <f>IFERROR(__xludf.DUMMYFUNCTION("""COMPUTED_VALUE"""),"")</f>
        <v/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</row>
    <row r="400">
      <c r="A400" s="27" t="str">
        <f>IFERROR(__xludf.DUMMYFUNCTION("""COMPUTED_VALUE"""),"")</f>
        <v/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</row>
    <row r="401">
      <c r="A401" s="27" t="str">
        <f>IFERROR(__xludf.DUMMYFUNCTION("""COMPUTED_VALUE"""),"")</f>
        <v/>
      </c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</row>
    <row r="402">
      <c r="A402" s="27" t="str">
        <f>IFERROR(__xludf.DUMMYFUNCTION("""COMPUTED_VALUE"""),"")</f>
        <v/>
      </c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</row>
    <row r="403">
      <c r="A403" s="27" t="str">
        <f>IFERROR(__xludf.DUMMYFUNCTION("""COMPUTED_VALUE"""),"")</f>
        <v/>
      </c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</row>
    <row r="404">
      <c r="A404" s="27" t="str">
        <f>IFERROR(__xludf.DUMMYFUNCTION("""COMPUTED_VALUE"""),"")</f>
        <v/>
      </c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</row>
    <row r="405">
      <c r="A405" s="27" t="str">
        <f>IFERROR(__xludf.DUMMYFUNCTION("""COMPUTED_VALUE"""),"")</f>
        <v/>
      </c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</row>
    <row r="406">
      <c r="A406" s="27" t="str">
        <f>IFERROR(__xludf.DUMMYFUNCTION("""COMPUTED_VALUE"""),"")</f>
        <v/>
      </c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</row>
    <row r="407">
      <c r="A407" s="27" t="str">
        <f>IFERROR(__xludf.DUMMYFUNCTION("""COMPUTED_VALUE"""),"")</f>
        <v/>
      </c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</row>
    <row r="408">
      <c r="A408" s="27" t="str">
        <f>IFERROR(__xludf.DUMMYFUNCTION("""COMPUTED_VALUE"""),"")</f>
        <v/>
      </c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</row>
    <row r="409">
      <c r="A409" s="27" t="str">
        <f>IFERROR(__xludf.DUMMYFUNCTION("""COMPUTED_VALUE"""),"")</f>
        <v/>
      </c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</row>
    <row r="410">
      <c r="A410" s="27" t="str">
        <f>IFERROR(__xludf.DUMMYFUNCTION("""COMPUTED_VALUE"""),"")</f>
        <v/>
      </c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</row>
    <row r="411">
      <c r="A411" s="27" t="str">
        <f>IFERROR(__xludf.DUMMYFUNCTION("""COMPUTED_VALUE"""),"")</f>
        <v/>
      </c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</row>
    <row r="412">
      <c r="A412" s="27" t="str">
        <f>IFERROR(__xludf.DUMMYFUNCTION("""COMPUTED_VALUE"""),"")</f>
        <v/>
      </c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</row>
    <row r="413">
      <c r="A413" s="27" t="str">
        <f>IFERROR(__xludf.DUMMYFUNCTION("""COMPUTED_VALUE"""),"")</f>
        <v/>
      </c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</row>
    <row r="414">
      <c r="A414" s="27" t="str">
        <f>IFERROR(__xludf.DUMMYFUNCTION("""COMPUTED_VALUE"""),"")</f>
        <v/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</row>
    <row r="415">
      <c r="A415" s="27" t="str">
        <f>IFERROR(__xludf.DUMMYFUNCTION("""COMPUTED_VALUE"""),"")</f>
        <v/>
      </c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</row>
    <row r="416">
      <c r="A416" s="27" t="str">
        <f>IFERROR(__xludf.DUMMYFUNCTION("""COMPUTED_VALUE"""),"")</f>
        <v/>
      </c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</row>
    <row r="417">
      <c r="A417" s="27" t="str">
        <f>IFERROR(__xludf.DUMMYFUNCTION("""COMPUTED_VALUE"""),"")</f>
        <v/>
      </c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</row>
    <row r="418">
      <c r="A418" s="27" t="str">
        <f>IFERROR(__xludf.DUMMYFUNCTION("""COMPUTED_VALUE"""),"")</f>
        <v/>
      </c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</row>
    <row r="419">
      <c r="A419" s="27" t="str">
        <f>IFERROR(__xludf.DUMMYFUNCTION("""COMPUTED_VALUE"""),"")</f>
        <v/>
      </c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</row>
    <row r="420">
      <c r="A420" s="27" t="str">
        <f>IFERROR(__xludf.DUMMYFUNCTION("""COMPUTED_VALUE"""),"")</f>
        <v/>
      </c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</row>
    <row r="421">
      <c r="A421" s="27" t="str">
        <f>IFERROR(__xludf.DUMMYFUNCTION("""COMPUTED_VALUE"""),"")</f>
        <v/>
      </c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</row>
    <row r="422">
      <c r="A422" s="27" t="str">
        <f>IFERROR(__xludf.DUMMYFUNCTION("""COMPUTED_VALUE"""),"")</f>
        <v/>
      </c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</row>
    <row r="423">
      <c r="A423" s="27" t="str">
        <f>IFERROR(__xludf.DUMMYFUNCTION("""COMPUTED_VALUE"""),"")</f>
        <v/>
      </c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</row>
    <row r="424">
      <c r="A424" s="27" t="str">
        <f>IFERROR(__xludf.DUMMYFUNCTION("""COMPUTED_VALUE"""),"")</f>
        <v/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</row>
    <row r="425">
      <c r="A425" s="27" t="str">
        <f>IFERROR(__xludf.DUMMYFUNCTION("""COMPUTED_VALUE"""),"")</f>
        <v/>
      </c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</row>
    <row r="426">
      <c r="A426" s="27" t="str">
        <f>IFERROR(__xludf.DUMMYFUNCTION("""COMPUTED_VALUE"""),"")</f>
        <v/>
      </c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</row>
    <row r="427">
      <c r="A427" s="27" t="str">
        <f>IFERROR(__xludf.DUMMYFUNCTION("""COMPUTED_VALUE"""),"")</f>
        <v/>
      </c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</row>
    <row r="428">
      <c r="A428" s="27" t="str">
        <f>IFERROR(__xludf.DUMMYFUNCTION("""COMPUTED_VALUE"""),"")</f>
        <v/>
      </c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</row>
    <row r="429">
      <c r="A429" s="27" t="str">
        <f>IFERROR(__xludf.DUMMYFUNCTION("""COMPUTED_VALUE"""),"")</f>
        <v/>
      </c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</row>
    <row r="430">
      <c r="A430" s="27" t="str">
        <f>IFERROR(__xludf.DUMMYFUNCTION("""COMPUTED_VALUE"""),"")</f>
        <v/>
      </c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</row>
    <row r="431">
      <c r="A431" s="27" t="str">
        <f>IFERROR(__xludf.DUMMYFUNCTION("""COMPUTED_VALUE"""),"")</f>
        <v/>
      </c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</row>
    <row r="432">
      <c r="A432" s="27" t="str">
        <f>IFERROR(__xludf.DUMMYFUNCTION("""COMPUTED_VALUE"""),"")</f>
        <v/>
      </c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</row>
    <row r="433">
      <c r="A433" s="27" t="str">
        <f>IFERROR(__xludf.DUMMYFUNCTION("""COMPUTED_VALUE"""),"")</f>
        <v/>
      </c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</row>
    <row r="434">
      <c r="A434" s="27" t="str">
        <f>IFERROR(__xludf.DUMMYFUNCTION("""COMPUTED_VALUE"""),"")</f>
        <v/>
      </c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</row>
    <row r="435">
      <c r="A435" s="27" t="str">
        <f>IFERROR(__xludf.DUMMYFUNCTION("""COMPUTED_VALUE"""),"")</f>
        <v/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</row>
    <row r="436">
      <c r="A436" s="27" t="str">
        <f>IFERROR(__xludf.DUMMYFUNCTION("""COMPUTED_VALUE"""),"")</f>
        <v/>
      </c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</row>
    <row r="437">
      <c r="A437" s="27" t="str">
        <f>IFERROR(__xludf.DUMMYFUNCTION("""COMPUTED_VALUE"""),"")</f>
        <v/>
      </c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</row>
    <row r="438">
      <c r="A438" s="27" t="str">
        <f>IFERROR(__xludf.DUMMYFUNCTION("""COMPUTED_VALUE"""),"")</f>
        <v/>
      </c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</row>
    <row r="439">
      <c r="A439" s="27" t="str">
        <f>IFERROR(__xludf.DUMMYFUNCTION("""COMPUTED_VALUE"""),"")</f>
        <v/>
      </c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</row>
    <row r="440">
      <c r="A440" s="27" t="str">
        <f>IFERROR(__xludf.DUMMYFUNCTION("""COMPUTED_VALUE"""),"")</f>
        <v/>
      </c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</row>
    <row r="441">
      <c r="A441" s="27" t="str">
        <f>IFERROR(__xludf.DUMMYFUNCTION("""COMPUTED_VALUE"""),"")</f>
        <v/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</row>
    <row r="442">
      <c r="A442" s="27" t="str">
        <f>IFERROR(__xludf.DUMMYFUNCTION("""COMPUTED_VALUE"""),"")</f>
        <v/>
      </c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</row>
    <row r="443">
      <c r="A443" s="27" t="str">
        <f>IFERROR(__xludf.DUMMYFUNCTION("""COMPUTED_VALUE"""),"")</f>
        <v/>
      </c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</row>
    <row r="444">
      <c r="A444" s="27" t="str">
        <f>IFERROR(__xludf.DUMMYFUNCTION("""COMPUTED_VALUE"""),"")</f>
        <v/>
      </c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</row>
    <row r="445">
      <c r="A445" s="27" t="str">
        <f>IFERROR(__xludf.DUMMYFUNCTION("""COMPUTED_VALUE"""),"")</f>
        <v/>
      </c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</row>
    <row r="446">
      <c r="A446" s="27" t="str">
        <f>IFERROR(__xludf.DUMMYFUNCTION("""COMPUTED_VALUE"""),"")</f>
        <v/>
      </c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</row>
    <row r="447">
      <c r="A447" s="27" t="str">
        <f>IFERROR(__xludf.DUMMYFUNCTION("""COMPUTED_VALUE"""),"")</f>
        <v/>
      </c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</row>
    <row r="448">
      <c r="A448" s="27" t="str">
        <f>IFERROR(__xludf.DUMMYFUNCTION("""COMPUTED_VALUE"""),"")</f>
        <v/>
      </c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</row>
    <row r="449">
      <c r="A449" s="27" t="str">
        <f>IFERROR(__xludf.DUMMYFUNCTION("""COMPUTED_VALUE"""),"")</f>
        <v/>
      </c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</row>
    <row r="450">
      <c r="A450" s="27" t="str">
        <f>IFERROR(__xludf.DUMMYFUNCTION("""COMPUTED_VALUE"""),"")</f>
        <v/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</row>
    <row r="451">
      <c r="A451" s="27" t="str">
        <f>IFERROR(__xludf.DUMMYFUNCTION("""COMPUTED_VALUE"""),"")</f>
        <v/>
      </c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</row>
    <row r="452">
      <c r="A452" s="27" t="str">
        <f>IFERROR(__xludf.DUMMYFUNCTION("""COMPUTED_VALUE"""),"")</f>
        <v/>
      </c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</row>
    <row r="453">
      <c r="A453" s="27" t="str">
        <f>IFERROR(__xludf.DUMMYFUNCTION("""COMPUTED_VALUE"""),"")</f>
        <v/>
      </c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</row>
    <row r="454">
      <c r="A454" s="27" t="str">
        <f>IFERROR(__xludf.DUMMYFUNCTION("""COMPUTED_VALUE"""),"")</f>
        <v/>
      </c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</row>
    <row r="455">
      <c r="A455" s="27" t="str">
        <f>IFERROR(__xludf.DUMMYFUNCTION("""COMPUTED_VALUE"""),"")</f>
        <v/>
      </c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</row>
    <row r="456">
      <c r="A456" s="27" t="str">
        <f>IFERROR(__xludf.DUMMYFUNCTION("""COMPUTED_VALUE"""),"")</f>
        <v/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</row>
    <row r="457">
      <c r="A457" s="27" t="str">
        <f>IFERROR(__xludf.DUMMYFUNCTION("""COMPUTED_VALUE"""),"")</f>
        <v/>
      </c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</row>
    <row r="458">
      <c r="A458" s="27" t="str">
        <f>IFERROR(__xludf.DUMMYFUNCTION("""COMPUTED_VALUE"""),"")</f>
        <v/>
      </c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</row>
    <row r="459">
      <c r="A459" s="27" t="str">
        <f>IFERROR(__xludf.DUMMYFUNCTION("""COMPUTED_VALUE"""),"")</f>
        <v/>
      </c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</row>
    <row r="460">
      <c r="A460" s="27" t="str">
        <f>IFERROR(__xludf.DUMMYFUNCTION("""COMPUTED_VALUE"""),"")</f>
        <v/>
      </c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</row>
    <row r="461">
      <c r="A461" s="27" t="str">
        <f>IFERROR(__xludf.DUMMYFUNCTION("""COMPUTED_VALUE"""),"")</f>
        <v/>
      </c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</row>
    <row r="462">
      <c r="A462" s="27" t="str">
        <f>IFERROR(__xludf.DUMMYFUNCTION("""COMPUTED_VALUE"""),"")</f>
        <v/>
      </c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</row>
    <row r="463">
      <c r="A463" s="27" t="str">
        <f>IFERROR(__xludf.DUMMYFUNCTION("""COMPUTED_VALUE"""),"")</f>
        <v/>
      </c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</row>
    <row r="464">
      <c r="A464" s="27" t="str">
        <f>IFERROR(__xludf.DUMMYFUNCTION("""COMPUTED_VALUE"""),"")</f>
        <v/>
      </c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</row>
    <row r="465">
      <c r="A465" s="27" t="str">
        <f>IFERROR(__xludf.DUMMYFUNCTION("""COMPUTED_VALUE"""),"")</f>
        <v/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</row>
    <row r="466">
      <c r="A466" s="27" t="str">
        <f>IFERROR(__xludf.DUMMYFUNCTION("""COMPUTED_VALUE"""),"")</f>
        <v/>
      </c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</row>
    <row r="467">
      <c r="A467" s="27" t="str">
        <f>IFERROR(__xludf.DUMMYFUNCTION("""COMPUTED_VALUE"""),"")</f>
        <v/>
      </c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</row>
    <row r="468">
      <c r="A468" s="27" t="str">
        <f>IFERROR(__xludf.DUMMYFUNCTION("""COMPUTED_VALUE"""),"")</f>
        <v/>
      </c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</row>
    <row r="469">
      <c r="A469" s="27" t="str">
        <f>IFERROR(__xludf.DUMMYFUNCTION("""COMPUTED_VALUE"""),"")</f>
        <v/>
      </c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</row>
    <row r="470">
      <c r="A470" s="27" t="str">
        <f>IFERROR(__xludf.DUMMYFUNCTION("""COMPUTED_VALUE"""),"")</f>
        <v/>
      </c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</row>
    <row r="471">
      <c r="A471" s="27" t="str">
        <f>IFERROR(__xludf.DUMMYFUNCTION("""COMPUTED_VALUE"""),"")</f>
        <v/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</row>
    <row r="472">
      <c r="A472" s="27" t="str">
        <f>IFERROR(__xludf.DUMMYFUNCTION("""COMPUTED_VALUE"""),"")</f>
        <v/>
      </c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</row>
    <row r="473">
      <c r="A473" s="27" t="str">
        <f>IFERROR(__xludf.DUMMYFUNCTION("""COMPUTED_VALUE"""),"")</f>
        <v/>
      </c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</row>
    <row r="474">
      <c r="A474" s="27" t="str">
        <f>IFERROR(__xludf.DUMMYFUNCTION("""COMPUTED_VALUE"""),"")</f>
        <v/>
      </c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</row>
    <row r="475">
      <c r="A475" s="27" t="str">
        <f>IFERROR(__xludf.DUMMYFUNCTION("""COMPUTED_VALUE"""),"")</f>
        <v/>
      </c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</row>
    <row r="476">
      <c r="A476" s="27" t="str">
        <f>IFERROR(__xludf.DUMMYFUNCTION("""COMPUTED_VALUE"""),"")</f>
        <v/>
      </c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</row>
    <row r="477">
      <c r="A477" s="27" t="str">
        <f>IFERROR(__xludf.DUMMYFUNCTION("""COMPUTED_VALUE"""),"")</f>
        <v/>
      </c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</row>
    <row r="478">
      <c r="A478" s="27" t="str">
        <f>IFERROR(__xludf.DUMMYFUNCTION("""COMPUTED_VALUE"""),"")</f>
        <v/>
      </c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</row>
    <row r="479">
      <c r="A479" s="27" t="str">
        <f>IFERROR(__xludf.DUMMYFUNCTION("""COMPUTED_VALUE"""),"")</f>
        <v/>
      </c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</row>
    <row r="480">
      <c r="A480" s="27" t="str">
        <f>IFERROR(__xludf.DUMMYFUNCTION("""COMPUTED_VALUE"""),"")</f>
        <v/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</row>
    <row r="481">
      <c r="A481" s="27" t="str">
        <f>IFERROR(__xludf.DUMMYFUNCTION("""COMPUTED_VALUE"""),"")</f>
        <v/>
      </c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</row>
    <row r="482">
      <c r="A482" s="27" t="str">
        <f>IFERROR(__xludf.DUMMYFUNCTION("""COMPUTED_VALUE"""),"")</f>
        <v/>
      </c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</row>
    <row r="483">
      <c r="A483" s="27" t="str">
        <f>IFERROR(__xludf.DUMMYFUNCTION("""COMPUTED_VALUE"""),"")</f>
        <v/>
      </c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</row>
    <row r="484">
      <c r="A484" s="27" t="str">
        <f>IFERROR(__xludf.DUMMYFUNCTION("""COMPUTED_VALUE"""),"")</f>
        <v/>
      </c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</row>
    <row r="485">
      <c r="A485" s="27" t="str">
        <f>IFERROR(__xludf.DUMMYFUNCTION("""COMPUTED_VALUE"""),"")</f>
        <v/>
      </c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</row>
    <row r="486">
      <c r="A486" s="27" t="str">
        <f>IFERROR(__xludf.DUMMYFUNCTION("""COMPUTED_VALUE"""),"")</f>
        <v/>
      </c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</row>
    <row r="487">
      <c r="A487" s="27" t="str">
        <f>IFERROR(__xludf.DUMMYFUNCTION("""COMPUTED_VALUE"""),"")</f>
        <v/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</row>
    <row r="488">
      <c r="A488" s="27" t="str">
        <f>IFERROR(__xludf.DUMMYFUNCTION("""COMPUTED_VALUE"""),"")</f>
        <v/>
      </c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</row>
    <row r="489">
      <c r="A489" s="27" t="str">
        <f>IFERROR(__xludf.DUMMYFUNCTION("""COMPUTED_VALUE"""),"")</f>
        <v/>
      </c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</row>
    <row r="490">
      <c r="A490" s="27" t="str">
        <f>IFERROR(__xludf.DUMMYFUNCTION("""COMPUTED_VALUE"""),"")</f>
        <v/>
      </c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</row>
    <row r="491">
      <c r="A491" s="27" t="str">
        <f>IFERROR(__xludf.DUMMYFUNCTION("""COMPUTED_VALUE"""),"")</f>
        <v/>
      </c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</row>
    <row r="492">
      <c r="A492" s="27" t="str">
        <f>IFERROR(__xludf.DUMMYFUNCTION("""COMPUTED_VALUE"""),"")</f>
        <v/>
      </c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</row>
    <row r="493">
      <c r="A493" s="27" t="str">
        <f>IFERROR(__xludf.DUMMYFUNCTION("""COMPUTED_VALUE"""),"")</f>
        <v/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</row>
    <row r="494">
      <c r="A494" s="27" t="str">
        <f>IFERROR(__xludf.DUMMYFUNCTION("""COMPUTED_VALUE"""),"")</f>
        <v/>
      </c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</row>
    <row r="495">
      <c r="A495" s="27" t="str">
        <f>IFERROR(__xludf.DUMMYFUNCTION("""COMPUTED_VALUE"""),"")</f>
        <v/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</row>
    <row r="496">
      <c r="A496" s="27" t="str">
        <f>IFERROR(__xludf.DUMMYFUNCTION("""COMPUTED_VALUE"""),"")</f>
        <v/>
      </c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</row>
    <row r="497">
      <c r="A497" s="27" t="str">
        <f>IFERROR(__xludf.DUMMYFUNCTION("""COMPUTED_VALUE"""),"")</f>
        <v/>
      </c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</row>
    <row r="498">
      <c r="A498" s="27" t="str">
        <f>IFERROR(__xludf.DUMMYFUNCTION("""COMPUTED_VALUE"""),"")</f>
        <v/>
      </c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</row>
    <row r="499">
      <c r="A499" s="27" t="str">
        <f>IFERROR(__xludf.DUMMYFUNCTION("""COMPUTED_VALUE"""),"")</f>
        <v/>
      </c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</row>
    <row r="500">
      <c r="A500" s="27" t="str">
        <f>IFERROR(__xludf.DUMMYFUNCTION("""COMPUTED_VALUE"""),"")</f>
        <v/>
      </c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</row>
    <row r="501">
      <c r="A501" s="27" t="str">
        <f>IFERROR(__xludf.DUMMYFUNCTION("""COMPUTED_VALUE"""),"")</f>
        <v/>
      </c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</row>
    <row r="502">
      <c r="A502" s="27" t="str">
        <f>IFERROR(__xludf.DUMMYFUNCTION("""COMPUTED_VALUE"""),"")</f>
        <v/>
      </c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</row>
    <row r="503">
      <c r="A503" s="27" t="str">
        <f>IFERROR(__xludf.DUMMYFUNCTION("""COMPUTED_VALUE"""),"")</f>
        <v/>
      </c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</row>
    <row r="504">
      <c r="A504" s="27" t="str">
        <f>IFERROR(__xludf.DUMMYFUNCTION("""COMPUTED_VALUE"""),"")</f>
        <v/>
      </c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</row>
    <row r="505">
      <c r="A505" s="27" t="str">
        <f>IFERROR(__xludf.DUMMYFUNCTION("""COMPUTED_VALUE"""),"")</f>
        <v/>
      </c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</row>
    <row r="506">
      <c r="A506" s="27" t="str">
        <f>IFERROR(__xludf.DUMMYFUNCTION("""COMPUTED_VALUE"""),"")</f>
        <v/>
      </c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</row>
    <row r="507">
      <c r="A507" s="27" t="str">
        <f>IFERROR(__xludf.DUMMYFUNCTION("""COMPUTED_VALUE"""),"")</f>
        <v/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</row>
    <row r="508">
      <c r="A508" s="27" t="str">
        <f>IFERROR(__xludf.DUMMYFUNCTION("""COMPUTED_VALUE"""),"")</f>
        <v/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</row>
    <row r="509">
      <c r="A509" s="27" t="str">
        <f>IFERROR(__xludf.DUMMYFUNCTION("""COMPUTED_VALUE"""),"")</f>
        <v/>
      </c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</row>
    <row r="510">
      <c r="A510" s="27" t="str">
        <f>IFERROR(__xludf.DUMMYFUNCTION("""COMPUTED_VALUE"""),"")</f>
        <v/>
      </c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</row>
    <row r="511">
      <c r="A511" s="27" t="str">
        <f>IFERROR(__xludf.DUMMYFUNCTION("""COMPUTED_VALUE"""),"")</f>
        <v/>
      </c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</row>
    <row r="512">
      <c r="A512" s="27" t="str">
        <f>IFERROR(__xludf.DUMMYFUNCTION("""COMPUTED_VALUE"""),"")</f>
        <v/>
      </c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</row>
    <row r="513">
      <c r="A513" s="27" t="str">
        <f>IFERROR(__xludf.DUMMYFUNCTION("""COMPUTED_VALUE"""),"")</f>
        <v/>
      </c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</row>
    <row r="514">
      <c r="A514" s="27" t="str">
        <f>IFERROR(__xludf.DUMMYFUNCTION("""COMPUTED_VALUE"""),"")</f>
        <v/>
      </c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</row>
    <row r="515">
      <c r="A515" s="27" t="str">
        <f>IFERROR(__xludf.DUMMYFUNCTION("""COMPUTED_VALUE"""),"")</f>
        <v/>
      </c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</row>
    <row r="516">
      <c r="A516" s="27" t="str">
        <f>IFERROR(__xludf.DUMMYFUNCTION("""COMPUTED_VALUE"""),"")</f>
        <v/>
      </c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</row>
    <row r="517">
      <c r="A517" s="27" t="str">
        <f>IFERROR(__xludf.DUMMYFUNCTION("""COMPUTED_VALUE"""),"")</f>
        <v/>
      </c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</row>
    <row r="518">
      <c r="A518" s="27" t="str">
        <f>IFERROR(__xludf.DUMMYFUNCTION("""COMPUTED_VALUE"""),"")</f>
        <v/>
      </c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</row>
    <row r="519">
      <c r="A519" s="27" t="str">
        <f>IFERROR(__xludf.DUMMYFUNCTION("""COMPUTED_VALUE"""),"")</f>
        <v/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</row>
    <row r="520">
      <c r="A520" s="27" t="str">
        <f>IFERROR(__xludf.DUMMYFUNCTION("""COMPUTED_VALUE"""),"")</f>
        <v/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</row>
    <row r="521">
      <c r="A521" s="27" t="str">
        <f>IFERROR(__xludf.DUMMYFUNCTION("""COMPUTED_VALUE"""),"")</f>
        <v/>
      </c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</row>
    <row r="522">
      <c r="A522" s="27" t="str">
        <f>IFERROR(__xludf.DUMMYFUNCTION("""COMPUTED_VALUE"""),"")</f>
        <v/>
      </c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</row>
    <row r="523">
      <c r="A523" s="27" t="str">
        <f>IFERROR(__xludf.DUMMYFUNCTION("""COMPUTED_VALUE"""),"")</f>
        <v/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</row>
    <row r="524">
      <c r="A524" s="27" t="str">
        <f>IFERROR(__xludf.DUMMYFUNCTION("""COMPUTED_VALUE"""),"")</f>
        <v/>
      </c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</row>
    <row r="525">
      <c r="A525" s="27" t="str">
        <f>IFERROR(__xludf.DUMMYFUNCTION("""COMPUTED_VALUE"""),"")</f>
        <v/>
      </c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</row>
    <row r="526">
      <c r="A526" s="27" t="str">
        <f>IFERROR(__xludf.DUMMYFUNCTION("""COMPUTED_VALUE"""),"")</f>
        <v/>
      </c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</row>
    <row r="527">
      <c r="A527" s="27" t="str">
        <f>IFERROR(__xludf.DUMMYFUNCTION("""COMPUTED_VALUE"""),"")</f>
        <v/>
      </c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</row>
    <row r="528">
      <c r="A528" s="27" t="str">
        <f>IFERROR(__xludf.DUMMYFUNCTION("""COMPUTED_VALUE"""),"")</f>
        <v/>
      </c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</row>
    <row r="529">
      <c r="A529" s="27" t="str">
        <f>IFERROR(__xludf.DUMMYFUNCTION("""COMPUTED_VALUE"""),"")</f>
        <v/>
      </c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</row>
    <row r="530">
      <c r="A530" s="27" t="str">
        <f>IFERROR(__xludf.DUMMYFUNCTION("""COMPUTED_VALUE"""),"")</f>
        <v/>
      </c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</row>
    <row r="531">
      <c r="A531" s="27" t="str">
        <f>IFERROR(__xludf.DUMMYFUNCTION("""COMPUTED_VALUE"""),"")</f>
        <v/>
      </c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</row>
    <row r="532">
      <c r="A532" s="27" t="str">
        <f>IFERROR(__xludf.DUMMYFUNCTION("""COMPUTED_VALUE"""),"")</f>
        <v/>
      </c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</row>
    <row r="533">
      <c r="A533" s="27" t="str">
        <f>IFERROR(__xludf.DUMMYFUNCTION("""COMPUTED_VALUE"""),"")</f>
        <v/>
      </c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</row>
    <row r="534">
      <c r="A534" s="27" t="str">
        <f>IFERROR(__xludf.DUMMYFUNCTION("""COMPUTED_VALUE"""),"")</f>
        <v/>
      </c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</row>
    <row r="535">
      <c r="A535" s="27" t="str">
        <f>IFERROR(__xludf.DUMMYFUNCTION("""COMPUTED_VALUE"""),"")</f>
        <v/>
      </c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</row>
    <row r="536">
      <c r="A536" s="27" t="str">
        <f>IFERROR(__xludf.DUMMYFUNCTION("""COMPUTED_VALUE"""),"")</f>
        <v/>
      </c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</row>
    <row r="537">
      <c r="A537" s="27" t="str">
        <f>IFERROR(__xludf.DUMMYFUNCTION("""COMPUTED_VALUE"""),"")</f>
        <v/>
      </c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</row>
    <row r="538">
      <c r="A538" s="27" t="str">
        <f>IFERROR(__xludf.DUMMYFUNCTION("""COMPUTED_VALUE"""),"")</f>
        <v/>
      </c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</row>
    <row r="539">
      <c r="A539" s="27" t="str">
        <f>IFERROR(__xludf.DUMMYFUNCTION("""COMPUTED_VALUE"""),"")</f>
        <v/>
      </c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</row>
    <row r="540">
      <c r="A540" s="27" t="str">
        <f>IFERROR(__xludf.DUMMYFUNCTION("""COMPUTED_VALUE"""),"")</f>
        <v/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</row>
    <row r="541">
      <c r="A541" s="27" t="str">
        <f>IFERROR(__xludf.DUMMYFUNCTION("""COMPUTED_VALUE"""),"")</f>
        <v/>
      </c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</row>
    <row r="542">
      <c r="A542" s="27" t="str">
        <f>IFERROR(__xludf.DUMMYFUNCTION("""COMPUTED_VALUE"""),"")</f>
        <v/>
      </c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</row>
    <row r="543">
      <c r="A543" s="27" t="str">
        <f>IFERROR(__xludf.DUMMYFUNCTION("""COMPUTED_VALUE"""),"")</f>
        <v/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</row>
    <row r="544">
      <c r="A544" s="27" t="str">
        <f>IFERROR(__xludf.DUMMYFUNCTION("""COMPUTED_VALUE"""),"")</f>
        <v/>
      </c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</row>
    <row r="545">
      <c r="A545" s="27" t="str">
        <f>IFERROR(__xludf.DUMMYFUNCTION("""COMPUTED_VALUE"""),"")</f>
        <v/>
      </c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</row>
    <row r="546">
      <c r="A546" s="27" t="str">
        <f>IFERROR(__xludf.DUMMYFUNCTION("""COMPUTED_VALUE"""),"")</f>
        <v/>
      </c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</row>
    <row r="547">
      <c r="A547" s="27" t="str">
        <f>IFERROR(__xludf.DUMMYFUNCTION("""COMPUTED_VALUE"""),"")</f>
        <v/>
      </c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</row>
    <row r="548">
      <c r="A548" s="27" t="str">
        <f>IFERROR(__xludf.DUMMYFUNCTION("""COMPUTED_VALUE"""),"")</f>
        <v/>
      </c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</row>
    <row r="549">
      <c r="A549" s="27" t="str">
        <f>IFERROR(__xludf.DUMMYFUNCTION("""COMPUTED_VALUE"""),"")</f>
        <v/>
      </c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</row>
    <row r="550">
      <c r="A550" s="27" t="str">
        <f>IFERROR(__xludf.DUMMYFUNCTION("""COMPUTED_VALUE"""),"")</f>
        <v/>
      </c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</row>
    <row r="551">
      <c r="A551" s="27" t="str">
        <f>IFERROR(__xludf.DUMMYFUNCTION("""COMPUTED_VALUE"""),"")</f>
        <v/>
      </c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</row>
    <row r="552">
      <c r="A552" s="27" t="str">
        <f>IFERROR(__xludf.DUMMYFUNCTION("""COMPUTED_VALUE"""),"")</f>
        <v/>
      </c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</row>
    <row r="553">
      <c r="A553" s="27" t="str">
        <f>IFERROR(__xludf.DUMMYFUNCTION("""COMPUTED_VALUE"""),"")</f>
        <v/>
      </c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</row>
    <row r="554">
      <c r="A554" s="27" t="str">
        <f>IFERROR(__xludf.DUMMYFUNCTION("""COMPUTED_VALUE"""),"")</f>
        <v/>
      </c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</row>
    <row r="555">
      <c r="A555" s="27" t="str">
        <f>IFERROR(__xludf.DUMMYFUNCTION("""COMPUTED_VALUE"""),"")</f>
        <v/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</row>
    <row r="556">
      <c r="A556" s="27" t="str">
        <f>IFERROR(__xludf.DUMMYFUNCTION("""COMPUTED_VALUE"""),"")</f>
        <v/>
      </c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</row>
    <row r="557">
      <c r="A557" s="27" t="str">
        <f>IFERROR(__xludf.DUMMYFUNCTION("""COMPUTED_VALUE"""),"")</f>
        <v/>
      </c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</row>
    <row r="558">
      <c r="A558" s="27" t="str">
        <f>IFERROR(__xludf.DUMMYFUNCTION("""COMPUTED_VALUE"""),"")</f>
        <v/>
      </c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</row>
    <row r="559">
      <c r="A559" s="27" t="str">
        <f>IFERROR(__xludf.DUMMYFUNCTION("""COMPUTED_VALUE"""),"")</f>
        <v/>
      </c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</row>
    <row r="560">
      <c r="A560" s="27" t="str">
        <f>IFERROR(__xludf.DUMMYFUNCTION("""COMPUTED_VALUE"""),"")</f>
        <v/>
      </c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</row>
    <row r="561">
      <c r="A561" s="27" t="str">
        <f>IFERROR(__xludf.DUMMYFUNCTION("""COMPUTED_VALUE"""),"")</f>
        <v/>
      </c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</row>
    <row r="562">
      <c r="A562" s="27" t="str">
        <f>IFERROR(__xludf.DUMMYFUNCTION("""COMPUTED_VALUE"""),"")</f>
        <v/>
      </c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</row>
    <row r="563">
      <c r="A563" s="27" t="str">
        <f>IFERROR(__xludf.DUMMYFUNCTION("""COMPUTED_VALUE"""),"")</f>
        <v/>
      </c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</row>
    <row r="564">
      <c r="A564" s="27" t="str">
        <f>IFERROR(__xludf.DUMMYFUNCTION("""COMPUTED_VALUE"""),"")</f>
        <v/>
      </c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</row>
    <row r="565">
      <c r="A565" s="27" t="str">
        <f>IFERROR(__xludf.DUMMYFUNCTION("""COMPUTED_VALUE"""),"")</f>
        <v/>
      </c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</row>
    <row r="566">
      <c r="A566" s="27" t="str">
        <f>IFERROR(__xludf.DUMMYFUNCTION("""COMPUTED_VALUE"""),"")</f>
        <v/>
      </c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</row>
    <row r="567">
      <c r="A567" s="27" t="str">
        <f>IFERROR(__xludf.DUMMYFUNCTION("""COMPUTED_VALUE"""),"")</f>
        <v/>
      </c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</row>
    <row r="568">
      <c r="A568" s="27" t="str">
        <f>IFERROR(__xludf.DUMMYFUNCTION("""COMPUTED_VALUE"""),"")</f>
        <v/>
      </c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</row>
    <row r="569">
      <c r="A569" s="27" t="str">
        <f>IFERROR(__xludf.DUMMYFUNCTION("""COMPUTED_VALUE"""),"")</f>
        <v/>
      </c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</row>
    <row r="570">
      <c r="A570" s="27" t="str">
        <f>IFERROR(__xludf.DUMMYFUNCTION("""COMPUTED_VALUE"""),"")</f>
        <v/>
      </c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</row>
    <row r="571">
      <c r="A571" s="27" t="str">
        <f>IFERROR(__xludf.DUMMYFUNCTION("""COMPUTED_VALUE"""),"")</f>
        <v/>
      </c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</row>
    <row r="572">
      <c r="A572" s="27" t="str">
        <f>IFERROR(__xludf.DUMMYFUNCTION("""COMPUTED_VALUE"""),"")</f>
        <v/>
      </c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</row>
    <row r="573">
      <c r="A573" s="27" t="str">
        <f>IFERROR(__xludf.DUMMYFUNCTION("""COMPUTED_VALUE"""),"")</f>
        <v/>
      </c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</row>
    <row r="574">
      <c r="A574" s="27" t="str">
        <f>IFERROR(__xludf.DUMMYFUNCTION("""COMPUTED_VALUE"""),"")</f>
        <v/>
      </c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</row>
    <row r="575">
      <c r="A575" s="27" t="str">
        <f>IFERROR(__xludf.DUMMYFUNCTION("""COMPUTED_VALUE"""),"")</f>
        <v/>
      </c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</row>
    <row r="576">
      <c r="A576" s="27" t="str">
        <f>IFERROR(__xludf.DUMMYFUNCTION("""COMPUTED_VALUE"""),"")</f>
        <v/>
      </c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</row>
    <row r="577">
      <c r="A577" s="27" t="str">
        <f>IFERROR(__xludf.DUMMYFUNCTION("""COMPUTED_VALUE"""),"")</f>
        <v/>
      </c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</row>
    <row r="578">
      <c r="A578" s="27" t="str">
        <f>IFERROR(__xludf.DUMMYFUNCTION("""COMPUTED_VALUE"""),"")</f>
        <v/>
      </c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</row>
    <row r="579">
      <c r="A579" s="27" t="str">
        <f>IFERROR(__xludf.DUMMYFUNCTION("""COMPUTED_VALUE"""),"")</f>
        <v/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</row>
    <row r="580">
      <c r="A580" s="27" t="str">
        <f>IFERROR(__xludf.DUMMYFUNCTION("""COMPUTED_VALUE"""),"")</f>
        <v/>
      </c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</row>
    <row r="581">
      <c r="A581" s="27" t="str">
        <f>IFERROR(__xludf.DUMMYFUNCTION("""COMPUTED_VALUE"""),"")</f>
        <v/>
      </c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</row>
    <row r="582">
      <c r="A582" s="27" t="str">
        <f>IFERROR(__xludf.DUMMYFUNCTION("""COMPUTED_VALUE"""),"")</f>
        <v/>
      </c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</row>
    <row r="583">
      <c r="A583" s="27" t="str">
        <f>IFERROR(__xludf.DUMMYFUNCTION("""COMPUTED_VALUE"""),"")</f>
        <v/>
      </c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</row>
    <row r="584">
      <c r="A584" s="27" t="str">
        <f>IFERROR(__xludf.DUMMYFUNCTION("""COMPUTED_VALUE"""),"")</f>
        <v/>
      </c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</row>
    <row r="585">
      <c r="A585" s="27" t="str">
        <f>IFERROR(__xludf.DUMMYFUNCTION("""COMPUTED_VALUE"""),"")</f>
        <v/>
      </c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</row>
    <row r="586">
      <c r="A586" s="27" t="str">
        <f>IFERROR(__xludf.DUMMYFUNCTION("""COMPUTED_VALUE"""),"")</f>
        <v/>
      </c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</row>
    <row r="587">
      <c r="A587" s="27" t="str">
        <f>IFERROR(__xludf.DUMMYFUNCTION("""COMPUTED_VALUE"""),"")</f>
        <v/>
      </c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</row>
    <row r="588">
      <c r="A588" s="27" t="str">
        <f>IFERROR(__xludf.DUMMYFUNCTION("""COMPUTED_VALUE"""),"")</f>
        <v/>
      </c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</row>
    <row r="589">
      <c r="A589" s="27" t="str">
        <f>IFERROR(__xludf.DUMMYFUNCTION("""COMPUTED_VALUE"""),"")</f>
        <v/>
      </c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</row>
    <row r="590">
      <c r="A590" s="27" t="str">
        <f>IFERROR(__xludf.DUMMYFUNCTION("""COMPUTED_VALUE"""),"")</f>
        <v/>
      </c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</row>
    <row r="591">
      <c r="A591" s="27" t="str">
        <f>IFERROR(__xludf.DUMMYFUNCTION("""COMPUTED_VALUE"""),"")</f>
        <v/>
      </c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</row>
    <row r="592">
      <c r="A592" s="27" t="str">
        <f>IFERROR(__xludf.DUMMYFUNCTION("""COMPUTED_VALUE"""),"")</f>
        <v/>
      </c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</row>
    <row r="593">
      <c r="A593" s="27" t="str">
        <f>IFERROR(__xludf.DUMMYFUNCTION("""COMPUTED_VALUE"""),"")</f>
        <v/>
      </c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</row>
    <row r="594">
      <c r="A594" s="27" t="str">
        <f>IFERROR(__xludf.DUMMYFUNCTION("""COMPUTED_VALUE"""),"")</f>
        <v/>
      </c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</row>
    <row r="595">
      <c r="A595" s="27" t="str">
        <f>IFERROR(__xludf.DUMMYFUNCTION("""COMPUTED_VALUE"""),"")</f>
        <v/>
      </c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</row>
    <row r="596">
      <c r="A596" s="27" t="str">
        <f>IFERROR(__xludf.DUMMYFUNCTION("""COMPUTED_VALUE"""),"")</f>
        <v/>
      </c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</row>
    <row r="597">
      <c r="A597" s="27" t="str">
        <f>IFERROR(__xludf.DUMMYFUNCTION("""COMPUTED_VALUE"""),"")</f>
        <v/>
      </c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</row>
    <row r="598">
      <c r="A598" s="27" t="str">
        <f>IFERROR(__xludf.DUMMYFUNCTION("""COMPUTED_VALUE"""),"")</f>
        <v/>
      </c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</row>
    <row r="599">
      <c r="A599" s="27" t="str">
        <f>IFERROR(__xludf.DUMMYFUNCTION("""COMPUTED_VALUE"""),"")</f>
        <v/>
      </c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</row>
    <row r="600">
      <c r="A600" s="27" t="str">
        <f>IFERROR(__xludf.DUMMYFUNCTION("""COMPUTED_VALUE"""),"")</f>
        <v/>
      </c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</row>
    <row r="601">
      <c r="A601" s="27" t="str">
        <f>IFERROR(__xludf.DUMMYFUNCTION("""COMPUTED_VALUE"""),"")</f>
        <v/>
      </c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</row>
    <row r="602">
      <c r="A602" s="27" t="str">
        <f>IFERROR(__xludf.DUMMYFUNCTION("""COMPUTED_VALUE"""),"")</f>
        <v/>
      </c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</row>
    <row r="603">
      <c r="A603" s="27" t="str">
        <f>IFERROR(__xludf.DUMMYFUNCTION("""COMPUTED_VALUE"""),"")</f>
        <v/>
      </c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</row>
    <row r="604">
      <c r="A604" s="27" t="str">
        <f>IFERROR(__xludf.DUMMYFUNCTION("""COMPUTED_VALUE"""),"")</f>
        <v/>
      </c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</row>
    <row r="605">
      <c r="A605" s="27" t="str">
        <f>IFERROR(__xludf.DUMMYFUNCTION("""COMPUTED_VALUE"""),"")</f>
        <v/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</row>
    <row r="606">
      <c r="A606" s="27" t="str">
        <f>IFERROR(__xludf.DUMMYFUNCTION("""COMPUTED_VALUE"""),"")</f>
        <v/>
      </c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</row>
    <row r="607">
      <c r="A607" s="27" t="str">
        <f>IFERROR(__xludf.DUMMYFUNCTION("""COMPUTED_VALUE"""),"")</f>
        <v/>
      </c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</row>
    <row r="608">
      <c r="A608" s="27" t="str">
        <f>IFERROR(__xludf.DUMMYFUNCTION("""COMPUTED_VALUE"""),"")</f>
        <v/>
      </c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</row>
    <row r="609">
      <c r="A609" s="27" t="str">
        <f>IFERROR(__xludf.DUMMYFUNCTION("""COMPUTED_VALUE"""),"")</f>
        <v/>
      </c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</row>
    <row r="610">
      <c r="A610" s="27" t="str">
        <f>IFERROR(__xludf.DUMMYFUNCTION("""COMPUTED_VALUE"""),"")</f>
        <v/>
      </c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</row>
    <row r="611">
      <c r="A611" s="27" t="str">
        <f>IFERROR(__xludf.DUMMYFUNCTION("""COMPUTED_VALUE"""),"")</f>
        <v/>
      </c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</row>
    <row r="612">
      <c r="A612" s="27" t="str">
        <f>IFERROR(__xludf.DUMMYFUNCTION("""COMPUTED_VALUE"""),"")</f>
        <v/>
      </c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</row>
    <row r="613">
      <c r="A613" s="27" t="str">
        <f>IFERROR(__xludf.DUMMYFUNCTION("""COMPUTED_VALUE"""),"")</f>
        <v/>
      </c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</row>
    <row r="614">
      <c r="A614" s="27" t="str">
        <f>IFERROR(__xludf.DUMMYFUNCTION("""COMPUTED_VALUE"""),"")</f>
        <v/>
      </c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</row>
    <row r="615">
      <c r="A615" s="27" t="str">
        <f>IFERROR(__xludf.DUMMYFUNCTION("""COMPUTED_VALUE"""),"")</f>
        <v/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</row>
    <row r="616">
      <c r="A616" s="27" t="str">
        <f>IFERROR(__xludf.DUMMYFUNCTION("""COMPUTED_VALUE"""),"")</f>
        <v/>
      </c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</row>
    <row r="617">
      <c r="A617" s="27" t="str">
        <f>IFERROR(__xludf.DUMMYFUNCTION("""COMPUTED_VALUE"""),"")</f>
        <v/>
      </c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</row>
    <row r="618">
      <c r="A618" s="27" t="str">
        <f>IFERROR(__xludf.DUMMYFUNCTION("""COMPUTED_VALUE"""),"")</f>
        <v/>
      </c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</row>
    <row r="619">
      <c r="A619" s="27" t="str">
        <f>IFERROR(__xludf.DUMMYFUNCTION("""COMPUTED_VALUE"""),"")</f>
        <v/>
      </c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</row>
    <row r="620">
      <c r="A620" s="27" t="str">
        <f>IFERROR(__xludf.DUMMYFUNCTION("""COMPUTED_VALUE"""),"")</f>
        <v/>
      </c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</row>
    <row r="621">
      <c r="A621" s="27" t="str">
        <f>IFERROR(__xludf.DUMMYFUNCTION("""COMPUTED_VALUE"""),"")</f>
        <v/>
      </c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</row>
    <row r="622">
      <c r="A622" s="27" t="str">
        <f>IFERROR(__xludf.DUMMYFUNCTION("""COMPUTED_VALUE"""),"")</f>
        <v/>
      </c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</row>
    <row r="623">
      <c r="A623" s="27" t="str">
        <f>IFERROR(__xludf.DUMMYFUNCTION("""COMPUTED_VALUE"""),"")</f>
        <v/>
      </c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</row>
    <row r="624">
      <c r="A624" s="27" t="str">
        <f>IFERROR(__xludf.DUMMYFUNCTION("""COMPUTED_VALUE"""),"")</f>
        <v/>
      </c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</row>
    <row r="625">
      <c r="A625" s="27" t="str">
        <f>IFERROR(__xludf.DUMMYFUNCTION("""COMPUTED_VALUE"""),"")</f>
        <v/>
      </c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</row>
    <row r="626">
      <c r="A626" s="27" t="str">
        <f>IFERROR(__xludf.DUMMYFUNCTION("""COMPUTED_VALUE"""),"")</f>
        <v/>
      </c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</row>
    <row r="627">
      <c r="A627" s="27" t="str">
        <f>IFERROR(__xludf.DUMMYFUNCTION("""COMPUTED_VALUE"""),"")</f>
        <v/>
      </c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</row>
    <row r="628">
      <c r="A628" s="27" t="str">
        <f>IFERROR(__xludf.DUMMYFUNCTION("""COMPUTED_VALUE"""),"")</f>
        <v/>
      </c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</row>
    <row r="629">
      <c r="A629" s="27" t="str">
        <f>IFERROR(__xludf.DUMMYFUNCTION("""COMPUTED_VALUE"""),"")</f>
        <v/>
      </c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</row>
    <row r="630">
      <c r="A630" s="27" t="str">
        <f>IFERROR(__xludf.DUMMYFUNCTION("""COMPUTED_VALUE"""),"")</f>
        <v/>
      </c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</row>
    <row r="631">
      <c r="A631" s="27" t="str">
        <f>IFERROR(__xludf.DUMMYFUNCTION("""COMPUTED_VALUE"""),"")</f>
        <v/>
      </c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</row>
    <row r="632">
      <c r="A632" s="27" t="str">
        <f>IFERROR(__xludf.DUMMYFUNCTION("""COMPUTED_VALUE"""),"")</f>
        <v/>
      </c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</row>
    <row r="633">
      <c r="A633" s="27" t="str">
        <f>IFERROR(__xludf.DUMMYFUNCTION("""COMPUTED_VALUE"""),"")</f>
        <v/>
      </c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</row>
    <row r="634">
      <c r="A634" s="27" t="str">
        <f>IFERROR(__xludf.DUMMYFUNCTION("""COMPUTED_VALUE"""),"")</f>
        <v/>
      </c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</row>
    <row r="635">
      <c r="A635" s="27" t="str">
        <f>IFERROR(__xludf.DUMMYFUNCTION("""COMPUTED_VALUE"""),"")</f>
        <v/>
      </c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</row>
    <row r="636">
      <c r="A636" s="27" t="str">
        <f>IFERROR(__xludf.DUMMYFUNCTION("""COMPUTED_VALUE"""),"")</f>
        <v/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</row>
    <row r="637">
      <c r="A637" s="27" t="str">
        <f>IFERROR(__xludf.DUMMYFUNCTION("""COMPUTED_VALUE"""),"")</f>
        <v/>
      </c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</row>
    <row r="638">
      <c r="A638" s="27" t="str">
        <f>IFERROR(__xludf.DUMMYFUNCTION("""COMPUTED_VALUE"""),"")</f>
        <v/>
      </c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</row>
    <row r="639">
      <c r="A639" s="27" t="str">
        <f>IFERROR(__xludf.DUMMYFUNCTION("""COMPUTED_VALUE"""),"")</f>
        <v/>
      </c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</row>
    <row r="640">
      <c r="A640" s="27" t="str">
        <f>IFERROR(__xludf.DUMMYFUNCTION("""COMPUTED_VALUE"""),"")</f>
        <v/>
      </c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</row>
    <row r="641">
      <c r="A641" s="27" t="str">
        <f>IFERROR(__xludf.DUMMYFUNCTION("""COMPUTED_VALUE"""),"")</f>
        <v/>
      </c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</row>
    <row r="642">
      <c r="A642" s="27" t="str">
        <f>IFERROR(__xludf.DUMMYFUNCTION("""COMPUTED_VALUE"""),"")</f>
        <v/>
      </c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</row>
    <row r="643">
      <c r="A643" s="27" t="str">
        <f>IFERROR(__xludf.DUMMYFUNCTION("""COMPUTED_VALUE"""),"")</f>
        <v/>
      </c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</row>
    <row r="644">
      <c r="A644" s="27" t="str">
        <f>IFERROR(__xludf.DUMMYFUNCTION("""COMPUTED_VALUE"""),"")</f>
        <v/>
      </c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</row>
    <row r="645">
      <c r="A645" s="27" t="str">
        <f>IFERROR(__xludf.DUMMYFUNCTION("""COMPUTED_VALUE"""),"")</f>
        <v/>
      </c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</row>
    <row r="646">
      <c r="A646" s="27" t="str">
        <f>IFERROR(__xludf.DUMMYFUNCTION("""COMPUTED_VALUE"""),"")</f>
        <v/>
      </c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</row>
    <row r="647">
      <c r="A647" s="27" t="str">
        <f>IFERROR(__xludf.DUMMYFUNCTION("""COMPUTED_VALUE"""),"")</f>
        <v/>
      </c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</row>
    <row r="648">
      <c r="A648" s="27" t="str">
        <f>IFERROR(__xludf.DUMMYFUNCTION("""COMPUTED_VALUE"""),"")</f>
        <v/>
      </c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</row>
    <row r="649">
      <c r="A649" s="27" t="str">
        <f>IFERROR(__xludf.DUMMYFUNCTION("""COMPUTED_VALUE"""),"")</f>
        <v/>
      </c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</row>
    <row r="650">
      <c r="A650" s="27" t="str">
        <f>IFERROR(__xludf.DUMMYFUNCTION("""COMPUTED_VALUE"""),"")</f>
        <v/>
      </c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</row>
    <row r="651">
      <c r="A651" s="27" t="str">
        <f>IFERROR(__xludf.DUMMYFUNCTION("""COMPUTED_VALUE"""),"")</f>
        <v/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</row>
    <row r="652">
      <c r="A652" s="27" t="str">
        <f>IFERROR(__xludf.DUMMYFUNCTION("""COMPUTED_VALUE"""),"")</f>
        <v/>
      </c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</row>
    <row r="653">
      <c r="A653" s="27" t="str">
        <f>IFERROR(__xludf.DUMMYFUNCTION("""COMPUTED_VALUE"""),"")</f>
        <v/>
      </c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</row>
    <row r="654">
      <c r="A654" s="27" t="str">
        <f>IFERROR(__xludf.DUMMYFUNCTION("""COMPUTED_VALUE"""),"")</f>
        <v/>
      </c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</row>
    <row r="655">
      <c r="A655" s="27" t="str">
        <f>IFERROR(__xludf.DUMMYFUNCTION("""COMPUTED_VALUE"""),"")</f>
        <v/>
      </c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</row>
    <row r="656">
      <c r="A656" s="27" t="str">
        <f>IFERROR(__xludf.DUMMYFUNCTION("""COMPUTED_VALUE"""),"")</f>
        <v/>
      </c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</row>
    <row r="657">
      <c r="A657" s="27" t="str">
        <f>IFERROR(__xludf.DUMMYFUNCTION("""COMPUTED_VALUE"""),"")</f>
        <v/>
      </c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</row>
    <row r="658">
      <c r="A658" s="27" t="str">
        <f>IFERROR(__xludf.DUMMYFUNCTION("""COMPUTED_VALUE"""),"")</f>
        <v/>
      </c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</row>
    <row r="659">
      <c r="A659" s="27" t="str">
        <f>IFERROR(__xludf.DUMMYFUNCTION("""COMPUTED_VALUE"""),"")</f>
        <v/>
      </c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</row>
    <row r="660">
      <c r="A660" s="27" t="str">
        <f>IFERROR(__xludf.DUMMYFUNCTION("""COMPUTED_VALUE"""),"")</f>
        <v/>
      </c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</row>
    <row r="661">
      <c r="A661" s="27" t="str">
        <f>IFERROR(__xludf.DUMMYFUNCTION("""COMPUTED_VALUE"""),"")</f>
        <v/>
      </c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</row>
    <row r="662">
      <c r="A662" s="27" t="str">
        <f>IFERROR(__xludf.DUMMYFUNCTION("""COMPUTED_VALUE"""),"")</f>
        <v/>
      </c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</row>
    <row r="663">
      <c r="A663" s="27" t="str">
        <f>IFERROR(__xludf.DUMMYFUNCTION("""COMPUTED_VALUE"""),"")</f>
        <v/>
      </c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</row>
    <row r="664">
      <c r="A664" s="27" t="str">
        <f>IFERROR(__xludf.DUMMYFUNCTION("""COMPUTED_VALUE"""),"")</f>
        <v/>
      </c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</row>
    <row r="665">
      <c r="A665" s="27" t="str">
        <f>IFERROR(__xludf.DUMMYFUNCTION("""COMPUTED_VALUE"""),"")</f>
        <v/>
      </c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</row>
    <row r="666">
      <c r="A666" s="27" t="str">
        <f>IFERROR(__xludf.DUMMYFUNCTION("""COMPUTED_VALUE"""),"")</f>
        <v/>
      </c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</row>
    <row r="667">
      <c r="A667" s="27" t="str">
        <f>IFERROR(__xludf.DUMMYFUNCTION("""COMPUTED_VALUE"""),"")</f>
        <v/>
      </c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</row>
    <row r="668">
      <c r="A668" s="27" t="str">
        <f>IFERROR(__xludf.DUMMYFUNCTION("""COMPUTED_VALUE"""),"")</f>
        <v/>
      </c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</row>
    <row r="669">
      <c r="A669" s="27" t="str">
        <f>IFERROR(__xludf.DUMMYFUNCTION("""COMPUTED_VALUE"""),"")</f>
        <v/>
      </c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</row>
    <row r="670">
      <c r="A670" s="27" t="str">
        <f>IFERROR(__xludf.DUMMYFUNCTION("""COMPUTED_VALUE"""),"")</f>
        <v/>
      </c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</row>
    <row r="671">
      <c r="A671" s="27" t="str">
        <f>IFERROR(__xludf.DUMMYFUNCTION("""COMPUTED_VALUE"""),"")</f>
        <v/>
      </c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</row>
    <row r="672">
      <c r="A672" s="27" t="str">
        <f>IFERROR(__xludf.DUMMYFUNCTION("""COMPUTED_VALUE"""),"")</f>
        <v/>
      </c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</row>
    <row r="673">
      <c r="A673" s="27" t="str">
        <f>IFERROR(__xludf.DUMMYFUNCTION("""COMPUTED_VALUE"""),"")</f>
        <v/>
      </c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</row>
    <row r="674">
      <c r="A674" s="27" t="str">
        <f>IFERROR(__xludf.DUMMYFUNCTION("""COMPUTED_VALUE"""),"")</f>
        <v/>
      </c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</row>
    <row r="675">
      <c r="A675" s="27" t="str">
        <f>IFERROR(__xludf.DUMMYFUNCTION("""COMPUTED_VALUE"""),"")</f>
        <v/>
      </c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</row>
    <row r="676">
      <c r="A676" s="27" t="str">
        <f>IFERROR(__xludf.DUMMYFUNCTION("""COMPUTED_VALUE"""),"")</f>
        <v/>
      </c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</row>
    <row r="677">
      <c r="A677" s="27" t="str">
        <f>IFERROR(__xludf.DUMMYFUNCTION("""COMPUTED_VALUE"""),"")</f>
        <v/>
      </c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</row>
    <row r="678">
      <c r="A678" s="27" t="str">
        <f>IFERROR(__xludf.DUMMYFUNCTION("""COMPUTED_VALUE"""),"")</f>
        <v/>
      </c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</row>
    <row r="679">
      <c r="A679" s="27" t="str">
        <f>IFERROR(__xludf.DUMMYFUNCTION("""COMPUTED_VALUE"""),"")</f>
        <v/>
      </c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</row>
    <row r="680">
      <c r="A680" s="27" t="str">
        <f>IFERROR(__xludf.DUMMYFUNCTION("""COMPUTED_VALUE"""),"")</f>
        <v/>
      </c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</row>
    <row r="681">
      <c r="A681" s="27" t="str">
        <f>IFERROR(__xludf.DUMMYFUNCTION("""COMPUTED_VALUE"""),"")</f>
        <v/>
      </c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</row>
    <row r="682">
      <c r="A682" s="27" t="str">
        <f>IFERROR(__xludf.DUMMYFUNCTION("""COMPUTED_VALUE"""),"")</f>
        <v/>
      </c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</row>
    <row r="683">
      <c r="A683" s="27" t="str">
        <f>IFERROR(__xludf.DUMMYFUNCTION("""COMPUTED_VALUE"""),"")</f>
        <v/>
      </c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</row>
    <row r="684">
      <c r="A684" s="27" t="str">
        <f>IFERROR(__xludf.DUMMYFUNCTION("""COMPUTED_VALUE"""),"")</f>
        <v/>
      </c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</row>
    <row r="685">
      <c r="A685" s="27" t="str">
        <f>IFERROR(__xludf.DUMMYFUNCTION("""COMPUTED_VALUE"""),"")</f>
        <v/>
      </c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</row>
    <row r="686">
      <c r="A686" s="27" t="str">
        <f>IFERROR(__xludf.DUMMYFUNCTION("""COMPUTED_VALUE"""),"")</f>
        <v/>
      </c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</row>
    <row r="687">
      <c r="A687" s="27" t="str">
        <f>IFERROR(__xludf.DUMMYFUNCTION("""COMPUTED_VALUE"""),"")</f>
        <v/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</row>
    <row r="688">
      <c r="A688" s="27" t="str">
        <f>IFERROR(__xludf.DUMMYFUNCTION("""COMPUTED_VALUE"""),"")</f>
        <v/>
      </c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</row>
    <row r="689">
      <c r="A689" s="27" t="str">
        <f>IFERROR(__xludf.DUMMYFUNCTION("""COMPUTED_VALUE"""),"")</f>
        <v/>
      </c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</row>
    <row r="690">
      <c r="A690" s="27" t="str">
        <f>IFERROR(__xludf.DUMMYFUNCTION("""COMPUTED_VALUE"""),"")</f>
        <v/>
      </c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</row>
    <row r="691">
      <c r="A691" s="27" t="str">
        <f>IFERROR(__xludf.DUMMYFUNCTION("""COMPUTED_VALUE"""),"")</f>
        <v/>
      </c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</row>
    <row r="692">
      <c r="A692" s="27" t="str">
        <f>IFERROR(__xludf.DUMMYFUNCTION("""COMPUTED_VALUE"""),"")</f>
        <v/>
      </c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</row>
    <row r="693">
      <c r="A693" s="27" t="str">
        <f>IFERROR(__xludf.DUMMYFUNCTION("""COMPUTED_VALUE"""),"")</f>
        <v/>
      </c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</row>
    <row r="694">
      <c r="A694" s="27" t="str">
        <f>IFERROR(__xludf.DUMMYFUNCTION("""COMPUTED_VALUE"""),"")</f>
        <v/>
      </c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</row>
    <row r="695">
      <c r="A695" s="27" t="str">
        <f>IFERROR(__xludf.DUMMYFUNCTION("""COMPUTED_VALUE"""),"")</f>
        <v/>
      </c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</row>
    <row r="696">
      <c r="A696" s="27" t="str">
        <f>IFERROR(__xludf.DUMMYFUNCTION("""COMPUTED_VALUE"""),"")</f>
        <v/>
      </c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</row>
    <row r="697">
      <c r="A697" s="27" t="str">
        <f>IFERROR(__xludf.DUMMYFUNCTION("""COMPUTED_VALUE"""),"")</f>
        <v/>
      </c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</row>
    <row r="698">
      <c r="A698" s="27" t="str">
        <f>IFERROR(__xludf.DUMMYFUNCTION("""COMPUTED_VALUE"""),"")</f>
        <v/>
      </c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</row>
    <row r="699">
      <c r="A699" s="27" t="str">
        <f>IFERROR(__xludf.DUMMYFUNCTION("""COMPUTED_VALUE"""),"")</f>
        <v/>
      </c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</row>
    <row r="700">
      <c r="A700" s="27" t="str">
        <f>IFERROR(__xludf.DUMMYFUNCTION("""COMPUTED_VALUE"""),"")</f>
        <v/>
      </c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</row>
    <row r="701">
      <c r="A701" s="27" t="str">
        <f>IFERROR(__xludf.DUMMYFUNCTION("""COMPUTED_VALUE"""),"")</f>
        <v/>
      </c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</row>
    <row r="702">
      <c r="A702" s="27" t="str">
        <f>IFERROR(__xludf.DUMMYFUNCTION("""COMPUTED_VALUE"""),"")</f>
        <v/>
      </c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</row>
    <row r="703">
      <c r="A703" s="27" t="str">
        <f>IFERROR(__xludf.DUMMYFUNCTION("""COMPUTED_VALUE"""),"")</f>
        <v/>
      </c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</row>
    <row r="704">
      <c r="A704" s="27" t="str">
        <f>IFERROR(__xludf.DUMMYFUNCTION("""COMPUTED_VALUE"""),"")</f>
        <v/>
      </c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</row>
    <row r="705">
      <c r="A705" s="27" t="str">
        <f>IFERROR(__xludf.DUMMYFUNCTION("""COMPUTED_VALUE"""),"")</f>
        <v/>
      </c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</row>
    <row r="706">
      <c r="A706" s="27" t="str">
        <f>IFERROR(__xludf.DUMMYFUNCTION("""COMPUTED_VALUE"""),"")</f>
        <v/>
      </c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</row>
    <row r="707">
      <c r="A707" s="27" t="str">
        <f>IFERROR(__xludf.DUMMYFUNCTION("""COMPUTED_VALUE"""),"")</f>
        <v/>
      </c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</row>
    <row r="708">
      <c r="A708" s="27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</row>
    <row r="709">
      <c r="A709" s="27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</row>
    <row r="710">
      <c r="A710" s="27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</row>
    <row r="711">
      <c r="A711" s="27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</row>
    <row r="712">
      <c r="A712" s="27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</row>
    <row r="713">
      <c r="A713" s="27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</row>
    <row r="714">
      <c r="A714" s="27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</row>
    <row r="715">
      <c r="A715" s="27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</row>
    <row r="716">
      <c r="A716" s="27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</row>
    <row r="717">
      <c r="A717" s="27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</row>
    <row r="718">
      <c r="A718" s="27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</row>
    <row r="719">
      <c r="A719" s="27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</row>
    <row r="720">
      <c r="A720" s="27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</row>
    <row r="721">
      <c r="A721" s="27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</row>
    <row r="722">
      <c r="A722" s="27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</row>
    <row r="723">
      <c r="A723" s="27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</row>
    <row r="724">
      <c r="A724" s="27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</row>
    <row r="725">
      <c r="A725" s="27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</row>
    <row r="726">
      <c r="A726" s="27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</row>
    <row r="727">
      <c r="A727" s="27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</row>
    <row r="728">
      <c r="A728" s="27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</row>
    <row r="729">
      <c r="A729" s="27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</row>
    <row r="730">
      <c r="A730" s="27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</row>
    <row r="731">
      <c r="A731" s="2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</row>
    <row r="732">
      <c r="A732" s="27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</row>
    <row r="733">
      <c r="A733" s="27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</row>
    <row r="734">
      <c r="A734" s="27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</row>
    <row r="735">
      <c r="A735" s="27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</row>
    <row r="736">
      <c r="A736" s="27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</row>
    <row r="737">
      <c r="A737" s="27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</row>
    <row r="738">
      <c r="A738" s="27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</row>
    <row r="739">
      <c r="A739" s="27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</row>
    <row r="740">
      <c r="A740" s="27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</row>
    <row r="741">
      <c r="A741" s="27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</row>
    <row r="742">
      <c r="A742" s="27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</row>
    <row r="743">
      <c r="A743" s="27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</row>
    <row r="744">
      <c r="A744" s="27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</row>
    <row r="745">
      <c r="A745" s="27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</row>
    <row r="746">
      <c r="A746" s="27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</row>
    <row r="747">
      <c r="A747" s="27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</row>
    <row r="748">
      <c r="A748" s="27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</row>
    <row r="749">
      <c r="A749" s="27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5"/>
    <col customWidth="1" min="3" max="3" width="10.38"/>
    <col customWidth="1" min="4" max="4" width="27.13"/>
    <col customWidth="1" min="5" max="5" width="29.75"/>
    <col customWidth="1" min="6" max="6" width="93.38"/>
    <col customWidth="1" min="7" max="7" width="14.0"/>
    <col customWidth="1" min="8" max="8" width="8.13"/>
    <col customWidth="1" min="9" max="9" width="7.0"/>
    <col customWidth="1" min="10" max="10" width="8.13"/>
    <col customWidth="1" min="11" max="11" width="11.0"/>
    <col customWidth="1" min="12" max="12" width="15.0"/>
    <col customWidth="1" min="13" max="13" width="8.88"/>
    <col customWidth="1" min="14" max="14" width="14.38"/>
    <col customWidth="1" min="15" max="17" width="7.0"/>
    <col customWidth="1" min="18" max="18" width="2.88"/>
    <col customWidth="1" min="19" max="19" width="2.75"/>
    <col customWidth="1" min="20" max="20" width="2.88"/>
    <col customWidth="1" min="21" max="26" width="1.88"/>
    <col customWidth="1" min="27" max="27" width="21.0"/>
    <col customWidth="1" min="28" max="28" width="9.38"/>
    <col customWidth="1" min="29" max="31" width="1.88"/>
    <col customWidth="1" min="32" max="32" width="2.88"/>
    <col customWidth="1" min="33" max="33" width="2.75"/>
    <col customWidth="1" min="34" max="34" width="2.88"/>
    <col customWidth="1" min="35" max="40" width="1.88"/>
    <col customWidth="1" min="41" max="41" width="21.5"/>
    <col customWidth="1" min="42" max="42" width="9.75"/>
    <col customWidth="1" min="43" max="45" width="1.88"/>
    <col customWidth="1" min="46" max="46" width="2.88"/>
    <col customWidth="1" min="47" max="47" width="2.75"/>
    <col customWidth="1" min="48" max="48" width="2.88"/>
    <col customWidth="1" min="49" max="54" width="1.88"/>
    <col customWidth="1" min="55" max="55" width="17.63"/>
    <col customWidth="1" min="56" max="56" width="15.13"/>
    <col customWidth="1" min="57" max="57" width="21.0"/>
    <col customWidth="1" min="58" max="58" width="24.5"/>
    <col customWidth="1" min="59" max="59" width="17.75"/>
    <col customWidth="1" min="60" max="60" width="15.25"/>
    <col customWidth="1" min="61" max="61" width="21.13"/>
    <col customWidth="1" min="62" max="62" width="8.13"/>
    <col customWidth="1" min="63" max="63" width="7.0"/>
    <col customWidth="1" min="64" max="64" width="15.5"/>
  </cols>
  <sheetData>
    <row r="1" ht="54.75" customHeight="1">
      <c r="A1" s="25" t="str">
        <f>IFERROR(__xludf.DUMMYFUNCTION("IMPORTRANGE(""1r--qa2i5jCx8YeQ_mLlUrqLRTQh7y-fik2wTdRKBimk/edit?gid=700634828#gid=700634828"",""KELAS III!A2:BF750"")"),"NO")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IFERROR(__xludf.DUMMYFUNCTION("""COMPUTED_VALUE"""),"AYAH")</f>
        <v>AYAH</v>
      </c>
      <c r="E1" s="25" t="str">
        <f>IFERROR(__xludf.DUMMYFUNCTION("""COMPUTED_VALUE"""),"IBU")</f>
        <v>IBU</v>
      </c>
      <c r="F1" s="25" t="str">
        <f>IFERROR(__xludf.DUMMYFUNCTION("""COMPUTED_VALUE"""),"ALAMAT")</f>
        <v>ALAMAT</v>
      </c>
      <c r="G1" s="25" t="str">
        <f>IFERROR(__xludf.DUMMYFUNCTION("""COMPUTED_VALUE"""),"SEKOLAH")</f>
        <v>SEKOLAH</v>
      </c>
      <c r="H1" s="25" t="str">
        <f>IFERROR(__xludf.DUMMYFUNCTION("""COMPUTED_VALUE"""),"ASRAMA")</f>
        <v>ASRAMA</v>
      </c>
      <c r="I1" s="25" t="str">
        <f>IFERROR(__xludf.DUMMYFUNCTION("""COMPUTED_VALUE"""),"KAMAR")</f>
        <v>KAMAR</v>
      </c>
      <c r="J1" s="25" t="str">
        <f>IFERROR(__xludf.DUMMYFUNCTION("""COMPUTED_VALUE"""),"TINGKAT")</f>
        <v>TINGKAT</v>
      </c>
      <c r="K1" s="25" t="str">
        <f>IFERROR(__xludf.DUMMYFUNCTION("""COMPUTED_VALUE"""),"MADRASIAH")</f>
        <v>MADRASIAH</v>
      </c>
      <c r="L1" s="26" t="str">
        <f>IFERROR(__xludf.DUMMYFUNCTION("""COMPUTED_VALUE"""),"HP")</f>
        <v>HP</v>
      </c>
      <c r="M1" s="25" t="str">
        <f>IFERROR(__xludf.DUMMYFUNCTION("""COMPUTED_VALUE"""),"JARIYAH I")</f>
        <v>JARIYAH I</v>
      </c>
      <c r="N1" s="25" t="str">
        <f>IFERROR(__xludf.DUMMYFUNCTION("""COMPUTED_VALUE"""),"DANA KEGIATAN")</f>
        <v>DANA KEGIATAN</v>
      </c>
      <c r="O1" s="25">
        <f>IFERROR(__xludf.DUMMYFUNCTION("""COMPUTED_VALUE"""),7.0)</f>
        <v>7</v>
      </c>
      <c r="P1" s="25">
        <f>IFERROR(__xludf.DUMMYFUNCTION("""COMPUTED_VALUE"""),8.0)</f>
        <v>8</v>
      </c>
      <c r="Q1" s="25">
        <f>IFERROR(__xludf.DUMMYFUNCTION("""COMPUTED_VALUE"""),9.0)</f>
        <v>9</v>
      </c>
      <c r="R1" s="25">
        <f>IFERROR(__xludf.DUMMYFUNCTION("""COMPUTED_VALUE"""),10.0)</f>
        <v>10</v>
      </c>
      <c r="S1" s="25">
        <f>IFERROR(__xludf.DUMMYFUNCTION("""COMPUTED_VALUE"""),11.0)</f>
        <v>11</v>
      </c>
      <c r="T1" s="25">
        <f>IFERROR(__xludf.DUMMYFUNCTION("""COMPUTED_VALUE"""),12.0)</f>
        <v>12</v>
      </c>
      <c r="U1" s="25">
        <f>IFERROR(__xludf.DUMMYFUNCTION("""COMPUTED_VALUE"""),1.0)</f>
        <v>1</v>
      </c>
      <c r="V1" s="25">
        <f>IFERROR(__xludf.DUMMYFUNCTION("""COMPUTED_VALUE"""),2.0)</f>
        <v>2</v>
      </c>
      <c r="W1" s="25">
        <f>IFERROR(__xludf.DUMMYFUNCTION("""COMPUTED_VALUE"""),3.0)</f>
        <v>3</v>
      </c>
      <c r="X1" s="25">
        <f>IFERROR(__xludf.DUMMYFUNCTION("""COMPUTED_VALUE"""),4.0)</f>
        <v>4</v>
      </c>
      <c r="Y1" s="25">
        <f>IFERROR(__xludf.DUMMYFUNCTION("""COMPUTED_VALUE"""),5.0)</f>
        <v>5</v>
      </c>
      <c r="Z1" s="25">
        <f>IFERROR(__xludf.DUMMYFUNCTION("""COMPUTED_VALUE"""),6.0)</f>
        <v>6</v>
      </c>
      <c r="AA1" s="25" t="str">
        <f>IFERROR(__xludf.DUMMYFUNCTION("""COMPUTED_VALUE"""),"DAFTAR ULANG KELAS II")</f>
        <v>DAFTAR ULANG KELAS II</v>
      </c>
      <c r="AB1" s="25" t="str">
        <f>IFERROR(__xludf.DUMMYFUNCTION("""COMPUTED_VALUE"""),"JARIYAH II")</f>
        <v>JARIYAH II</v>
      </c>
      <c r="AC1" s="25">
        <f>IFERROR(__xludf.DUMMYFUNCTION("""COMPUTED_VALUE"""),7.0)</f>
        <v>7</v>
      </c>
      <c r="AD1" s="25">
        <f>IFERROR(__xludf.DUMMYFUNCTION("""COMPUTED_VALUE"""),8.0)</f>
        <v>8</v>
      </c>
      <c r="AE1" s="25">
        <f>IFERROR(__xludf.DUMMYFUNCTION("""COMPUTED_VALUE"""),9.0)</f>
        <v>9</v>
      </c>
      <c r="AF1" s="25">
        <f>IFERROR(__xludf.DUMMYFUNCTION("""COMPUTED_VALUE"""),10.0)</f>
        <v>10</v>
      </c>
      <c r="AG1" s="25">
        <f>IFERROR(__xludf.DUMMYFUNCTION("""COMPUTED_VALUE"""),11.0)</f>
        <v>11</v>
      </c>
      <c r="AH1" s="25">
        <f>IFERROR(__xludf.DUMMYFUNCTION("""COMPUTED_VALUE"""),12.0)</f>
        <v>12</v>
      </c>
      <c r="AI1" s="25">
        <f>IFERROR(__xludf.DUMMYFUNCTION("""COMPUTED_VALUE"""),1.0)</f>
        <v>1</v>
      </c>
      <c r="AJ1" s="25">
        <f>IFERROR(__xludf.DUMMYFUNCTION("""COMPUTED_VALUE"""),2.0)</f>
        <v>2</v>
      </c>
      <c r="AK1" s="25">
        <f>IFERROR(__xludf.DUMMYFUNCTION("""COMPUTED_VALUE"""),3.0)</f>
        <v>3</v>
      </c>
      <c r="AL1" s="25">
        <f>IFERROR(__xludf.DUMMYFUNCTION("""COMPUTED_VALUE"""),4.0)</f>
        <v>4</v>
      </c>
      <c r="AM1" s="25">
        <f>IFERROR(__xludf.DUMMYFUNCTION("""COMPUTED_VALUE"""),5.0)</f>
        <v>5</v>
      </c>
      <c r="AN1" s="25">
        <f>IFERROR(__xludf.DUMMYFUNCTION("""COMPUTED_VALUE"""),6.0)</f>
        <v>6</v>
      </c>
      <c r="AO1" s="25" t="str">
        <f>IFERROR(__xludf.DUMMYFUNCTION("""COMPUTED_VALUE"""),"DAFTAR ULANG KELAS III")</f>
        <v>DAFTAR ULANG KELAS III</v>
      </c>
      <c r="AP1" s="25" t="str">
        <f>IFERROR(__xludf.DUMMYFUNCTION("""COMPUTED_VALUE"""),"JARIYAH III")</f>
        <v>JARIYAH III</v>
      </c>
      <c r="AQ1" s="25">
        <f>IFERROR(__xludf.DUMMYFUNCTION("""COMPUTED_VALUE"""),7.0)</f>
        <v>7</v>
      </c>
      <c r="AR1" s="25">
        <f>IFERROR(__xludf.DUMMYFUNCTION("""COMPUTED_VALUE"""),8.0)</f>
        <v>8</v>
      </c>
      <c r="AS1" s="25">
        <f>IFERROR(__xludf.DUMMYFUNCTION("""COMPUTED_VALUE"""),9.0)</f>
        <v>9</v>
      </c>
      <c r="AT1" s="25">
        <f>IFERROR(__xludf.DUMMYFUNCTION("""COMPUTED_VALUE"""),10.0)</f>
        <v>10</v>
      </c>
      <c r="AU1" s="25">
        <f>IFERROR(__xludf.DUMMYFUNCTION("""COMPUTED_VALUE"""),11.0)</f>
        <v>11</v>
      </c>
      <c r="AV1" s="25">
        <f>IFERROR(__xludf.DUMMYFUNCTION("""COMPUTED_VALUE"""),12.0)</f>
        <v>12</v>
      </c>
      <c r="AW1" s="25">
        <f>IFERROR(__xludf.DUMMYFUNCTION("""COMPUTED_VALUE"""),1.0)</f>
        <v>1</v>
      </c>
      <c r="AX1" s="25">
        <f>IFERROR(__xludf.DUMMYFUNCTION("""COMPUTED_VALUE"""),2.0)</f>
        <v>2</v>
      </c>
      <c r="AY1" s="25">
        <f>IFERROR(__xludf.DUMMYFUNCTION("""COMPUTED_VALUE"""),3.0)</f>
        <v>3</v>
      </c>
      <c r="AZ1" s="25">
        <f>IFERROR(__xludf.DUMMYFUNCTION("""COMPUTED_VALUE"""),4.0)</f>
        <v>4</v>
      </c>
      <c r="BA1" s="25">
        <f>IFERROR(__xludf.DUMMYFUNCTION("""COMPUTED_VALUE"""),5.0)</f>
        <v>5</v>
      </c>
      <c r="BB1" s="25">
        <f>IFERROR(__xludf.DUMMYFUNCTION("""COMPUTED_VALUE"""),6.0)</f>
        <v>6</v>
      </c>
      <c r="BC1" s="25" t="str">
        <f>IFERROR(__xludf.DUMMYFUNCTION("""COMPUTED_VALUE"""),"JUMLAH SYAHRIYAH")</f>
        <v>JUMLAH SYAHRIYAH</v>
      </c>
      <c r="BD1" s="25" t="str">
        <f>IFERROR(__xludf.DUMMYFUNCTION("""COMPUTED_VALUE"""),"JUMLAH JARIYAH")</f>
        <v>JUMLAH JARIYAH</v>
      </c>
      <c r="BE1" s="25" t="str">
        <f>IFERROR(__xludf.DUMMYFUNCTION("""COMPUTED_VALUE"""),"JUMLAH DAFTAR ULANG")</f>
        <v>JUMLAH DAFTAR ULANG</v>
      </c>
      <c r="BF1" s="25" t="str">
        <f>IFERROR(__xludf.DUMMYFUNCTION("""COMPUTED_VALUE"""),"JUMLAH TOTAL TUNGGAKAN")</f>
        <v>JUMLAH TOTAL TUNGGAKAN</v>
      </c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</row>
    <row r="2">
      <c r="A2" s="27">
        <f>IFERROR(__xludf.DUMMYFUNCTION("""COMPUTED_VALUE"""),1.0)</f>
        <v>1</v>
      </c>
      <c r="B2" s="28" t="str">
        <f>IFERROR(__xludf.DUMMYFUNCTION("""COMPUTED_VALUE"""),"AHMAD AZKA ALFIKRI")</f>
        <v>AHMAD AZKA ALFIKRI</v>
      </c>
      <c r="C2" s="28">
        <f>IFERROR(__xludf.DUMMYFUNCTION("""COMPUTED_VALUE"""),2.024070554E9)</f>
        <v>2024070554</v>
      </c>
      <c r="D2" s="28" t="str">
        <f>IFERROR(__xludf.DUMMYFUNCTION("""COMPUTED_VALUE"""),"AGUS DIDIK ERMANU")</f>
        <v>AGUS DIDIK ERMANU</v>
      </c>
      <c r="E2" s="28" t="str">
        <f>IFERROR(__xludf.DUMMYFUNCTION("""COMPUTED_VALUE"""),"MASRUAH")</f>
        <v>MASRUAH</v>
      </c>
      <c r="F2" s="28" t="str">
        <f>IFERROR(__xludf.DUMMYFUNCTION("""COMPUTED_VALUE"""),"LASEM RT 001 RW 001 SIDAYU GRESIK")</f>
        <v>LASEM RT 001 RW 001 SIDAYU GRESIK</v>
      </c>
      <c r="G2" s="28" t="str">
        <f>IFERROR(__xludf.DUMMYFUNCTION("""COMPUTED_VALUE"""),"MTS-9 E")</f>
        <v>MTS-9 E</v>
      </c>
      <c r="H2" s="28" t="str">
        <f>IFERROR(__xludf.DUMMYFUNCTION("""COMPUTED_VALUE"""),"A")</f>
        <v>A</v>
      </c>
      <c r="I2" s="28" t="str">
        <f>IFERROR(__xludf.DUMMYFUNCTION("""COMPUTED_VALUE"""),"A-7")</f>
        <v>A-7</v>
      </c>
      <c r="J2" s="28">
        <f>IFERROR(__xludf.DUMMYFUNCTION("""COMPUTED_VALUE"""),3.0)</f>
        <v>3</v>
      </c>
      <c r="K2" s="28" t="str">
        <f>IFERROR(__xludf.DUMMYFUNCTION("""COMPUTED_VALUE"""),"3 ULA B PUTRA")</f>
        <v>3 ULA B PUTRA</v>
      </c>
      <c r="L2" s="29" t="str">
        <f>IFERROR(__xludf.DUMMYFUNCTION("""COMPUTED_VALUE"""),"6285645389910")</f>
        <v>6285645389910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2">
        <f>IFERROR(__xludf.DUMMYFUNCTION("""COMPUTED_VALUE"""),0.0)</f>
        <v>0</v>
      </c>
      <c r="BD2" s="22">
        <f>IFERROR(__xludf.DUMMYFUNCTION("""COMPUTED_VALUE"""),0.0)</f>
        <v>0</v>
      </c>
      <c r="BE2" s="22">
        <f>IFERROR(__xludf.DUMMYFUNCTION("""COMPUTED_VALUE"""),0.0)</f>
        <v>0</v>
      </c>
      <c r="BF2" s="22">
        <f>IFERROR(__xludf.DUMMYFUNCTION("""COMPUTED_VALUE"""),0.0)</f>
        <v>0</v>
      </c>
    </row>
    <row r="3">
      <c r="A3" s="27">
        <f>IFERROR(__xludf.DUMMYFUNCTION("""COMPUTED_VALUE"""),2.0)</f>
        <v>2</v>
      </c>
      <c r="B3" s="28" t="str">
        <f>IFERROR(__xludf.DUMMYFUNCTION("""COMPUTED_VALUE"""),"AHMAD BAHRUL FITRONI")</f>
        <v>AHMAD BAHRUL FITRONI</v>
      </c>
      <c r="C3" s="28">
        <f>IFERROR(__xludf.DUMMYFUNCTION("""COMPUTED_VALUE"""),2.024070534E9)</f>
        <v>2024070534</v>
      </c>
      <c r="D3" s="28" t="str">
        <f>IFERROR(__xludf.DUMMYFUNCTION("""COMPUTED_VALUE"""),"ILYAS")</f>
        <v>ILYAS</v>
      </c>
      <c r="E3" s="28" t="str">
        <f>IFERROR(__xludf.DUMMYFUNCTION("""COMPUTED_VALUE"""),"SRI MULYATI")</f>
        <v>SRI MULYATI</v>
      </c>
      <c r="F3" s="28" t="str">
        <f>IFERROR(__xludf.DUMMYFUNCTION("""COMPUTED_VALUE"""),"KEBET RT 005 RW 001 LAMONGAN LAMONGAN")</f>
        <v>KEBET RT 005 RW 001 LAMONGAN LAMONGAN</v>
      </c>
      <c r="G3" s="28" t="str">
        <f>IFERROR(__xludf.DUMMYFUNCTION("""COMPUTED_VALUE"""),"MTS-9 E")</f>
        <v>MTS-9 E</v>
      </c>
      <c r="H3" s="28" t="str">
        <f>IFERROR(__xludf.DUMMYFUNCTION("""COMPUTED_VALUE"""),"A")</f>
        <v>A</v>
      </c>
      <c r="I3" s="28" t="str">
        <f>IFERROR(__xludf.DUMMYFUNCTION("""COMPUTED_VALUE"""),"A-8")</f>
        <v>A-8</v>
      </c>
      <c r="J3" s="28">
        <f>IFERROR(__xludf.DUMMYFUNCTION("""COMPUTED_VALUE"""),3.0)</f>
        <v>3</v>
      </c>
      <c r="K3" s="28" t="str">
        <f>IFERROR(__xludf.DUMMYFUNCTION("""COMPUTED_VALUE"""),"3 ULA B PUTRA")</f>
        <v>3 ULA B PUTRA</v>
      </c>
      <c r="L3" s="29" t="str">
        <f>IFERROR(__xludf.DUMMYFUNCTION("""COMPUTED_VALUE"""),"6285812677937")</f>
        <v>6285812677937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2">
        <f>IFERROR(__xludf.DUMMYFUNCTION("""COMPUTED_VALUE"""),500000.0)</f>
        <v>500000</v>
      </c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2">
        <f>IFERROR(__xludf.DUMMYFUNCTION("""COMPUTED_VALUE"""),0.0)</f>
        <v>0</v>
      </c>
      <c r="BD3" s="22">
        <f>IFERROR(__xludf.DUMMYFUNCTION("""COMPUTED_VALUE"""),500000.0)</f>
        <v>500000</v>
      </c>
      <c r="BE3" s="22">
        <f>IFERROR(__xludf.DUMMYFUNCTION("""COMPUTED_VALUE"""),0.0)</f>
        <v>0</v>
      </c>
      <c r="BF3" s="22">
        <f>IFERROR(__xludf.DUMMYFUNCTION("""COMPUTED_VALUE"""),500000.0)</f>
        <v>500000</v>
      </c>
    </row>
    <row r="4">
      <c r="A4" s="27">
        <f>IFERROR(__xludf.DUMMYFUNCTION("""COMPUTED_VALUE"""),3.0)</f>
        <v>3</v>
      </c>
      <c r="B4" s="28" t="str">
        <f>IFERROR(__xludf.DUMMYFUNCTION("""COMPUTED_VALUE"""),"AHMAD BAKER ADLAN")</f>
        <v>AHMAD BAKER ADLAN</v>
      </c>
      <c r="C4" s="28">
        <f>IFERROR(__xludf.DUMMYFUNCTION("""COMPUTED_VALUE"""),2.02407065E9)</f>
        <v>2024070650</v>
      </c>
      <c r="D4" s="28" t="str">
        <f>IFERROR(__xludf.DUMMYFUNCTION("""COMPUTED_VALUE"""),"EKO MIFTAHUL ANAM")</f>
        <v>EKO MIFTAHUL ANAM</v>
      </c>
      <c r="E4" s="28" t="str">
        <f>IFERROR(__xludf.DUMMYFUNCTION("""COMPUTED_VALUE"""),"NOVRI YANTI")</f>
        <v>NOVRI YANTI</v>
      </c>
      <c r="F4" s="28" t="str">
        <f>IFERROR(__xludf.DUMMYFUNCTION("""COMPUTED_VALUE"""),"DAGAN RT 003 RW 003 SOLOKURO LAMONGAN")</f>
        <v>DAGAN RT 003 RW 003 SOLOKURO LAMONGAN</v>
      </c>
      <c r="G4" s="28" t="str">
        <f>IFERROR(__xludf.DUMMYFUNCTION("""COMPUTED_VALUE"""),"MTS-9 B")</f>
        <v>MTS-9 B</v>
      </c>
      <c r="H4" s="28" t="str">
        <f>IFERROR(__xludf.DUMMYFUNCTION("""COMPUTED_VALUE"""),"A")</f>
        <v>A</v>
      </c>
      <c r="I4" s="28" t="str">
        <f>IFERROR(__xludf.DUMMYFUNCTION("""COMPUTED_VALUE"""),"A-7")</f>
        <v>A-7</v>
      </c>
      <c r="J4" s="28">
        <f>IFERROR(__xludf.DUMMYFUNCTION("""COMPUTED_VALUE"""),3.0)</f>
        <v>3</v>
      </c>
      <c r="K4" s="28" t="str">
        <f>IFERROR(__xludf.DUMMYFUNCTION("""COMPUTED_VALUE"""),"3 ULA A PUTRA")</f>
        <v>3 ULA A PUTRA</v>
      </c>
      <c r="L4" s="29" t="str">
        <f>IFERROR(__xludf.DUMMYFUNCTION("""COMPUTED_VALUE"""),"6285765987279")</f>
        <v>6285765987279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2">
        <f>IFERROR(__xludf.DUMMYFUNCTION("""COMPUTED_VALUE"""),500000.0)</f>
        <v>500000</v>
      </c>
      <c r="AC4" s="28"/>
      <c r="AD4" s="22">
        <f>IFERROR(__xludf.DUMMYFUNCTION("""COMPUTED_VALUE"""),450000.0)</f>
        <v>450000</v>
      </c>
      <c r="AE4" s="22">
        <f>IFERROR(__xludf.DUMMYFUNCTION("""COMPUTED_VALUE"""),450000.0)</f>
        <v>450000</v>
      </c>
      <c r="AF4" s="22">
        <f>IFERROR(__xludf.DUMMYFUNCTION("""COMPUTED_VALUE"""),450000.0)</f>
        <v>450000</v>
      </c>
      <c r="AG4" s="22">
        <f>IFERROR(__xludf.DUMMYFUNCTION("""COMPUTED_VALUE"""),450000.0)</f>
        <v>450000</v>
      </c>
      <c r="AH4" s="22">
        <f>IFERROR(__xludf.DUMMYFUNCTION("""COMPUTED_VALUE"""),450000.0)</f>
        <v>450000</v>
      </c>
      <c r="AI4" s="22">
        <f>IFERROR(__xludf.DUMMYFUNCTION("""COMPUTED_VALUE"""),450000.0)</f>
        <v>450000</v>
      </c>
      <c r="AJ4" s="22">
        <f>IFERROR(__xludf.DUMMYFUNCTION("""COMPUTED_VALUE"""),450000.0)</f>
        <v>450000</v>
      </c>
      <c r="AK4" s="22">
        <f>IFERROR(__xludf.DUMMYFUNCTION("""COMPUTED_VALUE"""),450000.0)</f>
        <v>450000</v>
      </c>
      <c r="AL4" s="22">
        <f>IFERROR(__xludf.DUMMYFUNCTION("""COMPUTED_VALUE"""),450000.0)</f>
        <v>450000</v>
      </c>
      <c r="AM4" s="22">
        <f>IFERROR(__xludf.DUMMYFUNCTION("""COMPUTED_VALUE"""),450000.0)</f>
        <v>450000</v>
      </c>
      <c r="AN4" s="22">
        <f>IFERROR(__xludf.DUMMYFUNCTION("""COMPUTED_VALUE"""),450000.0)</f>
        <v>450000</v>
      </c>
      <c r="AO4" s="28"/>
      <c r="AP4" s="22">
        <f>IFERROR(__xludf.DUMMYFUNCTION("""COMPUTED_VALUE"""),500000.0)</f>
        <v>500000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2">
        <f>IFERROR(__xludf.DUMMYFUNCTION("""COMPUTED_VALUE"""),4950000.0)</f>
        <v>4950000</v>
      </c>
      <c r="BD4" s="22">
        <f>IFERROR(__xludf.DUMMYFUNCTION("""COMPUTED_VALUE"""),1000000.0)</f>
        <v>1000000</v>
      </c>
      <c r="BE4" s="22">
        <f>IFERROR(__xludf.DUMMYFUNCTION("""COMPUTED_VALUE"""),0.0)</f>
        <v>0</v>
      </c>
      <c r="BF4" s="22">
        <f>IFERROR(__xludf.DUMMYFUNCTION("""COMPUTED_VALUE"""),5950000.0)</f>
        <v>5950000</v>
      </c>
    </row>
    <row r="5">
      <c r="A5" s="27">
        <f>IFERROR(__xludf.DUMMYFUNCTION("""COMPUTED_VALUE"""),4.0)</f>
        <v>4</v>
      </c>
      <c r="B5" s="28" t="str">
        <f>IFERROR(__xludf.DUMMYFUNCTION("""COMPUTED_VALUE"""),"AHMAD HAFIDZ RIZKI AL ZAMZAMI")</f>
        <v>AHMAD HAFIDZ RIZKI AL ZAMZAMI</v>
      </c>
      <c r="C5" s="28">
        <f>IFERROR(__xludf.DUMMYFUNCTION("""COMPUTED_VALUE"""),2.024070615E9)</f>
        <v>2024070615</v>
      </c>
      <c r="D5" s="28" t="str">
        <f>IFERROR(__xludf.DUMMYFUNCTION("""COMPUTED_VALUE"""),"MUJIONO")</f>
        <v>MUJIONO</v>
      </c>
      <c r="E5" s="28" t="str">
        <f>IFERROR(__xludf.DUMMYFUNCTION("""COMPUTED_VALUE"""),"SITI ZUMAROH")</f>
        <v>SITI ZUMAROH</v>
      </c>
      <c r="F5" s="28" t="str">
        <f>IFERROR(__xludf.DUMMYFUNCTION("""COMPUTED_VALUE"""),"GLUMO JELAKCATUR RT 003 RW 005 KALITENGAH LAMONGAN")</f>
        <v>GLUMO JELAKCATUR RT 003 RW 005 KALITENGAH LAMONGAN</v>
      </c>
      <c r="G5" s="28" t="str">
        <f>IFERROR(__xludf.DUMMYFUNCTION("""COMPUTED_VALUE"""),"MTS-9 E")</f>
        <v>MTS-9 E</v>
      </c>
      <c r="H5" s="28" t="str">
        <f>IFERROR(__xludf.DUMMYFUNCTION("""COMPUTED_VALUE"""),"A")</f>
        <v>A</v>
      </c>
      <c r="I5" s="28" t="str">
        <f>IFERROR(__xludf.DUMMYFUNCTION("""COMPUTED_VALUE"""),"A-7")</f>
        <v>A-7</v>
      </c>
      <c r="J5" s="28">
        <f>IFERROR(__xludf.DUMMYFUNCTION("""COMPUTED_VALUE"""),3.0)</f>
        <v>3</v>
      </c>
      <c r="K5" s="28" t="str">
        <f>IFERROR(__xludf.DUMMYFUNCTION("""COMPUTED_VALUE"""),"3 ULA B PUTRA")</f>
        <v>3 ULA B PUTRA</v>
      </c>
      <c r="L5" s="29" t="str">
        <f>IFERROR(__xludf.DUMMYFUNCTION("""COMPUTED_VALUE"""),"6285759930572")</f>
        <v>6285759930572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2">
        <f>IFERROR(__xludf.DUMMYFUNCTION("""COMPUTED_VALUE"""),0.0)</f>
        <v>0</v>
      </c>
      <c r="BD5" s="22">
        <f>IFERROR(__xludf.DUMMYFUNCTION("""COMPUTED_VALUE"""),0.0)</f>
        <v>0</v>
      </c>
      <c r="BE5" s="22">
        <f>IFERROR(__xludf.DUMMYFUNCTION("""COMPUTED_VALUE"""),0.0)</f>
        <v>0</v>
      </c>
      <c r="BF5" s="22">
        <f>IFERROR(__xludf.DUMMYFUNCTION("""COMPUTED_VALUE"""),0.0)</f>
        <v>0</v>
      </c>
    </row>
    <row r="6">
      <c r="A6" s="27">
        <f>IFERROR(__xludf.DUMMYFUNCTION("""COMPUTED_VALUE"""),5.0)</f>
        <v>5</v>
      </c>
      <c r="B6" s="28" t="str">
        <f>IFERROR(__xludf.DUMMYFUNCTION("""COMPUTED_VALUE"""),"AHMAD MUZAKKI")</f>
        <v>AHMAD MUZAKKI</v>
      </c>
      <c r="C6" s="28">
        <f>IFERROR(__xludf.DUMMYFUNCTION("""COMPUTED_VALUE"""),2.024070502E9)</f>
        <v>2024070502</v>
      </c>
      <c r="D6" s="28" t="str">
        <f>IFERROR(__xludf.DUMMYFUNCTION("""COMPUTED_VALUE"""),"MOCH. SAIFUL")</f>
        <v>MOCH. SAIFUL</v>
      </c>
      <c r="E6" s="28" t="str">
        <f>IFERROR(__xludf.DUMMYFUNCTION("""COMPUTED_VALUE"""),"FITRIATUN NADHIROH")</f>
        <v>FITRIATUN NADHIROH</v>
      </c>
      <c r="F6" s="28" t="str">
        <f>IFERROR(__xludf.DUMMYFUNCTION("""COMPUTED_VALUE"""),"JUBAK NGUWOK RT 014 RW 006 MODO LAMONGAN")</f>
        <v>JUBAK NGUWOK RT 014 RW 006 MODO LAMONGAN</v>
      </c>
      <c r="G6" s="28" t="str">
        <f>IFERROR(__xludf.DUMMYFUNCTION("""COMPUTED_VALUE"""),"MTS-9 E")</f>
        <v>MTS-9 E</v>
      </c>
      <c r="H6" s="28" t="str">
        <f>IFERROR(__xludf.DUMMYFUNCTION("""COMPUTED_VALUE"""),"A")</f>
        <v>A</v>
      </c>
      <c r="I6" s="28" t="str">
        <f>IFERROR(__xludf.DUMMYFUNCTION("""COMPUTED_VALUE"""),"A-8")</f>
        <v>A-8</v>
      </c>
      <c r="J6" s="28">
        <f>IFERROR(__xludf.DUMMYFUNCTION("""COMPUTED_VALUE"""),3.0)</f>
        <v>3</v>
      </c>
      <c r="K6" s="28" t="str">
        <f>IFERROR(__xludf.DUMMYFUNCTION("""COMPUTED_VALUE"""),"3 ULA A PUTRA")</f>
        <v>3 ULA A PUTRA</v>
      </c>
      <c r="L6" s="29" t="str">
        <f>IFERROR(__xludf.DUMMYFUNCTION("""COMPUTED_VALUE"""),"6285230826998")</f>
        <v>6285230826998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2">
        <f>IFERROR(__xludf.DUMMYFUNCTION("""COMPUTED_VALUE"""),0.0)</f>
        <v>0</v>
      </c>
      <c r="BD6" s="22">
        <f>IFERROR(__xludf.DUMMYFUNCTION("""COMPUTED_VALUE"""),0.0)</f>
        <v>0</v>
      </c>
      <c r="BE6" s="22">
        <f>IFERROR(__xludf.DUMMYFUNCTION("""COMPUTED_VALUE"""),0.0)</f>
        <v>0</v>
      </c>
      <c r="BF6" s="22">
        <f>IFERROR(__xludf.DUMMYFUNCTION("""COMPUTED_VALUE"""),0.0)</f>
        <v>0</v>
      </c>
    </row>
    <row r="7">
      <c r="A7" s="27">
        <f>IFERROR(__xludf.DUMMYFUNCTION("""COMPUTED_VALUE"""),6.0)</f>
        <v>6</v>
      </c>
      <c r="B7" s="28" t="str">
        <f>IFERROR(__xludf.DUMMYFUNCTION("""COMPUTED_VALUE"""),"AHMAD SUSETO ANGGA SUKMA")</f>
        <v>AHMAD SUSETO ANGGA SUKMA</v>
      </c>
      <c r="C7" s="28">
        <f>IFERROR(__xludf.DUMMYFUNCTION("""COMPUTED_VALUE"""),2.024070601E9)</f>
        <v>2024070601</v>
      </c>
      <c r="D7" s="28" t="str">
        <f>IFERROR(__xludf.DUMMYFUNCTION("""COMPUTED_VALUE"""),"SLAMET RATMINTO")</f>
        <v>SLAMET RATMINTO</v>
      </c>
      <c r="E7" s="28" t="str">
        <f>IFERROR(__xludf.DUMMYFUNCTION("""COMPUTED_VALUE"""),"MUSYAFAAH")</f>
        <v>MUSYAFAAH</v>
      </c>
      <c r="F7" s="28" t="str">
        <f>IFERROR(__xludf.DUMMYFUNCTION("""COMPUTED_VALUE"""),"WEDENG SUKOREJO RT 001 RW 003 KARANGBINANGUN LAMONGAN")</f>
        <v>WEDENG SUKOREJO RT 001 RW 003 KARANGBINANGUN LAMONGAN</v>
      </c>
      <c r="G7" s="28" t="str">
        <f>IFERROR(__xludf.DUMMYFUNCTION("""COMPUTED_VALUE"""),"MTS-9 E")</f>
        <v>MTS-9 E</v>
      </c>
      <c r="H7" s="28" t="str">
        <f>IFERROR(__xludf.DUMMYFUNCTION("""COMPUTED_VALUE"""),"A")</f>
        <v>A</v>
      </c>
      <c r="I7" s="28" t="str">
        <f>IFERROR(__xludf.DUMMYFUNCTION("""COMPUTED_VALUE"""),"A-7")</f>
        <v>A-7</v>
      </c>
      <c r="J7" s="28">
        <f>IFERROR(__xludf.DUMMYFUNCTION("""COMPUTED_VALUE"""),3.0)</f>
        <v>3</v>
      </c>
      <c r="K7" s="28" t="str">
        <f>IFERROR(__xludf.DUMMYFUNCTION("""COMPUTED_VALUE"""),"3 ULA B PUTRA")</f>
        <v>3 ULA B PUTRA</v>
      </c>
      <c r="L7" s="29" t="str">
        <f>IFERROR(__xludf.DUMMYFUNCTION("""COMPUTED_VALUE"""),"6281330117049")</f>
        <v>6281330117049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2">
        <f>IFERROR(__xludf.DUMMYFUNCTION("""COMPUTED_VALUE"""),450000.0)</f>
        <v>450000</v>
      </c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2">
        <f>IFERROR(__xludf.DUMMYFUNCTION("""COMPUTED_VALUE"""),450000.0)</f>
        <v>450000</v>
      </c>
      <c r="BD7" s="22">
        <f>IFERROR(__xludf.DUMMYFUNCTION("""COMPUTED_VALUE"""),0.0)</f>
        <v>0</v>
      </c>
      <c r="BE7" s="22">
        <f>IFERROR(__xludf.DUMMYFUNCTION("""COMPUTED_VALUE"""),0.0)</f>
        <v>0</v>
      </c>
      <c r="BF7" s="22">
        <f>IFERROR(__xludf.DUMMYFUNCTION("""COMPUTED_VALUE"""),450000.0)</f>
        <v>450000</v>
      </c>
    </row>
    <row r="8">
      <c r="A8" s="27">
        <f>IFERROR(__xludf.DUMMYFUNCTION("""COMPUTED_VALUE"""),7.0)</f>
        <v>7</v>
      </c>
      <c r="B8" s="28" t="str">
        <f>IFERROR(__xludf.DUMMYFUNCTION("""COMPUTED_VALUE"""),"ALFIYAN NADA FIRDAUS")</f>
        <v>ALFIYAN NADA FIRDAUS</v>
      </c>
      <c r="C8" s="28">
        <f>IFERROR(__xludf.DUMMYFUNCTION("""COMPUTED_VALUE"""),2.024070566E9)</f>
        <v>2024070566</v>
      </c>
      <c r="D8" s="28" t="str">
        <f>IFERROR(__xludf.DUMMYFUNCTION("""COMPUTED_VALUE"""),"SUTOMO")</f>
        <v>SUTOMO</v>
      </c>
      <c r="E8" s="28" t="str">
        <f>IFERROR(__xludf.DUMMYFUNCTION("""COMPUTED_VALUE"""),"KHUSNIYAH")</f>
        <v>KHUSNIYAH</v>
      </c>
      <c r="F8" s="28" t="str">
        <f>IFERROR(__xludf.DUMMYFUNCTION("""COMPUTED_VALUE"""),"BANGO PAYAMAN RT 004 RW 015 SOLOKURO LAMONGAN")</f>
        <v>BANGO PAYAMAN RT 004 RW 015 SOLOKURO LAMONGAN</v>
      </c>
      <c r="G8" s="28" t="str">
        <f>IFERROR(__xludf.DUMMYFUNCTION("""COMPUTED_VALUE"""),"MTS-9 A")</f>
        <v>MTS-9 A</v>
      </c>
      <c r="H8" s="28" t="str">
        <f>IFERROR(__xludf.DUMMYFUNCTION("""COMPUTED_VALUE"""),"A")</f>
        <v>A</v>
      </c>
      <c r="I8" s="28" t="str">
        <f>IFERROR(__xludf.DUMMYFUNCTION("""COMPUTED_VALUE"""),"A-13")</f>
        <v>A-13</v>
      </c>
      <c r="J8" s="28">
        <f>IFERROR(__xludf.DUMMYFUNCTION("""COMPUTED_VALUE"""),3.0)</f>
        <v>3</v>
      </c>
      <c r="K8" s="28" t="str">
        <f>IFERROR(__xludf.DUMMYFUNCTION("""COMPUTED_VALUE"""),"")</f>
        <v/>
      </c>
      <c r="L8" s="29" t="str">
        <f>IFERROR(__xludf.DUMMYFUNCTION("""COMPUTED_VALUE"""),"6285733111734")</f>
        <v>6285733111734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2">
        <f>IFERROR(__xludf.DUMMYFUNCTION("""COMPUTED_VALUE"""),410000.0)</f>
        <v>410000</v>
      </c>
      <c r="AO8" s="28"/>
      <c r="AP8" s="22">
        <f>IFERROR(__xludf.DUMMYFUNCTION("""COMPUTED_VALUE"""),500000.0)</f>
        <v>500000</v>
      </c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2">
        <f>IFERROR(__xludf.DUMMYFUNCTION("""COMPUTED_VALUE"""),410000.0)</f>
        <v>410000</v>
      </c>
      <c r="BD8" s="22">
        <f>IFERROR(__xludf.DUMMYFUNCTION("""COMPUTED_VALUE"""),500000.0)</f>
        <v>500000</v>
      </c>
      <c r="BE8" s="22">
        <f>IFERROR(__xludf.DUMMYFUNCTION("""COMPUTED_VALUE"""),0.0)</f>
        <v>0</v>
      </c>
      <c r="BF8" s="22">
        <f>IFERROR(__xludf.DUMMYFUNCTION("""COMPUTED_VALUE"""),910000.0)</f>
        <v>910000</v>
      </c>
    </row>
    <row r="9">
      <c r="A9" s="27">
        <f>IFERROR(__xludf.DUMMYFUNCTION("""COMPUTED_VALUE"""),8.0)</f>
        <v>8</v>
      </c>
      <c r="B9" s="28" t="str">
        <f>IFERROR(__xludf.DUMMYFUNCTION("""COMPUTED_VALUE"""),"ALMAIR FADHIL ABID ALHAQ")</f>
        <v>ALMAIR FADHIL ABID ALHAQ</v>
      </c>
      <c r="C9" s="28">
        <f>IFERROR(__xludf.DUMMYFUNCTION("""COMPUTED_VALUE"""),2.024070508E9)</f>
        <v>2024070508</v>
      </c>
      <c r="D9" s="28" t="str">
        <f>IFERROR(__xludf.DUMMYFUNCTION("""COMPUTED_VALUE"""),"MOHAMAD KHOLIS LUTFI")</f>
        <v>MOHAMAD KHOLIS LUTFI</v>
      </c>
      <c r="E9" s="28" t="str">
        <f>IFERROR(__xludf.DUMMYFUNCTION("""COMPUTED_VALUE"""),"IIN UMAYYAH")</f>
        <v>IIN UMAYYAH</v>
      </c>
      <c r="F9" s="28" t="str">
        <f>IFERROR(__xludf.DUMMYFUNCTION("""COMPUTED_VALUE"""),"JL. PENDIDIKAN 20 B RT 001 RW 005 BABAT LAMONGAN")</f>
        <v>JL. PENDIDIKAN 20 B RT 001 RW 005 BABAT LAMONGAN</v>
      </c>
      <c r="G9" s="28" t="str">
        <f>IFERROR(__xludf.DUMMYFUNCTION("""COMPUTED_VALUE"""),"MTS-9 C")</f>
        <v>MTS-9 C</v>
      </c>
      <c r="H9" s="28" t="str">
        <f>IFERROR(__xludf.DUMMYFUNCTION("""COMPUTED_VALUE"""),"A")</f>
        <v>A</v>
      </c>
      <c r="I9" s="28" t="str">
        <f>IFERROR(__xludf.DUMMYFUNCTION("""COMPUTED_VALUE"""),"A-7")</f>
        <v>A-7</v>
      </c>
      <c r="J9" s="28">
        <f>IFERROR(__xludf.DUMMYFUNCTION("""COMPUTED_VALUE"""),3.0)</f>
        <v>3</v>
      </c>
      <c r="K9" s="28" t="str">
        <f>IFERROR(__xludf.DUMMYFUNCTION("""COMPUTED_VALUE"""),"3 ULA A PUTRA")</f>
        <v>3 ULA A PUTRA</v>
      </c>
      <c r="L9" s="29" t="str">
        <f>IFERROR(__xludf.DUMMYFUNCTION("""COMPUTED_VALUE"""),"6285230844686")</f>
        <v>6285230844686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2">
        <f>IFERROR(__xludf.DUMMYFUNCTION("""COMPUTED_VALUE"""),500000.0)</f>
        <v>500000</v>
      </c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2">
        <f>IFERROR(__xludf.DUMMYFUNCTION("""COMPUTED_VALUE"""),450000.0)</f>
        <v>450000</v>
      </c>
      <c r="AO9" s="28"/>
      <c r="AP9" s="22">
        <f>IFERROR(__xludf.DUMMYFUNCTION("""COMPUTED_VALUE"""),500000.0)</f>
        <v>500000</v>
      </c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2">
        <f>IFERROR(__xludf.DUMMYFUNCTION("""COMPUTED_VALUE"""),450000.0)</f>
        <v>450000</v>
      </c>
      <c r="BD9" s="22">
        <f>IFERROR(__xludf.DUMMYFUNCTION("""COMPUTED_VALUE"""),1000000.0)</f>
        <v>1000000</v>
      </c>
      <c r="BE9" s="22">
        <f>IFERROR(__xludf.DUMMYFUNCTION("""COMPUTED_VALUE"""),0.0)</f>
        <v>0</v>
      </c>
      <c r="BF9" s="22">
        <f>IFERROR(__xludf.DUMMYFUNCTION("""COMPUTED_VALUE"""),1450000.0)</f>
        <v>1450000</v>
      </c>
    </row>
    <row r="10">
      <c r="A10" s="27">
        <f>IFERROR(__xludf.DUMMYFUNCTION("""COMPUTED_VALUE"""),9.0)</f>
        <v>9</v>
      </c>
      <c r="B10" s="28" t="str">
        <f>IFERROR(__xludf.DUMMYFUNCTION("""COMPUTED_VALUE"""),"ANDIKA CAHYO BUDI LAKSONO")</f>
        <v>ANDIKA CAHYO BUDI LAKSONO</v>
      </c>
      <c r="C10" s="28">
        <f>IFERROR(__xludf.DUMMYFUNCTION("""COMPUTED_VALUE"""),2.024070654E9)</f>
        <v>2024070654</v>
      </c>
      <c r="D10" s="28" t="str">
        <f>IFERROR(__xludf.DUMMYFUNCTION("""COMPUTED_VALUE"""),"KARIMAN")</f>
        <v>KARIMAN</v>
      </c>
      <c r="E10" s="28" t="str">
        <f>IFERROR(__xludf.DUMMYFUNCTION("""COMPUTED_VALUE"""),"USWATUN HASANAH")</f>
        <v>USWATUN HASANAH</v>
      </c>
      <c r="F10" s="28" t="str">
        <f>IFERROR(__xludf.DUMMYFUNCTION("""COMPUTED_VALUE"""),"KEMLAGIGEDE RT 007 RW 002 TURI LAMONGAN")</f>
        <v>KEMLAGIGEDE RT 007 RW 002 TURI LAMONGAN</v>
      </c>
      <c r="G10" s="28" t="str">
        <f>IFERROR(__xludf.DUMMYFUNCTION("""COMPUTED_VALUE"""),"MTS-9 F")</f>
        <v>MTS-9 F</v>
      </c>
      <c r="H10" s="28" t="str">
        <f>IFERROR(__xludf.DUMMYFUNCTION("""COMPUTED_VALUE"""),"A")</f>
        <v>A</v>
      </c>
      <c r="I10" s="28" t="str">
        <f>IFERROR(__xludf.DUMMYFUNCTION("""COMPUTED_VALUE"""),"A-7")</f>
        <v>A-7</v>
      </c>
      <c r="J10" s="28">
        <f>IFERROR(__xludf.DUMMYFUNCTION("""COMPUTED_VALUE"""),3.0)</f>
        <v>3</v>
      </c>
      <c r="K10" s="28" t="str">
        <f>IFERROR(__xludf.DUMMYFUNCTION("""COMPUTED_VALUE"""),"3 ULA A PUTRA")</f>
        <v>3 ULA A PUTRA</v>
      </c>
      <c r="L10" s="29" t="str">
        <f>IFERROR(__xludf.DUMMYFUNCTION("""COMPUTED_VALUE"""),"628579002358")</f>
        <v>628579002358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2">
        <f>IFERROR(__xludf.DUMMYFUNCTION("""COMPUTED_VALUE"""),500000.0)</f>
        <v>500000</v>
      </c>
      <c r="AC10" s="28"/>
      <c r="AD10" s="22">
        <f>IFERROR(__xludf.DUMMYFUNCTION("""COMPUTED_VALUE"""),450000.0)</f>
        <v>450000</v>
      </c>
      <c r="AE10" s="22">
        <f>IFERROR(__xludf.DUMMYFUNCTION("""COMPUTED_VALUE"""),450000.0)</f>
        <v>450000</v>
      </c>
      <c r="AF10" s="22">
        <f>IFERROR(__xludf.DUMMYFUNCTION("""COMPUTED_VALUE"""),450000.0)</f>
        <v>450000</v>
      </c>
      <c r="AG10" s="22">
        <f>IFERROR(__xludf.DUMMYFUNCTION("""COMPUTED_VALUE"""),450000.0)</f>
        <v>450000</v>
      </c>
      <c r="AH10" s="22">
        <f>IFERROR(__xludf.DUMMYFUNCTION("""COMPUTED_VALUE"""),450000.0)</f>
        <v>450000</v>
      </c>
      <c r="AI10" s="22">
        <f>IFERROR(__xludf.DUMMYFUNCTION("""COMPUTED_VALUE"""),450000.0)</f>
        <v>450000</v>
      </c>
      <c r="AJ10" s="22">
        <f>IFERROR(__xludf.DUMMYFUNCTION("""COMPUTED_VALUE"""),450000.0)</f>
        <v>450000</v>
      </c>
      <c r="AK10" s="22">
        <f>IFERROR(__xludf.DUMMYFUNCTION("""COMPUTED_VALUE"""),450000.0)</f>
        <v>450000</v>
      </c>
      <c r="AL10" s="22">
        <f>IFERROR(__xludf.DUMMYFUNCTION("""COMPUTED_VALUE"""),450000.0)</f>
        <v>450000</v>
      </c>
      <c r="AM10" s="22">
        <f>IFERROR(__xludf.DUMMYFUNCTION("""COMPUTED_VALUE"""),450000.0)</f>
        <v>450000</v>
      </c>
      <c r="AN10" s="22">
        <f>IFERROR(__xludf.DUMMYFUNCTION("""COMPUTED_VALUE"""),450000.0)</f>
        <v>450000</v>
      </c>
      <c r="AO10" s="28"/>
      <c r="AP10" s="22">
        <f>IFERROR(__xludf.DUMMYFUNCTION("""COMPUTED_VALUE"""),500000.0)</f>
        <v>500000</v>
      </c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2">
        <f>IFERROR(__xludf.DUMMYFUNCTION("""COMPUTED_VALUE"""),4950000.0)</f>
        <v>4950000</v>
      </c>
      <c r="BD10" s="22">
        <f>IFERROR(__xludf.DUMMYFUNCTION("""COMPUTED_VALUE"""),1000000.0)</f>
        <v>1000000</v>
      </c>
      <c r="BE10" s="22">
        <f>IFERROR(__xludf.DUMMYFUNCTION("""COMPUTED_VALUE"""),0.0)</f>
        <v>0</v>
      </c>
      <c r="BF10" s="22">
        <f>IFERROR(__xludf.DUMMYFUNCTION("""COMPUTED_VALUE"""),5950000.0)</f>
        <v>5950000</v>
      </c>
    </row>
    <row r="11">
      <c r="A11" s="27">
        <f>IFERROR(__xludf.DUMMYFUNCTION("""COMPUTED_VALUE"""),10.0)</f>
        <v>10</v>
      </c>
      <c r="B11" s="28" t="str">
        <f>IFERROR(__xludf.DUMMYFUNCTION("""COMPUTED_VALUE"""),"ARVEL ALIF SYAIFULLAH")</f>
        <v>ARVEL ALIF SYAIFULLAH</v>
      </c>
      <c r="C11" s="28">
        <f>IFERROR(__xludf.DUMMYFUNCTION("""COMPUTED_VALUE"""),2.024070652E9)</f>
        <v>2024070652</v>
      </c>
      <c r="D11" s="28" t="str">
        <f>IFERROR(__xludf.DUMMYFUNCTION("""COMPUTED_VALUE"""),"AMRI")</f>
        <v>AMRI</v>
      </c>
      <c r="E11" s="28" t="str">
        <f>IFERROR(__xludf.DUMMYFUNCTION("""COMPUTED_VALUE"""),"DEWI IRMAWATI")</f>
        <v>DEWI IRMAWATI</v>
      </c>
      <c r="F11" s="28" t="str">
        <f>IFERROR(__xludf.DUMMYFUNCTION("""COMPUTED_VALUE"""),"DUKUH GEMPOL PENDOWO RT 004 RW 002 GLAGAH LAMONGAN")</f>
        <v>DUKUH GEMPOL PENDOWO RT 004 RW 002 GLAGAH LAMONGAN</v>
      </c>
      <c r="G11" s="28" t="str">
        <f>IFERROR(__xludf.DUMMYFUNCTION("""COMPUTED_VALUE"""),"MTS-9 F")</f>
        <v>MTS-9 F</v>
      </c>
      <c r="H11" s="28" t="str">
        <f>IFERROR(__xludf.DUMMYFUNCTION("""COMPUTED_VALUE"""),"A")</f>
        <v>A</v>
      </c>
      <c r="I11" s="28" t="str">
        <f>IFERROR(__xludf.DUMMYFUNCTION("""COMPUTED_VALUE"""),"A-7")</f>
        <v>A-7</v>
      </c>
      <c r="J11" s="28">
        <f>IFERROR(__xludf.DUMMYFUNCTION("""COMPUTED_VALUE"""),3.0)</f>
        <v>3</v>
      </c>
      <c r="K11" s="28" t="str">
        <f>IFERROR(__xludf.DUMMYFUNCTION("""COMPUTED_VALUE"""),"3 ULA A PUTRA")</f>
        <v>3 ULA A PUTRA</v>
      </c>
      <c r="L11" s="29" t="str">
        <f>IFERROR(__xludf.DUMMYFUNCTION("""COMPUTED_VALUE"""),"6282139016910")</f>
        <v>6282139016910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2">
        <f>IFERROR(__xludf.DUMMYFUNCTION("""COMPUTED_VALUE"""),450000.0)</f>
        <v>450000</v>
      </c>
      <c r="AN11" s="22">
        <f>IFERROR(__xludf.DUMMYFUNCTION("""COMPUTED_VALUE"""),450000.0)</f>
        <v>450000</v>
      </c>
      <c r="AO11" s="28"/>
      <c r="AP11" s="22">
        <f>IFERROR(__xludf.DUMMYFUNCTION("""COMPUTED_VALUE"""),500000.0)</f>
        <v>500000</v>
      </c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2">
        <f>IFERROR(__xludf.DUMMYFUNCTION("""COMPUTED_VALUE"""),900000.0)</f>
        <v>900000</v>
      </c>
      <c r="BD11" s="22">
        <f>IFERROR(__xludf.DUMMYFUNCTION("""COMPUTED_VALUE"""),500000.0)</f>
        <v>500000</v>
      </c>
      <c r="BE11" s="22">
        <f>IFERROR(__xludf.DUMMYFUNCTION("""COMPUTED_VALUE"""),0.0)</f>
        <v>0</v>
      </c>
      <c r="BF11" s="22">
        <f>IFERROR(__xludf.DUMMYFUNCTION("""COMPUTED_VALUE"""),1400000.0)</f>
        <v>1400000</v>
      </c>
    </row>
    <row r="12">
      <c r="A12" s="27">
        <f>IFERROR(__xludf.DUMMYFUNCTION("""COMPUTED_VALUE"""),11.0)</f>
        <v>11</v>
      </c>
      <c r="B12" s="28" t="str">
        <f>IFERROR(__xludf.DUMMYFUNCTION("""COMPUTED_VALUE"""),"AZZA IBNU ARJUN")</f>
        <v>AZZA IBNU ARJUN</v>
      </c>
      <c r="C12" s="28">
        <f>IFERROR(__xludf.DUMMYFUNCTION("""COMPUTED_VALUE"""),2.024090771E9)</f>
        <v>2024090771</v>
      </c>
      <c r="D12" s="28" t="str">
        <f>IFERROR(__xludf.DUMMYFUNCTION("""COMPUTED_VALUE"""),"EDI SUCIPTO")</f>
        <v>EDI SUCIPTO</v>
      </c>
      <c r="E12" s="28" t="str">
        <f>IFERROR(__xludf.DUMMYFUNCTION("""COMPUTED_VALUE"""),"IKA NUR KHOLIFAH")</f>
        <v>IKA NUR KHOLIFAH</v>
      </c>
      <c r="F12" s="28" t="str">
        <f>IFERROR(__xludf.DUMMYFUNCTION("""COMPUTED_VALUE"""),"MALINAU HULU RT 009 RW 000 MALINAU KOTA MALINAU")</f>
        <v>MALINAU HULU RT 009 RW 000 MALINAU KOTA MALINAU</v>
      </c>
      <c r="G12" s="28" t="str">
        <f>IFERROR(__xludf.DUMMYFUNCTION("""COMPUTED_VALUE"""),"SMP-IX A")</f>
        <v>SMP-IX A</v>
      </c>
      <c r="H12" s="28" t="str">
        <f>IFERROR(__xludf.DUMMYFUNCTION("""COMPUTED_VALUE"""),"A")</f>
        <v>A</v>
      </c>
      <c r="I12" s="28" t="str">
        <f>IFERROR(__xludf.DUMMYFUNCTION("""COMPUTED_VALUE"""),"A-8")</f>
        <v>A-8</v>
      </c>
      <c r="J12" s="28">
        <f>IFERROR(__xludf.DUMMYFUNCTION("""COMPUTED_VALUE"""),3.0)</f>
        <v>3</v>
      </c>
      <c r="K12" s="28" t="str">
        <f>IFERROR(__xludf.DUMMYFUNCTION("""COMPUTED_VALUE"""),"3 ULA A PUTRA")</f>
        <v>3 ULA A PUTRA</v>
      </c>
      <c r="L12" s="29" t="str">
        <f>IFERROR(__xludf.DUMMYFUNCTION("""COMPUTED_VALUE"""),"6282234721856")</f>
        <v>6282234721856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2">
        <f>IFERROR(__xludf.DUMMYFUNCTION("""COMPUTED_VALUE"""),450000.0)</f>
        <v>450000</v>
      </c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2">
        <f>IFERROR(__xludf.DUMMYFUNCTION("""COMPUTED_VALUE"""),450000.0)</f>
        <v>450000</v>
      </c>
      <c r="BD12" s="22">
        <f>IFERROR(__xludf.DUMMYFUNCTION("""COMPUTED_VALUE"""),0.0)</f>
        <v>0</v>
      </c>
      <c r="BE12" s="22">
        <f>IFERROR(__xludf.DUMMYFUNCTION("""COMPUTED_VALUE"""),0.0)</f>
        <v>0</v>
      </c>
      <c r="BF12" s="22">
        <f>IFERROR(__xludf.DUMMYFUNCTION("""COMPUTED_VALUE"""),450000.0)</f>
        <v>450000</v>
      </c>
    </row>
    <row r="13">
      <c r="A13" s="27">
        <f>IFERROR(__xludf.DUMMYFUNCTION("""COMPUTED_VALUE"""),12.0)</f>
        <v>12</v>
      </c>
      <c r="B13" s="28" t="str">
        <f>IFERROR(__xludf.DUMMYFUNCTION("""COMPUTED_VALUE"""),"AZZAM ABDILLAH SAPTA")</f>
        <v>AZZAM ABDILLAH SAPTA</v>
      </c>
      <c r="C13" s="28">
        <f>IFERROR(__xludf.DUMMYFUNCTION("""COMPUTED_VALUE"""),2.02407059E9)</f>
        <v>2024070590</v>
      </c>
      <c r="D13" s="28" t="str">
        <f>IFERROR(__xludf.DUMMYFUNCTION("""COMPUTED_VALUE"""),"CHOIRUL ZANIB")</f>
        <v>CHOIRUL ZANIB</v>
      </c>
      <c r="E13" s="28" t="str">
        <f>IFERROR(__xludf.DUMMYFUNCTION("""COMPUTED_VALUE"""),"MUIYATI")</f>
        <v>MUIYATI</v>
      </c>
      <c r="F13" s="28" t="str">
        <f>IFERROR(__xludf.DUMMYFUNCTION("""COMPUTED_VALUE"""),"NGAYUNG RT 005 RW 002 MADURAN LAMONGAN")</f>
        <v>NGAYUNG RT 005 RW 002 MADURAN LAMONGAN</v>
      </c>
      <c r="G13" s="28" t="str">
        <f>IFERROR(__xludf.DUMMYFUNCTION("""COMPUTED_VALUE"""),"MTS-9 D")</f>
        <v>MTS-9 D</v>
      </c>
      <c r="H13" s="28" t="str">
        <f>IFERROR(__xludf.DUMMYFUNCTION("""COMPUTED_VALUE"""),"A")</f>
        <v>A</v>
      </c>
      <c r="I13" s="28" t="str">
        <f>IFERROR(__xludf.DUMMYFUNCTION("""COMPUTED_VALUE"""),"A-8")</f>
        <v>A-8</v>
      </c>
      <c r="J13" s="28">
        <f>IFERROR(__xludf.DUMMYFUNCTION("""COMPUTED_VALUE"""),3.0)</f>
        <v>3</v>
      </c>
      <c r="K13" s="28" t="str">
        <f>IFERROR(__xludf.DUMMYFUNCTION("""COMPUTED_VALUE"""),"3 ULA B PUTRA")</f>
        <v>3 ULA B PUTRA</v>
      </c>
      <c r="L13" s="29" t="str">
        <f>IFERROR(__xludf.DUMMYFUNCTION("""COMPUTED_VALUE"""),"6282143068892")</f>
        <v>6282143068892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2">
        <f>IFERROR(__xludf.DUMMYFUNCTION("""COMPUTED_VALUE"""),500000.0)</f>
        <v>500000</v>
      </c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2">
        <f>IFERROR(__xludf.DUMMYFUNCTION("""COMPUTED_VALUE"""),0.0)</f>
        <v>0</v>
      </c>
      <c r="BD13" s="22">
        <f>IFERROR(__xludf.DUMMYFUNCTION("""COMPUTED_VALUE"""),500000.0)</f>
        <v>500000</v>
      </c>
      <c r="BE13" s="22">
        <f>IFERROR(__xludf.DUMMYFUNCTION("""COMPUTED_VALUE"""),0.0)</f>
        <v>0</v>
      </c>
      <c r="BF13" s="22">
        <f>IFERROR(__xludf.DUMMYFUNCTION("""COMPUTED_VALUE"""),500000.0)</f>
        <v>500000</v>
      </c>
    </row>
    <row r="14">
      <c r="A14" s="27">
        <f>IFERROR(__xludf.DUMMYFUNCTION("""COMPUTED_VALUE"""),13.0)</f>
        <v>13</v>
      </c>
      <c r="B14" s="28" t="str">
        <f>IFERROR(__xludf.DUMMYFUNCTION("""COMPUTED_VALUE"""),"BAGAS KHOIRUL AZAM")</f>
        <v>BAGAS KHOIRUL AZAM</v>
      </c>
      <c r="C14" s="28">
        <f>IFERROR(__xludf.DUMMYFUNCTION("""COMPUTED_VALUE"""),2.024070452E9)</f>
        <v>2024070452</v>
      </c>
      <c r="D14" s="28" t="str">
        <f>IFERROR(__xludf.DUMMYFUNCTION("""COMPUTED_VALUE"""),"SUBAKIR")</f>
        <v>SUBAKIR</v>
      </c>
      <c r="E14" s="28" t="str">
        <f>IFERROR(__xludf.DUMMYFUNCTION("""COMPUTED_VALUE"""),"SUKANI")</f>
        <v>SUKANI</v>
      </c>
      <c r="F14" s="28" t="str">
        <f>IFERROR(__xludf.DUMMYFUNCTION("""COMPUTED_VALUE"""),"WONOSARI MULYO 5/37 WONOKUSUMO RT 017 RW 007 SEMAMPIR SURABAYA")</f>
        <v>WONOSARI MULYO 5/37 WONOKUSUMO RT 017 RW 007 SEMAMPIR SURABAYA</v>
      </c>
      <c r="G14" s="28" t="str">
        <f>IFERROR(__xludf.DUMMYFUNCTION("""COMPUTED_VALUE"""),"MTS-9 D")</f>
        <v>MTS-9 D</v>
      </c>
      <c r="H14" s="28" t="str">
        <f>IFERROR(__xludf.DUMMYFUNCTION("""COMPUTED_VALUE"""),"A")</f>
        <v>A</v>
      </c>
      <c r="I14" s="28" t="str">
        <f>IFERROR(__xludf.DUMMYFUNCTION("""COMPUTED_VALUE"""),"A-8")</f>
        <v>A-8</v>
      </c>
      <c r="J14" s="28">
        <f>IFERROR(__xludf.DUMMYFUNCTION("""COMPUTED_VALUE"""),3.0)</f>
        <v>3</v>
      </c>
      <c r="K14" s="28" t="str">
        <f>IFERROR(__xludf.DUMMYFUNCTION("""COMPUTED_VALUE"""),"3 ULA A PUTRA")</f>
        <v>3 ULA A PUTRA</v>
      </c>
      <c r="L14" s="29" t="str">
        <f>IFERROR(__xludf.DUMMYFUNCTION("""COMPUTED_VALUE"""),"6285738565150")</f>
        <v>6285738565150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2">
        <f>IFERROR(__xludf.DUMMYFUNCTION("""COMPUTED_VALUE"""),500000.0)</f>
        <v>500000</v>
      </c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2">
        <f>IFERROR(__xludf.DUMMYFUNCTION("""COMPUTED_VALUE"""),0.0)</f>
        <v>0</v>
      </c>
      <c r="BD14" s="22">
        <f>IFERROR(__xludf.DUMMYFUNCTION("""COMPUTED_VALUE"""),500000.0)</f>
        <v>500000</v>
      </c>
      <c r="BE14" s="22">
        <f>IFERROR(__xludf.DUMMYFUNCTION("""COMPUTED_VALUE"""),0.0)</f>
        <v>0</v>
      </c>
      <c r="BF14" s="22">
        <f>IFERROR(__xludf.DUMMYFUNCTION("""COMPUTED_VALUE"""),500000.0)</f>
        <v>500000</v>
      </c>
    </row>
    <row r="15">
      <c r="A15" s="27">
        <f>IFERROR(__xludf.DUMMYFUNCTION("""COMPUTED_VALUE"""),14.0)</f>
        <v>14</v>
      </c>
      <c r="B15" s="28" t="str">
        <f>IFERROR(__xludf.DUMMYFUNCTION("""COMPUTED_VALUE"""),"BENY OCKTA")</f>
        <v>BENY OCKTA</v>
      </c>
      <c r="C15" s="28">
        <f>IFERROR(__xludf.DUMMYFUNCTION("""COMPUTED_VALUE"""),2.024070602E9)</f>
        <v>2024070602</v>
      </c>
      <c r="D15" s="28" t="str">
        <f>IFERROR(__xludf.DUMMYFUNCTION("""COMPUTED_VALUE"""),"CECEP FIRDAUS")</f>
        <v>CECEP FIRDAUS</v>
      </c>
      <c r="E15" s="28" t="str">
        <f>IFERROR(__xludf.DUMMYFUNCTION("""COMPUTED_VALUE"""),"SUSANTI")</f>
        <v>SUSANTI</v>
      </c>
      <c r="F15" s="28" t="str">
        <f>IFERROR(__xludf.DUMMYFUNCTION("""COMPUTED_VALUE"""),"WEDENG SUKOREJO RT 001 RW 003 KARANGBINANGUN LAMONGAN")</f>
        <v>WEDENG SUKOREJO RT 001 RW 003 KARANGBINANGUN LAMONGAN</v>
      </c>
      <c r="G15" s="28" t="str">
        <f>IFERROR(__xludf.DUMMYFUNCTION("""COMPUTED_VALUE"""),"MTS-9 F")</f>
        <v>MTS-9 F</v>
      </c>
      <c r="H15" s="28" t="str">
        <f>IFERROR(__xludf.DUMMYFUNCTION("""COMPUTED_VALUE"""),"A")</f>
        <v>A</v>
      </c>
      <c r="I15" s="28" t="str">
        <f>IFERROR(__xludf.DUMMYFUNCTION("""COMPUTED_VALUE"""),"A-7")</f>
        <v>A-7</v>
      </c>
      <c r="J15" s="28">
        <f>IFERROR(__xludf.DUMMYFUNCTION("""COMPUTED_VALUE"""),3.0)</f>
        <v>3</v>
      </c>
      <c r="K15" s="28" t="str">
        <f>IFERROR(__xludf.DUMMYFUNCTION("""COMPUTED_VALUE"""),"3 ULA B PUTRA")</f>
        <v>3 ULA B PUTRA</v>
      </c>
      <c r="L15" s="29" t="str">
        <f>IFERROR(__xludf.DUMMYFUNCTION("""COMPUTED_VALUE"""),"6285252386649")</f>
        <v>6285252386649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2">
        <f>IFERROR(__xludf.DUMMYFUNCTION("""COMPUTED_VALUE"""),250000.0)</f>
        <v>250000</v>
      </c>
      <c r="AB15" s="22">
        <f>IFERROR(__xludf.DUMMYFUNCTION("""COMPUTED_VALUE"""),500000.0)</f>
        <v>500000</v>
      </c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2">
        <f>IFERROR(__xludf.DUMMYFUNCTION("""COMPUTED_VALUE"""),500000.0)</f>
        <v>500000</v>
      </c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2">
        <f>IFERROR(__xludf.DUMMYFUNCTION("""COMPUTED_VALUE"""),0.0)</f>
        <v>0</v>
      </c>
      <c r="BD15" s="22">
        <f>IFERROR(__xludf.DUMMYFUNCTION("""COMPUTED_VALUE"""),1000000.0)</f>
        <v>1000000</v>
      </c>
      <c r="BE15" s="22">
        <f>IFERROR(__xludf.DUMMYFUNCTION("""COMPUTED_VALUE"""),250000.0)</f>
        <v>250000</v>
      </c>
      <c r="BF15" s="22">
        <f>IFERROR(__xludf.DUMMYFUNCTION("""COMPUTED_VALUE"""),1250000.0)</f>
        <v>1250000</v>
      </c>
    </row>
    <row r="16">
      <c r="A16" s="27">
        <f>IFERROR(__xludf.DUMMYFUNCTION("""COMPUTED_VALUE"""),15.0)</f>
        <v>15</v>
      </c>
      <c r="B16" s="28" t="str">
        <f>IFERROR(__xludf.DUMMYFUNCTION("""COMPUTED_VALUE"""),"BINTANG FARSYA HUSBANA")</f>
        <v>BINTANG FARSYA HUSBANA</v>
      </c>
      <c r="C16" s="28">
        <f>IFERROR(__xludf.DUMMYFUNCTION("""COMPUTED_VALUE"""),2.024070646E9)</f>
        <v>2024070646</v>
      </c>
      <c r="D16" s="28" t="str">
        <f>IFERROR(__xludf.DUMMYFUNCTION("""COMPUTED_VALUE"""),"YOYOK")</f>
        <v>YOYOK</v>
      </c>
      <c r="E16" s="28" t="str">
        <f>IFERROR(__xludf.DUMMYFUNCTION("""COMPUTED_VALUE"""),"SITI MUNFARIDA")</f>
        <v>SITI MUNFARIDA</v>
      </c>
      <c r="F16" s="28" t="str">
        <f>IFERROR(__xludf.DUMMYFUNCTION("""COMPUTED_VALUE"""),"SEREN JATIPANDAK RT 007 RW 003 SAMBENG LAMONGAN")</f>
        <v>SEREN JATIPANDAK RT 007 RW 003 SAMBENG LAMONGAN</v>
      </c>
      <c r="G16" s="28" t="str">
        <f>IFERROR(__xludf.DUMMYFUNCTION("""COMPUTED_VALUE"""),"MTS-9 F")</f>
        <v>MTS-9 F</v>
      </c>
      <c r="H16" s="28" t="str">
        <f>IFERROR(__xludf.DUMMYFUNCTION("""COMPUTED_VALUE"""),"A")</f>
        <v>A</v>
      </c>
      <c r="I16" s="28" t="str">
        <f>IFERROR(__xludf.DUMMYFUNCTION("""COMPUTED_VALUE"""),"A-7")</f>
        <v>A-7</v>
      </c>
      <c r="J16" s="28">
        <f>IFERROR(__xludf.DUMMYFUNCTION("""COMPUTED_VALUE"""),3.0)</f>
        <v>3</v>
      </c>
      <c r="K16" s="28" t="str">
        <f>IFERROR(__xludf.DUMMYFUNCTION("""COMPUTED_VALUE"""),"3 ULA A PUTRA")</f>
        <v>3 ULA A PUTRA</v>
      </c>
      <c r="L16" s="29" t="str">
        <f>IFERROR(__xludf.DUMMYFUNCTION("""COMPUTED_VALUE"""),"6285851833747")</f>
        <v>6285851833747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2">
        <f>IFERROR(__xludf.DUMMYFUNCTION("""COMPUTED_VALUE"""),450000.0)</f>
        <v>450000</v>
      </c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2">
        <f>IFERROR(__xludf.DUMMYFUNCTION("""COMPUTED_VALUE"""),450000.0)</f>
        <v>450000</v>
      </c>
      <c r="BD16" s="22">
        <f>IFERROR(__xludf.DUMMYFUNCTION("""COMPUTED_VALUE"""),0.0)</f>
        <v>0</v>
      </c>
      <c r="BE16" s="22">
        <f>IFERROR(__xludf.DUMMYFUNCTION("""COMPUTED_VALUE"""),0.0)</f>
        <v>0</v>
      </c>
      <c r="BF16" s="22">
        <f>IFERROR(__xludf.DUMMYFUNCTION("""COMPUTED_VALUE"""),450000.0)</f>
        <v>450000</v>
      </c>
    </row>
    <row r="17">
      <c r="A17" s="27">
        <f>IFERROR(__xludf.DUMMYFUNCTION("""COMPUTED_VALUE"""),16.0)</f>
        <v>16</v>
      </c>
      <c r="B17" s="28" t="str">
        <f>IFERROR(__xludf.DUMMYFUNCTION("""COMPUTED_VALUE"""),"DIMAS ALFIAN SAPUTRA")</f>
        <v>DIMAS ALFIAN SAPUTRA</v>
      </c>
      <c r="C17" s="28">
        <f>IFERROR(__xludf.DUMMYFUNCTION("""COMPUTED_VALUE"""),2.024070655E9)</f>
        <v>2024070655</v>
      </c>
      <c r="D17" s="28" t="str">
        <f>IFERROR(__xludf.DUMMYFUNCTION("""COMPUTED_VALUE"""),"MOH. MUFID")</f>
        <v>MOH. MUFID</v>
      </c>
      <c r="E17" s="28" t="str">
        <f>IFERROR(__xludf.DUMMYFUNCTION("""COMPUTED_VALUE"""),"MAHZUMAH")</f>
        <v>MAHZUMAH</v>
      </c>
      <c r="F17" s="28" t="str">
        <f>IFERROR(__xludf.DUMMYFUNCTION("""COMPUTED_VALUE"""),"WEDENG SUKOREJO RT 001 RW 002 KARANGBINANGUN LAMONGAN")</f>
        <v>WEDENG SUKOREJO RT 001 RW 002 KARANGBINANGUN LAMONGAN</v>
      </c>
      <c r="G17" s="28" t="str">
        <f>IFERROR(__xludf.DUMMYFUNCTION("""COMPUTED_VALUE"""),"MTS-9 F")</f>
        <v>MTS-9 F</v>
      </c>
      <c r="H17" s="28" t="str">
        <f>IFERROR(__xludf.DUMMYFUNCTION("""COMPUTED_VALUE"""),"A")</f>
        <v>A</v>
      </c>
      <c r="I17" s="28" t="str">
        <f>IFERROR(__xludf.DUMMYFUNCTION("""COMPUTED_VALUE"""),"A-7")</f>
        <v>A-7</v>
      </c>
      <c r="J17" s="28">
        <f>IFERROR(__xludf.DUMMYFUNCTION("""COMPUTED_VALUE"""),3.0)</f>
        <v>3</v>
      </c>
      <c r="K17" s="28" t="str">
        <f>IFERROR(__xludf.DUMMYFUNCTION("""COMPUTED_VALUE"""),"3 ULA A PUTRA")</f>
        <v>3 ULA A PUTRA</v>
      </c>
      <c r="L17" s="29" t="str">
        <f>IFERROR(__xludf.DUMMYFUNCTION("""COMPUTED_VALUE"""),"6285855732030")</f>
        <v>6285855732030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2">
        <f>IFERROR(__xludf.DUMMYFUNCTION("""COMPUTED_VALUE"""),0.0)</f>
        <v>0</v>
      </c>
      <c r="BD17" s="22">
        <f>IFERROR(__xludf.DUMMYFUNCTION("""COMPUTED_VALUE"""),0.0)</f>
        <v>0</v>
      </c>
      <c r="BE17" s="22">
        <f>IFERROR(__xludf.DUMMYFUNCTION("""COMPUTED_VALUE"""),0.0)</f>
        <v>0</v>
      </c>
      <c r="BF17" s="22">
        <f>IFERROR(__xludf.DUMMYFUNCTION("""COMPUTED_VALUE"""),0.0)</f>
        <v>0</v>
      </c>
    </row>
    <row r="18">
      <c r="A18" s="27">
        <f>IFERROR(__xludf.DUMMYFUNCTION("""COMPUTED_VALUE"""),17.0)</f>
        <v>17</v>
      </c>
      <c r="B18" s="28" t="str">
        <f>IFERROR(__xludf.DUMMYFUNCTION("""COMPUTED_VALUE"""),"DIMAS PRATAMA ARIYANTO")</f>
        <v>DIMAS PRATAMA ARIYANTO</v>
      </c>
      <c r="C18" s="28">
        <f>IFERROR(__xludf.DUMMYFUNCTION("""COMPUTED_VALUE"""),2.024070444E9)</f>
        <v>2024070444</v>
      </c>
      <c r="D18" s="28" t="str">
        <f>IFERROR(__xludf.DUMMYFUNCTION("""COMPUTED_VALUE"""),"AHMAD RIANTO")</f>
        <v>AHMAD RIANTO</v>
      </c>
      <c r="E18" s="28" t="str">
        <f>IFERROR(__xludf.DUMMYFUNCTION("""COMPUTED_VALUE"""),"YAYUK ERNAWATI")</f>
        <v>YAYUK ERNAWATI</v>
      </c>
      <c r="F18" s="28" t="str">
        <f>IFERROR(__xludf.DUMMYFUNCTION("""COMPUTED_VALUE"""),"SUKOWATI SUKOSONGO RT 017 RW 008 KEMBANGBAHU LAMONGAN")</f>
        <v>SUKOWATI SUKOSONGO RT 017 RW 008 KEMBANGBAHU LAMONGAN</v>
      </c>
      <c r="G18" s="28" t="str">
        <f>IFERROR(__xludf.DUMMYFUNCTION("""COMPUTED_VALUE"""),"MTS-9 E")</f>
        <v>MTS-9 E</v>
      </c>
      <c r="H18" s="28" t="str">
        <f>IFERROR(__xludf.DUMMYFUNCTION("""COMPUTED_VALUE"""),"A")</f>
        <v>A</v>
      </c>
      <c r="I18" s="28" t="str">
        <f>IFERROR(__xludf.DUMMYFUNCTION("""COMPUTED_VALUE"""),"A-8")</f>
        <v>A-8</v>
      </c>
      <c r="J18" s="28">
        <f>IFERROR(__xludf.DUMMYFUNCTION("""COMPUTED_VALUE"""),3.0)</f>
        <v>3</v>
      </c>
      <c r="K18" s="28" t="str">
        <f>IFERROR(__xludf.DUMMYFUNCTION("""COMPUTED_VALUE"""),"3 ULA A PUTRA")</f>
        <v>3 ULA A PUTRA</v>
      </c>
      <c r="L18" s="29" t="str">
        <f>IFERROR(__xludf.DUMMYFUNCTION("""COMPUTED_VALUE"""),"6281515026997")</f>
        <v>6281515026997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2">
        <f>IFERROR(__xludf.DUMMYFUNCTION("""COMPUTED_VALUE"""),0.0)</f>
        <v>0</v>
      </c>
      <c r="BD18" s="22">
        <f>IFERROR(__xludf.DUMMYFUNCTION("""COMPUTED_VALUE"""),0.0)</f>
        <v>0</v>
      </c>
      <c r="BE18" s="22">
        <f>IFERROR(__xludf.DUMMYFUNCTION("""COMPUTED_VALUE"""),0.0)</f>
        <v>0</v>
      </c>
      <c r="BF18" s="22">
        <f>IFERROR(__xludf.DUMMYFUNCTION("""COMPUTED_VALUE"""),0.0)</f>
        <v>0</v>
      </c>
    </row>
    <row r="19">
      <c r="A19" s="27">
        <f>IFERROR(__xludf.DUMMYFUNCTION("""COMPUTED_VALUE"""),18.0)</f>
        <v>18</v>
      </c>
      <c r="B19" s="28" t="str">
        <f>IFERROR(__xludf.DUMMYFUNCTION("""COMPUTED_VALUE"""),"DZAKIR ZAMAHSARI EL GHIFARI ZEIN")</f>
        <v>DZAKIR ZAMAHSARI EL GHIFARI ZEIN</v>
      </c>
      <c r="C19" s="28">
        <f>IFERROR(__xludf.DUMMYFUNCTION("""COMPUTED_VALUE"""),2.024070624E9)</f>
        <v>2024070624</v>
      </c>
      <c r="D19" s="28" t="str">
        <f>IFERROR(__xludf.DUMMYFUNCTION("""COMPUTED_VALUE"""),"ZAINURI")</f>
        <v>ZAINURI</v>
      </c>
      <c r="E19" s="28" t="str">
        <f>IFERROR(__xludf.DUMMYFUNCTION("""COMPUTED_VALUE"""),"SITI ZUBAIDAH")</f>
        <v>SITI ZUBAIDAH</v>
      </c>
      <c r="F19" s="28" t="str">
        <f>IFERROR(__xludf.DUMMYFUNCTION("""COMPUTED_VALUE"""),"JL. MESDJID NO. 4 CIPULIR RT 011 RW 001 KEBAYORAN LAMA JAKARTA SELATAN")</f>
        <v>JL. MESDJID NO. 4 CIPULIR RT 011 RW 001 KEBAYORAN LAMA JAKARTA SELATAN</v>
      </c>
      <c r="G19" s="28" t="str">
        <f>IFERROR(__xludf.DUMMYFUNCTION("""COMPUTED_VALUE"""),"MTS-9 D")</f>
        <v>MTS-9 D</v>
      </c>
      <c r="H19" s="28" t="str">
        <f>IFERROR(__xludf.DUMMYFUNCTION("""COMPUTED_VALUE"""),"A")</f>
        <v>A</v>
      </c>
      <c r="I19" s="28" t="str">
        <f>IFERROR(__xludf.DUMMYFUNCTION("""COMPUTED_VALUE"""),"A-8")</f>
        <v>A-8</v>
      </c>
      <c r="J19" s="28">
        <f>IFERROR(__xludf.DUMMYFUNCTION("""COMPUTED_VALUE"""),3.0)</f>
        <v>3</v>
      </c>
      <c r="K19" s="28" t="str">
        <f>IFERROR(__xludf.DUMMYFUNCTION("""COMPUTED_VALUE"""),"3 ULA B PUTRA")</f>
        <v>3 ULA B PUTRA</v>
      </c>
      <c r="L19" s="29" t="str">
        <f>IFERROR(__xludf.DUMMYFUNCTION("""COMPUTED_VALUE"""),"6281779129473")</f>
        <v>6281779129473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2">
        <f>IFERROR(__xludf.DUMMYFUNCTION("""COMPUTED_VALUE"""),450000.0)</f>
        <v>450000</v>
      </c>
      <c r="AL19" s="22">
        <f>IFERROR(__xludf.DUMMYFUNCTION("""COMPUTED_VALUE"""),450000.0)</f>
        <v>450000</v>
      </c>
      <c r="AM19" s="22">
        <f>IFERROR(__xludf.DUMMYFUNCTION("""COMPUTED_VALUE"""),450000.0)</f>
        <v>450000</v>
      </c>
      <c r="AN19" s="22">
        <f>IFERROR(__xludf.DUMMYFUNCTION("""COMPUTED_VALUE"""),450000.0)</f>
        <v>450000</v>
      </c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2">
        <f>IFERROR(__xludf.DUMMYFUNCTION("""COMPUTED_VALUE"""),1800000.0)</f>
        <v>1800000</v>
      </c>
      <c r="BD19" s="22">
        <f>IFERROR(__xludf.DUMMYFUNCTION("""COMPUTED_VALUE"""),0.0)</f>
        <v>0</v>
      </c>
      <c r="BE19" s="22">
        <f>IFERROR(__xludf.DUMMYFUNCTION("""COMPUTED_VALUE"""),0.0)</f>
        <v>0</v>
      </c>
      <c r="BF19" s="22">
        <f>IFERROR(__xludf.DUMMYFUNCTION("""COMPUTED_VALUE"""),1800000.0)</f>
        <v>1800000</v>
      </c>
    </row>
    <row r="20">
      <c r="A20" s="27">
        <f>IFERROR(__xludf.DUMMYFUNCTION("""COMPUTED_VALUE"""),19.0)</f>
        <v>19</v>
      </c>
      <c r="B20" s="28" t="str">
        <f>IFERROR(__xludf.DUMMYFUNCTION("""COMPUTED_VALUE"""),"EZZAR RADITYA PUTRA RAMADHAN")</f>
        <v>EZZAR RADITYA PUTRA RAMADHAN</v>
      </c>
      <c r="C20" s="28">
        <f>IFERROR(__xludf.DUMMYFUNCTION("""COMPUTED_VALUE"""),2.024070639E9)</f>
        <v>2024070639</v>
      </c>
      <c r="D20" s="28" t="str">
        <f>IFERROR(__xludf.DUMMYFUNCTION("""COMPUTED_VALUE"""),"SLAMET RIFA`I")</f>
        <v>SLAMET RIFA`I</v>
      </c>
      <c r="E20" s="28" t="str">
        <f>IFERROR(__xludf.DUMMYFUNCTION("""COMPUTED_VALUE"""),"NUR AINI")</f>
        <v>NUR AINI</v>
      </c>
      <c r="F20" s="28" t="str">
        <f>IFERROR(__xludf.DUMMYFUNCTION("""COMPUTED_VALUE"""),"PUCANGRO RT 002 RW 001 KALITENGAH LAMONGAN")</f>
        <v>PUCANGRO RT 002 RW 001 KALITENGAH LAMONGAN</v>
      </c>
      <c r="G20" s="28" t="str">
        <f>IFERROR(__xludf.DUMMYFUNCTION("""COMPUTED_VALUE"""),"MTS-9 B")</f>
        <v>MTS-9 B</v>
      </c>
      <c r="H20" s="28" t="str">
        <f>IFERROR(__xludf.DUMMYFUNCTION("""COMPUTED_VALUE"""),"A")</f>
        <v>A</v>
      </c>
      <c r="I20" s="28" t="str">
        <f>IFERROR(__xludf.DUMMYFUNCTION("""COMPUTED_VALUE"""),"A-8")</f>
        <v>A-8</v>
      </c>
      <c r="J20" s="28">
        <f>IFERROR(__xludf.DUMMYFUNCTION("""COMPUTED_VALUE"""),3.0)</f>
        <v>3</v>
      </c>
      <c r="K20" s="28" t="str">
        <f>IFERROR(__xludf.DUMMYFUNCTION("""COMPUTED_VALUE"""),"3 ULA A PUTRA")</f>
        <v>3 ULA A PUTRA</v>
      </c>
      <c r="L20" s="29" t="str">
        <f>IFERROR(__xludf.DUMMYFUNCTION("""COMPUTED_VALUE"""),"6285707124359")</f>
        <v>6285707124359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2">
        <f>IFERROR(__xludf.DUMMYFUNCTION("""COMPUTED_VALUE"""),0.0)</f>
        <v>0</v>
      </c>
      <c r="BD20" s="22">
        <f>IFERROR(__xludf.DUMMYFUNCTION("""COMPUTED_VALUE"""),0.0)</f>
        <v>0</v>
      </c>
      <c r="BE20" s="22">
        <f>IFERROR(__xludf.DUMMYFUNCTION("""COMPUTED_VALUE"""),0.0)</f>
        <v>0</v>
      </c>
      <c r="BF20" s="22">
        <f>IFERROR(__xludf.DUMMYFUNCTION("""COMPUTED_VALUE"""),0.0)</f>
        <v>0</v>
      </c>
    </row>
    <row r="21">
      <c r="A21" s="27">
        <f>IFERROR(__xludf.DUMMYFUNCTION("""COMPUTED_VALUE"""),20.0)</f>
        <v>20</v>
      </c>
      <c r="B21" s="28" t="str">
        <f>IFERROR(__xludf.DUMMYFUNCTION("""COMPUTED_VALUE"""),"FAIRUZZABADI WAHYU MAHFUL")</f>
        <v>FAIRUZZABADI WAHYU MAHFUL</v>
      </c>
      <c r="C21" s="28">
        <f>IFERROR(__xludf.DUMMYFUNCTION("""COMPUTED_VALUE"""),2.024070458E9)</f>
        <v>2024070458</v>
      </c>
      <c r="D21" s="28" t="str">
        <f>IFERROR(__xludf.DUMMYFUNCTION("""COMPUTED_VALUE"""),"KUSWADIYANTO")</f>
        <v>KUSWADIYANTO</v>
      </c>
      <c r="E21" s="28" t="str">
        <f>IFERROR(__xludf.DUMMYFUNCTION("""COMPUTED_VALUE"""),"TRI UTAMI")</f>
        <v>TRI UTAMI</v>
      </c>
      <c r="F21" s="28" t="str">
        <f>IFERROR(__xludf.DUMMYFUNCTION("""COMPUTED_VALUE"""),"PAJANGAN RT 001 RW 002 SUKODADI LAMONGAN")</f>
        <v>PAJANGAN RT 001 RW 002 SUKODADI LAMONGAN</v>
      </c>
      <c r="G21" s="28" t="str">
        <f>IFERROR(__xludf.DUMMYFUNCTION("""COMPUTED_VALUE"""),"MTS-9 E")</f>
        <v>MTS-9 E</v>
      </c>
      <c r="H21" s="28" t="str">
        <f>IFERROR(__xludf.DUMMYFUNCTION("""COMPUTED_VALUE"""),"A")</f>
        <v>A</v>
      </c>
      <c r="I21" s="28" t="str">
        <f>IFERROR(__xludf.DUMMYFUNCTION("""COMPUTED_VALUE"""),"A-7")</f>
        <v>A-7</v>
      </c>
      <c r="J21" s="28">
        <f>IFERROR(__xludf.DUMMYFUNCTION("""COMPUTED_VALUE"""),3.0)</f>
        <v>3</v>
      </c>
      <c r="K21" s="28" t="str">
        <f>IFERROR(__xludf.DUMMYFUNCTION("""COMPUTED_VALUE"""),"3 ULA A PUTRA")</f>
        <v>3 ULA A PUTRA</v>
      </c>
      <c r="L21" s="29" t="str">
        <f>IFERROR(__xludf.DUMMYFUNCTION("""COMPUTED_VALUE"""),"6285730482785")</f>
        <v>6285730482785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2">
        <f>IFERROR(__xludf.DUMMYFUNCTION("""COMPUTED_VALUE"""),500000.0)</f>
        <v>500000</v>
      </c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2">
        <f>IFERROR(__xludf.DUMMYFUNCTION("""COMPUTED_VALUE"""),0.0)</f>
        <v>0</v>
      </c>
      <c r="BD21" s="22">
        <f>IFERROR(__xludf.DUMMYFUNCTION("""COMPUTED_VALUE"""),500000.0)</f>
        <v>500000</v>
      </c>
      <c r="BE21" s="22">
        <f>IFERROR(__xludf.DUMMYFUNCTION("""COMPUTED_VALUE"""),0.0)</f>
        <v>0</v>
      </c>
      <c r="BF21" s="22">
        <f>IFERROR(__xludf.DUMMYFUNCTION("""COMPUTED_VALUE"""),500000.0)</f>
        <v>500000</v>
      </c>
    </row>
    <row r="22">
      <c r="A22" s="27">
        <f>IFERROR(__xludf.DUMMYFUNCTION("""COMPUTED_VALUE"""),21.0)</f>
        <v>21</v>
      </c>
      <c r="B22" s="28" t="str">
        <f>IFERROR(__xludf.DUMMYFUNCTION("""COMPUTED_VALUE"""),"FAQUR ROZIQ MAULUDI")</f>
        <v>FAQUR ROZIQ MAULUDI</v>
      </c>
      <c r="C22" s="28">
        <f>IFERROR(__xludf.DUMMYFUNCTION("""COMPUTED_VALUE"""),2.024070556E9)</f>
        <v>2024070556</v>
      </c>
      <c r="D22" s="28" t="str">
        <f>IFERROR(__xludf.DUMMYFUNCTION("""COMPUTED_VALUE"""),"MIADI")</f>
        <v>MIADI</v>
      </c>
      <c r="E22" s="28" t="str">
        <f>IFERROR(__xludf.DUMMYFUNCTION("""COMPUTED_VALUE"""),"LASIANAH")</f>
        <v>LASIANAH</v>
      </c>
      <c r="F22" s="28" t="str">
        <f>IFERROR(__xludf.DUMMYFUNCTION("""COMPUTED_VALUE"""),"GANGIN JELAKCATUR RT 004 RW 003 KALITENGAH LAMONGAN")</f>
        <v>GANGIN JELAKCATUR RT 004 RW 003 KALITENGAH LAMONGAN</v>
      </c>
      <c r="G22" s="28" t="str">
        <f>IFERROR(__xludf.DUMMYFUNCTION("""COMPUTED_VALUE"""),"MTS-9 E")</f>
        <v>MTS-9 E</v>
      </c>
      <c r="H22" s="28" t="str">
        <f>IFERROR(__xludf.DUMMYFUNCTION("""COMPUTED_VALUE"""),"A")</f>
        <v>A</v>
      </c>
      <c r="I22" s="28" t="str">
        <f>IFERROR(__xludf.DUMMYFUNCTION("""COMPUTED_VALUE"""),"A-7")</f>
        <v>A-7</v>
      </c>
      <c r="J22" s="28">
        <f>IFERROR(__xludf.DUMMYFUNCTION("""COMPUTED_VALUE"""),3.0)</f>
        <v>3</v>
      </c>
      <c r="K22" s="28" t="str">
        <f>IFERROR(__xludf.DUMMYFUNCTION("""COMPUTED_VALUE"""),"3 ULA B PUTRA")</f>
        <v>3 ULA B PUTRA</v>
      </c>
      <c r="L22" s="29" t="str">
        <f>IFERROR(__xludf.DUMMYFUNCTION("""COMPUTED_VALUE"""),"6285871052078")</f>
        <v>6285871052078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2">
        <f>IFERROR(__xludf.DUMMYFUNCTION("""COMPUTED_VALUE"""),500000.0)</f>
        <v>500000</v>
      </c>
      <c r="AC22" s="28"/>
      <c r="AD22" s="28"/>
      <c r="AE22" s="28"/>
      <c r="AF22" s="28"/>
      <c r="AG22" s="28"/>
      <c r="AH22" s="28"/>
      <c r="AI22" s="28"/>
      <c r="AJ22" s="28"/>
      <c r="AK22" s="22">
        <f>IFERROR(__xludf.DUMMYFUNCTION("""COMPUTED_VALUE"""),450000.0)</f>
        <v>450000</v>
      </c>
      <c r="AL22" s="22">
        <f>IFERROR(__xludf.DUMMYFUNCTION("""COMPUTED_VALUE"""),450000.0)</f>
        <v>450000</v>
      </c>
      <c r="AM22" s="22">
        <f>IFERROR(__xludf.DUMMYFUNCTION("""COMPUTED_VALUE"""),450000.0)</f>
        <v>450000</v>
      </c>
      <c r="AN22" s="22">
        <f>IFERROR(__xludf.DUMMYFUNCTION("""COMPUTED_VALUE"""),450000.0)</f>
        <v>450000</v>
      </c>
      <c r="AO22" s="28"/>
      <c r="AP22" s="22">
        <f>IFERROR(__xludf.DUMMYFUNCTION("""COMPUTED_VALUE"""),500000.0)</f>
        <v>500000</v>
      </c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2">
        <f>IFERROR(__xludf.DUMMYFUNCTION("""COMPUTED_VALUE"""),1800000.0)</f>
        <v>1800000</v>
      </c>
      <c r="BD22" s="22">
        <f>IFERROR(__xludf.DUMMYFUNCTION("""COMPUTED_VALUE"""),1000000.0)</f>
        <v>1000000</v>
      </c>
      <c r="BE22" s="22">
        <f>IFERROR(__xludf.DUMMYFUNCTION("""COMPUTED_VALUE"""),0.0)</f>
        <v>0</v>
      </c>
      <c r="BF22" s="22">
        <f>IFERROR(__xludf.DUMMYFUNCTION("""COMPUTED_VALUE"""),2800000.0)</f>
        <v>2800000</v>
      </c>
    </row>
    <row r="23">
      <c r="A23" s="27">
        <f>IFERROR(__xludf.DUMMYFUNCTION("""COMPUTED_VALUE"""),22.0)</f>
        <v>22</v>
      </c>
      <c r="B23" s="28" t="str">
        <f>IFERROR(__xludf.DUMMYFUNCTION("""COMPUTED_VALUE"""),"FATIR APRILIANT SYAH")</f>
        <v>FATIR APRILIANT SYAH</v>
      </c>
      <c r="C23" s="28">
        <f>IFERROR(__xludf.DUMMYFUNCTION("""COMPUTED_VALUE"""),2.02407066E9)</f>
        <v>2024070660</v>
      </c>
      <c r="D23" s="28" t="str">
        <f>IFERROR(__xludf.DUMMYFUNCTION("""COMPUTED_VALUE"""),"THOHA FADLI")</f>
        <v>THOHA FADLI</v>
      </c>
      <c r="E23" s="28" t="str">
        <f>IFERROR(__xludf.DUMMYFUNCTION("""COMPUTED_VALUE"""),"SUGIATI")</f>
        <v>SUGIATI</v>
      </c>
      <c r="F23" s="28" t="str">
        <f>IFERROR(__xludf.DUMMYFUNCTION("""COMPUTED_VALUE"""),"GANGIN JELAKCATUR RT 004 RW 003 KALITENGAH LAMONGAN")</f>
        <v>GANGIN JELAKCATUR RT 004 RW 003 KALITENGAH LAMONGAN</v>
      </c>
      <c r="G23" s="28" t="str">
        <f>IFERROR(__xludf.DUMMYFUNCTION("""COMPUTED_VALUE"""),"MTS-9 A")</f>
        <v>MTS-9 A</v>
      </c>
      <c r="H23" s="28" t="str">
        <f>IFERROR(__xludf.DUMMYFUNCTION("""COMPUTED_VALUE"""),"A")</f>
        <v>A</v>
      </c>
      <c r="I23" s="28" t="str">
        <f>IFERROR(__xludf.DUMMYFUNCTION("""COMPUTED_VALUE"""),"A-7")</f>
        <v>A-7</v>
      </c>
      <c r="J23" s="28">
        <f>IFERROR(__xludf.DUMMYFUNCTION("""COMPUTED_VALUE"""),3.0)</f>
        <v>3</v>
      </c>
      <c r="K23" s="28" t="str">
        <f>IFERROR(__xludf.DUMMYFUNCTION("""COMPUTED_VALUE"""),"3 ULA A PUTRA")</f>
        <v>3 ULA A PUTRA</v>
      </c>
      <c r="L23" s="29" t="str">
        <f>IFERROR(__xludf.DUMMYFUNCTION("""COMPUTED_VALUE"""),"6285853949817")</f>
        <v>6285853949817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2">
        <f>IFERROR(__xludf.DUMMYFUNCTION("""COMPUTED_VALUE"""),410000.0)</f>
        <v>410000</v>
      </c>
      <c r="AM23" s="22">
        <f>IFERROR(__xludf.DUMMYFUNCTION("""COMPUTED_VALUE"""),410000.0)</f>
        <v>410000</v>
      </c>
      <c r="AN23" s="22">
        <f>IFERROR(__xludf.DUMMYFUNCTION("""COMPUTED_VALUE"""),410000.0)</f>
        <v>410000</v>
      </c>
      <c r="AO23" s="28"/>
      <c r="AP23" s="22">
        <f>IFERROR(__xludf.DUMMYFUNCTION("""COMPUTED_VALUE"""),500000.0)</f>
        <v>500000</v>
      </c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2">
        <f>IFERROR(__xludf.DUMMYFUNCTION("""COMPUTED_VALUE"""),1230000.0)</f>
        <v>1230000</v>
      </c>
      <c r="BD23" s="22">
        <f>IFERROR(__xludf.DUMMYFUNCTION("""COMPUTED_VALUE"""),500000.0)</f>
        <v>500000</v>
      </c>
      <c r="BE23" s="22">
        <f>IFERROR(__xludf.DUMMYFUNCTION("""COMPUTED_VALUE"""),0.0)</f>
        <v>0</v>
      </c>
      <c r="BF23" s="22">
        <f>IFERROR(__xludf.DUMMYFUNCTION("""COMPUTED_VALUE"""),1730000.0)</f>
        <v>1730000</v>
      </c>
    </row>
    <row r="24">
      <c r="A24" s="27">
        <f>IFERROR(__xludf.DUMMYFUNCTION("""COMPUTED_VALUE"""),23.0)</f>
        <v>23</v>
      </c>
      <c r="B24" s="28" t="str">
        <f>IFERROR(__xludf.DUMMYFUNCTION("""COMPUTED_VALUE"""),"GALANG SAPUTRA")</f>
        <v>GALANG SAPUTRA</v>
      </c>
      <c r="C24" s="28">
        <f>IFERROR(__xludf.DUMMYFUNCTION("""COMPUTED_VALUE"""),2.02407073E9)</f>
        <v>2024070730</v>
      </c>
      <c r="D24" s="28" t="str">
        <f>IFERROR(__xludf.DUMMYFUNCTION("""COMPUTED_VALUE"""),"WARTO")</f>
        <v>WARTO</v>
      </c>
      <c r="E24" s="28" t="str">
        <f>IFERROR(__xludf.DUMMYFUNCTION("""COMPUTED_VALUE"""),"SULIYATI")</f>
        <v>SULIYATI</v>
      </c>
      <c r="F24" s="28" t="str">
        <f>IFERROR(__xludf.DUMMYFUNCTION("""COMPUTED_VALUE"""),"DORO KARANGWEDORO RT 009 RW 003 TURI LAMONGAN")</f>
        <v>DORO KARANGWEDORO RT 009 RW 003 TURI LAMONGAN</v>
      </c>
      <c r="G24" s="28" t="str">
        <f>IFERROR(__xludf.DUMMYFUNCTION("""COMPUTED_VALUE"""),"SMP-IX A")</f>
        <v>SMP-IX A</v>
      </c>
      <c r="H24" s="28" t="str">
        <f>IFERROR(__xludf.DUMMYFUNCTION("""COMPUTED_VALUE"""),"A")</f>
        <v>A</v>
      </c>
      <c r="I24" s="28" t="str">
        <f>IFERROR(__xludf.DUMMYFUNCTION("""COMPUTED_VALUE"""),"A-8")</f>
        <v>A-8</v>
      </c>
      <c r="J24" s="28">
        <f>IFERROR(__xludf.DUMMYFUNCTION("""COMPUTED_VALUE"""),3.0)</f>
        <v>3</v>
      </c>
      <c r="K24" s="28" t="str">
        <f>IFERROR(__xludf.DUMMYFUNCTION("""COMPUTED_VALUE"""),"3 ULA A PUTRA")</f>
        <v>3 ULA A PUTRA</v>
      </c>
      <c r="L24" s="29" t="str">
        <f>IFERROR(__xludf.DUMMYFUNCTION("""COMPUTED_VALUE"""),"6285756513128")</f>
        <v>6285756513128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2">
        <f>IFERROR(__xludf.DUMMYFUNCTION("""COMPUTED_VALUE"""),500000.0)</f>
        <v>500000</v>
      </c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2">
        <f>IFERROR(__xludf.DUMMYFUNCTION("""COMPUTED_VALUE"""),0.0)</f>
        <v>0</v>
      </c>
      <c r="BD24" s="22">
        <f>IFERROR(__xludf.DUMMYFUNCTION("""COMPUTED_VALUE"""),500000.0)</f>
        <v>500000</v>
      </c>
      <c r="BE24" s="22">
        <f>IFERROR(__xludf.DUMMYFUNCTION("""COMPUTED_VALUE"""),0.0)</f>
        <v>0</v>
      </c>
      <c r="BF24" s="22">
        <f>IFERROR(__xludf.DUMMYFUNCTION("""COMPUTED_VALUE"""),500000.0)</f>
        <v>500000</v>
      </c>
    </row>
    <row r="25">
      <c r="A25" s="27">
        <f>IFERROR(__xludf.DUMMYFUNCTION("""COMPUTED_VALUE"""),24.0)</f>
        <v>24</v>
      </c>
      <c r="B25" s="28" t="str">
        <f>IFERROR(__xludf.DUMMYFUNCTION("""COMPUTED_VALUE"""),"HAFIDZ ALFITO ZAEIN")</f>
        <v>HAFIDZ ALFITO ZAEIN</v>
      </c>
      <c r="C25" s="28">
        <f>IFERROR(__xludf.DUMMYFUNCTION("""COMPUTED_VALUE"""),2.024070619E9)</f>
        <v>2024070619</v>
      </c>
      <c r="D25" s="28" t="str">
        <f>IFERROR(__xludf.DUMMYFUNCTION("""COMPUTED_VALUE"""),"MOKHAMAD ZAINUL ARIFIN, S.AG")</f>
        <v>MOKHAMAD ZAINUL ARIFIN, S.AG</v>
      </c>
      <c r="E25" s="28" t="str">
        <f>IFERROR(__xludf.DUMMYFUNCTION("""COMPUTED_VALUE"""),"TAYEM")</f>
        <v>TAYEM</v>
      </c>
      <c r="F25" s="28" t="str">
        <f>IFERROR(__xludf.DUMMYFUNCTION("""COMPUTED_VALUE"""),"JELAKCATUR RT 001 RW 004 KALITENGAH LAMONGAN")</f>
        <v>JELAKCATUR RT 001 RW 004 KALITENGAH LAMONGAN</v>
      </c>
      <c r="G25" s="28" t="str">
        <f>IFERROR(__xludf.DUMMYFUNCTION("""COMPUTED_VALUE"""),"MTS-9 F")</f>
        <v>MTS-9 F</v>
      </c>
      <c r="H25" s="28" t="str">
        <f>IFERROR(__xludf.DUMMYFUNCTION("""COMPUTED_VALUE"""),"A")</f>
        <v>A</v>
      </c>
      <c r="I25" s="28" t="str">
        <f>IFERROR(__xludf.DUMMYFUNCTION("""COMPUTED_VALUE"""),"A-7")</f>
        <v>A-7</v>
      </c>
      <c r="J25" s="28">
        <f>IFERROR(__xludf.DUMMYFUNCTION("""COMPUTED_VALUE"""),3.0)</f>
        <v>3</v>
      </c>
      <c r="K25" s="28" t="str">
        <f>IFERROR(__xludf.DUMMYFUNCTION("""COMPUTED_VALUE"""),"3 ULA B PUTRA")</f>
        <v>3 ULA B PUTRA</v>
      </c>
      <c r="L25" s="29" t="str">
        <f>IFERROR(__xludf.DUMMYFUNCTION("""COMPUTED_VALUE"""),"628130372202")</f>
        <v>628130372202</v>
      </c>
      <c r="M25" s="22">
        <f>IFERROR(__xludf.DUMMYFUNCTION("""COMPUTED_VALUE"""),600000.0)</f>
        <v>600000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2">
        <f>IFERROR(__xludf.DUMMYFUNCTION("""COMPUTED_VALUE"""),500000.0)</f>
        <v>500000</v>
      </c>
      <c r="AC25" s="28"/>
      <c r="AD25" s="28"/>
      <c r="AE25" s="28"/>
      <c r="AF25" s="22">
        <f>IFERROR(__xludf.DUMMYFUNCTION("""COMPUTED_VALUE"""),450000.0)</f>
        <v>450000</v>
      </c>
      <c r="AG25" s="22">
        <f>IFERROR(__xludf.DUMMYFUNCTION("""COMPUTED_VALUE"""),450000.0)</f>
        <v>450000</v>
      </c>
      <c r="AH25" s="22">
        <f>IFERROR(__xludf.DUMMYFUNCTION("""COMPUTED_VALUE"""),450000.0)</f>
        <v>450000</v>
      </c>
      <c r="AI25" s="22">
        <f>IFERROR(__xludf.DUMMYFUNCTION("""COMPUTED_VALUE"""),450000.0)</f>
        <v>450000</v>
      </c>
      <c r="AJ25" s="22">
        <f>IFERROR(__xludf.DUMMYFUNCTION("""COMPUTED_VALUE"""),450000.0)</f>
        <v>450000</v>
      </c>
      <c r="AK25" s="22">
        <f>IFERROR(__xludf.DUMMYFUNCTION("""COMPUTED_VALUE"""),450000.0)</f>
        <v>450000</v>
      </c>
      <c r="AL25" s="22">
        <f>IFERROR(__xludf.DUMMYFUNCTION("""COMPUTED_VALUE"""),450000.0)</f>
        <v>450000</v>
      </c>
      <c r="AM25" s="22">
        <f>IFERROR(__xludf.DUMMYFUNCTION("""COMPUTED_VALUE"""),450000.0)</f>
        <v>450000</v>
      </c>
      <c r="AN25" s="22">
        <f>IFERROR(__xludf.DUMMYFUNCTION("""COMPUTED_VALUE"""),450000.0)</f>
        <v>450000</v>
      </c>
      <c r="AO25" s="28"/>
      <c r="AP25" s="22">
        <f>IFERROR(__xludf.DUMMYFUNCTION("""COMPUTED_VALUE"""),500000.0)</f>
        <v>500000</v>
      </c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2">
        <f>IFERROR(__xludf.DUMMYFUNCTION("""COMPUTED_VALUE"""),4050000.0)</f>
        <v>4050000</v>
      </c>
      <c r="BD25" s="22">
        <f>IFERROR(__xludf.DUMMYFUNCTION("""COMPUTED_VALUE"""),1600000.0)</f>
        <v>1600000</v>
      </c>
      <c r="BE25" s="22">
        <f>IFERROR(__xludf.DUMMYFUNCTION("""COMPUTED_VALUE"""),0.0)</f>
        <v>0</v>
      </c>
      <c r="BF25" s="22">
        <f>IFERROR(__xludf.DUMMYFUNCTION("""COMPUTED_VALUE"""),5650000.0)</f>
        <v>5650000</v>
      </c>
    </row>
    <row r="26">
      <c r="A26" s="27">
        <f>IFERROR(__xludf.DUMMYFUNCTION("""COMPUTED_VALUE"""),25.0)</f>
        <v>25</v>
      </c>
      <c r="B26" s="28" t="str">
        <f>IFERROR(__xludf.DUMMYFUNCTION("""COMPUTED_VALUE"""),"HAMDAN ALIEF")</f>
        <v>HAMDAN ALIEF</v>
      </c>
      <c r="C26" s="28">
        <f>IFERROR(__xludf.DUMMYFUNCTION("""COMPUTED_VALUE"""),2.024070663E9)</f>
        <v>2024070663</v>
      </c>
      <c r="D26" s="28" t="str">
        <f>IFERROR(__xludf.DUMMYFUNCTION("""COMPUTED_VALUE"""),"SHOLICHIN")</f>
        <v>SHOLICHIN</v>
      </c>
      <c r="E26" s="28" t="str">
        <f>IFERROR(__xludf.DUMMYFUNCTION("""COMPUTED_VALUE"""),"NUR AMALAH")</f>
        <v>NUR AMALAH</v>
      </c>
      <c r="F26" s="28" t="str">
        <f>IFERROR(__xludf.DUMMYFUNCTION("""COMPUTED_VALUE"""),"SEMOLOWARU UTARA 1/31 RT 005 RW 001 SUKOLILO SURABAYA")</f>
        <v>SEMOLOWARU UTARA 1/31 RT 005 RW 001 SUKOLILO SURABAYA</v>
      </c>
      <c r="G26" s="28" t="str">
        <f>IFERROR(__xludf.DUMMYFUNCTION("""COMPUTED_VALUE"""),"MTS-9 D")</f>
        <v>MTS-9 D</v>
      </c>
      <c r="H26" s="28" t="str">
        <f>IFERROR(__xludf.DUMMYFUNCTION("""COMPUTED_VALUE"""),"A")</f>
        <v>A</v>
      </c>
      <c r="I26" s="28" t="str">
        <f>IFERROR(__xludf.DUMMYFUNCTION("""COMPUTED_VALUE"""),"A-7")</f>
        <v>A-7</v>
      </c>
      <c r="J26" s="28">
        <f>IFERROR(__xludf.DUMMYFUNCTION("""COMPUTED_VALUE"""),3.0)</f>
        <v>3</v>
      </c>
      <c r="K26" s="28" t="str">
        <f>IFERROR(__xludf.DUMMYFUNCTION("""COMPUTED_VALUE"""),"3 ULA A PUTRA")</f>
        <v>3 ULA A PUTRA</v>
      </c>
      <c r="L26" s="29" t="str">
        <f>IFERROR(__xludf.DUMMYFUNCTION("""COMPUTED_VALUE"""),"6281216694589")</f>
        <v>6281216694589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2">
        <f>IFERROR(__xludf.DUMMYFUNCTION("""COMPUTED_VALUE"""),500000.0)</f>
        <v>500000</v>
      </c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2">
        <f>IFERROR(__xludf.DUMMYFUNCTION("""COMPUTED_VALUE"""),0.0)</f>
        <v>0</v>
      </c>
      <c r="BD26" s="22">
        <f>IFERROR(__xludf.DUMMYFUNCTION("""COMPUTED_VALUE"""),500000.0)</f>
        <v>500000</v>
      </c>
      <c r="BE26" s="22">
        <f>IFERROR(__xludf.DUMMYFUNCTION("""COMPUTED_VALUE"""),0.0)</f>
        <v>0</v>
      </c>
      <c r="BF26" s="22">
        <f>IFERROR(__xludf.DUMMYFUNCTION("""COMPUTED_VALUE"""),500000.0)</f>
        <v>500000</v>
      </c>
    </row>
    <row r="27">
      <c r="A27" s="27">
        <f>IFERROR(__xludf.DUMMYFUNCTION("""COMPUTED_VALUE"""),26.0)</f>
        <v>26</v>
      </c>
      <c r="B27" s="28" t="str">
        <f>IFERROR(__xludf.DUMMYFUNCTION("""COMPUTED_VALUE"""),"ILHAM AWALUDDIN RIJALUL BARPI")</f>
        <v>ILHAM AWALUDDIN RIJALUL BARPI</v>
      </c>
      <c r="C27" s="28">
        <f>IFERROR(__xludf.DUMMYFUNCTION("""COMPUTED_VALUE"""),2.024070512E9)</f>
        <v>2024070512</v>
      </c>
      <c r="D27" s="28" t="str">
        <f>IFERROR(__xludf.DUMMYFUNCTION("""COMPUTED_VALUE"""),"SYIDRI BARPI")</f>
        <v>SYIDRI BARPI</v>
      </c>
      <c r="E27" s="28" t="str">
        <f>IFERROR(__xludf.DUMMYFUNCTION("""COMPUTED_VALUE"""),"ROKHMAWATI")</f>
        <v>ROKHMAWATI</v>
      </c>
      <c r="F27" s="28" t="str">
        <f>IFERROR(__xludf.DUMMYFUNCTION("""COMPUTED_VALUE"""),"DEKETWETAN RT 001 RW 005 DEKET LAMONGAN")</f>
        <v>DEKETWETAN RT 001 RW 005 DEKET LAMONGAN</v>
      </c>
      <c r="G27" s="28" t="str">
        <f>IFERROR(__xludf.DUMMYFUNCTION("""COMPUTED_VALUE"""),"MTS-9 A")</f>
        <v>MTS-9 A</v>
      </c>
      <c r="H27" s="28" t="str">
        <f>IFERROR(__xludf.DUMMYFUNCTION("""COMPUTED_VALUE"""),"A")</f>
        <v>A</v>
      </c>
      <c r="I27" s="28" t="str">
        <f>IFERROR(__xludf.DUMMYFUNCTION("""COMPUTED_VALUE"""),"A-13")</f>
        <v>A-13</v>
      </c>
      <c r="J27" s="28">
        <f>IFERROR(__xludf.DUMMYFUNCTION("""COMPUTED_VALUE"""),3.0)</f>
        <v>3</v>
      </c>
      <c r="K27" s="28" t="str">
        <f>IFERROR(__xludf.DUMMYFUNCTION("""COMPUTED_VALUE"""),"")</f>
        <v/>
      </c>
      <c r="L27" s="29" t="str">
        <f>IFERROR(__xludf.DUMMYFUNCTION("""COMPUTED_VALUE"""),"6285748111696")</f>
        <v>6285748111696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2">
        <f>IFERROR(__xludf.DUMMYFUNCTION("""COMPUTED_VALUE"""),410000.0)</f>
        <v>410000</v>
      </c>
      <c r="AA27" s="28"/>
      <c r="AB27" s="22">
        <f>IFERROR(__xludf.DUMMYFUNCTION("""COMPUTED_VALUE"""),500000.0)</f>
        <v>500000</v>
      </c>
      <c r="AC27" s="28"/>
      <c r="AD27" s="28"/>
      <c r="AE27" s="22">
        <f>IFERROR(__xludf.DUMMYFUNCTION("""COMPUTED_VALUE"""),410000.0)</f>
        <v>410000</v>
      </c>
      <c r="AF27" s="22">
        <f>IFERROR(__xludf.DUMMYFUNCTION("""COMPUTED_VALUE"""),410000.0)</f>
        <v>410000</v>
      </c>
      <c r="AG27" s="22">
        <f>IFERROR(__xludf.DUMMYFUNCTION("""COMPUTED_VALUE"""),410000.0)</f>
        <v>410000</v>
      </c>
      <c r="AH27" s="22">
        <f>IFERROR(__xludf.DUMMYFUNCTION("""COMPUTED_VALUE"""),410000.0)</f>
        <v>410000</v>
      </c>
      <c r="AI27" s="22">
        <f>IFERROR(__xludf.DUMMYFUNCTION("""COMPUTED_VALUE"""),410000.0)</f>
        <v>410000</v>
      </c>
      <c r="AJ27" s="22">
        <f>IFERROR(__xludf.DUMMYFUNCTION("""COMPUTED_VALUE"""),410000.0)</f>
        <v>410000</v>
      </c>
      <c r="AK27" s="22">
        <f>IFERROR(__xludf.DUMMYFUNCTION("""COMPUTED_VALUE"""),410000.0)</f>
        <v>410000</v>
      </c>
      <c r="AL27" s="22">
        <f>IFERROR(__xludf.DUMMYFUNCTION("""COMPUTED_VALUE"""),410000.0)</f>
        <v>410000</v>
      </c>
      <c r="AM27" s="22">
        <f>IFERROR(__xludf.DUMMYFUNCTION("""COMPUTED_VALUE"""),410000.0)</f>
        <v>410000</v>
      </c>
      <c r="AN27" s="22">
        <f>IFERROR(__xludf.DUMMYFUNCTION("""COMPUTED_VALUE"""),410000.0)</f>
        <v>410000</v>
      </c>
      <c r="AO27" s="28"/>
      <c r="AP27" s="22">
        <f>IFERROR(__xludf.DUMMYFUNCTION("""COMPUTED_VALUE"""),500000.0)</f>
        <v>500000</v>
      </c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2">
        <f>IFERROR(__xludf.DUMMYFUNCTION("""COMPUTED_VALUE"""),4510000.0)</f>
        <v>4510000</v>
      </c>
      <c r="BD27" s="22">
        <f>IFERROR(__xludf.DUMMYFUNCTION("""COMPUTED_VALUE"""),1000000.0)</f>
        <v>1000000</v>
      </c>
      <c r="BE27" s="22">
        <f>IFERROR(__xludf.DUMMYFUNCTION("""COMPUTED_VALUE"""),0.0)</f>
        <v>0</v>
      </c>
      <c r="BF27" s="22">
        <f>IFERROR(__xludf.DUMMYFUNCTION("""COMPUTED_VALUE"""),5510000.0)</f>
        <v>5510000</v>
      </c>
    </row>
    <row r="28">
      <c r="A28" s="27">
        <f>IFERROR(__xludf.DUMMYFUNCTION("""COMPUTED_VALUE"""),27.0)</f>
        <v>27</v>
      </c>
      <c r="B28" s="28" t="str">
        <f>IFERROR(__xludf.DUMMYFUNCTION("""COMPUTED_VALUE"""),"KAFA MUZAMIL BILHAQ")</f>
        <v>KAFA MUZAMIL BILHAQ</v>
      </c>
      <c r="C28" s="28">
        <f>IFERROR(__xludf.DUMMYFUNCTION("""COMPUTED_VALUE"""),2.024070603E9)</f>
        <v>2024070603</v>
      </c>
      <c r="D28" s="28" t="str">
        <f>IFERROR(__xludf.DUMMYFUNCTION("""COMPUTED_VALUE"""),"MUHENDRO")</f>
        <v>MUHENDRO</v>
      </c>
      <c r="E28" s="28" t="str">
        <f>IFERROR(__xludf.DUMMYFUNCTION("""COMPUTED_VALUE"""),"SITI FATIMAH")</f>
        <v>SITI FATIMAH</v>
      </c>
      <c r="F28" s="28" t="str">
        <f>IFERROR(__xludf.DUMMYFUNCTION("""COMPUTED_VALUE"""),"MOJORANU RT 002 RW 005 TIKUNG LAMONGAN")</f>
        <v>MOJORANU RT 002 RW 005 TIKUNG LAMONGAN</v>
      </c>
      <c r="G28" s="28" t="str">
        <f>IFERROR(__xludf.DUMMYFUNCTION("""COMPUTED_VALUE"""),"MTS-9 A")</f>
        <v>MTS-9 A</v>
      </c>
      <c r="H28" s="28" t="str">
        <f>IFERROR(__xludf.DUMMYFUNCTION("""COMPUTED_VALUE"""),"A")</f>
        <v>A</v>
      </c>
      <c r="I28" s="28" t="str">
        <f>IFERROR(__xludf.DUMMYFUNCTION("""COMPUTED_VALUE"""),"A-13")</f>
        <v>A-13</v>
      </c>
      <c r="J28" s="28">
        <f>IFERROR(__xludf.DUMMYFUNCTION("""COMPUTED_VALUE"""),3.0)</f>
        <v>3</v>
      </c>
      <c r="K28" s="28" t="str">
        <f>IFERROR(__xludf.DUMMYFUNCTION("""COMPUTED_VALUE"""),"")</f>
        <v/>
      </c>
      <c r="L28" s="29" t="str">
        <f>IFERROR(__xludf.DUMMYFUNCTION("""COMPUTED_VALUE"""),"6285815585925")</f>
        <v>6285815585925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2">
        <f>IFERROR(__xludf.DUMMYFUNCTION("""COMPUTED_VALUE"""),0.0)</f>
        <v>0</v>
      </c>
      <c r="BD28" s="22">
        <f>IFERROR(__xludf.DUMMYFUNCTION("""COMPUTED_VALUE"""),0.0)</f>
        <v>0</v>
      </c>
      <c r="BE28" s="22">
        <f>IFERROR(__xludf.DUMMYFUNCTION("""COMPUTED_VALUE"""),0.0)</f>
        <v>0</v>
      </c>
      <c r="BF28" s="22">
        <f>IFERROR(__xludf.DUMMYFUNCTION("""COMPUTED_VALUE"""),0.0)</f>
        <v>0</v>
      </c>
    </row>
    <row r="29">
      <c r="A29" s="27">
        <f>IFERROR(__xludf.DUMMYFUNCTION("""COMPUTED_VALUE"""),28.0)</f>
        <v>28</v>
      </c>
      <c r="B29" s="28" t="str">
        <f>IFERROR(__xludf.DUMMYFUNCTION("""COMPUTED_VALUE"""),"KHARIS DWI FIRMANA")</f>
        <v>KHARIS DWI FIRMANA</v>
      </c>
      <c r="C29" s="28">
        <f>IFERROR(__xludf.DUMMYFUNCTION("""COMPUTED_VALUE"""),2.024070627E9)</f>
        <v>2024070627</v>
      </c>
      <c r="D29" s="28" t="str">
        <f>IFERROR(__xludf.DUMMYFUNCTION("""COMPUTED_VALUE"""),"SUMALI")</f>
        <v>SUMALI</v>
      </c>
      <c r="E29" s="28" t="str">
        <f>IFERROR(__xludf.DUMMYFUNCTION("""COMPUTED_VALUE"""),"KHOLIFAH")</f>
        <v>KHOLIFAH</v>
      </c>
      <c r="F29" s="28" t="str">
        <f>IFERROR(__xludf.DUMMYFUNCTION("""COMPUTED_VALUE"""),"NGAYUNG RT 010 RW 003 MADURAN LAMONGAN")</f>
        <v>NGAYUNG RT 010 RW 003 MADURAN LAMONGAN</v>
      </c>
      <c r="G29" s="28" t="str">
        <f>IFERROR(__xludf.DUMMYFUNCTION("""COMPUTED_VALUE"""),"MTS-9 F")</f>
        <v>MTS-9 F</v>
      </c>
      <c r="H29" s="28" t="str">
        <f>IFERROR(__xludf.DUMMYFUNCTION("""COMPUTED_VALUE"""),"A")</f>
        <v>A</v>
      </c>
      <c r="I29" s="28" t="str">
        <f>IFERROR(__xludf.DUMMYFUNCTION("""COMPUTED_VALUE"""),"A-8")</f>
        <v>A-8</v>
      </c>
      <c r="J29" s="28">
        <f>IFERROR(__xludf.DUMMYFUNCTION("""COMPUTED_VALUE"""),3.0)</f>
        <v>3</v>
      </c>
      <c r="K29" s="28" t="str">
        <f>IFERROR(__xludf.DUMMYFUNCTION("""COMPUTED_VALUE"""),"3 ULA B PUTRA")</f>
        <v>3 ULA B PUTRA</v>
      </c>
      <c r="L29" s="29" t="str">
        <f>IFERROR(__xludf.DUMMYFUNCTION("""COMPUTED_VALUE"""),"6285777721366")</f>
        <v>6285777721366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2">
        <f>IFERROR(__xludf.DUMMYFUNCTION("""COMPUTED_VALUE"""),450000.0)</f>
        <v>450000</v>
      </c>
      <c r="AK29" s="22">
        <f>IFERROR(__xludf.DUMMYFUNCTION("""COMPUTED_VALUE"""),450000.0)</f>
        <v>450000</v>
      </c>
      <c r="AL29" s="22">
        <f>IFERROR(__xludf.DUMMYFUNCTION("""COMPUTED_VALUE"""),450000.0)</f>
        <v>450000</v>
      </c>
      <c r="AM29" s="22">
        <f>IFERROR(__xludf.DUMMYFUNCTION("""COMPUTED_VALUE"""),450000.0)</f>
        <v>450000</v>
      </c>
      <c r="AN29" s="22">
        <f>IFERROR(__xludf.DUMMYFUNCTION("""COMPUTED_VALUE"""),450000.0)</f>
        <v>450000</v>
      </c>
      <c r="AO29" s="28"/>
      <c r="AP29" s="22">
        <f>IFERROR(__xludf.DUMMYFUNCTION("""COMPUTED_VALUE"""),500000.0)</f>
        <v>500000</v>
      </c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2">
        <f>IFERROR(__xludf.DUMMYFUNCTION("""COMPUTED_VALUE"""),2250000.0)</f>
        <v>2250000</v>
      </c>
      <c r="BD29" s="22">
        <f>IFERROR(__xludf.DUMMYFUNCTION("""COMPUTED_VALUE"""),500000.0)</f>
        <v>500000</v>
      </c>
      <c r="BE29" s="22">
        <f>IFERROR(__xludf.DUMMYFUNCTION("""COMPUTED_VALUE"""),0.0)</f>
        <v>0</v>
      </c>
      <c r="BF29" s="22">
        <f>IFERROR(__xludf.DUMMYFUNCTION("""COMPUTED_VALUE"""),2750000.0)</f>
        <v>2750000</v>
      </c>
    </row>
    <row r="30">
      <c r="A30" s="27">
        <f>IFERROR(__xludf.DUMMYFUNCTION("""COMPUTED_VALUE"""),29.0)</f>
        <v>29</v>
      </c>
      <c r="B30" s="28" t="str">
        <f>IFERROR(__xludf.DUMMYFUNCTION("""COMPUTED_VALUE"""),"LABIB AZAM")</f>
        <v>LABIB AZAM</v>
      </c>
      <c r="C30" s="28">
        <f>IFERROR(__xludf.DUMMYFUNCTION("""COMPUTED_VALUE"""),2.024070756E9)</f>
        <v>2024070756</v>
      </c>
      <c r="D30" s="28" t="str">
        <f>IFERROR(__xludf.DUMMYFUNCTION("""COMPUTED_VALUE"""),"NASIR EFENDI")</f>
        <v>NASIR EFENDI</v>
      </c>
      <c r="E30" s="28" t="str">
        <f>IFERROR(__xludf.DUMMYFUNCTION("""COMPUTED_VALUE"""),"EVA YUNIARTI")</f>
        <v>EVA YUNIARTI</v>
      </c>
      <c r="F30" s="28" t="str">
        <f>IFERROR(__xludf.DUMMYFUNCTION("""COMPUTED_VALUE"""),"TENGGER RAYA 1 KANDANGAN RT 007 RW 002 BENOWO SURABAYA")</f>
        <v>TENGGER RAYA 1 KANDANGAN RT 007 RW 002 BENOWO SURABAYA</v>
      </c>
      <c r="G30" s="28" t="str">
        <f>IFERROR(__xludf.DUMMYFUNCTION("""COMPUTED_VALUE"""),"SMP-IX B")</f>
        <v>SMP-IX B</v>
      </c>
      <c r="H30" s="28" t="str">
        <f>IFERROR(__xludf.DUMMYFUNCTION("""COMPUTED_VALUE"""),"A")</f>
        <v>A</v>
      </c>
      <c r="I30" s="28" t="str">
        <f>IFERROR(__xludf.DUMMYFUNCTION("""COMPUTED_VALUE"""),"A-7")</f>
        <v>A-7</v>
      </c>
      <c r="J30" s="28">
        <f>IFERROR(__xludf.DUMMYFUNCTION("""COMPUTED_VALUE"""),3.0)</f>
        <v>3</v>
      </c>
      <c r="K30" s="28" t="str">
        <f>IFERROR(__xludf.DUMMYFUNCTION("""COMPUTED_VALUE"""),"3 ULA A PUTRA")</f>
        <v>3 ULA A PUTRA</v>
      </c>
      <c r="L30" s="29" t="str">
        <f>IFERROR(__xludf.DUMMYFUNCTION("""COMPUTED_VALUE"""),"6282333086607")</f>
        <v>6282333086607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2">
        <f>IFERROR(__xludf.DUMMYFUNCTION("""COMPUTED_VALUE"""),450000.0)</f>
        <v>450000</v>
      </c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2">
        <f>IFERROR(__xludf.DUMMYFUNCTION("""COMPUTED_VALUE"""),450000.0)</f>
        <v>450000</v>
      </c>
      <c r="BD30" s="22">
        <f>IFERROR(__xludf.DUMMYFUNCTION("""COMPUTED_VALUE"""),0.0)</f>
        <v>0</v>
      </c>
      <c r="BE30" s="22">
        <f>IFERROR(__xludf.DUMMYFUNCTION("""COMPUTED_VALUE"""),0.0)</f>
        <v>0</v>
      </c>
      <c r="BF30" s="22">
        <f>IFERROR(__xludf.DUMMYFUNCTION("""COMPUTED_VALUE"""),450000.0)</f>
        <v>450000</v>
      </c>
    </row>
    <row r="31">
      <c r="A31" s="27">
        <f>IFERROR(__xludf.DUMMYFUNCTION("""COMPUTED_VALUE"""),30.0)</f>
        <v>30</v>
      </c>
      <c r="B31" s="28" t="str">
        <f>IFERROR(__xludf.DUMMYFUNCTION("""COMPUTED_VALUE"""),"M. FAHRY SATRIA KURNIAWAN")</f>
        <v>M. FAHRY SATRIA KURNIAWAN</v>
      </c>
      <c r="C31" s="28">
        <f>IFERROR(__xludf.DUMMYFUNCTION("""COMPUTED_VALUE"""),2.024070477E9)</f>
        <v>2024070477</v>
      </c>
      <c r="D31" s="28" t="str">
        <f>IFERROR(__xludf.DUMMYFUNCTION("""COMPUTED_VALUE"""),"DWI DIDIK KURNIAWAN")</f>
        <v>DWI DIDIK KURNIAWAN</v>
      </c>
      <c r="E31" s="28" t="str">
        <f>IFERROR(__xludf.DUMMYFUNCTION("""COMPUTED_VALUE"""),"IVA WAHYU NINGSIH")</f>
        <v>IVA WAHYU NINGSIH</v>
      </c>
      <c r="F31" s="28" t="str">
        <f>IFERROR(__xludf.DUMMYFUNCTION("""COMPUTED_VALUE"""),"SUGIHWARAS RT 002 RW 001 DEKET LAMONGAN")</f>
        <v>SUGIHWARAS RT 002 RW 001 DEKET LAMONGAN</v>
      </c>
      <c r="G31" s="28" t="str">
        <f>IFERROR(__xludf.DUMMYFUNCTION("""COMPUTED_VALUE"""),"MTS-9 E")</f>
        <v>MTS-9 E</v>
      </c>
      <c r="H31" s="28" t="str">
        <f>IFERROR(__xludf.DUMMYFUNCTION("""COMPUTED_VALUE"""),"A")</f>
        <v>A</v>
      </c>
      <c r="I31" s="28" t="str">
        <f>IFERROR(__xludf.DUMMYFUNCTION("""COMPUTED_VALUE"""),"A-8")</f>
        <v>A-8</v>
      </c>
      <c r="J31" s="28">
        <f>IFERROR(__xludf.DUMMYFUNCTION("""COMPUTED_VALUE"""),3.0)</f>
        <v>3</v>
      </c>
      <c r="K31" s="28" t="str">
        <f>IFERROR(__xludf.DUMMYFUNCTION("""COMPUTED_VALUE"""),"3 ULA A PUTRA")</f>
        <v>3 ULA A PUTRA</v>
      </c>
      <c r="L31" s="29" t="str">
        <f>IFERROR(__xludf.DUMMYFUNCTION("""COMPUTED_VALUE"""),"6282143497363")</f>
        <v>6282143497363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2">
        <f>IFERROR(__xludf.DUMMYFUNCTION("""COMPUTED_VALUE"""),500000.0)</f>
        <v>500000</v>
      </c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2">
        <f>IFERROR(__xludf.DUMMYFUNCTION("""COMPUTED_VALUE"""),500000.0)</f>
        <v>500000</v>
      </c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2">
        <f>IFERROR(__xludf.DUMMYFUNCTION("""COMPUTED_VALUE"""),0.0)</f>
        <v>0</v>
      </c>
      <c r="BD31" s="22">
        <f>IFERROR(__xludf.DUMMYFUNCTION("""COMPUTED_VALUE"""),1000000.0)</f>
        <v>1000000</v>
      </c>
      <c r="BE31" s="22">
        <f>IFERROR(__xludf.DUMMYFUNCTION("""COMPUTED_VALUE"""),0.0)</f>
        <v>0</v>
      </c>
      <c r="BF31" s="22">
        <f>IFERROR(__xludf.DUMMYFUNCTION("""COMPUTED_VALUE"""),1000000.0)</f>
        <v>1000000</v>
      </c>
    </row>
    <row r="32">
      <c r="A32" s="27">
        <f>IFERROR(__xludf.DUMMYFUNCTION("""COMPUTED_VALUE"""),31.0)</f>
        <v>31</v>
      </c>
      <c r="B32" s="28" t="str">
        <f>IFERROR(__xludf.DUMMYFUNCTION("""COMPUTED_VALUE"""),"M. FARID ALI MUSLIMIN")</f>
        <v>M. FARID ALI MUSLIMIN</v>
      </c>
      <c r="C32" s="28">
        <f>IFERROR(__xludf.DUMMYFUNCTION("""COMPUTED_VALUE"""),2.024070469E9)</f>
        <v>2024070469</v>
      </c>
      <c r="D32" s="28" t="str">
        <f>IFERROR(__xludf.DUMMYFUNCTION("""COMPUTED_VALUE"""),"SOLIKIN")</f>
        <v>SOLIKIN</v>
      </c>
      <c r="E32" s="28" t="str">
        <f>IFERROR(__xludf.DUMMYFUNCTION("""COMPUTED_VALUE"""),"SUPARTI")</f>
        <v>SUPARTI</v>
      </c>
      <c r="F32" s="28" t="str">
        <f>IFERROR(__xludf.DUMMYFUNCTION("""COMPUTED_VALUE"""),"BULAKWATU BANJAREJO RT 003 RW 003 SUKODADI LAMONGAN")</f>
        <v>BULAKWATU BANJAREJO RT 003 RW 003 SUKODADI LAMONGAN</v>
      </c>
      <c r="G32" s="28" t="str">
        <f>IFERROR(__xludf.DUMMYFUNCTION("""COMPUTED_VALUE"""),"MTS-9 E")</f>
        <v>MTS-9 E</v>
      </c>
      <c r="H32" s="28" t="str">
        <f>IFERROR(__xludf.DUMMYFUNCTION("""COMPUTED_VALUE"""),"A")</f>
        <v>A</v>
      </c>
      <c r="I32" s="28" t="str">
        <f>IFERROR(__xludf.DUMMYFUNCTION("""COMPUTED_VALUE"""),"A-8")</f>
        <v>A-8</v>
      </c>
      <c r="J32" s="28">
        <f>IFERROR(__xludf.DUMMYFUNCTION("""COMPUTED_VALUE"""),3.0)</f>
        <v>3</v>
      </c>
      <c r="K32" s="28" t="str">
        <f>IFERROR(__xludf.DUMMYFUNCTION("""COMPUTED_VALUE"""),"3 ULA A PUTRA")</f>
        <v>3 ULA A PUTRA</v>
      </c>
      <c r="L32" s="29" t="str">
        <f>IFERROR(__xludf.DUMMYFUNCTION("""COMPUTED_VALUE"""),"6285731459363")</f>
        <v>6285731459363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2">
        <f>IFERROR(__xludf.DUMMYFUNCTION("""COMPUTED_VALUE"""),0.0)</f>
        <v>0</v>
      </c>
      <c r="BD32" s="22">
        <f>IFERROR(__xludf.DUMMYFUNCTION("""COMPUTED_VALUE"""),0.0)</f>
        <v>0</v>
      </c>
      <c r="BE32" s="22">
        <f>IFERROR(__xludf.DUMMYFUNCTION("""COMPUTED_VALUE"""),0.0)</f>
        <v>0</v>
      </c>
      <c r="BF32" s="22">
        <f>IFERROR(__xludf.DUMMYFUNCTION("""COMPUTED_VALUE"""),0.0)</f>
        <v>0</v>
      </c>
    </row>
    <row r="33">
      <c r="A33" s="27">
        <f>IFERROR(__xludf.DUMMYFUNCTION("""COMPUTED_VALUE"""),32.0)</f>
        <v>32</v>
      </c>
      <c r="B33" s="28" t="str">
        <f>IFERROR(__xludf.DUMMYFUNCTION("""COMPUTED_VALUE"""),"M. JA`FAR SHODIQ FIRMANSYAH")</f>
        <v>M. JA`FAR SHODIQ FIRMANSYAH</v>
      </c>
      <c r="C33" s="28">
        <f>IFERROR(__xludf.DUMMYFUNCTION("""COMPUTED_VALUE"""),2.024070667E9)</f>
        <v>2024070667</v>
      </c>
      <c r="D33" s="28" t="str">
        <f>IFERROR(__xludf.DUMMYFUNCTION("""COMPUTED_VALUE"""),"DENY KURNIAWAN")</f>
        <v>DENY KURNIAWAN</v>
      </c>
      <c r="E33" s="28" t="str">
        <f>IFERROR(__xludf.DUMMYFUNCTION("""COMPUTED_VALUE"""),"ULFATIN KHOFSAH")</f>
        <v>ULFATIN KHOFSAH</v>
      </c>
      <c r="F33" s="28" t="str">
        <f>IFERROR(__xludf.DUMMYFUNCTION("""COMPUTED_VALUE"""),"SEMBUNG RT 005 RW 002 PERAK JOMBANG")</f>
        <v>SEMBUNG RT 005 RW 002 PERAK JOMBANG</v>
      </c>
      <c r="G33" s="28" t="str">
        <f>IFERROR(__xludf.DUMMYFUNCTION("""COMPUTED_VALUE"""),"MTS-9 A")</f>
        <v>MTS-9 A</v>
      </c>
      <c r="H33" s="28" t="str">
        <f>IFERROR(__xludf.DUMMYFUNCTION("""COMPUTED_VALUE"""),"A")</f>
        <v>A</v>
      </c>
      <c r="I33" s="28" t="str">
        <f>IFERROR(__xludf.DUMMYFUNCTION("""COMPUTED_VALUE"""),"A-13")</f>
        <v>A-13</v>
      </c>
      <c r="J33" s="28">
        <f>IFERROR(__xludf.DUMMYFUNCTION("""COMPUTED_VALUE"""),3.0)</f>
        <v>3</v>
      </c>
      <c r="K33" s="28" t="str">
        <f>IFERROR(__xludf.DUMMYFUNCTION("""COMPUTED_VALUE"""),"")</f>
        <v/>
      </c>
      <c r="L33" s="29" t="str">
        <f>IFERROR(__xludf.DUMMYFUNCTION("""COMPUTED_VALUE"""),"6285646766057")</f>
        <v>6285646766057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2">
        <f>IFERROR(__xludf.DUMMYFUNCTION("""COMPUTED_VALUE"""),0.0)</f>
        <v>0</v>
      </c>
      <c r="BD33" s="22">
        <f>IFERROR(__xludf.DUMMYFUNCTION("""COMPUTED_VALUE"""),0.0)</f>
        <v>0</v>
      </c>
      <c r="BE33" s="22">
        <f>IFERROR(__xludf.DUMMYFUNCTION("""COMPUTED_VALUE"""),0.0)</f>
        <v>0</v>
      </c>
      <c r="BF33" s="22">
        <f>IFERROR(__xludf.DUMMYFUNCTION("""COMPUTED_VALUE"""),0.0)</f>
        <v>0</v>
      </c>
    </row>
    <row r="34">
      <c r="A34" s="27">
        <f>IFERROR(__xludf.DUMMYFUNCTION("""COMPUTED_VALUE"""),33.0)</f>
        <v>33</v>
      </c>
      <c r="B34" s="28" t="str">
        <f>IFERROR(__xludf.DUMMYFUNCTION("""COMPUTED_VALUE"""),"M. RADIFQI ALFARISTY")</f>
        <v>M. RADIFQI ALFARISTY</v>
      </c>
      <c r="C34" s="28">
        <f>IFERROR(__xludf.DUMMYFUNCTION("""COMPUTED_VALUE"""),2.024070747E9)</f>
        <v>2024070747</v>
      </c>
      <c r="D34" s="28" t="str">
        <f>IFERROR(__xludf.DUMMYFUNCTION("""COMPUTED_VALUE"""),"GANDUNG RISANTONO")</f>
        <v>GANDUNG RISANTONO</v>
      </c>
      <c r="E34" s="28" t="str">
        <f>IFERROR(__xludf.DUMMYFUNCTION("""COMPUTED_VALUE"""),"KUSNAWATI")</f>
        <v>KUSNAWATI</v>
      </c>
      <c r="F34" s="28" t="str">
        <f>IFERROR(__xludf.DUMMYFUNCTION("""COMPUTED_VALUE"""),"DORO KARANGWEDORO RT 001 RW 001 TURI LAMONGAN")</f>
        <v>DORO KARANGWEDORO RT 001 RW 001 TURI LAMONGAN</v>
      </c>
      <c r="G34" s="28" t="str">
        <f>IFERROR(__xludf.DUMMYFUNCTION("""COMPUTED_VALUE"""),"SMP-IX C")</f>
        <v>SMP-IX C</v>
      </c>
      <c r="H34" s="28" t="str">
        <f>IFERROR(__xludf.DUMMYFUNCTION("""COMPUTED_VALUE"""),"A")</f>
        <v>A</v>
      </c>
      <c r="I34" s="28" t="str">
        <f>IFERROR(__xludf.DUMMYFUNCTION("""COMPUTED_VALUE"""),"A-8")</f>
        <v>A-8</v>
      </c>
      <c r="J34" s="28">
        <f>IFERROR(__xludf.DUMMYFUNCTION("""COMPUTED_VALUE"""),3.0)</f>
        <v>3</v>
      </c>
      <c r="K34" s="28" t="str">
        <f>IFERROR(__xludf.DUMMYFUNCTION("""COMPUTED_VALUE"""),"3 ULA A PUTRA")</f>
        <v>3 ULA A PUTRA</v>
      </c>
      <c r="L34" s="29" t="str">
        <f>IFERROR(__xludf.DUMMYFUNCTION("""COMPUTED_VALUE"""),"6285649740556")</f>
        <v>6285649740556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2">
        <f>IFERROR(__xludf.DUMMYFUNCTION("""COMPUTED_VALUE"""),450000.0)</f>
        <v>450000</v>
      </c>
      <c r="AO34" s="28"/>
      <c r="AP34" s="22">
        <f>IFERROR(__xludf.DUMMYFUNCTION("""COMPUTED_VALUE"""),500000.0)</f>
        <v>500000</v>
      </c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2">
        <f>IFERROR(__xludf.DUMMYFUNCTION("""COMPUTED_VALUE"""),450000.0)</f>
        <v>450000</v>
      </c>
      <c r="BD34" s="22">
        <f>IFERROR(__xludf.DUMMYFUNCTION("""COMPUTED_VALUE"""),500000.0)</f>
        <v>500000</v>
      </c>
      <c r="BE34" s="22">
        <f>IFERROR(__xludf.DUMMYFUNCTION("""COMPUTED_VALUE"""),0.0)</f>
        <v>0</v>
      </c>
      <c r="BF34" s="22">
        <f>IFERROR(__xludf.DUMMYFUNCTION("""COMPUTED_VALUE"""),950000.0)</f>
        <v>950000</v>
      </c>
    </row>
    <row r="35">
      <c r="A35" s="27">
        <f>IFERROR(__xludf.DUMMYFUNCTION("""COMPUTED_VALUE"""),34.0)</f>
        <v>34</v>
      </c>
      <c r="B35" s="28" t="str">
        <f>IFERROR(__xludf.DUMMYFUNCTION("""COMPUTED_VALUE"""),"M. SYAHRUL BAHRI ALSYAFIK")</f>
        <v>M. SYAHRUL BAHRI ALSYAFIK</v>
      </c>
      <c r="C35" s="28">
        <f>IFERROR(__xludf.DUMMYFUNCTION("""COMPUTED_VALUE"""),2.024070628E9)</f>
        <v>2024070628</v>
      </c>
      <c r="D35" s="28" t="str">
        <f>IFERROR(__xludf.DUMMYFUNCTION("""COMPUTED_VALUE"""),"SU`AIDI")</f>
        <v>SU`AIDI</v>
      </c>
      <c r="E35" s="28" t="str">
        <f>IFERROR(__xludf.DUMMYFUNCTION("""COMPUTED_VALUE"""),"ETIK NUR KUMALA")</f>
        <v>ETIK NUR KUMALA</v>
      </c>
      <c r="F35" s="28" t="str">
        <f>IFERROR(__xludf.DUMMYFUNCTION("""COMPUTED_VALUE"""),"PENDOWO LIMO RT 001 RW 003 KARANGBINANGUN LAMONGAN")</f>
        <v>PENDOWO LIMO RT 001 RW 003 KARANGBINANGUN LAMONGAN</v>
      </c>
      <c r="G35" s="28" t="str">
        <f>IFERROR(__xludf.DUMMYFUNCTION("""COMPUTED_VALUE"""),"MTS-9 E")</f>
        <v>MTS-9 E</v>
      </c>
      <c r="H35" s="28" t="str">
        <f>IFERROR(__xludf.DUMMYFUNCTION("""COMPUTED_VALUE"""),"A")</f>
        <v>A</v>
      </c>
      <c r="I35" s="28" t="str">
        <f>IFERROR(__xludf.DUMMYFUNCTION("""COMPUTED_VALUE"""),"A-8")</f>
        <v>A-8</v>
      </c>
      <c r="J35" s="28">
        <f>IFERROR(__xludf.DUMMYFUNCTION("""COMPUTED_VALUE"""),3.0)</f>
        <v>3</v>
      </c>
      <c r="K35" s="28" t="str">
        <f>IFERROR(__xludf.DUMMYFUNCTION("""COMPUTED_VALUE"""),"3 ULA B PUTRA")</f>
        <v>3 ULA B PUTRA</v>
      </c>
      <c r="L35" s="29" t="str">
        <f>IFERROR(__xludf.DUMMYFUNCTION("""COMPUTED_VALUE"""),"6285704248674")</f>
        <v>6285704248674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2">
        <f>IFERROR(__xludf.DUMMYFUNCTION("""COMPUTED_VALUE"""),500000.0)</f>
        <v>500000</v>
      </c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2">
        <f>IFERROR(__xludf.DUMMYFUNCTION("""COMPUTED_VALUE"""),0.0)</f>
        <v>0</v>
      </c>
      <c r="BD35" s="22">
        <f>IFERROR(__xludf.DUMMYFUNCTION("""COMPUTED_VALUE"""),500000.0)</f>
        <v>500000</v>
      </c>
      <c r="BE35" s="22">
        <f>IFERROR(__xludf.DUMMYFUNCTION("""COMPUTED_VALUE"""),0.0)</f>
        <v>0</v>
      </c>
      <c r="BF35" s="22">
        <f>IFERROR(__xludf.DUMMYFUNCTION("""COMPUTED_VALUE"""),500000.0)</f>
        <v>500000</v>
      </c>
    </row>
    <row r="36">
      <c r="A36" s="27">
        <f>IFERROR(__xludf.DUMMYFUNCTION("""COMPUTED_VALUE"""),35.0)</f>
        <v>35</v>
      </c>
      <c r="B36" s="28" t="str">
        <f>IFERROR(__xludf.DUMMYFUNCTION("""COMPUTED_VALUE"""),"MIRZA ATHA HIBATULLAH")</f>
        <v>MIRZA ATHA HIBATULLAH</v>
      </c>
      <c r="C36" s="28">
        <f>IFERROR(__xludf.DUMMYFUNCTION("""COMPUTED_VALUE"""),2.0240706E9)</f>
        <v>2024070600</v>
      </c>
      <c r="D36" s="28" t="str">
        <f>IFERROR(__xludf.DUMMYFUNCTION("""COMPUTED_VALUE"""),"ABU KHOIR, S.SOS.I")</f>
        <v>ABU KHOIR, S.SOS.I</v>
      </c>
      <c r="E36" s="28" t="str">
        <f>IFERROR(__xludf.DUMMYFUNCTION("""COMPUTED_VALUE"""),"HARWATI, S,SOS I")</f>
        <v>HARWATI, S,SOS I</v>
      </c>
      <c r="F36" s="28" t="str">
        <f>IFERROR(__xludf.DUMMYFUNCTION("""COMPUTED_VALUE"""),"BADAN BOGOBABADAN RT 001 RW 004 KARANGBINANGUN LAMONGAN")</f>
        <v>BADAN BOGOBABADAN RT 001 RW 004 KARANGBINANGUN LAMONGAN</v>
      </c>
      <c r="G36" s="28" t="str">
        <f>IFERROR(__xludf.DUMMYFUNCTION("""COMPUTED_VALUE"""),"MTS-9 E")</f>
        <v>MTS-9 E</v>
      </c>
      <c r="H36" s="28" t="str">
        <f>IFERROR(__xludf.DUMMYFUNCTION("""COMPUTED_VALUE"""),"A")</f>
        <v>A</v>
      </c>
      <c r="I36" s="28" t="str">
        <f>IFERROR(__xludf.DUMMYFUNCTION("""COMPUTED_VALUE"""),"A-13")</f>
        <v>A-13</v>
      </c>
      <c r="J36" s="28">
        <f>IFERROR(__xludf.DUMMYFUNCTION("""COMPUTED_VALUE"""),3.0)</f>
        <v>3</v>
      </c>
      <c r="K36" s="28" t="str">
        <f>IFERROR(__xludf.DUMMYFUNCTION("""COMPUTED_VALUE"""),"")</f>
        <v/>
      </c>
      <c r="L36" s="29" t="str">
        <f>IFERROR(__xludf.DUMMYFUNCTION("""COMPUTED_VALUE"""),"6285731205500")</f>
        <v>6285731205500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2">
        <f>IFERROR(__xludf.DUMMYFUNCTION("""COMPUTED_VALUE"""),410000.0)</f>
        <v>410000</v>
      </c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2">
        <f>IFERROR(__xludf.DUMMYFUNCTION("""COMPUTED_VALUE"""),410000.0)</f>
        <v>410000</v>
      </c>
      <c r="BD36" s="22">
        <f>IFERROR(__xludf.DUMMYFUNCTION("""COMPUTED_VALUE"""),0.0)</f>
        <v>0</v>
      </c>
      <c r="BE36" s="22">
        <f>IFERROR(__xludf.DUMMYFUNCTION("""COMPUTED_VALUE"""),0.0)</f>
        <v>0</v>
      </c>
      <c r="BF36" s="22">
        <f>IFERROR(__xludf.DUMMYFUNCTION("""COMPUTED_VALUE"""),410000.0)</f>
        <v>410000</v>
      </c>
    </row>
    <row r="37">
      <c r="A37" s="27">
        <f>IFERROR(__xludf.DUMMYFUNCTION("""COMPUTED_VALUE"""),36.0)</f>
        <v>36</v>
      </c>
      <c r="B37" s="28" t="str">
        <f>IFERROR(__xludf.DUMMYFUNCTION("""COMPUTED_VALUE"""),"MOCH SLAMET JULIANTO")</f>
        <v>MOCH SLAMET JULIANTO</v>
      </c>
      <c r="C37" s="28">
        <f>IFERROR(__xludf.DUMMYFUNCTION("""COMPUTED_VALUE"""),2.024070589E9)</f>
        <v>2024070589</v>
      </c>
      <c r="D37" s="28" t="str">
        <f>IFERROR(__xludf.DUMMYFUNCTION("""COMPUTED_VALUE"""),"SUYOTO")</f>
        <v>SUYOTO</v>
      </c>
      <c r="E37" s="28" t="str">
        <f>IFERROR(__xludf.DUMMYFUNCTION("""COMPUTED_VALUE"""),"SRI ULFIATI")</f>
        <v>SRI ULFIATI</v>
      </c>
      <c r="F37" s="28" t="str">
        <f>IFERROR(__xludf.DUMMYFUNCTION("""COMPUTED_VALUE"""),"SAWAH 2-A PEGIRIAN RT 009 RW 002 SEMAMPIR SURABAYA")</f>
        <v>SAWAH 2-A PEGIRIAN RT 009 RW 002 SEMAMPIR SURABAYA</v>
      </c>
      <c r="G37" s="28" t="str">
        <f>IFERROR(__xludf.DUMMYFUNCTION("""COMPUTED_VALUE"""),"MTS-9 B")</f>
        <v>MTS-9 B</v>
      </c>
      <c r="H37" s="28" t="str">
        <f>IFERROR(__xludf.DUMMYFUNCTION("""COMPUTED_VALUE"""),"A")</f>
        <v>A</v>
      </c>
      <c r="I37" s="28" t="str">
        <f>IFERROR(__xludf.DUMMYFUNCTION("""COMPUTED_VALUE"""),"A-8")</f>
        <v>A-8</v>
      </c>
      <c r="J37" s="28">
        <f>IFERROR(__xludf.DUMMYFUNCTION("""COMPUTED_VALUE"""),3.0)</f>
        <v>3</v>
      </c>
      <c r="K37" s="28" t="str">
        <f>IFERROR(__xludf.DUMMYFUNCTION("""COMPUTED_VALUE"""),"3 ULA B PUTRA")</f>
        <v>3 ULA B PUTRA</v>
      </c>
      <c r="L37" s="29" t="str">
        <f>IFERROR(__xludf.DUMMYFUNCTION("""COMPUTED_VALUE"""),"6285851745443")</f>
        <v>6285851745443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2">
        <f>IFERROR(__xludf.DUMMYFUNCTION("""COMPUTED_VALUE"""),0.0)</f>
        <v>0</v>
      </c>
      <c r="BD37" s="22">
        <f>IFERROR(__xludf.DUMMYFUNCTION("""COMPUTED_VALUE"""),0.0)</f>
        <v>0</v>
      </c>
      <c r="BE37" s="22">
        <f>IFERROR(__xludf.DUMMYFUNCTION("""COMPUTED_VALUE"""),0.0)</f>
        <v>0</v>
      </c>
      <c r="BF37" s="22">
        <f>IFERROR(__xludf.DUMMYFUNCTION("""COMPUTED_VALUE"""),0.0)</f>
        <v>0</v>
      </c>
    </row>
    <row r="38">
      <c r="A38" s="27">
        <f>IFERROR(__xludf.DUMMYFUNCTION("""COMPUTED_VALUE"""),37.0)</f>
        <v>37</v>
      </c>
      <c r="B38" s="28" t="str">
        <f>IFERROR(__xludf.DUMMYFUNCTION("""COMPUTED_VALUE"""),"MOCH. RAYYAN ZIDNY IRHAMNI")</f>
        <v>MOCH. RAYYAN ZIDNY IRHAMNI</v>
      </c>
      <c r="C38" s="28">
        <f>IFERROR(__xludf.DUMMYFUNCTION("""COMPUTED_VALUE"""),2.024070649E9)</f>
        <v>2024070649</v>
      </c>
      <c r="D38" s="28" t="str">
        <f>IFERROR(__xludf.DUMMYFUNCTION("""COMPUTED_VALUE"""),"ERFANIYANTO")</f>
        <v>ERFANIYANTO</v>
      </c>
      <c r="E38" s="28" t="str">
        <f>IFERROR(__xludf.DUMMYFUNCTION("""COMPUTED_VALUE"""),"ERNAWATI")</f>
        <v>ERNAWATI</v>
      </c>
      <c r="F38" s="28" t="str">
        <f>IFERROR(__xludf.DUMMYFUNCTION("""COMPUTED_VALUE"""),"WONOKERTO RT 015 RW 003 DUKUN GRESIK")</f>
        <v>WONOKERTO RT 015 RW 003 DUKUN GRESIK</v>
      </c>
      <c r="G38" s="28" t="str">
        <f>IFERROR(__xludf.DUMMYFUNCTION("""COMPUTED_VALUE"""),"MTS-9 D")</f>
        <v>MTS-9 D</v>
      </c>
      <c r="H38" s="28" t="str">
        <f>IFERROR(__xludf.DUMMYFUNCTION("""COMPUTED_VALUE"""),"A")</f>
        <v>A</v>
      </c>
      <c r="I38" s="28" t="str">
        <f>IFERROR(__xludf.DUMMYFUNCTION("""COMPUTED_VALUE"""),"A-7")</f>
        <v>A-7</v>
      </c>
      <c r="J38" s="28">
        <f>IFERROR(__xludf.DUMMYFUNCTION("""COMPUTED_VALUE"""),3.0)</f>
        <v>3</v>
      </c>
      <c r="K38" s="28" t="str">
        <f>IFERROR(__xludf.DUMMYFUNCTION("""COMPUTED_VALUE"""),"3 ULA B PUTRA")</f>
        <v>3 ULA B PUTRA</v>
      </c>
      <c r="L38" s="29" t="str">
        <f>IFERROR(__xludf.DUMMYFUNCTION("""COMPUTED_VALUE"""),"6285708249869")</f>
        <v>6285708249869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2">
        <f>IFERROR(__xludf.DUMMYFUNCTION("""COMPUTED_VALUE"""),500000.0)</f>
        <v>500000</v>
      </c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2">
        <f>IFERROR(__xludf.DUMMYFUNCTION("""COMPUTED_VALUE"""),450000.0)</f>
        <v>450000</v>
      </c>
      <c r="AO38" s="28"/>
      <c r="AP38" s="22">
        <f>IFERROR(__xludf.DUMMYFUNCTION("""COMPUTED_VALUE"""),500000.0)</f>
        <v>500000</v>
      </c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2">
        <f>IFERROR(__xludf.DUMMYFUNCTION("""COMPUTED_VALUE"""),450000.0)</f>
        <v>450000</v>
      </c>
      <c r="BD38" s="22">
        <f>IFERROR(__xludf.DUMMYFUNCTION("""COMPUTED_VALUE"""),1000000.0)</f>
        <v>1000000</v>
      </c>
      <c r="BE38" s="22">
        <f>IFERROR(__xludf.DUMMYFUNCTION("""COMPUTED_VALUE"""),0.0)</f>
        <v>0</v>
      </c>
      <c r="BF38" s="22">
        <f>IFERROR(__xludf.DUMMYFUNCTION("""COMPUTED_VALUE"""),1450000.0)</f>
        <v>1450000</v>
      </c>
    </row>
    <row r="39">
      <c r="A39" s="27">
        <f>IFERROR(__xludf.DUMMYFUNCTION("""COMPUTED_VALUE"""),38.0)</f>
        <v>38</v>
      </c>
      <c r="B39" s="28" t="str">
        <f>IFERROR(__xludf.DUMMYFUNCTION("""COMPUTED_VALUE"""),"MOCHAMMAD AL FATIH ABRISAM KURNIAWAN")</f>
        <v>MOCHAMMAD AL FATIH ABRISAM KURNIAWAN</v>
      </c>
      <c r="C39" s="28">
        <f>IFERROR(__xludf.DUMMYFUNCTION("""COMPUTED_VALUE"""),2.024070637E9)</f>
        <v>2024070637</v>
      </c>
      <c r="D39" s="28" t="str">
        <f>IFERROR(__xludf.DUMMYFUNCTION("""COMPUTED_VALUE"""),"BAKHTIAR DENI KURNIAWAN")</f>
        <v>BAKHTIAR DENI KURNIAWAN</v>
      </c>
      <c r="E39" s="28" t="str">
        <f>IFERROR(__xludf.DUMMYFUNCTION("""COMPUTED_VALUE"""),"WIWIT INDRAYATI")</f>
        <v>WIWIT INDRAYATI</v>
      </c>
      <c r="F39" s="28" t="str">
        <f>IFERROR(__xludf.DUMMYFUNCTION("""COMPUTED_VALUE"""),"SUKOANYAR SIDOMUKTI RT 006 RW 002 KEMBANGBAHU LAMONGAN")</f>
        <v>SUKOANYAR SIDOMUKTI RT 006 RW 002 KEMBANGBAHU LAMONGAN</v>
      </c>
      <c r="G39" s="28" t="str">
        <f>IFERROR(__xludf.DUMMYFUNCTION("""COMPUTED_VALUE"""),"MTS-9 E")</f>
        <v>MTS-9 E</v>
      </c>
      <c r="H39" s="28" t="str">
        <f>IFERROR(__xludf.DUMMYFUNCTION("""COMPUTED_VALUE"""),"A")</f>
        <v>A</v>
      </c>
      <c r="I39" s="28" t="str">
        <f>IFERROR(__xludf.DUMMYFUNCTION("""COMPUTED_VALUE"""),"A-8")</f>
        <v>A-8</v>
      </c>
      <c r="J39" s="28">
        <f>IFERROR(__xludf.DUMMYFUNCTION("""COMPUTED_VALUE"""),3.0)</f>
        <v>3</v>
      </c>
      <c r="K39" s="28" t="str">
        <f>IFERROR(__xludf.DUMMYFUNCTION("""COMPUTED_VALUE"""),"3 ULA B PUTRA")</f>
        <v>3 ULA B PUTRA</v>
      </c>
      <c r="L39" s="29" t="str">
        <f>IFERROR(__xludf.DUMMYFUNCTION("""COMPUTED_VALUE"""),"6281553088645")</f>
        <v>6281553088645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2">
        <f>IFERROR(__xludf.DUMMYFUNCTION("""COMPUTED_VALUE"""),0.0)</f>
        <v>0</v>
      </c>
      <c r="BD39" s="22">
        <f>IFERROR(__xludf.DUMMYFUNCTION("""COMPUTED_VALUE"""),0.0)</f>
        <v>0</v>
      </c>
      <c r="BE39" s="22">
        <f>IFERROR(__xludf.DUMMYFUNCTION("""COMPUTED_VALUE"""),0.0)</f>
        <v>0</v>
      </c>
      <c r="BF39" s="22">
        <f>IFERROR(__xludf.DUMMYFUNCTION("""COMPUTED_VALUE"""),0.0)</f>
        <v>0</v>
      </c>
    </row>
    <row r="40">
      <c r="A40" s="27">
        <f>IFERROR(__xludf.DUMMYFUNCTION("""COMPUTED_VALUE"""),39.0)</f>
        <v>39</v>
      </c>
      <c r="B40" s="28" t="str">
        <f>IFERROR(__xludf.DUMMYFUNCTION("""COMPUTED_VALUE"""),"MOCHAMMAD NEIZTAHUL HUDA")</f>
        <v>MOCHAMMAD NEIZTAHUL HUDA</v>
      </c>
      <c r="C40" s="28">
        <f>IFERROR(__xludf.DUMMYFUNCTION("""COMPUTED_VALUE"""),2.024070626E9)</f>
        <v>2024070626</v>
      </c>
      <c r="D40" s="28" t="str">
        <f>IFERROR(__xludf.DUMMYFUNCTION("""COMPUTED_VALUE"""),"MUHAMMAD BANDI")</f>
        <v>MUHAMMAD BANDI</v>
      </c>
      <c r="E40" s="28" t="str">
        <f>IFERROR(__xludf.DUMMYFUNCTION("""COMPUTED_VALUE"""),"RIYAYUK")</f>
        <v>RIYAYUK</v>
      </c>
      <c r="F40" s="28" t="str">
        <f>IFERROR(__xludf.DUMMYFUNCTION("""COMPUTED_VALUE"""),"NGAYUNG RT 007 RW 002 MADURAN LAMONGAN")</f>
        <v>NGAYUNG RT 007 RW 002 MADURAN LAMONGAN</v>
      </c>
      <c r="G40" s="28" t="str">
        <f>IFERROR(__xludf.DUMMYFUNCTION("""COMPUTED_VALUE"""),"MTS-9 B")</f>
        <v>MTS-9 B</v>
      </c>
      <c r="H40" s="28" t="str">
        <f>IFERROR(__xludf.DUMMYFUNCTION("""COMPUTED_VALUE"""),"A")</f>
        <v>A</v>
      </c>
      <c r="I40" s="28" t="str">
        <f>IFERROR(__xludf.DUMMYFUNCTION("""COMPUTED_VALUE"""),"A-8")</f>
        <v>A-8</v>
      </c>
      <c r="J40" s="28">
        <f>IFERROR(__xludf.DUMMYFUNCTION("""COMPUTED_VALUE"""),3.0)</f>
        <v>3</v>
      </c>
      <c r="K40" s="28" t="str">
        <f>IFERROR(__xludf.DUMMYFUNCTION("""COMPUTED_VALUE"""),"3 ULA B PUTRA")</f>
        <v>3 ULA B PUTRA</v>
      </c>
      <c r="L40" s="29" t="str">
        <f>IFERROR(__xludf.DUMMYFUNCTION("""COMPUTED_VALUE"""),"6282237520701")</f>
        <v>6282237520701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2">
        <f>IFERROR(__xludf.DUMMYFUNCTION("""COMPUTED_VALUE"""),450000.0)</f>
        <v>450000</v>
      </c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2">
        <f>IFERROR(__xludf.DUMMYFUNCTION("""COMPUTED_VALUE"""),450000.0)</f>
        <v>450000</v>
      </c>
      <c r="BD40" s="22">
        <f>IFERROR(__xludf.DUMMYFUNCTION("""COMPUTED_VALUE"""),0.0)</f>
        <v>0</v>
      </c>
      <c r="BE40" s="22">
        <f>IFERROR(__xludf.DUMMYFUNCTION("""COMPUTED_VALUE"""),0.0)</f>
        <v>0</v>
      </c>
      <c r="BF40" s="22">
        <f>IFERROR(__xludf.DUMMYFUNCTION("""COMPUTED_VALUE"""),450000.0)</f>
        <v>450000</v>
      </c>
    </row>
    <row r="41">
      <c r="A41" s="27">
        <f>IFERROR(__xludf.DUMMYFUNCTION("""COMPUTED_VALUE"""),40.0)</f>
        <v>40</v>
      </c>
      <c r="B41" s="28" t="str">
        <f>IFERROR(__xludf.DUMMYFUNCTION("""COMPUTED_VALUE"""),"MOH. FAKHRI ARVIANSYAH")</f>
        <v>MOH. FAKHRI ARVIANSYAH</v>
      </c>
      <c r="C41" s="28">
        <f>IFERROR(__xludf.DUMMYFUNCTION("""COMPUTED_VALUE"""),2.02407048E9)</f>
        <v>2024070480</v>
      </c>
      <c r="D41" s="28" t="str">
        <f>IFERROR(__xludf.DUMMYFUNCTION("""COMPUTED_VALUE"""),"MOH ASARI")</f>
        <v>MOH ASARI</v>
      </c>
      <c r="E41" s="28" t="str">
        <f>IFERROR(__xludf.DUMMYFUNCTION("""COMPUTED_VALUE"""),"SUFINAH DWI ROKHMAH")</f>
        <v>SUFINAH DWI ROKHMAH</v>
      </c>
      <c r="F41" s="28" t="str">
        <f>IFERROR(__xludf.DUMMYFUNCTION("""COMPUTED_VALUE"""),"KARANGTAPEN KARANGLANGIT RT 002 RW 004 LAMONGAN LAMONGAN")</f>
        <v>KARANGTAPEN KARANGLANGIT RT 002 RW 004 LAMONGAN LAMONGAN</v>
      </c>
      <c r="G41" s="28" t="str">
        <f>IFERROR(__xludf.DUMMYFUNCTION("""COMPUTED_VALUE"""),"MTS-9 F")</f>
        <v>MTS-9 F</v>
      </c>
      <c r="H41" s="28" t="str">
        <f>IFERROR(__xludf.DUMMYFUNCTION("""COMPUTED_VALUE"""),"A")</f>
        <v>A</v>
      </c>
      <c r="I41" s="28" t="str">
        <f>IFERROR(__xludf.DUMMYFUNCTION("""COMPUTED_VALUE"""),"A-8")</f>
        <v>A-8</v>
      </c>
      <c r="J41" s="28">
        <f>IFERROR(__xludf.DUMMYFUNCTION("""COMPUTED_VALUE"""),3.0)</f>
        <v>3</v>
      </c>
      <c r="K41" s="28" t="str">
        <f>IFERROR(__xludf.DUMMYFUNCTION("""COMPUTED_VALUE"""),"3 ULA A PUTRA")</f>
        <v>3 ULA A PUTRA</v>
      </c>
      <c r="L41" s="29" t="str">
        <f>IFERROR(__xludf.DUMMYFUNCTION("""COMPUTED_VALUE"""),"6285732561338")</f>
        <v>6285732561338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2">
        <f>IFERROR(__xludf.DUMMYFUNCTION("""COMPUTED_VALUE"""),0.0)</f>
        <v>0</v>
      </c>
      <c r="BD41" s="22">
        <f>IFERROR(__xludf.DUMMYFUNCTION("""COMPUTED_VALUE"""),0.0)</f>
        <v>0</v>
      </c>
      <c r="BE41" s="22">
        <f>IFERROR(__xludf.DUMMYFUNCTION("""COMPUTED_VALUE"""),0.0)</f>
        <v>0</v>
      </c>
      <c r="BF41" s="22">
        <f>IFERROR(__xludf.DUMMYFUNCTION("""COMPUTED_VALUE"""),0.0)</f>
        <v>0</v>
      </c>
    </row>
    <row r="42">
      <c r="A42" s="27">
        <f>IFERROR(__xludf.DUMMYFUNCTION("""COMPUTED_VALUE"""),41.0)</f>
        <v>41</v>
      </c>
      <c r="B42" s="28" t="str">
        <f>IFERROR(__xludf.DUMMYFUNCTION("""COMPUTED_VALUE"""),"MOH. VERRY HILMI MUBAROK")</f>
        <v>MOH. VERRY HILMI MUBAROK</v>
      </c>
      <c r="C42" s="28">
        <f>IFERROR(__xludf.DUMMYFUNCTION("""COMPUTED_VALUE"""),2.024070552E9)</f>
        <v>2024070552</v>
      </c>
      <c r="D42" s="28" t="str">
        <f>IFERROR(__xludf.DUMMYFUNCTION("""COMPUTED_VALUE"""),"MAHRUS ALI")</f>
        <v>MAHRUS ALI</v>
      </c>
      <c r="E42" s="28" t="str">
        <f>IFERROR(__xludf.DUMMYFUNCTION("""COMPUTED_VALUE"""),"NUR UMIYATI")</f>
        <v>NUR UMIYATI</v>
      </c>
      <c r="F42" s="28" t="str">
        <f>IFERROR(__xludf.DUMMYFUNCTION("""COMPUTED_VALUE"""),"JL. GUNUNG BATU NO. 102 SUKARAJA RT 007 RW 002 CICENDO BANDUNG")</f>
        <v>JL. GUNUNG BATU NO. 102 SUKARAJA RT 007 RW 002 CICENDO BANDUNG</v>
      </c>
      <c r="G42" s="28" t="str">
        <f>IFERROR(__xludf.DUMMYFUNCTION("""COMPUTED_VALUE"""),"MTS-9 F")</f>
        <v>MTS-9 F</v>
      </c>
      <c r="H42" s="28" t="str">
        <f>IFERROR(__xludf.DUMMYFUNCTION("""COMPUTED_VALUE"""),"A")</f>
        <v>A</v>
      </c>
      <c r="I42" s="28" t="str">
        <f>IFERROR(__xludf.DUMMYFUNCTION("""COMPUTED_VALUE"""),"A-7")</f>
        <v>A-7</v>
      </c>
      <c r="J42" s="28">
        <f>IFERROR(__xludf.DUMMYFUNCTION("""COMPUTED_VALUE"""),3.0)</f>
        <v>3</v>
      </c>
      <c r="K42" s="28" t="str">
        <f>IFERROR(__xludf.DUMMYFUNCTION("""COMPUTED_VALUE"""),"3 ULA B PUTRA")</f>
        <v>3 ULA B PUTRA</v>
      </c>
      <c r="L42" s="29" t="str">
        <f>IFERROR(__xludf.DUMMYFUNCTION("""COMPUTED_VALUE"""),"6281221567120")</f>
        <v>6281221567120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2">
        <f>IFERROR(__xludf.DUMMYFUNCTION("""COMPUTED_VALUE"""),0.0)</f>
        <v>0</v>
      </c>
      <c r="BD42" s="22">
        <f>IFERROR(__xludf.DUMMYFUNCTION("""COMPUTED_VALUE"""),0.0)</f>
        <v>0</v>
      </c>
      <c r="BE42" s="22">
        <f>IFERROR(__xludf.DUMMYFUNCTION("""COMPUTED_VALUE"""),0.0)</f>
        <v>0</v>
      </c>
      <c r="BF42" s="22">
        <f>IFERROR(__xludf.DUMMYFUNCTION("""COMPUTED_VALUE"""),0.0)</f>
        <v>0</v>
      </c>
    </row>
    <row r="43">
      <c r="A43" s="27">
        <f>IFERROR(__xludf.DUMMYFUNCTION("""COMPUTED_VALUE"""),42.0)</f>
        <v>42</v>
      </c>
      <c r="B43" s="28" t="str">
        <f>IFERROR(__xludf.DUMMYFUNCTION("""COMPUTED_VALUE"""),"MOHAMAD ARZAQ DWI SAPUTRA")</f>
        <v>MOHAMAD ARZAQ DWI SAPUTRA</v>
      </c>
      <c r="C43" s="28">
        <f>IFERROR(__xludf.DUMMYFUNCTION("""COMPUTED_VALUE"""),2.024070529E9)</f>
        <v>2024070529</v>
      </c>
      <c r="D43" s="28" t="str">
        <f>IFERROR(__xludf.DUMMYFUNCTION("""COMPUTED_VALUE"""),"HUSNUL MUKHOTIB")</f>
        <v>HUSNUL MUKHOTIB</v>
      </c>
      <c r="E43" s="28" t="str">
        <f>IFERROR(__xludf.DUMMYFUNCTION("""COMPUTED_VALUE"""),"UMMU ZAHROTIN")</f>
        <v>UMMU ZAHROTIN</v>
      </c>
      <c r="F43" s="28" t="str">
        <f>IFERROR(__xludf.DUMMYFUNCTION("""COMPUTED_VALUE"""),"TRACAL RT 003 RW 003 KARANGGENENG LAMONGAN")</f>
        <v>TRACAL RT 003 RW 003 KARANGGENENG LAMONGAN</v>
      </c>
      <c r="G43" s="28" t="str">
        <f>IFERROR(__xludf.DUMMYFUNCTION("""COMPUTED_VALUE"""),"MTS-9 D")</f>
        <v>MTS-9 D</v>
      </c>
      <c r="H43" s="28" t="str">
        <f>IFERROR(__xludf.DUMMYFUNCTION("""COMPUTED_VALUE"""),"A")</f>
        <v>A</v>
      </c>
      <c r="I43" s="28" t="str">
        <f>IFERROR(__xludf.DUMMYFUNCTION("""COMPUTED_VALUE"""),"A-8")</f>
        <v>A-8</v>
      </c>
      <c r="J43" s="28">
        <f>IFERROR(__xludf.DUMMYFUNCTION("""COMPUTED_VALUE"""),3.0)</f>
        <v>3</v>
      </c>
      <c r="K43" s="28" t="str">
        <f>IFERROR(__xludf.DUMMYFUNCTION("""COMPUTED_VALUE"""),"3 ULA A PUTRA")</f>
        <v>3 ULA A PUTRA</v>
      </c>
      <c r="L43" s="29" t="str">
        <f>IFERROR(__xludf.DUMMYFUNCTION("""COMPUTED_VALUE"""),"6287794604684")</f>
        <v>6287794604684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2">
        <f>IFERROR(__xludf.DUMMYFUNCTION("""COMPUTED_VALUE"""),500000.0)</f>
        <v>500000</v>
      </c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2">
        <f>IFERROR(__xludf.DUMMYFUNCTION("""COMPUTED_VALUE"""),500000.0)</f>
        <v>500000</v>
      </c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2">
        <f>IFERROR(__xludf.DUMMYFUNCTION("""COMPUTED_VALUE"""),0.0)</f>
        <v>0</v>
      </c>
      <c r="BD43" s="22">
        <f>IFERROR(__xludf.DUMMYFUNCTION("""COMPUTED_VALUE"""),1000000.0)</f>
        <v>1000000</v>
      </c>
      <c r="BE43" s="22">
        <f>IFERROR(__xludf.DUMMYFUNCTION("""COMPUTED_VALUE"""),0.0)</f>
        <v>0</v>
      </c>
      <c r="BF43" s="22">
        <f>IFERROR(__xludf.DUMMYFUNCTION("""COMPUTED_VALUE"""),1000000.0)</f>
        <v>1000000</v>
      </c>
    </row>
    <row r="44">
      <c r="A44" s="27">
        <f>IFERROR(__xludf.DUMMYFUNCTION("""COMPUTED_VALUE"""),43.0)</f>
        <v>43</v>
      </c>
      <c r="B44" s="28" t="str">
        <f>IFERROR(__xludf.DUMMYFUNCTION("""COMPUTED_VALUE"""),"MOHAMAD NOVAL JALALUDIN")</f>
        <v>MOHAMAD NOVAL JALALUDIN</v>
      </c>
      <c r="C44" s="28">
        <f>IFERROR(__xludf.DUMMYFUNCTION("""COMPUTED_VALUE"""),2.024070485E9)</f>
        <v>2024070485</v>
      </c>
      <c r="D44" s="28" t="str">
        <f>IFERROR(__xludf.DUMMYFUNCTION("""COMPUTED_VALUE"""),"MUCHAMAD ZAINUDIN")</f>
        <v>MUCHAMAD ZAINUDIN</v>
      </c>
      <c r="E44" s="28" t="str">
        <f>IFERROR(__xludf.DUMMYFUNCTION("""COMPUTED_VALUE"""),"NURUL LAILI")</f>
        <v>NURUL LAILI</v>
      </c>
      <c r="F44" s="28" t="str">
        <f>IFERROR(__xludf.DUMMYFUNCTION("""COMPUTED_VALUE"""),"SUGIHWARAS RT 002 RW 001 DEKET LAMONGAN")</f>
        <v>SUGIHWARAS RT 002 RW 001 DEKET LAMONGAN</v>
      </c>
      <c r="G44" s="28" t="str">
        <f>IFERROR(__xludf.DUMMYFUNCTION("""COMPUTED_VALUE"""),"MTS-9 E")</f>
        <v>MTS-9 E</v>
      </c>
      <c r="H44" s="28" t="str">
        <f>IFERROR(__xludf.DUMMYFUNCTION("""COMPUTED_VALUE"""),"A")</f>
        <v>A</v>
      </c>
      <c r="I44" s="28" t="str">
        <f>IFERROR(__xludf.DUMMYFUNCTION("""COMPUTED_VALUE"""),"A-8")</f>
        <v>A-8</v>
      </c>
      <c r="J44" s="28">
        <f>IFERROR(__xludf.DUMMYFUNCTION("""COMPUTED_VALUE"""),3.0)</f>
        <v>3</v>
      </c>
      <c r="K44" s="28" t="str">
        <f>IFERROR(__xludf.DUMMYFUNCTION("""COMPUTED_VALUE"""),"3 ULA A PUTRA")</f>
        <v>3 ULA A PUTRA</v>
      </c>
      <c r="L44" s="29" t="str">
        <f>IFERROR(__xludf.DUMMYFUNCTION("""COMPUTED_VALUE"""),"6281237377978")</f>
        <v>6281237377978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2">
        <f>IFERROR(__xludf.DUMMYFUNCTION("""COMPUTED_VALUE"""),500000.0)</f>
        <v>500000</v>
      </c>
      <c r="AC44" s="28"/>
      <c r="AD44" s="22">
        <f>IFERROR(__xludf.DUMMYFUNCTION("""COMPUTED_VALUE"""),450000.0)</f>
        <v>450000</v>
      </c>
      <c r="AE44" s="22">
        <f>IFERROR(__xludf.DUMMYFUNCTION("""COMPUTED_VALUE"""),450000.0)</f>
        <v>450000</v>
      </c>
      <c r="AF44" s="22">
        <f>IFERROR(__xludf.DUMMYFUNCTION("""COMPUTED_VALUE"""),450000.0)</f>
        <v>450000</v>
      </c>
      <c r="AG44" s="22">
        <f>IFERROR(__xludf.DUMMYFUNCTION("""COMPUTED_VALUE"""),450000.0)</f>
        <v>450000</v>
      </c>
      <c r="AH44" s="22">
        <f>IFERROR(__xludf.DUMMYFUNCTION("""COMPUTED_VALUE"""),450000.0)</f>
        <v>450000</v>
      </c>
      <c r="AI44" s="22">
        <f>IFERROR(__xludf.DUMMYFUNCTION("""COMPUTED_VALUE"""),450000.0)</f>
        <v>450000</v>
      </c>
      <c r="AJ44" s="22">
        <f>IFERROR(__xludf.DUMMYFUNCTION("""COMPUTED_VALUE"""),450000.0)</f>
        <v>450000</v>
      </c>
      <c r="AK44" s="22">
        <f>IFERROR(__xludf.DUMMYFUNCTION("""COMPUTED_VALUE"""),450000.0)</f>
        <v>450000</v>
      </c>
      <c r="AL44" s="22">
        <f>IFERROR(__xludf.DUMMYFUNCTION("""COMPUTED_VALUE"""),450000.0)</f>
        <v>450000</v>
      </c>
      <c r="AM44" s="22">
        <f>IFERROR(__xludf.DUMMYFUNCTION("""COMPUTED_VALUE"""),450000.0)</f>
        <v>450000</v>
      </c>
      <c r="AN44" s="22">
        <f>IFERROR(__xludf.DUMMYFUNCTION("""COMPUTED_VALUE"""),450000.0)</f>
        <v>450000</v>
      </c>
      <c r="AO44" s="28"/>
      <c r="AP44" s="22">
        <f>IFERROR(__xludf.DUMMYFUNCTION("""COMPUTED_VALUE"""),500000.0)</f>
        <v>500000</v>
      </c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2">
        <f>IFERROR(__xludf.DUMMYFUNCTION("""COMPUTED_VALUE"""),4950000.0)</f>
        <v>4950000</v>
      </c>
      <c r="BD44" s="22">
        <f>IFERROR(__xludf.DUMMYFUNCTION("""COMPUTED_VALUE"""),1000000.0)</f>
        <v>1000000</v>
      </c>
      <c r="BE44" s="22">
        <f>IFERROR(__xludf.DUMMYFUNCTION("""COMPUTED_VALUE"""),0.0)</f>
        <v>0</v>
      </c>
      <c r="BF44" s="22">
        <f>IFERROR(__xludf.DUMMYFUNCTION("""COMPUTED_VALUE"""),5950000.0)</f>
        <v>5950000</v>
      </c>
    </row>
    <row r="45">
      <c r="A45" s="27">
        <f>IFERROR(__xludf.DUMMYFUNCTION("""COMPUTED_VALUE"""),44.0)</f>
        <v>44</v>
      </c>
      <c r="B45" s="28" t="str">
        <f>IFERROR(__xludf.DUMMYFUNCTION("""COMPUTED_VALUE"""),"MUHAMMAD ALAM FIRMANSYAH")</f>
        <v>MUHAMMAD ALAM FIRMANSYAH</v>
      </c>
      <c r="C45" s="28">
        <f>IFERROR(__xludf.DUMMYFUNCTION("""COMPUTED_VALUE"""),2.024070506E9)</f>
        <v>2024070506</v>
      </c>
      <c r="D45" s="28" t="str">
        <f>IFERROR(__xludf.DUMMYFUNCTION("""COMPUTED_VALUE"""),"AHMAD KHOIRUL ANAM")</f>
        <v>AHMAD KHOIRUL ANAM</v>
      </c>
      <c r="E45" s="28" t="str">
        <f>IFERROR(__xludf.DUMMYFUNCTION("""COMPUTED_VALUE"""),"MUFA ROKAH")</f>
        <v>MUFA ROKAH</v>
      </c>
      <c r="F45" s="28" t="str">
        <f>IFERROR(__xludf.DUMMYFUNCTION("""COMPUTED_VALUE"""),"KAMAL RT 004 RW 000 KAIRATU BARAT SERAM BAGIAN BARAT")</f>
        <v>KAMAL RT 004 RW 000 KAIRATU BARAT SERAM BAGIAN BARAT</v>
      </c>
      <c r="G45" s="28" t="str">
        <f>IFERROR(__xludf.DUMMYFUNCTION("""COMPUTED_VALUE"""),"MTS-9 F")</f>
        <v>MTS-9 F</v>
      </c>
      <c r="H45" s="28" t="str">
        <f>IFERROR(__xludf.DUMMYFUNCTION("""COMPUTED_VALUE"""),"A")</f>
        <v>A</v>
      </c>
      <c r="I45" s="28" t="str">
        <f>IFERROR(__xludf.DUMMYFUNCTION("""COMPUTED_VALUE"""),"A-8")</f>
        <v>A-8</v>
      </c>
      <c r="J45" s="28">
        <f>IFERROR(__xludf.DUMMYFUNCTION("""COMPUTED_VALUE"""),3.0)</f>
        <v>3</v>
      </c>
      <c r="K45" s="28" t="str">
        <f>IFERROR(__xludf.DUMMYFUNCTION("""COMPUTED_VALUE"""),"3 ULA A PUTRA")</f>
        <v>3 ULA A PUTRA</v>
      </c>
      <c r="L45" s="29" t="str">
        <f>IFERROR(__xludf.DUMMYFUNCTION("""COMPUTED_VALUE"""),"6282199817002")</f>
        <v>6282199817002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2">
        <f>IFERROR(__xludf.DUMMYFUNCTION("""COMPUTED_VALUE"""),450000.0)</f>
        <v>450000</v>
      </c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2">
        <f>IFERROR(__xludf.DUMMYFUNCTION("""COMPUTED_VALUE"""),450000.0)</f>
        <v>450000</v>
      </c>
      <c r="BD45" s="22">
        <f>IFERROR(__xludf.DUMMYFUNCTION("""COMPUTED_VALUE"""),0.0)</f>
        <v>0</v>
      </c>
      <c r="BE45" s="22">
        <f>IFERROR(__xludf.DUMMYFUNCTION("""COMPUTED_VALUE"""),0.0)</f>
        <v>0</v>
      </c>
      <c r="BF45" s="22">
        <f>IFERROR(__xludf.DUMMYFUNCTION("""COMPUTED_VALUE"""),450000.0)</f>
        <v>450000</v>
      </c>
    </row>
    <row r="46">
      <c r="A46" s="27">
        <f>IFERROR(__xludf.DUMMYFUNCTION("""COMPUTED_VALUE"""),45.0)</f>
        <v>45</v>
      </c>
      <c r="B46" s="28" t="str">
        <f>IFERROR(__xludf.DUMMYFUNCTION("""COMPUTED_VALUE"""),"MUHAMMAD ALFIN JAMIL")</f>
        <v>MUHAMMAD ALFIN JAMIL</v>
      </c>
      <c r="C46" s="28">
        <f>IFERROR(__xludf.DUMMYFUNCTION("""COMPUTED_VALUE"""),2.024070503E9)</f>
        <v>2024070503</v>
      </c>
      <c r="D46" s="28" t="str">
        <f>IFERROR(__xludf.DUMMYFUNCTION("""COMPUTED_VALUE"""),"MOH. KHOLIP")</f>
        <v>MOH. KHOLIP</v>
      </c>
      <c r="E46" s="28" t="str">
        <f>IFERROR(__xludf.DUMMYFUNCTION("""COMPUTED_VALUE"""),"DAROAINI")</f>
        <v>DAROAINI</v>
      </c>
      <c r="F46" s="28" t="str">
        <f>IFERROR(__xludf.DUMMYFUNCTION("""COMPUTED_VALUE"""),"PRINGGOBOYO RT 009 RW 001 MADURAN LAMONGAN")</f>
        <v>PRINGGOBOYO RT 009 RW 001 MADURAN LAMONGAN</v>
      </c>
      <c r="G46" s="28" t="str">
        <f>IFERROR(__xludf.DUMMYFUNCTION("""COMPUTED_VALUE"""),"MTS-9 C")</f>
        <v>MTS-9 C</v>
      </c>
      <c r="H46" s="28" t="str">
        <f>IFERROR(__xludf.DUMMYFUNCTION("""COMPUTED_VALUE"""),"A")</f>
        <v>A</v>
      </c>
      <c r="I46" s="28" t="str">
        <f>IFERROR(__xludf.DUMMYFUNCTION("""COMPUTED_VALUE"""),"A-7")</f>
        <v>A-7</v>
      </c>
      <c r="J46" s="28">
        <f>IFERROR(__xludf.DUMMYFUNCTION("""COMPUTED_VALUE"""),3.0)</f>
        <v>3</v>
      </c>
      <c r="K46" s="28" t="str">
        <f>IFERROR(__xludf.DUMMYFUNCTION("""COMPUTED_VALUE"""),"3 ULA A PUTRA")</f>
        <v>3 ULA A PUTRA</v>
      </c>
      <c r="L46" s="29" t="str">
        <f>IFERROR(__xludf.DUMMYFUNCTION("""COMPUTED_VALUE"""),"6281230455748")</f>
        <v>6281230455748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2">
        <f>IFERROR(__xludf.DUMMYFUNCTION("""COMPUTED_VALUE"""),500000.0)</f>
        <v>500000</v>
      </c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2">
        <f>IFERROR(__xludf.DUMMYFUNCTION("""COMPUTED_VALUE"""),0.0)</f>
        <v>0</v>
      </c>
      <c r="BD46" s="22">
        <f>IFERROR(__xludf.DUMMYFUNCTION("""COMPUTED_VALUE"""),500000.0)</f>
        <v>500000</v>
      </c>
      <c r="BE46" s="22">
        <f>IFERROR(__xludf.DUMMYFUNCTION("""COMPUTED_VALUE"""),0.0)</f>
        <v>0</v>
      </c>
      <c r="BF46" s="22">
        <f>IFERROR(__xludf.DUMMYFUNCTION("""COMPUTED_VALUE"""),500000.0)</f>
        <v>500000</v>
      </c>
    </row>
    <row r="47">
      <c r="A47" s="27">
        <f>IFERROR(__xludf.DUMMYFUNCTION("""COMPUTED_VALUE"""),46.0)</f>
        <v>46</v>
      </c>
      <c r="B47" s="28" t="str">
        <f>IFERROR(__xludf.DUMMYFUNCTION("""COMPUTED_VALUE"""),"MUHAMMAD BINTANG MAULANA")</f>
        <v>MUHAMMAD BINTANG MAULANA</v>
      </c>
      <c r="C47" s="28">
        <f>IFERROR(__xludf.DUMMYFUNCTION("""COMPUTED_VALUE"""),2.024070559E9)</f>
        <v>2024070559</v>
      </c>
      <c r="D47" s="28" t="str">
        <f>IFERROR(__xludf.DUMMYFUNCTION("""COMPUTED_VALUE"""),"AHMAD HUMAIDI")</f>
        <v>AHMAD HUMAIDI</v>
      </c>
      <c r="E47" s="28" t="str">
        <f>IFERROR(__xludf.DUMMYFUNCTION("""COMPUTED_VALUE"""),"DEVININGTYAS")</f>
        <v>DEVININGTYAS</v>
      </c>
      <c r="F47" s="28" t="str">
        <f>IFERROR(__xludf.DUMMYFUNCTION("""COMPUTED_VALUE"""),"DADAPAN RT 003 RW 001 SOLOKURO LAMONGAN")</f>
        <v>DADAPAN RT 003 RW 001 SOLOKURO LAMONGAN</v>
      </c>
      <c r="G47" s="28" t="str">
        <f>IFERROR(__xludf.DUMMYFUNCTION("""COMPUTED_VALUE"""),"MTS-9 C")</f>
        <v>MTS-9 C</v>
      </c>
      <c r="H47" s="28" t="str">
        <f>IFERROR(__xludf.DUMMYFUNCTION("""COMPUTED_VALUE"""),"A")</f>
        <v>A</v>
      </c>
      <c r="I47" s="28" t="str">
        <f>IFERROR(__xludf.DUMMYFUNCTION("""COMPUTED_VALUE"""),"A-8")</f>
        <v>A-8</v>
      </c>
      <c r="J47" s="28">
        <f>IFERROR(__xludf.DUMMYFUNCTION("""COMPUTED_VALUE"""),3.0)</f>
        <v>3</v>
      </c>
      <c r="K47" s="28" t="str">
        <f>IFERROR(__xludf.DUMMYFUNCTION("""COMPUTED_VALUE"""),"3 ULA B PUTRA")</f>
        <v>3 ULA B PUTRA</v>
      </c>
      <c r="L47" s="29" t="str">
        <f>IFERROR(__xludf.DUMMYFUNCTION("""COMPUTED_VALUE"""),"6285745898936")</f>
        <v>6285745898936</v>
      </c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2">
        <f>IFERROR(__xludf.DUMMYFUNCTION("""COMPUTED_VALUE"""),0.0)</f>
        <v>0</v>
      </c>
      <c r="BD47" s="22">
        <f>IFERROR(__xludf.DUMMYFUNCTION("""COMPUTED_VALUE"""),0.0)</f>
        <v>0</v>
      </c>
      <c r="BE47" s="22">
        <f>IFERROR(__xludf.DUMMYFUNCTION("""COMPUTED_VALUE"""),0.0)</f>
        <v>0</v>
      </c>
      <c r="BF47" s="22">
        <f>IFERROR(__xludf.DUMMYFUNCTION("""COMPUTED_VALUE"""),0.0)</f>
        <v>0</v>
      </c>
    </row>
    <row r="48">
      <c r="A48" s="27">
        <f>IFERROR(__xludf.DUMMYFUNCTION("""COMPUTED_VALUE"""),47.0)</f>
        <v>47</v>
      </c>
      <c r="B48" s="28" t="str">
        <f>IFERROR(__xludf.DUMMYFUNCTION("""COMPUTED_VALUE"""),"MUHAMMAD DEDY FIRMANSYAH")</f>
        <v>MUHAMMAD DEDY FIRMANSYAH</v>
      </c>
      <c r="C48" s="28">
        <f>IFERROR(__xludf.DUMMYFUNCTION("""COMPUTED_VALUE"""),2.024070482E9)</f>
        <v>2024070482</v>
      </c>
      <c r="D48" s="28" t="str">
        <f>IFERROR(__xludf.DUMMYFUNCTION("""COMPUTED_VALUE"""),"ANDY SUMARSONO")</f>
        <v>ANDY SUMARSONO</v>
      </c>
      <c r="E48" s="28" t="str">
        <f>IFERROR(__xludf.DUMMYFUNCTION("""COMPUTED_VALUE"""),"SITI FILIZAH")</f>
        <v>SITI FILIZAH</v>
      </c>
      <c r="F48" s="28" t="str">
        <f>IFERROR(__xludf.DUMMYFUNCTION("""COMPUTED_VALUE"""),"BLANGIT KARANGLANGIT RT 002 RW 002 LAMONGAN LAMONGAN")</f>
        <v>BLANGIT KARANGLANGIT RT 002 RW 002 LAMONGAN LAMONGAN</v>
      </c>
      <c r="G48" s="28" t="str">
        <f>IFERROR(__xludf.DUMMYFUNCTION("""COMPUTED_VALUE"""),"MTS-9 D")</f>
        <v>MTS-9 D</v>
      </c>
      <c r="H48" s="28" t="str">
        <f>IFERROR(__xludf.DUMMYFUNCTION("""COMPUTED_VALUE"""),"A")</f>
        <v>A</v>
      </c>
      <c r="I48" s="28" t="str">
        <f>IFERROR(__xludf.DUMMYFUNCTION("""COMPUTED_VALUE"""),"A-8")</f>
        <v>A-8</v>
      </c>
      <c r="J48" s="28">
        <f>IFERROR(__xludf.DUMMYFUNCTION("""COMPUTED_VALUE"""),3.0)</f>
        <v>3</v>
      </c>
      <c r="K48" s="28" t="str">
        <f>IFERROR(__xludf.DUMMYFUNCTION("""COMPUTED_VALUE"""),"3 ULA A PUTRA")</f>
        <v>3 ULA A PUTRA</v>
      </c>
      <c r="L48" s="29" t="str">
        <f>IFERROR(__xludf.DUMMYFUNCTION("""COMPUTED_VALUE"""),"6285425525123")</f>
        <v>6285425525123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2">
        <f>IFERROR(__xludf.DUMMYFUNCTION("""COMPUTED_VALUE"""),0.0)</f>
        <v>0</v>
      </c>
      <c r="BD48" s="22">
        <f>IFERROR(__xludf.DUMMYFUNCTION("""COMPUTED_VALUE"""),0.0)</f>
        <v>0</v>
      </c>
      <c r="BE48" s="22">
        <f>IFERROR(__xludf.DUMMYFUNCTION("""COMPUTED_VALUE"""),0.0)</f>
        <v>0</v>
      </c>
      <c r="BF48" s="22">
        <f>IFERROR(__xludf.DUMMYFUNCTION("""COMPUTED_VALUE"""),0.0)</f>
        <v>0</v>
      </c>
    </row>
    <row r="49">
      <c r="A49" s="27">
        <f>IFERROR(__xludf.DUMMYFUNCTION("""COMPUTED_VALUE"""),48.0)</f>
        <v>48</v>
      </c>
      <c r="B49" s="28" t="str">
        <f>IFERROR(__xludf.DUMMYFUNCTION("""COMPUTED_VALUE"""),"MUHAMMAD EZA AL`IMRON")</f>
        <v>MUHAMMAD EZA AL`IMRON</v>
      </c>
      <c r="C49" s="28">
        <f>IFERROR(__xludf.DUMMYFUNCTION("""COMPUTED_VALUE"""),2.024070653E9)</f>
        <v>2024070653</v>
      </c>
      <c r="D49" s="28" t="str">
        <f>IFERROR(__xludf.DUMMYFUNCTION("""COMPUTED_VALUE"""),"ZAINUR ROHMAN")</f>
        <v>ZAINUR ROHMAN</v>
      </c>
      <c r="E49" s="28" t="str">
        <f>IFERROR(__xludf.DUMMYFUNCTION("""COMPUTED_VALUE"""),"MAESAROH")</f>
        <v>MAESAROH</v>
      </c>
      <c r="F49" s="28" t="str">
        <f>IFERROR(__xludf.DUMMYFUNCTION("""COMPUTED_VALUE"""),"KEMLAGIGEDE RT 012 RW 002 TURI LAMONGAN")</f>
        <v>KEMLAGIGEDE RT 012 RW 002 TURI LAMONGAN</v>
      </c>
      <c r="G49" s="28" t="str">
        <f>IFERROR(__xludf.DUMMYFUNCTION("""COMPUTED_VALUE"""),"MTS-9 F")</f>
        <v>MTS-9 F</v>
      </c>
      <c r="H49" s="28" t="str">
        <f>IFERROR(__xludf.DUMMYFUNCTION("""COMPUTED_VALUE"""),"A")</f>
        <v>A</v>
      </c>
      <c r="I49" s="28" t="str">
        <f>IFERROR(__xludf.DUMMYFUNCTION("""COMPUTED_VALUE"""),"A-7")</f>
        <v>A-7</v>
      </c>
      <c r="J49" s="28">
        <f>IFERROR(__xludf.DUMMYFUNCTION("""COMPUTED_VALUE"""),3.0)</f>
        <v>3</v>
      </c>
      <c r="K49" s="28" t="str">
        <f>IFERROR(__xludf.DUMMYFUNCTION("""COMPUTED_VALUE"""),"3 ULA B PUTRA")</f>
        <v>3 ULA B PUTRA</v>
      </c>
      <c r="L49" s="29" t="str">
        <f>IFERROR(__xludf.DUMMYFUNCTION("""COMPUTED_VALUE"""),"6285755534326")</f>
        <v>6285755534326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2">
        <f>IFERROR(__xludf.DUMMYFUNCTION("""COMPUTED_VALUE"""),500000.0)</f>
        <v>500000</v>
      </c>
      <c r="AC49" s="28"/>
      <c r="AD49" s="28"/>
      <c r="AE49" s="28"/>
      <c r="AF49" s="28"/>
      <c r="AG49" s="28"/>
      <c r="AH49" s="28"/>
      <c r="AI49" s="28"/>
      <c r="AJ49" s="28"/>
      <c r="AK49" s="22">
        <f>IFERROR(__xludf.DUMMYFUNCTION("""COMPUTED_VALUE"""),450000.0)</f>
        <v>450000</v>
      </c>
      <c r="AL49" s="22">
        <f>IFERROR(__xludf.DUMMYFUNCTION("""COMPUTED_VALUE"""),450000.0)</f>
        <v>450000</v>
      </c>
      <c r="AM49" s="22">
        <f>IFERROR(__xludf.DUMMYFUNCTION("""COMPUTED_VALUE"""),450000.0)</f>
        <v>450000</v>
      </c>
      <c r="AN49" s="22">
        <f>IFERROR(__xludf.DUMMYFUNCTION("""COMPUTED_VALUE"""),450000.0)</f>
        <v>450000</v>
      </c>
      <c r="AO49" s="28"/>
      <c r="AP49" s="22">
        <f>IFERROR(__xludf.DUMMYFUNCTION("""COMPUTED_VALUE"""),500000.0)</f>
        <v>500000</v>
      </c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2">
        <f>IFERROR(__xludf.DUMMYFUNCTION("""COMPUTED_VALUE"""),1800000.0)</f>
        <v>1800000</v>
      </c>
      <c r="BD49" s="22">
        <f>IFERROR(__xludf.DUMMYFUNCTION("""COMPUTED_VALUE"""),1000000.0)</f>
        <v>1000000</v>
      </c>
      <c r="BE49" s="22">
        <f>IFERROR(__xludf.DUMMYFUNCTION("""COMPUTED_VALUE"""),0.0)</f>
        <v>0</v>
      </c>
      <c r="BF49" s="22">
        <f>IFERROR(__xludf.DUMMYFUNCTION("""COMPUTED_VALUE"""),2800000.0)</f>
        <v>2800000</v>
      </c>
    </row>
    <row r="50">
      <c r="A50" s="27">
        <f>IFERROR(__xludf.DUMMYFUNCTION("""COMPUTED_VALUE"""),49.0)</f>
        <v>49</v>
      </c>
      <c r="B50" s="28" t="str">
        <f>IFERROR(__xludf.DUMMYFUNCTION("""COMPUTED_VALUE"""),"MUHAMMAD FADLY HANANIA RABBANI")</f>
        <v>MUHAMMAD FADLY HANANIA RABBANI</v>
      </c>
      <c r="C50" s="28">
        <f>IFERROR(__xludf.DUMMYFUNCTION("""COMPUTED_VALUE"""),2.024070457E9)</f>
        <v>2024070457</v>
      </c>
      <c r="D50" s="28" t="str">
        <f>IFERROR(__xludf.DUMMYFUNCTION("""COMPUTED_VALUE"""),"HADI SUSANTO")</f>
        <v>HADI SUSANTO</v>
      </c>
      <c r="E50" s="28" t="str">
        <f>IFERROR(__xludf.DUMMYFUNCTION("""COMPUTED_VALUE"""),"FITRI JULIANA")</f>
        <v>FITRI JULIANA</v>
      </c>
      <c r="F50" s="28" t="str">
        <f>IFERROR(__xludf.DUMMYFUNCTION("""COMPUTED_VALUE"""),"PERUM GRAND GRESIK HARMONI BLOK B-6/9 KEMBANGAN RT 001 RW 003 KEBOMAS GRESIK")</f>
        <v>PERUM GRAND GRESIK HARMONI BLOK B-6/9 KEMBANGAN RT 001 RW 003 KEBOMAS GRESIK</v>
      </c>
      <c r="G50" s="28" t="str">
        <f>IFERROR(__xludf.DUMMYFUNCTION("""COMPUTED_VALUE"""),"MTS-9 B")</f>
        <v>MTS-9 B</v>
      </c>
      <c r="H50" s="28" t="str">
        <f>IFERROR(__xludf.DUMMYFUNCTION("""COMPUTED_VALUE"""),"A")</f>
        <v>A</v>
      </c>
      <c r="I50" s="28" t="str">
        <f>IFERROR(__xludf.DUMMYFUNCTION("""COMPUTED_VALUE"""),"A-8")</f>
        <v>A-8</v>
      </c>
      <c r="J50" s="28">
        <f>IFERROR(__xludf.DUMMYFUNCTION("""COMPUTED_VALUE"""),3.0)</f>
        <v>3</v>
      </c>
      <c r="K50" s="28" t="str">
        <f>IFERROR(__xludf.DUMMYFUNCTION("""COMPUTED_VALUE"""),"3 ULA A PUTRA")</f>
        <v>3 ULA A PUTRA</v>
      </c>
      <c r="L50" s="29" t="str">
        <f>IFERROR(__xludf.DUMMYFUNCTION("""COMPUTED_VALUE"""),"6289533798465")</f>
        <v>6289533798465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2">
        <f>IFERROR(__xludf.DUMMYFUNCTION("""COMPUTED_VALUE"""),500000.0)</f>
        <v>500000</v>
      </c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2">
        <f>IFERROR(__xludf.DUMMYFUNCTION("""COMPUTED_VALUE"""),0.0)</f>
        <v>0</v>
      </c>
      <c r="BD50" s="22">
        <f>IFERROR(__xludf.DUMMYFUNCTION("""COMPUTED_VALUE"""),500000.0)</f>
        <v>500000</v>
      </c>
      <c r="BE50" s="22">
        <f>IFERROR(__xludf.DUMMYFUNCTION("""COMPUTED_VALUE"""),0.0)</f>
        <v>0</v>
      </c>
      <c r="BF50" s="22">
        <f>IFERROR(__xludf.DUMMYFUNCTION("""COMPUTED_VALUE"""),500000.0)</f>
        <v>500000</v>
      </c>
    </row>
    <row r="51">
      <c r="A51" s="27">
        <f>IFERROR(__xludf.DUMMYFUNCTION("""COMPUTED_VALUE"""),50.0)</f>
        <v>50</v>
      </c>
      <c r="B51" s="28" t="str">
        <f>IFERROR(__xludf.DUMMYFUNCTION("""COMPUTED_VALUE"""),"MUHAMMAD HAIKAL JAMALUDDIN RUMMY")</f>
        <v>MUHAMMAD HAIKAL JAMALUDDIN RUMMY</v>
      </c>
      <c r="C51" s="28">
        <f>IFERROR(__xludf.DUMMYFUNCTION("""COMPUTED_VALUE"""),2.024070612E9)</f>
        <v>2024070612</v>
      </c>
      <c r="D51" s="28" t="str">
        <f>IFERROR(__xludf.DUMMYFUNCTION("""COMPUTED_VALUE"""),"MAQRUS ZAINUL")</f>
        <v>MAQRUS ZAINUL</v>
      </c>
      <c r="E51" s="28" t="str">
        <f>IFERROR(__xludf.DUMMYFUNCTION("""COMPUTED_VALUE"""),"YENNY FIRDIANING TYAS")</f>
        <v>YENNY FIRDIANING TYAS</v>
      </c>
      <c r="F51" s="28" t="str">
        <f>IFERROR(__xludf.DUMMYFUNCTION("""COMPUTED_VALUE"""),"WARU KULON RT 002 RW 005 PUCUK LAMONGAN")</f>
        <v>WARU KULON RT 002 RW 005 PUCUK LAMONGAN</v>
      </c>
      <c r="G51" s="28" t="str">
        <f>IFERROR(__xludf.DUMMYFUNCTION("""COMPUTED_VALUE"""),"MTS-9 E")</f>
        <v>MTS-9 E</v>
      </c>
      <c r="H51" s="28" t="str">
        <f>IFERROR(__xludf.DUMMYFUNCTION("""COMPUTED_VALUE"""),"A")</f>
        <v>A</v>
      </c>
      <c r="I51" s="28" t="str">
        <f>IFERROR(__xludf.DUMMYFUNCTION("""COMPUTED_VALUE"""),"A-8")</f>
        <v>A-8</v>
      </c>
      <c r="J51" s="28">
        <f>IFERROR(__xludf.DUMMYFUNCTION("""COMPUTED_VALUE"""),3.0)</f>
        <v>3</v>
      </c>
      <c r="K51" s="28" t="str">
        <f>IFERROR(__xludf.DUMMYFUNCTION("""COMPUTED_VALUE"""),"3 ULA B PUTRA")</f>
        <v>3 ULA B PUTRA</v>
      </c>
      <c r="L51" s="29" t="str">
        <f>IFERROR(__xludf.DUMMYFUNCTION("""COMPUTED_VALUE"""),"6285536895754")</f>
        <v>6285536895754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2">
        <f>IFERROR(__xludf.DUMMYFUNCTION("""COMPUTED_VALUE"""),500000.0)</f>
        <v>500000</v>
      </c>
      <c r="AC51" s="28"/>
      <c r="AD51" s="28"/>
      <c r="AE51" s="28"/>
      <c r="AF51" s="22">
        <f>IFERROR(__xludf.DUMMYFUNCTION("""COMPUTED_VALUE"""),450000.0)</f>
        <v>450000</v>
      </c>
      <c r="AG51" s="22">
        <f>IFERROR(__xludf.DUMMYFUNCTION("""COMPUTED_VALUE"""),450000.0)</f>
        <v>450000</v>
      </c>
      <c r="AH51" s="22">
        <f>IFERROR(__xludf.DUMMYFUNCTION("""COMPUTED_VALUE"""),450000.0)</f>
        <v>450000</v>
      </c>
      <c r="AI51" s="22">
        <f>IFERROR(__xludf.DUMMYFUNCTION("""COMPUTED_VALUE"""),450000.0)</f>
        <v>450000</v>
      </c>
      <c r="AJ51" s="22">
        <f>IFERROR(__xludf.DUMMYFUNCTION("""COMPUTED_VALUE"""),450000.0)</f>
        <v>450000</v>
      </c>
      <c r="AK51" s="22">
        <f>IFERROR(__xludf.DUMMYFUNCTION("""COMPUTED_VALUE"""),450000.0)</f>
        <v>450000</v>
      </c>
      <c r="AL51" s="22">
        <f>IFERROR(__xludf.DUMMYFUNCTION("""COMPUTED_VALUE"""),450000.0)</f>
        <v>450000</v>
      </c>
      <c r="AM51" s="22">
        <f>IFERROR(__xludf.DUMMYFUNCTION("""COMPUTED_VALUE"""),450000.0)</f>
        <v>450000</v>
      </c>
      <c r="AN51" s="22">
        <f>IFERROR(__xludf.DUMMYFUNCTION("""COMPUTED_VALUE"""),450000.0)</f>
        <v>450000</v>
      </c>
      <c r="AO51" s="28"/>
      <c r="AP51" s="22">
        <f>IFERROR(__xludf.DUMMYFUNCTION("""COMPUTED_VALUE"""),500000.0)</f>
        <v>500000</v>
      </c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2">
        <f>IFERROR(__xludf.DUMMYFUNCTION("""COMPUTED_VALUE"""),4050000.0)</f>
        <v>4050000</v>
      </c>
      <c r="BD51" s="22">
        <f>IFERROR(__xludf.DUMMYFUNCTION("""COMPUTED_VALUE"""),1000000.0)</f>
        <v>1000000</v>
      </c>
      <c r="BE51" s="22">
        <f>IFERROR(__xludf.DUMMYFUNCTION("""COMPUTED_VALUE"""),0.0)</f>
        <v>0</v>
      </c>
      <c r="BF51" s="22">
        <f>IFERROR(__xludf.DUMMYFUNCTION("""COMPUTED_VALUE"""),5050000.0)</f>
        <v>5050000</v>
      </c>
    </row>
    <row r="52">
      <c r="A52" s="27">
        <f>IFERROR(__xludf.DUMMYFUNCTION("""COMPUTED_VALUE"""),51.0)</f>
        <v>51</v>
      </c>
      <c r="B52" s="28" t="str">
        <f>IFERROR(__xludf.DUMMYFUNCTION("""COMPUTED_VALUE"""),"MUHAMMAD HAKIKI CHANDRA")</f>
        <v>MUHAMMAD HAKIKI CHANDRA</v>
      </c>
      <c r="C52" s="28">
        <f>IFERROR(__xludf.DUMMYFUNCTION("""COMPUTED_VALUE"""),2.024070622E9)</f>
        <v>2024070622</v>
      </c>
      <c r="D52" s="28" t="str">
        <f>IFERROR(__xludf.DUMMYFUNCTION("""COMPUTED_VALUE"""),"AGUS CAHYONO")</f>
        <v>AGUS CAHYONO</v>
      </c>
      <c r="E52" s="28" t="str">
        <f>IFERROR(__xludf.DUMMYFUNCTION("""COMPUTED_VALUE"""),"UMU SALAMAH")</f>
        <v>UMU SALAMAH</v>
      </c>
      <c r="F52" s="28" t="str">
        <f>IFERROR(__xludf.DUMMYFUNCTION("""COMPUTED_VALUE"""),"WANGUN BARAT RT 003 RW 002 PALANG TUBAN")</f>
        <v>WANGUN BARAT RT 003 RW 002 PALANG TUBAN</v>
      </c>
      <c r="G52" s="28" t="str">
        <f>IFERROR(__xludf.DUMMYFUNCTION("""COMPUTED_VALUE"""),"MTS-9 E")</f>
        <v>MTS-9 E</v>
      </c>
      <c r="H52" s="28" t="str">
        <f>IFERROR(__xludf.DUMMYFUNCTION("""COMPUTED_VALUE"""),"A")</f>
        <v>A</v>
      </c>
      <c r="I52" s="28" t="str">
        <f>IFERROR(__xludf.DUMMYFUNCTION("""COMPUTED_VALUE"""),"A-8")</f>
        <v>A-8</v>
      </c>
      <c r="J52" s="28">
        <f>IFERROR(__xludf.DUMMYFUNCTION("""COMPUTED_VALUE"""),3.0)</f>
        <v>3</v>
      </c>
      <c r="K52" s="28" t="str">
        <f>IFERROR(__xludf.DUMMYFUNCTION("""COMPUTED_VALUE"""),"3 ULA B PUTRA")</f>
        <v>3 ULA B PUTRA</v>
      </c>
      <c r="L52" s="29" t="str">
        <f>IFERROR(__xludf.DUMMYFUNCTION("""COMPUTED_VALUE"""),"6282261176617")</f>
        <v>6282261176617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2">
        <f>IFERROR(__xludf.DUMMYFUNCTION("""COMPUTED_VALUE"""),0.0)</f>
        <v>0</v>
      </c>
      <c r="BD52" s="22">
        <f>IFERROR(__xludf.DUMMYFUNCTION("""COMPUTED_VALUE"""),0.0)</f>
        <v>0</v>
      </c>
      <c r="BE52" s="22">
        <f>IFERROR(__xludf.DUMMYFUNCTION("""COMPUTED_VALUE"""),0.0)</f>
        <v>0</v>
      </c>
      <c r="BF52" s="22">
        <f>IFERROR(__xludf.DUMMYFUNCTION("""COMPUTED_VALUE"""),0.0)</f>
        <v>0</v>
      </c>
    </row>
    <row r="53">
      <c r="A53" s="27">
        <f>IFERROR(__xludf.DUMMYFUNCTION("""COMPUTED_VALUE"""),52.0)</f>
        <v>52</v>
      </c>
      <c r="B53" s="28" t="str">
        <f>IFERROR(__xludf.DUMMYFUNCTION("""COMPUTED_VALUE"""),"MUHAMMAD HANIF AFIYAN")</f>
        <v>MUHAMMAD HANIF AFIYAN</v>
      </c>
      <c r="C53" s="28">
        <f>IFERROR(__xludf.DUMMYFUNCTION("""COMPUTED_VALUE"""),2.024070486E9)</f>
        <v>2024070486</v>
      </c>
      <c r="D53" s="28" t="str">
        <f>IFERROR(__xludf.DUMMYFUNCTION("""COMPUTED_VALUE"""),"AINUL YAKIN")</f>
        <v>AINUL YAKIN</v>
      </c>
      <c r="E53" s="28" t="str">
        <f>IFERROR(__xludf.DUMMYFUNCTION("""COMPUTED_VALUE"""),"FARIDATUZ ZUHRIYAH")</f>
        <v>FARIDATUZ ZUHRIYAH</v>
      </c>
      <c r="F53" s="28" t="str">
        <f>IFERROR(__xludf.DUMMYFUNCTION("""COMPUTED_VALUE"""),"RINGIN TLOGOREJO RT 002 RW 002 SUKODADI LAMONGAN")</f>
        <v>RINGIN TLOGOREJO RT 002 RW 002 SUKODADI LAMONGAN</v>
      </c>
      <c r="G53" s="28" t="str">
        <f>IFERROR(__xludf.DUMMYFUNCTION("""COMPUTED_VALUE"""),"MTS-9 C")</f>
        <v>MTS-9 C</v>
      </c>
      <c r="H53" s="28" t="str">
        <f>IFERROR(__xludf.DUMMYFUNCTION("""COMPUTED_VALUE"""),"A")</f>
        <v>A</v>
      </c>
      <c r="I53" s="28" t="str">
        <f>IFERROR(__xludf.DUMMYFUNCTION("""COMPUTED_VALUE"""),"A-7")</f>
        <v>A-7</v>
      </c>
      <c r="J53" s="28">
        <f>IFERROR(__xludf.DUMMYFUNCTION("""COMPUTED_VALUE"""),3.0)</f>
        <v>3</v>
      </c>
      <c r="K53" s="28" t="str">
        <f>IFERROR(__xludf.DUMMYFUNCTION("""COMPUTED_VALUE"""),"3 ULA A PUTRA")</f>
        <v>3 ULA A PUTRA</v>
      </c>
      <c r="L53" s="29" t="str">
        <f>IFERROR(__xludf.DUMMYFUNCTION("""COMPUTED_VALUE"""),"6285748905402")</f>
        <v>6285748905402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2">
        <f>IFERROR(__xludf.DUMMYFUNCTION("""COMPUTED_VALUE"""),500000.0)</f>
        <v>500000</v>
      </c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2">
        <f>IFERROR(__xludf.DUMMYFUNCTION("""COMPUTED_VALUE"""),0.0)</f>
        <v>0</v>
      </c>
      <c r="BD53" s="22">
        <f>IFERROR(__xludf.DUMMYFUNCTION("""COMPUTED_VALUE"""),500000.0)</f>
        <v>500000</v>
      </c>
      <c r="BE53" s="22">
        <f>IFERROR(__xludf.DUMMYFUNCTION("""COMPUTED_VALUE"""),0.0)</f>
        <v>0</v>
      </c>
      <c r="BF53" s="22">
        <f>IFERROR(__xludf.DUMMYFUNCTION("""COMPUTED_VALUE"""),500000.0)</f>
        <v>500000</v>
      </c>
    </row>
    <row r="54">
      <c r="A54" s="27">
        <f>IFERROR(__xludf.DUMMYFUNCTION("""COMPUTED_VALUE"""),53.0)</f>
        <v>53</v>
      </c>
      <c r="B54" s="28" t="str">
        <f>IFERROR(__xludf.DUMMYFUNCTION("""COMPUTED_VALUE"""),"MUHAMMAD IBRA HAJAR FARUQI")</f>
        <v>MUHAMMAD IBRA HAJAR FARUQI</v>
      </c>
      <c r="C54" s="28">
        <f>IFERROR(__xludf.DUMMYFUNCTION("""COMPUTED_VALUE"""),2.024070739E9)</f>
        <v>2024070739</v>
      </c>
      <c r="D54" s="28" t="str">
        <f>IFERROR(__xludf.DUMMYFUNCTION("""COMPUTED_VALUE"""),"SUBKHI")</f>
        <v>SUBKHI</v>
      </c>
      <c r="E54" s="28" t="str">
        <f>IFERROR(__xludf.DUMMYFUNCTION("""COMPUTED_VALUE"""),"SARPIYATUN")</f>
        <v>SARPIYATUN</v>
      </c>
      <c r="F54" s="28" t="str">
        <f>IFERROR(__xludf.DUMMYFUNCTION("""COMPUTED_VALUE"""),"KEMLAGIGEDE RT 010 RW 002 TURI LAMONGAN")</f>
        <v>KEMLAGIGEDE RT 010 RW 002 TURI LAMONGAN</v>
      </c>
      <c r="G54" s="28" t="str">
        <f>IFERROR(__xludf.DUMMYFUNCTION("""COMPUTED_VALUE"""),"SMP-IX C")</f>
        <v>SMP-IX C</v>
      </c>
      <c r="H54" s="28" t="str">
        <f>IFERROR(__xludf.DUMMYFUNCTION("""COMPUTED_VALUE"""),"A")</f>
        <v>A</v>
      </c>
      <c r="I54" s="28" t="str">
        <f>IFERROR(__xludf.DUMMYFUNCTION("""COMPUTED_VALUE"""),"A-8")</f>
        <v>A-8</v>
      </c>
      <c r="J54" s="28">
        <f>IFERROR(__xludf.DUMMYFUNCTION("""COMPUTED_VALUE"""),3.0)</f>
        <v>3</v>
      </c>
      <c r="K54" s="28" t="str">
        <f>IFERROR(__xludf.DUMMYFUNCTION("""COMPUTED_VALUE"""),"3 ULA B PUTRA")</f>
        <v>3 ULA B PUTRA</v>
      </c>
      <c r="L54" s="29" t="str">
        <f>IFERROR(__xludf.DUMMYFUNCTION("""COMPUTED_VALUE"""),"628574573760")</f>
        <v>628574573760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2">
        <f>IFERROR(__xludf.DUMMYFUNCTION("""COMPUTED_VALUE"""),0.0)</f>
        <v>0</v>
      </c>
      <c r="BD54" s="22">
        <f>IFERROR(__xludf.DUMMYFUNCTION("""COMPUTED_VALUE"""),0.0)</f>
        <v>0</v>
      </c>
      <c r="BE54" s="22">
        <f>IFERROR(__xludf.DUMMYFUNCTION("""COMPUTED_VALUE"""),0.0)</f>
        <v>0</v>
      </c>
      <c r="BF54" s="22">
        <f>IFERROR(__xludf.DUMMYFUNCTION("""COMPUTED_VALUE"""),0.0)</f>
        <v>0</v>
      </c>
    </row>
    <row r="55">
      <c r="A55" s="27">
        <f>IFERROR(__xludf.DUMMYFUNCTION("""COMPUTED_VALUE"""),54.0)</f>
        <v>54</v>
      </c>
      <c r="B55" s="28" t="str">
        <f>IFERROR(__xludf.DUMMYFUNCTION("""COMPUTED_VALUE"""),"MUHAMMAD IQBAL MAULANA PUTRA")</f>
        <v>MUHAMMAD IQBAL MAULANA PUTRA</v>
      </c>
      <c r="C55" s="28">
        <f>IFERROR(__xludf.DUMMYFUNCTION("""COMPUTED_VALUE"""),2.024070743E9)</f>
        <v>2024070743</v>
      </c>
      <c r="D55" s="28" t="str">
        <f>IFERROR(__xludf.DUMMYFUNCTION("""COMPUTED_VALUE"""),"HARTONO")</f>
        <v>HARTONO</v>
      </c>
      <c r="E55" s="28" t="str">
        <f>IFERROR(__xludf.DUMMYFUNCTION("""COMPUTED_VALUE"""),"NIA MUSTIANA")</f>
        <v>NIA MUSTIANA</v>
      </c>
      <c r="F55" s="28" t="str">
        <f>IFERROR(__xludf.DUMMYFUNCTION("""COMPUTED_VALUE"""),"SUKLEN KETAPANGTELU RT 001 RW 004 KARANGBINANGUN LAMONGAN")</f>
        <v>SUKLEN KETAPANGTELU RT 001 RW 004 KARANGBINANGUN LAMONGAN</v>
      </c>
      <c r="G55" s="28" t="str">
        <f>IFERROR(__xludf.DUMMYFUNCTION("""COMPUTED_VALUE"""),"SMP-IX C")</f>
        <v>SMP-IX C</v>
      </c>
      <c r="H55" s="28" t="str">
        <f>IFERROR(__xludf.DUMMYFUNCTION("""COMPUTED_VALUE"""),"A")</f>
        <v>A</v>
      </c>
      <c r="I55" s="28" t="str">
        <f>IFERROR(__xludf.DUMMYFUNCTION("""COMPUTED_VALUE"""),"A-8")</f>
        <v>A-8</v>
      </c>
      <c r="J55" s="28">
        <f>IFERROR(__xludf.DUMMYFUNCTION("""COMPUTED_VALUE"""),3.0)</f>
        <v>3</v>
      </c>
      <c r="K55" s="28" t="str">
        <f>IFERROR(__xludf.DUMMYFUNCTION("""COMPUTED_VALUE"""),"3 ULA B PUTRA")</f>
        <v>3 ULA B PUTRA</v>
      </c>
      <c r="L55" s="29" t="str">
        <f>IFERROR(__xludf.DUMMYFUNCTION("""COMPUTED_VALUE"""),"6285648971511")</f>
        <v>6285648971511</v>
      </c>
      <c r="M55" s="22">
        <f>IFERROR(__xludf.DUMMYFUNCTION("""COMPUTED_VALUE"""),600000.0)</f>
        <v>600000</v>
      </c>
      <c r="N55" s="22">
        <f>IFERROR(__xludf.DUMMYFUNCTION("""COMPUTED_VALUE"""),200000.0)</f>
        <v>200000</v>
      </c>
      <c r="O55" s="28"/>
      <c r="P55" s="28"/>
      <c r="Q55" s="28"/>
      <c r="R55" s="28"/>
      <c r="S55" s="28"/>
      <c r="T55" s="28"/>
      <c r="U55" s="22">
        <f>IFERROR(__xludf.DUMMYFUNCTION("""COMPUTED_VALUE"""),450000.0)</f>
        <v>450000</v>
      </c>
      <c r="V55" s="22">
        <f>IFERROR(__xludf.DUMMYFUNCTION("""COMPUTED_VALUE"""),450000.0)</f>
        <v>450000</v>
      </c>
      <c r="W55" s="22">
        <f>IFERROR(__xludf.DUMMYFUNCTION("""COMPUTED_VALUE"""),450000.0)</f>
        <v>450000</v>
      </c>
      <c r="X55" s="22">
        <f>IFERROR(__xludf.DUMMYFUNCTION("""COMPUTED_VALUE"""),450000.0)</f>
        <v>450000</v>
      </c>
      <c r="Y55" s="22">
        <f>IFERROR(__xludf.DUMMYFUNCTION("""COMPUTED_VALUE"""),450000.0)</f>
        <v>450000</v>
      </c>
      <c r="Z55" s="22">
        <f>IFERROR(__xludf.DUMMYFUNCTION("""COMPUTED_VALUE"""),450000.0)</f>
        <v>450000</v>
      </c>
      <c r="AA55" s="28"/>
      <c r="AB55" s="22">
        <f>IFERROR(__xludf.DUMMYFUNCTION("""COMPUTED_VALUE"""),500000.0)</f>
        <v>500000</v>
      </c>
      <c r="AC55" s="22">
        <f>IFERROR(__xludf.DUMMYFUNCTION("""COMPUTED_VALUE"""),450000.0)</f>
        <v>450000</v>
      </c>
      <c r="AD55" s="22">
        <f>IFERROR(__xludf.DUMMYFUNCTION("""COMPUTED_VALUE"""),450000.0)</f>
        <v>450000</v>
      </c>
      <c r="AE55" s="22">
        <f>IFERROR(__xludf.DUMMYFUNCTION("""COMPUTED_VALUE"""),450000.0)</f>
        <v>450000</v>
      </c>
      <c r="AF55" s="22">
        <f>IFERROR(__xludf.DUMMYFUNCTION("""COMPUTED_VALUE"""),450000.0)</f>
        <v>450000</v>
      </c>
      <c r="AG55" s="22">
        <f>IFERROR(__xludf.DUMMYFUNCTION("""COMPUTED_VALUE"""),450000.0)</f>
        <v>450000</v>
      </c>
      <c r="AH55" s="22">
        <f>IFERROR(__xludf.DUMMYFUNCTION("""COMPUTED_VALUE"""),450000.0)</f>
        <v>450000</v>
      </c>
      <c r="AI55" s="22">
        <f>IFERROR(__xludf.DUMMYFUNCTION("""COMPUTED_VALUE"""),450000.0)</f>
        <v>450000</v>
      </c>
      <c r="AJ55" s="22">
        <f>IFERROR(__xludf.DUMMYFUNCTION("""COMPUTED_VALUE"""),450000.0)</f>
        <v>450000</v>
      </c>
      <c r="AK55" s="22">
        <f>IFERROR(__xludf.DUMMYFUNCTION("""COMPUTED_VALUE"""),450000.0)</f>
        <v>450000</v>
      </c>
      <c r="AL55" s="22">
        <f>IFERROR(__xludf.DUMMYFUNCTION("""COMPUTED_VALUE"""),450000.0)</f>
        <v>450000</v>
      </c>
      <c r="AM55" s="22">
        <f>IFERROR(__xludf.DUMMYFUNCTION("""COMPUTED_VALUE"""),450000.0)</f>
        <v>450000</v>
      </c>
      <c r="AN55" s="22">
        <f>IFERROR(__xludf.DUMMYFUNCTION("""COMPUTED_VALUE"""),450000.0)</f>
        <v>450000</v>
      </c>
      <c r="AO55" s="28"/>
      <c r="AP55" s="22">
        <f>IFERROR(__xludf.DUMMYFUNCTION("""COMPUTED_VALUE"""),500000.0)</f>
        <v>500000</v>
      </c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2">
        <f>IFERROR(__xludf.DUMMYFUNCTION("""COMPUTED_VALUE"""),8100000.0)</f>
        <v>8100000</v>
      </c>
      <c r="BD55" s="22">
        <f>IFERROR(__xludf.DUMMYFUNCTION("""COMPUTED_VALUE"""),1600000.0)</f>
        <v>1600000</v>
      </c>
      <c r="BE55" s="22">
        <f>IFERROR(__xludf.DUMMYFUNCTION("""COMPUTED_VALUE"""),0.0)</f>
        <v>0</v>
      </c>
      <c r="BF55" s="22">
        <f>IFERROR(__xludf.DUMMYFUNCTION("""COMPUTED_VALUE"""),9700000.0)</f>
        <v>9700000</v>
      </c>
    </row>
    <row r="56">
      <c r="A56" s="27">
        <f>IFERROR(__xludf.DUMMYFUNCTION("""COMPUTED_VALUE"""),55.0)</f>
        <v>55</v>
      </c>
      <c r="B56" s="28" t="str">
        <f>IFERROR(__xludf.DUMMYFUNCTION("""COMPUTED_VALUE"""),"MUHAMMAD RAFA AL KAUTSAR")</f>
        <v>MUHAMMAD RAFA AL KAUTSAR</v>
      </c>
      <c r="C56" s="28">
        <f>IFERROR(__xludf.DUMMYFUNCTION("""COMPUTED_VALUE"""),2.024070648E9)</f>
        <v>2024070648</v>
      </c>
      <c r="D56" s="28" t="str">
        <f>IFERROR(__xludf.DUMMYFUNCTION("""COMPUTED_VALUE"""),"MUHAMMAD RIFA`I")</f>
        <v>MUHAMMAD RIFA`I</v>
      </c>
      <c r="E56" s="28" t="str">
        <f>IFERROR(__xludf.DUMMYFUNCTION("""COMPUTED_VALUE"""),"SHOIFAH")</f>
        <v>SHOIFAH</v>
      </c>
      <c r="F56" s="28" t="str">
        <f>IFERROR(__xludf.DUMMYFUNCTION("""COMPUTED_VALUE"""),"BANJARANYAR BANJARWATI RT 002 RW 002 PACIRAN LAMONGAN")</f>
        <v>BANJARANYAR BANJARWATI RT 002 RW 002 PACIRAN LAMONGAN</v>
      </c>
      <c r="G56" s="28" t="str">
        <f>IFERROR(__xludf.DUMMYFUNCTION("""COMPUTED_VALUE"""),"MTS-9 C")</f>
        <v>MTS-9 C</v>
      </c>
      <c r="H56" s="28" t="str">
        <f>IFERROR(__xludf.DUMMYFUNCTION("""COMPUTED_VALUE"""),"A")</f>
        <v>A</v>
      </c>
      <c r="I56" s="28" t="str">
        <f>IFERROR(__xludf.DUMMYFUNCTION("""COMPUTED_VALUE"""),"A-8")</f>
        <v>A-8</v>
      </c>
      <c r="J56" s="28">
        <f>IFERROR(__xludf.DUMMYFUNCTION("""COMPUTED_VALUE"""),3.0)</f>
        <v>3</v>
      </c>
      <c r="K56" s="28" t="str">
        <f>IFERROR(__xludf.DUMMYFUNCTION("""COMPUTED_VALUE"""),"3 ULA B PUTRA")</f>
        <v>3 ULA B PUTRA</v>
      </c>
      <c r="L56" s="29" t="str">
        <f>IFERROR(__xludf.DUMMYFUNCTION("""COMPUTED_VALUE"""),"6285859853448")</f>
        <v>6285859853448</v>
      </c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2">
        <f>IFERROR(__xludf.DUMMYFUNCTION("""COMPUTED_VALUE"""),450000.0)</f>
        <v>450000</v>
      </c>
      <c r="AO56" s="28"/>
      <c r="AP56" s="22">
        <f>IFERROR(__xludf.DUMMYFUNCTION("""COMPUTED_VALUE"""),500000.0)</f>
        <v>500000</v>
      </c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2">
        <f>IFERROR(__xludf.DUMMYFUNCTION("""COMPUTED_VALUE"""),450000.0)</f>
        <v>450000</v>
      </c>
      <c r="BD56" s="22">
        <f>IFERROR(__xludf.DUMMYFUNCTION("""COMPUTED_VALUE"""),500000.0)</f>
        <v>500000</v>
      </c>
      <c r="BE56" s="22">
        <f>IFERROR(__xludf.DUMMYFUNCTION("""COMPUTED_VALUE"""),0.0)</f>
        <v>0</v>
      </c>
      <c r="BF56" s="22">
        <f>IFERROR(__xludf.DUMMYFUNCTION("""COMPUTED_VALUE"""),950000.0)</f>
        <v>950000</v>
      </c>
    </row>
    <row r="57">
      <c r="A57" s="27">
        <f>IFERROR(__xludf.DUMMYFUNCTION("""COMPUTED_VALUE"""),56.0)</f>
        <v>56</v>
      </c>
      <c r="B57" s="28" t="str">
        <f>IFERROR(__xludf.DUMMYFUNCTION("""COMPUTED_VALUE"""),"MUHAMMAD RAFI TAMAM")</f>
        <v>MUHAMMAD RAFI TAMAM</v>
      </c>
      <c r="C57" s="28">
        <f>IFERROR(__xludf.DUMMYFUNCTION("""COMPUTED_VALUE"""),2.024070558E9)</f>
        <v>2024070558</v>
      </c>
      <c r="D57" s="28" t="str">
        <f>IFERROR(__xludf.DUMMYFUNCTION("""COMPUTED_VALUE"""),"SULTONU")</f>
        <v>SULTONU</v>
      </c>
      <c r="E57" s="28" t="str">
        <f>IFERROR(__xludf.DUMMYFUNCTION("""COMPUTED_VALUE"""),"MAHFUDLOTIN")</f>
        <v>MAHFUDLOTIN</v>
      </c>
      <c r="F57" s="28" t="str">
        <f>IFERROR(__xludf.DUMMYFUNCTION("""COMPUTED_VALUE"""),"DADAPAN RT 002 RW 001 SOLOKURO LAMONGAN")</f>
        <v>DADAPAN RT 002 RW 001 SOLOKURO LAMONGAN</v>
      </c>
      <c r="G57" s="28" t="str">
        <f>IFERROR(__xludf.DUMMYFUNCTION("""COMPUTED_VALUE"""),"MTS-9 C")</f>
        <v>MTS-9 C</v>
      </c>
      <c r="H57" s="28" t="str">
        <f>IFERROR(__xludf.DUMMYFUNCTION("""COMPUTED_VALUE"""),"A")</f>
        <v>A</v>
      </c>
      <c r="I57" s="28" t="str">
        <f>IFERROR(__xludf.DUMMYFUNCTION("""COMPUTED_VALUE"""),"A-8")</f>
        <v>A-8</v>
      </c>
      <c r="J57" s="28">
        <f>IFERROR(__xludf.DUMMYFUNCTION("""COMPUTED_VALUE"""),3.0)</f>
        <v>3</v>
      </c>
      <c r="K57" s="28" t="str">
        <f>IFERROR(__xludf.DUMMYFUNCTION("""COMPUTED_VALUE"""),"3 ULA B PUTRA")</f>
        <v>3 ULA B PUTRA</v>
      </c>
      <c r="L57" s="29" t="str">
        <f>IFERROR(__xludf.DUMMYFUNCTION("""COMPUTED_VALUE"""),"628578500200")</f>
        <v>628578500200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2">
        <f>IFERROR(__xludf.DUMMYFUNCTION("""COMPUTED_VALUE"""),0.0)</f>
        <v>0</v>
      </c>
      <c r="BD57" s="22">
        <f>IFERROR(__xludf.DUMMYFUNCTION("""COMPUTED_VALUE"""),0.0)</f>
        <v>0</v>
      </c>
      <c r="BE57" s="22">
        <f>IFERROR(__xludf.DUMMYFUNCTION("""COMPUTED_VALUE"""),0.0)</f>
        <v>0</v>
      </c>
      <c r="BF57" s="22">
        <f>IFERROR(__xludf.DUMMYFUNCTION("""COMPUTED_VALUE"""),0.0)</f>
        <v>0</v>
      </c>
    </row>
    <row r="58">
      <c r="A58" s="27">
        <f>IFERROR(__xludf.DUMMYFUNCTION("""COMPUTED_VALUE"""),57.0)</f>
        <v>57</v>
      </c>
      <c r="B58" s="28" t="str">
        <f>IFERROR(__xludf.DUMMYFUNCTION("""COMPUTED_VALUE"""),"MUHAMMAD RISKI MISHBAHUL MUNIR")</f>
        <v>MUHAMMAD RISKI MISHBAHUL MUNIR</v>
      </c>
      <c r="C58" s="28">
        <f>IFERROR(__xludf.DUMMYFUNCTION("""COMPUTED_VALUE"""),2.024070535E9)</f>
        <v>2024070535</v>
      </c>
      <c r="D58" s="28" t="str">
        <f>IFERROR(__xludf.DUMMYFUNCTION("""COMPUTED_VALUE"""),"MOHAMAD KARMAN")</f>
        <v>MOHAMAD KARMAN</v>
      </c>
      <c r="E58" s="28" t="str">
        <f>IFERROR(__xludf.DUMMYFUNCTION("""COMPUTED_VALUE"""),"KASIYATUN")</f>
        <v>KASIYATUN</v>
      </c>
      <c r="F58" s="28" t="str">
        <f>IFERROR(__xludf.DUMMYFUNCTION("""COMPUTED_VALUE"""),"NGUJUNG NGUJUNGREJO RT 005 RW 002 TURI LAMONGAN")</f>
        <v>NGUJUNG NGUJUNGREJO RT 005 RW 002 TURI LAMONGAN</v>
      </c>
      <c r="G58" s="28" t="str">
        <f>IFERROR(__xludf.DUMMYFUNCTION("""COMPUTED_VALUE"""),"MTS-9 E")</f>
        <v>MTS-9 E</v>
      </c>
      <c r="H58" s="28" t="str">
        <f>IFERROR(__xludf.DUMMYFUNCTION("""COMPUTED_VALUE"""),"A")</f>
        <v>A</v>
      </c>
      <c r="I58" s="28" t="str">
        <f>IFERROR(__xludf.DUMMYFUNCTION("""COMPUTED_VALUE"""),"A-8")</f>
        <v>A-8</v>
      </c>
      <c r="J58" s="28">
        <f>IFERROR(__xludf.DUMMYFUNCTION("""COMPUTED_VALUE"""),3.0)</f>
        <v>3</v>
      </c>
      <c r="K58" s="28" t="str">
        <f>IFERROR(__xludf.DUMMYFUNCTION("""COMPUTED_VALUE"""),"3 ULA B PUTRA")</f>
        <v>3 ULA B PUTRA</v>
      </c>
      <c r="L58" s="29" t="str">
        <f>IFERROR(__xludf.DUMMYFUNCTION("""COMPUTED_VALUE"""),"6285648380596")</f>
        <v>6285648380596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2">
        <f>IFERROR(__xludf.DUMMYFUNCTION("""COMPUTED_VALUE"""),500000.0)</f>
        <v>500000</v>
      </c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2">
        <f>IFERROR(__xludf.DUMMYFUNCTION("""COMPUTED_VALUE"""),0.0)</f>
        <v>0</v>
      </c>
      <c r="BD58" s="22">
        <f>IFERROR(__xludf.DUMMYFUNCTION("""COMPUTED_VALUE"""),500000.0)</f>
        <v>500000</v>
      </c>
      <c r="BE58" s="22">
        <f>IFERROR(__xludf.DUMMYFUNCTION("""COMPUTED_VALUE"""),0.0)</f>
        <v>0</v>
      </c>
      <c r="BF58" s="22">
        <f>IFERROR(__xludf.DUMMYFUNCTION("""COMPUTED_VALUE"""),500000.0)</f>
        <v>500000</v>
      </c>
    </row>
    <row r="59">
      <c r="A59" s="27">
        <f>IFERROR(__xludf.DUMMYFUNCTION("""COMPUTED_VALUE"""),58.0)</f>
        <v>58</v>
      </c>
      <c r="B59" s="28" t="str">
        <f>IFERROR(__xludf.DUMMYFUNCTION("""COMPUTED_VALUE"""),"MUHAMMAD ROHID ALY WAFA ASSYUKUR")</f>
        <v>MUHAMMAD ROHID ALY WAFA ASSYUKUR</v>
      </c>
      <c r="C59" s="28">
        <f>IFERROR(__xludf.DUMMYFUNCTION("""COMPUTED_VALUE"""),2.024070496E9)</f>
        <v>2024070496</v>
      </c>
      <c r="D59" s="28" t="str">
        <f>IFERROR(__xludf.DUMMYFUNCTION("""COMPUTED_VALUE"""),"MUJI SYUKUR")</f>
        <v>MUJI SYUKUR</v>
      </c>
      <c r="E59" s="28" t="str">
        <f>IFERROR(__xludf.DUMMYFUNCTION("""COMPUTED_VALUE"""),"ASMAUL HUSNA")</f>
        <v>ASMAUL HUSNA</v>
      </c>
      <c r="F59" s="28" t="str">
        <f>IFERROR(__xludf.DUMMYFUNCTION("""COMPUTED_VALUE"""),"JUBAK NGUWOK RT 014 RW 006 MODO LAMONGAN")</f>
        <v>JUBAK NGUWOK RT 014 RW 006 MODO LAMONGAN</v>
      </c>
      <c r="G59" s="28" t="str">
        <f>IFERROR(__xludf.DUMMYFUNCTION("""COMPUTED_VALUE"""),"MTS-9 C")</f>
        <v>MTS-9 C</v>
      </c>
      <c r="H59" s="28" t="str">
        <f>IFERROR(__xludf.DUMMYFUNCTION("""COMPUTED_VALUE"""),"A")</f>
        <v>A</v>
      </c>
      <c r="I59" s="28" t="str">
        <f>IFERROR(__xludf.DUMMYFUNCTION("""COMPUTED_VALUE"""),"A-8")</f>
        <v>A-8</v>
      </c>
      <c r="J59" s="28">
        <f>IFERROR(__xludf.DUMMYFUNCTION("""COMPUTED_VALUE"""),3.0)</f>
        <v>3</v>
      </c>
      <c r="K59" s="28" t="str">
        <f>IFERROR(__xludf.DUMMYFUNCTION("""COMPUTED_VALUE"""),"3 ULA A PUTRA")</f>
        <v>3 ULA A PUTRA</v>
      </c>
      <c r="L59" s="29" t="str">
        <f>IFERROR(__xludf.DUMMYFUNCTION("""COMPUTED_VALUE"""),"6285607086322")</f>
        <v>6285607086322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2">
        <f>IFERROR(__xludf.DUMMYFUNCTION("""COMPUTED_VALUE"""),0.0)</f>
        <v>0</v>
      </c>
      <c r="BD59" s="22">
        <f>IFERROR(__xludf.DUMMYFUNCTION("""COMPUTED_VALUE"""),0.0)</f>
        <v>0</v>
      </c>
      <c r="BE59" s="22">
        <f>IFERROR(__xludf.DUMMYFUNCTION("""COMPUTED_VALUE"""),0.0)</f>
        <v>0</v>
      </c>
      <c r="BF59" s="22">
        <f>IFERROR(__xludf.DUMMYFUNCTION("""COMPUTED_VALUE"""),0.0)</f>
        <v>0</v>
      </c>
    </row>
    <row r="60">
      <c r="A60" s="27">
        <f>IFERROR(__xludf.DUMMYFUNCTION("""COMPUTED_VALUE"""),59.0)</f>
        <v>59</v>
      </c>
      <c r="B60" s="28" t="str">
        <f>IFERROR(__xludf.DUMMYFUNCTION("""COMPUTED_VALUE"""),"MUHAMMAD SABIL FIRDAUS")</f>
        <v>MUHAMMAD SABIL FIRDAUS</v>
      </c>
      <c r="C60" s="28">
        <f>IFERROR(__xludf.DUMMYFUNCTION("""COMPUTED_VALUE"""),2.024070451E9)</f>
        <v>2024070451</v>
      </c>
      <c r="D60" s="28" t="str">
        <f>IFERROR(__xludf.DUMMYFUNCTION("""COMPUTED_VALUE"""),"KHOIRUL MUSTAKIM")</f>
        <v>KHOIRUL MUSTAKIM</v>
      </c>
      <c r="E60" s="28" t="str">
        <f>IFERROR(__xludf.DUMMYFUNCTION("""COMPUTED_VALUE"""),"SITI MUSAROH")</f>
        <v>SITI MUSAROH</v>
      </c>
      <c r="F60" s="28" t="str">
        <f>IFERROR(__xludf.DUMMYFUNCTION("""COMPUTED_VALUE"""),"SUMBERMULYO SUKOMULYO RT 004 RW 002 LAMONGAN LAMONGAN")</f>
        <v>SUMBERMULYO SUKOMULYO RT 004 RW 002 LAMONGAN LAMONGAN</v>
      </c>
      <c r="G60" s="28" t="str">
        <f>IFERROR(__xludf.DUMMYFUNCTION("""COMPUTED_VALUE"""),"MTS-9 A")</f>
        <v>MTS-9 A</v>
      </c>
      <c r="H60" s="28" t="str">
        <f>IFERROR(__xludf.DUMMYFUNCTION("""COMPUTED_VALUE"""),"A")</f>
        <v>A</v>
      </c>
      <c r="I60" s="28" t="str">
        <f>IFERROR(__xludf.DUMMYFUNCTION("""COMPUTED_VALUE"""),"A-13")</f>
        <v>A-13</v>
      </c>
      <c r="J60" s="28">
        <f>IFERROR(__xludf.DUMMYFUNCTION("""COMPUTED_VALUE"""),3.0)</f>
        <v>3</v>
      </c>
      <c r="K60" s="28" t="str">
        <f>IFERROR(__xludf.DUMMYFUNCTION("""COMPUTED_VALUE"""),"")</f>
        <v/>
      </c>
      <c r="L60" s="29" t="str">
        <f>IFERROR(__xludf.DUMMYFUNCTION("""COMPUTED_VALUE"""),"6285816909650")</f>
        <v>6285816909650</v>
      </c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2">
        <f>IFERROR(__xludf.DUMMYFUNCTION("""COMPUTED_VALUE"""),0.0)</f>
        <v>0</v>
      </c>
      <c r="BD60" s="22">
        <f>IFERROR(__xludf.DUMMYFUNCTION("""COMPUTED_VALUE"""),0.0)</f>
        <v>0</v>
      </c>
      <c r="BE60" s="22">
        <f>IFERROR(__xludf.DUMMYFUNCTION("""COMPUTED_VALUE"""),0.0)</f>
        <v>0</v>
      </c>
      <c r="BF60" s="22">
        <f>IFERROR(__xludf.DUMMYFUNCTION("""COMPUTED_VALUE"""),0.0)</f>
        <v>0</v>
      </c>
    </row>
    <row r="61">
      <c r="A61" s="27">
        <f>IFERROR(__xludf.DUMMYFUNCTION("""COMPUTED_VALUE"""),60.0)</f>
        <v>60</v>
      </c>
      <c r="B61" s="28" t="str">
        <f>IFERROR(__xludf.DUMMYFUNCTION("""COMPUTED_VALUE"""),"MUHAMMAD SYAFI` AL FATHIR")</f>
        <v>MUHAMMAD SYAFI` AL FATHIR</v>
      </c>
      <c r="C61" s="28">
        <f>IFERROR(__xludf.DUMMYFUNCTION("""COMPUTED_VALUE"""),2.024070588E9)</f>
        <v>2024070588</v>
      </c>
      <c r="D61" s="28" t="str">
        <f>IFERROR(__xludf.DUMMYFUNCTION("""COMPUTED_VALUE"""),"MUCHAMAD KHOLIK")</f>
        <v>MUCHAMAD KHOLIK</v>
      </c>
      <c r="E61" s="28" t="str">
        <f>IFERROR(__xludf.DUMMYFUNCTION("""COMPUTED_VALUE"""),"SULISTIAWATI")</f>
        <v>SULISTIAWATI</v>
      </c>
      <c r="F61" s="28" t="str">
        <f>IFERROR(__xludf.DUMMYFUNCTION("""COMPUTED_VALUE"""),"NGAYUNG RT 003 RW 001 MADURAN LAMONGAN")</f>
        <v>NGAYUNG RT 003 RW 001 MADURAN LAMONGAN</v>
      </c>
      <c r="G61" s="28" t="str">
        <f>IFERROR(__xludf.DUMMYFUNCTION("""COMPUTED_VALUE"""),"MTS-9 B")</f>
        <v>MTS-9 B</v>
      </c>
      <c r="H61" s="28" t="str">
        <f>IFERROR(__xludf.DUMMYFUNCTION("""COMPUTED_VALUE"""),"A")</f>
        <v>A</v>
      </c>
      <c r="I61" s="28" t="str">
        <f>IFERROR(__xludf.DUMMYFUNCTION("""COMPUTED_VALUE"""),"A-8")</f>
        <v>A-8</v>
      </c>
      <c r="J61" s="28">
        <f>IFERROR(__xludf.DUMMYFUNCTION("""COMPUTED_VALUE"""),3.0)</f>
        <v>3</v>
      </c>
      <c r="K61" s="28" t="str">
        <f>IFERROR(__xludf.DUMMYFUNCTION("""COMPUTED_VALUE"""),"3 ULA B PUTRA")</f>
        <v>3 ULA B PUTRA</v>
      </c>
      <c r="L61" s="29" t="str">
        <f>IFERROR(__xludf.DUMMYFUNCTION("""COMPUTED_VALUE"""),"6285850361410")</f>
        <v>6285850361410</v>
      </c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2">
        <f>IFERROR(__xludf.DUMMYFUNCTION("""COMPUTED_VALUE"""),0.0)</f>
        <v>0</v>
      </c>
      <c r="BD61" s="22">
        <f>IFERROR(__xludf.DUMMYFUNCTION("""COMPUTED_VALUE"""),0.0)</f>
        <v>0</v>
      </c>
      <c r="BE61" s="22">
        <f>IFERROR(__xludf.DUMMYFUNCTION("""COMPUTED_VALUE"""),0.0)</f>
        <v>0</v>
      </c>
      <c r="BF61" s="22">
        <f>IFERROR(__xludf.DUMMYFUNCTION("""COMPUTED_VALUE"""),0.0)</f>
        <v>0</v>
      </c>
    </row>
    <row r="62">
      <c r="A62" s="27">
        <f>IFERROR(__xludf.DUMMYFUNCTION("""COMPUTED_VALUE"""),61.0)</f>
        <v>61</v>
      </c>
      <c r="B62" s="28" t="str">
        <f>IFERROR(__xludf.DUMMYFUNCTION("""COMPUTED_VALUE"""),"MUHAMMAD TSAQIF WIRA ARDANA")</f>
        <v>MUHAMMAD TSAQIF WIRA ARDANA</v>
      </c>
      <c r="C62" s="28">
        <f>IFERROR(__xludf.DUMMYFUNCTION("""COMPUTED_VALUE"""),2.024070725E9)</f>
        <v>2024070725</v>
      </c>
      <c r="D62" s="28" t="str">
        <f>IFERROR(__xludf.DUMMYFUNCTION("""COMPUTED_VALUE"""),"KHOTIB")</f>
        <v>KHOTIB</v>
      </c>
      <c r="E62" s="28" t="str">
        <f>IFERROR(__xludf.DUMMYFUNCTION("""COMPUTED_VALUE"""),"YUYUN HANIFAH")</f>
        <v>YUYUN HANIFAH</v>
      </c>
      <c r="F62" s="28" t="str">
        <f>IFERROR(__xludf.DUMMYFUNCTION("""COMPUTED_VALUE"""),"PRINGGOBOYO RT 002 RW 001 MADURAN LAMONGAN")</f>
        <v>PRINGGOBOYO RT 002 RW 001 MADURAN LAMONGAN</v>
      </c>
      <c r="G62" s="28" t="str">
        <f>IFERROR(__xludf.DUMMYFUNCTION("""COMPUTED_VALUE"""),"SMP-IX B")</f>
        <v>SMP-IX B</v>
      </c>
      <c r="H62" s="28" t="str">
        <f>IFERROR(__xludf.DUMMYFUNCTION("""COMPUTED_VALUE"""),"A")</f>
        <v>A</v>
      </c>
      <c r="I62" s="28" t="str">
        <f>IFERROR(__xludf.DUMMYFUNCTION("""COMPUTED_VALUE"""),"A-13")</f>
        <v>A-13</v>
      </c>
      <c r="J62" s="28">
        <f>IFERROR(__xludf.DUMMYFUNCTION("""COMPUTED_VALUE"""),3.0)</f>
        <v>3</v>
      </c>
      <c r="K62" s="28" t="str">
        <f>IFERROR(__xludf.DUMMYFUNCTION("""COMPUTED_VALUE"""),"")</f>
        <v/>
      </c>
      <c r="L62" s="29" t="str">
        <f>IFERROR(__xludf.DUMMYFUNCTION("""COMPUTED_VALUE"""),"6281330019092")</f>
        <v>6281330019092</v>
      </c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2">
        <f>IFERROR(__xludf.DUMMYFUNCTION("""COMPUTED_VALUE"""),0.0)</f>
        <v>0</v>
      </c>
      <c r="BD62" s="22">
        <f>IFERROR(__xludf.DUMMYFUNCTION("""COMPUTED_VALUE"""),0.0)</f>
        <v>0</v>
      </c>
      <c r="BE62" s="22">
        <f>IFERROR(__xludf.DUMMYFUNCTION("""COMPUTED_VALUE"""),0.0)</f>
        <v>0</v>
      </c>
      <c r="BF62" s="22">
        <f>IFERROR(__xludf.DUMMYFUNCTION("""COMPUTED_VALUE"""),0.0)</f>
        <v>0</v>
      </c>
    </row>
    <row r="63">
      <c r="A63" s="27">
        <f>IFERROR(__xludf.DUMMYFUNCTION("""COMPUTED_VALUE"""),62.0)</f>
        <v>62</v>
      </c>
      <c r="B63" s="28" t="str">
        <f>IFERROR(__xludf.DUMMYFUNCTION("""COMPUTED_VALUE"""),"NAUFAL DESTA ARYADI")</f>
        <v>NAUFAL DESTA ARYADI</v>
      </c>
      <c r="C63" s="28">
        <f>IFERROR(__xludf.DUMMYFUNCTION("""COMPUTED_VALUE"""),2.024070479E9)</f>
        <v>2024070479</v>
      </c>
      <c r="D63" s="28" t="str">
        <f>IFERROR(__xludf.DUMMYFUNCTION("""COMPUTED_VALUE"""),"MULYADI")</f>
        <v>MULYADI</v>
      </c>
      <c r="E63" s="28" t="str">
        <f>IFERROR(__xludf.DUMMYFUNCTION("""COMPUTED_VALUE"""),"RUMIATIK")</f>
        <v>RUMIATIK</v>
      </c>
      <c r="F63" s="28" t="str">
        <f>IFERROR(__xludf.DUMMYFUNCTION("""COMPUTED_VALUE"""),"KARANGTAPEN KARANGLANGIT RT 002 RW 004 LAMONGAN LAMONGAN")</f>
        <v>KARANGTAPEN KARANGLANGIT RT 002 RW 004 LAMONGAN LAMONGAN</v>
      </c>
      <c r="G63" s="28" t="str">
        <f>IFERROR(__xludf.DUMMYFUNCTION("""COMPUTED_VALUE"""),"MTS-9 F")</f>
        <v>MTS-9 F</v>
      </c>
      <c r="H63" s="28" t="str">
        <f>IFERROR(__xludf.DUMMYFUNCTION("""COMPUTED_VALUE"""),"A")</f>
        <v>A</v>
      </c>
      <c r="I63" s="28" t="str">
        <f>IFERROR(__xludf.DUMMYFUNCTION("""COMPUTED_VALUE"""),"A-8")</f>
        <v>A-8</v>
      </c>
      <c r="J63" s="28">
        <f>IFERROR(__xludf.DUMMYFUNCTION("""COMPUTED_VALUE"""),3.0)</f>
        <v>3</v>
      </c>
      <c r="K63" s="28" t="str">
        <f>IFERROR(__xludf.DUMMYFUNCTION("""COMPUTED_VALUE"""),"3 ULA A PUTRA")</f>
        <v>3 ULA A PUTRA</v>
      </c>
      <c r="L63" s="29" t="str">
        <f>IFERROR(__xludf.DUMMYFUNCTION("""COMPUTED_VALUE"""),"6285604016410")</f>
        <v>6285604016410</v>
      </c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2">
        <f>IFERROR(__xludf.DUMMYFUNCTION("""COMPUTED_VALUE"""),0.0)</f>
        <v>0</v>
      </c>
      <c r="BD63" s="22">
        <f>IFERROR(__xludf.DUMMYFUNCTION("""COMPUTED_VALUE"""),0.0)</f>
        <v>0</v>
      </c>
      <c r="BE63" s="22">
        <f>IFERROR(__xludf.DUMMYFUNCTION("""COMPUTED_VALUE"""),0.0)</f>
        <v>0</v>
      </c>
      <c r="BF63" s="22">
        <f>IFERROR(__xludf.DUMMYFUNCTION("""COMPUTED_VALUE"""),0.0)</f>
        <v>0</v>
      </c>
    </row>
    <row r="64">
      <c r="A64" s="27">
        <f>IFERROR(__xludf.DUMMYFUNCTION("""COMPUTED_VALUE"""),63.0)</f>
        <v>63</v>
      </c>
      <c r="B64" s="28" t="str">
        <f>IFERROR(__xludf.DUMMYFUNCTION("""COMPUTED_VALUE"""),"NOVAL ARYA PRATAMA")</f>
        <v>NOVAL ARYA PRATAMA</v>
      </c>
      <c r="C64" s="28">
        <f>IFERROR(__xludf.DUMMYFUNCTION("""COMPUTED_VALUE"""),2.024070468E9)</f>
        <v>2024070468</v>
      </c>
      <c r="D64" s="28" t="str">
        <f>IFERROR(__xludf.DUMMYFUNCTION("""COMPUTED_VALUE"""),"ABDUL ROHMAN")</f>
        <v>ABDUL ROHMAN</v>
      </c>
      <c r="E64" s="28" t="str">
        <f>IFERROR(__xludf.DUMMYFUNCTION("""COMPUTED_VALUE"""),"NURANITA LARASATI")</f>
        <v>NURANITA LARASATI</v>
      </c>
      <c r="F64" s="28" t="str">
        <f>IFERROR(__xludf.DUMMYFUNCTION("""COMPUTED_VALUE"""),"BULAKWATU BANJAREJO RT 003 RW 001 SUKODADI LAMONGAN")</f>
        <v>BULAKWATU BANJAREJO RT 003 RW 001 SUKODADI LAMONGAN</v>
      </c>
      <c r="G64" s="28" t="str">
        <f>IFERROR(__xludf.DUMMYFUNCTION("""COMPUTED_VALUE"""),"MTS-9 B")</f>
        <v>MTS-9 B</v>
      </c>
      <c r="H64" s="28" t="str">
        <f>IFERROR(__xludf.DUMMYFUNCTION("""COMPUTED_VALUE"""),"A")</f>
        <v>A</v>
      </c>
      <c r="I64" s="28" t="str">
        <f>IFERROR(__xludf.DUMMYFUNCTION("""COMPUTED_VALUE"""),"A-8")</f>
        <v>A-8</v>
      </c>
      <c r="J64" s="28">
        <f>IFERROR(__xludf.DUMMYFUNCTION("""COMPUTED_VALUE"""),3.0)</f>
        <v>3</v>
      </c>
      <c r="K64" s="28" t="str">
        <f>IFERROR(__xludf.DUMMYFUNCTION("""COMPUTED_VALUE"""),"3 ULA A PUTRA")</f>
        <v>3 ULA A PUTRA</v>
      </c>
      <c r="L64" s="29" t="str">
        <f>IFERROR(__xludf.DUMMYFUNCTION("""COMPUTED_VALUE"""),"6285707106640")</f>
        <v>6285707106640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2">
        <f>IFERROR(__xludf.DUMMYFUNCTION("""COMPUTED_VALUE"""),450000.0)</f>
        <v>450000</v>
      </c>
      <c r="AO64" s="28"/>
      <c r="AP64" s="22">
        <f>IFERROR(__xludf.DUMMYFUNCTION("""COMPUTED_VALUE"""),500000.0)</f>
        <v>500000</v>
      </c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2">
        <f>IFERROR(__xludf.DUMMYFUNCTION("""COMPUTED_VALUE"""),450000.0)</f>
        <v>450000</v>
      </c>
      <c r="BD64" s="22">
        <f>IFERROR(__xludf.DUMMYFUNCTION("""COMPUTED_VALUE"""),500000.0)</f>
        <v>500000</v>
      </c>
      <c r="BE64" s="22">
        <f>IFERROR(__xludf.DUMMYFUNCTION("""COMPUTED_VALUE"""),0.0)</f>
        <v>0</v>
      </c>
      <c r="BF64" s="22">
        <f>IFERROR(__xludf.DUMMYFUNCTION("""COMPUTED_VALUE"""),950000.0)</f>
        <v>950000</v>
      </c>
    </row>
    <row r="65">
      <c r="A65" s="27">
        <f>IFERROR(__xludf.DUMMYFUNCTION("""COMPUTED_VALUE"""),64.0)</f>
        <v>64</v>
      </c>
      <c r="B65" s="28" t="str">
        <f>IFERROR(__xludf.DUMMYFUNCTION("""COMPUTED_VALUE"""),"NUR RIZKI FEBRIAN WAHYU PUTRA")</f>
        <v>NUR RIZKI FEBRIAN WAHYU PUTRA</v>
      </c>
      <c r="C65" s="28">
        <f>IFERROR(__xludf.DUMMYFUNCTION("""COMPUTED_VALUE"""),2.024070516E9)</f>
        <v>2024070516</v>
      </c>
      <c r="D65" s="28" t="str">
        <f>IFERROR(__xludf.DUMMYFUNCTION("""COMPUTED_VALUE"""),"NUR QOMARI")</f>
        <v>NUR QOMARI</v>
      </c>
      <c r="E65" s="28" t="str">
        <f>IFERROR(__xludf.DUMMYFUNCTION("""COMPUTED_VALUE"""),"NANIK SURYANI")</f>
        <v>NANIK SURYANI</v>
      </c>
      <c r="F65" s="28" t="str">
        <f>IFERROR(__xludf.DUMMYFUNCTION("""COMPUTED_VALUE"""),"BLAJO RT 005 RW 003 KALITENGAH LAMONGAN")</f>
        <v>BLAJO RT 005 RW 003 KALITENGAH LAMONGAN</v>
      </c>
      <c r="G65" s="28" t="str">
        <f>IFERROR(__xludf.DUMMYFUNCTION("""COMPUTED_VALUE"""),"SMP-IX A")</f>
        <v>SMP-IX A</v>
      </c>
      <c r="H65" s="28" t="str">
        <f>IFERROR(__xludf.DUMMYFUNCTION("""COMPUTED_VALUE"""),"A")</f>
        <v>A</v>
      </c>
      <c r="I65" s="28" t="str">
        <f>IFERROR(__xludf.DUMMYFUNCTION("""COMPUTED_VALUE"""),"A-8")</f>
        <v>A-8</v>
      </c>
      <c r="J65" s="28">
        <f>IFERROR(__xludf.DUMMYFUNCTION("""COMPUTED_VALUE"""),3.0)</f>
        <v>3</v>
      </c>
      <c r="K65" s="28" t="str">
        <f>IFERROR(__xludf.DUMMYFUNCTION("""COMPUTED_VALUE"""),"3 ULA A PUTRA")</f>
        <v>3 ULA A PUTRA</v>
      </c>
      <c r="L65" s="29" t="str">
        <f>IFERROR(__xludf.DUMMYFUNCTION("""COMPUTED_VALUE"""),"6285546527780")</f>
        <v>6285546527780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2">
        <f>IFERROR(__xludf.DUMMYFUNCTION("""COMPUTED_VALUE"""),500000.0)</f>
        <v>500000</v>
      </c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2">
        <f>IFERROR(__xludf.DUMMYFUNCTION("""COMPUTED_VALUE"""),0.0)</f>
        <v>0</v>
      </c>
      <c r="BD65" s="22">
        <f>IFERROR(__xludf.DUMMYFUNCTION("""COMPUTED_VALUE"""),500000.0)</f>
        <v>500000</v>
      </c>
      <c r="BE65" s="22">
        <f>IFERROR(__xludf.DUMMYFUNCTION("""COMPUTED_VALUE"""),0.0)</f>
        <v>0</v>
      </c>
      <c r="BF65" s="22">
        <f>IFERROR(__xludf.DUMMYFUNCTION("""COMPUTED_VALUE"""),500000.0)</f>
        <v>500000</v>
      </c>
    </row>
    <row r="66">
      <c r="A66" s="27">
        <f>IFERROR(__xludf.DUMMYFUNCTION("""COMPUTED_VALUE"""),65.0)</f>
        <v>65</v>
      </c>
      <c r="B66" s="28" t="str">
        <f>IFERROR(__xludf.DUMMYFUNCTION("""COMPUTED_VALUE"""),"RAIHAN DWI WIRATAMA")</f>
        <v>RAIHAN DWI WIRATAMA</v>
      </c>
      <c r="C66" s="28">
        <f>IFERROR(__xludf.DUMMYFUNCTION("""COMPUTED_VALUE"""),2.024070478E9)</f>
        <v>2024070478</v>
      </c>
      <c r="D66" s="28" t="str">
        <f>IFERROR(__xludf.DUMMYFUNCTION("""COMPUTED_VALUE"""),"TATAG HENY SUBAGYO")</f>
        <v>TATAG HENY SUBAGYO</v>
      </c>
      <c r="E66" s="28" t="str">
        <f>IFERROR(__xludf.DUMMYFUNCTION("""COMPUTED_VALUE"""),"ANI FATEMAHWATI")</f>
        <v>ANI FATEMAHWATI</v>
      </c>
      <c r="F66" s="28" t="str">
        <f>IFERROR(__xludf.DUMMYFUNCTION("""COMPUTED_VALUE"""),"BLANGIT KARANGLANGIT RT 001 RW 002 LAMONGAN LAMONGAN")</f>
        <v>BLANGIT KARANGLANGIT RT 001 RW 002 LAMONGAN LAMONGAN</v>
      </c>
      <c r="G66" s="28" t="str">
        <f>IFERROR(__xludf.DUMMYFUNCTION("""COMPUTED_VALUE"""),"MTS-9 E")</f>
        <v>MTS-9 E</v>
      </c>
      <c r="H66" s="28" t="str">
        <f>IFERROR(__xludf.DUMMYFUNCTION("""COMPUTED_VALUE"""),"A")</f>
        <v>A</v>
      </c>
      <c r="I66" s="28" t="str">
        <f>IFERROR(__xludf.DUMMYFUNCTION("""COMPUTED_VALUE"""),"A-8")</f>
        <v>A-8</v>
      </c>
      <c r="J66" s="28">
        <f>IFERROR(__xludf.DUMMYFUNCTION("""COMPUTED_VALUE"""),3.0)</f>
        <v>3</v>
      </c>
      <c r="K66" s="28" t="str">
        <f>IFERROR(__xludf.DUMMYFUNCTION("""COMPUTED_VALUE"""),"3 ULA A PUTRA")</f>
        <v>3 ULA A PUTRA</v>
      </c>
      <c r="L66" s="29" t="str">
        <f>IFERROR(__xludf.DUMMYFUNCTION("""COMPUTED_VALUE"""),"6282337249449")</f>
        <v>6282337249449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2">
        <f>IFERROR(__xludf.DUMMYFUNCTION("""COMPUTED_VALUE"""),0.0)</f>
        <v>0</v>
      </c>
      <c r="BD66" s="22">
        <f>IFERROR(__xludf.DUMMYFUNCTION("""COMPUTED_VALUE"""),0.0)</f>
        <v>0</v>
      </c>
      <c r="BE66" s="22">
        <f>IFERROR(__xludf.DUMMYFUNCTION("""COMPUTED_VALUE"""),0.0)</f>
        <v>0</v>
      </c>
      <c r="BF66" s="22">
        <f>IFERROR(__xludf.DUMMYFUNCTION("""COMPUTED_VALUE"""),0.0)</f>
        <v>0</v>
      </c>
    </row>
    <row r="67">
      <c r="A67" s="27">
        <f>IFERROR(__xludf.DUMMYFUNCTION("""COMPUTED_VALUE"""),66.0)</f>
        <v>66</v>
      </c>
      <c r="B67" s="28" t="str">
        <f>IFERROR(__xludf.DUMMYFUNCTION("""COMPUTED_VALUE"""),"RAUFA IKHSANUL ALIM")</f>
        <v>RAUFA IKHSANUL ALIM</v>
      </c>
      <c r="C67" s="28">
        <f>IFERROR(__xludf.DUMMYFUNCTION("""COMPUTED_VALUE"""),2.024070587E9)</f>
        <v>2024070587</v>
      </c>
      <c r="D67" s="28" t="str">
        <f>IFERROR(__xludf.DUMMYFUNCTION("""COMPUTED_VALUE"""),"RIFA`I")</f>
        <v>RIFA`I</v>
      </c>
      <c r="E67" s="28" t="str">
        <f>IFERROR(__xludf.DUMMYFUNCTION("""COMPUTED_VALUE"""),"VIRGARIA SRI PURNAMAWATIK")</f>
        <v>VIRGARIA SRI PURNAMAWATIK</v>
      </c>
      <c r="F67" s="28" t="str">
        <f>IFERROR(__xludf.DUMMYFUNCTION("""COMPUTED_VALUE"""),"BANJARAN TURI RT 005 RW 002 MADURAN LAMONGAN")</f>
        <v>BANJARAN TURI RT 005 RW 002 MADURAN LAMONGAN</v>
      </c>
      <c r="G67" s="28" t="str">
        <f>IFERROR(__xludf.DUMMYFUNCTION("""COMPUTED_VALUE"""),"MTS-9 A")</f>
        <v>MTS-9 A</v>
      </c>
      <c r="H67" s="28" t="str">
        <f>IFERROR(__xludf.DUMMYFUNCTION("""COMPUTED_VALUE"""),"A")</f>
        <v>A</v>
      </c>
      <c r="I67" s="28" t="str">
        <f>IFERROR(__xludf.DUMMYFUNCTION("""COMPUTED_VALUE"""),"A-7")</f>
        <v>A-7</v>
      </c>
      <c r="J67" s="28">
        <f>IFERROR(__xludf.DUMMYFUNCTION("""COMPUTED_VALUE"""),3.0)</f>
        <v>3</v>
      </c>
      <c r="K67" s="28" t="str">
        <f>IFERROR(__xludf.DUMMYFUNCTION("""COMPUTED_VALUE"""),"3 ULA B PUTRA")</f>
        <v>3 ULA B PUTRA</v>
      </c>
      <c r="L67" s="29" t="str">
        <f>IFERROR(__xludf.DUMMYFUNCTION("""COMPUTED_VALUE"""),"6285815312298")</f>
        <v>6285815312298</v>
      </c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2">
        <f>IFERROR(__xludf.DUMMYFUNCTION("""COMPUTED_VALUE"""),0.0)</f>
        <v>0</v>
      </c>
      <c r="BD67" s="22">
        <f>IFERROR(__xludf.DUMMYFUNCTION("""COMPUTED_VALUE"""),0.0)</f>
        <v>0</v>
      </c>
      <c r="BE67" s="22">
        <f>IFERROR(__xludf.DUMMYFUNCTION("""COMPUTED_VALUE"""),0.0)</f>
        <v>0</v>
      </c>
      <c r="BF67" s="22">
        <f>IFERROR(__xludf.DUMMYFUNCTION("""COMPUTED_VALUE"""),0.0)</f>
        <v>0</v>
      </c>
    </row>
    <row r="68">
      <c r="A68" s="27">
        <f>IFERROR(__xludf.DUMMYFUNCTION("""COMPUTED_VALUE"""),67.0)</f>
        <v>67</v>
      </c>
      <c r="B68" s="28" t="str">
        <f>IFERROR(__xludf.DUMMYFUNCTION("""COMPUTED_VALUE"""),"RIZKY ADITYA")</f>
        <v>RIZKY ADITYA</v>
      </c>
      <c r="C68" s="28">
        <f>IFERROR(__xludf.DUMMYFUNCTION("""COMPUTED_VALUE"""),2.024070592E9)</f>
        <v>2024070592</v>
      </c>
      <c r="D68" s="28" t="str">
        <f>IFERROR(__xludf.DUMMYFUNCTION("""COMPUTED_VALUE"""),"SUDIRMAN")</f>
        <v>SUDIRMAN</v>
      </c>
      <c r="E68" s="28" t="str">
        <f>IFERROR(__xludf.DUMMYFUNCTION("""COMPUTED_VALUE"""),"ANISA SARI")</f>
        <v>ANISA SARI</v>
      </c>
      <c r="F68" s="28" t="str">
        <f>IFERROR(__xludf.DUMMYFUNCTION("""COMPUTED_VALUE"""),"PARANGA KAPITA RT - RW - BANGKALA JENEPONTO")</f>
        <v>PARANGA KAPITA RT - RW - BANGKALA JENEPONTO</v>
      </c>
      <c r="G68" s="28" t="str">
        <f>IFERROR(__xludf.DUMMYFUNCTION("""COMPUTED_VALUE"""),"MTS-9 F")</f>
        <v>MTS-9 F</v>
      </c>
      <c r="H68" s="28" t="str">
        <f>IFERROR(__xludf.DUMMYFUNCTION("""COMPUTED_VALUE"""),"A")</f>
        <v>A</v>
      </c>
      <c r="I68" s="28" t="str">
        <f>IFERROR(__xludf.DUMMYFUNCTION("""COMPUTED_VALUE"""),"A-7")</f>
        <v>A-7</v>
      </c>
      <c r="J68" s="28">
        <f>IFERROR(__xludf.DUMMYFUNCTION("""COMPUTED_VALUE"""),3.0)</f>
        <v>3</v>
      </c>
      <c r="K68" s="28" t="str">
        <f>IFERROR(__xludf.DUMMYFUNCTION("""COMPUTED_VALUE"""),"3 ULA B PUTRA")</f>
        <v>3 ULA B PUTRA</v>
      </c>
      <c r="L68" s="29" t="str">
        <f>IFERROR(__xludf.DUMMYFUNCTION("""COMPUTED_VALUE"""),"6282255832815")</f>
        <v>6282255832815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2">
        <f>IFERROR(__xludf.DUMMYFUNCTION("""COMPUTED_VALUE"""),450000.0)</f>
        <v>450000</v>
      </c>
      <c r="AM68" s="22">
        <f>IFERROR(__xludf.DUMMYFUNCTION("""COMPUTED_VALUE"""),450000.0)</f>
        <v>450000</v>
      </c>
      <c r="AN68" s="22">
        <f>IFERROR(__xludf.DUMMYFUNCTION("""COMPUTED_VALUE"""),450000.0)</f>
        <v>450000</v>
      </c>
      <c r="AO68" s="28"/>
      <c r="AP68" s="22">
        <f>IFERROR(__xludf.DUMMYFUNCTION("""COMPUTED_VALUE"""),500000.0)</f>
        <v>500000</v>
      </c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2">
        <f>IFERROR(__xludf.DUMMYFUNCTION("""COMPUTED_VALUE"""),1350000.0)</f>
        <v>1350000</v>
      </c>
      <c r="BD68" s="22">
        <f>IFERROR(__xludf.DUMMYFUNCTION("""COMPUTED_VALUE"""),500000.0)</f>
        <v>500000</v>
      </c>
      <c r="BE68" s="22">
        <f>IFERROR(__xludf.DUMMYFUNCTION("""COMPUTED_VALUE"""),0.0)</f>
        <v>0</v>
      </c>
      <c r="BF68" s="22">
        <f>IFERROR(__xludf.DUMMYFUNCTION("""COMPUTED_VALUE"""),1850000.0)</f>
        <v>1850000</v>
      </c>
    </row>
    <row r="69">
      <c r="A69" s="27">
        <f>IFERROR(__xludf.DUMMYFUNCTION("""COMPUTED_VALUE"""),68.0)</f>
        <v>68</v>
      </c>
      <c r="B69" s="28" t="str">
        <f>IFERROR(__xludf.DUMMYFUNCTION("""COMPUTED_VALUE"""),"RIZKY YUSUF MAULANA")</f>
        <v>RIZKY YUSUF MAULANA</v>
      </c>
      <c r="C69" s="28">
        <f>IFERROR(__xludf.DUMMYFUNCTION("""COMPUTED_VALUE"""),2.024070453E9)</f>
        <v>2024070453</v>
      </c>
      <c r="D69" s="28" t="str">
        <f>IFERROR(__xludf.DUMMYFUNCTION("""COMPUTED_VALUE"""),"M. CATUR PRAWOTO")</f>
        <v>M. CATUR PRAWOTO</v>
      </c>
      <c r="E69" s="28" t="str">
        <f>IFERROR(__xludf.DUMMYFUNCTION("""COMPUTED_VALUE"""),"SRI KUSTINIAH")</f>
        <v>SRI KUSTINIAH</v>
      </c>
      <c r="F69" s="28" t="str">
        <f>IFERROR(__xludf.DUMMYFUNCTION("""COMPUTED_VALUE"""),"TEJOASRI RT 003 RW 005 LAREN LAMONGAN")</f>
        <v>TEJOASRI RT 003 RW 005 LAREN LAMONGAN</v>
      </c>
      <c r="G69" s="28" t="str">
        <f>IFERROR(__xludf.DUMMYFUNCTION("""COMPUTED_VALUE"""),"MTS-9 E")</f>
        <v>MTS-9 E</v>
      </c>
      <c r="H69" s="28" t="str">
        <f>IFERROR(__xludf.DUMMYFUNCTION("""COMPUTED_VALUE"""),"A")</f>
        <v>A</v>
      </c>
      <c r="I69" s="28" t="str">
        <f>IFERROR(__xludf.DUMMYFUNCTION("""COMPUTED_VALUE"""),"A-7")</f>
        <v>A-7</v>
      </c>
      <c r="J69" s="28">
        <f>IFERROR(__xludf.DUMMYFUNCTION("""COMPUTED_VALUE"""),3.0)</f>
        <v>3</v>
      </c>
      <c r="K69" s="28" t="str">
        <f>IFERROR(__xludf.DUMMYFUNCTION("""COMPUTED_VALUE"""),"3 ULA A PUTRA")</f>
        <v>3 ULA A PUTRA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2">
        <f>IFERROR(__xludf.DUMMYFUNCTION("""COMPUTED_VALUE"""),500000.0)</f>
        <v>500000</v>
      </c>
      <c r="AC69" s="28"/>
      <c r="AD69" s="28"/>
      <c r="AE69" s="28"/>
      <c r="AF69" s="28"/>
      <c r="AG69" s="28"/>
      <c r="AH69" s="22">
        <f>IFERROR(__xludf.DUMMYFUNCTION("""COMPUTED_VALUE"""),450000.0)</f>
        <v>450000</v>
      </c>
      <c r="AI69" s="22">
        <f>IFERROR(__xludf.DUMMYFUNCTION("""COMPUTED_VALUE"""),450000.0)</f>
        <v>450000</v>
      </c>
      <c r="AJ69" s="22">
        <f>IFERROR(__xludf.DUMMYFUNCTION("""COMPUTED_VALUE"""),450000.0)</f>
        <v>450000</v>
      </c>
      <c r="AK69" s="22">
        <f>IFERROR(__xludf.DUMMYFUNCTION("""COMPUTED_VALUE"""),450000.0)</f>
        <v>450000</v>
      </c>
      <c r="AL69" s="22">
        <f>IFERROR(__xludf.DUMMYFUNCTION("""COMPUTED_VALUE"""),450000.0)</f>
        <v>450000</v>
      </c>
      <c r="AM69" s="22">
        <f>IFERROR(__xludf.DUMMYFUNCTION("""COMPUTED_VALUE"""),450000.0)</f>
        <v>450000</v>
      </c>
      <c r="AN69" s="22">
        <f>IFERROR(__xludf.DUMMYFUNCTION("""COMPUTED_VALUE"""),450000.0)</f>
        <v>450000</v>
      </c>
      <c r="AO69" s="28"/>
      <c r="AP69" s="22">
        <f>IFERROR(__xludf.DUMMYFUNCTION("""COMPUTED_VALUE"""),500000.0)</f>
        <v>500000</v>
      </c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2">
        <f>IFERROR(__xludf.DUMMYFUNCTION("""COMPUTED_VALUE"""),3150000.0)</f>
        <v>3150000</v>
      </c>
      <c r="BD69" s="22">
        <f>IFERROR(__xludf.DUMMYFUNCTION("""COMPUTED_VALUE"""),1000000.0)</f>
        <v>1000000</v>
      </c>
      <c r="BE69" s="22">
        <f>IFERROR(__xludf.DUMMYFUNCTION("""COMPUTED_VALUE"""),0.0)</f>
        <v>0</v>
      </c>
      <c r="BF69" s="22">
        <f>IFERROR(__xludf.DUMMYFUNCTION("""COMPUTED_VALUE"""),4150000.0)</f>
        <v>4150000</v>
      </c>
    </row>
    <row r="70">
      <c r="A70" s="27">
        <f>IFERROR(__xludf.DUMMYFUNCTION("""COMPUTED_VALUE"""),69.0)</f>
        <v>69</v>
      </c>
      <c r="B70" s="28" t="str">
        <f>IFERROR(__xludf.DUMMYFUNCTION("""COMPUTED_VALUE"""),"SAHRUL DICKY ARDIANSYAH")</f>
        <v>SAHRUL DICKY ARDIANSYAH</v>
      </c>
      <c r="C70" s="28">
        <f>IFERROR(__xludf.DUMMYFUNCTION("""COMPUTED_VALUE"""),2.024070616E9)</f>
        <v>2024070616</v>
      </c>
      <c r="D70" s="28" t="str">
        <f>IFERROR(__xludf.DUMMYFUNCTION("""COMPUTED_VALUE"""),"NUR SALIM")</f>
        <v>NUR SALIM</v>
      </c>
      <c r="E70" s="28" t="str">
        <f>IFERROR(__xludf.DUMMYFUNCTION("""COMPUTED_VALUE"""),"MASRIFAH")</f>
        <v>MASRIFAH</v>
      </c>
      <c r="F70" s="28" t="str">
        <f>IFERROR(__xludf.DUMMYFUNCTION("""COMPUTED_VALUE"""),"GLUMO JELAKCATUR RT 002 RW 005 KALITENGAH LAMONGAN")</f>
        <v>GLUMO JELAKCATUR RT 002 RW 005 KALITENGAH LAMONGAN</v>
      </c>
      <c r="G70" s="28" t="str">
        <f>IFERROR(__xludf.DUMMYFUNCTION("""COMPUTED_VALUE"""),"MTS-9 E")</f>
        <v>MTS-9 E</v>
      </c>
      <c r="H70" s="28" t="str">
        <f>IFERROR(__xludf.DUMMYFUNCTION("""COMPUTED_VALUE"""),"A")</f>
        <v>A</v>
      </c>
      <c r="I70" s="28" t="str">
        <f>IFERROR(__xludf.DUMMYFUNCTION("""COMPUTED_VALUE"""),"A-7")</f>
        <v>A-7</v>
      </c>
      <c r="J70" s="28">
        <f>IFERROR(__xludf.DUMMYFUNCTION("""COMPUTED_VALUE"""),3.0)</f>
        <v>3</v>
      </c>
      <c r="K70" s="28" t="str">
        <f>IFERROR(__xludf.DUMMYFUNCTION("""COMPUTED_VALUE"""),"3 ULA B PUTRA")</f>
        <v>3 ULA B PUTRA</v>
      </c>
      <c r="L70" s="29" t="str">
        <f>IFERROR(__xludf.DUMMYFUNCTION("""COMPUTED_VALUE"""),"6285645276494")</f>
        <v>6285645276494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2">
        <f>IFERROR(__xludf.DUMMYFUNCTION("""COMPUTED_VALUE"""),500000.0)</f>
        <v>500000</v>
      </c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2">
        <f>IFERROR(__xludf.DUMMYFUNCTION("""COMPUTED_VALUE"""),450000.0)</f>
        <v>450000</v>
      </c>
      <c r="AN70" s="22">
        <f>IFERROR(__xludf.DUMMYFUNCTION("""COMPUTED_VALUE"""),450000.0)</f>
        <v>450000</v>
      </c>
      <c r="AO70" s="28"/>
      <c r="AP70" s="22">
        <f>IFERROR(__xludf.DUMMYFUNCTION("""COMPUTED_VALUE"""),500000.0)</f>
        <v>500000</v>
      </c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2">
        <f>IFERROR(__xludf.DUMMYFUNCTION("""COMPUTED_VALUE"""),900000.0)</f>
        <v>900000</v>
      </c>
      <c r="BD70" s="22">
        <f>IFERROR(__xludf.DUMMYFUNCTION("""COMPUTED_VALUE"""),1000000.0)</f>
        <v>1000000</v>
      </c>
      <c r="BE70" s="22">
        <f>IFERROR(__xludf.DUMMYFUNCTION("""COMPUTED_VALUE"""),0.0)</f>
        <v>0</v>
      </c>
      <c r="BF70" s="22">
        <f>IFERROR(__xludf.DUMMYFUNCTION("""COMPUTED_VALUE"""),1900000.0)</f>
        <v>1900000</v>
      </c>
    </row>
    <row r="71">
      <c r="A71" s="27">
        <f>IFERROR(__xludf.DUMMYFUNCTION("""COMPUTED_VALUE"""),70.0)</f>
        <v>70</v>
      </c>
      <c r="B71" s="28" t="str">
        <f>IFERROR(__xludf.DUMMYFUNCTION("""COMPUTED_VALUE"""),"ZIDNY ILMAN NAFI`")</f>
        <v>ZIDNY ILMAN NAFI`</v>
      </c>
      <c r="C71" s="28">
        <f>IFERROR(__xludf.DUMMYFUNCTION("""COMPUTED_VALUE"""),2.024070741E9)</f>
        <v>2024070741</v>
      </c>
      <c r="D71" s="28" t="str">
        <f>IFERROR(__xludf.DUMMYFUNCTION("""COMPUTED_VALUE"""),"ABD. ROUF")</f>
        <v>ABD. ROUF</v>
      </c>
      <c r="E71" s="28" t="str">
        <f>IFERROR(__xludf.DUMMYFUNCTION("""COMPUTED_VALUE"""),"CHOLIFATUS SIYADAH")</f>
        <v>CHOLIFATUS SIYADAH</v>
      </c>
      <c r="F71" s="28" t="str">
        <f>IFERROR(__xludf.DUMMYFUNCTION("""COMPUTED_VALUE"""),"TANGGULREJO UTARA RT 005 RW 001 MANYAR GRESIK")</f>
        <v>TANGGULREJO UTARA RT 005 RW 001 MANYAR GRESIK</v>
      </c>
      <c r="G71" s="28" t="str">
        <f>IFERROR(__xludf.DUMMYFUNCTION("""COMPUTED_VALUE"""),"SMP-IX A")</f>
        <v>SMP-IX A</v>
      </c>
      <c r="H71" s="28" t="str">
        <f>IFERROR(__xludf.DUMMYFUNCTION("""COMPUTED_VALUE"""),"A")</f>
        <v>A</v>
      </c>
      <c r="I71" s="28" t="str">
        <f>IFERROR(__xludf.DUMMYFUNCTION("""COMPUTED_VALUE"""),"A-8")</f>
        <v>A-8</v>
      </c>
      <c r="J71" s="28">
        <f>IFERROR(__xludf.DUMMYFUNCTION("""COMPUTED_VALUE"""),3.0)</f>
        <v>3</v>
      </c>
      <c r="K71" s="28" t="str">
        <f>IFERROR(__xludf.DUMMYFUNCTION("""COMPUTED_VALUE"""),"3 ULA B PUTRA")</f>
        <v>3 ULA B PUTRA</v>
      </c>
      <c r="L71" s="29" t="str">
        <f>IFERROR(__xludf.DUMMYFUNCTION("""COMPUTED_VALUE"""),"6281230961334")</f>
        <v>6281230961334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2">
        <f>IFERROR(__xludf.DUMMYFUNCTION("""COMPUTED_VALUE"""),0.0)</f>
        <v>0</v>
      </c>
      <c r="BD71" s="22">
        <f>IFERROR(__xludf.DUMMYFUNCTION("""COMPUTED_VALUE"""),0.0)</f>
        <v>0</v>
      </c>
      <c r="BE71" s="22">
        <f>IFERROR(__xludf.DUMMYFUNCTION("""COMPUTED_VALUE"""),0.0)</f>
        <v>0</v>
      </c>
      <c r="BF71" s="22">
        <f>IFERROR(__xludf.DUMMYFUNCTION("""COMPUTED_VALUE"""),0.0)</f>
        <v>0</v>
      </c>
    </row>
    <row r="72">
      <c r="A72" s="27">
        <f>IFERROR(__xludf.DUMMYFUNCTION("""COMPUTED_VALUE"""),71.0)</f>
        <v>71</v>
      </c>
      <c r="B72" s="28" t="str">
        <f>IFERROR(__xludf.DUMMYFUNCTION("""COMPUTED_VALUE"""),"AHMAD AGUS JAZULI IRFAN")</f>
        <v>AHMAD AGUS JAZULI IRFAN</v>
      </c>
      <c r="C72" s="28">
        <f>IFERROR(__xludf.DUMMYFUNCTION("""COMPUTED_VALUE"""),2.024070719E9)</f>
        <v>2024070719</v>
      </c>
      <c r="D72" s="28" t="str">
        <f>IFERROR(__xludf.DUMMYFUNCTION("""COMPUTED_VALUE"""),"IRFANDI")</f>
        <v>IRFANDI</v>
      </c>
      <c r="E72" s="28" t="str">
        <f>IFERROR(__xludf.DUMMYFUNCTION("""COMPUTED_VALUE"""),"IMROATIN JALILAH")</f>
        <v>IMROATIN JALILAH</v>
      </c>
      <c r="F72" s="28" t="str">
        <f>IFERROR(__xludf.DUMMYFUNCTION("""COMPUTED_VALUE"""),"BOJOASRI RT  RW  KALITENGAH LAMONGAN")</f>
        <v>BOJOASRI RT  RW  KALITENGAH LAMONGAN</v>
      </c>
      <c r="G72" s="28" t="str">
        <f>IFERROR(__xludf.DUMMYFUNCTION("""COMPUTED_VALUE"""),"SMK-XII TKJ 1")</f>
        <v>SMK-XII TKJ 1</v>
      </c>
      <c r="H72" s="28" t="str">
        <f>IFERROR(__xludf.DUMMYFUNCTION("""COMPUTED_VALUE"""),"A")</f>
        <v>A</v>
      </c>
      <c r="I72" s="28" t="str">
        <f>IFERROR(__xludf.DUMMYFUNCTION("""COMPUTED_VALUE"""),"A-10")</f>
        <v>A-10</v>
      </c>
      <c r="J72" s="28">
        <f>IFERROR(__xludf.DUMMYFUNCTION("""COMPUTED_VALUE"""),3.0)</f>
        <v>3</v>
      </c>
      <c r="K72" s="28" t="str">
        <f>IFERROR(__xludf.DUMMYFUNCTION("""COMPUTED_VALUE"""),"3 WUSTHO PUTRA")</f>
        <v>3 WUSTHO PUTRA</v>
      </c>
      <c r="L72" s="29" t="str">
        <f>IFERROR(__xludf.DUMMYFUNCTION("""COMPUTED_VALUE"""),"6285648607075")</f>
        <v>6285648607075</v>
      </c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2">
        <f>IFERROR(__xludf.DUMMYFUNCTION("""COMPUTED_VALUE"""),450000.0)</f>
        <v>450000</v>
      </c>
      <c r="AN72" s="22">
        <f>IFERROR(__xludf.DUMMYFUNCTION("""COMPUTED_VALUE"""),450000.0)</f>
        <v>450000</v>
      </c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2">
        <f>IFERROR(__xludf.DUMMYFUNCTION("""COMPUTED_VALUE"""),900000.0)</f>
        <v>900000</v>
      </c>
      <c r="BD72" s="22">
        <f>IFERROR(__xludf.DUMMYFUNCTION("""COMPUTED_VALUE"""),0.0)</f>
        <v>0</v>
      </c>
      <c r="BE72" s="22">
        <f>IFERROR(__xludf.DUMMYFUNCTION("""COMPUTED_VALUE"""),0.0)</f>
        <v>0</v>
      </c>
      <c r="BF72" s="22">
        <f>IFERROR(__xludf.DUMMYFUNCTION("""COMPUTED_VALUE"""),900000.0)</f>
        <v>900000</v>
      </c>
    </row>
    <row r="73">
      <c r="A73" s="27">
        <f>IFERROR(__xludf.DUMMYFUNCTION("""COMPUTED_VALUE"""),72.0)</f>
        <v>72</v>
      </c>
      <c r="B73" s="28" t="str">
        <f>IFERROR(__xludf.DUMMYFUNCTION("""COMPUTED_VALUE"""),"AHMAD GUTI JAELANI")</f>
        <v>AHMAD GUTI JAELANI</v>
      </c>
      <c r="C73" s="28">
        <f>IFERROR(__xludf.DUMMYFUNCTION("""COMPUTED_VALUE"""),2.02407006E9)</f>
        <v>2024070060</v>
      </c>
      <c r="D73" s="28" t="str">
        <f>IFERROR(__xludf.DUMMYFUNCTION("""COMPUTED_VALUE"""),"AGUNG JAZULI")</f>
        <v>AGUNG JAZULI</v>
      </c>
      <c r="E73" s="28" t="str">
        <f>IFERROR(__xludf.DUMMYFUNCTION("""COMPUTED_VALUE"""),"SITI MA`RUFAH")</f>
        <v>SITI MA`RUFAH</v>
      </c>
      <c r="F73" s="28" t="str">
        <f>IFERROR(__xludf.DUMMYFUNCTION("""COMPUTED_VALUE"""),"MADURAN RT 5 RW 2 MADURAN LAMONGAN")</f>
        <v>MADURAN RT 5 RW 2 MADURAN LAMONGAN</v>
      </c>
      <c r="G73" s="28" t="str">
        <f>IFERROR(__xludf.DUMMYFUNCTION("""COMPUTED_VALUE"""),"MA-XII.3")</f>
        <v>MA-XII.3</v>
      </c>
      <c r="H73" s="28" t="str">
        <f>IFERROR(__xludf.DUMMYFUNCTION("""COMPUTED_VALUE"""),"A")</f>
        <v>A</v>
      </c>
      <c r="I73" s="28" t="str">
        <f>IFERROR(__xludf.DUMMYFUNCTION("""COMPUTED_VALUE"""),"A-10")</f>
        <v>A-10</v>
      </c>
      <c r="J73" s="28">
        <f>IFERROR(__xludf.DUMMYFUNCTION("""COMPUTED_VALUE"""),3.0)</f>
        <v>3</v>
      </c>
      <c r="K73" s="28" t="str">
        <f>IFERROR(__xludf.DUMMYFUNCTION("""COMPUTED_VALUE"""),"3 WUSTHO PUTRA")</f>
        <v>3 WUSTHO PUTRA</v>
      </c>
      <c r="L73" s="29" t="str">
        <f>IFERROR(__xludf.DUMMYFUNCTION("""COMPUTED_VALUE"""),"6285646030802")</f>
        <v>6285646030802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2">
        <f>IFERROR(__xludf.DUMMYFUNCTION("""COMPUTED_VALUE"""),450000.0)</f>
        <v>450000</v>
      </c>
      <c r="Y73" s="22">
        <f>IFERROR(__xludf.DUMMYFUNCTION("""COMPUTED_VALUE"""),450000.0)</f>
        <v>450000</v>
      </c>
      <c r="Z73" s="22">
        <f>IFERROR(__xludf.DUMMYFUNCTION("""COMPUTED_VALUE"""),450000.0)</f>
        <v>450000</v>
      </c>
      <c r="AA73" s="28"/>
      <c r="AB73" s="28"/>
      <c r="AC73" s="22">
        <f>IFERROR(__xludf.DUMMYFUNCTION("""COMPUTED_VALUE"""),450000.0)</f>
        <v>450000</v>
      </c>
      <c r="AD73" s="22">
        <f>IFERROR(__xludf.DUMMYFUNCTION("""COMPUTED_VALUE"""),450000.0)</f>
        <v>450000</v>
      </c>
      <c r="AE73" s="22">
        <f>IFERROR(__xludf.DUMMYFUNCTION("""COMPUTED_VALUE"""),450000.0)</f>
        <v>450000</v>
      </c>
      <c r="AF73" s="22">
        <f>IFERROR(__xludf.DUMMYFUNCTION("""COMPUTED_VALUE"""),450000.0)</f>
        <v>450000</v>
      </c>
      <c r="AG73" s="22">
        <f>IFERROR(__xludf.DUMMYFUNCTION("""COMPUTED_VALUE"""),450000.0)</f>
        <v>450000</v>
      </c>
      <c r="AH73" s="22">
        <f>IFERROR(__xludf.DUMMYFUNCTION("""COMPUTED_VALUE"""),450000.0)</f>
        <v>450000</v>
      </c>
      <c r="AI73" s="22">
        <f>IFERROR(__xludf.DUMMYFUNCTION("""COMPUTED_VALUE"""),450000.0)</f>
        <v>450000</v>
      </c>
      <c r="AJ73" s="22">
        <f>IFERROR(__xludf.DUMMYFUNCTION("""COMPUTED_VALUE"""),450000.0)</f>
        <v>450000</v>
      </c>
      <c r="AK73" s="22">
        <f>IFERROR(__xludf.DUMMYFUNCTION("""COMPUTED_VALUE"""),450000.0)</f>
        <v>450000</v>
      </c>
      <c r="AL73" s="22">
        <f>IFERROR(__xludf.DUMMYFUNCTION("""COMPUTED_VALUE"""),450000.0)</f>
        <v>450000</v>
      </c>
      <c r="AM73" s="22">
        <f>IFERROR(__xludf.DUMMYFUNCTION("""COMPUTED_VALUE"""),450000.0)</f>
        <v>450000</v>
      </c>
      <c r="AN73" s="22">
        <f>IFERROR(__xludf.DUMMYFUNCTION("""COMPUTED_VALUE"""),450000.0)</f>
        <v>450000</v>
      </c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2">
        <f>IFERROR(__xludf.DUMMYFUNCTION("""COMPUTED_VALUE"""),6750000.0)</f>
        <v>6750000</v>
      </c>
      <c r="BD73" s="22">
        <f>IFERROR(__xludf.DUMMYFUNCTION("""COMPUTED_VALUE"""),0.0)</f>
        <v>0</v>
      </c>
      <c r="BE73" s="22">
        <f>IFERROR(__xludf.DUMMYFUNCTION("""COMPUTED_VALUE"""),0.0)</f>
        <v>0</v>
      </c>
      <c r="BF73" s="22">
        <f>IFERROR(__xludf.DUMMYFUNCTION("""COMPUTED_VALUE"""),6750000.0)</f>
        <v>6750000</v>
      </c>
    </row>
    <row r="74">
      <c r="A74" s="27">
        <f>IFERROR(__xludf.DUMMYFUNCTION("""COMPUTED_VALUE"""),73.0)</f>
        <v>73</v>
      </c>
      <c r="B74" s="28" t="str">
        <f>IFERROR(__xludf.DUMMYFUNCTION("""COMPUTED_VALUE"""),"AHMAD MANSYAUL HIKAMI")</f>
        <v>AHMAD MANSYAUL HIKAMI</v>
      </c>
      <c r="C74" s="28">
        <f>IFERROR(__xludf.DUMMYFUNCTION("""COMPUTED_VALUE"""),2.024070402E9)</f>
        <v>2024070402</v>
      </c>
      <c r="D74" s="28" t="str">
        <f>IFERROR(__xludf.DUMMYFUNCTION("""COMPUTED_VALUE"""),"LUQMAN HAKIM")</f>
        <v>LUQMAN HAKIM</v>
      </c>
      <c r="E74" s="28" t="str">
        <f>IFERROR(__xludf.DUMMYFUNCTION("""COMPUTED_VALUE"""),"KHOIRIYAH")</f>
        <v>KHOIRIYAH</v>
      </c>
      <c r="F74" s="28" t="str">
        <f>IFERROR(__xludf.DUMMYFUNCTION("""COMPUTED_VALUE"""),"MAYONG NGABLAK RT 1 RW 2 KARANGBINANGUN LAMONGAN")</f>
        <v>MAYONG NGABLAK RT 1 RW 2 KARANGBINANGUN LAMONGAN</v>
      </c>
      <c r="G74" s="28" t="str">
        <f>IFERROR(__xludf.DUMMYFUNCTION("""COMPUTED_VALUE"""),"MA-XII.9")</f>
        <v>MA-XII.9</v>
      </c>
      <c r="H74" s="28" t="str">
        <f>IFERROR(__xludf.DUMMYFUNCTION("""COMPUTED_VALUE"""),"A")</f>
        <v>A</v>
      </c>
      <c r="I74" s="28" t="str">
        <f>IFERROR(__xludf.DUMMYFUNCTION("""COMPUTED_VALUE"""),"A-10")</f>
        <v>A-10</v>
      </c>
      <c r="J74" s="28">
        <f>IFERROR(__xludf.DUMMYFUNCTION("""COMPUTED_VALUE"""),3.0)</f>
        <v>3</v>
      </c>
      <c r="K74" s="28" t="str">
        <f>IFERROR(__xludf.DUMMYFUNCTION("""COMPUTED_VALUE"""),"3 WUSTHO PUTRA")</f>
        <v>3 WUSTHO PUTRA</v>
      </c>
      <c r="L74" s="29" t="str">
        <f>IFERROR(__xludf.DUMMYFUNCTION("""COMPUTED_VALUE"""),"6285852940999")</f>
        <v>6285852940999</v>
      </c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2">
        <f>IFERROR(__xludf.DUMMYFUNCTION("""COMPUTED_VALUE"""),0.0)</f>
        <v>0</v>
      </c>
      <c r="BD74" s="22">
        <f>IFERROR(__xludf.DUMMYFUNCTION("""COMPUTED_VALUE"""),0.0)</f>
        <v>0</v>
      </c>
      <c r="BE74" s="22">
        <f>IFERROR(__xludf.DUMMYFUNCTION("""COMPUTED_VALUE"""),0.0)</f>
        <v>0</v>
      </c>
      <c r="BF74" s="22">
        <f>IFERROR(__xludf.DUMMYFUNCTION("""COMPUTED_VALUE"""),0.0)</f>
        <v>0</v>
      </c>
    </row>
    <row r="75">
      <c r="A75" s="27">
        <f>IFERROR(__xludf.DUMMYFUNCTION("""COMPUTED_VALUE"""),74.0)</f>
        <v>74</v>
      </c>
      <c r="B75" s="28" t="str">
        <f>IFERROR(__xludf.DUMMYFUNCTION("""COMPUTED_VALUE"""),"AHMAD NUR FAJAR ROMADHONI")</f>
        <v>AHMAD NUR FAJAR ROMADHONI</v>
      </c>
      <c r="C75" s="28">
        <f>IFERROR(__xludf.DUMMYFUNCTION("""COMPUTED_VALUE"""),2.024070403E9)</f>
        <v>2024070403</v>
      </c>
      <c r="D75" s="28" t="str">
        <f>IFERROR(__xludf.DUMMYFUNCTION("""COMPUTED_VALUE"""),"SAMULI")</f>
        <v>SAMULI</v>
      </c>
      <c r="E75" s="28" t="str">
        <f>IFERROR(__xludf.DUMMYFUNCTION("""COMPUTED_VALUE"""),"SITI ULFAH")</f>
        <v>SITI ULFAH</v>
      </c>
      <c r="F75" s="28" t="str">
        <f>IFERROR(__xludf.DUMMYFUNCTION("""COMPUTED_VALUE"""),"GENDONG RT 002 RW 004 LAREN LAMONGAN")</f>
        <v>GENDONG RT 002 RW 004 LAREN LAMONGAN</v>
      </c>
      <c r="G75" s="28" t="str">
        <f>IFERROR(__xludf.DUMMYFUNCTION("""COMPUTED_VALUE"""),"MA-XII.13")</f>
        <v>MA-XII.13</v>
      </c>
      <c r="H75" s="28" t="str">
        <f>IFERROR(__xludf.DUMMYFUNCTION("""COMPUTED_VALUE"""),"A")</f>
        <v>A</v>
      </c>
      <c r="I75" s="28" t="str">
        <f>IFERROR(__xludf.DUMMYFUNCTION("""COMPUTED_VALUE"""),"A-2")</f>
        <v>A-2</v>
      </c>
      <c r="J75" s="28">
        <f>IFERROR(__xludf.DUMMYFUNCTION("""COMPUTED_VALUE"""),3.0)</f>
        <v>3</v>
      </c>
      <c r="K75" s="28" t="str">
        <f>IFERROR(__xludf.DUMMYFUNCTION("""COMPUTED_VALUE"""),"3 MAK PUTRA")</f>
        <v>3 MAK PUTRA</v>
      </c>
      <c r="L75" s="29" t="str">
        <f>IFERROR(__xludf.DUMMYFUNCTION("""COMPUTED_VALUE"""),"685736441139")</f>
        <v>685736441139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2">
        <f>IFERROR(__xludf.DUMMYFUNCTION("""COMPUTED_VALUE"""),0.0)</f>
        <v>0</v>
      </c>
      <c r="BD75" s="22">
        <f>IFERROR(__xludf.DUMMYFUNCTION("""COMPUTED_VALUE"""),0.0)</f>
        <v>0</v>
      </c>
      <c r="BE75" s="22">
        <f>IFERROR(__xludf.DUMMYFUNCTION("""COMPUTED_VALUE"""),0.0)</f>
        <v>0</v>
      </c>
      <c r="BF75" s="22">
        <f>IFERROR(__xludf.DUMMYFUNCTION("""COMPUTED_VALUE"""),0.0)</f>
        <v>0</v>
      </c>
    </row>
    <row r="76">
      <c r="A76" s="27">
        <f>IFERROR(__xludf.DUMMYFUNCTION("""COMPUTED_VALUE"""),75.0)</f>
        <v>75</v>
      </c>
      <c r="B76" s="28" t="str">
        <f>IFERROR(__xludf.DUMMYFUNCTION("""COMPUTED_VALUE"""),"AKHMAD FATIKHUL IN`AM")</f>
        <v>AKHMAD FATIKHUL IN`AM</v>
      </c>
      <c r="C76" s="28">
        <f>IFERROR(__xludf.DUMMYFUNCTION("""COMPUTED_VALUE"""),2.024070404E9)</f>
        <v>2024070404</v>
      </c>
      <c r="D76" s="28" t="str">
        <f>IFERROR(__xludf.DUMMYFUNCTION("""COMPUTED_VALUE"""),"ACH. SAEKAN")</f>
        <v>ACH. SAEKAN</v>
      </c>
      <c r="E76" s="28" t="str">
        <f>IFERROR(__xludf.DUMMYFUNCTION("""COMPUTED_VALUE"""),"NURUL MUTHOHAROH")</f>
        <v>NURUL MUTHOHAROH</v>
      </c>
      <c r="F76" s="28" t="str">
        <f>IFERROR(__xludf.DUMMYFUNCTION("""COMPUTED_VALUE"""),"LUMBER KALIPANG RT 001 RW 001 SUGIO LAMONGAN")</f>
        <v>LUMBER KALIPANG RT 001 RW 001 SUGIO LAMONGAN</v>
      </c>
      <c r="G76" s="28" t="str">
        <f>IFERROR(__xludf.DUMMYFUNCTION("""COMPUTED_VALUE"""),"MA-XII.13")</f>
        <v>MA-XII.13</v>
      </c>
      <c r="H76" s="28" t="str">
        <f>IFERROR(__xludf.DUMMYFUNCTION("""COMPUTED_VALUE"""),"A")</f>
        <v>A</v>
      </c>
      <c r="I76" s="28" t="str">
        <f>IFERROR(__xludf.DUMMYFUNCTION("""COMPUTED_VALUE"""),"A-2")</f>
        <v>A-2</v>
      </c>
      <c r="J76" s="28">
        <f>IFERROR(__xludf.DUMMYFUNCTION("""COMPUTED_VALUE"""),3.0)</f>
        <v>3</v>
      </c>
      <c r="K76" s="28" t="str">
        <f>IFERROR(__xludf.DUMMYFUNCTION("""COMPUTED_VALUE"""),"3 MAK PUTRA")</f>
        <v>3 MAK PUTRA</v>
      </c>
      <c r="L76" s="29" t="str">
        <f>IFERROR(__xludf.DUMMYFUNCTION("""COMPUTED_VALUE"""),"6285645455467")</f>
        <v>6285645455467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2">
        <f>IFERROR(__xludf.DUMMYFUNCTION("""COMPUTED_VALUE"""),0.0)</f>
        <v>0</v>
      </c>
      <c r="BD76" s="22">
        <f>IFERROR(__xludf.DUMMYFUNCTION("""COMPUTED_VALUE"""),0.0)</f>
        <v>0</v>
      </c>
      <c r="BE76" s="22">
        <f>IFERROR(__xludf.DUMMYFUNCTION("""COMPUTED_VALUE"""),0.0)</f>
        <v>0</v>
      </c>
      <c r="BF76" s="22">
        <f>IFERROR(__xludf.DUMMYFUNCTION("""COMPUTED_VALUE"""),0.0)</f>
        <v>0</v>
      </c>
    </row>
    <row r="77">
      <c r="A77" s="27">
        <f>IFERROR(__xludf.DUMMYFUNCTION("""COMPUTED_VALUE"""),76.0)</f>
        <v>76</v>
      </c>
      <c r="B77" s="28" t="str">
        <f>IFERROR(__xludf.DUMMYFUNCTION("""COMPUTED_VALUE"""),"AZKA YAFIS FIRMANSYAH")</f>
        <v>AZKA YAFIS FIRMANSYAH</v>
      </c>
      <c r="C77" s="28">
        <f>IFERROR(__xludf.DUMMYFUNCTION("""COMPUTED_VALUE"""),2.024070306E9)</f>
        <v>2024070306</v>
      </c>
      <c r="D77" s="28" t="str">
        <f>IFERROR(__xludf.DUMMYFUNCTION("""COMPUTED_VALUE"""),"AFAN ARIS")</f>
        <v>AFAN ARIS</v>
      </c>
      <c r="E77" s="28" t="str">
        <f>IFERROR(__xludf.DUMMYFUNCTION("""COMPUTED_VALUE"""),"ISWATI")</f>
        <v>ISWATI</v>
      </c>
      <c r="F77" s="28" t="str">
        <f>IFERROR(__xludf.DUMMYFUNCTION("""COMPUTED_VALUE"""),"WIDHE SENDANGHARJO RT 006 RW 001 BRONDONG LAMONGAN")</f>
        <v>WIDHE SENDANGHARJO RT 006 RW 001 BRONDONG LAMONGAN</v>
      </c>
      <c r="G77" s="28" t="str">
        <f>IFERROR(__xludf.DUMMYFUNCTION("""COMPUTED_VALUE"""),"MA-XII.10")</f>
        <v>MA-XII.10</v>
      </c>
      <c r="H77" s="28" t="str">
        <f>IFERROR(__xludf.DUMMYFUNCTION("""COMPUTED_VALUE"""),"A")</f>
        <v>A</v>
      </c>
      <c r="I77" s="28" t="str">
        <f>IFERROR(__xludf.DUMMYFUNCTION("""COMPUTED_VALUE"""),"A-10")</f>
        <v>A-10</v>
      </c>
      <c r="J77" s="28">
        <f>IFERROR(__xludf.DUMMYFUNCTION("""COMPUTED_VALUE"""),3.0)</f>
        <v>3</v>
      </c>
      <c r="K77" s="28" t="str">
        <f>IFERROR(__xludf.DUMMYFUNCTION("""COMPUTED_VALUE"""),"3 WUSTHO PUTRA")</f>
        <v>3 WUSTHO PUTRA</v>
      </c>
      <c r="L77" s="29" t="str">
        <f>IFERROR(__xludf.DUMMYFUNCTION("""COMPUTED_VALUE"""),"628585028102")</f>
        <v>628585028102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2">
        <f>IFERROR(__xludf.DUMMYFUNCTION("""COMPUTED_VALUE"""),0.0)</f>
        <v>0</v>
      </c>
      <c r="BD77" s="22">
        <f>IFERROR(__xludf.DUMMYFUNCTION("""COMPUTED_VALUE"""),0.0)</f>
        <v>0</v>
      </c>
      <c r="BE77" s="22">
        <f>IFERROR(__xludf.DUMMYFUNCTION("""COMPUTED_VALUE"""),0.0)</f>
        <v>0</v>
      </c>
      <c r="BF77" s="22">
        <f>IFERROR(__xludf.DUMMYFUNCTION("""COMPUTED_VALUE"""),0.0)</f>
        <v>0</v>
      </c>
    </row>
    <row r="78">
      <c r="A78" s="27">
        <f>IFERROR(__xludf.DUMMYFUNCTION("""COMPUTED_VALUE"""),77.0)</f>
        <v>77</v>
      </c>
      <c r="B78" s="28" t="str">
        <f>IFERROR(__xludf.DUMMYFUNCTION("""COMPUTED_VALUE"""),"IMAM ALI SAMUDRA ARIF")</f>
        <v>IMAM ALI SAMUDRA ARIF</v>
      </c>
      <c r="C78" s="28">
        <f>IFERROR(__xludf.DUMMYFUNCTION("""COMPUTED_VALUE"""),2.024070135E9)</f>
        <v>2024070135</v>
      </c>
      <c r="D78" s="28" t="str">
        <f>IFERROR(__xludf.DUMMYFUNCTION("""COMPUTED_VALUE"""),"SAIFUL ARIF")</f>
        <v>SAIFUL ARIF</v>
      </c>
      <c r="E78" s="28" t="str">
        <f>IFERROR(__xludf.DUMMYFUNCTION("""COMPUTED_VALUE"""),"AYSYYA ISLAMIAH")</f>
        <v>AYSYYA ISLAMIAH</v>
      </c>
      <c r="F78" s="28" t="str">
        <f>IFERROR(__xludf.DUMMYFUNCTION("""COMPUTED_VALUE"""),"KALITENGAH RT 1 RW 4 KALITENGAH LAMONGAN")</f>
        <v>KALITENGAH RT 1 RW 4 KALITENGAH LAMONGAN</v>
      </c>
      <c r="G78" s="28" t="str">
        <f>IFERROR(__xludf.DUMMYFUNCTION("""COMPUTED_VALUE"""),"MA-XII.7")</f>
        <v>MA-XII.7</v>
      </c>
      <c r="H78" s="28" t="str">
        <f>IFERROR(__xludf.DUMMYFUNCTION("""COMPUTED_VALUE"""),"A")</f>
        <v>A</v>
      </c>
      <c r="I78" s="28" t="str">
        <f>IFERROR(__xludf.DUMMYFUNCTION("""COMPUTED_VALUE"""),"A-10")</f>
        <v>A-10</v>
      </c>
      <c r="J78" s="28">
        <f>IFERROR(__xludf.DUMMYFUNCTION("""COMPUTED_VALUE"""),3.0)</f>
        <v>3</v>
      </c>
      <c r="K78" s="28" t="str">
        <f>IFERROR(__xludf.DUMMYFUNCTION("""COMPUTED_VALUE"""),"3 WUSTHO PUTRA")</f>
        <v>3 WUSTHO PUTRA</v>
      </c>
      <c r="L78" s="29" t="str">
        <f>IFERROR(__xludf.DUMMYFUNCTION("""COMPUTED_VALUE"""),"6285648494406")</f>
        <v>6285648494406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2">
        <f>IFERROR(__xludf.DUMMYFUNCTION("""COMPUTED_VALUE"""),0.0)</f>
        <v>0</v>
      </c>
      <c r="BD78" s="22">
        <f>IFERROR(__xludf.DUMMYFUNCTION("""COMPUTED_VALUE"""),0.0)</f>
        <v>0</v>
      </c>
      <c r="BE78" s="22">
        <f>IFERROR(__xludf.DUMMYFUNCTION("""COMPUTED_VALUE"""),0.0)</f>
        <v>0</v>
      </c>
      <c r="BF78" s="22">
        <f>IFERROR(__xludf.DUMMYFUNCTION("""COMPUTED_VALUE"""),0.0)</f>
        <v>0</v>
      </c>
    </row>
    <row r="79">
      <c r="A79" s="27">
        <f>IFERROR(__xludf.DUMMYFUNCTION("""COMPUTED_VALUE"""),78.0)</f>
        <v>78</v>
      </c>
      <c r="B79" s="28" t="str">
        <f>IFERROR(__xludf.DUMMYFUNCTION("""COMPUTED_VALUE"""),"IRSYAD KAHFI SOFYAN")</f>
        <v>IRSYAD KAHFI SOFYAN</v>
      </c>
      <c r="C79" s="28">
        <f>IFERROR(__xludf.DUMMYFUNCTION("""COMPUTED_VALUE"""),2.024070091E9)</f>
        <v>2024070091</v>
      </c>
      <c r="D79" s="28" t="str">
        <f>IFERROR(__xludf.DUMMYFUNCTION("""COMPUTED_VALUE"""),"AGUS SOFYAN ARIFIN")</f>
        <v>AGUS SOFYAN ARIFIN</v>
      </c>
      <c r="E79" s="28" t="str">
        <f>IFERROR(__xludf.DUMMYFUNCTION("""COMPUTED_VALUE"""),"FAIDATUN NISA'")</f>
        <v>FAIDATUN NISA'</v>
      </c>
      <c r="F79" s="28" t="str">
        <f>IFERROR(__xludf.DUMMYFUNCTION("""COMPUTED_VALUE"""),"KAUMAN REGENCY BLOK L NO. 6 RT 5 RW 9 MRANGGEN DEMAK")</f>
        <v>KAUMAN REGENCY BLOK L NO. 6 RT 5 RW 9 MRANGGEN DEMAK</v>
      </c>
      <c r="G79" s="28" t="str">
        <f>IFERROR(__xludf.DUMMYFUNCTION("""COMPUTED_VALUE"""),"MA-XII.4")</f>
        <v>MA-XII.4</v>
      </c>
      <c r="H79" s="28" t="str">
        <f>IFERROR(__xludf.DUMMYFUNCTION("""COMPUTED_VALUE"""),"A")</f>
        <v>A</v>
      </c>
      <c r="I79" s="28" t="str">
        <f>IFERROR(__xludf.DUMMYFUNCTION("""COMPUTED_VALUE"""),"A-10")</f>
        <v>A-10</v>
      </c>
      <c r="J79" s="28">
        <f>IFERROR(__xludf.DUMMYFUNCTION("""COMPUTED_VALUE"""),3.0)</f>
        <v>3</v>
      </c>
      <c r="K79" s="28" t="str">
        <f>IFERROR(__xludf.DUMMYFUNCTION("""COMPUTED_VALUE"""),"3 WUSTHO PUTRA")</f>
        <v>3 WUSTHO PUTRA</v>
      </c>
      <c r="L79" s="29" t="str">
        <f>IFERROR(__xludf.DUMMYFUNCTION("""COMPUTED_VALUE"""),"6285708222090")</f>
        <v>6285708222090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2">
        <f>IFERROR(__xludf.DUMMYFUNCTION("""COMPUTED_VALUE"""),0.0)</f>
        <v>0</v>
      </c>
      <c r="BD79" s="22">
        <f>IFERROR(__xludf.DUMMYFUNCTION("""COMPUTED_VALUE"""),0.0)</f>
        <v>0</v>
      </c>
      <c r="BE79" s="22">
        <f>IFERROR(__xludf.DUMMYFUNCTION("""COMPUTED_VALUE"""),0.0)</f>
        <v>0</v>
      </c>
      <c r="BF79" s="22">
        <f>IFERROR(__xludf.DUMMYFUNCTION("""COMPUTED_VALUE"""),0.0)</f>
        <v>0</v>
      </c>
    </row>
    <row r="80">
      <c r="A80" s="27">
        <f>IFERROR(__xludf.DUMMYFUNCTION("""COMPUTED_VALUE"""),79.0)</f>
        <v>79</v>
      </c>
      <c r="B80" s="28" t="str">
        <f>IFERROR(__xludf.DUMMYFUNCTION("""COMPUTED_VALUE"""),"M. FAHMI ALFIYAN NURIL HAQ")</f>
        <v>M. FAHMI ALFIYAN NURIL HAQ</v>
      </c>
      <c r="C80" s="28">
        <f>IFERROR(__xludf.DUMMYFUNCTION("""COMPUTED_VALUE"""),2.024070718E9)</f>
        <v>2024070718</v>
      </c>
      <c r="D80" s="28" t="str">
        <f>IFERROR(__xludf.DUMMYFUNCTION("""COMPUTED_VALUE"""),"SUNARYO")</f>
        <v>SUNARYO</v>
      </c>
      <c r="E80" s="28" t="str">
        <f>IFERROR(__xludf.DUMMYFUNCTION("""COMPUTED_VALUE"""),"SUKARTI")</f>
        <v>SUKARTI</v>
      </c>
      <c r="F80" s="28" t="str">
        <f>IFERROR(__xludf.DUMMYFUNCTION("""COMPUTED_VALUE"""),"PLAKARAN SOMOSARI RT 3 RW 2 KALITENGAH LAMONGAN")</f>
        <v>PLAKARAN SOMOSARI RT 3 RW 2 KALITENGAH LAMONGAN</v>
      </c>
      <c r="G80" s="28" t="str">
        <f>IFERROR(__xludf.DUMMYFUNCTION("""COMPUTED_VALUE"""),"SMK-XII DKV")</f>
        <v>SMK-XII DKV</v>
      </c>
      <c r="H80" s="28" t="str">
        <f>IFERROR(__xludf.DUMMYFUNCTION("""COMPUTED_VALUE"""),"A")</f>
        <v>A</v>
      </c>
      <c r="I80" s="28" t="str">
        <f>IFERROR(__xludf.DUMMYFUNCTION("""COMPUTED_VALUE"""),"A-13")</f>
        <v>A-13</v>
      </c>
      <c r="J80" s="28">
        <f>IFERROR(__xludf.DUMMYFUNCTION("""COMPUTED_VALUE"""),3.0)</f>
        <v>3</v>
      </c>
      <c r="K80" s="28" t="str">
        <f>IFERROR(__xludf.DUMMYFUNCTION("""COMPUTED_VALUE"""),"")</f>
        <v/>
      </c>
      <c r="L80" s="29" t="str">
        <f>IFERROR(__xludf.DUMMYFUNCTION("""COMPUTED_VALUE"""),"6289677807375")</f>
        <v>6289677807375</v>
      </c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2">
        <f>IFERROR(__xludf.DUMMYFUNCTION("""COMPUTED_VALUE"""),410000.0)</f>
        <v>410000</v>
      </c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2">
        <f>IFERROR(__xludf.DUMMYFUNCTION("""COMPUTED_VALUE"""),410000.0)</f>
        <v>410000</v>
      </c>
      <c r="BD80" s="22">
        <f>IFERROR(__xludf.DUMMYFUNCTION("""COMPUTED_VALUE"""),0.0)</f>
        <v>0</v>
      </c>
      <c r="BE80" s="22">
        <f>IFERROR(__xludf.DUMMYFUNCTION("""COMPUTED_VALUE"""),0.0)</f>
        <v>0</v>
      </c>
      <c r="BF80" s="22">
        <f>IFERROR(__xludf.DUMMYFUNCTION("""COMPUTED_VALUE"""),410000.0)</f>
        <v>410000</v>
      </c>
    </row>
    <row r="81">
      <c r="A81" s="27">
        <f>IFERROR(__xludf.DUMMYFUNCTION("""COMPUTED_VALUE"""),80.0)</f>
        <v>80</v>
      </c>
      <c r="B81" s="28" t="str">
        <f>IFERROR(__xludf.DUMMYFUNCTION("""COMPUTED_VALUE"""),"M. SAFIUL REZA SELOHANDOYO")</f>
        <v>M. SAFIUL REZA SELOHANDOYO</v>
      </c>
      <c r="C81" s="28">
        <f>IFERROR(__xludf.DUMMYFUNCTION("""COMPUTED_VALUE"""),2.024070406E9)</f>
        <v>2024070406</v>
      </c>
      <c r="D81" s="28" t="str">
        <f>IFERROR(__xludf.DUMMYFUNCTION("""COMPUTED_VALUE"""),"ZAINAL ABIDIN")</f>
        <v>ZAINAL ABIDIN</v>
      </c>
      <c r="E81" s="28" t="str">
        <f>IFERROR(__xludf.DUMMYFUNCTION("""COMPUTED_VALUE"""),"SITI HALIMAH")</f>
        <v>SITI HALIMAH</v>
      </c>
      <c r="F81" s="28" t="str">
        <f>IFERROR(__xludf.DUMMYFUNCTION("""COMPUTED_VALUE"""),"GOWAH POMAHANJANGGAN RT 002 RW 001 TURI LAMONGAN")</f>
        <v>GOWAH POMAHANJANGGAN RT 002 RW 001 TURI LAMONGAN</v>
      </c>
      <c r="G81" s="28" t="str">
        <f>IFERROR(__xludf.DUMMYFUNCTION("""COMPUTED_VALUE"""),"MA-XII.13")</f>
        <v>MA-XII.13</v>
      </c>
      <c r="H81" s="28" t="str">
        <f>IFERROR(__xludf.DUMMYFUNCTION("""COMPUTED_VALUE"""),"A")</f>
        <v>A</v>
      </c>
      <c r="I81" s="28" t="str">
        <f>IFERROR(__xludf.DUMMYFUNCTION("""COMPUTED_VALUE"""),"A-2")</f>
        <v>A-2</v>
      </c>
      <c r="J81" s="28">
        <f>IFERROR(__xludf.DUMMYFUNCTION("""COMPUTED_VALUE"""),3.0)</f>
        <v>3</v>
      </c>
      <c r="K81" s="28" t="str">
        <f>IFERROR(__xludf.DUMMYFUNCTION("""COMPUTED_VALUE"""),"3 MAK PUTRA")</f>
        <v>3 MAK PUTRA</v>
      </c>
      <c r="L81" s="29" t="str">
        <f>IFERROR(__xludf.DUMMYFUNCTION("""COMPUTED_VALUE"""),"6282229847381")</f>
        <v>6282229847381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2">
        <f>IFERROR(__xludf.DUMMYFUNCTION("""COMPUTED_VALUE"""),450000.0)</f>
        <v>450000</v>
      </c>
      <c r="AO81" s="28"/>
      <c r="AP81" s="22">
        <f>IFERROR(__xludf.DUMMYFUNCTION("""COMPUTED_VALUE"""),500000.0)</f>
        <v>500000</v>
      </c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2">
        <f>IFERROR(__xludf.DUMMYFUNCTION("""COMPUTED_VALUE"""),450000.0)</f>
        <v>450000</v>
      </c>
      <c r="BD81" s="22">
        <f>IFERROR(__xludf.DUMMYFUNCTION("""COMPUTED_VALUE"""),500000.0)</f>
        <v>500000</v>
      </c>
      <c r="BE81" s="22">
        <f>IFERROR(__xludf.DUMMYFUNCTION("""COMPUTED_VALUE"""),0.0)</f>
        <v>0</v>
      </c>
      <c r="BF81" s="22">
        <f>IFERROR(__xludf.DUMMYFUNCTION("""COMPUTED_VALUE"""),950000.0)</f>
        <v>950000</v>
      </c>
    </row>
    <row r="82">
      <c r="A82" s="27">
        <f>IFERROR(__xludf.DUMMYFUNCTION("""COMPUTED_VALUE"""),81.0)</f>
        <v>81</v>
      </c>
      <c r="B82" s="28" t="str">
        <f>IFERROR(__xludf.DUMMYFUNCTION("""COMPUTED_VALUE"""),"M. SATRIA PUTRA AMILINA")</f>
        <v>M. SATRIA PUTRA AMILINA</v>
      </c>
      <c r="C82" s="28">
        <f>IFERROR(__xludf.DUMMYFUNCTION("""COMPUTED_VALUE"""),2.024070092E9)</f>
        <v>2024070092</v>
      </c>
      <c r="D82" s="28" t="str">
        <f>IFERROR(__xludf.DUMMYFUNCTION("""COMPUTED_VALUE"""),"AHSANUL AMILIN")</f>
        <v>AHSANUL AMILIN</v>
      </c>
      <c r="E82" s="28" t="str">
        <f>IFERROR(__xludf.DUMMYFUNCTION("""COMPUTED_VALUE"""),"LINA ANGGRAINI")</f>
        <v>LINA ANGGRAINI</v>
      </c>
      <c r="F82" s="28" t="str">
        <f>IFERROR(__xludf.DUMMYFUNCTION("""COMPUTED_VALUE"""),"TALUN RT 4 RW 1 SUMBERREJO BOJONEGORO")</f>
        <v>TALUN RT 4 RW 1 SUMBERREJO BOJONEGORO</v>
      </c>
      <c r="G82" s="28" t="str">
        <f>IFERROR(__xludf.DUMMYFUNCTION("""COMPUTED_VALUE"""),"MA-XII.4")</f>
        <v>MA-XII.4</v>
      </c>
      <c r="H82" s="28" t="str">
        <f>IFERROR(__xludf.DUMMYFUNCTION("""COMPUTED_VALUE"""),"A")</f>
        <v>A</v>
      </c>
      <c r="I82" s="28" t="str">
        <f>IFERROR(__xludf.DUMMYFUNCTION("""COMPUTED_VALUE"""),"A-10")</f>
        <v>A-10</v>
      </c>
      <c r="J82" s="28">
        <f>IFERROR(__xludf.DUMMYFUNCTION("""COMPUTED_VALUE"""),3.0)</f>
        <v>3</v>
      </c>
      <c r="K82" s="28" t="str">
        <f>IFERROR(__xludf.DUMMYFUNCTION("""COMPUTED_VALUE"""),"3 WUSTHO PUTRA")</f>
        <v>3 WUSTHO PUTRA</v>
      </c>
      <c r="L82" s="29" t="str">
        <f>IFERROR(__xludf.DUMMYFUNCTION("""COMPUTED_VALUE"""),"628568406710")</f>
        <v>628568406710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2">
        <f>IFERROR(__xludf.DUMMYFUNCTION("""COMPUTED_VALUE"""),450000.0)</f>
        <v>450000</v>
      </c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2">
        <f>IFERROR(__xludf.DUMMYFUNCTION("""COMPUTED_VALUE"""),450000.0)</f>
        <v>450000</v>
      </c>
      <c r="BD82" s="22">
        <f>IFERROR(__xludf.DUMMYFUNCTION("""COMPUTED_VALUE"""),0.0)</f>
        <v>0</v>
      </c>
      <c r="BE82" s="22">
        <f>IFERROR(__xludf.DUMMYFUNCTION("""COMPUTED_VALUE"""),0.0)</f>
        <v>0</v>
      </c>
      <c r="BF82" s="22">
        <f>IFERROR(__xludf.DUMMYFUNCTION("""COMPUTED_VALUE"""),450000.0)</f>
        <v>450000</v>
      </c>
    </row>
    <row r="83">
      <c r="A83" s="27">
        <f>IFERROR(__xludf.DUMMYFUNCTION("""COMPUTED_VALUE"""),82.0)</f>
        <v>82</v>
      </c>
      <c r="B83" s="28" t="str">
        <f>IFERROR(__xludf.DUMMYFUNCTION("""COMPUTED_VALUE"""),"MAEKAL RAHMAT")</f>
        <v>MAEKAL RAHMAT</v>
      </c>
      <c r="C83" s="28">
        <f>IFERROR(__xludf.DUMMYFUNCTION("""COMPUTED_VALUE"""),2.024070311E9)</f>
        <v>2024070311</v>
      </c>
      <c r="D83" s="28" t="str">
        <f>IFERROR(__xludf.DUMMYFUNCTION("""COMPUTED_VALUE"""),"AGUS SUPRAYITNO")</f>
        <v>AGUS SUPRAYITNO</v>
      </c>
      <c r="E83" s="28" t="str">
        <f>IFERROR(__xludf.DUMMYFUNCTION("""COMPUTED_VALUE"""),"WIWIK WIDAYATI")</f>
        <v>WIWIK WIDAYATI</v>
      </c>
      <c r="F83" s="28" t="str">
        <f>IFERROR(__xludf.DUMMYFUNCTION("""COMPUTED_VALUE"""),"JL. PUTER DALAM SELATAN 39 A TANJUNGREJO RT 10 RW 12 SUKUN MALANG")</f>
        <v>JL. PUTER DALAM SELATAN 39 A TANJUNGREJO RT 10 RW 12 SUKUN MALANG</v>
      </c>
      <c r="G83" s="28" t="str">
        <f>IFERROR(__xludf.DUMMYFUNCTION("""COMPUTED_VALUE"""),"MA-XII.10")</f>
        <v>MA-XII.10</v>
      </c>
      <c r="H83" s="28" t="str">
        <f>IFERROR(__xludf.DUMMYFUNCTION("""COMPUTED_VALUE"""),"A")</f>
        <v>A</v>
      </c>
      <c r="I83" s="28" t="str">
        <f>IFERROR(__xludf.DUMMYFUNCTION("""COMPUTED_VALUE"""),"A-10")</f>
        <v>A-10</v>
      </c>
      <c r="J83" s="28">
        <f>IFERROR(__xludf.DUMMYFUNCTION("""COMPUTED_VALUE"""),3.0)</f>
        <v>3</v>
      </c>
      <c r="K83" s="28" t="str">
        <f>IFERROR(__xludf.DUMMYFUNCTION("""COMPUTED_VALUE"""),"3 WUSTHO PUTRA")</f>
        <v>3 WUSTHO PUTRA</v>
      </c>
      <c r="L83" s="29" t="str">
        <f>IFERROR(__xludf.DUMMYFUNCTION("""COMPUTED_VALUE"""),"6281998985638")</f>
        <v>6281998985638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2">
        <f>IFERROR(__xludf.DUMMYFUNCTION("""COMPUTED_VALUE"""),0.0)</f>
        <v>0</v>
      </c>
      <c r="BD83" s="22">
        <f>IFERROR(__xludf.DUMMYFUNCTION("""COMPUTED_VALUE"""),0.0)</f>
        <v>0</v>
      </c>
      <c r="BE83" s="22">
        <f>IFERROR(__xludf.DUMMYFUNCTION("""COMPUTED_VALUE"""),0.0)</f>
        <v>0</v>
      </c>
      <c r="BF83" s="22">
        <f>IFERROR(__xludf.DUMMYFUNCTION("""COMPUTED_VALUE"""),0.0)</f>
        <v>0</v>
      </c>
    </row>
    <row r="84">
      <c r="A84" s="27">
        <f>IFERROR(__xludf.DUMMYFUNCTION("""COMPUTED_VALUE"""),83.0)</f>
        <v>83</v>
      </c>
      <c r="B84" s="28" t="str">
        <f>IFERROR(__xludf.DUMMYFUNCTION("""COMPUTED_VALUE"""),"MAHATMA SATYA GRAHA")</f>
        <v>MAHATMA SATYA GRAHA</v>
      </c>
      <c r="C84" s="28">
        <f>IFERROR(__xludf.DUMMYFUNCTION("""COMPUTED_VALUE"""),2.024070407E9)</f>
        <v>2024070407</v>
      </c>
      <c r="D84" s="28" t="str">
        <f>IFERROR(__xludf.DUMMYFUNCTION("""COMPUTED_VALUE"""),"MUHAMMAD KAHAR")</f>
        <v>MUHAMMAD KAHAR</v>
      </c>
      <c r="E84" s="28" t="str">
        <f>IFERROR(__xludf.DUMMYFUNCTION("""COMPUTED_VALUE"""),"AIYINATUL JAMILAH")</f>
        <v>AIYINATUL JAMILAH</v>
      </c>
      <c r="F84" s="28" t="str">
        <f>IFERROR(__xludf.DUMMYFUNCTION("""COMPUTED_VALUE"""),"JELAK JELAKCATUR RT 001 RW 004 KALITENGAH LAMONGAN")</f>
        <v>JELAK JELAKCATUR RT 001 RW 004 KALITENGAH LAMONGAN</v>
      </c>
      <c r="G84" s="28" t="str">
        <f>IFERROR(__xludf.DUMMYFUNCTION("""COMPUTED_VALUE"""),"MA-XII.9")</f>
        <v>MA-XII.9</v>
      </c>
      <c r="H84" s="28" t="str">
        <f>IFERROR(__xludf.DUMMYFUNCTION("""COMPUTED_VALUE"""),"A")</f>
        <v>A</v>
      </c>
      <c r="I84" s="28" t="str">
        <f>IFERROR(__xludf.DUMMYFUNCTION("""COMPUTED_VALUE"""),"A-10")</f>
        <v>A-10</v>
      </c>
      <c r="J84" s="28">
        <f>IFERROR(__xludf.DUMMYFUNCTION("""COMPUTED_VALUE"""),3.0)</f>
        <v>3</v>
      </c>
      <c r="K84" s="28" t="str">
        <f>IFERROR(__xludf.DUMMYFUNCTION("""COMPUTED_VALUE"""),"3 WUSTHO PUTRA")</f>
        <v>3 WUSTHO PUTRA</v>
      </c>
      <c r="L84" s="29" t="str">
        <f>IFERROR(__xludf.DUMMYFUNCTION("""COMPUTED_VALUE"""),"628557692330")</f>
        <v>628557692330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2">
        <f>IFERROR(__xludf.DUMMYFUNCTION("""COMPUTED_VALUE"""),450000.0)</f>
        <v>450000</v>
      </c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2">
        <f>IFERROR(__xludf.DUMMYFUNCTION("""COMPUTED_VALUE"""),450000.0)</f>
        <v>450000</v>
      </c>
      <c r="BD84" s="22">
        <f>IFERROR(__xludf.DUMMYFUNCTION("""COMPUTED_VALUE"""),0.0)</f>
        <v>0</v>
      </c>
      <c r="BE84" s="22">
        <f>IFERROR(__xludf.DUMMYFUNCTION("""COMPUTED_VALUE"""),0.0)</f>
        <v>0</v>
      </c>
      <c r="BF84" s="22">
        <f>IFERROR(__xludf.DUMMYFUNCTION("""COMPUTED_VALUE"""),450000.0)</f>
        <v>450000</v>
      </c>
    </row>
    <row r="85">
      <c r="A85" s="27">
        <f>IFERROR(__xludf.DUMMYFUNCTION("""COMPUTED_VALUE"""),84.0)</f>
        <v>84</v>
      </c>
      <c r="B85" s="28" t="str">
        <f>IFERROR(__xludf.DUMMYFUNCTION("""COMPUTED_VALUE"""),"MARVELL RIZIQ AMIN")</f>
        <v>MARVELL RIZIQ AMIN</v>
      </c>
      <c r="C85" s="28">
        <f>IFERROR(__xludf.DUMMYFUNCTION("""COMPUTED_VALUE"""),2.02407021E9)</f>
        <v>2024070210</v>
      </c>
      <c r="D85" s="28" t="str">
        <f>IFERROR(__xludf.DUMMYFUNCTION("""COMPUTED_VALUE"""),"AJI SUNARJI")</f>
        <v>AJI SUNARJI</v>
      </c>
      <c r="E85" s="28" t="str">
        <f>IFERROR(__xludf.DUMMYFUNCTION("""COMPUTED_VALUE"""),"SITI ANISAH")</f>
        <v>SITI ANISAH</v>
      </c>
      <c r="F85" s="28" t="str">
        <f>IFERROR(__xludf.DUMMYFUNCTION("""COMPUTED_VALUE"""),"GENENG RT 5 RW 8 BRONDONG LAMONGAN")</f>
        <v>GENENG RT 5 RW 8 BRONDONG LAMONGAN</v>
      </c>
      <c r="G85" s="28" t="str">
        <f>IFERROR(__xludf.DUMMYFUNCTION("""COMPUTED_VALUE"""),"MA-XII.6")</f>
        <v>MA-XII.6</v>
      </c>
      <c r="H85" s="28" t="str">
        <f>IFERROR(__xludf.DUMMYFUNCTION("""COMPUTED_VALUE"""),"A")</f>
        <v>A</v>
      </c>
      <c r="I85" s="28" t="str">
        <f>IFERROR(__xludf.DUMMYFUNCTION("""COMPUTED_VALUE"""),"A-10")</f>
        <v>A-10</v>
      </c>
      <c r="J85" s="28">
        <f>IFERROR(__xludf.DUMMYFUNCTION("""COMPUTED_VALUE"""),3.0)</f>
        <v>3</v>
      </c>
      <c r="K85" s="28" t="str">
        <f>IFERROR(__xludf.DUMMYFUNCTION("""COMPUTED_VALUE"""),"3 WUSTHO PUTRA")</f>
        <v>3 WUSTHO PUTRA</v>
      </c>
      <c r="L85" s="29" t="str">
        <f>IFERROR(__xludf.DUMMYFUNCTION("""COMPUTED_VALUE"""),"62895323652394")</f>
        <v>62895323652394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2">
        <f>IFERROR(__xludf.DUMMYFUNCTION("""COMPUTED_VALUE"""),0.0)</f>
        <v>0</v>
      </c>
      <c r="BD85" s="22">
        <f>IFERROR(__xludf.DUMMYFUNCTION("""COMPUTED_VALUE"""),0.0)</f>
        <v>0</v>
      </c>
      <c r="BE85" s="22">
        <f>IFERROR(__xludf.DUMMYFUNCTION("""COMPUTED_VALUE"""),0.0)</f>
        <v>0</v>
      </c>
      <c r="BF85" s="22">
        <f>IFERROR(__xludf.DUMMYFUNCTION("""COMPUTED_VALUE"""),0.0)</f>
        <v>0</v>
      </c>
    </row>
    <row r="86">
      <c r="A86" s="27">
        <f>IFERROR(__xludf.DUMMYFUNCTION("""COMPUTED_VALUE"""),85.0)</f>
        <v>85</v>
      </c>
      <c r="B86" s="28" t="str">
        <f>IFERROR(__xludf.DUMMYFUNCTION("""COMPUTED_VALUE"""),"MOCH. FAJAR QOMARUDIN FEBRIAN")</f>
        <v>MOCH. FAJAR QOMARUDIN FEBRIAN</v>
      </c>
      <c r="C86" s="28">
        <f>IFERROR(__xludf.DUMMYFUNCTION("""COMPUTED_VALUE"""),2.024070678E9)</f>
        <v>2024070678</v>
      </c>
      <c r="D86" s="28" t="str">
        <f>IFERROR(__xludf.DUMMYFUNCTION("""COMPUTED_VALUE"""),"WARDI")</f>
        <v>WARDI</v>
      </c>
      <c r="E86" s="28" t="str">
        <f>IFERROR(__xludf.DUMMYFUNCTION("""COMPUTED_VALUE"""),"SA'ADATUN NI'MAH")</f>
        <v>SA'ADATUN NI'MAH</v>
      </c>
      <c r="F86" s="28" t="str">
        <f>IFERROR(__xludf.DUMMYFUNCTION("""COMPUTED_VALUE"""),"KANDANGAN CANDISARI RT 012 RW 002 SAMBENG LAMONGAN")</f>
        <v>KANDANGAN CANDISARI RT 012 RW 002 SAMBENG LAMONGAN</v>
      </c>
      <c r="G86" s="28" t="str">
        <f>IFERROR(__xludf.DUMMYFUNCTION("""COMPUTED_VALUE"""),"SMK-XII TKJ 1")</f>
        <v>SMK-XII TKJ 1</v>
      </c>
      <c r="H86" s="28" t="str">
        <f>IFERROR(__xludf.DUMMYFUNCTION("""COMPUTED_VALUE"""),"A")</f>
        <v>A</v>
      </c>
      <c r="I86" s="28" t="str">
        <f>IFERROR(__xludf.DUMMYFUNCTION("""COMPUTED_VALUE"""),"A-10")</f>
        <v>A-10</v>
      </c>
      <c r="J86" s="28">
        <f>IFERROR(__xludf.DUMMYFUNCTION("""COMPUTED_VALUE"""),3.0)</f>
        <v>3</v>
      </c>
      <c r="K86" s="28" t="str">
        <f>IFERROR(__xludf.DUMMYFUNCTION("""COMPUTED_VALUE"""),"3 WUSTHO PUTRA")</f>
        <v>3 WUSTHO PUTRA</v>
      </c>
      <c r="L86" s="29" t="str">
        <f>IFERROR(__xludf.DUMMYFUNCTION("""COMPUTED_VALUE"""),"6285809004813")</f>
        <v>6285809004813</v>
      </c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2">
        <f>IFERROR(__xludf.DUMMYFUNCTION("""COMPUTED_VALUE"""),250000.0)</f>
        <v>250000</v>
      </c>
      <c r="AB86" s="28"/>
      <c r="AC86" s="28"/>
      <c r="AD86" s="28"/>
      <c r="AE86" s="28"/>
      <c r="AF86" s="28"/>
      <c r="AG86" s="28"/>
      <c r="AH86" s="22">
        <f>IFERROR(__xludf.DUMMYFUNCTION("""COMPUTED_VALUE"""),270000.0)</f>
        <v>270000</v>
      </c>
      <c r="AI86" s="22">
        <f>IFERROR(__xludf.DUMMYFUNCTION("""COMPUTED_VALUE"""),270000.0)</f>
        <v>270000</v>
      </c>
      <c r="AJ86" s="22">
        <f>IFERROR(__xludf.DUMMYFUNCTION("""COMPUTED_VALUE"""),270000.0)</f>
        <v>270000</v>
      </c>
      <c r="AK86" s="22">
        <f>IFERROR(__xludf.DUMMYFUNCTION("""COMPUTED_VALUE"""),270000.0)</f>
        <v>270000</v>
      </c>
      <c r="AL86" s="22">
        <f>IFERROR(__xludf.DUMMYFUNCTION("""COMPUTED_VALUE"""),270000.0)</f>
        <v>270000</v>
      </c>
      <c r="AM86" s="22">
        <f>IFERROR(__xludf.DUMMYFUNCTION("""COMPUTED_VALUE"""),270000.0)</f>
        <v>270000</v>
      </c>
      <c r="AN86" s="22">
        <f>IFERROR(__xludf.DUMMYFUNCTION("""COMPUTED_VALUE"""),270000.0)</f>
        <v>270000</v>
      </c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2">
        <f>IFERROR(__xludf.DUMMYFUNCTION("""COMPUTED_VALUE"""),1890000.0)</f>
        <v>1890000</v>
      </c>
      <c r="BD86" s="22">
        <f>IFERROR(__xludf.DUMMYFUNCTION("""COMPUTED_VALUE"""),0.0)</f>
        <v>0</v>
      </c>
      <c r="BE86" s="22">
        <f>IFERROR(__xludf.DUMMYFUNCTION("""COMPUTED_VALUE"""),250000.0)</f>
        <v>250000</v>
      </c>
      <c r="BF86" s="22">
        <f>IFERROR(__xludf.DUMMYFUNCTION("""COMPUTED_VALUE"""),2140000.0)</f>
        <v>2140000</v>
      </c>
    </row>
    <row r="87">
      <c r="A87" s="27">
        <f>IFERROR(__xludf.DUMMYFUNCTION("""COMPUTED_VALUE"""),86.0)</f>
        <v>86</v>
      </c>
      <c r="B87" s="28" t="str">
        <f>IFERROR(__xludf.DUMMYFUNCTION("""COMPUTED_VALUE"""),"MOH. RAFY ANDIKA ROHMAN")</f>
        <v>MOH. RAFY ANDIKA ROHMAN</v>
      </c>
      <c r="C87" s="28">
        <f>IFERROR(__xludf.DUMMYFUNCTION("""COMPUTED_VALUE"""),2.024070676E9)</f>
        <v>2024070676</v>
      </c>
      <c r="D87" s="28" t="str">
        <f>IFERROR(__xludf.DUMMYFUNCTION("""COMPUTED_VALUE"""),"SURATNO")</f>
        <v>SURATNO</v>
      </c>
      <c r="E87" s="28" t="str">
        <f>IFERROR(__xludf.DUMMYFUNCTION("""COMPUTED_VALUE"""),"SUTATIK")</f>
        <v>SUTATIK</v>
      </c>
      <c r="F87" s="28" t="str">
        <f>IFERROR(__xludf.DUMMYFUNCTION("""COMPUTED_VALUE"""),"PUTATREJO PUTATBANGAH RT 002 RW 003 KARANGBINANGUN LAMONGAN")</f>
        <v>PUTATREJO PUTATBANGAH RT 002 RW 003 KARANGBINANGUN LAMONGAN</v>
      </c>
      <c r="G87" s="28" t="str">
        <f>IFERROR(__xludf.DUMMYFUNCTION("""COMPUTED_VALUE"""),"SMK-XII TKR 2")</f>
        <v>SMK-XII TKR 2</v>
      </c>
      <c r="H87" s="28" t="str">
        <f>IFERROR(__xludf.DUMMYFUNCTION("""COMPUTED_VALUE"""),"A")</f>
        <v>A</v>
      </c>
      <c r="I87" s="28" t="str">
        <f>IFERROR(__xludf.DUMMYFUNCTION("""COMPUTED_VALUE"""),"A-10")</f>
        <v>A-10</v>
      </c>
      <c r="J87" s="28">
        <f>IFERROR(__xludf.DUMMYFUNCTION("""COMPUTED_VALUE"""),3.0)</f>
        <v>3</v>
      </c>
      <c r="K87" s="28" t="str">
        <f>IFERROR(__xludf.DUMMYFUNCTION("""COMPUTED_VALUE"""),"3 WUSTHO PUTRA")</f>
        <v>3 WUSTHO PUTRA</v>
      </c>
      <c r="L87" s="29" t="str">
        <f>IFERROR(__xludf.DUMMYFUNCTION("""COMPUTED_VALUE"""),"6285730854693")</f>
        <v>6285730854693</v>
      </c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2">
        <f>IFERROR(__xludf.DUMMYFUNCTION("""COMPUTED_VALUE"""),450000.0)</f>
        <v>450000</v>
      </c>
      <c r="AH87" s="22">
        <f>IFERROR(__xludf.DUMMYFUNCTION("""COMPUTED_VALUE"""),450000.0)</f>
        <v>450000</v>
      </c>
      <c r="AI87" s="22">
        <f>IFERROR(__xludf.DUMMYFUNCTION("""COMPUTED_VALUE"""),450000.0)</f>
        <v>450000</v>
      </c>
      <c r="AJ87" s="22">
        <f>IFERROR(__xludf.DUMMYFUNCTION("""COMPUTED_VALUE"""),450000.0)</f>
        <v>450000</v>
      </c>
      <c r="AK87" s="22">
        <f>IFERROR(__xludf.DUMMYFUNCTION("""COMPUTED_VALUE"""),450000.0)</f>
        <v>450000</v>
      </c>
      <c r="AL87" s="22">
        <f>IFERROR(__xludf.DUMMYFUNCTION("""COMPUTED_VALUE"""),450000.0)</f>
        <v>450000</v>
      </c>
      <c r="AM87" s="22">
        <f>IFERROR(__xludf.DUMMYFUNCTION("""COMPUTED_VALUE"""),450000.0)</f>
        <v>450000</v>
      </c>
      <c r="AN87" s="22">
        <f>IFERROR(__xludf.DUMMYFUNCTION("""COMPUTED_VALUE"""),450000.0)</f>
        <v>450000</v>
      </c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2">
        <f>IFERROR(__xludf.DUMMYFUNCTION("""COMPUTED_VALUE"""),3600000.0)</f>
        <v>3600000</v>
      </c>
      <c r="BD87" s="22">
        <f>IFERROR(__xludf.DUMMYFUNCTION("""COMPUTED_VALUE"""),0.0)</f>
        <v>0</v>
      </c>
      <c r="BE87" s="22">
        <f>IFERROR(__xludf.DUMMYFUNCTION("""COMPUTED_VALUE"""),0.0)</f>
        <v>0</v>
      </c>
      <c r="BF87" s="22">
        <f>IFERROR(__xludf.DUMMYFUNCTION("""COMPUTED_VALUE"""),3600000.0)</f>
        <v>3600000</v>
      </c>
    </row>
    <row r="88">
      <c r="A88" s="27">
        <f>IFERROR(__xludf.DUMMYFUNCTION("""COMPUTED_VALUE"""),87.0)</f>
        <v>87</v>
      </c>
      <c r="B88" s="28" t="str">
        <f>IFERROR(__xludf.DUMMYFUNCTION("""COMPUTED_VALUE"""),"MUHAMMAD ARIS IBRAHIM")</f>
        <v>MUHAMMAD ARIS IBRAHIM</v>
      </c>
      <c r="C88" s="28">
        <f>IFERROR(__xludf.DUMMYFUNCTION("""COMPUTED_VALUE"""),2.024070691E9)</f>
        <v>2024070691</v>
      </c>
      <c r="D88" s="28" t="str">
        <f>IFERROR(__xludf.DUMMYFUNCTION("""COMPUTED_VALUE"""),"HARTOYO")</f>
        <v>HARTOYO</v>
      </c>
      <c r="E88" s="28" t="str">
        <f>IFERROR(__xludf.DUMMYFUNCTION("""COMPUTED_VALUE"""),"EMI LAKSEMI ZAHARA")</f>
        <v>EMI LAKSEMI ZAHARA</v>
      </c>
      <c r="F88" s="28" t="str">
        <f>IFERROR(__xludf.DUMMYFUNCTION("""COMPUTED_VALUE"""),"WANAR RT 001 RW 007 PUCUK LAMONGAN")</f>
        <v>WANAR RT 001 RW 007 PUCUK LAMONGAN</v>
      </c>
      <c r="G88" s="28" t="str">
        <f>IFERROR(__xludf.DUMMYFUNCTION("""COMPUTED_VALUE"""),"SMK-XII TKJ 1")</f>
        <v>SMK-XII TKJ 1</v>
      </c>
      <c r="H88" s="28" t="str">
        <f>IFERROR(__xludf.DUMMYFUNCTION("""COMPUTED_VALUE"""),"A")</f>
        <v>A</v>
      </c>
      <c r="I88" s="28" t="str">
        <f>IFERROR(__xludf.DUMMYFUNCTION("""COMPUTED_VALUE"""),"A-10")</f>
        <v>A-10</v>
      </c>
      <c r="J88" s="28">
        <f>IFERROR(__xludf.DUMMYFUNCTION("""COMPUTED_VALUE"""),3.0)</f>
        <v>3</v>
      </c>
      <c r="K88" s="28" t="str">
        <f>IFERROR(__xludf.DUMMYFUNCTION("""COMPUTED_VALUE"""),"3 WUSTHO PUTRA")</f>
        <v>3 WUSTHO PUTRA</v>
      </c>
      <c r="L88" s="29" t="str">
        <f>IFERROR(__xludf.DUMMYFUNCTION("""COMPUTED_VALUE"""),"6289523611658")</f>
        <v>6289523611658</v>
      </c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2">
        <f>IFERROR(__xludf.DUMMYFUNCTION("""COMPUTED_VALUE"""),0.0)</f>
        <v>0</v>
      </c>
      <c r="BD88" s="22">
        <f>IFERROR(__xludf.DUMMYFUNCTION("""COMPUTED_VALUE"""),0.0)</f>
        <v>0</v>
      </c>
      <c r="BE88" s="22">
        <f>IFERROR(__xludf.DUMMYFUNCTION("""COMPUTED_VALUE"""),0.0)</f>
        <v>0</v>
      </c>
      <c r="BF88" s="22">
        <f>IFERROR(__xludf.DUMMYFUNCTION("""COMPUTED_VALUE"""),0.0)</f>
        <v>0</v>
      </c>
    </row>
    <row r="89">
      <c r="A89" s="27">
        <f>IFERROR(__xludf.DUMMYFUNCTION("""COMPUTED_VALUE"""),88.0)</f>
        <v>88</v>
      </c>
      <c r="B89" s="28" t="str">
        <f>IFERROR(__xludf.DUMMYFUNCTION("""COMPUTED_VALUE"""),"MUHAMMAD FIRDAUS AL AYYUBI")</f>
        <v>MUHAMMAD FIRDAUS AL AYYUBI</v>
      </c>
      <c r="C89" s="28">
        <f>IFERROR(__xludf.DUMMYFUNCTION("""COMPUTED_VALUE"""),2.02407068E9)</f>
        <v>2024070680</v>
      </c>
      <c r="D89" s="28" t="str">
        <f>IFERROR(__xludf.DUMMYFUNCTION("""COMPUTED_VALUE"""),"DAYUS NUR AFNI")</f>
        <v>DAYUS NUR AFNI</v>
      </c>
      <c r="E89" s="28" t="str">
        <f>IFERROR(__xludf.DUMMYFUNCTION("""COMPUTED_VALUE"""),"SITI NASRIYATUN")</f>
        <v>SITI NASRIYATUN</v>
      </c>
      <c r="F89" s="28" t="str">
        <f>IFERROR(__xludf.DUMMYFUNCTION("""COMPUTED_VALUE"""),"DAGAN RT 002 RW 002 SOLOKURO LAMONGAN")</f>
        <v>DAGAN RT 002 RW 002 SOLOKURO LAMONGAN</v>
      </c>
      <c r="G89" s="28" t="str">
        <f>IFERROR(__xludf.DUMMYFUNCTION("""COMPUTED_VALUE"""),"SMK-XII TKJ 1")</f>
        <v>SMK-XII TKJ 1</v>
      </c>
      <c r="H89" s="28" t="str">
        <f>IFERROR(__xludf.DUMMYFUNCTION("""COMPUTED_VALUE"""),"A")</f>
        <v>A</v>
      </c>
      <c r="I89" s="28" t="str">
        <f>IFERROR(__xludf.DUMMYFUNCTION("""COMPUTED_VALUE"""),"A-10")</f>
        <v>A-10</v>
      </c>
      <c r="J89" s="28">
        <f>IFERROR(__xludf.DUMMYFUNCTION("""COMPUTED_VALUE"""),3.0)</f>
        <v>3</v>
      </c>
      <c r="K89" s="28" t="str">
        <f>IFERROR(__xludf.DUMMYFUNCTION("""COMPUTED_VALUE"""),"3 WUSTHO PUTRA")</f>
        <v>3 WUSTHO PUTRA</v>
      </c>
      <c r="L89" s="29" t="str">
        <f>IFERROR(__xludf.DUMMYFUNCTION("""COMPUTED_VALUE"""),"6285648339606")</f>
        <v>6285648339606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2">
        <f>IFERROR(__xludf.DUMMYFUNCTION("""COMPUTED_VALUE"""),0.0)</f>
        <v>0</v>
      </c>
      <c r="BD89" s="22">
        <f>IFERROR(__xludf.DUMMYFUNCTION("""COMPUTED_VALUE"""),0.0)</f>
        <v>0</v>
      </c>
      <c r="BE89" s="22">
        <f>IFERROR(__xludf.DUMMYFUNCTION("""COMPUTED_VALUE"""),0.0)</f>
        <v>0</v>
      </c>
      <c r="BF89" s="22">
        <f>IFERROR(__xludf.DUMMYFUNCTION("""COMPUTED_VALUE"""),0.0)</f>
        <v>0</v>
      </c>
    </row>
    <row r="90">
      <c r="A90" s="27">
        <f>IFERROR(__xludf.DUMMYFUNCTION("""COMPUTED_VALUE"""),89.0)</f>
        <v>89</v>
      </c>
      <c r="B90" s="28" t="str">
        <f>IFERROR(__xludf.DUMMYFUNCTION("""COMPUTED_VALUE"""),"MUHAMMAD HIBATULLAH TSAQIF")</f>
        <v>MUHAMMAD HIBATULLAH TSAQIF</v>
      </c>
      <c r="C90" s="28">
        <f>IFERROR(__xludf.DUMMYFUNCTION("""COMPUTED_VALUE"""),2.024070097E9)</f>
        <v>2024070097</v>
      </c>
      <c r="D90" s="28" t="str">
        <f>IFERROR(__xludf.DUMMYFUNCTION("""COMPUTED_VALUE"""),"NUR AINI")</f>
        <v>NUR AINI</v>
      </c>
      <c r="E90" s="28" t="str">
        <f>IFERROR(__xludf.DUMMYFUNCTION("""COMPUTED_VALUE"""),"RIRIN FITYATUN YUNIS SA'IDAH")</f>
        <v>RIRIN FITYATUN YUNIS SA'IDAH</v>
      </c>
      <c r="F90" s="28" t="str">
        <f>IFERROR(__xludf.DUMMYFUNCTION("""COMPUTED_VALUE"""),"SOLOKURO RT 004 RW 003 SOLOKURO LAMONGAN")</f>
        <v>SOLOKURO RT 004 RW 003 SOLOKURO LAMONGAN</v>
      </c>
      <c r="G90" s="28" t="str">
        <f>IFERROR(__xludf.DUMMYFUNCTION("""COMPUTED_VALUE"""),"MA-XII.4")</f>
        <v>MA-XII.4</v>
      </c>
      <c r="H90" s="28" t="str">
        <f>IFERROR(__xludf.DUMMYFUNCTION("""COMPUTED_VALUE"""),"A")</f>
        <v>A</v>
      </c>
      <c r="I90" s="28" t="str">
        <f>IFERROR(__xludf.DUMMYFUNCTION("""COMPUTED_VALUE"""),"A-10")</f>
        <v>A-10</v>
      </c>
      <c r="J90" s="28">
        <f>IFERROR(__xludf.DUMMYFUNCTION("""COMPUTED_VALUE"""),3.0)</f>
        <v>3</v>
      </c>
      <c r="K90" s="28" t="str">
        <f>IFERROR(__xludf.DUMMYFUNCTION("""COMPUTED_VALUE"""),"3 WUSTHO PUTRA")</f>
        <v>3 WUSTHO PUTRA</v>
      </c>
      <c r="L90" s="29" t="str">
        <f>IFERROR(__xludf.DUMMYFUNCTION("""COMPUTED_VALUE"""),"6285182276192")</f>
        <v>6285182276192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2">
        <f>IFERROR(__xludf.DUMMYFUNCTION("""COMPUTED_VALUE"""),0.0)</f>
        <v>0</v>
      </c>
      <c r="BD90" s="22">
        <f>IFERROR(__xludf.DUMMYFUNCTION("""COMPUTED_VALUE"""),0.0)</f>
        <v>0</v>
      </c>
      <c r="BE90" s="22">
        <f>IFERROR(__xludf.DUMMYFUNCTION("""COMPUTED_VALUE"""),0.0)</f>
        <v>0</v>
      </c>
      <c r="BF90" s="22">
        <f>IFERROR(__xludf.DUMMYFUNCTION("""COMPUTED_VALUE"""),0.0)</f>
        <v>0</v>
      </c>
    </row>
    <row r="91">
      <c r="A91" s="27">
        <f>IFERROR(__xludf.DUMMYFUNCTION("""COMPUTED_VALUE"""),90.0)</f>
        <v>90</v>
      </c>
      <c r="B91" s="28" t="str">
        <f>IFERROR(__xludf.DUMMYFUNCTION("""COMPUTED_VALUE"""),"MUHAMMAD NASRUL FALAQ")</f>
        <v>MUHAMMAD NASRUL FALAQ</v>
      </c>
      <c r="C91" s="28">
        <f>IFERROR(__xludf.DUMMYFUNCTION("""COMPUTED_VALUE"""),2.024070695E9)</f>
        <v>2024070695</v>
      </c>
      <c r="D91" s="28" t="str">
        <f>IFERROR(__xludf.DUMMYFUNCTION("""COMPUTED_VALUE"""),"SUPRIYANTO")</f>
        <v>SUPRIYANTO</v>
      </c>
      <c r="E91" s="28" t="str">
        <f>IFERROR(__xludf.DUMMYFUNCTION("""COMPUTED_VALUE"""),"IFA TRIANA")</f>
        <v>IFA TRIANA</v>
      </c>
      <c r="F91" s="28" t="str">
        <f>IFERROR(__xludf.DUMMYFUNCTION("""COMPUTED_VALUE"""),"WONOKERTO RT 017 RW 003 DUKUN GRESIK")</f>
        <v>WONOKERTO RT 017 RW 003 DUKUN GRESIK</v>
      </c>
      <c r="G91" s="28" t="str">
        <f>IFERROR(__xludf.DUMMYFUNCTION("""COMPUTED_VALUE"""),"SMK-XII TKJ 1")</f>
        <v>SMK-XII TKJ 1</v>
      </c>
      <c r="H91" s="28" t="str">
        <f>IFERROR(__xludf.DUMMYFUNCTION("""COMPUTED_VALUE"""),"A")</f>
        <v>A</v>
      </c>
      <c r="I91" s="28" t="str">
        <f>IFERROR(__xludf.DUMMYFUNCTION("""COMPUTED_VALUE"""),"A-12")</f>
        <v>A-12</v>
      </c>
      <c r="J91" s="28">
        <f>IFERROR(__xludf.DUMMYFUNCTION("""COMPUTED_VALUE"""),3.0)</f>
        <v>3</v>
      </c>
      <c r="K91" s="28" t="str">
        <f>IFERROR(__xludf.DUMMYFUNCTION("""COMPUTED_VALUE"""),"3 WUSTHO PUTRA")</f>
        <v>3 WUSTHO PUTRA</v>
      </c>
      <c r="L91" s="29" t="str">
        <f>IFERROR(__xludf.DUMMYFUNCTION("""COMPUTED_VALUE"""),"6285602657179")</f>
        <v>6285602657179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2">
        <f>IFERROR(__xludf.DUMMYFUNCTION("""COMPUTED_VALUE"""),500000.0)</f>
        <v>500000</v>
      </c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2">
        <f>IFERROR(__xludf.DUMMYFUNCTION("""COMPUTED_VALUE"""),500000.0)</f>
        <v>500000</v>
      </c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2">
        <f>IFERROR(__xludf.DUMMYFUNCTION("""COMPUTED_VALUE"""),0.0)</f>
        <v>0</v>
      </c>
      <c r="BD91" s="22">
        <f>IFERROR(__xludf.DUMMYFUNCTION("""COMPUTED_VALUE"""),1000000.0)</f>
        <v>1000000</v>
      </c>
      <c r="BE91" s="22">
        <f>IFERROR(__xludf.DUMMYFUNCTION("""COMPUTED_VALUE"""),0.0)</f>
        <v>0</v>
      </c>
      <c r="BF91" s="22">
        <f>IFERROR(__xludf.DUMMYFUNCTION("""COMPUTED_VALUE"""),1000000.0)</f>
        <v>1000000</v>
      </c>
    </row>
    <row r="92">
      <c r="A92" s="27">
        <f>IFERROR(__xludf.DUMMYFUNCTION("""COMPUTED_VALUE"""),91.0)</f>
        <v>91</v>
      </c>
      <c r="B92" s="28" t="str">
        <f>IFERROR(__xludf.DUMMYFUNCTION("""COMPUTED_VALUE"""),"MUHAMMAD SYA`DANA")</f>
        <v>MUHAMMAD SYA`DANA</v>
      </c>
      <c r="C92" s="28">
        <f>IFERROR(__xludf.DUMMYFUNCTION("""COMPUTED_VALUE"""),2.024070715E9)</f>
        <v>2024070715</v>
      </c>
      <c r="D92" s="28" t="str">
        <f>IFERROR(__xludf.DUMMYFUNCTION("""COMPUTED_VALUE"""),"ACHMAD MU'ID")</f>
        <v>ACHMAD MU'ID</v>
      </c>
      <c r="E92" s="28" t="str">
        <f>IFERROR(__xludf.DUMMYFUNCTION("""COMPUTED_VALUE"""),"FATMAWATI")</f>
        <v>FATMAWATI</v>
      </c>
      <c r="F92" s="28" t="str">
        <f>IFERROR(__xludf.DUMMYFUNCTION("""COMPUTED_VALUE"""),"PARENGAN RT 4 RW 3 MADURAN LAMONGAN")</f>
        <v>PARENGAN RT 4 RW 3 MADURAN LAMONGAN</v>
      </c>
      <c r="G92" s="28" t="str">
        <f>IFERROR(__xludf.DUMMYFUNCTION("""COMPUTED_VALUE"""),"SMK-XII TKJ 2")</f>
        <v>SMK-XII TKJ 2</v>
      </c>
      <c r="H92" s="28" t="str">
        <f>IFERROR(__xludf.DUMMYFUNCTION("""COMPUTED_VALUE"""),"A")</f>
        <v>A</v>
      </c>
      <c r="I92" s="28" t="str">
        <f>IFERROR(__xludf.DUMMYFUNCTION("""COMPUTED_VALUE"""),"A-10")</f>
        <v>A-10</v>
      </c>
      <c r="J92" s="28">
        <f>IFERROR(__xludf.DUMMYFUNCTION("""COMPUTED_VALUE"""),3.0)</f>
        <v>3</v>
      </c>
      <c r="K92" s="28" t="str">
        <f>IFERROR(__xludf.DUMMYFUNCTION("""COMPUTED_VALUE"""),"3 WUSTHO PUTRA")</f>
        <v>3 WUSTHO PUTRA</v>
      </c>
      <c r="L92" s="29" t="str">
        <f>IFERROR(__xludf.DUMMYFUNCTION("""COMPUTED_VALUE"""),"6281216068509")</f>
        <v>6281216068509</v>
      </c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2">
        <f>IFERROR(__xludf.DUMMYFUNCTION("""COMPUTED_VALUE"""),450000.0)</f>
        <v>450000</v>
      </c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2">
        <f>IFERROR(__xludf.DUMMYFUNCTION("""COMPUTED_VALUE"""),450000.0)</f>
        <v>450000</v>
      </c>
      <c r="BD92" s="22">
        <f>IFERROR(__xludf.DUMMYFUNCTION("""COMPUTED_VALUE"""),0.0)</f>
        <v>0</v>
      </c>
      <c r="BE92" s="22">
        <f>IFERROR(__xludf.DUMMYFUNCTION("""COMPUTED_VALUE"""),0.0)</f>
        <v>0</v>
      </c>
      <c r="BF92" s="22">
        <f>IFERROR(__xludf.DUMMYFUNCTION("""COMPUTED_VALUE"""),450000.0)</f>
        <v>450000</v>
      </c>
    </row>
    <row r="93">
      <c r="A93" s="27">
        <f>IFERROR(__xludf.DUMMYFUNCTION("""COMPUTED_VALUE"""),92.0)</f>
        <v>92</v>
      </c>
      <c r="B93" s="28" t="str">
        <f>IFERROR(__xludf.DUMMYFUNCTION("""COMPUTED_VALUE"""),"MUHAMMAD ULINNUHA")</f>
        <v>MUHAMMAD ULINNUHA</v>
      </c>
      <c r="C93" s="28">
        <f>IFERROR(__xludf.DUMMYFUNCTION("""COMPUTED_VALUE"""),2.024070034E9)</f>
        <v>2024070034</v>
      </c>
      <c r="D93" s="28" t="str">
        <f>IFERROR(__xludf.DUMMYFUNCTION("""COMPUTED_VALUE"""),"MOH. MUSTA`IN")</f>
        <v>MOH. MUSTA`IN</v>
      </c>
      <c r="E93" s="28" t="str">
        <f>IFERROR(__xludf.DUMMYFUNCTION("""COMPUTED_VALUE"""),"RUKHOYATN")</f>
        <v>RUKHOYATN</v>
      </c>
      <c r="F93" s="28" t="str">
        <f>IFERROR(__xludf.DUMMYFUNCTION("""COMPUTED_VALUE"""),"WARUK RT 001 RW 002 KARANGBINANGUN LAMONGAN")</f>
        <v>WARUK RT 001 RW 002 KARANGBINANGUN LAMONGAN</v>
      </c>
      <c r="G93" s="28" t="str">
        <f>IFERROR(__xludf.DUMMYFUNCTION("""COMPUTED_VALUE"""),"MA-XII.2")</f>
        <v>MA-XII.2</v>
      </c>
      <c r="H93" s="28" t="str">
        <f>IFERROR(__xludf.DUMMYFUNCTION("""COMPUTED_VALUE"""),"A")</f>
        <v>A</v>
      </c>
      <c r="I93" s="28" t="str">
        <f>IFERROR(__xludf.DUMMYFUNCTION("""COMPUTED_VALUE"""),"A-4")</f>
        <v>A-4</v>
      </c>
      <c r="J93" s="28">
        <f>IFERROR(__xludf.DUMMYFUNCTION("""COMPUTED_VALUE"""),3.0)</f>
        <v>3</v>
      </c>
      <c r="K93" s="28" t="str">
        <f>IFERROR(__xludf.DUMMYFUNCTION("""COMPUTED_VALUE"""),"3 WUSTHO PUTRA")</f>
        <v>3 WUSTHO PUTRA</v>
      </c>
      <c r="L93" s="29" t="str">
        <f>IFERROR(__xludf.DUMMYFUNCTION("""COMPUTED_VALUE"""),"6285230868111")</f>
        <v>6285230868111</v>
      </c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2">
        <f>IFERROR(__xludf.DUMMYFUNCTION("""COMPUTED_VALUE"""),0.0)</f>
        <v>0</v>
      </c>
      <c r="BD93" s="22">
        <f>IFERROR(__xludf.DUMMYFUNCTION("""COMPUTED_VALUE"""),0.0)</f>
        <v>0</v>
      </c>
      <c r="BE93" s="22">
        <f>IFERROR(__xludf.DUMMYFUNCTION("""COMPUTED_VALUE"""),0.0)</f>
        <v>0</v>
      </c>
      <c r="BF93" s="22">
        <f>IFERROR(__xludf.DUMMYFUNCTION("""COMPUTED_VALUE"""),0.0)</f>
        <v>0</v>
      </c>
    </row>
    <row r="94">
      <c r="A94" s="27">
        <f>IFERROR(__xludf.DUMMYFUNCTION("""COMPUTED_VALUE"""),93.0)</f>
        <v>93</v>
      </c>
      <c r="B94" s="28" t="str">
        <f>IFERROR(__xludf.DUMMYFUNCTION("""COMPUTED_VALUE"""),"MUHYIDDIN FAQIH")</f>
        <v>MUHYIDDIN FAQIH</v>
      </c>
      <c r="C94" s="28">
        <f>IFERROR(__xludf.DUMMYFUNCTION("""COMPUTED_VALUE"""),2.024070299E9)</f>
        <v>2024070299</v>
      </c>
      <c r="D94" s="28" t="str">
        <f>IFERROR(__xludf.DUMMYFUNCTION("""COMPUTED_VALUE"""),"LAM KUDRON")</f>
        <v>LAM KUDRON</v>
      </c>
      <c r="E94" s="28" t="str">
        <f>IFERROR(__xludf.DUMMYFUNCTION("""COMPUTED_VALUE"""),"SUHARNIK")</f>
        <v>SUHARNIK</v>
      </c>
      <c r="F94" s="28" t="str">
        <f>IFERROR(__xludf.DUMMYFUNCTION("""COMPUTED_VALUE"""),"SAWO RT 003 RW 002 DUKUN GRESIK")</f>
        <v>SAWO RT 003 RW 002 DUKUN GRESIK</v>
      </c>
      <c r="G94" s="28" t="str">
        <f>IFERROR(__xludf.DUMMYFUNCTION("""COMPUTED_VALUE"""),"MA-XII.9")</f>
        <v>MA-XII.9</v>
      </c>
      <c r="H94" s="28" t="str">
        <f>IFERROR(__xludf.DUMMYFUNCTION("""COMPUTED_VALUE"""),"A")</f>
        <v>A</v>
      </c>
      <c r="I94" s="28" t="str">
        <f>IFERROR(__xludf.DUMMYFUNCTION("""COMPUTED_VALUE"""),"A-10")</f>
        <v>A-10</v>
      </c>
      <c r="J94" s="28">
        <f>IFERROR(__xludf.DUMMYFUNCTION("""COMPUTED_VALUE"""),3.0)</f>
        <v>3</v>
      </c>
      <c r="K94" s="28" t="str">
        <f>IFERROR(__xludf.DUMMYFUNCTION("""COMPUTED_VALUE"""),"3 WUSTHO PUTRA")</f>
        <v>3 WUSTHO PUTRA</v>
      </c>
      <c r="L94" s="29" t="str">
        <f>IFERROR(__xludf.DUMMYFUNCTION("""COMPUTED_VALUE"""),"6281554403924")</f>
        <v>6281554403924</v>
      </c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2">
        <f>IFERROR(__xludf.DUMMYFUNCTION("""COMPUTED_VALUE"""),450000.0)</f>
        <v>450000</v>
      </c>
      <c r="AO94" s="28"/>
      <c r="AP94" s="22">
        <f>IFERROR(__xludf.DUMMYFUNCTION("""COMPUTED_VALUE"""),500000.0)</f>
        <v>500000</v>
      </c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2">
        <f>IFERROR(__xludf.DUMMYFUNCTION("""COMPUTED_VALUE"""),450000.0)</f>
        <v>450000</v>
      </c>
      <c r="BD94" s="22">
        <f>IFERROR(__xludf.DUMMYFUNCTION("""COMPUTED_VALUE"""),500000.0)</f>
        <v>500000</v>
      </c>
      <c r="BE94" s="22">
        <f>IFERROR(__xludf.DUMMYFUNCTION("""COMPUTED_VALUE"""),0.0)</f>
        <v>0</v>
      </c>
      <c r="BF94" s="22">
        <f>IFERROR(__xludf.DUMMYFUNCTION("""COMPUTED_VALUE"""),950000.0)</f>
        <v>950000</v>
      </c>
    </row>
    <row r="95">
      <c r="A95" s="27">
        <f>IFERROR(__xludf.DUMMYFUNCTION("""COMPUTED_VALUE"""),94.0)</f>
        <v>94</v>
      </c>
      <c r="B95" s="28" t="str">
        <f>IFERROR(__xludf.DUMMYFUNCTION("""COMPUTED_VALUE"""),"NASHIH AMIN")</f>
        <v>NASHIH AMIN</v>
      </c>
      <c r="C95" s="28">
        <f>IFERROR(__xludf.DUMMYFUNCTION("""COMPUTED_VALUE"""),2.024070409E9)</f>
        <v>2024070409</v>
      </c>
      <c r="D95" s="28" t="str">
        <f>IFERROR(__xludf.DUMMYFUNCTION("""COMPUTED_VALUE"""),"SABAR NARIMO")</f>
        <v>SABAR NARIMO</v>
      </c>
      <c r="E95" s="28" t="str">
        <f>IFERROR(__xludf.DUMMYFUNCTION("""COMPUTED_VALUE"""),"LISTIANAH")</f>
        <v>LISTIANAH</v>
      </c>
      <c r="F95" s="28" t="str">
        <f>IFERROR(__xludf.DUMMYFUNCTION("""COMPUTED_VALUE"""),"TAMBAK ASRI 262-C MOROKREMBANGAN RT 008 RW 009 KREMBANGAN SURABAYA")</f>
        <v>TAMBAK ASRI 262-C MOROKREMBANGAN RT 008 RW 009 KREMBANGAN SURABAYA</v>
      </c>
      <c r="G95" s="28" t="str">
        <f>IFERROR(__xludf.DUMMYFUNCTION("""COMPUTED_VALUE"""),"MA-XII.13")</f>
        <v>MA-XII.13</v>
      </c>
      <c r="H95" s="28" t="str">
        <f>IFERROR(__xludf.DUMMYFUNCTION("""COMPUTED_VALUE"""),"A")</f>
        <v>A</v>
      </c>
      <c r="I95" s="28" t="str">
        <f>IFERROR(__xludf.DUMMYFUNCTION("""COMPUTED_VALUE"""),"A-2")</f>
        <v>A-2</v>
      </c>
      <c r="J95" s="28">
        <f>IFERROR(__xludf.DUMMYFUNCTION("""COMPUTED_VALUE"""),3.0)</f>
        <v>3</v>
      </c>
      <c r="K95" s="28" t="str">
        <f>IFERROR(__xludf.DUMMYFUNCTION("""COMPUTED_VALUE"""),"3 MAK PUTRA")</f>
        <v>3 MAK PUTRA</v>
      </c>
      <c r="L95" s="29" t="str">
        <f>IFERROR(__xludf.DUMMYFUNCTION("""COMPUTED_VALUE"""),"6285715548194")</f>
        <v>6285715548194</v>
      </c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2">
        <f>IFERROR(__xludf.DUMMYFUNCTION("""COMPUTED_VALUE"""),450000.0)</f>
        <v>450000</v>
      </c>
      <c r="AN95" s="22">
        <f>IFERROR(__xludf.DUMMYFUNCTION("""COMPUTED_VALUE"""),450000.0)</f>
        <v>450000</v>
      </c>
      <c r="AO95" s="28"/>
      <c r="AP95" s="22">
        <f>IFERROR(__xludf.DUMMYFUNCTION("""COMPUTED_VALUE"""),500000.0)</f>
        <v>500000</v>
      </c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2">
        <f>IFERROR(__xludf.DUMMYFUNCTION("""COMPUTED_VALUE"""),900000.0)</f>
        <v>900000</v>
      </c>
      <c r="BD95" s="22">
        <f>IFERROR(__xludf.DUMMYFUNCTION("""COMPUTED_VALUE"""),500000.0)</f>
        <v>500000</v>
      </c>
      <c r="BE95" s="22">
        <f>IFERROR(__xludf.DUMMYFUNCTION("""COMPUTED_VALUE"""),0.0)</f>
        <v>0</v>
      </c>
      <c r="BF95" s="22">
        <f>IFERROR(__xludf.DUMMYFUNCTION("""COMPUTED_VALUE"""),1400000.0)</f>
        <v>1400000</v>
      </c>
    </row>
    <row r="96">
      <c r="A96" s="27">
        <f>IFERROR(__xludf.DUMMYFUNCTION("""COMPUTED_VALUE"""),95.0)</f>
        <v>95</v>
      </c>
      <c r="B96" s="28" t="str">
        <f>IFERROR(__xludf.DUMMYFUNCTION("""COMPUTED_VALUE"""),"NAURIL ASTRA DIRGANTARA")</f>
        <v>NAURIL ASTRA DIRGANTARA</v>
      </c>
      <c r="C96" s="28">
        <f>IFERROR(__xludf.DUMMYFUNCTION("""COMPUTED_VALUE"""),2.024070713E9)</f>
        <v>2024070713</v>
      </c>
      <c r="D96" s="28" t="str">
        <f>IFERROR(__xludf.DUMMYFUNCTION("""COMPUTED_VALUE"""),"SUNARTO")</f>
        <v>SUNARTO</v>
      </c>
      <c r="E96" s="28" t="str">
        <f>IFERROR(__xludf.DUMMYFUNCTION("""COMPUTED_VALUE"""),"ERTINA YAROH")</f>
        <v>ERTINA YAROH</v>
      </c>
      <c r="F96" s="28" t="str">
        <f>IFERROR(__xludf.DUMMYFUNCTION("""COMPUTED_VALUE"""),"BANJARANYAR RT 007 RW 002 BAURENO BOJONEGORO")</f>
        <v>BANJARANYAR RT 007 RW 002 BAURENO BOJONEGORO</v>
      </c>
      <c r="G96" s="28" t="str">
        <f>IFERROR(__xludf.DUMMYFUNCTION("""COMPUTED_VALUE"""),"SMK-XII TKJ 1")</f>
        <v>SMK-XII TKJ 1</v>
      </c>
      <c r="H96" s="28" t="str">
        <f>IFERROR(__xludf.DUMMYFUNCTION("""COMPUTED_VALUE"""),"A")</f>
        <v>A</v>
      </c>
      <c r="I96" s="28" t="str">
        <f>IFERROR(__xludf.DUMMYFUNCTION("""COMPUTED_VALUE"""),"A-10")</f>
        <v>A-10</v>
      </c>
      <c r="J96" s="28">
        <f>IFERROR(__xludf.DUMMYFUNCTION("""COMPUTED_VALUE"""),3.0)</f>
        <v>3</v>
      </c>
      <c r="K96" s="28" t="str">
        <f>IFERROR(__xludf.DUMMYFUNCTION("""COMPUTED_VALUE"""),"3 WUSTHO PUTRA")</f>
        <v>3 WUSTHO PUTRA</v>
      </c>
      <c r="L96" s="29" t="str">
        <f>IFERROR(__xludf.DUMMYFUNCTION("""COMPUTED_VALUE"""),"6281286452697")</f>
        <v>6281286452697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2">
        <f>IFERROR(__xludf.DUMMYFUNCTION("""COMPUTED_VALUE"""),0.0)</f>
        <v>0</v>
      </c>
      <c r="BD96" s="22">
        <f>IFERROR(__xludf.DUMMYFUNCTION("""COMPUTED_VALUE"""),0.0)</f>
        <v>0</v>
      </c>
      <c r="BE96" s="22">
        <f>IFERROR(__xludf.DUMMYFUNCTION("""COMPUTED_VALUE"""),0.0)</f>
        <v>0</v>
      </c>
      <c r="BF96" s="22">
        <f>IFERROR(__xludf.DUMMYFUNCTION("""COMPUTED_VALUE"""),0.0)</f>
        <v>0</v>
      </c>
    </row>
    <row r="97">
      <c r="A97" s="27">
        <f>IFERROR(__xludf.DUMMYFUNCTION("""COMPUTED_VALUE"""),96.0)</f>
        <v>96</v>
      </c>
      <c r="B97" s="28" t="str">
        <f>IFERROR(__xludf.DUMMYFUNCTION("""COMPUTED_VALUE"""),"RAHMAT NURRUZAMAN AL ALI")</f>
        <v>RAHMAT NURRUZAMAN AL ALI</v>
      </c>
      <c r="C97" s="28">
        <f>IFERROR(__xludf.DUMMYFUNCTION("""COMPUTED_VALUE"""),2.02407018E9)</f>
        <v>2024070180</v>
      </c>
      <c r="D97" s="28" t="str">
        <f>IFERROR(__xludf.DUMMYFUNCTION("""COMPUTED_VALUE"""),"ALI SHODIKIN")</f>
        <v>ALI SHODIKIN</v>
      </c>
      <c r="E97" s="28" t="str">
        <f>IFERROR(__xludf.DUMMYFUNCTION("""COMPUTED_VALUE"""),"SITI MAIDAH")</f>
        <v>SITI MAIDAH</v>
      </c>
      <c r="F97" s="28" t="str">
        <f>IFERROR(__xludf.DUMMYFUNCTION("""COMPUTED_VALUE"""),"PUCANGRO RT 1 RW 1 KALITENGAH LAMONGAN")</f>
        <v>PUCANGRO RT 1 RW 1 KALITENGAH LAMONGAN</v>
      </c>
      <c r="G97" s="28" t="str">
        <f>IFERROR(__xludf.DUMMYFUNCTION("""COMPUTED_VALUE"""),"MA-XII.5")</f>
        <v>MA-XII.5</v>
      </c>
      <c r="H97" s="28" t="str">
        <f>IFERROR(__xludf.DUMMYFUNCTION("""COMPUTED_VALUE"""),"A")</f>
        <v>A</v>
      </c>
      <c r="I97" s="28" t="str">
        <f>IFERROR(__xludf.DUMMYFUNCTION("""COMPUTED_VALUE"""),"A-2")</f>
        <v>A-2</v>
      </c>
      <c r="J97" s="28">
        <f>IFERROR(__xludf.DUMMYFUNCTION("""COMPUTED_VALUE"""),3.0)</f>
        <v>3</v>
      </c>
      <c r="K97" s="28" t="str">
        <f>IFERROR(__xludf.DUMMYFUNCTION("""COMPUTED_VALUE"""),"3 WUSTHO PUTRA")</f>
        <v>3 WUSTHO PUTRA</v>
      </c>
      <c r="L97" s="29" t="str">
        <f>IFERROR(__xludf.DUMMYFUNCTION("""COMPUTED_VALUE"""),"62895605958887")</f>
        <v>62895605958887</v>
      </c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2">
        <f>IFERROR(__xludf.DUMMYFUNCTION("""COMPUTED_VALUE"""),0.0)</f>
        <v>0</v>
      </c>
      <c r="BD97" s="22">
        <f>IFERROR(__xludf.DUMMYFUNCTION("""COMPUTED_VALUE"""),0.0)</f>
        <v>0</v>
      </c>
      <c r="BE97" s="22">
        <f>IFERROR(__xludf.DUMMYFUNCTION("""COMPUTED_VALUE"""),0.0)</f>
        <v>0</v>
      </c>
      <c r="BF97" s="22">
        <f>IFERROR(__xludf.DUMMYFUNCTION("""COMPUTED_VALUE"""),0.0)</f>
        <v>0</v>
      </c>
    </row>
    <row r="98">
      <c r="A98" s="27">
        <f>IFERROR(__xludf.DUMMYFUNCTION("""COMPUTED_VALUE"""),97.0)</f>
        <v>97</v>
      </c>
      <c r="B98" s="28" t="str">
        <f>IFERROR(__xludf.DUMMYFUNCTION("""COMPUTED_VALUE"""),"RIDHO BINTANG PAMUNGKAS")</f>
        <v>RIDHO BINTANG PAMUNGKAS</v>
      </c>
      <c r="C98" s="28">
        <f>IFERROR(__xludf.DUMMYFUNCTION("""COMPUTED_VALUE"""),2.024070181E9)</f>
        <v>2024070181</v>
      </c>
      <c r="D98" s="28" t="str">
        <f>IFERROR(__xludf.DUMMYFUNCTION("""COMPUTED_VALUE"""),"ABDUL AZIZ")</f>
        <v>ABDUL AZIZ</v>
      </c>
      <c r="E98" s="28" t="str">
        <f>IFERROR(__xludf.DUMMYFUNCTION("""COMPUTED_VALUE"""),"SITI FATIMAH")</f>
        <v>SITI FATIMAH</v>
      </c>
      <c r="F98" s="28" t="str">
        <f>IFERROR(__xludf.DUMMYFUNCTION("""COMPUTED_VALUE"""),"PETIYIN TAKERHARJO RT 002 RW 005 SOLOKURO LAMONGAN")</f>
        <v>PETIYIN TAKERHARJO RT 002 RW 005 SOLOKURO LAMONGAN</v>
      </c>
      <c r="G98" s="28" t="str">
        <f>IFERROR(__xludf.DUMMYFUNCTION("""COMPUTED_VALUE"""),"MA-XII.5")</f>
        <v>MA-XII.5</v>
      </c>
      <c r="H98" s="28" t="str">
        <f>IFERROR(__xludf.DUMMYFUNCTION("""COMPUTED_VALUE"""),"A")</f>
        <v>A</v>
      </c>
      <c r="I98" s="28" t="str">
        <f>IFERROR(__xludf.DUMMYFUNCTION("""COMPUTED_VALUE"""),"A-10")</f>
        <v>A-10</v>
      </c>
      <c r="J98" s="28">
        <f>IFERROR(__xludf.DUMMYFUNCTION("""COMPUTED_VALUE"""),3.0)</f>
        <v>3</v>
      </c>
      <c r="K98" s="28" t="str">
        <f>IFERROR(__xludf.DUMMYFUNCTION("""COMPUTED_VALUE"""),"3 WUSTHO PUTRA")</f>
        <v>3 WUSTHO PUTRA</v>
      </c>
      <c r="L98" s="29" t="str">
        <f>IFERROR(__xludf.DUMMYFUNCTION("""COMPUTED_VALUE"""),"6285732113931")</f>
        <v>6285732113931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2">
        <f>IFERROR(__xludf.DUMMYFUNCTION("""COMPUTED_VALUE"""),0.0)</f>
        <v>0</v>
      </c>
      <c r="BD98" s="22">
        <f>IFERROR(__xludf.DUMMYFUNCTION("""COMPUTED_VALUE"""),0.0)</f>
        <v>0</v>
      </c>
      <c r="BE98" s="22">
        <f>IFERROR(__xludf.DUMMYFUNCTION("""COMPUTED_VALUE"""),0.0)</f>
        <v>0</v>
      </c>
      <c r="BF98" s="22">
        <f>IFERROR(__xludf.DUMMYFUNCTION("""COMPUTED_VALUE"""),0.0)</f>
        <v>0</v>
      </c>
    </row>
    <row r="99">
      <c r="A99" s="27">
        <f>IFERROR(__xludf.DUMMYFUNCTION("""COMPUTED_VALUE"""),98.0)</f>
        <v>98</v>
      </c>
      <c r="B99" s="28" t="str">
        <f>IFERROR(__xludf.DUMMYFUNCTION("""COMPUTED_VALUE"""),"RIJALU FACHRI NA`IM")</f>
        <v>RIJALU FACHRI NA`IM</v>
      </c>
      <c r="C99" s="28">
        <f>IFERROR(__xludf.DUMMYFUNCTION("""COMPUTED_VALUE"""),2.024070099E9)</f>
        <v>2024070099</v>
      </c>
      <c r="D99" s="28" t="str">
        <f>IFERROR(__xludf.DUMMYFUNCTION("""COMPUTED_VALUE"""),"SAUPIN")</f>
        <v>SAUPIN</v>
      </c>
      <c r="E99" s="28" t="str">
        <f>IFERROR(__xludf.DUMMYFUNCTION("""COMPUTED_VALUE"""),"RIZKUL MAFTUHAH")</f>
        <v>RIZKUL MAFTUHAH</v>
      </c>
      <c r="F99" s="28" t="str">
        <f>IFERROR(__xludf.DUMMYFUNCTION("""COMPUTED_VALUE"""),"GENENG INDAH RT 5 RW 8 BRONDONG LAMONGAN")</f>
        <v>GENENG INDAH RT 5 RW 8 BRONDONG LAMONGAN</v>
      </c>
      <c r="G99" s="28" t="str">
        <f>IFERROR(__xludf.DUMMYFUNCTION("""COMPUTED_VALUE"""),"MA-XII.4")</f>
        <v>MA-XII.4</v>
      </c>
      <c r="H99" s="28" t="str">
        <f>IFERROR(__xludf.DUMMYFUNCTION("""COMPUTED_VALUE"""),"A")</f>
        <v>A</v>
      </c>
      <c r="I99" s="28" t="str">
        <f>IFERROR(__xludf.DUMMYFUNCTION("""COMPUTED_VALUE"""),"A-10")</f>
        <v>A-10</v>
      </c>
      <c r="J99" s="28">
        <f>IFERROR(__xludf.DUMMYFUNCTION("""COMPUTED_VALUE"""),3.0)</f>
        <v>3</v>
      </c>
      <c r="K99" s="28" t="str">
        <f>IFERROR(__xludf.DUMMYFUNCTION("""COMPUTED_VALUE"""),"3 WUSTHO PUTRA")</f>
        <v>3 WUSTHO PUTRA</v>
      </c>
      <c r="L99" s="29" t="str">
        <f>IFERROR(__xludf.DUMMYFUNCTION("""COMPUTED_VALUE"""),"6281333389848")</f>
        <v>6281333389848</v>
      </c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2">
        <f>IFERROR(__xludf.DUMMYFUNCTION("""COMPUTED_VALUE"""),0.0)</f>
        <v>0</v>
      </c>
      <c r="BD99" s="22">
        <f>IFERROR(__xludf.DUMMYFUNCTION("""COMPUTED_VALUE"""),0.0)</f>
        <v>0</v>
      </c>
      <c r="BE99" s="22">
        <f>IFERROR(__xludf.DUMMYFUNCTION("""COMPUTED_VALUE"""),0.0)</f>
        <v>0</v>
      </c>
      <c r="BF99" s="22">
        <f>IFERROR(__xludf.DUMMYFUNCTION("""COMPUTED_VALUE"""),0.0)</f>
        <v>0</v>
      </c>
    </row>
    <row r="100">
      <c r="A100" s="27">
        <f>IFERROR(__xludf.DUMMYFUNCTION("""COMPUTED_VALUE"""),99.0)</f>
        <v>99</v>
      </c>
      <c r="B100" s="28" t="str">
        <f>IFERROR(__xludf.DUMMYFUNCTION("""COMPUTED_VALUE"""),"ROKHMAT")</f>
        <v>ROKHMAT</v>
      </c>
      <c r="C100" s="28">
        <f>IFERROR(__xludf.DUMMYFUNCTION("""COMPUTED_VALUE"""),2.024070145E9)</f>
        <v>2024070145</v>
      </c>
      <c r="D100" s="28" t="str">
        <f>IFERROR(__xludf.DUMMYFUNCTION("""COMPUTED_VALUE"""),"BAMBANG SUPRAYITNO")</f>
        <v>BAMBANG SUPRAYITNO</v>
      </c>
      <c r="E100" s="28" t="str">
        <f>IFERROR(__xludf.DUMMYFUNCTION("""COMPUTED_VALUE"""),"SITI AMINAH")</f>
        <v>SITI AMINAH</v>
      </c>
      <c r="F100" s="28" t="str">
        <f>IFERROR(__xludf.DUMMYFUNCTION("""COMPUTED_VALUE"""),"PERTANIAN RT 002 RW 002 SEKARAN LAMONGAN")</f>
        <v>PERTANIAN RT 002 RW 002 SEKARAN LAMONGAN</v>
      </c>
      <c r="G100" s="28" t="str">
        <f>IFERROR(__xludf.DUMMYFUNCTION("""COMPUTED_VALUE"""),"MA-XII.5")</f>
        <v>MA-XII.5</v>
      </c>
      <c r="H100" s="28" t="str">
        <f>IFERROR(__xludf.DUMMYFUNCTION("""COMPUTED_VALUE"""),"A")</f>
        <v>A</v>
      </c>
      <c r="I100" s="28" t="str">
        <f>IFERROR(__xludf.DUMMYFUNCTION("""COMPUTED_VALUE"""),"A-10")</f>
        <v>A-10</v>
      </c>
      <c r="J100" s="28">
        <f>IFERROR(__xludf.DUMMYFUNCTION("""COMPUTED_VALUE"""),3.0)</f>
        <v>3</v>
      </c>
      <c r="K100" s="28" t="str">
        <f>IFERROR(__xludf.DUMMYFUNCTION("""COMPUTED_VALUE"""),"3 WUSTHO PUTRA")</f>
        <v>3 WUSTHO PUTRA</v>
      </c>
      <c r="L100" s="29" t="str">
        <f>IFERROR(__xludf.DUMMYFUNCTION("""COMPUTED_VALUE"""),"628564609510")</f>
        <v>628564609510</v>
      </c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2">
        <f>IFERROR(__xludf.DUMMYFUNCTION("""COMPUTED_VALUE"""),0.0)</f>
        <v>0</v>
      </c>
      <c r="BD100" s="22">
        <f>IFERROR(__xludf.DUMMYFUNCTION("""COMPUTED_VALUE"""),0.0)</f>
        <v>0</v>
      </c>
      <c r="BE100" s="22">
        <f>IFERROR(__xludf.DUMMYFUNCTION("""COMPUTED_VALUE"""),0.0)</f>
        <v>0</v>
      </c>
      <c r="BF100" s="22">
        <f>IFERROR(__xludf.DUMMYFUNCTION("""COMPUTED_VALUE"""),0.0)</f>
        <v>0</v>
      </c>
    </row>
    <row r="101">
      <c r="A101" s="27">
        <f>IFERROR(__xludf.DUMMYFUNCTION("""COMPUTED_VALUE"""),100.0)</f>
        <v>100</v>
      </c>
      <c r="B101" s="28" t="str">
        <f>IFERROR(__xludf.DUMMYFUNCTION("""COMPUTED_VALUE"""),"SYAHRUL MAULANA ARIF")</f>
        <v>SYAHRUL MAULANA ARIF</v>
      </c>
      <c r="C101" s="28">
        <f>IFERROR(__xludf.DUMMYFUNCTION("""COMPUTED_VALUE"""),2.02407041E9)</f>
        <v>2024070410</v>
      </c>
      <c r="D101" s="28" t="str">
        <f>IFERROR(__xludf.DUMMYFUNCTION("""COMPUTED_VALUE"""),"MOKHAMAD ASIKIN KURNIAWAN")</f>
        <v>MOKHAMAD ASIKIN KURNIAWAN</v>
      </c>
      <c r="E101" s="28" t="str">
        <f>IFERROR(__xludf.DUMMYFUNCTION("""COMPUTED_VALUE"""),"IRMAWATI")</f>
        <v>IRMAWATI</v>
      </c>
      <c r="F101" s="28" t="str">
        <f>IFERROR(__xludf.DUMMYFUNCTION("""COMPUTED_VALUE"""),"PATALAN SUMBERJO RT 3 RW 1 PUCUK LAMONGAN")</f>
        <v>PATALAN SUMBERJO RT 3 RW 1 PUCUK LAMONGAN</v>
      </c>
      <c r="G101" s="28" t="str">
        <f>IFERROR(__xludf.DUMMYFUNCTION("""COMPUTED_VALUE"""),"MA-XII.9")</f>
        <v>MA-XII.9</v>
      </c>
      <c r="H101" s="28" t="str">
        <f>IFERROR(__xludf.DUMMYFUNCTION("""COMPUTED_VALUE"""),"A")</f>
        <v>A</v>
      </c>
      <c r="I101" s="28" t="str">
        <f>IFERROR(__xludf.DUMMYFUNCTION("""COMPUTED_VALUE"""),"A-10")</f>
        <v>A-10</v>
      </c>
      <c r="J101" s="28">
        <f>IFERROR(__xludf.DUMMYFUNCTION("""COMPUTED_VALUE"""),3.0)</f>
        <v>3</v>
      </c>
      <c r="K101" s="28" t="str">
        <f>IFERROR(__xludf.DUMMYFUNCTION("""COMPUTED_VALUE"""),"3 WUSTHO PUTRA")</f>
        <v>3 WUSTHO PUTRA</v>
      </c>
      <c r="L101" s="29" t="str">
        <f>IFERROR(__xludf.DUMMYFUNCTION("""COMPUTED_VALUE"""),"6285606326321")</f>
        <v>6285606326321</v>
      </c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2">
        <f>IFERROR(__xludf.DUMMYFUNCTION("""COMPUTED_VALUE"""),0.0)</f>
        <v>0</v>
      </c>
      <c r="BD101" s="22">
        <f>IFERROR(__xludf.DUMMYFUNCTION("""COMPUTED_VALUE"""),0.0)</f>
        <v>0</v>
      </c>
      <c r="BE101" s="22">
        <f>IFERROR(__xludf.DUMMYFUNCTION("""COMPUTED_VALUE"""),0.0)</f>
        <v>0</v>
      </c>
      <c r="BF101" s="22">
        <f>IFERROR(__xludf.DUMMYFUNCTION("""COMPUTED_VALUE"""),0.0)</f>
        <v>0</v>
      </c>
    </row>
    <row r="102">
      <c r="A102" s="27">
        <f>IFERROR(__xludf.DUMMYFUNCTION("""COMPUTED_VALUE"""),101.0)</f>
        <v>101</v>
      </c>
      <c r="B102" s="28" t="str">
        <f>IFERROR(__xludf.DUMMYFUNCTION("""COMPUTED_VALUE"""),"WAHYU UBAIDHILLAH")</f>
        <v>WAHYU UBAIDHILLAH</v>
      </c>
      <c r="C102" s="28">
        <f>IFERROR(__xludf.DUMMYFUNCTION("""COMPUTED_VALUE"""),2.024070065E9)</f>
        <v>2024070065</v>
      </c>
      <c r="D102" s="28" t="str">
        <f>IFERROR(__xludf.DUMMYFUNCTION("""COMPUTED_VALUE"""),"SUBEKAN")</f>
        <v>SUBEKAN</v>
      </c>
      <c r="E102" s="28" t="str">
        <f>IFERROR(__xludf.DUMMYFUNCTION("""COMPUTED_VALUE"""),"LEMU SA`ADAH")</f>
        <v>LEMU SA`ADAH</v>
      </c>
      <c r="F102" s="28" t="str">
        <f>IFERROR(__xludf.DUMMYFUNCTION("""COMPUTED_VALUE"""),"KARANGGAYAM CT. VIII CATURTUNGGAL RT 2 RW 1 DEPOK SLEMAN")</f>
        <v>KARANGGAYAM CT. VIII CATURTUNGGAL RT 2 RW 1 DEPOK SLEMAN</v>
      </c>
      <c r="G102" s="28" t="str">
        <f>IFERROR(__xludf.DUMMYFUNCTION("""COMPUTED_VALUE"""),"MA-XII.3")</f>
        <v>MA-XII.3</v>
      </c>
      <c r="H102" s="28" t="str">
        <f>IFERROR(__xludf.DUMMYFUNCTION("""COMPUTED_VALUE"""),"A")</f>
        <v>A</v>
      </c>
      <c r="I102" s="28" t="str">
        <f>IFERROR(__xludf.DUMMYFUNCTION("""COMPUTED_VALUE"""),"A-10")</f>
        <v>A-10</v>
      </c>
      <c r="J102" s="28">
        <f>IFERROR(__xludf.DUMMYFUNCTION("""COMPUTED_VALUE"""),3.0)</f>
        <v>3</v>
      </c>
      <c r="K102" s="28" t="str">
        <f>IFERROR(__xludf.DUMMYFUNCTION("""COMPUTED_VALUE"""),"3 WUSTHO PUTRA")</f>
        <v>3 WUSTHO PUTRA</v>
      </c>
      <c r="L102" s="29" t="str">
        <f>IFERROR(__xludf.DUMMYFUNCTION("""COMPUTED_VALUE"""),"6285640124812")</f>
        <v>6285640124812</v>
      </c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2">
        <f>IFERROR(__xludf.DUMMYFUNCTION("""COMPUTED_VALUE"""),450000.0)</f>
        <v>450000</v>
      </c>
      <c r="AL102" s="22">
        <f>IFERROR(__xludf.DUMMYFUNCTION("""COMPUTED_VALUE"""),450000.0)</f>
        <v>450000</v>
      </c>
      <c r="AM102" s="22">
        <f>IFERROR(__xludf.DUMMYFUNCTION("""COMPUTED_VALUE"""),450000.0)</f>
        <v>450000</v>
      </c>
      <c r="AN102" s="22">
        <f>IFERROR(__xludf.DUMMYFUNCTION("""COMPUTED_VALUE"""),450000.0)</f>
        <v>450000</v>
      </c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2">
        <f>IFERROR(__xludf.DUMMYFUNCTION("""COMPUTED_VALUE"""),1800000.0)</f>
        <v>1800000</v>
      </c>
      <c r="BD102" s="22">
        <f>IFERROR(__xludf.DUMMYFUNCTION("""COMPUTED_VALUE"""),0.0)</f>
        <v>0</v>
      </c>
      <c r="BE102" s="22">
        <f>IFERROR(__xludf.DUMMYFUNCTION("""COMPUTED_VALUE"""),0.0)</f>
        <v>0</v>
      </c>
      <c r="BF102" s="22">
        <f>IFERROR(__xludf.DUMMYFUNCTION("""COMPUTED_VALUE"""),1800000.0)</f>
        <v>1800000</v>
      </c>
    </row>
    <row r="103">
      <c r="A103" s="27">
        <f>IFERROR(__xludf.DUMMYFUNCTION("""COMPUTED_VALUE"""),102.0)</f>
        <v>102</v>
      </c>
      <c r="B103" s="28" t="str">
        <f>IFERROR(__xludf.DUMMYFUNCTION("""COMPUTED_VALUE"""),"WILDAN ARFIAN")</f>
        <v>WILDAN ARFIAN</v>
      </c>
      <c r="C103" s="28">
        <f>IFERROR(__xludf.DUMMYFUNCTION("""COMPUTED_VALUE"""),2.024070411E9)</f>
        <v>2024070411</v>
      </c>
      <c r="D103" s="28" t="str">
        <f>IFERROR(__xludf.DUMMYFUNCTION("""COMPUTED_VALUE"""),"ZAENAL ARIFIN")</f>
        <v>ZAENAL ARIFIN</v>
      </c>
      <c r="E103" s="28" t="str">
        <f>IFERROR(__xludf.DUMMYFUNCTION("""COMPUTED_VALUE"""),"MARATUL MUKARROMAH")</f>
        <v>MARATUL MUKARROMAH</v>
      </c>
      <c r="F103" s="28" t="str">
        <f>IFERROR(__xludf.DUMMYFUNCTION("""COMPUTED_VALUE"""),"KREBET KAYULEMAH RT 006 RW 002 SUMBERREJO BOJONEGORO")</f>
        <v>KREBET KAYULEMAH RT 006 RW 002 SUMBERREJO BOJONEGORO</v>
      </c>
      <c r="G103" s="28" t="str">
        <f>IFERROR(__xludf.DUMMYFUNCTION("""COMPUTED_VALUE"""),"MA-XII.13")</f>
        <v>MA-XII.13</v>
      </c>
      <c r="H103" s="28" t="str">
        <f>IFERROR(__xludf.DUMMYFUNCTION("""COMPUTED_VALUE"""),"A")</f>
        <v>A</v>
      </c>
      <c r="I103" s="28" t="str">
        <f>IFERROR(__xludf.DUMMYFUNCTION("""COMPUTED_VALUE"""),"A-2")</f>
        <v>A-2</v>
      </c>
      <c r="J103" s="28">
        <f>IFERROR(__xludf.DUMMYFUNCTION("""COMPUTED_VALUE"""),3.0)</f>
        <v>3</v>
      </c>
      <c r="K103" s="28" t="str">
        <f>IFERROR(__xludf.DUMMYFUNCTION("""COMPUTED_VALUE"""),"3 MAK PUTRA")</f>
        <v>3 MAK PUTRA</v>
      </c>
      <c r="L103" s="29" t="str">
        <f>IFERROR(__xludf.DUMMYFUNCTION("""COMPUTED_VALUE"""),"6282275756518")</f>
        <v>6282275756518</v>
      </c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2">
        <f>IFERROR(__xludf.DUMMYFUNCTION("""COMPUTED_VALUE"""),500000.0)</f>
        <v>500000</v>
      </c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2">
        <f>IFERROR(__xludf.DUMMYFUNCTION("""COMPUTED_VALUE"""),0.0)</f>
        <v>0</v>
      </c>
      <c r="BD103" s="22">
        <f>IFERROR(__xludf.DUMMYFUNCTION("""COMPUTED_VALUE"""),500000.0)</f>
        <v>500000</v>
      </c>
      <c r="BE103" s="22">
        <f>IFERROR(__xludf.DUMMYFUNCTION("""COMPUTED_VALUE"""),0.0)</f>
        <v>0</v>
      </c>
      <c r="BF103" s="22">
        <f>IFERROR(__xludf.DUMMYFUNCTION("""COMPUTED_VALUE"""),500000.0)</f>
        <v>500000</v>
      </c>
    </row>
    <row r="104">
      <c r="A104" s="27">
        <f>IFERROR(__xludf.DUMMYFUNCTION("""COMPUTED_VALUE"""),103.0)</f>
        <v>103</v>
      </c>
      <c r="B104" s="28" t="str">
        <f>IFERROR(__xludf.DUMMYFUNCTION("""COMPUTED_VALUE"""),"ADELIAH PUTRI FEBRIANI")</f>
        <v>ADELIAH PUTRI FEBRIANI</v>
      </c>
      <c r="C104" s="28">
        <f>IFERROR(__xludf.DUMMYFUNCTION("""COMPUTED_VALUE"""),2.024070735E9)</f>
        <v>2024070735</v>
      </c>
      <c r="D104" s="28" t="str">
        <f>IFERROR(__xludf.DUMMYFUNCTION("""COMPUTED_VALUE"""),"MASKUN")</f>
        <v>MASKUN</v>
      </c>
      <c r="E104" s="28" t="str">
        <f>IFERROR(__xludf.DUMMYFUNCTION("""COMPUTED_VALUE"""),"NASHOHAH")</f>
        <v>NASHOHAH</v>
      </c>
      <c r="F104" s="28" t="str">
        <f>IFERROR(__xludf.DUMMYFUNCTION("""COMPUTED_VALUE"""),"DORO KARANGWEDORO RT 001 RW 001 TURI LAMONGAN")</f>
        <v>DORO KARANGWEDORO RT 001 RW 001 TURI LAMONGAN</v>
      </c>
      <c r="G104" s="28" t="str">
        <f>IFERROR(__xludf.DUMMYFUNCTION("""COMPUTED_VALUE"""),"SMP-IX C")</f>
        <v>SMP-IX C</v>
      </c>
      <c r="H104" s="28" t="str">
        <f>IFERROR(__xludf.DUMMYFUNCTION("""COMPUTED_VALUE"""),"B")</f>
        <v>B</v>
      </c>
      <c r="I104" s="28" t="str">
        <f>IFERROR(__xludf.DUMMYFUNCTION("""COMPUTED_VALUE"""),"B-9")</f>
        <v>B-9</v>
      </c>
      <c r="J104" s="28">
        <f>IFERROR(__xludf.DUMMYFUNCTION("""COMPUTED_VALUE"""),3.0)</f>
        <v>3</v>
      </c>
      <c r="K104" s="28" t="str">
        <f>IFERROR(__xludf.DUMMYFUNCTION("""COMPUTED_VALUE"""),"3 ULA C PUTRI")</f>
        <v>3 ULA C PUTRI</v>
      </c>
      <c r="L104" s="29" t="str">
        <f>IFERROR(__xludf.DUMMYFUNCTION("""COMPUTED_VALUE"""),"6285706603124")</f>
        <v>6285706603124</v>
      </c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2">
        <f>IFERROR(__xludf.DUMMYFUNCTION("""COMPUTED_VALUE"""),450000.0)</f>
        <v>450000</v>
      </c>
      <c r="AO104" s="28"/>
      <c r="AP104" s="22">
        <f>IFERROR(__xludf.DUMMYFUNCTION("""COMPUTED_VALUE"""),500000.0)</f>
        <v>500000</v>
      </c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2">
        <f>IFERROR(__xludf.DUMMYFUNCTION("""COMPUTED_VALUE"""),450000.0)</f>
        <v>450000</v>
      </c>
      <c r="BD104" s="22">
        <f>IFERROR(__xludf.DUMMYFUNCTION("""COMPUTED_VALUE"""),500000.0)</f>
        <v>500000</v>
      </c>
      <c r="BE104" s="22">
        <f>IFERROR(__xludf.DUMMYFUNCTION("""COMPUTED_VALUE"""),0.0)</f>
        <v>0</v>
      </c>
      <c r="BF104" s="22">
        <f>IFERROR(__xludf.DUMMYFUNCTION("""COMPUTED_VALUE"""),950000.0)</f>
        <v>950000</v>
      </c>
    </row>
    <row r="105">
      <c r="A105" s="27">
        <f>IFERROR(__xludf.DUMMYFUNCTION("""COMPUTED_VALUE"""),104.0)</f>
        <v>104</v>
      </c>
      <c r="B105" s="28" t="str">
        <f>IFERROR(__xludf.DUMMYFUNCTION("""COMPUTED_VALUE"""),"ALIFIA SEPTIANI AZ ZAHRA")</f>
        <v>ALIFIA SEPTIANI AZ ZAHRA</v>
      </c>
      <c r="C105" s="28">
        <f>IFERROR(__xludf.DUMMYFUNCTION("""COMPUTED_VALUE"""),2.024090773E9)</f>
        <v>2024090773</v>
      </c>
      <c r="D105" s="28" t="str">
        <f>IFERROR(__xludf.DUMMYFUNCTION("""COMPUTED_VALUE"""),"JOKO SUTRISNO")</f>
        <v>JOKO SUTRISNO</v>
      </c>
      <c r="E105" s="28" t="str">
        <f>IFERROR(__xludf.DUMMYFUNCTION("""COMPUTED_VALUE"""),"KHOIRUL FITRI")</f>
        <v>KHOIRUL FITRI</v>
      </c>
      <c r="F105" s="28" t="str">
        <f>IFERROR(__xludf.DUMMYFUNCTION("""COMPUTED_VALUE"""),"DORO KARANGWEDORO RT 006 RW 002 TURI LAMONGAN")</f>
        <v>DORO KARANGWEDORO RT 006 RW 002 TURI LAMONGAN</v>
      </c>
      <c r="G105" s="28" t="str">
        <f>IFERROR(__xludf.DUMMYFUNCTION("""COMPUTED_VALUE"""),"MTS-9 C")</f>
        <v>MTS-9 C</v>
      </c>
      <c r="H105" s="28" t="str">
        <f>IFERROR(__xludf.DUMMYFUNCTION("""COMPUTED_VALUE"""),"B")</f>
        <v>B</v>
      </c>
      <c r="I105" s="28" t="str">
        <f>IFERROR(__xludf.DUMMYFUNCTION("""COMPUTED_VALUE"""),"B-9")</f>
        <v>B-9</v>
      </c>
      <c r="J105" s="28">
        <f>IFERROR(__xludf.DUMMYFUNCTION("""COMPUTED_VALUE"""),3.0)</f>
        <v>3</v>
      </c>
      <c r="K105" s="28" t="str">
        <f>IFERROR(__xludf.DUMMYFUNCTION("""COMPUTED_VALUE"""),"3 ULA C PUTRI")</f>
        <v>3 ULA C PUTRI</v>
      </c>
      <c r="L105" s="29" t="str">
        <f>IFERROR(__xludf.DUMMYFUNCTION("""COMPUTED_VALUE"""),"6281556637615")</f>
        <v>6281556637615</v>
      </c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2">
        <f>IFERROR(__xludf.DUMMYFUNCTION("""COMPUTED_VALUE"""),450000.0)</f>
        <v>450000</v>
      </c>
      <c r="AN105" s="22">
        <f>IFERROR(__xludf.DUMMYFUNCTION("""COMPUTED_VALUE"""),450000.0)</f>
        <v>450000</v>
      </c>
      <c r="AO105" s="28"/>
      <c r="AP105" s="22">
        <f>IFERROR(__xludf.DUMMYFUNCTION("""COMPUTED_VALUE"""),500000.0)</f>
        <v>500000</v>
      </c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2">
        <f>IFERROR(__xludf.DUMMYFUNCTION("""COMPUTED_VALUE"""),900000.0)</f>
        <v>900000</v>
      </c>
      <c r="BD105" s="22">
        <f>IFERROR(__xludf.DUMMYFUNCTION("""COMPUTED_VALUE"""),500000.0)</f>
        <v>500000</v>
      </c>
      <c r="BE105" s="22">
        <f>IFERROR(__xludf.DUMMYFUNCTION("""COMPUTED_VALUE"""),0.0)</f>
        <v>0</v>
      </c>
      <c r="BF105" s="22">
        <f>IFERROR(__xludf.DUMMYFUNCTION("""COMPUTED_VALUE"""),1400000.0)</f>
        <v>1400000</v>
      </c>
    </row>
    <row r="106">
      <c r="A106" s="27">
        <f>IFERROR(__xludf.DUMMYFUNCTION("""COMPUTED_VALUE"""),105.0)</f>
        <v>105</v>
      </c>
      <c r="B106" s="28" t="str">
        <f>IFERROR(__xludf.DUMMYFUNCTION("""COMPUTED_VALUE"""),"ALYA SHIFA AZZAHRA")</f>
        <v>ALYA SHIFA AZZAHRA</v>
      </c>
      <c r="C106" s="28">
        <f>IFERROR(__xludf.DUMMYFUNCTION("""COMPUTED_VALUE"""),2.024070579E9)</f>
        <v>2024070579</v>
      </c>
      <c r="D106" s="28" t="str">
        <f>IFERROR(__xludf.DUMMYFUNCTION("""COMPUTED_VALUE"""),"ARIF ROHMAN")</f>
        <v>ARIF ROHMAN</v>
      </c>
      <c r="E106" s="28" t="str">
        <f>IFERROR(__xludf.DUMMYFUNCTION("""COMPUTED_VALUE"""),"SULASTRI")</f>
        <v>SULASTRI</v>
      </c>
      <c r="F106" s="28" t="str">
        <f>IFERROR(__xludf.DUMMYFUNCTION("""COMPUTED_VALUE"""),"BANJARAN TURI RT 008 RW 002 MADURAN LAMONGAN")</f>
        <v>BANJARAN TURI RT 008 RW 002 MADURAN LAMONGAN</v>
      </c>
      <c r="G106" s="28" t="str">
        <f>IFERROR(__xludf.DUMMYFUNCTION("""COMPUTED_VALUE"""),"MTS-9 G")</f>
        <v>MTS-9 G</v>
      </c>
      <c r="H106" s="28" t="str">
        <f>IFERROR(__xludf.DUMMYFUNCTION("""COMPUTED_VALUE"""),"B")</f>
        <v>B</v>
      </c>
      <c r="I106" s="28" t="str">
        <f>IFERROR(__xludf.DUMMYFUNCTION("""COMPUTED_VALUE"""),"B-9")</f>
        <v>B-9</v>
      </c>
      <c r="J106" s="28">
        <f>IFERROR(__xludf.DUMMYFUNCTION("""COMPUTED_VALUE"""),3.0)</f>
        <v>3</v>
      </c>
      <c r="K106" s="28" t="str">
        <f>IFERROR(__xludf.DUMMYFUNCTION("""COMPUTED_VALUE"""),"3 ULA B PUTRI")</f>
        <v>3 ULA B PUTRI</v>
      </c>
      <c r="L106" s="29" t="str">
        <f>IFERROR(__xludf.DUMMYFUNCTION("""COMPUTED_VALUE"""),"6285738896773")</f>
        <v>6285738896773</v>
      </c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2">
        <f>IFERROR(__xludf.DUMMYFUNCTION("""COMPUTED_VALUE"""),0.0)</f>
        <v>0</v>
      </c>
      <c r="BD106" s="22">
        <f>IFERROR(__xludf.DUMMYFUNCTION("""COMPUTED_VALUE"""),0.0)</f>
        <v>0</v>
      </c>
      <c r="BE106" s="22">
        <f>IFERROR(__xludf.DUMMYFUNCTION("""COMPUTED_VALUE"""),0.0)</f>
        <v>0</v>
      </c>
      <c r="BF106" s="22">
        <f>IFERROR(__xludf.DUMMYFUNCTION("""COMPUTED_VALUE"""),0.0)</f>
        <v>0</v>
      </c>
    </row>
    <row r="107">
      <c r="A107" s="27">
        <f>IFERROR(__xludf.DUMMYFUNCTION("""COMPUTED_VALUE"""),106.0)</f>
        <v>106</v>
      </c>
      <c r="B107" s="28" t="str">
        <f>IFERROR(__xludf.DUMMYFUNCTION("""COMPUTED_VALUE"""),"AYUNDA KIRANA QURROTUL ISHAQIYYAH")</f>
        <v>AYUNDA KIRANA QURROTUL ISHAQIYYAH</v>
      </c>
      <c r="C107" s="28">
        <f>IFERROR(__xludf.DUMMYFUNCTION("""COMPUTED_VALUE"""),2.024070742E9)</f>
        <v>2024070742</v>
      </c>
      <c r="D107" s="28" t="str">
        <f>IFERROR(__xludf.DUMMYFUNCTION("""COMPUTED_VALUE"""),"ERWANTO")</f>
        <v>ERWANTO</v>
      </c>
      <c r="E107" s="28" t="str">
        <f>IFERROR(__xludf.DUMMYFUNCTION("""COMPUTED_VALUE"""),"ZUMAROH")</f>
        <v>ZUMAROH</v>
      </c>
      <c r="F107" s="28" t="str">
        <f>IFERROR(__xludf.DUMMYFUNCTION("""COMPUTED_VALUE"""),"PANGEAN RT 008 RW 002 MADURAN LAMONGAN")</f>
        <v>PANGEAN RT 008 RW 002 MADURAN LAMONGAN</v>
      </c>
      <c r="G107" s="28" t="str">
        <f>IFERROR(__xludf.DUMMYFUNCTION("""COMPUTED_VALUE"""),"SMP-IX B")</f>
        <v>SMP-IX B</v>
      </c>
      <c r="H107" s="28" t="str">
        <f>IFERROR(__xludf.DUMMYFUNCTION("""COMPUTED_VALUE"""),"B")</f>
        <v>B</v>
      </c>
      <c r="I107" s="28" t="str">
        <f>IFERROR(__xludf.DUMMYFUNCTION("""COMPUTED_VALUE"""),"B-10")</f>
        <v>B-10</v>
      </c>
      <c r="J107" s="28">
        <f>IFERROR(__xludf.DUMMYFUNCTION("""COMPUTED_VALUE"""),3.0)</f>
        <v>3</v>
      </c>
      <c r="K107" s="28" t="str">
        <f>IFERROR(__xludf.DUMMYFUNCTION("""COMPUTED_VALUE"""),"3 ULA A PUTRI")</f>
        <v>3 ULA A PUTRI</v>
      </c>
      <c r="L107" s="29" t="str">
        <f>IFERROR(__xludf.DUMMYFUNCTION("""COMPUTED_VALUE"""),"6285648522402")</f>
        <v>6285648522402</v>
      </c>
      <c r="M107" s="28"/>
      <c r="N107" s="28"/>
      <c r="O107" s="28"/>
      <c r="P107" s="28"/>
      <c r="Q107" s="28"/>
      <c r="R107" s="28"/>
      <c r="S107" s="22">
        <f>IFERROR(__xludf.DUMMYFUNCTION("""COMPUTED_VALUE"""),450000.0)</f>
        <v>450000</v>
      </c>
      <c r="T107" s="22">
        <f>IFERROR(__xludf.DUMMYFUNCTION("""COMPUTED_VALUE"""),450000.0)</f>
        <v>450000</v>
      </c>
      <c r="U107" s="22">
        <f>IFERROR(__xludf.DUMMYFUNCTION("""COMPUTED_VALUE"""),450000.0)</f>
        <v>450000</v>
      </c>
      <c r="V107" s="22">
        <f>IFERROR(__xludf.DUMMYFUNCTION("""COMPUTED_VALUE"""),450000.0)</f>
        <v>450000</v>
      </c>
      <c r="W107" s="22">
        <f>IFERROR(__xludf.DUMMYFUNCTION("""COMPUTED_VALUE"""),450000.0)</f>
        <v>450000</v>
      </c>
      <c r="X107" s="22">
        <f>IFERROR(__xludf.DUMMYFUNCTION("""COMPUTED_VALUE"""),450000.0)</f>
        <v>450000</v>
      </c>
      <c r="Y107" s="22">
        <f>IFERROR(__xludf.DUMMYFUNCTION("""COMPUTED_VALUE"""),450000.0)</f>
        <v>450000</v>
      </c>
      <c r="Z107" s="22">
        <f>IFERROR(__xludf.DUMMYFUNCTION("""COMPUTED_VALUE"""),450000.0)</f>
        <v>450000</v>
      </c>
      <c r="AA107" s="28"/>
      <c r="AB107" s="22">
        <f>IFERROR(__xludf.DUMMYFUNCTION("""COMPUTED_VALUE"""),500000.0)</f>
        <v>500000</v>
      </c>
      <c r="AC107" s="22">
        <f>IFERROR(__xludf.DUMMYFUNCTION("""COMPUTED_VALUE"""),450000.0)</f>
        <v>450000</v>
      </c>
      <c r="AD107" s="22">
        <f>IFERROR(__xludf.DUMMYFUNCTION("""COMPUTED_VALUE"""),450000.0)</f>
        <v>450000</v>
      </c>
      <c r="AE107" s="22">
        <f>IFERROR(__xludf.DUMMYFUNCTION("""COMPUTED_VALUE"""),450000.0)</f>
        <v>450000</v>
      </c>
      <c r="AF107" s="22">
        <f>IFERROR(__xludf.DUMMYFUNCTION("""COMPUTED_VALUE"""),450000.0)</f>
        <v>450000</v>
      </c>
      <c r="AG107" s="22">
        <f>IFERROR(__xludf.DUMMYFUNCTION("""COMPUTED_VALUE"""),450000.0)</f>
        <v>450000</v>
      </c>
      <c r="AH107" s="22">
        <f>IFERROR(__xludf.DUMMYFUNCTION("""COMPUTED_VALUE"""),450000.0)</f>
        <v>450000</v>
      </c>
      <c r="AI107" s="22">
        <f>IFERROR(__xludf.DUMMYFUNCTION("""COMPUTED_VALUE"""),450000.0)</f>
        <v>450000</v>
      </c>
      <c r="AJ107" s="22">
        <f>IFERROR(__xludf.DUMMYFUNCTION("""COMPUTED_VALUE"""),450000.0)</f>
        <v>450000</v>
      </c>
      <c r="AK107" s="22">
        <f>IFERROR(__xludf.DUMMYFUNCTION("""COMPUTED_VALUE"""),450000.0)</f>
        <v>450000</v>
      </c>
      <c r="AL107" s="22">
        <f>IFERROR(__xludf.DUMMYFUNCTION("""COMPUTED_VALUE"""),450000.0)</f>
        <v>450000</v>
      </c>
      <c r="AM107" s="22">
        <f>IFERROR(__xludf.DUMMYFUNCTION("""COMPUTED_VALUE"""),450000.0)</f>
        <v>450000</v>
      </c>
      <c r="AN107" s="22">
        <f>IFERROR(__xludf.DUMMYFUNCTION("""COMPUTED_VALUE"""),450000.0)</f>
        <v>450000</v>
      </c>
      <c r="AO107" s="28"/>
      <c r="AP107" s="22">
        <f>IFERROR(__xludf.DUMMYFUNCTION("""COMPUTED_VALUE"""),500000.0)</f>
        <v>500000</v>
      </c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2">
        <f>IFERROR(__xludf.DUMMYFUNCTION("""COMPUTED_VALUE"""),9000000.0)</f>
        <v>9000000</v>
      </c>
      <c r="BD107" s="22">
        <f>IFERROR(__xludf.DUMMYFUNCTION("""COMPUTED_VALUE"""),1000000.0)</f>
        <v>1000000</v>
      </c>
      <c r="BE107" s="22">
        <f>IFERROR(__xludf.DUMMYFUNCTION("""COMPUTED_VALUE"""),0.0)</f>
        <v>0</v>
      </c>
      <c r="BF107" s="22">
        <f>IFERROR(__xludf.DUMMYFUNCTION("""COMPUTED_VALUE"""),1.0E7)</f>
        <v>10000000</v>
      </c>
    </row>
    <row r="108">
      <c r="A108" s="27">
        <f>IFERROR(__xludf.DUMMYFUNCTION("""COMPUTED_VALUE"""),107.0)</f>
        <v>107</v>
      </c>
      <c r="B108" s="28" t="str">
        <f>IFERROR(__xludf.DUMMYFUNCTION("""COMPUTED_VALUE"""),"DESTIYA NUR LAILI")</f>
        <v>DESTIYA NUR LAILI</v>
      </c>
      <c r="C108" s="28">
        <f>IFERROR(__xludf.DUMMYFUNCTION("""COMPUTED_VALUE"""),2.024070758E9)</f>
        <v>2024070758</v>
      </c>
      <c r="D108" s="28" t="str">
        <f>IFERROR(__xludf.DUMMYFUNCTION("""COMPUTED_VALUE"""),"ARIS SAMSUDIN")</f>
        <v>ARIS SAMSUDIN</v>
      </c>
      <c r="E108" s="28" t="str">
        <f>IFERROR(__xludf.DUMMYFUNCTION("""COMPUTED_VALUE"""),"LUTFI NUR ROHMAWATI")</f>
        <v>LUTFI NUR ROHMAWATI</v>
      </c>
      <c r="F108" s="28" t="str">
        <f>IFERROR(__xludf.DUMMYFUNCTION("""COMPUTED_VALUE"""),"LERAN BARU KEYONGAN RT 003 RW 006 BABAT LAMONGAN")</f>
        <v>LERAN BARU KEYONGAN RT 003 RW 006 BABAT LAMONGAN</v>
      </c>
      <c r="G108" s="28" t="str">
        <f>IFERROR(__xludf.DUMMYFUNCTION("""COMPUTED_VALUE"""),"SMP-IX C")</f>
        <v>SMP-IX C</v>
      </c>
      <c r="H108" s="28" t="str">
        <f>IFERROR(__xludf.DUMMYFUNCTION("""COMPUTED_VALUE"""),"B")</f>
        <v>B</v>
      </c>
      <c r="I108" s="28" t="str">
        <f>IFERROR(__xludf.DUMMYFUNCTION("""COMPUTED_VALUE"""),"B-9")</f>
        <v>B-9</v>
      </c>
      <c r="J108" s="28">
        <f>IFERROR(__xludf.DUMMYFUNCTION("""COMPUTED_VALUE"""),3.0)</f>
        <v>3</v>
      </c>
      <c r="K108" s="28" t="str">
        <f>IFERROR(__xludf.DUMMYFUNCTION("""COMPUTED_VALUE"""),"3 ULA B PUTRI")</f>
        <v>3 ULA B PUTRI</v>
      </c>
      <c r="L108" s="29" t="str">
        <f>IFERROR(__xludf.DUMMYFUNCTION("""COMPUTED_VALUE"""),"6285745740702")</f>
        <v>6285745740702</v>
      </c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2">
        <f>IFERROR(__xludf.DUMMYFUNCTION("""COMPUTED_VALUE"""),450000.0)</f>
        <v>450000</v>
      </c>
      <c r="AO108" s="28"/>
      <c r="AP108" s="22">
        <f>IFERROR(__xludf.DUMMYFUNCTION("""COMPUTED_VALUE"""),500000.0)</f>
        <v>500000</v>
      </c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2">
        <f>IFERROR(__xludf.DUMMYFUNCTION("""COMPUTED_VALUE"""),450000.0)</f>
        <v>450000</v>
      </c>
      <c r="BD108" s="22">
        <f>IFERROR(__xludf.DUMMYFUNCTION("""COMPUTED_VALUE"""),500000.0)</f>
        <v>500000</v>
      </c>
      <c r="BE108" s="22">
        <f>IFERROR(__xludf.DUMMYFUNCTION("""COMPUTED_VALUE"""),0.0)</f>
        <v>0</v>
      </c>
      <c r="BF108" s="22">
        <f>IFERROR(__xludf.DUMMYFUNCTION("""COMPUTED_VALUE"""),950000.0)</f>
        <v>950000</v>
      </c>
    </row>
    <row r="109">
      <c r="A109" s="27">
        <f>IFERROR(__xludf.DUMMYFUNCTION("""COMPUTED_VALUE"""),108.0)</f>
        <v>108</v>
      </c>
      <c r="B109" s="28" t="str">
        <f>IFERROR(__xludf.DUMMYFUNCTION("""COMPUTED_VALUE"""),"FAHDINA ZAHRA RAMADHANI")</f>
        <v>FAHDINA ZAHRA RAMADHANI</v>
      </c>
      <c r="C109" s="28">
        <f>IFERROR(__xludf.DUMMYFUNCTION("""COMPUTED_VALUE"""),2.024070514E9)</f>
        <v>2024070514</v>
      </c>
      <c r="D109" s="28" t="str">
        <f>IFERROR(__xludf.DUMMYFUNCTION("""COMPUTED_VALUE"""),"MOH. ANDIK")</f>
        <v>MOH. ANDIK</v>
      </c>
      <c r="E109" s="28" t="str">
        <f>IFERROR(__xludf.DUMMYFUNCTION("""COMPUTED_VALUE"""),"DEFI NUR CHUSAINI")</f>
        <v>DEFI NUR CHUSAINI</v>
      </c>
      <c r="F109" s="28" t="str">
        <f>IFERROR(__xludf.DUMMYFUNCTION("""COMPUTED_VALUE"""),"SIDOMULYO RT 004 RW 003 DEKET LAMONGAN")</f>
        <v>SIDOMULYO RT 004 RW 003 DEKET LAMONGAN</v>
      </c>
      <c r="G109" s="28" t="str">
        <f>IFERROR(__xludf.DUMMYFUNCTION("""COMPUTED_VALUE"""),"MTS-9 C")</f>
        <v>MTS-9 C</v>
      </c>
      <c r="H109" s="28" t="str">
        <f>IFERROR(__xludf.DUMMYFUNCTION("""COMPUTED_VALUE"""),"B")</f>
        <v>B</v>
      </c>
      <c r="I109" s="28" t="str">
        <f>IFERROR(__xludf.DUMMYFUNCTION("""COMPUTED_VALUE"""),"B-9")</f>
        <v>B-9</v>
      </c>
      <c r="J109" s="28">
        <f>IFERROR(__xludf.DUMMYFUNCTION("""COMPUTED_VALUE"""),3.0)</f>
        <v>3</v>
      </c>
      <c r="K109" s="28" t="str">
        <f>IFERROR(__xludf.DUMMYFUNCTION("""COMPUTED_VALUE"""),"3 ULA B PUTRI")</f>
        <v>3 ULA B PUTRI</v>
      </c>
      <c r="L109" s="29" t="str">
        <f>IFERROR(__xludf.DUMMYFUNCTION("""COMPUTED_VALUE"""),"6285748441057")</f>
        <v>6285748441057</v>
      </c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2">
        <f>IFERROR(__xludf.DUMMYFUNCTION("""COMPUTED_VALUE"""),0.0)</f>
        <v>0</v>
      </c>
      <c r="BD109" s="22">
        <f>IFERROR(__xludf.DUMMYFUNCTION("""COMPUTED_VALUE"""),0.0)</f>
        <v>0</v>
      </c>
      <c r="BE109" s="22">
        <f>IFERROR(__xludf.DUMMYFUNCTION("""COMPUTED_VALUE"""),0.0)</f>
        <v>0</v>
      </c>
      <c r="BF109" s="22">
        <f>IFERROR(__xludf.DUMMYFUNCTION("""COMPUTED_VALUE"""),0.0)</f>
        <v>0</v>
      </c>
    </row>
    <row r="110">
      <c r="A110" s="27">
        <f>IFERROR(__xludf.DUMMYFUNCTION("""COMPUTED_VALUE"""),109.0)</f>
        <v>109</v>
      </c>
      <c r="B110" s="28" t="str">
        <f>IFERROR(__xludf.DUMMYFUNCTION("""COMPUTED_VALUE"""),"FATIMAH AZ-ZAHRAH")</f>
        <v>FATIMAH AZ-ZAHRAH</v>
      </c>
      <c r="C110" s="28">
        <f>IFERROR(__xludf.DUMMYFUNCTION("""COMPUTED_VALUE"""),2.024070507E9)</f>
        <v>2024070507</v>
      </c>
      <c r="D110" s="28" t="str">
        <f>IFERROR(__xludf.DUMMYFUNCTION("""COMPUTED_VALUE"""),"AHMAD ZUHDI")</f>
        <v>AHMAD ZUHDI</v>
      </c>
      <c r="E110" s="28" t="str">
        <f>IFERROR(__xludf.DUMMYFUNCTION("""COMPUTED_VALUE"""),"SITI LUTHFIYAH")</f>
        <v>SITI LUTHFIYAH</v>
      </c>
      <c r="F110" s="28" t="str">
        <f>IFERROR(__xludf.DUMMYFUNCTION("""COMPUTED_VALUE"""),"SONGO SUKOSONGO RT 013 RW 006 KEMBANGBAHU LAMONGAN")</f>
        <v>SONGO SUKOSONGO RT 013 RW 006 KEMBANGBAHU LAMONGAN</v>
      </c>
      <c r="G110" s="28" t="str">
        <f>IFERROR(__xludf.DUMMYFUNCTION("""COMPUTED_VALUE"""),"MTS-9 H")</f>
        <v>MTS-9 H</v>
      </c>
      <c r="H110" s="28" t="str">
        <f>IFERROR(__xludf.DUMMYFUNCTION("""COMPUTED_VALUE"""),"B")</f>
        <v>B</v>
      </c>
      <c r="I110" s="28" t="str">
        <f>IFERROR(__xludf.DUMMYFUNCTION("""COMPUTED_VALUE"""),"B-9")</f>
        <v>B-9</v>
      </c>
      <c r="J110" s="28">
        <f>IFERROR(__xludf.DUMMYFUNCTION("""COMPUTED_VALUE"""),3.0)</f>
        <v>3</v>
      </c>
      <c r="K110" s="28" t="str">
        <f>IFERROR(__xludf.DUMMYFUNCTION("""COMPUTED_VALUE"""),"3 ULA B PUTRI")</f>
        <v>3 ULA B PUTRI</v>
      </c>
      <c r="L110" s="29" t="str">
        <f>IFERROR(__xludf.DUMMYFUNCTION("""COMPUTED_VALUE"""),"6285706056735")</f>
        <v>6285706056735</v>
      </c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2">
        <f>IFERROR(__xludf.DUMMYFUNCTION("""COMPUTED_VALUE"""),500000.0)</f>
        <v>500000</v>
      </c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2">
        <f>IFERROR(__xludf.DUMMYFUNCTION("""COMPUTED_VALUE"""),0.0)</f>
        <v>0</v>
      </c>
      <c r="BD110" s="22">
        <f>IFERROR(__xludf.DUMMYFUNCTION("""COMPUTED_VALUE"""),500000.0)</f>
        <v>500000</v>
      </c>
      <c r="BE110" s="22">
        <f>IFERROR(__xludf.DUMMYFUNCTION("""COMPUTED_VALUE"""),0.0)</f>
        <v>0</v>
      </c>
      <c r="BF110" s="22">
        <f>IFERROR(__xludf.DUMMYFUNCTION("""COMPUTED_VALUE"""),500000.0)</f>
        <v>500000</v>
      </c>
    </row>
    <row r="111">
      <c r="A111" s="27">
        <f>IFERROR(__xludf.DUMMYFUNCTION("""COMPUTED_VALUE"""),110.0)</f>
        <v>110</v>
      </c>
      <c r="B111" s="28" t="str">
        <f>IFERROR(__xludf.DUMMYFUNCTION("""COMPUTED_VALUE"""),"IMELDA CAHYA ANGGRAENI")</f>
        <v>IMELDA CAHYA ANGGRAENI</v>
      </c>
      <c r="C111" s="28">
        <f>IFERROR(__xludf.DUMMYFUNCTION("""COMPUTED_VALUE"""),2.024070515E9)</f>
        <v>2024070515</v>
      </c>
      <c r="D111" s="28" t="str">
        <f>IFERROR(__xludf.DUMMYFUNCTION("""COMPUTED_VALUE"""),"IMAM MUJIANTO")</f>
        <v>IMAM MUJIANTO</v>
      </c>
      <c r="E111" s="28" t="str">
        <f>IFERROR(__xludf.DUMMYFUNCTION("""COMPUTED_VALUE"""),"ELIYAH LUTFIANAH")</f>
        <v>ELIYAH LUTFIANAH</v>
      </c>
      <c r="F111" s="28" t="str">
        <f>IFERROR(__xludf.DUMMYFUNCTION("""COMPUTED_VALUE"""),"MELUKE SIDOMULYO RT 002 RW 003 DEKET LAMONGAN")</f>
        <v>MELUKE SIDOMULYO RT 002 RW 003 DEKET LAMONGAN</v>
      </c>
      <c r="G111" s="28" t="str">
        <f>IFERROR(__xludf.DUMMYFUNCTION("""COMPUTED_VALUE"""),"MTS-9 D")</f>
        <v>MTS-9 D</v>
      </c>
      <c r="H111" s="28" t="str">
        <f>IFERROR(__xludf.DUMMYFUNCTION("""COMPUTED_VALUE"""),"B")</f>
        <v>B</v>
      </c>
      <c r="I111" s="28" t="str">
        <f>IFERROR(__xludf.DUMMYFUNCTION("""COMPUTED_VALUE"""),"B-9")</f>
        <v>B-9</v>
      </c>
      <c r="J111" s="28">
        <f>IFERROR(__xludf.DUMMYFUNCTION("""COMPUTED_VALUE"""),3.0)</f>
        <v>3</v>
      </c>
      <c r="K111" s="28" t="str">
        <f>IFERROR(__xludf.DUMMYFUNCTION("""COMPUTED_VALUE"""),"3 ULA B PUTRI")</f>
        <v>3 ULA B PUTRI</v>
      </c>
      <c r="L111" s="29" t="str">
        <f>IFERROR(__xludf.DUMMYFUNCTION("""COMPUTED_VALUE"""),"6285604272784")</f>
        <v>6285604272784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2">
        <f>IFERROR(__xludf.DUMMYFUNCTION("""COMPUTED_VALUE"""),0.0)</f>
        <v>0</v>
      </c>
      <c r="BD111" s="22">
        <f>IFERROR(__xludf.DUMMYFUNCTION("""COMPUTED_VALUE"""),0.0)</f>
        <v>0</v>
      </c>
      <c r="BE111" s="22">
        <f>IFERROR(__xludf.DUMMYFUNCTION("""COMPUTED_VALUE"""),0.0)</f>
        <v>0</v>
      </c>
      <c r="BF111" s="22">
        <f>IFERROR(__xludf.DUMMYFUNCTION("""COMPUTED_VALUE"""),0.0)</f>
        <v>0</v>
      </c>
    </row>
    <row r="112">
      <c r="A112" s="27">
        <f>IFERROR(__xludf.DUMMYFUNCTION("""COMPUTED_VALUE"""),111.0)</f>
        <v>111</v>
      </c>
      <c r="B112" s="28" t="str">
        <f>IFERROR(__xludf.DUMMYFUNCTION("""COMPUTED_VALUE"""),"KAYYISA ILMI RAFANDA")</f>
        <v>KAYYISA ILMI RAFANDA</v>
      </c>
      <c r="C112" s="28">
        <f>IFERROR(__xludf.DUMMYFUNCTION("""COMPUTED_VALUE"""),2.024070723E9)</f>
        <v>2024070723</v>
      </c>
      <c r="D112" s="28" t="str">
        <f>IFERROR(__xludf.DUMMYFUNCTION("""COMPUTED_VALUE"""),"MAFTUKIN")</f>
        <v>MAFTUKIN</v>
      </c>
      <c r="E112" s="28" t="str">
        <f>IFERROR(__xludf.DUMMYFUNCTION("""COMPUTED_VALUE"""),"MAFTUKHAH")</f>
        <v>MAFTUKHAH</v>
      </c>
      <c r="F112" s="28" t="str">
        <f>IFERROR(__xludf.DUMMYFUNCTION("""COMPUTED_VALUE"""),"PANGEAN RT 002 RW 001 MADURAN LAMONGAN")</f>
        <v>PANGEAN RT 002 RW 001 MADURAN LAMONGAN</v>
      </c>
      <c r="G112" s="28" t="str">
        <f>IFERROR(__xludf.DUMMYFUNCTION("""COMPUTED_VALUE"""),"SMP-IX B")</f>
        <v>SMP-IX B</v>
      </c>
      <c r="H112" s="28" t="str">
        <f>IFERROR(__xludf.DUMMYFUNCTION("""COMPUTED_VALUE"""),"B")</f>
        <v>B</v>
      </c>
      <c r="I112" s="28" t="str">
        <f>IFERROR(__xludf.DUMMYFUNCTION("""COMPUTED_VALUE"""),"B-10")</f>
        <v>B-10</v>
      </c>
      <c r="J112" s="28">
        <f>IFERROR(__xludf.DUMMYFUNCTION("""COMPUTED_VALUE"""),3.0)</f>
        <v>3</v>
      </c>
      <c r="K112" s="28" t="str">
        <f>IFERROR(__xludf.DUMMYFUNCTION("""COMPUTED_VALUE"""),"3 ULA A PUTRI")</f>
        <v>3 ULA A PUTRI</v>
      </c>
      <c r="L112" s="29" t="str">
        <f>IFERROR(__xludf.DUMMYFUNCTION("""COMPUTED_VALUE"""),"6282139931854")</f>
        <v>6282139931854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2">
        <f>IFERROR(__xludf.DUMMYFUNCTION("""COMPUTED_VALUE"""),0.0)</f>
        <v>0</v>
      </c>
      <c r="BD112" s="22">
        <f>IFERROR(__xludf.DUMMYFUNCTION("""COMPUTED_VALUE"""),0.0)</f>
        <v>0</v>
      </c>
      <c r="BE112" s="22">
        <f>IFERROR(__xludf.DUMMYFUNCTION("""COMPUTED_VALUE"""),0.0)</f>
        <v>0</v>
      </c>
      <c r="BF112" s="22">
        <f>IFERROR(__xludf.DUMMYFUNCTION("""COMPUTED_VALUE"""),0.0)</f>
        <v>0</v>
      </c>
    </row>
    <row r="113">
      <c r="A113" s="27">
        <f>IFERROR(__xludf.DUMMYFUNCTION("""COMPUTED_VALUE"""),112.0)</f>
        <v>112</v>
      </c>
      <c r="B113" s="28" t="str">
        <f>IFERROR(__xludf.DUMMYFUNCTION("""COMPUTED_VALUE"""),"KHAYLA NOVITA PUTRI")</f>
        <v>KHAYLA NOVITA PUTRI</v>
      </c>
      <c r="C113" s="28">
        <f>IFERROR(__xludf.DUMMYFUNCTION("""COMPUTED_VALUE"""),2.0240705E9)</f>
        <v>2024070500</v>
      </c>
      <c r="D113" s="28" t="str">
        <f>IFERROR(__xludf.DUMMYFUNCTION("""COMPUTED_VALUE"""),"SISWANTO")</f>
        <v>SISWANTO</v>
      </c>
      <c r="E113" s="28" t="str">
        <f>IFERROR(__xludf.DUMMYFUNCTION("""COMPUTED_VALUE"""),"DWI KRISTINA")</f>
        <v>DWI KRISTINA</v>
      </c>
      <c r="F113" s="28" t="str">
        <f>IFERROR(__xludf.DUMMYFUNCTION("""COMPUTED_VALUE"""),"BUCUKIDUL MENGANTI RT 004 RW 001 GLAGAH LAMONGAN")</f>
        <v>BUCUKIDUL MENGANTI RT 004 RW 001 GLAGAH LAMONGAN</v>
      </c>
      <c r="G113" s="28" t="str">
        <f>IFERROR(__xludf.DUMMYFUNCTION("""COMPUTED_VALUE"""),"MTS-9 D")</f>
        <v>MTS-9 D</v>
      </c>
      <c r="H113" s="28" t="str">
        <f>IFERROR(__xludf.DUMMYFUNCTION("""COMPUTED_VALUE"""),"B")</f>
        <v>B</v>
      </c>
      <c r="I113" s="28" t="str">
        <f>IFERROR(__xludf.DUMMYFUNCTION("""COMPUTED_VALUE"""),"B-9")</f>
        <v>B-9</v>
      </c>
      <c r="J113" s="28">
        <f>IFERROR(__xludf.DUMMYFUNCTION("""COMPUTED_VALUE"""),3.0)</f>
        <v>3</v>
      </c>
      <c r="K113" s="28" t="str">
        <f>IFERROR(__xludf.DUMMYFUNCTION("""COMPUTED_VALUE"""),"3 ULA B PUTRI")</f>
        <v>3 ULA B PUTRI</v>
      </c>
      <c r="L113" s="29" t="str">
        <f>IFERROR(__xludf.DUMMYFUNCTION("""COMPUTED_VALUE"""),"6281259310643")</f>
        <v>6281259310643</v>
      </c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2">
        <f>IFERROR(__xludf.DUMMYFUNCTION("""COMPUTED_VALUE"""),450000.0)</f>
        <v>450000</v>
      </c>
      <c r="AN113" s="22">
        <f>IFERROR(__xludf.DUMMYFUNCTION("""COMPUTED_VALUE"""),450000.0)</f>
        <v>450000</v>
      </c>
      <c r="AO113" s="28"/>
      <c r="AP113" s="22">
        <f>IFERROR(__xludf.DUMMYFUNCTION("""COMPUTED_VALUE"""),500000.0)</f>
        <v>500000</v>
      </c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2">
        <f>IFERROR(__xludf.DUMMYFUNCTION("""COMPUTED_VALUE"""),900000.0)</f>
        <v>900000</v>
      </c>
      <c r="BD113" s="22">
        <f>IFERROR(__xludf.DUMMYFUNCTION("""COMPUTED_VALUE"""),500000.0)</f>
        <v>500000</v>
      </c>
      <c r="BE113" s="22">
        <f>IFERROR(__xludf.DUMMYFUNCTION("""COMPUTED_VALUE"""),0.0)</f>
        <v>0</v>
      </c>
      <c r="BF113" s="22">
        <f>IFERROR(__xludf.DUMMYFUNCTION("""COMPUTED_VALUE"""),1400000.0)</f>
        <v>1400000</v>
      </c>
    </row>
    <row r="114">
      <c r="A114" s="27">
        <f>IFERROR(__xludf.DUMMYFUNCTION("""COMPUTED_VALUE"""),113.0)</f>
        <v>113</v>
      </c>
      <c r="B114" s="28" t="str">
        <f>IFERROR(__xludf.DUMMYFUNCTION("""COMPUTED_VALUE"""),"KHOLIFAH AMIYZANI NUR ISNAINI")</f>
        <v>KHOLIFAH AMIYZANI NUR ISNAINI</v>
      </c>
      <c r="C114" s="28">
        <f>IFERROR(__xludf.DUMMYFUNCTION("""COMPUTED_VALUE"""),2.024070752E9)</f>
        <v>2024070752</v>
      </c>
      <c r="D114" s="28" t="str">
        <f>IFERROR(__xludf.DUMMYFUNCTION("""COMPUTED_VALUE"""),"MUHAMMAD SYAIFUL MUNIR")</f>
        <v>MUHAMMAD SYAIFUL MUNIR</v>
      </c>
      <c r="E114" s="28" t="str">
        <f>IFERROR(__xludf.DUMMYFUNCTION("""COMPUTED_VALUE"""),"INARIYATI")</f>
        <v>INARIYATI</v>
      </c>
      <c r="F114" s="28" t="str">
        <f>IFERROR(__xludf.DUMMYFUNCTION("""COMPUTED_VALUE"""),"WONOKERTO RT 014 RW 003 DUKUN GRESIK")</f>
        <v>WONOKERTO RT 014 RW 003 DUKUN GRESIK</v>
      </c>
      <c r="G114" s="28" t="str">
        <f>IFERROR(__xludf.DUMMYFUNCTION("""COMPUTED_VALUE"""),"SMP-IX B")</f>
        <v>SMP-IX B</v>
      </c>
      <c r="H114" s="28" t="str">
        <f>IFERROR(__xludf.DUMMYFUNCTION("""COMPUTED_VALUE"""),"B")</f>
        <v>B</v>
      </c>
      <c r="I114" s="28" t="str">
        <f>IFERROR(__xludf.DUMMYFUNCTION("""COMPUTED_VALUE"""),"B-10")</f>
        <v>B-10</v>
      </c>
      <c r="J114" s="28">
        <f>IFERROR(__xludf.DUMMYFUNCTION("""COMPUTED_VALUE"""),3.0)</f>
        <v>3</v>
      </c>
      <c r="K114" s="28" t="str">
        <f>IFERROR(__xludf.DUMMYFUNCTION("""COMPUTED_VALUE"""),"3 ULA A PUTRI")</f>
        <v>3 ULA A PUTRI</v>
      </c>
      <c r="L114" s="29" t="str">
        <f>IFERROR(__xludf.DUMMYFUNCTION("""COMPUTED_VALUE"""),"6285855453839")</f>
        <v>6285855453839</v>
      </c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2">
        <f>IFERROR(__xludf.DUMMYFUNCTION("""COMPUTED_VALUE"""),0.0)</f>
        <v>0</v>
      </c>
      <c r="BD114" s="22">
        <f>IFERROR(__xludf.DUMMYFUNCTION("""COMPUTED_VALUE"""),0.0)</f>
        <v>0</v>
      </c>
      <c r="BE114" s="22">
        <f>IFERROR(__xludf.DUMMYFUNCTION("""COMPUTED_VALUE"""),0.0)</f>
        <v>0</v>
      </c>
      <c r="BF114" s="22">
        <f>IFERROR(__xludf.DUMMYFUNCTION("""COMPUTED_VALUE"""),0.0)</f>
        <v>0</v>
      </c>
    </row>
    <row r="115">
      <c r="A115" s="27">
        <f>IFERROR(__xludf.DUMMYFUNCTION("""COMPUTED_VALUE"""),114.0)</f>
        <v>114</v>
      </c>
      <c r="B115" s="28" t="str">
        <f>IFERROR(__xludf.DUMMYFUNCTION("""COMPUTED_VALUE"""),"KHUMAIRO FAUZIA")</f>
        <v>KHUMAIRO FAUZIA</v>
      </c>
      <c r="C115" s="28">
        <f>IFERROR(__xludf.DUMMYFUNCTION("""COMPUTED_VALUE"""),2.024070642E9)</f>
        <v>2024070642</v>
      </c>
      <c r="D115" s="28" t="str">
        <f>IFERROR(__xludf.DUMMYFUNCTION("""COMPUTED_VALUE"""),"RUDI SANTOSO")</f>
        <v>RUDI SANTOSO</v>
      </c>
      <c r="E115" s="28" t="str">
        <f>IFERROR(__xludf.DUMMYFUNCTION("""COMPUTED_VALUE"""),"SITI MUFARROKHAH")</f>
        <v>SITI MUFARROKHAH</v>
      </c>
      <c r="F115" s="28" t="str">
        <f>IFERROR(__xludf.DUMMYFUNCTION("""COMPUTED_VALUE"""),"KESAMBI RT 002 RW 002 PUCUK LAMONGAN")</f>
        <v>KESAMBI RT 002 RW 002 PUCUK LAMONGAN</v>
      </c>
      <c r="G115" s="28" t="str">
        <f>IFERROR(__xludf.DUMMYFUNCTION("""COMPUTED_VALUE"""),"MTS-9 G")</f>
        <v>MTS-9 G</v>
      </c>
      <c r="H115" s="28" t="str">
        <f>IFERROR(__xludf.DUMMYFUNCTION("""COMPUTED_VALUE"""),"B")</f>
        <v>B</v>
      </c>
      <c r="I115" s="28" t="str">
        <f>IFERROR(__xludf.DUMMYFUNCTION("""COMPUTED_VALUE"""),"B-9")</f>
        <v>B-9</v>
      </c>
      <c r="J115" s="28">
        <f>IFERROR(__xludf.DUMMYFUNCTION("""COMPUTED_VALUE"""),3.0)</f>
        <v>3</v>
      </c>
      <c r="K115" s="28" t="str">
        <f>IFERROR(__xludf.DUMMYFUNCTION("""COMPUTED_VALUE"""),"3 ULA C PUTRI")</f>
        <v>3 ULA C PUTRI</v>
      </c>
      <c r="L115" s="29" t="str">
        <f>IFERROR(__xludf.DUMMYFUNCTION("""COMPUTED_VALUE"""),"6281216463303")</f>
        <v>6281216463303</v>
      </c>
      <c r="M115" s="28"/>
      <c r="N115" s="28"/>
      <c r="O115" s="28"/>
      <c r="P115" s="28"/>
      <c r="Q115" s="28"/>
      <c r="R115" s="28"/>
      <c r="S115" s="28"/>
      <c r="T115" s="28"/>
      <c r="U115" s="22">
        <f>IFERROR(__xludf.DUMMYFUNCTION("""COMPUTED_VALUE"""),450000.0)</f>
        <v>450000</v>
      </c>
      <c r="V115" s="22">
        <f>IFERROR(__xludf.DUMMYFUNCTION("""COMPUTED_VALUE"""),450000.0)</f>
        <v>450000</v>
      </c>
      <c r="W115" s="22">
        <f>IFERROR(__xludf.DUMMYFUNCTION("""COMPUTED_VALUE"""),450000.0)</f>
        <v>450000</v>
      </c>
      <c r="X115" s="22">
        <f>IFERROR(__xludf.DUMMYFUNCTION("""COMPUTED_VALUE"""),450000.0)</f>
        <v>450000</v>
      </c>
      <c r="Y115" s="22">
        <f>IFERROR(__xludf.DUMMYFUNCTION("""COMPUTED_VALUE"""),450000.0)</f>
        <v>450000</v>
      </c>
      <c r="Z115" s="22">
        <f>IFERROR(__xludf.DUMMYFUNCTION("""COMPUTED_VALUE"""),450000.0)</f>
        <v>450000</v>
      </c>
      <c r="AA115" s="22">
        <f>IFERROR(__xludf.DUMMYFUNCTION("""COMPUTED_VALUE"""),350000.0)</f>
        <v>350000</v>
      </c>
      <c r="AB115" s="22">
        <f>IFERROR(__xludf.DUMMYFUNCTION("""COMPUTED_VALUE"""),500000.0)</f>
        <v>500000</v>
      </c>
      <c r="AC115" s="22">
        <f>IFERROR(__xludf.DUMMYFUNCTION("""COMPUTED_VALUE"""),450000.0)</f>
        <v>450000</v>
      </c>
      <c r="AD115" s="22">
        <f>IFERROR(__xludf.DUMMYFUNCTION("""COMPUTED_VALUE"""),450000.0)</f>
        <v>450000</v>
      </c>
      <c r="AE115" s="22">
        <f>IFERROR(__xludf.DUMMYFUNCTION("""COMPUTED_VALUE"""),450000.0)</f>
        <v>450000</v>
      </c>
      <c r="AF115" s="22">
        <f>IFERROR(__xludf.DUMMYFUNCTION("""COMPUTED_VALUE"""),450000.0)</f>
        <v>450000</v>
      </c>
      <c r="AG115" s="22">
        <f>IFERROR(__xludf.DUMMYFUNCTION("""COMPUTED_VALUE"""),450000.0)</f>
        <v>450000</v>
      </c>
      <c r="AH115" s="22">
        <f>IFERROR(__xludf.DUMMYFUNCTION("""COMPUTED_VALUE"""),450000.0)</f>
        <v>450000</v>
      </c>
      <c r="AI115" s="22">
        <f>IFERROR(__xludf.DUMMYFUNCTION("""COMPUTED_VALUE"""),450000.0)</f>
        <v>450000</v>
      </c>
      <c r="AJ115" s="22">
        <f>IFERROR(__xludf.DUMMYFUNCTION("""COMPUTED_VALUE"""),450000.0)</f>
        <v>450000</v>
      </c>
      <c r="AK115" s="22">
        <f>IFERROR(__xludf.DUMMYFUNCTION("""COMPUTED_VALUE"""),450000.0)</f>
        <v>450000</v>
      </c>
      <c r="AL115" s="22">
        <f>IFERROR(__xludf.DUMMYFUNCTION("""COMPUTED_VALUE"""),450000.0)</f>
        <v>450000</v>
      </c>
      <c r="AM115" s="22">
        <f>IFERROR(__xludf.DUMMYFUNCTION("""COMPUTED_VALUE"""),450000.0)</f>
        <v>450000</v>
      </c>
      <c r="AN115" s="22">
        <f>IFERROR(__xludf.DUMMYFUNCTION("""COMPUTED_VALUE"""),450000.0)</f>
        <v>450000</v>
      </c>
      <c r="AO115" s="28"/>
      <c r="AP115" s="22">
        <f>IFERROR(__xludf.DUMMYFUNCTION("""COMPUTED_VALUE"""),500000.0)</f>
        <v>500000</v>
      </c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2">
        <f>IFERROR(__xludf.DUMMYFUNCTION("""COMPUTED_VALUE"""),8100000.0)</f>
        <v>8100000</v>
      </c>
      <c r="BD115" s="22">
        <f>IFERROR(__xludf.DUMMYFUNCTION("""COMPUTED_VALUE"""),1000000.0)</f>
        <v>1000000</v>
      </c>
      <c r="BE115" s="22">
        <f>IFERROR(__xludf.DUMMYFUNCTION("""COMPUTED_VALUE"""),350000.0)</f>
        <v>350000</v>
      </c>
      <c r="BF115" s="22">
        <f>IFERROR(__xludf.DUMMYFUNCTION("""COMPUTED_VALUE"""),9450000.0)</f>
        <v>9450000</v>
      </c>
    </row>
    <row r="116">
      <c r="A116" s="27">
        <f>IFERROR(__xludf.DUMMYFUNCTION("""COMPUTED_VALUE"""),115.0)</f>
        <v>115</v>
      </c>
      <c r="B116" s="28" t="str">
        <f>IFERROR(__xludf.DUMMYFUNCTION("""COMPUTED_VALUE"""),"KURNIA MUFIDATUL FATIHAH")</f>
        <v>KURNIA MUFIDATUL FATIHAH</v>
      </c>
      <c r="C116" s="28">
        <f>IFERROR(__xludf.DUMMYFUNCTION("""COMPUTED_VALUE"""),2.024070641E9)</f>
        <v>2024070641</v>
      </c>
      <c r="D116" s="28" t="str">
        <f>IFERROR(__xludf.DUMMYFUNCTION("""COMPUTED_VALUE"""),"FATKHUR ROKHMAN")</f>
        <v>FATKHUR ROKHMAN</v>
      </c>
      <c r="E116" s="28" t="str">
        <f>IFERROR(__xludf.DUMMYFUNCTION("""COMPUTED_VALUE"""),"FARIHATUS SHOLIHAH")</f>
        <v>FARIHATUS SHOLIHAH</v>
      </c>
      <c r="F116" s="28" t="str">
        <f>IFERROR(__xludf.DUMMYFUNCTION("""COMPUTED_VALUE"""),"BOJOASRI RT 005 RW 002 KALITENGAH LAMONGAN")</f>
        <v>BOJOASRI RT 005 RW 002 KALITENGAH LAMONGAN</v>
      </c>
      <c r="G116" s="28" t="str">
        <f>IFERROR(__xludf.DUMMYFUNCTION("""COMPUTED_VALUE"""),"MTS-9 G")</f>
        <v>MTS-9 G</v>
      </c>
      <c r="H116" s="28" t="str">
        <f>IFERROR(__xludf.DUMMYFUNCTION("""COMPUTED_VALUE"""),"B")</f>
        <v>B</v>
      </c>
      <c r="I116" s="28" t="str">
        <f>IFERROR(__xludf.DUMMYFUNCTION("""COMPUTED_VALUE"""),"B-9")</f>
        <v>B-9</v>
      </c>
      <c r="J116" s="28">
        <f>IFERROR(__xludf.DUMMYFUNCTION("""COMPUTED_VALUE"""),3.0)</f>
        <v>3</v>
      </c>
      <c r="K116" s="28" t="str">
        <f>IFERROR(__xludf.DUMMYFUNCTION("""COMPUTED_VALUE"""),"3 ULA B PUTRI")</f>
        <v>3 ULA B PUTRI</v>
      </c>
      <c r="L116" s="29" t="str">
        <f>IFERROR(__xludf.DUMMYFUNCTION("""COMPUTED_VALUE"""),"6285748349331")</f>
        <v>6285748349331</v>
      </c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2">
        <f>IFERROR(__xludf.DUMMYFUNCTION("""COMPUTED_VALUE"""),450000.0)</f>
        <v>450000</v>
      </c>
      <c r="AO116" s="28"/>
      <c r="AP116" s="22">
        <f>IFERROR(__xludf.DUMMYFUNCTION("""COMPUTED_VALUE"""),500000.0)</f>
        <v>500000</v>
      </c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2">
        <f>IFERROR(__xludf.DUMMYFUNCTION("""COMPUTED_VALUE"""),450000.0)</f>
        <v>450000</v>
      </c>
      <c r="BD116" s="22">
        <f>IFERROR(__xludf.DUMMYFUNCTION("""COMPUTED_VALUE"""),500000.0)</f>
        <v>500000</v>
      </c>
      <c r="BE116" s="22">
        <f>IFERROR(__xludf.DUMMYFUNCTION("""COMPUTED_VALUE"""),0.0)</f>
        <v>0</v>
      </c>
      <c r="BF116" s="22">
        <f>IFERROR(__xludf.DUMMYFUNCTION("""COMPUTED_VALUE"""),950000.0)</f>
        <v>950000</v>
      </c>
    </row>
    <row r="117">
      <c r="A117" s="27">
        <f>IFERROR(__xludf.DUMMYFUNCTION("""COMPUTED_VALUE"""),116.0)</f>
        <v>116</v>
      </c>
      <c r="B117" s="28" t="str">
        <f>IFERROR(__xludf.DUMMYFUNCTION("""COMPUTED_VALUE"""),"NAILATUN NUR LAILATUL QUDSIYAH")</f>
        <v>NAILATUN NUR LAILATUL QUDSIYAH</v>
      </c>
      <c r="C117" s="28">
        <f>IFERROR(__xludf.DUMMYFUNCTION("""COMPUTED_VALUE"""),2.024070726E9)</f>
        <v>2024070726</v>
      </c>
      <c r="D117" s="28" t="str">
        <f>IFERROR(__xludf.DUMMYFUNCTION("""COMPUTED_VALUE"""),"RAMELI")</f>
        <v>RAMELI</v>
      </c>
      <c r="E117" s="28" t="str">
        <f>IFERROR(__xludf.DUMMYFUNCTION("""COMPUTED_VALUE"""),"HARTATIK")</f>
        <v>HARTATIK</v>
      </c>
      <c r="F117" s="28" t="str">
        <f>IFERROR(__xludf.DUMMYFUNCTION("""COMPUTED_VALUE"""),"WONOSARI SEKARBAGUS RT 003 RW 001 SUGIO LAMONGAN")</f>
        <v>WONOSARI SEKARBAGUS RT 003 RW 001 SUGIO LAMONGAN</v>
      </c>
      <c r="G117" s="28" t="str">
        <f>IFERROR(__xludf.DUMMYFUNCTION("""COMPUTED_VALUE"""),"SMP-IX B")</f>
        <v>SMP-IX B</v>
      </c>
      <c r="H117" s="28" t="str">
        <f>IFERROR(__xludf.DUMMYFUNCTION("""COMPUTED_VALUE"""),"B")</f>
        <v>B</v>
      </c>
      <c r="I117" s="28" t="str">
        <f>IFERROR(__xludf.DUMMYFUNCTION("""COMPUTED_VALUE"""),"B-10")</f>
        <v>B-10</v>
      </c>
      <c r="J117" s="28">
        <f>IFERROR(__xludf.DUMMYFUNCTION("""COMPUTED_VALUE"""),3.0)</f>
        <v>3</v>
      </c>
      <c r="K117" s="28" t="str">
        <f>IFERROR(__xludf.DUMMYFUNCTION("""COMPUTED_VALUE"""),"3 ULA A PUTRI")</f>
        <v>3 ULA A PUTRI</v>
      </c>
      <c r="L117" s="29" t="str">
        <f>IFERROR(__xludf.DUMMYFUNCTION("""COMPUTED_VALUE"""),"6285785360969")</f>
        <v>6285785360969</v>
      </c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2">
        <f>IFERROR(__xludf.DUMMYFUNCTION("""COMPUTED_VALUE"""),500000.0)</f>
        <v>500000</v>
      </c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2">
        <f>IFERROR(__xludf.DUMMYFUNCTION("""COMPUTED_VALUE"""),0.0)</f>
        <v>0</v>
      </c>
      <c r="BD117" s="22">
        <f>IFERROR(__xludf.DUMMYFUNCTION("""COMPUTED_VALUE"""),500000.0)</f>
        <v>500000</v>
      </c>
      <c r="BE117" s="22">
        <f>IFERROR(__xludf.DUMMYFUNCTION("""COMPUTED_VALUE"""),0.0)</f>
        <v>0</v>
      </c>
      <c r="BF117" s="22">
        <f>IFERROR(__xludf.DUMMYFUNCTION("""COMPUTED_VALUE"""),500000.0)</f>
        <v>500000</v>
      </c>
    </row>
    <row r="118">
      <c r="A118" s="27">
        <f>IFERROR(__xludf.DUMMYFUNCTION("""COMPUTED_VALUE"""),117.0)</f>
        <v>117</v>
      </c>
      <c r="B118" s="28" t="str">
        <f>IFERROR(__xludf.DUMMYFUNCTION("""COMPUTED_VALUE"""),"RAISA PUTRI ELYSIA SADIRA")</f>
        <v>RAISA PUTRI ELYSIA SADIRA</v>
      </c>
      <c r="C118" s="28">
        <f>IFERROR(__xludf.DUMMYFUNCTION("""COMPUTED_VALUE"""),2.02407075E9)</f>
        <v>2024070750</v>
      </c>
      <c r="D118" s="28" t="str">
        <f>IFERROR(__xludf.DUMMYFUNCTION("""COMPUTED_VALUE"""),"AMARI")</f>
        <v>AMARI</v>
      </c>
      <c r="E118" s="28" t="str">
        <f>IFERROR(__xludf.DUMMYFUNCTION("""COMPUTED_VALUE"""),"YANA")</f>
        <v>YANA</v>
      </c>
      <c r="F118" s="28" t="str">
        <f>IFERROR(__xludf.DUMMYFUNCTION("""COMPUTED_VALUE"""),"TIREMRNGGAL RT 011 RW 004 DUKUN GRESIK")</f>
        <v>TIREMRNGGAL RT 011 RW 004 DUKUN GRESIK</v>
      </c>
      <c r="G118" s="28" t="str">
        <f>IFERROR(__xludf.DUMMYFUNCTION("""COMPUTED_VALUE"""),"SMP-IX B")</f>
        <v>SMP-IX B</v>
      </c>
      <c r="H118" s="28" t="str">
        <f>IFERROR(__xludf.DUMMYFUNCTION("""COMPUTED_VALUE"""),"B")</f>
        <v>B</v>
      </c>
      <c r="I118" s="28" t="str">
        <f>IFERROR(__xludf.DUMMYFUNCTION("""COMPUTED_VALUE"""),"B-10")</f>
        <v>B-10</v>
      </c>
      <c r="J118" s="28">
        <f>IFERROR(__xludf.DUMMYFUNCTION("""COMPUTED_VALUE"""),3.0)</f>
        <v>3</v>
      </c>
      <c r="K118" s="28" t="str">
        <f>IFERROR(__xludf.DUMMYFUNCTION("""COMPUTED_VALUE"""),"3 ULA A PUTRI")</f>
        <v>3 ULA A PUTRI</v>
      </c>
      <c r="L118" s="29" t="str">
        <f>IFERROR(__xludf.DUMMYFUNCTION("""COMPUTED_VALUE"""),"6285805516619")</f>
        <v>6285805516619</v>
      </c>
      <c r="M118" s="22">
        <f>IFERROR(__xludf.DUMMYFUNCTION("""COMPUTED_VALUE"""),600000.0)</f>
        <v>600000</v>
      </c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2">
        <f>IFERROR(__xludf.DUMMYFUNCTION("""COMPUTED_VALUE"""),500000.0)</f>
        <v>500000</v>
      </c>
      <c r="AC118" s="28"/>
      <c r="AD118" s="28"/>
      <c r="AE118" s="28"/>
      <c r="AF118" s="28"/>
      <c r="AG118" s="28"/>
      <c r="AH118" s="28"/>
      <c r="AI118" s="28"/>
      <c r="AJ118" s="28"/>
      <c r="AK118" s="22">
        <f>IFERROR(__xludf.DUMMYFUNCTION("""COMPUTED_VALUE"""),450000.0)</f>
        <v>450000</v>
      </c>
      <c r="AL118" s="22">
        <f>IFERROR(__xludf.DUMMYFUNCTION("""COMPUTED_VALUE"""),450000.0)</f>
        <v>450000</v>
      </c>
      <c r="AM118" s="22">
        <f>IFERROR(__xludf.DUMMYFUNCTION("""COMPUTED_VALUE"""),450000.0)</f>
        <v>450000</v>
      </c>
      <c r="AN118" s="22">
        <f>IFERROR(__xludf.DUMMYFUNCTION("""COMPUTED_VALUE"""),450000.0)</f>
        <v>450000</v>
      </c>
      <c r="AO118" s="28"/>
      <c r="AP118" s="22">
        <f>IFERROR(__xludf.DUMMYFUNCTION("""COMPUTED_VALUE"""),500000.0)</f>
        <v>500000</v>
      </c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2">
        <f>IFERROR(__xludf.DUMMYFUNCTION("""COMPUTED_VALUE"""),1800000.0)</f>
        <v>1800000</v>
      </c>
      <c r="BD118" s="22">
        <f>IFERROR(__xludf.DUMMYFUNCTION("""COMPUTED_VALUE"""),1600000.0)</f>
        <v>1600000</v>
      </c>
      <c r="BE118" s="22">
        <f>IFERROR(__xludf.DUMMYFUNCTION("""COMPUTED_VALUE"""),0.0)</f>
        <v>0</v>
      </c>
      <c r="BF118" s="22">
        <f>IFERROR(__xludf.DUMMYFUNCTION("""COMPUTED_VALUE"""),3400000.0)</f>
        <v>3400000</v>
      </c>
    </row>
    <row r="119">
      <c r="A119" s="27">
        <f>IFERROR(__xludf.DUMMYFUNCTION("""COMPUTED_VALUE"""),118.0)</f>
        <v>118</v>
      </c>
      <c r="B119" s="28" t="str">
        <f>IFERROR(__xludf.DUMMYFUNCTION("""COMPUTED_VALUE"""),"SALWA EKA SAFITRI")</f>
        <v>SALWA EKA SAFITRI</v>
      </c>
      <c r="C119" s="28">
        <f>IFERROR(__xludf.DUMMYFUNCTION("""COMPUTED_VALUE"""),2.024070724E9)</f>
        <v>2024070724</v>
      </c>
      <c r="D119" s="28" t="str">
        <f>IFERROR(__xludf.DUMMYFUNCTION("""COMPUTED_VALUE"""),"SHOKIB PURWO")</f>
        <v>SHOKIB PURWO</v>
      </c>
      <c r="E119" s="28" t="str">
        <f>IFERROR(__xludf.DUMMYFUNCTION("""COMPUTED_VALUE"""),"DJUWARIYAH")</f>
        <v>DJUWARIYAH</v>
      </c>
      <c r="F119" s="28" t="str">
        <f>IFERROR(__xludf.DUMMYFUNCTION("""COMPUTED_VALUE"""),"TIWET RT 002 RW 002 KALITENGAH LAMONGAN")</f>
        <v>TIWET RT 002 RW 002 KALITENGAH LAMONGAN</v>
      </c>
      <c r="G119" s="28" t="str">
        <f>IFERROR(__xludf.DUMMYFUNCTION("""COMPUTED_VALUE"""),"SMP-IX B")</f>
        <v>SMP-IX B</v>
      </c>
      <c r="H119" s="28" t="str">
        <f>IFERROR(__xludf.DUMMYFUNCTION("""COMPUTED_VALUE"""),"B")</f>
        <v>B</v>
      </c>
      <c r="I119" s="28" t="str">
        <f>IFERROR(__xludf.DUMMYFUNCTION("""COMPUTED_VALUE"""),"B-10")</f>
        <v>B-10</v>
      </c>
      <c r="J119" s="28">
        <f>IFERROR(__xludf.DUMMYFUNCTION("""COMPUTED_VALUE"""),3.0)</f>
        <v>3</v>
      </c>
      <c r="K119" s="28" t="str">
        <f>IFERROR(__xludf.DUMMYFUNCTION("""COMPUTED_VALUE"""),"3 ULA C PUTRI")</f>
        <v>3 ULA C PUTRI</v>
      </c>
      <c r="L119" s="29" t="str">
        <f>IFERROR(__xludf.DUMMYFUNCTION("""COMPUTED_VALUE"""),"6289653941550")</f>
        <v>6289653941550</v>
      </c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2">
        <f>IFERROR(__xludf.DUMMYFUNCTION("""COMPUTED_VALUE"""),500000.0)</f>
        <v>500000</v>
      </c>
      <c r="AC119" s="28"/>
      <c r="AD119" s="28"/>
      <c r="AE119" s="28"/>
      <c r="AF119" s="28"/>
      <c r="AG119" s="28"/>
      <c r="AH119" s="28"/>
      <c r="AI119" s="28"/>
      <c r="AJ119" s="22">
        <f>IFERROR(__xludf.DUMMYFUNCTION("""COMPUTED_VALUE"""),450000.0)</f>
        <v>450000</v>
      </c>
      <c r="AK119" s="22">
        <f>IFERROR(__xludf.DUMMYFUNCTION("""COMPUTED_VALUE"""),450000.0)</f>
        <v>450000</v>
      </c>
      <c r="AL119" s="22">
        <f>IFERROR(__xludf.DUMMYFUNCTION("""COMPUTED_VALUE"""),450000.0)</f>
        <v>450000</v>
      </c>
      <c r="AM119" s="22">
        <f>IFERROR(__xludf.DUMMYFUNCTION("""COMPUTED_VALUE"""),450000.0)</f>
        <v>450000</v>
      </c>
      <c r="AN119" s="22">
        <f>IFERROR(__xludf.DUMMYFUNCTION("""COMPUTED_VALUE"""),450000.0)</f>
        <v>450000</v>
      </c>
      <c r="AO119" s="28"/>
      <c r="AP119" s="22">
        <f>IFERROR(__xludf.DUMMYFUNCTION("""COMPUTED_VALUE"""),500000.0)</f>
        <v>500000</v>
      </c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2">
        <f>IFERROR(__xludf.DUMMYFUNCTION("""COMPUTED_VALUE"""),2250000.0)</f>
        <v>2250000</v>
      </c>
      <c r="BD119" s="22">
        <f>IFERROR(__xludf.DUMMYFUNCTION("""COMPUTED_VALUE"""),1000000.0)</f>
        <v>1000000</v>
      </c>
      <c r="BE119" s="22">
        <f>IFERROR(__xludf.DUMMYFUNCTION("""COMPUTED_VALUE"""),0.0)</f>
        <v>0</v>
      </c>
      <c r="BF119" s="22">
        <f>IFERROR(__xludf.DUMMYFUNCTION("""COMPUTED_VALUE"""),3250000.0)</f>
        <v>3250000</v>
      </c>
    </row>
    <row r="120">
      <c r="A120" s="27">
        <f>IFERROR(__xludf.DUMMYFUNCTION("""COMPUTED_VALUE"""),119.0)</f>
        <v>119</v>
      </c>
      <c r="B120" s="28" t="str">
        <f>IFERROR(__xludf.DUMMYFUNCTION("""COMPUTED_VALUE"""),"SELLY NOVI ANDINI")</f>
        <v>SELLY NOVI ANDINI</v>
      </c>
      <c r="C120" s="28">
        <f>IFERROR(__xludf.DUMMYFUNCTION("""COMPUTED_VALUE"""),2.024070727E9)</f>
        <v>2024070727</v>
      </c>
      <c r="D120" s="28" t="str">
        <f>IFERROR(__xludf.DUMMYFUNCTION("""COMPUTED_VALUE"""),"AHMAD SHOLEH")</f>
        <v>AHMAD SHOLEH</v>
      </c>
      <c r="E120" s="28" t="str">
        <f>IFERROR(__xludf.DUMMYFUNCTION("""COMPUTED_VALUE"""),"ELI KUSUMAWATI")</f>
        <v>ELI KUSUMAWATI</v>
      </c>
      <c r="F120" s="28" t="str">
        <f>IFERROR(__xludf.DUMMYFUNCTION("""COMPUTED_VALUE"""),"PUCANGRO RT 001 RW 001 KALITENGAH LAMONGAN")</f>
        <v>PUCANGRO RT 001 RW 001 KALITENGAH LAMONGAN</v>
      </c>
      <c r="G120" s="28" t="str">
        <f>IFERROR(__xludf.DUMMYFUNCTION("""COMPUTED_VALUE"""),"SMP-IX B")</f>
        <v>SMP-IX B</v>
      </c>
      <c r="H120" s="28" t="str">
        <f>IFERROR(__xludf.DUMMYFUNCTION("""COMPUTED_VALUE"""),"B")</f>
        <v>B</v>
      </c>
      <c r="I120" s="28" t="str">
        <f>IFERROR(__xludf.DUMMYFUNCTION("""COMPUTED_VALUE"""),"B-10")</f>
        <v>B-10</v>
      </c>
      <c r="J120" s="28">
        <f>IFERROR(__xludf.DUMMYFUNCTION("""COMPUTED_VALUE"""),3.0)</f>
        <v>3</v>
      </c>
      <c r="K120" s="28" t="str">
        <f>IFERROR(__xludf.DUMMYFUNCTION("""COMPUTED_VALUE"""),"3 ULA A PUTRI")</f>
        <v>3 ULA A PUTRI</v>
      </c>
      <c r="L120" s="29" t="str">
        <f>IFERROR(__xludf.DUMMYFUNCTION("""COMPUTED_VALUE"""),"6285788313508")</f>
        <v>6285788313508</v>
      </c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2">
        <f>IFERROR(__xludf.DUMMYFUNCTION("""COMPUTED_VALUE"""),500000.0)</f>
        <v>500000</v>
      </c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2">
        <f>IFERROR(__xludf.DUMMYFUNCTION("""COMPUTED_VALUE"""),0.0)</f>
        <v>0</v>
      </c>
      <c r="BD120" s="22">
        <f>IFERROR(__xludf.DUMMYFUNCTION("""COMPUTED_VALUE"""),500000.0)</f>
        <v>500000</v>
      </c>
      <c r="BE120" s="22">
        <f>IFERROR(__xludf.DUMMYFUNCTION("""COMPUTED_VALUE"""),0.0)</f>
        <v>0</v>
      </c>
      <c r="BF120" s="22">
        <f>IFERROR(__xludf.DUMMYFUNCTION("""COMPUTED_VALUE"""),500000.0)</f>
        <v>500000</v>
      </c>
    </row>
    <row r="121">
      <c r="A121" s="27">
        <f>IFERROR(__xludf.DUMMYFUNCTION("""COMPUTED_VALUE"""),120.0)</f>
        <v>120</v>
      </c>
      <c r="B121" s="28" t="str">
        <f>IFERROR(__xludf.DUMMYFUNCTION("""COMPUTED_VALUE"""),"AFILIA MEGA NURFATMA")</f>
        <v>AFILIA MEGA NURFATMA</v>
      </c>
      <c r="C121" s="28">
        <f>IFERROR(__xludf.DUMMYFUNCTION("""COMPUTED_VALUE"""),2.024070563E9)</f>
        <v>2024070563</v>
      </c>
      <c r="D121" s="28" t="str">
        <f>IFERROR(__xludf.DUMMYFUNCTION("""COMPUTED_VALUE"""),"M. NURDIN")</f>
        <v>M. NURDIN</v>
      </c>
      <c r="E121" s="28" t="str">
        <f>IFERROR(__xludf.DUMMYFUNCTION("""COMPUTED_VALUE"""),"ALIYATUN")</f>
        <v>ALIYATUN</v>
      </c>
      <c r="F121" s="28" t="str">
        <f>IFERROR(__xludf.DUMMYFUNCTION("""COMPUTED_VALUE"""),"TENGGULUN RT 003 RW 002 SOLOKURO LAMONGAN")</f>
        <v>TENGGULUN RT 003 RW 002 SOLOKURO LAMONGAN</v>
      </c>
      <c r="G121" s="28" t="str">
        <f>IFERROR(__xludf.DUMMYFUNCTION("""COMPUTED_VALUE"""),"MTS-9 A")</f>
        <v>MTS-9 A</v>
      </c>
      <c r="H121" s="28" t="str">
        <f>IFERROR(__xludf.DUMMYFUNCTION("""COMPUTED_VALUE"""),"B")</f>
        <v>B</v>
      </c>
      <c r="I121" s="28" t="str">
        <f>IFERROR(__xludf.DUMMYFUNCTION("""COMPUTED_VALUE"""),"B-10")</f>
        <v>B-10</v>
      </c>
      <c r="J121" s="28">
        <f>IFERROR(__xludf.DUMMYFUNCTION("""COMPUTED_VALUE"""),3.0)</f>
        <v>3</v>
      </c>
      <c r="K121" s="28" t="str">
        <f>IFERROR(__xludf.DUMMYFUNCTION("""COMPUTED_VALUE"""),"3 ULA A PUTRI")</f>
        <v>3 ULA A PUTRI</v>
      </c>
      <c r="L121" s="29" t="str">
        <f>IFERROR(__xludf.DUMMYFUNCTION("""COMPUTED_VALUE"""),"6285812446154")</f>
        <v>6285812446154</v>
      </c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2">
        <f>IFERROR(__xludf.DUMMYFUNCTION("""COMPUTED_VALUE"""),0.0)</f>
        <v>0</v>
      </c>
      <c r="BD121" s="22">
        <f>IFERROR(__xludf.DUMMYFUNCTION("""COMPUTED_VALUE"""),0.0)</f>
        <v>0</v>
      </c>
      <c r="BE121" s="22">
        <f>IFERROR(__xludf.DUMMYFUNCTION("""COMPUTED_VALUE"""),0.0)</f>
        <v>0</v>
      </c>
      <c r="BF121" s="22">
        <f>IFERROR(__xludf.DUMMYFUNCTION("""COMPUTED_VALUE"""),0.0)</f>
        <v>0</v>
      </c>
    </row>
    <row r="122">
      <c r="A122" s="27">
        <f>IFERROR(__xludf.DUMMYFUNCTION("""COMPUTED_VALUE"""),121.0)</f>
        <v>121</v>
      </c>
      <c r="B122" s="28" t="str">
        <f>IFERROR(__xludf.DUMMYFUNCTION("""COMPUTED_VALUE"""),"ANINDYA FAZURA RAHMA")</f>
        <v>ANINDYA FAZURA RAHMA</v>
      </c>
      <c r="C122" s="28">
        <f>IFERROR(__xludf.DUMMYFUNCTION("""COMPUTED_VALUE"""),2.024070675E9)</f>
        <v>2024070675</v>
      </c>
      <c r="D122" s="28" t="str">
        <f>IFERROR(__xludf.DUMMYFUNCTION("""COMPUTED_VALUE"""),"MOH NADLIF")</f>
        <v>MOH NADLIF</v>
      </c>
      <c r="E122" s="28" t="str">
        <f>IFERROR(__xludf.DUMMYFUNCTION("""COMPUTED_VALUE"""),"HUBBATUN NAJAH")</f>
        <v>HUBBATUN NAJAH</v>
      </c>
      <c r="F122" s="28" t="str">
        <f>IFERROR(__xludf.DUMMYFUNCTION("""COMPUTED_VALUE"""),"BANGERAN RT 001 RW 001 DUKUN GRESIK")</f>
        <v>BANGERAN RT 001 RW 001 DUKUN GRESIK</v>
      </c>
      <c r="G122" s="28" t="str">
        <f>IFERROR(__xludf.DUMMYFUNCTION("""COMPUTED_VALUE"""),"SMK-XII BD")</f>
        <v>SMK-XII BD</v>
      </c>
      <c r="H122" s="28" t="str">
        <f>IFERROR(__xludf.DUMMYFUNCTION("""COMPUTED_VALUE"""),"B")</f>
        <v>B</v>
      </c>
      <c r="I122" s="28" t="str">
        <f>IFERROR(__xludf.DUMMYFUNCTION("""COMPUTED_VALUE"""),"B-4")</f>
        <v>B-4</v>
      </c>
      <c r="J122" s="28">
        <f>IFERROR(__xludf.DUMMYFUNCTION("""COMPUTED_VALUE"""),3.0)</f>
        <v>3</v>
      </c>
      <c r="K122" s="28" t="str">
        <f>IFERROR(__xludf.DUMMYFUNCTION("""COMPUTED_VALUE"""),"3 WUSTHO C PUTRI")</f>
        <v>3 WUSTHO C PUTRI</v>
      </c>
      <c r="L122" s="29" t="str">
        <f>IFERROR(__xludf.DUMMYFUNCTION("""COMPUTED_VALUE"""),"6281357042388")</f>
        <v>6281357042388</v>
      </c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2">
        <f>IFERROR(__xludf.DUMMYFUNCTION("""COMPUTED_VALUE"""),450000.0)</f>
        <v>450000</v>
      </c>
      <c r="AN122" s="22">
        <f>IFERROR(__xludf.DUMMYFUNCTION("""COMPUTED_VALUE"""),450000.0)</f>
        <v>450000</v>
      </c>
      <c r="AO122" s="28"/>
      <c r="AP122" s="22">
        <f>IFERROR(__xludf.DUMMYFUNCTION("""COMPUTED_VALUE"""),500000.0)</f>
        <v>500000</v>
      </c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2">
        <f>IFERROR(__xludf.DUMMYFUNCTION("""COMPUTED_VALUE"""),900000.0)</f>
        <v>900000</v>
      </c>
      <c r="BD122" s="22">
        <f>IFERROR(__xludf.DUMMYFUNCTION("""COMPUTED_VALUE"""),500000.0)</f>
        <v>500000</v>
      </c>
      <c r="BE122" s="22">
        <f>IFERROR(__xludf.DUMMYFUNCTION("""COMPUTED_VALUE"""),0.0)</f>
        <v>0</v>
      </c>
      <c r="BF122" s="22">
        <f>IFERROR(__xludf.DUMMYFUNCTION("""COMPUTED_VALUE"""),1400000.0)</f>
        <v>1400000</v>
      </c>
    </row>
    <row r="123">
      <c r="A123" s="27">
        <f>IFERROR(__xludf.DUMMYFUNCTION("""COMPUTED_VALUE"""),122.0)</f>
        <v>122</v>
      </c>
      <c r="B123" s="28" t="str">
        <f>IFERROR(__xludf.DUMMYFUNCTION("""COMPUTED_VALUE"""),"DINI WAHYU NINGTYAS")</f>
        <v>DINI WAHYU NINGTYAS</v>
      </c>
      <c r="C123" s="28">
        <f>IFERROR(__xludf.DUMMYFUNCTION("""COMPUTED_VALUE"""),2.024070688E9)</f>
        <v>2024070688</v>
      </c>
      <c r="D123" s="28" t="str">
        <f>IFERROR(__xludf.DUMMYFUNCTION("""COMPUTED_VALUE"""),"DARTO")</f>
        <v>DARTO</v>
      </c>
      <c r="E123" s="28" t="str">
        <f>IFERROR(__xludf.DUMMYFUNCTION("""COMPUTED_VALUE"""),"YA ANTI")</f>
        <v>YA ANTI</v>
      </c>
      <c r="F123" s="28" t="str">
        <f>IFERROR(__xludf.DUMMYFUNCTION("""COMPUTED_VALUE"""),"TIRTA MULIA BATU MERANTI RT 011 RW 005 SUNGAILOBAN TANAH BUMBU")</f>
        <v>TIRTA MULIA BATU MERANTI RT 011 RW 005 SUNGAILOBAN TANAH BUMBU</v>
      </c>
      <c r="G123" s="28" t="str">
        <f>IFERROR(__xludf.DUMMYFUNCTION("""COMPUTED_VALUE"""),"SMK-XII DKV")</f>
        <v>SMK-XII DKV</v>
      </c>
      <c r="H123" s="28" t="str">
        <f>IFERROR(__xludf.DUMMYFUNCTION("""COMPUTED_VALUE"""),"B")</f>
        <v>B</v>
      </c>
      <c r="I123" s="28" t="str">
        <f>IFERROR(__xludf.DUMMYFUNCTION("""COMPUTED_VALUE"""),"B-4")</f>
        <v>B-4</v>
      </c>
      <c r="J123" s="28">
        <f>IFERROR(__xludf.DUMMYFUNCTION("""COMPUTED_VALUE"""),3.0)</f>
        <v>3</v>
      </c>
      <c r="K123" s="28" t="str">
        <f>IFERROR(__xludf.DUMMYFUNCTION("""COMPUTED_VALUE"""),"3 WUSTHO C PUTRI")</f>
        <v>3 WUSTHO C PUTRI</v>
      </c>
      <c r="L123" s="29" t="str">
        <f>IFERROR(__xludf.DUMMYFUNCTION("""COMPUTED_VALUE"""),"6281255133458")</f>
        <v>6281255133458</v>
      </c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2">
        <f>IFERROR(__xludf.DUMMYFUNCTION("""COMPUTED_VALUE"""),500000.0)</f>
        <v>500000</v>
      </c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2">
        <f>IFERROR(__xludf.DUMMYFUNCTION("""COMPUTED_VALUE"""),0.0)</f>
        <v>0</v>
      </c>
      <c r="BD123" s="22">
        <f>IFERROR(__xludf.DUMMYFUNCTION("""COMPUTED_VALUE"""),500000.0)</f>
        <v>500000</v>
      </c>
      <c r="BE123" s="22">
        <f>IFERROR(__xludf.DUMMYFUNCTION("""COMPUTED_VALUE"""),0.0)</f>
        <v>0</v>
      </c>
      <c r="BF123" s="22">
        <f>IFERROR(__xludf.DUMMYFUNCTION("""COMPUTED_VALUE"""),500000.0)</f>
        <v>500000</v>
      </c>
    </row>
    <row r="124">
      <c r="A124" s="27">
        <f>IFERROR(__xludf.DUMMYFUNCTION("""COMPUTED_VALUE"""),123.0)</f>
        <v>123</v>
      </c>
      <c r="B124" s="28" t="str">
        <f>IFERROR(__xludf.DUMMYFUNCTION("""COMPUTED_VALUE"""),"FARIKHA AULIA SALSABILLAH")</f>
        <v>FARIKHA AULIA SALSABILLAH</v>
      </c>
      <c r="C124" s="28">
        <f>IFERROR(__xludf.DUMMYFUNCTION("""COMPUTED_VALUE"""),2.024070074E9)</f>
        <v>2024070074</v>
      </c>
      <c r="D124" s="28" t="str">
        <f>IFERROR(__xludf.DUMMYFUNCTION("""COMPUTED_VALUE"""),"JAURI")</f>
        <v>JAURI</v>
      </c>
      <c r="E124" s="28" t="str">
        <f>IFERROR(__xludf.DUMMYFUNCTION("""COMPUTED_VALUE"""),"SUNARTI")</f>
        <v>SUNARTI</v>
      </c>
      <c r="F124" s="28" t="str">
        <f>IFERROR(__xludf.DUMMYFUNCTION("""COMPUTED_VALUE"""),"WEDENG SUKOREJO RT 001 RW 003 KARANGBINANGUN LAMONGAN")</f>
        <v>WEDENG SUKOREJO RT 001 RW 003 KARANGBINANGUN LAMONGAN</v>
      </c>
      <c r="G124" s="28" t="str">
        <f>IFERROR(__xludf.DUMMYFUNCTION("""COMPUTED_VALUE"""),"MA-XII.3")</f>
        <v>MA-XII.3</v>
      </c>
      <c r="H124" s="28" t="str">
        <f>IFERROR(__xludf.DUMMYFUNCTION("""COMPUTED_VALUE"""),"C")</f>
        <v>C</v>
      </c>
      <c r="I124" s="28" t="str">
        <f>IFERROR(__xludf.DUMMYFUNCTION("""COMPUTED_VALUE"""),"C-4")</f>
        <v>C-4</v>
      </c>
      <c r="J124" s="28">
        <f>IFERROR(__xludf.DUMMYFUNCTION("""COMPUTED_VALUE"""),3.0)</f>
        <v>3</v>
      </c>
      <c r="K124" s="28" t="str">
        <f>IFERROR(__xludf.DUMMYFUNCTION("""COMPUTED_VALUE"""),"3 WUSTHO B PUTRI")</f>
        <v>3 WUSTHO B PUTRI</v>
      </c>
      <c r="L124" s="29" t="str">
        <f>IFERROR(__xludf.DUMMYFUNCTION("""COMPUTED_VALUE"""),"6285645468404")</f>
        <v>6285645468404</v>
      </c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2">
        <f>IFERROR(__xludf.DUMMYFUNCTION("""COMPUTED_VALUE"""),500000.0)</f>
        <v>500000</v>
      </c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2">
        <f>IFERROR(__xludf.DUMMYFUNCTION("""COMPUTED_VALUE"""),0.0)</f>
        <v>0</v>
      </c>
      <c r="BD124" s="22">
        <f>IFERROR(__xludf.DUMMYFUNCTION("""COMPUTED_VALUE"""),500000.0)</f>
        <v>500000</v>
      </c>
      <c r="BE124" s="22">
        <f>IFERROR(__xludf.DUMMYFUNCTION("""COMPUTED_VALUE"""),0.0)</f>
        <v>0</v>
      </c>
      <c r="BF124" s="22">
        <f>IFERROR(__xludf.DUMMYFUNCTION("""COMPUTED_VALUE"""),500000.0)</f>
        <v>500000</v>
      </c>
    </row>
    <row r="125">
      <c r="A125" s="27">
        <f>IFERROR(__xludf.DUMMYFUNCTION("""COMPUTED_VALUE"""),124.0)</f>
        <v>124</v>
      </c>
      <c r="B125" s="28" t="str">
        <f>IFERROR(__xludf.DUMMYFUNCTION("""COMPUTED_VALUE"""),"JESSICA SALSABILA")</f>
        <v>JESSICA SALSABILA</v>
      </c>
      <c r="C125" s="28">
        <f>IFERROR(__xludf.DUMMYFUNCTION("""COMPUTED_VALUE"""),2.024070564E9)</f>
        <v>2024070564</v>
      </c>
      <c r="D125" s="28" t="str">
        <f>IFERROR(__xludf.DUMMYFUNCTION("""COMPUTED_VALUE"""),"SUNANDAR")</f>
        <v>SUNANDAR</v>
      </c>
      <c r="E125" s="28" t="str">
        <f>IFERROR(__xludf.DUMMYFUNCTION("""COMPUTED_VALUE"""),"NUR MILA")</f>
        <v>NUR MILA</v>
      </c>
      <c r="F125" s="28" t="str">
        <f>IFERROR(__xludf.DUMMYFUNCTION("""COMPUTED_VALUE"""),"KEDUNG KAMPIL SUKOSONGO RT - RW - KEMBANGBAHU LAMONGAN")</f>
        <v>KEDUNG KAMPIL SUKOSONGO RT - RW - KEMBANGBAHU LAMONGAN</v>
      </c>
      <c r="G125" s="28" t="str">
        <f>IFERROR(__xludf.DUMMYFUNCTION("""COMPUTED_VALUE"""),"MTS-9 H")</f>
        <v>MTS-9 H</v>
      </c>
      <c r="H125" s="28" t="str">
        <f>IFERROR(__xludf.DUMMYFUNCTION("""COMPUTED_VALUE"""),"B")</f>
        <v>B</v>
      </c>
      <c r="I125" s="28" t="str">
        <f>IFERROR(__xludf.DUMMYFUNCTION("""COMPUTED_VALUE"""),"B-9")</f>
        <v>B-9</v>
      </c>
      <c r="J125" s="28">
        <f>IFERROR(__xludf.DUMMYFUNCTION("""COMPUTED_VALUE"""),3.0)</f>
        <v>3</v>
      </c>
      <c r="K125" s="28" t="str">
        <f>IFERROR(__xludf.DUMMYFUNCTION("""COMPUTED_VALUE"""),"3 ULA A PUTRI")</f>
        <v>3 ULA A PUTRI</v>
      </c>
      <c r="L125" s="29" t="str">
        <f>IFERROR(__xludf.DUMMYFUNCTION("""COMPUTED_VALUE"""),"628585260032")</f>
        <v>628585260032</v>
      </c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2">
        <f>IFERROR(__xludf.DUMMYFUNCTION("""COMPUTED_VALUE"""),450000.0)</f>
        <v>450000</v>
      </c>
      <c r="AN125" s="22">
        <f>IFERROR(__xludf.DUMMYFUNCTION("""COMPUTED_VALUE"""),450000.0)</f>
        <v>450000</v>
      </c>
      <c r="AO125" s="28"/>
      <c r="AP125" s="22">
        <f>IFERROR(__xludf.DUMMYFUNCTION("""COMPUTED_VALUE"""),500000.0)</f>
        <v>500000</v>
      </c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2">
        <f>IFERROR(__xludf.DUMMYFUNCTION("""COMPUTED_VALUE"""),900000.0)</f>
        <v>900000</v>
      </c>
      <c r="BD125" s="22">
        <f>IFERROR(__xludf.DUMMYFUNCTION("""COMPUTED_VALUE"""),500000.0)</f>
        <v>500000</v>
      </c>
      <c r="BE125" s="22">
        <f>IFERROR(__xludf.DUMMYFUNCTION("""COMPUTED_VALUE"""),0.0)</f>
        <v>0</v>
      </c>
      <c r="BF125" s="22">
        <f>IFERROR(__xludf.DUMMYFUNCTION("""COMPUTED_VALUE"""),1400000.0)</f>
        <v>1400000</v>
      </c>
    </row>
    <row r="126">
      <c r="A126" s="27">
        <f>IFERROR(__xludf.DUMMYFUNCTION("""COMPUTED_VALUE"""),125.0)</f>
        <v>125</v>
      </c>
      <c r="B126" s="28" t="str">
        <f>IFERROR(__xludf.DUMMYFUNCTION("""COMPUTED_VALUE"""),"KHILYATUL MUROQOBAH ASSA`ADAH")</f>
        <v>KHILYATUL MUROQOBAH ASSA`ADAH</v>
      </c>
      <c r="C126" s="28">
        <f>IFERROR(__xludf.DUMMYFUNCTION("""COMPUTED_VALUE"""),2.024070716E9)</f>
        <v>2024070716</v>
      </c>
      <c r="D126" s="28" t="str">
        <f>IFERROR(__xludf.DUMMYFUNCTION("""COMPUTED_VALUE"""),"MUROKIB")</f>
        <v>MUROKIB</v>
      </c>
      <c r="E126" s="28" t="str">
        <f>IFERROR(__xludf.DUMMYFUNCTION("""COMPUTED_VALUE"""),"UMMI HHANIK")</f>
        <v>UMMI HHANIK</v>
      </c>
      <c r="F126" s="28" t="str">
        <f>IFERROR(__xludf.DUMMYFUNCTION("""COMPUTED_VALUE"""),"PUCANGRO RT 3 RW 3 KALITENGAH LAMONGAN")</f>
        <v>PUCANGRO RT 3 RW 3 KALITENGAH LAMONGAN</v>
      </c>
      <c r="G126" s="28" t="str">
        <f>IFERROR(__xludf.DUMMYFUNCTION("""COMPUTED_VALUE"""),"SMK-XII BD")</f>
        <v>SMK-XII BD</v>
      </c>
      <c r="H126" s="28" t="str">
        <f>IFERROR(__xludf.DUMMYFUNCTION("""COMPUTED_VALUE"""),"B")</f>
        <v>B</v>
      </c>
      <c r="I126" s="28" t="str">
        <f>IFERROR(__xludf.DUMMYFUNCTION("""COMPUTED_VALUE"""),"B-4")</f>
        <v>B-4</v>
      </c>
      <c r="J126" s="28">
        <f>IFERROR(__xludf.DUMMYFUNCTION("""COMPUTED_VALUE"""),3.0)</f>
        <v>3</v>
      </c>
      <c r="K126" s="28" t="str">
        <f>IFERROR(__xludf.DUMMYFUNCTION("""COMPUTED_VALUE"""),"3 WUSTHO C PUTRI")</f>
        <v>3 WUSTHO C PUTRI</v>
      </c>
      <c r="L126" s="29" t="str">
        <f>IFERROR(__xludf.DUMMYFUNCTION("""COMPUTED_VALUE"""),"6285707694746")</f>
        <v>6285707694746</v>
      </c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2">
        <f>IFERROR(__xludf.DUMMYFUNCTION("""COMPUTED_VALUE"""),0.0)</f>
        <v>0</v>
      </c>
      <c r="BD126" s="22">
        <f>IFERROR(__xludf.DUMMYFUNCTION("""COMPUTED_VALUE"""),0.0)</f>
        <v>0</v>
      </c>
      <c r="BE126" s="22">
        <f>IFERROR(__xludf.DUMMYFUNCTION("""COMPUTED_VALUE"""),0.0)</f>
        <v>0</v>
      </c>
      <c r="BF126" s="22">
        <f>IFERROR(__xludf.DUMMYFUNCTION("""COMPUTED_VALUE"""),0.0)</f>
        <v>0</v>
      </c>
    </row>
    <row r="127">
      <c r="A127" s="27">
        <f>IFERROR(__xludf.DUMMYFUNCTION("""COMPUTED_VALUE"""),126.0)</f>
        <v>126</v>
      </c>
      <c r="B127" s="28" t="str">
        <f>IFERROR(__xludf.DUMMYFUNCTION("""COMPUTED_VALUE"""),"NAILA MALIHA PUTRI")</f>
        <v>NAILA MALIHA PUTRI</v>
      </c>
      <c r="C127" s="28">
        <f>IFERROR(__xludf.DUMMYFUNCTION("""COMPUTED_VALUE"""),2.024070161E9)</f>
        <v>2024070161</v>
      </c>
      <c r="D127" s="28" t="str">
        <f>IFERROR(__xludf.DUMMYFUNCTION("""COMPUTED_VALUE"""),"YADI")</f>
        <v>YADI</v>
      </c>
      <c r="E127" s="28" t="str">
        <f>IFERROR(__xludf.DUMMYFUNCTION("""COMPUTED_VALUE"""),"KHOMSATUN")</f>
        <v>KHOMSATUN</v>
      </c>
      <c r="F127" s="28" t="str">
        <f>IFERROR(__xludf.DUMMYFUNCTION("""COMPUTED_VALUE"""),"TENGGULUN RT 006 RW 003 SOLOKURO LAMONGAN")</f>
        <v>TENGGULUN RT 006 RW 003 SOLOKURO LAMONGAN</v>
      </c>
      <c r="G127" s="28" t="str">
        <f>IFERROR(__xludf.DUMMYFUNCTION("""COMPUTED_VALUE"""),"MA-XII.7")</f>
        <v>MA-XII.7</v>
      </c>
      <c r="H127" s="28" t="str">
        <f>IFERROR(__xludf.DUMMYFUNCTION("""COMPUTED_VALUE"""),"B")</f>
        <v>B</v>
      </c>
      <c r="I127" s="28" t="str">
        <f>IFERROR(__xludf.DUMMYFUNCTION("""COMPUTED_VALUE"""),"B-5")</f>
        <v>B-5</v>
      </c>
      <c r="J127" s="28">
        <f>IFERROR(__xludf.DUMMYFUNCTION("""COMPUTED_VALUE"""),3.0)</f>
        <v>3</v>
      </c>
      <c r="K127" s="28" t="str">
        <f>IFERROR(__xludf.DUMMYFUNCTION("""COMPUTED_VALUE"""),"3 WUSTHO C PUTRI")</f>
        <v>3 WUSTHO C PUTRI</v>
      </c>
      <c r="L127" s="29" t="str">
        <f>IFERROR(__xludf.DUMMYFUNCTION("""COMPUTED_VALUE"""),"6285804308769")</f>
        <v>6285804308769</v>
      </c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2">
        <f>IFERROR(__xludf.DUMMYFUNCTION("""COMPUTED_VALUE"""),500000.0)</f>
        <v>500000</v>
      </c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2">
        <f>IFERROR(__xludf.DUMMYFUNCTION("""COMPUTED_VALUE"""),0.0)</f>
        <v>0</v>
      </c>
      <c r="BD127" s="22">
        <f>IFERROR(__xludf.DUMMYFUNCTION("""COMPUTED_VALUE"""),500000.0)</f>
        <v>500000</v>
      </c>
      <c r="BE127" s="22">
        <f>IFERROR(__xludf.DUMMYFUNCTION("""COMPUTED_VALUE"""),0.0)</f>
        <v>0</v>
      </c>
      <c r="BF127" s="22">
        <f>IFERROR(__xludf.DUMMYFUNCTION("""COMPUTED_VALUE"""),500000.0)</f>
        <v>500000</v>
      </c>
    </row>
    <row r="128">
      <c r="A128" s="27">
        <f>IFERROR(__xludf.DUMMYFUNCTION("""COMPUTED_VALUE"""),127.0)</f>
        <v>127</v>
      </c>
      <c r="B128" s="28" t="str">
        <f>IFERROR(__xludf.DUMMYFUNCTION("""COMPUTED_VALUE"""),"NOVI ADELIA SALSABILLA")</f>
        <v>NOVI ADELIA SALSABILLA</v>
      </c>
      <c r="C128" s="28">
        <f>IFERROR(__xludf.DUMMYFUNCTION("""COMPUTED_VALUE"""),2.024070082E9)</f>
        <v>2024070082</v>
      </c>
      <c r="D128" s="28" t="str">
        <f>IFERROR(__xludf.DUMMYFUNCTION("""COMPUTED_VALUE"""),"SUKIRNO")</f>
        <v>SUKIRNO</v>
      </c>
      <c r="E128" s="28" t="str">
        <f>IFERROR(__xludf.DUMMYFUNCTION("""COMPUTED_VALUE"""),"SUSMIYATIN")</f>
        <v>SUSMIYATIN</v>
      </c>
      <c r="F128" s="28" t="str">
        <f>IFERROR(__xludf.DUMMYFUNCTION("""COMPUTED_VALUE"""),"TENGGULUN RT 007 RW 003 SOLOKURO LAMONGAN")</f>
        <v>TENGGULUN RT 007 RW 003 SOLOKURO LAMONGAN</v>
      </c>
      <c r="G128" s="28" t="str">
        <f>IFERROR(__xludf.DUMMYFUNCTION("""COMPUTED_VALUE"""),"MA-XII.3")</f>
        <v>MA-XII.3</v>
      </c>
      <c r="H128" s="28" t="str">
        <f>IFERROR(__xludf.DUMMYFUNCTION("""COMPUTED_VALUE"""),"B")</f>
        <v>B</v>
      </c>
      <c r="I128" s="28" t="str">
        <f>IFERROR(__xludf.DUMMYFUNCTION("""COMPUTED_VALUE"""),"B-5")</f>
        <v>B-5</v>
      </c>
      <c r="J128" s="28">
        <f>IFERROR(__xludf.DUMMYFUNCTION("""COMPUTED_VALUE"""),3.0)</f>
        <v>3</v>
      </c>
      <c r="K128" s="28" t="str">
        <f>IFERROR(__xludf.DUMMYFUNCTION("""COMPUTED_VALUE"""),"3 WUSTHO B PUTRI")</f>
        <v>3 WUSTHO B PUTRI</v>
      </c>
      <c r="L128" s="29" t="str">
        <f>IFERROR(__xludf.DUMMYFUNCTION("""COMPUTED_VALUE"""),"6285706307948")</f>
        <v>6285706307948</v>
      </c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2">
        <f>IFERROR(__xludf.DUMMYFUNCTION("""COMPUTED_VALUE"""),0.0)</f>
        <v>0</v>
      </c>
      <c r="BD128" s="22">
        <f>IFERROR(__xludf.DUMMYFUNCTION("""COMPUTED_VALUE"""),0.0)</f>
        <v>0</v>
      </c>
      <c r="BE128" s="22">
        <f>IFERROR(__xludf.DUMMYFUNCTION("""COMPUTED_VALUE"""),0.0)</f>
        <v>0</v>
      </c>
      <c r="BF128" s="22">
        <f>IFERROR(__xludf.DUMMYFUNCTION("""COMPUTED_VALUE"""),0.0)</f>
        <v>0</v>
      </c>
    </row>
    <row r="129">
      <c r="A129" s="27">
        <f>IFERROR(__xludf.DUMMYFUNCTION("""COMPUTED_VALUE"""),128.0)</f>
        <v>128</v>
      </c>
      <c r="B129" s="28" t="str">
        <f>IFERROR(__xludf.DUMMYFUNCTION("""COMPUTED_VALUE"""),"NUR AILATUN NAKHWA")</f>
        <v>NUR AILATUN NAKHWA</v>
      </c>
      <c r="C129" s="28">
        <f>IFERROR(__xludf.DUMMYFUNCTION("""COMPUTED_VALUE"""),2.024070196E9)</f>
        <v>2024070196</v>
      </c>
      <c r="D129" s="28" t="str">
        <f>IFERROR(__xludf.DUMMYFUNCTION("""COMPUTED_VALUE"""),"KARDIMAN")</f>
        <v>KARDIMAN</v>
      </c>
      <c r="E129" s="28" t="str">
        <f>IFERROR(__xludf.DUMMYFUNCTION("""COMPUTED_VALUE"""),"QUROTUL UMMAH")</f>
        <v>QUROTUL UMMAH</v>
      </c>
      <c r="F129" s="28" t="str">
        <f>IFERROR(__xludf.DUMMYFUNCTION("""COMPUTED_VALUE"""),"TENGGULUN RT 007 RW 003 SOLOKURO LAMONGAN")</f>
        <v>TENGGULUN RT 007 RW 003 SOLOKURO LAMONGAN</v>
      </c>
      <c r="G129" s="28" t="str">
        <f>IFERROR(__xludf.DUMMYFUNCTION("""COMPUTED_VALUE"""),"MA-XII.7")</f>
        <v>MA-XII.7</v>
      </c>
      <c r="H129" s="28" t="str">
        <f>IFERROR(__xludf.DUMMYFUNCTION("""COMPUTED_VALUE"""),"B")</f>
        <v>B</v>
      </c>
      <c r="I129" s="28" t="str">
        <f>IFERROR(__xludf.DUMMYFUNCTION("""COMPUTED_VALUE"""),"B-5")</f>
        <v>B-5</v>
      </c>
      <c r="J129" s="28">
        <f>IFERROR(__xludf.DUMMYFUNCTION("""COMPUTED_VALUE"""),3.0)</f>
        <v>3</v>
      </c>
      <c r="K129" s="28" t="str">
        <f>IFERROR(__xludf.DUMMYFUNCTION("""COMPUTED_VALUE"""),"3 WUSTHO B PUTRI")</f>
        <v>3 WUSTHO B PUTRI</v>
      </c>
      <c r="L129" s="29" t="str">
        <f>IFERROR(__xludf.DUMMYFUNCTION("""COMPUTED_VALUE"""),"6282338617496")</f>
        <v>6282338617496</v>
      </c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2">
        <f>IFERROR(__xludf.DUMMYFUNCTION("""COMPUTED_VALUE"""),0.0)</f>
        <v>0</v>
      </c>
      <c r="BD129" s="22">
        <f>IFERROR(__xludf.DUMMYFUNCTION("""COMPUTED_VALUE"""),0.0)</f>
        <v>0</v>
      </c>
      <c r="BE129" s="22">
        <f>IFERROR(__xludf.DUMMYFUNCTION("""COMPUTED_VALUE"""),0.0)</f>
        <v>0</v>
      </c>
      <c r="BF129" s="22">
        <f>IFERROR(__xludf.DUMMYFUNCTION("""COMPUTED_VALUE"""),0.0)</f>
        <v>0</v>
      </c>
    </row>
    <row r="130">
      <c r="A130" s="27">
        <f>IFERROR(__xludf.DUMMYFUNCTION("""COMPUTED_VALUE"""),129.0)</f>
        <v>129</v>
      </c>
      <c r="B130" s="28" t="str">
        <f>IFERROR(__xludf.DUMMYFUNCTION("""COMPUTED_VALUE"""),"NUR MA`RIFAH")</f>
        <v>NUR MA`RIFAH</v>
      </c>
      <c r="C130" s="28">
        <f>IFERROR(__xludf.DUMMYFUNCTION("""COMPUTED_VALUE"""),2.024070578E9)</f>
        <v>2024070578</v>
      </c>
      <c r="D130" s="28" t="str">
        <f>IFERROR(__xludf.DUMMYFUNCTION("""COMPUTED_VALUE"""),"SUN`AN")</f>
        <v>SUN`AN</v>
      </c>
      <c r="E130" s="28" t="str">
        <f>IFERROR(__xludf.DUMMYFUNCTION("""COMPUTED_VALUE"""),"SUMA`IDAH")</f>
        <v>SUMA`IDAH</v>
      </c>
      <c r="F130" s="28" t="str">
        <f>IFERROR(__xludf.DUMMYFUNCTION("""COMPUTED_VALUE"""),"BANJARAN TURI RT 006 RW 002 MADURAN LAMONGAN")</f>
        <v>BANJARAN TURI RT 006 RW 002 MADURAN LAMONGAN</v>
      </c>
      <c r="G130" s="28" t="str">
        <f>IFERROR(__xludf.DUMMYFUNCTION("""COMPUTED_VALUE"""),"MTS-9 G")</f>
        <v>MTS-9 G</v>
      </c>
      <c r="H130" s="28" t="str">
        <f>IFERROR(__xludf.DUMMYFUNCTION("""COMPUTED_VALUE"""),"B")</f>
        <v>B</v>
      </c>
      <c r="I130" s="28" t="str">
        <f>IFERROR(__xludf.DUMMYFUNCTION("""COMPUTED_VALUE"""),"B-9")</f>
        <v>B-9</v>
      </c>
      <c r="J130" s="28">
        <f>IFERROR(__xludf.DUMMYFUNCTION("""COMPUTED_VALUE"""),3.0)</f>
        <v>3</v>
      </c>
      <c r="K130" s="28" t="str">
        <f>IFERROR(__xludf.DUMMYFUNCTION("""COMPUTED_VALUE"""),"3 ULA B PUTRI")</f>
        <v>3 ULA B PUTRI</v>
      </c>
      <c r="L130" s="29" t="str">
        <f>IFERROR(__xludf.DUMMYFUNCTION("""COMPUTED_VALUE"""),"6285730196160")</f>
        <v>6285730196160</v>
      </c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2">
        <f>IFERROR(__xludf.DUMMYFUNCTION("""COMPUTED_VALUE"""),500000.0)</f>
        <v>500000</v>
      </c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2">
        <f>IFERROR(__xludf.DUMMYFUNCTION("""COMPUTED_VALUE"""),0.0)</f>
        <v>0</v>
      </c>
      <c r="BD130" s="22">
        <f>IFERROR(__xludf.DUMMYFUNCTION("""COMPUTED_VALUE"""),500000.0)</f>
        <v>500000</v>
      </c>
      <c r="BE130" s="22">
        <f>IFERROR(__xludf.DUMMYFUNCTION("""COMPUTED_VALUE"""),0.0)</f>
        <v>0</v>
      </c>
      <c r="BF130" s="22">
        <f>IFERROR(__xludf.DUMMYFUNCTION("""COMPUTED_VALUE"""),500000.0)</f>
        <v>500000</v>
      </c>
    </row>
    <row r="131">
      <c r="A131" s="27">
        <f>IFERROR(__xludf.DUMMYFUNCTION("""COMPUTED_VALUE"""),130.0)</f>
        <v>130</v>
      </c>
      <c r="B131" s="28" t="str">
        <f>IFERROR(__xludf.DUMMYFUNCTION("""COMPUTED_VALUE"""),"NURUL QHOIYIMATUL ALFIYAH")</f>
        <v>NURUL QHOIYIMATUL ALFIYAH</v>
      </c>
      <c r="C131" s="28">
        <f>IFERROR(__xludf.DUMMYFUNCTION("""COMPUTED_VALUE"""),2.024070436E9)</f>
        <v>2024070436</v>
      </c>
      <c r="D131" s="28" t="str">
        <f>IFERROR(__xludf.DUMMYFUNCTION("""COMPUTED_VALUE"""),"MUKRI HAJI")</f>
        <v>MUKRI HAJI</v>
      </c>
      <c r="E131" s="28" t="str">
        <f>IFERROR(__xludf.DUMMYFUNCTION("""COMPUTED_VALUE"""),"MA`RIFAH")</f>
        <v>MA`RIFAH</v>
      </c>
      <c r="F131" s="28" t="str">
        <f>IFERROR(__xludf.DUMMYFUNCTION("""COMPUTED_VALUE"""),"TENGGULUN RT 008 RW 003 SOLOKURO LAMONGAN")</f>
        <v>TENGGULUN RT 008 RW 003 SOLOKURO LAMONGAN</v>
      </c>
      <c r="G131" s="28" t="str">
        <f>IFERROR(__xludf.DUMMYFUNCTION("""COMPUTED_VALUE"""),"MA-XII.13")</f>
        <v>MA-XII.13</v>
      </c>
      <c r="H131" s="28" t="str">
        <f>IFERROR(__xludf.DUMMYFUNCTION("""COMPUTED_VALUE"""),"B")</f>
        <v>B</v>
      </c>
      <c r="I131" s="28" t="str">
        <f>IFERROR(__xludf.DUMMYFUNCTION("""COMPUTED_VALUE"""),"B-7")</f>
        <v>B-7</v>
      </c>
      <c r="J131" s="28">
        <f>IFERROR(__xludf.DUMMYFUNCTION("""COMPUTED_VALUE"""),3.0)</f>
        <v>3</v>
      </c>
      <c r="K131" s="28" t="str">
        <f>IFERROR(__xludf.DUMMYFUNCTION("""COMPUTED_VALUE"""),"3 MAK PUTRI")</f>
        <v>3 MAK PUTRI</v>
      </c>
      <c r="L131" s="29" t="str">
        <f>IFERROR(__xludf.DUMMYFUNCTION("""COMPUTED_VALUE"""),"628812496056661")</f>
        <v>628812496056661</v>
      </c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2">
        <f>IFERROR(__xludf.DUMMYFUNCTION("""COMPUTED_VALUE"""),500000.0)</f>
        <v>500000</v>
      </c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2">
        <f>IFERROR(__xludf.DUMMYFUNCTION("""COMPUTED_VALUE"""),450000.0)</f>
        <v>450000</v>
      </c>
      <c r="AO131" s="28"/>
      <c r="AP131" s="22">
        <f>IFERROR(__xludf.DUMMYFUNCTION("""COMPUTED_VALUE"""),500000.0)</f>
        <v>500000</v>
      </c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2">
        <f>IFERROR(__xludf.DUMMYFUNCTION("""COMPUTED_VALUE"""),450000.0)</f>
        <v>450000</v>
      </c>
      <c r="BD131" s="22">
        <f>IFERROR(__xludf.DUMMYFUNCTION("""COMPUTED_VALUE"""),1000000.0)</f>
        <v>1000000</v>
      </c>
      <c r="BE131" s="22">
        <f>IFERROR(__xludf.DUMMYFUNCTION("""COMPUTED_VALUE"""),0.0)</f>
        <v>0</v>
      </c>
      <c r="BF131" s="22">
        <f>IFERROR(__xludf.DUMMYFUNCTION("""COMPUTED_VALUE"""),1450000.0)</f>
        <v>1450000</v>
      </c>
    </row>
    <row r="132">
      <c r="A132" s="27">
        <f>IFERROR(__xludf.DUMMYFUNCTION("""COMPUTED_VALUE"""),131.0)</f>
        <v>131</v>
      </c>
      <c r="B132" s="28" t="str">
        <f>IFERROR(__xludf.DUMMYFUNCTION("""COMPUTED_VALUE"""),"PARAMITA ANGGRAINI")</f>
        <v>PARAMITA ANGGRAINI</v>
      </c>
      <c r="C132" s="28">
        <f>IFERROR(__xludf.DUMMYFUNCTION("""COMPUTED_VALUE"""),2.024070698E9)</f>
        <v>2024070698</v>
      </c>
      <c r="D132" s="28" t="str">
        <f>IFERROR(__xludf.DUMMYFUNCTION("""COMPUTED_VALUE"""),"SUROSO")</f>
        <v>SUROSO</v>
      </c>
      <c r="E132" s="28" t="str">
        <f>IFERROR(__xludf.DUMMYFUNCTION("""COMPUTED_VALUE"""),"ISMIRA")</f>
        <v>ISMIRA</v>
      </c>
      <c r="F132" s="28" t="str">
        <f>IFERROR(__xludf.DUMMYFUNCTION("""COMPUTED_VALUE"""),"SEREN JATIPANDAK RT 005 RW 003 SAMBENG LAMONGAN")</f>
        <v>SEREN JATIPANDAK RT 005 RW 003 SAMBENG LAMONGAN</v>
      </c>
      <c r="G132" s="28" t="str">
        <f>IFERROR(__xludf.DUMMYFUNCTION("""COMPUTED_VALUE"""),"SMK-XII TKJ 2")</f>
        <v>SMK-XII TKJ 2</v>
      </c>
      <c r="H132" s="28" t="str">
        <f>IFERROR(__xludf.DUMMYFUNCTION("""COMPUTED_VALUE"""),"B")</f>
        <v>B</v>
      </c>
      <c r="I132" s="28" t="str">
        <f>IFERROR(__xludf.DUMMYFUNCTION("""COMPUTED_VALUE"""),"B-4")</f>
        <v>B-4</v>
      </c>
      <c r="J132" s="28">
        <f>IFERROR(__xludf.DUMMYFUNCTION("""COMPUTED_VALUE"""),3.0)</f>
        <v>3</v>
      </c>
      <c r="K132" s="28" t="str">
        <f>IFERROR(__xludf.DUMMYFUNCTION("""COMPUTED_VALUE"""),"3 WUSTHO C PUTRI")</f>
        <v>3 WUSTHO C PUTRI</v>
      </c>
      <c r="L132" s="29" t="str">
        <f>IFERROR(__xludf.DUMMYFUNCTION("""COMPUTED_VALUE"""),"6285645123489")</f>
        <v>6285645123489</v>
      </c>
      <c r="M132" s="28"/>
      <c r="N132" s="28"/>
      <c r="O132" s="28"/>
      <c r="P132" s="28"/>
      <c r="Q132" s="28"/>
      <c r="R132" s="28"/>
      <c r="S132" s="28"/>
      <c r="T132" s="28"/>
      <c r="U132" s="28"/>
      <c r="V132" s="22">
        <f>IFERROR(__xludf.DUMMYFUNCTION("""COMPUTED_VALUE"""),450000.0)</f>
        <v>450000</v>
      </c>
      <c r="W132" s="22">
        <f>IFERROR(__xludf.DUMMYFUNCTION("""COMPUTED_VALUE"""),450000.0)</f>
        <v>450000</v>
      </c>
      <c r="X132" s="22">
        <f>IFERROR(__xludf.DUMMYFUNCTION("""COMPUTED_VALUE"""),450000.0)</f>
        <v>450000</v>
      </c>
      <c r="Y132" s="22">
        <f>IFERROR(__xludf.DUMMYFUNCTION("""COMPUTED_VALUE"""),450000.0)</f>
        <v>450000</v>
      </c>
      <c r="Z132" s="22">
        <f>IFERROR(__xludf.DUMMYFUNCTION("""COMPUTED_VALUE"""),450000.0)</f>
        <v>450000</v>
      </c>
      <c r="AA132" s="22">
        <f>IFERROR(__xludf.DUMMYFUNCTION("""COMPUTED_VALUE"""),350000.0)</f>
        <v>350000</v>
      </c>
      <c r="AB132" s="22">
        <f>IFERROR(__xludf.DUMMYFUNCTION("""COMPUTED_VALUE"""),500000.0)</f>
        <v>500000</v>
      </c>
      <c r="AC132" s="22">
        <f>IFERROR(__xludf.DUMMYFUNCTION("""COMPUTED_VALUE"""),450000.0)</f>
        <v>450000</v>
      </c>
      <c r="AD132" s="22">
        <f>IFERROR(__xludf.DUMMYFUNCTION("""COMPUTED_VALUE"""),450000.0)</f>
        <v>450000</v>
      </c>
      <c r="AE132" s="22">
        <f>IFERROR(__xludf.DUMMYFUNCTION("""COMPUTED_VALUE"""),450000.0)</f>
        <v>450000</v>
      </c>
      <c r="AF132" s="22">
        <f>IFERROR(__xludf.DUMMYFUNCTION("""COMPUTED_VALUE"""),450000.0)</f>
        <v>450000</v>
      </c>
      <c r="AG132" s="22">
        <f>IFERROR(__xludf.DUMMYFUNCTION("""COMPUTED_VALUE"""),450000.0)</f>
        <v>450000</v>
      </c>
      <c r="AH132" s="22">
        <f>IFERROR(__xludf.DUMMYFUNCTION("""COMPUTED_VALUE"""),450000.0)</f>
        <v>450000</v>
      </c>
      <c r="AI132" s="22">
        <f>IFERROR(__xludf.DUMMYFUNCTION("""COMPUTED_VALUE"""),450000.0)</f>
        <v>450000</v>
      </c>
      <c r="AJ132" s="22">
        <f>IFERROR(__xludf.DUMMYFUNCTION("""COMPUTED_VALUE"""),450000.0)</f>
        <v>450000</v>
      </c>
      <c r="AK132" s="22">
        <f>IFERROR(__xludf.DUMMYFUNCTION("""COMPUTED_VALUE"""),450000.0)</f>
        <v>450000</v>
      </c>
      <c r="AL132" s="22">
        <f>IFERROR(__xludf.DUMMYFUNCTION("""COMPUTED_VALUE"""),450000.0)</f>
        <v>450000</v>
      </c>
      <c r="AM132" s="22">
        <f>IFERROR(__xludf.DUMMYFUNCTION("""COMPUTED_VALUE"""),450000.0)</f>
        <v>450000</v>
      </c>
      <c r="AN132" s="22">
        <f>IFERROR(__xludf.DUMMYFUNCTION("""COMPUTED_VALUE"""),450000.0)</f>
        <v>450000</v>
      </c>
      <c r="AO132" s="28"/>
      <c r="AP132" s="22">
        <f>IFERROR(__xludf.DUMMYFUNCTION("""COMPUTED_VALUE"""),500000.0)</f>
        <v>500000</v>
      </c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2">
        <f>IFERROR(__xludf.DUMMYFUNCTION("""COMPUTED_VALUE"""),7650000.0)</f>
        <v>7650000</v>
      </c>
      <c r="BD132" s="22">
        <f>IFERROR(__xludf.DUMMYFUNCTION("""COMPUTED_VALUE"""),1000000.0)</f>
        <v>1000000</v>
      </c>
      <c r="BE132" s="22">
        <f>IFERROR(__xludf.DUMMYFUNCTION("""COMPUTED_VALUE"""),350000.0)</f>
        <v>350000</v>
      </c>
      <c r="BF132" s="22">
        <f>IFERROR(__xludf.DUMMYFUNCTION("""COMPUTED_VALUE"""),9000000.0)</f>
        <v>9000000</v>
      </c>
    </row>
    <row r="133">
      <c r="A133" s="27">
        <f>IFERROR(__xludf.DUMMYFUNCTION("""COMPUTED_VALUE"""),132.0)</f>
        <v>132</v>
      </c>
      <c r="B133" s="28" t="str">
        <f>IFERROR(__xludf.DUMMYFUNCTION("""COMPUTED_VALUE"""),"PUTRI FARHANA AMALIA")</f>
        <v>PUTRI FARHANA AMALIA</v>
      </c>
      <c r="C133" s="28">
        <f>IFERROR(__xludf.DUMMYFUNCTION("""COMPUTED_VALUE"""),2.024070084E9)</f>
        <v>2024070084</v>
      </c>
      <c r="D133" s="28" t="str">
        <f>IFERROR(__xludf.DUMMYFUNCTION("""COMPUTED_VALUE"""),"SYAIFUL AMIN")</f>
        <v>SYAIFUL AMIN</v>
      </c>
      <c r="E133" s="28" t="str">
        <f>IFERROR(__xludf.DUMMYFUNCTION("""COMPUTED_VALUE"""),"SUNDARTI")</f>
        <v>SUNDARTI</v>
      </c>
      <c r="F133" s="28" t="str">
        <f>IFERROR(__xludf.DUMMYFUNCTION("""COMPUTED_VALUE"""),"TENGGULUN RT 003 RW 002 SOLOKURO LAMONGAN")</f>
        <v>TENGGULUN RT 003 RW 002 SOLOKURO LAMONGAN</v>
      </c>
      <c r="G133" s="28" t="str">
        <f>IFERROR(__xludf.DUMMYFUNCTION("""COMPUTED_VALUE"""),"MA-XII.3")</f>
        <v>MA-XII.3</v>
      </c>
      <c r="H133" s="28" t="str">
        <f>IFERROR(__xludf.DUMMYFUNCTION("""COMPUTED_VALUE"""),"B")</f>
        <v>B</v>
      </c>
      <c r="I133" s="28" t="str">
        <f>IFERROR(__xludf.DUMMYFUNCTION("""COMPUTED_VALUE"""),"B-5")</f>
        <v>B-5</v>
      </c>
      <c r="J133" s="28">
        <f>IFERROR(__xludf.DUMMYFUNCTION("""COMPUTED_VALUE"""),3.0)</f>
        <v>3</v>
      </c>
      <c r="K133" s="28" t="str">
        <f>IFERROR(__xludf.DUMMYFUNCTION("""COMPUTED_VALUE"""),"3 WUSTHO B PUTRI")</f>
        <v>3 WUSTHO B PUTRI</v>
      </c>
      <c r="L133" s="29" t="str">
        <f>IFERROR(__xludf.DUMMYFUNCTION("""COMPUTED_VALUE"""),"6282245431749")</f>
        <v>6282245431749</v>
      </c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2">
        <f>IFERROR(__xludf.DUMMYFUNCTION("""COMPUTED_VALUE"""),0.0)</f>
        <v>0</v>
      </c>
      <c r="BD133" s="22">
        <f>IFERROR(__xludf.DUMMYFUNCTION("""COMPUTED_VALUE"""),0.0)</f>
        <v>0</v>
      </c>
      <c r="BE133" s="22">
        <f>IFERROR(__xludf.DUMMYFUNCTION("""COMPUTED_VALUE"""),0.0)</f>
        <v>0</v>
      </c>
      <c r="BF133" s="22">
        <f>IFERROR(__xludf.DUMMYFUNCTION("""COMPUTED_VALUE"""),0.0)</f>
        <v>0</v>
      </c>
    </row>
    <row r="134">
      <c r="A134" s="27">
        <f>IFERROR(__xludf.DUMMYFUNCTION("""COMPUTED_VALUE"""),133.0)</f>
        <v>133</v>
      </c>
      <c r="B134" s="28" t="str">
        <f>IFERROR(__xludf.DUMMYFUNCTION("""COMPUTED_VALUE"""),"SHAFA KIRANA KAMALAT AZIZAH")</f>
        <v>SHAFA KIRANA KAMALAT AZIZAH</v>
      </c>
      <c r="C134" s="28">
        <f>IFERROR(__xludf.DUMMYFUNCTION("""COMPUTED_VALUE"""),2.024070438E9)</f>
        <v>2024070438</v>
      </c>
      <c r="D134" s="28" t="str">
        <f>IFERROR(__xludf.DUMMYFUNCTION("""COMPUTED_VALUE"""),"SHAFIK UDIN")</f>
        <v>SHAFIK UDIN</v>
      </c>
      <c r="E134" s="28" t="str">
        <f>IFERROR(__xludf.DUMMYFUNCTION("""COMPUTED_VALUE"""),"KUSNUL AMALIYAH")</f>
        <v>KUSNUL AMALIYAH</v>
      </c>
      <c r="F134" s="28" t="str">
        <f>IFERROR(__xludf.DUMMYFUNCTION("""COMPUTED_VALUE"""),"PUCUK SRIRANDE RT 004 RW 003 DEKET LAMONGAN")</f>
        <v>PUCUK SRIRANDE RT 004 RW 003 DEKET LAMONGAN</v>
      </c>
      <c r="G134" s="28" t="str">
        <f>IFERROR(__xludf.DUMMYFUNCTION("""COMPUTED_VALUE"""),"MA-XII.13")</f>
        <v>MA-XII.13</v>
      </c>
      <c r="H134" s="28" t="str">
        <f>IFERROR(__xludf.DUMMYFUNCTION("""COMPUTED_VALUE"""),"B")</f>
        <v>B</v>
      </c>
      <c r="I134" s="28" t="str">
        <f>IFERROR(__xludf.DUMMYFUNCTION("""COMPUTED_VALUE"""),"B-7")</f>
        <v>B-7</v>
      </c>
      <c r="J134" s="28">
        <f>IFERROR(__xludf.DUMMYFUNCTION("""COMPUTED_VALUE"""),3.0)</f>
        <v>3</v>
      </c>
      <c r="K134" s="28" t="str">
        <f>IFERROR(__xludf.DUMMYFUNCTION("""COMPUTED_VALUE"""),"3 MAK PUTRI")</f>
        <v>3 MAK PUTRI</v>
      </c>
      <c r="L134" s="29" t="str">
        <f>IFERROR(__xludf.DUMMYFUNCTION("""COMPUTED_VALUE"""),"6285790323117")</f>
        <v>6285790323117</v>
      </c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2">
        <f>IFERROR(__xludf.DUMMYFUNCTION("""COMPUTED_VALUE"""),500000.0)</f>
        <v>500000</v>
      </c>
      <c r="AC134" s="28"/>
      <c r="AD134" s="28"/>
      <c r="AE134" s="28"/>
      <c r="AF134" s="28"/>
      <c r="AG134" s="28"/>
      <c r="AH134" s="22">
        <f>IFERROR(__xludf.DUMMYFUNCTION("""COMPUTED_VALUE"""),450000.0)</f>
        <v>450000</v>
      </c>
      <c r="AI134" s="22">
        <f>IFERROR(__xludf.DUMMYFUNCTION("""COMPUTED_VALUE"""),450000.0)</f>
        <v>450000</v>
      </c>
      <c r="AJ134" s="22">
        <f>IFERROR(__xludf.DUMMYFUNCTION("""COMPUTED_VALUE"""),450000.0)</f>
        <v>450000</v>
      </c>
      <c r="AK134" s="22">
        <f>IFERROR(__xludf.DUMMYFUNCTION("""COMPUTED_VALUE"""),450000.0)</f>
        <v>450000</v>
      </c>
      <c r="AL134" s="22">
        <f>IFERROR(__xludf.DUMMYFUNCTION("""COMPUTED_VALUE"""),450000.0)</f>
        <v>450000</v>
      </c>
      <c r="AM134" s="22">
        <f>IFERROR(__xludf.DUMMYFUNCTION("""COMPUTED_VALUE"""),450000.0)</f>
        <v>450000</v>
      </c>
      <c r="AN134" s="22">
        <f>IFERROR(__xludf.DUMMYFUNCTION("""COMPUTED_VALUE"""),450000.0)</f>
        <v>450000</v>
      </c>
      <c r="AO134" s="28"/>
      <c r="AP134" s="22">
        <f>IFERROR(__xludf.DUMMYFUNCTION("""COMPUTED_VALUE"""),500000.0)</f>
        <v>500000</v>
      </c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2">
        <f>IFERROR(__xludf.DUMMYFUNCTION("""COMPUTED_VALUE"""),3150000.0)</f>
        <v>3150000</v>
      </c>
      <c r="BD134" s="22">
        <f>IFERROR(__xludf.DUMMYFUNCTION("""COMPUTED_VALUE"""),1000000.0)</f>
        <v>1000000</v>
      </c>
      <c r="BE134" s="22">
        <f>IFERROR(__xludf.DUMMYFUNCTION("""COMPUTED_VALUE"""),0.0)</f>
        <v>0</v>
      </c>
      <c r="BF134" s="22">
        <f>IFERROR(__xludf.DUMMYFUNCTION("""COMPUTED_VALUE"""),4150000.0)</f>
        <v>4150000</v>
      </c>
    </row>
    <row r="135">
      <c r="A135" s="27">
        <f>IFERROR(__xludf.DUMMYFUNCTION("""COMPUTED_VALUE"""),134.0)</f>
        <v>134</v>
      </c>
      <c r="B135" s="28" t="str">
        <f>IFERROR(__xludf.DUMMYFUNCTION("""COMPUTED_VALUE"""),"SILVY AYU WULANDARI")</f>
        <v>SILVY AYU WULANDARI</v>
      </c>
      <c r="C135" s="28">
        <f>IFERROR(__xludf.DUMMYFUNCTION("""COMPUTED_VALUE"""),2.02407044E9)</f>
        <v>2024070440</v>
      </c>
      <c r="D135" s="28" t="str">
        <f>IFERROR(__xludf.DUMMYFUNCTION("""COMPUTED_VALUE"""),"ADI LAKSONO")</f>
        <v>ADI LAKSONO</v>
      </c>
      <c r="E135" s="28" t="str">
        <f>IFERROR(__xludf.DUMMYFUNCTION("""COMPUTED_VALUE"""),"SITI KOMARIYAH")</f>
        <v>SITI KOMARIYAH</v>
      </c>
      <c r="F135" s="28" t="str">
        <f>IFERROR(__xludf.DUMMYFUNCTION("""COMPUTED_VALUE"""),"DADUNGAN RT 001 RW 004 KALITENGAH LAMONGAN")</f>
        <v>DADUNGAN RT 001 RW 004 KALITENGAH LAMONGAN</v>
      </c>
      <c r="G135" s="28" t="str">
        <f>IFERROR(__xludf.DUMMYFUNCTION("""COMPUTED_VALUE"""),"MA-XII.13")</f>
        <v>MA-XII.13</v>
      </c>
      <c r="H135" s="28" t="str">
        <f>IFERROR(__xludf.DUMMYFUNCTION("""COMPUTED_VALUE"""),"B")</f>
        <v>B</v>
      </c>
      <c r="I135" s="28" t="str">
        <f>IFERROR(__xludf.DUMMYFUNCTION("""COMPUTED_VALUE"""),"B-7")</f>
        <v>B-7</v>
      </c>
      <c r="J135" s="28">
        <f>IFERROR(__xludf.DUMMYFUNCTION("""COMPUTED_VALUE"""),3.0)</f>
        <v>3</v>
      </c>
      <c r="K135" s="28" t="str">
        <f>IFERROR(__xludf.DUMMYFUNCTION("""COMPUTED_VALUE"""),"3 MAK PUTRI")</f>
        <v>3 MAK PUTRI</v>
      </c>
      <c r="L135" s="29" t="str">
        <f>IFERROR(__xludf.DUMMYFUNCTION("""COMPUTED_VALUE"""),"6281554219741")</f>
        <v>6281554219741</v>
      </c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2">
        <f>IFERROR(__xludf.DUMMYFUNCTION("""COMPUTED_VALUE"""),500000.0)</f>
        <v>500000</v>
      </c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2">
        <f>IFERROR(__xludf.DUMMYFUNCTION("""COMPUTED_VALUE"""),0.0)</f>
        <v>0</v>
      </c>
      <c r="BD135" s="22">
        <f>IFERROR(__xludf.DUMMYFUNCTION("""COMPUTED_VALUE"""),500000.0)</f>
        <v>500000</v>
      </c>
      <c r="BE135" s="22">
        <f>IFERROR(__xludf.DUMMYFUNCTION("""COMPUTED_VALUE"""),0.0)</f>
        <v>0</v>
      </c>
      <c r="BF135" s="22">
        <f>IFERROR(__xludf.DUMMYFUNCTION("""COMPUTED_VALUE"""),500000.0)</f>
        <v>500000</v>
      </c>
    </row>
    <row r="136">
      <c r="A136" s="27">
        <f>IFERROR(__xludf.DUMMYFUNCTION("""COMPUTED_VALUE"""),135.0)</f>
        <v>135</v>
      </c>
      <c r="B136" s="28" t="str">
        <f>IFERROR(__xludf.DUMMYFUNCTION("""COMPUTED_VALUE"""),"SITI MAGFIROH")</f>
        <v>SITI MAGFIROH</v>
      </c>
      <c r="C136" s="28">
        <f>IFERROR(__xludf.DUMMYFUNCTION("""COMPUTED_VALUE"""),2.024070441E9)</f>
        <v>2024070441</v>
      </c>
      <c r="D136" s="28" t="str">
        <f>IFERROR(__xludf.DUMMYFUNCTION("""COMPUTED_VALUE"""),"SUPARTO")</f>
        <v>SUPARTO</v>
      </c>
      <c r="E136" s="28" t="str">
        <f>IFERROR(__xludf.DUMMYFUNCTION("""COMPUTED_VALUE"""),"SITI MARDLIYAH NOVIA ROHMA")</f>
        <v>SITI MARDLIYAH NOVIA ROHMA</v>
      </c>
      <c r="F136" s="28" t="str">
        <f>IFERROR(__xludf.DUMMYFUNCTION("""COMPUTED_VALUE"""),"TIWET RT 2 RW 2 KALITENGAH LAMONGAN")</f>
        <v>TIWET RT 2 RW 2 KALITENGAH LAMONGAN</v>
      </c>
      <c r="G136" s="28" t="str">
        <f>IFERROR(__xludf.DUMMYFUNCTION("""COMPUTED_VALUE"""),"MA-XII.13")</f>
        <v>MA-XII.13</v>
      </c>
      <c r="H136" s="28" t="str">
        <f>IFERROR(__xludf.DUMMYFUNCTION("""COMPUTED_VALUE"""),"B")</f>
        <v>B</v>
      </c>
      <c r="I136" s="28" t="str">
        <f>IFERROR(__xludf.DUMMYFUNCTION("""COMPUTED_VALUE"""),"B-7")</f>
        <v>B-7</v>
      </c>
      <c r="J136" s="28">
        <f>IFERROR(__xludf.DUMMYFUNCTION("""COMPUTED_VALUE"""),3.0)</f>
        <v>3</v>
      </c>
      <c r="K136" s="28" t="str">
        <f>IFERROR(__xludf.DUMMYFUNCTION("""COMPUTED_VALUE"""),"3 MAK PUTRI")</f>
        <v>3 MAK PUTRI</v>
      </c>
      <c r="L136" s="29" t="str">
        <f>IFERROR(__xludf.DUMMYFUNCTION("""COMPUTED_VALUE"""),"6285707732016")</f>
        <v>6285707732016</v>
      </c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2">
        <f>IFERROR(__xludf.DUMMYFUNCTION("""COMPUTED_VALUE"""),350000.0)</f>
        <v>350000</v>
      </c>
      <c r="AB136" s="28"/>
      <c r="AC136" s="28"/>
      <c r="AD136" s="28"/>
      <c r="AE136" s="28"/>
      <c r="AF136" s="28"/>
      <c r="AG136" s="28"/>
      <c r="AH136" s="28"/>
      <c r="AI136" s="28"/>
      <c r="AJ136" s="28"/>
      <c r="AK136" s="22">
        <f>IFERROR(__xludf.DUMMYFUNCTION("""COMPUTED_VALUE"""),450000.0)</f>
        <v>450000</v>
      </c>
      <c r="AL136" s="22">
        <f>IFERROR(__xludf.DUMMYFUNCTION("""COMPUTED_VALUE"""),450000.0)</f>
        <v>450000</v>
      </c>
      <c r="AM136" s="22">
        <f>IFERROR(__xludf.DUMMYFUNCTION("""COMPUTED_VALUE"""),450000.0)</f>
        <v>450000</v>
      </c>
      <c r="AN136" s="22">
        <f>IFERROR(__xludf.DUMMYFUNCTION("""COMPUTED_VALUE"""),450000.0)</f>
        <v>450000</v>
      </c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2">
        <f>IFERROR(__xludf.DUMMYFUNCTION("""COMPUTED_VALUE"""),1800000.0)</f>
        <v>1800000</v>
      </c>
      <c r="BD136" s="22">
        <f>IFERROR(__xludf.DUMMYFUNCTION("""COMPUTED_VALUE"""),0.0)</f>
        <v>0</v>
      </c>
      <c r="BE136" s="22">
        <f>IFERROR(__xludf.DUMMYFUNCTION("""COMPUTED_VALUE"""),350000.0)</f>
        <v>350000</v>
      </c>
      <c r="BF136" s="22">
        <f>IFERROR(__xludf.DUMMYFUNCTION("""COMPUTED_VALUE"""),2150000.0)</f>
        <v>2150000</v>
      </c>
    </row>
    <row r="137">
      <c r="A137" s="27">
        <f>IFERROR(__xludf.DUMMYFUNCTION("""COMPUTED_VALUE"""),136.0)</f>
        <v>136</v>
      </c>
      <c r="B137" s="28" t="str">
        <f>IFERROR(__xludf.DUMMYFUNCTION("""COMPUTED_VALUE"""),"SYABANTA NIHAYATUS SYAQIYYAH")</f>
        <v>SYABANTA NIHAYATUS SYAQIYYAH</v>
      </c>
      <c r="C137" s="28">
        <f>IFERROR(__xludf.DUMMYFUNCTION("""COMPUTED_VALUE"""),2.02407056E9)</f>
        <v>2024070560</v>
      </c>
      <c r="D137" s="28" t="str">
        <f>IFERROR(__xludf.DUMMYFUNCTION("""COMPUTED_VALUE"""),"MUHAMMAD MUSLIH")</f>
        <v>MUHAMMAD MUSLIH</v>
      </c>
      <c r="E137" s="28" t="str">
        <f>IFERROR(__xludf.DUMMYFUNCTION("""COMPUTED_VALUE"""),"FADHILATIN NISFAKURIYAH")</f>
        <v>FADHILATIN NISFAKURIYAH</v>
      </c>
      <c r="F137" s="28" t="str">
        <f>IFERROR(__xludf.DUMMYFUNCTION("""COMPUTED_VALUE"""),"BALAI DESA III CUNGKUP RT 004 RW 001 PUCUK LAMONGAN")</f>
        <v>BALAI DESA III CUNGKUP RT 004 RW 001 PUCUK LAMONGAN</v>
      </c>
      <c r="G137" s="28" t="str">
        <f>IFERROR(__xludf.DUMMYFUNCTION("""COMPUTED_VALUE"""),"MTS-9 C")</f>
        <v>MTS-9 C</v>
      </c>
      <c r="H137" s="28" t="str">
        <f>IFERROR(__xludf.DUMMYFUNCTION("""COMPUTED_VALUE"""),"B")</f>
        <v>B</v>
      </c>
      <c r="I137" s="28" t="str">
        <f>IFERROR(__xludf.DUMMYFUNCTION("""COMPUTED_VALUE"""),"B-9")</f>
        <v>B-9</v>
      </c>
      <c r="J137" s="28">
        <f>IFERROR(__xludf.DUMMYFUNCTION("""COMPUTED_VALUE"""),3.0)</f>
        <v>3</v>
      </c>
      <c r="K137" s="28" t="str">
        <f>IFERROR(__xludf.DUMMYFUNCTION("""COMPUTED_VALUE"""),"3 ULA C PUTRI")</f>
        <v>3 ULA C PUTRI</v>
      </c>
      <c r="L137" s="29" t="str">
        <f>IFERROR(__xludf.DUMMYFUNCTION("""COMPUTED_VALUE"""),"6285648897421")</f>
        <v>6285648897421</v>
      </c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2">
        <f>IFERROR(__xludf.DUMMYFUNCTION("""COMPUTED_VALUE"""),500000.0)</f>
        <v>500000</v>
      </c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2">
        <f>IFERROR(__xludf.DUMMYFUNCTION("""COMPUTED_VALUE"""),0.0)</f>
        <v>0</v>
      </c>
      <c r="BD137" s="22">
        <f>IFERROR(__xludf.DUMMYFUNCTION("""COMPUTED_VALUE"""),500000.0)</f>
        <v>500000</v>
      </c>
      <c r="BE137" s="22">
        <f>IFERROR(__xludf.DUMMYFUNCTION("""COMPUTED_VALUE"""),0.0)</f>
        <v>0</v>
      </c>
      <c r="BF137" s="22">
        <f>IFERROR(__xludf.DUMMYFUNCTION("""COMPUTED_VALUE"""),500000.0)</f>
        <v>500000</v>
      </c>
    </row>
    <row r="138">
      <c r="A138" s="27">
        <f>IFERROR(__xludf.DUMMYFUNCTION("""COMPUTED_VALUE"""),137.0)</f>
        <v>137</v>
      </c>
      <c r="B138" s="28" t="str">
        <f>IFERROR(__xludf.DUMMYFUNCTION("""COMPUTED_VALUE"""),"ADELIA YULIANTI PUTRI")</f>
        <v>ADELIA YULIANTI PUTRI</v>
      </c>
      <c r="C138" s="28">
        <f>IFERROR(__xludf.DUMMYFUNCTION("""COMPUTED_VALUE"""),2.024070492E9)</f>
        <v>2024070492</v>
      </c>
      <c r="D138" s="28" t="str">
        <f>IFERROR(__xludf.DUMMYFUNCTION("""COMPUTED_VALUE"""),"JUNAIDI ABDILLAH")</f>
        <v>JUNAIDI ABDILLAH</v>
      </c>
      <c r="E138" s="28" t="str">
        <f>IFERROR(__xludf.DUMMYFUNCTION("""COMPUTED_VALUE"""),"ENDANG MAYAWATI")</f>
        <v>ENDANG MAYAWATI</v>
      </c>
      <c r="F138" s="28" t="str">
        <f>IFERROR(__xludf.DUMMYFUNCTION("""COMPUTED_VALUE"""),"ASEMROWO II NO. 19 RT 002 RW 001 ASEM ROWO SURABAYA")</f>
        <v>ASEMROWO II NO. 19 RT 002 RW 001 ASEM ROWO SURABAYA</v>
      </c>
      <c r="G138" s="28" t="str">
        <f>IFERROR(__xludf.DUMMYFUNCTION("""COMPUTED_VALUE"""),"MTS-9 G")</f>
        <v>MTS-9 G</v>
      </c>
      <c r="H138" s="28" t="str">
        <f>IFERROR(__xludf.DUMMYFUNCTION("""COMPUTED_VALUE"""),"C")</f>
        <v>C</v>
      </c>
      <c r="I138" s="28" t="str">
        <f>IFERROR(__xludf.DUMMYFUNCTION("""COMPUTED_VALUE"""),"C-12")</f>
        <v>C-12</v>
      </c>
      <c r="J138" s="28">
        <f>IFERROR(__xludf.DUMMYFUNCTION("""COMPUTED_VALUE"""),3.0)</f>
        <v>3</v>
      </c>
      <c r="K138" s="28" t="str">
        <f>IFERROR(__xludf.DUMMYFUNCTION("""COMPUTED_VALUE"""),"3 ULA A PUTRI")</f>
        <v>3 ULA A PUTRI</v>
      </c>
      <c r="L138" s="29" t="str">
        <f>IFERROR(__xludf.DUMMYFUNCTION("""COMPUTED_VALUE"""),"6285808721207")</f>
        <v>6285808721207</v>
      </c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2">
        <f>IFERROR(__xludf.DUMMYFUNCTION("""COMPUTED_VALUE"""),500000.0)</f>
        <v>500000</v>
      </c>
      <c r="AC138" s="28"/>
      <c r="AD138" s="28"/>
      <c r="AE138" s="28"/>
      <c r="AF138" s="28"/>
      <c r="AG138" s="28"/>
      <c r="AH138" s="28"/>
      <c r="AI138" s="28"/>
      <c r="AJ138" s="28"/>
      <c r="AK138" s="22">
        <f>IFERROR(__xludf.DUMMYFUNCTION("""COMPUTED_VALUE"""),450000.0)</f>
        <v>450000</v>
      </c>
      <c r="AL138" s="22">
        <f>IFERROR(__xludf.DUMMYFUNCTION("""COMPUTED_VALUE"""),450000.0)</f>
        <v>450000</v>
      </c>
      <c r="AM138" s="22">
        <f>IFERROR(__xludf.DUMMYFUNCTION("""COMPUTED_VALUE"""),450000.0)</f>
        <v>450000</v>
      </c>
      <c r="AN138" s="22">
        <f>IFERROR(__xludf.DUMMYFUNCTION("""COMPUTED_VALUE"""),450000.0)</f>
        <v>450000</v>
      </c>
      <c r="AO138" s="28"/>
      <c r="AP138" s="22">
        <f>IFERROR(__xludf.DUMMYFUNCTION("""COMPUTED_VALUE"""),500000.0)</f>
        <v>500000</v>
      </c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2">
        <f>IFERROR(__xludf.DUMMYFUNCTION("""COMPUTED_VALUE"""),1800000.0)</f>
        <v>1800000</v>
      </c>
      <c r="BD138" s="22">
        <f>IFERROR(__xludf.DUMMYFUNCTION("""COMPUTED_VALUE"""),1000000.0)</f>
        <v>1000000</v>
      </c>
      <c r="BE138" s="22">
        <f>IFERROR(__xludf.DUMMYFUNCTION("""COMPUTED_VALUE"""),0.0)</f>
        <v>0</v>
      </c>
      <c r="BF138" s="22">
        <f>IFERROR(__xludf.DUMMYFUNCTION("""COMPUTED_VALUE"""),2800000.0)</f>
        <v>2800000</v>
      </c>
    </row>
    <row r="139">
      <c r="A139" s="27">
        <f>IFERROR(__xludf.DUMMYFUNCTION("""COMPUTED_VALUE"""),138.0)</f>
        <v>138</v>
      </c>
      <c r="B139" s="28" t="str">
        <f>IFERROR(__xludf.DUMMYFUNCTION("""COMPUTED_VALUE"""),"AFANIA AQILATUS SHAFA")</f>
        <v>AFANIA AQILATUS SHAFA</v>
      </c>
      <c r="C139" s="28">
        <f>IFERROR(__xludf.DUMMYFUNCTION("""COMPUTED_VALUE"""),2.02407064E9)</f>
        <v>2024070640</v>
      </c>
      <c r="D139" s="28" t="str">
        <f>IFERROR(__xludf.DUMMYFUNCTION("""COMPUTED_VALUE"""),"ACHMAD SUCHAIMI")</f>
        <v>ACHMAD SUCHAIMI</v>
      </c>
      <c r="E139" s="28" t="str">
        <f>IFERROR(__xludf.DUMMYFUNCTION("""COMPUTED_VALUE"""),"DWI OKTAFIA NINGSIH")</f>
        <v>DWI OKTAFIA NINGSIH</v>
      </c>
      <c r="F139" s="28" t="str">
        <f>IFERROR(__xludf.DUMMYFUNCTION("""COMPUTED_VALUE"""),"PAJANGAN RT 002 RW 002 SUKODADI LAMONGAN")</f>
        <v>PAJANGAN RT 002 RW 002 SUKODADI LAMONGAN</v>
      </c>
      <c r="G139" s="28" t="str">
        <f>IFERROR(__xludf.DUMMYFUNCTION("""COMPUTED_VALUE"""),"MTS-9 G")</f>
        <v>MTS-9 G</v>
      </c>
      <c r="H139" s="28" t="str">
        <f>IFERROR(__xludf.DUMMYFUNCTION("""COMPUTED_VALUE"""),"C")</f>
        <v>C</v>
      </c>
      <c r="I139" s="28" t="str">
        <f>IFERROR(__xludf.DUMMYFUNCTION("""COMPUTED_VALUE"""),"C-13")</f>
        <v>C-13</v>
      </c>
      <c r="J139" s="28">
        <f>IFERROR(__xludf.DUMMYFUNCTION("""COMPUTED_VALUE"""),3.0)</f>
        <v>3</v>
      </c>
      <c r="K139" s="28" t="str">
        <f>IFERROR(__xludf.DUMMYFUNCTION("""COMPUTED_VALUE"""),"3 ULA C PUTRI")</f>
        <v>3 ULA C PUTRI</v>
      </c>
      <c r="L139" s="29" t="str">
        <f>IFERROR(__xludf.DUMMYFUNCTION("""COMPUTED_VALUE"""),"6285257103018")</f>
        <v>6285257103018</v>
      </c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2">
        <f>IFERROR(__xludf.DUMMYFUNCTION("""COMPUTED_VALUE"""),0.0)</f>
        <v>0</v>
      </c>
      <c r="BD139" s="22">
        <f>IFERROR(__xludf.DUMMYFUNCTION("""COMPUTED_VALUE"""),0.0)</f>
        <v>0</v>
      </c>
      <c r="BE139" s="22">
        <f>IFERROR(__xludf.DUMMYFUNCTION("""COMPUTED_VALUE"""),0.0)</f>
        <v>0</v>
      </c>
      <c r="BF139" s="22">
        <f>IFERROR(__xludf.DUMMYFUNCTION("""COMPUTED_VALUE"""),0.0)</f>
        <v>0</v>
      </c>
    </row>
    <row r="140">
      <c r="A140" s="27">
        <f>IFERROR(__xludf.DUMMYFUNCTION("""COMPUTED_VALUE"""),139.0)</f>
        <v>139</v>
      </c>
      <c r="B140" s="28" t="str">
        <f>IFERROR(__xludf.DUMMYFUNCTION("""COMPUTED_VALUE"""),"AIDZILA DHEA ANANTA")</f>
        <v>AIDZILA DHEA ANANTA</v>
      </c>
      <c r="C140" s="28">
        <f>IFERROR(__xludf.DUMMYFUNCTION("""COMPUTED_VALUE"""),2.024070495E9)</f>
        <v>2024070495</v>
      </c>
      <c r="D140" s="28" t="str">
        <f>IFERROR(__xludf.DUMMYFUNCTION("""COMPUTED_VALUE"""),"MUHAMMAD HAFIDIN")</f>
        <v>MUHAMMAD HAFIDIN</v>
      </c>
      <c r="E140" s="28" t="str">
        <f>IFERROR(__xludf.DUMMYFUNCTION("""COMPUTED_VALUE"""),"MARATUS SHOLICHAH")</f>
        <v>MARATUS SHOLICHAH</v>
      </c>
      <c r="F140" s="28" t="str">
        <f>IFERROR(__xludf.DUMMYFUNCTION("""COMPUTED_VALUE"""),"NGUWOK RT 004 RW 002 MODO LAMONGAN")</f>
        <v>NGUWOK RT 004 RW 002 MODO LAMONGAN</v>
      </c>
      <c r="G140" s="28" t="str">
        <f>IFERROR(__xludf.DUMMYFUNCTION("""COMPUTED_VALUE"""),"MTS-9 D")</f>
        <v>MTS-9 D</v>
      </c>
      <c r="H140" s="28" t="str">
        <f>IFERROR(__xludf.DUMMYFUNCTION("""COMPUTED_VALUE"""),"C")</f>
        <v>C</v>
      </c>
      <c r="I140" s="28" t="str">
        <f>IFERROR(__xludf.DUMMYFUNCTION("""COMPUTED_VALUE"""),"C-12")</f>
        <v>C-12</v>
      </c>
      <c r="J140" s="28">
        <f>IFERROR(__xludf.DUMMYFUNCTION("""COMPUTED_VALUE"""),3.0)</f>
        <v>3</v>
      </c>
      <c r="K140" s="28" t="str">
        <f>IFERROR(__xludf.DUMMYFUNCTION("""COMPUTED_VALUE"""),"3 ULA C PUTRI")</f>
        <v>3 ULA C PUTRI</v>
      </c>
      <c r="L140" s="29" t="str">
        <f>IFERROR(__xludf.DUMMYFUNCTION("""COMPUTED_VALUE"""),"6281559586998")</f>
        <v>6281559586998</v>
      </c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2">
        <f>IFERROR(__xludf.DUMMYFUNCTION("""COMPUTED_VALUE"""),500000.0)</f>
        <v>500000</v>
      </c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2">
        <f>IFERROR(__xludf.DUMMYFUNCTION("""COMPUTED_VALUE"""),0.0)</f>
        <v>0</v>
      </c>
      <c r="BD140" s="22">
        <f>IFERROR(__xludf.DUMMYFUNCTION("""COMPUTED_VALUE"""),500000.0)</f>
        <v>500000</v>
      </c>
      <c r="BE140" s="22">
        <f>IFERROR(__xludf.DUMMYFUNCTION("""COMPUTED_VALUE"""),0.0)</f>
        <v>0</v>
      </c>
      <c r="BF140" s="22">
        <f>IFERROR(__xludf.DUMMYFUNCTION("""COMPUTED_VALUE"""),500000.0)</f>
        <v>500000</v>
      </c>
    </row>
    <row r="141">
      <c r="A141" s="27">
        <f>IFERROR(__xludf.DUMMYFUNCTION("""COMPUTED_VALUE"""),140.0)</f>
        <v>140</v>
      </c>
      <c r="B141" s="28" t="str">
        <f>IFERROR(__xludf.DUMMYFUNCTION("""COMPUTED_VALUE"""),"ALFA FALAJ SALSABILA")</f>
        <v>ALFA FALAJ SALSABILA</v>
      </c>
      <c r="C141" s="28">
        <f>IFERROR(__xludf.DUMMYFUNCTION("""COMPUTED_VALUE"""),2.024070611E9)</f>
        <v>2024070611</v>
      </c>
      <c r="D141" s="28" t="str">
        <f>IFERROR(__xludf.DUMMYFUNCTION("""COMPUTED_VALUE"""),"NUR HADI")</f>
        <v>NUR HADI</v>
      </c>
      <c r="E141" s="28" t="str">
        <f>IFERROR(__xludf.DUMMYFUNCTION("""COMPUTED_VALUE"""),"SUMIANAH")</f>
        <v>SUMIANAH</v>
      </c>
      <c r="F141" s="28" t="str">
        <f>IFERROR(__xludf.DUMMYFUNCTION("""COMPUTED_VALUE"""),"KULURAN RT 005 RW 001 KALITENGAH LAMONGAN")</f>
        <v>KULURAN RT 005 RW 001 KALITENGAH LAMONGAN</v>
      </c>
      <c r="G141" s="28" t="str">
        <f>IFERROR(__xludf.DUMMYFUNCTION("""COMPUTED_VALUE"""),"MTS-9 A")</f>
        <v>MTS-9 A</v>
      </c>
      <c r="H141" s="28" t="str">
        <f>IFERROR(__xludf.DUMMYFUNCTION("""COMPUTED_VALUE"""),"C")</f>
        <v>C</v>
      </c>
      <c r="I141" s="28" t="str">
        <f>IFERROR(__xludf.DUMMYFUNCTION("""COMPUTED_VALUE"""),"C-3")</f>
        <v>C-3</v>
      </c>
      <c r="J141" s="28">
        <f>IFERROR(__xludf.DUMMYFUNCTION("""COMPUTED_VALUE"""),3.0)</f>
        <v>3</v>
      </c>
      <c r="K141" s="28" t="str">
        <f>IFERROR(__xludf.DUMMYFUNCTION("""COMPUTED_VALUE"""),"3 ULA C PUTRI")</f>
        <v>3 ULA C PUTRI</v>
      </c>
      <c r="L141" s="29" t="str">
        <f>IFERROR(__xludf.DUMMYFUNCTION("""COMPUTED_VALUE"""),"6285859539394")</f>
        <v>6285859539394</v>
      </c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2">
        <f>IFERROR(__xludf.DUMMYFUNCTION("""COMPUTED_VALUE"""),450000.0)</f>
        <v>450000</v>
      </c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2">
        <f>IFERROR(__xludf.DUMMYFUNCTION("""COMPUTED_VALUE"""),450000.0)</f>
        <v>450000</v>
      </c>
      <c r="BD141" s="22">
        <f>IFERROR(__xludf.DUMMYFUNCTION("""COMPUTED_VALUE"""),0.0)</f>
        <v>0</v>
      </c>
      <c r="BE141" s="22">
        <f>IFERROR(__xludf.DUMMYFUNCTION("""COMPUTED_VALUE"""),0.0)</f>
        <v>0</v>
      </c>
      <c r="BF141" s="22">
        <f>IFERROR(__xludf.DUMMYFUNCTION("""COMPUTED_VALUE"""),450000.0)</f>
        <v>450000</v>
      </c>
    </row>
    <row r="142">
      <c r="A142" s="27">
        <f>IFERROR(__xludf.DUMMYFUNCTION("""COMPUTED_VALUE"""),141.0)</f>
        <v>141</v>
      </c>
      <c r="B142" s="28" t="str">
        <f>IFERROR(__xludf.DUMMYFUNCTION("""COMPUTED_VALUE"""),"ALIFATUN BINTU KHUMAIROH")</f>
        <v>ALIFATUN BINTU KHUMAIROH</v>
      </c>
      <c r="C142" s="28">
        <f>IFERROR(__xludf.DUMMYFUNCTION("""COMPUTED_VALUE"""),2.024070488E9)</f>
        <v>2024070488</v>
      </c>
      <c r="D142" s="28" t="str">
        <f>IFERROR(__xludf.DUMMYFUNCTION("""COMPUTED_VALUE"""),"ALI MASHUDI")</f>
        <v>ALI MASHUDI</v>
      </c>
      <c r="E142" s="28" t="str">
        <f>IFERROR(__xludf.DUMMYFUNCTION("""COMPUTED_VALUE"""),"SRI SULISTYANINGSIH")</f>
        <v>SRI SULISTYANINGSIH</v>
      </c>
      <c r="F142" s="28" t="str">
        <f>IFERROR(__xludf.DUMMYFUNCTION("""COMPUTED_VALUE"""),"SIDOBRANTI SIDOMUKTI RT 009 RW 003 KEMBANGBAHU LAMONGAN")</f>
        <v>SIDOBRANTI SIDOMUKTI RT 009 RW 003 KEMBANGBAHU LAMONGAN</v>
      </c>
      <c r="G142" s="28" t="str">
        <f>IFERROR(__xludf.DUMMYFUNCTION("""COMPUTED_VALUE"""),"MTS-9 G")</f>
        <v>MTS-9 G</v>
      </c>
      <c r="H142" s="28" t="str">
        <f>IFERROR(__xludf.DUMMYFUNCTION("""COMPUTED_VALUE"""),"C")</f>
        <v>C</v>
      </c>
      <c r="I142" s="28" t="str">
        <f>IFERROR(__xludf.DUMMYFUNCTION("""COMPUTED_VALUE"""),"C-12")</f>
        <v>C-12</v>
      </c>
      <c r="J142" s="28">
        <f>IFERROR(__xludf.DUMMYFUNCTION("""COMPUTED_VALUE"""),3.0)</f>
        <v>3</v>
      </c>
      <c r="K142" s="28" t="str">
        <f>IFERROR(__xludf.DUMMYFUNCTION("""COMPUTED_VALUE"""),"3 ULA B PUTRI")</f>
        <v>3 ULA B PUTRI</v>
      </c>
      <c r="L142" s="29" t="str">
        <f>IFERROR(__xludf.DUMMYFUNCTION("""COMPUTED_VALUE"""),"6285704238402")</f>
        <v>6285704238402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2">
        <f>IFERROR(__xludf.DUMMYFUNCTION("""COMPUTED_VALUE"""),0.0)</f>
        <v>0</v>
      </c>
      <c r="BD142" s="22">
        <f>IFERROR(__xludf.DUMMYFUNCTION("""COMPUTED_VALUE"""),0.0)</f>
        <v>0</v>
      </c>
      <c r="BE142" s="22">
        <f>IFERROR(__xludf.DUMMYFUNCTION("""COMPUTED_VALUE"""),0.0)</f>
        <v>0</v>
      </c>
      <c r="BF142" s="22">
        <f>IFERROR(__xludf.DUMMYFUNCTION("""COMPUTED_VALUE"""),0.0)</f>
        <v>0</v>
      </c>
    </row>
    <row r="143">
      <c r="A143" s="27">
        <f>IFERROR(__xludf.DUMMYFUNCTION("""COMPUTED_VALUE"""),142.0)</f>
        <v>142</v>
      </c>
      <c r="B143" s="28" t="str">
        <f>IFERROR(__xludf.DUMMYFUNCTION("""COMPUTED_VALUE"""),"ALVELLYTA APRILIA KIRANA")</f>
        <v>ALVELLYTA APRILIA KIRANA</v>
      </c>
      <c r="C143" s="28">
        <f>IFERROR(__xludf.DUMMYFUNCTION("""COMPUTED_VALUE"""),2.024070527E9)</f>
        <v>2024070527</v>
      </c>
      <c r="D143" s="28" t="str">
        <f>IFERROR(__xludf.DUMMYFUNCTION("""COMPUTED_VALUE"""),"ALFIN ZAINUL FUAD")</f>
        <v>ALFIN ZAINUL FUAD</v>
      </c>
      <c r="E143" s="28" t="str">
        <f>IFERROR(__xludf.DUMMYFUNCTION("""COMPUTED_VALUE"""),"ITA NURO")</f>
        <v>ITA NURO</v>
      </c>
      <c r="F143" s="28" t="str">
        <f>IFERROR(__xludf.DUMMYFUNCTION("""COMPUTED_VALUE"""),"KRAJAN SUKOBENDU RT 002 RW 001 MANTUP LAMONGAN")</f>
        <v>KRAJAN SUKOBENDU RT 002 RW 001 MANTUP LAMONGAN</v>
      </c>
      <c r="G143" s="28" t="str">
        <f>IFERROR(__xludf.DUMMYFUNCTION("""COMPUTED_VALUE"""),"MTS-9 C")</f>
        <v>MTS-9 C</v>
      </c>
      <c r="H143" s="28" t="str">
        <f>IFERROR(__xludf.DUMMYFUNCTION("""COMPUTED_VALUE"""),"C")</f>
        <v>C</v>
      </c>
      <c r="I143" s="28" t="str">
        <f>IFERROR(__xludf.DUMMYFUNCTION("""COMPUTED_VALUE"""),"C-12")</f>
        <v>C-12</v>
      </c>
      <c r="J143" s="28">
        <f>IFERROR(__xludf.DUMMYFUNCTION("""COMPUTED_VALUE"""),3.0)</f>
        <v>3</v>
      </c>
      <c r="K143" s="28" t="str">
        <f>IFERROR(__xludf.DUMMYFUNCTION("""COMPUTED_VALUE"""),"")</f>
        <v/>
      </c>
      <c r="L143" s="29" t="str">
        <f>IFERROR(__xludf.DUMMYFUNCTION("""COMPUTED_VALUE"""),"6281537636395")</f>
        <v>6281537636395</v>
      </c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2">
        <f>IFERROR(__xludf.DUMMYFUNCTION("""COMPUTED_VALUE"""),450000.0)</f>
        <v>450000</v>
      </c>
      <c r="AO143" s="28"/>
      <c r="AP143" s="22">
        <f>IFERROR(__xludf.DUMMYFUNCTION("""COMPUTED_VALUE"""),500000.0)</f>
        <v>500000</v>
      </c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2">
        <f>IFERROR(__xludf.DUMMYFUNCTION("""COMPUTED_VALUE"""),450000.0)</f>
        <v>450000</v>
      </c>
      <c r="BD143" s="22">
        <f>IFERROR(__xludf.DUMMYFUNCTION("""COMPUTED_VALUE"""),500000.0)</f>
        <v>500000</v>
      </c>
      <c r="BE143" s="22">
        <f>IFERROR(__xludf.DUMMYFUNCTION("""COMPUTED_VALUE"""),0.0)</f>
        <v>0</v>
      </c>
      <c r="BF143" s="22">
        <f>IFERROR(__xludf.DUMMYFUNCTION("""COMPUTED_VALUE"""),950000.0)</f>
        <v>950000</v>
      </c>
    </row>
    <row r="144">
      <c r="A144" s="27">
        <f>IFERROR(__xludf.DUMMYFUNCTION("""COMPUTED_VALUE"""),143.0)</f>
        <v>143</v>
      </c>
      <c r="B144" s="28" t="str">
        <f>IFERROR(__xludf.DUMMYFUNCTION("""COMPUTED_VALUE"""),"ASYIFATUL LAILI")</f>
        <v>ASYIFATUL LAILI</v>
      </c>
      <c r="C144" s="28">
        <f>IFERROR(__xludf.DUMMYFUNCTION("""COMPUTED_VALUE"""),2.02407052E9)</f>
        <v>2024070520</v>
      </c>
      <c r="D144" s="28" t="str">
        <f>IFERROR(__xludf.DUMMYFUNCTION("""COMPUTED_VALUE"""),"BUDI WINARNO")</f>
        <v>BUDI WINARNO</v>
      </c>
      <c r="E144" s="28" t="str">
        <f>IFERROR(__xludf.DUMMYFUNCTION("""COMPUTED_VALUE"""),"NUR MARDLIYAH")</f>
        <v>NUR MARDLIYAH</v>
      </c>
      <c r="F144" s="28" t="str">
        <f>IFERROR(__xludf.DUMMYFUNCTION("""COMPUTED_VALUE"""),"KUBANG LABAN PANGGUNG RAWI RT 003 RW 002 JOMBANG CILEGON")</f>
        <v>KUBANG LABAN PANGGUNG RAWI RT 003 RW 002 JOMBANG CILEGON</v>
      </c>
      <c r="G144" s="28" t="str">
        <f>IFERROR(__xludf.DUMMYFUNCTION("""COMPUTED_VALUE"""),"MTS-9 C")</f>
        <v>MTS-9 C</v>
      </c>
      <c r="H144" s="28" t="str">
        <f>IFERROR(__xludf.DUMMYFUNCTION("""COMPUTED_VALUE"""),"C")</f>
        <v>C</v>
      </c>
      <c r="I144" s="28" t="str">
        <f>IFERROR(__xludf.DUMMYFUNCTION("""COMPUTED_VALUE"""),"C-13")</f>
        <v>C-13</v>
      </c>
      <c r="J144" s="28">
        <f>IFERROR(__xludf.DUMMYFUNCTION("""COMPUTED_VALUE"""),3.0)</f>
        <v>3</v>
      </c>
      <c r="K144" s="28" t="str">
        <f>IFERROR(__xludf.DUMMYFUNCTION("""COMPUTED_VALUE"""),"3 ULA B PUTRI")</f>
        <v>3 ULA B PUTRI</v>
      </c>
      <c r="L144" s="29" t="str">
        <f>IFERROR(__xludf.DUMMYFUNCTION("""COMPUTED_VALUE"""),"6281946613922")</f>
        <v>6281946613922</v>
      </c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2">
        <f>IFERROR(__xludf.DUMMYFUNCTION("""COMPUTED_VALUE"""),500000.0)</f>
        <v>500000</v>
      </c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2">
        <f>IFERROR(__xludf.DUMMYFUNCTION("""COMPUTED_VALUE"""),500000.0)</f>
        <v>500000</v>
      </c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2">
        <f>IFERROR(__xludf.DUMMYFUNCTION("""COMPUTED_VALUE"""),0.0)</f>
        <v>0</v>
      </c>
      <c r="BD144" s="22">
        <f>IFERROR(__xludf.DUMMYFUNCTION("""COMPUTED_VALUE"""),1000000.0)</f>
        <v>1000000</v>
      </c>
      <c r="BE144" s="22">
        <f>IFERROR(__xludf.DUMMYFUNCTION("""COMPUTED_VALUE"""),0.0)</f>
        <v>0</v>
      </c>
      <c r="BF144" s="22">
        <f>IFERROR(__xludf.DUMMYFUNCTION("""COMPUTED_VALUE"""),1000000.0)</f>
        <v>1000000</v>
      </c>
    </row>
    <row r="145">
      <c r="A145" s="27">
        <f>IFERROR(__xludf.DUMMYFUNCTION("""COMPUTED_VALUE"""),144.0)</f>
        <v>144</v>
      </c>
      <c r="B145" s="28" t="str">
        <f>IFERROR(__xludf.DUMMYFUNCTION("""COMPUTED_VALUE"""),"ATHIIYAH AULIYA`UL MUSHOFAROH")</f>
        <v>ATHIIYAH AULIYA`UL MUSHOFAROH</v>
      </c>
      <c r="C145" s="28">
        <f>IFERROR(__xludf.DUMMYFUNCTION("""COMPUTED_VALUE"""),2.024070631E9)</f>
        <v>2024070631</v>
      </c>
      <c r="D145" s="28" t="str">
        <f>IFERROR(__xludf.DUMMYFUNCTION("""COMPUTED_VALUE"""),"UMAR USMAN")</f>
        <v>UMAR USMAN</v>
      </c>
      <c r="E145" s="28" t="str">
        <f>IFERROR(__xludf.DUMMYFUNCTION("""COMPUTED_VALUE"""),"NUR KHOMSATUN FINARIYAH")</f>
        <v>NUR KHOMSATUN FINARIYAH</v>
      </c>
      <c r="F145" s="28" t="str">
        <f>IFERROR(__xludf.DUMMYFUNCTION("""COMPUTED_VALUE"""),"KEDIREN RT 003 RW 001 KALITENGAH LAMONGAN")</f>
        <v>KEDIREN RT 003 RW 001 KALITENGAH LAMONGAN</v>
      </c>
      <c r="G145" s="28" t="str">
        <f>IFERROR(__xludf.DUMMYFUNCTION("""COMPUTED_VALUE"""),"MTS-9 A")</f>
        <v>MTS-9 A</v>
      </c>
      <c r="H145" s="28" t="str">
        <f>IFERROR(__xludf.DUMMYFUNCTION("""COMPUTED_VALUE"""),"C")</f>
        <v>C</v>
      </c>
      <c r="I145" s="28" t="str">
        <f>IFERROR(__xludf.DUMMYFUNCTION("""COMPUTED_VALUE"""),"C-3")</f>
        <v>C-3</v>
      </c>
      <c r="J145" s="28">
        <f>IFERROR(__xludf.DUMMYFUNCTION("""COMPUTED_VALUE"""),3.0)</f>
        <v>3</v>
      </c>
      <c r="K145" s="28" t="str">
        <f>IFERROR(__xludf.DUMMYFUNCTION("""COMPUTED_VALUE"""),"")</f>
        <v/>
      </c>
      <c r="L145" s="29" t="str">
        <f>IFERROR(__xludf.DUMMYFUNCTION("""COMPUTED_VALUE"""),"6285731317533")</f>
        <v>6285731317533</v>
      </c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2">
        <f>IFERROR(__xludf.DUMMYFUNCTION("""COMPUTED_VALUE"""),500000.0)</f>
        <v>500000</v>
      </c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2">
        <f>IFERROR(__xludf.DUMMYFUNCTION("""COMPUTED_VALUE"""),0.0)</f>
        <v>0</v>
      </c>
      <c r="BD145" s="22">
        <f>IFERROR(__xludf.DUMMYFUNCTION("""COMPUTED_VALUE"""),500000.0)</f>
        <v>500000</v>
      </c>
      <c r="BE145" s="22">
        <f>IFERROR(__xludf.DUMMYFUNCTION("""COMPUTED_VALUE"""),0.0)</f>
        <v>0</v>
      </c>
      <c r="BF145" s="22">
        <f>IFERROR(__xludf.DUMMYFUNCTION("""COMPUTED_VALUE"""),500000.0)</f>
        <v>500000</v>
      </c>
    </row>
    <row r="146">
      <c r="A146" s="27">
        <f>IFERROR(__xludf.DUMMYFUNCTION("""COMPUTED_VALUE"""),145.0)</f>
        <v>145</v>
      </c>
      <c r="B146" s="28" t="str">
        <f>IFERROR(__xludf.DUMMYFUNCTION("""COMPUTED_VALUE"""),"AUFA NUR LAILI FADHILAH")</f>
        <v>AUFA NUR LAILI FADHILAH</v>
      </c>
      <c r="C146" s="28">
        <f>IFERROR(__xludf.DUMMYFUNCTION("""COMPUTED_VALUE"""),2.024070605E9)</f>
        <v>2024070605</v>
      </c>
      <c r="D146" s="28" t="str">
        <f>IFERROR(__xludf.DUMMYFUNCTION("""COMPUTED_VALUE"""),"MUKANAN")</f>
        <v>MUKANAN</v>
      </c>
      <c r="E146" s="28" t="str">
        <f>IFERROR(__xludf.DUMMYFUNCTION("""COMPUTED_VALUE"""),"KUNARTIN")</f>
        <v>KUNARTIN</v>
      </c>
      <c r="F146" s="28" t="str">
        <f>IFERROR(__xludf.DUMMYFUNCTION("""COMPUTED_VALUE"""),"CANDITUNGGAL RT 003 RW 002 KALITENGAH LAMONGAN")</f>
        <v>CANDITUNGGAL RT 003 RW 002 KALITENGAH LAMONGAN</v>
      </c>
      <c r="G146" s="28" t="str">
        <f>IFERROR(__xludf.DUMMYFUNCTION("""COMPUTED_VALUE"""),"MTS-9 B")</f>
        <v>MTS-9 B</v>
      </c>
      <c r="H146" s="28" t="str">
        <f>IFERROR(__xludf.DUMMYFUNCTION("""COMPUTED_VALUE"""),"C")</f>
        <v>C</v>
      </c>
      <c r="I146" s="28" t="str">
        <f>IFERROR(__xludf.DUMMYFUNCTION("""COMPUTED_VALUE"""),"C-3")</f>
        <v>C-3</v>
      </c>
      <c r="J146" s="28">
        <f>IFERROR(__xludf.DUMMYFUNCTION("""COMPUTED_VALUE"""),3.0)</f>
        <v>3</v>
      </c>
      <c r="K146" s="28" t="str">
        <f>IFERROR(__xludf.DUMMYFUNCTION("""COMPUTED_VALUE"""),"3 ULA A PUTRI")</f>
        <v>3 ULA A PUTRI</v>
      </c>
      <c r="L146" s="29" t="str">
        <f>IFERROR(__xludf.DUMMYFUNCTION("""COMPUTED_VALUE"""),"6285815665883")</f>
        <v>6285815665883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2">
        <f>IFERROR(__xludf.DUMMYFUNCTION("""COMPUTED_VALUE"""),0.0)</f>
        <v>0</v>
      </c>
      <c r="BD146" s="22">
        <f>IFERROR(__xludf.DUMMYFUNCTION("""COMPUTED_VALUE"""),0.0)</f>
        <v>0</v>
      </c>
      <c r="BE146" s="22">
        <f>IFERROR(__xludf.DUMMYFUNCTION("""COMPUTED_VALUE"""),0.0)</f>
        <v>0</v>
      </c>
      <c r="BF146" s="22">
        <f>IFERROR(__xludf.DUMMYFUNCTION("""COMPUTED_VALUE"""),0.0)</f>
        <v>0</v>
      </c>
    </row>
    <row r="147">
      <c r="A147" s="27">
        <f>IFERROR(__xludf.DUMMYFUNCTION("""COMPUTED_VALUE"""),146.0)</f>
        <v>146</v>
      </c>
      <c r="B147" s="28" t="str">
        <f>IFERROR(__xludf.DUMMYFUNCTION("""COMPUTED_VALUE"""),"AUFARA DHEA TUNGGA DEWI")</f>
        <v>AUFARA DHEA TUNGGA DEWI</v>
      </c>
      <c r="C147" s="28">
        <f>IFERROR(__xludf.DUMMYFUNCTION("""COMPUTED_VALUE"""),2.02407049E9)</f>
        <v>2024070490</v>
      </c>
      <c r="D147" s="28" t="str">
        <f>IFERROR(__xludf.DUMMYFUNCTION("""COMPUTED_VALUE"""),"FAISOL HARIANTO")</f>
        <v>FAISOL HARIANTO</v>
      </c>
      <c r="E147" s="28" t="str">
        <f>IFERROR(__xludf.DUMMYFUNCTION("""COMPUTED_VALUE"""),"DEWI UTARI")</f>
        <v>DEWI UTARI</v>
      </c>
      <c r="F147" s="28" t="str">
        <f>IFERROR(__xludf.DUMMYFUNCTION("""COMPUTED_VALUE"""),"PRIYOSO WETAN PRIYOSO RT 001 RW 001 KARANGBINANGUN LAMONGAN")</f>
        <v>PRIYOSO WETAN PRIYOSO RT 001 RW 001 KARANGBINANGUN LAMONGAN</v>
      </c>
      <c r="G147" s="28" t="str">
        <f>IFERROR(__xludf.DUMMYFUNCTION("""COMPUTED_VALUE"""),"MTS-9 D")</f>
        <v>MTS-9 D</v>
      </c>
      <c r="H147" s="28" t="str">
        <f>IFERROR(__xludf.DUMMYFUNCTION("""COMPUTED_VALUE"""),"C")</f>
        <v>C</v>
      </c>
      <c r="I147" s="28" t="str">
        <f>IFERROR(__xludf.DUMMYFUNCTION("""COMPUTED_VALUE"""),"C-12")</f>
        <v>C-12</v>
      </c>
      <c r="J147" s="28">
        <f>IFERROR(__xludf.DUMMYFUNCTION("""COMPUTED_VALUE"""),3.0)</f>
        <v>3</v>
      </c>
      <c r="K147" s="28" t="str">
        <f>IFERROR(__xludf.DUMMYFUNCTION("""COMPUTED_VALUE"""),"3 ULA A PUTRI")</f>
        <v>3 ULA A PUTRI</v>
      </c>
      <c r="L147" s="29" t="str">
        <f>IFERROR(__xludf.DUMMYFUNCTION("""COMPUTED_VALUE"""),"6281334198484")</f>
        <v>6281334198484</v>
      </c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2">
        <f>IFERROR(__xludf.DUMMYFUNCTION("""COMPUTED_VALUE"""),0.0)</f>
        <v>0</v>
      </c>
      <c r="BD147" s="22">
        <f>IFERROR(__xludf.DUMMYFUNCTION("""COMPUTED_VALUE"""),0.0)</f>
        <v>0</v>
      </c>
      <c r="BE147" s="22">
        <f>IFERROR(__xludf.DUMMYFUNCTION("""COMPUTED_VALUE"""),0.0)</f>
        <v>0</v>
      </c>
      <c r="BF147" s="22">
        <f>IFERROR(__xludf.DUMMYFUNCTION("""COMPUTED_VALUE"""),0.0)</f>
        <v>0</v>
      </c>
    </row>
    <row r="148">
      <c r="A148" s="27">
        <f>IFERROR(__xludf.DUMMYFUNCTION("""COMPUTED_VALUE"""),147.0)</f>
        <v>147</v>
      </c>
      <c r="B148" s="28" t="str">
        <f>IFERROR(__xludf.DUMMYFUNCTION("""COMPUTED_VALUE"""),"CALLYSTA QOWIM AZ-ZAHRA")</f>
        <v>CALLYSTA QOWIM AZ-ZAHRA</v>
      </c>
      <c r="C148" s="28">
        <f>IFERROR(__xludf.DUMMYFUNCTION("""COMPUTED_VALUE"""),2.024070489E9)</f>
        <v>2024070489</v>
      </c>
      <c r="D148" s="28" t="str">
        <f>IFERROR(__xludf.DUMMYFUNCTION("""COMPUTED_VALUE"""),"ARIS SUGIANTO")</f>
        <v>ARIS SUGIANTO</v>
      </c>
      <c r="E148" s="28" t="str">
        <f>IFERROR(__xludf.DUMMYFUNCTION("""COMPUTED_VALUE"""),"NUR HIDAYATI")</f>
        <v>NUR HIDAYATI</v>
      </c>
      <c r="F148" s="28" t="str">
        <f>IFERROR(__xludf.DUMMYFUNCTION("""COMPUTED_VALUE"""),"PAJI RT 002 RW 005 PUCUK LAMONGAN")</f>
        <v>PAJI RT 002 RW 005 PUCUK LAMONGAN</v>
      </c>
      <c r="G148" s="28" t="str">
        <f>IFERROR(__xludf.DUMMYFUNCTION("""COMPUTED_VALUE"""),"MTS-9 G")</f>
        <v>MTS-9 G</v>
      </c>
      <c r="H148" s="28" t="str">
        <f>IFERROR(__xludf.DUMMYFUNCTION("""COMPUTED_VALUE"""),"C")</f>
        <v>C</v>
      </c>
      <c r="I148" s="28" t="str">
        <f>IFERROR(__xludf.DUMMYFUNCTION("""COMPUTED_VALUE"""),"C-13")</f>
        <v>C-13</v>
      </c>
      <c r="J148" s="28">
        <f>IFERROR(__xludf.DUMMYFUNCTION("""COMPUTED_VALUE"""),3.0)</f>
        <v>3</v>
      </c>
      <c r="K148" s="28" t="str">
        <f>IFERROR(__xludf.DUMMYFUNCTION("""COMPUTED_VALUE"""),"3 ULA A PUTRI")</f>
        <v>3 ULA A PUTRI</v>
      </c>
      <c r="L148" s="29" t="str">
        <f>IFERROR(__xludf.DUMMYFUNCTION("""COMPUTED_VALUE"""),"2682131710998")</f>
        <v>2682131710998</v>
      </c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2">
        <f>IFERROR(__xludf.DUMMYFUNCTION("""COMPUTED_VALUE"""),0.0)</f>
        <v>0</v>
      </c>
      <c r="BD148" s="22">
        <f>IFERROR(__xludf.DUMMYFUNCTION("""COMPUTED_VALUE"""),0.0)</f>
        <v>0</v>
      </c>
      <c r="BE148" s="22">
        <f>IFERROR(__xludf.DUMMYFUNCTION("""COMPUTED_VALUE"""),0.0)</f>
        <v>0</v>
      </c>
      <c r="BF148" s="22">
        <f>IFERROR(__xludf.DUMMYFUNCTION("""COMPUTED_VALUE"""),0.0)</f>
        <v>0</v>
      </c>
    </row>
    <row r="149">
      <c r="A149" s="27">
        <f>IFERROR(__xludf.DUMMYFUNCTION("""COMPUTED_VALUE"""),148.0)</f>
        <v>148</v>
      </c>
      <c r="B149" s="28" t="str">
        <f>IFERROR(__xludf.DUMMYFUNCTION("""COMPUTED_VALUE"""),"FARAH ALTHAFUN NISA`")</f>
        <v>FARAH ALTHAFUN NISA`</v>
      </c>
      <c r="C149" s="28">
        <f>IFERROR(__xludf.DUMMYFUNCTION("""COMPUTED_VALUE"""),2.024070633E9)</f>
        <v>2024070633</v>
      </c>
      <c r="D149" s="28" t="str">
        <f>IFERROR(__xludf.DUMMYFUNCTION("""COMPUTED_VALUE"""),"MUHAMMAD KHOTIB")</f>
        <v>MUHAMMAD KHOTIB</v>
      </c>
      <c r="E149" s="28" t="str">
        <f>IFERROR(__xludf.DUMMYFUNCTION("""COMPUTED_VALUE"""),"NURUL HIDAYAH")</f>
        <v>NURUL HIDAYAH</v>
      </c>
      <c r="F149" s="28" t="str">
        <f>IFERROR(__xludf.DUMMYFUNCTION("""COMPUTED_VALUE"""),"WONOKERTO RT 012 RW 003 DUKUN GRESIK")</f>
        <v>WONOKERTO RT 012 RW 003 DUKUN GRESIK</v>
      </c>
      <c r="G149" s="28" t="str">
        <f>IFERROR(__xludf.DUMMYFUNCTION("""COMPUTED_VALUE"""),"MTS-9 C")</f>
        <v>MTS-9 C</v>
      </c>
      <c r="H149" s="28" t="str">
        <f>IFERROR(__xludf.DUMMYFUNCTION("""COMPUTED_VALUE"""),"C")</f>
        <v>C</v>
      </c>
      <c r="I149" s="28" t="str">
        <f>IFERROR(__xludf.DUMMYFUNCTION("""COMPUTED_VALUE"""),"C-12")</f>
        <v>C-12</v>
      </c>
      <c r="J149" s="28">
        <f>IFERROR(__xludf.DUMMYFUNCTION("""COMPUTED_VALUE"""),3.0)</f>
        <v>3</v>
      </c>
      <c r="K149" s="28" t="str">
        <f>IFERROR(__xludf.DUMMYFUNCTION("""COMPUTED_VALUE"""),"")</f>
        <v/>
      </c>
      <c r="L149" s="29" t="str">
        <f>IFERROR(__xludf.DUMMYFUNCTION("""COMPUTED_VALUE"""),"6281615233482")</f>
        <v>6281615233482</v>
      </c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2">
        <f>IFERROR(__xludf.DUMMYFUNCTION("""COMPUTED_VALUE"""),500000.0)</f>
        <v>500000</v>
      </c>
      <c r="AC149" s="28"/>
      <c r="AD149" s="28"/>
      <c r="AE149" s="28"/>
      <c r="AF149" s="28"/>
      <c r="AG149" s="28"/>
      <c r="AH149" s="28"/>
      <c r="AI149" s="28"/>
      <c r="AJ149" s="22">
        <f>IFERROR(__xludf.DUMMYFUNCTION("""COMPUTED_VALUE"""),450000.0)</f>
        <v>450000</v>
      </c>
      <c r="AK149" s="22">
        <f>IFERROR(__xludf.DUMMYFUNCTION("""COMPUTED_VALUE"""),450000.0)</f>
        <v>450000</v>
      </c>
      <c r="AL149" s="22">
        <f>IFERROR(__xludf.DUMMYFUNCTION("""COMPUTED_VALUE"""),450000.0)</f>
        <v>450000</v>
      </c>
      <c r="AM149" s="22">
        <f>IFERROR(__xludf.DUMMYFUNCTION("""COMPUTED_VALUE"""),450000.0)</f>
        <v>450000</v>
      </c>
      <c r="AN149" s="22">
        <f>IFERROR(__xludf.DUMMYFUNCTION("""COMPUTED_VALUE"""),450000.0)</f>
        <v>450000</v>
      </c>
      <c r="AO149" s="28"/>
      <c r="AP149" s="22">
        <f>IFERROR(__xludf.DUMMYFUNCTION("""COMPUTED_VALUE"""),500000.0)</f>
        <v>500000</v>
      </c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2">
        <f>IFERROR(__xludf.DUMMYFUNCTION("""COMPUTED_VALUE"""),2250000.0)</f>
        <v>2250000</v>
      </c>
      <c r="BD149" s="22">
        <f>IFERROR(__xludf.DUMMYFUNCTION("""COMPUTED_VALUE"""),1000000.0)</f>
        <v>1000000</v>
      </c>
      <c r="BE149" s="22">
        <f>IFERROR(__xludf.DUMMYFUNCTION("""COMPUTED_VALUE"""),0.0)</f>
        <v>0</v>
      </c>
      <c r="BF149" s="22">
        <f>IFERROR(__xludf.DUMMYFUNCTION("""COMPUTED_VALUE"""),3250000.0)</f>
        <v>3250000</v>
      </c>
    </row>
    <row r="150">
      <c r="A150" s="27">
        <f>IFERROR(__xludf.DUMMYFUNCTION("""COMPUTED_VALUE"""),149.0)</f>
        <v>149</v>
      </c>
      <c r="B150" s="28" t="str">
        <f>IFERROR(__xludf.DUMMYFUNCTION("""COMPUTED_VALUE"""),"FATMA NAJWA ZAHIRA")</f>
        <v>FATMA NAJWA ZAHIRA</v>
      </c>
      <c r="C150" s="28">
        <f>IFERROR(__xludf.DUMMYFUNCTION("""COMPUTED_VALUE"""),2.024070497E9)</f>
        <v>2024070497</v>
      </c>
      <c r="D150" s="28" t="str">
        <f>IFERROR(__xludf.DUMMYFUNCTION("""COMPUTED_VALUE"""),"MARUJI")</f>
        <v>MARUJI</v>
      </c>
      <c r="E150" s="28" t="str">
        <f>IFERROR(__xludf.DUMMYFUNCTION("""COMPUTED_VALUE"""),"SITI NURIYAH")</f>
        <v>SITI NURIYAH</v>
      </c>
      <c r="F150" s="28" t="str">
        <f>IFERROR(__xludf.DUMMYFUNCTION("""COMPUTED_VALUE"""),"NGUWOK RT 004 RW 002 MODO LAMONGAN")</f>
        <v>NGUWOK RT 004 RW 002 MODO LAMONGAN</v>
      </c>
      <c r="G150" s="28" t="str">
        <f>IFERROR(__xludf.DUMMYFUNCTION("""COMPUTED_VALUE"""),"MTS-9 D")</f>
        <v>MTS-9 D</v>
      </c>
      <c r="H150" s="28" t="str">
        <f>IFERROR(__xludf.DUMMYFUNCTION("""COMPUTED_VALUE"""),"C")</f>
        <v>C</v>
      </c>
      <c r="I150" s="28" t="str">
        <f>IFERROR(__xludf.DUMMYFUNCTION("""COMPUTED_VALUE"""),"C-12")</f>
        <v>C-12</v>
      </c>
      <c r="J150" s="28">
        <f>IFERROR(__xludf.DUMMYFUNCTION("""COMPUTED_VALUE"""),3.0)</f>
        <v>3</v>
      </c>
      <c r="K150" s="28" t="str">
        <f>IFERROR(__xludf.DUMMYFUNCTION("""COMPUTED_VALUE"""),"3 ULA B PUTRI")</f>
        <v>3 ULA B PUTRI</v>
      </c>
      <c r="L150" s="29" t="str">
        <f>IFERROR(__xludf.DUMMYFUNCTION("""COMPUTED_VALUE"""),"6282337956113")</f>
        <v>6282337956113</v>
      </c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2">
        <f>IFERROR(__xludf.DUMMYFUNCTION("""COMPUTED_VALUE"""),450000.0)</f>
        <v>450000</v>
      </c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2">
        <f>IFERROR(__xludf.DUMMYFUNCTION("""COMPUTED_VALUE"""),450000.0)</f>
        <v>450000</v>
      </c>
      <c r="BD150" s="22">
        <f>IFERROR(__xludf.DUMMYFUNCTION("""COMPUTED_VALUE"""),0.0)</f>
        <v>0</v>
      </c>
      <c r="BE150" s="22">
        <f>IFERROR(__xludf.DUMMYFUNCTION("""COMPUTED_VALUE"""),0.0)</f>
        <v>0</v>
      </c>
      <c r="BF150" s="22">
        <f>IFERROR(__xludf.DUMMYFUNCTION("""COMPUTED_VALUE"""),450000.0)</f>
        <v>450000</v>
      </c>
    </row>
    <row r="151">
      <c r="A151" s="27">
        <f>IFERROR(__xludf.DUMMYFUNCTION("""COMPUTED_VALUE"""),150.0)</f>
        <v>150</v>
      </c>
      <c r="B151" s="28" t="str">
        <f>IFERROR(__xludf.DUMMYFUNCTION("""COMPUTED_VALUE"""),"GHITA RAINA AZZAHRA PRIYANTO")</f>
        <v>GHITA RAINA AZZAHRA PRIYANTO</v>
      </c>
      <c r="C151" s="28">
        <f>IFERROR(__xludf.DUMMYFUNCTION("""COMPUTED_VALUE"""),2.024070636E9)</f>
        <v>2024070636</v>
      </c>
      <c r="D151" s="28" t="str">
        <f>IFERROR(__xludf.DUMMYFUNCTION("""COMPUTED_VALUE"""),"SUPRIYANTO")</f>
        <v>SUPRIYANTO</v>
      </c>
      <c r="E151" s="28" t="str">
        <f>IFERROR(__xludf.DUMMYFUNCTION("""COMPUTED_VALUE"""),"ANIS ROHMAWATI")</f>
        <v>ANIS ROHMAWATI</v>
      </c>
      <c r="F151" s="28" t="str">
        <f>IFERROR(__xludf.DUMMYFUNCTION("""COMPUTED_VALUE"""),"TULUNG WANAR RT 004 RW 005 PUCUK LAMONGAN")</f>
        <v>TULUNG WANAR RT 004 RW 005 PUCUK LAMONGAN</v>
      </c>
      <c r="G151" s="28" t="str">
        <f>IFERROR(__xludf.DUMMYFUNCTION("""COMPUTED_VALUE"""),"MTS-9 H")</f>
        <v>MTS-9 H</v>
      </c>
      <c r="H151" s="28" t="str">
        <f>IFERROR(__xludf.DUMMYFUNCTION("""COMPUTED_VALUE"""),"C")</f>
        <v>C</v>
      </c>
      <c r="I151" s="28" t="str">
        <f>IFERROR(__xludf.DUMMYFUNCTION("""COMPUTED_VALUE"""),"C-12")</f>
        <v>C-12</v>
      </c>
      <c r="J151" s="28">
        <f>IFERROR(__xludf.DUMMYFUNCTION("""COMPUTED_VALUE"""),3.0)</f>
        <v>3</v>
      </c>
      <c r="K151" s="28" t="str">
        <f>IFERROR(__xludf.DUMMYFUNCTION("""COMPUTED_VALUE"""),"3 ULA C PUTRI")</f>
        <v>3 ULA C PUTRI</v>
      </c>
      <c r="L151" s="29" t="str">
        <f>IFERROR(__xludf.DUMMYFUNCTION("""COMPUTED_VALUE"""),"6281260170147")</f>
        <v>6281260170147</v>
      </c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2">
        <f>IFERROR(__xludf.DUMMYFUNCTION("""COMPUTED_VALUE"""),500000.0)</f>
        <v>500000</v>
      </c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2">
        <f>IFERROR(__xludf.DUMMYFUNCTION("""COMPUTED_VALUE"""),0.0)</f>
        <v>0</v>
      </c>
      <c r="BD151" s="22">
        <f>IFERROR(__xludf.DUMMYFUNCTION("""COMPUTED_VALUE"""),500000.0)</f>
        <v>500000</v>
      </c>
      <c r="BE151" s="22">
        <f>IFERROR(__xludf.DUMMYFUNCTION("""COMPUTED_VALUE"""),0.0)</f>
        <v>0</v>
      </c>
      <c r="BF151" s="22">
        <f>IFERROR(__xludf.DUMMYFUNCTION("""COMPUTED_VALUE"""),500000.0)</f>
        <v>500000</v>
      </c>
    </row>
    <row r="152">
      <c r="A152" s="27">
        <f>IFERROR(__xludf.DUMMYFUNCTION("""COMPUTED_VALUE"""),151.0)</f>
        <v>151</v>
      </c>
      <c r="B152" s="28" t="str">
        <f>IFERROR(__xludf.DUMMYFUNCTION("""COMPUTED_VALUE"""),"HILDA AFRILLIA SALSA FUNNY")</f>
        <v>HILDA AFRILLIA SALSA FUNNY</v>
      </c>
      <c r="C152" s="28">
        <f>IFERROR(__xludf.DUMMYFUNCTION("""COMPUTED_VALUE"""),2.024070609E9)</f>
        <v>2024070609</v>
      </c>
      <c r="D152" s="28" t="str">
        <f>IFERROR(__xludf.DUMMYFUNCTION("""COMPUTED_VALUE"""),"HADI SUSANTO")</f>
        <v>HADI SUSANTO</v>
      </c>
      <c r="E152" s="28" t="str">
        <f>IFERROR(__xludf.DUMMYFUNCTION("""COMPUTED_VALUE"""),"SUNTIANAH")</f>
        <v>SUNTIANAH</v>
      </c>
      <c r="F152" s="28" t="str">
        <f>IFERROR(__xludf.DUMMYFUNCTION("""COMPUTED_VALUE"""),"KULURAN RT 004 RW 003 KALITENGAH LAMONGAN")</f>
        <v>KULURAN RT 004 RW 003 KALITENGAH LAMONGAN</v>
      </c>
      <c r="G152" s="28" t="str">
        <f>IFERROR(__xludf.DUMMYFUNCTION("""COMPUTED_VALUE"""),"MTS-9 D")</f>
        <v>MTS-9 D</v>
      </c>
      <c r="H152" s="28" t="str">
        <f>IFERROR(__xludf.DUMMYFUNCTION("""COMPUTED_VALUE"""),"C")</f>
        <v>C</v>
      </c>
      <c r="I152" s="28" t="str">
        <f>IFERROR(__xludf.DUMMYFUNCTION("""COMPUTED_VALUE"""),"C-12")</f>
        <v>C-12</v>
      </c>
      <c r="J152" s="28">
        <f>IFERROR(__xludf.DUMMYFUNCTION("""COMPUTED_VALUE"""),3.0)</f>
        <v>3</v>
      </c>
      <c r="K152" s="28" t="str">
        <f>IFERROR(__xludf.DUMMYFUNCTION("""COMPUTED_VALUE"""),"3 ULA C PUTRI")</f>
        <v>3 ULA C PUTRI</v>
      </c>
      <c r="L152" s="29" t="str">
        <f>IFERROR(__xludf.DUMMYFUNCTION("""COMPUTED_VALUE"""),"628570216013")</f>
        <v>628570216013</v>
      </c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2">
        <f>IFERROR(__xludf.DUMMYFUNCTION("""COMPUTED_VALUE"""),500000.0)</f>
        <v>500000</v>
      </c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2">
        <f>IFERROR(__xludf.DUMMYFUNCTION("""COMPUTED_VALUE"""),0.0)</f>
        <v>0</v>
      </c>
      <c r="BD152" s="22">
        <f>IFERROR(__xludf.DUMMYFUNCTION("""COMPUTED_VALUE"""),500000.0)</f>
        <v>500000</v>
      </c>
      <c r="BE152" s="22">
        <f>IFERROR(__xludf.DUMMYFUNCTION("""COMPUTED_VALUE"""),0.0)</f>
        <v>0</v>
      </c>
      <c r="BF152" s="22">
        <f>IFERROR(__xludf.DUMMYFUNCTION("""COMPUTED_VALUE"""),500000.0)</f>
        <v>500000</v>
      </c>
    </row>
    <row r="153">
      <c r="A153" s="27">
        <f>IFERROR(__xludf.DUMMYFUNCTION("""COMPUTED_VALUE"""),152.0)</f>
        <v>152</v>
      </c>
      <c r="B153" s="28" t="str">
        <f>IFERROR(__xludf.DUMMYFUNCTION("""COMPUTED_VALUE"""),"ISYTI DZIL KARIMAH")</f>
        <v>ISYTI DZIL KARIMAH</v>
      </c>
      <c r="C153" s="28">
        <f>IFERROR(__xludf.DUMMYFUNCTION("""COMPUTED_VALUE"""),2.024070465E9)</f>
        <v>2024070465</v>
      </c>
      <c r="D153" s="28" t="str">
        <f>IFERROR(__xludf.DUMMYFUNCTION("""COMPUTED_VALUE"""),"M. AMIN")</f>
        <v>M. AMIN</v>
      </c>
      <c r="E153" s="28" t="str">
        <f>IFERROR(__xludf.DUMMYFUNCTION("""COMPUTED_VALUE"""),"NURUL FAIZAH")</f>
        <v>NURUL FAIZAH</v>
      </c>
      <c r="F153" s="28" t="str">
        <f>IFERROR(__xludf.DUMMYFUNCTION("""COMPUTED_VALUE"""),"BUCULOR RAYUNGGUMUK RT 001 RW 001 GLAGAH LAMONGAN")</f>
        <v>BUCULOR RAYUNGGUMUK RT 001 RW 001 GLAGAH LAMONGAN</v>
      </c>
      <c r="G153" s="28" t="str">
        <f>IFERROR(__xludf.DUMMYFUNCTION("""COMPUTED_VALUE"""),"MTS-9 D")</f>
        <v>MTS-9 D</v>
      </c>
      <c r="H153" s="28" t="str">
        <f>IFERROR(__xludf.DUMMYFUNCTION("""COMPUTED_VALUE"""),"C")</f>
        <v>C</v>
      </c>
      <c r="I153" s="28" t="str">
        <f>IFERROR(__xludf.DUMMYFUNCTION("""COMPUTED_VALUE"""),"C-3")</f>
        <v>C-3</v>
      </c>
      <c r="J153" s="28">
        <f>IFERROR(__xludf.DUMMYFUNCTION("""COMPUTED_VALUE"""),3.0)</f>
        <v>3</v>
      </c>
      <c r="K153" s="28" t="str">
        <f>IFERROR(__xludf.DUMMYFUNCTION("""COMPUTED_VALUE"""),"3 ULA C PUTRI")</f>
        <v>3 ULA C PUTRI</v>
      </c>
      <c r="L153" s="29" t="str">
        <f>IFERROR(__xludf.DUMMYFUNCTION("""COMPUTED_VALUE"""),"6285850796841")</f>
        <v>6285850796841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2">
        <f>IFERROR(__xludf.DUMMYFUNCTION("""COMPUTED_VALUE"""),0.0)</f>
        <v>0</v>
      </c>
      <c r="BD153" s="22">
        <f>IFERROR(__xludf.DUMMYFUNCTION("""COMPUTED_VALUE"""),0.0)</f>
        <v>0</v>
      </c>
      <c r="BE153" s="22">
        <f>IFERROR(__xludf.DUMMYFUNCTION("""COMPUTED_VALUE"""),0.0)</f>
        <v>0</v>
      </c>
      <c r="BF153" s="22">
        <f>IFERROR(__xludf.DUMMYFUNCTION("""COMPUTED_VALUE"""),0.0)</f>
        <v>0</v>
      </c>
    </row>
    <row r="154">
      <c r="A154" s="27">
        <f>IFERROR(__xludf.DUMMYFUNCTION("""COMPUTED_VALUE"""),153.0)</f>
        <v>153</v>
      </c>
      <c r="B154" s="28" t="str">
        <f>IFERROR(__xludf.DUMMYFUNCTION("""COMPUTED_VALUE"""),"MEIRZA TRISNA DWI ANDINI")</f>
        <v>MEIRZA TRISNA DWI ANDINI</v>
      </c>
      <c r="C154" s="28">
        <f>IFERROR(__xludf.DUMMYFUNCTION("""COMPUTED_VALUE"""),2.024070732E9)</f>
        <v>2024070732</v>
      </c>
      <c r="D154" s="28" t="str">
        <f>IFERROR(__xludf.DUMMYFUNCTION("""COMPUTED_VALUE"""),"PATRIS")</f>
        <v>PATRIS</v>
      </c>
      <c r="E154" s="28" t="str">
        <f>IFERROR(__xludf.DUMMYFUNCTION("""COMPUTED_VALUE"""),"NUR HIDAYATI")</f>
        <v>NUR HIDAYATI</v>
      </c>
      <c r="F154" s="28" t="str">
        <f>IFERROR(__xludf.DUMMYFUNCTION("""COMPUTED_VALUE"""),"KEDIREN RT 001 RW 002 KALITENGAH LAMONGAN")</f>
        <v>KEDIREN RT 001 RW 002 KALITENGAH LAMONGAN</v>
      </c>
      <c r="G154" s="28" t="str">
        <f>IFERROR(__xludf.DUMMYFUNCTION("""COMPUTED_VALUE"""),"SMP-IX C")</f>
        <v>SMP-IX C</v>
      </c>
      <c r="H154" s="28" t="str">
        <f>IFERROR(__xludf.DUMMYFUNCTION("""COMPUTED_VALUE"""),"C")</f>
        <v>C</v>
      </c>
      <c r="I154" s="28" t="str">
        <f>IFERROR(__xludf.DUMMYFUNCTION("""COMPUTED_VALUE"""),"C-3")</f>
        <v>C-3</v>
      </c>
      <c r="J154" s="28">
        <f>IFERROR(__xludf.DUMMYFUNCTION("""COMPUTED_VALUE"""),3.0)</f>
        <v>3</v>
      </c>
      <c r="K154" s="28" t="str">
        <f>IFERROR(__xludf.DUMMYFUNCTION("""COMPUTED_VALUE"""),"3 ULA C PUTRI")</f>
        <v>3 ULA C PUTRI</v>
      </c>
      <c r="L154" s="29" t="str">
        <f>IFERROR(__xludf.DUMMYFUNCTION("""COMPUTED_VALUE"""),"6285815031286")</f>
        <v>6285815031286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2">
        <f>IFERROR(__xludf.DUMMYFUNCTION("""COMPUTED_VALUE"""),450000.0)</f>
        <v>450000</v>
      </c>
      <c r="AN154" s="22">
        <f>IFERROR(__xludf.DUMMYFUNCTION("""COMPUTED_VALUE"""),450000.0)</f>
        <v>450000</v>
      </c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2">
        <f>IFERROR(__xludf.DUMMYFUNCTION("""COMPUTED_VALUE"""),900000.0)</f>
        <v>900000</v>
      </c>
      <c r="BD154" s="22">
        <f>IFERROR(__xludf.DUMMYFUNCTION("""COMPUTED_VALUE"""),0.0)</f>
        <v>0</v>
      </c>
      <c r="BE154" s="22">
        <f>IFERROR(__xludf.DUMMYFUNCTION("""COMPUTED_VALUE"""),0.0)</f>
        <v>0</v>
      </c>
      <c r="BF154" s="22">
        <f>IFERROR(__xludf.DUMMYFUNCTION("""COMPUTED_VALUE"""),900000.0)</f>
        <v>900000</v>
      </c>
    </row>
    <row r="155">
      <c r="A155" s="27">
        <f>IFERROR(__xludf.DUMMYFUNCTION("""COMPUTED_VALUE"""),154.0)</f>
        <v>154</v>
      </c>
      <c r="B155" s="28" t="str">
        <f>IFERROR(__xludf.DUMMYFUNCTION("""COMPUTED_VALUE"""),"NASYA PUTRI YUNAISYAH")</f>
        <v>NASYA PUTRI YUNAISYAH</v>
      </c>
      <c r="C155" s="28">
        <f>IFERROR(__xludf.DUMMYFUNCTION("""COMPUTED_VALUE"""),2.024070509E9)</f>
        <v>2024070509</v>
      </c>
      <c r="D155" s="28" t="str">
        <f>IFERROR(__xludf.DUMMYFUNCTION("""COMPUTED_VALUE"""),"DAVID AINUR ROFIQ")</f>
        <v>DAVID AINUR ROFIQ</v>
      </c>
      <c r="E155" s="28" t="str">
        <f>IFERROR(__xludf.DUMMYFUNCTION("""COMPUTED_VALUE"""),"FITRIYAH MAGHFIROH")</f>
        <v>FITRIYAH MAGHFIROH</v>
      </c>
      <c r="F155" s="28" t="str">
        <f>IFERROR(__xludf.DUMMYFUNCTION("""COMPUTED_VALUE"""),"BARON RT 008 RW 004 DUKUN GRESIK")</f>
        <v>BARON RT 008 RW 004 DUKUN GRESIK</v>
      </c>
      <c r="G155" s="28" t="str">
        <f>IFERROR(__xludf.DUMMYFUNCTION("""COMPUTED_VALUE"""),"MTS-9 H")</f>
        <v>MTS-9 H</v>
      </c>
      <c r="H155" s="28" t="str">
        <f>IFERROR(__xludf.DUMMYFUNCTION("""COMPUTED_VALUE"""),"C")</f>
        <v>C</v>
      </c>
      <c r="I155" s="28" t="str">
        <f>IFERROR(__xludf.DUMMYFUNCTION("""COMPUTED_VALUE"""),"C-13")</f>
        <v>C-13</v>
      </c>
      <c r="J155" s="28">
        <f>IFERROR(__xludf.DUMMYFUNCTION("""COMPUTED_VALUE"""),3.0)</f>
        <v>3</v>
      </c>
      <c r="K155" s="28" t="str">
        <f>IFERROR(__xludf.DUMMYFUNCTION("""COMPUTED_VALUE"""),"3 ULA C PUTRI")</f>
        <v>3 ULA C PUTRI</v>
      </c>
      <c r="L155" s="29" t="str">
        <f>IFERROR(__xludf.DUMMYFUNCTION("""COMPUTED_VALUE"""),"6281331730197")</f>
        <v>6281331730197</v>
      </c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2">
        <f>IFERROR(__xludf.DUMMYFUNCTION("""COMPUTED_VALUE"""),0.0)</f>
        <v>0</v>
      </c>
      <c r="BD155" s="22">
        <f>IFERROR(__xludf.DUMMYFUNCTION("""COMPUTED_VALUE"""),0.0)</f>
        <v>0</v>
      </c>
      <c r="BE155" s="22">
        <f>IFERROR(__xludf.DUMMYFUNCTION("""COMPUTED_VALUE"""),0.0)</f>
        <v>0</v>
      </c>
      <c r="BF155" s="22">
        <f>IFERROR(__xludf.DUMMYFUNCTION("""COMPUTED_VALUE"""),0.0)</f>
        <v>0</v>
      </c>
    </row>
    <row r="156">
      <c r="A156" s="27">
        <f>IFERROR(__xludf.DUMMYFUNCTION("""COMPUTED_VALUE"""),155.0)</f>
        <v>155</v>
      </c>
      <c r="B156" s="28" t="str">
        <f>IFERROR(__xludf.DUMMYFUNCTION("""COMPUTED_VALUE"""),"NAURAH KHUNI`ATUN MUBAYYINA")</f>
        <v>NAURAH KHUNI`ATUN MUBAYYINA</v>
      </c>
      <c r="C156" s="28">
        <f>IFERROR(__xludf.DUMMYFUNCTION("""COMPUTED_VALUE"""),2.024070623E9)</f>
        <v>2024070623</v>
      </c>
      <c r="D156" s="28" t="str">
        <f>IFERROR(__xludf.DUMMYFUNCTION("""COMPUTED_VALUE"""),"A. FATHUL ARIF")</f>
        <v>A. FATHUL ARIF</v>
      </c>
      <c r="E156" s="28" t="str">
        <f>IFERROR(__xludf.DUMMYFUNCTION("""COMPUTED_VALUE"""),"NANIK NURLISAH")</f>
        <v>NANIK NURLISAH</v>
      </c>
      <c r="F156" s="28" t="str">
        <f>IFERROR(__xludf.DUMMYFUNCTION("""COMPUTED_VALUE"""),"KULURAN RT 003 RW 001 KALITENGAH LAMONGAN")</f>
        <v>KULURAN RT 003 RW 001 KALITENGAH LAMONGAN</v>
      </c>
      <c r="G156" s="28" t="str">
        <f>IFERROR(__xludf.DUMMYFUNCTION("""COMPUTED_VALUE"""),"MTS-9 H")</f>
        <v>MTS-9 H</v>
      </c>
      <c r="H156" s="28" t="str">
        <f>IFERROR(__xludf.DUMMYFUNCTION("""COMPUTED_VALUE"""),"C")</f>
        <v>C</v>
      </c>
      <c r="I156" s="28" t="str">
        <f>IFERROR(__xludf.DUMMYFUNCTION("""COMPUTED_VALUE"""),"C-12")</f>
        <v>C-12</v>
      </c>
      <c r="J156" s="28">
        <f>IFERROR(__xludf.DUMMYFUNCTION("""COMPUTED_VALUE"""),3.0)</f>
        <v>3</v>
      </c>
      <c r="K156" s="28" t="str">
        <f>IFERROR(__xludf.DUMMYFUNCTION("""COMPUTED_VALUE"""),"")</f>
        <v/>
      </c>
      <c r="L156" s="29" t="str">
        <f>IFERROR(__xludf.DUMMYFUNCTION("""COMPUTED_VALUE"""),"6285608954077")</f>
        <v>6285608954077</v>
      </c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2">
        <f>IFERROR(__xludf.DUMMYFUNCTION("""COMPUTED_VALUE"""),0.0)</f>
        <v>0</v>
      </c>
      <c r="BD156" s="22">
        <f>IFERROR(__xludf.DUMMYFUNCTION("""COMPUTED_VALUE"""),0.0)</f>
        <v>0</v>
      </c>
      <c r="BE156" s="22">
        <f>IFERROR(__xludf.DUMMYFUNCTION("""COMPUTED_VALUE"""),0.0)</f>
        <v>0</v>
      </c>
      <c r="BF156" s="22">
        <f>IFERROR(__xludf.DUMMYFUNCTION("""COMPUTED_VALUE"""),0.0)</f>
        <v>0</v>
      </c>
    </row>
    <row r="157">
      <c r="A157" s="27">
        <f>IFERROR(__xludf.DUMMYFUNCTION("""COMPUTED_VALUE"""),156.0)</f>
        <v>156</v>
      </c>
      <c r="B157" s="28" t="str">
        <f>IFERROR(__xludf.DUMMYFUNCTION("""COMPUTED_VALUE"""),"NAYLA SALSABILA")</f>
        <v>NAYLA SALSABILA</v>
      </c>
      <c r="C157" s="28">
        <f>IFERROR(__xludf.DUMMYFUNCTION("""COMPUTED_VALUE"""),2.024070608E9)</f>
        <v>2024070608</v>
      </c>
      <c r="D157" s="28" t="str">
        <f>IFERROR(__xludf.DUMMYFUNCTION("""COMPUTED_VALUE"""),"MUHAMAD MUHAJIR")</f>
        <v>MUHAMAD MUHAJIR</v>
      </c>
      <c r="E157" s="28" t="str">
        <f>IFERROR(__xludf.DUMMYFUNCTION("""COMPUTED_VALUE"""),"MINTUTIK")</f>
        <v>MINTUTIK</v>
      </c>
      <c r="F157" s="28" t="str">
        <f>IFERROR(__xludf.DUMMYFUNCTION("""COMPUTED_VALUE"""),"KULURAN RT 002 RW 003 KALITENGAH LAMONGAN")</f>
        <v>KULURAN RT 002 RW 003 KALITENGAH LAMONGAN</v>
      </c>
      <c r="G157" s="28" t="str">
        <f>IFERROR(__xludf.DUMMYFUNCTION("""COMPUTED_VALUE"""),"MTS-9 D")</f>
        <v>MTS-9 D</v>
      </c>
      <c r="H157" s="28" t="str">
        <f>IFERROR(__xludf.DUMMYFUNCTION("""COMPUTED_VALUE"""),"C")</f>
        <v>C</v>
      </c>
      <c r="I157" s="28" t="str">
        <f>IFERROR(__xludf.DUMMYFUNCTION("""COMPUTED_VALUE"""),"C-12")</f>
        <v>C-12</v>
      </c>
      <c r="J157" s="28">
        <f>IFERROR(__xludf.DUMMYFUNCTION("""COMPUTED_VALUE"""),3.0)</f>
        <v>3</v>
      </c>
      <c r="K157" s="28" t="str">
        <f>IFERROR(__xludf.DUMMYFUNCTION("""COMPUTED_VALUE"""),"")</f>
        <v/>
      </c>
      <c r="L157" s="29" t="str">
        <f>IFERROR(__xludf.DUMMYFUNCTION("""COMPUTED_VALUE"""),"6285755534024")</f>
        <v>6285755534024</v>
      </c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2">
        <f>IFERROR(__xludf.DUMMYFUNCTION("""COMPUTED_VALUE"""),0.0)</f>
        <v>0</v>
      </c>
      <c r="BD157" s="22">
        <f>IFERROR(__xludf.DUMMYFUNCTION("""COMPUTED_VALUE"""),0.0)</f>
        <v>0</v>
      </c>
      <c r="BE157" s="22">
        <f>IFERROR(__xludf.DUMMYFUNCTION("""COMPUTED_VALUE"""),0.0)</f>
        <v>0</v>
      </c>
      <c r="BF157" s="22">
        <f>IFERROR(__xludf.DUMMYFUNCTION("""COMPUTED_VALUE"""),0.0)</f>
        <v>0</v>
      </c>
    </row>
    <row r="158">
      <c r="A158" s="27">
        <f>IFERROR(__xludf.DUMMYFUNCTION("""COMPUTED_VALUE"""),157.0)</f>
        <v>157</v>
      </c>
      <c r="B158" s="28" t="str">
        <f>IFERROR(__xludf.DUMMYFUNCTION("""COMPUTED_VALUE"""),"NIA KRISNAWATI")</f>
        <v>NIA KRISNAWATI</v>
      </c>
      <c r="C158" s="28">
        <f>IFERROR(__xludf.DUMMYFUNCTION("""COMPUTED_VALUE"""),2.024070528E9)</f>
        <v>2024070528</v>
      </c>
      <c r="D158" s="28" t="str">
        <f>IFERROR(__xludf.DUMMYFUNCTION("""COMPUTED_VALUE"""),"ISWAHYUDI")</f>
        <v>ISWAHYUDI</v>
      </c>
      <c r="E158" s="28" t="str">
        <f>IFERROR(__xludf.DUMMYFUNCTION("""COMPUTED_VALUE"""),"MAISUN")</f>
        <v>MAISUN</v>
      </c>
      <c r="F158" s="28" t="str">
        <f>IFERROR(__xludf.DUMMYFUNCTION("""COMPUTED_VALUE"""),"GAGAR SUKOBENDU RT 002 RW 001 MANTUP LAMONGAN")</f>
        <v>GAGAR SUKOBENDU RT 002 RW 001 MANTUP LAMONGAN</v>
      </c>
      <c r="G158" s="28" t="str">
        <f>IFERROR(__xludf.DUMMYFUNCTION("""COMPUTED_VALUE"""),"MTS-9 C")</f>
        <v>MTS-9 C</v>
      </c>
      <c r="H158" s="28" t="str">
        <f>IFERROR(__xludf.DUMMYFUNCTION("""COMPUTED_VALUE"""),"C")</f>
        <v>C</v>
      </c>
      <c r="I158" s="28" t="str">
        <f>IFERROR(__xludf.DUMMYFUNCTION("""COMPUTED_VALUE"""),"C-12")</f>
        <v>C-12</v>
      </c>
      <c r="J158" s="28">
        <f>IFERROR(__xludf.DUMMYFUNCTION("""COMPUTED_VALUE"""),3.0)</f>
        <v>3</v>
      </c>
      <c r="K158" s="28" t="str">
        <f>IFERROR(__xludf.DUMMYFUNCTION("""COMPUTED_VALUE"""),"3 ULA B PUTRI")</f>
        <v>3 ULA B PUTRI</v>
      </c>
      <c r="L158" s="29" t="str">
        <f>IFERROR(__xludf.DUMMYFUNCTION("""COMPUTED_VALUE"""),"6281999644191")</f>
        <v>6281999644191</v>
      </c>
      <c r="M158" s="28"/>
      <c r="N158" s="28"/>
      <c r="O158" s="28"/>
      <c r="P158" s="28"/>
      <c r="Q158" s="28"/>
      <c r="R158" s="28"/>
      <c r="S158" s="28"/>
      <c r="T158" s="28"/>
      <c r="U158" s="28"/>
      <c r="V158" s="22">
        <f>IFERROR(__xludf.DUMMYFUNCTION("""COMPUTED_VALUE"""),450000.0)</f>
        <v>450000</v>
      </c>
      <c r="W158" s="22">
        <f>IFERROR(__xludf.DUMMYFUNCTION("""COMPUTED_VALUE"""),450000.0)</f>
        <v>450000</v>
      </c>
      <c r="X158" s="22">
        <f>IFERROR(__xludf.DUMMYFUNCTION("""COMPUTED_VALUE"""),450000.0)</f>
        <v>450000</v>
      </c>
      <c r="Y158" s="22">
        <f>IFERROR(__xludf.DUMMYFUNCTION("""COMPUTED_VALUE"""),450000.0)</f>
        <v>450000</v>
      </c>
      <c r="Z158" s="22">
        <f>IFERROR(__xludf.DUMMYFUNCTION("""COMPUTED_VALUE"""),450000.0)</f>
        <v>450000</v>
      </c>
      <c r="AA158" s="22">
        <f>IFERROR(__xludf.DUMMYFUNCTION("""COMPUTED_VALUE"""),350000.0)</f>
        <v>350000</v>
      </c>
      <c r="AB158" s="22">
        <f>IFERROR(__xludf.DUMMYFUNCTION("""COMPUTED_VALUE"""),500000.0)</f>
        <v>500000</v>
      </c>
      <c r="AC158" s="22">
        <f>IFERROR(__xludf.DUMMYFUNCTION("""COMPUTED_VALUE"""),450000.0)</f>
        <v>450000</v>
      </c>
      <c r="AD158" s="22">
        <f>IFERROR(__xludf.DUMMYFUNCTION("""COMPUTED_VALUE"""),450000.0)</f>
        <v>450000</v>
      </c>
      <c r="AE158" s="22">
        <f>IFERROR(__xludf.DUMMYFUNCTION("""COMPUTED_VALUE"""),450000.0)</f>
        <v>450000</v>
      </c>
      <c r="AF158" s="22">
        <f>IFERROR(__xludf.DUMMYFUNCTION("""COMPUTED_VALUE"""),450000.0)</f>
        <v>450000</v>
      </c>
      <c r="AG158" s="22">
        <f>IFERROR(__xludf.DUMMYFUNCTION("""COMPUTED_VALUE"""),450000.0)</f>
        <v>450000</v>
      </c>
      <c r="AH158" s="22">
        <f>IFERROR(__xludf.DUMMYFUNCTION("""COMPUTED_VALUE"""),450000.0)</f>
        <v>450000</v>
      </c>
      <c r="AI158" s="22">
        <f>IFERROR(__xludf.DUMMYFUNCTION("""COMPUTED_VALUE"""),450000.0)</f>
        <v>450000</v>
      </c>
      <c r="AJ158" s="22">
        <f>IFERROR(__xludf.DUMMYFUNCTION("""COMPUTED_VALUE"""),450000.0)</f>
        <v>450000</v>
      </c>
      <c r="AK158" s="22">
        <f>IFERROR(__xludf.DUMMYFUNCTION("""COMPUTED_VALUE"""),450000.0)</f>
        <v>450000</v>
      </c>
      <c r="AL158" s="22">
        <f>IFERROR(__xludf.DUMMYFUNCTION("""COMPUTED_VALUE"""),450000.0)</f>
        <v>450000</v>
      </c>
      <c r="AM158" s="22">
        <f>IFERROR(__xludf.DUMMYFUNCTION("""COMPUTED_VALUE"""),450000.0)</f>
        <v>450000</v>
      </c>
      <c r="AN158" s="22">
        <f>IFERROR(__xludf.DUMMYFUNCTION("""COMPUTED_VALUE"""),450000.0)</f>
        <v>450000</v>
      </c>
      <c r="AO158" s="28"/>
      <c r="AP158" s="22">
        <f>IFERROR(__xludf.DUMMYFUNCTION("""COMPUTED_VALUE"""),500000.0)</f>
        <v>500000</v>
      </c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2">
        <f>IFERROR(__xludf.DUMMYFUNCTION("""COMPUTED_VALUE"""),7650000.0)</f>
        <v>7650000</v>
      </c>
      <c r="BD158" s="22">
        <f>IFERROR(__xludf.DUMMYFUNCTION("""COMPUTED_VALUE"""),1000000.0)</f>
        <v>1000000</v>
      </c>
      <c r="BE158" s="22">
        <f>IFERROR(__xludf.DUMMYFUNCTION("""COMPUTED_VALUE"""),350000.0)</f>
        <v>350000</v>
      </c>
      <c r="BF158" s="22">
        <f>IFERROR(__xludf.DUMMYFUNCTION("""COMPUTED_VALUE"""),9000000.0)</f>
        <v>9000000</v>
      </c>
    </row>
    <row r="159">
      <c r="A159" s="27">
        <f>IFERROR(__xludf.DUMMYFUNCTION("""COMPUTED_VALUE"""),158.0)</f>
        <v>158</v>
      </c>
      <c r="B159" s="28" t="str">
        <f>IFERROR(__xludf.DUMMYFUNCTION("""COMPUTED_VALUE"""),"PRADIPTA PUTRI ALIFIA")</f>
        <v>PRADIPTA PUTRI ALIFIA</v>
      </c>
      <c r="C159" s="28">
        <f>IFERROR(__xludf.DUMMYFUNCTION("""COMPUTED_VALUE"""),2.024070584E9)</f>
        <v>2024070584</v>
      </c>
      <c r="D159" s="28" t="str">
        <f>IFERROR(__xludf.DUMMYFUNCTION("""COMPUTED_VALUE"""),"JUMADI")</f>
        <v>JUMADI</v>
      </c>
      <c r="E159" s="28" t="str">
        <f>IFERROR(__xludf.DUMMYFUNCTION("""COMPUTED_VALUE"""),"MU`ALIMAH")</f>
        <v>MU`ALIMAH</v>
      </c>
      <c r="F159" s="28" t="str">
        <f>IFERROR(__xludf.DUMMYFUNCTION("""COMPUTED_VALUE"""),"GETUNG TAWANGREJO RT 001 RW 001 TURI LAMONGAN")</f>
        <v>GETUNG TAWANGREJO RT 001 RW 001 TURI LAMONGAN</v>
      </c>
      <c r="G159" s="28" t="str">
        <f>IFERROR(__xludf.DUMMYFUNCTION("""COMPUTED_VALUE"""),"MTS-9 G")</f>
        <v>MTS-9 G</v>
      </c>
      <c r="H159" s="28" t="str">
        <f>IFERROR(__xludf.DUMMYFUNCTION("""COMPUTED_VALUE"""),"C")</f>
        <v>C</v>
      </c>
      <c r="I159" s="28" t="str">
        <f>IFERROR(__xludf.DUMMYFUNCTION("""COMPUTED_VALUE"""),"C-13")</f>
        <v>C-13</v>
      </c>
      <c r="J159" s="28">
        <f>IFERROR(__xludf.DUMMYFUNCTION("""COMPUTED_VALUE"""),3.0)</f>
        <v>3</v>
      </c>
      <c r="K159" s="28" t="str">
        <f>IFERROR(__xludf.DUMMYFUNCTION("""COMPUTED_VALUE"""),"3 ULA A PUTRI")</f>
        <v>3 ULA A PUTRI</v>
      </c>
      <c r="L159" s="29" t="str">
        <f>IFERROR(__xludf.DUMMYFUNCTION("""COMPUTED_VALUE"""),"6287815912057")</f>
        <v>6287815912057</v>
      </c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2">
        <f>IFERROR(__xludf.DUMMYFUNCTION("""COMPUTED_VALUE"""),0.0)</f>
        <v>0</v>
      </c>
      <c r="BD159" s="22">
        <f>IFERROR(__xludf.DUMMYFUNCTION("""COMPUTED_VALUE"""),0.0)</f>
        <v>0</v>
      </c>
      <c r="BE159" s="22">
        <f>IFERROR(__xludf.DUMMYFUNCTION("""COMPUTED_VALUE"""),0.0)</f>
        <v>0</v>
      </c>
      <c r="BF159" s="22">
        <f>IFERROR(__xludf.DUMMYFUNCTION("""COMPUTED_VALUE"""),0.0)</f>
        <v>0</v>
      </c>
    </row>
    <row r="160">
      <c r="A160" s="27">
        <f>IFERROR(__xludf.DUMMYFUNCTION("""COMPUTED_VALUE"""),159.0)</f>
        <v>159</v>
      </c>
      <c r="B160" s="28" t="str">
        <f>IFERROR(__xludf.DUMMYFUNCTION("""COMPUTED_VALUE"""),"QUEENSHA ALEA ARSYILA")</f>
        <v>QUEENSHA ALEA ARSYILA</v>
      </c>
      <c r="C160" s="28">
        <f>IFERROR(__xludf.DUMMYFUNCTION("""COMPUTED_VALUE"""),2.024070526E9)</f>
        <v>2024070526</v>
      </c>
      <c r="D160" s="28" t="str">
        <f>IFERROR(__xludf.DUMMYFUNCTION("""COMPUTED_VALUE"""),"AGUS BUDIONO")</f>
        <v>AGUS BUDIONO</v>
      </c>
      <c r="E160" s="28" t="str">
        <f>IFERROR(__xludf.DUMMYFUNCTION("""COMPUTED_VALUE"""),"TANTI YUNI MUSFITA")</f>
        <v>TANTI YUNI MUSFITA</v>
      </c>
      <c r="F160" s="28" t="str">
        <f>IFERROR(__xludf.DUMMYFUNCTION("""COMPUTED_VALUE"""),"KRAJAN SUKOBENDU RT 003 RW 005 MANTUP LAMONGAN")</f>
        <v>KRAJAN SUKOBENDU RT 003 RW 005 MANTUP LAMONGAN</v>
      </c>
      <c r="G160" s="28" t="str">
        <f>IFERROR(__xludf.DUMMYFUNCTION("""COMPUTED_VALUE"""),"MTS-9 D")</f>
        <v>MTS-9 D</v>
      </c>
      <c r="H160" s="28" t="str">
        <f>IFERROR(__xludf.DUMMYFUNCTION("""COMPUTED_VALUE"""),"C")</f>
        <v>C</v>
      </c>
      <c r="I160" s="28" t="str">
        <f>IFERROR(__xludf.DUMMYFUNCTION("""COMPUTED_VALUE"""),"C-12")</f>
        <v>C-12</v>
      </c>
      <c r="J160" s="28">
        <f>IFERROR(__xludf.DUMMYFUNCTION("""COMPUTED_VALUE"""),3.0)</f>
        <v>3</v>
      </c>
      <c r="K160" s="28" t="str">
        <f>IFERROR(__xludf.DUMMYFUNCTION("""COMPUTED_VALUE"""),"3 ULA A PUTRI")</f>
        <v>3 ULA A PUTRI</v>
      </c>
      <c r="L160" s="29" t="str">
        <f>IFERROR(__xludf.DUMMYFUNCTION("""COMPUTED_VALUE"""),"6285732838577")</f>
        <v>6285732838577</v>
      </c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2">
        <f>IFERROR(__xludf.DUMMYFUNCTION("""COMPUTED_VALUE"""),0.0)</f>
        <v>0</v>
      </c>
      <c r="BD160" s="22">
        <f>IFERROR(__xludf.DUMMYFUNCTION("""COMPUTED_VALUE"""),0.0)</f>
        <v>0</v>
      </c>
      <c r="BE160" s="22">
        <f>IFERROR(__xludf.DUMMYFUNCTION("""COMPUTED_VALUE"""),0.0)</f>
        <v>0</v>
      </c>
      <c r="BF160" s="22">
        <f>IFERROR(__xludf.DUMMYFUNCTION("""COMPUTED_VALUE"""),0.0)</f>
        <v>0</v>
      </c>
    </row>
    <row r="161">
      <c r="A161" s="27">
        <f>IFERROR(__xludf.DUMMYFUNCTION("""COMPUTED_VALUE"""),160.0)</f>
        <v>160</v>
      </c>
      <c r="B161" s="28" t="str">
        <f>IFERROR(__xludf.DUMMYFUNCTION("""COMPUTED_VALUE"""),"RAVAUL ZAHIDAH")</f>
        <v>RAVAUL ZAHIDAH</v>
      </c>
      <c r="C161" s="28">
        <f>IFERROR(__xludf.DUMMYFUNCTION("""COMPUTED_VALUE"""),2.02407058E9)</f>
        <v>2024070580</v>
      </c>
      <c r="D161" s="28" t="str">
        <f>IFERROR(__xludf.DUMMYFUNCTION("""COMPUTED_VALUE"""),"FATCHUR ROZAK")</f>
        <v>FATCHUR ROZAK</v>
      </c>
      <c r="E161" s="28" t="str">
        <f>IFERROR(__xludf.DUMMYFUNCTION("""COMPUTED_VALUE"""),"ULIN NI`MAH")</f>
        <v>ULIN NI`MAH</v>
      </c>
      <c r="F161" s="28" t="str">
        <f>IFERROR(__xludf.DUMMYFUNCTION("""COMPUTED_VALUE"""),"PENCARAN BLAWI RT 002 RW 005 KARANGBINANGUN LAMONGAN")</f>
        <v>PENCARAN BLAWI RT 002 RW 005 KARANGBINANGUN LAMONGAN</v>
      </c>
      <c r="G161" s="28" t="str">
        <f>IFERROR(__xludf.DUMMYFUNCTION("""COMPUTED_VALUE"""),"MTS-9 A")</f>
        <v>MTS-9 A</v>
      </c>
      <c r="H161" s="28" t="str">
        <f>IFERROR(__xludf.DUMMYFUNCTION("""COMPUTED_VALUE"""),"C")</f>
        <v>C</v>
      </c>
      <c r="I161" s="28" t="str">
        <f>IFERROR(__xludf.DUMMYFUNCTION("""COMPUTED_VALUE"""),"C-3")</f>
        <v>C-3</v>
      </c>
      <c r="J161" s="28">
        <f>IFERROR(__xludf.DUMMYFUNCTION("""COMPUTED_VALUE"""),3.0)</f>
        <v>3</v>
      </c>
      <c r="K161" s="28" t="str">
        <f>IFERROR(__xludf.DUMMYFUNCTION("""COMPUTED_VALUE"""),"3 ULA B PUTRI")</f>
        <v>3 ULA B PUTRI</v>
      </c>
      <c r="L161" s="29" t="str">
        <f>IFERROR(__xludf.DUMMYFUNCTION("""COMPUTED_VALUE"""),"6282231516103")</f>
        <v>6282231516103</v>
      </c>
      <c r="M161" s="28"/>
      <c r="N161" s="22">
        <f>IFERROR(__xludf.DUMMYFUNCTION("""COMPUTED_VALUE"""),200000.0)</f>
        <v>200000</v>
      </c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2">
        <f>IFERROR(__xludf.DUMMYFUNCTION("""COMPUTED_VALUE"""),500000.0)</f>
        <v>500000</v>
      </c>
      <c r="AC161" s="28"/>
      <c r="AD161" s="28"/>
      <c r="AE161" s="22">
        <f>IFERROR(__xludf.DUMMYFUNCTION("""COMPUTED_VALUE"""),450000.0)</f>
        <v>450000</v>
      </c>
      <c r="AF161" s="22">
        <f>IFERROR(__xludf.DUMMYFUNCTION("""COMPUTED_VALUE"""),450000.0)</f>
        <v>450000</v>
      </c>
      <c r="AG161" s="22">
        <f>IFERROR(__xludf.DUMMYFUNCTION("""COMPUTED_VALUE"""),450000.0)</f>
        <v>450000</v>
      </c>
      <c r="AH161" s="22">
        <f>IFERROR(__xludf.DUMMYFUNCTION("""COMPUTED_VALUE"""),450000.0)</f>
        <v>450000</v>
      </c>
      <c r="AI161" s="22">
        <f>IFERROR(__xludf.DUMMYFUNCTION("""COMPUTED_VALUE"""),450000.0)</f>
        <v>450000</v>
      </c>
      <c r="AJ161" s="22">
        <f>IFERROR(__xludf.DUMMYFUNCTION("""COMPUTED_VALUE"""),450000.0)</f>
        <v>450000</v>
      </c>
      <c r="AK161" s="22">
        <f>IFERROR(__xludf.DUMMYFUNCTION("""COMPUTED_VALUE"""),450000.0)</f>
        <v>450000</v>
      </c>
      <c r="AL161" s="22">
        <f>IFERROR(__xludf.DUMMYFUNCTION("""COMPUTED_VALUE"""),450000.0)</f>
        <v>450000</v>
      </c>
      <c r="AM161" s="22">
        <f>IFERROR(__xludf.DUMMYFUNCTION("""COMPUTED_VALUE"""),450000.0)</f>
        <v>450000</v>
      </c>
      <c r="AN161" s="22">
        <f>IFERROR(__xludf.DUMMYFUNCTION("""COMPUTED_VALUE"""),450000.0)</f>
        <v>450000</v>
      </c>
      <c r="AO161" s="28"/>
      <c r="AP161" s="22">
        <f>IFERROR(__xludf.DUMMYFUNCTION("""COMPUTED_VALUE"""),500000.0)</f>
        <v>500000</v>
      </c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2">
        <f>IFERROR(__xludf.DUMMYFUNCTION("""COMPUTED_VALUE"""),4500000.0)</f>
        <v>4500000</v>
      </c>
      <c r="BD161" s="22">
        <f>IFERROR(__xludf.DUMMYFUNCTION("""COMPUTED_VALUE"""),1000000.0)</f>
        <v>1000000</v>
      </c>
      <c r="BE161" s="22">
        <f>IFERROR(__xludf.DUMMYFUNCTION("""COMPUTED_VALUE"""),0.0)</f>
        <v>0</v>
      </c>
      <c r="BF161" s="22">
        <f>IFERROR(__xludf.DUMMYFUNCTION("""COMPUTED_VALUE"""),5500000.0)</f>
        <v>5500000</v>
      </c>
    </row>
    <row r="162">
      <c r="A162" s="27">
        <f>IFERROR(__xludf.DUMMYFUNCTION("""COMPUTED_VALUE"""),161.0)</f>
        <v>161</v>
      </c>
      <c r="B162" s="28" t="str">
        <f>IFERROR(__xludf.DUMMYFUNCTION("""COMPUTED_VALUE"""),"RIZATUL ZAMIRA ATMAJA")</f>
        <v>RIZATUL ZAMIRA ATMAJA</v>
      </c>
      <c r="C162" s="28">
        <f>IFERROR(__xludf.DUMMYFUNCTION("""COMPUTED_VALUE"""),2.024070493E9)</f>
        <v>2024070493</v>
      </c>
      <c r="D162" s="28" t="str">
        <f>IFERROR(__xludf.DUMMYFUNCTION("""COMPUTED_VALUE"""),"SUWIGNYO PRIYO UTOMO")</f>
        <v>SUWIGNYO PRIYO UTOMO</v>
      </c>
      <c r="E162" s="28" t="str">
        <f>IFERROR(__xludf.DUMMYFUNCTION("""COMPUTED_VALUE"""),"ELI ROCHIANAH")</f>
        <v>ELI ROCHIANAH</v>
      </c>
      <c r="F162" s="28" t="str">
        <f>IFERROR(__xludf.DUMMYFUNCTION("""COMPUTED_VALUE"""),"BANJARMADU RT 001 RW 004 KARANGGENENG LAMONGAN")</f>
        <v>BANJARMADU RT 001 RW 004 KARANGGENENG LAMONGAN</v>
      </c>
      <c r="G162" s="28" t="str">
        <f>IFERROR(__xludf.DUMMYFUNCTION("""COMPUTED_VALUE"""),"MTS-9 D")</f>
        <v>MTS-9 D</v>
      </c>
      <c r="H162" s="28" t="str">
        <f>IFERROR(__xludf.DUMMYFUNCTION("""COMPUTED_VALUE"""),"C")</f>
        <v>C</v>
      </c>
      <c r="I162" s="28" t="str">
        <f>IFERROR(__xludf.DUMMYFUNCTION("""COMPUTED_VALUE"""),"C-13")</f>
        <v>C-13</v>
      </c>
      <c r="J162" s="28">
        <f>IFERROR(__xludf.DUMMYFUNCTION("""COMPUTED_VALUE"""),3.0)</f>
        <v>3</v>
      </c>
      <c r="K162" s="28" t="str">
        <f>IFERROR(__xludf.DUMMYFUNCTION("""COMPUTED_VALUE"""),"3 ULA C PUTRI")</f>
        <v>3 ULA C PUTRI</v>
      </c>
      <c r="L162" s="29" t="str">
        <f>IFERROR(__xludf.DUMMYFUNCTION("""COMPUTED_VALUE"""),"6285234346480")</f>
        <v>6285234346480</v>
      </c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2">
        <f>IFERROR(__xludf.DUMMYFUNCTION("""COMPUTED_VALUE"""),500000.0)</f>
        <v>500000</v>
      </c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2">
        <f>IFERROR(__xludf.DUMMYFUNCTION("""COMPUTED_VALUE"""),0.0)</f>
        <v>0</v>
      </c>
      <c r="BD162" s="22">
        <f>IFERROR(__xludf.DUMMYFUNCTION("""COMPUTED_VALUE"""),500000.0)</f>
        <v>500000</v>
      </c>
      <c r="BE162" s="22">
        <f>IFERROR(__xludf.DUMMYFUNCTION("""COMPUTED_VALUE"""),0.0)</f>
        <v>0</v>
      </c>
      <c r="BF162" s="22">
        <f>IFERROR(__xludf.DUMMYFUNCTION("""COMPUTED_VALUE"""),500000.0)</f>
        <v>500000</v>
      </c>
    </row>
    <row r="163">
      <c r="A163" s="27">
        <f>IFERROR(__xludf.DUMMYFUNCTION("""COMPUTED_VALUE"""),162.0)</f>
        <v>162</v>
      </c>
      <c r="B163" s="28" t="str">
        <f>IFERROR(__xludf.DUMMYFUNCTION("""COMPUTED_VALUE"""),"SAFIRA FIDIYASARI")</f>
        <v>SAFIRA FIDIYASARI</v>
      </c>
      <c r="C163" s="28">
        <f>IFERROR(__xludf.DUMMYFUNCTION("""COMPUTED_VALUE"""),2.024070632E9)</f>
        <v>2024070632</v>
      </c>
      <c r="D163" s="28" t="str">
        <f>IFERROR(__xludf.DUMMYFUNCTION("""COMPUTED_VALUE"""),"M AGUS WIJAYA")</f>
        <v>M AGUS WIJAYA</v>
      </c>
      <c r="E163" s="28" t="str">
        <f>IFERROR(__xludf.DUMMYFUNCTION("""COMPUTED_VALUE"""),"SOFIYA WIDIYAWATI")</f>
        <v>SOFIYA WIDIYAWATI</v>
      </c>
      <c r="F163" s="28" t="str">
        <f>IFERROR(__xludf.DUMMYFUNCTION("""COMPUTED_VALUE"""),"KULURAN RT 004 RW 003 KALITENGAH LAMONGAN")</f>
        <v>KULURAN RT 004 RW 003 KALITENGAH LAMONGAN</v>
      </c>
      <c r="G163" s="28" t="str">
        <f>IFERROR(__xludf.DUMMYFUNCTION("""COMPUTED_VALUE"""),"MTS-9 H")</f>
        <v>MTS-9 H</v>
      </c>
      <c r="H163" s="28" t="str">
        <f>IFERROR(__xludf.DUMMYFUNCTION("""COMPUTED_VALUE"""),"C")</f>
        <v>C</v>
      </c>
      <c r="I163" s="28" t="str">
        <f>IFERROR(__xludf.DUMMYFUNCTION("""COMPUTED_VALUE"""),"C-3")</f>
        <v>C-3</v>
      </c>
      <c r="J163" s="28">
        <f>IFERROR(__xludf.DUMMYFUNCTION("""COMPUTED_VALUE"""),3.0)</f>
        <v>3</v>
      </c>
      <c r="K163" s="28" t="str">
        <f>IFERROR(__xludf.DUMMYFUNCTION("""COMPUTED_VALUE"""),"")</f>
        <v/>
      </c>
      <c r="L163" s="29" t="str">
        <f>IFERROR(__xludf.DUMMYFUNCTION("""COMPUTED_VALUE"""),"6285732998926")</f>
        <v>6285732998926</v>
      </c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2">
        <f>IFERROR(__xludf.DUMMYFUNCTION("""COMPUTED_VALUE"""),450000.0)</f>
        <v>450000</v>
      </c>
      <c r="AL163" s="22">
        <f>IFERROR(__xludf.DUMMYFUNCTION("""COMPUTED_VALUE"""),450000.0)</f>
        <v>450000</v>
      </c>
      <c r="AM163" s="22">
        <f>IFERROR(__xludf.DUMMYFUNCTION("""COMPUTED_VALUE"""),450000.0)</f>
        <v>450000</v>
      </c>
      <c r="AN163" s="22">
        <f>IFERROR(__xludf.DUMMYFUNCTION("""COMPUTED_VALUE"""),450000.0)</f>
        <v>450000</v>
      </c>
      <c r="AO163" s="28"/>
      <c r="AP163" s="22">
        <f>IFERROR(__xludf.DUMMYFUNCTION("""COMPUTED_VALUE"""),500000.0)</f>
        <v>500000</v>
      </c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2">
        <f>IFERROR(__xludf.DUMMYFUNCTION("""COMPUTED_VALUE"""),1800000.0)</f>
        <v>1800000</v>
      </c>
      <c r="BD163" s="22">
        <f>IFERROR(__xludf.DUMMYFUNCTION("""COMPUTED_VALUE"""),500000.0)</f>
        <v>500000</v>
      </c>
      <c r="BE163" s="22">
        <f>IFERROR(__xludf.DUMMYFUNCTION("""COMPUTED_VALUE"""),0.0)</f>
        <v>0</v>
      </c>
      <c r="BF163" s="22">
        <f>IFERROR(__xludf.DUMMYFUNCTION("""COMPUTED_VALUE"""),2300000.0)</f>
        <v>2300000</v>
      </c>
    </row>
    <row r="164">
      <c r="A164" s="27">
        <f>IFERROR(__xludf.DUMMYFUNCTION("""COMPUTED_VALUE"""),163.0)</f>
        <v>163</v>
      </c>
      <c r="B164" s="28" t="str">
        <f>IFERROR(__xludf.DUMMYFUNCTION("""COMPUTED_VALUE"""),"SELVIA DEWI ASMAUL KHUSNADA")</f>
        <v>SELVIA DEWI ASMAUL KHUSNADA</v>
      </c>
      <c r="C164" s="28">
        <f>IFERROR(__xludf.DUMMYFUNCTION("""COMPUTED_VALUE"""),2.024070511E9)</f>
        <v>2024070511</v>
      </c>
      <c r="D164" s="28" t="str">
        <f>IFERROR(__xludf.DUMMYFUNCTION("""COMPUTED_VALUE"""),"MADUKI")</f>
        <v>MADUKI</v>
      </c>
      <c r="E164" s="28" t="str">
        <f>IFERROR(__xludf.DUMMYFUNCTION("""COMPUTED_VALUE"""),"SUKARSIH")</f>
        <v>SUKARSIH</v>
      </c>
      <c r="F164" s="28" t="str">
        <f>IFERROR(__xludf.DUMMYFUNCTION("""COMPUTED_VALUE"""),"PETIYIN PETIYINTUNGGAL RT 007 RW 003 DUKUN GRESIK")</f>
        <v>PETIYIN PETIYINTUNGGAL RT 007 RW 003 DUKUN GRESIK</v>
      </c>
      <c r="G164" s="28" t="str">
        <f>IFERROR(__xludf.DUMMYFUNCTION("""COMPUTED_VALUE"""),"MTS-9 G")</f>
        <v>MTS-9 G</v>
      </c>
      <c r="H164" s="28" t="str">
        <f>IFERROR(__xludf.DUMMYFUNCTION("""COMPUTED_VALUE"""),"C")</f>
        <v>C</v>
      </c>
      <c r="I164" s="28" t="str">
        <f>IFERROR(__xludf.DUMMYFUNCTION("""COMPUTED_VALUE"""),"C-12")</f>
        <v>C-12</v>
      </c>
      <c r="J164" s="28">
        <f>IFERROR(__xludf.DUMMYFUNCTION("""COMPUTED_VALUE"""),3.0)</f>
        <v>3</v>
      </c>
      <c r="K164" s="28" t="str">
        <f>IFERROR(__xludf.DUMMYFUNCTION("""COMPUTED_VALUE"""),"")</f>
        <v/>
      </c>
      <c r="L164" s="29" t="str">
        <f>IFERROR(__xludf.DUMMYFUNCTION("""COMPUTED_VALUE"""),"6281252102661")</f>
        <v>6281252102661</v>
      </c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2">
        <f>IFERROR(__xludf.DUMMYFUNCTION("""COMPUTED_VALUE"""),450000.0)</f>
        <v>450000</v>
      </c>
      <c r="AM164" s="22">
        <f>IFERROR(__xludf.DUMMYFUNCTION("""COMPUTED_VALUE"""),450000.0)</f>
        <v>450000</v>
      </c>
      <c r="AN164" s="22">
        <f>IFERROR(__xludf.DUMMYFUNCTION("""COMPUTED_VALUE"""),450000.0)</f>
        <v>450000</v>
      </c>
      <c r="AO164" s="28"/>
      <c r="AP164" s="22">
        <f>IFERROR(__xludf.DUMMYFUNCTION("""COMPUTED_VALUE"""),500000.0)</f>
        <v>500000</v>
      </c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2">
        <f>IFERROR(__xludf.DUMMYFUNCTION("""COMPUTED_VALUE"""),1350000.0)</f>
        <v>1350000</v>
      </c>
      <c r="BD164" s="22">
        <f>IFERROR(__xludf.DUMMYFUNCTION("""COMPUTED_VALUE"""),500000.0)</f>
        <v>500000</v>
      </c>
      <c r="BE164" s="22">
        <f>IFERROR(__xludf.DUMMYFUNCTION("""COMPUTED_VALUE"""),0.0)</f>
        <v>0</v>
      </c>
      <c r="BF164" s="22">
        <f>IFERROR(__xludf.DUMMYFUNCTION("""COMPUTED_VALUE"""),1850000.0)</f>
        <v>1850000</v>
      </c>
    </row>
    <row r="165">
      <c r="A165" s="27">
        <f>IFERROR(__xludf.DUMMYFUNCTION("""COMPUTED_VALUE"""),164.0)</f>
        <v>164</v>
      </c>
      <c r="B165" s="28" t="str">
        <f>IFERROR(__xludf.DUMMYFUNCTION("""COMPUTED_VALUE"""),"SOFIATUS SYARIFAH")</f>
        <v>SOFIATUS SYARIFAH</v>
      </c>
      <c r="C165" s="28">
        <f>IFERROR(__xludf.DUMMYFUNCTION("""COMPUTED_VALUE"""),2.024070455E9)</f>
        <v>2024070455</v>
      </c>
      <c r="D165" s="28" t="str">
        <f>IFERROR(__xludf.DUMMYFUNCTION("""COMPUTED_VALUE"""),"SULUFUN NAJIB")</f>
        <v>SULUFUN NAJIB</v>
      </c>
      <c r="E165" s="28" t="str">
        <f>IFERROR(__xludf.DUMMYFUNCTION("""COMPUTED_VALUE"""),"SRI AGUSTIN")</f>
        <v>SRI AGUSTIN</v>
      </c>
      <c r="F165" s="28" t="str">
        <f>IFERROR(__xludf.DUMMYFUNCTION("""COMPUTED_VALUE"""),"JL. ROGONOTO V/13 PAGENTAN RT 001 RW 001 SINGOSARI MALANG")</f>
        <v>JL. ROGONOTO V/13 PAGENTAN RT 001 RW 001 SINGOSARI MALANG</v>
      </c>
      <c r="G165" s="28" t="str">
        <f>IFERROR(__xludf.DUMMYFUNCTION("""COMPUTED_VALUE"""),"MTS-9 H")</f>
        <v>MTS-9 H</v>
      </c>
      <c r="H165" s="28" t="str">
        <f>IFERROR(__xludf.DUMMYFUNCTION("""COMPUTED_VALUE"""),"C")</f>
        <v>C</v>
      </c>
      <c r="I165" s="28" t="str">
        <f>IFERROR(__xludf.DUMMYFUNCTION("""COMPUTED_VALUE"""),"C-12")</f>
        <v>C-12</v>
      </c>
      <c r="J165" s="28">
        <f>IFERROR(__xludf.DUMMYFUNCTION("""COMPUTED_VALUE"""),3.0)</f>
        <v>3</v>
      </c>
      <c r="K165" s="28" t="str">
        <f>IFERROR(__xludf.DUMMYFUNCTION("""COMPUTED_VALUE"""),"")</f>
        <v/>
      </c>
      <c r="L165" s="29" t="str">
        <f>IFERROR(__xludf.DUMMYFUNCTION("""COMPUTED_VALUE"""),"6281230986395")</f>
        <v>6281230986395</v>
      </c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2">
        <f>IFERROR(__xludf.DUMMYFUNCTION("""COMPUTED_VALUE"""),500000.0)</f>
        <v>500000</v>
      </c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2">
        <f>IFERROR(__xludf.DUMMYFUNCTION("""COMPUTED_VALUE"""),0.0)</f>
        <v>0</v>
      </c>
      <c r="BD165" s="22">
        <f>IFERROR(__xludf.DUMMYFUNCTION("""COMPUTED_VALUE"""),500000.0)</f>
        <v>500000</v>
      </c>
      <c r="BE165" s="22">
        <f>IFERROR(__xludf.DUMMYFUNCTION("""COMPUTED_VALUE"""),0.0)</f>
        <v>0</v>
      </c>
      <c r="BF165" s="22">
        <f>IFERROR(__xludf.DUMMYFUNCTION("""COMPUTED_VALUE"""),500000.0)</f>
        <v>500000</v>
      </c>
    </row>
    <row r="166">
      <c r="A166" s="27">
        <f>IFERROR(__xludf.DUMMYFUNCTION("""COMPUTED_VALUE"""),165.0)</f>
        <v>165</v>
      </c>
      <c r="B166" s="28" t="str">
        <f>IFERROR(__xludf.DUMMYFUNCTION("""COMPUTED_VALUE"""),"SUCI ABELIA IMROATUS SHOLIHA")</f>
        <v>SUCI ABELIA IMROATUS SHOLIHA</v>
      </c>
      <c r="C166" s="28">
        <f>IFERROR(__xludf.DUMMYFUNCTION("""COMPUTED_VALUE"""),2.02407051E9)</f>
        <v>2024070510</v>
      </c>
      <c r="D166" s="28" t="str">
        <f>IFERROR(__xludf.DUMMYFUNCTION("""COMPUTED_VALUE"""),"MATENO")</f>
        <v>MATENO</v>
      </c>
      <c r="E166" s="28" t="str">
        <f>IFERROR(__xludf.DUMMYFUNCTION("""COMPUTED_VALUE"""),"NUR HIDAYATI")</f>
        <v>NUR HIDAYATI</v>
      </c>
      <c r="F166" s="28" t="str">
        <f>IFERROR(__xludf.DUMMYFUNCTION("""COMPUTED_VALUE"""),"JETIS PETIYINTUNGGAL RT 006 RW 002 DUKUN GRESIK")</f>
        <v>JETIS PETIYINTUNGGAL RT 006 RW 002 DUKUN GRESIK</v>
      </c>
      <c r="G166" s="28" t="str">
        <f>IFERROR(__xludf.DUMMYFUNCTION("""COMPUTED_VALUE"""),"MTS-9 D")</f>
        <v>MTS-9 D</v>
      </c>
      <c r="H166" s="28" t="str">
        <f>IFERROR(__xludf.DUMMYFUNCTION("""COMPUTED_VALUE"""),"C")</f>
        <v>C</v>
      </c>
      <c r="I166" s="28" t="str">
        <f>IFERROR(__xludf.DUMMYFUNCTION("""COMPUTED_VALUE"""),"C-12")</f>
        <v>C-12</v>
      </c>
      <c r="J166" s="28">
        <f>IFERROR(__xludf.DUMMYFUNCTION("""COMPUTED_VALUE"""),3.0)</f>
        <v>3</v>
      </c>
      <c r="K166" s="28" t="str">
        <f>IFERROR(__xludf.DUMMYFUNCTION("""COMPUTED_VALUE"""),"")</f>
        <v/>
      </c>
      <c r="L166" s="29" t="str">
        <f>IFERROR(__xludf.DUMMYFUNCTION("""COMPUTED_VALUE"""),"6285852427521")</f>
        <v>6285852427521</v>
      </c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2">
        <f>IFERROR(__xludf.DUMMYFUNCTION("""COMPUTED_VALUE"""),500000.0)</f>
        <v>500000</v>
      </c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2">
        <f>IFERROR(__xludf.DUMMYFUNCTION("""COMPUTED_VALUE"""),0.0)</f>
        <v>0</v>
      </c>
      <c r="BD166" s="22">
        <f>IFERROR(__xludf.DUMMYFUNCTION("""COMPUTED_VALUE"""),500000.0)</f>
        <v>500000</v>
      </c>
      <c r="BE166" s="22">
        <f>IFERROR(__xludf.DUMMYFUNCTION("""COMPUTED_VALUE"""),0.0)</f>
        <v>0</v>
      </c>
      <c r="BF166" s="22">
        <f>IFERROR(__xludf.DUMMYFUNCTION("""COMPUTED_VALUE"""),500000.0)</f>
        <v>500000</v>
      </c>
    </row>
    <row r="167">
      <c r="A167" s="27">
        <f>IFERROR(__xludf.DUMMYFUNCTION("""COMPUTED_VALUE"""),166.0)</f>
        <v>166</v>
      </c>
      <c r="B167" s="28" t="str">
        <f>IFERROR(__xludf.DUMMYFUNCTION("""COMPUTED_VALUE"""),"TEVY MAULIDAH AMIN")</f>
        <v>TEVY MAULIDAH AMIN</v>
      </c>
      <c r="C167" s="28">
        <f>IFERROR(__xludf.DUMMYFUNCTION("""COMPUTED_VALUE"""),2.024070607E9)</f>
        <v>2024070607</v>
      </c>
      <c r="D167" s="28" t="str">
        <f>IFERROR(__xludf.DUMMYFUNCTION("""COMPUTED_VALUE"""),"M. ZUHDI AMIN")</f>
        <v>M. ZUHDI AMIN</v>
      </c>
      <c r="E167" s="28" t="str">
        <f>IFERROR(__xludf.DUMMYFUNCTION("""COMPUTED_VALUE"""),"ASMAUL HUSNA")</f>
        <v>ASMAUL HUSNA</v>
      </c>
      <c r="F167" s="28" t="str">
        <f>IFERROR(__xludf.DUMMYFUNCTION("""COMPUTED_VALUE"""),"PUCANGRO RT 002 RW 001 KALITENGAH LAMONGAN")</f>
        <v>PUCANGRO RT 002 RW 001 KALITENGAH LAMONGAN</v>
      </c>
      <c r="G167" s="28" t="str">
        <f>IFERROR(__xludf.DUMMYFUNCTION("""COMPUTED_VALUE"""),"MTS-9 B")</f>
        <v>MTS-9 B</v>
      </c>
      <c r="H167" s="28" t="str">
        <f>IFERROR(__xludf.DUMMYFUNCTION("""COMPUTED_VALUE"""),"C")</f>
        <v>C</v>
      </c>
      <c r="I167" s="28" t="str">
        <f>IFERROR(__xludf.DUMMYFUNCTION("""COMPUTED_VALUE"""),"C-12")</f>
        <v>C-12</v>
      </c>
      <c r="J167" s="28">
        <f>IFERROR(__xludf.DUMMYFUNCTION("""COMPUTED_VALUE"""),3.0)</f>
        <v>3</v>
      </c>
      <c r="K167" s="28" t="str">
        <f>IFERROR(__xludf.DUMMYFUNCTION("""COMPUTED_VALUE"""),"3 ULA A PUTRI")</f>
        <v>3 ULA A PUTRI</v>
      </c>
      <c r="L167" s="29" t="str">
        <f>IFERROR(__xludf.DUMMYFUNCTION("""COMPUTED_VALUE"""),"6285731140388")</f>
        <v>6285731140388</v>
      </c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2">
        <f>IFERROR(__xludf.DUMMYFUNCTION("""COMPUTED_VALUE"""),450000.0)</f>
        <v>450000</v>
      </c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2">
        <f>IFERROR(__xludf.DUMMYFUNCTION("""COMPUTED_VALUE"""),450000.0)</f>
        <v>450000</v>
      </c>
      <c r="BD167" s="22">
        <f>IFERROR(__xludf.DUMMYFUNCTION("""COMPUTED_VALUE"""),0.0)</f>
        <v>0</v>
      </c>
      <c r="BE167" s="22">
        <f>IFERROR(__xludf.DUMMYFUNCTION("""COMPUTED_VALUE"""),0.0)</f>
        <v>0</v>
      </c>
      <c r="BF167" s="22">
        <f>IFERROR(__xludf.DUMMYFUNCTION("""COMPUTED_VALUE"""),450000.0)</f>
        <v>450000</v>
      </c>
    </row>
    <row r="168">
      <c r="A168" s="27">
        <f>IFERROR(__xludf.DUMMYFUNCTION("""COMPUTED_VALUE"""),167.0)</f>
        <v>167</v>
      </c>
      <c r="B168" s="28" t="str">
        <f>IFERROR(__xludf.DUMMYFUNCTION("""COMPUTED_VALUE"""),"VANIA WANGSA SYAH ADAM")</f>
        <v>VANIA WANGSA SYAH ADAM</v>
      </c>
      <c r="C168" s="28">
        <f>IFERROR(__xludf.DUMMYFUNCTION("""COMPUTED_VALUE"""),2.025020002E9)</f>
        <v>2025020002</v>
      </c>
      <c r="D168" s="28" t="str">
        <f>IFERROR(__xludf.DUMMYFUNCTION("""COMPUTED_VALUE"""),"MUNIR EFENDI")</f>
        <v>MUNIR EFENDI</v>
      </c>
      <c r="E168" s="28" t="str">
        <f>IFERROR(__xludf.DUMMYFUNCTION("""COMPUTED_VALUE"""),"SITI MASITOH AGUSTIANA")</f>
        <v>SITI MASITOH AGUSTIANA</v>
      </c>
      <c r="F168" s="28" t="str">
        <f>IFERROR(__xludf.DUMMYFUNCTION("""COMPUTED_VALUE"""),"SUKOBENDU MANTUP LAMONGAN")</f>
        <v>SUKOBENDU MANTUP LAMONGAN</v>
      </c>
      <c r="G168" s="28" t="str">
        <f>IFERROR(__xludf.DUMMYFUNCTION("""COMPUTED_VALUE"""),"MTS-9 G")</f>
        <v>MTS-9 G</v>
      </c>
      <c r="H168" s="28" t="str">
        <f>IFERROR(__xludf.DUMMYFUNCTION("""COMPUTED_VALUE"""),"C")</f>
        <v>C</v>
      </c>
      <c r="I168" s="28" t="str">
        <f>IFERROR(__xludf.DUMMYFUNCTION("""COMPUTED_VALUE"""),"C-12")</f>
        <v>C-12</v>
      </c>
      <c r="J168" s="28">
        <f>IFERROR(__xludf.DUMMYFUNCTION("""COMPUTED_VALUE"""),3.0)</f>
        <v>3</v>
      </c>
      <c r="K168" s="28" t="str">
        <f>IFERROR(__xludf.DUMMYFUNCTION("""COMPUTED_VALUE"""),"")</f>
        <v/>
      </c>
      <c r="L168" s="29" t="str">
        <f>IFERROR(__xludf.DUMMYFUNCTION("""COMPUTED_VALUE"""),"6281216110229")</f>
        <v>6281216110229</v>
      </c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2">
        <f>IFERROR(__xludf.DUMMYFUNCTION("""COMPUTED_VALUE"""),450000.0)</f>
        <v>450000</v>
      </c>
      <c r="AO168" s="28"/>
      <c r="AP168" s="22">
        <f>IFERROR(__xludf.DUMMYFUNCTION("""COMPUTED_VALUE"""),500000.0)</f>
        <v>500000</v>
      </c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2">
        <f>IFERROR(__xludf.DUMMYFUNCTION("""COMPUTED_VALUE"""),450000.0)</f>
        <v>450000</v>
      </c>
      <c r="BD168" s="22">
        <f>IFERROR(__xludf.DUMMYFUNCTION("""COMPUTED_VALUE"""),500000.0)</f>
        <v>500000</v>
      </c>
      <c r="BE168" s="22">
        <f>IFERROR(__xludf.DUMMYFUNCTION("""COMPUTED_VALUE"""),0.0)</f>
        <v>0</v>
      </c>
      <c r="BF168" s="22">
        <f>IFERROR(__xludf.DUMMYFUNCTION("""COMPUTED_VALUE"""),950000.0)</f>
        <v>950000</v>
      </c>
    </row>
    <row r="169">
      <c r="A169" s="27">
        <f>IFERROR(__xludf.DUMMYFUNCTION("""COMPUTED_VALUE"""),168.0)</f>
        <v>168</v>
      </c>
      <c r="B169" s="28" t="str">
        <f>IFERROR(__xludf.DUMMYFUNCTION("""COMPUTED_VALUE"""),"WAHYUNI SUCI RAHMADANI")</f>
        <v>WAHYUNI SUCI RAHMADANI</v>
      </c>
      <c r="C169" s="28">
        <f>IFERROR(__xludf.DUMMYFUNCTION("""COMPUTED_VALUE"""),2.024070731E9)</f>
        <v>2024070731</v>
      </c>
      <c r="D169" s="28" t="str">
        <f>IFERROR(__xludf.DUMMYFUNCTION("""COMPUTED_VALUE"""),"SURATMAN")</f>
        <v>SURATMAN</v>
      </c>
      <c r="E169" s="28" t="str">
        <f>IFERROR(__xludf.DUMMYFUNCTION("""COMPUTED_VALUE"""),"MARIA ULFA")</f>
        <v>MARIA ULFA</v>
      </c>
      <c r="F169" s="28" t="str">
        <f>IFERROR(__xludf.DUMMYFUNCTION("""COMPUTED_VALUE"""),"KEDIREN RT 001 RW 002 KALITENGAH LAMONGAN")</f>
        <v>KEDIREN RT 001 RW 002 KALITENGAH LAMONGAN</v>
      </c>
      <c r="G169" s="28" t="str">
        <f>IFERROR(__xludf.DUMMYFUNCTION("""COMPUTED_VALUE"""),"SMP-IX C")</f>
        <v>SMP-IX C</v>
      </c>
      <c r="H169" s="28" t="str">
        <f>IFERROR(__xludf.DUMMYFUNCTION("""COMPUTED_VALUE"""),"C")</f>
        <v>C</v>
      </c>
      <c r="I169" s="28" t="str">
        <f>IFERROR(__xludf.DUMMYFUNCTION("""COMPUTED_VALUE"""),"C-3")</f>
        <v>C-3</v>
      </c>
      <c r="J169" s="28">
        <f>IFERROR(__xludf.DUMMYFUNCTION("""COMPUTED_VALUE"""),3.0)</f>
        <v>3</v>
      </c>
      <c r="K169" s="28" t="str">
        <f>IFERROR(__xludf.DUMMYFUNCTION("""COMPUTED_VALUE"""),"")</f>
        <v/>
      </c>
      <c r="L169" s="29" t="str">
        <f>IFERROR(__xludf.DUMMYFUNCTION("""COMPUTED_VALUE"""),"6281527879085")</f>
        <v>6281527879085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2">
        <f>IFERROR(__xludf.DUMMYFUNCTION("""COMPUTED_VALUE"""),450000.0)</f>
        <v>450000</v>
      </c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2">
        <f>IFERROR(__xludf.DUMMYFUNCTION("""COMPUTED_VALUE"""),450000.0)</f>
        <v>450000</v>
      </c>
      <c r="BD169" s="22">
        <f>IFERROR(__xludf.DUMMYFUNCTION("""COMPUTED_VALUE"""),0.0)</f>
        <v>0</v>
      </c>
      <c r="BE169" s="22">
        <f>IFERROR(__xludf.DUMMYFUNCTION("""COMPUTED_VALUE"""),0.0)</f>
        <v>0</v>
      </c>
      <c r="BF169" s="22">
        <f>IFERROR(__xludf.DUMMYFUNCTION("""COMPUTED_VALUE"""),450000.0)</f>
        <v>450000</v>
      </c>
    </row>
    <row r="170">
      <c r="A170" s="27">
        <f>IFERROR(__xludf.DUMMYFUNCTION("""COMPUTED_VALUE"""),169.0)</f>
        <v>169</v>
      </c>
      <c r="B170" s="28" t="str">
        <f>IFERROR(__xludf.DUMMYFUNCTION("""COMPUTED_VALUE"""),"ZAHRA RISKI ALFIANA")</f>
        <v>ZAHRA RISKI ALFIANA</v>
      </c>
      <c r="C170" s="28">
        <f>IFERROR(__xludf.DUMMYFUNCTION("""COMPUTED_VALUE"""),2.024070733E9)</f>
        <v>2024070733</v>
      </c>
      <c r="D170" s="28" t="str">
        <f>IFERROR(__xludf.DUMMYFUNCTION("""COMPUTED_VALUE"""),"MUNIF SUSANTO")</f>
        <v>MUNIF SUSANTO</v>
      </c>
      <c r="E170" s="28" t="str">
        <f>IFERROR(__xludf.DUMMYFUNCTION("""COMPUTED_VALUE"""),"YULIANI")</f>
        <v>YULIANI</v>
      </c>
      <c r="F170" s="28" t="str">
        <f>IFERROR(__xludf.DUMMYFUNCTION("""COMPUTED_VALUE"""),"SUMBERARUM RT 027 RW 009 DANDER BOJONEGORO")</f>
        <v>SUMBERARUM RT 027 RW 009 DANDER BOJONEGORO</v>
      </c>
      <c r="G170" s="28" t="str">
        <f>IFERROR(__xludf.DUMMYFUNCTION("""COMPUTED_VALUE"""),"SMP-IX C")</f>
        <v>SMP-IX C</v>
      </c>
      <c r="H170" s="28" t="str">
        <f>IFERROR(__xludf.DUMMYFUNCTION("""COMPUTED_VALUE"""),"C")</f>
        <v>C</v>
      </c>
      <c r="I170" s="28" t="str">
        <f>IFERROR(__xludf.DUMMYFUNCTION("""COMPUTED_VALUE"""),"C-3")</f>
        <v>C-3</v>
      </c>
      <c r="J170" s="28">
        <f>IFERROR(__xludf.DUMMYFUNCTION("""COMPUTED_VALUE"""),3.0)</f>
        <v>3</v>
      </c>
      <c r="K170" s="28" t="str">
        <f>IFERROR(__xludf.DUMMYFUNCTION("""COMPUTED_VALUE"""),"3 ULA B PUTRI")</f>
        <v>3 ULA B PUTRI</v>
      </c>
      <c r="L170" s="29" t="str">
        <f>IFERROR(__xludf.DUMMYFUNCTION("""COMPUTED_VALUE"""),"6285604387587")</f>
        <v>6285604387587</v>
      </c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2">
        <f>IFERROR(__xludf.DUMMYFUNCTION("""COMPUTED_VALUE"""),450000.0)</f>
        <v>450000</v>
      </c>
      <c r="AN170" s="22">
        <f>IFERROR(__xludf.DUMMYFUNCTION("""COMPUTED_VALUE"""),450000.0)</f>
        <v>450000</v>
      </c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2">
        <f>IFERROR(__xludf.DUMMYFUNCTION("""COMPUTED_VALUE"""),900000.0)</f>
        <v>900000</v>
      </c>
      <c r="BD170" s="22">
        <f>IFERROR(__xludf.DUMMYFUNCTION("""COMPUTED_VALUE"""),0.0)</f>
        <v>0</v>
      </c>
      <c r="BE170" s="22">
        <f>IFERROR(__xludf.DUMMYFUNCTION("""COMPUTED_VALUE"""),0.0)</f>
        <v>0</v>
      </c>
      <c r="BF170" s="22">
        <f>IFERROR(__xludf.DUMMYFUNCTION("""COMPUTED_VALUE"""),900000.0)</f>
        <v>900000</v>
      </c>
    </row>
    <row r="171">
      <c r="A171" s="27">
        <f>IFERROR(__xludf.DUMMYFUNCTION("""COMPUTED_VALUE"""),170.0)</f>
        <v>170</v>
      </c>
      <c r="B171" s="28" t="str">
        <f>IFERROR(__xludf.DUMMYFUNCTION("""COMPUTED_VALUE"""),"ZAHROTUS SYIFA FAIHATUL MAGHFIROH")</f>
        <v>ZAHROTUS SYIFA FAIHATUL MAGHFIROH</v>
      </c>
      <c r="C171" s="28">
        <f>IFERROR(__xludf.DUMMYFUNCTION("""COMPUTED_VALUE"""),2.024070625E9)</f>
        <v>2024070625</v>
      </c>
      <c r="D171" s="28" t="str">
        <f>IFERROR(__xludf.DUMMYFUNCTION("""COMPUTED_VALUE"""),"SURATMAN")</f>
        <v>SURATMAN</v>
      </c>
      <c r="E171" s="28" t="str">
        <f>IFERROR(__xludf.DUMMYFUNCTION("""COMPUTED_VALUE"""),"SITI KHOLIFAH")</f>
        <v>SITI KHOLIFAH</v>
      </c>
      <c r="F171" s="28" t="str">
        <f>IFERROR(__xludf.DUMMYFUNCTION("""COMPUTED_VALUE"""),"BADU BADURAME RT 001 RW 004 TURI LAMONGAN")</f>
        <v>BADU BADURAME RT 001 RW 004 TURI LAMONGAN</v>
      </c>
      <c r="G171" s="28" t="str">
        <f>IFERROR(__xludf.DUMMYFUNCTION("""COMPUTED_VALUE"""),"MTS-9 B")</f>
        <v>MTS-9 B</v>
      </c>
      <c r="H171" s="28" t="str">
        <f>IFERROR(__xludf.DUMMYFUNCTION("""COMPUTED_VALUE"""),"C")</f>
        <v>C</v>
      </c>
      <c r="I171" s="28" t="str">
        <f>IFERROR(__xludf.DUMMYFUNCTION("""COMPUTED_VALUE"""),"C-12")</f>
        <v>C-12</v>
      </c>
      <c r="J171" s="28">
        <f>IFERROR(__xludf.DUMMYFUNCTION("""COMPUTED_VALUE"""),3.0)</f>
        <v>3</v>
      </c>
      <c r="K171" s="28" t="str">
        <f>IFERROR(__xludf.DUMMYFUNCTION("""COMPUTED_VALUE"""),"")</f>
        <v/>
      </c>
      <c r="L171" s="29" t="str">
        <f>IFERROR(__xludf.DUMMYFUNCTION("""COMPUTED_VALUE"""),"628585527679")</f>
        <v>628585527679</v>
      </c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2">
        <f>IFERROR(__xludf.DUMMYFUNCTION("""COMPUTED_VALUE"""),500000.0)</f>
        <v>500000</v>
      </c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2">
        <f>IFERROR(__xludf.DUMMYFUNCTION("""COMPUTED_VALUE"""),450000.0)</f>
        <v>450000</v>
      </c>
      <c r="AN171" s="22">
        <f>IFERROR(__xludf.DUMMYFUNCTION("""COMPUTED_VALUE"""),450000.0)</f>
        <v>450000</v>
      </c>
      <c r="AO171" s="28"/>
      <c r="AP171" s="22">
        <f>IFERROR(__xludf.DUMMYFUNCTION("""COMPUTED_VALUE"""),500000.0)</f>
        <v>500000</v>
      </c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2">
        <f>IFERROR(__xludf.DUMMYFUNCTION("""COMPUTED_VALUE"""),900000.0)</f>
        <v>900000</v>
      </c>
      <c r="BD171" s="22">
        <f>IFERROR(__xludf.DUMMYFUNCTION("""COMPUTED_VALUE"""),1000000.0)</f>
        <v>1000000</v>
      </c>
      <c r="BE171" s="22">
        <f>IFERROR(__xludf.DUMMYFUNCTION("""COMPUTED_VALUE"""),0.0)</f>
        <v>0</v>
      </c>
      <c r="BF171" s="22">
        <f>IFERROR(__xludf.DUMMYFUNCTION("""COMPUTED_VALUE"""),1900000.0)</f>
        <v>1900000</v>
      </c>
    </row>
    <row r="172">
      <c r="A172" s="27">
        <f>IFERROR(__xludf.DUMMYFUNCTION("""COMPUTED_VALUE"""),171.0)</f>
        <v>171</v>
      </c>
      <c r="B172" s="28" t="str">
        <f>IFERROR(__xludf.DUMMYFUNCTION("""COMPUTED_VALUE"""),"ZIYADAH WAHYU NINGSIH")</f>
        <v>ZIYADAH WAHYU NINGSIH</v>
      </c>
      <c r="C172" s="28">
        <f>IFERROR(__xludf.DUMMYFUNCTION("""COMPUTED_VALUE"""),2.024070484E9)</f>
        <v>2024070484</v>
      </c>
      <c r="D172" s="28" t="str">
        <f>IFERROR(__xludf.DUMMYFUNCTION("""COMPUTED_VALUE"""),"ICHYAUL CHOIRI")</f>
        <v>ICHYAUL CHOIRI</v>
      </c>
      <c r="E172" s="28" t="str">
        <f>IFERROR(__xludf.DUMMYFUNCTION("""COMPUTED_VALUE"""),"LATHIFAH")</f>
        <v>LATHIFAH</v>
      </c>
      <c r="F172" s="28" t="str">
        <f>IFERROR(__xludf.DUMMYFUNCTION("""COMPUTED_VALUE"""),"KALIREJO RT 006 RW 004 DUKUN GRESIK")</f>
        <v>KALIREJO RT 006 RW 004 DUKUN GRESIK</v>
      </c>
      <c r="G172" s="28" t="str">
        <f>IFERROR(__xludf.DUMMYFUNCTION("""COMPUTED_VALUE"""),"MTS-9 G")</f>
        <v>MTS-9 G</v>
      </c>
      <c r="H172" s="28" t="str">
        <f>IFERROR(__xludf.DUMMYFUNCTION("""COMPUTED_VALUE"""),"C")</f>
        <v>C</v>
      </c>
      <c r="I172" s="28" t="str">
        <f>IFERROR(__xludf.DUMMYFUNCTION("""COMPUTED_VALUE"""),"C-3")</f>
        <v>C-3</v>
      </c>
      <c r="J172" s="28">
        <f>IFERROR(__xludf.DUMMYFUNCTION("""COMPUTED_VALUE"""),3.0)</f>
        <v>3</v>
      </c>
      <c r="K172" s="28" t="str">
        <f>IFERROR(__xludf.DUMMYFUNCTION("""COMPUTED_VALUE"""),"3 ULA B PUTRI")</f>
        <v>3 ULA B PUTRI</v>
      </c>
      <c r="L172" s="29" t="str">
        <f>IFERROR(__xludf.DUMMYFUNCTION("""COMPUTED_VALUE"""),"628564090893")</f>
        <v>628564090893</v>
      </c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2">
        <f>IFERROR(__xludf.DUMMYFUNCTION("""COMPUTED_VALUE"""),0.0)</f>
        <v>0</v>
      </c>
      <c r="BD172" s="22">
        <f>IFERROR(__xludf.DUMMYFUNCTION("""COMPUTED_VALUE"""),0.0)</f>
        <v>0</v>
      </c>
      <c r="BE172" s="22">
        <f>IFERROR(__xludf.DUMMYFUNCTION("""COMPUTED_VALUE"""),0.0)</f>
        <v>0</v>
      </c>
      <c r="BF172" s="22">
        <f>IFERROR(__xludf.DUMMYFUNCTION("""COMPUTED_VALUE"""),0.0)</f>
        <v>0</v>
      </c>
    </row>
    <row r="173">
      <c r="A173" s="27">
        <f>IFERROR(__xludf.DUMMYFUNCTION("""COMPUTED_VALUE"""),172.0)</f>
        <v>172</v>
      </c>
      <c r="B173" s="28" t="str">
        <f>IFERROR(__xludf.DUMMYFUNCTION("""COMPUTED_VALUE"""),"ABIDAH OKTA SALSABILA")</f>
        <v>ABIDAH OKTA SALSABILA</v>
      </c>
      <c r="C173" s="28">
        <f>IFERROR(__xludf.DUMMYFUNCTION("""COMPUTED_VALUE"""),2.024070146E9)</f>
        <v>2024070146</v>
      </c>
      <c r="D173" s="28" t="str">
        <f>IFERROR(__xludf.DUMMYFUNCTION("""COMPUTED_VALUE"""),"ACH. SYAICHUDIN")</f>
        <v>ACH. SYAICHUDIN</v>
      </c>
      <c r="E173" s="28" t="str">
        <f>IFERROR(__xludf.DUMMYFUNCTION("""COMPUTED_VALUE"""),"CICIK LUTFIANAH")</f>
        <v>CICIK LUTFIANAH</v>
      </c>
      <c r="F173" s="28" t="str">
        <f>IFERROR(__xludf.DUMMYFUNCTION("""COMPUTED_VALUE"""),"RANDEKAN RT 001 RW 001 KEMBANGBAHU LAMONGAN")</f>
        <v>RANDEKAN RT 001 RW 001 KEMBANGBAHU LAMONGAN</v>
      </c>
      <c r="G173" s="28" t="str">
        <f>IFERROR(__xludf.DUMMYFUNCTION("""COMPUTED_VALUE"""),"MA-XII.5")</f>
        <v>MA-XII.5</v>
      </c>
      <c r="H173" s="28" t="str">
        <f>IFERROR(__xludf.DUMMYFUNCTION("""COMPUTED_VALUE"""),"C")</f>
        <v>C</v>
      </c>
      <c r="I173" s="28" t="str">
        <f>IFERROR(__xludf.DUMMYFUNCTION("""COMPUTED_VALUE"""),"C-9")</f>
        <v>C-9</v>
      </c>
      <c r="J173" s="28">
        <f>IFERROR(__xludf.DUMMYFUNCTION("""COMPUTED_VALUE"""),3.0)</f>
        <v>3</v>
      </c>
      <c r="K173" s="28" t="str">
        <f>IFERROR(__xludf.DUMMYFUNCTION("""COMPUTED_VALUE"""),"3 WUSTHO B PUTRI")</f>
        <v>3 WUSTHO B PUTRI</v>
      </c>
      <c r="L173" s="29" t="str">
        <f>IFERROR(__xludf.DUMMYFUNCTION("""COMPUTED_VALUE"""),"6285649525237")</f>
        <v>6285649525237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2">
        <f>IFERROR(__xludf.DUMMYFUNCTION("""COMPUTED_VALUE"""),450000.0)</f>
        <v>450000</v>
      </c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2">
        <f>IFERROR(__xludf.DUMMYFUNCTION("""COMPUTED_VALUE"""),450000.0)</f>
        <v>450000</v>
      </c>
      <c r="BD173" s="22">
        <f>IFERROR(__xludf.DUMMYFUNCTION("""COMPUTED_VALUE"""),0.0)</f>
        <v>0</v>
      </c>
      <c r="BE173" s="22">
        <f>IFERROR(__xludf.DUMMYFUNCTION("""COMPUTED_VALUE"""),0.0)</f>
        <v>0</v>
      </c>
      <c r="BF173" s="22">
        <f>IFERROR(__xludf.DUMMYFUNCTION("""COMPUTED_VALUE"""),450000.0)</f>
        <v>450000</v>
      </c>
    </row>
    <row r="174">
      <c r="A174" s="27">
        <f>IFERROR(__xludf.DUMMYFUNCTION("""COMPUTED_VALUE"""),173.0)</f>
        <v>173</v>
      </c>
      <c r="B174" s="28" t="str">
        <f>IFERROR(__xludf.DUMMYFUNCTION("""COMPUTED_VALUE"""),"AFINA AGUSTIN ROMADHONI")</f>
        <v>AFINA AGUSTIN ROMADHONI</v>
      </c>
      <c r="C174" s="28">
        <f>IFERROR(__xludf.DUMMYFUNCTION("""COMPUTED_VALUE"""),2.024070561E9)</f>
        <v>2024070561</v>
      </c>
      <c r="D174" s="28" t="str">
        <f>IFERROR(__xludf.DUMMYFUNCTION("""COMPUTED_VALUE"""),"PONO")</f>
        <v>PONO</v>
      </c>
      <c r="E174" s="28" t="str">
        <f>IFERROR(__xludf.DUMMYFUNCTION("""COMPUTED_VALUE"""),"MAZROATUN")</f>
        <v>MAZROATUN</v>
      </c>
      <c r="F174" s="28" t="str">
        <f>IFERROR(__xludf.DUMMYFUNCTION("""COMPUTED_VALUE"""),"KEBEN RT 004 RW 002 TURI LAMONGAN")</f>
        <v>KEBEN RT 004 RW 002 TURI LAMONGAN</v>
      </c>
      <c r="G174" s="28" t="str">
        <f>IFERROR(__xludf.DUMMYFUNCTION("""COMPUTED_VALUE"""),"MTS-9 G")</f>
        <v>MTS-9 G</v>
      </c>
      <c r="H174" s="28" t="str">
        <f>IFERROR(__xludf.DUMMYFUNCTION("""COMPUTED_VALUE"""),"C")</f>
        <v>C</v>
      </c>
      <c r="I174" s="28" t="str">
        <f>IFERROR(__xludf.DUMMYFUNCTION("""COMPUTED_VALUE"""),"C-13")</f>
        <v>C-13</v>
      </c>
      <c r="J174" s="28">
        <f>IFERROR(__xludf.DUMMYFUNCTION("""COMPUTED_VALUE"""),3.0)</f>
        <v>3</v>
      </c>
      <c r="K174" s="28" t="str">
        <f>IFERROR(__xludf.DUMMYFUNCTION("""COMPUTED_VALUE"""),"")</f>
        <v/>
      </c>
      <c r="L174" s="29" t="str">
        <f>IFERROR(__xludf.DUMMYFUNCTION("""COMPUTED_VALUE"""),"6285748099065")</f>
        <v>6285748099065</v>
      </c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2">
        <f>IFERROR(__xludf.DUMMYFUNCTION("""COMPUTED_VALUE"""),0.0)</f>
        <v>0</v>
      </c>
      <c r="BD174" s="22">
        <f>IFERROR(__xludf.DUMMYFUNCTION("""COMPUTED_VALUE"""),0.0)</f>
        <v>0</v>
      </c>
      <c r="BE174" s="22">
        <f>IFERROR(__xludf.DUMMYFUNCTION("""COMPUTED_VALUE"""),0.0)</f>
        <v>0</v>
      </c>
      <c r="BF174" s="22">
        <f>IFERROR(__xludf.DUMMYFUNCTION("""COMPUTED_VALUE"""),0.0)</f>
        <v>0</v>
      </c>
    </row>
    <row r="175">
      <c r="A175" s="27">
        <f>IFERROR(__xludf.DUMMYFUNCTION("""COMPUTED_VALUE"""),174.0)</f>
        <v>174</v>
      </c>
      <c r="B175" s="28" t="str">
        <f>IFERROR(__xludf.DUMMYFUNCTION("""COMPUTED_VALUE"""),"AHDA KAISYA BADAATIL MUFIDAH")</f>
        <v>AHDA KAISYA BADAATIL MUFIDAH</v>
      </c>
      <c r="C175" s="28">
        <f>IFERROR(__xludf.DUMMYFUNCTION("""COMPUTED_VALUE"""),2.024070322E9)</f>
        <v>2024070322</v>
      </c>
      <c r="D175" s="28" t="str">
        <f>IFERROR(__xludf.DUMMYFUNCTION("""COMPUTED_VALUE"""),"IMAM AS`ARI")</f>
        <v>IMAM AS`ARI</v>
      </c>
      <c r="E175" s="28" t="str">
        <f>IFERROR(__xludf.DUMMYFUNCTION("""COMPUTED_VALUE"""),"INAYATUL KARIMAH")</f>
        <v>INAYATUL KARIMAH</v>
      </c>
      <c r="F175" s="28" t="str">
        <f>IFERROR(__xludf.DUMMYFUNCTION("""COMPUTED_VALUE"""),"KEBET RT 008 RW 002 LAMONGAN LAMONGAN")</f>
        <v>KEBET RT 008 RW 002 LAMONGAN LAMONGAN</v>
      </c>
      <c r="G175" s="28" t="str">
        <f>IFERROR(__xludf.DUMMYFUNCTION("""COMPUTED_VALUE"""),"MA-XII.10")</f>
        <v>MA-XII.10</v>
      </c>
      <c r="H175" s="28" t="str">
        <f>IFERROR(__xludf.DUMMYFUNCTION("""COMPUTED_VALUE"""),"C")</f>
        <v>C</v>
      </c>
      <c r="I175" s="28" t="str">
        <f>IFERROR(__xludf.DUMMYFUNCTION("""COMPUTED_VALUE"""),"C-9")</f>
        <v>C-9</v>
      </c>
      <c r="J175" s="28">
        <f>IFERROR(__xludf.DUMMYFUNCTION("""COMPUTED_VALUE"""),3.0)</f>
        <v>3</v>
      </c>
      <c r="K175" s="28" t="str">
        <f>IFERROR(__xludf.DUMMYFUNCTION("""COMPUTED_VALUE"""),"")</f>
        <v/>
      </c>
      <c r="L175" s="29" t="str">
        <f>IFERROR(__xludf.DUMMYFUNCTION("""COMPUTED_VALUE"""),"6285895759423")</f>
        <v>6285895759423</v>
      </c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2">
        <f>IFERROR(__xludf.DUMMYFUNCTION("""COMPUTED_VALUE"""),0.0)</f>
        <v>0</v>
      </c>
      <c r="BD175" s="22">
        <f>IFERROR(__xludf.DUMMYFUNCTION("""COMPUTED_VALUE"""),0.0)</f>
        <v>0</v>
      </c>
      <c r="BE175" s="22">
        <f>IFERROR(__xludf.DUMMYFUNCTION("""COMPUTED_VALUE"""),0.0)</f>
        <v>0</v>
      </c>
      <c r="BF175" s="22">
        <f>IFERROR(__xludf.DUMMYFUNCTION("""COMPUTED_VALUE"""),0.0)</f>
        <v>0</v>
      </c>
    </row>
    <row r="176">
      <c r="A176" s="27">
        <f>IFERROR(__xludf.DUMMYFUNCTION("""COMPUTED_VALUE"""),175.0)</f>
        <v>175</v>
      </c>
      <c r="B176" s="28" t="str">
        <f>IFERROR(__xludf.DUMMYFUNCTION("""COMPUTED_VALUE"""),"AININ QORIROH UMMU SALWA")</f>
        <v>AININ QORIROH UMMU SALWA</v>
      </c>
      <c r="C176" s="28">
        <f>IFERROR(__xludf.DUMMYFUNCTION("""COMPUTED_VALUE"""),2.024070338E9)</f>
        <v>2024070338</v>
      </c>
      <c r="D176" s="28" t="str">
        <f>IFERROR(__xludf.DUMMYFUNCTION("""COMPUTED_VALUE"""),"ARIFIN")</f>
        <v>ARIFIN</v>
      </c>
      <c r="E176" s="28" t="str">
        <f>IFERROR(__xludf.DUMMYFUNCTION("""COMPUTED_VALUE"""),"NUR JANNAH")</f>
        <v>NUR JANNAH</v>
      </c>
      <c r="F176" s="28" t="str">
        <f>IFERROR(__xludf.DUMMYFUNCTION("""COMPUTED_VALUE"""),"PLOSO BUDEN RT 003 RW 003 DEKET LAMONGAN")</f>
        <v>PLOSO BUDEN RT 003 RW 003 DEKET LAMONGAN</v>
      </c>
      <c r="G176" s="28" t="str">
        <f>IFERROR(__xludf.DUMMYFUNCTION("""COMPUTED_VALUE"""),"MA-XII.11")</f>
        <v>MA-XII.11</v>
      </c>
      <c r="H176" s="28" t="str">
        <f>IFERROR(__xludf.DUMMYFUNCTION("""COMPUTED_VALUE"""),"C")</f>
        <v>C</v>
      </c>
      <c r="I176" s="28" t="str">
        <f>IFERROR(__xludf.DUMMYFUNCTION("""COMPUTED_VALUE"""),"C-8")</f>
        <v>C-8</v>
      </c>
      <c r="J176" s="28">
        <f>IFERROR(__xludf.DUMMYFUNCTION("""COMPUTED_VALUE"""),3.0)</f>
        <v>3</v>
      </c>
      <c r="K176" s="28" t="str">
        <f>IFERROR(__xludf.DUMMYFUNCTION("""COMPUTED_VALUE"""),"3 WUSTHO C PUTRI")</f>
        <v>3 WUSTHO C PUTRI</v>
      </c>
      <c r="L176" s="29" t="str">
        <f>IFERROR(__xludf.DUMMYFUNCTION("""COMPUTED_VALUE"""),"6287844690419")</f>
        <v>6287844690419</v>
      </c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2">
        <f>IFERROR(__xludf.DUMMYFUNCTION("""COMPUTED_VALUE"""),450000.0)</f>
        <v>450000</v>
      </c>
      <c r="AO176" s="28"/>
      <c r="AP176" s="22">
        <f>IFERROR(__xludf.DUMMYFUNCTION("""COMPUTED_VALUE"""),500000.0)</f>
        <v>500000</v>
      </c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2">
        <f>IFERROR(__xludf.DUMMYFUNCTION("""COMPUTED_VALUE"""),450000.0)</f>
        <v>450000</v>
      </c>
      <c r="BD176" s="22">
        <f>IFERROR(__xludf.DUMMYFUNCTION("""COMPUTED_VALUE"""),500000.0)</f>
        <v>500000</v>
      </c>
      <c r="BE176" s="22">
        <f>IFERROR(__xludf.DUMMYFUNCTION("""COMPUTED_VALUE"""),0.0)</f>
        <v>0</v>
      </c>
      <c r="BF176" s="22">
        <f>IFERROR(__xludf.DUMMYFUNCTION("""COMPUTED_VALUE"""),950000.0)</f>
        <v>950000</v>
      </c>
    </row>
    <row r="177">
      <c r="A177" s="27">
        <f>IFERROR(__xludf.DUMMYFUNCTION("""COMPUTED_VALUE"""),176.0)</f>
        <v>176</v>
      </c>
      <c r="B177" s="28" t="str">
        <f>IFERROR(__xludf.DUMMYFUNCTION("""COMPUTED_VALUE"""),"AMINATUS SALMA")</f>
        <v>AMINATUS SALMA</v>
      </c>
      <c r="C177" s="28">
        <f>IFERROR(__xludf.DUMMYFUNCTION("""COMPUTED_VALUE"""),2.024070186E9)</f>
        <v>2024070186</v>
      </c>
      <c r="D177" s="28" t="str">
        <f>IFERROR(__xludf.DUMMYFUNCTION("""COMPUTED_VALUE"""),"SUDARMAJI")</f>
        <v>SUDARMAJI</v>
      </c>
      <c r="E177" s="28" t="str">
        <f>IFERROR(__xludf.DUMMYFUNCTION("""COMPUTED_VALUE"""),"SYAMSIAMAH")</f>
        <v>SYAMSIAMAH</v>
      </c>
      <c r="F177" s="28" t="str">
        <f>IFERROR(__xludf.DUMMYFUNCTION("""COMPUTED_VALUE"""),"KEBONSARI PALANGAN RT 2 RW 1 KARANGBINANGUN LAMONGAN")</f>
        <v>KEBONSARI PALANGAN RT 2 RW 1 KARANGBINANGUN LAMONGAN</v>
      </c>
      <c r="G177" s="28" t="str">
        <f>IFERROR(__xludf.DUMMYFUNCTION("""COMPUTED_VALUE"""),"MA-XII.7")</f>
        <v>MA-XII.7</v>
      </c>
      <c r="H177" s="28" t="str">
        <f>IFERROR(__xludf.DUMMYFUNCTION("""COMPUTED_VALUE"""),"D")</f>
        <v>D</v>
      </c>
      <c r="I177" s="28" t="str">
        <f>IFERROR(__xludf.DUMMYFUNCTION("""COMPUTED_VALUE"""),"D-6")</f>
        <v>D-6</v>
      </c>
      <c r="J177" s="28">
        <f>IFERROR(__xludf.DUMMYFUNCTION("""COMPUTED_VALUE"""),3.0)</f>
        <v>3</v>
      </c>
      <c r="K177" s="28" t="str">
        <f>IFERROR(__xludf.DUMMYFUNCTION("""COMPUTED_VALUE"""),"3 WUSTHO C PUTRI")</f>
        <v>3 WUSTHO C PUTRI</v>
      </c>
      <c r="L177" s="29" t="str">
        <f>IFERROR(__xludf.DUMMYFUNCTION("""COMPUTED_VALUE"""),"6285608570934")</f>
        <v>6285608570934</v>
      </c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2">
        <f>IFERROR(__xludf.DUMMYFUNCTION("""COMPUTED_VALUE"""),500000.0)</f>
        <v>500000</v>
      </c>
      <c r="AC177" s="28"/>
      <c r="AD177" s="28"/>
      <c r="AE177" s="28"/>
      <c r="AF177" s="28"/>
      <c r="AG177" s="28"/>
      <c r="AH177" s="28"/>
      <c r="AI177" s="28"/>
      <c r="AJ177" s="28"/>
      <c r="AK177" s="28"/>
      <c r="AL177" s="22">
        <f>IFERROR(__xludf.DUMMYFUNCTION("""COMPUTED_VALUE"""),450000.0)</f>
        <v>450000</v>
      </c>
      <c r="AM177" s="22">
        <f>IFERROR(__xludf.DUMMYFUNCTION("""COMPUTED_VALUE"""),450000.0)</f>
        <v>450000</v>
      </c>
      <c r="AN177" s="22">
        <f>IFERROR(__xludf.DUMMYFUNCTION("""COMPUTED_VALUE"""),450000.0)</f>
        <v>450000</v>
      </c>
      <c r="AO177" s="28"/>
      <c r="AP177" s="22">
        <f>IFERROR(__xludf.DUMMYFUNCTION("""COMPUTED_VALUE"""),500000.0)</f>
        <v>500000</v>
      </c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2">
        <f>IFERROR(__xludf.DUMMYFUNCTION("""COMPUTED_VALUE"""),1350000.0)</f>
        <v>1350000</v>
      </c>
      <c r="BD177" s="22">
        <f>IFERROR(__xludf.DUMMYFUNCTION("""COMPUTED_VALUE"""),1000000.0)</f>
        <v>1000000</v>
      </c>
      <c r="BE177" s="22">
        <f>IFERROR(__xludf.DUMMYFUNCTION("""COMPUTED_VALUE"""),0.0)</f>
        <v>0</v>
      </c>
      <c r="BF177" s="22">
        <f>IFERROR(__xludf.DUMMYFUNCTION("""COMPUTED_VALUE"""),2350000.0)</f>
        <v>2350000</v>
      </c>
    </row>
    <row r="178">
      <c r="A178" s="27">
        <f>IFERROR(__xludf.DUMMYFUNCTION("""COMPUTED_VALUE"""),177.0)</f>
        <v>177</v>
      </c>
      <c r="B178" s="28" t="str">
        <f>IFERROR(__xludf.DUMMYFUNCTION("""COMPUTED_VALUE"""),"ASTNA ANIS ADUBA")</f>
        <v>ASTNA ANIS ADUBA</v>
      </c>
      <c r="C178" s="28">
        <f>IFERROR(__xludf.DUMMYFUNCTION("""COMPUTED_VALUE"""),2.024070003E9)</f>
        <v>2024070003</v>
      </c>
      <c r="D178" s="28" t="str">
        <f>IFERROR(__xludf.DUMMYFUNCTION("""COMPUTED_VALUE"""),"NURUL YAQIN")</f>
        <v>NURUL YAQIN</v>
      </c>
      <c r="E178" s="28" t="str">
        <f>IFERROR(__xludf.DUMMYFUNCTION("""COMPUTED_VALUE"""),"ZUMROHAH")</f>
        <v>ZUMROHAH</v>
      </c>
      <c r="F178" s="28" t="str">
        <f>IFERROR(__xludf.DUMMYFUNCTION("""COMPUTED_VALUE"""),"TAKERHARJO RT 004 RW 002 SOLOKURO LAMONGAN")</f>
        <v>TAKERHARJO RT 004 RW 002 SOLOKURO LAMONGAN</v>
      </c>
      <c r="G178" s="28" t="str">
        <f>IFERROR(__xludf.DUMMYFUNCTION("""COMPUTED_VALUE"""),"MA-XII.1")</f>
        <v>MA-XII.1</v>
      </c>
      <c r="H178" s="28" t="str">
        <f>IFERROR(__xludf.DUMMYFUNCTION("""COMPUTED_VALUE"""),"C")</f>
        <v>C</v>
      </c>
      <c r="I178" s="28" t="str">
        <f>IFERROR(__xludf.DUMMYFUNCTION("""COMPUTED_VALUE"""),"C-2")</f>
        <v>C-2</v>
      </c>
      <c r="J178" s="28">
        <f>IFERROR(__xludf.DUMMYFUNCTION("""COMPUTED_VALUE"""),3.0)</f>
        <v>3</v>
      </c>
      <c r="K178" s="28" t="str">
        <f>IFERROR(__xludf.DUMMYFUNCTION("""COMPUTED_VALUE"""),"")</f>
        <v/>
      </c>
      <c r="L178" s="29" t="str">
        <f>IFERROR(__xludf.DUMMYFUNCTION("""COMPUTED_VALUE"""),"6285790863008")</f>
        <v>6285790863008</v>
      </c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2">
        <f>IFERROR(__xludf.DUMMYFUNCTION("""COMPUTED_VALUE"""),0.0)</f>
        <v>0</v>
      </c>
      <c r="BD178" s="22">
        <f>IFERROR(__xludf.DUMMYFUNCTION("""COMPUTED_VALUE"""),0.0)</f>
        <v>0</v>
      </c>
      <c r="BE178" s="22">
        <f>IFERROR(__xludf.DUMMYFUNCTION("""COMPUTED_VALUE"""),0.0)</f>
        <v>0</v>
      </c>
      <c r="BF178" s="22">
        <f>IFERROR(__xludf.DUMMYFUNCTION("""COMPUTED_VALUE"""),0.0)</f>
        <v>0</v>
      </c>
    </row>
    <row r="179">
      <c r="A179" s="27">
        <f>IFERROR(__xludf.DUMMYFUNCTION("""COMPUTED_VALUE"""),178.0)</f>
        <v>178</v>
      </c>
      <c r="B179" s="28" t="str">
        <f>IFERROR(__xludf.DUMMYFUNCTION("""COMPUTED_VALUE"""),"ATIQAH FAIRUZAH")</f>
        <v>ATIQAH FAIRUZAH</v>
      </c>
      <c r="C179" s="28">
        <f>IFERROR(__xludf.DUMMYFUNCTION("""COMPUTED_VALUE"""),2.024070544E9)</f>
        <v>2024070544</v>
      </c>
      <c r="D179" s="28" t="str">
        <f>IFERROR(__xludf.DUMMYFUNCTION("""COMPUTED_VALUE"""),"KHOIRUL ANIS")</f>
        <v>KHOIRUL ANIS</v>
      </c>
      <c r="E179" s="28" t="str">
        <f>IFERROR(__xludf.DUMMYFUNCTION("""COMPUTED_VALUE"""),"TISATUL AQOBAH")</f>
        <v>TISATUL AQOBAH</v>
      </c>
      <c r="F179" s="28" t="str">
        <f>IFERROR(__xludf.DUMMYFUNCTION("""COMPUTED_VALUE"""),"SEMBUNGAN KIDUL RT 003 RW 002 DUKUN GRESIK")</f>
        <v>SEMBUNGAN KIDUL RT 003 RW 002 DUKUN GRESIK</v>
      </c>
      <c r="G179" s="28" t="str">
        <f>IFERROR(__xludf.DUMMYFUNCTION("""COMPUTED_VALUE"""),"MTS-9 G")</f>
        <v>MTS-9 G</v>
      </c>
      <c r="H179" s="28" t="str">
        <f>IFERROR(__xludf.DUMMYFUNCTION("""COMPUTED_VALUE"""),"C")</f>
        <v>C</v>
      </c>
      <c r="I179" s="28" t="str">
        <f>IFERROR(__xludf.DUMMYFUNCTION("""COMPUTED_VALUE"""),"C-3")</f>
        <v>C-3</v>
      </c>
      <c r="J179" s="28">
        <f>IFERROR(__xludf.DUMMYFUNCTION("""COMPUTED_VALUE"""),3.0)</f>
        <v>3</v>
      </c>
      <c r="K179" s="28" t="str">
        <f>IFERROR(__xludf.DUMMYFUNCTION("""COMPUTED_VALUE"""),"3 ULA A PUTRI")</f>
        <v>3 ULA A PUTRI</v>
      </c>
      <c r="L179" s="29" t="str">
        <f>IFERROR(__xludf.DUMMYFUNCTION("""COMPUTED_VALUE"""),"6285731022920")</f>
        <v>6285731022920</v>
      </c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2">
        <f>IFERROR(__xludf.DUMMYFUNCTION("""COMPUTED_VALUE"""),500000.0)</f>
        <v>500000</v>
      </c>
      <c r="AC179" s="28"/>
      <c r="AD179" s="28"/>
      <c r="AE179" s="28"/>
      <c r="AF179" s="28"/>
      <c r="AG179" s="28"/>
      <c r="AH179" s="28"/>
      <c r="AI179" s="28"/>
      <c r="AJ179" s="28"/>
      <c r="AK179" s="22">
        <f>IFERROR(__xludf.DUMMYFUNCTION("""COMPUTED_VALUE"""),450000.0)</f>
        <v>450000</v>
      </c>
      <c r="AL179" s="22">
        <f>IFERROR(__xludf.DUMMYFUNCTION("""COMPUTED_VALUE"""),450000.0)</f>
        <v>450000</v>
      </c>
      <c r="AM179" s="22">
        <f>IFERROR(__xludf.DUMMYFUNCTION("""COMPUTED_VALUE"""),450000.0)</f>
        <v>450000</v>
      </c>
      <c r="AN179" s="22">
        <f>IFERROR(__xludf.DUMMYFUNCTION("""COMPUTED_VALUE"""),450000.0)</f>
        <v>450000</v>
      </c>
      <c r="AO179" s="28"/>
      <c r="AP179" s="22">
        <f>IFERROR(__xludf.DUMMYFUNCTION("""COMPUTED_VALUE"""),500000.0)</f>
        <v>500000</v>
      </c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2">
        <f>IFERROR(__xludf.DUMMYFUNCTION("""COMPUTED_VALUE"""),1800000.0)</f>
        <v>1800000</v>
      </c>
      <c r="BD179" s="22">
        <f>IFERROR(__xludf.DUMMYFUNCTION("""COMPUTED_VALUE"""),1000000.0)</f>
        <v>1000000</v>
      </c>
      <c r="BE179" s="22">
        <f>IFERROR(__xludf.DUMMYFUNCTION("""COMPUTED_VALUE"""),0.0)</f>
        <v>0</v>
      </c>
      <c r="BF179" s="22">
        <f>IFERROR(__xludf.DUMMYFUNCTION("""COMPUTED_VALUE"""),2800000.0)</f>
        <v>2800000</v>
      </c>
    </row>
    <row r="180">
      <c r="A180" s="27">
        <f>IFERROR(__xludf.DUMMYFUNCTION("""COMPUTED_VALUE"""),179.0)</f>
        <v>179</v>
      </c>
      <c r="B180" s="28" t="str">
        <f>IFERROR(__xludf.DUMMYFUNCTION("""COMPUTED_VALUE"""),"AUVA HILYA LUBABAH")</f>
        <v>AUVA HILYA LUBABAH</v>
      </c>
      <c r="C180" s="28">
        <f>IFERROR(__xludf.DUMMYFUNCTION("""COMPUTED_VALUE"""),2.024070414E9)</f>
        <v>2024070414</v>
      </c>
      <c r="D180" s="28" t="str">
        <f>IFERROR(__xludf.DUMMYFUNCTION("""COMPUTED_VALUE"""),"SUPII")</f>
        <v>SUPII</v>
      </c>
      <c r="E180" s="28" t="str">
        <f>IFERROR(__xludf.DUMMYFUNCTION("""COMPUTED_VALUE"""),"RODHIATUN")</f>
        <v>RODHIATUN</v>
      </c>
      <c r="F180" s="28" t="str">
        <f>IFERROR(__xludf.DUMMYFUNCTION("""COMPUTED_VALUE"""),"GEDONG GEDONGBOYOUNTUNG RT 001 RW 001 TURI LAMONGAN")</f>
        <v>GEDONG GEDONGBOYOUNTUNG RT 001 RW 001 TURI LAMONGAN</v>
      </c>
      <c r="G180" s="28" t="str">
        <f>IFERROR(__xludf.DUMMYFUNCTION("""COMPUTED_VALUE"""),"MA-XII.13")</f>
        <v>MA-XII.13</v>
      </c>
      <c r="H180" s="28" t="str">
        <f>IFERROR(__xludf.DUMMYFUNCTION("""COMPUTED_VALUE"""),"C")</f>
        <v>C</v>
      </c>
      <c r="I180" s="28" t="str">
        <f>IFERROR(__xludf.DUMMYFUNCTION("""COMPUTED_VALUE"""),"C-7")</f>
        <v>C-7</v>
      </c>
      <c r="J180" s="28">
        <f>IFERROR(__xludf.DUMMYFUNCTION("""COMPUTED_VALUE"""),3.0)</f>
        <v>3</v>
      </c>
      <c r="K180" s="28" t="str">
        <f>IFERROR(__xludf.DUMMYFUNCTION("""COMPUTED_VALUE"""),"3 MAK PUTRI")</f>
        <v>3 MAK PUTRI</v>
      </c>
      <c r="L180" s="29" t="str">
        <f>IFERROR(__xludf.DUMMYFUNCTION("""COMPUTED_VALUE"""),"6285608051421")</f>
        <v>6285608051421</v>
      </c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2">
        <f>IFERROR(__xludf.DUMMYFUNCTION("""COMPUTED_VALUE"""),0.0)</f>
        <v>0</v>
      </c>
      <c r="BD180" s="22">
        <f>IFERROR(__xludf.DUMMYFUNCTION("""COMPUTED_VALUE"""),0.0)</f>
        <v>0</v>
      </c>
      <c r="BE180" s="22">
        <f>IFERROR(__xludf.DUMMYFUNCTION("""COMPUTED_VALUE"""),0.0)</f>
        <v>0</v>
      </c>
      <c r="BF180" s="22">
        <f>IFERROR(__xludf.DUMMYFUNCTION("""COMPUTED_VALUE"""),0.0)</f>
        <v>0</v>
      </c>
    </row>
    <row r="181">
      <c r="A181" s="27">
        <f>IFERROR(__xludf.DUMMYFUNCTION("""COMPUTED_VALUE"""),180.0)</f>
        <v>180</v>
      </c>
      <c r="B181" s="28" t="str">
        <f>IFERROR(__xludf.DUMMYFUNCTION("""COMPUTED_VALUE"""),"AYU YOVA NAYLA FAZA")</f>
        <v>AYU YOVA NAYLA FAZA</v>
      </c>
      <c r="C181" s="28">
        <f>IFERROR(__xludf.DUMMYFUNCTION("""COMPUTED_VALUE"""),2.024070039E9)</f>
        <v>2024070039</v>
      </c>
      <c r="D181" s="28" t="str">
        <f>IFERROR(__xludf.DUMMYFUNCTION("""COMPUTED_VALUE"""),"MASYHARI")</f>
        <v>MASYHARI</v>
      </c>
      <c r="E181" s="28" t="str">
        <f>IFERROR(__xludf.DUMMYFUNCTION("""COMPUTED_VALUE"""),"HANIK ASYRIFAH")</f>
        <v>HANIK ASYRIFAH</v>
      </c>
      <c r="F181" s="28" t="str">
        <f>IFERROR(__xludf.DUMMYFUNCTION("""COMPUTED_VALUE"""),"DAGAN RT 002 RW 003 SOLOKURO LAMONGAN")</f>
        <v>DAGAN RT 002 RW 003 SOLOKURO LAMONGAN</v>
      </c>
      <c r="G181" s="28" t="str">
        <f>IFERROR(__xludf.DUMMYFUNCTION("""COMPUTED_VALUE"""),"MA-XII.2")</f>
        <v>MA-XII.2</v>
      </c>
      <c r="H181" s="28" t="str">
        <f>IFERROR(__xludf.DUMMYFUNCTION("""COMPUTED_VALUE"""),"C")</f>
        <v>C</v>
      </c>
      <c r="I181" s="28" t="str">
        <f>IFERROR(__xludf.DUMMYFUNCTION("""COMPUTED_VALUE"""),"C-8")</f>
        <v>C-8</v>
      </c>
      <c r="J181" s="28">
        <f>IFERROR(__xludf.DUMMYFUNCTION("""COMPUTED_VALUE"""),3.0)</f>
        <v>3</v>
      </c>
      <c r="K181" s="28" t="str">
        <f>IFERROR(__xludf.DUMMYFUNCTION("""COMPUTED_VALUE"""),"3 WUSTHO A PUTRI")</f>
        <v>3 WUSTHO A PUTRI</v>
      </c>
      <c r="L181" s="29" t="str">
        <f>IFERROR(__xludf.DUMMYFUNCTION("""COMPUTED_VALUE"""),"6285856022187")</f>
        <v>6285856022187</v>
      </c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2">
        <f>IFERROR(__xludf.DUMMYFUNCTION("""COMPUTED_VALUE"""),0.0)</f>
        <v>0</v>
      </c>
      <c r="BD181" s="22">
        <f>IFERROR(__xludf.DUMMYFUNCTION("""COMPUTED_VALUE"""),0.0)</f>
        <v>0</v>
      </c>
      <c r="BE181" s="22">
        <f>IFERROR(__xludf.DUMMYFUNCTION("""COMPUTED_VALUE"""),0.0)</f>
        <v>0</v>
      </c>
      <c r="BF181" s="22">
        <f>IFERROR(__xludf.DUMMYFUNCTION("""COMPUTED_VALUE"""),0.0)</f>
        <v>0</v>
      </c>
    </row>
    <row r="182">
      <c r="A182" s="27">
        <f>IFERROR(__xludf.DUMMYFUNCTION("""COMPUTED_VALUE"""),181.0)</f>
        <v>181</v>
      </c>
      <c r="B182" s="28" t="str">
        <f>IFERROR(__xludf.DUMMYFUNCTION("""COMPUTED_VALUE"""),"BALQIS FITHROTUN NUFUS")</f>
        <v>BALQIS FITHROTUN NUFUS</v>
      </c>
      <c r="C182" s="28">
        <f>IFERROR(__xludf.DUMMYFUNCTION("""COMPUTED_VALUE"""),2.024070703E9)</f>
        <v>2024070703</v>
      </c>
      <c r="D182" s="28" t="str">
        <f>IFERROR(__xludf.DUMMYFUNCTION("""COMPUTED_VALUE"""),"MUHAMMAD IMRON")</f>
        <v>MUHAMMAD IMRON</v>
      </c>
      <c r="E182" s="28" t="str">
        <f>IFERROR(__xludf.DUMMYFUNCTION("""COMPUTED_VALUE"""),"SU`IMAH")</f>
        <v>SU`IMAH</v>
      </c>
      <c r="F182" s="28" t="str">
        <f>IFERROR(__xludf.DUMMYFUNCTION("""COMPUTED_VALUE"""),"BARON RT 003 RW 002 DUKUN GRESIK")</f>
        <v>BARON RT 003 RW 002 DUKUN GRESIK</v>
      </c>
      <c r="G182" s="28" t="str">
        <f>IFERROR(__xludf.DUMMYFUNCTION("""COMPUTED_VALUE"""),"SMK-XII DKV")</f>
        <v>SMK-XII DKV</v>
      </c>
      <c r="H182" s="28" t="str">
        <f>IFERROR(__xludf.DUMMYFUNCTION("""COMPUTED_VALUE"""),"C")</f>
        <v>C</v>
      </c>
      <c r="I182" s="28" t="str">
        <f>IFERROR(__xludf.DUMMYFUNCTION("""COMPUTED_VALUE"""),"C-4")</f>
        <v>C-4</v>
      </c>
      <c r="J182" s="28">
        <f>IFERROR(__xludf.DUMMYFUNCTION("""COMPUTED_VALUE"""),3.0)</f>
        <v>3</v>
      </c>
      <c r="K182" s="28" t="str">
        <f>IFERROR(__xludf.DUMMYFUNCTION("""COMPUTED_VALUE"""),"")</f>
        <v/>
      </c>
      <c r="L182" s="29" t="str">
        <f>IFERROR(__xludf.DUMMYFUNCTION("""COMPUTED_VALUE"""),"6281357024383")</f>
        <v>6281357024383</v>
      </c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2">
        <f>IFERROR(__xludf.DUMMYFUNCTION("""COMPUTED_VALUE"""),500000.0)</f>
        <v>500000</v>
      </c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2">
        <f>IFERROR(__xludf.DUMMYFUNCTION("""COMPUTED_VALUE"""),450000.0)</f>
        <v>450000</v>
      </c>
      <c r="AO182" s="28"/>
      <c r="AP182" s="22">
        <f>IFERROR(__xludf.DUMMYFUNCTION("""COMPUTED_VALUE"""),500000.0)</f>
        <v>500000</v>
      </c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2">
        <f>IFERROR(__xludf.DUMMYFUNCTION("""COMPUTED_VALUE"""),450000.0)</f>
        <v>450000</v>
      </c>
      <c r="BD182" s="22">
        <f>IFERROR(__xludf.DUMMYFUNCTION("""COMPUTED_VALUE"""),1000000.0)</f>
        <v>1000000</v>
      </c>
      <c r="BE182" s="22">
        <f>IFERROR(__xludf.DUMMYFUNCTION("""COMPUTED_VALUE"""),0.0)</f>
        <v>0</v>
      </c>
      <c r="BF182" s="22">
        <f>IFERROR(__xludf.DUMMYFUNCTION("""COMPUTED_VALUE"""),1450000.0)</f>
        <v>1450000</v>
      </c>
    </row>
    <row r="183">
      <c r="A183" s="27">
        <f>IFERROR(__xludf.DUMMYFUNCTION("""COMPUTED_VALUE"""),182.0)</f>
        <v>182</v>
      </c>
      <c r="B183" s="28" t="str">
        <f>IFERROR(__xludf.DUMMYFUNCTION("""COMPUTED_VALUE"""),"BUNGA SALSABILA RAHMAH")</f>
        <v>BUNGA SALSABILA RAHMAH</v>
      </c>
      <c r="C183" s="28">
        <f>IFERROR(__xludf.DUMMYFUNCTION("""COMPUTED_VALUE"""),2.02407152E9)</f>
        <v>2024071520</v>
      </c>
      <c r="D183" s="28" t="str">
        <f>IFERROR(__xludf.DUMMYFUNCTION("""COMPUTED_VALUE"""),"MOCH. ANAS")</f>
        <v>MOCH. ANAS</v>
      </c>
      <c r="E183" s="28" t="str">
        <f>IFERROR(__xludf.DUMMYFUNCTION("""COMPUTED_VALUE"""),"USWATUN HASANAH")</f>
        <v>USWATUN HASANAH</v>
      </c>
      <c r="F183" s="28" t="str">
        <f>IFERROR(__xludf.DUMMYFUNCTION("""COMPUTED_VALUE"""),"SEMEMI JAYA 10 LANGGAR NO. 21 RT 005 RW 001 BENOWO SURABAYA")</f>
        <v>SEMEMI JAYA 10 LANGGAR NO. 21 RT 005 RW 001 BENOWO SURABAYA</v>
      </c>
      <c r="G183" s="28" t="str">
        <f>IFERROR(__xludf.DUMMYFUNCTION("""COMPUTED_VALUE"""),"MA-XIII.13")</f>
        <v>MA-XIII.13</v>
      </c>
      <c r="H183" s="28" t="str">
        <f>IFERROR(__xludf.DUMMYFUNCTION("""COMPUTED_VALUE"""),"C")</f>
        <v>C</v>
      </c>
      <c r="I183" s="28" t="str">
        <f>IFERROR(__xludf.DUMMYFUNCTION("""COMPUTED_VALUE"""),"C-7")</f>
        <v>C-7</v>
      </c>
      <c r="J183" s="28">
        <f>IFERROR(__xludf.DUMMYFUNCTION("""COMPUTED_VALUE"""),3.0)</f>
        <v>3</v>
      </c>
      <c r="K183" s="28" t="str">
        <f>IFERROR(__xludf.DUMMYFUNCTION("""COMPUTED_VALUE"""),"")</f>
        <v/>
      </c>
      <c r="L183" s="29" t="str">
        <f>IFERROR(__xludf.DUMMYFUNCTION("""COMPUTED_VALUE"""),"6285102700597")</f>
        <v>6285102700597</v>
      </c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2">
        <f>IFERROR(__xludf.DUMMYFUNCTION("""COMPUTED_VALUE"""),500000.0)</f>
        <v>500000</v>
      </c>
      <c r="AC183" s="28"/>
      <c r="AD183" s="28"/>
      <c r="AE183" s="28"/>
      <c r="AF183" s="28"/>
      <c r="AG183" s="28"/>
      <c r="AH183" s="28"/>
      <c r="AI183" s="28"/>
      <c r="AJ183" s="28"/>
      <c r="AK183" s="28"/>
      <c r="AL183" s="22">
        <f>IFERROR(__xludf.DUMMYFUNCTION("""COMPUTED_VALUE"""),450000.0)</f>
        <v>450000</v>
      </c>
      <c r="AM183" s="22">
        <f>IFERROR(__xludf.DUMMYFUNCTION("""COMPUTED_VALUE"""),450000.0)</f>
        <v>450000</v>
      </c>
      <c r="AN183" s="22">
        <f>IFERROR(__xludf.DUMMYFUNCTION("""COMPUTED_VALUE"""),450000.0)</f>
        <v>450000</v>
      </c>
      <c r="AO183" s="28"/>
      <c r="AP183" s="22">
        <f>IFERROR(__xludf.DUMMYFUNCTION("""COMPUTED_VALUE"""),500000.0)</f>
        <v>500000</v>
      </c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2">
        <f>IFERROR(__xludf.DUMMYFUNCTION("""COMPUTED_VALUE"""),1350000.0)</f>
        <v>1350000</v>
      </c>
      <c r="BD183" s="22">
        <f>IFERROR(__xludf.DUMMYFUNCTION("""COMPUTED_VALUE"""),1000000.0)</f>
        <v>1000000</v>
      </c>
      <c r="BE183" s="22">
        <f>IFERROR(__xludf.DUMMYFUNCTION("""COMPUTED_VALUE"""),0.0)</f>
        <v>0</v>
      </c>
      <c r="BF183" s="22">
        <f>IFERROR(__xludf.DUMMYFUNCTION("""COMPUTED_VALUE"""),2350000.0)</f>
        <v>2350000</v>
      </c>
    </row>
    <row r="184">
      <c r="A184" s="27">
        <f>IFERROR(__xludf.DUMMYFUNCTION("""COMPUTED_VALUE"""),183.0)</f>
        <v>183</v>
      </c>
      <c r="B184" s="28" t="str">
        <f>IFERROR(__xludf.DUMMYFUNCTION("""COMPUTED_VALUE"""),"CERLITA VANIA NUGRAHENI")</f>
        <v>CERLITA VANIA NUGRAHENI</v>
      </c>
      <c r="C184" s="28">
        <f>IFERROR(__xludf.DUMMYFUNCTION("""COMPUTED_VALUE"""),2.024070107E9)</f>
        <v>2024070107</v>
      </c>
      <c r="D184" s="28" t="str">
        <f>IFERROR(__xludf.DUMMYFUNCTION("""COMPUTED_VALUE"""),"ERIC DWI NUGROHO")</f>
        <v>ERIC DWI NUGROHO</v>
      </c>
      <c r="E184" s="28" t="str">
        <f>IFERROR(__xludf.DUMMYFUNCTION("""COMPUTED_VALUE"""),"LILIS SUJIATI")</f>
        <v>LILIS SUJIATI</v>
      </c>
      <c r="F184" s="28" t="str">
        <f>IFERROR(__xludf.DUMMYFUNCTION("""COMPUTED_VALUE"""),"KULURAN RT 004 RW 002 KALITENGAH LAMONGAN")</f>
        <v>KULURAN RT 004 RW 002 KALITENGAH LAMONGAN</v>
      </c>
      <c r="G184" s="28" t="str">
        <f>IFERROR(__xludf.DUMMYFUNCTION("""COMPUTED_VALUE"""),"MA-XII.4")</f>
        <v>MA-XII.4</v>
      </c>
      <c r="H184" s="28" t="str">
        <f>IFERROR(__xludf.DUMMYFUNCTION("""COMPUTED_VALUE"""),"C")</f>
        <v>C</v>
      </c>
      <c r="I184" s="28" t="str">
        <f>IFERROR(__xludf.DUMMYFUNCTION("""COMPUTED_VALUE"""),"C-9")</f>
        <v>C-9</v>
      </c>
      <c r="J184" s="28">
        <f>IFERROR(__xludf.DUMMYFUNCTION("""COMPUTED_VALUE"""),3.0)</f>
        <v>3</v>
      </c>
      <c r="K184" s="28" t="str">
        <f>IFERROR(__xludf.DUMMYFUNCTION("""COMPUTED_VALUE"""),"")</f>
        <v/>
      </c>
      <c r="L184" s="29" t="str">
        <f>IFERROR(__xludf.DUMMYFUNCTION("""COMPUTED_VALUE"""),"628563025554")</f>
        <v>628563025554</v>
      </c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2">
        <f>IFERROR(__xludf.DUMMYFUNCTION("""COMPUTED_VALUE"""),0.0)</f>
        <v>0</v>
      </c>
      <c r="BD184" s="22">
        <f>IFERROR(__xludf.DUMMYFUNCTION("""COMPUTED_VALUE"""),0.0)</f>
        <v>0</v>
      </c>
      <c r="BE184" s="22">
        <f>IFERROR(__xludf.DUMMYFUNCTION("""COMPUTED_VALUE"""),0.0)</f>
        <v>0</v>
      </c>
      <c r="BF184" s="22">
        <f>IFERROR(__xludf.DUMMYFUNCTION("""COMPUTED_VALUE"""),0.0)</f>
        <v>0</v>
      </c>
    </row>
    <row r="185">
      <c r="A185" s="27">
        <f>IFERROR(__xludf.DUMMYFUNCTION("""COMPUTED_VALUE"""),184.0)</f>
        <v>184</v>
      </c>
      <c r="B185" s="28" t="str">
        <f>IFERROR(__xludf.DUMMYFUNCTION("""COMPUTED_VALUE"""),"DEWI LAILA ANISAH SHOFIYAH")</f>
        <v>DEWI LAILA ANISAH SHOFIYAH</v>
      </c>
      <c r="C185" s="28">
        <f>IFERROR(__xludf.DUMMYFUNCTION("""COMPUTED_VALUE"""),2.024070373E9)</f>
        <v>2024070373</v>
      </c>
      <c r="D185" s="28" t="str">
        <f>IFERROR(__xludf.DUMMYFUNCTION("""COMPUTED_VALUE"""),"SUTRISNO")</f>
        <v>SUTRISNO</v>
      </c>
      <c r="E185" s="28" t="str">
        <f>IFERROR(__xludf.DUMMYFUNCTION("""COMPUTED_VALUE"""),"SITI ROKANI")</f>
        <v>SITI ROKANI</v>
      </c>
      <c r="F185" s="28" t="str">
        <f>IFERROR(__xludf.DUMMYFUNCTION("""COMPUTED_VALUE"""),"KADUNG KADUNGREMBUG RT 001 RW 005 SUKODADI LAMONGAN")</f>
        <v>KADUNG KADUNGREMBUG RT 001 RW 005 SUKODADI LAMONGAN</v>
      </c>
      <c r="G185" s="28" t="str">
        <f>IFERROR(__xludf.DUMMYFUNCTION("""COMPUTED_VALUE"""),"MA-XII.12")</f>
        <v>MA-XII.12</v>
      </c>
      <c r="H185" s="28" t="str">
        <f>IFERROR(__xludf.DUMMYFUNCTION("""COMPUTED_VALUE"""),"C")</f>
        <v>C</v>
      </c>
      <c r="I185" s="28" t="str">
        <f>IFERROR(__xludf.DUMMYFUNCTION("""COMPUTED_VALUE"""),"C-9")</f>
        <v>C-9</v>
      </c>
      <c r="J185" s="28">
        <f>IFERROR(__xludf.DUMMYFUNCTION("""COMPUTED_VALUE"""),3.0)</f>
        <v>3</v>
      </c>
      <c r="K185" s="28" t="str">
        <f>IFERROR(__xludf.DUMMYFUNCTION("""COMPUTED_VALUE"""),"3 WUSTHO A PUTRI")</f>
        <v>3 WUSTHO A PUTRI</v>
      </c>
      <c r="L185" s="29" t="str">
        <f>IFERROR(__xludf.DUMMYFUNCTION("""COMPUTED_VALUE"""),"6285748023154")</f>
        <v>6285748023154</v>
      </c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2">
        <f>IFERROR(__xludf.DUMMYFUNCTION("""COMPUTED_VALUE"""),500000.0)</f>
        <v>500000</v>
      </c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2">
        <f>IFERROR(__xludf.DUMMYFUNCTION("""COMPUTED_VALUE"""),0.0)</f>
        <v>0</v>
      </c>
      <c r="BD185" s="22">
        <f>IFERROR(__xludf.DUMMYFUNCTION("""COMPUTED_VALUE"""),500000.0)</f>
        <v>500000</v>
      </c>
      <c r="BE185" s="22">
        <f>IFERROR(__xludf.DUMMYFUNCTION("""COMPUTED_VALUE"""),0.0)</f>
        <v>0</v>
      </c>
      <c r="BF185" s="22">
        <f>IFERROR(__xludf.DUMMYFUNCTION("""COMPUTED_VALUE"""),500000.0)</f>
        <v>500000</v>
      </c>
    </row>
    <row r="186">
      <c r="A186" s="27">
        <f>IFERROR(__xludf.DUMMYFUNCTION("""COMPUTED_VALUE"""),185.0)</f>
        <v>185</v>
      </c>
      <c r="B186" s="28" t="str">
        <f>IFERROR(__xludf.DUMMYFUNCTION("""COMPUTED_VALUE"""),"DIVA APRILIA SHOLIKHA")</f>
        <v>DIVA APRILIA SHOLIKHA</v>
      </c>
      <c r="C186" s="28">
        <f>IFERROR(__xludf.DUMMYFUNCTION("""COMPUTED_VALUE"""),2.024070223E9)</f>
        <v>2024070223</v>
      </c>
      <c r="D186" s="28" t="str">
        <f>IFERROR(__xludf.DUMMYFUNCTION("""COMPUTED_VALUE"""),"SUTRISNO")</f>
        <v>SUTRISNO</v>
      </c>
      <c r="E186" s="28" t="str">
        <f>IFERROR(__xludf.DUMMYFUNCTION("""COMPUTED_VALUE"""),"KHOTIM SUNARIYAH")</f>
        <v>KHOTIM SUNARIYAH</v>
      </c>
      <c r="F186" s="28" t="str">
        <f>IFERROR(__xludf.DUMMYFUNCTION("""COMPUTED_VALUE"""),"KARANGCANGKRING RT 7 RW 3 DUKUN GRESIK")</f>
        <v>KARANGCANGKRING RT 7 RW 3 DUKUN GRESIK</v>
      </c>
      <c r="G186" s="28" t="str">
        <f>IFERROR(__xludf.DUMMYFUNCTION("""COMPUTED_VALUE"""),"MA-XII.6")</f>
        <v>MA-XII.6</v>
      </c>
      <c r="H186" s="28" t="str">
        <f>IFERROR(__xludf.DUMMYFUNCTION("""COMPUTED_VALUE"""),"C")</f>
        <v>C</v>
      </c>
      <c r="I186" s="28" t="str">
        <f>IFERROR(__xludf.DUMMYFUNCTION("""COMPUTED_VALUE"""),"C-8")</f>
        <v>C-8</v>
      </c>
      <c r="J186" s="28">
        <f>IFERROR(__xludf.DUMMYFUNCTION("""COMPUTED_VALUE"""),3.0)</f>
        <v>3</v>
      </c>
      <c r="K186" s="28" t="str">
        <f>IFERROR(__xludf.DUMMYFUNCTION("""COMPUTED_VALUE"""),"3 WUSTHO A PUTRI")</f>
        <v>3 WUSTHO A PUTRI</v>
      </c>
      <c r="L186" s="29" t="str">
        <f>IFERROR(__xludf.DUMMYFUNCTION("""COMPUTED_VALUE"""),"6281553483950")</f>
        <v>6281553483950</v>
      </c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2">
        <f>IFERROR(__xludf.DUMMYFUNCTION("""COMPUTED_VALUE"""),500000.0)</f>
        <v>500000</v>
      </c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2">
        <f>IFERROR(__xludf.DUMMYFUNCTION("""COMPUTED_VALUE"""),0.0)</f>
        <v>0</v>
      </c>
      <c r="BD186" s="22">
        <f>IFERROR(__xludf.DUMMYFUNCTION("""COMPUTED_VALUE"""),500000.0)</f>
        <v>500000</v>
      </c>
      <c r="BE186" s="22">
        <f>IFERROR(__xludf.DUMMYFUNCTION("""COMPUTED_VALUE"""),0.0)</f>
        <v>0</v>
      </c>
      <c r="BF186" s="22">
        <f>IFERROR(__xludf.DUMMYFUNCTION("""COMPUTED_VALUE"""),500000.0)</f>
        <v>500000</v>
      </c>
    </row>
    <row r="187">
      <c r="A187" s="27">
        <f>IFERROR(__xludf.DUMMYFUNCTION("""COMPUTED_VALUE"""),186.0)</f>
        <v>186</v>
      </c>
      <c r="B187" s="28" t="str">
        <f>IFERROR(__xludf.DUMMYFUNCTION("""COMPUTED_VALUE"""),"DIVA EKA LESTARI")</f>
        <v>DIVA EKA LESTARI</v>
      </c>
      <c r="C187" s="28">
        <f>IFERROR(__xludf.DUMMYFUNCTION("""COMPUTED_VALUE"""),2.024070006E9)</f>
        <v>2024070006</v>
      </c>
      <c r="D187" s="28" t="str">
        <f>IFERROR(__xludf.DUMMYFUNCTION("""COMPUTED_VALUE"""),"MOHAMMAD BISRI MUSTHOFA")</f>
        <v>MOHAMMAD BISRI MUSTHOFA</v>
      </c>
      <c r="E187" s="28" t="str">
        <f>IFERROR(__xludf.DUMMYFUNCTION("""COMPUTED_VALUE"""),"NING MINARSIH")</f>
        <v>NING MINARSIH</v>
      </c>
      <c r="F187" s="28" t="str">
        <f>IFERROR(__xludf.DUMMYFUNCTION("""COMPUTED_VALUE"""),"P. TENDEAN 24 KULURAN RT 004 RW 004 KALITENGAH LAMONGAN")</f>
        <v>P. TENDEAN 24 KULURAN RT 004 RW 004 KALITENGAH LAMONGAN</v>
      </c>
      <c r="G187" s="28" t="str">
        <f>IFERROR(__xludf.DUMMYFUNCTION("""COMPUTED_VALUE"""),"MA-XII.1")</f>
        <v>MA-XII.1</v>
      </c>
      <c r="H187" s="28" t="str">
        <f>IFERROR(__xludf.DUMMYFUNCTION("""COMPUTED_VALUE"""),"C")</f>
        <v>C</v>
      </c>
      <c r="I187" s="28" t="str">
        <f>IFERROR(__xludf.DUMMYFUNCTION("""COMPUTED_VALUE"""),"C-2")</f>
        <v>C-2</v>
      </c>
      <c r="J187" s="28">
        <f>IFERROR(__xludf.DUMMYFUNCTION("""COMPUTED_VALUE"""),3.0)</f>
        <v>3</v>
      </c>
      <c r="K187" s="28" t="str">
        <f>IFERROR(__xludf.DUMMYFUNCTION("""COMPUTED_VALUE"""),"")</f>
        <v/>
      </c>
      <c r="L187" s="29" t="str">
        <f>IFERROR(__xludf.DUMMYFUNCTION("""COMPUTED_VALUE"""),"6285755339391")</f>
        <v>6285755339391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2">
        <f>IFERROR(__xludf.DUMMYFUNCTION("""COMPUTED_VALUE"""),500000.0)</f>
        <v>500000</v>
      </c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2">
        <f>IFERROR(__xludf.DUMMYFUNCTION("""COMPUTED_VALUE"""),500000.0)</f>
        <v>500000</v>
      </c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2">
        <f>IFERROR(__xludf.DUMMYFUNCTION("""COMPUTED_VALUE"""),0.0)</f>
        <v>0</v>
      </c>
      <c r="BD187" s="22">
        <f>IFERROR(__xludf.DUMMYFUNCTION("""COMPUTED_VALUE"""),1000000.0)</f>
        <v>1000000</v>
      </c>
      <c r="BE187" s="22">
        <f>IFERROR(__xludf.DUMMYFUNCTION("""COMPUTED_VALUE"""),0.0)</f>
        <v>0</v>
      </c>
      <c r="BF187" s="22">
        <f>IFERROR(__xludf.DUMMYFUNCTION("""COMPUTED_VALUE"""),1000000.0)</f>
        <v>1000000</v>
      </c>
    </row>
    <row r="188">
      <c r="A188" s="27">
        <f>IFERROR(__xludf.DUMMYFUNCTION("""COMPUTED_VALUE"""),187.0)</f>
        <v>187</v>
      </c>
      <c r="B188" s="28" t="str">
        <f>IFERROR(__xludf.DUMMYFUNCTION("""COMPUTED_VALUE"""),"DZUN NUHA MAHMUDAH")</f>
        <v>DZUN NUHA MAHMUDAH</v>
      </c>
      <c r="C188" s="28">
        <f>IFERROR(__xludf.DUMMYFUNCTION("""COMPUTED_VALUE"""),2.024070042E9)</f>
        <v>2024070042</v>
      </c>
      <c r="D188" s="28" t="str">
        <f>IFERROR(__xludf.DUMMYFUNCTION("""COMPUTED_VALUE"""),"MAHMUDI")</f>
        <v>MAHMUDI</v>
      </c>
      <c r="E188" s="28" t="str">
        <f>IFERROR(__xludf.DUMMYFUNCTION("""COMPUTED_VALUE"""),"SRIATUN")</f>
        <v>SRIATUN</v>
      </c>
      <c r="F188" s="28" t="str">
        <f>IFERROR(__xludf.DUMMYFUNCTION("""COMPUTED_VALUE"""),"MENGAI SUKOREJO RT 2 RW 5 KARANGBINANGUN LAMONGAN")</f>
        <v>MENGAI SUKOREJO RT 2 RW 5 KARANGBINANGUN LAMONGAN</v>
      </c>
      <c r="G188" s="28" t="str">
        <f>IFERROR(__xludf.DUMMYFUNCTION("""COMPUTED_VALUE"""),"MA-XII.2")</f>
        <v>MA-XII.2</v>
      </c>
      <c r="H188" s="28" t="str">
        <f>IFERROR(__xludf.DUMMYFUNCTION("""COMPUTED_VALUE"""),"B")</f>
        <v>B</v>
      </c>
      <c r="I188" s="28"/>
      <c r="J188" s="28">
        <f>IFERROR(__xludf.DUMMYFUNCTION("""COMPUTED_VALUE"""),3.0)</f>
        <v>3</v>
      </c>
      <c r="K188" s="28" t="str">
        <f>IFERROR(__xludf.DUMMYFUNCTION("""COMPUTED_VALUE"""),"3 WUSTHO B PUTRI")</f>
        <v>3 WUSTHO B PUTRI</v>
      </c>
      <c r="L188" s="29" t="str">
        <f>IFERROR(__xludf.DUMMYFUNCTION("""COMPUTED_VALUE"""),"6285604191924")</f>
        <v>6285604191924</v>
      </c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2">
        <f>IFERROR(__xludf.DUMMYFUNCTION("""COMPUTED_VALUE"""),0.0)</f>
        <v>0</v>
      </c>
      <c r="BD188" s="22">
        <f>IFERROR(__xludf.DUMMYFUNCTION("""COMPUTED_VALUE"""),0.0)</f>
        <v>0</v>
      </c>
      <c r="BE188" s="22">
        <f>IFERROR(__xludf.DUMMYFUNCTION("""COMPUTED_VALUE"""),0.0)</f>
        <v>0</v>
      </c>
      <c r="BF188" s="22">
        <f>IFERROR(__xludf.DUMMYFUNCTION("""COMPUTED_VALUE"""),0.0)</f>
        <v>0</v>
      </c>
    </row>
    <row r="189">
      <c r="A189" s="27">
        <f>IFERROR(__xludf.DUMMYFUNCTION("""COMPUTED_VALUE"""),188.0)</f>
        <v>188</v>
      </c>
      <c r="B189" s="28" t="str">
        <f>IFERROR(__xludf.DUMMYFUNCTION("""COMPUTED_VALUE"""),"EIRMA NAFISYAH ADILLAH")</f>
        <v>EIRMA NAFISYAH ADILLAH</v>
      </c>
      <c r="C189" s="28">
        <f>IFERROR(__xludf.DUMMYFUNCTION("""COMPUTED_VALUE"""),2.02407019E9)</f>
        <v>2024070190</v>
      </c>
      <c r="D189" s="28" t="str">
        <f>IFERROR(__xludf.DUMMYFUNCTION("""COMPUTED_VALUE"""),"MOHD SUPARMAN")</f>
        <v>MOHD SUPARMAN</v>
      </c>
      <c r="E189" s="28" t="str">
        <f>IFERROR(__xludf.DUMMYFUNCTION("""COMPUTED_VALUE"""),"ENDANG SUGIARTI")</f>
        <v>ENDANG SUGIARTI</v>
      </c>
      <c r="F189" s="28" t="str">
        <f>IFERROR(__xludf.DUMMYFUNCTION("""COMPUTED_VALUE"""),"SHOBEROH DALEGAN RT 003 RW 009 PANCENG GRESIK")</f>
        <v>SHOBEROH DALEGAN RT 003 RW 009 PANCENG GRESIK</v>
      </c>
      <c r="G189" s="28" t="str">
        <f>IFERROR(__xludf.DUMMYFUNCTION("""COMPUTED_VALUE"""),"MA-XII.7")</f>
        <v>MA-XII.7</v>
      </c>
      <c r="H189" s="28" t="str">
        <f>IFERROR(__xludf.DUMMYFUNCTION("""COMPUTED_VALUE"""),"C")</f>
        <v>C</v>
      </c>
      <c r="I189" s="28" t="str">
        <f>IFERROR(__xludf.DUMMYFUNCTION("""COMPUTED_VALUE"""),"C-9")</f>
        <v>C-9</v>
      </c>
      <c r="J189" s="28">
        <f>IFERROR(__xludf.DUMMYFUNCTION("""COMPUTED_VALUE"""),3.0)</f>
        <v>3</v>
      </c>
      <c r="K189" s="28" t="str">
        <f>IFERROR(__xludf.DUMMYFUNCTION("""COMPUTED_VALUE"""),"3 WUSTHO B PUTRI")</f>
        <v>3 WUSTHO B PUTRI</v>
      </c>
      <c r="L189" s="29" t="str">
        <f>IFERROR(__xludf.DUMMYFUNCTION("""COMPUTED_VALUE"""),"601163973701")</f>
        <v>601163973701</v>
      </c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2">
        <f>IFERROR(__xludf.DUMMYFUNCTION("""COMPUTED_VALUE"""),450000.0)</f>
        <v>450000</v>
      </c>
      <c r="AJ189" s="22">
        <f>IFERROR(__xludf.DUMMYFUNCTION("""COMPUTED_VALUE"""),450000.0)</f>
        <v>450000</v>
      </c>
      <c r="AK189" s="22">
        <f>IFERROR(__xludf.DUMMYFUNCTION("""COMPUTED_VALUE"""),450000.0)</f>
        <v>450000</v>
      </c>
      <c r="AL189" s="22">
        <f>IFERROR(__xludf.DUMMYFUNCTION("""COMPUTED_VALUE"""),450000.0)</f>
        <v>450000</v>
      </c>
      <c r="AM189" s="22">
        <f>IFERROR(__xludf.DUMMYFUNCTION("""COMPUTED_VALUE"""),450000.0)</f>
        <v>450000</v>
      </c>
      <c r="AN189" s="22">
        <f>IFERROR(__xludf.DUMMYFUNCTION("""COMPUTED_VALUE"""),450000.0)</f>
        <v>450000</v>
      </c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2">
        <f>IFERROR(__xludf.DUMMYFUNCTION("""COMPUTED_VALUE"""),2700000.0)</f>
        <v>2700000</v>
      </c>
      <c r="BD189" s="22">
        <f>IFERROR(__xludf.DUMMYFUNCTION("""COMPUTED_VALUE"""),0.0)</f>
        <v>0</v>
      </c>
      <c r="BE189" s="22">
        <f>IFERROR(__xludf.DUMMYFUNCTION("""COMPUTED_VALUE"""),0.0)</f>
        <v>0</v>
      </c>
      <c r="BF189" s="22">
        <f>IFERROR(__xludf.DUMMYFUNCTION("""COMPUTED_VALUE"""),2700000.0)</f>
        <v>2700000</v>
      </c>
    </row>
    <row r="190">
      <c r="A190" s="27">
        <f>IFERROR(__xludf.DUMMYFUNCTION("""COMPUTED_VALUE"""),189.0)</f>
        <v>189</v>
      </c>
      <c r="B190" s="28" t="str">
        <f>IFERROR(__xludf.DUMMYFUNCTION("""COMPUTED_VALUE"""),"ELSA LAILATUN NIHAYAH")</f>
        <v>ELSA LAILATUN NIHAYAH</v>
      </c>
      <c r="C190" s="28">
        <f>IFERROR(__xludf.DUMMYFUNCTION("""COMPUTED_VALUE"""),2.024070112E9)</f>
        <v>2024070112</v>
      </c>
      <c r="D190" s="28" t="str">
        <f>IFERROR(__xludf.DUMMYFUNCTION("""COMPUTED_VALUE"""),"SAMUDJI")</f>
        <v>SAMUDJI</v>
      </c>
      <c r="E190" s="28" t="str">
        <f>IFERROR(__xludf.DUMMYFUNCTION("""COMPUTED_VALUE"""),"KARMU")</f>
        <v>KARMU</v>
      </c>
      <c r="F190" s="28" t="str">
        <f>IFERROR(__xludf.DUMMYFUNCTION("""COMPUTED_VALUE"""),"CLURING RT 002 RW 002 KALITENGAH LAMONGAN")</f>
        <v>CLURING RT 002 RW 002 KALITENGAH LAMONGAN</v>
      </c>
      <c r="G190" s="28" t="str">
        <f>IFERROR(__xludf.DUMMYFUNCTION("""COMPUTED_VALUE"""),"MA-XII.4")</f>
        <v>MA-XII.4</v>
      </c>
      <c r="H190" s="28" t="str">
        <f>IFERROR(__xludf.DUMMYFUNCTION("""COMPUTED_VALUE"""),"C")</f>
        <v>C</v>
      </c>
      <c r="I190" s="28" t="str">
        <f>IFERROR(__xludf.DUMMYFUNCTION("""COMPUTED_VALUE"""),"C-9")</f>
        <v>C-9</v>
      </c>
      <c r="J190" s="28">
        <f>IFERROR(__xludf.DUMMYFUNCTION("""COMPUTED_VALUE"""),3.0)</f>
        <v>3</v>
      </c>
      <c r="K190" s="28" t="str">
        <f>IFERROR(__xludf.DUMMYFUNCTION("""COMPUTED_VALUE"""),"3 WUSTHO B PUTRI")</f>
        <v>3 WUSTHO B PUTRI</v>
      </c>
      <c r="L190" s="29" t="str">
        <f>IFERROR(__xludf.DUMMYFUNCTION("""COMPUTED_VALUE"""),"6287794103025")</f>
        <v>6287794103025</v>
      </c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2">
        <f>IFERROR(__xludf.DUMMYFUNCTION("""COMPUTED_VALUE"""),500000.0)</f>
        <v>500000</v>
      </c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2">
        <f>IFERROR(__xludf.DUMMYFUNCTION("""COMPUTED_VALUE"""),0.0)</f>
        <v>0</v>
      </c>
      <c r="BD190" s="22">
        <f>IFERROR(__xludf.DUMMYFUNCTION("""COMPUTED_VALUE"""),500000.0)</f>
        <v>500000</v>
      </c>
      <c r="BE190" s="22">
        <f>IFERROR(__xludf.DUMMYFUNCTION("""COMPUTED_VALUE"""),0.0)</f>
        <v>0</v>
      </c>
      <c r="BF190" s="22">
        <f>IFERROR(__xludf.DUMMYFUNCTION("""COMPUTED_VALUE"""),500000.0)</f>
        <v>500000</v>
      </c>
    </row>
    <row r="191">
      <c r="A191" s="27">
        <f>IFERROR(__xludf.DUMMYFUNCTION("""COMPUTED_VALUE"""),190.0)</f>
        <v>190</v>
      </c>
      <c r="B191" s="28" t="str">
        <f>IFERROR(__xludf.DUMMYFUNCTION("""COMPUTED_VALUE"""),"FAIQOTU NABILA")</f>
        <v>FAIQOTU NABILA</v>
      </c>
      <c r="C191" s="28">
        <f>IFERROR(__xludf.DUMMYFUNCTION("""COMPUTED_VALUE"""),2.024070346E9)</f>
        <v>2024070346</v>
      </c>
      <c r="D191" s="28" t="str">
        <f>IFERROR(__xludf.DUMMYFUNCTION("""COMPUTED_VALUE"""),"HASAN ARIF")</f>
        <v>HASAN ARIF</v>
      </c>
      <c r="E191" s="28" t="str">
        <f>IFERROR(__xludf.DUMMYFUNCTION("""COMPUTED_VALUE"""),"KASMUDAH")</f>
        <v>KASMUDAH</v>
      </c>
      <c r="F191" s="28" t="str">
        <f>IFERROR(__xludf.DUMMYFUNCTION("""COMPUTED_VALUE"""),"WEDENG SUKOREJO RT 001 RW 003 KARANGBINANGUNG LAMONGAN")</f>
        <v>WEDENG SUKOREJO RT 001 RW 003 KARANGBINANGUNG LAMONGAN</v>
      </c>
      <c r="G191" s="28" t="str">
        <f>IFERROR(__xludf.DUMMYFUNCTION("""COMPUTED_VALUE"""),"MA-XII.11")</f>
        <v>MA-XII.11</v>
      </c>
      <c r="H191" s="28" t="str">
        <f>IFERROR(__xludf.DUMMYFUNCTION("""COMPUTED_VALUE"""),"C")</f>
        <v>C</v>
      </c>
      <c r="I191" s="28" t="str">
        <f>IFERROR(__xludf.DUMMYFUNCTION("""COMPUTED_VALUE"""),"C-9")</f>
        <v>C-9</v>
      </c>
      <c r="J191" s="28">
        <f>IFERROR(__xludf.DUMMYFUNCTION("""COMPUTED_VALUE"""),3.0)</f>
        <v>3</v>
      </c>
      <c r="K191" s="28" t="str">
        <f>IFERROR(__xludf.DUMMYFUNCTION("""COMPUTED_VALUE"""),"")</f>
        <v/>
      </c>
      <c r="L191" s="29" t="str">
        <f>IFERROR(__xludf.DUMMYFUNCTION("""COMPUTED_VALUE"""),"6285791219990")</f>
        <v>6285791219990</v>
      </c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2">
        <f>IFERROR(__xludf.DUMMYFUNCTION("""COMPUTED_VALUE"""),450000.0)</f>
        <v>450000</v>
      </c>
      <c r="AN191" s="22">
        <f>IFERROR(__xludf.DUMMYFUNCTION("""COMPUTED_VALUE"""),450000.0)</f>
        <v>450000</v>
      </c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2">
        <f>IFERROR(__xludf.DUMMYFUNCTION("""COMPUTED_VALUE"""),900000.0)</f>
        <v>900000</v>
      </c>
      <c r="BD191" s="22">
        <f>IFERROR(__xludf.DUMMYFUNCTION("""COMPUTED_VALUE"""),0.0)</f>
        <v>0</v>
      </c>
      <c r="BE191" s="22">
        <f>IFERROR(__xludf.DUMMYFUNCTION("""COMPUTED_VALUE"""),0.0)</f>
        <v>0</v>
      </c>
      <c r="BF191" s="22">
        <f>IFERROR(__xludf.DUMMYFUNCTION("""COMPUTED_VALUE"""),900000.0)</f>
        <v>900000</v>
      </c>
    </row>
    <row r="192">
      <c r="A192" s="27">
        <f>IFERROR(__xludf.DUMMYFUNCTION("""COMPUTED_VALUE"""),191.0)</f>
        <v>191</v>
      </c>
      <c r="B192" s="28" t="str">
        <f>IFERROR(__xludf.DUMMYFUNCTION("""COMPUTED_VALUE"""),"FARADIVA AQILLA ELFARIANI")</f>
        <v>FARADIVA AQILLA ELFARIANI</v>
      </c>
      <c r="C192" s="28">
        <f>IFERROR(__xludf.DUMMYFUNCTION("""COMPUTED_VALUE"""),2.024070073E9)</f>
        <v>2024070073</v>
      </c>
      <c r="D192" s="28" t="str">
        <f>IFERROR(__xludf.DUMMYFUNCTION("""COMPUTED_VALUE"""),"ASKUR")</f>
        <v>ASKUR</v>
      </c>
      <c r="E192" s="28" t="str">
        <f>IFERROR(__xludf.DUMMYFUNCTION("""COMPUTED_VALUE"""),"SRI PURWANI")</f>
        <v>SRI PURWANI</v>
      </c>
      <c r="F192" s="28" t="str">
        <f>IFERROR(__xludf.DUMMYFUNCTION("""COMPUTED_VALUE"""),"KAWISTOLEGI RT 002 RW 001 KARANGGENENG LAMONGAN")</f>
        <v>KAWISTOLEGI RT 002 RW 001 KARANGGENENG LAMONGAN</v>
      </c>
      <c r="G192" s="28" t="str">
        <f>IFERROR(__xludf.DUMMYFUNCTION("""COMPUTED_VALUE"""),"MA-XII.3")</f>
        <v>MA-XII.3</v>
      </c>
      <c r="H192" s="28" t="str">
        <f>IFERROR(__xludf.DUMMYFUNCTION("""COMPUTED_VALUE"""),"C")</f>
        <v>C</v>
      </c>
      <c r="I192" s="28" t="str">
        <f>IFERROR(__xludf.DUMMYFUNCTION("""COMPUTED_VALUE"""),"C-9")</f>
        <v>C-9</v>
      </c>
      <c r="J192" s="28">
        <f>IFERROR(__xludf.DUMMYFUNCTION("""COMPUTED_VALUE"""),3.0)</f>
        <v>3</v>
      </c>
      <c r="K192" s="28" t="str">
        <f>IFERROR(__xludf.DUMMYFUNCTION("""COMPUTED_VALUE"""),"3 WUSTHO A PUTRI")</f>
        <v>3 WUSTHO A PUTRI</v>
      </c>
      <c r="L192" s="29" t="str">
        <f>IFERROR(__xludf.DUMMYFUNCTION("""COMPUTED_VALUE"""),"6285648727712")</f>
        <v>6285648727712</v>
      </c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2">
        <f>IFERROR(__xludf.DUMMYFUNCTION("""COMPUTED_VALUE"""),500000.0)</f>
        <v>500000</v>
      </c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2">
        <f>IFERROR(__xludf.DUMMYFUNCTION("""COMPUTED_VALUE"""),450000.0)</f>
        <v>450000</v>
      </c>
      <c r="AO192" s="28"/>
      <c r="AP192" s="22">
        <f>IFERROR(__xludf.DUMMYFUNCTION("""COMPUTED_VALUE"""),500000.0)</f>
        <v>500000</v>
      </c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2">
        <f>IFERROR(__xludf.DUMMYFUNCTION("""COMPUTED_VALUE"""),450000.0)</f>
        <v>450000</v>
      </c>
      <c r="BD192" s="22">
        <f>IFERROR(__xludf.DUMMYFUNCTION("""COMPUTED_VALUE"""),1000000.0)</f>
        <v>1000000</v>
      </c>
      <c r="BE192" s="22">
        <f>IFERROR(__xludf.DUMMYFUNCTION("""COMPUTED_VALUE"""),0.0)</f>
        <v>0</v>
      </c>
      <c r="BF192" s="22">
        <f>IFERROR(__xludf.DUMMYFUNCTION("""COMPUTED_VALUE"""),1450000.0)</f>
        <v>1450000</v>
      </c>
    </row>
    <row r="193">
      <c r="A193" s="27">
        <f>IFERROR(__xludf.DUMMYFUNCTION("""COMPUTED_VALUE"""),192.0)</f>
        <v>192</v>
      </c>
      <c r="B193" s="28" t="str">
        <f>IFERROR(__xludf.DUMMYFUNCTION("""COMPUTED_VALUE"""),"FARIKHATUL ISTIMAROH")</f>
        <v>FARIKHATUL ISTIMAROH</v>
      </c>
      <c r="C193" s="28">
        <f>IFERROR(__xludf.DUMMYFUNCTION("""COMPUTED_VALUE"""),2.024070419E9)</f>
        <v>2024070419</v>
      </c>
      <c r="D193" s="28" t="str">
        <f>IFERROR(__xludf.DUMMYFUNCTION("""COMPUTED_VALUE"""),"RADI")</f>
        <v>RADI</v>
      </c>
      <c r="E193" s="28" t="str">
        <f>IFERROR(__xludf.DUMMYFUNCTION("""COMPUTED_VALUE"""),"MURNI")</f>
        <v>MURNI</v>
      </c>
      <c r="F193" s="28" t="str">
        <f>IFERROR(__xludf.DUMMYFUNCTION("""COMPUTED_VALUE"""),"MOROGO PUTATKUMPUL RT 003 RW 005 TURI LAMONGAN")</f>
        <v>MOROGO PUTATKUMPUL RT 003 RW 005 TURI LAMONGAN</v>
      </c>
      <c r="G193" s="28" t="str">
        <f>IFERROR(__xludf.DUMMYFUNCTION("""COMPUTED_VALUE"""),"MA-XII.13")</f>
        <v>MA-XII.13</v>
      </c>
      <c r="H193" s="28" t="str">
        <f>IFERROR(__xludf.DUMMYFUNCTION("""COMPUTED_VALUE"""),"C")</f>
        <v>C</v>
      </c>
      <c r="I193" s="28" t="str">
        <f>IFERROR(__xludf.DUMMYFUNCTION("""COMPUTED_VALUE"""),"C-7")</f>
        <v>C-7</v>
      </c>
      <c r="J193" s="28">
        <f>IFERROR(__xludf.DUMMYFUNCTION("""COMPUTED_VALUE"""),3.0)</f>
        <v>3</v>
      </c>
      <c r="K193" s="28" t="str">
        <f>IFERROR(__xludf.DUMMYFUNCTION("""COMPUTED_VALUE"""),"3 MAK PUTRI")</f>
        <v>3 MAK PUTRI</v>
      </c>
      <c r="L193" s="29" t="str">
        <f>IFERROR(__xludf.DUMMYFUNCTION("""COMPUTED_VALUE"""),"6285648855706")</f>
        <v>6285648855706</v>
      </c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2">
        <f>IFERROR(__xludf.DUMMYFUNCTION("""COMPUTED_VALUE"""),500000.0)</f>
        <v>500000</v>
      </c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2">
        <f>IFERROR(__xludf.DUMMYFUNCTION("""COMPUTED_VALUE"""),450000.0)</f>
        <v>450000</v>
      </c>
      <c r="AN193" s="22">
        <f>IFERROR(__xludf.DUMMYFUNCTION("""COMPUTED_VALUE"""),450000.0)</f>
        <v>450000</v>
      </c>
      <c r="AO193" s="28"/>
      <c r="AP193" s="22">
        <f>IFERROR(__xludf.DUMMYFUNCTION("""COMPUTED_VALUE"""),500000.0)</f>
        <v>500000</v>
      </c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2">
        <f>IFERROR(__xludf.DUMMYFUNCTION("""COMPUTED_VALUE"""),900000.0)</f>
        <v>900000</v>
      </c>
      <c r="BD193" s="22">
        <f>IFERROR(__xludf.DUMMYFUNCTION("""COMPUTED_VALUE"""),1000000.0)</f>
        <v>1000000</v>
      </c>
      <c r="BE193" s="22">
        <f>IFERROR(__xludf.DUMMYFUNCTION("""COMPUTED_VALUE"""),0.0)</f>
        <v>0</v>
      </c>
      <c r="BF193" s="22">
        <f>IFERROR(__xludf.DUMMYFUNCTION("""COMPUTED_VALUE"""),1900000.0)</f>
        <v>1900000</v>
      </c>
    </row>
    <row r="194">
      <c r="A194" s="27">
        <f>IFERROR(__xludf.DUMMYFUNCTION("""COMPUTED_VALUE"""),193.0)</f>
        <v>193</v>
      </c>
      <c r="B194" s="28" t="str">
        <f>IFERROR(__xludf.DUMMYFUNCTION("""COMPUTED_VALUE"""),"FARIKHTA RAMADHANI RIDWAN")</f>
        <v>FARIKHTA RAMADHANI RIDWAN</v>
      </c>
      <c r="C194" s="28">
        <f>IFERROR(__xludf.DUMMYFUNCTION("""COMPUTED_VALUE"""),2.024070043E9)</f>
        <v>2024070043</v>
      </c>
      <c r="D194" s="28" t="str">
        <f>IFERROR(__xludf.DUMMYFUNCTION("""COMPUTED_VALUE"""),"RIDWAN")</f>
        <v>RIDWAN</v>
      </c>
      <c r="E194" s="28" t="str">
        <f>IFERROR(__xludf.DUMMYFUNCTION("""COMPUTED_VALUE"""),"YENI KHUSNIYAH")</f>
        <v>YENI KHUSNIYAH</v>
      </c>
      <c r="F194" s="28" t="str">
        <f>IFERROR(__xludf.DUMMYFUNCTION("""COMPUTED_VALUE"""),"PEGANDEN PALACE PEGANDEN RT 3 RW 7 MANYAR GRESIK")</f>
        <v>PEGANDEN PALACE PEGANDEN RT 3 RW 7 MANYAR GRESIK</v>
      </c>
      <c r="G194" s="28" t="str">
        <f>IFERROR(__xludf.DUMMYFUNCTION("""COMPUTED_VALUE"""),"MA-XII.2")</f>
        <v>MA-XII.2</v>
      </c>
      <c r="H194" s="28" t="str">
        <f>IFERROR(__xludf.DUMMYFUNCTION("""COMPUTED_VALUE"""),"C")</f>
        <v>C</v>
      </c>
      <c r="I194" s="28" t="str">
        <f>IFERROR(__xludf.DUMMYFUNCTION("""COMPUTED_VALUE"""),"C-8")</f>
        <v>C-8</v>
      </c>
      <c r="J194" s="28">
        <f>IFERROR(__xludf.DUMMYFUNCTION("""COMPUTED_VALUE"""),3.0)</f>
        <v>3</v>
      </c>
      <c r="K194" s="28" t="str">
        <f>IFERROR(__xludf.DUMMYFUNCTION("""COMPUTED_VALUE"""),"")</f>
        <v/>
      </c>
      <c r="L194" s="29" t="str">
        <f>IFERROR(__xludf.DUMMYFUNCTION("""COMPUTED_VALUE"""),"6283856686322")</f>
        <v>6283856686322</v>
      </c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2">
        <f>IFERROR(__xludf.DUMMYFUNCTION("""COMPUTED_VALUE"""),0.0)</f>
        <v>0</v>
      </c>
      <c r="AG194" s="22">
        <f>IFERROR(__xludf.DUMMYFUNCTION("""COMPUTED_VALUE"""),0.0)</f>
        <v>0</v>
      </c>
      <c r="AH194" s="22">
        <f>IFERROR(__xludf.DUMMYFUNCTION("""COMPUTED_VALUE"""),0.0)</f>
        <v>0</v>
      </c>
      <c r="AI194" s="22">
        <f>IFERROR(__xludf.DUMMYFUNCTION("""COMPUTED_VALUE"""),0.0)</f>
        <v>0</v>
      </c>
      <c r="AJ194" s="22">
        <f>IFERROR(__xludf.DUMMYFUNCTION("""COMPUTED_VALUE"""),0.0)</f>
        <v>0</v>
      </c>
      <c r="AK194" s="22">
        <f>IFERROR(__xludf.DUMMYFUNCTION("""COMPUTED_VALUE"""),0.0)</f>
        <v>0</v>
      </c>
      <c r="AL194" s="22">
        <f>IFERROR(__xludf.DUMMYFUNCTION("""COMPUTED_VALUE"""),0.0)</f>
        <v>0</v>
      </c>
      <c r="AM194" s="22">
        <f>IFERROR(__xludf.DUMMYFUNCTION("""COMPUTED_VALUE"""),0.0)</f>
        <v>0</v>
      </c>
      <c r="AN194" s="22">
        <f>IFERROR(__xludf.DUMMYFUNCTION("""COMPUTED_VALUE"""),0.0)</f>
        <v>0</v>
      </c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2">
        <f>IFERROR(__xludf.DUMMYFUNCTION("""COMPUTED_VALUE"""),0.0)</f>
        <v>0</v>
      </c>
      <c r="BD194" s="22">
        <f>IFERROR(__xludf.DUMMYFUNCTION("""COMPUTED_VALUE"""),0.0)</f>
        <v>0</v>
      </c>
      <c r="BE194" s="22">
        <f>IFERROR(__xludf.DUMMYFUNCTION("""COMPUTED_VALUE"""),0.0)</f>
        <v>0</v>
      </c>
      <c r="BF194" s="22">
        <f>IFERROR(__xludf.DUMMYFUNCTION("""COMPUTED_VALUE"""),0.0)</f>
        <v>0</v>
      </c>
    </row>
    <row r="195">
      <c r="A195" s="27">
        <f>IFERROR(__xludf.DUMMYFUNCTION("""COMPUTED_VALUE"""),194.0)</f>
        <v>194</v>
      </c>
      <c r="B195" s="28" t="str">
        <f>IFERROR(__xludf.DUMMYFUNCTION("""COMPUTED_VALUE"""),"FATHIMAH ANNAJWA")</f>
        <v>FATHIMAH ANNAJWA</v>
      </c>
      <c r="C195" s="28">
        <f>IFERROR(__xludf.DUMMYFUNCTION("""COMPUTED_VALUE"""),2.02407042E9)</f>
        <v>2024070420</v>
      </c>
      <c r="D195" s="28" t="str">
        <f>IFERROR(__xludf.DUMMYFUNCTION("""COMPUTED_VALUE"""),"AH YASIR")</f>
        <v>AH YASIR</v>
      </c>
      <c r="E195" s="28" t="str">
        <f>IFERROR(__xludf.DUMMYFUNCTION("""COMPUTED_VALUE"""),"MARIYATUL QIBTIYAH")</f>
        <v>MARIYATUL QIBTIYAH</v>
      </c>
      <c r="F195" s="28" t="str">
        <f>IFERROR(__xludf.DUMMYFUNCTION("""COMPUTED_VALUE"""),"TAMBAKREJO RT 005 RW 001 DUDUK SAMPEYAN GRESIK")</f>
        <v>TAMBAKREJO RT 005 RW 001 DUDUK SAMPEYAN GRESIK</v>
      </c>
      <c r="G195" s="28" t="str">
        <f>IFERROR(__xludf.DUMMYFUNCTION("""COMPUTED_VALUE"""),"MA-XII.13")</f>
        <v>MA-XII.13</v>
      </c>
      <c r="H195" s="28" t="str">
        <f>IFERROR(__xludf.DUMMYFUNCTION("""COMPUTED_VALUE"""),"C")</f>
        <v>C</v>
      </c>
      <c r="I195" s="28" t="str">
        <f>IFERROR(__xludf.DUMMYFUNCTION("""COMPUTED_VALUE"""),"C-7")</f>
        <v>C-7</v>
      </c>
      <c r="J195" s="28">
        <f>IFERROR(__xludf.DUMMYFUNCTION("""COMPUTED_VALUE"""),3.0)</f>
        <v>3</v>
      </c>
      <c r="K195" s="28" t="str">
        <f>IFERROR(__xludf.DUMMYFUNCTION("""COMPUTED_VALUE"""),"3 MAK PUTRI")</f>
        <v>3 MAK PUTRI</v>
      </c>
      <c r="L195" s="29" t="str">
        <f>IFERROR(__xludf.DUMMYFUNCTION("""COMPUTED_VALUE"""),"6282132397918")</f>
        <v>6282132397918</v>
      </c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2">
        <f>IFERROR(__xludf.DUMMYFUNCTION("""COMPUTED_VALUE"""),0.0)</f>
        <v>0</v>
      </c>
      <c r="BD195" s="22">
        <f>IFERROR(__xludf.DUMMYFUNCTION("""COMPUTED_VALUE"""),0.0)</f>
        <v>0</v>
      </c>
      <c r="BE195" s="22">
        <f>IFERROR(__xludf.DUMMYFUNCTION("""COMPUTED_VALUE"""),0.0)</f>
        <v>0</v>
      </c>
      <c r="BF195" s="22">
        <f>IFERROR(__xludf.DUMMYFUNCTION("""COMPUTED_VALUE"""),0.0)</f>
        <v>0</v>
      </c>
    </row>
    <row r="196">
      <c r="A196" s="27">
        <f>IFERROR(__xludf.DUMMYFUNCTION("""COMPUTED_VALUE"""),195.0)</f>
        <v>195</v>
      </c>
      <c r="B196" s="28" t="str">
        <f>IFERROR(__xludf.DUMMYFUNCTION("""COMPUTED_VALUE"""),"FATIMATUZZAHROH MUSOFFA")</f>
        <v>FATIMATUZZAHROH MUSOFFA</v>
      </c>
      <c r="C196" s="28">
        <f>IFERROR(__xludf.DUMMYFUNCTION("""COMPUTED_VALUE"""),2.024070045E9)</f>
        <v>2024070045</v>
      </c>
      <c r="D196" s="28" t="str">
        <f>IFERROR(__xludf.DUMMYFUNCTION("""COMPUTED_VALUE"""),"SUFYAN ZAKARIYAH")</f>
        <v>SUFYAN ZAKARIYAH</v>
      </c>
      <c r="E196" s="28" t="str">
        <f>IFERROR(__xludf.DUMMYFUNCTION("""COMPUTED_VALUE"""),"MUSLIMAH")</f>
        <v>MUSLIMAH</v>
      </c>
      <c r="F196" s="28" t="str">
        <f>IFERROR(__xludf.DUMMYFUNCTION("""COMPUTED_VALUE"""),"WEDENG SUKOREJO RT 002 RW 003 KARANGBINANGUN LAMONGAN")</f>
        <v>WEDENG SUKOREJO RT 002 RW 003 KARANGBINANGUN LAMONGAN</v>
      </c>
      <c r="G196" s="28" t="str">
        <f>IFERROR(__xludf.DUMMYFUNCTION("""COMPUTED_VALUE"""),"MA-XII.2")</f>
        <v>MA-XII.2</v>
      </c>
      <c r="H196" s="28" t="str">
        <f>IFERROR(__xludf.DUMMYFUNCTION("""COMPUTED_VALUE"""),"C")</f>
        <v>C</v>
      </c>
      <c r="I196" s="28" t="str">
        <f>IFERROR(__xludf.DUMMYFUNCTION("""COMPUTED_VALUE"""),"C-9")</f>
        <v>C-9</v>
      </c>
      <c r="J196" s="28">
        <f>IFERROR(__xludf.DUMMYFUNCTION("""COMPUTED_VALUE"""),3.0)</f>
        <v>3</v>
      </c>
      <c r="K196" s="28" t="str">
        <f>IFERROR(__xludf.DUMMYFUNCTION("""COMPUTED_VALUE"""),"")</f>
        <v/>
      </c>
      <c r="L196" s="29" t="str">
        <f>IFERROR(__xludf.DUMMYFUNCTION("""COMPUTED_VALUE"""),"6285893727203")</f>
        <v>6285893727203</v>
      </c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2">
        <f>IFERROR(__xludf.DUMMYFUNCTION("""COMPUTED_VALUE"""),500000.0)</f>
        <v>500000</v>
      </c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2">
        <f>IFERROR(__xludf.DUMMYFUNCTION("""COMPUTED_VALUE"""),500000.0)</f>
        <v>500000</v>
      </c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2">
        <f>IFERROR(__xludf.DUMMYFUNCTION("""COMPUTED_VALUE"""),0.0)</f>
        <v>0</v>
      </c>
      <c r="BD196" s="22">
        <f>IFERROR(__xludf.DUMMYFUNCTION("""COMPUTED_VALUE"""),1000000.0)</f>
        <v>1000000</v>
      </c>
      <c r="BE196" s="22">
        <f>IFERROR(__xludf.DUMMYFUNCTION("""COMPUTED_VALUE"""),0.0)</f>
        <v>0</v>
      </c>
      <c r="BF196" s="22">
        <f>IFERROR(__xludf.DUMMYFUNCTION("""COMPUTED_VALUE"""),1000000.0)</f>
        <v>1000000</v>
      </c>
    </row>
    <row r="197">
      <c r="A197" s="27">
        <f>IFERROR(__xludf.DUMMYFUNCTION("""COMPUTED_VALUE"""),196.0)</f>
        <v>196</v>
      </c>
      <c r="B197" s="28" t="str">
        <f>IFERROR(__xludf.DUMMYFUNCTION("""COMPUTED_VALUE"""),"FILDZAH ALTOFUN NESA")</f>
        <v>FILDZAH ALTOFUN NESA</v>
      </c>
      <c r="C197" s="28">
        <f>IFERROR(__xludf.DUMMYFUNCTION("""COMPUTED_VALUE"""),2.024070549E9)</f>
        <v>2024070549</v>
      </c>
      <c r="D197" s="28" t="str">
        <f>IFERROR(__xludf.DUMMYFUNCTION("""COMPUTED_VALUE"""),"MOCH SAIFUL ARIF")</f>
        <v>MOCH SAIFUL ARIF</v>
      </c>
      <c r="E197" s="28" t="str">
        <f>IFERROR(__xludf.DUMMYFUNCTION("""COMPUTED_VALUE"""),"LUSIANA DWININGTIAS")</f>
        <v>LUSIANA DWININGTIAS</v>
      </c>
      <c r="F197" s="28" t="str">
        <f>IFERROR(__xludf.DUMMYFUNCTION("""COMPUTED_VALUE"""),"NGULEK KALIREJO RT 003 RW 002 DUKUN GRESIK")</f>
        <v>NGULEK KALIREJO RT 003 RW 002 DUKUN GRESIK</v>
      </c>
      <c r="G197" s="28" t="str">
        <f>IFERROR(__xludf.DUMMYFUNCTION("""COMPUTED_VALUE"""),"MTS-9 G")</f>
        <v>MTS-9 G</v>
      </c>
      <c r="H197" s="28" t="str">
        <f>IFERROR(__xludf.DUMMYFUNCTION("""COMPUTED_VALUE"""),"C")</f>
        <v>C</v>
      </c>
      <c r="I197" s="28" t="str">
        <f>IFERROR(__xludf.DUMMYFUNCTION("""COMPUTED_VALUE"""),"C-12")</f>
        <v>C-12</v>
      </c>
      <c r="J197" s="28">
        <f>IFERROR(__xludf.DUMMYFUNCTION("""COMPUTED_VALUE"""),3.0)</f>
        <v>3</v>
      </c>
      <c r="K197" s="28" t="str">
        <f>IFERROR(__xludf.DUMMYFUNCTION("""COMPUTED_VALUE"""),"3 ULA B PUTRI")</f>
        <v>3 ULA B PUTRI</v>
      </c>
      <c r="L197" s="29" t="str">
        <f>IFERROR(__xludf.DUMMYFUNCTION("""COMPUTED_VALUE"""),"628121719135")</f>
        <v>628121719135</v>
      </c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2">
        <f>IFERROR(__xludf.DUMMYFUNCTION("""COMPUTED_VALUE"""),450000.0)</f>
        <v>450000</v>
      </c>
      <c r="AM197" s="22">
        <f>IFERROR(__xludf.DUMMYFUNCTION("""COMPUTED_VALUE"""),450000.0)</f>
        <v>450000</v>
      </c>
      <c r="AN197" s="22">
        <f>IFERROR(__xludf.DUMMYFUNCTION("""COMPUTED_VALUE"""),450000.0)</f>
        <v>450000</v>
      </c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2">
        <f>IFERROR(__xludf.DUMMYFUNCTION("""COMPUTED_VALUE"""),1350000.0)</f>
        <v>1350000</v>
      </c>
      <c r="BD197" s="22">
        <f>IFERROR(__xludf.DUMMYFUNCTION("""COMPUTED_VALUE"""),0.0)</f>
        <v>0</v>
      </c>
      <c r="BE197" s="22">
        <f>IFERROR(__xludf.DUMMYFUNCTION("""COMPUTED_VALUE"""),0.0)</f>
        <v>0</v>
      </c>
      <c r="BF197" s="22">
        <f>IFERROR(__xludf.DUMMYFUNCTION("""COMPUTED_VALUE"""),1350000.0)</f>
        <v>1350000</v>
      </c>
    </row>
    <row r="198">
      <c r="A198" s="27">
        <f>IFERROR(__xludf.DUMMYFUNCTION("""COMPUTED_VALUE"""),197.0)</f>
        <v>197</v>
      </c>
      <c r="B198" s="28" t="str">
        <f>IFERROR(__xludf.DUMMYFUNCTION("""COMPUTED_VALUE"""),"FIRNANDA KHOLAGUL HIDAYATUS MUAWIYAH")</f>
        <v>FIRNANDA KHOLAGUL HIDAYATUS MUAWIYAH</v>
      </c>
      <c r="C198" s="28">
        <f>IFERROR(__xludf.DUMMYFUNCTION("""COMPUTED_VALUE"""),2.024070421E9)</f>
        <v>2024070421</v>
      </c>
      <c r="D198" s="28" t="str">
        <f>IFERROR(__xludf.DUMMYFUNCTION("""COMPUTED_VALUE"""),"M ASYHARI")</f>
        <v>M ASYHARI</v>
      </c>
      <c r="E198" s="28" t="str">
        <f>IFERROR(__xludf.DUMMYFUNCTION("""COMPUTED_VALUE"""),"MU'INAH")</f>
        <v>MU'INAH</v>
      </c>
      <c r="F198" s="28" t="str">
        <f>IFERROR(__xludf.DUMMYFUNCTION("""COMPUTED_VALUE"""),"WEDENG SUKOREJO RT 001 RW 001 KARANGBINANGUN LAMONGAN")</f>
        <v>WEDENG SUKOREJO RT 001 RW 001 KARANGBINANGUN LAMONGAN</v>
      </c>
      <c r="G198" s="28" t="str">
        <f>IFERROR(__xludf.DUMMYFUNCTION("""COMPUTED_VALUE"""),"MA-XII.13")</f>
        <v>MA-XII.13</v>
      </c>
      <c r="H198" s="28" t="str">
        <f>IFERROR(__xludf.DUMMYFUNCTION("""COMPUTED_VALUE"""),"C")</f>
        <v>C</v>
      </c>
      <c r="I198" s="28" t="str">
        <f>IFERROR(__xludf.DUMMYFUNCTION("""COMPUTED_VALUE"""),"C-7")</f>
        <v>C-7</v>
      </c>
      <c r="J198" s="28">
        <f>IFERROR(__xludf.DUMMYFUNCTION("""COMPUTED_VALUE"""),3.0)</f>
        <v>3</v>
      </c>
      <c r="K198" s="28" t="str">
        <f>IFERROR(__xludf.DUMMYFUNCTION("""COMPUTED_VALUE"""),"")</f>
        <v/>
      </c>
      <c r="L198" s="29" t="str">
        <f>IFERROR(__xludf.DUMMYFUNCTION("""COMPUTED_VALUE"""),"628564085976")</f>
        <v>628564085976</v>
      </c>
      <c r="M198" s="22">
        <f>IFERROR(__xludf.DUMMYFUNCTION("""COMPUTED_VALUE"""),600000.0)</f>
        <v>600000</v>
      </c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2">
        <f>IFERROR(__xludf.DUMMYFUNCTION("""COMPUTED_VALUE"""),500000.0)</f>
        <v>500000</v>
      </c>
      <c r="AC198" s="28"/>
      <c r="AD198" s="28"/>
      <c r="AE198" s="28"/>
      <c r="AF198" s="28"/>
      <c r="AG198" s="22">
        <f>IFERROR(__xludf.DUMMYFUNCTION("""COMPUTED_VALUE"""),450000.0)</f>
        <v>450000</v>
      </c>
      <c r="AH198" s="22">
        <f>IFERROR(__xludf.DUMMYFUNCTION("""COMPUTED_VALUE"""),450000.0)</f>
        <v>450000</v>
      </c>
      <c r="AI198" s="22">
        <f>IFERROR(__xludf.DUMMYFUNCTION("""COMPUTED_VALUE"""),450000.0)</f>
        <v>450000</v>
      </c>
      <c r="AJ198" s="22">
        <f>IFERROR(__xludf.DUMMYFUNCTION("""COMPUTED_VALUE"""),450000.0)</f>
        <v>450000</v>
      </c>
      <c r="AK198" s="22">
        <f>IFERROR(__xludf.DUMMYFUNCTION("""COMPUTED_VALUE"""),450000.0)</f>
        <v>450000</v>
      </c>
      <c r="AL198" s="22">
        <f>IFERROR(__xludf.DUMMYFUNCTION("""COMPUTED_VALUE"""),450000.0)</f>
        <v>450000</v>
      </c>
      <c r="AM198" s="22">
        <f>IFERROR(__xludf.DUMMYFUNCTION("""COMPUTED_VALUE"""),450000.0)</f>
        <v>450000</v>
      </c>
      <c r="AN198" s="22">
        <f>IFERROR(__xludf.DUMMYFUNCTION("""COMPUTED_VALUE"""),450000.0)</f>
        <v>450000</v>
      </c>
      <c r="AO198" s="28"/>
      <c r="AP198" s="22">
        <f>IFERROR(__xludf.DUMMYFUNCTION("""COMPUTED_VALUE"""),500000.0)</f>
        <v>500000</v>
      </c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2">
        <f>IFERROR(__xludf.DUMMYFUNCTION("""COMPUTED_VALUE"""),3600000.0)</f>
        <v>3600000</v>
      </c>
      <c r="BD198" s="22">
        <f>IFERROR(__xludf.DUMMYFUNCTION("""COMPUTED_VALUE"""),1600000.0)</f>
        <v>1600000</v>
      </c>
      <c r="BE198" s="22">
        <f>IFERROR(__xludf.DUMMYFUNCTION("""COMPUTED_VALUE"""),0.0)</f>
        <v>0</v>
      </c>
      <c r="BF198" s="22">
        <f>IFERROR(__xludf.DUMMYFUNCTION("""COMPUTED_VALUE"""),5200000.0)</f>
        <v>5200000</v>
      </c>
    </row>
    <row r="199">
      <c r="A199" s="27">
        <f>IFERROR(__xludf.DUMMYFUNCTION("""COMPUTED_VALUE"""),198.0)</f>
        <v>198</v>
      </c>
      <c r="B199" s="28" t="str">
        <f>IFERROR(__xludf.DUMMYFUNCTION("""COMPUTED_VALUE"""),"FITA ARUMNI SEPTHIANY")</f>
        <v>FITA ARUMNI SEPTHIANY</v>
      </c>
      <c r="C199" s="28">
        <f>IFERROR(__xludf.DUMMYFUNCTION("""COMPUTED_VALUE"""),2.024070008E9)</f>
        <v>2024070008</v>
      </c>
      <c r="D199" s="28" t="str">
        <f>IFERROR(__xludf.DUMMYFUNCTION("""COMPUTED_VALUE"""),"SOLADI")</f>
        <v>SOLADI</v>
      </c>
      <c r="E199" s="28" t="str">
        <f>IFERROR(__xludf.DUMMYFUNCTION("""COMPUTED_VALUE"""),"KASTILAH")</f>
        <v>KASTILAH</v>
      </c>
      <c r="F199" s="28" t="str">
        <f>IFERROR(__xludf.DUMMYFUNCTION("""COMPUTED_VALUE"""),"KULURAN RT 4 RW 4 KALITENGAH LAMONGAN")</f>
        <v>KULURAN RT 4 RW 4 KALITENGAH LAMONGAN</v>
      </c>
      <c r="G199" s="28" t="str">
        <f>IFERROR(__xludf.DUMMYFUNCTION("""COMPUTED_VALUE"""),"MA-XII.1")</f>
        <v>MA-XII.1</v>
      </c>
      <c r="H199" s="28" t="str">
        <f>IFERROR(__xludf.DUMMYFUNCTION("""COMPUTED_VALUE"""),"C")</f>
        <v>C</v>
      </c>
      <c r="I199" s="28" t="str">
        <f>IFERROR(__xludf.DUMMYFUNCTION("""COMPUTED_VALUE"""),"C-2")</f>
        <v>C-2</v>
      </c>
      <c r="J199" s="28">
        <f>IFERROR(__xludf.DUMMYFUNCTION("""COMPUTED_VALUE"""),3.0)</f>
        <v>3</v>
      </c>
      <c r="K199" s="28" t="str">
        <f>IFERROR(__xludf.DUMMYFUNCTION("""COMPUTED_VALUE"""),"")</f>
        <v/>
      </c>
      <c r="L199" s="29" t="str">
        <f>IFERROR(__xludf.DUMMYFUNCTION("""COMPUTED_VALUE"""),"6285707808910")</f>
        <v>6285707808910</v>
      </c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2">
        <f>IFERROR(__xludf.DUMMYFUNCTION("""COMPUTED_VALUE"""),500000.0)</f>
        <v>500000</v>
      </c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2">
        <f>IFERROR(__xludf.DUMMYFUNCTION("""COMPUTED_VALUE"""),450000.0)</f>
        <v>450000</v>
      </c>
      <c r="AN199" s="22">
        <f>IFERROR(__xludf.DUMMYFUNCTION("""COMPUTED_VALUE"""),450000.0)</f>
        <v>450000</v>
      </c>
      <c r="AO199" s="28"/>
      <c r="AP199" s="22">
        <f>IFERROR(__xludf.DUMMYFUNCTION("""COMPUTED_VALUE"""),500000.0)</f>
        <v>500000</v>
      </c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2">
        <f>IFERROR(__xludf.DUMMYFUNCTION("""COMPUTED_VALUE"""),900000.0)</f>
        <v>900000</v>
      </c>
      <c r="BD199" s="22">
        <f>IFERROR(__xludf.DUMMYFUNCTION("""COMPUTED_VALUE"""),1000000.0)</f>
        <v>1000000</v>
      </c>
      <c r="BE199" s="22">
        <f>IFERROR(__xludf.DUMMYFUNCTION("""COMPUTED_VALUE"""),0.0)</f>
        <v>0</v>
      </c>
      <c r="BF199" s="22">
        <f>IFERROR(__xludf.DUMMYFUNCTION("""COMPUTED_VALUE"""),1900000.0)</f>
        <v>1900000</v>
      </c>
    </row>
    <row r="200">
      <c r="A200" s="27">
        <f>IFERROR(__xludf.DUMMYFUNCTION("""COMPUTED_VALUE"""),199.0)</f>
        <v>199</v>
      </c>
      <c r="B200" s="28" t="str">
        <f>IFERROR(__xludf.DUMMYFUNCTION("""COMPUTED_VALUE"""),"FLORETA NAFISHA PUTRI")</f>
        <v>FLORETA NAFISHA PUTRI</v>
      </c>
      <c r="C200" s="28">
        <f>IFERROR(__xludf.DUMMYFUNCTION("""COMPUTED_VALUE"""),2.024070422E9)</f>
        <v>2024070422</v>
      </c>
      <c r="D200" s="28" t="str">
        <f>IFERROR(__xludf.DUMMYFUNCTION("""COMPUTED_VALUE"""),"JOKO PURNOMO")</f>
        <v>JOKO PURNOMO</v>
      </c>
      <c r="E200" s="28" t="str">
        <f>IFERROR(__xludf.DUMMYFUNCTION("""COMPUTED_VALUE"""),"PUTRI NINGSIH")</f>
        <v>PUTRI NINGSIH</v>
      </c>
      <c r="F200" s="28" t="str">
        <f>IFERROR(__xludf.DUMMYFUNCTION("""COMPUTED_VALUE"""),"JL. MAWAR NO. 047 SIMBATAN RT 001 RW 001 SARIREJO LAMONGAN")</f>
        <v>JL. MAWAR NO. 047 SIMBATAN RT 001 RW 001 SARIREJO LAMONGAN</v>
      </c>
      <c r="G200" s="28" t="str">
        <f>IFERROR(__xludf.DUMMYFUNCTION("""COMPUTED_VALUE"""),"MA-XII.13")</f>
        <v>MA-XII.13</v>
      </c>
      <c r="H200" s="28" t="str">
        <f>IFERROR(__xludf.DUMMYFUNCTION("""COMPUTED_VALUE"""),"C")</f>
        <v>C</v>
      </c>
      <c r="I200" s="28" t="str">
        <f>IFERROR(__xludf.DUMMYFUNCTION("""COMPUTED_VALUE"""),"C-7")</f>
        <v>C-7</v>
      </c>
      <c r="J200" s="28">
        <f>IFERROR(__xludf.DUMMYFUNCTION("""COMPUTED_VALUE"""),3.0)</f>
        <v>3</v>
      </c>
      <c r="K200" s="28" t="str">
        <f>IFERROR(__xludf.DUMMYFUNCTION("""COMPUTED_VALUE"""),"3 MAK PUTRI")</f>
        <v>3 MAK PUTRI</v>
      </c>
      <c r="L200" s="29" t="str">
        <f>IFERROR(__xludf.DUMMYFUNCTION("""COMPUTED_VALUE"""),"6281559946320")</f>
        <v>6281559946320</v>
      </c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2">
        <f>IFERROR(__xludf.DUMMYFUNCTION("""COMPUTED_VALUE"""),500000.0)</f>
        <v>500000</v>
      </c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2">
        <f>IFERROR(__xludf.DUMMYFUNCTION("""COMPUTED_VALUE"""),500000.0)</f>
        <v>500000</v>
      </c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2">
        <f>IFERROR(__xludf.DUMMYFUNCTION("""COMPUTED_VALUE"""),0.0)</f>
        <v>0</v>
      </c>
      <c r="BD200" s="22">
        <f>IFERROR(__xludf.DUMMYFUNCTION("""COMPUTED_VALUE"""),1000000.0)</f>
        <v>1000000</v>
      </c>
      <c r="BE200" s="22">
        <f>IFERROR(__xludf.DUMMYFUNCTION("""COMPUTED_VALUE"""),0.0)</f>
        <v>0</v>
      </c>
      <c r="BF200" s="22">
        <f>IFERROR(__xludf.DUMMYFUNCTION("""COMPUTED_VALUE"""),1000000.0)</f>
        <v>1000000</v>
      </c>
    </row>
    <row r="201">
      <c r="A201" s="27">
        <f>IFERROR(__xludf.DUMMYFUNCTION("""COMPUTED_VALUE"""),200.0)</f>
        <v>200</v>
      </c>
      <c r="B201" s="28" t="str">
        <f>IFERROR(__xludf.DUMMYFUNCTION("""COMPUTED_VALUE"""),"HANUM CHARISSA AZZAHRA")</f>
        <v>HANUM CHARISSA AZZAHRA</v>
      </c>
      <c r="C201" s="28">
        <f>IFERROR(__xludf.DUMMYFUNCTION("""COMPUTED_VALUE"""),2.024070423E9)</f>
        <v>2024070423</v>
      </c>
      <c r="D201" s="28" t="str">
        <f>IFERROR(__xludf.DUMMYFUNCTION("""COMPUTED_VALUE"""),"CIPTO HARI SUBAGIO")</f>
        <v>CIPTO HARI SUBAGIO</v>
      </c>
      <c r="E201" s="28" t="str">
        <f>IFERROR(__xludf.DUMMYFUNCTION("""COMPUTED_VALUE"""),"AMILLATUL AZIZAH")</f>
        <v>AMILLATUL AZIZAH</v>
      </c>
      <c r="F201" s="28" t="str">
        <f>IFERROR(__xludf.DUMMYFUNCTION("""COMPUTED_VALUE"""),"KACANGAN RT 003 RW 001 MODO LAMONGAN")</f>
        <v>KACANGAN RT 003 RW 001 MODO LAMONGAN</v>
      </c>
      <c r="G201" s="28" t="str">
        <f>IFERROR(__xludf.DUMMYFUNCTION("""COMPUTED_VALUE"""),"MA-XII.13")</f>
        <v>MA-XII.13</v>
      </c>
      <c r="H201" s="28" t="str">
        <f>IFERROR(__xludf.DUMMYFUNCTION("""COMPUTED_VALUE"""),"C")</f>
        <v>C</v>
      </c>
      <c r="I201" s="28" t="str">
        <f>IFERROR(__xludf.DUMMYFUNCTION("""COMPUTED_VALUE"""),"C-7")</f>
        <v>C-7</v>
      </c>
      <c r="J201" s="28">
        <f>IFERROR(__xludf.DUMMYFUNCTION("""COMPUTED_VALUE"""),3.0)</f>
        <v>3</v>
      </c>
      <c r="K201" s="28" t="str">
        <f>IFERROR(__xludf.DUMMYFUNCTION("""COMPUTED_VALUE"""),"3 MAK PUTRI")</f>
        <v>3 MAK PUTRI</v>
      </c>
      <c r="L201" s="29" t="str">
        <f>IFERROR(__xludf.DUMMYFUNCTION("""COMPUTED_VALUE"""),"6285708040713")</f>
        <v>6285708040713</v>
      </c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2">
        <f>IFERROR(__xludf.DUMMYFUNCTION("""COMPUTED_VALUE"""),0.0)</f>
        <v>0</v>
      </c>
      <c r="BD201" s="22">
        <f>IFERROR(__xludf.DUMMYFUNCTION("""COMPUTED_VALUE"""),0.0)</f>
        <v>0</v>
      </c>
      <c r="BE201" s="22">
        <f>IFERROR(__xludf.DUMMYFUNCTION("""COMPUTED_VALUE"""),0.0)</f>
        <v>0</v>
      </c>
      <c r="BF201" s="22">
        <f>IFERROR(__xludf.DUMMYFUNCTION("""COMPUTED_VALUE"""),0.0)</f>
        <v>0</v>
      </c>
    </row>
    <row r="202">
      <c r="A202" s="27">
        <f>IFERROR(__xludf.DUMMYFUNCTION("""COMPUTED_VALUE"""),201.0)</f>
        <v>201</v>
      </c>
      <c r="B202" s="28" t="str">
        <f>IFERROR(__xludf.DUMMYFUNCTION("""COMPUTED_VALUE"""),"HARITSATUN NAJWA ABIDAH ALBANAN")</f>
        <v>HARITSATUN NAJWA ABIDAH ALBANAN</v>
      </c>
      <c r="C202" s="28">
        <f>IFERROR(__xludf.DUMMYFUNCTION("""COMPUTED_VALUE"""),2.024070569E9)</f>
        <v>2024070569</v>
      </c>
      <c r="D202" s="28" t="str">
        <f>IFERROR(__xludf.DUMMYFUNCTION("""COMPUTED_VALUE"""),"TSABIT AL BANAN")</f>
        <v>TSABIT AL BANAN</v>
      </c>
      <c r="E202" s="28" t="str">
        <f>IFERROR(__xludf.DUMMYFUNCTION("""COMPUTED_VALUE"""),"HIDAYATUL ABIDAH")</f>
        <v>HIDAYATUL ABIDAH</v>
      </c>
      <c r="F202" s="28" t="str">
        <f>IFERROR(__xludf.DUMMYFUNCTION("""COMPUTED_VALUE"""),"JANGGAN POMAHANJANGGAN RT 007 RW 003 TURI LAMONGAN")</f>
        <v>JANGGAN POMAHANJANGGAN RT 007 RW 003 TURI LAMONGAN</v>
      </c>
      <c r="G202" s="28" t="str">
        <f>IFERROR(__xludf.DUMMYFUNCTION("""COMPUTED_VALUE"""),"MTS-9 C")</f>
        <v>MTS-9 C</v>
      </c>
      <c r="H202" s="28" t="str">
        <f>IFERROR(__xludf.DUMMYFUNCTION("""COMPUTED_VALUE"""),"C")</f>
        <v>C</v>
      </c>
      <c r="I202" s="28" t="str">
        <f>IFERROR(__xludf.DUMMYFUNCTION("""COMPUTED_VALUE"""),"C-3")</f>
        <v>C-3</v>
      </c>
      <c r="J202" s="28">
        <f>IFERROR(__xludf.DUMMYFUNCTION("""COMPUTED_VALUE"""),3.0)</f>
        <v>3</v>
      </c>
      <c r="K202" s="28" t="str">
        <f>IFERROR(__xludf.DUMMYFUNCTION("""COMPUTED_VALUE"""),"")</f>
        <v/>
      </c>
      <c r="L202" s="29" t="str">
        <f>IFERROR(__xludf.DUMMYFUNCTION("""COMPUTED_VALUE"""),"6285655438946")</f>
        <v>6285655438946</v>
      </c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2">
        <f>IFERROR(__xludf.DUMMYFUNCTION("""COMPUTED_VALUE"""),450000.0)</f>
        <v>450000</v>
      </c>
      <c r="AJ202" s="22">
        <f>IFERROR(__xludf.DUMMYFUNCTION("""COMPUTED_VALUE"""),450000.0)</f>
        <v>450000</v>
      </c>
      <c r="AK202" s="22">
        <f>IFERROR(__xludf.DUMMYFUNCTION("""COMPUTED_VALUE"""),450000.0)</f>
        <v>450000</v>
      </c>
      <c r="AL202" s="22">
        <f>IFERROR(__xludf.DUMMYFUNCTION("""COMPUTED_VALUE"""),450000.0)</f>
        <v>450000</v>
      </c>
      <c r="AM202" s="22">
        <f>IFERROR(__xludf.DUMMYFUNCTION("""COMPUTED_VALUE"""),450000.0)</f>
        <v>450000</v>
      </c>
      <c r="AN202" s="22">
        <f>IFERROR(__xludf.DUMMYFUNCTION("""COMPUTED_VALUE"""),450000.0)</f>
        <v>450000</v>
      </c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2">
        <f>IFERROR(__xludf.DUMMYFUNCTION("""COMPUTED_VALUE"""),2700000.0)</f>
        <v>2700000</v>
      </c>
      <c r="BD202" s="22">
        <f>IFERROR(__xludf.DUMMYFUNCTION("""COMPUTED_VALUE"""),0.0)</f>
        <v>0</v>
      </c>
      <c r="BE202" s="22">
        <f>IFERROR(__xludf.DUMMYFUNCTION("""COMPUTED_VALUE"""),0.0)</f>
        <v>0</v>
      </c>
      <c r="BF202" s="22">
        <f>IFERROR(__xludf.DUMMYFUNCTION("""COMPUTED_VALUE"""),2700000.0)</f>
        <v>2700000</v>
      </c>
    </row>
    <row r="203">
      <c r="A203" s="27">
        <f>IFERROR(__xludf.DUMMYFUNCTION("""COMPUTED_VALUE"""),202.0)</f>
        <v>202</v>
      </c>
      <c r="B203" s="28" t="str">
        <f>IFERROR(__xludf.DUMMYFUNCTION("""COMPUTED_VALUE"""),"HERAWATI ANGGRAINI")</f>
        <v>HERAWATI ANGGRAINI</v>
      </c>
      <c r="C203" s="28">
        <f>IFERROR(__xludf.DUMMYFUNCTION("""COMPUTED_VALUE"""),2.024070228E9)</f>
        <v>2024070228</v>
      </c>
      <c r="D203" s="28" t="str">
        <f>IFERROR(__xludf.DUMMYFUNCTION("""COMPUTED_VALUE"""),"AGUS ARIFIANTO")</f>
        <v>AGUS ARIFIANTO</v>
      </c>
      <c r="E203" s="28" t="str">
        <f>IFERROR(__xludf.DUMMYFUNCTION("""COMPUTED_VALUE"""),"ZUNI INDRIANA")</f>
        <v>ZUNI INDRIANA</v>
      </c>
      <c r="F203" s="28" t="str">
        <f>IFERROR(__xludf.DUMMYFUNCTION("""COMPUTED_VALUE"""),"KADUNG KADUNGREMBUG RT 001 RW 003 SUKODADI LAMONGAN")</f>
        <v>KADUNG KADUNGREMBUG RT 001 RW 003 SUKODADI LAMONGAN</v>
      </c>
      <c r="G203" s="28" t="str">
        <f>IFERROR(__xludf.DUMMYFUNCTION("""COMPUTED_VALUE"""),"MA-XII.6")</f>
        <v>MA-XII.6</v>
      </c>
      <c r="H203" s="28" t="str">
        <f>IFERROR(__xludf.DUMMYFUNCTION("""COMPUTED_VALUE"""),"C")</f>
        <v>C</v>
      </c>
      <c r="I203" s="28" t="str">
        <f>IFERROR(__xludf.DUMMYFUNCTION("""COMPUTED_VALUE"""),"C-9")</f>
        <v>C-9</v>
      </c>
      <c r="J203" s="28">
        <f>IFERROR(__xludf.DUMMYFUNCTION("""COMPUTED_VALUE"""),3.0)</f>
        <v>3</v>
      </c>
      <c r="K203" s="28" t="str">
        <f>IFERROR(__xludf.DUMMYFUNCTION("""COMPUTED_VALUE"""),"3 WUSTHO C PUTRI")</f>
        <v>3 WUSTHO C PUTRI</v>
      </c>
      <c r="L203" s="29" t="str">
        <f>IFERROR(__xludf.DUMMYFUNCTION("""COMPUTED_VALUE"""),"6285708807835")</f>
        <v>6285708807835</v>
      </c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2">
        <f>IFERROR(__xludf.DUMMYFUNCTION("""COMPUTED_VALUE"""),0.0)</f>
        <v>0</v>
      </c>
      <c r="BD203" s="22">
        <f>IFERROR(__xludf.DUMMYFUNCTION("""COMPUTED_VALUE"""),0.0)</f>
        <v>0</v>
      </c>
      <c r="BE203" s="22">
        <f>IFERROR(__xludf.DUMMYFUNCTION("""COMPUTED_VALUE"""),0.0)</f>
        <v>0</v>
      </c>
      <c r="BF203" s="22">
        <f>IFERROR(__xludf.DUMMYFUNCTION("""COMPUTED_VALUE"""),0.0)</f>
        <v>0</v>
      </c>
    </row>
    <row r="204">
      <c r="A204" s="27">
        <f>IFERROR(__xludf.DUMMYFUNCTION("""COMPUTED_VALUE"""),203.0)</f>
        <v>203</v>
      </c>
      <c r="B204" s="28" t="str">
        <f>IFERROR(__xludf.DUMMYFUNCTION("""COMPUTED_VALUE"""),"HIMMATU ZAWA ARRIFA")</f>
        <v>HIMMATU ZAWA ARRIFA</v>
      </c>
      <c r="C204" s="28">
        <f>IFERROR(__xludf.DUMMYFUNCTION("""COMPUTED_VALUE"""),2.024070076E9)</f>
        <v>2024070076</v>
      </c>
      <c r="D204" s="28" t="str">
        <f>IFERROR(__xludf.DUMMYFUNCTION("""COMPUTED_VALUE"""),"MOCH. RIFA`I")</f>
        <v>MOCH. RIFA`I</v>
      </c>
      <c r="E204" s="28" t="str">
        <f>IFERROR(__xludf.DUMMYFUNCTION("""COMPUTED_VALUE"""),"SITI HALIMAH")</f>
        <v>SITI HALIMAH</v>
      </c>
      <c r="F204" s="28" t="str">
        <f>IFERROR(__xludf.DUMMYFUNCTION("""COMPUTED_VALUE"""),"SIDOMULYO RT 003 RW 003 DEKET LAMONGAN")</f>
        <v>SIDOMULYO RT 003 RW 003 DEKET LAMONGAN</v>
      </c>
      <c r="G204" s="28" t="str">
        <f>IFERROR(__xludf.DUMMYFUNCTION("""COMPUTED_VALUE"""),"MA-XII.3")</f>
        <v>MA-XII.3</v>
      </c>
      <c r="H204" s="28" t="str">
        <f>IFERROR(__xludf.DUMMYFUNCTION("""COMPUTED_VALUE"""),"C")</f>
        <v>C</v>
      </c>
      <c r="I204" s="28" t="str">
        <f>IFERROR(__xludf.DUMMYFUNCTION("""COMPUTED_VALUE"""),"C-8")</f>
        <v>C-8</v>
      </c>
      <c r="J204" s="28">
        <f>IFERROR(__xludf.DUMMYFUNCTION("""COMPUTED_VALUE"""),3.0)</f>
        <v>3</v>
      </c>
      <c r="K204" s="28" t="str">
        <f>IFERROR(__xludf.DUMMYFUNCTION("""COMPUTED_VALUE"""),"3 WUSTHO B PUTRI")</f>
        <v>3 WUSTHO B PUTRI</v>
      </c>
      <c r="L204" s="29" t="str">
        <f>IFERROR(__xludf.DUMMYFUNCTION("""COMPUTED_VALUE"""),"6285748986490")</f>
        <v>6285748986490</v>
      </c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2">
        <f>IFERROR(__xludf.DUMMYFUNCTION("""COMPUTED_VALUE"""),500000.0)</f>
        <v>500000</v>
      </c>
      <c r="AC204" s="28"/>
      <c r="AD204" s="28"/>
      <c r="AE204" s="28"/>
      <c r="AF204" s="28"/>
      <c r="AG204" s="28"/>
      <c r="AH204" s="22">
        <f>IFERROR(__xludf.DUMMYFUNCTION("""COMPUTED_VALUE"""),450000.0)</f>
        <v>450000</v>
      </c>
      <c r="AI204" s="22">
        <f>IFERROR(__xludf.DUMMYFUNCTION("""COMPUTED_VALUE"""),450000.0)</f>
        <v>450000</v>
      </c>
      <c r="AJ204" s="22">
        <f>IFERROR(__xludf.DUMMYFUNCTION("""COMPUTED_VALUE"""),450000.0)</f>
        <v>450000</v>
      </c>
      <c r="AK204" s="22">
        <f>IFERROR(__xludf.DUMMYFUNCTION("""COMPUTED_VALUE"""),450000.0)</f>
        <v>450000</v>
      </c>
      <c r="AL204" s="22">
        <f>IFERROR(__xludf.DUMMYFUNCTION("""COMPUTED_VALUE"""),450000.0)</f>
        <v>450000</v>
      </c>
      <c r="AM204" s="22">
        <f>IFERROR(__xludf.DUMMYFUNCTION("""COMPUTED_VALUE"""),450000.0)</f>
        <v>450000</v>
      </c>
      <c r="AN204" s="22">
        <f>IFERROR(__xludf.DUMMYFUNCTION("""COMPUTED_VALUE"""),450000.0)</f>
        <v>450000</v>
      </c>
      <c r="AO204" s="28"/>
      <c r="AP204" s="22">
        <f>IFERROR(__xludf.DUMMYFUNCTION("""COMPUTED_VALUE"""),500000.0)</f>
        <v>500000</v>
      </c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2">
        <f>IFERROR(__xludf.DUMMYFUNCTION("""COMPUTED_VALUE"""),3150000.0)</f>
        <v>3150000</v>
      </c>
      <c r="BD204" s="22">
        <f>IFERROR(__xludf.DUMMYFUNCTION("""COMPUTED_VALUE"""),1000000.0)</f>
        <v>1000000</v>
      </c>
      <c r="BE204" s="22">
        <f>IFERROR(__xludf.DUMMYFUNCTION("""COMPUTED_VALUE"""),0.0)</f>
        <v>0</v>
      </c>
      <c r="BF204" s="22">
        <f>IFERROR(__xludf.DUMMYFUNCTION("""COMPUTED_VALUE"""),4150000.0)</f>
        <v>4150000</v>
      </c>
    </row>
    <row r="205">
      <c r="A205" s="27">
        <f>IFERROR(__xludf.DUMMYFUNCTION("""COMPUTED_VALUE"""),204.0)</f>
        <v>204</v>
      </c>
      <c r="B205" s="28" t="str">
        <f>IFERROR(__xludf.DUMMYFUNCTION("""COMPUTED_VALUE"""),"HUMAIRA AISH FAIHA")</f>
        <v>HUMAIRA AISH FAIHA</v>
      </c>
      <c r="C205" s="28">
        <f>IFERROR(__xludf.DUMMYFUNCTION("""COMPUTED_VALUE"""),2.024070009E9)</f>
        <v>2024070009</v>
      </c>
      <c r="D205" s="28" t="str">
        <f>IFERROR(__xludf.DUMMYFUNCTION("""COMPUTED_VALUE"""),"SUYANTO")</f>
        <v>SUYANTO</v>
      </c>
      <c r="E205" s="28" t="str">
        <f>IFERROR(__xludf.DUMMYFUNCTION("""COMPUTED_VALUE"""),"SITI MUTIAH")</f>
        <v>SITI MUTIAH</v>
      </c>
      <c r="F205" s="28" t="str">
        <f>IFERROR(__xludf.DUMMYFUNCTION("""COMPUTED_VALUE"""),"GLATIK RT 010 RW 003 UJUNGPANGKAH GRESIK")</f>
        <v>GLATIK RT 010 RW 003 UJUNGPANGKAH GRESIK</v>
      </c>
      <c r="G205" s="28" t="str">
        <f>IFERROR(__xludf.DUMMYFUNCTION("""COMPUTED_VALUE"""),"MA-XII.1")</f>
        <v>MA-XII.1</v>
      </c>
      <c r="H205" s="28" t="str">
        <f>IFERROR(__xludf.DUMMYFUNCTION("""COMPUTED_VALUE"""),"C")</f>
        <v>C</v>
      </c>
      <c r="I205" s="28" t="str">
        <f>IFERROR(__xludf.DUMMYFUNCTION("""COMPUTED_VALUE"""),"C-2")</f>
        <v>C-2</v>
      </c>
      <c r="J205" s="28">
        <f>IFERROR(__xludf.DUMMYFUNCTION("""COMPUTED_VALUE"""),3.0)</f>
        <v>3</v>
      </c>
      <c r="K205" s="28" t="str">
        <f>IFERROR(__xludf.DUMMYFUNCTION("""COMPUTED_VALUE"""),"")</f>
        <v/>
      </c>
      <c r="L205" s="29" t="str">
        <f>IFERROR(__xludf.DUMMYFUNCTION("""COMPUTED_VALUE"""),"62859185949449")</f>
        <v>62859185949449</v>
      </c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2">
        <f>IFERROR(__xludf.DUMMYFUNCTION("""COMPUTED_VALUE"""),0.0)</f>
        <v>0</v>
      </c>
      <c r="BD205" s="22">
        <f>IFERROR(__xludf.DUMMYFUNCTION("""COMPUTED_VALUE"""),0.0)</f>
        <v>0</v>
      </c>
      <c r="BE205" s="22">
        <f>IFERROR(__xludf.DUMMYFUNCTION("""COMPUTED_VALUE"""),0.0)</f>
        <v>0</v>
      </c>
      <c r="BF205" s="22">
        <f>IFERROR(__xludf.DUMMYFUNCTION("""COMPUTED_VALUE"""),0.0)</f>
        <v>0</v>
      </c>
    </row>
    <row r="206">
      <c r="A206" s="27">
        <f>IFERROR(__xludf.DUMMYFUNCTION("""COMPUTED_VALUE"""),205.0)</f>
        <v>205</v>
      </c>
      <c r="B206" s="28" t="str">
        <f>IFERROR(__xludf.DUMMYFUNCTION("""COMPUTED_VALUE"""),"IKROMAH DZATIS SAKINAH")</f>
        <v>IKROMAH DZATIS SAKINAH</v>
      </c>
      <c r="C206" s="28">
        <f>IFERROR(__xludf.DUMMYFUNCTION("""COMPUTED_VALUE"""),2.024070424E9)</f>
        <v>2024070424</v>
      </c>
      <c r="D206" s="28" t="str">
        <f>IFERROR(__xludf.DUMMYFUNCTION("""COMPUTED_VALUE"""),"SULADI")</f>
        <v>SULADI</v>
      </c>
      <c r="E206" s="28" t="str">
        <f>IFERROR(__xludf.DUMMYFUNCTION("""COMPUTED_VALUE"""),"SULASTRI")</f>
        <v>SULASTRI</v>
      </c>
      <c r="F206" s="28" t="str">
        <f>IFERROR(__xludf.DUMMYFUNCTION("""COMPUTED_VALUE"""),"PUTATREJO PUTATBANGAH RT 002 RW 003 KARANGBINANGUN LAMONGAN")</f>
        <v>PUTATREJO PUTATBANGAH RT 002 RW 003 KARANGBINANGUN LAMONGAN</v>
      </c>
      <c r="G206" s="28" t="str">
        <f>IFERROR(__xludf.DUMMYFUNCTION("""COMPUTED_VALUE"""),"MA-XII.13")</f>
        <v>MA-XII.13</v>
      </c>
      <c r="H206" s="28" t="str">
        <f>IFERROR(__xludf.DUMMYFUNCTION("""COMPUTED_VALUE"""),"C")</f>
        <v>C</v>
      </c>
      <c r="I206" s="28" t="str">
        <f>IFERROR(__xludf.DUMMYFUNCTION("""COMPUTED_VALUE"""),"C-7")</f>
        <v>C-7</v>
      </c>
      <c r="J206" s="28">
        <f>IFERROR(__xludf.DUMMYFUNCTION("""COMPUTED_VALUE"""),3.0)</f>
        <v>3</v>
      </c>
      <c r="K206" s="28" t="str">
        <f>IFERROR(__xludf.DUMMYFUNCTION("""COMPUTED_VALUE"""),"3 MAK PUTRI")</f>
        <v>3 MAK PUTRI</v>
      </c>
      <c r="L206" s="29" t="str">
        <f>IFERROR(__xludf.DUMMYFUNCTION("""COMPUTED_VALUE"""),"628554660287")</f>
        <v>628554660287</v>
      </c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2">
        <f>IFERROR(__xludf.DUMMYFUNCTION("""COMPUTED_VALUE"""),0.0)</f>
        <v>0</v>
      </c>
      <c r="BD206" s="22">
        <f>IFERROR(__xludf.DUMMYFUNCTION("""COMPUTED_VALUE"""),0.0)</f>
        <v>0</v>
      </c>
      <c r="BE206" s="22">
        <f>IFERROR(__xludf.DUMMYFUNCTION("""COMPUTED_VALUE"""),0.0)</f>
        <v>0</v>
      </c>
      <c r="BF206" s="22">
        <f>IFERROR(__xludf.DUMMYFUNCTION("""COMPUTED_VALUE"""),0.0)</f>
        <v>0</v>
      </c>
    </row>
    <row r="207">
      <c r="A207" s="27">
        <f>IFERROR(__xludf.DUMMYFUNCTION("""COMPUTED_VALUE"""),206.0)</f>
        <v>206</v>
      </c>
      <c r="B207" s="28" t="str">
        <f>IFERROR(__xludf.DUMMYFUNCTION("""COMPUTED_VALUE"""),"INTAN FAZIRAWATI")</f>
        <v>INTAN FAZIRAWATI</v>
      </c>
      <c r="C207" s="28">
        <f>IFERROR(__xludf.DUMMYFUNCTION("""COMPUTED_VALUE"""),2.02407001E9)</f>
        <v>2024070010</v>
      </c>
      <c r="D207" s="28" t="str">
        <f>IFERROR(__xludf.DUMMYFUNCTION("""COMPUTED_VALUE"""),"MOCHAMAD FAIZIN")</f>
        <v>MOCHAMAD FAIZIN</v>
      </c>
      <c r="E207" s="28" t="str">
        <f>IFERROR(__xludf.DUMMYFUNCTION("""COMPUTED_VALUE"""),"SUDARWATI")</f>
        <v>SUDARWATI</v>
      </c>
      <c r="F207" s="28" t="str">
        <f>IFERROR(__xludf.DUMMYFUNCTION("""COMPUTED_VALUE"""),"GEDONGOMBO RT 4 RW 12 SEMANDING TUBAN")</f>
        <v>GEDONGOMBO RT 4 RW 12 SEMANDING TUBAN</v>
      </c>
      <c r="G207" s="28" t="str">
        <f>IFERROR(__xludf.DUMMYFUNCTION("""COMPUTED_VALUE"""),"MA-XII.1")</f>
        <v>MA-XII.1</v>
      </c>
      <c r="H207" s="28" t="str">
        <f>IFERROR(__xludf.DUMMYFUNCTION("""COMPUTED_VALUE"""),"C")</f>
        <v>C</v>
      </c>
      <c r="I207" s="28" t="str">
        <f>IFERROR(__xludf.DUMMYFUNCTION("""COMPUTED_VALUE"""),"C-2")</f>
        <v>C-2</v>
      </c>
      <c r="J207" s="28">
        <f>IFERROR(__xludf.DUMMYFUNCTION("""COMPUTED_VALUE"""),3.0)</f>
        <v>3</v>
      </c>
      <c r="K207" s="28" t="str">
        <f>IFERROR(__xludf.DUMMYFUNCTION("""COMPUTED_VALUE"""),"")</f>
        <v/>
      </c>
      <c r="L207" s="29" t="str">
        <f>IFERROR(__xludf.DUMMYFUNCTION("""COMPUTED_VALUE"""),"6285607770247")</f>
        <v>6285607770247</v>
      </c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2">
        <f>IFERROR(__xludf.DUMMYFUNCTION("""COMPUTED_VALUE"""),0.0)</f>
        <v>0</v>
      </c>
      <c r="BD207" s="22">
        <f>IFERROR(__xludf.DUMMYFUNCTION("""COMPUTED_VALUE"""),0.0)</f>
        <v>0</v>
      </c>
      <c r="BE207" s="22">
        <f>IFERROR(__xludf.DUMMYFUNCTION("""COMPUTED_VALUE"""),0.0)</f>
        <v>0</v>
      </c>
      <c r="BF207" s="22">
        <f>IFERROR(__xludf.DUMMYFUNCTION("""COMPUTED_VALUE"""),0.0)</f>
        <v>0</v>
      </c>
    </row>
    <row r="208">
      <c r="A208" s="27">
        <f>IFERROR(__xludf.DUMMYFUNCTION("""COMPUTED_VALUE"""),207.0)</f>
        <v>207</v>
      </c>
      <c r="B208" s="28" t="str">
        <f>IFERROR(__xludf.DUMMYFUNCTION("""COMPUTED_VALUE"""),"ISMAUL HUSNAH")</f>
        <v>ISMAUL HUSNAH</v>
      </c>
      <c r="C208" s="28">
        <f>IFERROR(__xludf.DUMMYFUNCTION("""COMPUTED_VALUE"""),2.024070704E9)</f>
        <v>2024070704</v>
      </c>
      <c r="D208" s="28" t="str">
        <f>IFERROR(__xludf.DUMMYFUNCTION("""COMPUTED_VALUE"""),"AJIB")</f>
        <v>AJIB</v>
      </c>
      <c r="E208" s="28" t="str">
        <f>IFERROR(__xludf.DUMMYFUNCTION("""COMPUTED_VALUE"""),"AMINAH")</f>
        <v>AMINAH</v>
      </c>
      <c r="F208" s="28" t="str">
        <f>IFERROR(__xludf.DUMMYFUNCTION("""COMPUTED_VALUE"""),"KLATING TAKERANKLATING RT 002 RW 001 TIKUNG LAMONGAN")</f>
        <v>KLATING TAKERANKLATING RT 002 RW 001 TIKUNG LAMONGAN</v>
      </c>
      <c r="G208" s="28" t="str">
        <f>IFERROR(__xludf.DUMMYFUNCTION("""COMPUTED_VALUE"""),"SMK-XII LPb")</f>
        <v>SMK-XII LPb</v>
      </c>
      <c r="H208" s="28" t="str">
        <f>IFERROR(__xludf.DUMMYFUNCTION("""COMPUTED_VALUE"""),"C")</f>
        <v>C</v>
      </c>
      <c r="I208" s="28" t="str">
        <f>IFERROR(__xludf.DUMMYFUNCTION("""COMPUTED_VALUE"""),"C-8")</f>
        <v>C-8</v>
      </c>
      <c r="J208" s="28">
        <f>IFERROR(__xludf.DUMMYFUNCTION("""COMPUTED_VALUE"""),3.0)</f>
        <v>3</v>
      </c>
      <c r="K208" s="28" t="str">
        <f>IFERROR(__xludf.DUMMYFUNCTION("""COMPUTED_VALUE"""),"3 WUSTHO A PUTRI")</f>
        <v>3 WUSTHO A PUTRI</v>
      </c>
      <c r="L208" s="29" t="str">
        <f>IFERROR(__xludf.DUMMYFUNCTION("""COMPUTED_VALUE"""),"6285604656734")</f>
        <v>6285604656734</v>
      </c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2">
        <f>IFERROR(__xludf.DUMMYFUNCTION("""COMPUTED_VALUE"""),450000.0)</f>
        <v>450000</v>
      </c>
      <c r="AN208" s="22">
        <f>IFERROR(__xludf.DUMMYFUNCTION("""COMPUTED_VALUE"""),450000.0)</f>
        <v>450000</v>
      </c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2">
        <f>IFERROR(__xludf.DUMMYFUNCTION("""COMPUTED_VALUE"""),900000.0)</f>
        <v>900000</v>
      </c>
      <c r="BD208" s="22">
        <f>IFERROR(__xludf.DUMMYFUNCTION("""COMPUTED_VALUE"""),0.0)</f>
        <v>0</v>
      </c>
      <c r="BE208" s="22">
        <f>IFERROR(__xludf.DUMMYFUNCTION("""COMPUTED_VALUE"""),0.0)</f>
        <v>0</v>
      </c>
      <c r="BF208" s="22">
        <f>IFERROR(__xludf.DUMMYFUNCTION("""COMPUTED_VALUE"""),900000.0)</f>
        <v>900000</v>
      </c>
    </row>
    <row r="209">
      <c r="A209" s="27">
        <f>IFERROR(__xludf.DUMMYFUNCTION("""COMPUTED_VALUE"""),208.0)</f>
        <v>208</v>
      </c>
      <c r="B209" s="28" t="str">
        <f>IFERROR(__xludf.DUMMYFUNCTION("""COMPUTED_VALUE"""),"KANZA DINA AQWIYA")</f>
        <v>KANZA DINA AQWIYA</v>
      </c>
      <c r="C209" s="28">
        <f>IFERROR(__xludf.DUMMYFUNCTION("""COMPUTED_VALUE"""),2.024070012E9)</f>
        <v>2024070012</v>
      </c>
      <c r="D209" s="28" t="str">
        <f>IFERROR(__xludf.DUMMYFUNCTION("""COMPUTED_VALUE"""),"MAFTUKHIN")</f>
        <v>MAFTUKHIN</v>
      </c>
      <c r="E209" s="28" t="str">
        <f>IFERROR(__xludf.DUMMYFUNCTION("""COMPUTED_VALUE"""),"ZAMALIYAH")</f>
        <v>ZAMALIYAH</v>
      </c>
      <c r="F209" s="28" t="str">
        <f>IFERROR(__xludf.DUMMYFUNCTION("""COMPUTED_VALUE"""),"SIDOMULYO RT 1 RW 1 SIDAYU GRESIK")</f>
        <v>SIDOMULYO RT 1 RW 1 SIDAYU GRESIK</v>
      </c>
      <c r="G209" s="28" t="str">
        <f>IFERROR(__xludf.DUMMYFUNCTION("""COMPUTED_VALUE"""),"MA-XII.1")</f>
        <v>MA-XII.1</v>
      </c>
      <c r="H209" s="28" t="str">
        <f>IFERROR(__xludf.DUMMYFUNCTION("""COMPUTED_VALUE"""),"C")</f>
        <v>C</v>
      </c>
      <c r="I209" s="28" t="str">
        <f>IFERROR(__xludf.DUMMYFUNCTION("""COMPUTED_VALUE"""),"C-2")</f>
        <v>C-2</v>
      </c>
      <c r="J209" s="28">
        <f>IFERROR(__xludf.DUMMYFUNCTION("""COMPUTED_VALUE"""),3.0)</f>
        <v>3</v>
      </c>
      <c r="K209" s="28" t="str">
        <f>IFERROR(__xludf.DUMMYFUNCTION("""COMPUTED_VALUE"""),"")</f>
        <v/>
      </c>
      <c r="L209" s="29" t="str">
        <f>IFERROR(__xludf.DUMMYFUNCTION("""COMPUTED_VALUE"""),"6285100650399")</f>
        <v>6285100650399</v>
      </c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2">
        <f>IFERROR(__xludf.DUMMYFUNCTION("""COMPUTED_VALUE"""),0.0)</f>
        <v>0</v>
      </c>
      <c r="BD209" s="22">
        <f>IFERROR(__xludf.DUMMYFUNCTION("""COMPUTED_VALUE"""),0.0)</f>
        <v>0</v>
      </c>
      <c r="BE209" s="22">
        <f>IFERROR(__xludf.DUMMYFUNCTION("""COMPUTED_VALUE"""),0.0)</f>
        <v>0</v>
      </c>
      <c r="BF209" s="22">
        <f>IFERROR(__xludf.DUMMYFUNCTION("""COMPUTED_VALUE"""),0.0)</f>
        <v>0</v>
      </c>
    </row>
    <row r="210">
      <c r="A210" s="27">
        <f>IFERROR(__xludf.DUMMYFUNCTION("""COMPUTED_VALUE"""),209.0)</f>
        <v>209</v>
      </c>
      <c r="B210" s="28" t="str">
        <f>IFERROR(__xludf.DUMMYFUNCTION("""COMPUTED_VALUE"""),"KAYLA KHUSUS FATIMATUZZAHRO")</f>
        <v>KAYLA KHUSUS FATIMATUZZAHRO</v>
      </c>
      <c r="C210" s="28">
        <f>IFERROR(__xludf.DUMMYFUNCTION("""COMPUTED_VALUE"""),2.02407057E9)</f>
        <v>2024070570</v>
      </c>
      <c r="D210" s="28" t="str">
        <f>IFERROR(__xludf.DUMMYFUNCTION("""COMPUTED_VALUE"""),"KHUSAINI")</f>
        <v>KHUSAINI</v>
      </c>
      <c r="E210" s="28" t="str">
        <f>IFERROR(__xludf.DUMMYFUNCTION("""COMPUTED_VALUE"""),"SRI SUSYATI")</f>
        <v>SRI SUSYATI</v>
      </c>
      <c r="F210" s="28" t="str">
        <f>IFERROR(__xludf.DUMMYFUNCTION("""COMPUTED_VALUE"""),"KARANGANOM RT 002 RW 001 KARANGBINANGUN LAMONGAN")</f>
        <v>KARANGANOM RT 002 RW 001 KARANGBINANGUN LAMONGAN</v>
      </c>
      <c r="G210" s="28" t="str">
        <f>IFERROR(__xludf.DUMMYFUNCTION("""COMPUTED_VALUE"""),"MTS-9 H")</f>
        <v>MTS-9 H</v>
      </c>
      <c r="H210" s="28" t="str">
        <f>IFERROR(__xludf.DUMMYFUNCTION("""COMPUTED_VALUE"""),"C")</f>
        <v>C</v>
      </c>
      <c r="I210" s="28" t="str">
        <f>IFERROR(__xludf.DUMMYFUNCTION("""COMPUTED_VALUE"""),"C-12")</f>
        <v>C-12</v>
      </c>
      <c r="J210" s="28">
        <f>IFERROR(__xludf.DUMMYFUNCTION("""COMPUTED_VALUE"""),3.0)</f>
        <v>3</v>
      </c>
      <c r="K210" s="28" t="str">
        <f>IFERROR(__xludf.DUMMYFUNCTION("""COMPUTED_VALUE"""),"")</f>
        <v/>
      </c>
      <c r="L210" s="29" t="str">
        <f>IFERROR(__xludf.DUMMYFUNCTION("""COMPUTED_VALUE"""),"6285802507179")</f>
        <v>6285802507179</v>
      </c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2">
        <f>IFERROR(__xludf.DUMMYFUNCTION("""COMPUTED_VALUE"""),0.0)</f>
        <v>0</v>
      </c>
      <c r="BD210" s="22">
        <f>IFERROR(__xludf.DUMMYFUNCTION("""COMPUTED_VALUE"""),0.0)</f>
        <v>0</v>
      </c>
      <c r="BE210" s="22">
        <f>IFERROR(__xludf.DUMMYFUNCTION("""COMPUTED_VALUE"""),0.0)</f>
        <v>0</v>
      </c>
      <c r="BF210" s="22">
        <f>IFERROR(__xludf.DUMMYFUNCTION("""COMPUTED_VALUE"""),0.0)</f>
        <v>0</v>
      </c>
    </row>
    <row r="211">
      <c r="A211" s="27">
        <f>IFERROR(__xludf.DUMMYFUNCTION("""COMPUTED_VALUE"""),210.0)</f>
        <v>210</v>
      </c>
      <c r="B211" s="28" t="str">
        <f>IFERROR(__xludf.DUMMYFUNCTION("""COMPUTED_VALUE"""),"KHAIRANI PUTRI ANGGRAINI")</f>
        <v>KHAIRANI PUTRI ANGGRAINI</v>
      </c>
      <c r="C211" s="28">
        <f>IFERROR(__xludf.DUMMYFUNCTION("""COMPUTED_VALUE"""),2.024070013E9)</f>
        <v>2024070013</v>
      </c>
      <c r="D211" s="28" t="str">
        <f>IFERROR(__xludf.DUMMYFUNCTION("""COMPUTED_VALUE"""),"MAHFUD RIDWAN")</f>
        <v>MAHFUD RIDWAN</v>
      </c>
      <c r="E211" s="28" t="str">
        <f>IFERROR(__xludf.DUMMYFUNCTION("""COMPUTED_VALUE"""),"MUSYARROFAH")</f>
        <v>MUSYARROFAH</v>
      </c>
      <c r="F211" s="28" t="str">
        <f>IFERROR(__xludf.DUMMYFUNCTION("""COMPUTED_VALUE"""),"KEDANYANG RT 4 RW 15 KEBOMAS GRESIK")</f>
        <v>KEDANYANG RT 4 RW 15 KEBOMAS GRESIK</v>
      </c>
      <c r="G211" s="28" t="str">
        <f>IFERROR(__xludf.DUMMYFUNCTION("""COMPUTED_VALUE"""),"MA-XII.1")</f>
        <v>MA-XII.1</v>
      </c>
      <c r="H211" s="28" t="str">
        <f>IFERROR(__xludf.DUMMYFUNCTION("""COMPUTED_VALUE"""),"C")</f>
        <v>C</v>
      </c>
      <c r="I211" s="28" t="str">
        <f>IFERROR(__xludf.DUMMYFUNCTION("""COMPUTED_VALUE"""),"C-2")</f>
        <v>C-2</v>
      </c>
      <c r="J211" s="28">
        <f>IFERROR(__xludf.DUMMYFUNCTION("""COMPUTED_VALUE"""),3.0)</f>
        <v>3</v>
      </c>
      <c r="K211" s="28" t="str">
        <f>IFERROR(__xludf.DUMMYFUNCTION("""COMPUTED_VALUE"""),"")</f>
        <v/>
      </c>
      <c r="L211" s="29" t="str">
        <f>IFERROR(__xludf.DUMMYFUNCTION("""COMPUTED_VALUE"""),"6282131012610")</f>
        <v>6282131012610</v>
      </c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2">
        <f>IFERROR(__xludf.DUMMYFUNCTION("""COMPUTED_VALUE"""),0.0)</f>
        <v>0</v>
      </c>
      <c r="BD211" s="22">
        <f>IFERROR(__xludf.DUMMYFUNCTION("""COMPUTED_VALUE"""),0.0)</f>
        <v>0</v>
      </c>
      <c r="BE211" s="22">
        <f>IFERROR(__xludf.DUMMYFUNCTION("""COMPUTED_VALUE"""),0.0)</f>
        <v>0</v>
      </c>
      <c r="BF211" s="22">
        <f>IFERROR(__xludf.DUMMYFUNCTION("""COMPUTED_VALUE"""),0.0)</f>
        <v>0</v>
      </c>
    </row>
    <row r="212">
      <c r="A212" s="27">
        <f>IFERROR(__xludf.DUMMYFUNCTION("""COMPUTED_VALUE"""),211.0)</f>
        <v>211</v>
      </c>
      <c r="B212" s="28" t="str">
        <f>IFERROR(__xludf.DUMMYFUNCTION("""COMPUTED_VALUE"""),"KHANSA LABIBAH")</f>
        <v>KHANSA LABIBAH</v>
      </c>
      <c r="C212" s="28">
        <f>IFERROR(__xludf.DUMMYFUNCTION("""COMPUTED_VALUE"""),2.024070543E9)</f>
        <v>2024070543</v>
      </c>
      <c r="D212" s="28" t="str">
        <f>IFERROR(__xludf.DUMMYFUNCTION("""COMPUTED_VALUE"""),"MOH FAJAR TRISNAAMIJAYA")</f>
        <v>MOH FAJAR TRISNAAMIJAYA</v>
      </c>
      <c r="E212" s="28" t="str">
        <f>IFERROR(__xludf.DUMMYFUNCTION("""COMPUTED_VALUE"""),"MAZIDHATUL CHUSNIYA")</f>
        <v>MAZIDHATUL CHUSNIYA</v>
      </c>
      <c r="F212" s="28" t="str">
        <f>IFERROR(__xludf.DUMMYFUNCTION("""COMPUTED_VALUE"""),"SEMBUNGAN KIDUL RT 003 RW 002 DUKUN GRESIK")</f>
        <v>SEMBUNGAN KIDUL RT 003 RW 002 DUKUN GRESIK</v>
      </c>
      <c r="G212" s="28" t="str">
        <f>IFERROR(__xludf.DUMMYFUNCTION("""COMPUTED_VALUE"""),"MTS-9 G")</f>
        <v>MTS-9 G</v>
      </c>
      <c r="H212" s="28" t="str">
        <f>IFERROR(__xludf.DUMMYFUNCTION("""COMPUTED_VALUE"""),"C")</f>
        <v>C</v>
      </c>
      <c r="I212" s="28" t="str">
        <f>IFERROR(__xludf.DUMMYFUNCTION("""COMPUTED_VALUE"""),"C-3")</f>
        <v>C-3</v>
      </c>
      <c r="J212" s="28">
        <f>IFERROR(__xludf.DUMMYFUNCTION("""COMPUTED_VALUE"""),3.0)</f>
        <v>3</v>
      </c>
      <c r="K212" s="28" t="str">
        <f>IFERROR(__xludf.DUMMYFUNCTION("""COMPUTED_VALUE"""),"3 ULA A PUTRI")</f>
        <v>3 ULA A PUTRI</v>
      </c>
      <c r="L212" s="29" t="str">
        <f>IFERROR(__xludf.DUMMYFUNCTION("""COMPUTED_VALUE"""),"6285895280860")</f>
        <v>6285895280860</v>
      </c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2">
        <f>IFERROR(__xludf.DUMMYFUNCTION("""COMPUTED_VALUE"""),0.0)</f>
        <v>0</v>
      </c>
      <c r="BD212" s="22">
        <f>IFERROR(__xludf.DUMMYFUNCTION("""COMPUTED_VALUE"""),0.0)</f>
        <v>0</v>
      </c>
      <c r="BE212" s="22">
        <f>IFERROR(__xludf.DUMMYFUNCTION("""COMPUTED_VALUE"""),0.0)</f>
        <v>0</v>
      </c>
      <c r="BF212" s="22">
        <f>IFERROR(__xludf.DUMMYFUNCTION("""COMPUTED_VALUE"""),0.0)</f>
        <v>0</v>
      </c>
    </row>
    <row r="213">
      <c r="A213" s="27">
        <f>IFERROR(__xludf.DUMMYFUNCTION("""COMPUTED_VALUE"""),212.0)</f>
        <v>212</v>
      </c>
      <c r="B213" s="28" t="str">
        <f>IFERROR(__xludf.DUMMYFUNCTION("""COMPUTED_VALUE"""),"KHILDAH KHOIRINA")</f>
        <v>KHILDAH KHOIRINA</v>
      </c>
      <c r="C213" s="28">
        <f>IFERROR(__xludf.DUMMYFUNCTION("""COMPUTED_VALUE"""),2.024070078E9)</f>
        <v>2024070078</v>
      </c>
      <c r="D213" s="28" t="str">
        <f>IFERROR(__xludf.DUMMYFUNCTION("""COMPUTED_VALUE"""),"KHOIRUN")</f>
        <v>KHOIRUN</v>
      </c>
      <c r="E213" s="28" t="str">
        <f>IFERROR(__xludf.DUMMYFUNCTION("""COMPUTED_VALUE"""),"AFWAH")</f>
        <v>AFWAH</v>
      </c>
      <c r="F213" s="28" t="str">
        <f>IFERROR(__xludf.DUMMYFUNCTION("""COMPUTED_VALUE"""),"IMAAN RT 002 RW 001 DUKUN GRESIK")</f>
        <v>IMAAN RT 002 RW 001 DUKUN GRESIK</v>
      </c>
      <c r="G213" s="28" t="str">
        <f>IFERROR(__xludf.DUMMYFUNCTION("""COMPUTED_VALUE"""),"MA-XII.3")</f>
        <v>MA-XII.3</v>
      </c>
      <c r="H213" s="28" t="str">
        <f>IFERROR(__xludf.DUMMYFUNCTION("""COMPUTED_VALUE"""),"C")</f>
        <v>C</v>
      </c>
      <c r="I213" s="28" t="str">
        <f>IFERROR(__xludf.DUMMYFUNCTION("""COMPUTED_VALUE"""),"C-9")</f>
        <v>C-9</v>
      </c>
      <c r="J213" s="28">
        <f>IFERROR(__xludf.DUMMYFUNCTION("""COMPUTED_VALUE"""),3.0)</f>
        <v>3</v>
      </c>
      <c r="K213" s="28" t="str">
        <f>IFERROR(__xludf.DUMMYFUNCTION("""COMPUTED_VALUE"""),"3 WUSTHO A PUTRI")</f>
        <v>3 WUSTHO A PUTRI</v>
      </c>
      <c r="L213" s="29" t="str">
        <f>IFERROR(__xludf.DUMMYFUNCTION("""COMPUTED_VALUE"""),"628585908377")</f>
        <v>628585908377</v>
      </c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2">
        <f>IFERROR(__xludf.DUMMYFUNCTION("""COMPUTED_VALUE"""),0.0)</f>
        <v>0</v>
      </c>
      <c r="BD213" s="22">
        <f>IFERROR(__xludf.DUMMYFUNCTION("""COMPUTED_VALUE"""),0.0)</f>
        <v>0</v>
      </c>
      <c r="BE213" s="22">
        <f>IFERROR(__xludf.DUMMYFUNCTION("""COMPUTED_VALUE"""),0.0)</f>
        <v>0</v>
      </c>
      <c r="BF213" s="22">
        <f>IFERROR(__xludf.DUMMYFUNCTION("""COMPUTED_VALUE"""),0.0)</f>
        <v>0</v>
      </c>
    </row>
    <row r="214">
      <c r="A214" s="27">
        <f>IFERROR(__xludf.DUMMYFUNCTION("""COMPUTED_VALUE"""),213.0)</f>
        <v>213</v>
      </c>
      <c r="B214" s="28" t="str">
        <f>IFERROR(__xludf.DUMMYFUNCTION("""COMPUTED_VALUE"""),"LELYANA DWI ROHMAWATIN")</f>
        <v>LELYANA DWI ROHMAWATIN</v>
      </c>
      <c r="C214" s="28">
        <f>IFERROR(__xludf.DUMMYFUNCTION("""COMPUTED_VALUE"""),2.024070014E9)</f>
        <v>2024070014</v>
      </c>
      <c r="D214" s="28" t="str">
        <f>IFERROR(__xludf.DUMMYFUNCTION("""COMPUTED_VALUE"""),"SUGENG")</f>
        <v>SUGENG</v>
      </c>
      <c r="E214" s="28" t="str">
        <f>IFERROR(__xludf.DUMMYFUNCTION("""COMPUTED_VALUE"""),"SAMINING")</f>
        <v>SAMINING</v>
      </c>
      <c r="F214" s="28" t="str">
        <f>IFERROR(__xludf.DUMMYFUNCTION("""COMPUTED_VALUE"""),"KARANGWUNGU RT 005 RW 001 KARANGGENENG LAMONGAN")</f>
        <v>KARANGWUNGU RT 005 RW 001 KARANGGENENG LAMONGAN</v>
      </c>
      <c r="G214" s="28" t="str">
        <f>IFERROR(__xludf.DUMMYFUNCTION("""COMPUTED_VALUE"""),"MA-XII.1")</f>
        <v>MA-XII.1</v>
      </c>
      <c r="H214" s="28" t="str">
        <f>IFERROR(__xludf.DUMMYFUNCTION("""COMPUTED_VALUE"""),"C")</f>
        <v>C</v>
      </c>
      <c r="I214" s="28" t="str">
        <f>IFERROR(__xludf.DUMMYFUNCTION("""COMPUTED_VALUE"""),"C-2")</f>
        <v>C-2</v>
      </c>
      <c r="J214" s="28">
        <f>IFERROR(__xludf.DUMMYFUNCTION("""COMPUTED_VALUE"""),3.0)</f>
        <v>3</v>
      </c>
      <c r="K214" s="28" t="str">
        <f>IFERROR(__xludf.DUMMYFUNCTION("""COMPUTED_VALUE"""),"")</f>
        <v/>
      </c>
      <c r="L214" s="29" t="str">
        <f>IFERROR(__xludf.DUMMYFUNCTION("""COMPUTED_VALUE"""),"6285735756658")</f>
        <v>6285735756658</v>
      </c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2">
        <f>IFERROR(__xludf.DUMMYFUNCTION("""COMPUTED_VALUE"""),450000.0)</f>
        <v>450000</v>
      </c>
      <c r="AN214" s="22">
        <f>IFERROR(__xludf.DUMMYFUNCTION("""COMPUTED_VALUE"""),450000.0)</f>
        <v>450000</v>
      </c>
      <c r="AO214" s="28"/>
      <c r="AP214" s="22">
        <f>IFERROR(__xludf.DUMMYFUNCTION("""COMPUTED_VALUE"""),500000.0)</f>
        <v>500000</v>
      </c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2">
        <f>IFERROR(__xludf.DUMMYFUNCTION("""COMPUTED_VALUE"""),900000.0)</f>
        <v>900000</v>
      </c>
      <c r="BD214" s="22">
        <f>IFERROR(__xludf.DUMMYFUNCTION("""COMPUTED_VALUE"""),500000.0)</f>
        <v>500000</v>
      </c>
      <c r="BE214" s="22">
        <f>IFERROR(__xludf.DUMMYFUNCTION("""COMPUTED_VALUE"""),0.0)</f>
        <v>0</v>
      </c>
      <c r="BF214" s="22">
        <f>IFERROR(__xludf.DUMMYFUNCTION("""COMPUTED_VALUE"""),1400000.0)</f>
        <v>1400000</v>
      </c>
    </row>
    <row r="215">
      <c r="A215" s="27">
        <f>IFERROR(__xludf.DUMMYFUNCTION("""COMPUTED_VALUE"""),214.0)</f>
        <v>214</v>
      </c>
      <c r="B215" s="28" t="str">
        <f>IFERROR(__xludf.DUMMYFUNCTION("""COMPUTED_VALUE"""),"MALICHAH KAMILA ARIANI")</f>
        <v>MALICHAH KAMILA ARIANI</v>
      </c>
      <c r="C215" s="28">
        <f>IFERROR(__xludf.DUMMYFUNCTION("""COMPUTED_VALUE"""),2.024070331E9)</f>
        <v>2024070331</v>
      </c>
      <c r="D215" s="28" t="str">
        <f>IFERROR(__xludf.DUMMYFUNCTION("""COMPUTED_VALUE"""),"MOH NUR QOMARI")</f>
        <v>MOH NUR QOMARI</v>
      </c>
      <c r="E215" s="28" t="str">
        <f>IFERROR(__xludf.DUMMYFUNCTION("""COMPUTED_VALUE"""),"MACHMUDATUN NI`MAH")</f>
        <v>MACHMUDATUN NI`MAH</v>
      </c>
      <c r="F215" s="28" t="str">
        <f>IFERROR(__xludf.DUMMYFUNCTION("""COMPUTED_VALUE"""),"WONOKERTO RT 002 RW 001 DUKUN GRESIK")</f>
        <v>WONOKERTO RT 002 RW 001 DUKUN GRESIK</v>
      </c>
      <c r="G215" s="28" t="str">
        <f>IFERROR(__xludf.DUMMYFUNCTION("""COMPUTED_VALUE"""),"MA-XII.10")</f>
        <v>MA-XII.10</v>
      </c>
      <c r="H215" s="28" t="str">
        <f>IFERROR(__xludf.DUMMYFUNCTION("""COMPUTED_VALUE"""),"C")</f>
        <v>C</v>
      </c>
      <c r="I215" s="28" t="str">
        <f>IFERROR(__xludf.DUMMYFUNCTION("""COMPUTED_VALUE"""),"C-9")</f>
        <v>C-9</v>
      </c>
      <c r="J215" s="28">
        <f>IFERROR(__xludf.DUMMYFUNCTION("""COMPUTED_VALUE"""),3.0)</f>
        <v>3</v>
      </c>
      <c r="K215" s="28" t="str">
        <f>IFERROR(__xludf.DUMMYFUNCTION("""COMPUTED_VALUE"""),"")</f>
        <v/>
      </c>
      <c r="L215" s="29" t="str">
        <f>IFERROR(__xludf.DUMMYFUNCTION("""COMPUTED_VALUE"""),"6285859618682")</f>
        <v>6285859618682</v>
      </c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2">
        <f>IFERROR(__xludf.DUMMYFUNCTION("""COMPUTED_VALUE"""),500000.0)</f>
        <v>500000</v>
      </c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2">
        <f>IFERROR(__xludf.DUMMYFUNCTION("""COMPUTED_VALUE"""),0.0)</f>
        <v>0</v>
      </c>
      <c r="BD215" s="22">
        <f>IFERROR(__xludf.DUMMYFUNCTION("""COMPUTED_VALUE"""),500000.0)</f>
        <v>500000</v>
      </c>
      <c r="BE215" s="22">
        <f>IFERROR(__xludf.DUMMYFUNCTION("""COMPUTED_VALUE"""),0.0)</f>
        <v>0</v>
      </c>
      <c r="BF215" s="22">
        <f>IFERROR(__xludf.DUMMYFUNCTION("""COMPUTED_VALUE"""),500000.0)</f>
        <v>500000</v>
      </c>
    </row>
    <row r="216">
      <c r="A216" s="27">
        <f>IFERROR(__xludf.DUMMYFUNCTION("""COMPUTED_VALUE"""),215.0)</f>
        <v>215</v>
      </c>
      <c r="B216" s="28" t="str">
        <f>IFERROR(__xludf.DUMMYFUNCTION("""COMPUTED_VALUE"""),"MAULIDINNA BASKORO INDAH KIRANNI")</f>
        <v>MAULIDINNA BASKORO INDAH KIRANNI</v>
      </c>
      <c r="C216" s="28">
        <f>IFERROR(__xludf.DUMMYFUNCTION("""COMPUTED_VALUE"""),2.024070079E9)</f>
        <v>2024070079</v>
      </c>
      <c r="D216" s="28" t="str">
        <f>IFERROR(__xludf.DUMMYFUNCTION("""COMPUTED_VALUE"""),"MUZAKIN")</f>
        <v>MUZAKIN</v>
      </c>
      <c r="E216" s="28" t="str">
        <f>IFERROR(__xludf.DUMMYFUNCTION("""COMPUTED_VALUE"""),"LAILATUL FAIZAH")</f>
        <v>LAILATUL FAIZAH</v>
      </c>
      <c r="F216" s="28" t="str">
        <f>IFERROR(__xludf.DUMMYFUNCTION("""COMPUTED_VALUE"""),"LEMBOR RT 001 RW 001 BRONDONG LAMONGAN")</f>
        <v>LEMBOR RT 001 RW 001 BRONDONG LAMONGAN</v>
      </c>
      <c r="G216" s="28" t="str">
        <f>IFERROR(__xludf.DUMMYFUNCTION("""COMPUTED_VALUE"""),"MA-XII.3")</f>
        <v>MA-XII.3</v>
      </c>
      <c r="H216" s="28" t="str">
        <f>IFERROR(__xludf.DUMMYFUNCTION("""COMPUTED_VALUE"""),"C")</f>
        <v>C</v>
      </c>
      <c r="I216" s="28" t="str">
        <f>IFERROR(__xludf.DUMMYFUNCTION("""COMPUTED_VALUE"""),"C-8")</f>
        <v>C-8</v>
      </c>
      <c r="J216" s="28">
        <f>IFERROR(__xludf.DUMMYFUNCTION("""COMPUTED_VALUE"""),3.0)</f>
        <v>3</v>
      </c>
      <c r="K216" s="28" t="str">
        <f>IFERROR(__xludf.DUMMYFUNCTION("""COMPUTED_VALUE"""),"")</f>
        <v/>
      </c>
      <c r="L216" s="29" t="str">
        <f>IFERROR(__xludf.DUMMYFUNCTION("""COMPUTED_VALUE"""),"6285646714671")</f>
        <v>6285646714671</v>
      </c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2">
        <f>IFERROR(__xludf.DUMMYFUNCTION("""COMPUTED_VALUE"""),0.0)</f>
        <v>0</v>
      </c>
      <c r="BD216" s="22">
        <f>IFERROR(__xludf.DUMMYFUNCTION("""COMPUTED_VALUE"""),0.0)</f>
        <v>0</v>
      </c>
      <c r="BE216" s="22">
        <f>IFERROR(__xludf.DUMMYFUNCTION("""COMPUTED_VALUE"""),0.0)</f>
        <v>0</v>
      </c>
      <c r="BF216" s="22">
        <f>IFERROR(__xludf.DUMMYFUNCTION("""COMPUTED_VALUE"""),0.0)</f>
        <v>0</v>
      </c>
    </row>
    <row r="217">
      <c r="A217" s="27">
        <f>IFERROR(__xludf.DUMMYFUNCTION("""COMPUTED_VALUE"""),216.0)</f>
        <v>216</v>
      </c>
      <c r="B217" s="28" t="str">
        <f>IFERROR(__xludf.DUMMYFUNCTION("""COMPUTED_VALUE"""),"MECCA MIKAILA")</f>
        <v>MECCA MIKAILA</v>
      </c>
      <c r="C217" s="28">
        <f>IFERROR(__xludf.DUMMYFUNCTION("""COMPUTED_VALUE"""),2.024070539E9)</f>
        <v>2024070539</v>
      </c>
      <c r="D217" s="28" t="str">
        <f>IFERROR(__xludf.DUMMYFUNCTION("""COMPUTED_VALUE"""),"YASMAUN")</f>
        <v>YASMAUN</v>
      </c>
      <c r="E217" s="28" t="str">
        <f>IFERROR(__xludf.DUMMYFUNCTION("""COMPUTED_VALUE"""),"SUSIAMI KHOIRUL UYUN")</f>
        <v>SUSIAMI KHOIRUL UYUN</v>
      </c>
      <c r="F217" s="28" t="str">
        <f>IFERROR(__xludf.DUMMYFUNCTION("""COMPUTED_VALUE"""),"KARANGCANGKRING RT 004 RW 002 DUKUN GRESIK")</f>
        <v>KARANGCANGKRING RT 004 RW 002 DUKUN GRESIK</v>
      </c>
      <c r="G217" s="28" t="str">
        <f>IFERROR(__xludf.DUMMYFUNCTION("""COMPUTED_VALUE"""),"MTS-9 H")</f>
        <v>MTS-9 H</v>
      </c>
      <c r="H217" s="28" t="str">
        <f>IFERROR(__xludf.DUMMYFUNCTION("""COMPUTED_VALUE"""),"C")</f>
        <v>C</v>
      </c>
      <c r="I217" s="28" t="str">
        <f>IFERROR(__xludf.DUMMYFUNCTION("""COMPUTED_VALUE"""),"C-13")</f>
        <v>C-13</v>
      </c>
      <c r="J217" s="28">
        <f>IFERROR(__xludf.DUMMYFUNCTION("""COMPUTED_VALUE"""),3.0)</f>
        <v>3</v>
      </c>
      <c r="K217" s="28" t="str">
        <f>IFERROR(__xludf.DUMMYFUNCTION("""COMPUTED_VALUE"""),"3 ULA B PUTRI")</f>
        <v>3 ULA B PUTRI</v>
      </c>
      <c r="L217" s="29" t="str">
        <f>IFERROR(__xludf.DUMMYFUNCTION("""COMPUTED_VALUE"""),"6285843253842")</f>
        <v>6285843253842</v>
      </c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2">
        <f>IFERROR(__xludf.DUMMYFUNCTION("""COMPUTED_VALUE"""),500000.0)</f>
        <v>500000</v>
      </c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2">
        <f>IFERROR(__xludf.DUMMYFUNCTION("""COMPUTED_VALUE"""),500000.0)</f>
        <v>500000</v>
      </c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2">
        <f>IFERROR(__xludf.DUMMYFUNCTION("""COMPUTED_VALUE"""),0.0)</f>
        <v>0</v>
      </c>
      <c r="BD217" s="22">
        <f>IFERROR(__xludf.DUMMYFUNCTION("""COMPUTED_VALUE"""),1000000.0)</f>
        <v>1000000</v>
      </c>
      <c r="BE217" s="22">
        <f>IFERROR(__xludf.DUMMYFUNCTION("""COMPUTED_VALUE"""),0.0)</f>
        <v>0</v>
      </c>
      <c r="BF217" s="22">
        <f>IFERROR(__xludf.DUMMYFUNCTION("""COMPUTED_VALUE"""),1000000.0)</f>
        <v>1000000</v>
      </c>
    </row>
    <row r="218">
      <c r="A218" s="27">
        <f>IFERROR(__xludf.DUMMYFUNCTION("""COMPUTED_VALUE"""),217.0)</f>
        <v>217</v>
      </c>
      <c r="B218" s="28" t="str">
        <f>IFERROR(__xludf.DUMMYFUNCTION("""COMPUTED_VALUE"""),"MEILANI PUTRI ARINIL WAFA`")</f>
        <v>MEILANI PUTRI ARINIL WAFA`</v>
      </c>
      <c r="C218" s="28">
        <f>IFERROR(__xludf.DUMMYFUNCTION("""COMPUTED_VALUE"""),2.024070015E9)</f>
        <v>2024070015</v>
      </c>
      <c r="D218" s="28" t="str">
        <f>IFERROR(__xludf.DUMMYFUNCTION("""COMPUTED_VALUE"""),"MUSHOLIN")</f>
        <v>MUSHOLIN</v>
      </c>
      <c r="E218" s="28" t="str">
        <f>IFERROR(__xludf.DUMMYFUNCTION("""COMPUTED_VALUE"""),"NURASIATIN")</f>
        <v>NURASIATIN</v>
      </c>
      <c r="F218" s="28" t="str">
        <f>IFERROR(__xludf.DUMMYFUNCTION("""COMPUTED_VALUE"""),"KENDALKEMLAGI RT 002 RW 005 KARANGGENENG LAMONGAN")</f>
        <v>KENDALKEMLAGI RT 002 RW 005 KARANGGENENG LAMONGAN</v>
      </c>
      <c r="G218" s="28" t="str">
        <f>IFERROR(__xludf.DUMMYFUNCTION("""COMPUTED_VALUE"""),"MA-XII.1")</f>
        <v>MA-XII.1</v>
      </c>
      <c r="H218" s="28" t="str">
        <f>IFERROR(__xludf.DUMMYFUNCTION("""COMPUTED_VALUE"""),"C")</f>
        <v>C</v>
      </c>
      <c r="I218" s="28" t="str">
        <f>IFERROR(__xludf.DUMMYFUNCTION("""COMPUTED_VALUE"""),"C-2")</f>
        <v>C-2</v>
      </c>
      <c r="J218" s="28">
        <f>IFERROR(__xludf.DUMMYFUNCTION("""COMPUTED_VALUE"""),3.0)</f>
        <v>3</v>
      </c>
      <c r="K218" s="28" t="str">
        <f>IFERROR(__xludf.DUMMYFUNCTION("""COMPUTED_VALUE"""),"")</f>
        <v/>
      </c>
      <c r="L218" s="29" t="str">
        <f>IFERROR(__xludf.DUMMYFUNCTION("""COMPUTED_VALUE"""),"6285733138071")</f>
        <v>6285733138071</v>
      </c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2">
        <f>IFERROR(__xludf.DUMMYFUNCTION("""COMPUTED_VALUE"""),450000.0)</f>
        <v>450000</v>
      </c>
      <c r="AO218" s="28"/>
      <c r="AP218" s="22">
        <f>IFERROR(__xludf.DUMMYFUNCTION("""COMPUTED_VALUE"""),500000.0)</f>
        <v>500000</v>
      </c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2">
        <f>IFERROR(__xludf.DUMMYFUNCTION("""COMPUTED_VALUE"""),450000.0)</f>
        <v>450000</v>
      </c>
      <c r="BD218" s="22">
        <f>IFERROR(__xludf.DUMMYFUNCTION("""COMPUTED_VALUE"""),500000.0)</f>
        <v>500000</v>
      </c>
      <c r="BE218" s="22">
        <f>IFERROR(__xludf.DUMMYFUNCTION("""COMPUTED_VALUE"""),0.0)</f>
        <v>0</v>
      </c>
      <c r="BF218" s="22">
        <f>IFERROR(__xludf.DUMMYFUNCTION("""COMPUTED_VALUE"""),950000.0)</f>
        <v>950000</v>
      </c>
    </row>
    <row r="219">
      <c r="A219" s="27">
        <f>IFERROR(__xludf.DUMMYFUNCTION("""COMPUTED_VALUE"""),218.0)</f>
        <v>218</v>
      </c>
      <c r="B219" s="28" t="str">
        <f>IFERROR(__xludf.DUMMYFUNCTION("""COMPUTED_VALUE"""),"MITA NUR FAIZATUN NISA`")</f>
        <v>MITA NUR FAIZATUN NISA`</v>
      </c>
      <c r="C219" s="28">
        <f>IFERROR(__xludf.DUMMYFUNCTION("""COMPUTED_VALUE"""),2.024070429E9)</f>
        <v>2024070429</v>
      </c>
      <c r="D219" s="28" t="str">
        <f>IFERROR(__xludf.DUMMYFUNCTION("""COMPUTED_VALUE"""),"MOHAMMAD RIDHO")</f>
        <v>MOHAMMAD RIDHO</v>
      </c>
      <c r="E219" s="28" t="str">
        <f>IFERROR(__xludf.DUMMYFUNCTION("""COMPUTED_VALUE"""),"PURYAMI")</f>
        <v>PURYAMI</v>
      </c>
      <c r="F219" s="28" t="str">
        <f>IFERROR(__xludf.DUMMYFUNCTION("""COMPUTED_VALUE"""),"PENCOL WIDANG RT 005 RW 005 WIDANG TUBAN")</f>
        <v>PENCOL WIDANG RT 005 RW 005 WIDANG TUBAN</v>
      </c>
      <c r="G219" s="28" t="str">
        <f>IFERROR(__xludf.DUMMYFUNCTION("""COMPUTED_VALUE"""),"MA-XII.13")</f>
        <v>MA-XII.13</v>
      </c>
      <c r="H219" s="28" t="str">
        <f>IFERROR(__xludf.DUMMYFUNCTION("""COMPUTED_VALUE"""),"C")</f>
        <v>C</v>
      </c>
      <c r="I219" s="28" t="str">
        <f>IFERROR(__xludf.DUMMYFUNCTION("""COMPUTED_VALUE"""),"C-7")</f>
        <v>C-7</v>
      </c>
      <c r="J219" s="28">
        <f>IFERROR(__xludf.DUMMYFUNCTION("""COMPUTED_VALUE"""),3.0)</f>
        <v>3</v>
      </c>
      <c r="K219" s="28" t="str">
        <f>IFERROR(__xludf.DUMMYFUNCTION("""COMPUTED_VALUE"""),"")</f>
        <v/>
      </c>
      <c r="L219" s="29" t="str">
        <f>IFERROR(__xludf.DUMMYFUNCTION("""COMPUTED_VALUE"""),"6281332935951")</f>
        <v>6281332935951</v>
      </c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2">
        <f>IFERROR(__xludf.DUMMYFUNCTION("""COMPUTED_VALUE"""),0.0)</f>
        <v>0</v>
      </c>
      <c r="BD219" s="22">
        <f>IFERROR(__xludf.DUMMYFUNCTION("""COMPUTED_VALUE"""),0.0)</f>
        <v>0</v>
      </c>
      <c r="BE219" s="22">
        <f>IFERROR(__xludf.DUMMYFUNCTION("""COMPUTED_VALUE"""),0.0)</f>
        <v>0</v>
      </c>
      <c r="BF219" s="22">
        <f>IFERROR(__xludf.DUMMYFUNCTION("""COMPUTED_VALUE"""),0.0)</f>
        <v>0</v>
      </c>
    </row>
    <row r="220">
      <c r="A220" s="27">
        <f>IFERROR(__xludf.DUMMYFUNCTION("""COMPUTED_VALUE"""),219.0)</f>
        <v>219</v>
      </c>
      <c r="B220" s="28" t="str">
        <f>IFERROR(__xludf.DUMMYFUNCTION("""COMPUTED_VALUE"""),"MUTIARA AZZAHRA")</f>
        <v>MUTIARA AZZAHRA</v>
      </c>
      <c r="C220" s="28">
        <f>IFERROR(__xludf.DUMMYFUNCTION("""COMPUTED_VALUE"""),2.024070562E9)</f>
        <v>2024070562</v>
      </c>
      <c r="D220" s="28" t="str">
        <f>IFERROR(__xludf.DUMMYFUNCTION("""COMPUTED_VALUE"""),"SUBIYONO")</f>
        <v>SUBIYONO</v>
      </c>
      <c r="E220" s="28" t="str">
        <f>IFERROR(__xludf.DUMMYFUNCTION("""COMPUTED_VALUE"""),"YATIKAH")</f>
        <v>YATIKAH</v>
      </c>
      <c r="F220" s="28" t="str">
        <f>IFERROR(__xludf.DUMMYFUNCTION("""COMPUTED_VALUE"""),"DADAPAN RT 004 RW 001 SOLOKURO LAMONGAN")</f>
        <v>DADAPAN RT 004 RW 001 SOLOKURO LAMONGAN</v>
      </c>
      <c r="G220" s="28" t="str">
        <f>IFERROR(__xludf.DUMMYFUNCTION("""COMPUTED_VALUE"""),"MTS-9 D")</f>
        <v>MTS-9 D</v>
      </c>
      <c r="H220" s="28" t="str">
        <f>IFERROR(__xludf.DUMMYFUNCTION("""COMPUTED_VALUE"""),"C")</f>
        <v>C</v>
      </c>
      <c r="I220" s="28" t="str">
        <f>IFERROR(__xludf.DUMMYFUNCTION("""COMPUTED_VALUE"""),"C-3")</f>
        <v>C-3</v>
      </c>
      <c r="J220" s="28">
        <f>IFERROR(__xludf.DUMMYFUNCTION("""COMPUTED_VALUE"""),3.0)</f>
        <v>3</v>
      </c>
      <c r="K220" s="28" t="str">
        <f>IFERROR(__xludf.DUMMYFUNCTION("""COMPUTED_VALUE"""),"3 ULA A PUTRI")</f>
        <v>3 ULA A PUTRI</v>
      </c>
      <c r="L220" s="29" t="str">
        <f>IFERROR(__xludf.DUMMYFUNCTION("""COMPUTED_VALUE"""),"6285852265482")</f>
        <v>6285852265482</v>
      </c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2">
        <f>IFERROR(__xludf.DUMMYFUNCTION("""COMPUTED_VALUE"""),0.0)</f>
        <v>0</v>
      </c>
      <c r="BD220" s="22">
        <f>IFERROR(__xludf.DUMMYFUNCTION("""COMPUTED_VALUE"""),0.0)</f>
        <v>0</v>
      </c>
      <c r="BE220" s="22">
        <f>IFERROR(__xludf.DUMMYFUNCTION("""COMPUTED_VALUE"""),0.0)</f>
        <v>0</v>
      </c>
      <c r="BF220" s="22">
        <f>IFERROR(__xludf.DUMMYFUNCTION("""COMPUTED_VALUE"""),0.0)</f>
        <v>0</v>
      </c>
    </row>
    <row r="221">
      <c r="A221" s="27">
        <f>IFERROR(__xludf.DUMMYFUNCTION("""COMPUTED_VALUE"""),220.0)</f>
        <v>220</v>
      </c>
      <c r="B221" s="28" t="str">
        <f>IFERROR(__xludf.DUMMYFUNCTION("""COMPUTED_VALUE"""),"NADIA ZAHROTUSYTA")</f>
        <v>NADIA ZAHROTUSYTA</v>
      </c>
      <c r="C221" s="28">
        <f>IFERROR(__xludf.DUMMYFUNCTION("""COMPUTED_VALUE"""),2.024070693E9)</f>
        <v>2024070693</v>
      </c>
      <c r="D221" s="28" t="str">
        <f>IFERROR(__xludf.DUMMYFUNCTION("""COMPUTED_VALUE"""),"PURKONUDIN")</f>
        <v>PURKONUDIN</v>
      </c>
      <c r="E221" s="28" t="str">
        <f>IFERROR(__xludf.DUMMYFUNCTION("""COMPUTED_VALUE"""),"SITI KHODIJAH")</f>
        <v>SITI KHODIJAH</v>
      </c>
      <c r="F221" s="28" t="str">
        <f>IFERROR(__xludf.DUMMYFUNCTION("""COMPUTED_VALUE"""),"KP SINDANGASIH BANJARWARINGIN RT 005 RW 001 SALOPA TASIKMALAYA")</f>
        <v>KP SINDANGASIH BANJARWARINGIN RT 005 RW 001 SALOPA TASIKMALAYA</v>
      </c>
      <c r="G221" s="28" t="str">
        <f>IFERROR(__xludf.DUMMYFUNCTION("""COMPUTED_VALUE"""),"SMK-XII LPb")</f>
        <v>SMK-XII LPb</v>
      </c>
      <c r="H221" s="28" t="str">
        <f>IFERROR(__xludf.DUMMYFUNCTION("""COMPUTED_VALUE"""),"C")</f>
        <v>C</v>
      </c>
      <c r="I221" s="28" t="str">
        <f>IFERROR(__xludf.DUMMYFUNCTION("""COMPUTED_VALUE"""),"C-4")</f>
        <v>C-4</v>
      </c>
      <c r="J221" s="28">
        <f>IFERROR(__xludf.DUMMYFUNCTION("""COMPUTED_VALUE"""),3.0)</f>
        <v>3</v>
      </c>
      <c r="K221" s="28" t="str">
        <f>IFERROR(__xludf.DUMMYFUNCTION("""COMPUTED_VALUE"""),"3 WUSTHO B PUTRI")</f>
        <v>3 WUSTHO B PUTRI</v>
      </c>
      <c r="L221" s="29" t="str">
        <f>IFERROR(__xludf.DUMMYFUNCTION("""COMPUTED_VALUE"""),"6282120539883")</f>
        <v>6282120539883</v>
      </c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2">
        <f>IFERROR(__xludf.DUMMYFUNCTION("""COMPUTED_VALUE"""),0.0)</f>
        <v>0</v>
      </c>
      <c r="BD221" s="22">
        <f>IFERROR(__xludf.DUMMYFUNCTION("""COMPUTED_VALUE"""),0.0)</f>
        <v>0</v>
      </c>
      <c r="BE221" s="22">
        <f>IFERROR(__xludf.DUMMYFUNCTION("""COMPUTED_VALUE"""),0.0)</f>
        <v>0</v>
      </c>
      <c r="BF221" s="22">
        <f>IFERROR(__xludf.DUMMYFUNCTION("""COMPUTED_VALUE"""),0.0)</f>
        <v>0</v>
      </c>
    </row>
    <row r="222">
      <c r="A222" s="27">
        <f>IFERROR(__xludf.DUMMYFUNCTION("""COMPUTED_VALUE"""),221.0)</f>
        <v>221</v>
      </c>
      <c r="B222" s="28" t="str">
        <f>IFERROR(__xludf.DUMMYFUNCTION("""COMPUTED_VALUE"""),"NADIYATAN NAQI`")</f>
        <v>NADIYATAN NAQI`</v>
      </c>
      <c r="C222" s="28">
        <f>IFERROR(__xludf.DUMMYFUNCTION("""COMPUTED_VALUE"""),2.024070017E9)</f>
        <v>2024070017</v>
      </c>
      <c r="D222" s="28" t="str">
        <f>IFERROR(__xludf.DUMMYFUNCTION("""COMPUTED_VALUE"""),"MOHAMMAD ZAINUL ARIFIN")</f>
        <v>MOHAMMAD ZAINUL ARIFIN</v>
      </c>
      <c r="E222" s="28" t="str">
        <f>IFERROR(__xludf.DUMMYFUNCTION("""COMPUTED_VALUE"""),"YAYUK WAHIBAH")</f>
        <v>YAYUK WAHIBAH</v>
      </c>
      <c r="F222" s="28" t="str">
        <f>IFERROR(__xludf.DUMMYFUNCTION("""COMPUTED_VALUE"""),"JL. KH. WAHID HASYIM 12 KULURAN RT 001 RW 001 KALITENGAH LAMONGAN")</f>
        <v>JL. KH. WAHID HASYIM 12 KULURAN RT 001 RW 001 KALITENGAH LAMONGAN</v>
      </c>
      <c r="G222" s="28" t="str">
        <f>IFERROR(__xludf.DUMMYFUNCTION("""COMPUTED_VALUE"""),"MA-XII.1")</f>
        <v>MA-XII.1</v>
      </c>
      <c r="H222" s="28" t="str">
        <f>IFERROR(__xludf.DUMMYFUNCTION("""COMPUTED_VALUE"""),"C")</f>
        <v>C</v>
      </c>
      <c r="I222" s="28" t="str">
        <f>IFERROR(__xludf.DUMMYFUNCTION("""COMPUTED_VALUE"""),"C-2")</f>
        <v>C-2</v>
      </c>
      <c r="J222" s="28">
        <f>IFERROR(__xludf.DUMMYFUNCTION("""COMPUTED_VALUE"""),3.0)</f>
        <v>3</v>
      </c>
      <c r="K222" s="28" t="str">
        <f>IFERROR(__xludf.DUMMYFUNCTION("""COMPUTED_VALUE"""),"")</f>
        <v/>
      </c>
      <c r="L222" s="29" t="str">
        <f>IFERROR(__xludf.DUMMYFUNCTION("""COMPUTED_VALUE"""),"6281331944544")</f>
        <v>6281331944544</v>
      </c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2">
        <f>IFERROR(__xludf.DUMMYFUNCTION("""COMPUTED_VALUE"""),500000.0)</f>
        <v>500000</v>
      </c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2">
        <f>IFERROR(__xludf.DUMMYFUNCTION("""COMPUTED_VALUE"""),0.0)</f>
        <v>0</v>
      </c>
      <c r="BD222" s="22">
        <f>IFERROR(__xludf.DUMMYFUNCTION("""COMPUTED_VALUE"""),500000.0)</f>
        <v>500000</v>
      </c>
      <c r="BE222" s="22">
        <f>IFERROR(__xludf.DUMMYFUNCTION("""COMPUTED_VALUE"""),0.0)</f>
        <v>0</v>
      </c>
      <c r="BF222" s="22">
        <f>IFERROR(__xludf.DUMMYFUNCTION("""COMPUTED_VALUE"""),500000.0)</f>
        <v>500000</v>
      </c>
    </row>
    <row r="223">
      <c r="A223" s="27">
        <f>IFERROR(__xludf.DUMMYFUNCTION("""COMPUTED_VALUE"""),222.0)</f>
        <v>222</v>
      </c>
      <c r="B223" s="28" t="str">
        <f>IFERROR(__xludf.DUMMYFUNCTION("""COMPUTED_VALUE"""),"NAFISA BARROTUS TSANIAH")</f>
        <v>NAFISA BARROTUS TSANIAH</v>
      </c>
      <c r="C223" s="28">
        <f>IFERROR(__xludf.DUMMYFUNCTION("""COMPUTED_VALUE"""),2.024070018E9)</f>
        <v>2024070018</v>
      </c>
      <c r="D223" s="28" t="str">
        <f>IFERROR(__xludf.DUMMYFUNCTION("""COMPUTED_VALUE"""),"LADI")</f>
        <v>LADI</v>
      </c>
      <c r="E223" s="28" t="str">
        <f>IFERROR(__xludf.DUMMYFUNCTION("""COMPUTED_VALUE"""),"NASRI'AH")</f>
        <v>NASRI'AH</v>
      </c>
      <c r="F223" s="28" t="str">
        <f>IFERROR(__xludf.DUMMYFUNCTION("""COMPUTED_VALUE"""),"KEMLAGIGEDE RT 12 RW 2 TURI LAMONGAN")</f>
        <v>KEMLAGIGEDE RT 12 RW 2 TURI LAMONGAN</v>
      </c>
      <c r="G223" s="28" t="str">
        <f>IFERROR(__xludf.DUMMYFUNCTION("""COMPUTED_VALUE"""),"MA-XII.1")</f>
        <v>MA-XII.1</v>
      </c>
      <c r="H223" s="28" t="str">
        <f>IFERROR(__xludf.DUMMYFUNCTION("""COMPUTED_VALUE"""),"C")</f>
        <v>C</v>
      </c>
      <c r="I223" s="28" t="str">
        <f>IFERROR(__xludf.DUMMYFUNCTION("""COMPUTED_VALUE"""),"C-2")</f>
        <v>C-2</v>
      </c>
      <c r="J223" s="28">
        <f>IFERROR(__xludf.DUMMYFUNCTION("""COMPUTED_VALUE"""),3.0)</f>
        <v>3</v>
      </c>
      <c r="K223" s="28" t="str">
        <f>IFERROR(__xludf.DUMMYFUNCTION("""COMPUTED_VALUE"""),"")</f>
        <v/>
      </c>
      <c r="L223" s="29" t="str">
        <f>IFERROR(__xludf.DUMMYFUNCTION("""COMPUTED_VALUE"""),"62881036103894")</f>
        <v>62881036103894</v>
      </c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2">
        <f>IFERROR(__xludf.DUMMYFUNCTION("""COMPUTED_VALUE"""),0.0)</f>
        <v>0</v>
      </c>
      <c r="BD223" s="22">
        <f>IFERROR(__xludf.DUMMYFUNCTION("""COMPUTED_VALUE"""),0.0)</f>
        <v>0</v>
      </c>
      <c r="BE223" s="22">
        <f>IFERROR(__xludf.DUMMYFUNCTION("""COMPUTED_VALUE"""),0.0)</f>
        <v>0</v>
      </c>
      <c r="BF223" s="22">
        <f>IFERROR(__xludf.DUMMYFUNCTION("""COMPUTED_VALUE"""),0.0)</f>
        <v>0</v>
      </c>
    </row>
    <row r="224">
      <c r="A224" s="27">
        <f>IFERROR(__xludf.DUMMYFUNCTION("""COMPUTED_VALUE"""),223.0)</f>
        <v>223</v>
      </c>
      <c r="B224" s="28" t="str">
        <f>IFERROR(__xludf.DUMMYFUNCTION("""COMPUTED_VALUE"""),"NAILIS SA`ADAH ALFIYANAH")</f>
        <v>NAILIS SA`ADAH ALFIYANAH</v>
      </c>
      <c r="C224" s="28">
        <f>IFERROR(__xludf.DUMMYFUNCTION("""COMPUTED_VALUE"""),2.024070431E9)</f>
        <v>2024070431</v>
      </c>
      <c r="D224" s="28" t="str">
        <f>IFERROR(__xludf.DUMMYFUNCTION("""COMPUTED_VALUE"""),"TASLIKAN")</f>
        <v>TASLIKAN</v>
      </c>
      <c r="E224" s="28" t="str">
        <f>IFERROR(__xludf.DUMMYFUNCTION("""COMPUTED_VALUE"""),"SITI KHOZANAH")</f>
        <v>SITI KHOZANAH</v>
      </c>
      <c r="F224" s="28" t="str">
        <f>IFERROR(__xludf.DUMMYFUNCTION("""COMPUTED_VALUE"""),"CABEAN NGEMBOH RT 001 RW 006 UJUNGPANGKAH GRESIK")</f>
        <v>CABEAN NGEMBOH RT 001 RW 006 UJUNGPANGKAH GRESIK</v>
      </c>
      <c r="G224" s="28" t="str">
        <f>IFERROR(__xludf.DUMMYFUNCTION("""COMPUTED_VALUE"""),"MA-XII.13")</f>
        <v>MA-XII.13</v>
      </c>
      <c r="H224" s="28" t="str">
        <f>IFERROR(__xludf.DUMMYFUNCTION("""COMPUTED_VALUE"""),"C")</f>
        <v>C</v>
      </c>
      <c r="I224" s="28" t="str">
        <f>IFERROR(__xludf.DUMMYFUNCTION("""COMPUTED_VALUE"""),"C-7")</f>
        <v>C-7</v>
      </c>
      <c r="J224" s="28">
        <f>IFERROR(__xludf.DUMMYFUNCTION("""COMPUTED_VALUE"""),3.0)</f>
        <v>3</v>
      </c>
      <c r="K224" s="28" t="str">
        <f>IFERROR(__xludf.DUMMYFUNCTION("""COMPUTED_VALUE"""),"")</f>
        <v/>
      </c>
      <c r="L224" s="29" t="str">
        <f>IFERROR(__xludf.DUMMYFUNCTION("""COMPUTED_VALUE"""),"6285330164564")</f>
        <v>6285330164564</v>
      </c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2">
        <f>IFERROR(__xludf.DUMMYFUNCTION("""COMPUTED_VALUE"""),0.0)</f>
        <v>0</v>
      </c>
      <c r="BD224" s="22">
        <f>IFERROR(__xludf.DUMMYFUNCTION("""COMPUTED_VALUE"""),0.0)</f>
        <v>0</v>
      </c>
      <c r="BE224" s="22">
        <f>IFERROR(__xludf.DUMMYFUNCTION("""COMPUTED_VALUE"""),0.0)</f>
        <v>0</v>
      </c>
      <c r="BF224" s="22">
        <f>IFERROR(__xludf.DUMMYFUNCTION("""COMPUTED_VALUE"""),0.0)</f>
        <v>0</v>
      </c>
    </row>
    <row r="225">
      <c r="A225" s="27">
        <f>IFERROR(__xludf.DUMMYFUNCTION("""COMPUTED_VALUE"""),224.0)</f>
        <v>224</v>
      </c>
      <c r="B225" s="28" t="str">
        <f>IFERROR(__xludf.DUMMYFUNCTION("""COMPUTED_VALUE"""),"NAJWA ANAYA PUTRI FATIHAH")</f>
        <v>NAJWA ANAYA PUTRI FATIHAH</v>
      </c>
      <c r="C225" s="28">
        <f>IFERROR(__xludf.DUMMYFUNCTION("""COMPUTED_VALUE"""),2.024070019E9)</f>
        <v>2024070019</v>
      </c>
      <c r="D225" s="28" t="str">
        <f>IFERROR(__xludf.DUMMYFUNCTION("""COMPUTED_VALUE"""),"MUHAMMAD BASHIR")</f>
        <v>MUHAMMAD BASHIR</v>
      </c>
      <c r="E225" s="28" t="str">
        <f>IFERROR(__xludf.DUMMYFUNCTION("""COMPUTED_VALUE"""),"ILMIYAH FADLOL")</f>
        <v>ILMIYAH FADLOL</v>
      </c>
      <c r="F225" s="28" t="str">
        <f>IFERROR(__xludf.DUMMYFUNCTION("""COMPUTED_VALUE"""),"KARANGREJO RT 005 RW 003 UJUNGPANGKAH GRESIK")</f>
        <v>KARANGREJO RT 005 RW 003 UJUNGPANGKAH GRESIK</v>
      </c>
      <c r="G225" s="28" t="str">
        <f>IFERROR(__xludf.DUMMYFUNCTION("""COMPUTED_VALUE"""),"MA-XII.1")</f>
        <v>MA-XII.1</v>
      </c>
      <c r="H225" s="28" t="str">
        <f>IFERROR(__xludf.DUMMYFUNCTION("""COMPUTED_VALUE"""),"C")</f>
        <v>C</v>
      </c>
      <c r="I225" s="28" t="str">
        <f>IFERROR(__xludf.DUMMYFUNCTION("""COMPUTED_VALUE"""),"C-2")</f>
        <v>C-2</v>
      </c>
      <c r="J225" s="28">
        <f>IFERROR(__xludf.DUMMYFUNCTION("""COMPUTED_VALUE"""),3.0)</f>
        <v>3</v>
      </c>
      <c r="K225" s="28" t="str">
        <f>IFERROR(__xludf.DUMMYFUNCTION("""COMPUTED_VALUE"""),"")</f>
        <v/>
      </c>
      <c r="L225" s="29" t="str">
        <f>IFERROR(__xludf.DUMMYFUNCTION("""COMPUTED_VALUE"""),"6281232654948")</f>
        <v>6281232654948</v>
      </c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2">
        <f>IFERROR(__xludf.DUMMYFUNCTION("""COMPUTED_VALUE"""),0.0)</f>
        <v>0</v>
      </c>
      <c r="BD225" s="22">
        <f>IFERROR(__xludf.DUMMYFUNCTION("""COMPUTED_VALUE"""),0.0)</f>
        <v>0</v>
      </c>
      <c r="BE225" s="22">
        <f>IFERROR(__xludf.DUMMYFUNCTION("""COMPUTED_VALUE"""),0.0)</f>
        <v>0</v>
      </c>
      <c r="BF225" s="22">
        <f>IFERROR(__xludf.DUMMYFUNCTION("""COMPUTED_VALUE"""),0.0)</f>
        <v>0</v>
      </c>
    </row>
    <row r="226">
      <c r="A226" s="27">
        <f>IFERROR(__xludf.DUMMYFUNCTION("""COMPUTED_VALUE"""),225.0)</f>
        <v>225</v>
      </c>
      <c r="B226" s="28" t="str">
        <f>IFERROR(__xludf.DUMMYFUNCTION("""COMPUTED_VALUE"""),"NAYLATUL MAWADDAH")</f>
        <v>NAYLATUL MAWADDAH</v>
      </c>
      <c r="C226" s="28">
        <f>IFERROR(__xludf.DUMMYFUNCTION("""COMPUTED_VALUE"""),2.024070682E9)</f>
        <v>2024070682</v>
      </c>
      <c r="D226" s="28" t="str">
        <f>IFERROR(__xludf.DUMMYFUNCTION("""COMPUTED_VALUE"""),"ABDUL JALIL")</f>
        <v>ABDUL JALIL</v>
      </c>
      <c r="E226" s="28" t="str">
        <f>IFERROR(__xludf.DUMMYFUNCTION("""COMPUTED_VALUE"""),"ZULIYATIN")</f>
        <v>ZULIYATIN</v>
      </c>
      <c r="F226" s="28" t="str">
        <f>IFERROR(__xludf.DUMMYFUNCTION("""COMPUTED_VALUE"""),"BANGERAN RT 006 RW 003 DUKUN GRESIK")</f>
        <v>BANGERAN RT 006 RW 003 DUKUN GRESIK</v>
      </c>
      <c r="G226" s="28" t="str">
        <f>IFERROR(__xludf.DUMMYFUNCTION("""COMPUTED_VALUE"""),"SMK-XII DKV")</f>
        <v>SMK-XII DKV</v>
      </c>
      <c r="H226" s="28" t="str">
        <f>IFERROR(__xludf.DUMMYFUNCTION("""COMPUTED_VALUE"""),"C")</f>
        <v>C</v>
      </c>
      <c r="I226" s="28" t="str">
        <f>IFERROR(__xludf.DUMMYFUNCTION("""COMPUTED_VALUE"""),"C-8")</f>
        <v>C-8</v>
      </c>
      <c r="J226" s="28">
        <f>IFERROR(__xludf.DUMMYFUNCTION("""COMPUTED_VALUE"""),3.0)</f>
        <v>3</v>
      </c>
      <c r="K226" s="28" t="str">
        <f>IFERROR(__xludf.DUMMYFUNCTION("""COMPUTED_VALUE"""),"3 WUSTHO C PUTRI")</f>
        <v>3 WUSTHO C PUTRI</v>
      </c>
      <c r="L226" s="29" t="str">
        <f>IFERROR(__xludf.DUMMYFUNCTION("""COMPUTED_VALUE"""),"6285608738797")</f>
        <v>6285608738797</v>
      </c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2">
        <f>IFERROR(__xludf.DUMMYFUNCTION("""COMPUTED_VALUE"""),450000.0)</f>
        <v>450000</v>
      </c>
      <c r="AO226" s="28"/>
      <c r="AP226" s="22">
        <f>IFERROR(__xludf.DUMMYFUNCTION("""COMPUTED_VALUE"""),500000.0)</f>
        <v>500000</v>
      </c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2">
        <f>IFERROR(__xludf.DUMMYFUNCTION("""COMPUTED_VALUE"""),450000.0)</f>
        <v>450000</v>
      </c>
      <c r="BD226" s="22">
        <f>IFERROR(__xludf.DUMMYFUNCTION("""COMPUTED_VALUE"""),500000.0)</f>
        <v>500000</v>
      </c>
      <c r="BE226" s="22">
        <f>IFERROR(__xludf.DUMMYFUNCTION("""COMPUTED_VALUE"""),0.0)</f>
        <v>0</v>
      </c>
      <c r="BF226" s="22">
        <f>IFERROR(__xludf.DUMMYFUNCTION("""COMPUTED_VALUE"""),950000.0)</f>
        <v>950000</v>
      </c>
    </row>
    <row r="227">
      <c r="A227" s="27">
        <f>IFERROR(__xludf.DUMMYFUNCTION("""COMPUTED_VALUE"""),226.0)</f>
        <v>226</v>
      </c>
      <c r="B227" s="28" t="str">
        <f>IFERROR(__xludf.DUMMYFUNCTION("""COMPUTED_VALUE"""),"NINDY AULIA PUTRI")</f>
        <v>NINDY AULIA PUTRI</v>
      </c>
      <c r="C227" s="28">
        <f>IFERROR(__xludf.DUMMYFUNCTION("""COMPUTED_VALUE"""),2.024070434E9)</f>
        <v>2024070434</v>
      </c>
      <c r="D227" s="28" t="str">
        <f>IFERROR(__xludf.DUMMYFUNCTION("""COMPUTED_VALUE"""),"SUNARDI")</f>
        <v>SUNARDI</v>
      </c>
      <c r="E227" s="28" t="str">
        <f>IFERROR(__xludf.DUMMYFUNCTION("""COMPUTED_VALUE"""),"SRI ANITA")</f>
        <v>SRI ANITA</v>
      </c>
      <c r="F227" s="28" t="str">
        <f>IFERROR(__xludf.DUMMYFUNCTION("""COMPUTED_VALUE"""),"MOROGO PUTATKUMPUL RT 003 RW 005 TURI LAMONGAN")</f>
        <v>MOROGO PUTATKUMPUL RT 003 RW 005 TURI LAMONGAN</v>
      </c>
      <c r="G227" s="28" t="str">
        <f>IFERROR(__xludf.DUMMYFUNCTION("""COMPUTED_VALUE"""),"MA-XII.13")</f>
        <v>MA-XII.13</v>
      </c>
      <c r="H227" s="28" t="str">
        <f>IFERROR(__xludf.DUMMYFUNCTION("""COMPUTED_VALUE"""),"C")</f>
        <v>C</v>
      </c>
      <c r="I227" s="28" t="str">
        <f>IFERROR(__xludf.DUMMYFUNCTION("""COMPUTED_VALUE"""),"C-7")</f>
        <v>C-7</v>
      </c>
      <c r="J227" s="28">
        <f>IFERROR(__xludf.DUMMYFUNCTION("""COMPUTED_VALUE"""),3.0)</f>
        <v>3</v>
      </c>
      <c r="K227" s="28" t="str">
        <f>IFERROR(__xludf.DUMMYFUNCTION("""COMPUTED_VALUE"""),"3 MAK PUTRI")</f>
        <v>3 MAK PUTRI</v>
      </c>
      <c r="L227" s="29" t="str">
        <f>IFERROR(__xludf.DUMMYFUNCTION("""COMPUTED_VALUE"""),"6285732999616")</f>
        <v>6285732999616</v>
      </c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2">
        <f>IFERROR(__xludf.DUMMYFUNCTION("""COMPUTED_VALUE"""),500000.0)</f>
        <v>500000</v>
      </c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2">
        <f>IFERROR(__xludf.DUMMYFUNCTION("""COMPUTED_VALUE"""),0.0)</f>
        <v>0</v>
      </c>
      <c r="BD227" s="22">
        <f>IFERROR(__xludf.DUMMYFUNCTION("""COMPUTED_VALUE"""),500000.0)</f>
        <v>500000</v>
      </c>
      <c r="BE227" s="22">
        <f>IFERROR(__xludf.DUMMYFUNCTION("""COMPUTED_VALUE"""),0.0)</f>
        <v>0</v>
      </c>
      <c r="BF227" s="22">
        <f>IFERROR(__xludf.DUMMYFUNCTION("""COMPUTED_VALUE"""),500000.0)</f>
        <v>500000</v>
      </c>
    </row>
    <row r="228">
      <c r="A228" s="27">
        <f>IFERROR(__xludf.DUMMYFUNCTION("""COMPUTED_VALUE"""),227.0)</f>
        <v>227</v>
      </c>
      <c r="B228" s="28" t="str">
        <f>IFERROR(__xludf.DUMMYFUNCTION("""COMPUTED_VALUE"""),"NISAUL MAGHFIROH")</f>
        <v>NISAUL MAGHFIROH</v>
      </c>
      <c r="C228" s="28">
        <f>IFERROR(__xludf.DUMMYFUNCTION("""COMPUTED_VALUE"""),2.024070435E9)</f>
        <v>2024070435</v>
      </c>
      <c r="D228" s="28" t="str">
        <f>IFERROR(__xludf.DUMMYFUNCTION("""COMPUTED_VALUE"""),"MAKFUL")</f>
        <v>MAKFUL</v>
      </c>
      <c r="E228" s="28" t="str">
        <f>IFERROR(__xludf.DUMMYFUNCTION("""COMPUTED_VALUE"""),"FATIMAH")</f>
        <v>FATIMAH</v>
      </c>
      <c r="F228" s="28" t="str">
        <f>IFERROR(__xludf.DUMMYFUNCTION("""COMPUTED_VALUE"""),"GILIG SUGIHREJO RT 001 RW 004 SUKODADI LAMONGAN")</f>
        <v>GILIG SUGIHREJO RT 001 RW 004 SUKODADI LAMONGAN</v>
      </c>
      <c r="G228" s="28" t="str">
        <f>IFERROR(__xludf.DUMMYFUNCTION("""COMPUTED_VALUE"""),"MA-XII.13")</f>
        <v>MA-XII.13</v>
      </c>
      <c r="H228" s="28" t="str">
        <f>IFERROR(__xludf.DUMMYFUNCTION("""COMPUTED_VALUE"""),"C")</f>
        <v>C</v>
      </c>
      <c r="I228" s="28" t="str">
        <f>IFERROR(__xludf.DUMMYFUNCTION("""COMPUTED_VALUE"""),"C-7")</f>
        <v>C-7</v>
      </c>
      <c r="J228" s="28">
        <f>IFERROR(__xludf.DUMMYFUNCTION("""COMPUTED_VALUE"""),3.0)</f>
        <v>3</v>
      </c>
      <c r="K228" s="28" t="str">
        <f>IFERROR(__xludf.DUMMYFUNCTION("""COMPUTED_VALUE"""),"3 MAK PUTRI")</f>
        <v>3 MAK PUTRI</v>
      </c>
      <c r="L228" s="29" t="str">
        <f>IFERROR(__xludf.DUMMYFUNCTION("""COMPUTED_VALUE"""),"6285732899224")</f>
        <v>6285732899224</v>
      </c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2">
        <f>IFERROR(__xludf.DUMMYFUNCTION("""COMPUTED_VALUE"""),0.0)</f>
        <v>0</v>
      </c>
      <c r="BD228" s="22">
        <f>IFERROR(__xludf.DUMMYFUNCTION("""COMPUTED_VALUE"""),0.0)</f>
        <v>0</v>
      </c>
      <c r="BE228" s="22">
        <f>IFERROR(__xludf.DUMMYFUNCTION("""COMPUTED_VALUE"""),0.0)</f>
        <v>0</v>
      </c>
      <c r="BF228" s="22">
        <f>IFERROR(__xludf.DUMMYFUNCTION("""COMPUTED_VALUE"""),0.0)</f>
        <v>0</v>
      </c>
    </row>
    <row r="229">
      <c r="A229" s="27">
        <f>IFERROR(__xludf.DUMMYFUNCTION("""COMPUTED_VALUE"""),228.0)</f>
        <v>228</v>
      </c>
      <c r="B229" s="28" t="str">
        <f>IFERROR(__xludf.DUMMYFUNCTION("""COMPUTED_VALUE"""),"NOOR SHANIA RAHMAWATI")</f>
        <v>NOOR SHANIA RAHMAWATI</v>
      </c>
      <c r="C229" s="28">
        <f>IFERROR(__xludf.DUMMYFUNCTION("""COMPUTED_VALUE"""),2.024070021E9)</f>
        <v>2024070021</v>
      </c>
      <c r="D229" s="28" t="str">
        <f>IFERROR(__xludf.DUMMYFUNCTION("""COMPUTED_VALUE"""),"MOHAMMAD FAIZIN")</f>
        <v>MOHAMMAD FAIZIN</v>
      </c>
      <c r="E229" s="28" t="str">
        <f>IFERROR(__xludf.DUMMYFUNCTION("""COMPUTED_VALUE"""),"ISMAWATUR ROHMAH")</f>
        <v>ISMAWATUR ROHMAH</v>
      </c>
      <c r="F229" s="28" t="str">
        <f>IFERROR(__xludf.DUMMYFUNCTION("""COMPUTED_VALUE"""),"GLATIK RT 009 RW 003 UJUNGPANGKAH GRESIK")</f>
        <v>GLATIK RT 009 RW 003 UJUNGPANGKAH GRESIK</v>
      </c>
      <c r="G229" s="28" t="str">
        <f>IFERROR(__xludf.DUMMYFUNCTION("""COMPUTED_VALUE"""),"MA-XII.1")</f>
        <v>MA-XII.1</v>
      </c>
      <c r="H229" s="28" t="str">
        <f>IFERROR(__xludf.DUMMYFUNCTION("""COMPUTED_VALUE"""),"C")</f>
        <v>C</v>
      </c>
      <c r="I229" s="28" t="str">
        <f>IFERROR(__xludf.DUMMYFUNCTION("""COMPUTED_VALUE"""),"C-2")</f>
        <v>C-2</v>
      </c>
      <c r="J229" s="28">
        <f>IFERROR(__xludf.DUMMYFUNCTION("""COMPUTED_VALUE"""),3.0)</f>
        <v>3</v>
      </c>
      <c r="K229" s="28" t="str">
        <f>IFERROR(__xludf.DUMMYFUNCTION("""COMPUTED_VALUE"""),"")</f>
        <v/>
      </c>
      <c r="L229" s="29" t="str">
        <f>IFERROR(__xludf.DUMMYFUNCTION("""COMPUTED_VALUE"""),"62895385546488")</f>
        <v>62895385546488</v>
      </c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2">
        <f>IFERROR(__xludf.DUMMYFUNCTION("""COMPUTED_VALUE"""),0.0)</f>
        <v>0</v>
      </c>
      <c r="BD229" s="22">
        <f>IFERROR(__xludf.DUMMYFUNCTION("""COMPUTED_VALUE"""),0.0)</f>
        <v>0</v>
      </c>
      <c r="BE229" s="22">
        <f>IFERROR(__xludf.DUMMYFUNCTION("""COMPUTED_VALUE"""),0.0)</f>
        <v>0</v>
      </c>
      <c r="BF229" s="22">
        <f>IFERROR(__xludf.DUMMYFUNCTION("""COMPUTED_VALUE"""),0.0)</f>
        <v>0</v>
      </c>
    </row>
    <row r="230">
      <c r="A230" s="27">
        <f>IFERROR(__xludf.DUMMYFUNCTION("""COMPUTED_VALUE"""),229.0)</f>
        <v>229</v>
      </c>
      <c r="B230" s="28" t="str">
        <f>IFERROR(__xludf.DUMMYFUNCTION("""COMPUTED_VALUE"""),"NUR IZZAH SYAFIRAH")</f>
        <v>NUR IZZAH SYAFIRAH</v>
      </c>
      <c r="C230" s="28">
        <f>IFERROR(__xludf.DUMMYFUNCTION("""COMPUTED_VALUE"""),2.024070234E9)</f>
        <v>2024070234</v>
      </c>
      <c r="D230" s="28" t="str">
        <f>IFERROR(__xludf.DUMMYFUNCTION("""COMPUTED_VALUE"""),"SULTONI")</f>
        <v>SULTONI</v>
      </c>
      <c r="E230" s="28" t="str">
        <f>IFERROR(__xludf.DUMMYFUNCTION("""COMPUTED_VALUE"""),"UMU SAADAH")</f>
        <v>UMU SAADAH</v>
      </c>
      <c r="F230" s="28" t="str">
        <f>IFERROR(__xludf.DUMMYFUNCTION("""COMPUTED_VALUE"""),"KARANGCANGKRING RT 1 RW 1 DUKUN GRESIK")</f>
        <v>KARANGCANGKRING RT 1 RW 1 DUKUN GRESIK</v>
      </c>
      <c r="G230" s="28" t="str">
        <f>IFERROR(__xludf.DUMMYFUNCTION("""COMPUTED_VALUE"""),"MA-XII.6")</f>
        <v>MA-XII.6</v>
      </c>
      <c r="H230" s="28" t="str">
        <f>IFERROR(__xludf.DUMMYFUNCTION("""COMPUTED_VALUE"""),"C")</f>
        <v>C</v>
      </c>
      <c r="I230" s="28" t="str">
        <f>IFERROR(__xludf.DUMMYFUNCTION("""COMPUTED_VALUE"""),"C-9")</f>
        <v>C-9</v>
      </c>
      <c r="J230" s="28">
        <f>IFERROR(__xludf.DUMMYFUNCTION("""COMPUTED_VALUE"""),3.0)</f>
        <v>3</v>
      </c>
      <c r="K230" s="28" t="str">
        <f>IFERROR(__xludf.DUMMYFUNCTION("""COMPUTED_VALUE"""),"3 WUSTHO B PUTRI")</f>
        <v>3 WUSTHO B PUTRI</v>
      </c>
      <c r="L230" s="29" t="str">
        <f>IFERROR(__xludf.DUMMYFUNCTION("""COMPUTED_VALUE"""),"6288235840830")</f>
        <v>6288235840830</v>
      </c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2">
        <f>IFERROR(__xludf.DUMMYFUNCTION("""COMPUTED_VALUE"""),500000.0)</f>
        <v>500000</v>
      </c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2">
        <f>IFERROR(__xludf.DUMMYFUNCTION("""COMPUTED_VALUE"""),0.0)</f>
        <v>0</v>
      </c>
      <c r="BD230" s="22">
        <f>IFERROR(__xludf.DUMMYFUNCTION("""COMPUTED_VALUE"""),500000.0)</f>
        <v>500000</v>
      </c>
      <c r="BE230" s="22">
        <f>IFERROR(__xludf.DUMMYFUNCTION("""COMPUTED_VALUE"""),0.0)</f>
        <v>0</v>
      </c>
      <c r="BF230" s="22">
        <f>IFERROR(__xludf.DUMMYFUNCTION("""COMPUTED_VALUE"""),500000.0)</f>
        <v>500000</v>
      </c>
    </row>
    <row r="231">
      <c r="A231" s="27">
        <f>IFERROR(__xludf.DUMMYFUNCTION("""COMPUTED_VALUE"""),230.0)</f>
        <v>230</v>
      </c>
      <c r="B231" s="28" t="str">
        <f>IFERROR(__xludf.DUMMYFUNCTION("""COMPUTED_VALUE"""),"NURFUIMA LINDA HIDAYATI")</f>
        <v>NURFUIMA LINDA HIDAYATI</v>
      </c>
      <c r="C231" s="28">
        <f>IFERROR(__xludf.DUMMYFUNCTION("""COMPUTED_VALUE"""),2.024070357E9)</f>
        <v>2024070357</v>
      </c>
      <c r="D231" s="28" t="str">
        <f>IFERROR(__xludf.DUMMYFUNCTION("""COMPUTED_VALUE"""),"MOH. FUDAIRI")</f>
        <v>MOH. FUDAIRI</v>
      </c>
      <c r="E231" s="28" t="str">
        <f>IFERROR(__xludf.DUMMYFUNCTION("""COMPUTED_VALUE"""),"UMAIPAH")</f>
        <v>UMAIPAH</v>
      </c>
      <c r="F231" s="28" t="str">
        <f>IFERROR(__xludf.DUMMYFUNCTION("""COMPUTED_VALUE"""),"SAWO RT 009 RW 005 DUKUN GRESIK")</f>
        <v>SAWO RT 009 RW 005 DUKUN GRESIK</v>
      </c>
      <c r="G231" s="28" t="str">
        <f>IFERROR(__xludf.DUMMYFUNCTION("""COMPUTED_VALUE"""),"MA-XII.11")</f>
        <v>MA-XII.11</v>
      </c>
      <c r="H231" s="28" t="str">
        <f>IFERROR(__xludf.DUMMYFUNCTION("""COMPUTED_VALUE"""),"C")</f>
        <v>C</v>
      </c>
      <c r="I231" s="28" t="str">
        <f>IFERROR(__xludf.DUMMYFUNCTION("""COMPUTED_VALUE"""),"C-8")</f>
        <v>C-8</v>
      </c>
      <c r="J231" s="28">
        <f>IFERROR(__xludf.DUMMYFUNCTION("""COMPUTED_VALUE"""),3.0)</f>
        <v>3</v>
      </c>
      <c r="K231" s="28" t="str">
        <f>IFERROR(__xludf.DUMMYFUNCTION("""COMPUTED_VALUE"""),"")</f>
        <v/>
      </c>
      <c r="L231" s="29" t="str">
        <f>IFERROR(__xludf.DUMMYFUNCTION("""COMPUTED_VALUE"""),"6285606170861")</f>
        <v>6285606170861</v>
      </c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2">
        <f>IFERROR(__xludf.DUMMYFUNCTION("""COMPUTED_VALUE"""),450000.0)</f>
        <v>450000</v>
      </c>
      <c r="AO231" s="28"/>
      <c r="AP231" s="22">
        <f>IFERROR(__xludf.DUMMYFUNCTION("""COMPUTED_VALUE"""),500000.0)</f>
        <v>500000</v>
      </c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2">
        <f>IFERROR(__xludf.DUMMYFUNCTION("""COMPUTED_VALUE"""),450000.0)</f>
        <v>450000</v>
      </c>
      <c r="BD231" s="22">
        <f>IFERROR(__xludf.DUMMYFUNCTION("""COMPUTED_VALUE"""),500000.0)</f>
        <v>500000</v>
      </c>
      <c r="BE231" s="22">
        <f>IFERROR(__xludf.DUMMYFUNCTION("""COMPUTED_VALUE"""),0.0)</f>
        <v>0</v>
      </c>
      <c r="BF231" s="22">
        <f>IFERROR(__xludf.DUMMYFUNCTION("""COMPUTED_VALUE"""),950000.0)</f>
        <v>950000</v>
      </c>
    </row>
    <row r="232">
      <c r="A232" s="27">
        <f>IFERROR(__xludf.DUMMYFUNCTION("""COMPUTED_VALUE"""),231.0)</f>
        <v>231</v>
      </c>
      <c r="B232" s="28" t="str">
        <f>IFERROR(__xludf.DUMMYFUNCTION("""COMPUTED_VALUE"""),"NURUL SYARIFAH AMALIA")</f>
        <v>NURUL SYARIFAH AMALIA</v>
      </c>
      <c r="C232" s="28">
        <f>IFERROR(__xludf.DUMMYFUNCTION("""COMPUTED_VALUE"""),2.02407005E9)</f>
        <v>2024070050</v>
      </c>
      <c r="D232" s="28" t="str">
        <f>IFERROR(__xludf.DUMMYFUNCTION("""COMPUTED_VALUE"""),"HARTONO")</f>
        <v>HARTONO</v>
      </c>
      <c r="E232" s="28" t="str">
        <f>IFERROR(__xludf.DUMMYFUNCTION("""COMPUTED_VALUE"""),"MUSLIHATUN")</f>
        <v>MUSLIHATUN</v>
      </c>
      <c r="F232" s="28" t="str">
        <f>IFERROR(__xludf.DUMMYFUNCTION("""COMPUTED_VALUE"""),"SAWO RT 009 RW 005 DUKUN GRESIK")</f>
        <v>SAWO RT 009 RW 005 DUKUN GRESIK</v>
      </c>
      <c r="G232" s="28" t="str">
        <f>IFERROR(__xludf.DUMMYFUNCTION("""COMPUTED_VALUE"""),"MA-XII.2")</f>
        <v>MA-XII.2</v>
      </c>
      <c r="H232" s="28" t="str">
        <f>IFERROR(__xludf.DUMMYFUNCTION("""COMPUTED_VALUE"""),"C")</f>
        <v>C</v>
      </c>
      <c r="I232" s="28" t="str">
        <f>IFERROR(__xludf.DUMMYFUNCTION("""COMPUTED_VALUE"""),"C-8")</f>
        <v>C-8</v>
      </c>
      <c r="J232" s="28">
        <f>IFERROR(__xludf.DUMMYFUNCTION("""COMPUTED_VALUE"""),3.0)</f>
        <v>3</v>
      </c>
      <c r="K232" s="28" t="str">
        <f>IFERROR(__xludf.DUMMYFUNCTION("""COMPUTED_VALUE"""),"")</f>
        <v/>
      </c>
      <c r="L232" s="29" t="str">
        <f>IFERROR(__xludf.DUMMYFUNCTION("""COMPUTED_VALUE"""),"6281554030081")</f>
        <v>6281554030081</v>
      </c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2">
        <f>IFERROR(__xludf.DUMMYFUNCTION("""COMPUTED_VALUE"""),0.0)</f>
        <v>0</v>
      </c>
      <c r="BD232" s="22">
        <f>IFERROR(__xludf.DUMMYFUNCTION("""COMPUTED_VALUE"""),0.0)</f>
        <v>0</v>
      </c>
      <c r="BE232" s="22">
        <f>IFERROR(__xludf.DUMMYFUNCTION("""COMPUTED_VALUE"""),0.0)</f>
        <v>0</v>
      </c>
      <c r="BF232" s="22">
        <f>IFERROR(__xludf.DUMMYFUNCTION("""COMPUTED_VALUE"""),0.0)</f>
        <v>0</v>
      </c>
    </row>
    <row r="233">
      <c r="A233" s="27">
        <f>IFERROR(__xludf.DUMMYFUNCTION("""COMPUTED_VALUE"""),232.0)</f>
        <v>232</v>
      </c>
      <c r="B233" s="28" t="str">
        <f>IFERROR(__xludf.DUMMYFUNCTION("""COMPUTED_VALUE"""),"NURUN NAJWA ARROHMANIYAH")</f>
        <v>NURUN NAJWA ARROHMANIYAH</v>
      </c>
      <c r="C233" s="28">
        <f>IFERROR(__xludf.DUMMYFUNCTION("""COMPUTED_VALUE"""),2.024070119E9)</f>
        <v>2024070119</v>
      </c>
      <c r="D233" s="28" t="str">
        <f>IFERROR(__xludf.DUMMYFUNCTION("""COMPUTED_VALUE"""),"LUKMANUL KHAKIM")</f>
        <v>LUKMANUL KHAKIM</v>
      </c>
      <c r="E233" s="28" t="str">
        <f>IFERROR(__xludf.DUMMYFUNCTION("""COMPUTED_VALUE"""),"ZUBAIDAH")</f>
        <v>ZUBAIDAH</v>
      </c>
      <c r="F233" s="28" t="str">
        <f>IFERROR(__xludf.DUMMYFUNCTION("""COMPUTED_VALUE"""),"TRACAL RT 003 RW 002 KARANGGENENG LAMONGAN")</f>
        <v>TRACAL RT 003 RW 002 KARANGGENENG LAMONGAN</v>
      </c>
      <c r="G233" s="28" t="str">
        <f>IFERROR(__xludf.DUMMYFUNCTION("""COMPUTED_VALUE"""),"MA-XII.4")</f>
        <v>MA-XII.4</v>
      </c>
      <c r="H233" s="28" t="str">
        <f>IFERROR(__xludf.DUMMYFUNCTION("""COMPUTED_VALUE"""),"C")</f>
        <v>C</v>
      </c>
      <c r="I233" s="28" t="str">
        <f>IFERROR(__xludf.DUMMYFUNCTION("""COMPUTED_VALUE"""),"C-8")</f>
        <v>C-8</v>
      </c>
      <c r="J233" s="28">
        <f>IFERROR(__xludf.DUMMYFUNCTION("""COMPUTED_VALUE"""),3.0)</f>
        <v>3</v>
      </c>
      <c r="K233" s="28" t="str">
        <f>IFERROR(__xludf.DUMMYFUNCTION("""COMPUTED_VALUE"""),"")</f>
        <v/>
      </c>
      <c r="L233" s="29" t="str">
        <f>IFERROR(__xludf.DUMMYFUNCTION("""COMPUTED_VALUE"""),"6285731338909")</f>
        <v>6285731338909</v>
      </c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2">
        <f>IFERROR(__xludf.DUMMYFUNCTION("""COMPUTED_VALUE"""),500000.0)</f>
        <v>500000</v>
      </c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2">
        <f>IFERROR(__xludf.DUMMYFUNCTION("""COMPUTED_VALUE"""),0.0)</f>
        <v>0</v>
      </c>
      <c r="BD233" s="22">
        <f>IFERROR(__xludf.DUMMYFUNCTION("""COMPUTED_VALUE"""),500000.0)</f>
        <v>500000</v>
      </c>
      <c r="BE233" s="22">
        <f>IFERROR(__xludf.DUMMYFUNCTION("""COMPUTED_VALUE"""),0.0)</f>
        <v>0</v>
      </c>
      <c r="BF233" s="22">
        <f>IFERROR(__xludf.DUMMYFUNCTION("""COMPUTED_VALUE"""),500000.0)</f>
        <v>500000</v>
      </c>
    </row>
    <row r="234">
      <c r="A234" s="27">
        <f>IFERROR(__xludf.DUMMYFUNCTION("""COMPUTED_VALUE"""),233.0)</f>
        <v>233</v>
      </c>
      <c r="B234" s="28" t="str">
        <f>IFERROR(__xludf.DUMMYFUNCTION("""COMPUTED_VALUE"""),"PUTRI SALSABILA RAHMA NOVALITA")</f>
        <v>PUTRI SALSABILA RAHMA NOVALITA</v>
      </c>
      <c r="C234" s="28">
        <f>IFERROR(__xludf.DUMMYFUNCTION("""COMPUTED_VALUE"""),2.024070545E9)</f>
        <v>2024070545</v>
      </c>
      <c r="D234" s="28" t="str">
        <f>IFERROR(__xludf.DUMMYFUNCTION("""COMPUTED_VALUE"""),"ARIFIANTO")</f>
        <v>ARIFIANTO</v>
      </c>
      <c r="E234" s="28" t="str">
        <f>IFERROR(__xludf.DUMMYFUNCTION("""COMPUTED_VALUE"""),"NUR HASANAH")</f>
        <v>NUR HASANAH</v>
      </c>
      <c r="F234" s="28" t="str">
        <f>IFERROR(__xludf.DUMMYFUNCTION("""COMPUTED_VALUE"""),"SEMBUNGAN KIDUL RT 004 RW 002 DUKUN GRESIK")</f>
        <v>SEMBUNGAN KIDUL RT 004 RW 002 DUKUN GRESIK</v>
      </c>
      <c r="G234" s="28" t="str">
        <f>IFERROR(__xludf.DUMMYFUNCTION("""COMPUTED_VALUE"""),"MTS-9 G")</f>
        <v>MTS-9 G</v>
      </c>
      <c r="H234" s="28" t="str">
        <f>IFERROR(__xludf.DUMMYFUNCTION("""COMPUTED_VALUE"""),"C")</f>
        <v>C</v>
      </c>
      <c r="I234" s="28" t="str">
        <f>IFERROR(__xludf.DUMMYFUNCTION("""COMPUTED_VALUE"""),"C-3")</f>
        <v>C-3</v>
      </c>
      <c r="J234" s="28">
        <f>IFERROR(__xludf.DUMMYFUNCTION("""COMPUTED_VALUE"""),3.0)</f>
        <v>3</v>
      </c>
      <c r="K234" s="28" t="str">
        <f>IFERROR(__xludf.DUMMYFUNCTION("""COMPUTED_VALUE"""),"")</f>
        <v/>
      </c>
      <c r="L234" s="29" t="str">
        <f>IFERROR(__xludf.DUMMYFUNCTION("""COMPUTED_VALUE"""),"6285755578060")</f>
        <v>6285755578060</v>
      </c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2">
        <f>IFERROR(__xludf.DUMMYFUNCTION("""COMPUTED_VALUE"""),500000.0)</f>
        <v>500000</v>
      </c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2">
        <f>IFERROR(__xludf.DUMMYFUNCTION("""COMPUTED_VALUE"""),450000.0)</f>
        <v>450000</v>
      </c>
      <c r="AN234" s="22">
        <f>IFERROR(__xludf.DUMMYFUNCTION("""COMPUTED_VALUE"""),450000.0)</f>
        <v>450000</v>
      </c>
      <c r="AO234" s="28"/>
      <c r="AP234" s="22">
        <f>IFERROR(__xludf.DUMMYFUNCTION("""COMPUTED_VALUE"""),500000.0)</f>
        <v>500000</v>
      </c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2">
        <f>IFERROR(__xludf.DUMMYFUNCTION("""COMPUTED_VALUE"""),900000.0)</f>
        <v>900000</v>
      </c>
      <c r="BD234" s="22">
        <f>IFERROR(__xludf.DUMMYFUNCTION("""COMPUTED_VALUE"""),1000000.0)</f>
        <v>1000000</v>
      </c>
      <c r="BE234" s="22">
        <f>IFERROR(__xludf.DUMMYFUNCTION("""COMPUTED_VALUE"""),0.0)</f>
        <v>0</v>
      </c>
      <c r="BF234" s="22">
        <f>IFERROR(__xludf.DUMMYFUNCTION("""COMPUTED_VALUE"""),1900000.0)</f>
        <v>1900000</v>
      </c>
    </row>
    <row r="235">
      <c r="A235" s="27">
        <f>IFERROR(__xludf.DUMMYFUNCTION("""COMPUTED_VALUE"""),234.0)</f>
        <v>234</v>
      </c>
      <c r="B235" s="28" t="str">
        <f>IFERROR(__xludf.DUMMYFUNCTION("""COMPUTED_VALUE"""),"SEPTIA ERRA RAMADHANI")</f>
        <v>SEPTIA ERRA RAMADHANI</v>
      </c>
      <c r="C235" s="28">
        <f>IFERROR(__xludf.DUMMYFUNCTION("""COMPUTED_VALUE"""),2.024070364E9)</f>
        <v>2024070364</v>
      </c>
      <c r="D235" s="28" t="str">
        <f>IFERROR(__xludf.DUMMYFUNCTION("""COMPUTED_VALUE"""),"SISWADI")</f>
        <v>SISWADI</v>
      </c>
      <c r="E235" s="28" t="str">
        <f>IFERROR(__xludf.DUMMYFUNCTION("""COMPUTED_VALUE"""),"RINI SETYOWATI")</f>
        <v>RINI SETYOWATI</v>
      </c>
      <c r="F235" s="28" t="str">
        <f>IFERROR(__xludf.DUMMYFUNCTION("""COMPUTED_VALUE"""),"BAKALAN BANYUURIP RT 001 RW 003 KARANGBINANGUN LAMONGAN")</f>
        <v>BAKALAN BANYUURIP RT 001 RW 003 KARANGBINANGUN LAMONGAN</v>
      </c>
      <c r="G235" s="28" t="str">
        <f>IFERROR(__xludf.DUMMYFUNCTION("""COMPUTED_VALUE"""),"MA-XII.11")</f>
        <v>MA-XII.11</v>
      </c>
      <c r="H235" s="28" t="str">
        <f>IFERROR(__xludf.DUMMYFUNCTION("""COMPUTED_VALUE"""),"C")</f>
        <v>C</v>
      </c>
      <c r="I235" s="28" t="str">
        <f>IFERROR(__xludf.DUMMYFUNCTION("""COMPUTED_VALUE"""),"C-8")</f>
        <v>C-8</v>
      </c>
      <c r="J235" s="28">
        <f>IFERROR(__xludf.DUMMYFUNCTION("""COMPUTED_VALUE"""),3.0)</f>
        <v>3</v>
      </c>
      <c r="K235" s="28" t="str">
        <f>IFERROR(__xludf.DUMMYFUNCTION("""COMPUTED_VALUE"""),"3 WUSTHO B PUTRI")</f>
        <v>3 WUSTHO B PUTRI</v>
      </c>
      <c r="L235" s="29" t="str">
        <f>IFERROR(__xludf.DUMMYFUNCTION("""COMPUTED_VALUE"""),"6285803383706")</f>
        <v>6285803383706</v>
      </c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2">
        <f>IFERROR(__xludf.DUMMYFUNCTION("""COMPUTED_VALUE"""),0.0)</f>
        <v>0</v>
      </c>
      <c r="BD235" s="22">
        <f>IFERROR(__xludf.DUMMYFUNCTION("""COMPUTED_VALUE"""),0.0)</f>
        <v>0</v>
      </c>
      <c r="BE235" s="22">
        <f>IFERROR(__xludf.DUMMYFUNCTION("""COMPUTED_VALUE"""),0.0)</f>
        <v>0</v>
      </c>
      <c r="BF235" s="22">
        <f>IFERROR(__xludf.DUMMYFUNCTION("""COMPUTED_VALUE"""),0.0)</f>
        <v>0</v>
      </c>
    </row>
    <row r="236">
      <c r="A236" s="27">
        <f>IFERROR(__xludf.DUMMYFUNCTION("""COMPUTED_VALUE"""),235.0)</f>
        <v>235</v>
      </c>
      <c r="B236" s="28" t="str">
        <f>IFERROR(__xludf.DUMMYFUNCTION("""COMPUTED_VALUE"""),"SHAFA ELMATALIA GHAZALI")</f>
        <v>SHAFA ELMATALIA GHAZALI</v>
      </c>
      <c r="C236" s="28">
        <f>IFERROR(__xludf.DUMMYFUNCTION("""COMPUTED_VALUE"""),2.024070437E9)</f>
        <v>2024070437</v>
      </c>
      <c r="D236" s="28" t="str">
        <f>IFERROR(__xludf.DUMMYFUNCTION("""COMPUTED_VALUE"""),"IMAM GHOZALI")</f>
        <v>IMAM GHOZALI</v>
      </c>
      <c r="E236" s="28" t="str">
        <f>IFERROR(__xludf.DUMMYFUNCTION("""COMPUTED_VALUE"""),"SSITI MAFTUCHAH")</f>
        <v>SSITI MAFTUCHAH</v>
      </c>
      <c r="F236" s="28" t="str">
        <f>IFERROR(__xludf.DUMMYFUNCTION("""COMPUTED_VALUE"""),"PETIYIN TAKERHARJO RT 001 RW 005 SOLOKURO LAMONGAN")</f>
        <v>PETIYIN TAKERHARJO RT 001 RW 005 SOLOKURO LAMONGAN</v>
      </c>
      <c r="G236" s="28" t="str">
        <f>IFERROR(__xludf.DUMMYFUNCTION("""COMPUTED_VALUE"""),"MA-XII.13")</f>
        <v>MA-XII.13</v>
      </c>
      <c r="H236" s="28" t="str">
        <f>IFERROR(__xludf.DUMMYFUNCTION("""COMPUTED_VALUE"""),"C")</f>
        <v>C</v>
      </c>
      <c r="I236" s="28" t="str">
        <f>IFERROR(__xludf.DUMMYFUNCTION("""COMPUTED_VALUE"""),"C-7")</f>
        <v>C-7</v>
      </c>
      <c r="J236" s="28">
        <f>IFERROR(__xludf.DUMMYFUNCTION("""COMPUTED_VALUE"""),3.0)</f>
        <v>3</v>
      </c>
      <c r="K236" s="28" t="str">
        <f>IFERROR(__xludf.DUMMYFUNCTION("""COMPUTED_VALUE"""),"3 MAK PUTRI")</f>
        <v>3 MAK PUTRI</v>
      </c>
      <c r="L236" s="29" t="str">
        <f>IFERROR(__xludf.DUMMYFUNCTION("""COMPUTED_VALUE"""),"6285817250698")</f>
        <v>6285817250698</v>
      </c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2">
        <f>IFERROR(__xludf.DUMMYFUNCTION("""COMPUTED_VALUE"""),500000.0)</f>
        <v>500000</v>
      </c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2">
        <f>IFERROR(__xludf.DUMMYFUNCTION("""COMPUTED_VALUE"""),450000.0)</f>
        <v>450000</v>
      </c>
      <c r="AO236" s="28"/>
      <c r="AP236" s="22">
        <f>IFERROR(__xludf.DUMMYFUNCTION("""COMPUTED_VALUE"""),500000.0)</f>
        <v>500000</v>
      </c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2">
        <f>IFERROR(__xludf.DUMMYFUNCTION("""COMPUTED_VALUE"""),450000.0)</f>
        <v>450000</v>
      </c>
      <c r="BD236" s="22">
        <f>IFERROR(__xludf.DUMMYFUNCTION("""COMPUTED_VALUE"""),1000000.0)</f>
        <v>1000000</v>
      </c>
      <c r="BE236" s="22">
        <f>IFERROR(__xludf.DUMMYFUNCTION("""COMPUTED_VALUE"""),0.0)</f>
        <v>0</v>
      </c>
      <c r="BF236" s="22">
        <f>IFERROR(__xludf.DUMMYFUNCTION("""COMPUTED_VALUE"""),1450000.0)</f>
        <v>1450000</v>
      </c>
    </row>
    <row r="237">
      <c r="A237" s="27">
        <f>IFERROR(__xludf.DUMMYFUNCTION("""COMPUTED_VALUE"""),236.0)</f>
        <v>236</v>
      </c>
      <c r="B237" s="28" t="str">
        <f>IFERROR(__xludf.DUMMYFUNCTION("""COMPUTED_VALUE"""),"SHIELLAH ALFI ALKARIMAH YUSUF")</f>
        <v>SHIELLAH ALFI ALKARIMAH YUSUF</v>
      </c>
      <c r="C237" s="28">
        <f>IFERROR(__xludf.DUMMYFUNCTION("""COMPUTED_VALUE"""),2.024070023E9)</f>
        <v>2024070023</v>
      </c>
      <c r="D237" s="28" t="str">
        <f>IFERROR(__xludf.DUMMYFUNCTION("""COMPUTED_VALUE"""),"ALI YUSUF")</f>
        <v>ALI YUSUF</v>
      </c>
      <c r="E237" s="28" t="str">
        <f>IFERROR(__xludf.DUMMYFUNCTION("""COMPUTED_VALUE"""),"ZULFATUM MA'KIFAH")</f>
        <v>ZULFATUM MA'KIFAH</v>
      </c>
      <c r="F237" s="28" t="str">
        <f>IFERROR(__xludf.DUMMYFUNCTION("""COMPUTED_VALUE"""),"TURI RT 9 RW 2 TURI LAMONGAN")</f>
        <v>TURI RT 9 RW 2 TURI LAMONGAN</v>
      </c>
      <c r="G237" s="28" t="str">
        <f>IFERROR(__xludf.DUMMYFUNCTION("""COMPUTED_VALUE"""),"MA-XII.1")</f>
        <v>MA-XII.1</v>
      </c>
      <c r="H237" s="28" t="str">
        <f>IFERROR(__xludf.DUMMYFUNCTION("""COMPUTED_VALUE"""),"C")</f>
        <v>C</v>
      </c>
      <c r="I237" s="28" t="str">
        <f>IFERROR(__xludf.DUMMYFUNCTION("""COMPUTED_VALUE"""),"C-2")</f>
        <v>C-2</v>
      </c>
      <c r="J237" s="28">
        <f>IFERROR(__xludf.DUMMYFUNCTION("""COMPUTED_VALUE"""),3.0)</f>
        <v>3</v>
      </c>
      <c r="K237" s="28" t="str">
        <f>IFERROR(__xludf.DUMMYFUNCTION("""COMPUTED_VALUE"""),"")</f>
        <v/>
      </c>
      <c r="L237" s="29" t="str">
        <f>IFERROR(__xludf.DUMMYFUNCTION("""COMPUTED_VALUE"""),"6285730526524")</f>
        <v>6285730526524</v>
      </c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2">
        <f>IFERROR(__xludf.DUMMYFUNCTION("""COMPUTED_VALUE"""),0.0)</f>
        <v>0</v>
      </c>
      <c r="BD237" s="22">
        <f>IFERROR(__xludf.DUMMYFUNCTION("""COMPUTED_VALUE"""),0.0)</f>
        <v>0</v>
      </c>
      <c r="BE237" s="22">
        <f>IFERROR(__xludf.DUMMYFUNCTION("""COMPUTED_VALUE"""),0.0)</f>
        <v>0</v>
      </c>
      <c r="BF237" s="22">
        <f>IFERROR(__xludf.DUMMYFUNCTION("""COMPUTED_VALUE"""),0.0)</f>
        <v>0</v>
      </c>
    </row>
    <row r="238">
      <c r="A238" s="27">
        <f>IFERROR(__xludf.DUMMYFUNCTION("""COMPUTED_VALUE"""),237.0)</f>
        <v>237</v>
      </c>
      <c r="B238" s="28" t="str">
        <f>IFERROR(__xludf.DUMMYFUNCTION("""COMPUTED_VALUE"""),"SHOFWATUL WIDAD")</f>
        <v>SHOFWATUL WIDAD</v>
      </c>
      <c r="C238" s="28">
        <f>IFERROR(__xludf.DUMMYFUNCTION("""COMPUTED_VALUE"""),2.024070024E9)</f>
        <v>2024070024</v>
      </c>
      <c r="D238" s="28" t="str">
        <f>IFERROR(__xludf.DUMMYFUNCTION("""COMPUTED_VALUE"""),"M. AGUS SALIM")</f>
        <v>M. AGUS SALIM</v>
      </c>
      <c r="E238" s="28" t="str">
        <f>IFERROR(__xludf.DUMMYFUNCTION("""COMPUTED_VALUE"""),"BADROTUL LAILI")</f>
        <v>BADROTUL LAILI</v>
      </c>
      <c r="F238" s="28" t="str">
        <f>IFERROR(__xludf.DUMMYFUNCTION("""COMPUTED_VALUE"""),"WEDORO RT 3 RW 1 GLAGAH LAMONGAN")</f>
        <v>WEDORO RT 3 RW 1 GLAGAH LAMONGAN</v>
      </c>
      <c r="G238" s="28" t="str">
        <f>IFERROR(__xludf.DUMMYFUNCTION("""COMPUTED_VALUE"""),"MA-XII.1")</f>
        <v>MA-XII.1</v>
      </c>
      <c r="H238" s="28" t="str">
        <f>IFERROR(__xludf.DUMMYFUNCTION("""COMPUTED_VALUE"""),"C")</f>
        <v>C</v>
      </c>
      <c r="I238" s="28" t="str">
        <f>IFERROR(__xludf.DUMMYFUNCTION("""COMPUTED_VALUE"""),"C-2")</f>
        <v>C-2</v>
      </c>
      <c r="J238" s="28">
        <f>IFERROR(__xludf.DUMMYFUNCTION("""COMPUTED_VALUE"""),3.0)</f>
        <v>3</v>
      </c>
      <c r="K238" s="28" t="str">
        <f>IFERROR(__xludf.DUMMYFUNCTION("""COMPUTED_VALUE"""),"")</f>
        <v/>
      </c>
      <c r="L238" s="29" t="str">
        <f>IFERROR(__xludf.DUMMYFUNCTION("""COMPUTED_VALUE"""),"6281334126096")</f>
        <v>6281334126096</v>
      </c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2">
        <f>IFERROR(__xludf.DUMMYFUNCTION("""COMPUTED_VALUE"""),0.0)</f>
        <v>0</v>
      </c>
      <c r="BD238" s="22">
        <f>IFERROR(__xludf.DUMMYFUNCTION("""COMPUTED_VALUE"""),0.0)</f>
        <v>0</v>
      </c>
      <c r="BE238" s="22">
        <f>IFERROR(__xludf.DUMMYFUNCTION("""COMPUTED_VALUE"""),0.0)</f>
        <v>0</v>
      </c>
      <c r="BF238" s="22">
        <f>IFERROR(__xludf.DUMMYFUNCTION("""COMPUTED_VALUE"""),0.0)</f>
        <v>0</v>
      </c>
    </row>
    <row r="239">
      <c r="A239" s="27">
        <f>IFERROR(__xludf.DUMMYFUNCTION("""COMPUTED_VALUE"""),238.0)</f>
        <v>238</v>
      </c>
      <c r="B239" s="28" t="str">
        <f>IFERROR(__xludf.DUMMYFUNCTION("""COMPUTED_VALUE"""),"SIFAAUR ROSYIDAH")</f>
        <v>SIFAAUR ROSYIDAH</v>
      </c>
      <c r="C239" s="28">
        <f>IFERROR(__xludf.DUMMYFUNCTION("""COMPUTED_VALUE"""),2.024070439E9)</f>
        <v>2024070439</v>
      </c>
      <c r="D239" s="28" t="str">
        <f>IFERROR(__xludf.DUMMYFUNCTION("""COMPUTED_VALUE"""),"ABD. SALAM")</f>
        <v>ABD. SALAM</v>
      </c>
      <c r="E239" s="28" t="str">
        <f>IFERROR(__xludf.DUMMYFUNCTION("""COMPUTED_VALUE"""),"MASRUROH")</f>
        <v>MASRUROH</v>
      </c>
      <c r="F239" s="28" t="str">
        <f>IFERROR(__xludf.DUMMYFUNCTION("""COMPUTED_VALUE"""),"KEMLAGILOR RT 2 RW 2 TURI LAMONGAN")</f>
        <v>KEMLAGILOR RT 2 RW 2 TURI LAMONGAN</v>
      </c>
      <c r="G239" s="28" t="str">
        <f>IFERROR(__xludf.DUMMYFUNCTION("""COMPUTED_VALUE"""),"MA-XII.13")</f>
        <v>MA-XII.13</v>
      </c>
      <c r="H239" s="28" t="str">
        <f>IFERROR(__xludf.DUMMYFUNCTION("""COMPUTED_VALUE"""),"C")</f>
        <v>C</v>
      </c>
      <c r="I239" s="28" t="str">
        <f>IFERROR(__xludf.DUMMYFUNCTION("""COMPUTED_VALUE"""),"C-7")</f>
        <v>C-7</v>
      </c>
      <c r="J239" s="28">
        <f>IFERROR(__xludf.DUMMYFUNCTION("""COMPUTED_VALUE"""),3.0)</f>
        <v>3</v>
      </c>
      <c r="K239" s="28" t="str">
        <f>IFERROR(__xludf.DUMMYFUNCTION("""COMPUTED_VALUE"""),"3 MAK PUTRI")</f>
        <v>3 MAK PUTRI</v>
      </c>
      <c r="L239" s="29" t="str">
        <f>IFERROR(__xludf.DUMMYFUNCTION("""COMPUTED_VALUE"""),"6285773511334")</f>
        <v>6285773511334</v>
      </c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2">
        <f>IFERROR(__xludf.DUMMYFUNCTION("""COMPUTED_VALUE"""),450000.0)</f>
        <v>450000</v>
      </c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2">
        <f>IFERROR(__xludf.DUMMYFUNCTION("""COMPUTED_VALUE"""),450000.0)</f>
        <v>450000</v>
      </c>
      <c r="BD239" s="22">
        <f>IFERROR(__xludf.DUMMYFUNCTION("""COMPUTED_VALUE"""),0.0)</f>
        <v>0</v>
      </c>
      <c r="BE239" s="22">
        <f>IFERROR(__xludf.DUMMYFUNCTION("""COMPUTED_VALUE"""),0.0)</f>
        <v>0</v>
      </c>
      <c r="BF239" s="22">
        <f>IFERROR(__xludf.DUMMYFUNCTION("""COMPUTED_VALUE"""),450000.0)</f>
        <v>450000</v>
      </c>
    </row>
    <row r="240">
      <c r="A240" s="27">
        <f>IFERROR(__xludf.DUMMYFUNCTION("""COMPUTED_VALUE"""),239.0)</f>
        <v>239</v>
      </c>
      <c r="B240" s="28" t="str">
        <f>IFERROR(__xludf.DUMMYFUNCTION("""COMPUTED_VALUE"""),"SILVIA NUR FAIZAH")</f>
        <v>SILVIA NUR FAIZAH</v>
      </c>
      <c r="C240" s="28">
        <f>IFERROR(__xludf.DUMMYFUNCTION("""COMPUTED_VALUE"""),2.024070236E9)</f>
        <v>2024070236</v>
      </c>
      <c r="D240" s="28" t="str">
        <f>IFERROR(__xludf.DUMMYFUNCTION("""COMPUTED_VALUE"""),"SUYATNO")</f>
        <v>SUYATNO</v>
      </c>
      <c r="E240" s="28" t="str">
        <f>IFERROR(__xludf.DUMMYFUNCTION("""COMPUTED_VALUE"""),"NURUL HIDAYATI")</f>
        <v>NURUL HIDAYATI</v>
      </c>
      <c r="F240" s="28" t="str">
        <f>IFERROR(__xludf.DUMMYFUNCTION("""COMPUTED_VALUE"""),"BALAN BANJAREJO RT 004 RW 006 SUKODADI LAMONGAN")</f>
        <v>BALAN BANJAREJO RT 004 RW 006 SUKODADI LAMONGAN</v>
      </c>
      <c r="G240" s="28" t="str">
        <f>IFERROR(__xludf.DUMMYFUNCTION("""COMPUTED_VALUE"""),"MA-XII.6")</f>
        <v>MA-XII.6</v>
      </c>
      <c r="H240" s="28" t="str">
        <f>IFERROR(__xludf.DUMMYFUNCTION("""COMPUTED_VALUE"""),"C")</f>
        <v>C</v>
      </c>
      <c r="I240" s="28" t="str">
        <f>IFERROR(__xludf.DUMMYFUNCTION("""COMPUTED_VALUE"""),"C-9")</f>
        <v>C-9</v>
      </c>
      <c r="J240" s="28">
        <f>IFERROR(__xludf.DUMMYFUNCTION("""COMPUTED_VALUE"""),3.0)</f>
        <v>3</v>
      </c>
      <c r="K240" s="28" t="str">
        <f>IFERROR(__xludf.DUMMYFUNCTION("""COMPUTED_VALUE"""),"3 WUSTHO A PUTRI")</f>
        <v>3 WUSTHO A PUTRI</v>
      </c>
      <c r="L240" s="29" t="str">
        <f>IFERROR(__xludf.DUMMYFUNCTION("""COMPUTED_VALUE"""),"6285816435650")</f>
        <v>6285816435650</v>
      </c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2">
        <f>IFERROR(__xludf.DUMMYFUNCTION("""COMPUTED_VALUE"""),0.0)</f>
        <v>0</v>
      </c>
      <c r="BD240" s="22">
        <f>IFERROR(__xludf.DUMMYFUNCTION("""COMPUTED_VALUE"""),0.0)</f>
        <v>0</v>
      </c>
      <c r="BE240" s="22">
        <f>IFERROR(__xludf.DUMMYFUNCTION("""COMPUTED_VALUE"""),0.0)</f>
        <v>0</v>
      </c>
      <c r="BF240" s="22">
        <f>IFERROR(__xludf.DUMMYFUNCTION("""COMPUTED_VALUE"""),0.0)</f>
        <v>0</v>
      </c>
    </row>
    <row r="241">
      <c r="A241" s="27">
        <f>IFERROR(__xludf.DUMMYFUNCTION("""COMPUTED_VALUE"""),240.0)</f>
        <v>240</v>
      </c>
      <c r="B241" s="28" t="str">
        <f>IFERROR(__xludf.DUMMYFUNCTION("""COMPUTED_VALUE"""),"SILVIANA NUR MAULIDIYA")</f>
        <v>SILVIANA NUR MAULIDIYA</v>
      </c>
      <c r="C241" s="28">
        <f>IFERROR(__xludf.DUMMYFUNCTION("""COMPUTED_VALUE"""),2.024070025E9)</f>
        <v>2024070025</v>
      </c>
      <c r="D241" s="28" t="str">
        <f>IFERROR(__xludf.DUMMYFUNCTION("""COMPUTED_VALUE"""),"DARMAJI")</f>
        <v>DARMAJI</v>
      </c>
      <c r="E241" s="28" t="str">
        <f>IFERROR(__xludf.DUMMYFUNCTION("""COMPUTED_VALUE"""),"INDARWATI")</f>
        <v>INDARWATI</v>
      </c>
      <c r="F241" s="28" t="str">
        <f>IFERROR(__xludf.DUMMYFUNCTION("""COMPUTED_VALUE"""),"TURI RT 006 RW 001 TURI LAMONGAN")</f>
        <v>TURI RT 006 RW 001 TURI LAMONGAN</v>
      </c>
      <c r="G241" s="28" t="str">
        <f>IFERROR(__xludf.DUMMYFUNCTION("""COMPUTED_VALUE"""),"MA-XII.1")</f>
        <v>MA-XII.1</v>
      </c>
      <c r="H241" s="28" t="str">
        <f>IFERROR(__xludf.DUMMYFUNCTION("""COMPUTED_VALUE"""),"C")</f>
        <v>C</v>
      </c>
      <c r="I241" s="28" t="str">
        <f>IFERROR(__xludf.DUMMYFUNCTION("""COMPUTED_VALUE"""),"C-2")</f>
        <v>C-2</v>
      </c>
      <c r="J241" s="28">
        <f>IFERROR(__xludf.DUMMYFUNCTION("""COMPUTED_VALUE"""),3.0)</f>
        <v>3</v>
      </c>
      <c r="K241" s="28" t="str">
        <f>IFERROR(__xludf.DUMMYFUNCTION("""COMPUTED_VALUE"""),"")</f>
        <v/>
      </c>
      <c r="L241" s="29" t="str">
        <f>IFERROR(__xludf.DUMMYFUNCTION("""COMPUTED_VALUE"""),"6285784942924")</f>
        <v>6285784942924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2">
        <f>IFERROR(__xludf.DUMMYFUNCTION("""COMPUTED_VALUE"""),0.0)</f>
        <v>0</v>
      </c>
      <c r="BD241" s="22">
        <f>IFERROR(__xludf.DUMMYFUNCTION("""COMPUTED_VALUE"""),0.0)</f>
        <v>0</v>
      </c>
      <c r="BE241" s="22">
        <f>IFERROR(__xludf.DUMMYFUNCTION("""COMPUTED_VALUE"""),0.0)</f>
        <v>0</v>
      </c>
      <c r="BF241" s="22">
        <f>IFERROR(__xludf.DUMMYFUNCTION("""COMPUTED_VALUE"""),0.0)</f>
        <v>0</v>
      </c>
    </row>
    <row r="242">
      <c r="A242" s="27">
        <f>IFERROR(__xludf.DUMMYFUNCTION("""COMPUTED_VALUE"""),241.0)</f>
        <v>241</v>
      </c>
      <c r="B242" s="28" t="str">
        <f>IFERROR(__xludf.DUMMYFUNCTION("""COMPUTED_VALUE"""),"SITI FAIZATUDDAAROINI")</f>
        <v>SITI FAIZATUDDAAROINI</v>
      </c>
      <c r="C242" s="28">
        <f>IFERROR(__xludf.DUMMYFUNCTION("""COMPUTED_VALUE"""),2.024070164E9)</f>
        <v>2024070164</v>
      </c>
      <c r="D242" s="28" t="str">
        <f>IFERROR(__xludf.DUMMYFUNCTION("""COMPUTED_VALUE"""),"AHMAD JA`FAR")</f>
        <v>AHMAD JA`FAR</v>
      </c>
      <c r="E242" s="28" t="str">
        <f>IFERROR(__xludf.DUMMYFUNCTION("""COMPUTED_VALUE"""),"YUNY NOVIA ROHMAYANTI")</f>
        <v>YUNY NOVIA ROHMAYANTI</v>
      </c>
      <c r="F242" s="28" t="str">
        <f>IFERROR(__xludf.DUMMYFUNCTION("""COMPUTED_VALUE"""),"DRAJAT RT 002 RW 003 PACIRAN LAMONGAN")</f>
        <v>DRAJAT RT 002 RW 003 PACIRAN LAMONGAN</v>
      </c>
      <c r="G242" s="28" t="str">
        <f>IFERROR(__xludf.DUMMYFUNCTION("""COMPUTED_VALUE"""),"MA-XII.5")</f>
        <v>MA-XII.5</v>
      </c>
      <c r="H242" s="28" t="str">
        <f>IFERROR(__xludf.DUMMYFUNCTION("""COMPUTED_VALUE"""),"C")</f>
        <v>C</v>
      </c>
      <c r="I242" s="28" t="str">
        <f>IFERROR(__xludf.DUMMYFUNCTION("""COMPUTED_VALUE"""),"C-9")</f>
        <v>C-9</v>
      </c>
      <c r="J242" s="28">
        <f>IFERROR(__xludf.DUMMYFUNCTION("""COMPUTED_VALUE"""),3.0)</f>
        <v>3</v>
      </c>
      <c r="K242" s="28" t="str">
        <f>IFERROR(__xludf.DUMMYFUNCTION("""COMPUTED_VALUE"""),"")</f>
        <v/>
      </c>
      <c r="L242" s="29" t="str">
        <f>IFERROR(__xludf.DUMMYFUNCTION("""COMPUTED_VALUE"""),"6289652609312")</f>
        <v>6289652609312</v>
      </c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2">
        <f>IFERROR(__xludf.DUMMYFUNCTION("""COMPUTED_VALUE"""),0.0)</f>
        <v>0</v>
      </c>
      <c r="BD242" s="22">
        <f>IFERROR(__xludf.DUMMYFUNCTION("""COMPUTED_VALUE"""),0.0)</f>
        <v>0</v>
      </c>
      <c r="BE242" s="22">
        <f>IFERROR(__xludf.DUMMYFUNCTION("""COMPUTED_VALUE"""),0.0)</f>
        <v>0</v>
      </c>
      <c r="BF242" s="22">
        <f>IFERROR(__xludf.DUMMYFUNCTION("""COMPUTED_VALUE"""),0.0)</f>
        <v>0</v>
      </c>
    </row>
    <row r="243">
      <c r="A243" s="27">
        <f>IFERROR(__xludf.DUMMYFUNCTION("""COMPUTED_VALUE"""),242.0)</f>
        <v>242</v>
      </c>
      <c r="B243" s="28" t="str">
        <f>IFERROR(__xludf.DUMMYFUNCTION("""COMPUTED_VALUE"""),"SITI MUZAROTUS SHOBUROH")</f>
        <v>SITI MUZAROTUS SHOBUROH</v>
      </c>
      <c r="C243" s="28">
        <f>IFERROR(__xludf.DUMMYFUNCTION("""COMPUTED_VALUE"""),2.024070365E9)</f>
        <v>2024070365</v>
      </c>
      <c r="D243" s="28" t="str">
        <f>IFERROR(__xludf.DUMMYFUNCTION("""COMPUTED_VALUE"""),"MASDUKI")</f>
        <v>MASDUKI</v>
      </c>
      <c r="E243" s="28" t="str">
        <f>IFERROR(__xludf.DUMMYFUNCTION("""COMPUTED_VALUE"""),"MUSA`ADAH")</f>
        <v>MUSA`ADAH</v>
      </c>
      <c r="F243" s="28" t="str">
        <f>IFERROR(__xludf.DUMMYFUNCTION("""COMPUTED_VALUE"""),"BAMBANG RT 004 RW 001 TURI LAMONGAN")</f>
        <v>BAMBANG RT 004 RW 001 TURI LAMONGAN</v>
      </c>
      <c r="G243" s="28" t="str">
        <f>IFERROR(__xludf.DUMMYFUNCTION("""COMPUTED_VALUE"""),"MA-XII.11")</f>
        <v>MA-XII.11</v>
      </c>
      <c r="H243" s="28" t="str">
        <f>IFERROR(__xludf.DUMMYFUNCTION("""COMPUTED_VALUE"""),"C")</f>
        <v>C</v>
      </c>
      <c r="I243" s="28" t="str">
        <f>IFERROR(__xludf.DUMMYFUNCTION("""COMPUTED_VALUE"""),"C-8")</f>
        <v>C-8</v>
      </c>
      <c r="J243" s="28">
        <f>IFERROR(__xludf.DUMMYFUNCTION("""COMPUTED_VALUE"""),3.0)</f>
        <v>3</v>
      </c>
      <c r="K243" s="28" t="str">
        <f>IFERROR(__xludf.DUMMYFUNCTION("""COMPUTED_VALUE"""),"3 WUSTHO B PUTRI")</f>
        <v>3 WUSTHO B PUTRI</v>
      </c>
      <c r="L243" s="29" t="str">
        <f>IFERROR(__xludf.DUMMYFUNCTION("""COMPUTED_VALUE"""),"6285648285552")</f>
        <v>6285648285552</v>
      </c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2">
        <f>IFERROR(__xludf.DUMMYFUNCTION("""COMPUTED_VALUE"""),350000.0)</f>
        <v>350000</v>
      </c>
      <c r="AB243" s="22">
        <f>IFERROR(__xludf.DUMMYFUNCTION("""COMPUTED_VALUE"""),500000.0)</f>
        <v>500000</v>
      </c>
      <c r="AC243" s="22">
        <f>IFERROR(__xludf.DUMMYFUNCTION("""COMPUTED_VALUE"""),450000.0)</f>
        <v>450000</v>
      </c>
      <c r="AD243" s="22">
        <f>IFERROR(__xludf.DUMMYFUNCTION("""COMPUTED_VALUE"""),450000.0)</f>
        <v>450000</v>
      </c>
      <c r="AE243" s="22">
        <f>IFERROR(__xludf.DUMMYFUNCTION("""COMPUTED_VALUE"""),450000.0)</f>
        <v>450000</v>
      </c>
      <c r="AF243" s="22">
        <f>IFERROR(__xludf.DUMMYFUNCTION("""COMPUTED_VALUE"""),450000.0)</f>
        <v>450000</v>
      </c>
      <c r="AG243" s="22">
        <f>IFERROR(__xludf.DUMMYFUNCTION("""COMPUTED_VALUE"""),100000.0)</f>
        <v>100000</v>
      </c>
      <c r="AH243" s="22">
        <f>IFERROR(__xludf.DUMMYFUNCTION("""COMPUTED_VALUE"""),100000.0)</f>
        <v>100000</v>
      </c>
      <c r="AI243" s="22">
        <f>IFERROR(__xludf.DUMMYFUNCTION("""COMPUTED_VALUE"""),100000.0)</f>
        <v>100000</v>
      </c>
      <c r="AJ243" s="22">
        <f>IFERROR(__xludf.DUMMYFUNCTION("""COMPUTED_VALUE"""),100000.0)</f>
        <v>100000</v>
      </c>
      <c r="AK243" s="22">
        <f>IFERROR(__xludf.DUMMYFUNCTION("""COMPUTED_VALUE"""),100000.0)</f>
        <v>100000</v>
      </c>
      <c r="AL243" s="22">
        <f>IFERROR(__xludf.DUMMYFUNCTION("""COMPUTED_VALUE"""),100000.0)</f>
        <v>100000</v>
      </c>
      <c r="AM243" s="22">
        <f>IFERROR(__xludf.DUMMYFUNCTION("""COMPUTED_VALUE"""),100000.0)</f>
        <v>100000</v>
      </c>
      <c r="AN243" s="22">
        <f>IFERROR(__xludf.DUMMYFUNCTION("""COMPUTED_VALUE"""),100000.0)</f>
        <v>100000</v>
      </c>
      <c r="AO243" s="28"/>
      <c r="AP243" s="22">
        <f>IFERROR(__xludf.DUMMYFUNCTION("""COMPUTED_VALUE"""),500000.0)</f>
        <v>500000</v>
      </c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2">
        <f>IFERROR(__xludf.DUMMYFUNCTION("""COMPUTED_VALUE"""),2600000.0)</f>
        <v>2600000</v>
      </c>
      <c r="BD243" s="22">
        <f>IFERROR(__xludf.DUMMYFUNCTION("""COMPUTED_VALUE"""),1000000.0)</f>
        <v>1000000</v>
      </c>
      <c r="BE243" s="22">
        <f>IFERROR(__xludf.DUMMYFUNCTION("""COMPUTED_VALUE"""),350000.0)</f>
        <v>350000</v>
      </c>
      <c r="BF243" s="22">
        <f>IFERROR(__xludf.DUMMYFUNCTION("""COMPUTED_VALUE"""),3950000.0)</f>
        <v>3950000</v>
      </c>
    </row>
    <row r="244">
      <c r="A244" s="27">
        <f>IFERROR(__xludf.DUMMYFUNCTION("""COMPUTED_VALUE"""),243.0)</f>
        <v>243</v>
      </c>
      <c r="B244" s="28" t="str">
        <f>IFERROR(__xludf.DUMMYFUNCTION("""COMPUTED_VALUE"""),"SYARIFATUL JAMILAH")</f>
        <v>SYARIFATUL JAMILAH</v>
      </c>
      <c r="C244" s="28">
        <f>IFERROR(__xludf.DUMMYFUNCTION("""COMPUTED_VALUE"""),2.024070026E9)</f>
        <v>2024070026</v>
      </c>
      <c r="D244" s="28" t="str">
        <f>IFERROR(__xludf.DUMMYFUNCTION("""COMPUTED_VALUE"""),"HADI IRHAMNI")</f>
        <v>HADI IRHAMNI</v>
      </c>
      <c r="E244" s="28" t="str">
        <f>IFERROR(__xludf.DUMMYFUNCTION("""COMPUTED_VALUE"""),"FITRIA")</f>
        <v>FITRIA</v>
      </c>
      <c r="F244" s="28" t="str">
        <f>IFERROR(__xludf.DUMMYFUNCTION("""COMPUTED_VALUE"""),"TANGAR KEDUNGHARJO RT 007 RW 002 WIDANG TUBAN")</f>
        <v>TANGAR KEDUNGHARJO RT 007 RW 002 WIDANG TUBAN</v>
      </c>
      <c r="G244" s="28" t="str">
        <f>IFERROR(__xludf.DUMMYFUNCTION("""COMPUTED_VALUE"""),"MA-XII.1")</f>
        <v>MA-XII.1</v>
      </c>
      <c r="H244" s="28" t="str">
        <f>IFERROR(__xludf.DUMMYFUNCTION("""COMPUTED_VALUE"""),"C")</f>
        <v>C</v>
      </c>
      <c r="I244" s="28" t="str">
        <f>IFERROR(__xludf.DUMMYFUNCTION("""COMPUTED_VALUE"""),"C-2")</f>
        <v>C-2</v>
      </c>
      <c r="J244" s="28">
        <f>IFERROR(__xludf.DUMMYFUNCTION("""COMPUTED_VALUE"""),3.0)</f>
        <v>3</v>
      </c>
      <c r="K244" s="28" t="str">
        <f>IFERROR(__xludf.DUMMYFUNCTION("""COMPUTED_VALUE"""),"")</f>
        <v/>
      </c>
      <c r="L244" s="29" t="str">
        <f>IFERROR(__xludf.DUMMYFUNCTION("""COMPUTED_VALUE"""),"6285854926859")</f>
        <v>6285854926859</v>
      </c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2">
        <f>IFERROR(__xludf.DUMMYFUNCTION("""COMPUTED_VALUE"""),0.0)</f>
        <v>0</v>
      </c>
      <c r="BD244" s="22">
        <f>IFERROR(__xludf.DUMMYFUNCTION("""COMPUTED_VALUE"""),0.0)</f>
        <v>0</v>
      </c>
      <c r="BE244" s="22">
        <f>IFERROR(__xludf.DUMMYFUNCTION("""COMPUTED_VALUE"""),0.0)</f>
        <v>0</v>
      </c>
      <c r="BF244" s="22">
        <f>IFERROR(__xludf.DUMMYFUNCTION("""COMPUTED_VALUE"""),0.0)</f>
        <v>0</v>
      </c>
    </row>
    <row r="245">
      <c r="A245" s="27">
        <f>IFERROR(__xludf.DUMMYFUNCTION("""COMPUTED_VALUE"""),244.0)</f>
        <v>244</v>
      </c>
      <c r="B245" s="28" t="str">
        <f>IFERROR(__xludf.DUMMYFUNCTION("""COMPUTED_VALUE"""),"SYASYA ATHIQAH FARAH FATHINAH")</f>
        <v>SYASYA ATHIQAH FARAH FATHINAH</v>
      </c>
      <c r="C245" s="28">
        <f>IFERROR(__xludf.DUMMYFUNCTION("""COMPUTED_VALUE"""),2.024070555E9)</f>
        <v>2024070555</v>
      </c>
      <c r="D245" s="28" t="str">
        <f>IFERROR(__xludf.DUMMYFUNCTION("""COMPUTED_VALUE"""),"PURWANTO")</f>
        <v>PURWANTO</v>
      </c>
      <c r="E245" s="28" t="str">
        <f>IFERROR(__xludf.DUMMYFUNCTION("""COMPUTED_VALUE"""),"KAFIATUN")</f>
        <v>KAFIATUN</v>
      </c>
      <c r="F245" s="28" t="str">
        <f>IFERROR(__xludf.DUMMYFUNCTION("""COMPUTED_VALUE"""),"BANJARANYAR BANJAREJO RT 001 RW 004 KARANGBINANGUN LAMONGAN")</f>
        <v>BANJARANYAR BANJAREJO RT 001 RW 004 KARANGBINANGUN LAMONGAN</v>
      </c>
      <c r="G245" s="28" t="str">
        <f>IFERROR(__xludf.DUMMYFUNCTION("""COMPUTED_VALUE"""),"MTS-9 C")</f>
        <v>MTS-9 C</v>
      </c>
      <c r="H245" s="28" t="str">
        <f>IFERROR(__xludf.DUMMYFUNCTION("""COMPUTED_VALUE"""),"C")</f>
        <v>C</v>
      </c>
      <c r="I245" s="28" t="str">
        <f>IFERROR(__xludf.DUMMYFUNCTION("""COMPUTED_VALUE"""),"C-13")</f>
        <v>C-13</v>
      </c>
      <c r="J245" s="28">
        <f>IFERROR(__xludf.DUMMYFUNCTION("""COMPUTED_VALUE"""),3.0)</f>
        <v>3</v>
      </c>
      <c r="K245" s="28" t="str">
        <f>IFERROR(__xludf.DUMMYFUNCTION("""COMPUTED_VALUE"""),"")</f>
        <v/>
      </c>
      <c r="L245" s="29" t="str">
        <f>IFERROR(__xludf.DUMMYFUNCTION("""COMPUTED_VALUE"""),"6281233456585")</f>
        <v>6281233456585</v>
      </c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2">
        <f>IFERROR(__xludf.DUMMYFUNCTION("""COMPUTED_VALUE"""),500000.0)</f>
        <v>500000</v>
      </c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2">
        <f>IFERROR(__xludf.DUMMYFUNCTION("""COMPUTED_VALUE"""),500000.0)</f>
        <v>500000</v>
      </c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2">
        <f>IFERROR(__xludf.DUMMYFUNCTION("""COMPUTED_VALUE"""),0.0)</f>
        <v>0</v>
      </c>
      <c r="BD245" s="22">
        <f>IFERROR(__xludf.DUMMYFUNCTION("""COMPUTED_VALUE"""),1000000.0)</f>
        <v>1000000</v>
      </c>
      <c r="BE245" s="22">
        <f>IFERROR(__xludf.DUMMYFUNCTION("""COMPUTED_VALUE"""),0.0)</f>
        <v>0</v>
      </c>
      <c r="BF245" s="22">
        <f>IFERROR(__xludf.DUMMYFUNCTION("""COMPUTED_VALUE"""),1000000.0)</f>
        <v>1000000</v>
      </c>
    </row>
    <row r="246">
      <c r="A246" s="27">
        <f>IFERROR(__xludf.DUMMYFUNCTION("""COMPUTED_VALUE"""),245.0)</f>
        <v>245</v>
      </c>
      <c r="B246" s="28" t="str">
        <f>IFERROR(__xludf.DUMMYFUNCTION("""COMPUTED_VALUE"""),"SYIFA AINUL HAYAT")</f>
        <v>SYIFA AINUL HAYAT</v>
      </c>
      <c r="C246" s="28">
        <f>IFERROR(__xludf.DUMMYFUNCTION("""COMPUTED_VALUE"""),2.024070027E9)</f>
        <v>2024070027</v>
      </c>
      <c r="D246" s="28" t="str">
        <f>IFERROR(__xludf.DUMMYFUNCTION("""COMPUTED_VALUE"""),"MOH. ROKHIM")</f>
        <v>MOH. ROKHIM</v>
      </c>
      <c r="E246" s="28" t="str">
        <f>IFERROR(__xludf.DUMMYFUNCTION("""COMPUTED_VALUE"""),"MARJUNI")</f>
        <v>MARJUNI</v>
      </c>
      <c r="F246" s="28" t="str">
        <f>IFERROR(__xludf.DUMMYFUNCTION("""COMPUTED_VALUE"""),"PRIJEK PRIJEKNGABLAK RT 001 RW 003 KARANGGENENG LAMONGAN")</f>
        <v>PRIJEK PRIJEKNGABLAK RT 001 RW 003 KARANGGENENG LAMONGAN</v>
      </c>
      <c r="G246" s="28" t="str">
        <f>IFERROR(__xludf.DUMMYFUNCTION("""COMPUTED_VALUE"""),"MA-XII.1")</f>
        <v>MA-XII.1</v>
      </c>
      <c r="H246" s="28" t="str">
        <f>IFERROR(__xludf.DUMMYFUNCTION("""COMPUTED_VALUE"""),"C")</f>
        <v>C</v>
      </c>
      <c r="I246" s="28" t="str">
        <f>IFERROR(__xludf.DUMMYFUNCTION("""COMPUTED_VALUE"""),"C-2")</f>
        <v>C-2</v>
      </c>
      <c r="J246" s="28">
        <f>IFERROR(__xludf.DUMMYFUNCTION("""COMPUTED_VALUE"""),3.0)</f>
        <v>3</v>
      </c>
      <c r="K246" s="28" t="str">
        <f>IFERROR(__xludf.DUMMYFUNCTION("""COMPUTED_VALUE"""),"")</f>
        <v/>
      </c>
      <c r="L246" s="29" t="str">
        <f>IFERROR(__xludf.DUMMYFUNCTION("""COMPUTED_VALUE"""),"628523019040")</f>
        <v>628523019040</v>
      </c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2">
        <f>IFERROR(__xludf.DUMMYFUNCTION("""COMPUTED_VALUE"""),0.0)</f>
        <v>0</v>
      </c>
      <c r="BD246" s="22">
        <f>IFERROR(__xludf.DUMMYFUNCTION("""COMPUTED_VALUE"""),0.0)</f>
        <v>0</v>
      </c>
      <c r="BE246" s="22">
        <f>IFERROR(__xludf.DUMMYFUNCTION("""COMPUTED_VALUE"""),0.0)</f>
        <v>0</v>
      </c>
      <c r="BF246" s="22">
        <f>IFERROR(__xludf.DUMMYFUNCTION("""COMPUTED_VALUE"""),0.0)</f>
        <v>0</v>
      </c>
    </row>
    <row r="247">
      <c r="A247" s="27">
        <f>IFERROR(__xludf.DUMMYFUNCTION("""COMPUTED_VALUE"""),246.0)</f>
        <v>246</v>
      </c>
      <c r="B247" s="28" t="str">
        <f>IFERROR(__xludf.DUMMYFUNCTION("""COMPUTED_VALUE"""),"SYIFAUS SAUQIYATUS SHOLIKHA")</f>
        <v>SYIFAUS SAUQIYATUS SHOLIKHA</v>
      </c>
      <c r="C247" s="28">
        <f>IFERROR(__xludf.DUMMYFUNCTION("""COMPUTED_VALUE"""),2.024070366E9)</f>
        <v>2024070366</v>
      </c>
      <c r="D247" s="28" t="str">
        <f>IFERROR(__xludf.DUMMYFUNCTION("""COMPUTED_VALUE"""),"M. SHOLIKUN")</f>
        <v>M. SHOLIKUN</v>
      </c>
      <c r="E247" s="28" t="str">
        <f>IFERROR(__xludf.DUMMYFUNCTION("""COMPUTED_VALUE"""),"JUMI JABANIYA")</f>
        <v>JUMI JABANIYA</v>
      </c>
      <c r="F247" s="28" t="str">
        <f>IFERROR(__xludf.DUMMYFUNCTION("""COMPUTED_VALUE"""),"KENDUNG SEMEMI RT 1 RW 3 BENOWO SURABAYA")</f>
        <v>KENDUNG SEMEMI RT 1 RW 3 BENOWO SURABAYA</v>
      </c>
      <c r="G247" s="28" t="str">
        <f>IFERROR(__xludf.DUMMYFUNCTION("""COMPUTED_VALUE"""),"MA-XII.11")</f>
        <v>MA-XII.11</v>
      </c>
      <c r="H247" s="28" t="str">
        <f>IFERROR(__xludf.DUMMYFUNCTION("""COMPUTED_VALUE"""),"C")</f>
        <v>C</v>
      </c>
      <c r="I247" s="28" t="str">
        <f>IFERROR(__xludf.DUMMYFUNCTION("""COMPUTED_VALUE"""),"C-8")</f>
        <v>C-8</v>
      </c>
      <c r="J247" s="28">
        <f>IFERROR(__xludf.DUMMYFUNCTION("""COMPUTED_VALUE"""),3.0)</f>
        <v>3</v>
      </c>
      <c r="K247" s="28" t="str">
        <f>IFERROR(__xludf.DUMMYFUNCTION("""COMPUTED_VALUE"""),"3 WUSTHO B PUTRI")</f>
        <v>3 WUSTHO B PUTRI</v>
      </c>
      <c r="L247" s="29" t="str">
        <f>IFERROR(__xludf.DUMMYFUNCTION("""COMPUTED_VALUE"""),"6285755519719")</f>
        <v>6285755519719</v>
      </c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2">
        <f>IFERROR(__xludf.DUMMYFUNCTION("""COMPUTED_VALUE"""),0.0)</f>
        <v>0</v>
      </c>
      <c r="BD247" s="22">
        <f>IFERROR(__xludf.DUMMYFUNCTION("""COMPUTED_VALUE"""),0.0)</f>
        <v>0</v>
      </c>
      <c r="BE247" s="22">
        <f>IFERROR(__xludf.DUMMYFUNCTION("""COMPUTED_VALUE"""),0.0)</f>
        <v>0</v>
      </c>
      <c r="BF247" s="22">
        <f>IFERROR(__xludf.DUMMYFUNCTION("""COMPUTED_VALUE"""),0.0)</f>
        <v>0</v>
      </c>
    </row>
    <row r="248">
      <c r="A248" s="27">
        <f>IFERROR(__xludf.DUMMYFUNCTION("""COMPUTED_VALUE"""),247.0)</f>
        <v>247</v>
      </c>
      <c r="B248" s="28" t="str">
        <f>IFERROR(__xludf.DUMMYFUNCTION("""COMPUTED_VALUE"""),"TALITA SHAFA AZALIA SALSABILA")</f>
        <v>TALITA SHAFA AZALIA SALSABILA</v>
      </c>
      <c r="C248" s="28">
        <f>IFERROR(__xludf.DUMMYFUNCTION("""COMPUTED_VALUE"""),2.024070126E9)</f>
        <v>2024070126</v>
      </c>
      <c r="D248" s="28" t="str">
        <f>IFERROR(__xludf.DUMMYFUNCTION("""COMPUTED_VALUE"""),"ANDI PRANOTO")</f>
        <v>ANDI PRANOTO</v>
      </c>
      <c r="E248" s="28" t="str">
        <f>IFERROR(__xludf.DUMMYFUNCTION("""COMPUTED_VALUE"""),"SOFIA HERLINA")</f>
        <v>SOFIA HERLINA</v>
      </c>
      <c r="F248" s="28" t="str">
        <f>IFERROR(__xludf.DUMMYFUNCTION("""COMPUTED_VALUE"""),"BULUBRANGSI RT 002 RW 004 LAREN LAMONGAN")</f>
        <v>BULUBRANGSI RT 002 RW 004 LAREN LAMONGAN</v>
      </c>
      <c r="G248" s="28" t="str">
        <f>IFERROR(__xludf.DUMMYFUNCTION("""COMPUTED_VALUE"""),"MA-XII.4")</f>
        <v>MA-XII.4</v>
      </c>
      <c r="H248" s="28" t="str">
        <f>IFERROR(__xludf.DUMMYFUNCTION("""COMPUTED_VALUE"""),"C")</f>
        <v>C</v>
      </c>
      <c r="I248" s="28" t="str">
        <f>IFERROR(__xludf.DUMMYFUNCTION("""COMPUTED_VALUE"""),"C-9")</f>
        <v>C-9</v>
      </c>
      <c r="J248" s="28">
        <f>IFERROR(__xludf.DUMMYFUNCTION("""COMPUTED_VALUE"""),3.0)</f>
        <v>3</v>
      </c>
      <c r="K248" s="28" t="str">
        <f>IFERROR(__xludf.DUMMYFUNCTION("""COMPUTED_VALUE"""),"3 WUSTHO B PUTRI")</f>
        <v>3 WUSTHO B PUTRI</v>
      </c>
      <c r="L248" s="29" t="str">
        <f>IFERROR(__xludf.DUMMYFUNCTION("""COMPUTED_VALUE"""),"6281654921035")</f>
        <v>6281654921035</v>
      </c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2">
        <f>IFERROR(__xludf.DUMMYFUNCTION("""COMPUTED_VALUE"""),0.0)</f>
        <v>0</v>
      </c>
      <c r="BD248" s="22">
        <f>IFERROR(__xludf.DUMMYFUNCTION("""COMPUTED_VALUE"""),0.0)</f>
        <v>0</v>
      </c>
      <c r="BE248" s="22">
        <f>IFERROR(__xludf.DUMMYFUNCTION("""COMPUTED_VALUE"""),0.0)</f>
        <v>0</v>
      </c>
      <c r="BF248" s="22">
        <f>IFERROR(__xludf.DUMMYFUNCTION("""COMPUTED_VALUE"""),0.0)</f>
        <v>0</v>
      </c>
    </row>
    <row r="249">
      <c r="A249" s="27">
        <f>IFERROR(__xludf.DUMMYFUNCTION("""COMPUTED_VALUE"""),248.0)</f>
        <v>248</v>
      </c>
      <c r="B249" s="28" t="str">
        <f>IFERROR(__xludf.DUMMYFUNCTION("""COMPUTED_VALUE"""),"TALITHA NURUL QOLBI")</f>
        <v>TALITHA NURUL QOLBI</v>
      </c>
      <c r="C249" s="28">
        <f>IFERROR(__xludf.DUMMYFUNCTION("""COMPUTED_VALUE"""),2.024070056E9)</f>
        <v>2024070056</v>
      </c>
      <c r="D249" s="28" t="str">
        <f>IFERROR(__xludf.DUMMYFUNCTION("""COMPUTED_VALUE"""),"YOGIARTO")</f>
        <v>YOGIARTO</v>
      </c>
      <c r="E249" s="28" t="str">
        <f>IFERROR(__xludf.DUMMYFUNCTION("""COMPUTED_VALUE"""),"SITI YATMIATUN NAFISAH")</f>
        <v>SITI YATMIATUN NAFISAH</v>
      </c>
      <c r="F249" s="28" t="str">
        <f>IFERROR(__xludf.DUMMYFUNCTION("""COMPUTED_VALUE"""),"SAWO RT 004 RW 002 DUKUN GRESIK")</f>
        <v>SAWO RT 004 RW 002 DUKUN GRESIK</v>
      </c>
      <c r="G249" s="28" t="str">
        <f>IFERROR(__xludf.DUMMYFUNCTION("""COMPUTED_VALUE"""),"MA-XII.2")</f>
        <v>MA-XII.2</v>
      </c>
      <c r="H249" s="28" t="str">
        <f>IFERROR(__xludf.DUMMYFUNCTION("""COMPUTED_VALUE"""),"C")</f>
        <v>C</v>
      </c>
      <c r="I249" s="28" t="str">
        <f>IFERROR(__xludf.DUMMYFUNCTION("""COMPUTED_VALUE"""),"C-8")</f>
        <v>C-8</v>
      </c>
      <c r="J249" s="28">
        <f>IFERROR(__xludf.DUMMYFUNCTION("""COMPUTED_VALUE"""),3.0)</f>
        <v>3</v>
      </c>
      <c r="K249" s="28" t="str">
        <f>IFERROR(__xludf.DUMMYFUNCTION("""COMPUTED_VALUE"""),"3 WUSTHO A PUTRI")</f>
        <v>3 WUSTHO A PUTRI</v>
      </c>
      <c r="L249" s="29" t="str">
        <f>IFERROR(__xludf.DUMMYFUNCTION("""COMPUTED_VALUE"""),"6285851810683")</f>
        <v>6285851810683</v>
      </c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2">
        <f>IFERROR(__xludf.DUMMYFUNCTION("""COMPUTED_VALUE"""),0.0)</f>
        <v>0</v>
      </c>
      <c r="BD249" s="22">
        <f>IFERROR(__xludf.DUMMYFUNCTION("""COMPUTED_VALUE"""),0.0)</f>
        <v>0</v>
      </c>
      <c r="BE249" s="22">
        <f>IFERROR(__xludf.DUMMYFUNCTION("""COMPUTED_VALUE"""),0.0)</f>
        <v>0</v>
      </c>
      <c r="BF249" s="22">
        <f>IFERROR(__xludf.DUMMYFUNCTION("""COMPUTED_VALUE"""),0.0)</f>
        <v>0</v>
      </c>
    </row>
    <row r="250">
      <c r="A250" s="27">
        <f>IFERROR(__xludf.DUMMYFUNCTION("""COMPUTED_VALUE"""),249.0)</f>
        <v>249</v>
      </c>
      <c r="B250" s="28" t="str">
        <f>IFERROR(__xludf.DUMMYFUNCTION("""COMPUTED_VALUE"""),"TISYA NIDA`UL HAQQIYAH")</f>
        <v>TISYA NIDA`UL HAQQIYAH</v>
      </c>
      <c r="C250" s="28">
        <f>IFERROR(__xludf.DUMMYFUNCTION("""COMPUTED_VALUE"""),2.024070028E9)</f>
        <v>2024070028</v>
      </c>
      <c r="D250" s="28" t="str">
        <f>IFERROR(__xludf.DUMMYFUNCTION("""COMPUTED_VALUE"""),"MUSLIHIN")</f>
        <v>MUSLIHIN</v>
      </c>
      <c r="E250" s="28" t="str">
        <f>IFERROR(__xludf.DUMMYFUNCTION("""COMPUTED_VALUE"""),"JAZILAH")</f>
        <v>JAZILAH</v>
      </c>
      <c r="F250" s="28" t="str">
        <f>IFERROR(__xludf.DUMMYFUNCTION("""COMPUTED_VALUE"""),"IMAAN RT 006 RW 003 DUKUN GRESIK")</f>
        <v>IMAAN RT 006 RW 003 DUKUN GRESIK</v>
      </c>
      <c r="G250" s="28" t="str">
        <f>IFERROR(__xludf.DUMMYFUNCTION("""COMPUTED_VALUE"""),"MA-XII.1")</f>
        <v>MA-XII.1</v>
      </c>
      <c r="H250" s="28" t="str">
        <f>IFERROR(__xludf.DUMMYFUNCTION("""COMPUTED_VALUE"""),"C")</f>
        <v>C</v>
      </c>
      <c r="I250" s="28" t="str">
        <f>IFERROR(__xludf.DUMMYFUNCTION("""COMPUTED_VALUE"""),"C-2")</f>
        <v>C-2</v>
      </c>
      <c r="J250" s="28">
        <f>IFERROR(__xludf.DUMMYFUNCTION("""COMPUTED_VALUE"""),3.0)</f>
        <v>3</v>
      </c>
      <c r="K250" s="28" t="str">
        <f>IFERROR(__xludf.DUMMYFUNCTION("""COMPUTED_VALUE"""),"")</f>
        <v/>
      </c>
      <c r="L250" s="29" t="str">
        <f>IFERROR(__xludf.DUMMYFUNCTION("""COMPUTED_VALUE"""),"6285732735045")</f>
        <v>6285732735045</v>
      </c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2">
        <f>IFERROR(__xludf.DUMMYFUNCTION("""COMPUTED_VALUE"""),0.0)</f>
        <v>0</v>
      </c>
      <c r="BD250" s="22">
        <f>IFERROR(__xludf.DUMMYFUNCTION("""COMPUTED_VALUE"""),0.0)</f>
        <v>0</v>
      </c>
      <c r="BE250" s="22">
        <f>IFERROR(__xludf.DUMMYFUNCTION("""COMPUTED_VALUE"""),0.0)</f>
        <v>0</v>
      </c>
      <c r="BF250" s="22">
        <f>IFERROR(__xludf.DUMMYFUNCTION("""COMPUTED_VALUE"""),0.0)</f>
        <v>0</v>
      </c>
    </row>
    <row r="251">
      <c r="A251" s="27">
        <f>IFERROR(__xludf.DUMMYFUNCTION("""COMPUTED_VALUE"""),250.0)</f>
        <v>250</v>
      </c>
      <c r="B251" s="28" t="str">
        <f>IFERROR(__xludf.DUMMYFUNCTION("""COMPUTED_VALUE"""),"YAYUK NISAUS SHOLAHIYYAH")</f>
        <v>YAYUK NISAUS SHOLAHIYYAH</v>
      </c>
      <c r="C251" s="28">
        <f>IFERROR(__xludf.DUMMYFUNCTION("""COMPUTED_VALUE"""),2.024070058E9)</f>
        <v>2024070058</v>
      </c>
      <c r="D251" s="28" t="str">
        <f>IFERROR(__xludf.DUMMYFUNCTION("""COMPUTED_VALUE"""),"JUHARTO")</f>
        <v>JUHARTO</v>
      </c>
      <c r="E251" s="28" t="str">
        <f>IFERROR(__xludf.DUMMYFUNCTION("""COMPUTED_VALUE"""),"MUSAADAH")</f>
        <v>MUSAADAH</v>
      </c>
      <c r="F251" s="28" t="str">
        <f>IFERROR(__xludf.DUMMYFUNCTION("""COMPUTED_VALUE"""),"SAWO RT 002 RW 001 DUKUN GRESIK")</f>
        <v>SAWO RT 002 RW 001 DUKUN GRESIK</v>
      </c>
      <c r="G251" s="28" t="str">
        <f>IFERROR(__xludf.DUMMYFUNCTION("""COMPUTED_VALUE"""),"MA-XII.2")</f>
        <v>MA-XII.2</v>
      </c>
      <c r="H251" s="28" t="str">
        <f>IFERROR(__xludf.DUMMYFUNCTION("""COMPUTED_VALUE"""),"C")</f>
        <v>C</v>
      </c>
      <c r="I251" s="28" t="str">
        <f>IFERROR(__xludf.DUMMYFUNCTION("""COMPUTED_VALUE"""),"C-8")</f>
        <v>C-8</v>
      </c>
      <c r="J251" s="28">
        <f>IFERROR(__xludf.DUMMYFUNCTION("""COMPUTED_VALUE"""),3.0)</f>
        <v>3</v>
      </c>
      <c r="K251" s="28" t="str">
        <f>IFERROR(__xludf.DUMMYFUNCTION("""COMPUTED_VALUE"""),"3 WUSTHO A PUTRI")</f>
        <v>3 WUSTHO A PUTRI</v>
      </c>
      <c r="L251" s="29" t="str">
        <f>IFERROR(__xludf.DUMMYFUNCTION("""COMPUTED_VALUE"""),"6285843745307")</f>
        <v>6285843745307</v>
      </c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2">
        <f>IFERROR(__xludf.DUMMYFUNCTION("""COMPUTED_VALUE"""),0.0)</f>
        <v>0</v>
      </c>
      <c r="BD251" s="22">
        <f>IFERROR(__xludf.DUMMYFUNCTION("""COMPUTED_VALUE"""),0.0)</f>
        <v>0</v>
      </c>
      <c r="BE251" s="22">
        <f>IFERROR(__xludf.DUMMYFUNCTION("""COMPUTED_VALUE"""),0.0)</f>
        <v>0</v>
      </c>
      <c r="BF251" s="22">
        <f>IFERROR(__xludf.DUMMYFUNCTION("""COMPUTED_VALUE"""),0.0)</f>
        <v>0</v>
      </c>
    </row>
    <row r="252">
      <c r="A252" s="27">
        <f>IFERROR(__xludf.DUMMYFUNCTION("""COMPUTED_VALUE"""),251.0)</f>
        <v>251</v>
      </c>
      <c r="B252" s="28" t="str">
        <f>IFERROR(__xludf.DUMMYFUNCTION("""COMPUTED_VALUE"""),"YENI TRI KHUMAYROH")</f>
        <v>YENI TRI KHUMAYROH</v>
      </c>
      <c r="C252" s="28">
        <f>IFERROR(__xludf.DUMMYFUNCTION("""COMPUTED_VALUE"""),2.024070128E9)</f>
        <v>2024070128</v>
      </c>
      <c r="D252" s="28" t="str">
        <f>IFERROR(__xludf.DUMMYFUNCTION("""COMPUTED_VALUE"""),"MARNOTO")</f>
        <v>MARNOTO</v>
      </c>
      <c r="E252" s="28" t="str">
        <f>IFERROR(__xludf.DUMMYFUNCTION("""COMPUTED_VALUE"""),"SUNINGSIH")</f>
        <v>SUNINGSIH</v>
      </c>
      <c r="F252" s="28" t="str">
        <f>IFERROR(__xludf.DUMMYFUNCTION("""COMPUTED_VALUE"""),"NGIPRAK BUTUNGAN RT 002 RW 002 KALITENGAH LAMONGAN")</f>
        <v>NGIPRAK BUTUNGAN RT 002 RW 002 KALITENGAH LAMONGAN</v>
      </c>
      <c r="G252" s="28" t="str">
        <f>IFERROR(__xludf.DUMMYFUNCTION("""COMPUTED_VALUE"""),"MA-XII.4")</f>
        <v>MA-XII.4</v>
      </c>
      <c r="H252" s="28" t="str">
        <f>IFERROR(__xludf.DUMMYFUNCTION("""COMPUTED_VALUE"""),"C")</f>
        <v>C</v>
      </c>
      <c r="I252" s="28" t="str">
        <f>IFERROR(__xludf.DUMMYFUNCTION("""COMPUTED_VALUE"""),"C-9")</f>
        <v>C-9</v>
      </c>
      <c r="J252" s="28">
        <f>IFERROR(__xludf.DUMMYFUNCTION("""COMPUTED_VALUE"""),3.0)</f>
        <v>3</v>
      </c>
      <c r="K252" s="28" t="str">
        <f>IFERROR(__xludf.DUMMYFUNCTION("""COMPUTED_VALUE"""),"")</f>
        <v/>
      </c>
      <c r="L252" s="29" t="str">
        <f>IFERROR(__xludf.DUMMYFUNCTION("""COMPUTED_VALUE"""),"6281249886881")</f>
        <v>6281249886881</v>
      </c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2">
        <f>IFERROR(__xludf.DUMMYFUNCTION("""COMPUTED_VALUE"""),450000.0)</f>
        <v>450000</v>
      </c>
      <c r="AO252" s="28"/>
      <c r="AP252" s="22">
        <f>IFERROR(__xludf.DUMMYFUNCTION("""COMPUTED_VALUE"""),500000.0)</f>
        <v>500000</v>
      </c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2">
        <f>IFERROR(__xludf.DUMMYFUNCTION("""COMPUTED_VALUE"""),450000.0)</f>
        <v>450000</v>
      </c>
      <c r="BD252" s="22">
        <f>IFERROR(__xludf.DUMMYFUNCTION("""COMPUTED_VALUE"""),500000.0)</f>
        <v>500000</v>
      </c>
      <c r="BE252" s="22">
        <f>IFERROR(__xludf.DUMMYFUNCTION("""COMPUTED_VALUE"""),0.0)</f>
        <v>0</v>
      </c>
      <c r="BF252" s="22">
        <f>IFERROR(__xludf.DUMMYFUNCTION("""COMPUTED_VALUE"""),950000.0)</f>
        <v>950000</v>
      </c>
    </row>
    <row r="253">
      <c r="A253" s="27">
        <f>IFERROR(__xludf.DUMMYFUNCTION("""COMPUTED_VALUE"""),252.0)</f>
        <v>252</v>
      </c>
      <c r="B253" s="28" t="str">
        <f>IFERROR(__xludf.DUMMYFUNCTION("""COMPUTED_VALUE"""),"ZAHRA NUR AZLINA")</f>
        <v>ZAHRA NUR AZLINA</v>
      </c>
      <c r="C253" s="28">
        <f>IFERROR(__xludf.DUMMYFUNCTION("""COMPUTED_VALUE"""),2.024071521E9)</f>
        <v>2024071521</v>
      </c>
      <c r="D253" s="28" t="str">
        <f>IFERROR(__xludf.DUMMYFUNCTION("""COMPUTED_VALUE"""),"MUSHOLIN")</f>
        <v>MUSHOLIN</v>
      </c>
      <c r="E253" s="28" t="str">
        <f>IFERROR(__xludf.DUMMYFUNCTION("""COMPUTED_VALUE"""),"SARWIYATI")</f>
        <v>SARWIYATI</v>
      </c>
      <c r="F253" s="28" t="str">
        <f>IFERROR(__xludf.DUMMYFUNCTION("""COMPUTED_VALUE"""),"IMAAN RT 005 RW 003 DUKUN GRESIK")</f>
        <v>IMAAN RT 005 RW 003 DUKUN GRESIK</v>
      </c>
      <c r="G253" s="28" t="str">
        <f>IFERROR(__xludf.DUMMYFUNCTION("""COMPUTED_VALUE"""),"MA-XIII.9")</f>
        <v>MA-XIII.9</v>
      </c>
      <c r="H253" s="28" t="str">
        <f>IFERROR(__xludf.DUMMYFUNCTION("""COMPUTED_VALUE"""),"C")</f>
        <v>C</v>
      </c>
      <c r="I253" s="28" t="str">
        <f>IFERROR(__xludf.DUMMYFUNCTION("""COMPUTED_VALUE"""),"C-4")</f>
        <v>C-4</v>
      </c>
      <c r="J253" s="28">
        <f>IFERROR(__xludf.DUMMYFUNCTION("""COMPUTED_VALUE"""),3.0)</f>
        <v>3</v>
      </c>
      <c r="K253" s="28" t="str">
        <f>IFERROR(__xludf.DUMMYFUNCTION("""COMPUTED_VALUE"""),"")</f>
        <v/>
      </c>
      <c r="L253" s="29" t="str">
        <f>IFERROR(__xludf.DUMMYFUNCTION("""COMPUTED_VALUE"""),"6285785345122")</f>
        <v>6285785345122</v>
      </c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2">
        <f>IFERROR(__xludf.DUMMYFUNCTION("""COMPUTED_VALUE"""),0.0)</f>
        <v>0</v>
      </c>
      <c r="BD253" s="22">
        <f>IFERROR(__xludf.DUMMYFUNCTION("""COMPUTED_VALUE"""),0.0)</f>
        <v>0</v>
      </c>
      <c r="BE253" s="22">
        <f>IFERROR(__xludf.DUMMYFUNCTION("""COMPUTED_VALUE"""),0.0)</f>
        <v>0</v>
      </c>
      <c r="BF253" s="22">
        <f>IFERROR(__xludf.DUMMYFUNCTION("""COMPUTED_VALUE"""),0.0)</f>
        <v>0</v>
      </c>
    </row>
    <row r="254">
      <c r="A254" s="27">
        <f>IFERROR(__xludf.DUMMYFUNCTION("""COMPUTED_VALUE"""),253.0)</f>
        <v>253</v>
      </c>
      <c r="B254" s="28" t="str">
        <f>IFERROR(__xludf.DUMMYFUNCTION("""COMPUTED_VALUE"""),"ZAHROTUL FARIHAH")</f>
        <v>ZAHROTUL FARIHAH</v>
      </c>
      <c r="C254" s="28">
        <f>IFERROR(__xludf.DUMMYFUNCTION("""COMPUTED_VALUE"""),2.024070203E9)</f>
        <v>2024070203</v>
      </c>
      <c r="D254" s="28" t="str">
        <f>IFERROR(__xludf.DUMMYFUNCTION("""COMPUTED_VALUE"""),"DONI IRAMA")</f>
        <v>DONI IRAMA</v>
      </c>
      <c r="E254" s="28" t="str">
        <f>IFERROR(__xludf.DUMMYFUNCTION("""COMPUTED_VALUE"""),"ILHASHOTUL ILMIYAH")</f>
        <v>ILHASHOTUL ILMIYAH</v>
      </c>
      <c r="F254" s="28" t="str">
        <f>IFERROR(__xludf.DUMMYFUNCTION("""COMPUTED_VALUE"""),"TEBLURU RT 008 RW 002 SOLOKURO LAMONGAN")</f>
        <v>TEBLURU RT 008 RW 002 SOLOKURO LAMONGAN</v>
      </c>
      <c r="G254" s="28" t="str">
        <f>IFERROR(__xludf.DUMMYFUNCTION("""COMPUTED_VALUE"""),"MA-XII.5")</f>
        <v>MA-XII.5</v>
      </c>
      <c r="H254" s="28" t="str">
        <f>IFERROR(__xludf.DUMMYFUNCTION("""COMPUTED_VALUE"""),"C")</f>
        <v>C</v>
      </c>
      <c r="I254" s="28" t="str">
        <f>IFERROR(__xludf.DUMMYFUNCTION("""COMPUTED_VALUE"""),"C-9")</f>
        <v>C-9</v>
      </c>
      <c r="J254" s="28">
        <f>IFERROR(__xludf.DUMMYFUNCTION("""COMPUTED_VALUE"""),3.0)</f>
        <v>3</v>
      </c>
      <c r="K254" s="28" t="str">
        <f>IFERROR(__xludf.DUMMYFUNCTION("""COMPUTED_VALUE"""),"3 WUSTHO B PUTRI")</f>
        <v>3 WUSTHO B PUTRI</v>
      </c>
      <c r="L254" s="29" t="str">
        <f>IFERROR(__xludf.DUMMYFUNCTION("""COMPUTED_VALUE"""),"6281252470588")</f>
        <v>6281252470588</v>
      </c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2">
        <f>IFERROR(__xludf.DUMMYFUNCTION("""COMPUTED_VALUE"""),0.0)</f>
        <v>0</v>
      </c>
      <c r="BD254" s="22">
        <f>IFERROR(__xludf.DUMMYFUNCTION("""COMPUTED_VALUE"""),0.0)</f>
        <v>0</v>
      </c>
      <c r="BE254" s="22">
        <f>IFERROR(__xludf.DUMMYFUNCTION("""COMPUTED_VALUE"""),0.0)</f>
        <v>0</v>
      </c>
      <c r="BF254" s="22">
        <f>IFERROR(__xludf.DUMMYFUNCTION("""COMPUTED_VALUE"""),0.0)</f>
        <v>0</v>
      </c>
    </row>
    <row r="255">
      <c r="A255" s="27">
        <f>IFERROR(__xludf.DUMMYFUNCTION("""COMPUTED_VALUE"""),254.0)</f>
        <v>254</v>
      </c>
      <c r="B255" s="28" t="str">
        <f>IFERROR(__xludf.DUMMYFUNCTION("""COMPUTED_VALUE"""),"ZAHWA LABIBA")</f>
        <v>ZAHWA LABIBA</v>
      </c>
      <c r="C255" s="28">
        <f>IFERROR(__xludf.DUMMYFUNCTION("""COMPUTED_VALUE"""),2.024070677E9)</f>
        <v>2024070677</v>
      </c>
      <c r="D255" s="28" t="str">
        <f>IFERROR(__xludf.DUMMYFUNCTION("""COMPUTED_VALUE"""),"MUNTHOLIB")</f>
        <v>MUNTHOLIB</v>
      </c>
      <c r="E255" s="28" t="str">
        <f>IFERROR(__xludf.DUMMYFUNCTION("""COMPUTED_VALUE"""),"SITI KHOIRIYAH")</f>
        <v>SITI KHOIRIYAH</v>
      </c>
      <c r="F255" s="28" t="str">
        <f>IFERROR(__xludf.DUMMYFUNCTION("""COMPUTED_VALUE"""),"BANYUBANG RT 011 RW 003 SOLOKURO LAMONGAN")</f>
        <v>BANYUBANG RT 011 RW 003 SOLOKURO LAMONGAN</v>
      </c>
      <c r="G255" s="28" t="str">
        <f>IFERROR(__xludf.DUMMYFUNCTION("""COMPUTED_VALUE"""),"SMK-XII Ak")</f>
        <v>SMK-XII Ak</v>
      </c>
      <c r="H255" s="28" t="str">
        <f>IFERROR(__xludf.DUMMYFUNCTION("""COMPUTED_VALUE"""),"C")</f>
        <v>C</v>
      </c>
      <c r="I255" s="28" t="str">
        <f>IFERROR(__xludf.DUMMYFUNCTION("""COMPUTED_VALUE"""),"C-8")</f>
        <v>C-8</v>
      </c>
      <c r="J255" s="28">
        <f>IFERROR(__xludf.DUMMYFUNCTION("""COMPUTED_VALUE"""),3.0)</f>
        <v>3</v>
      </c>
      <c r="K255" s="28" t="str">
        <f>IFERROR(__xludf.DUMMYFUNCTION("""COMPUTED_VALUE"""),"3 WUSTHO B PUTRI")</f>
        <v>3 WUSTHO B PUTRI</v>
      </c>
      <c r="L255" s="29" t="str">
        <f>IFERROR(__xludf.DUMMYFUNCTION("""COMPUTED_VALUE"""),"6285606127935")</f>
        <v>6285606127935</v>
      </c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2">
        <f>IFERROR(__xludf.DUMMYFUNCTION("""COMPUTED_VALUE"""),500000.0)</f>
        <v>500000</v>
      </c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2">
        <f>IFERROR(__xludf.DUMMYFUNCTION("""COMPUTED_VALUE"""),0.0)</f>
        <v>0</v>
      </c>
      <c r="BD255" s="22">
        <f>IFERROR(__xludf.DUMMYFUNCTION("""COMPUTED_VALUE"""),500000.0)</f>
        <v>500000</v>
      </c>
      <c r="BE255" s="22">
        <f>IFERROR(__xludf.DUMMYFUNCTION("""COMPUTED_VALUE"""),0.0)</f>
        <v>0</v>
      </c>
      <c r="BF255" s="22">
        <f>IFERROR(__xludf.DUMMYFUNCTION("""COMPUTED_VALUE"""),500000.0)</f>
        <v>500000</v>
      </c>
    </row>
    <row r="256">
      <c r="A256" s="27">
        <f>IFERROR(__xludf.DUMMYFUNCTION("""COMPUTED_VALUE"""),255.0)</f>
        <v>255</v>
      </c>
      <c r="B256" s="28" t="str">
        <f>IFERROR(__xludf.DUMMYFUNCTION("""COMPUTED_VALUE"""),"ZAIDATUL ILMIYAH FIBRIANI")</f>
        <v>ZAIDATUL ILMIYAH FIBRIANI</v>
      </c>
      <c r="C256" s="28">
        <f>IFERROR(__xludf.DUMMYFUNCTION("""COMPUTED_VALUE"""),2.024070239E9)</f>
        <v>2024070239</v>
      </c>
      <c r="D256" s="28" t="str">
        <f>IFERROR(__xludf.DUMMYFUNCTION("""COMPUTED_VALUE"""),"ZAENAL ARIFIN")</f>
        <v>ZAENAL ARIFIN</v>
      </c>
      <c r="E256" s="28" t="str">
        <f>IFERROR(__xludf.DUMMYFUNCTION("""COMPUTED_VALUE"""),"HANIFAH")</f>
        <v>HANIFAH</v>
      </c>
      <c r="F256" s="28" t="str">
        <f>IFERROR(__xludf.DUMMYFUNCTION("""COMPUTED_VALUE"""),"BAMBANG RT 6 RW 2 TURI LAMONGAN")</f>
        <v>BAMBANG RT 6 RW 2 TURI LAMONGAN</v>
      </c>
      <c r="G256" s="28" t="str">
        <f>IFERROR(__xludf.DUMMYFUNCTION("""COMPUTED_VALUE"""),"MA-XII.6")</f>
        <v>MA-XII.6</v>
      </c>
      <c r="H256" s="28" t="str">
        <f>IFERROR(__xludf.DUMMYFUNCTION("""COMPUTED_VALUE"""),"C")</f>
        <v>C</v>
      </c>
      <c r="I256" s="28" t="str">
        <f>IFERROR(__xludf.DUMMYFUNCTION("""COMPUTED_VALUE"""),"C-8")</f>
        <v>C-8</v>
      </c>
      <c r="J256" s="28">
        <f>IFERROR(__xludf.DUMMYFUNCTION("""COMPUTED_VALUE"""),3.0)</f>
        <v>3</v>
      </c>
      <c r="K256" s="28" t="str">
        <f>IFERROR(__xludf.DUMMYFUNCTION("""COMPUTED_VALUE"""),"")</f>
        <v/>
      </c>
      <c r="L256" s="29" t="str">
        <f>IFERROR(__xludf.DUMMYFUNCTION("""COMPUTED_VALUE"""),"6282333897800")</f>
        <v>6282333897800</v>
      </c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2">
        <f>IFERROR(__xludf.DUMMYFUNCTION("""COMPUTED_VALUE"""),0.0)</f>
        <v>0</v>
      </c>
      <c r="BD256" s="22">
        <f>IFERROR(__xludf.DUMMYFUNCTION("""COMPUTED_VALUE"""),0.0)</f>
        <v>0</v>
      </c>
      <c r="BE256" s="22">
        <f>IFERROR(__xludf.DUMMYFUNCTION("""COMPUTED_VALUE"""),0.0)</f>
        <v>0</v>
      </c>
      <c r="BF256" s="22">
        <f>IFERROR(__xludf.DUMMYFUNCTION("""COMPUTED_VALUE"""),0.0)</f>
        <v>0</v>
      </c>
    </row>
    <row r="257">
      <c r="A257" s="27">
        <f>IFERROR(__xludf.DUMMYFUNCTION("""COMPUTED_VALUE"""),256.0)</f>
        <v>256</v>
      </c>
      <c r="B257" s="28" t="str">
        <f>IFERROR(__xludf.DUMMYFUNCTION("""COMPUTED_VALUE"""),"ZARIFAH VERINA MEISYURAH")</f>
        <v>ZARIFAH VERINA MEISYURAH</v>
      </c>
      <c r="C257" s="28">
        <f>IFERROR(__xludf.DUMMYFUNCTION("""COMPUTED_VALUE"""),2.02407054E9)</f>
        <v>2024070540</v>
      </c>
      <c r="D257" s="28" t="str">
        <f>IFERROR(__xludf.DUMMYFUNCTION("""COMPUTED_VALUE"""),"MUKIT")</f>
        <v>MUKIT</v>
      </c>
      <c r="E257" s="28" t="str">
        <f>IFERROR(__xludf.DUMMYFUNCTION("""COMPUTED_VALUE"""),"SHOHIFAH")</f>
        <v>SHOHIFAH</v>
      </c>
      <c r="F257" s="28" t="str">
        <f>IFERROR(__xludf.DUMMYFUNCTION("""COMPUTED_VALUE"""),"KARANGCANGKRING RT 006 RW 003 DUKUN GRESIK")</f>
        <v>KARANGCANGKRING RT 006 RW 003 DUKUN GRESIK</v>
      </c>
      <c r="G257" s="28" t="str">
        <f>IFERROR(__xludf.DUMMYFUNCTION("""COMPUTED_VALUE"""),"MTS-9 G")</f>
        <v>MTS-9 G</v>
      </c>
      <c r="H257" s="28" t="str">
        <f>IFERROR(__xludf.DUMMYFUNCTION("""COMPUTED_VALUE"""),"C")</f>
        <v>C</v>
      </c>
      <c r="I257" s="28" t="str">
        <f>IFERROR(__xludf.DUMMYFUNCTION("""COMPUTED_VALUE"""),"C-13")</f>
        <v>C-13</v>
      </c>
      <c r="J257" s="28">
        <f>IFERROR(__xludf.DUMMYFUNCTION("""COMPUTED_VALUE"""),3.0)</f>
        <v>3</v>
      </c>
      <c r="K257" s="28" t="str">
        <f>IFERROR(__xludf.DUMMYFUNCTION("""COMPUTED_VALUE"""),"3 ULA C PUTRI")</f>
        <v>3 ULA C PUTRI</v>
      </c>
      <c r="L257" s="29" t="str">
        <f>IFERROR(__xludf.DUMMYFUNCTION("""COMPUTED_VALUE"""),"6285733140898")</f>
        <v>6285733140898</v>
      </c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2">
        <f>IFERROR(__xludf.DUMMYFUNCTION("""COMPUTED_VALUE"""),450000.0)</f>
        <v>450000</v>
      </c>
      <c r="AM257" s="22">
        <f>IFERROR(__xludf.DUMMYFUNCTION("""COMPUTED_VALUE"""),450000.0)</f>
        <v>450000</v>
      </c>
      <c r="AN257" s="22">
        <f>IFERROR(__xludf.DUMMYFUNCTION("""COMPUTED_VALUE"""),450000.0)</f>
        <v>450000</v>
      </c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2">
        <f>IFERROR(__xludf.DUMMYFUNCTION("""COMPUTED_VALUE"""),1350000.0)</f>
        <v>1350000</v>
      </c>
      <c r="BD257" s="22">
        <f>IFERROR(__xludf.DUMMYFUNCTION("""COMPUTED_VALUE"""),0.0)</f>
        <v>0</v>
      </c>
      <c r="BE257" s="22">
        <f>IFERROR(__xludf.DUMMYFUNCTION("""COMPUTED_VALUE"""),0.0)</f>
        <v>0</v>
      </c>
      <c r="BF257" s="22">
        <f>IFERROR(__xludf.DUMMYFUNCTION("""COMPUTED_VALUE"""),1350000.0)</f>
        <v>1350000</v>
      </c>
    </row>
    <row r="258">
      <c r="A258" s="27">
        <f>IFERROR(__xludf.DUMMYFUNCTION("""COMPUTED_VALUE"""),257.0)</f>
        <v>257</v>
      </c>
      <c r="B258" s="28" t="str">
        <f>IFERROR(__xludf.DUMMYFUNCTION("""COMPUTED_VALUE"""),"AUREL NUR HABIBATUL LATHIFAH")</f>
        <v>AUREL NUR HABIBATUL LATHIFAH</v>
      </c>
      <c r="C258" s="28">
        <f>IFERROR(__xludf.DUMMYFUNCTION("""COMPUTED_VALUE"""),2.024070498E9)</f>
        <v>2024070498</v>
      </c>
      <c r="D258" s="28" t="str">
        <f>IFERROR(__xludf.DUMMYFUNCTION("""COMPUTED_VALUE"""),"MOH. SUGIANTO")</f>
        <v>MOH. SUGIANTO</v>
      </c>
      <c r="E258" s="28" t="str">
        <f>IFERROR(__xludf.DUMMYFUNCTION("""COMPUTED_VALUE"""),"IMROATUL KHASANAH")</f>
        <v>IMROATUL KHASANAH</v>
      </c>
      <c r="F258" s="28" t="str">
        <f>IFERROR(__xludf.DUMMYFUNCTION("""COMPUTED_VALUE"""),"BANJARMADU RT 001 RW 003 KARANGGENENG LAMONGAN")</f>
        <v>BANJARMADU RT 001 RW 003 KARANGGENENG LAMONGAN</v>
      </c>
      <c r="G258" s="28" t="str">
        <f>IFERROR(__xludf.DUMMYFUNCTION("""COMPUTED_VALUE"""),"MTS-9 C")</f>
        <v>MTS-9 C</v>
      </c>
      <c r="H258" s="28" t="str">
        <f>IFERROR(__xludf.DUMMYFUNCTION("""COMPUTED_VALUE"""),"D")</f>
        <v>D</v>
      </c>
      <c r="I258" s="28" t="str">
        <f>IFERROR(__xludf.DUMMYFUNCTION("""COMPUTED_VALUE"""),"D-4")</f>
        <v>D-4</v>
      </c>
      <c r="J258" s="28">
        <f>IFERROR(__xludf.DUMMYFUNCTION("""COMPUTED_VALUE"""),3.0)</f>
        <v>3</v>
      </c>
      <c r="K258" s="28" t="str">
        <f>IFERROR(__xludf.DUMMYFUNCTION("""COMPUTED_VALUE"""),"")</f>
        <v/>
      </c>
      <c r="L258" s="29" t="str">
        <f>IFERROR(__xludf.DUMMYFUNCTION("""COMPUTED_VALUE"""),"6281226713566")</f>
        <v>6281226713566</v>
      </c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2">
        <f>IFERROR(__xludf.DUMMYFUNCTION("""COMPUTED_VALUE"""),0.0)</f>
        <v>0</v>
      </c>
      <c r="BD258" s="22">
        <f>IFERROR(__xludf.DUMMYFUNCTION("""COMPUTED_VALUE"""),0.0)</f>
        <v>0</v>
      </c>
      <c r="BE258" s="22">
        <f>IFERROR(__xludf.DUMMYFUNCTION("""COMPUTED_VALUE"""),0.0)</f>
        <v>0</v>
      </c>
      <c r="BF258" s="22">
        <f>IFERROR(__xludf.DUMMYFUNCTION("""COMPUTED_VALUE"""),0.0)</f>
        <v>0</v>
      </c>
    </row>
    <row r="259">
      <c r="A259" s="27">
        <f>IFERROR(__xludf.DUMMYFUNCTION("""COMPUTED_VALUE"""),258.0)</f>
        <v>258</v>
      </c>
      <c r="B259" s="28" t="str">
        <f>IFERROR(__xludf.DUMMYFUNCTION("""COMPUTED_VALUE"""),"BELLA KAMALIA AISYI")</f>
        <v>BELLA KAMALIA AISYI</v>
      </c>
      <c r="C259" s="28">
        <f>IFERROR(__xludf.DUMMYFUNCTION("""COMPUTED_VALUE"""),2.024070595E9)</f>
        <v>2024070595</v>
      </c>
      <c r="D259" s="28" t="str">
        <f>IFERROR(__xludf.DUMMYFUNCTION("""COMPUTED_VALUE"""),"AINUR ROFIQ")</f>
        <v>AINUR ROFIQ</v>
      </c>
      <c r="E259" s="28" t="str">
        <f>IFERROR(__xludf.DUMMYFUNCTION("""COMPUTED_VALUE"""),"ITA DESI HERFIANA")</f>
        <v>ITA DESI HERFIANA</v>
      </c>
      <c r="F259" s="28" t="str">
        <f>IFERROR(__xludf.DUMMYFUNCTION("""COMPUTED_VALUE"""),"BANYUBANG RT 002 RW 001 SOLOKURO LAMONGAN")</f>
        <v>BANYUBANG RT 002 RW 001 SOLOKURO LAMONGAN</v>
      </c>
      <c r="G259" s="28" t="str">
        <f>IFERROR(__xludf.DUMMYFUNCTION("""COMPUTED_VALUE"""),"MTS-9 D")</f>
        <v>MTS-9 D</v>
      </c>
      <c r="H259" s="28" t="str">
        <f>IFERROR(__xludf.DUMMYFUNCTION("""COMPUTED_VALUE"""),"D")</f>
        <v>D</v>
      </c>
      <c r="I259" s="28" t="str">
        <f>IFERROR(__xludf.DUMMYFUNCTION("""COMPUTED_VALUE"""),"D-4")</f>
        <v>D-4</v>
      </c>
      <c r="J259" s="28">
        <f>IFERROR(__xludf.DUMMYFUNCTION("""COMPUTED_VALUE"""),3.0)</f>
        <v>3</v>
      </c>
      <c r="K259" s="28" t="str">
        <f>IFERROR(__xludf.DUMMYFUNCTION("""COMPUTED_VALUE"""),"3 ULA A PUTRI")</f>
        <v>3 ULA A PUTRI</v>
      </c>
      <c r="L259" s="29" t="str">
        <f>IFERROR(__xludf.DUMMYFUNCTION("""COMPUTED_VALUE"""),"6281555999169")</f>
        <v>6281555999169</v>
      </c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2">
        <f>IFERROR(__xludf.DUMMYFUNCTION("""COMPUTED_VALUE"""),450000.0)</f>
        <v>450000</v>
      </c>
      <c r="AN259" s="22">
        <f>IFERROR(__xludf.DUMMYFUNCTION("""COMPUTED_VALUE"""),450000.0)</f>
        <v>450000</v>
      </c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2">
        <f>IFERROR(__xludf.DUMMYFUNCTION("""COMPUTED_VALUE"""),900000.0)</f>
        <v>900000</v>
      </c>
      <c r="BD259" s="22">
        <f>IFERROR(__xludf.DUMMYFUNCTION("""COMPUTED_VALUE"""),0.0)</f>
        <v>0</v>
      </c>
      <c r="BE259" s="22">
        <f>IFERROR(__xludf.DUMMYFUNCTION("""COMPUTED_VALUE"""),0.0)</f>
        <v>0</v>
      </c>
      <c r="BF259" s="22">
        <f>IFERROR(__xludf.DUMMYFUNCTION("""COMPUTED_VALUE"""),900000.0)</f>
        <v>900000</v>
      </c>
    </row>
    <row r="260">
      <c r="A260" s="27">
        <f>IFERROR(__xludf.DUMMYFUNCTION("""COMPUTED_VALUE"""),259.0)</f>
        <v>259</v>
      </c>
      <c r="B260" s="28" t="str">
        <f>IFERROR(__xludf.DUMMYFUNCTION("""COMPUTED_VALUE"""),"CELENA FEBRIANA")</f>
        <v>CELENA FEBRIANA</v>
      </c>
      <c r="C260" s="28">
        <f>IFERROR(__xludf.DUMMYFUNCTION("""COMPUTED_VALUE"""),2.024070471E9)</f>
        <v>2024070471</v>
      </c>
      <c r="D260" s="28" t="str">
        <f>IFERROR(__xludf.DUMMYFUNCTION("""COMPUTED_VALUE"""),"WAHYU PUTRO ROMADHONA")</f>
        <v>WAHYU PUTRO ROMADHONA</v>
      </c>
      <c r="E260" s="28" t="str">
        <f>IFERROR(__xludf.DUMMYFUNCTION("""COMPUTED_VALUE"""),"EKA FITRIANA")</f>
        <v>EKA FITRIANA</v>
      </c>
      <c r="F260" s="28" t="str">
        <f>IFERROR(__xludf.DUMMYFUNCTION("""COMPUTED_VALUE"""),"KEBUN MANGGA TANGGUNGAN RT 003 RW 006 PUCUK LAMONGAN")</f>
        <v>KEBUN MANGGA TANGGUNGAN RT 003 RW 006 PUCUK LAMONGAN</v>
      </c>
      <c r="G260" s="28" t="str">
        <f>IFERROR(__xludf.DUMMYFUNCTION("""COMPUTED_VALUE"""),"MTS-9 C")</f>
        <v>MTS-9 C</v>
      </c>
      <c r="H260" s="28" t="str">
        <f>IFERROR(__xludf.DUMMYFUNCTION("""COMPUTED_VALUE"""),"D")</f>
        <v>D</v>
      </c>
      <c r="I260" s="28" t="str">
        <f>IFERROR(__xludf.DUMMYFUNCTION("""COMPUTED_VALUE"""),"D-4")</f>
        <v>D-4</v>
      </c>
      <c r="J260" s="28">
        <f>IFERROR(__xludf.DUMMYFUNCTION("""COMPUTED_VALUE"""),3.0)</f>
        <v>3</v>
      </c>
      <c r="K260" s="28" t="str">
        <f>IFERROR(__xludf.DUMMYFUNCTION("""COMPUTED_VALUE"""),"3 ULA A PUTRI")</f>
        <v>3 ULA A PUTRI</v>
      </c>
      <c r="L260" s="29" t="str">
        <f>IFERROR(__xludf.DUMMYFUNCTION("""COMPUTED_VALUE"""),"6285843744198")</f>
        <v>6285843744198</v>
      </c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2">
        <f>IFERROR(__xludf.DUMMYFUNCTION("""COMPUTED_VALUE"""),0.0)</f>
        <v>0</v>
      </c>
      <c r="BD260" s="22">
        <f>IFERROR(__xludf.DUMMYFUNCTION("""COMPUTED_VALUE"""),0.0)</f>
        <v>0</v>
      </c>
      <c r="BE260" s="22">
        <f>IFERROR(__xludf.DUMMYFUNCTION("""COMPUTED_VALUE"""),0.0)</f>
        <v>0</v>
      </c>
      <c r="BF260" s="22">
        <f>IFERROR(__xludf.DUMMYFUNCTION("""COMPUTED_VALUE"""),0.0)</f>
        <v>0</v>
      </c>
    </row>
    <row r="261">
      <c r="A261" s="27">
        <f>IFERROR(__xludf.DUMMYFUNCTION("""COMPUTED_VALUE"""),260.0)</f>
        <v>260</v>
      </c>
      <c r="B261" s="28" t="str">
        <f>IFERROR(__xludf.DUMMYFUNCTION("""COMPUTED_VALUE"""),"DIAH MAHARANI ARDININGRUM")</f>
        <v>DIAH MAHARANI ARDININGRUM</v>
      </c>
      <c r="C261" s="28">
        <f>IFERROR(__xludf.DUMMYFUNCTION("""COMPUTED_VALUE"""),2.024080767E9)</f>
        <v>2024080767</v>
      </c>
      <c r="D261" s="28" t="str">
        <f>IFERROR(__xludf.DUMMYFUNCTION("""COMPUTED_VALUE"""),"HIZBULLAH HUDA")</f>
        <v>HIZBULLAH HUDA</v>
      </c>
      <c r="E261" s="28" t="str">
        <f>IFERROR(__xludf.DUMMYFUNCTION("""COMPUTED_VALUE"""),"KHUSNUL KHOTIMAH")</f>
        <v>KHUSNUL KHOTIMAH</v>
      </c>
      <c r="F261" s="28" t="str">
        <f>IFERROR(__xludf.DUMMYFUNCTION("""COMPUTED_VALUE"""),"PRAMBON PUCANGTELU RT 005 RW 002 KALITENGAH LAMONGAN")</f>
        <v>PRAMBON PUCANGTELU RT 005 RW 002 KALITENGAH LAMONGAN</v>
      </c>
      <c r="G261" s="28" t="str">
        <f>IFERROR(__xludf.DUMMYFUNCTION("""COMPUTED_VALUE"""),"MTS-9 A")</f>
        <v>MTS-9 A</v>
      </c>
      <c r="H261" s="28" t="str">
        <f>IFERROR(__xludf.DUMMYFUNCTION("""COMPUTED_VALUE"""),"D")</f>
        <v>D</v>
      </c>
      <c r="I261" s="28" t="str">
        <f>IFERROR(__xludf.DUMMYFUNCTION("""COMPUTED_VALUE"""),"D-7")</f>
        <v>D-7</v>
      </c>
      <c r="J261" s="28">
        <f>IFERROR(__xludf.DUMMYFUNCTION("""COMPUTED_VALUE"""),3.0)</f>
        <v>3</v>
      </c>
      <c r="K261" s="28" t="str">
        <f>IFERROR(__xludf.DUMMYFUNCTION("""COMPUTED_VALUE"""),"3 ULA B PUTRI")</f>
        <v>3 ULA B PUTRI</v>
      </c>
      <c r="L261" s="29" t="str">
        <f>IFERROR(__xludf.DUMMYFUNCTION("""COMPUTED_VALUE"""),"62881217430350")</f>
        <v>62881217430350</v>
      </c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2">
        <f>IFERROR(__xludf.DUMMYFUNCTION("""COMPUTED_VALUE"""),450000.0)</f>
        <v>450000</v>
      </c>
      <c r="AM261" s="22">
        <f>IFERROR(__xludf.DUMMYFUNCTION("""COMPUTED_VALUE"""),450000.0)</f>
        <v>450000</v>
      </c>
      <c r="AN261" s="22">
        <f>IFERROR(__xludf.DUMMYFUNCTION("""COMPUTED_VALUE"""),450000.0)</f>
        <v>450000</v>
      </c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2">
        <f>IFERROR(__xludf.DUMMYFUNCTION("""COMPUTED_VALUE"""),1350000.0)</f>
        <v>1350000</v>
      </c>
      <c r="BD261" s="22">
        <f>IFERROR(__xludf.DUMMYFUNCTION("""COMPUTED_VALUE"""),0.0)</f>
        <v>0</v>
      </c>
      <c r="BE261" s="22">
        <f>IFERROR(__xludf.DUMMYFUNCTION("""COMPUTED_VALUE"""),0.0)</f>
        <v>0</v>
      </c>
      <c r="BF261" s="22">
        <f>IFERROR(__xludf.DUMMYFUNCTION("""COMPUTED_VALUE"""),1350000.0)</f>
        <v>1350000</v>
      </c>
    </row>
    <row r="262">
      <c r="A262" s="27">
        <f>IFERROR(__xludf.DUMMYFUNCTION("""COMPUTED_VALUE"""),261.0)</f>
        <v>261</v>
      </c>
      <c r="B262" s="28" t="str">
        <f>IFERROR(__xludf.DUMMYFUNCTION("""COMPUTED_VALUE"""),"ELZA AMELIA FIRDA")</f>
        <v>ELZA AMELIA FIRDA</v>
      </c>
      <c r="C262" s="28">
        <f>IFERROR(__xludf.DUMMYFUNCTION("""COMPUTED_VALUE"""),2.024071523E9)</f>
        <v>2024071523</v>
      </c>
      <c r="D262" s="28" t="str">
        <f>IFERROR(__xludf.DUMMYFUNCTION("""COMPUTED_VALUE"""),"AH. ZAINUL ARIFUN")</f>
        <v>AH. ZAINUL ARIFUN</v>
      </c>
      <c r="E262" s="28" t="str">
        <f>IFERROR(__xludf.DUMMYFUNCTION("""COMPUTED_VALUE"""),"RUKAMAH")</f>
        <v>RUKAMAH</v>
      </c>
      <c r="F262" s="28" t="str">
        <f>IFERROR(__xludf.DUMMYFUNCTION("""COMPUTED_VALUE"""),"SUNGELEBAK RT 014 RW 004 KARANGGENENG LAMONGAN")</f>
        <v>SUNGELEBAK RT 014 RW 004 KARANGGENENG LAMONGAN</v>
      </c>
      <c r="G262" s="28" t="str">
        <f>IFERROR(__xludf.DUMMYFUNCTION("""COMPUTED_VALUE"""),"MTS-9 A")</f>
        <v>MTS-9 A</v>
      </c>
      <c r="H262" s="28" t="str">
        <f>IFERROR(__xludf.DUMMYFUNCTION("""COMPUTED_VALUE"""),"D")</f>
        <v>D</v>
      </c>
      <c r="I262" s="28" t="str">
        <f>IFERROR(__xludf.DUMMYFUNCTION("""COMPUTED_VALUE"""),"D-7")</f>
        <v>D-7</v>
      </c>
      <c r="J262" s="28">
        <f>IFERROR(__xludf.DUMMYFUNCTION("""COMPUTED_VALUE"""),3.0)</f>
        <v>3</v>
      </c>
      <c r="K262" s="28" t="str">
        <f>IFERROR(__xludf.DUMMYFUNCTION("""COMPUTED_VALUE"""),"3 ULA C PUTRI")</f>
        <v>3 ULA C PUTRI</v>
      </c>
      <c r="L262" s="29" t="str">
        <f>IFERROR(__xludf.DUMMYFUNCTION("""COMPUTED_VALUE"""),"6285749766177")</f>
        <v>6285749766177</v>
      </c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2">
        <f>IFERROR(__xludf.DUMMYFUNCTION("""COMPUTED_VALUE"""),0.0)</f>
        <v>0</v>
      </c>
      <c r="BD262" s="22">
        <f>IFERROR(__xludf.DUMMYFUNCTION("""COMPUTED_VALUE"""),0.0)</f>
        <v>0</v>
      </c>
      <c r="BE262" s="22">
        <f>IFERROR(__xludf.DUMMYFUNCTION("""COMPUTED_VALUE"""),0.0)</f>
        <v>0</v>
      </c>
      <c r="BF262" s="22">
        <f>IFERROR(__xludf.DUMMYFUNCTION("""COMPUTED_VALUE"""),0.0)</f>
        <v>0</v>
      </c>
    </row>
    <row r="263">
      <c r="A263" s="27">
        <f>IFERROR(__xludf.DUMMYFUNCTION("""COMPUTED_VALUE"""),262.0)</f>
        <v>262</v>
      </c>
      <c r="B263" s="28" t="str">
        <f>IFERROR(__xludf.DUMMYFUNCTION("""COMPUTED_VALUE"""),"ICHDA MAYLA ACHSANI")</f>
        <v>ICHDA MAYLA ACHSANI</v>
      </c>
      <c r="C263" s="28">
        <f>IFERROR(__xludf.DUMMYFUNCTION("""COMPUTED_VALUE"""),2.02407053E9)</f>
        <v>2024070530</v>
      </c>
      <c r="D263" s="28" t="str">
        <f>IFERROR(__xludf.DUMMYFUNCTION("""COMPUTED_VALUE"""),"SONI")</f>
        <v>SONI</v>
      </c>
      <c r="E263" s="28" t="str">
        <f>IFERROR(__xludf.DUMMYFUNCTION("""COMPUTED_VALUE"""),"KHOMSATUN")</f>
        <v>KHOMSATUN</v>
      </c>
      <c r="F263" s="28" t="str">
        <f>IFERROR(__xludf.DUMMYFUNCTION("""COMPUTED_VALUE"""),"KARANGCANGKRING RT 006 RW 003 DUKUN GRESIK")</f>
        <v>KARANGCANGKRING RT 006 RW 003 DUKUN GRESIK</v>
      </c>
      <c r="G263" s="28" t="str">
        <f>IFERROR(__xludf.DUMMYFUNCTION("""COMPUTED_VALUE"""),"MTS-9 B")</f>
        <v>MTS-9 B</v>
      </c>
      <c r="H263" s="28" t="str">
        <f>IFERROR(__xludf.DUMMYFUNCTION("""COMPUTED_VALUE"""),"D")</f>
        <v>D</v>
      </c>
      <c r="I263" s="28" t="str">
        <f>IFERROR(__xludf.DUMMYFUNCTION("""COMPUTED_VALUE"""),"D-7")</f>
        <v>D-7</v>
      </c>
      <c r="J263" s="28">
        <f>IFERROR(__xludf.DUMMYFUNCTION("""COMPUTED_VALUE"""),3.0)</f>
        <v>3</v>
      </c>
      <c r="K263" s="28" t="str">
        <f>IFERROR(__xludf.DUMMYFUNCTION("""COMPUTED_VALUE"""),"3 ULA B PUTRI")</f>
        <v>3 ULA B PUTRI</v>
      </c>
      <c r="L263" s="29" t="str">
        <f>IFERROR(__xludf.DUMMYFUNCTION("""COMPUTED_VALUE"""),"6285704365797")</f>
        <v>6285704365797</v>
      </c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2">
        <f>IFERROR(__xludf.DUMMYFUNCTION("""COMPUTED_VALUE"""),0.0)</f>
        <v>0</v>
      </c>
      <c r="BD263" s="22">
        <f>IFERROR(__xludf.DUMMYFUNCTION("""COMPUTED_VALUE"""),0.0)</f>
        <v>0</v>
      </c>
      <c r="BE263" s="22">
        <f>IFERROR(__xludf.DUMMYFUNCTION("""COMPUTED_VALUE"""),0.0)</f>
        <v>0</v>
      </c>
      <c r="BF263" s="22">
        <f>IFERROR(__xludf.DUMMYFUNCTION("""COMPUTED_VALUE"""),0.0)</f>
        <v>0</v>
      </c>
    </row>
    <row r="264">
      <c r="A264" s="27">
        <f>IFERROR(__xludf.DUMMYFUNCTION("""COMPUTED_VALUE"""),263.0)</f>
        <v>263</v>
      </c>
      <c r="B264" s="28" t="str">
        <f>IFERROR(__xludf.DUMMYFUNCTION("""COMPUTED_VALUE"""),"JANEETA EMIRA SHABRIYA")</f>
        <v>JANEETA EMIRA SHABRIYA</v>
      </c>
      <c r="C264" s="28">
        <f>IFERROR(__xludf.DUMMYFUNCTION("""COMPUTED_VALUE"""),2.024070521E9)</f>
        <v>2024070521</v>
      </c>
      <c r="D264" s="28" t="str">
        <f>IFERROR(__xludf.DUMMYFUNCTION("""COMPUTED_VALUE"""),"FAUZAN FATHURROSYID")</f>
        <v>FAUZAN FATHURROSYID</v>
      </c>
      <c r="E264" s="28" t="str">
        <f>IFERROR(__xludf.DUMMYFUNCTION("""COMPUTED_VALUE"""),"AINI ZAHIDAH")</f>
        <v>AINI ZAHIDAH</v>
      </c>
      <c r="F264" s="28" t="str">
        <f>IFERROR(__xludf.DUMMYFUNCTION("""COMPUTED_VALUE"""),"SUMURBER RT 010 RW 003 PANCENG GRESIK")</f>
        <v>SUMURBER RT 010 RW 003 PANCENG GRESIK</v>
      </c>
      <c r="G264" s="28" t="str">
        <f>IFERROR(__xludf.DUMMYFUNCTION("""COMPUTED_VALUE"""),"MTS-9 B")</f>
        <v>MTS-9 B</v>
      </c>
      <c r="H264" s="28" t="str">
        <f>IFERROR(__xludf.DUMMYFUNCTION("""COMPUTED_VALUE"""),"D")</f>
        <v>D</v>
      </c>
      <c r="I264" s="28" t="str">
        <f>IFERROR(__xludf.DUMMYFUNCTION("""COMPUTED_VALUE"""),"D-4")</f>
        <v>D-4</v>
      </c>
      <c r="J264" s="28">
        <f>IFERROR(__xludf.DUMMYFUNCTION("""COMPUTED_VALUE"""),3.0)</f>
        <v>3</v>
      </c>
      <c r="K264" s="28" t="str">
        <f>IFERROR(__xludf.DUMMYFUNCTION("""COMPUTED_VALUE"""),"3 ULA B PUTRI")</f>
        <v>3 ULA B PUTRI</v>
      </c>
      <c r="L264" s="29" t="str">
        <f>IFERROR(__xludf.DUMMYFUNCTION("""COMPUTED_VALUE"""),"628563173399")</f>
        <v>628563173399</v>
      </c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N264" s="22">
        <f>IFERROR(__xludf.DUMMYFUNCTION("""COMPUTED_VALUE"""),450000.0)</f>
        <v>450000</v>
      </c>
      <c r="AO264" s="28"/>
      <c r="AP264" s="22">
        <f>IFERROR(__xludf.DUMMYFUNCTION("""COMPUTED_VALUE"""),500000.0)</f>
        <v>500000</v>
      </c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2">
        <f>IFERROR(__xludf.DUMMYFUNCTION("""COMPUTED_VALUE"""),450000.0)</f>
        <v>450000</v>
      </c>
      <c r="BD264" s="22">
        <f>IFERROR(__xludf.DUMMYFUNCTION("""COMPUTED_VALUE"""),500000.0)</f>
        <v>500000</v>
      </c>
      <c r="BE264" s="22">
        <f>IFERROR(__xludf.DUMMYFUNCTION("""COMPUTED_VALUE"""),0.0)</f>
        <v>0</v>
      </c>
      <c r="BF264" s="22">
        <f>IFERROR(__xludf.DUMMYFUNCTION("""COMPUTED_VALUE"""),950000.0)</f>
        <v>950000</v>
      </c>
    </row>
    <row r="265">
      <c r="A265" s="27">
        <f>IFERROR(__xludf.DUMMYFUNCTION("""COMPUTED_VALUE"""),264.0)</f>
        <v>264</v>
      </c>
      <c r="B265" s="28" t="str">
        <f>IFERROR(__xludf.DUMMYFUNCTION("""COMPUTED_VALUE"""),"KAYLA SABRINA ANGGRAINI")</f>
        <v>KAYLA SABRINA ANGGRAINI</v>
      </c>
      <c r="C265" s="28">
        <f>IFERROR(__xludf.DUMMYFUNCTION("""COMPUTED_VALUE"""),2.024070661E9)</f>
        <v>2024070661</v>
      </c>
      <c r="D265" s="28" t="str">
        <f>IFERROR(__xludf.DUMMYFUNCTION("""COMPUTED_VALUE"""),"SISWANDI")</f>
        <v>SISWANDI</v>
      </c>
      <c r="E265" s="28" t="str">
        <f>IFERROR(__xludf.DUMMYFUNCTION("""COMPUTED_VALUE"""),"RENNY PONCO PRASETYO WATIE")</f>
        <v>RENNY PONCO PRASETYO WATIE</v>
      </c>
      <c r="F265" s="28" t="str">
        <f>IFERROR(__xludf.DUMMYFUNCTION("""COMPUTED_VALUE"""),"BANJARWATI RT 001 RW 002 PACIRAN LAMONGAN")</f>
        <v>BANJARWATI RT 001 RW 002 PACIRAN LAMONGAN</v>
      </c>
      <c r="G265" s="28" t="str">
        <f>IFERROR(__xludf.DUMMYFUNCTION("""COMPUTED_VALUE"""),"MTS-9 G")</f>
        <v>MTS-9 G</v>
      </c>
      <c r="H265" s="28" t="str">
        <f>IFERROR(__xludf.DUMMYFUNCTION("""COMPUTED_VALUE"""),"D")</f>
        <v>D</v>
      </c>
      <c r="I265" s="28" t="str">
        <f>IFERROR(__xludf.DUMMYFUNCTION("""COMPUTED_VALUE"""),"D-4")</f>
        <v>D-4</v>
      </c>
      <c r="J265" s="28">
        <f>IFERROR(__xludf.DUMMYFUNCTION("""COMPUTED_VALUE"""),3.0)</f>
        <v>3</v>
      </c>
      <c r="K265" s="28" t="str">
        <f>IFERROR(__xludf.DUMMYFUNCTION("""COMPUTED_VALUE"""),"3 ULA B PUTRI")</f>
        <v>3 ULA B PUTRI</v>
      </c>
      <c r="L265" s="29" t="str">
        <f>IFERROR(__xludf.DUMMYFUNCTION("""COMPUTED_VALUE"""),"6285608656615")</f>
        <v>6285608656615</v>
      </c>
      <c r="M265" s="22">
        <f>IFERROR(__xludf.DUMMYFUNCTION("""COMPUTED_VALUE"""),600000.0)</f>
        <v>600000</v>
      </c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2">
        <f>IFERROR(__xludf.DUMMYFUNCTION("""COMPUTED_VALUE"""),450000.0)</f>
        <v>450000</v>
      </c>
      <c r="Y265" s="22">
        <f>IFERROR(__xludf.DUMMYFUNCTION("""COMPUTED_VALUE"""),450000.0)</f>
        <v>450000</v>
      </c>
      <c r="Z265" s="22">
        <f>IFERROR(__xludf.DUMMYFUNCTION("""COMPUTED_VALUE"""),450000.0)</f>
        <v>450000</v>
      </c>
      <c r="AA265" s="28"/>
      <c r="AB265" s="22">
        <f>IFERROR(__xludf.DUMMYFUNCTION("""COMPUTED_VALUE"""),500000.0)</f>
        <v>500000</v>
      </c>
      <c r="AC265" s="22">
        <f>IFERROR(__xludf.DUMMYFUNCTION("""COMPUTED_VALUE"""),450000.0)</f>
        <v>450000</v>
      </c>
      <c r="AD265" s="22">
        <f>IFERROR(__xludf.DUMMYFUNCTION("""COMPUTED_VALUE"""),450000.0)</f>
        <v>450000</v>
      </c>
      <c r="AE265" s="22">
        <f>IFERROR(__xludf.DUMMYFUNCTION("""COMPUTED_VALUE"""),450000.0)</f>
        <v>450000</v>
      </c>
      <c r="AF265" s="22">
        <f>IFERROR(__xludf.DUMMYFUNCTION("""COMPUTED_VALUE"""),450000.0)</f>
        <v>450000</v>
      </c>
      <c r="AG265" s="22">
        <f>IFERROR(__xludf.DUMMYFUNCTION("""COMPUTED_VALUE"""),450000.0)</f>
        <v>450000</v>
      </c>
      <c r="AH265" s="22">
        <f>IFERROR(__xludf.DUMMYFUNCTION("""COMPUTED_VALUE"""),450000.0)</f>
        <v>450000</v>
      </c>
      <c r="AI265" s="22">
        <f>IFERROR(__xludf.DUMMYFUNCTION("""COMPUTED_VALUE"""),450000.0)</f>
        <v>450000</v>
      </c>
      <c r="AJ265" s="22">
        <f>IFERROR(__xludf.DUMMYFUNCTION("""COMPUTED_VALUE"""),450000.0)</f>
        <v>450000</v>
      </c>
      <c r="AK265" s="22">
        <f>IFERROR(__xludf.DUMMYFUNCTION("""COMPUTED_VALUE"""),450000.0)</f>
        <v>450000</v>
      </c>
      <c r="AL265" s="22">
        <f>IFERROR(__xludf.DUMMYFUNCTION("""COMPUTED_VALUE"""),450000.0)</f>
        <v>450000</v>
      </c>
      <c r="AM265" s="22">
        <f>IFERROR(__xludf.DUMMYFUNCTION("""COMPUTED_VALUE"""),450000.0)</f>
        <v>450000</v>
      </c>
      <c r="AN265" s="22">
        <f>IFERROR(__xludf.DUMMYFUNCTION("""COMPUTED_VALUE"""),450000.0)</f>
        <v>450000</v>
      </c>
      <c r="AO265" s="28"/>
      <c r="AP265" s="22">
        <f>IFERROR(__xludf.DUMMYFUNCTION("""COMPUTED_VALUE"""),500000.0)</f>
        <v>500000</v>
      </c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2">
        <f>IFERROR(__xludf.DUMMYFUNCTION("""COMPUTED_VALUE"""),6750000.0)</f>
        <v>6750000</v>
      </c>
      <c r="BD265" s="22">
        <f>IFERROR(__xludf.DUMMYFUNCTION("""COMPUTED_VALUE"""),1600000.0)</f>
        <v>1600000</v>
      </c>
      <c r="BE265" s="22">
        <f>IFERROR(__xludf.DUMMYFUNCTION("""COMPUTED_VALUE"""),0.0)</f>
        <v>0</v>
      </c>
      <c r="BF265" s="22">
        <f>IFERROR(__xludf.DUMMYFUNCTION("""COMPUTED_VALUE"""),8350000.0)</f>
        <v>8350000</v>
      </c>
    </row>
    <row r="266">
      <c r="A266" s="27">
        <f>IFERROR(__xludf.DUMMYFUNCTION("""COMPUTED_VALUE"""),265.0)</f>
        <v>265</v>
      </c>
      <c r="B266" s="28" t="str">
        <f>IFERROR(__xludf.DUMMYFUNCTION("""COMPUTED_VALUE"""),"LAILA AININ NAF`AH")</f>
        <v>LAILA AININ NAF`AH</v>
      </c>
      <c r="C266" s="28">
        <f>IFERROR(__xludf.DUMMYFUNCTION("""COMPUTED_VALUE"""),2.024080769E9)</f>
        <v>2024080769</v>
      </c>
      <c r="D266" s="28" t="str">
        <f>IFERROR(__xludf.DUMMYFUNCTION("""COMPUTED_VALUE"""),"HIDAYATUL MUKMININ")</f>
        <v>HIDAYATUL MUKMININ</v>
      </c>
      <c r="E266" s="28" t="str">
        <f>IFERROR(__xludf.DUMMYFUNCTION("""COMPUTED_VALUE"""),"IFATUL AINIYAH")</f>
        <v>IFATUL AINIYAH</v>
      </c>
      <c r="F266" s="28" t="str">
        <f>IFERROR(__xludf.DUMMYFUNCTION("""COMPUTED_VALUE"""),"SUNGELEBAK RT 013 RW 004 KARANGGENENG LAMONGAN")</f>
        <v>SUNGELEBAK RT 013 RW 004 KARANGGENENG LAMONGAN</v>
      </c>
      <c r="G266" s="28" t="str">
        <f>IFERROR(__xludf.DUMMYFUNCTION("""COMPUTED_VALUE"""),"MTS-9 B")</f>
        <v>MTS-9 B</v>
      </c>
      <c r="H266" s="28" t="str">
        <f>IFERROR(__xludf.DUMMYFUNCTION("""COMPUTED_VALUE"""),"D")</f>
        <v>D</v>
      </c>
      <c r="I266" s="28" t="str">
        <f>IFERROR(__xludf.DUMMYFUNCTION("""COMPUTED_VALUE"""),"D-7")</f>
        <v>D-7</v>
      </c>
      <c r="J266" s="28">
        <f>IFERROR(__xludf.DUMMYFUNCTION("""COMPUTED_VALUE"""),3.0)</f>
        <v>3</v>
      </c>
      <c r="K266" s="28" t="str">
        <f>IFERROR(__xludf.DUMMYFUNCTION("""COMPUTED_VALUE"""),"")</f>
        <v/>
      </c>
      <c r="L266" s="29" t="str">
        <f>IFERROR(__xludf.DUMMYFUNCTION("""COMPUTED_VALUE"""),"6289636729723")</f>
        <v>6289636729723</v>
      </c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2">
        <f>IFERROR(__xludf.DUMMYFUNCTION("""COMPUTED_VALUE"""),500000.0)</f>
        <v>500000</v>
      </c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2">
        <f>IFERROR(__xludf.DUMMYFUNCTION("""COMPUTED_VALUE"""),500000.0)</f>
        <v>500000</v>
      </c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2">
        <f>IFERROR(__xludf.DUMMYFUNCTION("""COMPUTED_VALUE"""),0.0)</f>
        <v>0</v>
      </c>
      <c r="BD266" s="22">
        <f>IFERROR(__xludf.DUMMYFUNCTION("""COMPUTED_VALUE"""),1000000.0)</f>
        <v>1000000</v>
      </c>
      <c r="BE266" s="22">
        <f>IFERROR(__xludf.DUMMYFUNCTION("""COMPUTED_VALUE"""),0.0)</f>
        <v>0</v>
      </c>
      <c r="BF266" s="22">
        <f>IFERROR(__xludf.DUMMYFUNCTION("""COMPUTED_VALUE"""),1000000.0)</f>
        <v>1000000</v>
      </c>
    </row>
    <row r="267">
      <c r="A267" s="27">
        <f>IFERROR(__xludf.DUMMYFUNCTION("""COMPUTED_VALUE"""),266.0)</f>
        <v>266</v>
      </c>
      <c r="B267" s="28" t="str">
        <f>IFERROR(__xludf.DUMMYFUNCTION("""COMPUTED_VALUE"""),"MILLATUN NASYIFAH")</f>
        <v>MILLATUN NASYIFAH</v>
      </c>
      <c r="C267" s="28">
        <f>IFERROR(__xludf.DUMMYFUNCTION("""COMPUTED_VALUE"""),2.024070645E9)</f>
        <v>2024070645</v>
      </c>
      <c r="D267" s="28" t="str">
        <f>IFERROR(__xludf.DUMMYFUNCTION("""COMPUTED_VALUE"""),"SURUJI")</f>
        <v>SURUJI</v>
      </c>
      <c r="E267" s="28" t="str">
        <f>IFERROR(__xludf.DUMMYFUNCTION("""COMPUTED_VALUE"""),"NURMA HAYATI")</f>
        <v>NURMA HAYATI</v>
      </c>
      <c r="F267" s="28" t="str">
        <f>IFERROR(__xludf.DUMMYFUNCTION("""COMPUTED_VALUE"""),"PJINGGAHAN TANJUNGORI RT - RW - TAMBAK GRESIK")</f>
        <v>PJINGGAHAN TANJUNGORI RT - RW - TAMBAK GRESIK</v>
      </c>
      <c r="G267" s="28" t="str">
        <f>IFERROR(__xludf.DUMMYFUNCTION("""COMPUTED_VALUE"""),"MTS-9 H")</f>
        <v>MTS-9 H</v>
      </c>
      <c r="H267" s="28" t="str">
        <f>IFERROR(__xludf.DUMMYFUNCTION("""COMPUTED_VALUE"""),"D")</f>
        <v>D</v>
      </c>
      <c r="I267" s="28" t="str">
        <f>IFERROR(__xludf.DUMMYFUNCTION("""COMPUTED_VALUE"""),"D-4")</f>
        <v>D-4</v>
      </c>
      <c r="J267" s="28">
        <f>IFERROR(__xludf.DUMMYFUNCTION("""COMPUTED_VALUE"""),3.0)</f>
        <v>3</v>
      </c>
      <c r="K267" s="28" t="str">
        <f>IFERROR(__xludf.DUMMYFUNCTION("""COMPUTED_VALUE"""),"3 ULA C PUTRI")</f>
        <v>3 ULA C PUTRI</v>
      </c>
      <c r="L267" s="29" t="str">
        <f>IFERROR(__xludf.DUMMYFUNCTION("""COMPUTED_VALUE"""),"626012046383")</f>
        <v>626012046383</v>
      </c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2">
        <f>IFERROR(__xludf.DUMMYFUNCTION("""COMPUTED_VALUE"""),0.0)</f>
        <v>0</v>
      </c>
      <c r="BD267" s="22">
        <f>IFERROR(__xludf.DUMMYFUNCTION("""COMPUTED_VALUE"""),0.0)</f>
        <v>0</v>
      </c>
      <c r="BE267" s="22">
        <f>IFERROR(__xludf.DUMMYFUNCTION("""COMPUTED_VALUE"""),0.0)</f>
        <v>0</v>
      </c>
      <c r="BF267" s="22">
        <f>IFERROR(__xludf.DUMMYFUNCTION("""COMPUTED_VALUE"""),0.0)</f>
        <v>0</v>
      </c>
    </row>
    <row r="268">
      <c r="A268" s="27">
        <f>IFERROR(__xludf.DUMMYFUNCTION("""COMPUTED_VALUE"""),267.0)</f>
        <v>267</v>
      </c>
      <c r="B268" s="28" t="str">
        <f>IFERROR(__xludf.DUMMYFUNCTION("""COMPUTED_VALUE"""),"NALA RAHMAH RAMADHANI")</f>
        <v>NALA RAHMAH RAMADHANI</v>
      </c>
      <c r="C268" s="28">
        <f>IFERROR(__xludf.DUMMYFUNCTION("""COMPUTED_VALUE"""),2.024070599E9)</f>
        <v>2024070599</v>
      </c>
      <c r="D268" s="28" t="str">
        <f>IFERROR(__xludf.DUMMYFUNCTION("""COMPUTED_VALUE"""),"MUDZAKIR, DRS")</f>
        <v>MUDZAKIR, DRS</v>
      </c>
      <c r="E268" s="28" t="str">
        <f>IFERROR(__xludf.DUMMYFUNCTION("""COMPUTED_VALUE"""),"MAFTUHAH")</f>
        <v>MAFTUHAH</v>
      </c>
      <c r="F268" s="28" t="str">
        <f>IFERROR(__xludf.DUMMYFUNCTION("""COMPUTED_VALUE"""),"SUMURBER RT 016 RW 005 PANCENG GRESIK")</f>
        <v>SUMURBER RT 016 RW 005 PANCENG GRESIK</v>
      </c>
      <c r="G268" s="28" t="str">
        <f>IFERROR(__xludf.DUMMYFUNCTION("""COMPUTED_VALUE"""),"MTS-9 C")</f>
        <v>MTS-9 C</v>
      </c>
      <c r="H268" s="28" t="str">
        <f>IFERROR(__xludf.DUMMYFUNCTION("""COMPUTED_VALUE"""),"D")</f>
        <v>D</v>
      </c>
      <c r="I268" s="28" t="str">
        <f>IFERROR(__xludf.DUMMYFUNCTION("""COMPUTED_VALUE"""),"D-4")</f>
        <v>D-4</v>
      </c>
      <c r="J268" s="28">
        <f>IFERROR(__xludf.DUMMYFUNCTION("""COMPUTED_VALUE"""),3.0)</f>
        <v>3</v>
      </c>
      <c r="K268" s="28" t="str">
        <f>IFERROR(__xludf.DUMMYFUNCTION("""COMPUTED_VALUE"""),"3 ULA C PUTRI")</f>
        <v>3 ULA C PUTRI</v>
      </c>
      <c r="L268" s="29" t="str">
        <f>IFERROR(__xludf.DUMMYFUNCTION("""COMPUTED_VALUE"""),"6285648197578")</f>
        <v>6285648197578</v>
      </c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2">
        <f>IFERROR(__xludf.DUMMYFUNCTION("""COMPUTED_VALUE"""),0.0)</f>
        <v>0</v>
      </c>
      <c r="BD268" s="22">
        <f>IFERROR(__xludf.DUMMYFUNCTION("""COMPUTED_VALUE"""),0.0)</f>
        <v>0</v>
      </c>
      <c r="BE268" s="22">
        <f>IFERROR(__xludf.DUMMYFUNCTION("""COMPUTED_VALUE"""),0.0)</f>
        <v>0</v>
      </c>
      <c r="BF268" s="22">
        <f>IFERROR(__xludf.DUMMYFUNCTION("""COMPUTED_VALUE"""),0.0)</f>
        <v>0</v>
      </c>
    </row>
    <row r="269">
      <c r="A269" s="27">
        <f>IFERROR(__xludf.DUMMYFUNCTION("""COMPUTED_VALUE"""),268.0)</f>
        <v>268</v>
      </c>
      <c r="B269" s="28" t="str">
        <f>IFERROR(__xludf.DUMMYFUNCTION("""COMPUTED_VALUE"""),"NANDA ZAHRUNI SAFILLIA")</f>
        <v>NANDA ZAHRUNI SAFILLIA</v>
      </c>
      <c r="C269" s="28">
        <f>IFERROR(__xludf.DUMMYFUNCTION("""COMPUTED_VALUE"""),2.02407061E9)</f>
        <v>2024070610</v>
      </c>
      <c r="D269" s="28" t="str">
        <f>IFERROR(__xludf.DUMMYFUNCTION("""COMPUTED_VALUE"""),"IMAM UDDIN")</f>
        <v>IMAM UDDIN</v>
      </c>
      <c r="E269" s="28" t="str">
        <f>IFERROR(__xludf.DUMMYFUNCTION("""COMPUTED_VALUE"""),"WIWIN WINARTIN")</f>
        <v>WIWIN WINARTIN</v>
      </c>
      <c r="F269" s="28" t="str">
        <f>IFERROR(__xludf.DUMMYFUNCTION("""COMPUTED_VALUE"""),"SUNGELEBAK RT 005 RW 002 KARANGGENENG LAMONGAN")</f>
        <v>SUNGELEBAK RT 005 RW 002 KARANGGENENG LAMONGAN</v>
      </c>
      <c r="G269" s="28" t="str">
        <f>IFERROR(__xludf.DUMMYFUNCTION("""COMPUTED_VALUE"""),"MTS-9 D")</f>
        <v>MTS-9 D</v>
      </c>
      <c r="H269" s="28" t="str">
        <f>IFERROR(__xludf.DUMMYFUNCTION("""COMPUTED_VALUE"""),"D")</f>
        <v>D</v>
      </c>
      <c r="I269" s="28" t="str">
        <f>IFERROR(__xludf.DUMMYFUNCTION("""COMPUTED_VALUE"""),"D-4")</f>
        <v>D-4</v>
      </c>
      <c r="J269" s="28">
        <f>IFERROR(__xludf.DUMMYFUNCTION("""COMPUTED_VALUE"""),3.0)</f>
        <v>3</v>
      </c>
      <c r="K269" s="28" t="str">
        <f>IFERROR(__xludf.DUMMYFUNCTION("""COMPUTED_VALUE"""),"")</f>
        <v/>
      </c>
      <c r="L269" s="29" t="str">
        <f>IFERROR(__xludf.DUMMYFUNCTION("""COMPUTED_VALUE"""),"628563468694")</f>
        <v>628563468694</v>
      </c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2">
        <f>IFERROR(__xludf.DUMMYFUNCTION("""COMPUTED_VALUE"""),0.0)</f>
        <v>0</v>
      </c>
      <c r="BD269" s="22">
        <f>IFERROR(__xludf.DUMMYFUNCTION("""COMPUTED_VALUE"""),0.0)</f>
        <v>0</v>
      </c>
      <c r="BE269" s="22">
        <f>IFERROR(__xludf.DUMMYFUNCTION("""COMPUTED_VALUE"""),0.0)</f>
        <v>0</v>
      </c>
      <c r="BF269" s="22">
        <f>IFERROR(__xludf.DUMMYFUNCTION("""COMPUTED_VALUE"""),0.0)</f>
        <v>0</v>
      </c>
    </row>
    <row r="270">
      <c r="A270" s="27">
        <f>IFERROR(__xludf.DUMMYFUNCTION("""COMPUTED_VALUE"""),269.0)</f>
        <v>269</v>
      </c>
      <c r="B270" s="28" t="str">
        <f>IFERROR(__xludf.DUMMYFUNCTION("""COMPUTED_VALUE"""),"NATASYA ANGELINA AMANDA FERDIANA")</f>
        <v>NATASYA ANGELINA AMANDA FERDIANA</v>
      </c>
      <c r="C270" s="28">
        <f>IFERROR(__xludf.DUMMYFUNCTION("""COMPUTED_VALUE"""),2.024070523E9)</f>
        <v>2024070523</v>
      </c>
      <c r="D270" s="28" t="str">
        <f>IFERROR(__xludf.DUMMYFUNCTION("""COMPUTED_VALUE"""),"DARMAJI")</f>
        <v>DARMAJI</v>
      </c>
      <c r="E270" s="28" t="str">
        <f>IFERROR(__xludf.DUMMYFUNCTION("""COMPUTED_VALUE"""),"SITI NURDIANA")</f>
        <v>SITI NURDIANA</v>
      </c>
      <c r="F270" s="28" t="str">
        <f>IFERROR(__xludf.DUMMYFUNCTION("""COMPUTED_VALUE"""),"PUTATLOR PUTATKUMPUL RT 002 RW 003 TURI LAMONGAN")</f>
        <v>PUTATLOR PUTATKUMPUL RT 002 RW 003 TURI LAMONGAN</v>
      </c>
      <c r="G270" s="28" t="str">
        <f>IFERROR(__xludf.DUMMYFUNCTION("""COMPUTED_VALUE"""),"MTS-9 B")</f>
        <v>MTS-9 B</v>
      </c>
      <c r="H270" s="28" t="str">
        <f>IFERROR(__xludf.DUMMYFUNCTION("""COMPUTED_VALUE"""),"D")</f>
        <v>D</v>
      </c>
      <c r="I270" s="28" t="str">
        <f>IFERROR(__xludf.DUMMYFUNCTION("""COMPUTED_VALUE"""),"D-4")</f>
        <v>D-4</v>
      </c>
      <c r="J270" s="28">
        <f>IFERROR(__xludf.DUMMYFUNCTION("""COMPUTED_VALUE"""),3.0)</f>
        <v>3</v>
      </c>
      <c r="K270" s="28" t="str">
        <f>IFERROR(__xludf.DUMMYFUNCTION("""COMPUTED_VALUE"""),"")</f>
        <v/>
      </c>
      <c r="L270" s="29" t="str">
        <f>IFERROR(__xludf.DUMMYFUNCTION("""COMPUTED_VALUE"""),"6282199589884")</f>
        <v>6282199589884</v>
      </c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2">
        <f>IFERROR(__xludf.DUMMYFUNCTION("""COMPUTED_VALUE"""),0.0)</f>
        <v>0</v>
      </c>
      <c r="BD270" s="22">
        <f>IFERROR(__xludf.DUMMYFUNCTION("""COMPUTED_VALUE"""),0.0)</f>
        <v>0</v>
      </c>
      <c r="BE270" s="22">
        <f>IFERROR(__xludf.DUMMYFUNCTION("""COMPUTED_VALUE"""),0.0)</f>
        <v>0</v>
      </c>
      <c r="BF270" s="22">
        <f>IFERROR(__xludf.DUMMYFUNCTION("""COMPUTED_VALUE"""),0.0)</f>
        <v>0</v>
      </c>
    </row>
    <row r="271">
      <c r="A271" s="27">
        <f>IFERROR(__xludf.DUMMYFUNCTION("""COMPUTED_VALUE"""),270.0)</f>
        <v>270</v>
      </c>
      <c r="B271" s="28" t="str">
        <f>IFERROR(__xludf.DUMMYFUNCTION("""COMPUTED_VALUE"""),"NESYA AURA BUNGA")</f>
        <v>NESYA AURA BUNGA</v>
      </c>
      <c r="C271" s="28">
        <f>IFERROR(__xludf.DUMMYFUNCTION("""COMPUTED_VALUE"""),2.024070659E9)</f>
        <v>2024070659</v>
      </c>
      <c r="D271" s="28" t="str">
        <f>IFERROR(__xludf.DUMMYFUNCTION("""COMPUTED_VALUE"""),"MOH. AINUR ROFIQ")</f>
        <v>MOH. AINUR ROFIQ</v>
      </c>
      <c r="E271" s="28" t="str">
        <f>IFERROR(__xludf.DUMMYFUNCTION("""COMPUTED_VALUE"""),"SITI NAILUL ROFIQ")</f>
        <v>SITI NAILUL ROFIQ</v>
      </c>
      <c r="F271" s="28" t="str">
        <f>IFERROR(__xludf.DUMMYFUNCTION("""COMPUTED_VALUE"""),"GEGER RT 002 RW 003 TURI LAMONGAN")</f>
        <v>GEGER RT 002 RW 003 TURI LAMONGAN</v>
      </c>
      <c r="G271" s="28" t="str">
        <f>IFERROR(__xludf.DUMMYFUNCTION("""COMPUTED_VALUE"""),"MTS-9 H")</f>
        <v>MTS-9 H</v>
      </c>
      <c r="H271" s="28" t="str">
        <f>IFERROR(__xludf.DUMMYFUNCTION("""COMPUTED_VALUE"""),"D")</f>
        <v>D</v>
      </c>
      <c r="I271" s="28" t="str">
        <f>IFERROR(__xludf.DUMMYFUNCTION("""COMPUTED_VALUE"""),"D-4")</f>
        <v>D-4</v>
      </c>
      <c r="J271" s="28">
        <f>IFERROR(__xludf.DUMMYFUNCTION("""COMPUTED_VALUE"""),3.0)</f>
        <v>3</v>
      </c>
      <c r="K271" s="28" t="str">
        <f>IFERROR(__xludf.DUMMYFUNCTION("""COMPUTED_VALUE"""),"3 ULA C PUTRI")</f>
        <v>3 ULA C PUTRI</v>
      </c>
      <c r="L271" s="29" t="str">
        <f>IFERROR(__xludf.DUMMYFUNCTION("""COMPUTED_VALUE"""),"6285852070153")</f>
        <v>6285852070153</v>
      </c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2">
        <f>IFERROR(__xludf.DUMMYFUNCTION("""COMPUTED_VALUE"""),450000.0)</f>
        <v>450000</v>
      </c>
      <c r="AO271" s="28"/>
      <c r="AP271" s="22">
        <f>IFERROR(__xludf.DUMMYFUNCTION("""COMPUTED_VALUE"""),500000.0)</f>
        <v>500000</v>
      </c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2">
        <f>IFERROR(__xludf.DUMMYFUNCTION("""COMPUTED_VALUE"""),450000.0)</f>
        <v>450000</v>
      </c>
      <c r="BD271" s="22">
        <f>IFERROR(__xludf.DUMMYFUNCTION("""COMPUTED_VALUE"""),500000.0)</f>
        <v>500000</v>
      </c>
      <c r="BE271" s="22">
        <f>IFERROR(__xludf.DUMMYFUNCTION("""COMPUTED_VALUE"""),0.0)</f>
        <v>0</v>
      </c>
      <c r="BF271" s="22">
        <f>IFERROR(__xludf.DUMMYFUNCTION("""COMPUTED_VALUE"""),950000.0)</f>
        <v>950000</v>
      </c>
    </row>
    <row r="272">
      <c r="A272" s="27">
        <f>IFERROR(__xludf.DUMMYFUNCTION("""COMPUTED_VALUE"""),271.0)</f>
        <v>271</v>
      </c>
      <c r="B272" s="28" t="str">
        <f>IFERROR(__xludf.DUMMYFUNCTION("""COMPUTED_VALUE"""),"NUR IFATURAHMAH")</f>
        <v>NUR IFATURAHMAH</v>
      </c>
      <c r="C272" s="28">
        <f>IFERROR(__xludf.DUMMYFUNCTION("""COMPUTED_VALUE"""),2.024070505E9)</f>
        <v>2024070505</v>
      </c>
      <c r="D272" s="28" t="str">
        <f>IFERROR(__xludf.DUMMYFUNCTION("""COMPUTED_VALUE"""),"A. SYARONI")</f>
        <v>A. SYARONI</v>
      </c>
      <c r="E272" s="28" t="str">
        <f>IFERROR(__xludf.DUMMYFUNCTION("""COMPUTED_VALUE"""),"EKA RAKHMAWATI")</f>
        <v>EKA RAKHMAWATI</v>
      </c>
      <c r="F272" s="28" t="str">
        <f>IFERROR(__xludf.DUMMYFUNCTION("""COMPUTED_VALUE"""),"BESUSUL SUMBERAJI RT 002 RW 003 SUKODADI LAMONGAN")</f>
        <v>BESUSUL SUMBERAJI RT 002 RW 003 SUKODADI LAMONGAN</v>
      </c>
      <c r="G272" s="28" t="str">
        <f>IFERROR(__xludf.DUMMYFUNCTION("""COMPUTED_VALUE"""),"MTS-9 A")</f>
        <v>MTS-9 A</v>
      </c>
      <c r="H272" s="28" t="str">
        <f>IFERROR(__xludf.DUMMYFUNCTION("""COMPUTED_VALUE"""),"D")</f>
        <v>D</v>
      </c>
      <c r="I272" s="28" t="str">
        <f>IFERROR(__xludf.DUMMYFUNCTION("""COMPUTED_VALUE"""),"D-7")</f>
        <v>D-7</v>
      </c>
      <c r="J272" s="28">
        <f>IFERROR(__xludf.DUMMYFUNCTION("""COMPUTED_VALUE"""),3.0)</f>
        <v>3</v>
      </c>
      <c r="K272" s="28" t="str">
        <f>IFERROR(__xludf.DUMMYFUNCTION("""COMPUTED_VALUE"""),"3 ULA B PUTRI")</f>
        <v>3 ULA B PUTRI</v>
      </c>
      <c r="L272" s="29" t="str">
        <f>IFERROR(__xludf.DUMMYFUNCTION("""COMPUTED_VALUE"""),"6285648312663")</f>
        <v>6285648312663</v>
      </c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2">
        <f>IFERROR(__xludf.DUMMYFUNCTION("""COMPUTED_VALUE"""),450000.0)</f>
        <v>450000</v>
      </c>
      <c r="AJ272" s="22">
        <f>IFERROR(__xludf.DUMMYFUNCTION("""COMPUTED_VALUE"""),450000.0)</f>
        <v>450000</v>
      </c>
      <c r="AK272" s="22">
        <f>IFERROR(__xludf.DUMMYFUNCTION("""COMPUTED_VALUE"""),450000.0)</f>
        <v>450000</v>
      </c>
      <c r="AL272" s="22">
        <f>IFERROR(__xludf.DUMMYFUNCTION("""COMPUTED_VALUE"""),450000.0)</f>
        <v>450000</v>
      </c>
      <c r="AM272" s="22">
        <f>IFERROR(__xludf.DUMMYFUNCTION("""COMPUTED_VALUE"""),450000.0)</f>
        <v>450000</v>
      </c>
      <c r="AN272" s="22">
        <f>IFERROR(__xludf.DUMMYFUNCTION("""COMPUTED_VALUE"""),450000.0)</f>
        <v>450000</v>
      </c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2">
        <f>IFERROR(__xludf.DUMMYFUNCTION("""COMPUTED_VALUE"""),2700000.0)</f>
        <v>2700000</v>
      </c>
      <c r="BD272" s="22">
        <f>IFERROR(__xludf.DUMMYFUNCTION("""COMPUTED_VALUE"""),0.0)</f>
        <v>0</v>
      </c>
      <c r="BE272" s="22">
        <f>IFERROR(__xludf.DUMMYFUNCTION("""COMPUTED_VALUE"""),0.0)</f>
        <v>0</v>
      </c>
      <c r="BF272" s="22">
        <f>IFERROR(__xludf.DUMMYFUNCTION("""COMPUTED_VALUE"""),2700000.0)</f>
        <v>2700000</v>
      </c>
    </row>
    <row r="273">
      <c r="A273" s="27">
        <f>IFERROR(__xludf.DUMMYFUNCTION("""COMPUTED_VALUE"""),272.0)</f>
        <v>272</v>
      </c>
      <c r="B273" s="28" t="str">
        <f>IFERROR(__xludf.DUMMYFUNCTION("""COMPUTED_VALUE"""),"RIZQINA AYU CAHYA KAMILA")</f>
        <v>RIZQINA AYU CAHYA KAMILA</v>
      </c>
      <c r="C273" s="28">
        <f>IFERROR(__xludf.DUMMYFUNCTION("""COMPUTED_VALUE"""),2.024070594E9)</f>
        <v>2024070594</v>
      </c>
      <c r="D273" s="28" t="str">
        <f>IFERROR(__xludf.DUMMYFUNCTION("""COMPUTED_VALUE"""),"SUJONO")</f>
        <v>SUJONO</v>
      </c>
      <c r="E273" s="28" t="str">
        <f>IFERROR(__xludf.DUMMYFUNCTION("""COMPUTED_VALUE"""),"MUHAIMINAH")</f>
        <v>MUHAIMINAH</v>
      </c>
      <c r="F273" s="28" t="str">
        <f>IFERROR(__xludf.DUMMYFUNCTION("""COMPUTED_VALUE"""),"GLUMO JELAKCATUR RT 002 RW 005 KALITENGAH LAMONGAN")</f>
        <v>GLUMO JELAKCATUR RT 002 RW 005 KALITENGAH LAMONGAN</v>
      </c>
      <c r="G273" s="28" t="str">
        <f>IFERROR(__xludf.DUMMYFUNCTION("""COMPUTED_VALUE"""),"MTS-9 B")</f>
        <v>MTS-9 B</v>
      </c>
      <c r="H273" s="28" t="str">
        <f>IFERROR(__xludf.DUMMYFUNCTION("""COMPUTED_VALUE"""),"D")</f>
        <v>D</v>
      </c>
      <c r="I273" s="28" t="str">
        <f>IFERROR(__xludf.DUMMYFUNCTION("""COMPUTED_VALUE"""),"D-4")</f>
        <v>D-4</v>
      </c>
      <c r="J273" s="28">
        <f>IFERROR(__xludf.DUMMYFUNCTION("""COMPUTED_VALUE"""),3.0)</f>
        <v>3</v>
      </c>
      <c r="K273" s="28" t="str">
        <f>IFERROR(__xludf.DUMMYFUNCTION("""COMPUTED_VALUE"""),"3 ULA A PUTRI")</f>
        <v>3 ULA A PUTRI</v>
      </c>
      <c r="L273" s="29" t="str">
        <f>IFERROR(__xludf.DUMMYFUNCTION("""COMPUTED_VALUE"""),"6285746855951")</f>
        <v>6285746855951</v>
      </c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2">
        <f>IFERROR(__xludf.DUMMYFUNCTION("""COMPUTED_VALUE"""),0.0)</f>
        <v>0</v>
      </c>
      <c r="BD273" s="22">
        <f>IFERROR(__xludf.DUMMYFUNCTION("""COMPUTED_VALUE"""),0.0)</f>
        <v>0</v>
      </c>
      <c r="BE273" s="22">
        <f>IFERROR(__xludf.DUMMYFUNCTION("""COMPUTED_VALUE"""),0.0)</f>
        <v>0</v>
      </c>
      <c r="BF273" s="22">
        <f>IFERROR(__xludf.DUMMYFUNCTION("""COMPUTED_VALUE"""),0.0)</f>
        <v>0</v>
      </c>
    </row>
    <row r="274">
      <c r="A274" s="27">
        <f>IFERROR(__xludf.DUMMYFUNCTION("""COMPUTED_VALUE"""),273.0)</f>
        <v>273</v>
      </c>
      <c r="B274" s="28" t="str">
        <f>IFERROR(__xludf.DUMMYFUNCTION("""COMPUTED_VALUE"""),"SALSABILLA DWI APRILLIA")</f>
        <v>SALSABILLA DWI APRILLIA</v>
      </c>
      <c r="C274" s="28">
        <f>IFERROR(__xludf.DUMMYFUNCTION("""COMPUTED_VALUE"""),2.024090774E9)</f>
        <v>2024090774</v>
      </c>
      <c r="D274" s="28" t="str">
        <f>IFERROR(__xludf.DUMMYFUNCTION("""COMPUTED_VALUE"""),"BAMBANG BUDIONO")</f>
        <v>BAMBANG BUDIONO</v>
      </c>
      <c r="E274" s="28" t="str">
        <f>IFERROR(__xludf.DUMMYFUNCTION("""COMPUTED_VALUE"""),"ERNA WATI")</f>
        <v>ERNA WATI</v>
      </c>
      <c r="F274" s="28" t="str">
        <f>IFERROR(__xludf.DUMMYFUNCTION("""COMPUTED_VALUE"""),"DORO KARANGWEDORO RT 006 RW 004 TURI LAMONGAN")</f>
        <v>DORO KARANGWEDORO RT 006 RW 004 TURI LAMONGAN</v>
      </c>
      <c r="G274" s="28" t="str">
        <f>IFERROR(__xludf.DUMMYFUNCTION("""COMPUTED_VALUE"""),"MTS-9 H")</f>
        <v>MTS-9 H</v>
      </c>
      <c r="H274" s="28" t="str">
        <f>IFERROR(__xludf.DUMMYFUNCTION("""COMPUTED_VALUE"""),"D")</f>
        <v>D</v>
      </c>
      <c r="I274" s="28" t="str">
        <f>IFERROR(__xludf.DUMMYFUNCTION("""COMPUTED_VALUE"""),"D-4")</f>
        <v>D-4</v>
      </c>
      <c r="J274" s="28">
        <f>IFERROR(__xludf.DUMMYFUNCTION("""COMPUTED_VALUE"""),3.0)</f>
        <v>3</v>
      </c>
      <c r="K274" s="28" t="str">
        <f>IFERROR(__xludf.DUMMYFUNCTION("""COMPUTED_VALUE"""),"")</f>
        <v/>
      </c>
      <c r="L274" s="29" t="str">
        <f>IFERROR(__xludf.DUMMYFUNCTION("""COMPUTED_VALUE"""),"6285648660015")</f>
        <v>6285648660015</v>
      </c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2">
        <f>IFERROR(__xludf.DUMMYFUNCTION("""COMPUTED_VALUE"""),500000.0)</f>
        <v>500000</v>
      </c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2">
        <f>IFERROR(__xludf.DUMMYFUNCTION("""COMPUTED_VALUE"""),500000.0)</f>
        <v>500000</v>
      </c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2">
        <f>IFERROR(__xludf.DUMMYFUNCTION("""COMPUTED_VALUE"""),0.0)</f>
        <v>0</v>
      </c>
      <c r="BD274" s="22">
        <f>IFERROR(__xludf.DUMMYFUNCTION("""COMPUTED_VALUE"""),1000000.0)</f>
        <v>1000000</v>
      </c>
      <c r="BE274" s="22">
        <f>IFERROR(__xludf.DUMMYFUNCTION("""COMPUTED_VALUE"""),0.0)</f>
        <v>0</v>
      </c>
      <c r="BF274" s="22">
        <f>IFERROR(__xludf.DUMMYFUNCTION("""COMPUTED_VALUE"""),1000000.0)</f>
        <v>1000000</v>
      </c>
    </row>
    <row r="275">
      <c r="A275" s="27">
        <f>IFERROR(__xludf.DUMMYFUNCTION("""COMPUTED_VALUE"""),274.0)</f>
        <v>274</v>
      </c>
      <c r="B275" s="28" t="str">
        <f>IFERROR(__xludf.DUMMYFUNCTION("""COMPUTED_VALUE"""),"SYAFAAH LAILATIL FITRI")</f>
        <v>SYAFAAH LAILATIL FITRI</v>
      </c>
      <c r="C275" s="28">
        <f>IFERROR(__xludf.DUMMYFUNCTION("""COMPUTED_VALUE"""),2.024070548E9)</f>
        <v>2024070548</v>
      </c>
      <c r="D275" s="28" t="str">
        <f>IFERROR(__xludf.DUMMYFUNCTION("""COMPUTED_VALUE"""),"SYARONI")</f>
        <v>SYARONI</v>
      </c>
      <c r="E275" s="28" t="str">
        <f>IFERROR(__xludf.DUMMYFUNCTION("""COMPUTED_VALUE"""),"DEWI HARTINI")</f>
        <v>DEWI HARTINI</v>
      </c>
      <c r="F275" s="28" t="str">
        <f>IFERROR(__xludf.DUMMYFUNCTION("""COMPUTED_VALUE"""),"SUMBERWUDI RT 001 RW 002 KARANGGENENG LAMONGAN")</f>
        <v>SUMBERWUDI RT 001 RW 002 KARANGGENENG LAMONGAN</v>
      </c>
      <c r="G275" s="28" t="str">
        <f>IFERROR(__xludf.DUMMYFUNCTION("""COMPUTED_VALUE"""),"MTS-9 A")</f>
        <v>MTS-9 A</v>
      </c>
      <c r="H275" s="28" t="str">
        <f>IFERROR(__xludf.DUMMYFUNCTION("""COMPUTED_VALUE"""),"D")</f>
        <v>D</v>
      </c>
      <c r="I275" s="28" t="str">
        <f>IFERROR(__xludf.DUMMYFUNCTION("""COMPUTED_VALUE"""),"D-7")</f>
        <v>D-7</v>
      </c>
      <c r="J275" s="28">
        <f>IFERROR(__xludf.DUMMYFUNCTION("""COMPUTED_VALUE"""),3.0)</f>
        <v>3</v>
      </c>
      <c r="K275" s="28" t="str">
        <f>IFERROR(__xludf.DUMMYFUNCTION("""COMPUTED_VALUE"""),"")</f>
        <v/>
      </c>
      <c r="L275" s="29" t="str">
        <f>IFERROR(__xludf.DUMMYFUNCTION("""COMPUTED_VALUE"""),"6285648218063")</f>
        <v>6285648218063</v>
      </c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2">
        <f>IFERROR(__xludf.DUMMYFUNCTION("""COMPUTED_VALUE"""),0.0)</f>
        <v>0</v>
      </c>
      <c r="BD275" s="22">
        <f>IFERROR(__xludf.DUMMYFUNCTION("""COMPUTED_VALUE"""),0.0)</f>
        <v>0</v>
      </c>
      <c r="BE275" s="22">
        <f>IFERROR(__xludf.DUMMYFUNCTION("""COMPUTED_VALUE"""),0.0)</f>
        <v>0</v>
      </c>
      <c r="BF275" s="22">
        <f>IFERROR(__xludf.DUMMYFUNCTION("""COMPUTED_VALUE"""),0.0)</f>
        <v>0</v>
      </c>
    </row>
    <row r="276">
      <c r="A276" s="27">
        <f>IFERROR(__xludf.DUMMYFUNCTION("""COMPUTED_VALUE"""),275.0)</f>
        <v>275</v>
      </c>
      <c r="B276" s="28" t="str">
        <f>IFERROR(__xludf.DUMMYFUNCTION("""COMPUTED_VALUE"""),"A`ISY SANIYA AZZAM")</f>
        <v>A`ISY SANIYA AZZAM</v>
      </c>
      <c r="C276" s="28">
        <f>IFERROR(__xludf.DUMMYFUNCTION("""COMPUTED_VALUE"""),2.02407037E9)</f>
        <v>2024070370</v>
      </c>
      <c r="D276" s="28" t="str">
        <f>IFERROR(__xludf.DUMMYFUNCTION("""COMPUTED_VALUE"""),"SAIIN")</f>
        <v>SAIIN</v>
      </c>
      <c r="E276" s="28" t="str">
        <f>IFERROR(__xludf.DUMMYFUNCTION("""COMPUTED_VALUE"""),"ANISWATUL HASANAH")</f>
        <v>ANISWATUL HASANAH</v>
      </c>
      <c r="F276" s="28" t="str">
        <f>IFERROR(__xludf.DUMMYFUNCTION("""COMPUTED_VALUE"""),"BALAN BANJAREJO RT 4 RW 6 SUKODADI LAMONGAN")</f>
        <v>BALAN BANJAREJO RT 4 RW 6 SUKODADI LAMONGAN</v>
      </c>
      <c r="G276" s="28" t="str">
        <f>IFERROR(__xludf.DUMMYFUNCTION("""COMPUTED_VALUE"""),"MA-XII.12")</f>
        <v>MA-XII.12</v>
      </c>
      <c r="H276" s="28" t="str">
        <f>IFERROR(__xludf.DUMMYFUNCTION("""COMPUTED_VALUE"""),"D")</f>
        <v>D</v>
      </c>
      <c r="I276" s="28" t="str">
        <f>IFERROR(__xludf.DUMMYFUNCTION("""COMPUTED_VALUE"""),"D-6")</f>
        <v>D-6</v>
      </c>
      <c r="J276" s="28">
        <f>IFERROR(__xludf.DUMMYFUNCTION("""COMPUTED_VALUE"""),3.0)</f>
        <v>3</v>
      </c>
      <c r="K276" s="28" t="str">
        <f>IFERROR(__xludf.DUMMYFUNCTION("""COMPUTED_VALUE"""),"")</f>
        <v/>
      </c>
      <c r="L276" s="29" t="str">
        <f>IFERROR(__xludf.DUMMYFUNCTION("""COMPUTED_VALUE"""),"6285645020382")</f>
        <v>6285645020382</v>
      </c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2">
        <f>IFERROR(__xludf.DUMMYFUNCTION("""COMPUTED_VALUE"""),450000.0)</f>
        <v>450000</v>
      </c>
      <c r="AM276" s="22">
        <f>IFERROR(__xludf.DUMMYFUNCTION("""COMPUTED_VALUE"""),450000.0)</f>
        <v>450000</v>
      </c>
      <c r="AN276" s="22">
        <f>IFERROR(__xludf.DUMMYFUNCTION("""COMPUTED_VALUE"""),450000.0)</f>
        <v>450000</v>
      </c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2">
        <f>IFERROR(__xludf.DUMMYFUNCTION("""COMPUTED_VALUE"""),1350000.0)</f>
        <v>1350000</v>
      </c>
      <c r="BD276" s="22">
        <f>IFERROR(__xludf.DUMMYFUNCTION("""COMPUTED_VALUE"""),0.0)</f>
        <v>0</v>
      </c>
      <c r="BE276" s="22">
        <f>IFERROR(__xludf.DUMMYFUNCTION("""COMPUTED_VALUE"""),0.0)</f>
        <v>0</v>
      </c>
      <c r="BF276" s="22">
        <f>IFERROR(__xludf.DUMMYFUNCTION("""COMPUTED_VALUE"""),1350000.0)</f>
        <v>1350000</v>
      </c>
    </row>
    <row r="277">
      <c r="A277" s="27">
        <f>IFERROR(__xludf.DUMMYFUNCTION("""COMPUTED_VALUE"""),276.0)</f>
        <v>276</v>
      </c>
      <c r="B277" s="28" t="str">
        <f>IFERROR(__xludf.DUMMYFUNCTION("""COMPUTED_VALUE"""),"ADELIA ZAHRA ROSYIDAH")</f>
        <v>ADELIA ZAHRA ROSYIDAH</v>
      </c>
      <c r="C277" s="28">
        <f>IFERROR(__xludf.DUMMYFUNCTION("""COMPUTED_VALUE"""),2.024070565E9)</f>
        <v>2024070565</v>
      </c>
      <c r="D277" s="28" t="str">
        <f>IFERROR(__xludf.DUMMYFUNCTION("""COMPUTED_VALUE"""),"SUWOTO")</f>
        <v>SUWOTO</v>
      </c>
      <c r="E277" s="28" t="str">
        <f>IFERROR(__xludf.DUMMYFUNCTION("""COMPUTED_VALUE"""),"SUJIATI")</f>
        <v>SUJIATI</v>
      </c>
      <c r="F277" s="28" t="str">
        <f>IFERROR(__xludf.DUMMYFUNCTION("""COMPUTED_VALUE"""),"PINGGIRAN SUMBERAGUNG RT 002 RW 003 SUKODADI LAMONGAN")</f>
        <v>PINGGIRAN SUMBERAGUNG RT 002 RW 003 SUKODADI LAMONGAN</v>
      </c>
      <c r="G277" s="28" t="str">
        <f>IFERROR(__xludf.DUMMYFUNCTION("""COMPUTED_VALUE"""),"MTS-9 H")</f>
        <v>MTS-9 H</v>
      </c>
      <c r="H277" s="28" t="str">
        <f>IFERROR(__xludf.DUMMYFUNCTION("""COMPUTED_VALUE"""),"D")</f>
        <v>D</v>
      </c>
      <c r="I277" s="28" t="str">
        <f>IFERROR(__xludf.DUMMYFUNCTION("""COMPUTED_VALUE"""),"D-4")</f>
        <v>D-4</v>
      </c>
      <c r="J277" s="28">
        <f>IFERROR(__xludf.DUMMYFUNCTION("""COMPUTED_VALUE"""),3.0)</f>
        <v>3</v>
      </c>
      <c r="K277" s="28" t="str">
        <f>IFERROR(__xludf.DUMMYFUNCTION("""COMPUTED_VALUE"""),"3 ULA A PUTRI")</f>
        <v>3 ULA A PUTRI</v>
      </c>
      <c r="L277" s="29" t="str">
        <f>IFERROR(__xludf.DUMMYFUNCTION("""COMPUTED_VALUE"""),"6285733130659")</f>
        <v>6285733130659</v>
      </c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2">
        <f>IFERROR(__xludf.DUMMYFUNCTION("""COMPUTED_VALUE"""),0.0)</f>
        <v>0</v>
      </c>
      <c r="BD277" s="22">
        <f>IFERROR(__xludf.DUMMYFUNCTION("""COMPUTED_VALUE"""),0.0)</f>
        <v>0</v>
      </c>
      <c r="BE277" s="22">
        <f>IFERROR(__xludf.DUMMYFUNCTION("""COMPUTED_VALUE"""),0.0)</f>
        <v>0</v>
      </c>
      <c r="BF277" s="22">
        <f>IFERROR(__xludf.DUMMYFUNCTION("""COMPUTED_VALUE"""),0.0)</f>
        <v>0</v>
      </c>
    </row>
    <row r="278">
      <c r="A278" s="27">
        <f>IFERROR(__xludf.DUMMYFUNCTION("""COMPUTED_VALUE"""),277.0)</f>
        <v>277</v>
      </c>
      <c r="B278" s="28" t="str">
        <f>IFERROR(__xludf.DUMMYFUNCTION("""COMPUTED_VALUE"""),"ADINDA KHOIRUN NISWAH")</f>
        <v>ADINDA KHOIRUN NISWAH</v>
      </c>
      <c r="C278" s="28">
        <f>IFERROR(__xludf.DUMMYFUNCTION("""COMPUTED_VALUE"""),2.024070336E9)</f>
        <v>2024070336</v>
      </c>
      <c r="D278" s="28" t="str">
        <f>IFERROR(__xludf.DUMMYFUNCTION("""COMPUTED_VALUE"""),"RUDI ANAM")</f>
        <v>RUDI ANAM</v>
      </c>
      <c r="E278" s="28" t="str">
        <f>IFERROR(__xludf.DUMMYFUNCTION("""COMPUTED_VALUE"""),"ANI ROKHMATIN")</f>
        <v>ANI ROKHMATIN</v>
      </c>
      <c r="F278" s="28" t="str">
        <f>IFERROR(__xludf.DUMMYFUNCTION("""COMPUTED_VALUE"""),"GRIGIS SUMBERJO RT 3 RW 5 SARIREJO LAMONGAN")</f>
        <v>GRIGIS SUMBERJO RT 3 RW 5 SARIREJO LAMONGAN</v>
      </c>
      <c r="G278" s="28" t="str">
        <f>IFERROR(__xludf.DUMMYFUNCTION("""COMPUTED_VALUE"""),"MA-XII.11")</f>
        <v>MA-XII.11</v>
      </c>
      <c r="H278" s="28" t="str">
        <f>IFERROR(__xludf.DUMMYFUNCTION("""COMPUTED_VALUE"""),"D")</f>
        <v>D</v>
      </c>
      <c r="I278" s="28" t="str">
        <f>IFERROR(__xludf.DUMMYFUNCTION("""COMPUTED_VALUE"""),"D-6")</f>
        <v>D-6</v>
      </c>
      <c r="J278" s="28">
        <f>IFERROR(__xludf.DUMMYFUNCTION("""COMPUTED_VALUE"""),3.0)</f>
        <v>3</v>
      </c>
      <c r="K278" s="28" t="str">
        <f>IFERROR(__xludf.DUMMYFUNCTION("""COMPUTED_VALUE"""),"3 WUSTHO C PUTRI")</f>
        <v>3 WUSTHO C PUTRI</v>
      </c>
      <c r="L278" s="29" t="str">
        <f>IFERROR(__xludf.DUMMYFUNCTION("""COMPUTED_VALUE"""),"6283833507477")</f>
        <v>6283833507477</v>
      </c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2">
        <f>IFERROR(__xludf.DUMMYFUNCTION("""COMPUTED_VALUE"""),0.0)</f>
        <v>0</v>
      </c>
      <c r="BD278" s="22">
        <f>IFERROR(__xludf.DUMMYFUNCTION("""COMPUTED_VALUE"""),0.0)</f>
        <v>0</v>
      </c>
      <c r="BE278" s="22">
        <f>IFERROR(__xludf.DUMMYFUNCTION("""COMPUTED_VALUE"""),0.0)</f>
        <v>0</v>
      </c>
      <c r="BF278" s="22">
        <f>IFERROR(__xludf.DUMMYFUNCTION("""COMPUTED_VALUE"""),0.0)</f>
        <v>0</v>
      </c>
    </row>
    <row r="279">
      <c r="A279" s="27">
        <f>IFERROR(__xludf.DUMMYFUNCTION("""COMPUTED_VALUE"""),278.0)</f>
        <v>278</v>
      </c>
      <c r="B279" s="28" t="str">
        <f>IFERROR(__xludf.DUMMYFUNCTION("""COMPUTED_VALUE"""),"ANGEL CYNTYA DEWI MAULIDAH")</f>
        <v>ANGEL CYNTYA DEWI MAULIDAH</v>
      </c>
      <c r="C279" s="28">
        <f>IFERROR(__xludf.DUMMYFUNCTION("""COMPUTED_VALUE"""),2.024070002E9)</f>
        <v>2024070002</v>
      </c>
      <c r="D279" s="28" t="str">
        <f>IFERROR(__xludf.DUMMYFUNCTION("""COMPUTED_VALUE"""),"NOVAN SISWANTO")</f>
        <v>NOVAN SISWANTO</v>
      </c>
      <c r="E279" s="28" t="str">
        <f>IFERROR(__xludf.DUMMYFUNCTION("""COMPUTED_VALUE"""),"NUR AFIFAH")</f>
        <v>NUR AFIFAH</v>
      </c>
      <c r="F279" s="28" t="str">
        <f>IFERROR(__xludf.DUMMYFUNCTION("""COMPUTED_VALUE"""),"PESAPEN I/27 KREMBANGAN UTARA RT 005 RW 001 PABEAN CANTIAN SURABAYA")</f>
        <v>PESAPEN I/27 KREMBANGAN UTARA RT 005 RW 001 PABEAN CANTIAN SURABAYA</v>
      </c>
      <c r="G279" s="28" t="str">
        <f>IFERROR(__xludf.DUMMYFUNCTION("""COMPUTED_VALUE"""),"MA-XII.1")</f>
        <v>MA-XII.1</v>
      </c>
      <c r="H279" s="28" t="str">
        <f>IFERROR(__xludf.DUMMYFUNCTION("""COMPUTED_VALUE"""),"D")</f>
        <v>D</v>
      </c>
      <c r="I279" s="28" t="str">
        <f>IFERROR(__xludf.DUMMYFUNCTION("""COMPUTED_VALUE"""),"D-7")</f>
        <v>D-7</v>
      </c>
      <c r="J279" s="28">
        <f>IFERROR(__xludf.DUMMYFUNCTION("""COMPUTED_VALUE"""),3.0)</f>
        <v>3</v>
      </c>
      <c r="K279" s="28" t="str">
        <f>IFERROR(__xludf.DUMMYFUNCTION("""COMPUTED_VALUE"""),"")</f>
        <v/>
      </c>
      <c r="L279" s="29" t="str">
        <f>IFERROR(__xludf.DUMMYFUNCTION("""COMPUTED_VALUE"""),"6282140638884")</f>
        <v>6282140638884</v>
      </c>
      <c r="M279" s="22">
        <f>IFERROR(__xludf.DUMMYFUNCTION("""COMPUTED_VALUE"""),600000.0)</f>
        <v>600000</v>
      </c>
      <c r="N279" s="28"/>
      <c r="O279" s="28"/>
      <c r="P279" s="28"/>
      <c r="Q279" s="22">
        <f>IFERROR(__xludf.DUMMYFUNCTION("""COMPUTED_VALUE"""),450000.0)</f>
        <v>450000</v>
      </c>
      <c r="R279" s="22">
        <f>IFERROR(__xludf.DUMMYFUNCTION("""COMPUTED_VALUE"""),450000.0)</f>
        <v>450000</v>
      </c>
      <c r="S279" s="22">
        <f>IFERROR(__xludf.DUMMYFUNCTION("""COMPUTED_VALUE"""),450000.0)</f>
        <v>450000</v>
      </c>
      <c r="T279" s="22">
        <f>IFERROR(__xludf.DUMMYFUNCTION("""COMPUTED_VALUE"""),450000.0)</f>
        <v>450000</v>
      </c>
      <c r="U279" s="22">
        <f>IFERROR(__xludf.DUMMYFUNCTION("""COMPUTED_VALUE"""),450000.0)</f>
        <v>450000</v>
      </c>
      <c r="V279" s="22">
        <f>IFERROR(__xludf.DUMMYFUNCTION("""COMPUTED_VALUE"""),450000.0)</f>
        <v>450000</v>
      </c>
      <c r="W279" s="22">
        <f>IFERROR(__xludf.DUMMYFUNCTION("""COMPUTED_VALUE"""),450000.0)</f>
        <v>450000</v>
      </c>
      <c r="X279" s="22">
        <f>IFERROR(__xludf.DUMMYFUNCTION("""COMPUTED_VALUE"""),450000.0)</f>
        <v>450000</v>
      </c>
      <c r="Y279" s="22">
        <f>IFERROR(__xludf.DUMMYFUNCTION("""COMPUTED_VALUE"""),450000.0)</f>
        <v>450000</v>
      </c>
      <c r="Z279" s="22">
        <f>IFERROR(__xludf.DUMMYFUNCTION("""COMPUTED_VALUE"""),450000.0)</f>
        <v>450000</v>
      </c>
      <c r="AA279" s="28"/>
      <c r="AB279" s="22">
        <f>IFERROR(__xludf.DUMMYFUNCTION("""COMPUTED_VALUE"""),500000.0)</f>
        <v>500000</v>
      </c>
      <c r="AC279" s="22">
        <f>IFERROR(__xludf.DUMMYFUNCTION("""COMPUTED_VALUE"""),450000.0)</f>
        <v>450000</v>
      </c>
      <c r="AD279" s="22">
        <f>IFERROR(__xludf.DUMMYFUNCTION("""COMPUTED_VALUE"""),450000.0)</f>
        <v>450000</v>
      </c>
      <c r="AE279" s="22">
        <f>IFERROR(__xludf.DUMMYFUNCTION("""COMPUTED_VALUE"""),450000.0)</f>
        <v>450000</v>
      </c>
      <c r="AF279" s="22">
        <f>IFERROR(__xludf.DUMMYFUNCTION("""COMPUTED_VALUE"""),450000.0)</f>
        <v>450000</v>
      </c>
      <c r="AG279" s="22">
        <f>IFERROR(__xludf.DUMMYFUNCTION("""COMPUTED_VALUE"""),450000.0)</f>
        <v>450000</v>
      </c>
      <c r="AH279" s="22">
        <f>IFERROR(__xludf.DUMMYFUNCTION("""COMPUTED_VALUE"""),450000.0)</f>
        <v>450000</v>
      </c>
      <c r="AI279" s="22">
        <f>IFERROR(__xludf.DUMMYFUNCTION("""COMPUTED_VALUE"""),450000.0)</f>
        <v>450000</v>
      </c>
      <c r="AJ279" s="22">
        <f>IFERROR(__xludf.DUMMYFUNCTION("""COMPUTED_VALUE"""),450000.0)</f>
        <v>450000</v>
      </c>
      <c r="AK279" s="22">
        <f>IFERROR(__xludf.DUMMYFUNCTION("""COMPUTED_VALUE"""),450000.0)</f>
        <v>450000</v>
      </c>
      <c r="AL279" s="22">
        <f>IFERROR(__xludf.DUMMYFUNCTION("""COMPUTED_VALUE"""),450000.0)</f>
        <v>450000</v>
      </c>
      <c r="AM279" s="22">
        <f>IFERROR(__xludf.DUMMYFUNCTION("""COMPUTED_VALUE"""),450000.0)</f>
        <v>450000</v>
      </c>
      <c r="AN279" s="22">
        <f>IFERROR(__xludf.DUMMYFUNCTION("""COMPUTED_VALUE"""),450000.0)</f>
        <v>450000</v>
      </c>
      <c r="AO279" s="28"/>
      <c r="AP279" s="22">
        <f>IFERROR(__xludf.DUMMYFUNCTION("""COMPUTED_VALUE"""),500000.0)</f>
        <v>500000</v>
      </c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2">
        <f>IFERROR(__xludf.DUMMYFUNCTION("""COMPUTED_VALUE"""),9900000.0)</f>
        <v>9900000</v>
      </c>
      <c r="BD279" s="22">
        <f>IFERROR(__xludf.DUMMYFUNCTION("""COMPUTED_VALUE"""),1600000.0)</f>
        <v>1600000</v>
      </c>
      <c r="BE279" s="22">
        <f>IFERROR(__xludf.DUMMYFUNCTION("""COMPUTED_VALUE"""),0.0)</f>
        <v>0</v>
      </c>
      <c r="BF279" s="22">
        <f>IFERROR(__xludf.DUMMYFUNCTION("""COMPUTED_VALUE"""),1.15E7)</f>
        <v>11500000</v>
      </c>
    </row>
    <row r="280">
      <c r="A280" s="27">
        <f>IFERROR(__xludf.DUMMYFUNCTION("""COMPUTED_VALUE"""),279.0)</f>
        <v>279</v>
      </c>
      <c r="B280" s="28" t="str">
        <f>IFERROR(__xludf.DUMMYFUNCTION("""COMPUTED_VALUE"""),"CANTIKA ASSYARIFIYAH")</f>
        <v>CANTIKA ASSYARIFIYAH</v>
      </c>
      <c r="C280" s="28">
        <f>IFERROR(__xludf.DUMMYFUNCTION("""COMPUTED_VALUE"""),2.024070069E9)</f>
        <v>2024070069</v>
      </c>
      <c r="D280" s="28" t="str">
        <f>IFERROR(__xludf.DUMMYFUNCTION("""COMPUTED_VALUE"""),"SUKO WIYONO")</f>
        <v>SUKO WIYONO</v>
      </c>
      <c r="E280" s="28" t="str">
        <f>IFERROR(__xludf.DUMMYFUNCTION("""COMPUTED_VALUE"""),"SITI MARWIYA")</f>
        <v>SITI MARWIYA</v>
      </c>
      <c r="F280" s="28" t="str">
        <f>IFERROR(__xludf.DUMMYFUNCTION("""COMPUTED_VALUE"""),"NGAMBEG RT 1 RW 1 PUCUK LAMONGAN")</f>
        <v>NGAMBEG RT 1 RW 1 PUCUK LAMONGAN</v>
      </c>
      <c r="G280" s="28" t="str">
        <f>IFERROR(__xludf.DUMMYFUNCTION("""COMPUTED_VALUE"""),"MA-XII.3")</f>
        <v>MA-XII.3</v>
      </c>
      <c r="H280" s="28" t="str">
        <f>IFERROR(__xludf.DUMMYFUNCTION("""COMPUTED_VALUE"""),"D")</f>
        <v>D</v>
      </c>
      <c r="I280" s="28" t="str">
        <f>IFERROR(__xludf.DUMMYFUNCTION("""COMPUTED_VALUE"""),"D-6")</f>
        <v>D-6</v>
      </c>
      <c r="J280" s="28">
        <f>IFERROR(__xludf.DUMMYFUNCTION("""COMPUTED_VALUE"""),3.0)</f>
        <v>3</v>
      </c>
      <c r="K280" s="28" t="str">
        <f>IFERROR(__xludf.DUMMYFUNCTION("""COMPUTED_VALUE"""),"3 WUSTHO C PUTRI")</f>
        <v>3 WUSTHO C PUTRI</v>
      </c>
      <c r="L280" s="29" t="str">
        <f>IFERROR(__xludf.DUMMYFUNCTION("""COMPUTED_VALUE"""),"6285706485182")</f>
        <v>6285706485182</v>
      </c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2">
        <f>IFERROR(__xludf.DUMMYFUNCTION("""COMPUTED_VALUE"""),0.0)</f>
        <v>0</v>
      </c>
      <c r="BD280" s="22">
        <f>IFERROR(__xludf.DUMMYFUNCTION("""COMPUTED_VALUE"""),0.0)</f>
        <v>0</v>
      </c>
      <c r="BE280" s="22">
        <f>IFERROR(__xludf.DUMMYFUNCTION("""COMPUTED_VALUE"""),0.0)</f>
        <v>0</v>
      </c>
      <c r="BF280" s="22">
        <f>IFERROR(__xludf.DUMMYFUNCTION("""COMPUTED_VALUE"""),0.0)</f>
        <v>0</v>
      </c>
    </row>
    <row r="281">
      <c r="A281" s="27">
        <f>IFERROR(__xludf.DUMMYFUNCTION("""COMPUTED_VALUE"""),280.0)</f>
        <v>280</v>
      </c>
      <c r="B281" s="28" t="str">
        <f>IFERROR(__xludf.DUMMYFUNCTION("""COMPUTED_VALUE"""),"DEWI ZAIDATUL RAHMA")</f>
        <v>DEWI ZAIDATUL RAHMA</v>
      </c>
      <c r="C281" s="28">
        <f>IFERROR(__xludf.DUMMYFUNCTION("""COMPUTED_VALUE"""),2.024070417E9)</f>
        <v>2024070417</v>
      </c>
      <c r="D281" s="28" t="str">
        <f>IFERROR(__xludf.DUMMYFUNCTION("""COMPUTED_VALUE"""),"ABU SUHARTONO")</f>
        <v>ABU SUHARTONO</v>
      </c>
      <c r="E281" s="28" t="str">
        <f>IFERROR(__xludf.DUMMYFUNCTION("""COMPUTED_VALUE"""),"SITI NUR KHOLIFAH")</f>
        <v>SITI NUR KHOLIFAH</v>
      </c>
      <c r="F281" s="28" t="str">
        <f>IFERROR(__xludf.DUMMYFUNCTION("""COMPUTED_VALUE"""),"BANJARSARI RT 001 RW 006 BANJARMADU KARANGGENENG LAMONGAN")</f>
        <v>BANJARSARI RT 001 RW 006 BANJARMADU KARANGGENENG LAMONGAN</v>
      </c>
      <c r="G281" s="28" t="str">
        <f>IFERROR(__xludf.DUMMYFUNCTION("""COMPUTED_VALUE"""),"MA-XII.13")</f>
        <v>MA-XII.13</v>
      </c>
      <c r="H281" s="28" t="str">
        <f>IFERROR(__xludf.DUMMYFUNCTION("""COMPUTED_VALUE"""),"D")</f>
        <v>D</v>
      </c>
      <c r="I281" s="28" t="str">
        <f>IFERROR(__xludf.DUMMYFUNCTION("""COMPUTED_VALUE"""),"D-6")</f>
        <v>D-6</v>
      </c>
      <c r="J281" s="28">
        <f>IFERROR(__xludf.DUMMYFUNCTION("""COMPUTED_VALUE"""),3.0)</f>
        <v>3</v>
      </c>
      <c r="K281" s="28" t="str">
        <f>IFERROR(__xludf.DUMMYFUNCTION("""COMPUTED_VALUE"""),"3 MAK PUTRI")</f>
        <v>3 MAK PUTRI</v>
      </c>
      <c r="L281" s="29" t="str">
        <f>IFERROR(__xludf.DUMMYFUNCTION("""COMPUTED_VALUE"""),"6283856332218")</f>
        <v>6283856332218</v>
      </c>
      <c r="M281" s="28"/>
      <c r="N281" s="28"/>
      <c r="O281" s="28"/>
      <c r="P281" s="28"/>
      <c r="Q281" s="28"/>
      <c r="R281" s="28"/>
      <c r="S281" s="28"/>
      <c r="T281" s="28"/>
      <c r="U281" s="22">
        <f>IFERROR(__xludf.DUMMYFUNCTION("""COMPUTED_VALUE"""),450000.0)</f>
        <v>450000</v>
      </c>
      <c r="V281" s="22">
        <f>IFERROR(__xludf.DUMMYFUNCTION("""COMPUTED_VALUE"""),450000.0)</f>
        <v>450000</v>
      </c>
      <c r="W281" s="22">
        <f>IFERROR(__xludf.DUMMYFUNCTION("""COMPUTED_VALUE"""),450000.0)</f>
        <v>450000</v>
      </c>
      <c r="X281" s="22">
        <f>IFERROR(__xludf.DUMMYFUNCTION("""COMPUTED_VALUE"""),450000.0)</f>
        <v>450000</v>
      </c>
      <c r="Y281" s="22">
        <f>IFERROR(__xludf.DUMMYFUNCTION("""COMPUTED_VALUE"""),450000.0)</f>
        <v>450000</v>
      </c>
      <c r="Z281" s="22">
        <f>IFERROR(__xludf.DUMMYFUNCTION("""COMPUTED_VALUE"""),450000.0)</f>
        <v>450000</v>
      </c>
      <c r="AA281" s="22">
        <f>IFERROR(__xludf.DUMMYFUNCTION("""COMPUTED_VALUE"""),350000.0)</f>
        <v>350000</v>
      </c>
      <c r="AB281" s="28"/>
      <c r="AC281" s="22">
        <f>IFERROR(__xludf.DUMMYFUNCTION("""COMPUTED_VALUE"""),450000.0)</f>
        <v>450000</v>
      </c>
      <c r="AD281" s="22">
        <f>IFERROR(__xludf.DUMMYFUNCTION("""COMPUTED_VALUE"""),450000.0)</f>
        <v>450000</v>
      </c>
      <c r="AE281" s="22">
        <f>IFERROR(__xludf.DUMMYFUNCTION("""COMPUTED_VALUE"""),450000.0)</f>
        <v>450000</v>
      </c>
      <c r="AF281" s="22">
        <f>IFERROR(__xludf.DUMMYFUNCTION("""COMPUTED_VALUE"""),450000.0)</f>
        <v>450000</v>
      </c>
      <c r="AG281" s="22">
        <f>IFERROR(__xludf.DUMMYFUNCTION("""COMPUTED_VALUE"""),450000.0)</f>
        <v>450000</v>
      </c>
      <c r="AH281" s="22">
        <f>IFERROR(__xludf.DUMMYFUNCTION("""COMPUTED_VALUE"""),450000.0)</f>
        <v>450000</v>
      </c>
      <c r="AI281" s="22">
        <f>IFERROR(__xludf.DUMMYFUNCTION("""COMPUTED_VALUE"""),450000.0)</f>
        <v>450000</v>
      </c>
      <c r="AJ281" s="22">
        <f>IFERROR(__xludf.DUMMYFUNCTION("""COMPUTED_VALUE"""),450000.0)</f>
        <v>450000</v>
      </c>
      <c r="AK281" s="22">
        <f>IFERROR(__xludf.DUMMYFUNCTION("""COMPUTED_VALUE"""),450000.0)</f>
        <v>450000</v>
      </c>
      <c r="AL281" s="22">
        <f>IFERROR(__xludf.DUMMYFUNCTION("""COMPUTED_VALUE"""),450000.0)</f>
        <v>450000</v>
      </c>
      <c r="AM281" s="22">
        <f>IFERROR(__xludf.DUMMYFUNCTION("""COMPUTED_VALUE"""),450000.0)</f>
        <v>450000</v>
      </c>
      <c r="AN281" s="22">
        <f>IFERROR(__xludf.DUMMYFUNCTION("""COMPUTED_VALUE"""),450000.0)</f>
        <v>450000</v>
      </c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2">
        <f>IFERROR(__xludf.DUMMYFUNCTION("""COMPUTED_VALUE"""),8100000.0)</f>
        <v>8100000</v>
      </c>
      <c r="BD281" s="22">
        <f>IFERROR(__xludf.DUMMYFUNCTION("""COMPUTED_VALUE"""),0.0)</f>
        <v>0</v>
      </c>
      <c r="BE281" s="22">
        <f>IFERROR(__xludf.DUMMYFUNCTION("""COMPUTED_VALUE"""),350000.0)</f>
        <v>350000</v>
      </c>
      <c r="BF281" s="22">
        <f>IFERROR(__xludf.DUMMYFUNCTION("""COMPUTED_VALUE"""),8450000.0)</f>
        <v>8450000</v>
      </c>
    </row>
    <row r="282">
      <c r="A282" s="27">
        <f>IFERROR(__xludf.DUMMYFUNCTION("""COMPUTED_VALUE"""),281.0)</f>
        <v>281</v>
      </c>
      <c r="B282" s="28" t="str">
        <f>IFERROR(__xludf.DUMMYFUNCTION("""COMPUTED_VALUE"""),"DILLA ADHATUL FITRI")</f>
        <v>DILLA ADHATUL FITRI</v>
      </c>
      <c r="C282" s="28">
        <f>IFERROR(__xludf.DUMMYFUNCTION("""COMPUTED_VALUE"""),2.024070004E9)</f>
        <v>2024070004</v>
      </c>
      <c r="D282" s="28" t="str">
        <f>IFERROR(__xludf.DUMMYFUNCTION("""COMPUTED_VALUE"""),"NASIKHIH")</f>
        <v>NASIKHIH</v>
      </c>
      <c r="E282" s="28" t="str">
        <f>IFERROR(__xludf.DUMMYFUNCTION("""COMPUTED_VALUE"""),"MUKHOLISUN")</f>
        <v>MUKHOLISUN</v>
      </c>
      <c r="F282" s="28" t="str">
        <f>IFERROR(__xludf.DUMMYFUNCTION("""COMPUTED_VALUE"""),"PILANG TEJOASRI RT 1 RW 2 LAREN LAMONGAN")</f>
        <v>PILANG TEJOASRI RT 1 RW 2 LAREN LAMONGAN</v>
      </c>
      <c r="G282" s="28" t="str">
        <f>IFERROR(__xludf.DUMMYFUNCTION("""COMPUTED_VALUE"""),"MA-XII.1")</f>
        <v>MA-XII.1</v>
      </c>
      <c r="H282" s="28" t="str">
        <f>IFERROR(__xludf.DUMMYFUNCTION("""COMPUTED_VALUE"""),"D")</f>
        <v>D</v>
      </c>
      <c r="I282" s="28" t="str">
        <f>IFERROR(__xludf.DUMMYFUNCTION("""COMPUTED_VALUE"""),"D-7")</f>
        <v>D-7</v>
      </c>
      <c r="J282" s="28">
        <f>IFERROR(__xludf.DUMMYFUNCTION("""COMPUTED_VALUE"""),3.0)</f>
        <v>3</v>
      </c>
      <c r="K282" s="28" t="str">
        <f>IFERROR(__xludf.DUMMYFUNCTION("""COMPUTED_VALUE"""),"")</f>
        <v/>
      </c>
      <c r="L282" s="29" t="str">
        <f>IFERROR(__xludf.DUMMYFUNCTION("""COMPUTED_VALUE"""),"6282198021057")</f>
        <v>6282198021057</v>
      </c>
      <c r="M282" s="22">
        <f>IFERROR(__xludf.DUMMYFUNCTION("""COMPUTED_VALUE"""),600000.0)</f>
        <v>600000</v>
      </c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2">
        <f>IFERROR(__xludf.DUMMYFUNCTION("""COMPUTED_VALUE"""),500000.0)</f>
        <v>500000</v>
      </c>
      <c r="AC282" s="28"/>
      <c r="AD282" s="28"/>
      <c r="AE282" s="28"/>
      <c r="AF282" s="28"/>
      <c r="AG282" s="28"/>
      <c r="AH282" s="28"/>
      <c r="AI282" s="28"/>
      <c r="AJ282" s="22" t="str">
        <f>IFERROR(__xludf.DUMMYFUNCTION("""COMPUTED_VALUE""")," ")</f>
        <v> </v>
      </c>
      <c r="AK282" s="28"/>
      <c r="AL282" s="28"/>
      <c r="AM282" s="28"/>
      <c r="AN282" s="28"/>
      <c r="AO282" s="28"/>
      <c r="AP282" s="22">
        <f>IFERROR(__xludf.DUMMYFUNCTION("""COMPUTED_VALUE"""),500000.0)</f>
        <v>500000</v>
      </c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2">
        <f>IFERROR(__xludf.DUMMYFUNCTION("""COMPUTED_VALUE"""),0.0)</f>
        <v>0</v>
      </c>
      <c r="BD282" s="22">
        <f>IFERROR(__xludf.DUMMYFUNCTION("""COMPUTED_VALUE"""),1600000.0)</f>
        <v>1600000</v>
      </c>
      <c r="BE282" s="22">
        <f>IFERROR(__xludf.DUMMYFUNCTION("""COMPUTED_VALUE"""),0.0)</f>
        <v>0</v>
      </c>
      <c r="BF282" s="22">
        <f>IFERROR(__xludf.DUMMYFUNCTION("""COMPUTED_VALUE"""),1600000.0)</f>
        <v>1600000</v>
      </c>
    </row>
    <row r="283">
      <c r="A283" s="27">
        <f>IFERROR(__xludf.DUMMYFUNCTION("""COMPUTED_VALUE"""),282.0)</f>
        <v>282</v>
      </c>
      <c r="B283" s="28" t="str">
        <f>IFERROR(__xludf.DUMMYFUNCTION("""COMPUTED_VALUE"""),"DINDA FAIZIRAH ZAHROTUS SITA")</f>
        <v>DINDA FAIZIRAH ZAHROTUS SITA</v>
      </c>
      <c r="C283" s="28">
        <f>IFERROR(__xludf.DUMMYFUNCTION("""COMPUTED_VALUE"""),2.024070005E9)</f>
        <v>2024070005</v>
      </c>
      <c r="D283" s="28" t="str">
        <f>IFERROR(__xludf.DUMMYFUNCTION("""COMPUTED_VALUE"""),"IMAM UDDIN")</f>
        <v>IMAM UDDIN</v>
      </c>
      <c r="E283" s="28" t="str">
        <f>IFERROR(__xludf.DUMMYFUNCTION("""COMPUTED_VALUE"""),"WIWIN WINARTIN")</f>
        <v>WIWIN WINARTIN</v>
      </c>
      <c r="F283" s="28" t="str">
        <f>IFERROR(__xludf.DUMMYFUNCTION("""COMPUTED_VALUE"""),"SUNGELEBAK RT 5 RW 2 KARANGGENENG LAMONGAN")</f>
        <v>SUNGELEBAK RT 5 RW 2 KARANGGENENG LAMONGAN</v>
      </c>
      <c r="G283" s="28" t="str">
        <f>IFERROR(__xludf.DUMMYFUNCTION("""COMPUTED_VALUE"""),"MA-XII.1")</f>
        <v>MA-XII.1</v>
      </c>
      <c r="H283" s="28" t="str">
        <f>IFERROR(__xludf.DUMMYFUNCTION("""COMPUTED_VALUE"""),"D")</f>
        <v>D</v>
      </c>
      <c r="I283" s="28" t="str">
        <f>IFERROR(__xludf.DUMMYFUNCTION("""COMPUTED_VALUE"""),"D-7")</f>
        <v>D-7</v>
      </c>
      <c r="J283" s="28">
        <f>IFERROR(__xludf.DUMMYFUNCTION("""COMPUTED_VALUE"""),3.0)</f>
        <v>3</v>
      </c>
      <c r="K283" s="28" t="str">
        <f>IFERROR(__xludf.DUMMYFUNCTION("""COMPUTED_VALUE"""),"")</f>
        <v/>
      </c>
      <c r="L283" s="29" t="str">
        <f>IFERROR(__xludf.DUMMYFUNCTION("""COMPUTED_VALUE"""),"628563468694")</f>
        <v>628563468694</v>
      </c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2" t="str">
        <f>IFERROR(__xludf.DUMMYFUNCTION("""COMPUTED_VALUE""")," ")</f>
        <v> </v>
      </c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2">
        <f>IFERROR(__xludf.DUMMYFUNCTION("""COMPUTED_VALUE"""),0.0)</f>
        <v>0</v>
      </c>
      <c r="BD283" s="22">
        <f>IFERROR(__xludf.DUMMYFUNCTION("""COMPUTED_VALUE"""),0.0)</f>
        <v>0</v>
      </c>
      <c r="BE283" s="22">
        <f>IFERROR(__xludf.DUMMYFUNCTION("""COMPUTED_VALUE"""),0.0)</f>
        <v>0</v>
      </c>
      <c r="BF283" s="22">
        <f>IFERROR(__xludf.DUMMYFUNCTION("""COMPUTED_VALUE"""),0.0)</f>
        <v>0</v>
      </c>
    </row>
    <row r="284">
      <c r="A284" s="27">
        <f>IFERROR(__xludf.DUMMYFUNCTION("""COMPUTED_VALUE"""),283.0)</f>
        <v>283</v>
      </c>
      <c r="B284" s="28" t="str">
        <f>IFERROR(__xludf.DUMMYFUNCTION("""COMPUTED_VALUE"""),"DZAKIRAH THALITA ZAHRA")</f>
        <v>DZAKIRAH THALITA ZAHRA</v>
      </c>
      <c r="C284" s="28">
        <f>IFERROR(__xludf.DUMMYFUNCTION("""COMPUTED_VALUE"""),2.024070374E9)</f>
        <v>2024070374</v>
      </c>
      <c r="D284" s="28" t="str">
        <f>IFERROR(__xludf.DUMMYFUNCTION("""COMPUTED_VALUE"""),"AHMAD ROHIM")</f>
        <v>AHMAD ROHIM</v>
      </c>
      <c r="E284" s="28" t="str">
        <f>IFERROR(__xludf.DUMMYFUNCTION("""COMPUTED_VALUE"""),"ZAHROTUN NISA'")</f>
        <v>ZAHROTUN NISA'</v>
      </c>
      <c r="F284" s="28" t="str">
        <f>IFERROR(__xludf.DUMMYFUNCTION("""COMPUTED_VALUE"""),"KARANGTAWAR RT 1 RW 1 LAREN LAMONGAN")</f>
        <v>KARANGTAWAR RT 1 RW 1 LAREN LAMONGAN</v>
      </c>
      <c r="G284" s="28" t="str">
        <f>IFERROR(__xludf.DUMMYFUNCTION("""COMPUTED_VALUE"""),"MA-XII.10")</f>
        <v>MA-XII.10</v>
      </c>
      <c r="H284" s="28" t="str">
        <f>IFERROR(__xludf.DUMMYFUNCTION("""COMPUTED_VALUE"""),"D")</f>
        <v>D</v>
      </c>
      <c r="I284" s="28" t="str">
        <f>IFERROR(__xludf.DUMMYFUNCTION("""COMPUTED_VALUE"""),"D-7")</f>
        <v>D-7</v>
      </c>
      <c r="J284" s="28">
        <f>IFERROR(__xludf.DUMMYFUNCTION("""COMPUTED_VALUE"""),3.0)</f>
        <v>3</v>
      </c>
      <c r="K284" s="28" t="str">
        <f>IFERROR(__xludf.DUMMYFUNCTION("""COMPUTED_VALUE"""),"")</f>
        <v/>
      </c>
      <c r="L284" s="29" t="str">
        <f>IFERROR(__xludf.DUMMYFUNCTION("""COMPUTED_VALUE"""),"6285856033004")</f>
        <v>6285856033004</v>
      </c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2">
        <f>IFERROR(__xludf.DUMMYFUNCTION("""COMPUTED_VALUE"""),450000.0)</f>
        <v>450000</v>
      </c>
      <c r="Z284" s="22">
        <f>IFERROR(__xludf.DUMMYFUNCTION("""COMPUTED_VALUE"""),450000.0)</f>
        <v>450000</v>
      </c>
      <c r="AA284" s="22">
        <f>IFERROR(__xludf.DUMMYFUNCTION("""COMPUTED_VALUE"""),350000.0)</f>
        <v>350000</v>
      </c>
      <c r="AB284" s="22">
        <f>IFERROR(__xludf.DUMMYFUNCTION("""COMPUTED_VALUE"""),500000.0)</f>
        <v>500000</v>
      </c>
      <c r="AC284" s="22">
        <f>IFERROR(__xludf.DUMMYFUNCTION("""COMPUTED_VALUE"""),450000.0)</f>
        <v>450000</v>
      </c>
      <c r="AD284" s="22">
        <f>IFERROR(__xludf.DUMMYFUNCTION("""COMPUTED_VALUE"""),450000.0)</f>
        <v>450000</v>
      </c>
      <c r="AE284" s="22">
        <f>IFERROR(__xludf.DUMMYFUNCTION("""COMPUTED_VALUE"""),450000.0)</f>
        <v>450000</v>
      </c>
      <c r="AF284" s="22">
        <f>IFERROR(__xludf.DUMMYFUNCTION("""COMPUTED_VALUE"""),450000.0)</f>
        <v>450000</v>
      </c>
      <c r="AG284" s="22">
        <f>IFERROR(__xludf.DUMMYFUNCTION("""COMPUTED_VALUE"""),450000.0)</f>
        <v>450000</v>
      </c>
      <c r="AH284" s="22">
        <f>IFERROR(__xludf.DUMMYFUNCTION("""COMPUTED_VALUE"""),450000.0)</f>
        <v>450000</v>
      </c>
      <c r="AI284" s="22">
        <f>IFERROR(__xludf.DUMMYFUNCTION("""COMPUTED_VALUE"""),450000.0)</f>
        <v>450000</v>
      </c>
      <c r="AJ284" s="22">
        <f>IFERROR(__xludf.DUMMYFUNCTION("""COMPUTED_VALUE"""),450000.0)</f>
        <v>450000</v>
      </c>
      <c r="AK284" s="22">
        <f>IFERROR(__xludf.DUMMYFUNCTION("""COMPUTED_VALUE"""),450000.0)</f>
        <v>450000</v>
      </c>
      <c r="AL284" s="22">
        <f>IFERROR(__xludf.DUMMYFUNCTION("""COMPUTED_VALUE"""),450000.0)</f>
        <v>450000</v>
      </c>
      <c r="AM284" s="22">
        <f>IFERROR(__xludf.DUMMYFUNCTION("""COMPUTED_VALUE"""),450000.0)</f>
        <v>450000</v>
      </c>
      <c r="AN284" s="22">
        <f>IFERROR(__xludf.DUMMYFUNCTION("""COMPUTED_VALUE"""),450000.0)</f>
        <v>450000</v>
      </c>
      <c r="AO284" s="28"/>
      <c r="AP284" s="22">
        <f>IFERROR(__xludf.DUMMYFUNCTION("""COMPUTED_VALUE"""),500000.0)</f>
        <v>500000</v>
      </c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2">
        <f>IFERROR(__xludf.DUMMYFUNCTION("""COMPUTED_VALUE"""),6300000.0)</f>
        <v>6300000</v>
      </c>
      <c r="BD284" s="22">
        <f>IFERROR(__xludf.DUMMYFUNCTION("""COMPUTED_VALUE"""),1000000.0)</f>
        <v>1000000</v>
      </c>
      <c r="BE284" s="22">
        <f>IFERROR(__xludf.DUMMYFUNCTION("""COMPUTED_VALUE"""),350000.0)</f>
        <v>350000</v>
      </c>
      <c r="BF284" s="22">
        <f>IFERROR(__xludf.DUMMYFUNCTION("""COMPUTED_VALUE"""),7650000.0)</f>
        <v>7650000</v>
      </c>
    </row>
    <row r="285">
      <c r="A285" s="27">
        <f>IFERROR(__xludf.DUMMYFUNCTION("""COMPUTED_VALUE"""),284.0)</f>
        <v>284</v>
      </c>
      <c r="B285" s="28" t="str">
        <f>IFERROR(__xludf.DUMMYFUNCTION("""COMPUTED_VALUE"""),"FIKA ANJANI CAMELIA AL AJEMAIN")</f>
        <v>FIKA ANJANI CAMELIA AL AJEMAIN</v>
      </c>
      <c r="C285" s="28">
        <f>IFERROR(__xludf.DUMMYFUNCTION("""COMPUTED_VALUE"""),2.024070007E9)</f>
        <v>2024070007</v>
      </c>
      <c r="D285" s="28" t="str">
        <f>IFERROR(__xludf.DUMMYFUNCTION("""COMPUTED_VALUE"""),"AJEMAIN")</f>
        <v>AJEMAIN</v>
      </c>
      <c r="E285" s="28" t="str">
        <f>IFERROR(__xludf.DUMMYFUNCTION("""COMPUTED_VALUE"""),"WIWIK MUHIDAYATI")</f>
        <v>WIWIK MUHIDAYATI</v>
      </c>
      <c r="F285" s="28" t="str">
        <f>IFERROR(__xludf.DUMMYFUNCTION("""COMPUTED_VALUE"""),"PELANGWOT RT 1 RW 6 LAREN LAMONGAN")</f>
        <v>PELANGWOT RT 1 RW 6 LAREN LAMONGAN</v>
      </c>
      <c r="G285" s="28" t="str">
        <f>IFERROR(__xludf.DUMMYFUNCTION("""COMPUTED_VALUE"""),"MA-XII.1")</f>
        <v>MA-XII.1</v>
      </c>
      <c r="H285" s="28" t="str">
        <f>IFERROR(__xludf.DUMMYFUNCTION("""COMPUTED_VALUE"""),"D")</f>
        <v>D</v>
      </c>
      <c r="I285" s="28" t="str">
        <f>IFERROR(__xludf.DUMMYFUNCTION("""COMPUTED_VALUE"""),"D-7")</f>
        <v>D-7</v>
      </c>
      <c r="J285" s="28">
        <f>IFERROR(__xludf.DUMMYFUNCTION("""COMPUTED_VALUE"""),3.0)</f>
        <v>3</v>
      </c>
      <c r="K285" s="28" t="str">
        <f>IFERROR(__xludf.DUMMYFUNCTION("""COMPUTED_VALUE"""),"")</f>
        <v/>
      </c>
      <c r="L285" s="29" t="str">
        <f>IFERROR(__xludf.DUMMYFUNCTION("""COMPUTED_VALUE"""),"6281330367368")</f>
        <v>6281330367368</v>
      </c>
      <c r="M285" s="22">
        <f>IFERROR(__xludf.DUMMYFUNCTION("""COMPUTED_VALUE"""),600000.0)</f>
        <v>600000</v>
      </c>
      <c r="N285" s="22">
        <f>IFERROR(__xludf.DUMMYFUNCTION("""COMPUTED_VALUE"""),200000.0)</f>
        <v>200000</v>
      </c>
      <c r="O285" s="22">
        <f>IFERROR(__xludf.DUMMYFUNCTION("""COMPUTED_VALUE"""),450000.0)</f>
        <v>450000</v>
      </c>
      <c r="P285" s="22">
        <f>IFERROR(__xludf.DUMMYFUNCTION("""COMPUTED_VALUE"""),450000.0)</f>
        <v>450000</v>
      </c>
      <c r="Q285" s="22">
        <f>IFERROR(__xludf.DUMMYFUNCTION("""COMPUTED_VALUE"""),450000.0)</f>
        <v>450000</v>
      </c>
      <c r="R285" s="22">
        <f>IFERROR(__xludf.DUMMYFUNCTION("""COMPUTED_VALUE"""),450000.0)</f>
        <v>450000</v>
      </c>
      <c r="S285" s="22">
        <f>IFERROR(__xludf.DUMMYFUNCTION("""COMPUTED_VALUE"""),450000.0)</f>
        <v>450000</v>
      </c>
      <c r="T285" s="22">
        <f>IFERROR(__xludf.DUMMYFUNCTION("""COMPUTED_VALUE"""),450000.0)</f>
        <v>450000</v>
      </c>
      <c r="U285" s="22">
        <f>IFERROR(__xludf.DUMMYFUNCTION("""COMPUTED_VALUE"""),450000.0)</f>
        <v>450000</v>
      </c>
      <c r="V285" s="22">
        <f>IFERROR(__xludf.DUMMYFUNCTION("""COMPUTED_VALUE"""),450000.0)</f>
        <v>450000</v>
      </c>
      <c r="W285" s="22">
        <f>IFERROR(__xludf.DUMMYFUNCTION("""COMPUTED_VALUE"""),450000.0)</f>
        <v>450000</v>
      </c>
      <c r="X285" s="22">
        <f>IFERROR(__xludf.DUMMYFUNCTION("""COMPUTED_VALUE"""),450000.0)</f>
        <v>450000</v>
      </c>
      <c r="Y285" s="22">
        <f>IFERROR(__xludf.DUMMYFUNCTION("""COMPUTED_VALUE"""),450000.0)</f>
        <v>450000</v>
      </c>
      <c r="Z285" s="22">
        <f>IFERROR(__xludf.DUMMYFUNCTION("""COMPUTED_VALUE"""),450000.0)</f>
        <v>450000</v>
      </c>
      <c r="AA285" s="28"/>
      <c r="AB285" s="22">
        <f>IFERROR(__xludf.DUMMYFUNCTION("""COMPUTED_VALUE"""),500000.0)</f>
        <v>500000</v>
      </c>
      <c r="AC285" s="22">
        <f>IFERROR(__xludf.DUMMYFUNCTION("""COMPUTED_VALUE"""),450000.0)</f>
        <v>450000</v>
      </c>
      <c r="AD285" s="22">
        <f>IFERROR(__xludf.DUMMYFUNCTION("""COMPUTED_VALUE"""),450000.0)</f>
        <v>450000</v>
      </c>
      <c r="AE285" s="22">
        <f>IFERROR(__xludf.DUMMYFUNCTION("""COMPUTED_VALUE"""),450000.0)</f>
        <v>450000</v>
      </c>
      <c r="AF285" s="22">
        <f>IFERROR(__xludf.DUMMYFUNCTION("""COMPUTED_VALUE"""),450000.0)</f>
        <v>450000</v>
      </c>
      <c r="AG285" s="22">
        <f>IFERROR(__xludf.DUMMYFUNCTION("""COMPUTED_VALUE"""),450000.0)</f>
        <v>450000</v>
      </c>
      <c r="AH285" s="22">
        <f>IFERROR(__xludf.DUMMYFUNCTION("""COMPUTED_VALUE"""),450000.0)</f>
        <v>450000</v>
      </c>
      <c r="AI285" s="22">
        <f>IFERROR(__xludf.DUMMYFUNCTION("""COMPUTED_VALUE"""),450000.0)</f>
        <v>450000</v>
      </c>
      <c r="AJ285" s="22">
        <f>IFERROR(__xludf.DUMMYFUNCTION("""COMPUTED_VALUE"""),450000.0)</f>
        <v>450000</v>
      </c>
      <c r="AK285" s="22">
        <f>IFERROR(__xludf.DUMMYFUNCTION("""COMPUTED_VALUE"""),450000.0)</f>
        <v>450000</v>
      </c>
      <c r="AL285" s="22">
        <f>IFERROR(__xludf.DUMMYFUNCTION("""COMPUTED_VALUE"""),450000.0)</f>
        <v>450000</v>
      </c>
      <c r="AM285" s="22">
        <f>IFERROR(__xludf.DUMMYFUNCTION("""COMPUTED_VALUE"""),450000.0)</f>
        <v>450000</v>
      </c>
      <c r="AN285" s="22">
        <f>IFERROR(__xludf.DUMMYFUNCTION("""COMPUTED_VALUE"""),450000.0)</f>
        <v>450000</v>
      </c>
      <c r="AO285" s="28"/>
      <c r="AP285" s="22">
        <f>IFERROR(__xludf.DUMMYFUNCTION("""COMPUTED_VALUE"""),500000.0)</f>
        <v>500000</v>
      </c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2">
        <f>IFERROR(__xludf.DUMMYFUNCTION("""COMPUTED_VALUE"""),1.08E7)</f>
        <v>10800000</v>
      </c>
      <c r="BD285" s="22">
        <f>IFERROR(__xludf.DUMMYFUNCTION("""COMPUTED_VALUE"""),1600000.0)</f>
        <v>1600000</v>
      </c>
      <c r="BE285" s="22">
        <f>IFERROR(__xludf.DUMMYFUNCTION("""COMPUTED_VALUE"""),0.0)</f>
        <v>0</v>
      </c>
      <c r="BF285" s="22">
        <f>IFERROR(__xludf.DUMMYFUNCTION("""COMPUTED_VALUE"""),1.24E7)</f>
        <v>12400000</v>
      </c>
    </row>
    <row r="286">
      <c r="A286" s="27">
        <f>IFERROR(__xludf.DUMMYFUNCTION("""COMPUTED_VALUE"""),285.0)</f>
        <v>285</v>
      </c>
      <c r="B286" s="28" t="str">
        <f>IFERROR(__xludf.DUMMYFUNCTION("""COMPUTED_VALUE"""),"HARISATUL MAWADDAH")</f>
        <v>HARISATUL MAWADDAH</v>
      </c>
      <c r="C286" s="28">
        <f>IFERROR(__xludf.DUMMYFUNCTION("""COMPUTED_VALUE"""),2.024070155E9)</f>
        <v>2024070155</v>
      </c>
      <c r="D286" s="28" t="str">
        <f>IFERROR(__xludf.DUMMYFUNCTION("""COMPUTED_VALUE"""),"MOH. MUJIK")</f>
        <v>MOH. MUJIK</v>
      </c>
      <c r="E286" s="28" t="str">
        <f>IFERROR(__xludf.DUMMYFUNCTION("""COMPUTED_VALUE"""),"KISWATI")</f>
        <v>KISWATI</v>
      </c>
      <c r="F286" s="28" t="str">
        <f>IFERROR(__xludf.DUMMYFUNCTION("""COMPUTED_VALUE"""),"KARANGTAWAR RT 3 RW 2 LAREN LAMONGAN")</f>
        <v>KARANGTAWAR RT 3 RW 2 LAREN LAMONGAN</v>
      </c>
      <c r="G286" s="28" t="str">
        <f>IFERROR(__xludf.DUMMYFUNCTION("""COMPUTED_VALUE"""),"MA-XII.7")</f>
        <v>MA-XII.7</v>
      </c>
      <c r="H286" s="28" t="str">
        <f>IFERROR(__xludf.DUMMYFUNCTION("""COMPUTED_VALUE"""),"D")</f>
        <v>D</v>
      </c>
      <c r="I286" s="28" t="str">
        <f>IFERROR(__xludf.DUMMYFUNCTION("""COMPUTED_VALUE"""),"D-7")</f>
        <v>D-7</v>
      </c>
      <c r="J286" s="28">
        <f>IFERROR(__xludf.DUMMYFUNCTION("""COMPUTED_VALUE"""),3.0)</f>
        <v>3</v>
      </c>
      <c r="K286" s="28" t="str">
        <f>IFERROR(__xludf.DUMMYFUNCTION("""COMPUTED_VALUE"""),"3 WUSTHO C PUTRI")</f>
        <v>3 WUSTHO C PUTRI</v>
      </c>
      <c r="L286" s="29" t="str">
        <f>IFERROR(__xludf.DUMMYFUNCTION("""COMPUTED_VALUE"""),"62857784061518")</f>
        <v>62857784061518</v>
      </c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2">
        <f>IFERROR(__xludf.DUMMYFUNCTION("""COMPUTED_VALUE"""),0.0)</f>
        <v>0</v>
      </c>
      <c r="BD286" s="22">
        <f>IFERROR(__xludf.DUMMYFUNCTION("""COMPUTED_VALUE"""),0.0)</f>
        <v>0</v>
      </c>
      <c r="BE286" s="22">
        <f>IFERROR(__xludf.DUMMYFUNCTION("""COMPUTED_VALUE"""),0.0)</f>
        <v>0</v>
      </c>
      <c r="BF286" s="22">
        <f>IFERROR(__xludf.DUMMYFUNCTION("""COMPUTED_VALUE"""),0.0)</f>
        <v>0</v>
      </c>
    </row>
    <row r="287">
      <c r="A287" s="27">
        <f>IFERROR(__xludf.DUMMYFUNCTION("""COMPUTED_VALUE"""),286.0)</f>
        <v>286</v>
      </c>
      <c r="B287" s="28" t="str">
        <f>IFERROR(__xludf.DUMMYFUNCTION("""COMPUTED_VALUE"""),"HUSNADYAH FATMAHWATI")</f>
        <v>HUSNADYAH FATMAHWATI</v>
      </c>
      <c r="C287" s="28">
        <f>IFERROR(__xludf.DUMMYFUNCTION("""COMPUTED_VALUE"""),2.024070115E9)</f>
        <v>2024070115</v>
      </c>
      <c r="D287" s="28" t="str">
        <f>IFERROR(__xludf.DUMMYFUNCTION("""COMPUTED_VALUE"""),"HUSNUL HULUQ")</f>
        <v>HUSNUL HULUQ</v>
      </c>
      <c r="E287" s="28" t="str">
        <f>IFERROR(__xludf.DUMMYFUNCTION("""COMPUTED_VALUE"""),"KURNIA NIKDA RETNANI")</f>
        <v>KURNIA NIKDA RETNANI</v>
      </c>
      <c r="F287" s="28" t="str">
        <f>IFERROR(__xludf.DUMMYFUNCTION("""COMPUTED_VALUE"""),"LUMBANGAN PENDOWOLIMO RT 3 RW 1 KARANGBINANGUN LAMONGAN")</f>
        <v>LUMBANGAN PENDOWOLIMO RT 3 RW 1 KARANGBINANGUN LAMONGAN</v>
      </c>
      <c r="G287" s="28" t="str">
        <f>IFERROR(__xludf.DUMMYFUNCTION("""COMPUTED_VALUE"""),"MA-XII.4")</f>
        <v>MA-XII.4</v>
      </c>
      <c r="H287" s="28" t="str">
        <f>IFERROR(__xludf.DUMMYFUNCTION("""COMPUTED_VALUE"""),"D")</f>
        <v>D</v>
      </c>
      <c r="I287" s="28" t="str">
        <f>IFERROR(__xludf.DUMMYFUNCTION("""COMPUTED_VALUE"""),"D-6")</f>
        <v>D-6</v>
      </c>
      <c r="J287" s="28">
        <f>IFERROR(__xludf.DUMMYFUNCTION("""COMPUTED_VALUE"""),3.0)</f>
        <v>3</v>
      </c>
      <c r="K287" s="28" t="str">
        <f>IFERROR(__xludf.DUMMYFUNCTION("""COMPUTED_VALUE"""),"3 WUSTHO C PUTRI")</f>
        <v>3 WUSTHO C PUTRI</v>
      </c>
      <c r="L287" s="29" t="str">
        <f>IFERROR(__xludf.DUMMYFUNCTION("""COMPUTED_VALUE"""),"6285731755110")</f>
        <v>6285731755110</v>
      </c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2">
        <f>IFERROR(__xludf.DUMMYFUNCTION("""COMPUTED_VALUE"""),450000.0)</f>
        <v>450000</v>
      </c>
      <c r="AK287" s="22">
        <f>IFERROR(__xludf.DUMMYFUNCTION("""COMPUTED_VALUE"""),450000.0)</f>
        <v>450000</v>
      </c>
      <c r="AL287" s="22">
        <f>IFERROR(__xludf.DUMMYFUNCTION("""COMPUTED_VALUE"""),450000.0)</f>
        <v>450000</v>
      </c>
      <c r="AM287" s="22">
        <f>IFERROR(__xludf.DUMMYFUNCTION("""COMPUTED_VALUE"""),450000.0)</f>
        <v>450000</v>
      </c>
      <c r="AN287" s="22">
        <f>IFERROR(__xludf.DUMMYFUNCTION("""COMPUTED_VALUE"""),450000.0)</f>
        <v>450000</v>
      </c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2">
        <f>IFERROR(__xludf.DUMMYFUNCTION("""COMPUTED_VALUE"""),2250000.0)</f>
        <v>2250000</v>
      </c>
      <c r="BD287" s="22">
        <f>IFERROR(__xludf.DUMMYFUNCTION("""COMPUTED_VALUE"""),0.0)</f>
        <v>0</v>
      </c>
      <c r="BE287" s="22">
        <f>IFERROR(__xludf.DUMMYFUNCTION("""COMPUTED_VALUE"""),0.0)</f>
        <v>0</v>
      </c>
      <c r="BF287" s="22">
        <f>IFERROR(__xludf.DUMMYFUNCTION("""COMPUTED_VALUE"""),2250000.0)</f>
        <v>2250000</v>
      </c>
    </row>
    <row r="288">
      <c r="A288" s="27">
        <f>IFERROR(__xludf.DUMMYFUNCTION("""COMPUTED_VALUE"""),287.0)</f>
        <v>287</v>
      </c>
      <c r="B288" s="28" t="str">
        <f>IFERROR(__xludf.DUMMYFUNCTION("""COMPUTED_VALUE"""),"IFTITAHUR ROHMANIYAH")</f>
        <v>IFTITAHUR ROHMANIYAH</v>
      </c>
      <c r="C288" s="28">
        <f>IFERROR(__xludf.DUMMYFUNCTION("""COMPUTED_VALUE"""),2.024070375E9)</f>
        <v>2024070375</v>
      </c>
      <c r="D288" s="28" t="str">
        <f>IFERROR(__xludf.DUMMYFUNCTION("""COMPUTED_VALUE"""),"MOH HANIF ASYHAR")</f>
        <v>MOH HANIF ASYHAR</v>
      </c>
      <c r="E288" s="28" t="str">
        <f>IFERROR(__xludf.DUMMYFUNCTION("""COMPUTED_VALUE"""),"MASLIHATINA")</f>
        <v>MASLIHATINA</v>
      </c>
      <c r="F288" s="28" t="str">
        <f>IFERROR(__xludf.DUMMYFUNCTION("""COMPUTED_VALUE"""),"SUMURBER RT 8 RW 3 PANCENG GRESIK")</f>
        <v>SUMURBER RT 8 RW 3 PANCENG GRESIK</v>
      </c>
      <c r="G288" s="28" t="str">
        <f>IFERROR(__xludf.DUMMYFUNCTION("""COMPUTED_VALUE"""),"MA-XII.5")</f>
        <v>MA-XII.5</v>
      </c>
      <c r="H288" s="28" t="str">
        <f>IFERROR(__xludf.DUMMYFUNCTION("""COMPUTED_VALUE"""),"D")</f>
        <v>D</v>
      </c>
      <c r="I288" s="28" t="str">
        <f>IFERROR(__xludf.DUMMYFUNCTION("""COMPUTED_VALUE"""),"D-6")</f>
        <v>D-6</v>
      </c>
      <c r="J288" s="28">
        <f>IFERROR(__xludf.DUMMYFUNCTION("""COMPUTED_VALUE"""),3.0)</f>
        <v>3</v>
      </c>
      <c r="K288" s="28" t="str">
        <f>IFERROR(__xludf.DUMMYFUNCTION("""COMPUTED_VALUE"""),"3 WUSTHO C PUTRI")</f>
        <v>3 WUSTHO C PUTRI</v>
      </c>
      <c r="L288" s="29" t="str">
        <f>IFERROR(__xludf.DUMMYFUNCTION("""COMPUTED_VALUE"""),"628157146323")</f>
        <v>628157146323</v>
      </c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2">
        <f>IFERROR(__xludf.DUMMYFUNCTION("""COMPUTED_VALUE"""),0.0)</f>
        <v>0</v>
      </c>
      <c r="BD288" s="22">
        <f>IFERROR(__xludf.DUMMYFUNCTION("""COMPUTED_VALUE"""),0.0)</f>
        <v>0</v>
      </c>
      <c r="BE288" s="22">
        <f>IFERROR(__xludf.DUMMYFUNCTION("""COMPUTED_VALUE"""),0.0)</f>
        <v>0</v>
      </c>
      <c r="BF288" s="22">
        <f>IFERROR(__xludf.DUMMYFUNCTION("""COMPUTED_VALUE"""),0.0)</f>
        <v>0</v>
      </c>
    </row>
    <row r="289">
      <c r="A289" s="27">
        <f>IFERROR(__xludf.DUMMYFUNCTION("""COMPUTED_VALUE"""),288.0)</f>
        <v>288</v>
      </c>
      <c r="B289" s="28" t="str">
        <f>IFERROR(__xludf.DUMMYFUNCTION("""COMPUTED_VALUE"""),"ISTHOFI NADA MILLAH")</f>
        <v>ISTHOFI NADA MILLAH</v>
      </c>
      <c r="C289" s="28">
        <f>IFERROR(__xludf.DUMMYFUNCTION("""COMPUTED_VALUE"""),2.024070011E9)</f>
        <v>2024070011</v>
      </c>
      <c r="D289" s="28" t="str">
        <f>IFERROR(__xludf.DUMMYFUNCTION("""COMPUTED_VALUE"""),"ALAMIL HUDA")</f>
        <v>ALAMIL HUDA</v>
      </c>
      <c r="E289" s="28" t="str">
        <f>IFERROR(__xludf.DUMMYFUNCTION("""COMPUTED_VALUE"""),"LILIS FAIZAH")</f>
        <v>LILIS FAIZAH</v>
      </c>
      <c r="F289" s="28" t="str">
        <f>IFERROR(__xludf.DUMMYFUNCTION("""COMPUTED_VALUE"""),"GAGAR TENGAH SUKOBENDU RT 3 RW 2 MANTUP LAMONGAN")</f>
        <v>GAGAR TENGAH SUKOBENDU RT 3 RW 2 MANTUP LAMONGAN</v>
      </c>
      <c r="G289" s="28" t="str">
        <f>IFERROR(__xludf.DUMMYFUNCTION("""COMPUTED_VALUE"""),"MA-XII.1")</f>
        <v>MA-XII.1</v>
      </c>
      <c r="H289" s="28" t="str">
        <f>IFERROR(__xludf.DUMMYFUNCTION("""COMPUTED_VALUE"""),"D")</f>
        <v>D</v>
      </c>
      <c r="I289" s="28" t="str">
        <f>IFERROR(__xludf.DUMMYFUNCTION("""COMPUTED_VALUE"""),"D-7")</f>
        <v>D-7</v>
      </c>
      <c r="J289" s="28">
        <f>IFERROR(__xludf.DUMMYFUNCTION("""COMPUTED_VALUE"""),3.0)</f>
        <v>3</v>
      </c>
      <c r="K289" s="28" t="str">
        <f>IFERROR(__xludf.DUMMYFUNCTION("""COMPUTED_VALUE"""),"")</f>
        <v/>
      </c>
      <c r="L289" s="29" t="str">
        <f>IFERROR(__xludf.DUMMYFUNCTION("""COMPUTED_VALUE"""),"6285604642145")</f>
        <v>6285604642145</v>
      </c>
      <c r="M289" s="28"/>
      <c r="N289" s="22">
        <f>IFERROR(__xludf.DUMMYFUNCTION("""COMPUTED_VALUE"""),200000.0)</f>
        <v>200000</v>
      </c>
      <c r="O289" s="22">
        <f>IFERROR(__xludf.DUMMYFUNCTION("""COMPUTED_VALUE"""),450000.0)</f>
        <v>450000</v>
      </c>
      <c r="P289" s="22">
        <f>IFERROR(__xludf.DUMMYFUNCTION("""COMPUTED_VALUE"""),450000.0)</f>
        <v>450000</v>
      </c>
      <c r="Q289" s="22">
        <f>IFERROR(__xludf.DUMMYFUNCTION("""COMPUTED_VALUE"""),450000.0)</f>
        <v>450000</v>
      </c>
      <c r="R289" s="22">
        <f>IFERROR(__xludf.DUMMYFUNCTION("""COMPUTED_VALUE"""),450000.0)</f>
        <v>450000</v>
      </c>
      <c r="S289" s="22">
        <f>IFERROR(__xludf.DUMMYFUNCTION("""COMPUTED_VALUE"""),450000.0)</f>
        <v>450000</v>
      </c>
      <c r="T289" s="22">
        <f>IFERROR(__xludf.DUMMYFUNCTION("""COMPUTED_VALUE"""),450000.0)</f>
        <v>450000</v>
      </c>
      <c r="U289" s="22">
        <f>IFERROR(__xludf.DUMMYFUNCTION("""COMPUTED_VALUE"""),450000.0)</f>
        <v>450000</v>
      </c>
      <c r="V289" s="22">
        <f>IFERROR(__xludf.DUMMYFUNCTION("""COMPUTED_VALUE"""),450000.0)</f>
        <v>450000</v>
      </c>
      <c r="W289" s="22">
        <f>IFERROR(__xludf.DUMMYFUNCTION("""COMPUTED_VALUE"""),450000.0)</f>
        <v>450000</v>
      </c>
      <c r="X289" s="22">
        <f>IFERROR(__xludf.DUMMYFUNCTION("""COMPUTED_VALUE"""),450000.0)</f>
        <v>450000</v>
      </c>
      <c r="Y289" s="22">
        <f>IFERROR(__xludf.DUMMYFUNCTION("""COMPUTED_VALUE"""),450000.0)</f>
        <v>450000</v>
      </c>
      <c r="Z289" s="22">
        <f>IFERROR(__xludf.DUMMYFUNCTION("""COMPUTED_VALUE"""),450000.0)</f>
        <v>450000</v>
      </c>
      <c r="AA289" s="22">
        <f>IFERROR(__xludf.DUMMYFUNCTION("""COMPUTED_VALUE"""),350000.0)</f>
        <v>350000</v>
      </c>
      <c r="AB289" s="28"/>
      <c r="AC289" s="22">
        <f>IFERROR(__xludf.DUMMYFUNCTION("""COMPUTED_VALUE"""),450000.0)</f>
        <v>450000</v>
      </c>
      <c r="AD289" s="22">
        <f>IFERROR(__xludf.DUMMYFUNCTION("""COMPUTED_VALUE"""),450000.0)</f>
        <v>450000</v>
      </c>
      <c r="AE289" s="22">
        <f>IFERROR(__xludf.DUMMYFUNCTION("""COMPUTED_VALUE"""),450000.0)</f>
        <v>450000</v>
      </c>
      <c r="AF289" s="22">
        <f>IFERROR(__xludf.DUMMYFUNCTION("""COMPUTED_VALUE"""),450000.0)</f>
        <v>450000</v>
      </c>
      <c r="AG289" s="22">
        <f>IFERROR(__xludf.DUMMYFUNCTION("""COMPUTED_VALUE"""),450000.0)</f>
        <v>450000</v>
      </c>
      <c r="AH289" s="22">
        <f>IFERROR(__xludf.DUMMYFUNCTION("""COMPUTED_VALUE"""),450000.0)</f>
        <v>450000</v>
      </c>
      <c r="AI289" s="22">
        <f>IFERROR(__xludf.DUMMYFUNCTION("""COMPUTED_VALUE"""),450000.0)</f>
        <v>450000</v>
      </c>
      <c r="AJ289" s="22">
        <f>IFERROR(__xludf.DUMMYFUNCTION("""COMPUTED_VALUE"""),450000.0)</f>
        <v>450000</v>
      </c>
      <c r="AK289" s="22">
        <f>IFERROR(__xludf.DUMMYFUNCTION("""COMPUTED_VALUE"""),450000.0)</f>
        <v>450000</v>
      </c>
      <c r="AL289" s="22">
        <f>IFERROR(__xludf.DUMMYFUNCTION("""COMPUTED_VALUE"""),450000.0)</f>
        <v>450000</v>
      </c>
      <c r="AM289" s="22">
        <f>IFERROR(__xludf.DUMMYFUNCTION("""COMPUTED_VALUE"""),450000.0)</f>
        <v>450000</v>
      </c>
      <c r="AN289" s="22">
        <f>IFERROR(__xludf.DUMMYFUNCTION("""COMPUTED_VALUE"""),450000.0)</f>
        <v>450000</v>
      </c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2">
        <f>IFERROR(__xludf.DUMMYFUNCTION("""COMPUTED_VALUE"""),1.08E7)</f>
        <v>10800000</v>
      </c>
      <c r="BD289" s="22">
        <f>IFERROR(__xludf.DUMMYFUNCTION("""COMPUTED_VALUE"""),0.0)</f>
        <v>0</v>
      </c>
      <c r="BE289" s="22">
        <f>IFERROR(__xludf.DUMMYFUNCTION("""COMPUTED_VALUE"""),350000.0)</f>
        <v>350000</v>
      </c>
      <c r="BF289" s="22">
        <f>IFERROR(__xludf.DUMMYFUNCTION("""COMPUTED_VALUE"""),1.115E7)</f>
        <v>11150000</v>
      </c>
    </row>
    <row r="290">
      <c r="A290" s="27">
        <f>IFERROR(__xludf.DUMMYFUNCTION("""COMPUTED_VALUE"""),289.0)</f>
        <v>289</v>
      </c>
      <c r="B290" s="28" t="str">
        <f>IFERROR(__xludf.DUMMYFUNCTION("""COMPUTED_VALUE"""),"KAYLA ALIFIA ZAFARANI")</f>
        <v>KAYLA ALIFIA ZAFARANI</v>
      </c>
      <c r="C290" s="28">
        <f>IFERROR(__xludf.DUMMYFUNCTION("""COMPUTED_VALUE"""),2.024070553E9)</f>
        <v>2024070553</v>
      </c>
      <c r="D290" s="28" t="str">
        <f>IFERROR(__xludf.DUMMYFUNCTION("""COMPUTED_VALUE"""),"KHOIRIL ANWAR")</f>
        <v>KHOIRIL ANWAR</v>
      </c>
      <c r="E290" s="28" t="str">
        <f>IFERROR(__xludf.DUMMYFUNCTION("""COMPUTED_VALUE"""),"SITI NUR AISYAH")</f>
        <v>SITI NUR AISYAH</v>
      </c>
      <c r="F290" s="28" t="str">
        <f>IFERROR(__xludf.DUMMYFUNCTION("""COMPUTED_VALUE"""),"LEMAHIRENG KETANEN RT 010 RW 005 PANCENG GRESIK")</f>
        <v>LEMAHIRENG KETANEN RT 010 RW 005 PANCENG GRESIK</v>
      </c>
      <c r="G290" s="28" t="str">
        <f>IFERROR(__xludf.DUMMYFUNCTION("""COMPUTED_VALUE"""),"MTS-9 C")</f>
        <v>MTS-9 C</v>
      </c>
      <c r="H290" s="28" t="str">
        <f>IFERROR(__xludf.DUMMYFUNCTION("""COMPUTED_VALUE"""),"D")</f>
        <v>D</v>
      </c>
      <c r="I290" s="28" t="str">
        <f>IFERROR(__xludf.DUMMYFUNCTION("""COMPUTED_VALUE"""),"D-4")</f>
        <v>D-4</v>
      </c>
      <c r="J290" s="28">
        <f>IFERROR(__xludf.DUMMYFUNCTION("""COMPUTED_VALUE"""),3.0)</f>
        <v>3</v>
      </c>
      <c r="K290" s="28" t="str">
        <f>IFERROR(__xludf.DUMMYFUNCTION("""COMPUTED_VALUE"""),"3 ULA A PUTRI")</f>
        <v>3 ULA A PUTRI</v>
      </c>
      <c r="L290" s="29" t="str">
        <f>IFERROR(__xludf.DUMMYFUNCTION("""COMPUTED_VALUE"""),"6281230671437")</f>
        <v>6281230671437</v>
      </c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2">
        <f>IFERROR(__xludf.DUMMYFUNCTION("""COMPUTED_VALUE"""),0.0)</f>
        <v>0</v>
      </c>
      <c r="BD290" s="22">
        <f>IFERROR(__xludf.DUMMYFUNCTION("""COMPUTED_VALUE"""),0.0)</f>
        <v>0</v>
      </c>
      <c r="BE290" s="22">
        <f>IFERROR(__xludf.DUMMYFUNCTION("""COMPUTED_VALUE"""),0.0)</f>
        <v>0</v>
      </c>
      <c r="BF290" s="22">
        <f>IFERROR(__xludf.DUMMYFUNCTION("""COMPUTED_VALUE"""),0.0)</f>
        <v>0</v>
      </c>
    </row>
    <row r="291">
      <c r="A291" s="27">
        <f>IFERROR(__xludf.DUMMYFUNCTION("""COMPUTED_VALUE"""),290.0)</f>
        <v>290</v>
      </c>
      <c r="B291" s="28" t="str">
        <f>IFERROR(__xludf.DUMMYFUNCTION("""COMPUTED_VALUE"""),"MARCELIA CRENATA SHINTA DEWI")</f>
        <v>MARCELIA CRENATA SHINTA DEWI</v>
      </c>
      <c r="C291" s="28">
        <f>IFERROR(__xludf.DUMMYFUNCTION("""COMPUTED_VALUE"""),2.024070426E9)</f>
        <v>2024070426</v>
      </c>
      <c r="D291" s="28" t="str">
        <f>IFERROR(__xludf.DUMMYFUNCTION("""COMPUTED_VALUE"""),"AHMAD ZUNAEDI")</f>
        <v>AHMAD ZUNAEDI</v>
      </c>
      <c r="E291" s="28" t="str">
        <f>IFERROR(__xludf.DUMMYFUNCTION("""COMPUTED_VALUE"""),"YULIATI")</f>
        <v>YULIATI</v>
      </c>
      <c r="F291" s="28" t="str">
        <f>IFERROR(__xludf.DUMMYFUNCTION("""COMPUTED_VALUE"""),"GEDANGAN RT 004 RW 003 GEDANGAN SIDOARJO")</f>
        <v>GEDANGAN RT 004 RW 003 GEDANGAN SIDOARJO</v>
      </c>
      <c r="G291" s="28" t="str">
        <f>IFERROR(__xludf.DUMMYFUNCTION("""COMPUTED_VALUE"""),"MA-XII.13")</f>
        <v>MA-XII.13</v>
      </c>
      <c r="H291" s="28" t="str">
        <f>IFERROR(__xludf.DUMMYFUNCTION("""COMPUTED_VALUE"""),"D")</f>
        <v>D</v>
      </c>
      <c r="I291" s="28" t="str">
        <f>IFERROR(__xludf.DUMMYFUNCTION("""COMPUTED_VALUE"""),"D-7")</f>
        <v>D-7</v>
      </c>
      <c r="J291" s="28">
        <f>IFERROR(__xludf.DUMMYFUNCTION("""COMPUTED_VALUE"""),3.0)</f>
        <v>3</v>
      </c>
      <c r="K291" s="28" t="str">
        <f>IFERROR(__xludf.DUMMYFUNCTION("""COMPUTED_VALUE"""),"3 MAK PUTRI")</f>
        <v>3 MAK PUTRI</v>
      </c>
      <c r="L291" s="29" t="str">
        <f>IFERROR(__xludf.DUMMYFUNCTION("""COMPUTED_VALUE"""),"6281312701983")</f>
        <v>6281312701983</v>
      </c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2">
        <f>IFERROR(__xludf.DUMMYFUNCTION("""COMPUTED_VALUE"""),500000.0)</f>
        <v>500000</v>
      </c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2">
        <f>IFERROR(__xludf.DUMMYFUNCTION("""COMPUTED_VALUE"""),500000.0)</f>
        <v>500000</v>
      </c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2">
        <f>IFERROR(__xludf.DUMMYFUNCTION("""COMPUTED_VALUE"""),0.0)</f>
        <v>0</v>
      </c>
      <c r="BD291" s="22">
        <f>IFERROR(__xludf.DUMMYFUNCTION("""COMPUTED_VALUE"""),1000000.0)</f>
        <v>1000000</v>
      </c>
      <c r="BE291" s="22">
        <f>IFERROR(__xludf.DUMMYFUNCTION("""COMPUTED_VALUE"""),0.0)</f>
        <v>0</v>
      </c>
      <c r="BF291" s="22">
        <f>IFERROR(__xludf.DUMMYFUNCTION("""COMPUTED_VALUE"""),1000000.0)</f>
        <v>1000000</v>
      </c>
    </row>
    <row r="292">
      <c r="A292" s="27">
        <f>IFERROR(__xludf.DUMMYFUNCTION("""COMPUTED_VALUE"""),291.0)</f>
        <v>291</v>
      </c>
      <c r="B292" s="28" t="str">
        <f>IFERROR(__xludf.DUMMYFUNCTION("""COMPUTED_VALUE"""),"MAZIDATUL ILMI OKTARISA DINI")</f>
        <v>MAZIDATUL ILMI OKTARISA DINI</v>
      </c>
      <c r="C292" s="28">
        <f>IFERROR(__xludf.DUMMYFUNCTION("""COMPUTED_VALUE"""),2.024070427E9)</f>
        <v>2024070427</v>
      </c>
      <c r="D292" s="28" t="str">
        <f>IFERROR(__xludf.DUMMYFUNCTION("""COMPUTED_VALUE"""),"SHODIKIN")</f>
        <v>SHODIKIN</v>
      </c>
      <c r="E292" s="28" t="str">
        <f>IFERROR(__xludf.DUMMYFUNCTION("""COMPUTED_VALUE"""),"YENI VIDIAWATI")</f>
        <v>YENI VIDIAWATI</v>
      </c>
      <c r="F292" s="28" t="str">
        <f>IFERROR(__xludf.DUMMYFUNCTION("""COMPUTED_VALUE"""),"BANJARMADU BANJARMADU RT 2 RW 2 KARANGGENENG LAMONGAN")</f>
        <v>BANJARMADU BANJARMADU RT 2 RW 2 KARANGGENENG LAMONGAN</v>
      </c>
      <c r="G292" s="28" t="str">
        <f>IFERROR(__xludf.DUMMYFUNCTION("""COMPUTED_VALUE"""),"MA-XII.13")</f>
        <v>MA-XII.13</v>
      </c>
      <c r="H292" s="28" t="str">
        <f>IFERROR(__xludf.DUMMYFUNCTION("""COMPUTED_VALUE"""),"D")</f>
        <v>D</v>
      </c>
      <c r="I292" s="28" t="str">
        <f>IFERROR(__xludf.DUMMYFUNCTION("""COMPUTED_VALUE"""),"D-7")</f>
        <v>D-7</v>
      </c>
      <c r="J292" s="28">
        <f>IFERROR(__xludf.DUMMYFUNCTION("""COMPUTED_VALUE"""),3.0)</f>
        <v>3</v>
      </c>
      <c r="K292" s="28" t="str">
        <f>IFERROR(__xludf.DUMMYFUNCTION("""COMPUTED_VALUE"""),"3 MAK PUTRI")</f>
        <v>3 MAK PUTRI</v>
      </c>
      <c r="L292" s="29" t="str">
        <f>IFERROR(__xludf.DUMMYFUNCTION("""COMPUTED_VALUE"""),"6285748191884")</f>
        <v>6285748191884</v>
      </c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2">
        <f>IFERROR(__xludf.DUMMYFUNCTION("""COMPUTED_VALUE"""),450000.0)</f>
        <v>450000</v>
      </c>
      <c r="AI292" s="22">
        <f>IFERROR(__xludf.DUMMYFUNCTION("""COMPUTED_VALUE"""),450000.0)</f>
        <v>450000</v>
      </c>
      <c r="AJ292" s="22">
        <f>IFERROR(__xludf.DUMMYFUNCTION("""COMPUTED_VALUE"""),450000.0)</f>
        <v>450000</v>
      </c>
      <c r="AK292" s="22">
        <f>IFERROR(__xludf.DUMMYFUNCTION("""COMPUTED_VALUE"""),450000.0)</f>
        <v>450000</v>
      </c>
      <c r="AL292" s="22">
        <f>IFERROR(__xludf.DUMMYFUNCTION("""COMPUTED_VALUE"""),450000.0)</f>
        <v>450000</v>
      </c>
      <c r="AM292" s="22">
        <f>IFERROR(__xludf.DUMMYFUNCTION("""COMPUTED_VALUE"""),450000.0)</f>
        <v>450000</v>
      </c>
      <c r="AN292" s="22">
        <f>IFERROR(__xludf.DUMMYFUNCTION("""COMPUTED_VALUE"""),450000.0)</f>
        <v>450000</v>
      </c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2">
        <f>IFERROR(__xludf.DUMMYFUNCTION("""COMPUTED_VALUE"""),3150000.0)</f>
        <v>3150000</v>
      </c>
      <c r="BD292" s="22">
        <f>IFERROR(__xludf.DUMMYFUNCTION("""COMPUTED_VALUE"""),0.0)</f>
        <v>0</v>
      </c>
      <c r="BE292" s="22">
        <f>IFERROR(__xludf.DUMMYFUNCTION("""COMPUTED_VALUE"""),0.0)</f>
        <v>0</v>
      </c>
      <c r="BF292" s="22">
        <f>IFERROR(__xludf.DUMMYFUNCTION("""COMPUTED_VALUE"""),3150000.0)</f>
        <v>3150000</v>
      </c>
    </row>
    <row r="293">
      <c r="A293" s="27">
        <f>IFERROR(__xludf.DUMMYFUNCTION("""COMPUTED_VALUE"""),292.0)</f>
        <v>292</v>
      </c>
      <c r="B293" s="28" t="str">
        <f>IFERROR(__xludf.DUMMYFUNCTION("""COMPUTED_VALUE"""),"MELYSA NUR KHASANAH")</f>
        <v>MELYSA NUR KHASANAH</v>
      </c>
      <c r="C293" s="28">
        <f>IFERROR(__xludf.DUMMYFUNCTION("""COMPUTED_VALUE"""),2.024070016E9)</f>
        <v>2024070016</v>
      </c>
      <c r="D293" s="28" t="str">
        <f>IFERROR(__xludf.DUMMYFUNCTION("""COMPUTED_VALUE"""),"SYAIFUL BARRI")</f>
        <v>SYAIFUL BARRI</v>
      </c>
      <c r="E293" s="28" t="str">
        <f>IFERROR(__xludf.DUMMYFUNCTION("""COMPUTED_VALUE"""),"ERLIN NUR AIZAH")</f>
        <v>ERLIN NUR AIZAH</v>
      </c>
      <c r="F293" s="28" t="str">
        <f>IFERROR(__xludf.DUMMYFUNCTION("""COMPUTED_VALUE"""),"KRAJAN SUKOBENDU RT 002 RW 003 MANTUP LAMONGAN")</f>
        <v>KRAJAN SUKOBENDU RT 002 RW 003 MANTUP LAMONGAN</v>
      </c>
      <c r="G293" s="28" t="str">
        <f>IFERROR(__xludf.DUMMYFUNCTION("""COMPUTED_VALUE"""),"MA-XII.1")</f>
        <v>MA-XII.1</v>
      </c>
      <c r="H293" s="28" t="str">
        <f>IFERROR(__xludf.DUMMYFUNCTION("""COMPUTED_VALUE"""),"D")</f>
        <v>D</v>
      </c>
      <c r="I293" s="28" t="str">
        <f>IFERROR(__xludf.DUMMYFUNCTION("""COMPUTED_VALUE"""),"D-7")</f>
        <v>D-7</v>
      </c>
      <c r="J293" s="28">
        <f>IFERROR(__xludf.DUMMYFUNCTION("""COMPUTED_VALUE"""),3.0)</f>
        <v>3</v>
      </c>
      <c r="K293" s="28" t="str">
        <f>IFERROR(__xludf.DUMMYFUNCTION("""COMPUTED_VALUE"""),"")</f>
        <v/>
      </c>
      <c r="L293" s="29" t="str">
        <f>IFERROR(__xludf.DUMMYFUNCTION("""COMPUTED_VALUE"""),"6281515680644")</f>
        <v>6281515680644</v>
      </c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2">
        <f>IFERROR(__xludf.DUMMYFUNCTION("""COMPUTED_VALUE"""),0.0)</f>
        <v>0</v>
      </c>
      <c r="BD293" s="22">
        <f>IFERROR(__xludf.DUMMYFUNCTION("""COMPUTED_VALUE"""),0.0)</f>
        <v>0</v>
      </c>
      <c r="BE293" s="22">
        <f>IFERROR(__xludf.DUMMYFUNCTION("""COMPUTED_VALUE"""),0.0)</f>
        <v>0</v>
      </c>
      <c r="BF293" s="22">
        <f>IFERROR(__xludf.DUMMYFUNCTION("""COMPUTED_VALUE"""),0.0)</f>
        <v>0</v>
      </c>
    </row>
    <row r="294">
      <c r="A294" s="27">
        <f>IFERROR(__xludf.DUMMYFUNCTION("""COMPUTED_VALUE"""),293.0)</f>
        <v>293</v>
      </c>
      <c r="B294" s="28" t="str">
        <f>IFERROR(__xludf.DUMMYFUNCTION("""COMPUTED_VALUE"""),"NABELLA ARDELIYAH")</f>
        <v>NABELLA ARDELIYAH</v>
      </c>
      <c r="C294" s="28">
        <f>IFERROR(__xludf.DUMMYFUNCTION("""COMPUTED_VALUE"""),2.024070381E9)</f>
        <v>2024070381</v>
      </c>
      <c r="D294" s="28" t="str">
        <f>IFERROR(__xludf.DUMMYFUNCTION("""COMPUTED_VALUE"""),"RUDI KUSWANTO")</f>
        <v>RUDI KUSWANTO</v>
      </c>
      <c r="E294" s="28" t="str">
        <f>IFERROR(__xludf.DUMMYFUNCTION("""COMPUTED_VALUE"""),"NIMATUL KHOIRIYAH")</f>
        <v>NIMATUL KHOIRIYAH</v>
      </c>
      <c r="F294" s="28" t="str">
        <f>IFERROR(__xludf.DUMMYFUNCTION("""COMPUTED_VALUE"""),"KEDUNGMEGARIH RT 020 RW 005 KEMBANGBAHU LAMONGAN")</f>
        <v>KEDUNGMEGARIH RT 020 RW 005 KEMBANGBAHU LAMONGAN</v>
      </c>
      <c r="G294" s="28" t="str">
        <f>IFERROR(__xludf.DUMMYFUNCTION("""COMPUTED_VALUE"""),"MA-XII.12")</f>
        <v>MA-XII.12</v>
      </c>
      <c r="H294" s="28" t="str">
        <f>IFERROR(__xludf.DUMMYFUNCTION("""COMPUTED_VALUE"""),"D")</f>
        <v>D</v>
      </c>
      <c r="I294" s="28" t="str">
        <f>IFERROR(__xludf.DUMMYFUNCTION("""COMPUTED_VALUE"""),"D-6")</f>
        <v>D-6</v>
      </c>
      <c r="J294" s="28">
        <f>IFERROR(__xludf.DUMMYFUNCTION("""COMPUTED_VALUE"""),3.0)</f>
        <v>3</v>
      </c>
      <c r="K294" s="28" t="str">
        <f>IFERROR(__xludf.DUMMYFUNCTION("""COMPUTED_VALUE"""),"3 WUSTHO C PUTRI")</f>
        <v>3 WUSTHO C PUTRI</v>
      </c>
      <c r="L294" s="29" t="str">
        <f>IFERROR(__xludf.DUMMYFUNCTION("""COMPUTED_VALUE"""),"6285815119048")</f>
        <v>6285815119048</v>
      </c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2">
        <f>IFERROR(__xludf.DUMMYFUNCTION("""COMPUTED_VALUE"""),0.0)</f>
        <v>0</v>
      </c>
      <c r="BD294" s="22">
        <f>IFERROR(__xludf.DUMMYFUNCTION("""COMPUTED_VALUE"""),0.0)</f>
        <v>0</v>
      </c>
      <c r="BE294" s="22">
        <f>IFERROR(__xludf.DUMMYFUNCTION("""COMPUTED_VALUE"""),0.0)</f>
        <v>0</v>
      </c>
      <c r="BF294" s="22">
        <f>IFERROR(__xludf.DUMMYFUNCTION("""COMPUTED_VALUE"""),0.0)</f>
        <v>0</v>
      </c>
    </row>
    <row r="295">
      <c r="A295" s="27">
        <f>IFERROR(__xludf.DUMMYFUNCTION("""COMPUTED_VALUE"""),294.0)</f>
        <v>294</v>
      </c>
      <c r="B295" s="28" t="str">
        <f>IFERROR(__xludf.DUMMYFUNCTION("""COMPUTED_VALUE"""),"NAJWA ERILAH")</f>
        <v>NAJWA ERILAH</v>
      </c>
      <c r="C295" s="28">
        <f>IFERROR(__xludf.DUMMYFUNCTION("""COMPUTED_VALUE"""),2.02407002E9)</f>
        <v>2024070020</v>
      </c>
      <c r="D295" s="28" t="str">
        <f>IFERROR(__xludf.DUMMYFUNCTION("""COMPUTED_VALUE"""),"SUKAERI")</f>
        <v>SUKAERI</v>
      </c>
      <c r="E295" s="28" t="str">
        <f>IFERROR(__xludf.DUMMYFUNCTION("""COMPUTED_VALUE"""),"MUNZILAH")</f>
        <v>MUNZILAH</v>
      </c>
      <c r="F295" s="28" t="str">
        <f>IFERROR(__xludf.DUMMYFUNCTION("""COMPUTED_VALUE"""),"PETIYIN TAKERHARJO RT 1 RW 5 SOLOKURO LAMONGAN")</f>
        <v>PETIYIN TAKERHARJO RT 1 RW 5 SOLOKURO LAMONGAN</v>
      </c>
      <c r="G295" s="28" t="str">
        <f>IFERROR(__xludf.DUMMYFUNCTION("""COMPUTED_VALUE"""),"MA-XII.1")</f>
        <v>MA-XII.1</v>
      </c>
      <c r="H295" s="28" t="str">
        <f>IFERROR(__xludf.DUMMYFUNCTION("""COMPUTED_VALUE"""),"D")</f>
        <v>D</v>
      </c>
      <c r="I295" s="28" t="str">
        <f>IFERROR(__xludf.DUMMYFUNCTION("""COMPUTED_VALUE"""),"D-7")</f>
        <v>D-7</v>
      </c>
      <c r="J295" s="28">
        <f>IFERROR(__xludf.DUMMYFUNCTION("""COMPUTED_VALUE"""),3.0)</f>
        <v>3</v>
      </c>
      <c r="K295" s="28" t="str">
        <f>IFERROR(__xludf.DUMMYFUNCTION("""COMPUTED_VALUE"""),"")</f>
        <v/>
      </c>
      <c r="L295" s="29" t="str">
        <f>IFERROR(__xludf.DUMMYFUNCTION("""COMPUTED_VALUE"""),"6285736463854")</f>
        <v>6285736463854</v>
      </c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2">
        <f>IFERROR(__xludf.DUMMYFUNCTION("""COMPUTED_VALUE"""),500000.0)</f>
        <v>500000</v>
      </c>
      <c r="AC295" s="28"/>
      <c r="AD295" s="28"/>
      <c r="AE295" s="28"/>
      <c r="AF295" s="28"/>
      <c r="AG295" s="28"/>
      <c r="AH295" s="28"/>
      <c r="AI295" s="28"/>
      <c r="AJ295" s="28"/>
      <c r="AK295" s="28"/>
      <c r="AL295" s="22">
        <f>IFERROR(__xludf.DUMMYFUNCTION("""COMPUTED_VALUE"""),450000.0)</f>
        <v>450000</v>
      </c>
      <c r="AM295" s="22">
        <f>IFERROR(__xludf.DUMMYFUNCTION("""COMPUTED_VALUE"""),450000.0)</f>
        <v>450000</v>
      </c>
      <c r="AN295" s="22">
        <f>IFERROR(__xludf.DUMMYFUNCTION("""COMPUTED_VALUE"""),450000.0)</f>
        <v>450000</v>
      </c>
      <c r="AO295" s="28"/>
      <c r="AP295" s="22">
        <f>IFERROR(__xludf.DUMMYFUNCTION("""COMPUTED_VALUE"""),500000.0)</f>
        <v>500000</v>
      </c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2">
        <f>IFERROR(__xludf.DUMMYFUNCTION("""COMPUTED_VALUE"""),1350000.0)</f>
        <v>1350000</v>
      </c>
      <c r="BD295" s="22">
        <f>IFERROR(__xludf.DUMMYFUNCTION("""COMPUTED_VALUE"""),1000000.0)</f>
        <v>1000000</v>
      </c>
      <c r="BE295" s="22">
        <f>IFERROR(__xludf.DUMMYFUNCTION("""COMPUTED_VALUE"""),0.0)</f>
        <v>0</v>
      </c>
      <c r="BF295" s="22">
        <f>IFERROR(__xludf.DUMMYFUNCTION("""COMPUTED_VALUE"""),2350000.0)</f>
        <v>2350000</v>
      </c>
    </row>
    <row r="296">
      <c r="A296" s="27">
        <f>IFERROR(__xludf.DUMMYFUNCTION("""COMPUTED_VALUE"""),295.0)</f>
        <v>295</v>
      </c>
      <c r="B296" s="28" t="str">
        <f>IFERROR(__xludf.DUMMYFUNCTION("""COMPUTED_VALUE"""),"NANDA RAGIL DAVINA BATRISYA")</f>
        <v>NANDA RAGIL DAVINA BATRISYA</v>
      </c>
      <c r="C296" s="28">
        <f>IFERROR(__xludf.DUMMYFUNCTION("""COMPUTED_VALUE"""),2.024070531E9)</f>
        <v>2024070531</v>
      </c>
      <c r="D296" s="28" t="str">
        <f>IFERROR(__xludf.DUMMYFUNCTION("""COMPUTED_VALUE"""),"SIGIT SUWITO")</f>
        <v>SIGIT SUWITO</v>
      </c>
      <c r="E296" s="28" t="str">
        <f>IFERROR(__xludf.DUMMYFUNCTION("""COMPUTED_VALUE"""),"NURBANI PRASETYAWATI")</f>
        <v>NURBANI PRASETYAWATI</v>
      </c>
      <c r="F296" s="28" t="str">
        <f>IFERROR(__xludf.DUMMYFUNCTION("""COMPUTED_VALUE"""),"GOWAH POMAHANJANGGAN RT 003 RW 001 TURI LAMONGAN")</f>
        <v>GOWAH POMAHANJANGGAN RT 003 RW 001 TURI LAMONGAN</v>
      </c>
      <c r="G296" s="28" t="str">
        <f>IFERROR(__xludf.DUMMYFUNCTION("""COMPUTED_VALUE"""),"MTS-9 C")</f>
        <v>MTS-9 C</v>
      </c>
      <c r="H296" s="28" t="str">
        <f>IFERROR(__xludf.DUMMYFUNCTION("""COMPUTED_VALUE"""),"D")</f>
        <v>D</v>
      </c>
      <c r="I296" s="28" t="str">
        <f>IFERROR(__xludf.DUMMYFUNCTION("""COMPUTED_VALUE"""),"D-4")</f>
        <v>D-4</v>
      </c>
      <c r="J296" s="28">
        <f>IFERROR(__xludf.DUMMYFUNCTION("""COMPUTED_VALUE"""),3.0)</f>
        <v>3</v>
      </c>
      <c r="K296" s="28" t="str">
        <f>IFERROR(__xludf.DUMMYFUNCTION("""COMPUTED_VALUE"""),"3 ULA A PUTRI")</f>
        <v>3 ULA A PUTRI</v>
      </c>
      <c r="L296" s="29" t="str">
        <f>IFERROR(__xludf.DUMMYFUNCTION("""COMPUTED_VALUE"""),"6285730766563")</f>
        <v>6285730766563</v>
      </c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2">
        <f>IFERROR(__xludf.DUMMYFUNCTION("""COMPUTED_VALUE"""),0.0)</f>
        <v>0</v>
      </c>
      <c r="BD296" s="22">
        <f>IFERROR(__xludf.DUMMYFUNCTION("""COMPUTED_VALUE"""),0.0)</f>
        <v>0</v>
      </c>
      <c r="BE296" s="22">
        <f>IFERROR(__xludf.DUMMYFUNCTION("""COMPUTED_VALUE"""),0.0)</f>
        <v>0</v>
      </c>
      <c r="BF296" s="22">
        <f>IFERROR(__xludf.DUMMYFUNCTION("""COMPUTED_VALUE"""),0.0)</f>
        <v>0</v>
      </c>
    </row>
    <row r="297">
      <c r="A297" s="27">
        <f>IFERROR(__xludf.DUMMYFUNCTION("""COMPUTED_VALUE"""),296.0)</f>
        <v>296</v>
      </c>
      <c r="B297" s="28" t="str">
        <f>IFERROR(__xludf.DUMMYFUNCTION("""COMPUTED_VALUE"""),"NIKMAH PUTRI ISMAWATI")</f>
        <v>NIKMAH PUTRI ISMAWATI</v>
      </c>
      <c r="C297" s="28">
        <f>IFERROR(__xludf.DUMMYFUNCTION("""COMPUTED_VALUE"""),2.024070432E9)</f>
        <v>2024070432</v>
      </c>
      <c r="D297" s="28" t="str">
        <f>IFERROR(__xludf.DUMMYFUNCTION("""COMPUTED_VALUE"""),"NGATMAJI")</f>
        <v>NGATMAJI</v>
      </c>
      <c r="E297" s="28" t="str">
        <f>IFERROR(__xludf.DUMMYFUNCTION("""COMPUTED_VALUE"""),"RUKIYATI")</f>
        <v>RUKIYATI</v>
      </c>
      <c r="F297" s="28" t="str">
        <f>IFERROR(__xludf.DUMMYFUNCTION("""COMPUTED_VALUE"""),"TAMAN TAMANPRIJEG RT 003 RW 001 LAREN LAMONGAN")</f>
        <v>TAMAN TAMANPRIJEG RT 003 RW 001 LAREN LAMONGAN</v>
      </c>
      <c r="G297" s="28" t="str">
        <f>IFERROR(__xludf.DUMMYFUNCTION("""COMPUTED_VALUE"""),"MA-XII.13")</f>
        <v>MA-XII.13</v>
      </c>
      <c r="H297" s="28" t="str">
        <f>IFERROR(__xludf.DUMMYFUNCTION("""COMPUTED_VALUE"""),"D")</f>
        <v>D</v>
      </c>
      <c r="I297" s="28" t="str">
        <f>IFERROR(__xludf.DUMMYFUNCTION("""COMPUTED_VALUE"""),"D-6")</f>
        <v>D-6</v>
      </c>
      <c r="J297" s="28">
        <f>IFERROR(__xludf.DUMMYFUNCTION("""COMPUTED_VALUE"""),3.0)</f>
        <v>3</v>
      </c>
      <c r="K297" s="28" t="str">
        <f>IFERROR(__xludf.DUMMYFUNCTION("""COMPUTED_VALUE"""),"3 MAK PUTRI")</f>
        <v>3 MAK PUTRI</v>
      </c>
      <c r="L297" s="29" t="str">
        <f>IFERROR(__xludf.DUMMYFUNCTION("""COMPUTED_VALUE"""),"6281455138598")</f>
        <v>6281455138598</v>
      </c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2">
        <f>IFERROR(__xludf.DUMMYFUNCTION("""COMPUTED_VALUE"""),500000.0)</f>
        <v>500000</v>
      </c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2">
        <f>IFERROR(__xludf.DUMMYFUNCTION("""COMPUTED_VALUE"""),0.0)</f>
        <v>0</v>
      </c>
      <c r="BD297" s="22">
        <f>IFERROR(__xludf.DUMMYFUNCTION("""COMPUTED_VALUE"""),500000.0)</f>
        <v>500000</v>
      </c>
      <c r="BE297" s="22">
        <f>IFERROR(__xludf.DUMMYFUNCTION("""COMPUTED_VALUE"""),0.0)</f>
        <v>0</v>
      </c>
      <c r="BF297" s="22">
        <f>IFERROR(__xludf.DUMMYFUNCTION("""COMPUTED_VALUE"""),500000.0)</f>
        <v>500000</v>
      </c>
    </row>
    <row r="298">
      <c r="A298" s="27">
        <f>IFERROR(__xludf.DUMMYFUNCTION("""COMPUTED_VALUE"""),297.0)</f>
        <v>297</v>
      </c>
      <c r="B298" s="28" t="str">
        <f>IFERROR(__xludf.DUMMYFUNCTION("""COMPUTED_VALUE"""),"NIMAS AMINAH AZ-ZAHRAH")</f>
        <v>NIMAS AMINAH AZ-ZAHRAH</v>
      </c>
      <c r="C298" s="28">
        <f>IFERROR(__xludf.DUMMYFUNCTION("""COMPUTED_VALUE"""),2.024070433E9)</f>
        <v>2024070433</v>
      </c>
      <c r="D298" s="28" t="str">
        <f>IFERROR(__xludf.DUMMYFUNCTION("""COMPUTED_VALUE"""),"ABD. MUGHNI")</f>
        <v>ABD. MUGHNI</v>
      </c>
      <c r="E298" s="28" t="str">
        <f>IFERROR(__xludf.DUMMYFUNCTION("""COMPUTED_VALUE"""),"ZIYADATUR RIF`AH")</f>
        <v>ZIYADATUR RIF`AH</v>
      </c>
      <c r="F298" s="28" t="str">
        <f>IFERROR(__xludf.DUMMYFUNCTION("""COMPUTED_VALUE"""),"BUNGAH RT 17 RW 6 BUNGAH GRESIK")</f>
        <v>BUNGAH RT 17 RW 6 BUNGAH GRESIK</v>
      </c>
      <c r="G298" s="28" t="str">
        <f>IFERROR(__xludf.DUMMYFUNCTION("""COMPUTED_VALUE"""),"MA-XII.13")</f>
        <v>MA-XII.13</v>
      </c>
      <c r="H298" s="28" t="str">
        <f>IFERROR(__xludf.DUMMYFUNCTION("""COMPUTED_VALUE"""),"D")</f>
        <v>D</v>
      </c>
      <c r="I298" s="28" t="str">
        <f>IFERROR(__xludf.DUMMYFUNCTION("""COMPUTED_VALUE"""),"D-7")</f>
        <v>D-7</v>
      </c>
      <c r="J298" s="28">
        <f>IFERROR(__xludf.DUMMYFUNCTION("""COMPUTED_VALUE"""),3.0)</f>
        <v>3</v>
      </c>
      <c r="K298" s="28" t="str">
        <f>IFERROR(__xludf.DUMMYFUNCTION("""COMPUTED_VALUE"""),"3 MAK PUTRI")</f>
        <v>3 MAK PUTRI</v>
      </c>
      <c r="L298" s="29" t="str">
        <f>IFERROR(__xludf.DUMMYFUNCTION("""COMPUTED_VALUE"""),"6285731322231")</f>
        <v>6285731322231</v>
      </c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2">
        <f>IFERROR(__xludf.DUMMYFUNCTION("""COMPUTED_VALUE"""),0.0)</f>
        <v>0</v>
      </c>
      <c r="BD298" s="22">
        <f>IFERROR(__xludf.DUMMYFUNCTION("""COMPUTED_VALUE"""),0.0)</f>
        <v>0</v>
      </c>
      <c r="BE298" s="22">
        <f>IFERROR(__xludf.DUMMYFUNCTION("""COMPUTED_VALUE"""),0.0)</f>
        <v>0</v>
      </c>
      <c r="BF298" s="22">
        <f>IFERROR(__xludf.DUMMYFUNCTION("""COMPUTED_VALUE"""),0.0)</f>
        <v>0</v>
      </c>
    </row>
    <row r="299">
      <c r="A299" s="27">
        <f>IFERROR(__xludf.DUMMYFUNCTION("""COMPUTED_VALUE"""),298.0)</f>
        <v>298</v>
      </c>
      <c r="B299" s="28" t="str">
        <f>IFERROR(__xludf.DUMMYFUNCTION("""COMPUTED_VALUE"""),"PRITA DEWI PUSPITA")</f>
        <v>PRITA DEWI PUSPITA</v>
      </c>
      <c r="C299" s="28">
        <f>IFERROR(__xludf.DUMMYFUNCTION("""COMPUTED_VALUE"""),2.024070358E9)</f>
        <v>2024070358</v>
      </c>
      <c r="D299" s="28" t="str">
        <f>IFERROR(__xludf.DUMMYFUNCTION("""COMPUTED_VALUE"""),"ARIEF RUSLAN")</f>
        <v>ARIEF RUSLAN</v>
      </c>
      <c r="E299" s="28" t="str">
        <f>IFERROR(__xludf.DUMMYFUNCTION("""COMPUTED_VALUE"""),"SHOLIKHAH")</f>
        <v>SHOLIKHAH</v>
      </c>
      <c r="F299" s="28" t="str">
        <f>IFERROR(__xludf.DUMMYFUNCTION("""COMPUTED_VALUE"""),"KEDUNGKLANTING KEDUNGMEGARIH RT 017 RW 005 KEMBANGBAHU LAMONGAN")</f>
        <v>KEDUNGKLANTING KEDUNGMEGARIH RT 017 RW 005 KEMBANGBAHU LAMONGAN</v>
      </c>
      <c r="G299" s="28" t="str">
        <f>IFERROR(__xludf.DUMMYFUNCTION("""COMPUTED_VALUE"""),"MA-XII.11")</f>
        <v>MA-XII.11</v>
      </c>
      <c r="H299" s="28" t="str">
        <f>IFERROR(__xludf.DUMMYFUNCTION("""COMPUTED_VALUE"""),"D")</f>
        <v>D</v>
      </c>
      <c r="I299" s="28" t="str">
        <f>IFERROR(__xludf.DUMMYFUNCTION("""COMPUTED_VALUE"""),"D-6")</f>
        <v>D-6</v>
      </c>
      <c r="J299" s="28">
        <f>IFERROR(__xludf.DUMMYFUNCTION("""COMPUTED_VALUE"""),3.0)</f>
        <v>3</v>
      </c>
      <c r="K299" s="28" t="str">
        <f>IFERROR(__xludf.DUMMYFUNCTION("""COMPUTED_VALUE"""),"3 WUSTHO C PUTRI")</f>
        <v>3 WUSTHO C PUTRI</v>
      </c>
      <c r="L299" s="29" t="str">
        <f>IFERROR(__xludf.DUMMYFUNCTION("""COMPUTED_VALUE"""),"6285785355522")</f>
        <v>6285785355522</v>
      </c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2">
        <f>IFERROR(__xludf.DUMMYFUNCTION("""COMPUTED_VALUE"""),0.0)</f>
        <v>0</v>
      </c>
      <c r="BD299" s="22">
        <f>IFERROR(__xludf.DUMMYFUNCTION("""COMPUTED_VALUE"""),0.0)</f>
        <v>0</v>
      </c>
      <c r="BE299" s="22">
        <f>IFERROR(__xludf.DUMMYFUNCTION("""COMPUTED_VALUE"""),0.0)</f>
        <v>0</v>
      </c>
      <c r="BF299" s="22">
        <f>IFERROR(__xludf.DUMMYFUNCTION("""COMPUTED_VALUE"""),0.0)</f>
        <v>0</v>
      </c>
    </row>
    <row r="300">
      <c r="A300" s="27">
        <f>IFERROR(__xludf.DUMMYFUNCTION("""COMPUTED_VALUE"""),299.0)</f>
        <v>299</v>
      </c>
      <c r="B300" s="28" t="str">
        <f>IFERROR(__xludf.DUMMYFUNCTION("""COMPUTED_VALUE"""),"PUTRI AYU RAMADHANI")</f>
        <v>PUTRI AYU RAMADHANI</v>
      </c>
      <c r="C300" s="28">
        <f>IFERROR(__xludf.DUMMYFUNCTION("""COMPUTED_VALUE"""),2.024070359E9)</f>
        <v>2024070359</v>
      </c>
      <c r="D300" s="28" t="str">
        <f>IFERROR(__xludf.DUMMYFUNCTION("""COMPUTED_VALUE"""),"SARPAN")</f>
        <v>SARPAN</v>
      </c>
      <c r="E300" s="28" t="str">
        <f>IFERROR(__xludf.DUMMYFUNCTION("""COMPUTED_VALUE"""),"ROHAH")</f>
        <v>ROHAH</v>
      </c>
      <c r="F300" s="28" t="str">
        <f>IFERROR(__xludf.DUMMYFUNCTION("""COMPUTED_VALUE"""),"KEDUNGGLONGGONG SIDOMUKTI RT 003 RW 001 KEMBANGBAHU LAMONGAN")</f>
        <v>KEDUNGGLONGGONG SIDOMUKTI RT 003 RW 001 KEMBANGBAHU LAMONGAN</v>
      </c>
      <c r="G300" s="28" t="str">
        <f>IFERROR(__xludf.DUMMYFUNCTION("""COMPUTED_VALUE"""),"MA-XII.11")</f>
        <v>MA-XII.11</v>
      </c>
      <c r="H300" s="28" t="str">
        <f>IFERROR(__xludf.DUMMYFUNCTION("""COMPUTED_VALUE"""),"D")</f>
        <v>D</v>
      </c>
      <c r="I300" s="28" t="str">
        <f>IFERROR(__xludf.DUMMYFUNCTION("""COMPUTED_VALUE"""),"D-6")</f>
        <v>D-6</v>
      </c>
      <c r="J300" s="28">
        <f>IFERROR(__xludf.DUMMYFUNCTION("""COMPUTED_VALUE"""),3.0)</f>
        <v>3</v>
      </c>
      <c r="K300" s="28" t="str">
        <f>IFERROR(__xludf.DUMMYFUNCTION("""COMPUTED_VALUE"""),"3 WUSTHO C PUTRI")</f>
        <v>3 WUSTHO C PUTRI</v>
      </c>
      <c r="L300" s="29" t="str">
        <f>IFERROR(__xludf.DUMMYFUNCTION("""COMPUTED_VALUE"""),"6285706372425")</f>
        <v>6285706372425</v>
      </c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2">
        <f>IFERROR(__xludf.DUMMYFUNCTION("""COMPUTED_VALUE"""),0.0)</f>
        <v>0</v>
      </c>
      <c r="BD300" s="22">
        <f>IFERROR(__xludf.DUMMYFUNCTION("""COMPUTED_VALUE"""),0.0)</f>
        <v>0</v>
      </c>
      <c r="BE300" s="22">
        <f>IFERROR(__xludf.DUMMYFUNCTION("""COMPUTED_VALUE"""),0.0)</f>
        <v>0</v>
      </c>
      <c r="BF300" s="22">
        <f>IFERROR(__xludf.DUMMYFUNCTION("""COMPUTED_VALUE"""),0.0)</f>
        <v>0</v>
      </c>
    </row>
    <row r="301">
      <c r="A301" s="27">
        <f>IFERROR(__xludf.DUMMYFUNCTION("""COMPUTED_VALUE"""),300.0)</f>
        <v>300</v>
      </c>
      <c r="B301" s="28" t="str">
        <f>IFERROR(__xludf.DUMMYFUNCTION("""COMPUTED_VALUE"""),"ROBI`AH AL-ADHAWIYAH")</f>
        <v>ROBI`AH AL-ADHAWIYAH</v>
      </c>
      <c r="C301" s="28">
        <f>IFERROR(__xludf.DUMMYFUNCTION("""COMPUTED_VALUE"""),2.024070022E9)</f>
        <v>2024070022</v>
      </c>
      <c r="D301" s="28" t="str">
        <f>IFERROR(__xludf.DUMMYFUNCTION("""COMPUTED_VALUE"""),"SUNYOTO")</f>
        <v>SUNYOTO</v>
      </c>
      <c r="E301" s="28" t="str">
        <f>IFERROR(__xludf.DUMMYFUNCTION("""COMPUTED_VALUE"""),"SURATI")</f>
        <v>SURATI</v>
      </c>
      <c r="F301" s="28" t="str">
        <f>IFERROR(__xludf.DUMMYFUNCTION("""COMPUTED_VALUE"""),"KRAJAN 1 SUKOBENDU RT 1 RW 2 MANTUP LAMONGAN")</f>
        <v>KRAJAN 1 SUKOBENDU RT 1 RW 2 MANTUP LAMONGAN</v>
      </c>
      <c r="G301" s="28" t="str">
        <f>IFERROR(__xludf.DUMMYFUNCTION("""COMPUTED_VALUE"""),"MA-XII.1")</f>
        <v>MA-XII.1</v>
      </c>
      <c r="H301" s="28" t="str">
        <f>IFERROR(__xludf.DUMMYFUNCTION("""COMPUTED_VALUE"""),"D")</f>
        <v>D</v>
      </c>
      <c r="I301" s="28" t="str">
        <f>IFERROR(__xludf.DUMMYFUNCTION("""COMPUTED_VALUE"""),"D-7")</f>
        <v>D-7</v>
      </c>
      <c r="J301" s="28">
        <f>IFERROR(__xludf.DUMMYFUNCTION("""COMPUTED_VALUE"""),3.0)</f>
        <v>3</v>
      </c>
      <c r="K301" s="28" t="str">
        <f>IFERROR(__xludf.DUMMYFUNCTION("""COMPUTED_VALUE"""),"")</f>
        <v/>
      </c>
      <c r="L301" s="29" t="str">
        <f>IFERROR(__xludf.DUMMYFUNCTION("""COMPUTED_VALUE"""),"6285133823392")</f>
        <v>6285133823392</v>
      </c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2">
        <f>IFERROR(__xludf.DUMMYFUNCTION("""COMPUTED_VALUE"""),500000.0)</f>
        <v>500000</v>
      </c>
      <c r="AC301" s="28"/>
      <c r="AD301" s="28"/>
      <c r="AE301" s="28"/>
      <c r="AF301" s="28"/>
      <c r="AG301" s="28"/>
      <c r="AH301" s="28"/>
      <c r="AI301" s="22">
        <f>IFERROR(__xludf.DUMMYFUNCTION("""COMPUTED_VALUE"""),450000.0)</f>
        <v>450000</v>
      </c>
      <c r="AJ301" s="22">
        <f>IFERROR(__xludf.DUMMYFUNCTION("""COMPUTED_VALUE"""),450000.0)</f>
        <v>450000</v>
      </c>
      <c r="AK301" s="22">
        <f>IFERROR(__xludf.DUMMYFUNCTION("""COMPUTED_VALUE"""),450000.0)</f>
        <v>450000</v>
      </c>
      <c r="AL301" s="22">
        <f>IFERROR(__xludf.DUMMYFUNCTION("""COMPUTED_VALUE"""),450000.0)</f>
        <v>450000</v>
      </c>
      <c r="AM301" s="22">
        <f>IFERROR(__xludf.DUMMYFUNCTION("""COMPUTED_VALUE"""),450000.0)</f>
        <v>450000</v>
      </c>
      <c r="AN301" s="22">
        <f>IFERROR(__xludf.DUMMYFUNCTION("""COMPUTED_VALUE"""),450000.0)</f>
        <v>450000</v>
      </c>
      <c r="AO301" s="28"/>
      <c r="AP301" s="22">
        <f>IFERROR(__xludf.DUMMYFUNCTION("""COMPUTED_VALUE"""),500000.0)</f>
        <v>500000</v>
      </c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2">
        <f>IFERROR(__xludf.DUMMYFUNCTION("""COMPUTED_VALUE"""),2700000.0)</f>
        <v>2700000</v>
      </c>
      <c r="BD301" s="22">
        <f>IFERROR(__xludf.DUMMYFUNCTION("""COMPUTED_VALUE"""),1000000.0)</f>
        <v>1000000</v>
      </c>
      <c r="BE301" s="22">
        <f>IFERROR(__xludf.DUMMYFUNCTION("""COMPUTED_VALUE"""),0.0)</f>
        <v>0</v>
      </c>
      <c r="BF301" s="22">
        <f>IFERROR(__xludf.DUMMYFUNCTION("""COMPUTED_VALUE"""),3700000.0)</f>
        <v>3700000</v>
      </c>
    </row>
    <row r="302">
      <c r="A302" s="27">
        <f>IFERROR(__xludf.DUMMYFUNCTION("""COMPUTED_VALUE"""),301.0)</f>
        <v>301</v>
      </c>
      <c r="B302" s="28" t="str">
        <f>IFERROR(__xludf.DUMMYFUNCTION("""COMPUTED_VALUE"""),"SUKMA RIZKI AMALIA")</f>
        <v>SUKMA RIZKI AMALIA</v>
      </c>
      <c r="C302" s="28">
        <f>IFERROR(__xludf.DUMMYFUNCTION("""COMPUTED_VALUE"""),2.024070201E9)</f>
        <v>2024070201</v>
      </c>
      <c r="D302" s="28" t="str">
        <f>IFERROR(__xludf.DUMMYFUNCTION("""COMPUTED_VALUE"""),"SUWITO")</f>
        <v>SUWITO</v>
      </c>
      <c r="E302" s="28" t="str">
        <f>IFERROR(__xludf.DUMMYFUNCTION("""COMPUTED_VALUE"""),"UMAROH NATASARI")</f>
        <v>UMAROH NATASARI</v>
      </c>
      <c r="F302" s="28" t="str">
        <f>IFERROR(__xludf.DUMMYFUNCTION("""COMPUTED_VALUE"""),"PLOSOKUNING RT 004 RW 002 PADENGANPLOSO PUCUK LAMONGAN")</f>
        <v>PLOSOKUNING RT 004 RW 002 PADENGANPLOSO PUCUK LAMONGAN</v>
      </c>
      <c r="G302" s="28" t="str">
        <f>IFERROR(__xludf.DUMMYFUNCTION("""COMPUTED_VALUE"""),"MA-XII.12")</f>
        <v>MA-XII.12</v>
      </c>
      <c r="H302" s="28" t="str">
        <f>IFERROR(__xludf.DUMMYFUNCTION("""COMPUTED_VALUE"""),"D")</f>
        <v>D</v>
      </c>
      <c r="I302" s="28" t="str">
        <f>IFERROR(__xludf.DUMMYFUNCTION("""COMPUTED_VALUE"""),"D-6")</f>
        <v>D-6</v>
      </c>
      <c r="J302" s="28">
        <f>IFERROR(__xludf.DUMMYFUNCTION("""COMPUTED_VALUE"""),3.0)</f>
        <v>3</v>
      </c>
      <c r="K302" s="28" t="str">
        <f>IFERROR(__xludf.DUMMYFUNCTION("""COMPUTED_VALUE"""),"3 WUSTHO C PUTRI")</f>
        <v>3 WUSTHO C PUTRI</v>
      </c>
      <c r="L302" s="29" t="str">
        <f>IFERROR(__xludf.DUMMYFUNCTION("""COMPUTED_VALUE"""),"628123082773")</f>
        <v>628123082773</v>
      </c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2">
        <f>IFERROR(__xludf.DUMMYFUNCTION("""COMPUTED_VALUE"""),0.0)</f>
        <v>0</v>
      </c>
      <c r="BD302" s="22">
        <f>IFERROR(__xludf.DUMMYFUNCTION("""COMPUTED_VALUE"""),0.0)</f>
        <v>0</v>
      </c>
      <c r="BE302" s="22">
        <f>IFERROR(__xludf.DUMMYFUNCTION("""COMPUTED_VALUE"""),0.0)</f>
        <v>0</v>
      </c>
      <c r="BF302" s="22">
        <f>IFERROR(__xludf.DUMMYFUNCTION("""COMPUTED_VALUE"""),0.0)</f>
        <v>0</v>
      </c>
    </row>
    <row r="303">
      <c r="A303" s="27">
        <f>IFERROR(__xludf.DUMMYFUNCTION("""COMPUTED_VALUE"""),302.0)</f>
        <v>302</v>
      </c>
      <c r="B303" s="28" t="str">
        <f>IFERROR(__xludf.DUMMYFUNCTION("""COMPUTED_VALUE"""),"AIDA NURUL AINI")</f>
        <v>AIDA NURUL AINI</v>
      </c>
      <c r="C303" s="28">
        <f>IFERROR(__xludf.DUMMYFUNCTION("""COMPUTED_VALUE"""),2.024070582E9)</f>
        <v>2024070582</v>
      </c>
      <c r="D303" s="28" t="str">
        <f>IFERROR(__xludf.DUMMYFUNCTION("""COMPUTED_VALUE"""),"NURUL MISBAH")</f>
        <v>NURUL MISBAH</v>
      </c>
      <c r="E303" s="28" t="str">
        <f>IFERROR(__xludf.DUMMYFUNCTION("""COMPUTED_VALUE"""),"ZAINATUR ROBIHAH")</f>
        <v>ZAINATUR ROBIHAH</v>
      </c>
      <c r="F303" s="28" t="str">
        <f>IFERROR(__xludf.DUMMYFUNCTION("""COMPUTED_VALUE"""),"BANGERAN GENENG RT 003 RW 002 DUKUN GRESIK")</f>
        <v>BANGERAN GENENG RT 003 RW 002 DUKUN GRESIK</v>
      </c>
      <c r="G303" s="28" t="str">
        <f>IFERROR(__xludf.DUMMYFUNCTION("""COMPUTED_VALUE"""),"MTS-9 A")</f>
        <v>MTS-9 A</v>
      </c>
      <c r="H303" s="28" t="str">
        <f>IFERROR(__xludf.DUMMYFUNCTION("""COMPUTED_VALUE"""),"E")</f>
        <v>E</v>
      </c>
      <c r="I303" s="28" t="str">
        <f>IFERROR(__xludf.DUMMYFUNCTION("""COMPUTED_VALUE"""),"E-9")</f>
        <v>E-9</v>
      </c>
      <c r="J303" s="28">
        <f>IFERROR(__xludf.DUMMYFUNCTION("""COMPUTED_VALUE"""),3.0)</f>
        <v>3</v>
      </c>
      <c r="K303" s="28" t="str">
        <f>IFERROR(__xludf.DUMMYFUNCTION("""COMPUTED_VALUE"""),"3 ULA A PUTRI")</f>
        <v>3 ULA A PUTRI</v>
      </c>
      <c r="L303" s="29" t="str">
        <f>IFERROR(__xludf.DUMMYFUNCTION("""COMPUTED_VALUE"""),"6285732704608")</f>
        <v>6285732704608</v>
      </c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2">
        <f>IFERROR(__xludf.DUMMYFUNCTION("""COMPUTED_VALUE"""),500000.0)</f>
        <v>500000</v>
      </c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2">
        <f>IFERROR(__xludf.DUMMYFUNCTION("""COMPUTED_VALUE"""),500000.0)</f>
        <v>500000</v>
      </c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2">
        <f>IFERROR(__xludf.DUMMYFUNCTION("""COMPUTED_VALUE"""),0.0)</f>
        <v>0</v>
      </c>
      <c r="BD303" s="22">
        <f>IFERROR(__xludf.DUMMYFUNCTION("""COMPUTED_VALUE"""),1000000.0)</f>
        <v>1000000</v>
      </c>
      <c r="BE303" s="22">
        <f>IFERROR(__xludf.DUMMYFUNCTION("""COMPUTED_VALUE"""),0.0)</f>
        <v>0</v>
      </c>
      <c r="BF303" s="22">
        <f>IFERROR(__xludf.DUMMYFUNCTION("""COMPUTED_VALUE"""),1000000.0)</f>
        <v>1000000</v>
      </c>
    </row>
    <row r="304">
      <c r="A304" s="27">
        <f>IFERROR(__xludf.DUMMYFUNCTION("""COMPUTED_VALUE"""),303.0)</f>
        <v>303</v>
      </c>
      <c r="B304" s="28" t="str">
        <f>IFERROR(__xludf.DUMMYFUNCTION("""COMPUTED_VALUE"""),"AIKE NESAFA ULIFIA")</f>
        <v>AIKE NESAFA ULIFIA</v>
      </c>
      <c r="C304" s="28">
        <f>IFERROR(__xludf.DUMMYFUNCTION("""COMPUTED_VALUE"""),2.02407045E9)</f>
        <v>2024070450</v>
      </c>
      <c r="D304" s="28" t="str">
        <f>IFERROR(__xludf.DUMMYFUNCTION("""COMPUTED_VALUE"""),"WITONO")</f>
        <v>WITONO</v>
      </c>
      <c r="E304" s="28" t="str">
        <f>IFERROR(__xludf.DUMMYFUNCTION("""COMPUTED_VALUE"""),"MARIA ULFA")</f>
        <v>MARIA ULFA</v>
      </c>
      <c r="F304" s="28" t="str">
        <f>IFERROR(__xludf.DUMMYFUNCTION("""COMPUTED_VALUE"""),"KUSUMA BANGSA GG KERTANEGARA TUMENGGUNGAN RT 003 RW 006 LAMONGAN LAMONGAN")</f>
        <v>KUSUMA BANGSA GG KERTANEGARA TUMENGGUNGAN RT 003 RW 006 LAMONGAN LAMONGAN</v>
      </c>
      <c r="G304" s="28" t="str">
        <f>IFERROR(__xludf.DUMMYFUNCTION("""COMPUTED_VALUE"""),"MTS-9 A")</f>
        <v>MTS-9 A</v>
      </c>
      <c r="H304" s="28" t="str">
        <f>IFERROR(__xludf.DUMMYFUNCTION("""COMPUTED_VALUE"""),"E")</f>
        <v>E</v>
      </c>
      <c r="I304" s="28" t="str">
        <f>IFERROR(__xludf.DUMMYFUNCTION("""COMPUTED_VALUE"""),"E-9")</f>
        <v>E-9</v>
      </c>
      <c r="J304" s="28">
        <f>IFERROR(__xludf.DUMMYFUNCTION("""COMPUTED_VALUE"""),3.0)</f>
        <v>3</v>
      </c>
      <c r="K304" s="28" t="str">
        <f>IFERROR(__xludf.DUMMYFUNCTION("""COMPUTED_VALUE"""),"3 ULA B PUTRI")</f>
        <v>3 ULA B PUTRI</v>
      </c>
      <c r="L304" s="29" t="str">
        <f>IFERROR(__xludf.DUMMYFUNCTION("""COMPUTED_VALUE"""),"6285733946516")</f>
        <v>6285733946516</v>
      </c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2">
        <f>IFERROR(__xludf.DUMMYFUNCTION("""COMPUTED_VALUE"""),0.0)</f>
        <v>0</v>
      </c>
      <c r="BD304" s="22">
        <f>IFERROR(__xludf.DUMMYFUNCTION("""COMPUTED_VALUE"""),0.0)</f>
        <v>0</v>
      </c>
      <c r="BE304" s="22">
        <f>IFERROR(__xludf.DUMMYFUNCTION("""COMPUTED_VALUE"""),0.0)</f>
        <v>0</v>
      </c>
      <c r="BF304" s="22">
        <f>IFERROR(__xludf.DUMMYFUNCTION("""COMPUTED_VALUE"""),0.0)</f>
        <v>0</v>
      </c>
    </row>
    <row r="305">
      <c r="A305" s="27">
        <f>IFERROR(__xludf.DUMMYFUNCTION("""COMPUTED_VALUE"""),304.0)</f>
        <v>304</v>
      </c>
      <c r="B305" s="28" t="str">
        <f>IFERROR(__xludf.DUMMYFUNCTION("""COMPUTED_VALUE"""),"AL IMROTUL KUSNIA")</f>
        <v>AL IMROTUL KUSNIA</v>
      </c>
      <c r="C305" s="28">
        <f>IFERROR(__xludf.DUMMYFUNCTION("""COMPUTED_VALUE"""),2.024070483E9)</f>
        <v>2024070483</v>
      </c>
      <c r="D305" s="28" t="str">
        <f>IFERROR(__xludf.DUMMYFUNCTION("""COMPUTED_VALUE"""),"AFIFUDIN")</f>
        <v>AFIFUDIN</v>
      </c>
      <c r="E305" s="28" t="str">
        <f>IFERROR(__xludf.DUMMYFUNCTION("""COMPUTED_VALUE"""),"ROSYIDAH")</f>
        <v>ROSYIDAH</v>
      </c>
      <c r="F305" s="28" t="str">
        <f>IFERROR(__xludf.DUMMYFUNCTION("""COMPUTED_VALUE"""),"NGAYUNG RT 007 RW 002 MADURAN LAMONGAN")</f>
        <v>NGAYUNG RT 007 RW 002 MADURAN LAMONGAN</v>
      </c>
      <c r="G305" s="28" t="str">
        <f>IFERROR(__xludf.DUMMYFUNCTION("""COMPUTED_VALUE"""),"MTS-9 C")</f>
        <v>MTS-9 C</v>
      </c>
      <c r="H305" s="28" t="str">
        <f>IFERROR(__xludf.DUMMYFUNCTION("""COMPUTED_VALUE"""),"E")</f>
        <v>E</v>
      </c>
      <c r="I305" s="28" t="str">
        <f>IFERROR(__xludf.DUMMYFUNCTION("""COMPUTED_VALUE"""),"E-2")</f>
        <v>E-2</v>
      </c>
      <c r="J305" s="28">
        <f>IFERROR(__xludf.DUMMYFUNCTION("""COMPUTED_VALUE"""),3.0)</f>
        <v>3</v>
      </c>
      <c r="K305" s="28" t="str">
        <f>IFERROR(__xludf.DUMMYFUNCTION("""COMPUTED_VALUE"""),"3 ULA C PUTRI")</f>
        <v>3 ULA C PUTRI</v>
      </c>
      <c r="L305" s="29" t="str">
        <f>IFERROR(__xludf.DUMMYFUNCTION("""COMPUTED_VALUE"""),"6282330812041")</f>
        <v>6282330812041</v>
      </c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2">
        <f>IFERROR(__xludf.DUMMYFUNCTION("""COMPUTED_VALUE"""),500000.0)</f>
        <v>500000</v>
      </c>
      <c r="AL305" s="22">
        <f>IFERROR(__xludf.DUMMYFUNCTION("""COMPUTED_VALUE"""),500000.0)</f>
        <v>500000</v>
      </c>
      <c r="AM305" s="22">
        <f>IFERROR(__xludf.DUMMYFUNCTION("""COMPUTED_VALUE"""),500000.0)</f>
        <v>500000</v>
      </c>
      <c r="AN305" s="22">
        <f>IFERROR(__xludf.DUMMYFUNCTION("""COMPUTED_VALUE"""),500000.0)</f>
        <v>500000</v>
      </c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2">
        <f>IFERROR(__xludf.DUMMYFUNCTION("""COMPUTED_VALUE"""),2000000.0)</f>
        <v>2000000</v>
      </c>
      <c r="BD305" s="22">
        <f>IFERROR(__xludf.DUMMYFUNCTION("""COMPUTED_VALUE"""),0.0)</f>
        <v>0</v>
      </c>
      <c r="BE305" s="22">
        <f>IFERROR(__xludf.DUMMYFUNCTION("""COMPUTED_VALUE"""),0.0)</f>
        <v>0</v>
      </c>
      <c r="BF305" s="22">
        <f>IFERROR(__xludf.DUMMYFUNCTION("""COMPUTED_VALUE"""),2000000.0)</f>
        <v>2000000</v>
      </c>
    </row>
    <row r="306">
      <c r="A306" s="27">
        <f>IFERROR(__xludf.DUMMYFUNCTION("""COMPUTED_VALUE"""),305.0)</f>
        <v>305</v>
      </c>
      <c r="B306" s="28" t="str">
        <f>IFERROR(__xludf.DUMMYFUNCTION("""COMPUTED_VALUE"""),"ANUGRAH RAFIKHA DEWANI")</f>
        <v>ANUGRAH RAFIKHA DEWANI</v>
      </c>
      <c r="C306" s="28">
        <f>IFERROR(__xludf.DUMMYFUNCTION("""COMPUTED_VALUE"""),2.024070618E9)</f>
        <v>2024070618</v>
      </c>
      <c r="D306" s="28" t="str">
        <f>IFERROR(__xludf.DUMMYFUNCTION("""COMPUTED_VALUE"""),"AINUR ROFIQ")</f>
        <v>AINUR ROFIQ</v>
      </c>
      <c r="E306" s="28" t="str">
        <f>IFERROR(__xludf.DUMMYFUNCTION("""COMPUTED_VALUE"""),"MUNAFI'AH")</f>
        <v>MUNAFI'AH</v>
      </c>
      <c r="F306" s="28" t="str">
        <f>IFERROR(__xludf.DUMMYFUNCTION("""COMPUTED_VALUE"""),"BUNGKAWAK TEJOASRI RT 003 RW 004 LAREN LAMONGAN")</f>
        <v>BUNGKAWAK TEJOASRI RT 003 RW 004 LAREN LAMONGAN</v>
      </c>
      <c r="G306" s="28" t="str">
        <f>IFERROR(__xludf.DUMMYFUNCTION("""COMPUTED_VALUE"""),"MTS-9 C")</f>
        <v>MTS-9 C</v>
      </c>
      <c r="H306" s="28" t="str">
        <f>IFERROR(__xludf.DUMMYFUNCTION("""COMPUTED_VALUE"""),"E")</f>
        <v>E</v>
      </c>
      <c r="I306" s="28" t="str">
        <f>IFERROR(__xludf.DUMMYFUNCTION("""COMPUTED_VALUE"""),"E-2")</f>
        <v>E-2</v>
      </c>
      <c r="J306" s="28">
        <f>IFERROR(__xludf.DUMMYFUNCTION("""COMPUTED_VALUE"""),3.0)</f>
        <v>3</v>
      </c>
      <c r="K306" s="28" t="str">
        <f>IFERROR(__xludf.DUMMYFUNCTION("""COMPUTED_VALUE"""),"3 ULA C PUTRI")</f>
        <v>3 ULA C PUTRI</v>
      </c>
      <c r="L306" s="29" t="str">
        <f>IFERROR(__xludf.DUMMYFUNCTION("""COMPUTED_VALUE"""),"6281311516716")</f>
        <v>6281311516716</v>
      </c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2">
        <f>IFERROR(__xludf.DUMMYFUNCTION("""COMPUTED_VALUE"""),500000.0)</f>
        <v>500000</v>
      </c>
      <c r="AN306" s="22">
        <f>IFERROR(__xludf.DUMMYFUNCTION("""COMPUTED_VALUE"""),500000.0)</f>
        <v>500000</v>
      </c>
      <c r="AO306" s="28"/>
      <c r="AP306" s="22">
        <f>IFERROR(__xludf.DUMMYFUNCTION("""COMPUTED_VALUE"""),500000.0)</f>
        <v>500000</v>
      </c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2">
        <f>IFERROR(__xludf.DUMMYFUNCTION("""COMPUTED_VALUE"""),1000000.0)</f>
        <v>1000000</v>
      </c>
      <c r="BD306" s="22">
        <f>IFERROR(__xludf.DUMMYFUNCTION("""COMPUTED_VALUE"""),500000.0)</f>
        <v>500000</v>
      </c>
      <c r="BE306" s="22">
        <f>IFERROR(__xludf.DUMMYFUNCTION("""COMPUTED_VALUE"""),0.0)</f>
        <v>0</v>
      </c>
      <c r="BF306" s="22">
        <f>IFERROR(__xludf.DUMMYFUNCTION("""COMPUTED_VALUE"""),1500000.0)</f>
        <v>1500000</v>
      </c>
    </row>
    <row r="307">
      <c r="A307" s="27">
        <f>IFERROR(__xludf.DUMMYFUNCTION("""COMPUTED_VALUE"""),306.0)</f>
        <v>306</v>
      </c>
      <c r="B307" s="28" t="str">
        <f>IFERROR(__xludf.DUMMYFUNCTION("""COMPUTED_VALUE"""),"ATINA AZKAL FUADAH")</f>
        <v>ATINA AZKAL FUADAH</v>
      </c>
      <c r="C307" s="28">
        <f>IFERROR(__xludf.DUMMYFUNCTION("""COMPUTED_VALUE"""),2.024070474E9)</f>
        <v>2024070474</v>
      </c>
      <c r="D307" s="28" t="str">
        <f>IFERROR(__xludf.DUMMYFUNCTION("""COMPUTED_VALUE"""),"SHOFIYUDDIN")</f>
        <v>SHOFIYUDDIN</v>
      </c>
      <c r="E307" s="28" t="str">
        <f>IFERROR(__xludf.DUMMYFUNCTION("""COMPUTED_VALUE"""),"KHAULA ANIS")</f>
        <v>KHAULA ANIS</v>
      </c>
      <c r="F307" s="28" t="str">
        <f>IFERROR(__xludf.DUMMYFUNCTION("""COMPUTED_VALUE"""),"NGAYUNG RT 006 RW 002 MADURAN LAMONGAN")</f>
        <v>NGAYUNG RT 006 RW 002 MADURAN LAMONGAN</v>
      </c>
      <c r="G307" s="28" t="str">
        <f>IFERROR(__xludf.DUMMYFUNCTION("""COMPUTED_VALUE"""),"MTS-9 B")</f>
        <v>MTS-9 B</v>
      </c>
      <c r="H307" s="28" t="str">
        <f>IFERROR(__xludf.DUMMYFUNCTION("""COMPUTED_VALUE"""),"E")</f>
        <v>E</v>
      </c>
      <c r="I307" s="28" t="str">
        <f>IFERROR(__xludf.DUMMYFUNCTION("""COMPUTED_VALUE"""),"E-3")</f>
        <v>E-3</v>
      </c>
      <c r="J307" s="28">
        <f>IFERROR(__xludf.DUMMYFUNCTION("""COMPUTED_VALUE"""),3.0)</f>
        <v>3</v>
      </c>
      <c r="K307" s="28" t="str">
        <f>IFERROR(__xludf.DUMMYFUNCTION("""COMPUTED_VALUE"""),"3 ULA B PUTRI")</f>
        <v>3 ULA B PUTRI</v>
      </c>
      <c r="L307" s="29" t="str">
        <f>IFERROR(__xludf.DUMMYFUNCTION("""COMPUTED_VALUE"""),"6281554492983")</f>
        <v>6281554492983</v>
      </c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2">
        <f>IFERROR(__xludf.DUMMYFUNCTION("""COMPUTED_VALUE"""),500000.0)</f>
        <v>500000</v>
      </c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2">
        <f>IFERROR(__xludf.DUMMYFUNCTION("""COMPUTED_VALUE"""),500000.0)</f>
        <v>500000</v>
      </c>
      <c r="BD307" s="22">
        <f>IFERROR(__xludf.DUMMYFUNCTION("""COMPUTED_VALUE"""),0.0)</f>
        <v>0</v>
      </c>
      <c r="BE307" s="22">
        <f>IFERROR(__xludf.DUMMYFUNCTION("""COMPUTED_VALUE"""),0.0)</f>
        <v>0</v>
      </c>
      <c r="BF307" s="22">
        <f>IFERROR(__xludf.DUMMYFUNCTION("""COMPUTED_VALUE"""),500000.0)</f>
        <v>500000</v>
      </c>
    </row>
    <row r="308">
      <c r="A308" s="27">
        <f>IFERROR(__xludf.DUMMYFUNCTION("""COMPUTED_VALUE"""),307.0)</f>
        <v>307</v>
      </c>
      <c r="B308" s="28" t="str">
        <f>IFERROR(__xludf.DUMMYFUNCTION("""COMPUTED_VALUE"""),"AZURO SABILA FAZZA MAULIDAH")</f>
        <v>AZURO SABILA FAZZA MAULIDAH</v>
      </c>
      <c r="C308" s="28">
        <f>IFERROR(__xludf.DUMMYFUNCTION("""COMPUTED_VALUE"""),2.024070573E9)</f>
        <v>2024070573</v>
      </c>
      <c r="D308" s="28" t="str">
        <f>IFERROR(__xludf.DUMMYFUNCTION("""COMPUTED_VALUE"""),"KARTONO")</f>
        <v>KARTONO</v>
      </c>
      <c r="E308" s="28" t="str">
        <f>IFERROR(__xludf.DUMMYFUNCTION("""COMPUTED_VALUE"""),"ZUZUN LAILUFAR")</f>
        <v>ZUZUN LAILUFAR</v>
      </c>
      <c r="F308" s="28" t="str">
        <f>IFERROR(__xludf.DUMMYFUNCTION("""COMPUTED_VALUE"""),"GERMAN RT 001 RW 002 SUGIO LAMONGAN")</f>
        <v>GERMAN RT 001 RW 002 SUGIO LAMONGAN</v>
      </c>
      <c r="G308" s="28" t="str">
        <f>IFERROR(__xludf.DUMMYFUNCTION("""COMPUTED_VALUE"""),"MTS-9 C")</f>
        <v>MTS-9 C</v>
      </c>
      <c r="H308" s="28" t="str">
        <f>IFERROR(__xludf.DUMMYFUNCTION("""COMPUTED_VALUE"""),"E")</f>
        <v>E</v>
      </c>
      <c r="I308" s="28" t="str">
        <f>IFERROR(__xludf.DUMMYFUNCTION("""COMPUTED_VALUE"""),"E-2")</f>
        <v>E-2</v>
      </c>
      <c r="J308" s="28">
        <f>IFERROR(__xludf.DUMMYFUNCTION("""COMPUTED_VALUE"""),3.0)</f>
        <v>3</v>
      </c>
      <c r="K308" s="28" t="str">
        <f>IFERROR(__xludf.DUMMYFUNCTION("""COMPUTED_VALUE"""),"3 ULA C PUTRI")</f>
        <v>3 ULA C PUTRI</v>
      </c>
      <c r="L308" s="29" t="str">
        <f>IFERROR(__xludf.DUMMYFUNCTION("""COMPUTED_VALUE"""),"6285707564507")</f>
        <v>6285707564507</v>
      </c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2">
        <f>IFERROR(__xludf.DUMMYFUNCTION("""COMPUTED_VALUE"""),500000.0)</f>
        <v>500000</v>
      </c>
      <c r="AC308" s="28"/>
      <c r="AD308" s="28"/>
      <c r="AE308" s="28"/>
      <c r="AF308" s="28"/>
      <c r="AG308" s="28"/>
      <c r="AH308" s="28"/>
      <c r="AI308" s="28"/>
      <c r="AJ308" s="28"/>
      <c r="AK308" s="22">
        <f>IFERROR(__xludf.DUMMYFUNCTION("""COMPUTED_VALUE"""),500000.0)</f>
        <v>500000</v>
      </c>
      <c r="AL308" s="22">
        <f>IFERROR(__xludf.DUMMYFUNCTION("""COMPUTED_VALUE"""),500000.0)</f>
        <v>500000</v>
      </c>
      <c r="AM308" s="22">
        <f>IFERROR(__xludf.DUMMYFUNCTION("""COMPUTED_VALUE"""),500000.0)</f>
        <v>500000</v>
      </c>
      <c r="AN308" s="22">
        <f>IFERROR(__xludf.DUMMYFUNCTION("""COMPUTED_VALUE"""),500000.0)</f>
        <v>500000</v>
      </c>
      <c r="AO308" s="28"/>
      <c r="AP308" s="22">
        <f>IFERROR(__xludf.DUMMYFUNCTION("""COMPUTED_VALUE"""),500000.0)</f>
        <v>500000</v>
      </c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2">
        <f>IFERROR(__xludf.DUMMYFUNCTION("""COMPUTED_VALUE"""),2000000.0)</f>
        <v>2000000</v>
      </c>
      <c r="BD308" s="22">
        <f>IFERROR(__xludf.DUMMYFUNCTION("""COMPUTED_VALUE"""),1000000.0)</f>
        <v>1000000</v>
      </c>
      <c r="BE308" s="22">
        <f>IFERROR(__xludf.DUMMYFUNCTION("""COMPUTED_VALUE"""),0.0)</f>
        <v>0</v>
      </c>
      <c r="BF308" s="22">
        <f>IFERROR(__xludf.DUMMYFUNCTION("""COMPUTED_VALUE"""),3000000.0)</f>
        <v>3000000</v>
      </c>
    </row>
    <row r="309">
      <c r="A309" s="27">
        <f>IFERROR(__xludf.DUMMYFUNCTION("""COMPUTED_VALUE"""),308.0)</f>
        <v>308</v>
      </c>
      <c r="B309" s="28" t="str">
        <f>IFERROR(__xludf.DUMMYFUNCTION("""COMPUTED_VALUE"""),"BATRISYIA ALFILZAH")</f>
        <v>BATRISYIA ALFILZAH</v>
      </c>
      <c r="C309" s="28">
        <f>IFERROR(__xludf.DUMMYFUNCTION("""COMPUTED_VALUE"""),2.024070634E9)</f>
        <v>2024070634</v>
      </c>
      <c r="D309" s="28" t="str">
        <f>IFERROR(__xludf.DUMMYFUNCTION("""COMPUTED_VALUE"""),"SUYATIN")</f>
        <v>SUYATIN</v>
      </c>
      <c r="E309" s="28" t="str">
        <f>IFERROR(__xludf.DUMMYFUNCTION("""COMPUTED_VALUE"""),"LILIS")</f>
        <v>LILIS</v>
      </c>
      <c r="F309" s="28" t="str">
        <f>IFERROR(__xludf.DUMMYFUNCTION("""COMPUTED_VALUE"""),"KAWISTOLEGI RT 001 RW 001 KARANGGENENG LAMONGAN")</f>
        <v>KAWISTOLEGI RT 001 RW 001 KARANGGENENG LAMONGAN</v>
      </c>
      <c r="G309" s="28" t="str">
        <f>IFERROR(__xludf.DUMMYFUNCTION("""COMPUTED_VALUE"""),"MTS-9 H")</f>
        <v>MTS-9 H</v>
      </c>
      <c r="H309" s="28" t="str">
        <f>IFERROR(__xludf.DUMMYFUNCTION("""COMPUTED_VALUE"""),"E")</f>
        <v>E</v>
      </c>
      <c r="I309" s="28" t="str">
        <f>IFERROR(__xludf.DUMMYFUNCTION("""COMPUTED_VALUE"""),"E-2")</f>
        <v>E-2</v>
      </c>
      <c r="J309" s="28">
        <f>IFERROR(__xludf.DUMMYFUNCTION("""COMPUTED_VALUE"""),3.0)</f>
        <v>3</v>
      </c>
      <c r="K309" s="28" t="str">
        <f>IFERROR(__xludf.DUMMYFUNCTION("""COMPUTED_VALUE"""),"3 ULA A PUTRI")</f>
        <v>3 ULA A PUTRI</v>
      </c>
      <c r="L309" s="29" t="str">
        <f>IFERROR(__xludf.DUMMYFUNCTION("""COMPUTED_VALUE"""),"62895801050384")</f>
        <v>62895801050384</v>
      </c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2">
        <f>IFERROR(__xludf.DUMMYFUNCTION("""COMPUTED_VALUE"""),500000.0)</f>
        <v>500000</v>
      </c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2">
        <f>IFERROR(__xludf.DUMMYFUNCTION("""COMPUTED_VALUE"""),500000.0)</f>
        <v>500000</v>
      </c>
      <c r="BD309" s="22">
        <f>IFERROR(__xludf.DUMMYFUNCTION("""COMPUTED_VALUE"""),0.0)</f>
        <v>0</v>
      </c>
      <c r="BE309" s="22">
        <f>IFERROR(__xludf.DUMMYFUNCTION("""COMPUTED_VALUE"""),0.0)</f>
        <v>0</v>
      </c>
      <c r="BF309" s="22">
        <f>IFERROR(__xludf.DUMMYFUNCTION("""COMPUTED_VALUE"""),500000.0)</f>
        <v>500000</v>
      </c>
    </row>
    <row r="310">
      <c r="A310" s="27">
        <f>IFERROR(__xludf.DUMMYFUNCTION("""COMPUTED_VALUE"""),309.0)</f>
        <v>309</v>
      </c>
      <c r="B310" s="28" t="str">
        <f>IFERROR(__xludf.DUMMYFUNCTION("""COMPUTED_VALUE"""),"CHARISA WANIDYA UTAMA HARTONO")</f>
        <v>CHARISA WANIDYA UTAMA HARTONO</v>
      </c>
      <c r="C310" s="28">
        <f>IFERROR(__xludf.DUMMYFUNCTION("""COMPUTED_VALUE"""),2.024070476E9)</f>
        <v>2024070476</v>
      </c>
      <c r="D310" s="28" t="str">
        <f>IFERROR(__xludf.DUMMYFUNCTION("""COMPUTED_VALUE"""),"RUDI HARTONO")</f>
        <v>RUDI HARTONO</v>
      </c>
      <c r="E310" s="28" t="str">
        <f>IFERROR(__xludf.DUMMYFUNCTION("""COMPUTED_VALUE"""),"AINUL ISNAENI")</f>
        <v>AINUL ISNAENI</v>
      </c>
      <c r="F310" s="28" t="str">
        <f>IFERROR(__xludf.DUMMYFUNCTION("""COMPUTED_VALUE"""),"MULUNG KARANGTINGGIL RT 002 RW 001 PUCUK LAMONGAN")</f>
        <v>MULUNG KARANGTINGGIL RT 002 RW 001 PUCUK LAMONGAN</v>
      </c>
      <c r="G310" s="28" t="str">
        <f>IFERROR(__xludf.DUMMYFUNCTION("""COMPUTED_VALUE"""),"MTS-9 A")</f>
        <v>MTS-9 A</v>
      </c>
      <c r="H310" s="28" t="str">
        <f>IFERROR(__xludf.DUMMYFUNCTION("""COMPUTED_VALUE"""),"E")</f>
        <v>E</v>
      </c>
      <c r="I310" s="28" t="str">
        <f>IFERROR(__xludf.DUMMYFUNCTION("""COMPUTED_VALUE"""),"E-9")</f>
        <v>E-9</v>
      </c>
      <c r="J310" s="28">
        <f>IFERROR(__xludf.DUMMYFUNCTION("""COMPUTED_VALUE"""),3.0)</f>
        <v>3</v>
      </c>
      <c r="K310" s="28" t="str">
        <f>IFERROR(__xludf.DUMMYFUNCTION("""COMPUTED_VALUE"""),"3 ULA A PUTRI")</f>
        <v>3 ULA A PUTRI</v>
      </c>
      <c r="L310" s="29" t="str">
        <f>IFERROR(__xludf.DUMMYFUNCTION("""COMPUTED_VALUE"""),"6282234537281")</f>
        <v>6282234537281</v>
      </c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2">
        <f>IFERROR(__xludf.DUMMYFUNCTION("""COMPUTED_VALUE"""),0.0)</f>
        <v>0</v>
      </c>
      <c r="BD310" s="22">
        <f>IFERROR(__xludf.DUMMYFUNCTION("""COMPUTED_VALUE"""),0.0)</f>
        <v>0</v>
      </c>
      <c r="BE310" s="22">
        <f>IFERROR(__xludf.DUMMYFUNCTION("""COMPUTED_VALUE"""),0.0)</f>
        <v>0</v>
      </c>
      <c r="BF310" s="22">
        <f>IFERROR(__xludf.DUMMYFUNCTION("""COMPUTED_VALUE"""),0.0)</f>
        <v>0</v>
      </c>
    </row>
    <row r="311">
      <c r="A311" s="27">
        <f>IFERROR(__xludf.DUMMYFUNCTION("""COMPUTED_VALUE"""),310.0)</f>
        <v>310</v>
      </c>
      <c r="B311" s="28" t="str">
        <f>IFERROR(__xludf.DUMMYFUNCTION("""COMPUTED_VALUE"""),"DAVINA RATNANDITA")</f>
        <v>DAVINA RATNANDITA</v>
      </c>
      <c r="C311" s="28">
        <f>IFERROR(__xludf.DUMMYFUNCTION("""COMPUTED_VALUE"""),2.024070445E9)</f>
        <v>2024070445</v>
      </c>
      <c r="D311" s="28" t="str">
        <f>IFERROR(__xludf.DUMMYFUNCTION("""COMPUTED_VALUE"""),"SYUKRI")</f>
        <v>SYUKRI</v>
      </c>
      <c r="E311" s="28" t="str">
        <f>IFERROR(__xludf.DUMMYFUNCTION("""COMPUTED_VALUE"""),"SUWATUN")</f>
        <v>SUWATUN</v>
      </c>
      <c r="F311" s="28" t="str">
        <f>IFERROR(__xludf.DUMMYFUNCTION("""COMPUTED_VALUE"""),"TEMBOK PENDOWOLIMO RT 002 RW 003 KARANGBINANGUN LAMONGAN")</f>
        <v>TEMBOK PENDOWOLIMO RT 002 RW 003 KARANGBINANGUN LAMONGAN</v>
      </c>
      <c r="G311" s="28" t="str">
        <f>IFERROR(__xludf.DUMMYFUNCTION("""COMPUTED_VALUE"""),"MTS-9 B")</f>
        <v>MTS-9 B</v>
      </c>
      <c r="H311" s="28" t="str">
        <f>IFERROR(__xludf.DUMMYFUNCTION("""COMPUTED_VALUE"""),"E")</f>
        <v>E</v>
      </c>
      <c r="I311" s="28" t="str">
        <f>IFERROR(__xludf.DUMMYFUNCTION("""COMPUTED_VALUE"""),"E-2")</f>
        <v>E-2</v>
      </c>
      <c r="J311" s="28">
        <f>IFERROR(__xludf.DUMMYFUNCTION("""COMPUTED_VALUE"""),3.0)</f>
        <v>3</v>
      </c>
      <c r="K311" s="28" t="str">
        <f>IFERROR(__xludf.DUMMYFUNCTION("""COMPUTED_VALUE"""),"3 ULA A PUTRI")</f>
        <v>3 ULA A PUTRI</v>
      </c>
      <c r="L311" s="29" t="str">
        <f>IFERROR(__xludf.DUMMYFUNCTION("""COMPUTED_VALUE"""),"6282131864843")</f>
        <v>6282131864843</v>
      </c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2">
        <f>IFERROR(__xludf.DUMMYFUNCTION("""COMPUTED_VALUE"""),500000.0)</f>
        <v>500000</v>
      </c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2">
        <f>IFERROR(__xludf.DUMMYFUNCTION("""COMPUTED_VALUE"""),500000.0)</f>
        <v>500000</v>
      </c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2">
        <f>IFERROR(__xludf.DUMMYFUNCTION("""COMPUTED_VALUE"""),0.0)</f>
        <v>0</v>
      </c>
      <c r="BD311" s="22">
        <f>IFERROR(__xludf.DUMMYFUNCTION("""COMPUTED_VALUE"""),1000000.0)</f>
        <v>1000000</v>
      </c>
      <c r="BE311" s="22">
        <f>IFERROR(__xludf.DUMMYFUNCTION("""COMPUTED_VALUE"""),0.0)</f>
        <v>0</v>
      </c>
      <c r="BF311" s="22">
        <f>IFERROR(__xludf.DUMMYFUNCTION("""COMPUTED_VALUE"""),1000000.0)</f>
        <v>1000000</v>
      </c>
    </row>
    <row r="312">
      <c r="A312" s="27">
        <f>IFERROR(__xludf.DUMMYFUNCTION("""COMPUTED_VALUE"""),311.0)</f>
        <v>311</v>
      </c>
      <c r="B312" s="28" t="str">
        <f>IFERROR(__xludf.DUMMYFUNCTION("""COMPUTED_VALUE"""),"DWI MAULIDIYAH")</f>
        <v>DWI MAULIDIYAH</v>
      </c>
      <c r="C312" s="28">
        <f>IFERROR(__xludf.DUMMYFUNCTION("""COMPUTED_VALUE"""),2.024070596E9)</f>
        <v>2024070596</v>
      </c>
      <c r="D312" s="28" t="str">
        <f>IFERROR(__xludf.DUMMYFUNCTION("""COMPUTED_VALUE"""),"USMAN HADI")</f>
        <v>USMAN HADI</v>
      </c>
      <c r="E312" s="28" t="str">
        <f>IFERROR(__xludf.DUMMYFUNCTION("""COMPUTED_VALUE"""),"ISLAMIYAH")</f>
        <v>ISLAMIYAH</v>
      </c>
      <c r="F312" s="28" t="str">
        <f>IFERROR(__xludf.DUMMYFUNCTION("""COMPUTED_VALUE"""),"KARANGTAPEN KARANGLANGIT RT 001 RW 003 LAMONGAN LAMONGAN")</f>
        <v>KARANGTAPEN KARANGLANGIT RT 001 RW 003 LAMONGAN LAMONGAN</v>
      </c>
      <c r="G312" s="28" t="str">
        <f>IFERROR(__xludf.DUMMYFUNCTION("""COMPUTED_VALUE"""),"MTS-9 A")</f>
        <v>MTS-9 A</v>
      </c>
      <c r="H312" s="28" t="str">
        <f>IFERROR(__xludf.DUMMYFUNCTION("""COMPUTED_VALUE"""),"E")</f>
        <v>E</v>
      </c>
      <c r="I312" s="28" t="str">
        <f>IFERROR(__xludf.DUMMYFUNCTION("""COMPUTED_VALUE"""),"E-9")</f>
        <v>E-9</v>
      </c>
      <c r="J312" s="28">
        <f>IFERROR(__xludf.DUMMYFUNCTION("""COMPUTED_VALUE"""),3.0)</f>
        <v>3</v>
      </c>
      <c r="K312" s="28" t="str">
        <f>IFERROR(__xludf.DUMMYFUNCTION("""COMPUTED_VALUE"""),"3 ULA B PUTRI")</f>
        <v>3 ULA B PUTRI</v>
      </c>
      <c r="L312" s="29" t="str">
        <f>IFERROR(__xludf.DUMMYFUNCTION("""COMPUTED_VALUE"""),"6285853420436")</f>
        <v>6285853420436</v>
      </c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2">
        <f>IFERROR(__xludf.DUMMYFUNCTION("""COMPUTED_VALUE"""),270000.0)</f>
        <v>270000</v>
      </c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2">
        <f>IFERROR(__xludf.DUMMYFUNCTION("""COMPUTED_VALUE"""),270000.0)</f>
        <v>270000</v>
      </c>
      <c r="BD312" s="22">
        <f>IFERROR(__xludf.DUMMYFUNCTION("""COMPUTED_VALUE"""),0.0)</f>
        <v>0</v>
      </c>
      <c r="BE312" s="22">
        <f>IFERROR(__xludf.DUMMYFUNCTION("""COMPUTED_VALUE"""),0.0)</f>
        <v>0</v>
      </c>
      <c r="BF312" s="22">
        <f>IFERROR(__xludf.DUMMYFUNCTION("""COMPUTED_VALUE"""),270000.0)</f>
        <v>270000</v>
      </c>
    </row>
    <row r="313">
      <c r="A313" s="27">
        <f>IFERROR(__xludf.DUMMYFUNCTION("""COMPUTED_VALUE"""),312.0)</f>
        <v>312</v>
      </c>
      <c r="B313" s="28" t="str">
        <f>IFERROR(__xludf.DUMMYFUNCTION("""COMPUTED_VALUE"""),"ERIN MAULIDIAH")</f>
        <v>ERIN MAULIDIAH</v>
      </c>
      <c r="C313" s="28">
        <f>IFERROR(__xludf.DUMMYFUNCTION("""COMPUTED_VALUE"""),2.024070475E9)</f>
        <v>2024070475</v>
      </c>
      <c r="D313" s="28" t="str">
        <f>IFERROR(__xludf.DUMMYFUNCTION("""COMPUTED_VALUE"""),"MUSTAKIM")</f>
        <v>MUSTAKIM</v>
      </c>
      <c r="E313" s="28" t="str">
        <f>IFERROR(__xludf.DUMMYFUNCTION("""COMPUTED_VALUE"""),"ASMAUS SHOFIYANAH")</f>
        <v>ASMAUS SHOFIYANAH</v>
      </c>
      <c r="F313" s="28" t="str">
        <f>IFERROR(__xludf.DUMMYFUNCTION("""COMPUTED_VALUE"""),"NGAYUNG RT 005 RW 002 MADURAN LAMONGAN")</f>
        <v>NGAYUNG RT 005 RW 002 MADURAN LAMONGAN</v>
      </c>
      <c r="G313" s="28" t="str">
        <f>IFERROR(__xludf.DUMMYFUNCTION("""COMPUTED_VALUE"""),"MTS-9 B")</f>
        <v>MTS-9 B</v>
      </c>
      <c r="H313" s="28" t="str">
        <f>IFERROR(__xludf.DUMMYFUNCTION("""COMPUTED_VALUE"""),"E")</f>
        <v>E</v>
      </c>
      <c r="I313" s="28" t="str">
        <f>IFERROR(__xludf.DUMMYFUNCTION("""COMPUTED_VALUE"""),"E-3")</f>
        <v>E-3</v>
      </c>
      <c r="J313" s="28">
        <f>IFERROR(__xludf.DUMMYFUNCTION("""COMPUTED_VALUE"""),3.0)</f>
        <v>3</v>
      </c>
      <c r="K313" s="28" t="str">
        <f>IFERROR(__xludf.DUMMYFUNCTION("""COMPUTED_VALUE"""),"3 ULA B PUTRI")</f>
        <v>3 ULA B PUTRI</v>
      </c>
      <c r="L313" s="29" t="str">
        <f>IFERROR(__xludf.DUMMYFUNCTION("""COMPUTED_VALUE"""),"6282233810314")</f>
        <v>6282233810314</v>
      </c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2">
        <f>IFERROR(__xludf.DUMMYFUNCTION("""COMPUTED_VALUE"""),500000.0)</f>
        <v>500000</v>
      </c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2">
        <f>IFERROR(__xludf.DUMMYFUNCTION("""COMPUTED_VALUE"""),0.0)</f>
        <v>0</v>
      </c>
      <c r="BD313" s="22">
        <f>IFERROR(__xludf.DUMMYFUNCTION("""COMPUTED_VALUE"""),500000.0)</f>
        <v>500000</v>
      </c>
      <c r="BE313" s="22">
        <f>IFERROR(__xludf.DUMMYFUNCTION("""COMPUTED_VALUE"""),0.0)</f>
        <v>0</v>
      </c>
      <c r="BF313" s="22">
        <f>IFERROR(__xludf.DUMMYFUNCTION("""COMPUTED_VALUE"""),500000.0)</f>
        <v>500000</v>
      </c>
    </row>
    <row r="314">
      <c r="A314" s="27">
        <f>IFERROR(__xludf.DUMMYFUNCTION("""COMPUTED_VALUE"""),313.0)</f>
        <v>313</v>
      </c>
      <c r="B314" s="28" t="str">
        <f>IFERROR(__xludf.DUMMYFUNCTION("""COMPUTED_VALUE"""),"FAIQOTUR RIFDAH AL ABIDAH")</f>
        <v>FAIQOTUR RIFDAH AL ABIDAH</v>
      </c>
      <c r="C314" s="28">
        <f>IFERROR(__xludf.DUMMYFUNCTION("""COMPUTED_VALUE"""),2.024070487E9)</f>
        <v>2024070487</v>
      </c>
      <c r="D314" s="28" t="str">
        <f>IFERROR(__xludf.DUMMYFUNCTION("""COMPUTED_VALUE"""),"KHOIRUL ANAM")</f>
        <v>KHOIRUL ANAM</v>
      </c>
      <c r="E314" s="28" t="str">
        <f>IFERROR(__xludf.DUMMYFUNCTION("""COMPUTED_VALUE"""),"CHAMIMAH")</f>
        <v>CHAMIMAH</v>
      </c>
      <c r="F314" s="28" t="str">
        <f>IFERROR(__xludf.DUMMYFUNCTION("""COMPUTED_VALUE"""),"PLOSOSETRO RT 008 RW 002 PUCUK LAMONGAN")</f>
        <v>PLOSOSETRO RT 008 RW 002 PUCUK LAMONGAN</v>
      </c>
      <c r="G314" s="28" t="str">
        <f>IFERROR(__xludf.DUMMYFUNCTION("""COMPUTED_VALUE"""),"MTS-9 C")</f>
        <v>MTS-9 C</v>
      </c>
      <c r="H314" s="28" t="str">
        <f>IFERROR(__xludf.DUMMYFUNCTION("""COMPUTED_VALUE"""),"E")</f>
        <v>E</v>
      </c>
      <c r="I314" s="28" t="str">
        <f>IFERROR(__xludf.DUMMYFUNCTION("""COMPUTED_VALUE"""),"E-2")</f>
        <v>E-2</v>
      </c>
      <c r="J314" s="28">
        <f>IFERROR(__xludf.DUMMYFUNCTION("""COMPUTED_VALUE"""),3.0)</f>
        <v>3</v>
      </c>
      <c r="K314" s="28" t="str">
        <f>IFERROR(__xludf.DUMMYFUNCTION("""COMPUTED_VALUE"""),"3 ULA B PUTRI")</f>
        <v>3 ULA B PUTRI</v>
      </c>
      <c r="L314" s="29" t="str">
        <f>IFERROR(__xludf.DUMMYFUNCTION("""COMPUTED_VALUE"""),"6285791612653")</f>
        <v>6285791612653</v>
      </c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2">
        <f>IFERROR(__xludf.DUMMYFUNCTION("""COMPUTED_VALUE"""),500000.0)</f>
        <v>500000</v>
      </c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2">
        <f>IFERROR(__xludf.DUMMYFUNCTION("""COMPUTED_VALUE"""),0.0)</f>
        <v>0</v>
      </c>
      <c r="BD314" s="22">
        <f>IFERROR(__xludf.DUMMYFUNCTION("""COMPUTED_VALUE"""),500000.0)</f>
        <v>500000</v>
      </c>
      <c r="BE314" s="22">
        <f>IFERROR(__xludf.DUMMYFUNCTION("""COMPUTED_VALUE"""),0.0)</f>
        <v>0</v>
      </c>
      <c r="BF314" s="22">
        <f>IFERROR(__xludf.DUMMYFUNCTION("""COMPUTED_VALUE"""),500000.0)</f>
        <v>500000</v>
      </c>
    </row>
    <row r="315">
      <c r="A315" s="27">
        <f>IFERROR(__xludf.DUMMYFUNCTION("""COMPUTED_VALUE"""),314.0)</f>
        <v>314</v>
      </c>
      <c r="B315" s="28" t="str">
        <f>IFERROR(__xludf.DUMMYFUNCTION("""COMPUTED_VALUE"""),"FARAH OKTARIAN SYAHPUTRI")</f>
        <v>FARAH OKTARIAN SYAHPUTRI</v>
      </c>
      <c r="C315" s="28">
        <f>IFERROR(__xludf.DUMMYFUNCTION("""COMPUTED_VALUE"""),2.024070466E9)</f>
        <v>2024070466</v>
      </c>
      <c r="D315" s="28" t="str">
        <f>IFERROR(__xludf.DUMMYFUNCTION("""COMPUTED_VALUE"""),"M. SARONI")</f>
        <v>M. SARONI</v>
      </c>
      <c r="E315" s="28" t="str">
        <f>IFERROR(__xludf.DUMMYFUNCTION("""COMPUTED_VALUE"""),"HUSNUL MUSTAFIDAH")</f>
        <v>HUSNUL MUSTAFIDAH</v>
      </c>
      <c r="F315" s="28" t="str">
        <f>IFERROR(__xludf.DUMMYFUNCTION("""COMPUTED_VALUE"""),"JL. RAYA SUGIO NO. 53 KEBET RT 004 RW 001 LAMONGAN LAMONGAN")</f>
        <v>JL. RAYA SUGIO NO. 53 KEBET RT 004 RW 001 LAMONGAN LAMONGAN</v>
      </c>
      <c r="G315" s="28" t="str">
        <f>IFERROR(__xludf.DUMMYFUNCTION("""COMPUTED_VALUE"""),"MTS-9 A")</f>
        <v>MTS-9 A</v>
      </c>
      <c r="H315" s="28" t="str">
        <f>IFERROR(__xludf.DUMMYFUNCTION("""COMPUTED_VALUE"""),"E")</f>
        <v>E</v>
      </c>
      <c r="I315" s="28" t="str">
        <f>IFERROR(__xludf.DUMMYFUNCTION("""COMPUTED_VALUE"""),"E-9")</f>
        <v>E-9</v>
      </c>
      <c r="J315" s="28">
        <f>IFERROR(__xludf.DUMMYFUNCTION("""COMPUTED_VALUE"""),3.0)</f>
        <v>3</v>
      </c>
      <c r="K315" s="28" t="str">
        <f>IFERROR(__xludf.DUMMYFUNCTION("""COMPUTED_VALUE"""),"3 ULA C PUTRI")</f>
        <v>3 ULA C PUTRI</v>
      </c>
      <c r="L315" s="29" t="str">
        <f>IFERROR(__xludf.DUMMYFUNCTION("""COMPUTED_VALUE"""),"6281332772930")</f>
        <v>6281332772930</v>
      </c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2">
        <f>IFERROR(__xludf.DUMMYFUNCTION("""COMPUTED_VALUE"""),500000.0)</f>
        <v>500000</v>
      </c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2">
        <f>IFERROR(__xludf.DUMMYFUNCTION("""COMPUTED_VALUE"""),0.0)</f>
        <v>0</v>
      </c>
      <c r="BD315" s="22">
        <f>IFERROR(__xludf.DUMMYFUNCTION("""COMPUTED_VALUE"""),500000.0)</f>
        <v>500000</v>
      </c>
      <c r="BE315" s="22">
        <f>IFERROR(__xludf.DUMMYFUNCTION("""COMPUTED_VALUE"""),0.0)</f>
        <v>0</v>
      </c>
      <c r="BF315" s="22">
        <f>IFERROR(__xludf.DUMMYFUNCTION("""COMPUTED_VALUE"""),500000.0)</f>
        <v>500000</v>
      </c>
    </row>
    <row r="316">
      <c r="A316" s="27">
        <f>IFERROR(__xludf.DUMMYFUNCTION("""COMPUTED_VALUE"""),315.0)</f>
        <v>315</v>
      </c>
      <c r="B316" s="28" t="str">
        <f>IFERROR(__xludf.DUMMYFUNCTION("""COMPUTED_VALUE"""),"FITHRIYATUL MAULIDAH")</f>
        <v>FITHRIYATUL MAULIDAH</v>
      </c>
      <c r="C316" s="28">
        <f>IFERROR(__xludf.DUMMYFUNCTION("""COMPUTED_VALUE"""),2.024070546E9)</f>
        <v>2024070546</v>
      </c>
      <c r="D316" s="28" t="str">
        <f>IFERROR(__xludf.DUMMYFUNCTION("""COMPUTED_VALUE"""),"ABDUL ROHIM")</f>
        <v>ABDUL ROHIM</v>
      </c>
      <c r="E316" s="28" t="str">
        <f>IFERROR(__xludf.DUMMYFUNCTION("""COMPUTED_VALUE"""),"MAHWIYAH")</f>
        <v>MAHWIYAH</v>
      </c>
      <c r="F316" s="28" t="str">
        <f>IFERROR(__xludf.DUMMYFUNCTION("""COMPUTED_VALUE"""),"KALIREJO RT 003 RW 002 DUKUN GRESIK")</f>
        <v>KALIREJO RT 003 RW 002 DUKUN GRESIK</v>
      </c>
      <c r="G316" s="28" t="str">
        <f>IFERROR(__xludf.DUMMYFUNCTION("""COMPUTED_VALUE"""),"MTS-9 H")</f>
        <v>MTS-9 H</v>
      </c>
      <c r="H316" s="28" t="str">
        <f>IFERROR(__xludf.DUMMYFUNCTION("""COMPUTED_VALUE"""),"E")</f>
        <v>E</v>
      </c>
      <c r="I316" s="28" t="str">
        <f>IFERROR(__xludf.DUMMYFUNCTION("""COMPUTED_VALUE"""),"E-3")</f>
        <v>E-3</v>
      </c>
      <c r="J316" s="28">
        <f>IFERROR(__xludf.DUMMYFUNCTION("""COMPUTED_VALUE"""),3.0)</f>
        <v>3</v>
      </c>
      <c r="K316" s="28" t="str">
        <f>IFERROR(__xludf.DUMMYFUNCTION("""COMPUTED_VALUE"""),"3 ULA B PUTRI")</f>
        <v>3 ULA B PUTRI</v>
      </c>
      <c r="L316" s="29" t="str">
        <f>IFERROR(__xludf.DUMMYFUNCTION("""COMPUTED_VALUE"""),"6282257167881")</f>
        <v>6282257167881</v>
      </c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2">
        <f>IFERROR(__xludf.DUMMYFUNCTION("""COMPUTED_VALUE"""),0.0)</f>
        <v>0</v>
      </c>
      <c r="BD316" s="22">
        <f>IFERROR(__xludf.DUMMYFUNCTION("""COMPUTED_VALUE"""),0.0)</f>
        <v>0</v>
      </c>
      <c r="BE316" s="22">
        <f>IFERROR(__xludf.DUMMYFUNCTION("""COMPUTED_VALUE"""),0.0)</f>
        <v>0</v>
      </c>
      <c r="BF316" s="22">
        <f>IFERROR(__xludf.DUMMYFUNCTION("""COMPUTED_VALUE"""),0.0)</f>
        <v>0</v>
      </c>
    </row>
    <row r="317">
      <c r="A317" s="27">
        <f>IFERROR(__xludf.DUMMYFUNCTION("""COMPUTED_VALUE"""),316.0)</f>
        <v>316</v>
      </c>
      <c r="B317" s="28" t="str">
        <f>IFERROR(__xludf.DUMMYFUNCTION("""COMPUTED_VALUE"""),"HABIBAH AQILAH RAMADHONI")</f>
        <v>HABIBAH AQILAH RAMADHONI</v>
      </c>
      <c r="C317" s="28">
        <f>IFERROR(__xludf.DUMMYFUNCTION("""COMPUTED_VALUE"""),2.024070459E9)</f>
        <v>2024070459</v>
      </c>
      <c r="D317" s="28" t="str">
        <f>IFERROR(__xludf.DUMMYFUNCTION("""COMPUTED_VALUE"""),"MOH. HABIBUL QOSIM")</f>
        <v>MOH. HABIBUL QOSIM</v>
      </c>
      <c r="E317" s="28" t="str">
        <f>IFERROR(__xludf.DUMMYFUNCTION("""COMPUTED_VALUE"""),"KHOLIFATUS SA'DIYAH")</f>
        <v>KHOLIFATUS SA'DIYAH</v>
      </c>
      <c r="F317" s="28" t="str">
        <f>IFERROR(__xludf.DUMMYFUNCTION("""COMPUTED_VALUE"""),"PENGANGSALAN RT 002 RW 002 KALITENGAH LAMONGAN")</f>
        <v>PENGANGSALAN RT 002 RW 002 KALITENGAH LAMONGAN</v>
      </c>
      <c r="G317" s="28" t="str">
        <f>IFERROR(__xludf.DUMMYFUNCTION("""COMPUTED_VALUE"""),"MTS-9 H")</f>
        <v>MTS-9 H</v>
      </c>
      <c r="H317" s="28" t="str">
        <f>IFERROR(__xludf.DUMMYFUNCTION("""COMPUTED_VALUE"""),"E")</f>
        <v>E</v>
      </c>
      <c r="I317" s="28" t="str">
        <f>IFERROR(__xludf.DUMMYFUNCTION("""COMPUTED_VALUE"""),"E-3")</f>
        <v>E-3</v>
      </c>
      <c r="J317" s="28">
        <f>IFERROR(__xludf.DUMMYFUNCTION("""COMPUTED_VALUE"""),3.0)</f>
        <v>3</v>
      </c>
      <c r="K317" s="28" t="str">
        <f>IFERROR(__xludf.DUMMYFUNCTION("""COMPUTED_VALUE"""),"3 ULA C PUTRI")</f>
        <v>3 ULA C PUTRI</v>
      </c>
      <c r="L317" s="29" t="str">
        <f>IFERROR(__xludf.DUMMYFUNCTION("""COMPUTED_VALUE"""),"6285732806511")</f>
        <v>6285732806511</v>
      </c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2" t="str">
        <f>IFERROR(__xludf.DUMMYFUNCTION("""COMPUTED_VALUE""")," ")</f>
        <v> </v>
      </c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2">
        <f>IFERROR(__xludf.DUMMYFUNCTION("""COMPUTED_VALUE"""),0.0)</f>
        <v>0</v>
      </c>
      <c r="BD317" s="22">
        <f>IFERROR(__xludf.DUMMYFUNCTION("""COMPUTED_VALUE"""),0.0)</f>
        <v>0</v>
      </c>
      <c r="BE317" s="22">
        <f>IFERROR(__xludf.DUMMYFUNCTION("""COMPUTED_VALUE"""),0.0)</f>
        <v>0</v>
      </c>
      <c r="BF317" s="22">
        <f>IFERROR(__xludf.DUMMYFUNCTION("""COMPUTED_VALUE"""),0.0)</f>
        <v>0</v>
      </c>
    </row>
    <row r="318">
      <c r="A318" s="27">
        <f>IFERROR(__xludf.DUMMYFUNCTION("""COMPUTED_VALUE"""),317.0)</f>
        <v>317</v>
      </c>
      <c r="B318" s="28" t="str">
        <f>IFERROR(__xludf.DUMMYFUNCTION("""COMPUTED_VALUE"""),"ILHAFAH ARYA NOVRYANI")</f>
        <v>ILHAFAH ARYA NOVRYANI</v>
      </c>
      <c r="C318" s="28">
        <f>IFERROR(__xludf.DUMMYFUNCTION("""COMPUTED_VALUE"""),2.024070617E9)</f>
        <v>2024070617</v>
      </c>
      <c r="D318" s="28" t="str">
        <f>IFERROR(__xludf.DUMMYFUNCTION("""COMPUTED_VALUE"""),"KARIONO")</f>
        <v>KARIONO</v>
      </c>
      <c r="E318" s="28" t="str">
        <f>IFERROR(__xludf.DUMMYFUNCTION("""COMPUTED_VALUE"""),"NGATMIATUN")</f>
        <v>NGATMIATUN</v>
      </c>
      <c r="F318" s="28" t="str">
        <f>IFERROR(__xludf.DUMMYFUNCTION("""COMPUTED_VALUE"""),"TEJOASRI RT 003 RW 005 LAREN LAMONGAN")</f>
        <v>TEJOASRI RT 003 RW 005 LAREN LAMONGAN</v>
      </c>
      <c r="G318" s="28" t="str">
        <f>IFERROR(__xludf.DUMMYFUNCTION("""COMPUTED_VALUE"""),"MTS-9 G")</f>
        <v>MTS-9 G</v>
      </c>
      <c r="H318" s="28" t="str">
        <f>IFERROR(__xludf.DUMMYFUNCTION("""COMPUTED_VALUE"""),"E")</f>
        <v>E</v>
      </c>
      <c r="I318" s="28" t="str">
        <f>IFERROR(__xludf.DUMMYFUNCTION("""COMPUTED_VALUE"""),"E-3")</f>
        <v>E-3</v>
      </c>
      <c r="J318" s="28">
        <f>IFERROR(__xludf.DUMMYFUNCTION("""COMPUTED_VALUE"""),3.0)</f>
        <v>3</v>
      </c>
      <c r="K318" s="28" t="str">
        <f>IFERROR(__xludf.DUMMYFUNCTION("""COMPUTED_VALUE"""),"3 ULA B PUTRI")</f>
        <v>3 ULA B PUTRI</v>
      </c>
      <c r="L318" s="29" t="str">
        <f>IFERROR(__xludf.DUMMYFUNCTION("""COMPUTED_VALUE"""),"6285735467317")</f>
        <v>6285735467317</v>
      </c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2">
        <f>IFERROR(__xludf.DUMMYFUNCTION("""COMPUTED_VALUE"""),500000.0)</f>
        <v>500000</v>
      </c>
      <c r="AC318" s="28"/>
      <c r="AD318" s="28"/>
      <c r="AE318" s="28"/>
      <c r="AF318" s="28"/>
      <c r="AG318" s="28"/>
      <c r="AH318" s="28"/>
      <c r="AI318" s="28"/>
      <c r="AJ318" s="28"/>
      <c r="AK318" s="28"/>
      <c r="AL318" s="22">
        <f>IFERROR(__xludf.DUMMYFUNCTION("""COMPUTED_VALUE"""),500000.0)</f>
        <v>500000</v>
      </c>
      <c r="AM318" s="22">
        <f>IFERROR(__xludf.DUMMYFUNCTION("""COMPUTED_VALUE"""),500000.0)</f>
        <v>500000</v>
      </c>
      <c r="AN318" s="22">
        <f>IFERROR(__xludf.DUMMYFUNCTION("""COMPUTED_VALUE"""),500000.0)</f>
        <v>500000</v>
      </c>
      <c r="AO318" s="28"/>
      <c r="AP318" s="22">
        <f>IFERROR(__xludf.DUMMYFUNCTION("""COMPUTED_VALUE"""),500000.0)</f>
        <v>500000</v>
      </c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2">
        <f>IFERROR(__xludf.DUMMYFUNCTION("""COMPUTED_VALUE"""),1500000.0)</f>
        <v>1500000</v>
      </c>
      <c r="BD318" s="22">
        <f>IFERROR(__xludf.DUMMYFUNCTION("""COMPUTED_VALUE"""),1000000.0)</f>
        <v>1000000</v>
      </c>
      <c r="BE318" s="22">
        <f>IFERROR(__xludf.DUMMYFUNCTION("""COMPUTED_VALUE"""),0.0)</f>
        <v>0</v>
      </c>
      <c r="BF318" s="22">
        <f>IFERROR(__xludf.DUMMYFUNCTION("""COMPUTED_VALUE"""),2500000.0)</f>
        <v>2500000</v>
      </c>
    </row>
    <row r="319">
      <c r="A319" s="27">
        <f>IFERROR(__xludf.DUMMYFUNCTION("""COMPUTED_VALUE"""),318.0)</f>
        <v>318</v>
      </c>
      <c r="B319" s="28" t="str">
        <f>IFERROR(__xludf.DUMMYFUNCTION("""COMPUTED_VALUE"""),"KEYSHA BRILLYAN FEBIANA")</f>
        <v>KEYSHA BRILLYAN FEBIANA</v>
      </c>
      <c r="C319" s="28">
        <f>IFERROR(__xludf.DUMMYFUNCTION("""COMPUTED_VALUE"""),2.024070513E9)</f>
        <v>2024070513</v>
      </c>
      <c r="D319" s="28" t="str">
        <f>IFERROR(__xludf.DUMMYFUNCTION("""COMPUTED_VALUE"""),"SUDJITO")</f>
        <v>SUDJITO</v>
      </c>
      <c r="E319" s="28" t="str">
        <f>IFERROR(__xludf.DUMMYFUNCTION("""COMPUTED_VALUE"""),"SISKA APRILIA")</f>
        <v>SISKA APRILIA</v>
      </c>
      <c r="F319" s="28" t="str">
        <f>IFERROR(__xludf.DUMMYFUNCTION("""COMPUTED_VALUE"""),"PENGANGSALAN RT 001 RW 001 KALITENGAH LAMONGAN")</f>
        <v>PENGANGSALAN RT 001 RW 001 KALITENGAH LAMONGAN</v>
      </c>
      <c r="G319" s="28" t="str">
        <f>IFERROR(__xludf.DUMMYFUNCTION("""COMPUTED_VALUE"""),"MTS-9 G")</f>
        <v>MTS-9 G</v>
      </c>
      <c r="H319" s="28" t="str">
        <f>IFERROR(__xludf.DUMMYFUNCTION("""COMPUTED_VALUE"""),"E")</f>
        <v>E</v>
      </c>
      <c r="I319" s="28" t="str">
        <f>IFERROR(__xludf.DUMMYFUNCTION("""COMPUTED_VALUE"""),"E-3")</f>
        <v>E-3</v>
      </c>
      <c r="J319" s="28">
        <f>IFERROR(__xludf.DUMMYFUNCTION("""COMPUTED_VALUE"""),3.0)</f>
        <v>3</v>
      </c>
      <c r="K319" s="28" t="str">
        <f>IFERROR(__xludf.DUMMYFUNCTION("""COMPUTED_VALUE"""),"3 ULA C PUTRI")</f>
        <v>3 ULA C PUTRI</v>
      </c>
      <c r="L319" s="29" t="str">
        <f>IFERROR(__xludf.DUMMYFUNCTION("""COMPUTED_VALUE"""),"628564039966")</f>
        <v>628564039966</v>
      </c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2">
        <f>IFERROR(__xludf.DUMMYFUNCTION("""COMPUTED_VALUE"""),500000.0)</f>
        <v>500000</v>
      </c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2">
        <f>IFERROR(__xludf.DUMMYFUNCTION("""COMPUTED_VALUE"""),0.0)</f>
        <v>0</v>
      </c>
      <c r="BD319" s="22">
        <f>IFERROR(__xludf.DUMMYFUNCTION("""COMPUTED_VALUE"""),500000.0)</f>
        <v>500000</v>
      </c>
      <c r="BE319" s="22">
        <f>IFERROR(__xludf.DUMMYFUNCTION("""COMPUTED_VALUE"""),0.0)</f>
        <v>0</v>
      </c>
      <c r="BF319" s="22">
        <f>IFERROR(__xludf.DUMMYFUNCTION("""COMPUTED_VALUE"""),500000.0)</f>
        <v>500000</v>
      </c>
    </row>
    <row r="320">
      <c r="A320" s="27">
        <f>IFERROR(__xludf.DUMMYFUNCTION("""COMPUTED_VALUE"""),319.0)</f>
        <v>319</v>
      </c>
      <c r="B320" s="28" t="str">
        <f>IFERROR(__xludf.DUMMYFUNCTION("""COMPUTED_VALUE"""),"KHANSA ZARINA MISBACH")</f>
        <v>KHANSA ZARINA MISBACH</v>
      </c>
      <c r="C320" s="28">
        <f>IFERROR(__xludf.DUMMYFUNCTION("""COMPUTED_VALUE"""),2.024070585E9)</f>
        <v>2024070585</v>
      </c>
      <c r="D320" s="28" t="str">
        <f>IFERROR(__xludf.DUMMYFUNCTION("""COMPUTED_VALUE"""),"MISBAKUL MUNIR")</f>
        <v>MISBAKUL MUNIR</v>
      </c>
      <c r="E320" s="28" t="str">
        <f>IFERROR(__xludf.DUMMYFUNCTION("""COMPUTED_VALUE"""),"MASLIHATIN")</f>
        <v>MASLIHATIN</v>
      </c>
      <c r="F320" s="28" t="str">
        <f>IFERROR(__xludf.DUMMYFUNCTION("""COMPUTED_VALUE"""),"BANGERAN RT 003 RW 002 DUKUN GRESIK")</f>
        <v>BANGERAN RT 003 RW 002 DUKUN GRESIK</v>
      </c>
      <c r="G320" s="28" t="str">
        <f>IFERROR(__xludf.DUMMYFUNCTION("""COMPUTED_VALUE"""),"MTS-9 B")</f>
        <v>MTS-9 B</v>
      </c>
      <c r="H320" s="28" t="str">
        <f>IFERROR(__xludf.DUMMYFUNCTION("""COMPUTED_VALUE"""),"E")</f>
        <v>E</v>
      </c>
      <c r="I320" s="28" t="str">
        <f>IFERROR(__xludf.DUMMYFUNCTION("""COMPUTED_VALUE"""),"E-3")</f>
        <v>E-3</v>
      </c>
      <c r="J320" s="28">
        <f>IFERROR(__xludf.DUMMYFUNCTION("""COMPUTED_VALUE"""),3.0)</f>
        <v>3</v>
      </c>
      <c r="K320" s="28" t="str">
        <f>IFERROR(__xludf.DUMMYFUNCTION("""COMPUTED_VALUE"""),"3 ULA A PUTRI")</f>
        <v>3 ULA A PUTRI</v>
      </c>
      <c r="L320" s="29" t="str">
        <f>IFERROR(__xludf.DUMMYFUNCTION("""COMPUTED_VALUE"""),"6285784480833")</f>
        <v>6285784480833</v>
      </c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2">
        <f>IFERROR(__xludf.DUMMYFUNCTION("""COMPUTED_VALUE"""),500000.0)</f>
        <v>500000</v>
      </c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2">
        <f>IFERROR(__xludf.DUMMYFUNCTION("""COMPUTED_VALUE"""),500000.0)</f>
        <v>500000</v>
      </c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2">
        <f>IFERROR(__xludf.DUMMYFUNCTION("""COMPUTED_VALUE"""),0.0)</f>
        <v>0</v>
      </c>
      <c r="BD320" s="22">
        <f>IFERROR(__xludf.DUMMYFUNCTION("""COMPUTED_VALUE"""),1000000.0)</f>
        <v>1000000</v>
      </c>
      <c r="BE320" s="22">
        <f>IFERROR(__xludf.DUMMYFUNCTION("""COMPUTED_VALUE"""),0.0)</f>
        <v>0</v>
      </c>
      <c r="BF320" s="22">
        <f>IFERROR(__xludf.DUMMYFUNCTION("""COMPUTED_VALUE"""),1000000.0)</f>
        <v>1000000</v>
      </c>
    </row>
    <row r="321">
      <c r="A321" s="27">
        <f>IFERROR(__xludf.DUMMYFUNCTION("""COMPUTED_VALUE"""),320.0)</f>
        <v>320</v>
      </c>
      <c r="B321" s="28" t="str">
        <f>IFERROR(__xludf.DUMMYFUNCTION("""COMPUTED_VALUE"""),"KHARISYAH NADYATUR ROHMAH")</f>
        <v>KHARISYAH NADYATUR ROHMAH</v>
      </c>
      <c r="C321" s="28">
        <f>IFERROR(__xludf.DUMMYFUNCTION("""COMPUTED_VALUE"""),2.024070635E9)</f>
        <v>2024070635</v>
      </c>
      <c r="D321" s="28" t="str">
        <f>IFERROR(__xludf.DUMMYFUNCTION("""COMPUTED_VALUE"""),"LILIS MAHRUSIN")</f>
        <v>LILIS MAHRUSIN</v>
      </c>
      <c r="E321" s="28" t="str">
        <f>IFERROR(__xludf.DUMMYFUNCTION("""COMPUTED_VALUE"""),"NUR AZIZAH ROHMAH")</f>
        <v>NUR AZIZAH ROHMAH</v>
      </c>
      <c r="F321" s="28" t="str">
        <f>IFERROR(__xludf.DUMMYFUNCTION("""COMPUTED_VALUE"""),"DADUNGAN RT 002 RW 004 KALITENGAH LAMONGAN")</f>
        <v>DADUNGAN RT 002 RW 004 KALITENGAH LAMONGAN</v>
      </c>
      <c r="G321" s="28" t="str">
        <f>IFERROR(__xludf.DUMMYFUNCTION("""COMPUTED_VALUE"""),"MTS-9 C")</f>
        <v>MTS-9 C</v>
      </c>
      <c r="H321" s="28" t="str">
        <f>IFERROR(__xludf.DUMMYFUNCTION("""COMPUTED_VALUE"""),"E")</f>
        <v>E</v>
      </c>
      <c r="I321" s="28" t="str">
        <f>IFERROR(__xludf.DUMMYFUNCTION("""COMPUTED_VALUE"""),"E-2")</f>
        <v>E-2</v>
      </c>
      <c r="J321" s="28">
        <f>IFERROR(__xludf.DUMMYFUNCTION("""COMPUTED_VALUE"""),3.0)</f>
        <v>3</v>
      </c>
      <c r="K321" s="28" t="str">
        <f>IFERROR(__xludf.DUMMYFUNCTION("""COMPUTED_VALUE"""),"3 ULA C PUTRI")</f>
        <v>3 ULA C PUTRI</v>
      </c>
      <c r="L321" s="29" t="str">
        <f>IFERROR(__xludf.DUMMYFUNCTION("""COMPUTED_VALUE"""),"6285649089570")</f>
        <v>6285649089570</v>
      </c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2">
        <f>IFERROR(__xludf.DUMMYFUNCTION("""COMPUTED_VALUE"""),500000.0)</f>
        <v>500000</v>
      </c>
      <c r="AJ321" s="22">
        <f>IFERROR(__xludf.DUMMYFUNCTION("""COMPUTED_VALUE"""),500000.0)</f>
        <v>500000</v>
      </c>
      <c r="AK321" s="22">
        <f>IFERROR(__xludf.DUMMYFUNCTION("""COMPUTED_VALUE"""),500000.0)</f>
        <v>500000</v>
      </c>
      <c r="AL321" s="22">
        <f>IFERROR(__xludf.DUMMYFUNCTION("""COMPUTED_VALUE"""),500000.0)</f>
        <v>500000</v>
      </c>
      <c r="AM321" s="22">
        <f>IFERROR(__xludf.DUMMYFUNCTION("""COMPUTED_VALUE"""),500000.0)</f>
        <v>500000</v>
      </c>
      <c r="AN321" s="22">
        <f>IFERROR(__xludf.DUMMYFUNCTION("""COMPUTED_VALUE"""),500000.0)</f>
        <v>500000</v>
      </c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2">
        <f>IFERROR(__xludf.DUMMYFUNCTION("""COMPUTED_VALUE"""),3000000.0)</f>
        <v>3000000</v>
      </c>
      <c r="BD321" s="22">
        <f>IFERROR(__xludf.DUMMYFUNCTION("""COMPUTED_VALUE"""),0.0)</f>
        <v>0</v>
      </c>
      <c r="BE321" s="22">
        <f>IFERROR(__xludf.DUMMYFUNCTION("""COMPUTED_VALUE"""),0.0)</f>
        <v>0</v>
      </c>
      <c r="BF321" s="22">
        <f>IFERROR(__xludf.DUMMYFUNCTION("""COMPUTED_VALUE"""),3000000.0)</f>
        <v>3000000</v>
      </c>
    </row>
    <row r="322">
      <c r="A322" s="27">
        <f>IFERROR(__xludf.DUMMYFUNCTION("""COMPUTED_VALUE"""),321.0)</f>
        <v>321</v>
      </c>
      <c r="B322" s="28" t="str">
        <f>IFERROR(__xludf.DUMMYFUNCTION("""COMPUTED_VALUE"""),"KHULIATUL MILLAH ELVIANA")</f>
        <v>KHULIATUL MILLAH ELVIANA</v>
      </c>
      <c r="C322" s="28">
        <f>IFERROR(__xludf.DUMMYFUNCTION("""COMPUTED_VALUE"""),2.024070499E9)</f>
        <v>2024070499</v>
      </c>
      <c r="D322" s="28" t="str">
        <f>IFERROR(__xludf.DUMMYFUNCTION("""COMPUTED_VALUE"""),"ATTOILLAH")</f>
        <v>ATTOILLAH</v>
      </c>
      <c r="E322" s="28" t="str">
        <f>IFERROR(__xludf.DUMMYFUNCTION("""COMPUTED_VALUE"""),"ZAIDATUL FARIDAH")</f>
        <v>ZAIDATUL FARIDAH</v>
      </c>
      <c r="F322" s="28" t="str">
        <f>IFERROR(__xludf.DUMMYFUNCTION("""COMPUTED_VALUE"""),"PLOSOSETRO RT 004 RW 001 PUCUK LAMONGAN")</f>
        <v>PLOSOSETRO RT 004 RW 001 PUCUK LAMONGAN</v>
      </c>
      <c r="G322" s="28" t="str">
        <f>IFERROR(__xludf.DUMMYFUNCTION("""COMPUTED_VALUE"""),"MTS-9 B")</f>
        <v>MTS-9 B</v>
      </c>
      <c r="H322" s="28" t="str">
        <f>IFERROR(__xludf.DUMMYFUNCTION("""COMPUTED_VALUE"""),"E")</f>
        <v>E</v>
      </c>
      <c r="I322" s="28" t="str">
        <f>IFERROR(__xludf.DUMMYFUNCTION("""COMPUTED_VALUE"""),"E-2")</f>
        <v>E-2</v>
      </c>
      <c r="J322" s="28">
        <f>IFERROR(__xludf.DUMMYFUNCTION("""COMPUTED_VALUE"""),3.0)</f>
        <v>3</v>
      </c>
      <c r="K322" s="28" t="str">
        <f>IFERROR(__xludf.DUMMYFUNCTION("""COMPUTED_VALUE"""),"3 ULA C PUTRI")</f>
        <v>3 ULA C PUTRI</v>
      </c>
      <c r="L322" s="29" t="str">
        <f>IFERROR(__xludf.DUMMYFUNCTION("""COMPUTED_VALUE"""),"628523337011")</f>
        <v>628523337011</v>
      </c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2">
        <f>IFERROR(__xludf.DUMMYFUNCTION("""COMPUTED_VALUE"""),0.0)</f>
        <v>0</v>
      </c>
      <c r="BD322" s="22">
        <f>IFERROR(__xludf.DUMMYFUNCTION("""COMPUTED_VALUE"""),0.0)</f>
        <v>0</v>
      </c>
      <c r="BE322" s="22">
        <f>IFERROR(__xludf.DUMMYFUNCTION("""COMPUTED_VALUE"""),0.0)</f>
        <v>0</v>
      </c>
      <c r="BF322" s="22">
        <f>IFERROR(__xludf.DUMMYFUNCTION("""COMPUTED_VALUE"""),0.0)</f>
        <v>0</v>
      </c>
    </row>
    <row r="323">
      <c r="A323" s="27">
        <f>IFERROR(__xludf.DUMMYFUNCTION("""COMPUTED_VALUE"""),322.0)</f>
        <v>322</v>
      </c>
      <c r="B323" s="28" t="str">
        <f>IFERROR(__xludf.DUMMYFUNCTION("""COMPUTED_VALUE"""),"LAILATUL MAGHFIROH")</f>
        <v>LAILATUL MAGHFIROH</v>
      </c>
      <c r="C323" s="28">
        <f>IFERROR(__xludf.DUMMYFUNCTION("""COMPUTED_VALUE"""),2.024070449E9)</f>
        <v>2024070449</v>
      </c>
      <c r="D323" s="28" t="str">
        <f>IFERROR(__xludf.DUMMYFUNCTION("""COMPUTED_VALUE"""),"SUPARDI")</f>
        <v>SUPARDI</v>
      </c>
      <c r="E323" s="28" t="str">
        <f>IFERROR(__xludf.DUMMYFUNCTION("""COMPUTED_VALUE"""),"ARTI")</f>
        <v>ARTI</v>
      </c>
      <c r="F323" s="28" t="str">
        <f>IFERROR(__xludf.DUMMYFUNCTION("""COMPUTED_VALUE"""),"TUMENGGUNGBARU RT 003 RW 006 TUMENGGUNGAN LAMONGAN")</f>
        <v>TUMENGGUNGBARU RT 003 RW 006 TUMENGGUNGAN LAMONGAN</v>
      </c>
      <c r="G323" s="28" t="str">
        <f>IFERROR(__xludf.DUMMYFUNCTION("""COMPUTED_VALUE"""),"MTS-9 A")</f>
        <v>MTS-9 A</v>
      </c>
      <c r="H323" s="28" t="str">
        <f>IFERROR(__xludf.DUMMYFUNCTION("""COMPUTED_VALUE"""),"E")</f>
        <v>E</v>
      </c>
      <c r="I323" s="28" t="str">
        <f>IFERROR(__xludf.DUMMYFUNCTION("""COMPUTED_VALUE"""),"E-9")</f>
        <v>E-9</v>
      </c>
      <c r="J323" s="28">
        <f>IFERROR(__xludf.DUMMYFUNCTION("""COMPUTED_VALUE"""),3.0)</f>
        <v>3</v>
      </c>
      <c r="K323" s="28" t="str">
        <f>IFERROR(__xludf.DUMMYFUNCTION("""COMPUTED_VALUE"""),"3 ULA A PUTRI")</f>
        <v>3 ULA A PUTRI</v>
      </c>
      <c r="L323" s="29" t="str">
        <f>IFERROR(__xludf.DUMMYFUNCTION("""COMPUTED_VALUE"""),"6285745981726")</f>
        <v>6285745981726</v>
      </c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2">
        <f>IFERROR(__xludf.DUMMYFUNCTION("""COMPUTED_VALUE"""),0.0)</f>
        <v>0</v>
      </c>
      <c r="BD323" s="22">
        <f>IFERROR(__xludf.DUMMYFUNCTION("""COMPUTED_VALUE"""),0.0)</f>
        <v>0</v>
      </c>
      <c r="BE323" s="22">
        <f>IFERROR(__xludf.DUMMYFUNCTION("""COMPUTED_VALUE"""),0.0)</f>
        <v>0</v>
      </c>
      <c r="BF323" s="22">
        <f>IFERROR(__xludf.DUMMYFUNCTION("""COMPUTED_VALUE"""),0.0)</f>
        <v>0</v>
      </c>
    </row>
    <row r="324">
      <c r="A324" s="27">
        <f>IFERROR(__xludf.DUMMYFUNCTION("""COMPUTED_VALUE"""),323.0)</f>
        <v>323</v>
      </c>
      <c r="B324" s="28" t="str">
        <f>IFERROR(__xludf.DUMMYFUNCTION("""COMPUTED_VALUE"""),"NA`ILAH SINTA NURIYYAH")</f>
        <v>NA`ILAH SINTA NURIYYAH</v>
      </c>
      <c r="C324" s="28">
        <f>IFERROR(__xludf.DUMMYFUNCTION("""COMPUTED_VALUE"""),2.024070581E9)</f>
        <v>2024070581</v>
      </c>
      <c r="D324" s="28" t="str">
        <f>IFERROR(__xludf.DUMMYFUNCTION("""COMPUTED_VALUE"""),"MOH. AFIF MN.")</f>
        <v>MOH. AFIF MN.</v>
      </c>
      <c r="E324" s="28" t="str">
        <f>IFERROR(__xludf.DUMMYFUNCTION("""COMPUTED_VALUE"""),"SITI SHOFIYAH")</f>
        <v>SITI SHOFIYAH</v>
      </c>
      <c r="F324" s="28" t="str">
        <f>IFERROR(__xludf.DUMMYFUNCTION("""COMPUTED_VALUE"""),"SUNAN MURIA LATUKAN RT 002 RW 001 KARANGGENENG LAMONGAN")</f>
        <v>SUNAN MURIA LATUKAN RT 002 RW 001 KARANGGENENG LAMONGAN</v>
      </c>
      <c r="G324" s="28" t="str">
        <f>IFERROR(__xludf.DUMMYFUNCTION("""COMPUTED_VALUE"""),"MTS-9 H")</f>
        <v>MTS-9 H</v>
      </c>
      <c r="H324" s="28" t="str">
        <f>IFERROR(__xludf.DUMMYFUNCTION("""COMPUTED_VALUE"""),"E")</f>
        <v>E</v>
      </c>
      <c r="I324" s="28" t="str">
        <f>IFERROR(__xludf.DUMMYFUNCTION("""COMPUTED_VALUE"""),"E-3")</f>
        <v>E-3</v>
      </c>
      <c r="J324" s="28">
        <f>IFERROR(__xludf.DUMMYFUNCTION("""COMPUTED_VALUE"""),3.0)</f>
        <v>3</v>
      </c>
      <c r="K324" s="28" t="str">
        <f>IFERROR(__xludf.DUMMYFUNCTION("""COMPUTED_VALUE"""),"3 ULA B PUTRI")</f>
        <v>3 ULA B PUTRI</v>
      </c>
      <c r="L324" s="29" t="str">
        <f>IFERROR(__xludf.DUMMYFUNCTION("""COMPUTED_VALUE"""),"6283135957352")</f>
        <v>6283135957352</v>
      </c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2">
        <f>IFERROR(__xludf.DUMMYFUNCTION("""COMPUTED_VALUE"""),0.0)</f>
        <v>0</v>
      </c>
      <c r="BD324" s="22">
        <f>IFERROR(__xludf.DUMMYFUNCTION("""COMPUTED_VALUE"""),0.0)</f>
        <v>0</v>
      </c>
      <c r="BE324" s="22">
        <f>IFERROR(__xludf.DUMMYFUNCTION("""COMPUTED_VALUE"""),0.0)</f>
        <v>0</v>
      </c>
      <c r="BF324" s="22">
        <f>IFERROR(__xludf.DUMMYFUNCTION("""COMPUTED_VALUE"""),0.0)</f>
        <v>0</v>
      </c>
    </row>
    <row r="325">
      <c r="A325" s="27">
        <f>IFERROR(__xludf.DUMMYFUNCTION("""COMPUTED_VALUE"""),324.0)</f>
        <v>324</v>
      </c>
      <c r="B325" s="28" t="str">
        <f>IFERROR(__xludf.DUMMYFUNCTION("""COMPUTED_VALUE"""),"NAALAT SYAFA`ATUL UDHMA")</f>
        <v>NAALAT SYAFA`ATUL UDHMA</v>
      </c>
      <c r="C325" s="28">
        <f>IFERROR(__xludf.DUMMYFUNCTION("""COMPUTED_VALUE"""),2.024070604E9)</f>
        <v>2024070604</v>
      </c>
      <c r="D325" s="28" t="str">
        <f>IFERROR(__xludf.DUMMYFUNCTION("""COMPUTED_VALUE"""),"MUHAMMAD YUSUF JUMHURI")</f>
        <v>MUHAMMAD YUSUF JUMHURI</v>
      </c>
      <c r="E325" s="28" t="str">
        <f>IFERROR(__xludf.DUMMYFUNCTION("""COMPUTED_VALUE"""),"MAFTUHATUL AFLAHAH")</f>
        <v>MAFTUHATUL AFLAHAH</v>
      </c>
      <c r="F325" s="28" t="str">
        <f>IFERROR(__xludf.DUMMYFUNCTION("""COMPUTED_VALUE"""),"BANGERAN RT 006 RW 002 DUKUN GRESIK")</f>
        <v>BANGERAN RT 006 RW 002 DUKUN GRESIK</v>
      </c>
      <c r="G325" s="28" t="str">
        <f>IFERROR(__xludf.DUMMYFUNCTION("""COMPUTED_VALUE"""),"MTS-9 D")</f>
        <v>MTS-9 D</v>
      </c>
      <c r="H325" s="28" t="str">
        <f>IFERROR(__xludf.DUMMYFUNCTION("""COMPUTED_VALUE"""),"E")</f>
        <v>E</v>
      </c>
      <c r="I325" s="28" t="str">
        <f>IFERROR(__xludf.DUMMYFUNCTION("""COMPUTED_VALUE"""),"E-3")</f>
        <v>E-3</v>
      </c>
      <c r="J325" s="28">
        <f>IFERROR(__xludf.DUMMYFUNCTION("""COMPUTED_VALUE"""),3.0)</f>
        <v>3</v>
      </c>
      <c r="K325" s="28" t="str">
        <f>IFERROR(__xludf.DUMMYFUNCTION("""COMPUTED_VALUE"""),"3 ULA A PUTRI")</f>
        <v>3 ULA A PUTRI</v>
      </c>
      <c r="L325" s="29" t="str">
        <f>IFERROR(__xludf.DUMMYFUNCTION("""COMPUTED_VALUE"""),"6285749469938")</f>
        <v>6285749469938</v>
      </c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2">
        <f>IFERROR(__xludf.DUMMYFUNCTION("""COMPUTED_VALUE"""),500000.0)</f>
        <v>500000</v>
      </c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2">
        <f>IFERROR(__xludf.DUMMYFUNCTION("""COMPUTED_VALUE"""),500000.0)</f>
        <v>500000</v>
      </c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2">
        <f>IFERROR(__xludf.DUMMYFUNCTION("""COMPUTED_VALUE"""),0.0)</f>
        <v>0</v>
      </c>
      <c r="BD325" s="22">
        <f>IFERROR(__xludf.DUMMYFUNCTION("""COMPUTED_VALUE"""),1000000.0)</f>
        <v>1000000</v>
      </c>
      <c r="BE325" s="22">
        <f>IFERROR(__xludf.DUMMYFUNCTION("""COMPUTED_VALUE"""),0.0)</f>
        <v>0</v>
      </c>
      <c r="BF325" s="22">
        <f>IFERROR(__xludf.DUMMYFUNCTION("""COMPUTED_VALUE"""),1000000.0)</f>
        <v>1000000</v>
      </c>
    </row>
    <row r="326">
      <c r="A326" s="27">
        <f>IFERROR(__xludf.DUMMYFUNCTION("""COMPUTED_VALUE"""),325.0)</f>
        <v>325</v>
      </c>
      <c r="B326" s="28" t="str">
        <f>IFERROR(__xludf.DUMMYFUNCTION("""COMPUTED_VALUE"""),"NIRMA LAILATUL AIDA")</f>
        <v>NIRMA LAILATUL AIDA</v>
      </c>
      <c r="C326" s="28">
        <f>IFERROR(__xludf.DUMMYFUNCTION("""COMPUTED_VALUE"""),2.024070541E9)</f>
        <v>2024070541</v>
      </c>
      <c r="D326" s="28" t="str">
        <f>IFERROR(__xludf.DUMMYFUNCTION("""COMPUTED_VALUE"""),"MAS ASPANDI")</f>
        <v>MAS ASPANDI</v>
      </c>
      <c r="E326" s="28" t="str">
        <f>IFERROR(__xludf.DUMMYFUNCTION("""COMPUTED_VALUE"""),"SITI RIFATIN")</f>
        <v>SITI RIFATIN</v>
      </c>
      <c r="F326" s="28" t="str">
        <f>IFERROR(__xludf.DUMMYFUNCTION("""COMPUTED_VALUE"""),"DAGAN RT 005 RW 001 SOLOKURO LAMONGAN")</f>
        <v>DAGAN RT 005 RW 001 SOLOKURO LAMONGAN</v>
      </c>
      <c r="G326" s="28" t="str">
        <f>IFERROR(__xludf.DUMMYFUNCTION("""COMPUTED_VALUE"""),"MTS-9 B")</f>
        <v>MTS-9 B</v>
      </c>
      <c r="H326" s="28" t="str">
        <f>IFERROR(__xludf.DUMMYFUNCTION("""COMPUTED_VALUE"""),"E")</f>
        <v>E</v>
      </c>
      <c r="I326" s="28" t="str">
        <f>IFERROR(__xludf.DUMMYFUNCTION("""COMPUTED_VALUE"""),"E-2")</f>
        <v>E-2</v>
      </c>
      <c r="J326" s="28">
        <f>IFERROR(__xludf.DUMMYFUNCTION("""COMPUTED_VALUE"""),3.0)</f>
        <v>3</v>
      </c>
      <c r="K326" s="28" t="str">
        <f>IFERROR(__xludf.DUMMYFUNCTION("""COMPUTED_VALUE"""),"3 ULA A PUTRI")</f>
        <v>3 ULA A PUTRI</v>
      </c>
      <c r="L326" s="29" t="str">
        <f>IFERROR(__xludf.DUMMYFUNCTION("""COMPUTED_VALUE"""),"6285855714013")</f>
        <v>6285855714013</v>
      </c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2">
        <f>IFERROR(__xludf.DUMMYFUNCTION("""COMPUTED_VALUE"""),500000.0)</f>
        <v>500000</v>
      </c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2">
        <f>IFERROR(__xludf.DUMMYFUNCTION("""COMPUTED_VALUE"""),500000.0)</f>
        <v>500000</v>
      </c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2">
        <f>IFERROR(__xludf.DUMMYFUNCTION("""COMPUTED_VALUE"""),0.0)</f>
        <v>0</v>
      </c>
      <c r="BD326" s="22">
        <f>IFERROR(__xludf.DUMMYFUNCTION("""COMPUTED_VALUE"""),1000000.0)</f>
        <v>1000000</v>
      </c>
      <c r="BE326" s="22">
        <f>IFERROR(__xludf.DUMMYFUNCTION("""COMPUTED_VALUE"""),0.0)</f>
        <v>0</v>
      </c>
      <c r="BF326" s="22">
        <f>IFERROR(__xludf.DUMMYFUNCTION("""COMPUTED_VALUE"""),1000000.0)</f>
        <v>1000000</v>
      </c>
    </row>
    <row r="327">
      <c r="A327" s="27">
        <f>IFERROR(__xludf.DUMMYFUNCTION("""COMPUTED_VALUE"""),326.0)</f>
        <v>326</v>
      </c>
      <c r="B327" s="28" t="str">
        <f>IFERROR(__xludf.DUMMYFUNCTION("""COMPUTED_VALUE"""),"NOUR ALIFATURR DHEA VANESYA")</f>
        <v>NOUR ALIFATURR DHEA VANESYA</v>
      </c>
      <c r="C327" s="28">
        <f>IFERROR(__xludf.DUMMYFUNCTION("""COMPUTED_VALUE"""),2.024070613E9)</f>
        <v>2024070613</v>
      </c>
      <c r="D327" s="28" t="str">
        <f>IFERROR(__xludf.DUMMYFUNCTION("""COMPUTED_VALUE"""),"H RADIN")</f>
        <v>H RADIN</v>
      </c>
      <c r="E327" s="28" t="str">
        <f>IFERROR(__xludf.DUMMYFUNCTION("""COMPUTED_VALUE"""),"YUNI")</f>
        <v>YUNI</v>
      </c>
      <c r="F327" s="28" t="str">
        <f>IFERROR(__xludf.DUMMYFUNCTION("""COMPUTED_VALUE"""),"MUMBULAN PENGUMBULANADI  RT 001 RW 004 TIKUNG LAMONGAN")</f>
        <v>MUMBULAN PENGUMBULANADI  RT 001 RW 004 TIKUNG LAMONGAN</v>
      </c>
      <c r="G327" s="28" t="str">
        <f>IFERROR(__xludf.DUMMYFUNCTION("""COMPUTED_VALUE"""),"MTS-9 H")</f>
        <v>MTS-9 H</v>
      </c>
      <c r="H327" s="28" t="str">
        <f>IFERROR(__xludf.DUMMYFUNCTION("""COMPUTED_VALUE"""),"E")</f>
        <v>E</v>
      </c>
      <c r="I327" s="28" t="str">
        <f>IFERROR(__xludf.DUMMYFUNCTION("""COMPUTED_VALUE"""),"E-3")</f>
        <v>E-3</v>
      </c>
      <c r="J327" s="28">
        <f>IFERROR(__xludf.DUMMYFUNCTION("""COMPUTED_VALUE"""),3.0)</f>
        <v>3</v>
      </c>
      <c r="K327" s="28" t="str">
        <f>IFERROR(__xludf.DUMMYFUNCTION("""COMPUTED_VALUE"""),"3 ULA C PUTRI")</f>
        <v>3 ULA C PUTRI</v>
      </c>
      <c r="L327" s="29" t="str">
        <f>IFERROR(__xludf.DUMMYFUNCTION("""COMPUTED_VALUE"""),"6285815030873")</f>
        <v>6285815030873</v>
      </c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2">
        <f>IFERROR(__xludf.DUMMYFUNCTION("""COMPUTED_VALUE"""),500000.0)</f>
        <v>500000</v>
      </c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2">
        <f>IFERROR(__xludf.DUMMYFUNCTION("""COMPUTED_VALUE"""),500000.0)</f>
        <v>500000</v>
      </c>
      <c r="AO327" s="28"/>
      <c r="AP327" s="22">
        <f>IFERROR(__xludf.DUMMYFUNCTION("""COMPUTED_VALUE"""),500000.0)</f>
        <v>500000</v>
      </c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2">
        <f>IFERROR(__xludf.DUMMYFUNCTION("""COMPUTED_VALUE"""),500000.0)</f>
        <v>500000</v>
      </c>
      <c r="BD327" s="22">
        <f>IFERROR(__xludf.DUMMYFUNCTION("""COMPUTED_VALUE"""),1000000.0)</f>
        <v>1000000</v>
      </c>
      <c r="BE327" s="22">
        <f>IFERROR(__xludf.DUMMYFUNCTION("""COMPUTED_VALUE"""),0.0)</f>
        <v>0</v>
      </c>
      <c r="BF327" s="22">
        <f>IFERROR(__xludf.DUMMYFUNCTION("""COMPUTED_VALUE"""),1500000.0)</f>
        <v>1500000</v>
      </c>
    </row>
    <row r="328">
      <c r="A328" s="27">
        <f>IFERROR(__xludf.DUMMYFUNCTION("""COMPUTED_VALUE"""),327.0)</f>
        <v>327</v>
      </c>
      <c r="B328" s="28" t="str">
        <f>IFERROR(__xludf.DUMMYFUNCTION("""COMPUTED_VALUE"""),"NUR AWWALIN AFIDATUSSOFA")</f>
        <v>NUR AWWALIN AFIDATUSSOFA</v>
      </c>
      <c r="C328" s="28">
        <f>IFERROR(__xludf.DUMMYFUNCTION("""COMPUTED_VALUE"""),2.024070518E9)</f>
        <v>2024070518</v>
      </c>
      <c r="D328" s="28" t="str">
        <f>IFERROR(__xludf.DUMMYFUNCTION("""COMPUTED_VALUE"""),"MUHAMMAD NURHADI")</f>
        <v>MUHAMMAD NURHADI</v>
      </c>
      <c r="E328" s="28" t="str">
        <f>IFERROR(__xludf.DUMMYFUNCTION("""COMPUTED_VALUE"""),"MUALIYAH")</f>
        <v>MUALIYAH</v>
      </c>
      <c r="F328" s="28" t="str">
        <f>IFERROR(__xludf.DUMMYFUNCTION("""COMPUTED_VALUE"""),"SUNAN AMPEL LATUKAN RT 003 RW 001 KARANGGENENG LAMONGAN")</f>
        <v>SUNAN AMPEL LATUKAN RT 003 RW 001 KARANGGENENG LAMONGAN</v>
      </c>
      <c r="G328" s="28" t="str">
        <f>IFERROR(__xludf.DUMMYFUNCTION("""COMPUTED_VALUE"""),"MTS-9 B")</f>
        <v>MTS-9 B</v>
      </c>
      <c r="H328" s="28" t="str">
        <f>IFERROR(__xludf.DUMMYFUNCTION("""COMPUTED_VALUE"""),"E")</f>
        <v>E</v>
      </c>
      <c r="I328" s="28" t="str">
        <f>IFERROR(__xludf.DUMMYFUNCTION("""COMPUTED_VALUE"""),"E-2")</f>
        <v>E-2</v>
      </c>
      <c r="J328" s="28">
        <f>IFERROR(__xludf.DUMMYFUNCTION("""COMPUTED_VALUE"""),3.0)</f>
        <v>3</v>
      </c>
      <c r="K328" s="28" t="str">
        <f>IFERROR(__xludf.DUMMYFUNCTION("""COMPUTED_VALUE"""),"3 ULA B PUTRI")</f>
        <v>3 ULA B PUTRI</v>
      </c>
      <c r="L328" s="29" t="str">
        <f>IFERROR(__xludf.DUMMYFUNCTION("""COMPUTED_VALUE"""),"6285746646918")</f>
        <v>6285746646918</v>
      </c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2">
        <f>IFERROR(__xludf.DUMMYFUNCTION("""COMPUTED_VALUE"""),500000.0)</f>
        <v>500000</v>
      </c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2">
        <f>IFERROR(__xludf.DUMMYFUNCTION("""COMPUTED_VALUE"""),0.0)</f>
        <v>0</v>
      </c>
      <c r="BD328" s="22">
        <f>IFERROR(__xludf.DUMMYFUNCTION("""COMPUTED_VALUE"""),500000.0)</f>
        <v>500000</v>
      </c>
      <c r="BE328" s="22">
        <f>IFERROR(__xludf.DUMMYFUNCTION("""COMPUTED_VALUE"""),0.0)</f>
        <v>0</v>
      </c>
      <c r="BF328" s="22">
        <f>IFERROR(__xludf.DUMMYFUNCTION("""COMPUTED_VALUE"""),500000.0)</f>
        <v>500000</v>
      </c>
    </row>
    <row r="329">
      <c r="A329" s="27">
        <f>IFERROR(__xludf.DUMMYFUNCTION("""COMPUTED_VALUE"""),328.0)</f>
        <v>328</v>
      </c>
      <c r="B329" s="28" t="str">
        <f>IFERROR(__xludf.DUMMYFUNCTION("""COMPUTED_VALUE"""),"NUR FAZA KAMILA")</f>
        <v>NUR FAZA KAMILA</v>
      </c>
      <c r="C329" s="28">
        <f>IFERROR(__xludf.DUMMYFUNCTION("""COMPUTED_VALUE"""),2.024070467E9)</f>
        <v>2024070467</v>
      </c>
      <c r="D329" s="28" t="str">
        <f>IFERROR(__xludf.DUMMYFUNCTION("""COMPUTED_VALUE"""),"AH. ZAINI")</f>
        <v>AH. ZAINI</v>
      </c>
      <c r="E329" s="28" t="str">
        <f>IFERROR(__xludf.DUMMYFUNCTION("""COMPUTED_VALUE"""),"IFFAH FIRDAUSI NUZULA")</f>
        <v>IFFAH FIRDAUSI NUZULA</v>
      </c>
      <c r="F329" s="28" t="str">
        <f>IFERROR(__xludf.DUMMYFUNCTION("""COMPUTED_VALUE"""),"KEMLAGIGEDE RT 012 RW 003 TURI LAMONGAN")</f>
        <v>KEMLAGIGEDE RT 012 RW 003 TURI LAMONGAN</v>
      </c>
      <c r="G329" s="28" t="str">
        <f>IFERROR(__xludf.DUMMYFUNCTION("""COMPUTED_VALUE"""),"MTS-9 A")</f>
        <v>MTS-9 A</v>
      </c>
      <c r="H329" s="28" t="str">
        <f>IFERROR(__xludf.DUMMYFUNCTION("""COMPUTED_VALUE"""),"E")</f>
        <v>E</v>
      </c>
      <c r="I329" s="28" t="str">
        <f>IFERROR(__xludf.DUMMYFUNCTION("""COMPUTED_VALUE"""),"E-2")</f>
        <v>E-2</v>
      </c>
      <c r="J329" s="28">
        <f>IFERROR(__xludf.DUMMYFUNCTION("""COMPUTED_VALUE"""),3.0)</f>
        <v>3</v>
      </c>
      <c r="K329" s="28" t="str">
        <f>IFERROR(__xludf.DUMMYFUNCTION("""COMPUTED_VALUE"""),"3 ULA C PUTRI")</f>
        <v>3 ULA C PUTRI</v>
      </c>
      <c r="L329" s="29" t="str">
        <f>IFERROR(__xludf.DUMMYFUNCTION("""COMPUTED_VALUE"""),"6285855700260")</f>
        <v>6285855700260</v>
      </c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2">
        <f>IFERROR(__xludf.DUMMYFUNCTION("""COMPUTED_VALUE"""),500000.0)</f>
        <v>500000</v>
      </c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2">
        <f>IFERROR(__xludf.DUMMYFUNCTION("""COMPUTED_VALUE"""),500000.0)</f>
        <v>500000</v>
      </c>
      <c r="AO329" s="28"/>
      <c r="AP329" s="22">
        <f>IFERROR(__xludf.DUMMYFUNCTION("""COMPUTED_VALUE"""),500000.0)</f>
        <v>500000</v>
      </c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2">
        <f>IFERROR(__xludf.DUMMYFUNCTION("""COMPUTED_VALUE"""),500000.0)</f>
        <v>500000</v>
      </c>
      <c r="BD329" s="22">
        <f>IFERROR(__xludf.DUMMYFUNCTION("""COMPUTED_VALUE"""),1000000.0)</f>
        <v>1000000</v>
      </c>
      <c r="BE329" s="22">
        <f>IFERROR(__xludf.DUMMYFUNCTION("""COMPUTED_VALUE"""),0.0)</f>
        <v>0</v>
      </c>
      <c r="BF329" s="22">
        <f>IFERROR(__xludf.DUMMYFUNCTION("""COMPUTED_VALUE"""),1500000.0)</f>
        <v>1500000</v>
      </c>
    </row>
    <row r="330">
      <c r="A330" s="27">
        <f>IFERROR(__xludf.DUMMYFUNCTION("""COMPUTED_VALUE"""),329.0)</f>
        <v>329</v>
      </c>
      <c r="B330" s="28" t="str">
        <f>IFERROR(__xludf.DUMMYFUNCTION("""COMPUTED_VALUE"""),"NUR LABIBATUS SHOLIHAH")</f>
        <v>NUR LABIBATUS SHOLIHAH</v>
      </c>
      <c r="C330" s="28">
        <f>IFERROR(__xludf.DUMMYFUNCTION("""COMPUTED_VALUE"""),2.024070568E9)</f>
        <v>2024070568</v>
      </c>
      <c r="D330" s="28" t="str">
        <f>IFERROR(__xludf.DUMMYFUNCTION("""COMPUTED_VALUE"""),"ABDUL HADI")</f>
        <v>ABDUL HADI</v>
      </c>
      <c r="E330" s="28" t="str">
        <f>IFERROR(__xludf.DUMMYFUNCTION("""COMPUTED_VALUE"""),"SITI MAIMANAH")</f>
        <v>SITI MAIMANAH</v>
      </c>
      <c r="F330" s="28" t="str">
        <f>IFERROR(__xludf.DUMMYFUNCTION("""COMPUTED_VALUE"""),"TINARO DUKUHAGUNG RT 005 RW 004 TIKUNG LAMONGAN")</f>
        <v>TINARO DUKUHAGUNG RT 005 RW 004 TIKUNG LAMONGAN</v>
      </c>
      <c r="G330" s="28" t="str">
        <f>IFERROR(__xludf.DUMMYFUNCTION("""COMPUTED_VALUE"""),"MTS-9 D")</f>
        <v>MTS-9 D</v>
      </c>
      <c r="H330" s="28" t="str">
        <f>IFERROR(__xludf.DUMMYFUNCTION("""COMPUTED_VALUE"""),"E")</f>
        <v>E</v>
      </c>
      <c r="I330" s="28" t="str">
        <f>IFERROR(__xludf.DUMMYFUNCTION("""COMPUTED_VALUE"""),"E-3")</f>
        <v>E-3</v>
      </c>
      <c r="J330" s="28">
        <f>IFERROR(__xludf.DUMMYFUNCTION("""COMPUTED_VALUE"""),3.0)</f>
        <v>3</v>
      </c>
      <c r="K330" s="28" t="str">
        <f>IFERROR(__xludf.DUMMYFUNCTION("""COMPUTED_VALUE"""),"3 ULA A PUTRI")</f>
        <v>3 ULA A PUTRI</v>
      </c>
      <c r="L330" s="29" t="str">
        <f>IFERROR(__xludf.DUMMYFUNCTION("""COMPUTED_VALUE"""),"6285853423327")</f>
        <v>6285853423327</v>
      </c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2">
        <f>IFERROR(__xludf.DUMMYFUNCTION("""COMPUTED_VALUE"""),500000.0)</f>
        <v>500000</v>
      </c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2">
        <f>IFERROR(__xludf.DUMMYFUNCTION("""COMPUTED_VALUE"""),500000.0)</f>
        <v>500000</v>
      </c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2">
        <f>IFERROR(__xludf.DUMMYFUNCTION("""COMPUTED_VALUE"""),0.0)</f>
        <v>0</v>
      </c>
      <c r="BD330" s="22">
        <f>IFERROR(__xludf.DUMMYFUNCTION("""COMPUTED_VALUE"""),1000000.0)</f>
        <v>1000000</v>
      </c>
      <c r="BE330" s="22">
        <f>IFERROR(__xludf.DUMMYFUNCTION("""COMPUTED_VALUE"""),0.0)</f>
        <v>0</v>
      </c>
      <c r="BF330" s="22">
        <f>IFERROR(__xludf.DUMMYFUNCTION("""COMPUTED_VALUE"""),1000000.0)</f>
        <v>1000000</v>
      </c>
    </row>
    <row r="331">
      <c r="A331" s="27">
        <f>IFERROR(__xludf.DUMMYFUNCTION("""COMPUTED_VALUE"""),330.0)</f>
        <v>330</v>
      </c>
      <c r="B331" s="28" t="str">
        <f>IFERROR(__xludf.DUMMYFUNCTION("""COMPUTED_VALUE"""),"NURUL IFADATUL HASANAH")</f>
        <v>NURUL IFADATUL HASANAH</v>
      </c>
      <c r="C331" s="28">
        <f>IFERROR(__xludf.DUMMYFUNCTION("""COMPUTED_VALUE"""),2.024070542E9)</f>
        <v>2024070542</v>
      </c>
      <c r="D331" s="28" t="str">
        <f>IFERROR(__xludf.DUMMYFUNCTION("""COMPUTED_VALUE"""),"NUR HASAN")</f>
        <v>NUR HASAN</v>
      </c>
      <c r="E331" s="28" t="str">
        <f>IFERROR(__xludf.DUMMYFUNCTION("""COMPUTED_VALUE"""),"SUTU MUNTASIROH")</f>
        <v>SUTU MUNTASIROH</v>
      </c>
      <c r="F331" s="28" t="str">
        <f>IFERROR(__xludf.DUMMYFUNCTION("""COMPUTED_VALUE"""),"DAGAN RT 005 RW 001 SOLOKURO LAMONGAN")</f>
        <v>DAGAN RT 005 RW 001 SOLOKURO LAMONGAN</v>
      </c>
      <c r="G331" s="28" t="str">
        <f>IFERROR(__xludf.DUMMYFUNCTION("""COMPUTED_VALUE"""),"MTS-9 B")</f>
        <v>MTS-9 B</v>
      </c>
      <c r="H331" s="28" t="str">
        <f>IFERROR(__xludf.DUMMYFUNCTION("""COMPUTED_VALUE"""),"E")</f>
        <v>E</v>
      </c>
      <c r="I331" s="28" t="str">
        <f>IFERROR(__xludf.DUMMYFUNCTION("""COMPUTED_VALUE"""),"E-3")</f>
        <v>E-3</v>
      </c>
      <c r="J331" s="28">
        <f>IFERROR(__xludf.DUMMYFUNCTION("""COMPUTED_VALUE"""),3.0)</f>
        <v>3</v>
      </c>
      <c r="K331" s="28" t="str">
        <f>IFERROR(__xludf.DUMMYFUNCTION("""COMPUTED_VALUE"""),"3 ULA B PUTRI")</f>
        <v>3 ULA B PUTRI</v>
      </c>
      <c r="L331" s="29" t="str">
        <f>IFERROR(__xludf.DUMMYFUNCTION("""COMPUTED_VALUE"""),"6282230412303")</f>
        <v>6282230412303</v>
      </c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2">
        <f>IFERROR(__xludf.DUMMYFUNCTION("""COMPUTED_VALUE"""),500000.0)</f>
        <v>500000</v>
      </c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2">
        <f>IFERROR(__xludf.DUMMYFUNCTION("""COMPUTED_VALUE"""),500000.0)</f>
        <v>500000</v>
      </c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2">
        <f>IFERROR(__xludf.DUMMYFUNCTION("""COMPUTED_VALUE"""),0.0)</f>
        <v>0</v>
      </c>
      <c r="BD331" s="22">
        <f>IFERROR(__xludf.DUMMYFUNCTION("""COMPUTED_VALUE"""),1000000.0)</f>
        <v>1000000</v>
      </c>
      <c r="BE331" s="22">
        <f>IFERROR(__xludf.DUMMYFUNCTION("""COMPUTED_VALUE"""),0.0)</f>
        <v>0</v>
      </c>
      <c r="BF331" s="22">
        <f>IFERROR(__xludf.DUMMYFUNCTION("""COMPUTED_VALUE"""),1000000.0)</f>
        <v>1000000</v>
      </c>
    </row>
    <row r="332">
      <c r="A332" s="27">
        <f>IFERROR(__xludf.DUMMYFUNCTION("""COMPUTED_VALUE"""),331.0)</f>
        <v>331</v>
      </c>
      <c r="B332" s="28" t="str">
        <f>IFERROR(__xludf.DUMMYFUNCTION("""COMPUTED_VALUE"""),"RAFIQA AZALIANA YUSUF")</f>
        <v>RAFIQA AZALIANA YUSUF</v>
      </c>
      <c r="C332" s="28">
        <f>IFERROR(__xludf.DUMMYFUNCTION("""COMPUTED_VALUE"""),2.024070481E9)</f>
        <v>2024070481</v>
      </c>
      <c r="D332" s="28" t="str">
        <f>IFERROR(__xludf.DUMMYFUNCTION("""COMPUTED_VALUE"""),"ANHAR YUSUF")</f>
        <v>ANHAR YUSUF</v>
      </c>
      <c r="E332" s="28" t="str">
        <f>IFERROR(__xludf.DUMMYFUNCTION("""COMPUTED_VALUE"""),"HENIK IRAWATI")</f>
        <v>HENIK IRAWATI</v>
      </c>
      <c r="F332" s="28" t="str">
        <f>IFERROR(__xludf.DUMMYFUNCTION("""COMPUTED_VALUE"""),"JL.SISINGAMANGARAJA LRG. VIRGO NO.4 BESUSU TIMUR RT 001 RW 001 PALU TIMUR PALU")</f>
        <v>JL.SISINGAMANGARAJA LRG. VIRGO NO.4 BESUSU TIMUR RT 001 RW 001 PALU TIMUR PALU</v>
      </c>
      <c r="G332" s="28" t="str">
        <f>IFERROR(__xludf.DUMMYFUNCTION("""COMPUTED_VALUE"""),"MTS-9 C")</f>
        <v>MTS-9 C</v>
      </c>
      <c r="H332" s="28" t="str">
        <f>IFERROR(__xludf.DUMMYFUNCTION("""COMPUTED_VALUE"""),"E")</f>
        <v>E</v>
      </c>
      <c r="I332" s="28" t="str">
        <f>IFERROR(__xludf.DUMMYFUNCTION("""COMPUTED_VALUE"""),"E-3")</f>
        <v>E-3</v>
      </c>
      <c r="J332" s="28">
        <f>IFERROR(__xludf.DUMMYFUNCTION("""COMPUTED_VALUE"""),3.0)</f>
        <v>3</v>
      </c>
      <c r="K332" s="28" t="str">
        <f>IFERROR(__xludf.DUMMYFUNCTION("""COMPUTED_VALUE"""),"3 ULA A PUTRI")</f>
        <v>3 ULA A PUTRI</v>
      </c>
      <c r="L332" s="29" t="str">
        <f>IFERROR(__xludf.DUMMYFUNCTION("""COMPUTED_VALUE"""),"6281337240354")</f>
        <v>6281337240354</v>
      </c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2">
        <f>IFERROR(__xludf.DUMMYFUNCTION("""COMPUTED_VALUE"""),0.0)</f>
        <v>0</v>
      </c>
      <c r="BD332" s="22">
        <f>IFERROR(__xludf.DUMMYFUNCTION("""COMPUTED_VALUE"""),0.0)</f>
        <v>0</v>
      </c>
      <c r="BE332" s="22">
        <f>IFERROR(__xludf.DUMMYFUNCTION("""COMPUTED_VALUE"""),0.0)</f>
        <v>0</v>
      </c>
      <c r="BF332" s="22">
        <f>IFERROR(__xludf.DUMMYFUNCTION("""COMPUTED_VALUE"""),0.0)</f>
        <v>0</v>
      </c>
    </row>
    <row r="333">
      <c r="A333" s="27">
        <f>IFERROR(__xludf.DUMMYFUNCTION("""COMPUTED_VALUE"""),332.0)</f>
        <v>332</v>
      </c>
      <c r="B333" s="28" t="str">
        <f>IFERROR(__xludf.DUMMYFUNCTION("""COMPUTED_VALUE"""),"RENY ARYSTA MIERZA")</f>
        <v>RENY ARYSTA MIERZA</v>
      </c>
      <c r="C333" s="28">
        <f>IFERROR(__xludf.DUMMYFUNCTION("""COMPUTED_VALUE"""),2.024070583E9)</f>
        <v>2024070583</v>
      </c>
      <c r="D333" s="28" t="str">
        <f>IFERROR(__xludf.DUMMYFUNCTION("""COMPUTED_VALUE"""),"RASMIDI")</f>
        <v>RASMIDI</v>
      </c>
      <c r="E333" s="28" t="str">
        <f>IFERROR(__xludf.DUMMYFUNCTION("""COMPUTED_VALUE"""),"MARDLUYATUS SHOIFAH")</f>
        <v>MARDLUYATUS SHOIFAH</v>
      </c>
      <c r="F333" s="28" t="str">
        <f>IFERROR(__xludf.DUMMYFUNCTION("""COMPUTED_VALUE"""),"BANGERAN GENENG RT 005 RW 003 DUKUN GRESIK")</f>
        <v>BANGERAN GENENG RT 005 RW 003 DUKUN GRESIK</v>
      </c>
      <c r="G333" s="28" t="str">
        <f>IFERROR(__xludf.DUMMYFUNCTION("""COMPUTED_VALUE"""),"MTS-9 A")</f>
        <v>MTS-9 A</v>
      </c>
      <c r="H333" s="28" t="str">
        <f>IFERROR(__xludf.DUMMYFUNCTION("""COMPUTED_VALUE"""),"E")</f>
        <v>E</v>
      </c>
      <c r="I333" s="28" t="str">
        <f>IFERROR(__xludf.DUMMYFUNCTION("""COMPUTED_VALUE"""),"E-9")</f>
        <v>E-9</v>
      </c>
      <c r="J333" s="28">
        <f>IFERROR(__xludf.DUMMYFUNCTION("""COMPUTED_VALUE"""),3.0)</f>
        <v>3</v>
      </c>
      <c r="K333" s="28" t="str">
        <f>IFERROR(__xludf.DUMMYFUNCTION("""COMPUTED_VALUE"""),"3 ULA B PUTRI")</f>
        <v>3 ULA B PUTRI</v>
      </c>
      <c r="L333" s="29" t="str">
        <f>IFERROR(__xludf.DUMMYFUNCTION("""COMPUTED_VALUE"""),"6285655316635")</f>
        <v>6285655316635</v>
      </c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2">
        <f>IFERROR(__xludf.DUMMYFUNCTION("""COMPUTED_VALUE"""),500000.0)</f>
        <v>500000</v>
      </c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2">
        <f>IFERROR(__xludf.DUMMYFUNCTION("""COMPUTED_VALUE"""),500000.0)</f>
        <v>500000</v>
      </c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2">
        <f>IFERROR(__xludf.DUMMYFUNCTION("""COMPUTED_VALUE"""),0.0)</f>
        <v>0</v>
      </c>
      <c r="BD333" s="22">
        <f>IFERROR(__xludf.DUMMYFUNCTION("""COMPUTED_VALUE"""),1000000.0)</f>
        <v>1000000</v>
      </c>
      <c r="BE333" s="22">
        <f>IFERROR(__xludf.DUMMYFUNCTION("""COMPUTED_VALUE"""),0.0)</f>
        <v>0</v>
      </c>
      <c r="BF333" s="22">
        <f>IFERROR(__xludf.DUMMYFUNCTION("""COMPUTED_VALUE"""),1000000.0)</f>
        <v>1000000</v>
      </c>
    </row>
    <row r="334">
      <c r="A334" s="27">
        <f>IFERROR(__xludf.DUMMYFUNCTION("""COMPUTED_VALUE"""),333.0)</f>
        <v>333</v>
      </c>
      <c r="B334" s="28" t="str">
        <f>IFERROR(__xludf.DUMMYFUNCTION("""COMPUTED_VALUE"""),"RHEISYA BRILIANT OKTAVIANI")</f>
        <v>RHEISYA BRILIANT OKTAVIANI</v>
      </c>
      <c r="C334" s="28">
        <f>IFERROR(__xludf.DUMMYFUNCTION("""COMPUTED_VALUE"""),2.024070536E9)</f>
        <v>2024070536</v>
      </c>
      <c r="D334" s="28" t="str">
        <f>IFERROR(__xludf.DUMMYFUNCTION("""COMPUTED_VALUE"""),"SUGIONO")</f>
        <v>SUGIONO</v>
      </c>
      <c r="E334" s="28" t="str">
        <f>IFERROR(__xludf.DUMMYFUNCTION("""COMPUTED_VALUE"""),"SITI QONIATIN NADZIROH")</f>
        <v>SITI QONIATIN NADZIROH</v>
      </c>
      <c r="F334" s="28" t="str">
        <f>IFERROR(__xludf.DUMMYFUNCTION("""COMPUTED_VALUE"""),"DAMPIT SUMBEREJO RT 001 RW 004 LAMONGAN LAMONGAN")</f>
        <v>DAMPIT SUMBEREJO RT 001 RW 004 LAMONGAN LAMONGAN</v>
      </c>
      <c r="G334" s="28" t="str">
        <f>IFERROR(__xludf.DUMMYFUNCTION("""COMPUTED_VALUE"""),"MTS-9 A")</f>
        <v>MTS-9 A</v>
      </c>
      <c r="H334" s="28" t="str">
        <f>IFERROR(__xludf.DUMMYFUNCTION("""COMPUTED_VALUE"""),"E")</f>
        <v>E</v>
      </c>
      <c r="I334" s="28" t="str">
        <f>IFERROR(__xludf.DUMMYFUNCTION("""COMPUTED_VALUE"""),"E-9")</f>
        <v>E-9</v>
      </c>
      <c r="J334" s="28">
        <f>IFERROR(__xludf.DUMMYFUNCTION("""COMPUTED_VALUE"""),3.0)</f>
        <v>3</v>
      </c>
      <c r="K334" s="28" t="str">
        <f>IFERROR(__xludf.DUMMYFUNCTION("""COMPUTED_VALUE"""),"3 ULA C PUTRI")</f>
        <v>3 ULA C PUTRI</v>
      </c>
      <c r="L334" s="29" t="str">
        <f>IFERROR(__xludf.DUMMYFUNCTION("""COMPUTED_VALUE"""),"6289535203055")</f>
        <v>6289535203055</v>
      </c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2">
        <f>IFERROR(__xludf.DUMMYFUNCTION("""COMPUTED_VALUE"""),500000.0)</f>
        <v>500000</v>
      </c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2">
        <f>IFERROR(__xludf.DUMMYFUNCTION("""COMPUTED_VALUE"""),0.0)</f>
        <v>0</v>
      </c>
      <c r="BD334" s="22">
        <f>IFERROR(__xludf.DUMMYFUNCTION("""COMPUTED_VALUE"""),500000.0)</f>
        <v>500000</v>
      </c>
      <c r="BE334" s="22">
        <f>IFERROR(__xludf.DUMMYFUNCTION("""COMPUTED_VALUE"""),0.0)</f>
        <v>0</v>
      </c>
      <c r="BF334" s="22">
        <f>IFERROR(__xludf.DUMMYFUNCTION("""COMPUTED_VALUE"""),500000.0)</f>
        <v>500000</v>
      </c>
    </row>
    <row r="335">
      <c r="A335" s="27">
        <f>IFERROR(__xludf.DUMMYFUNCTION("""COMPUTED_VALUE"""),334.0)</f>
        <v>334</v>
      </c>
      <c r="B335" s="28" t="str">
        <f>IFERROR(__xludf.DUMMYFUNCTION("""COMPUTED_VALUE"""),"ROSSALIA BELLA RAISYA")</f>
        <v>ROSSALIA BELLA RAISYA</v>
      </c>
      <c r="C335" s="28">
        <f>IFERROR(__xludf.DUMMYFUNCTION("""COMPUTED_VALUE"""),2.024070443E9)</f>
        <v>2024070443</v>
      </c>
      <c r="D335" s="28" t="str">
        <f>IFERROR(__xludf.DUMMYFUNCTION("""COMPUTED_VALUE"""),"RAIS")</f>
        <v>RAIS</v>
      </c>
      <c r="E335" s="28" t="str">
        <f>IFERROR(__xludf.DUMMYFUNCTION("""COMPUTED_VALUE"""),"TRIA VILIA")</f>
        <v>TRIA VILIA</v>
      </c>
      <c r="F335" s="28" t="str">
        <f>IFERROR(__xludf.DUMMYFUNCTION("""COMPUTED_VALUE"""),"LENJER DUKUHAGUNG RT 002 RW 002 TIKUNG LAMONGAN")</f>
        <v>LENJER DUKUHAGUNG RT 002 RW 002 TIKUNG LAMONGAN</v>
      </c>
      <c r="G335" s="28" t="str">
        <f>IFERROR(__xludf.DUMMYFUNCTION("""COMPUTED_VALUE"""),"MTS-9 A")</f>
        <v>MTS-9 A</v>
      </c>
      <c r="H335" s="28" t="str">
        <f>IFERROR(__xludf.DUMMYFUNCTION("""COMPUTED_VALUE"""),"E")</f>
        <v>E</v>
      </c>
      <c r="I335" s="28" t="str">
        <f>IFERROR(__xludf.DUMMYFUNCTION("""COMPUTED_VALUE"""),"E-9")</f>
        <v>E-9</v>
      </c>
      <c r="J335" s="28">
        <f>IFERROR(__xludf.DUMMYFUNCTION("""COMPUTED_VALUE"""),3.0)</f>
        <v>3</v>
      </c>
      <c r="K335" s="28" t="str">
        <f>IFERROR(__xludf.DUMMYFUNCTION("""COMPUTED_VALUE"""),"3 ULA C PUTRI")</f>
        <v>3 ULA C PUTRI</v>
      </c>
      <c r="L335" s="29" t="str">
        <f>IFERROR(__xludf.DUMMYFUNCTION("""COMPUTED_VALUE"""),"6282175167141")</f>
        <v>6282175167141</v>
      </c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2">
        <f>IFERROR(__xludf.DUMMYFUNCTION("""COMPUTED_VALUE"""),0.0)</f>
        <v>0</v>
      </c>
      <c r="BD335" s="22">
        <f>IFERROR(__xludf.DUMMYFUNCTION("""COMPUTED_VALUE"""),0.0)</f>
        <v>0</v>
      </c>
      <c r="BE335" s="22">
        <f>IFERROR(__xludf.DUMMYFUNCTION("""COMPUTED_VALUE"""),0.0)</f>
        <v>0</v>
      </c>
      <c r="BF335" s="22">
        <f>IFERROR(__xludf.DUMMYFUNCTION("""COMPUTED_VALUE"""),0.0)</f>
        <v>0</v>
      </c>
    </row>
    <row r="336">
      <c r="A336" s="27">
        <f>IFERROR(__xludf.DUMMYFUNCTION("""COMPUTED_VALUE"""),335.0)</f>
        <v>335</v>
      </c>
      <c r="B336" s="28" t="str">
        <f>IFERROR(__xludf.DUMMYFUNCTION("""COMPUTED_VALUE"""),"USWAH EL FAHRUSAZZAM ZAMI")</f>
        <v>USWAH EL FAHRUSAZZAM ZAMI</v>
      </c>
      <c r="C336" s="28">
        <f>IFERROR(__xludf.DUMMYFUNCTION("""COMPUTED_VALUE"""),2.024070574E9)</f>
        <v>2024070574</v>
      </c>
      <c r="D336" s="28" t="str">
        <f>IFERROR(__xludf.DUMMYFUNCTION("""COMPUTED_VALUE"""),"SUNAR")</f>
        <v>SUNAR</v>
      </c>
      <c r="E336" s="28" t="str">
        <f>IFERROR(__xludf.DUMMYFUNCTION("""COMPUTED_VALUE"""),"SUMINAH")</f>
        <v>SUMINAH</v>
      </c>
      <c r="F336" s="28" t="str">
        <f>IFERROR(__xludf.DUMMYFUNCTION("""COMPUTED_VALUE"""),"GERMAN RT 001 RW 003 SUGIO LAMONGAN")</f>
        <v>GERMAN RT 001 RW 003 SUGIO LAMONGAN</v>
      </c>
      <c r="G336" s="28" t="str">
        <f>IFERROR(__xludf.DUMMYFUNCTION("""COMPUTED_VALUE"""),"MTS-9 C")</f>
        <v>MTS-9 C</v>
      </c>
      <c r="H336" s="28" t="str">
        <f>IFERROR(__xludf.DUMMYFUNCTION("""COMPUTED_VALUE"""),"E")</f>
        <v>E</v>
      </c>
      <c r="I336" s="28" t="str">
        <f>IFERROR(__xludf.DUMMYFUNCTION("""COMPUTED_VALUE"""),"E-2")</f>
        <v>E-2</v>
      </c>
      <c r="J336" s="28">
        <f>IFERROR(__xludf.DUMMYFUNCTION("""COMPUTED_VALUE"""),3.0)</f>
        <v>3</v>
      </c>
      <c r="K336" s="28" t="str">
        <f>IFERROR(__xludf.DUMMYFUNCTION("""COMPUTED_VALUE"""),"3 ULA C PUTRI")</f>
        <v>3 ULA C PUTRI</v>
      </c>
      <c r="L336" s="29" t="str">
        <f>IFERROR(__xludf.DUMMYFUNCTION("""COMPUTED_VALUE"""),"6285854674616")</f>
        <v>6285854674616</v>
      </c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2">
        <f>IFERROR(__xludf.DUMMYFUNCTION("""COMPUTED_VALUE"""),350000.0)</f>
        <v>350000</v>
      </c>
      <c r="AB336" s="22">
        <f>IFERROR(__xludf.DUMMYFUNCTION("""COMPUTED_VALUE"""),500000.0)</f>
        <v>500000</v>
      </c>
      <c r="AC336" s="28"/>
      <c r="AD336" s="28"/>
      <c r="AE336" s="28"/>
      <c r="AF336" s="28"/>
      <c r="AG336" s="28"/>
      <c r="AH336" s="22">
        <f>IFERROR(__xludf.DUMMYFUNCTION("""COMPUTED_VALUE"""),500000.0)</f>
        <v>500000</v>
      </c>
      <c r="AI336" s="22">
        <f>IFERROR(__xludf.DUMMYFUNCTION("""COMPUTED_VALUE"""),500000.0)</f>
        <v>500000</v>
      </c>
      <c r="AJ336" s="22">
        <f>IFERROR(__xludf.DUMMYFUNCTION("""COMPUTED_VALUE"""),500000.0)</f>
        <v>500000</v>
      </c>
      <c r="AK336" s="22">
        <f>IFERROR(__xludf.DUMMYFUNCTION("""COMPUTED_VALUE"""),500000.0)</f>
        <v>500000</v>
      </c>
      <c r="AL336" s="22">
        <f>IFERROR(__xludf.DUMMYFUNCTION("""COMPUTED_VALUE"""),500000.0)</f>
        <v>500000</v>
      </c>
      <c r="AM336" s="22">
        <f>IFERROR(__xludf.DUMMYFUNCTION("""COMPUTED_VALUE"""),500000.0)</f>
        <v>500000</v>
      </c>
      <c r="AN336" s="22">
        <f>IFERROR(__xludf.DUMMYFUNCTION("""COMPUTED_VALUE"""),500000.0)</f>
        <v>500000</v>
      </c>
      <c r="AO336" s="28"/>
      <c r="AP336" s="22">
        <f>IFERROR(__xludf.DUMMYFUNCTION("""COMPUTED_VALUE"""),500000.0)</f>
        <v>500000</v>
      </c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2">
        <f>IFERROR(__xludf.DUMMYFUNCTION("""COMPUTED_VALUE"""),3500000.0)</f>
        <v>3500000</v>
      </c>
      <c r="BD336" s="22">
        <f>IFERROR(__xludf.DUMMYFUNCTION("""COMPUTED_VALUE"""),1000000.0)</f>
        <v>1000000</v>
      </c>
      <c r="BE336" s="22">
        <f>IFERROR(__xludf.DUMMYFUNCTION("""COMPUTED_VALUE"""),350000.0)</f>
        <v>350000</v>
      </c>
      <c r="BF336" s="22">
        <f>IFERROR(__xludf.DUMMYFUNCTION("""COMPUTED_VALUE"""),4850000.0)</f>
        <v>4850000</v>
      </c>
    </row>
    <row r="337">
      <c r="A337" s="27">
        <f>IFERROR(__xludf.DUMMYFUNCTION("""COMPUTED_VALUE"""),336.0)</f>
        <v>336</v>
      </c>
      <c r="B337" s="28" t="str">
        <f>IFERROR(__xludf.DUMMYFUNCTION("""COMPUTED_VALUE"""),"ZAHROTUS TSANI NAJWA")</f>
        <v>ZAHROTUS TSANI NAJWA</v>
      </c>
      <c r="C337" s="28">
        <f>IFERROR(__xludf.DUMMYFUNCTION("""COMPUTED_VALUE"""),2.024070657E9)</f>
        <v>2024070657</v>
      </c>
      <c r="D337" s="28" t="str">
        <f>IFERROR(__xludf.DUMMYFUNCTION("""COMPUTED_VALUE"""),"NUR AFIF")</f>
        <v>NUR AFIF</v>
      </c>
      <c r="E337" s="28" t="str">
        <f>IFERROR(__xludf.DUMMYFUNCTION("""COMPUTED_VALUE"""),"SITI KHOTIMAH")</f>
        <v>SITI KHOTIMAH</v>
      </c>
      <c r="F337" s="28" t="str">
        <f>IFERROR(__xludf.DUMMYFUNCTION("""COMPUTED_VALUE"""),"SUMURBER RT 020 RW 007 PANCENG GRESIK")</f>
        <v>SUMURBER RT 020 RW 007 PANCENG GRESIK</v>
      </c>
      <c r="G337" s="28" t="str">
        <f>IFERROR(__xludf.DUMMYFUNCTION("""COMPUTED_VALUE"""),"MTS-9 B")</f>
        <v>MTS-9 B</v>
      </c>
      <c r="H337" s="28" t="str">
        <f>IFERROR(__xludf.DUMMYFUNCTION("""COMPUTED_VALUE"""),"E")</f>
        <v>E</v>
      </c>
      <c r="I337" s="28" t="str">
        <f>IFERROR(__xludf.DUMMYFUNCTION("""COMPUTED_VALUE"""),"E-2")</f>
        <v>E-2</v>
      </c>
      <c r="J337" s="28">
        <f>IFERROR(__xludf.DUMMYFUNCTION("""COMPUTED_VALUE"""),3.0)</f>
        <v>3</v>
      </c>
      <c r="K337" s="28" t="str">
        <f>IFERROR(__xludf.DUMMYFUNCTION("""COMPUTED_VALUE"""),"3 ULA A PUTRI")</f>
        <v>3 ULA A PUTRI</v>
      </c>
      <c r="L337" s="29" t="str">
        <f>IFERROR(__xludf.DUMMYFUNCTION("""COMPUTED_VALUE"""),"6285707549890")</f>
        <v>6285707549890</v>
      </c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2">
        <f>IFERROR(__xludf.DUMMYFUNCTION("""COMPUTED_VALUE"""),500000.0)</f>
        <v>500000</v>
      </c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2">
        <f>IFERROR(__xludf.DUMMYFUNCTION("""COMPUTED_VALUE"""),500000.0)</f>
        <v>500000</v>
      </c>
      <c r="AO337" s="28"/>
      <c r="AP337" s="22">
        <f>IFERROR(__xludf.DUMMYFUNCTION("""COMPUTED_VALUE"""),500000.0)</f>
        <v>500000</v>
      </c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2">
        <f>IFERROR(__xludf.DUMMYFUNCTION("""COMPUTED_VALUE"""),500000.0)</f>
        <v>500000</v>
      </c>
      <c r="BD337" s="22">
        <f>IFERROR(__xludf.DUMMYFUNCTION("""COMPUTED_VALUE"""),1000000.0)</f>
        <v>1000000</v>
      </c>
      <c r="BE337" s="22">
        <f>IFERROR(__xludf.DUMMYFUNCTION("""COMPUTED_VALUE"""),0.0)</f>
        <v>0</v>
      </c>
      <c r="BF337" s="22">
        <f>IFERROR(__xludf.DUMMYFUNCTION("""COMPUTED_VALUE"""),1500000.0)</f>
        <v>1500000</v>
      </c>
    </row>
    <row r="338">
      <c r="A338" s="27">
        <f>IFERROR(__xludf.DUMMYFUNCTION("""COMPUTED_VALUE"""),337.0)</f>
        <v>337</v>
      </c>
      <c r="B338" s="28" t="str">
        <f>IFERROR(__xludf.DUMMYFUNCTION("""COMPUTED_VALUE"""),"ZALVI SYAFIRA SA`BANIA PUTRI")</f>
        <v>ZALVI SYAFIRA SA`BANIA PUTRI</v>
      </c>
      <c r="C338" s="28">
        <f>IFERROR(__xludf.DUMMYFUNCTION("""COMPUTED_VALUE"""),2.024070446E9)</f>
        <v>2024070446</v>
      </c>
      <c r="D338" s="28" t="str">
        <f>IFERROR(__xludf.DUMMYFUNCTION("""COMPUTED_VALUE"""),"FAISOL MA'ARIF")</f>
        <v>FAISOL MA'ARIF</v>
      </c>
      <c r="E338" s="28" t="str">
        <f>IFERROR(__xludf.DUMMYFUNCTION("""COMPUTED_VALUE"""),"EVI MUKHOLIDA")</f>
        <v>EVI MUKHOLIDA</v>
      </c>
      <c r="F338" s="28" t="str">
        <f>IFERROR(__xludf.DUMMYFUNCTION("""COMPUTED_VALUE"""),"DEMANG SAMBOPINGGIR RT 003 RW 004 KARANGBINANGUN LAMONGAN")</f>
        <v>DEMANG SAMBOPINGGIR RT 003 RW 004 KARANGBINANGUN LAMONGAN</v>
      </c>
      <c r="G338" s="28" t="str">
        <f>IFERROR(__xludf.DUMMYFUNCTION("""COMPUTED_VALUE"""),"MTS-9 A")</f>
        <v>MTS-9 A</v>
      </c>
      <c r="H338" s="28" t="str">
        <f>IFERROR(__xludf.DUMMYFUNCTION("""COMPUTED_VALUE"""),"E")</f>
        <v>E</v>
      </c>
      <c r="I338" s="28" t="str">
        <f>IFERROR(__xludf.DUMMYFUNCTION("""COMPUTED_VALUE"""),"E-9")</f>
        <v>E-9</v>
      </c>
      <c r="J338" s="28">
        <f>IFERROR(__xludf.DUMMYFUNCTION("""COMPUTED_VALUE"""),3.0)</f>
        <v>3</v>
      </c>
      <c r="K338" s="28" t="str">
        <f>IFERROR(__xludf.DUMMYFUNCTION("""COMPUTED_VALUE"""),"3 ULA A PUTRI")</f>
        <v>3 ULA A PUTRI</v>
      </c>
      <c r="L338" s="29" t="str">
        <f>IFERROR(__xludf.DUMMYFUNCTION("""COMPUTED_VALUE"""),"6285815817989")</f>
        <v>6285815817989</v>
      </c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2">
        <f>IFERROR(__xludf.DUMMYFUNCTION("""COMPUTED_VALUE"""),500000.0)</f>
        <v>500000</v>
      </c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2">
        <f>IFERROR(__xludf.DUMMYFUNCTION("""COMPUTED_VALUE"""),500000.0)</f>
        <v>500000</v>
      </c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2">
        <f>IFERROR(__xludf.DUMMYFUNCTION("""COMPUTED_VALUE"""),0.0)</f>
        <v>0</v>
      </c>
      <c r="BD338" s="22">
        <f>IFERROR(__xludf.DUMMYFUNCTION("""COMPUTED_VALUE"""),1000000.0)</f>
        <v>1000000</v>
      </c>
      <c r="BE338" s="22">
        <f>IFERROR(__xludf.DUMMYFUNCTION("""COMPUTED_VALUE"""),0.0)</f>
        <v>0</v>
      </c>
      <c r="BF338" s="22">
        <f>IFERROR(__xludf.DUMMYFUNCTION("""COMPUTED_VALUE"""),1000000.0)</f>
        <v>1000000</v>
      </c>
    </row>
    <row r="339">
      <c r="A339" s="27">
        <f>IFERROR(__xludf.DUMMYFUNCTION("""COMPUTED_VALUE"""),338.0)</f>
        <v>338</v>
      </c>
      <c r="B339" s="28" t="str">
        <f>IFERROR(__xludf.DUMMYFUNCTION("""COMPUTED_VALUE"""),"ZASKIA MAHARANI PUTRI")</f>
        <v>ZASKIA MAHARANI PUTRI</v>
      </c>
      <c r="C339" s="28">
        <f>IFERROR(__xludf.DUMMYFUNCTION("""COMPUTED_VALUE"""),2.024070586E9)</f>
        <v>2024070586</v>
      </c>
      <c r="D339" s="28" t="str">
        <f>IFERROR(__xludf.DUMMYFUNCTION("""COMPUTED_VALUE"""),"ABDUL QODIR")</f>
        <v>ABDUL QODIR</v>
      </c>
      <c r="E339" s="28" t="str">
        <f>IFERROR(__xludf.DUMMYFUNCTION("""COMPUTED_VALUE"""),"OKTAVIANA SARI")</f>
        <v>OKTAVIANA SARI</v>
      </c>
      <c r="F339" s="28" t="str">
        <f>IFERROR(__xludf.DUMMYFUNCTION("""COMPUTED_VALUE"""),"CEKEL KRAMAT RT 001 RW 001 LAMONGAN LAMONGAN")</f>
        <v>CEKEL KRAMAT RT 001 RW 001 LAMONGAN LAMONGAN</v>
      </c>
      <c r="G339" s="28" t="str">
        <f>IFERROR(__xludf.DUMMYFUNCTION("""COMPUTED_VALUE"""),"MTS-9 A")</f>
        <v>MTS-9 A</v>
      </c>
      <c r="H339" s="28" t="str">
        <f>IFERROR(__xludf.DUMMYFUNCTION("""COMPUTED_VALUE"""),"E")</f>
        <v>E</v>
      </c>
      <c r="I339" s="28" t="str">
        <f>IFERROR(__xludf.DUMMYFUNCTION("""COMPUTED_VALUE"""),"E-9")</f>
        <v>E-9</v>
      </c>
      <c r="J339" s="28">
        <f>IFERROR(__xludf.DUMMYFUNCTION("""COMPUTED_VALUE"""),3.0)</f>
        <v>3</v>
      </c>
      <c r="K339" s="28" t="str">
        <f>IFERROR(__xludf.DUMMYFUNCTION("""COMPUTED_VALUE"""),"3 ULA A PUTRI")</f>
        <v>3 ULA A PUTRI</v>
      </c>
      <c r="L339" s="29" t="str">
        <f>IFERROR(__xludf.DUMMYFUNCTION("""COMPUTED_VALUE"""),"6285852103712")</f>
        <v>6285852103712</v>
      </c>
      <c r="M339" s="22">
        <f>IFERROR(__xludf.DUMMYFUNCTION("""COMPUTED_VALUE"""),600000.0)</f>
        <v>600000</v>
      </c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2">
        <f>IFERROR(__xludf.DUMMYFUNCTION("""COMPUTED_VALUE"""),500000.0)</f>
        <v>500000</v>
      </c>
      <c r="Y339" s="22">
        <f>IFERROR(__xludf.DUMMYFUNCTION("""COMPUTED_VALUE"""),500000.0)</f>
        <v>500000</v>
      </c>
      <c r="Z339" s="22">
        <f>IFERROR(__xludf.DUMMYFUNCTION("""COMPUTED_VALUE"""),500000.0)</f>
        <v>500000</v>
      </c>
      <c r="AA339" s="22">
        <f>IFERROR(__xludf.DUMMYFUNCTION("""COMPUTED_VALUE"""),350000.0)</f>
        <v>350000</v>
      </c>
      <c r="AB339" s="22">
        <f>IFERROR(__xludf.DUMMYFUNCTION("""COMPUTED_VALUE"""),500000.0)</f>
        <v>500000</v>
      </c>
      <c r="AC339" s="22">
        <f>IFERROR(__xludf.DUMMYFUNCTION("""COMPUTED_VALUE"""),500000.0)</f>
        <v>500000</v>
      </c>
      <c r="AD339" s="22">
        <f>IFERROR(__xludf.DUMMYFUNCTION("""COMPUTED_VALUE"""),500000.0)</f>
        <v>500000</v>
      </c>
      <c r="AE339" s="22">
        <f>IFERROR(__xludf.DUMMYFUNCTION("""COMPUTED_VALUE"""),500000.0)</f>
        <v>500000</v>
      </c>
      <c r="AF339" s="22">
        <f>IFERROR(__xludf.DUMMYFUNCTION("""COMPUTED_VALUE"""),500000.0)</f>
        <v>500000</v>
      </c>
      <c r="AG339" s="22">
        <f>IFERROR(__xludf.DUMMYFUNCTION("""COMPUTED_VALUE"""),500000.0)</f>
        <v>500000</v>
      </c>
      <c r="AH339" s="22">
        <f>IFERROR(__xludf.DUMMYFUNCTION("""COMPUTED_VALUE"""),500000.0)</f>
        <v>500000</v>
      </c>
      <c r="AI339" s="22">
        <f>IFERROR(__xludf.DUMMYFUNCTION("""COMPUTED_VALUE"""),500000.0)</f>
        <v>500000</v>
      </c>
      <c r="AJ339" s="22">
        <f>IFERROR(__xludf.DUMMYFUNCTION("""COMPUTED_VALUE"""),500000.0)</f>
        <v>500000</v>
      </c>
      <c r="AK339" s="22">
        <f>IFERROR(__xludf.DUMMYFUNCTION("""COMPUTED_VALUE"""),500000.0)</f>
        <v>500000</v>
      </c>
      <c r="AL339" s="22">
        <f>IFERROR(__xludf.DUMMYFUNCTION("""COMPUTED_VALUE"""),500000.0)</f>
        <v>500000</v>
      </c>
      <c r="AM339" s="22">
        <f>IFERROR(__xludf.DUMMYFUNCTION("""COMPUTED_VALUE"""),500000.0)</f>
        <v>500000</v>
      </c>
      <c r="AN339" s="22">
        <f>IFERROR(__xludf.DUMMYFUNCTION("""COMPUTED_VALUE"""),500000.0)</f>
        <v>500000</v>
      </c>
      <c r="AO339" s="28"/>
      <c r="AP339" s="22">
        <f>IFERROR(__xludf.DUMMYFUNCTION("""COMPUTED_VALUE"""),500000.0)</f>
        <v>500000</v>
      </c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2">
        <f>IFERROR(__xludf.DUMMYFUNCTION("""COMPUTED_VALUE"""),7500000.0)</f>
        <v>7500000</v>
      </c>
      <c r="BD339" s="22">
        <f>IFERROR(__xludf.DUMMYFUNCTION("""COMPUTED_VALUE"""),1600000.0)</f>
        <v>1600000</v>
      </c>
      <c r="BE339" s="22">
        <f>IFERROR(__xludf.DUMMYFUNCTION("""COMPUTED_VALUE"""),350000.0)</f>
        <v>350000</v>
      </c>
      <c r="BF339" s="22">
        <f>IFERROR(__xludf.DUMMYFUNCTION("""COMPUTED_VALUE"""),9450000.0)</f>
        <v>9450000</v>
      </c>
    </row>
    <row r="340">
      <c r="A340" s="27">
        <f>IFERROR(__xludf.DUMMYFUNCTION("""COMPUTED_VALUE"""),339.0)</f>
        <v>339</v>
      </c>
      <c r="B340" s="28" t="str">
        <f>IFERROR(__xludf.DUMMYFUNCTION("""COMPUTED_VALUE"""),"ZHAFIRA MAULIDA")</f>
        <v>ZHAFIRA MAULIDA</v>
      </c>
      <c r="C340" s="28">
        <f>IFERROR(__xludf.DUMMYFUNCTION("""COMPUTED_VALUE"""),2.024070606E9)</f>
        <v>2024070606</v>
      </c>
      <c r="D340" s="28" t="str">
        <f>IFERROR(__xludf.DUMMYFUNCTION("""COMPUTED_VALUE"""),"AGUS HANDOKO")</f>
        <v>AGUS HANDOKO</v>
      </c>
      <c r="E340" s="28" t="str">
        <f>IFERROR(__xludf.DUMMYFUNCTION("""COMPUTED_VALUE"""),"DEWI SUNDARI")</f>
        <v>DEWI SUNDARI</v>
      </c>
      <c r="F340" s="28" t="str">
        <f>IFERROR(__xludf.DUMMYFUNCTION("""COMPUTED_VALUE"""),"JL. RAYA BUNGAH MOJOPURO WETAN RT 003 RW 002 BUNGAH GRESIK")</f>
        <v>JL. RAYA BUNGAH MOJOPURO WETAN RT 003 RW 002 BUNGAH GRESIK</v>
      </c>
      <c r="G340" s="28" t="str">
        <f>IFERROR(__xludf.DUMMYFUNCTION("""COMPUTED_VALUE"""),"MTS-9 A")</f>
        <v>MTS-9 A</v>
      </c>
      <c r="H340" s="28" t="str">
        <f>IFERROR(__xludf.DUMMYFUNCTION("""COMPUTED_VALUE"""),"E")</f>
        <v>E</v>
      </c>
      <c r="I340" s="28" t="str">
        <f>IFERROR(__xludf.DUMMYFUNCTION("""COMPUTED_VALUE"""),"E-9")</f>
        <v>E-9</v>
      </c>
      <c r="J340" s="28">
        <f>IFERROR(__xludf.DUMMYFUNCTION("""COMPUTED_VALUE"""),3.0)</f>
        <v>3</v>
      </c>
      <c r="K340" s="28" t="str">
        <f>IFERROR(__xludf.DUMMYFUNCTION("""COMPUTED_VALUE"""),"3 ULA B PUTRI")</f>
        <v>3 ULA B PUTRI</v>
      </c>
      <c r="L340" s="29" t="str">
        <f>IFERROR(__xludf.DUMMYFUNCTION("""COMPUTED_VALUE"""),"6285745828753")</f>
        <v>6285745828753</v>
      </c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2">
        <f>IFERROR(__xludf.DUMMYFUNCTION("""COMPUTED_VALUE"""),500000.0)</f>
        <v>500000</v>
      </c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2">
        <f>IFERROR(__xludf.DUMMYFUNCTION("""COMPUTED_VALUE"""),500000.0)</f>
        <v>500000</v>
      </c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2">
        <f>IFERROR(__xludf.DUMMYFUNCTION("""COMPUTED_VALUE"""),0.0)</f>
        <v>0</v>
      </c>
      <c r="BD340" s="22">
        <f>IFERROR(__xludf.DUMMYFUNCTION("""COMPUTED_VALUE"""),1000000.0)</f>
        <v>1000000</v>
      </c>
      <c r="BE340" s="22">
        <f>IFERROR(__xludf.DUMMYFUNCTION("""COMPUTED_VALUE"""),0.0)</f>
        <v>0</v>
      </c>
      <c r="BF340" s="22">
        <f>IFERROR(__xludf.DUMMYFUNCTION("""COMPUTED_VALUE"""),1000000.0)</f>
        <v>1000000</v>
      </c>
    </row>
    <row r="341">
      <c r="A341" s="27">
        <f>IFERROR(__xludf.DUMMYFUNCTION("""COMPUTED_VALUE"""),340.0)</f>
        <v>340</v>
      </c>
      <c r="B341" s="28" t="str">
        <f>IFERROR(__xludf.DUMMYFUNCTION("""COMPUTED_VALUE"""),"ANGELINA KIBRIYAH SAFITRI")</f>
        <v>ANGELINA KIBRIYAH SAFITRI</v>
      </c>
      <c r="C341" s="28">
        <f>IFERROR(__xludf.DUMMYFUNCTION("""COMPUTED_VALUE"""),2.02407034E9)</f>
        <v>2024070340</v>
      </c>
      <c r="D341" s="28" t="str">
        <f>IFERROR(__xludf.DUMMYFUNCTION("""COMPUTED_VALUE"""),"M,UFAIZIN")</f>
        <v>M,UFAIZIN</v>
      </c>
      <c r="E341" s="28" t="str">
        <f>IFERROR(__xludf.DUMMYFUNCTION("""COMPUTED_VALUE"""),"WARDATUL KHUMAIROH")</f>
        <v>WARDATUL KHUMAIROH</v>
      </c>
      <c r="F341" s="28" t="str">
        <f>IFERROR(__xludf.DUMMYFUNCTION("""COMPUTED_VALUE"""),"KETAPANGLOR RT 004 RW 003 UJUNGPANGKAH GRESIK")</f>
        <v>KETAPANGLOR RT 004 RW 003 UJUNGPANGKAH GRESIK</v>
      </c>
      <c r="G341" s="28" t="str">
        <f>IFERROR(__xludf.DUMMYFUNCTION("""COMPUTED_VALUE"""),"MA-XII.11")</f>
        <v>MA-XII.11</v>
      </c>
      <c r="H341" s="28" t="str">
        <f>IFERROR(__xludf.DUMMYFUNCTION("""COMPUTED_VALUE"""),"E")</f>
        <v>E</v>
      </c>
      <c r="I341" s="28" t="str">
        <f>IFERROR(__xludf.DUMMYFUNCTION("""COMPUTED_VALUE"""),"E-3")</f>
        <v>E-3</v>
      </c>
      <c r="J341" s="28">
        <f>IFERROR(__xludf.DUMMYFUNCTION("""COMPUTED_VALUE"""),3.0)</f>
        <v>3</v>
      </c>
      <c r="K341" s="28" t="str">
        <f>IFERROR(__xludf.DUMMYFUNCTION("""COMPUTED_VALUE"""),"3 WUSTHO B PUTRI")</f>
        <v>3 WUSTHO B PUTRI</v>
      </c>
      <c r="L341" s="29" t="str">
        <f>IFERROR(__xludf.DUMMYFUNCTION("""COMPUTED_VALUE"""),"6285707549770")</f>
        <v>6285707549770</v>
      </c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2">
        <f>IFERROR(__xludf.DUMMYFUNCTION("""COMPUTED_VALUE"""),500000.0)</f>
        <v>500000</v>
      </c>
      <c r="AJ341" s="22">
        <f>IFERROR(__xludf.DUMMYFUNCTION("""COMPUTED_VALUE"""),500000.0)</f>
        <v>500000</v>
      </c>
      <c r="AK341" s="22">
        <f>IFERROR(__xludf.DUMMYFUNCTION("""COMPUTED_VALUE"""),500000.0)</f>
        <v>500000</v>
      </c>
      <c r="AL341" s="22">
        <f>IFERROR(__xludf.DUMMYFUNCTION("""COMPUTED_VALUE"""),500000.0)</f>
        <v>500000</v>
      </c>
      <c r="AM341" s="22">
        <f>IFERROR(__xludf.DUMMYFUNCTION("""COMPUTED_VALUE"""),500000.0)</f>
        <v>500000</v>
      </c>
      <c r="AN341" s="22">
        <f>IFERROR(__xludf.DUMMYFUNCTION("""COMPUTED_VALUE"""),500000.0)</f>
        <v>500000</v>
      </c>
      <c r="AO341" s="28"/>
      <c r="AP341" s="22">
        <f>IFERROR(__xludf.DUMMYFUNCTION("""COMPUTED_VALUE"""),500000.0)</f>
        <v>500000</v>
      </c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2">
        <f>IFERROR(__xludf.DUMMYFUNCTION("""COMPUTED_VALUE"""),3000000.0)</f>
        <v>3000000</v>
      </c>
      <c r="BD341" s="22">
        <f>IFERROR(__xludf.DUMMYFUNCTION("""COMPUTED_VALUE"""),500000.0)</f>
        <v>500000</v>
      </c>
      <c r="BE341" s="22">
        <f>IFERROR(__xludf.DUMMYFUNCTION("""COMPUTED_VALUE"""),0.0)</f>
        <v>0</v>
      </c>
      <c r="BF341" s="22">
        <f>IFERROR(__xludf.DUMMYFUNCTION("""COMPUTED_VALUE"""),3500000.0)</f>
        <v>3500000</v>
      </c>
    </row>
    <row r="342">
      <c r="A342" s="27">
        <f>IFERROR(__xludf.DUMMYFUNCTION("""COMPUTED_VALUE"""),341.0)</f>
        <v>341</v>
      </c>
      <c r="B342" s="28" t="str">
        <f>IFERROR(__xludf.DUMMYFUNCTION("""COMPUTED_VALUE"""),"AULIYAH SYIFA WINARNI")</f>
        <v>AULIYAH SYIFA WINARNI</v>
      </c>
      <c r="C342" s="28">
        <f>IFERROR(__xludf.DUMMYFUNCTION("""COMPUTED_VALUE"""),2.024070188E9)</f>
        <v>2024070188</v>
      </c>
      <c r="D342" s="28" t="str">
        <f>IFERROR(__xludf.DUMMYFUNCTION("""COMPUTED_VALUE"""),"ALY KUSWARDIANTONO")</f>
        <v>ALY KUSWARDIANTONO</v>
      </c>
      <c r="E342" s="28" t="str">
        <f>IFERROR(__xludf.DUMMYFUNCTION("""COMPUTED_VALUE"""),"RULLY SYAMSI WINARNI")</f>
        <v>RULLY SYAMSI WINARNI</v>
      </c>
      <c r="F342" s="28" t="str">
        <f>IFERROR(__xludf.DUMMYFUNCTION("""COMPUTED_VALUE"""),"JL. PEMUDA KLOOFKAMP GURABESI RT 001 RW 005 JAYAPURA UTARA JAYAPURA")</f>
        <v>JL. PEMUDA KLOOFKAMP GURABESI RT 001 RW 005 JAYAPURA UTARA JAYAPURA</v>
      </c>
      <c r="G342" s="28" t="str">
        <f>IFERROR(__xludf.DUMMYFUNCTION("""COMPUTED_VALUE"""),"MA-XII.5")</f>
        <v>MA-XII.5</v>
      </c>
      <c r="H342" s="28" t="str">
        <f>IFERROR(__xludf.DUMMYFUNCTION("""COMPUTED_VALUE"""),"E")</f>
        <v>E</v>
      </c>
      <c r="I342" s="28" t="str">
        <f>IFERROR(__xludf.DUMMYFUNCTION("""COMPUTED_VALUE"""),"E-3")</f>
        <v>E-3</v>
      </c>
      <c r="J342" s="28">
        <f>IFERROR(__xludf.DUMMYFUNCTION("""COMPUTED_VALUE"""),3.0)</f>
        <v>3</v>
      </c>
      <c r="K342" s="28" t="str">
        <f>IFERROR(__xludf.DUMMYFUNCTION("""COMPUTED_VALUE"""),"3 WUSTHO C PUTRI")</f>
        <v>3 WUSTHO C PUTRI</v>
      </c>
      <c r="L342" s="29" t="str">
        <f>IFERROR(__xludf.DUMMYFUNCTION("""COMPUTED_VALUE"""),"6282248415765")</f>
        <v>6282248415765</v>
      </c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2">
        <f>IFERROR(__xludf.DUMMYFUNCTION("""COMPUTED_VALUE"""),0.0)</f>
        <v>0</v>
      </c>
      <c r="BD342" s="22">
        <f>IFERROR(__xludf.DUMMYFUNCTION("""COMPUTED_VALUE"""),0.0)</f>
        <v>0</v>
      </c>
      <c r="BE342" s="22">
        <f>IFERROR(__xludf.DUMMYFUNCTION("""COMPUTED_VALUE"""),0.0)</f>
        <v>0</v>
      </c>
      <c r="BF342" s="22">
        <f>IFERROR(__xludf.DUMMYFUNCTION("""COMPUTED_VALUE"""),0.0)</f>
        <v>0</v>
      </c>
    </row>
    <row r="343">
      <c r="A343" s="27">
        <f>IFERROR(__xludf.DUMMYFUNCTION("""COMPUTED_VALUE"""),342.0)</f>
        <v>342</v>
      </c>
      <c r="B343" s="28" t="str">
        <f>IFERROR(__xludf.DUMMYFUNCTION("""COMPUTED_VALUE"""),"DAVINA NANGSYA AZZAHRAH")</f>
        <v>DAVINA NANGSYA AZZAHRAH</v>
      </c>
      <c r="C343" s="28">
        <f>IFERROR(__xludf.DUMMYFUNCTION("""COMPUTED_VALUE"""),2.024070415E9)</f>
        <v>2024070415</v>
      </c>
      <c r="D343" s="28" t="str">
        <f>IFERROR(__xludf.DUMMYFUNCTION("""COMPUTED_VALUE"""),"ANANG")</f>
        <v>ANANG</v>
      </c>
      <c r="E343" s="28" t="str">
        <f>IFERROR(__xludf.DUMMYFUNCTION("""COMPUTED_VALUE"""),"SAFI`AH")</f>
        <v>SAFI`AH</v>
      </c>
      <c r="F343" s="28" t="str">
        <f>IFERROR(__xludf.DUMMYFUNCTION("""COMPUTED_VALUE"""),"RANDUBENER RT 13 RW 2 KEMBANGBAHU LAMONGAN")</f>
        <v>RANDUBENER RT 13 RW 2 KEMBANGBAHU LAMONGAN</v>
      </c>
      <c r="G343" s="28" t="str">
        <f>IFERROR(__xludf.DUMMYFUNCTION("""COMPUTED_VALUE"""),"MA-XII.2")</f>
        <v>MA-XII.2</v>
      </c>
      <c r="H343" s="28" t="str">
        <f>IFERROR(__xludf.DUMMYFUNCTION("""COMPUTED_VALUE"""),"E")</f>
        <v>E</v>
      </c>
      <c r="I343" s="28" t="str">
        <f>IFERROR(__xludf.DUMMYFUNCTION("""COMPUTED_VALUE"""),"E-3")</f>
        <v>E-3</v>
      </c>
      <c r="J343" s="28">
        <f>IFERROR(__xludf.DUMMYFUNCTION("""COMPUTED_VALUE"""),3.0)</f>
        <v>3</v>
      </c>
      <c r="K343" s="28" t="str">
        <f>IFERROR(__xludf.DUMMYFUNCTION("""COMPUTED_VALUE"""),"3 WUSTHO A PUTRI")</f>
        <v>3 WUSTHO A PUTRI</v>
      </c>
      <c r="L343" s="29" t="str">
        <f>IFERROR(__xludf.DUMMYFUNCTION("""COMPUTED_VALUE"""),"6289537096560")</f>
        <v>6289537096560</v>
      </c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2">
        <f>IFERROR(__xludf.DUMMYFUNCTION("""COMPUTED_VALUE"""),350000.0)</f>
        <v>350000</v>
      </c>
      <c r="AB343" s="28"/>
      <c r="AC343" s="28"/>
      <c r="AD343" s="28"/>
      <c r="AE343" s="28"/>
      <c r="AF343" s="28"/>
      <c r="AG343" s="22">
        <f>IFERROR(__xludf.DUMMYFUNCTION("""COMPUTED_VALUE"""),270000.0)</f>
        <v>270000</v>
      </c>
      <c r="AH343" s="22">
        <f>IFERROR(__xludf.DUMMYFUNCTION("""COMPUTED_VALUE"""),270000.0)</f>
        <v>270000</v>
      </c>
      <c r="AI343" s="22">
        <f>IFERROR(__xludf.DUMMYFUNCTION("""COMPUTED_VALUE"""),270000.0)</f>
        <v>270000</v>
      </c>
      <c r="AJ343" s="22">
        <f>IFERROR(__xludf.DUMMYFUNCTION("""COMPUTED_VALUE"""),270000.0)</f>
        <v>270000</v>
      </c>
      <c r="AK343" s="22">
        <f>IFERROR(__xludf.DUMMYFUNCTION("""COMPUTED_VALUE"""),270000.0)</f>
        <v>270000</v>
      </c>
      <c r="AL343" s="22">
        <f>IFERROR(__xludf.DUMMYFUNCTION("""COMPUTED_VALUE"""),270000.0)</f>
        <v>270000</v>
      </c>
      <c r="AM343" s="22">
        <f>IFERROR(__xludf.DUMMYFUNCTION("""COMPUTED_VALUE"""),270000.0)</f>
        <v>270000</v>
      </c>
      <c r="AN343" s="22">
        <f>IFERROR(__xludf.DUMMYFUNCTION("""COMPUTED_VALUE"""),270000.0)</f>
        <v>270000</v>
      </c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2">
        <f>IFERROR(__xludf.DUMMYFUNCTION("""COMPUTED_VALUE"""),2160000.0)</f>
        <v>2160000</v>
      </c>
      <c r="BD343" s="22">
        <f>IFERROR(__xludf.DUMMYFUNCTION("""COMPUTED_VALUE"""),0.0)</f>
        <v>0</v>
      </c>
      <c r="BE343" s="22">
        <f>IFERROR(__xludf.DUMMYFUNCTION("""COMPUTED_VALUE"""),350000.0)</f>
        <v>350000</v>
      </c>
      <c r="BF343" s="22">
        <f>IFERROR(__xludf.DUMMYFUNCTION("""COMPUTED_VALUE"""),2510000.0)</f>
        <v>2510000</v>
      </c>
    </row>
    <row r="344">
      <c r="A344" s="27">
        <f>IFERROR(__xludf.DUMMYFUNCTION("""COMPUTED_VALUE"""),343.0)</f>
        <v>343</v>
      </c>
      <c r="B344" s="28" t="str">
        <f>IFERROR(__xludf.DUMMYFUNCTION("""COMPUTED_VALUE"""),"FANY MUFIDAH SARI")</f>
        <v>FANY MUFIDAH SARI</v>
      </c>
      <c r="C344" s="28">
        <f>IFERROR(__xludf.DUMMYFUNCTION("""COMPUTED_VALUE"""),2.024070329E9)</f>
        <v>2024070329</v>
      </c>
      <c r="D344" s="28" t="str">
        <f>IFERROR(__xludf.DUMMYFUNCTION("""COMPUTED_VALUE"""),"FACHRI KHUSAINI NUGYK")</f>
        <v>FACHRI KHUSAINI NUGYK</v>
      </c>
      <c r="E344" s="28" t="str">
        <f>IFERROR(__xludf.DUMMYFUNCTION("""COMPUTED_VALUE"""),"ROJIYAH")</f>
        <v>ROJIYAH</v>
      </c>
      <c r="F344" s="28" t="str">
        <f>IFERROR(__xludf.DUMMYFUNCTION("""COMPUTED_VALUE"""),"SAWO RT 013 RW 007 DUKUN GRESIK")</f>
        <v>SAWO RT 013 RW 007 DUKUN GRESIK</v>
      </c>
      <c r="G344" s="28" t="str">
        <f>IFERROR(__xludf.DUMMYFUNCTION("""COMPUTED_VALUE"""),"MA-XII.10")</f>
        <v>MA-XII.10</v>
      </c>
      <c r="H344" s="28" t="str">
        <f>IFERROR(__xludf.DUMMYFUNCTION("""COMPUTED_VALUE"""),"E")</f>
        <v>E</v>
      </c>
      <c r="I344" s="28" t="str">
        <f>IFERROR(__xludf.DUMMYFUNCTION("""COMPUTED_VALUE"""),"E-2")</f>
        <v>E-2</v>
      </c>
      <c r="J344" s="28">
        <f>IFERROR(__xludf.DUMMYFUNCTION("""COMPUTED_VALUE"""),3.0)</f>
        <v>3</v>
      </c>
      <c r="K344" s="28" t="str">
        <f>IFERROR(__xludf.DUMMYFUNCTION("""COMPUTED_VALUE"""),"3 WUSTHO A PUTRI")</f>
        <v>3 WUSTHO A PUTRI</v>
      </c>
      <c r="L344" s="29" t="str">
        <f>IFERROR(__xludf.DUMMYFUNCTION("""COMPUTED_VALUE"""),"6285731554886")</f>
        <v>6285731554886</v>
      </c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2">
        <f>IFERROR(__xludf.DUMMYFUNCTION("""COMPUTED_VALUE"""),500000.0)</f>
        <v>500000</v>
      </c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2">
        <f>IFERROR(__xludf.DUMMYFUNCTION("""COMPUTED_VALUE"""),500000.0)</f>
        <v>500000</v>
      </c>
      <c r="AO344" s="28"/>
      <c r="AP344" s="22">
        <f>IFERROR(__xludf.DUMMYFUNCTION("""COMPUTED_VALUE"""),500000.0)</f>
        <v>500000</v>
      </c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2">
        <f>IFERROR(__xludf.DUMMYFUNCTION("""COMPUTED_VALUE"""),500000.0)</f>
        <v>500000</v>
      </c>
      <c r="BD344" s="22">
        <f>IFERROR(__xludf.DUMMYFUNCTION("""COMPUTED_VALUE"""),1000000.0)</f>
        <v>1000000</v>
      </c>
      <c r="BE344" s="22">
        <f>IFERROR(__xludf.DUMMYFUNCTION("""COMPUTED_VALUE"""),0.0)</f>
        <v>0</v>
      </c>
      <c r="BF344" s="22">
        <f>IFERROR(__xludf.DUMMYFUNCTION("""COMPUTED_VALUE"""),1500000.0)</f>
        <v>1500000</v>
      </c>
    </row>
    <row r="345">
      <c r="A345" s="27">
        <f>IFERROR(__xludf.DUMMYFUNCTION("""COMPUTED_VALUE"""),344.0)</f>
        <v>344</v>
      </c>
      <c r="B345" s="28" t="str">
        <f>IFERROR(__xludf.DUMMYFUNCTION("""COMPUTED_VALUE"""),"NILLA ADDINIA KHAFSOH")</f>
        <v>NILLA ADDINIA KHAFSOH</v>
      </c>
      <c r="C345" s="28">
        <f>IFERROR(__xludf.DUMMYFUNCTION("""COMPUTED_VALUE"""),2.024070195E9)</f>
        <v>2024070195</v>
      </c>
      <c r="D345" s="28" t="str">
        <f>IFERROR(__xludf.DUMMYFUNCTION("""COMPUTED_VALUE"""),"SAIFUL ARIF")</f>
        <v>SAIFUL ARIF</v>
      </c>
      <c r="E345" s="28" t="str">
        <f>IFERROR(__xludf.DUMMYFUNCTION("""COMPUTED_VALUE"""),"NUR HASANAH")</f>
        <v>NUR HASANAH</v>
      </c>
      <c r="F345" s="28" t="str">
        <f>IFERROR(__xludf.DUMMYFUNCTION("""COMPUTED_VALUE"""),"KETAPANG LOR RT 001 RW 002 UJUNGPANGKAH GRESIK")</f>
        <v>KETAPANG LOR RT 001 RW 002 UJUNGPANGKAH GRESIK</v>
      </c>
      <c r="G345" s="28" t="str">
        <f>IFERROR(__xludf.DUMMYFUNCTION("""COMPUTED_VALUE"""),"MA-XII.7")</f>
        <v>MA-XII.7</v>
      </c>
      <c r="H345" s="28" t="str">
        <f>IFERROR(__xludf.DUMMYFUNCTION("""COMPUTED_VALUE"""),"E")</f>
        <v>E</v>
      </c>
      <c r="I345" s="28" t="str">
        <f>IFERROR(__xludf.DUMMYFUNCTION("""COMPUTED_VALUE"""),"E-3")</f>
        <v>E-3</v>
      </c>
      <c r="J345" s="28">
        <f>IFERROR(__xludf.DUMMYFUNCTION("""COMPUTED_VALUE"""),3.0)</f>
        <v>3</v>
      </c>
      <c r="K345" s="28" t="str">
        <f>IFERROR(__xludf.DUMMYFUNCTION("""COMPUTED_VALUE"""),"3 WUSTHO C PUTRI")</f>
        <v>3 WUSTHO C PUTRI</v>
      </c>
      <c r="L345" s="29" t="str">
        <f>IFERROR(__xludf.DUMMYFUNCTION("""COMPUTED_VALUE"""),"6285813135311")</f>
        <v>6285813135311</v>
      </c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2">
        <f>IFERROR(__xludf.DUMMYFUNCTION("""COMPUTED_VALUE"""),500000.0)</f>
        <v>500000</v>
      </c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2">
        <f>IFERROR(__xludf.DUMMYFUNCTION("""COMPUTED_VALUE"""),500000.0)</f>
        <v>500000</v>
      </c>
      <c r="AN345" s="22">
        <f>IFERROR(__xludf.DUMMYFUNCTION("""COMPUTED_VALUE"""),500000.0)</f>
        <v>500000</v>
      </c>
      <c r="AO345" s="28"/>
      <c r="AP345" s="22">
        <f>IFERROR(__xludf.DUMMYFUNCTION("""COMPUTED_VALUE"""),500000.0)</f>
        <v>500000</v>
      </c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2">
        <f>IFERROR(__xludf.DUMMYFUNCTION("""COMPUTED_VALUE"""),1000000.0)</f>
        <v>1000000</v>
      </c>
      <c r="BD345" s="22">
        <f>IFERROR(__xludf.DUMMYFUNCTION("""COMPUTED_VALUE"""),1000000.0)</f>
        <v>1000000</v>
      </c>
      <c r="BE345" s="22">
        <f>IFERROR(__xludf.DUMMYFUNCTION("""COMPUTED_VALUE"""),0.0)</f>
        <v>0</v>
      </c>
      <c r="BF345" s="22">
        <f>IFERROR(__xludf.DUMMYFUNCTION("""COMPUTED_VALUE"""),2000000.0)</f>
        <v>2000000</v>
      </c>
    </row>
    <row r="346">
      <c r="A346" s="27">
        <f>IFERROR(__xludf.DUMMYFUNCTION("""COMPUTED_VALUE"""),345.0)</f>
        <v>345</v>
      </c>
      <c r="B346" s="28" t="str">
        <f>IFERROR(__xludf.DUMMYFUNCTION("""COMPUTED_VALUE"""),"QUEENSHA KHAURA AFIQAH AL AZIFA")</f>
        <v>QUEENSHA KHAURA AFIQAH AL AZIFA</v>
      </c>
      <c r="C346" s="28">
        <f>IFERROR(__xludf.DUMMYFUNCTION("""COMPUTED_VALUE"""),2.024070647E9)</f>
        <v>2024070647</v>
      </c>
      <c r="D346" s="28" t="str">
        <f>IFERROR(__xludf.DUMMYFUNCTION("""COMPUTED_VALUE"""),"AHMAD AFIF FITROHA")</f>
        <v>AHMAD AFIF FITROHA</v>
      </c>
      <c r="E346" s="28" t="str">
        <f>IFERROR(__xludf.DUMMYFUNCTION("""COMPUTED_VALUE"""),"FARIHATUN NI`MAH")</f>
        <v>FARIHATUN NI`MAH</v>
      </c>
      <c r="F346" s="28" t="str">
        <f>IFERROR(__xludf.DUMMYFUNCTION("""COMPUTED_VALUE"""),"JABANG LOR SIDOMULYO RT 002 RW 006 SEMEN KEDIRI")</f>
        <v>JABANG LOR SIDOMULYO RT 002 RW 006 SEMEN KEDIRI</v>
      </c>
      <c r="G346" s="28" t="str">
        <f>IFERROR(__xludf.DUMMYFUNCTION("""COMPUTED_VALUE"""),"MTS-9 A")</f>
        <v>MTS-9 A</v>
      </c>
      <c r="H346" s="28" t="str">
        <f>IFERROR(__xludf.DUMMYFUNCTION("""COMPUTED_VALUE"""),"E")</f>
        <v>E</v>
      </c>
      <c r="I346" s="28" t="str">
        <f>IFERROR(__xludf.DUMMYFUNCTION("""COMPUTED_VALUE"""),"E-9")</f>
        <v>E-9</v>
      </c>
      <c r="J346" s="28">
        <f>IFERROR(__xludf.DUMMYFUNCTION("""COMPUTED_VALUE"""),3.0)</f>
        <v>3</v>
      </c>
      <c r="K346" s="28" t="str">
        <f>IFERROR(__xludf.DUMMYFUNCTION("""COMPUTED_VALUE"""),"3 ULA B PUTRI")</f>
        <v>3 ULA B PUTRI</v>
      </c>
      <c r="L346" s="29" t="str">
        <f>IFERROR(__xludf.DUMMYFUNCTION("""COMPUTED_VALUE"""),"628573050168")</f>
        <v>628573050168</v>
      </c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2">
        <f>IFERROR(__xludf.DUMMYFUNCTION("""COMPUTED_VALUE"""),500000.0)</f>
        <v>500000</v>
      </c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2">
        <f>IFERROR(__xludf.DUMMYFUNCTION("""COMPUTED_VALUE"""),500000.0)</f>
        <v>500000</v>
      </c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2">
        <f>IFERROR(__xludf.DUMMYFUNCTION("""COMPUTED_VALUE"""),0.0)</f>
        <v>0</v>
      </c>
      <c r="BD346" s="22">
        <f>IFERROR(__xludf.DUMMYFUNCTION("""COMPUTED_VALUE"""),1000000.0)</f>
        <v>1000000</v>
      </c>
      <c r="BE346" s="22">
        <f>IFERROR(__xludf.DUMMYFUNCTION("""COMPUTED_VALUE"""),0.0)</f>
        <v>0</v>
      </c>
      <c r="BF346" s="22">
        <f>IFERROR(__xludf.DUMMYFUNCTION("""COMPUTED_VALUE"""),1000000.0)</f>
        <v>1000000</v>
      </c>
    </row>
    <row r="347">
      <c r="A347" s="27">
        <f>IFERROR(__xludf.DUMMYFUNCTION("""COMPUTED_VALUE"""),346.0)</f>
        <v>346</v>
      </c>
      <c r="B347" s="28" t="str">
        <f>IFERROR(__xludf.DUMMYFUNCTION("""COMPUTED_VALUE"""),"LALUNA NAYRA KAMILA")</f>
        <v>LALUNA NAYRA KAMILA</v>
      </c>
      <c r="C347" s="28">
        <f>IFERROR(__xludf.DUMMYFUNCTION("""COMPUTED_VALUE"""),2.025070425E9)</f>
        <v>2025070425</v>
      </c>
      <c r="D347" s="28" t="str">
        <f>IFERROR(__xludf.DUMMYFUNCTION("""COMPUTED_VALUE"""),"ANAS MA'SHUM")</f>
        <v>ANAS MA'SHUM</v>
      </c>
      <c r="E347" s="28" t="str">
        <f>IFERROR(__xludf.DUMMYFUNCTION("""COMPUTED_VALUE"""),"ISTIADATUR RIZA")</f>
        <v>ISTIADATUR RIZA</v>
      </c>
      <c r="F347" s="28" t="str">
        <f>IFERROR(__xludf.DUMMYFUNCTION("""COMPUTED_VALUE"""),"NGILANG RT 002 RW 001 KALEN KEDUNGPRING LAMONGAN")</f>
        <v>NGILANG RT 002 RW 001 KALEN KEDUNGPRING LAMONGAN</v>
      </c>
      <c r="G347" s="28" t="str">
        <f>IFERROR(__xludf.DUMMYFUNCTION("""COMPUTED_VALUE"""),"MA-XII.12")</f>
        <v>MA-XII.12</v>
      </c>
      <c r="H347" s="28" t="str">
        <f>IFERROR(__xludf.DUMMYFUNCTION("""COMPUTED_VALUE"""),"D")</f>
        <v>D</v>
      </c>
      <c r="I347" s="28" t="str">
        <f>IFERROR(__xludf.DUMMYFUNCTION("""COMPUTED_VALUE"""),"D-6")</f>
        <v>D-6</v>
      </c>
      <c r="J347" s="28">
        <f>IFERROR(__xludf.DUMMYFUNCTION("""COMPUTED_VALUE"""),3.0)</f>
        <v>3</v>
      </c>
      <c r="K347" s="28" t="str">
        <f>IFERROR(__xludf.DUMMYFUNCTION("""COMPUTED_VALUE"""),"3 WUSTHO C PUTRI")</f>
        <v>3 WUSTHO C PUTRI</v>
      </c>
      <c r="L347" s="29" t="str">
        <f>IFERROR(__xludf.DUMMYFUNCTION("""COMPUTED_VALUE"""),"6281331012600")</f>
        <v>6281331012600</v>
      </c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2">
        <f>IFERROR(__xludf.DUMMYFUNCTION("""COMPUTED_VALUE"""),500000.0)</f>
        <v>500000</v>
      </c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2">
        <f>IFERROR(__xludf.DUMMYFUNCTION("""COMPUTED_VALUE"""),0.0)</f>
        <v>0</v>
      </c>
      <c r="BD347" s="22">
        <f>IFERROR(__xludf.DUMMYFUNCTION("""COMPUTED_VALUE"""),500000.0)</f>
        <v>500000</v>
      </c>
      <c r="BE347" s="22">
        <f>IFERROR(__xludf.DUMMYFUNCTION("""COMPUTED_VALUE"""),0.0)</f>
        <v>0</v>
      </c>
      <c r="BF347" s="22">
        <f>IFERROR(__xludf.DUMMYFUNCTION("""COMPUTED_VALUE"""),500000.0)</f>
        <v>500000</v>
      </c>
    </row>
    <row r="348">
      <c r="A348" s="27">
        <f>IFERROR(__xludf.DUMMYFUNCTION("""COMPUTED_VALUE"""),347.0)</f>
        <v>347</v>
      </c>
      <c r="B348" s="28" t="str">
        <f>IFERROR(__xludf.DUMMYFUNCTION("""COMPUTED_VALUE"""),"DEWI SHOFIYAH NUR HIMMATUSSALAFIYA")</f>
        <v>DEWI SHOFIYAH NUR HIMMATUSSALAFIYA</v>
      </c>
      <c r="C348" s="28">
        <f>IFERROR(__xludf.DUMMYFUNCTION("""COMPUTED_VALUE"""),2.024070416E9)</f>
        <v>2024070416</v>
      </c>
      <c r="D348" s="28" t="str">
        <f>IFERROR(__xludf.DUMMYFUNCTION("""COMPUTED_VALUE"""),"SAMSURI")</f>
        <v>SAMSURI</v>
      </c>
      <c r="E348" s="28" t="str">
        <f>IFERROR(__xludf.DUMMYFUNCTION("""COMPUTED_VALUE"""),"SUMIYAH")</f>
        <v>SUMIYAH</v>
      </c>
      <c r="F348" s="28" t="str">
        <f>IFERROR(__xludf.DUMMYFUNCTION("""COMPUTED_VALUE"""),"GLUMO RT 005 RW 001 JELAKCATUR KALITENGAH LAMONGAN")</f>
        <v>GLUMO RT 005 RW 001 JELAKCATUR KALITENGAH LAMONGAN</v>
      </c>
      <c r="G348" s="28" t="str">
        <f>IFERROR(__xludf.DUMMYFUNCTION("""COMPUTED_VALUE"""),"MA-XII.13")</f>
        <v>MA-XII.13</v>
      </c>
      <c r="H348" s="28" t="str">
        <f>IFERROR(__xludf.DUMMYFUNCTION("""COMPUTED_VALUE"""),"D")</f>
        <v>D</v>
      </c>
      <c r="I348" s="28" t="str">
        <f>IFERROR(__xludf.DUMMYFUNCTION("""COMPUTED_VALUE"""),"D-6")</f>
        <v>D-6</v>
      </c>
      <c r="J348" s="28">
        <f>IFERROR(__xludf.DUMMYFUNCTION("""COMPUTED_VALUE"""),3.0)</f>
        <v>3</v>
      </c>
      <c r="K348" s="28" t="str">
        <f>IFERROR(__xludf.DUMMYFUNCTION("""COMPUTED_VALUE"""),"3 MAK PUTRI")</f>
        <v>3 MAK PUTRI</v>
      </c>
      <c r="L348" s="29" t="str">
        <f>IFERROR(__xludf.DUMMYFUNCTION("""COMPUTED_VALUE"""),"6285792978952")</f>
        <v>6285792978952</v>
      </c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2">
        <f>IFERROR(__xludf.DUMMYFUNCTION("""COMPUTED_VALUE"""),450000.0)</f>
        <v>450000</v>
      </c>
      <c r="AJ348" s="22">
        <f>IFERROR(__xludf.DUMMYFUNCTION("""COMPUTED_VALUE"""),450000.0)</f>
        <v>450000</v>
      </c>
      <c r="AK348" s="22">
        <f>IFERROR(__xludf.DUMMYFUNCTION("""COMPUTED_VALUE"""),450000.0)</f>
        <v>450000</v>
      </c>
      <c r="AL348" s="22">
        <f>IFERROR(__xludf.DUMMYFUNCTION("""COMPUTED_VALUE"""),450000.0)</f>
        <v>450000</v>
      </c>
      <c r="AM348" s="22">
        <f>IFERROR(__xludf.DUMMYFUNCTION("""COMPUTED_VALUE"""),450000.0)</f>
        <v>450000</v>
      </c>
      <c r="AN348" s="22">
        <f>IFERROR(__xludf.DUMMYFUNCTION("""COMPUTED_VALUE"""),450000.0)</f>
        <v>450000</v>
      </c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2">
        <f>IFERROR(__xludf.DUMMYFUNCTION("""COMPUTED_VALUE"""),2700000.0)</f>
        <v>2700000</v>
      </c>
      <c r="BD348" s="22">
        <f>IFERROR(__xludf.DUMMYFUNCTION("""COMPUTED_VALUE"""),0.0)</f>
        <v>0</v>
      </c>
      <c r="BE348" s="22">
        <f>IFERROR(__xludf.DUMMYFUNCTION("""COMPUTED_VALUE"""),0.0)</f>
        <v>0</v>
      </c>
      <c r="BF348" s="22">
        <f>IFERROR(__xludf.DUMMYFUNCTION("""COMPUTED_VALUE"""),2700000.0)</f>
        <v>2700000</v>
      </c>
    </row>
    <row r="349">
      <c r="A349" s="27">
        <f>IFERROR(__xludf.DUMMYFUNCTION("""COMPUTED_VALUE"""),348.0)</f>
        <v>348</v>
      </c>
      <c r="B349" s="28" t="str">
        <f>IFERROR(__xludf.DUMMYFUNCTION("""COMPUTED_VALUE"""),"DILLA AGUSTIAWATI PUTRI")</f>
        <v>DILLA AGUSTIAWATI PUTRI</v>
      </c>
      <c r="C349" s="28">
        <f>IFERROR(__xludf.DUMMYFUNCTION("""COMPUTED_VALUE"""),2.024070532E9)</f>
        <v>2024070532</v>
      </c>
      <c r="D349" s="28" t="str">
        <f>IFERROR(__xludf.DUMMYFUNCTION("""COMPUTED_VALUE"""),"ZUDI HARIYANTO")</f>
        <v>ZUDI HARIYANTO</v>
      </c>
      <c r="E349" s="28" t="str">
        <f>IFERROR(__xludf.DUMMYFUNCTION("""COMPUTED_VALUE"""),"IRA RAHMATUS SAADA")</f>
        <v>IRA RAHMATUS SAADA</v>
      </c>
      <c r="F349" s="28" t="str">
        <f>IFERROR(__xludf.DUMMYFUNCTION("""COMPUTED_VALUE"""),"SEPAT TAMBAKMENJANGAN RT 001 RW 007 SARIREJO LAMONGAN")</f>
        <v>SEPAT TAMBAKMENJANGAN RT 001 RW 007 SARIREJO LAMONGAN</v>
      </c>
      <c r="G349" s="28" t="str">
        <f>IFERROR(__xludf.DUMMYFUNCTION("""COMPUTED_VALUE"""),"MTS-9 D")</f>
        <v>MTS-9 D</v>
      </c>
      <c r="H349" s="28" t="str">
        <f>IFERROR(__xludf.DUMMYFUNCTION("""COMPUTED_VALUE"""),"C")</f>
        <v>C</v>
      </c>
      <c r="I349" s="28" t="str">
        <f>IFERROR(__xludf.DUMMYFUNCTION("""COMPUTED_VALUE"""),"C-13")</f>
        <v>C-13</v>
      </c>
      <c r="J349" s="28">
        <f>IFERROR(__xludf.DUMMYFUNCTION("""COMPUTED_VALUE"""),3.0)</f>
        <v>3</v>
      </c>
      <c r="K349" s="28" t="str">
        <f>IFERROR(__xludf.DUMMYFUNCTION("""COMPUTED_VALUE"""),"3 ULA C PUTRI")</f>
        <v>3 ULA C PUTRI</v>
      </c>
      <c r="L349" s="29" t="str">
        <f>IFERROR(__xludf.DUMMYFUNCTION("""COMPUTED_VALUE"""),"6285808407652")</f>
        <v>6285808407652</v>
      </c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2">
        <f>IFERROR(__xludf.DUMMYFUNCTION("""COMPUTED_VALUE"""),450000.0)</f>
        <v>450000</v>
      </c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2">
        <f>IFERROR(__xludf.DUMMYFUNCTION("""COMPUTED_VALUE"""),450000.0)</f>
        <v>450000</v>
      </c>
      <c r="BD349" s="22">
        <f>IFERROR(__xludf.DUMMYFUNCTION("""COMPUTED_VALUE"""),0.0)</f>
        <v>0</v>
      </c>
      <c r="BE349" s="22">
        <f>IFERROR(__xludf.DUMMYFUNCTION("""COMPUTED_VALUE"""),0.0)</f>
        <v>0</v>
      </c>
      <c r="BF349" s="22">
        <f>IFERROR(__xludf.DUMMYFUNCTION("""COMPUTED_VALUE"""),450000.0)</f>
        <v>450000</v>
      </c>
    </row>
    <row r="350">
      <c r="A350" s="27">
        <f>IFERROR(__xludf.DUMMYFUNCTION("""COMPUTED_VALUE"""),349.0)</f>
        <v>349</v>
      </c>
      <c r="B350" s="28" t="str">
        <f>IFERROR(__xludf.DUMMYFUNCTION("""COMPUTED_VALUE"""),"HANIK FARKHATUS SHOLIKHAH")</f>
        <v>HANIK FARKHATUS SHOLIKHAH</v>
      </c>
      <c r="C350" s="28">
        <f>IFERROR(__xludf.DUMMYFUNCTION("""COMPUTED_VALUE"""),2.024070547E9)</f>
        <v>2024070547</v>
      </c>
      <c r="D350" s="28" t="str">
        <f>IFERROR(__xludf.DUMMYFUNCTION("""COMPUTED_VALUE"""),"AUNUR ROFIK")</f>
        <v>AUNUR ROFIK</v>
      </c>
      <c r="E350" s="28" t="str">
        <f>IFERROR(__xludf.DUMMYFUNCTION("""COMPUTED_VALUE"""),"WIWIT")</f>
        <v>WIWIT</v>
      </c>
      <c r="F350" s="28" t="str">
        <f>IFERROR(__xludf.DUMMYFUNCTION("""COMPUTED_VALUE"""),"KARANGCANGKRING RT 006 RW 003 DUKUN GRESIK")</f>
        <v>KARANGCANGKRING RT 006 RW 003 DUKUN GRESIK</v>
      </c>
      <c r="G350" s="28" t="str">
        <f>IFERROR(__xludf.DUMMYFUNCTION("""COMPUTED_VALUE"""),"MTS-9 D")</f>
        <v>MTS-9 D</v>
      </c>
      <c r="H350" s="28" t="str">
        <f>IFERROR(__xludf.DUMMYFUNCTION("""COMPUTED_VALUE"""),"C")</f>
        <v>C</v>
      </c>
      <c r="I350" s="28" t="str">
        <f>IFERROR(__xludf.DUMMYFUNCTION("""COMPUTED_VALUE"""),"C-13")</f>
        <v>C-13</v>
      </c>
      <c r="J350" s="28">
        <f>IFERROR(__xludf.DUMMYFUNCTION("""COMPUTED_VALUE"""),3.0)</f>
        <v>3</v>
      </c>
      <c r="K350" s="28" t="str">
        <f>IFERROR(__xludf.DUMMYFUNCTION("""COMPUTED_VALUE"""),"3 ULA B PUTRI")</f>
        <v>3 ULA B PUTRI</v>
      </c>
      <c r="L350" s="29" t="str">
        <f>IFERROR(__xludf.DUMMYFUNCTION("""COMPUTED_VALUE"""),"6285731327129")</f>
        <v>6285731327129</v>
      </c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2">
        <f>IFERROR(__xludf.DUMMYFUNCTION("""COMPUTED_VALUE"""),500000.0)</f>
        <v>500000</v>
      </c>
      <c r="AC350" s="28"/>
      <c r="AD350" s="28"/>
      <c r="AE350" s="28"/>
      <c r="AF350" s="28"/>
      <c r="AG350" s="28"/>
      <c r="AH350" s="28"/>
      <c r="AI350" s="28"/>
      <c r="AJ350" s="28"/>
      <c r="AK350" s="22">
        <f>IFERROR(__xludf.DUMMYFUNCTION("""COMPUTED_VALUE"""),450000.0)</f>
        <v>450000</v>
      </c>
      <c r="AL350" s="22">
        <f>IFERROR(__xludf.DUMMYFUNCTION("""COMPUTED_VALUE"""),450000.0)</f>
        <v>450000</v>
      </c>
      <c r="AM350" s="22">
        <f>IFERROR(__xludf.DUMMYFUNCTION("""COMPUTED_VALUE"""),450000.0)</f>
        <v>450000</v>
      </c>
      <c r="AN350" s="22">
        <f>IFERROR(__xludf.DUMMYFUNCTION("""COMPUTED_VALUE"""),450000.0)</f>
        <v>450000</v>
      </c>
      <c r="AO350" s="28"/>
      <c r="AP350" s="22">
        <f>IFERROR(__xludf.DUMMYFUNCTION("""COMPUTED_VALUE"""),500000.0)</f>
        <v>500000</v>
      </c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2">
        <f>IFERROR(__xludf.DUMMYFUNCTION("""COMPUTED_VALUE"""),1800000.0)</f>
        <v>1800000</v>
      </c>
      <c r="BD350" s="22">
        <f>IFERROR(__xludf.DUMMYFUNCTION("""COMPUTED_VALUE"""),1000000.0)</f>
        <v>1000000</v>
      </c>
      <c r="BE350" s="22">
        <f>IFERROR(__xludf.DUMMYFUNCTION("""COMPUTED_VALUE"""),0.0)</f>
        <v>0</v>
      </c>
      <c r="BF350" s="22">
        <f>IFERROR(__xludf.DUMMYFUNCTION("""COMPUTED_VALUE"""),2800000.0)</f>
        <v>2800000</v>
      </c>
    </row>
    <row r="351">
      <c r="A351" s="27">
        <f>IFERROR(__xludf.DUMMYFUNCTION("""COMPUTED_VALUE"""),350.0)</f>
        <v>350</v>
      </c>
      <c r="B351" s="28" t="str">
        <f>IFERROR(__xludf.DUMMYFUNCTION("""COMPUTED_VALUE"""),"FATIMAH")</f>
        <v>FATIMAH</v>
      </c>
      <c r="C351" s="28">
        <f>IFERROR(__xludf.DUMMYFUNCTION("""COMPUTED_VALUE"""),2.024070044E9)</f>
        <v>2024070044</v>
      </c>
      <c r="D351" s="28" t="str">
        <f>IFERROR(__xludf.DUMMYFUNCTION("""COMPUTED_VALUE"""),"H. USMAN")</f>
        <v>H. USMAN</v>
      </c>
      <c r="E351" s="28" t="str">
        <f>IFERROR(__xludf.DUMMYFUNCTION("""COMPUTED_VALUE"""),"KHOLIDAH")</f>
        <v>KHOLIDAH</v>
      </c>
      <c r="F351" s="28" t="str">
        <f>IFERROR(__xludf.DUMMYFUNCTION("""COMPUTED_VALUE"""),"WANAR RT 004 RW 001 PUCUK LAMONGAN")</f>
        <v>WANAR RT 004 RW 001 PUCUK LAMONGAN</v>
      </c>
      <c r="G351" s="28" t="str">
        <f>IFERROR(__xludf.DUMMYFUNCTION("""COMPUTED_VALUE"""),"MA-XII.2")</f>
        <v>MA-XII.2</v>
      </c>
      <c r="H351" s="28" t="str">
        <f>IFERROR(__xludf.DUMMYFUNCTION("""COMPUTED_VALUE"""),"E")</f>
        <v>E</v>
      </c>
      <c r="I351" s="28" t="str">
        <f>IFERROR(__xludf.DUMMYFUNCTION("""COMPUTED_VALUE"""),"E-2")</f>
        <v>E-2</v>
      </c>
      <c r="J351" s="28">
        <f>IFERROR(__xludf.DUMMYFUNCTION("""COMPUTED_VALUE"""),3.0)</f>
        <v>3</v>
      </c>
      <c r="K351" s="28" t="str">
        <f>IFERROR(__xludf.DUMMYFUNCTION("""COMPUTED_VALUE"""),"3 WUSTHO A PUTRI")</f>
        <v>3 WUSTHO A PUTRI</v>
      </c>
      <c r="L351" s="29" t="str">
        <f>IFERROR(__xludf.DUMMYFUNCTION("""COMPUTED_VALUE"""),"6289501850865")</f>
        <v>6289501850865</v>
      </c>
      <c r="M351" s="28"/>
      <c r="N351" s="28"/>
      <c r="O351" s="28"/>
      <c r="P351" s="22">
        <f>IFERROR(__xludf.DUMMYFUNCTION("""COMPUTED_VALUE"""),270000.0)</f>
        <v>270000</v>
      </c>
      <c r="Q351" s="22">
        <f>IFERROR(__xludf.DUMMYFUNCTION("""COMPUTED_VALUE"""),270000.0)</f>
        <v>270000</v>
      </c>
      <c r="R351" s="22">
        <f>IFERROR(__xludf.DUMMYFUNCTION("""COMPUTED_VALUE"""),270000.0)</f>
        <v>270000</v>
      </c>
      <c r="S351" s="22">
        <f>IFERROR(__xludf.DUMMYFUNCTION("""COMPUTED_VALUE"""),270000.0)</f>
        <v>270000</v>
      </c>
      <c r="T351" s="22">
        <f>IFERROR(__xludf.DUMMYFUNCTION("""COMPUTED_VALUE"""),270000.0)</f>
        <v>270000</v>
      </c>
      <c r="U351" s="22">
        <f>IFERROR(__xludf.DUMMYFUNCTION("""COMPUTED_VALUE"""),270000.0)</f>
        <v>270000</v>
      </c>
      <c r="V351" s="22">
        <f>IFERROR(__xludf.DUMMYFUNCTION("""COMPUTED_VALUE"""),270000.0)</f>
        <v>270000</v>
      </c>
      <c r="W351" s="22">
        <f>IFERROR(__xludf.DUMMYFUNCTION("""COMPUTED_VALUE"""),270000.0)</f>
        <v>270000</v>
      </c>
      <c r="X351" s="22">
        <f>IFERROR(__xludf.DUMMYFUNCTION("""COMPUTED_VALUE"""),270000.0)</f>
        <v>270000</v>
      </c>
      <c r="Y351" s="22">
        <f>IFERROR(__xludf.DUMMYFUNCTION("""COMPUTED_VALUE"""),270000.0)</f>
        <v>270000</v>
      </c>
      <c r="Z351" s="22">
        <f>IFERROR(__xludf.DUMMYFUNCTION("""COMPUTED_VALUE"""),270000.0)</f>
        <v>270000</v>
      </c>
      <c r="AA351" s="22">
        <f>IFERROR(__xludf.DUMMYFUNCTION("""COMPUTED_VALUE"""),350000.0)</f>
        <v>350000</v>
      </c>
      <c r="AB351" s="28"/>
      <c r="AC351" s="22">
        <f>IFERROR(__xludf.DUMMYFUNCTION("""COMPUTED_VALUE"""),270000.0)</f>
        <v>270000</v>
      </c>
      <c r="AD351" s="22">
        <f>IFERROR(__xludf.DUMMYFUNCTION("""COMPUTED_VALUE"""),270000.0)</f>
        <v>270000</v>
      </c>
      <c r="AE351" s="22">
        <f>IFERROR(__xludf.DUMMYFUNCTION("""COMPUTED_VALUE"""),270000.0)</f>
        <v>270000</v>
      </c>
      <c r="AF351" s="22">
        <f>IFERROR(__xludf.DUMMYFUNCTION("""COMPUTED_VALUE"""),270000.0)</f>
        <v>270000</v>
      </c>
      <c r="AG351" s="22">
        <f>IFERROR(__xludf.DUMMYFUNCTION("""COMPUTED_VALUE"""),270000.0)</f>
        <v>270000</v>
      </c>
      <c r="AH351" s="22">
        <f>IFERROR(__xludf.DUMMYFUNCTION("""COMPUTED_VALUE"""),270000.0)</f>
        <v>270000</v>
      </c>
      <c r="AI351" s="22">
        <f>IFERROR(__xludf.DUMMYFUNCTION("""COMPUTED_VALUE"""),270000.0)</f>
        <v>270000</v>
      </c>
      <c r="AJ351" s="22">
        <f>IFERROR(__xludf.DUMMYFUNCTION("""COMPUTED_VALUE"""),270000.0)</f>
        <v>270000</v>
      </c>
      <c r="AK351" s="22">
        <f>IFERROR(__xludf.DUMMYFUNCTION("""COMPUTED_VALUE"""),270000.0)</f>
        <v>270000</v>
      </c>
      <c r="AL351" s="22">
        <f>IFERROR(__xludf.DUMMYFUNCTION("""COMPUTED_VALUE"""),270000.0)</f>
        <v>270000</v>
      </c>
      <c r="AM351" s="22">
        <f>IFERROR(__xludf.DUMMYFUNCTION("""COMPUTED_VALUE"""),270000.0)</f>
        <v>270000</v>
      </c>
      <c r="AN351" s="22">
        <f>IFERROR(__xludf.DUMMYFUNCTION("""COMPUTED_VALUE"""),270000.0)</f>
        <v>270000</v>
      </c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2">
        <f>IFERROR(__xludf.DUMMYFUNCTION("""COMPUTED_VALUE"""),6210000.0)</f>
        <v>6210000</v>
      </c>
      <c r="BD351" s="22">
        <f>IFERROR(__xludf.DUMMYFUNCTION("""COMPUTED_VALUE"""),0.0)</f>
        <v>0</v>
      </c>
      <c r="BE351" s="22">
        <f>IFERROR(__xludf.DUMMYFUNCTION("""COMPUTED_VALUE"""),350000.0)</f>
        <v>350000</v>
      </c>
      <c r="BF351" s="22">
        <f>IFERROR(__xludf.DUMMYFUNCTION("""COMPUTED_VALUE"""),6560000.0)</f>
        <v>6560000</v>
      </c>
    </row>
    <row r="352">
      <c r="A352" s="27">
        <f>IFERROR(__xludf.DUMMYFUNCTION("""COMPUTED_VALUE"""),351.0)</f>
        <v>351</v>
      </c>
      <c r="B352" s="28" t="str">
        <f>IFERROR(__xludf.DUMMYFUNCTION("""COMPUTED_VALUE"""),"MUHAMMAD VICTOR NAJIB BAIHAQI")</f>
        <v>MUHAMMAD VICTOR NAJIB BAIHAQI</v>
      </c>
      <c r="C352" s="28">
        <f>IFERROR(__xludf.DUMMYFUNCTION("""COMPUTED_VALUE"""),2.024070217E9)</f>
        <v>2024070217</v>
      </c>
      <c r="D352" s="28" t="str">
        <f>IFERROR(__xludf.DUMMYFUNCTION("""COMPUTED_VALUE"""),"MOH. TAUFIQ")</f>
        <v>MOH. TAUFIQ</v>
      </c>
      <c r="E352" s="28" t="str">
        <f>IFERROR(__xludf.DUMMYFUNCTION("""COMPUTED_VALUE"""),"RENI FATMAWATI")</f>
        <v>RENI FATMAWATI</v>
      </c>
      <c r="F352" s="28" t="str">
        <f>IFERROR(__xludf.DUMMYFUNCTION("""COMPUTED_VALUE"""),"WEDENG SUKOREJO RT 002 RW 002 KARANGBINANGUN LAMONGAN")</f>
        <v>WEDENG SUKOREJO RT 002 RW 002 KARANGBINANGUN LAMONGAN</v>
      </c>
      <c r="G352" s="28" t="str">
        <f>IFERROR(__xludf.DUMMYFUNCTION("""COMPUTED_VALUE"""),"MA-XII.6")</f>
        <v>MA-XII.6</v>
      </c>
      <c r="H352" s="28" t="str">
        <f>IFERROR(__xludf.DUMMYFUNCTION("""COMPUTED_VALUE"""),"A")</f>
        <v>A</v>
      </c>
      <c r="I352" s="28" t="str">
        <f>IFERROR(__xludf.DUMMYFUNCTION("""COMPUTED_VALUE"""),"A-12")</f>
        <v>A-12</v>
      </c>
      <c r="J352" s="28">
        <f>IFERROR(__xludf.DUMMYFUNCTION("""COMPUTED_VALUE"""),3.0)</f>
        <v>3</v>
      </c>
      <c r="K352" s="28" t="str">
        <f>IFERROR(__xludf.DUMMYFUNCTION("""COMPUTED_VALUE"""),"3 WUSTHO PUTRA")</f>
        <v>3 WUSTHO PUTRA</v>
      </c>
      <c r="L352" s="29" t="str">
        <f>IFERROR(__xludf.DUMMYFUNCTION("""COMPUTED_VALUE"""),"6285646194740")</f>
        <v>6285646194740</v>
      </c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2">
        <f>IFERROR(__xludf.DUMMYFUNCTION("""COMPUTED_VALUE"""),450000.0)</f>
        <v>450000</v>
      </c>
      <c r="AM352" s="22">
        <f>IFERROR(__xludf.DUMMYFUNCTION("""COMPUTED_VALUE"""),450000.0)</f>
        <v>450000</v>
      </c>
      <c r="AN352" s="22">
        <f>IFERROR(__xludf.DUMMYFUNCTION("""COMPUTED_VALUE"""),450000.0)</f>
        <v>450000</v>
      </c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2">
        <f>IFERROR(__xludf.DUMMYFUNCTION("""COMPUTED_VALUE"""),1350000.0)</f>
        <v>1350000</v>
      </c>
      <c r="BD352" s="22">
        <f>IFERROR(__xludf.DUMMYFUNCTION("""COMPUTED_VALUE"""),0.0)</f>
        <v>0</v>
      </c>
      <c r="BE352" s="22">
        <f>IFERROR(__xludf.DUMMYFUNCTION("""COMPUTED_VALUE"""),0.0)</f>
        <v>0</v>
      </c>
      <c r="BF352" s="22">
        <f>IFERROR(__xludf.DUMMYFUNCTION("""COMPUTED_VALUE"""),1350000.0)</f>
        <v>1350000</v>
      </c>
    </row>
    <row r="353">
      <c r="A353" s="27">
        <f>IFERROR(__xludf.DUMMYFUNCTION("""COMPUTED_VALUE"""),352.0)</f>
        <v>352</v>
      </c>
      <c r="B353" s="28" t="str">
        <f>IFERROR(__xludf.DUMMYFUNCTION("""COMPUTED_VALUE"""),"DZULFIKAR KEIMAL ALAWY")</f>
        <v>DZULFIKAR KEIMAL ALAWY</v>
      </c>
      <c r="C353" s="28">
        <f>IFERROR(__xludf.DUMMYFUNCTION("""COMPUTED_VALUE"""),2.025070661E9)</f>
        <v>2025070661</v>
      </c>
      <c r="D353" s="28" t="str">
        <f>IFERROR(__xludf.DUMMYFUNCTION("""COMPUTED_VALUE"""),"HUSNI ROIS")</f>
        <v>HUSNI ROIS</v>
      </c>
      <c r="E353" s="28" t="str">
        <f>IFERROR(__xludf.DUMMYFUNCTION("""COMPUTED_VALUE"""),"MAHFUDLOTIN NI`MAH")</f>
        <v>MAHFUDLOTIN NI`MAH</v>
      </c>
      <c r="F353" s="28" t="str">
        <f>IFERROR(__xludf.DUMMYFUNCTION("""COMPUTED_VALUE"""),"GEDONGKEDOAN RT 002 RW 001 DUKUN GRESIK")</f>
        <v>GEDONGKEDOAN RT 002 RW 001 DUKUN GRESIK</v>
      </c>
      <c r="G353" s="28" t="str">
        <f>IFERROR(__xludf.DUMMYFUNCTION("""COMPUTED_VALUE"""),"MTS-9 C")</f>
        <v>MTS-9 C</v>
      </c>
      <c r="H353" s="28" t="str">
        <f>IFERROR(__xludf.DUMMYFUNCTION("""COMPUTED_VALUE"""),"A")</f>
        <v>A</v>
      </c>
      <c r="I353" s="28" t="str">
        <f>IFERROR(__xludf.DUMMYFUNCTION("""COMPUTED_VALUE"""),"A-10")</f>
        <v>A-10</v>
      </c>
      <c r="J353" s="28">
        <f>IFERROR(__xludf.DUMMYFUNCTION("""COMPUTED_VALUE"""),3.0)</f>
        <v>3</v>
      </c>
      <c r="K353" s="28" t="str">
        <f>IFERROR(__xludf.DUMMYFUNCTION("""COMPUTED_VALUE"""),"3 ULA A PUTRA")</f>
        <v>3 ULA A PUTRA</v>
      </c>
      <c r="L353" s="29" t="str">
        <f>IFERROR(__xludf.DUMMYFUNCTION("""COMPUTED_VALUE"""),"6285738157018")</f>
        <v>6285738157018</v>
      </c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2">
        <f>IFERROR(__xludf.DUMMYFUNCTION("""COMPUTED_VALUE"""),450000.0)</f>
        <v>450000</v>
      </c>
      <c r="AN353" s="22">
        <f>IFERROR(__xludf.DUMMYFUNCTION("""COMPUTED_VALUE"""),450000.0)</f>
        <v>450000</v>
      </c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2">
        <f>IFERROR(__xludf.DUMMYFUNCTION("""COMPUTED_VALUE"""),900000.0)</f>
        <v>900000</v>
      </c>
      <c r="BD353" s="22">
        <f>IFERROR(__xludf.DUMMYFUNCTION("""COMPUTED_VALUE"""),0.0)</f>
        <v>0</v>
      </c>
      <c r="BE353" s="22">
        <f>IFERROR(__xludf.DUMMYFUNCTION("""COMPUTED_VALUE"""),0.0)</f>
        <v>0</v>
      </c>
      <c r="BF353" s="22">
        <f>IFERROR(__xludf.DUMMYFUNCTION("""COMPUTED_VALUE"""),900000.0)</f>
        <v>900000</v>
      </c>
    </row>
    <row r="354">
      <c r="A354" s="27">
        <f>IFERROR(__xludf.DUMMYFUNCTION("""COMPUTED_VALUE"""),353.0)</f>
        <v>353</v>
      </c>
      <c r="B354" s="28" t="str">
        <f>IFERROR(__xludf.DUMMYFUNCTION("""COMPUTED_VALUE"""),"SINTA NURIYYAH")</f>
        <v>SINTA NURIYYAH</v>
      </c>
      <c r="C354" s="28">
        <f>IFERROR(__xludf.DUMMYFUNCTION("""COMPUTED_VALUE"""),2.024070182E9)</f>
        <v>2024070182</v>
      </c>
      <c r="D354" s="28"/>
      <c r="E354" s="28"/>
      <c r="F354" s="28"/>
      <c r="G354" s="28" t="str">
        <f>IFERROR(__xludf.DUMMYFUNCTION("""COMPUTED_VALUE"""),"MA-XII.7 ")</f>
        <v>MA-XII.7 </v>
      </c>
      <c r="H354" s="28" t="str">
        <f>IFERROR(__xludf.DUMMYFUNCTION("""COMPUTED_VALUE"""),"B")</f>
        <v>B</v>
      </c>
      <c r="I354" s="28" t="str">
        <f>IFERROR(__xludf.DUMMYFUNCTION("""COMPUTED_VALUE"""),"B-2")</f>
        <v>B-2</v>
      </c>
      <c r="J354" s="28">
        <f>IFERROR(__xludf.DUMMYFUNCTION("""COMPUTED_VALUE"""),3.0)</f>
        <v>3</v>
      </c>
      <c r="K354" s="28" t="str">
        <f>IFERROR(__xludf.DUMMYFUNCTION("""COMPUTED_VALUE"""),"")</f>
        <v/>
      </c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2" t="str">
        <f>IFERROR(__xludf.DUMMYFUNCTION("""COMPUTED_VALUE"""),"")</f>
        <v/>
      </c>
      <c r="AI354" s="22" t="str">
        <f>IFERROR(__xludf.DUMMYFUNCTION("""COMPUTED_VALUE"""),"")</f>
        <v/>
      </c>
      <c r="AJ354" s="22" t="str">
        <f>IFERROR(__xludf.DUMMYFUNCTION("""COMPUTED_VALUE"""),"")</f>
        <v/>
      </c>
      <c r="AK354" s="22" t="str">
        <f>IFERROR(__xludf.DUMMYFUNCTION("""COMPUTED_VALUE"""),"")</f>
        <v/>
      </c>
      <c r="AL354" s="22">
        <f>IFERROR(__xludf.DUMMYFUNCTION("""COMPUTED_VALUE"""),450000.0)</f>
        <v>450000</v>
      </c>
      <c r="AM354" s="22">
        <f>IFERROR(__xludf.DUMMYFUNCTION("""COMPUTED_VALUE"""),450000.0)</f>
        <v>450000</v>
      </c>
      <c r="AN354" s="22">
        <f>IFERROR(__xludf.DUMMYFUNCTION("""COMPUTED_VALUE"""),450000.0)</f>
        <v>450000</v>
      </c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</row>
    <row r="355">
      <c r="A355" s="27">
        <f>IFERROR(__xludf.DUMMYFUNCTION("""COMPUTED_VALUE"""),354.0)</f>
        <v>354</v>
      </c>
      <c r="B355" s="28" t="str">
        <f>IFERROR(__xludf.DUMMYFUNCTION("""COMPUTED_VALUE"""),"SHEILA MARSHA ANDITA")</f>
        <v>SHEILA MARSHA ANDITA</v>
      </c>
      <c r="C355" s="28">
        <f>IFERROR(__xludf.DUMMYFUNCTION("""COMPUTED_VALUE"""),2.025070628E9)</f>
        <v>2025070628</v>
      </c>
      <c r="D355" s="28" t="str">
        <f>IFERROR(__xludf.DUMMYFUNCTION("""COMPUTED_VALUE"""),"SURATNO")</f>
        <v>SURATNO</v>
      </c>
      <c r="E355" s="28" t="str">
        <f>IFERROR(__xludf.DUMMYFUNCTION("""COMPUTED_VALUE"""),"PUTRI INDAH LESTARI")</f>
        <v>PUTRI INDAH LESTARI</v>
      </c>
      <c r="F355" s="28" t="str">
        <f>IFERROR(__xludf.DUMMYFUNCTION("""COMPUTED_VALUE"""),"PERUM NAJWA ASRI BLUNGKAN SENDANGREJO RT 007 RW 003 LAMONGAN LAMONGAN")</f>
        <v>PERUM NAJWA ASRI BLUNGKAN SENDANGREJO RT 007 RW 003 LAMONGAN LAMONGAN</v>
      </c>
      <c r="G355" s="28" t="str">
        <f>IFERROR(__xludf.DUMMYFUNCTION("""COMPUTED_VALUE"""),"MTS-9 D")</f>
        <v>MTS-9 D</v>
      </c>
      <c r="H355" s="28" t="str">
        <f>IFERROR(__xludf.DUMMYFUNCTION("""COMPUTED_VALUE"""),"D")</f>
        <v>D</v>
      </c>
      <c r="I355" s="28" t="str">
        <f>IFERROR(__xludf.DUMMYFUNCTION("""COMPUTED_VALUE"""),"D-2")</f>
        <v>D-2</v>
      </c>
      <c r="J355" s="28">
        <f>IFERROR(__xludf.DUMMYFUNCTION("""COMPUTED_VALUE"""),3.0)</f>
        <v>3</v>
      </c>
      <c r="K355" s="28" t="str">
        <f>IFERROR(__xludf.DUMMYFUNCTION("""COMPUTED_VALUE"""),"3 ULA C PUTRI")</f>
        <v>3 ULA C PUTRI</v>
      </c>
      <c r="L355" s="29" t="str">
        <f>IFERROR(__xludf.DUMMYFUNCTION("""COMPUTED_VALUE"""),"6285704642352")</f>
        <v>6285704642352</v>
      </c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2">
        <f>IFERROR(__xludf.DUMMYFUNCTION("""COMPUTED_VALUE"""),0.0)</f>
        <v>0</v>
      </c>
      <c r="BD355" s="22">
        <f>IFERROR(__xludf.DUMMYFUNCTION("""COMPUTED_VALUE"""),0.0)</f>
        <v>0</v>
      </c>
      <c r="BE355" s="22">
        <f>IFERROR(__xludf.DUMMYFUNCTION("""COMPUTED_VALUE"""),0.0)</f>
        <v>0</v>
      </c>
      <c r="BF355" s="22">
        <f>IFERROR(__xludf.DUMMYFUNCTION("""COMPUTED_VALUE"""),0.0)</f>
        <v>0</v>
      </c>
    </row>
    <row r="356">
      <c r="A356" s="27">
        <f>IFERROR(__xludf.DUMMYFUNCTION("""COMPUTED_VALUE"""),355.0)</f>
        <v>355</v>
      </c>
      <c r="B356" s="28" t="str">
        <f>IFERROR(__xludf.DUMMYFUNCTION("""COMPUTED_VALUE"""),"ABDULLAH FAIZ")</f>
        <v>ABDULLAH FAIZ</v>
      </c>
      <c r="C356" s="28">
        <f>IFERROR(__xludf.DUMMYFUNCTION("""COMPUTED_VALUE"""),2.025070617E9)</f>
        <v>2025070617</v>
      </c>
      <c r="D356" s="28" t="str">
        <f>IFERROR(__xludf.DUMMYFUNCTION("""COMPUTED_VALUE"""),"ISWANTO")</f>
        <v>ISWANTO</v>
      </c>
      <c r="E356" s="28" t="str">
        <f>IFERROR(__xludf.DUMMYFUNCTION("""COMPUTED_VALUE"""),"NUR FARIDAH")</f>
        <v>NUR FARIDAH</v>
      </c>
      <c r="F356" s="28" t="str">
        <f>IFERROR(__xludf.DUMMYFUNCTION("""COMPUTED_VALUE"""),"GEDONGKEDOAN RT 001 RW 001 DUKUN GRESIK")</f>
        <v>GEDONGKEDOAN RT 001 RW 001 DUKUN GRESIK</v>
      </c>
      <c r="G356" s="28" t="str">
        <f>IFERROR(__xludf.DUMMYFUNCTION("""COMPUTED_VALUE"""),"MTS-9 B")</f>
        <v>MTS-9 B</v>
      </c>
      <c r="H356" s="28" t="str">
        <f>IFERROR(__xludf.DUMMYFUNCTION("""COMPUTED_VALUE"""),"A")</f>
        <v>A</v>
      </c>
      <c r="I356" s="28" t="str">
        <f>IFERROR(__xludf.DUMMYFUNCTION("""COMPUTED_VALUE"""),"A-8")</f>
        <v>A-8</v>
      </c>
      <c r="J356" s="28">
        <f>IFERROR(__xludf.DUMMYFUNCTION("""COMPUTED_VALUE"""),3.0)</f>
        <v>3</v>
      </c>
      <c r="K356" s="28" t="str">
        <f>IFERROR(__xludf.DUMMYFUNCTION("""COMPUTED_VALUE"""),"3 ULA A PUTRA")</f>
        <v>3 ULA A PUTRA</v>
      </c>
      <c r="L356" s="29" t="str">
        <f>IFERROR(__xludf.DUMMYFUNCTION("""COMPUTED_VALUE"""),"6281553874448")</f>
        <v>6281553874448</v>
      </c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2">
        <f>IFERROR(__xludf.DUMMYFUNCTION("""COMPUTED_VALUE"""),500000.0)</f>
        <v>500000</v>
      </c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2">
        <f>IFERROR(__xludf.DUMMYFUNCTION("""COMPUTED_VALUE"""),450000.0)</f>
        <v>450000</v>
      </c>
      <c r="AO356" s="28"/>
      <c r="AP356" s="22">
        <f>IFERROR(__xludf.DUMMYFUNCTION("""COMPUTED_VALUE"""),500000.0)</f>
        <v>500000</v>
      </c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2">
        <f>IFERROR(__xludf.DUMMYFUNCTION("""COMPUTED_VALUE"""),450000.0)</f>
        <v>450000</v>
      </c>
      <c r="BD356" s="22">
        <f>IFERROR(__xludf.DUMMYFUNCTION("""COMPUTED_VALUE"""),1000000.0)</f>
        <v>1000000</v>
      </c>
      <c r="BE356" s="22">
        <f>IFERROR(__xludf.DUMMYFUNCTION("""COMPUTED_VALUE"""),0.0)</f>
        <v>0</v>
      </c>
      <c r="BF356" s="22">
        <f>IFERROR(__xludf.DUMMYFUNCTION("""COMPUTED_VALUE"""),1450000.0)</f>
        <v>1450000</v>
      </c>
    </row>
    <row r="357">
      <c r="A357" s="27">
        <f>IFERROR(__xludf.DUMMYFUNCTION("""COMPUTED_VALUE"""),356.0)</f>
        <v>356</v>
      </c>
      <c r="B357" s="28" t="str">
        <f>IFERROR(__xludf.DUMMYFUNCTION("""COMPUTED_VALUE"""),"MUHAMMAD ZAKI ABIYASA")</f>
        <v>MUHAMMAD ZAKI ABIYASA</v>
      </c>
      <c r="C357" s="28">
        <f>IFERROR(__xludf.DUMMYFUNCTION("""COMPUTED_VALUE"""),2.02510068E9)</f>
        <v>2025100680</v>
      </c>
      <c r="D357" s="28" t="str">
        <f>IFERROR(__xludf.DUMMYFUNCTION("""COMPUTED_VALUE"""),"ZAINURONI")</f>
        <v>ZAINURONI</v>
      </c>
      <c r="E357" s="28" t="str">
        <f>IFERROR(__xludf.DUMMYFUNCTION("""COMPUTED_VALUE"""),"ELNA RUSMA WATI")</f>
        <v>ELNA RUSMA WATI</v>
      </c>
      <c r="F357" s="28" t="str">
        <f>IFERROR(__xludf.DUMMYFUNCTION("""COMPUTED_VALUE"""),"PUCUK RT 005 RW 001 PUCUK LAMONGAN")</f>
        <v>PUCUK RT 005 RW 001 PUCUK LAMONGAN</v>
      </c>
      <c r="G357" s="28" t="str">
        <f>IFERROR(__xludf.DUMMYFUNCTION("""COMPUTED_VALUE"""),"#N/A")</f>
        <v>#N/A</v>
      </c>
      <c r="H357" s="28" t="str">
        <f>IFERROR(__xludf.DUMMYFUNCTION("""COMPUTED_VALUE"""),"A")</f>
        <v>A</v>
      </c>
      <c r="I357" s="28" t="str">
        <f>IFERROR(__xludf.DUMMYFUNCTION("""COMPUTED_VALUE"""),"A-1")</f>
        <v>A-1</v>
      </c>
      <c r="J357" s="28">
        <f>IFERROR(__xludf.DUMMYFUNCTION("""COMPUTED_VALUE"""),3.0)</f>
        <v>3</v>
      </c>
      <c r="K357" s="28" t="str">
        <f>IFERROR(__xludf.DUMMYFUNCTION("""COMPUTED_VALUE"""),"3 ULA A PUTRA")</f>
        <v>3 ULA A PUTRA</v>
      </c>
      <c r="L357" s="29" t="str">
        <f>IFERROR(__xludf.DUMMYFUNCTION("""COMPUTED_VALUE"""),"6289513220988")</f>
        <v>6289513220988</v>
      </c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2">
        <f>IFERROR(__xludf.DUMMYFUNCTION("""COMPUTED_VALUE"""),500000.0)</f>
        <v>500000</v>
      </c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2">
        <f>IFERROR(__xludf.DUMMYFUNCTION("""COMPUTED_VALUE"""),450000.0)</f>
        <v>450000</v>
      </c>
      <c r="AO357" s="28"/>
      <c r="AP357" s="22">
        <f>IFERROR(__xludf.DUMMYFUNCTION("""COMPUTED_VALUE"""),500000.0)</f>
        <v>500000</v>
      </c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2">
        <f>IFERROR(__xludf.DUMMYFUNCTION("""COMPUTED_VALUE"""),450000.0)</f>
        <v>450000</v>
      </c>
      <c r="BD357" s="22">
        <f>IFERROR(__xludf.DUMMYFUNCTION("""COMPUTED_VALUE"""),1000000.0)</f>
        <v>1000000</v>
      </c>
      <c r="BE357" s="22">
        <f>IFERROR(__xludf.DUMMYFUNCTION("""COMPUTED_VALUE"""),0.0)</f>
        <v>0</v>
      </c>
      <c r="BF357" s="22">
        <f>IFERROR(__xludf.DUMMYFUNCTION("""COMPUTED_VALUE"""),1450000.0)</f>
        <v>1450000</v>
      </c>
    </row>
    <row r="358">
      <c r="A358" s="27">
        <f>IFERROR(__xludf.DUMMYFUNCTION("""COMPUTED_VALUE"""),357.0)</f>
        <v>357</v>
      </c>
      <c r="B358" s="28" t="str">
        <f>IFERROR(__xludf.DUMMYFUNCTION("""COMPUTED_VALUE"""),"ACH. ADITIYA YUGASWARA")</f>
        <v>ACH. ADITIYA YUGASWARA</v>
      </c>
      <c r="C358" s="28">
        <f>IFERROR(__xludf.DUMMYFUNCTION("""COMPUTED_VALUE"""),2.025110681E9)</f>
        <v>2025110681</v>
      </c>
      <c r="D358" s="28"/>
      <c r="E358" s="28"/>
      <c r="F358" s="28"/>
      <c r="G358" s="28" t="str">
        <f>IFERROR(__xludf.DUMMYFUNCTION("""COMPUTED_VALUE"""),"#N/A")</f>
        <v>#N/A</v>
      </c>
      <c r="H358" s="28" t="str">
        <f>IFERROR(__xludf.DUMMYFUNCTION("""COMPUTED_VALUE"""),"A")</f>
        <v>A</v>
      </c>
      <c r="I358" s="28" t="str">
        <f>IFERROR(__xludf.DUMMYFUNCTION("""COMPUTED_VALUE"""),"A-1")</f>
        <v>A-1</v>
      </c>
      <c r="J358" s="28">
        <f>IFERROR(__xludf.DUMMYFUNCTION("""COMPUTED_VALUE"""),3.0)</f>
        <v>3</v>
      </c>
      <c r="K358" s="28" t="str">
        <f>IFERROR(__xludf.DUMMYFUNCTION("""COMPUTED_VALUE"""),"3 ULA A PUTRA")</f>
        <v>3 ULA A PUTRA</v>
      </c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2" t="str">
        <f>IFERROR(__xludf.DUMMYFUNCTION("""COMPUTED_VALUE"""),"")</f>
        <v/>
      </c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2">
        <f>IFERROR(__xludf.DUMMYFUNCTION("""COMPUTED_VALUE"""),0.0)</f>
        <v>0</v>
      </c>
      <c r="BD358" s="22">
        <f>IFERROR(__xludf.DUMMYFUNCTION("""COMPUTED_VALUE"""),0.0)</f>
        <v>0</v>
      </c>
      <c r="BE358" s="22">
        <f>IFERROR(__xludf.DUMMYFUNCTION("""COMPUTED_VALUE"""),0.0)</f>
        <v>0</v>
      </c>
      <c r="BF358" s="22">
        <f>IFERROR(__xludf.DUMMYFUNCTION("""COMPUTED_VALUE"""),0.0)</f>
        <v>0</v>
      </c>
    </row>
    <row r="359">
      <c r="A359" s="27" t="str">
        <f>IFERROR(__xludf.DUMMYFUNCTION("""COMPUTED_VALUE"""),"")</f>
        <v/>
      </c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2" t="str">
        <f>IFERROR(__xludf.DUMMYFUNCTION("""COMPUTED_VALUE"""),"")</f>
        <v/>
      </c>
      <c r="AI359" s="22" t="str">
        <f>IFERROR(__xludf.DUMMYFUNCTION("""COMPUTED_VALUE"""),"")</f>
        <v/>
      </c>
      <c r="AJ359" s="22" t="str">
        <f>IFERROR(__xludf.DUMMYFUNCTION("""COMPUTED_VALUE"""),"")</f>
        <v/>
      </c>
      <c r="AK359" s="22" t="str">
        <f>IFERROR(__xludf.DUMMYFUNCTION("""COMPUTED_VALUE"""),"")</f>
        <v/>
      </c>
      <c r="AL359" s="22" t="str">
        <f>IFERROR(__xludf.DUMMYFUNCTION("""COMPUTED_VALUE"""),"")</f>
        <v/>
      </c>
      <c r="AM359" s="22" t="str">
        <f>IFERROR(__xludf.DUMMYFUNCTION("""COMPUTED_VALUE"""),"")</f>
        <v/>
      </c>
      <c r="AN359" s="22" t="str">
        <f>IFERROR(__xludf.DUMMYFUNCTION("""COMPUTED_VALUE"""),"")</f>
        <v/>
      </c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</row>
    <row r="360">
      <c r="A360" s="27" t="str">
        <f>IFERROR(__xludf.DUMMYFUNCTION("""COMPUTED_VALUE"""),"")</f>
        <v/>
      </c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2" t="str">
        <f>IFERROR(__xludf.DUMMYFUNCTION("""COMPUTED_VALUE"""),"")</f>
        <v/>
      </c>
      <c r="AI360" s="22" t="str">
        <f>IFERROR(__xludf.DUMMYFUNCTION("""COMPUTED_VALUE"""),"")</f>
        <v/>
      </c>
      <c r="AJ360" s="22" t="str">
        <f>IFERROR(__xludf.DUMMYFUNCTION("""COMPUTED_VALUE"""),"")</f>
        <v/>
      </c>
      <c r="AK360" s="22" t="str">
        <f>IFERROR(__xludf.DUMMYFUNCTION("""COMPUTED_VALUE"""),"")</f>
        <v/>
      </c>
      <c r="AL360" s="22" t="str">
        <f>IFERROR(__xludf.DUMMYFUNCTION("""COMPUTED_VALUE"""),"")</f>
        <v/>
      </c>
      <c r="AM360" s="22" t="str">
        <f>IFERROR(__xludf.DUMMYFUNCTION("""COMPUTED_VALUE"""),"")</f>
        <v/>
      </c>
      <c r="AN360" s="22" t="str">
        <f>IFERROR(__xludf.DUMMYFUNCTION("""COMPUTED_VALUE"""),"")</f>
        <v/>
      </c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</row>
    <row r="361">
      <c r="A361" s="27" t="str">
        <f>IFERROR(__xludf.DUMMYFUNCTION("""COMPUTED_VALUE"""),"")</f>
        <v/>
      </c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</row>
    <row r="362">
      <c r="A362" s="27" t="str">
        <f>IFERROR(__xludf.DUMMYFUNCTION("""COMPUTED_VALUE"""),"")</f>
        <v/>
      </c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</row>
    <row r="363">
      <c r="A363" s="27" t="str">
        <f>IFERROR(__xludf.DUMMYFUNCTION("""COMPUTED_VALUE"""),"")</f>
        <v/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</row>
    <row r="364">
      <c r="A364" s="27" t="str">
        <f>IFERROR(__xludf.DUMMYFUNCTION("""COMPUTED_VALUE"""),"")</f>
        <v/>
      </c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</row>
    <row r="365">
      <c r="A365" s="27" t="str">
        <f>IFERROR(__xludf.DUMMYFUNCTION("""COMPUTED_VALUE"""),"")</f>
        <v/>
      </c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</row>
    <row r="366">
      <c r="A366" s="27" t="str">
        <f>IFERROR(__xludf.DUMMYFUNCTION("""COMPUTED_VALUE"""),"")</f>
        <v/>
      </c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</row>
    <row r="367">
      <c r="A367" s="27" t="str">
        <f>IFERROR(__xludf.DUMMYFUNCTION("""COMPUTED_VALUE"""),"")</f>
        <v/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</row>
    <row r="368">
      <c r="A368" s="27" t="str">
        <f>IFERROR(__xludf.DUMMYFUNCTION("""COMPUTED_VALUE"""),"")</f>
        <v/>
      </c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</row>
    <row r="369">
      <c r="A369" s="27" t="str">
        <f>IFERROR(__xludf.DUMMYFUNCTION("""COMPUTED_VALUE"""),"")</f>
        <v/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</row>
    <row r="370">
      <c r="A370" s="27" t="str">
        <f>IFERROR(__xludf.DUMMYFUNCTION("""COMPUTED_VALUE"""),"")</f>
        <v/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</row>
    <row r="371">
      <c r="A371" s="27" t="str">
        <f>IFERROR(__xludf.DUMMYFUNCTION("""COMPUTED_VALUE"""),"")</f>
        <v/>
      </c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</row>
    <row r="372">
      <c r="A372" s="27" t="str">
        <f>IFERROR(__xludf.DUMMYFUNCTION("""COMPUTED_VALUE"""),"")</f>
        <v/>
      </c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</row>
    <row r="373">
      <c r="A373" s="27" t="str">
        <f>IFERROR(__xludf.DUMMYFUNCTION("""COMPUTED_VALUE"""),"")</f>
        <v/>
      </c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</row>
    <row r="374">
      <c r="A374" s="27" t="str">
        <f>IFERROR(__xludf.DUMMYFUNCTION("""COMPUTED_VALUE"""),"")</f>
        <v/>
      </c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</row>
    <row r="375">
      <c r="A375" s="27" t="str">
        <f>IFERROR(__xludf.DUMMYFUNCTION("""COMPUTED_VALUE"""),"")</f>
        <v/>
      </c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</row>
    <row r="376">
      <c r="A376" s="27" t="str">
        <f>IFERROR(__xludf.DUMMYFUNCTION("""COMPUTED_VALUE"""),"")</f>
        <v/>
      </c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</row>
    <row r="377">
      <c r="A377" s="27" t="str">
        <f>IFERROR(__xludf.DUMMYFUNCTION("""COMPUTED_VALUE"""),"")</f>
        <v/>
      </c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</row>
    <row r="378">
      <c r="A378" s="27" t="str">
        <f>IFERROR(__xludf.DUMMYFUNCTION("""COMPUTED_VALUE"""),"")</f>
        <v/>
      </c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</row>
    <row r="379">
      <c r="A379" s="27" t="str">
        <f>IFERROR(__xludf.DUMMYFUNCTION("""COMPUTED_VALUE"""),"")</f>
        <v/>
      </c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</row>
    <row r="380">
      <c r="A380" s="27" t="str">
        <f>IFERROR(__xludf.DUMMYFUNCTION("""COMPUTED_VALUE"""),"")</f>
        <v/>
      </c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</row>
    <row r="381">
      <c r="A381" s="27" t="str">
        <f>IFERROR(__xludf.DUMMYFUNCTION("""COMPUTED_VALUE"""),"")</f>
        <v/>
      </c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</row>
    <row r="382">
      <c r="A382" s="27" t="str">
        <f>IFERROR(__xludf.DUMMYFUNCTION("""COMPUTED_VALUE"""),"")</f>
        <v/>
      </c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</row>
    <row r="383">
      <c r="A383" s="27" t="str">
        <f>IFERROR(__xludf.DUMMYFUNCTION("""COMPUTED_VALUE"""),"")</f>
        <v/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</row>
    <row r="384">
      <c r="A384" s="27" t="str">
        <f>IFERROR(__xludf.DUMMYFUNCTION("""COMPUTED_VALUE"""),"")</f>
        <v/>
      </c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</row>
    <row r="385">
      <c r="A385" s="27" t="str">
        <f>IFERROR(__xludf.DUMMYFUNCTION("""COMPUTED_VALUE"""),"")</f>
        <v/>
      </c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</row>
    <row r="386">
      <c r="A386" s="27" t="str">
        <f>IFERROR(__xludf.DUMMYFUNCTION("""COMPUTED_VALUE"""),"")</f>
        <v/>
      </c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</row>
    <row r="387">
      <c r="A387" s="27" t="str">
        <f>IFERROR(__xludf.DUMMYFUNCTION("""COMPUTED_VALUE"""),"")</f>
        <v/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</row>
    <row r="388">
      <c r="A388" s="27" t="str">
        <f>IFERROR(__xludf.DUMMYFUNCTION("""COMPUTED_VALUE"""),"")</f>
        <v/>
      </c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</row>
    <row r="389">
      <c r="A389" s="27" t="str">
        <f>IFERROR(__xludf.DUMMYFUNCTION("""COMPUTED_VALUE"""),"")</f>
        <v/>
      </c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</row>
    <row r="390">
      <c r="A390" s="27" t="str">
        <f>IFERROR(__xludf.DUMMYFUNCTION("""COMPUTED_VALUE"""),"")</f>
        <v/>
      </c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</row>
    <row r="391">
      <c r="A391" s="27" t="str">
        <f>IFERROR(__xludf.DUMMYFUNCTION("""COMPUTED_VALUE"""),"")</f>
        <v/>
      </c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</row>
    <row r="392">
      <c r="A392" s="27" t="str">
        <f>IFERROR(__xludf.DUMMYFUNCTION("""COMPUTED_VALUE"""),"")</f>
        <v/>
      </c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</row>
    <row r="393">
      <c r="A393" s="27" t="str">
        <f>IFERROR(__xludf.DUMMYFUNCTION("""COMPUTED_VALUE"""),"")</f>
        <v/>
      </c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</row>
    <row r="394">
      <c r="A394" s="27" t="str">
        <f>IFERROR(__xludf.DUMMYFUNCTION("""COMPUTED_VALUE"""),"")</f>
        <v/>
      </c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</row>
    <row r="395">
      <c r="A395" s="27" t="str">
        <f>IFERROR(__xludf.DUMMYFUNCTION("""COMPUTED_VALUE"""),"")</f>
        <v/>
      </c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</row>
    <row r="396">
      <c r="A396" s="27" t="str">
        <f>IFERROR(__xludf.DUMMYFUNCTION("""COMPUTED_VALUE"""),"")</f>
        <v/>
      </c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</row>
    <row r="397">
      <c r="A397" s="27" t="str">
        <f>IFERROR(__xludf.DUMMYFUNCTION("""COMPUTED_VALUE"""),"")</f>
        <v/>
      </c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</row>
    <row r="398">
      <c r="A398" s="27" t="str">
        <f>IFERROR(__xludf.DUMMYFUNCTION("""COMPUTED_VALUE"""),"")</f>
        <v/>
      </c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</row>
    <row r="399">
      <c r="A399" s="27" t="str">
        <f>IFERROR(__xludf.DUMMYFUNCTION("""COMPUTED_VALUE"""),"")</f>
        <v/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</row>
    <row r="400">
      <c r="A400" s="27" t="str">
        <f>IFERROR(__xludf.DUMMYFUNCTION("""COMPUTED_VALUE"""),"")</f>
        <v/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</row>
    <row r="401">
      <c r="A401" s="27" t="str">
        <f>IFERROR(__xludf.DUMMYFUNCTION("""COMPUTED_VALUE"""),"")</f>
        <v/>
      </c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</row>
    <row r="402">
      <c r="A402" s="27" t="str">
        <f>IFERROR(__xludf.DUMMYFUNCTION("""COMPUTED_VALUE"""),"")</f>
        <v/>
      </c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</row>
    <row r="403">
      <c r="A403" s="27" t="str">
        <f>IFERROR(__xludf.DUMMYFUNCTION("""COMPUTED_VALUE"""),"")</f>
        <v/>
      </c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</row>
    <row r="404">
      <c r="A404" s="27" t="str">
        <f>IFERROR(__xludf.DUMMYFUNCTION("""COMPUTED_VALUE"""),"")</f>
        <v/>
      </c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</row>
    <row r="405">
      <c r="A405" s="27" t="str">
        <f>IFERROR(__xludf.DUMMYFUNCTION("""COMPUTED_VALUE"""),"")</f>
        <v/>
      </c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</row>
    <row r="406">
      <c r="A406" s="27" t="str">
        <f>IFERROR(__xludf.DUMMYFUNCTION("""COMPUTED_VALUE"""),"")</f>
        <v/>
      </c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</row>
    <row r="407">
      <c r="A407" s="27" t="str">
        <f>IFERROR(__xludf.DUMMYFUNCTION("""COMPUTED_VALUE"""),"")</f>
        <v/>
      </c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</row>
    <row r="408">
      <c r="A408" s="27" t="str">
        <f>IFERROR(__xludf.DUMMYFUNCTION("""COMPUTED_VALUE"""),"")</f>
        <v/>
      </c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</row>
    <row r="409">
      <c r="A409" s="27" t="str">
        <f>IFERROR(__xludf.DUMMYFUNCTION("""COMPUTED_VALUE"""),"")</f>
        <v/>
      </c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</row>
    <row r="410">
      <c r="A410" s="27" t="str">
        <f>IFERROR(__xludf.DUMMYFUNCTION("""COMPUTED_VALUE"""),"")</f>
        <v/>
      </c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</row>
    <row r="411">
      <c r="A411" s="27" t="str">
        <f>IFERROR(__xludf.DUMMYFUNCTION("""COMPUTED_VALUE"""),"")</f>
        <v/>
      </c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</row>
    <row r="412">
      <c r="A412" s="27" t="str">
        <f>IFERROR(__xludf.DUMMYFUNCTION("""COMPUTED_VALUE"""),"")</f>
        <v/>
      </c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</row>
    <row r="413">
      <c r="A413" s="27" t="str">
        <f>IFERROR(__xludf.DUMMYFUNCTION("""COMPUTED_VALUE"""),"")</f>
        <v/>
      </c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</row>
    <row r="414">
      <c r="A414" s="27" t="str">
        <f>IFERROR(__xludf.DUMMYFUNCTION("""COMPUTED_VALUE"""),"")</f>
        <v/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</row>
    <row r="415">
      <c r="A415" s="27" t="str">
        <f>IFERROR(__xludf.DUMMYFUNCTION("""COMPUTED_VALUE"""),"")</f>
        <v/>
      </c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</row>
    <row r="416">
      <c r="A416" s="27" t="str">
        <f>IFERROR(__xludf.DUMMYFUNCTION("""COMPUTED_VALUE"""),"")</f>
        <v/>
      </c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</row>
    <row r="417">
      <c r="A417" s="27" t="str">
        <f>IFERROR(__xludf.DUMMYFUNCTION("""COMPUTED_VALUE"""),"")</f>
        <v/>
      </c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</row>
    <row r="418">
      <c r="A418" s="27" t="str">
        <f>IFERROR(__xludf.DUMMYFUNCTION("""COMPUTED_VALUE"""),"")</f>
        <v/>
      </c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</row>
    <row r="419">
      <c r="A419" s="27" t="str">
        <f>IFERROR(__xludf.DUMMYFUNCTION("""COMPUTED_VALUE"""),"")</f>
        <v/>
      </c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</row>
    <row r="420">
      <c r="A420" s="27" t="str">
        <f>IFERROR(__xludf.DUMMYFUNCTION("""COMPUTED_VALUE"""),"")</f>
        <v/>
      </c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</row>
    <row r="421">
      <c r="A421" s="27" t="str">
        <f>IFERROR(__xludf.DUMMYFUNCTION("""COMPUTED_VALUE"""),"")</f>
        <v/>
      </c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</row>
    <row r="422">
      <c r="A422" s="27" t="str">
        <f>IFERROR(__xludf.DUMMYFUNCTION("""COMPUTED_VALUE"""),"")</f>
        <v/>
      </c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</row>
    <row r="423">
      <c r="A423" s="27" t="str">
        <f>IFERROR(__xludf.DUMMYFUNCTION("""COMPUTED_VALUE"""),"")</f>
        <v/>
      </c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</row>
    <row r="424">
      <c r="A424" s="27" t="str">
        <f>IFERROR(__xludf.DUMMYFUNCTION("""COMPUTED_VALUE"""),"")</f>
        <v/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</row>
    <row r="425">
      <c r="A425" s="27" t="str">
        <f>IFERROR(__xludf.DUMMYFUNCTION("""COMPUTED_VALUE"""),"")</f>
        <v/>
      </c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</row>
    <row r="426">
      <c r="A426" s="27" t="str">
        <f>IFERROR(__xludf.DUMMYFUNCTION("""COMPUTED_VALUE"""),"")</f>
        <v/>
      </c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</row>
    <row r="427">
      <c r="A427" s="27" t="str">
        <f>IFERROR(__xludf.DUMMYFUNCTION("""COMPUTED_VALUE"""),"")</f>
        <v/>
      </c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</row>
    <row r="428">
      <c r="A428" s="27" t="str">
        <f>IFERROR(__xludf.DUMMYFUNCTION("""COMPUTED_VALUE"""),"")</f>
        <v/>
      </c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</row>
    <row r="429">
      <c r="A429" s="27" t="str">
        <f>IFERROR(__xludf.DUMMYFUNCTION("""COMPUTED_VALUE"""),"")</f>
        <v/>
      </c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</row>
    <row r="430">
      <c r="A430" s="27" t="str">
        <f>IFERROR(__xludf.DUMMYFUNCTION("""COMPUTED_VALUE"""),"")</f>
        <v/>
      </c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</row>
    <row r="431">
      <c r="A431" s="27" t="str">
        <f>IFERROR(__xludf.DUMMYFUNCTION("""COMPUTED_VALUE"""),"")</f>
        <v/>
      </c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</row>
    <row r="432">
      <c r="A432" s="27" t="str">
        <f>IFERROR(__xludf.DUMMYFUNCTION("""COMPUTED_VALUE"""),"")</f>
        <v/>
      </c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</row>
    <row r="433">
      <c r="A433" s="27" t="str">
        <f>IFERROR(__xludf.DUMMYFUNCTION("""COMPUTED_VALUE"""),"")</f>
        <v/>
      </c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</row>
    <row r="434">
      <c r="A434" s="27" t="str">
        <f>IFERROR(__xludf.DUMMYFUNCTION("""COMPUTED_VALUE"""),"")</f>
        <v/>
      </c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</row>
    <row r="435">
      <c r="A435" s="27" t="str">
        <f>IFERROR(__xludf.DUMMYFUNCTION("""COMPUTED_VALUE"""),"")</f>
        <v/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</row>
    <row r="436">
      <c r="A436" s="27" t="str">
        <f>IFERROR(__xludf.DUMMYFUNCTION("""COMPUTED_VALUE"""),"")</f>
        <v/>
      </c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</row>
    <row r="437">
      <c r="A437" s="27" t="str">
        <f>IFERROR(__xludf.DUMMYFUNCTION("""COMPUTED_VALUE"""),"")</f>
        <v/>
      </c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</row>
    <row r="438">
      <c r="A438" s="27" t="str">
        <f>IFERROR(__xludf.DUMMYFUNCTION("""COMPUTED_VALUE"""),"")</f>
        <v/>
      </c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</row>
    <row r="439">
      <c r="A439" s="27" t="str">
        <f>IFERROR(__xludf.DUMMYFUNCTION("""COMPUTED_VALUE"""),"")</f>
        <v/>
      </c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</row>
    <row r="440">
      <c r="A440" s="27" t="str">
        <f>IFERROR(__xludf.DUMMYFUNCTION("""COMPUTED_VALUE"""),"")</f>
        <v/>
      </c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</row>
    <row r="441">
      <c r="A441" s="27" t="str">
        <f>IFERROR(__xludf.DUMMYFUNCTION("""COMPUTED_VALUE"""),"")</f>
        <v/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</row>
    <row r="442">
      <c r="A442" s="27" t="str">
        <f>IFERROR(__xludf.DUMMYFUNCTION("""COMPUTED_VALUE"""),"")</f>
        <v/>
      </c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</row>
    <row r="443">
      <c r="A443" s="27" t="str">
        <f>IFERROR(__xludf.DUMMYFUNCTION("""COMPUTED_VALUE"""),"")</f>
        <v/>
      </c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</row>
    <row r="444">
      <c r="A444" s="27" t="str">
        <f>IFERROR(__xludf.DUMMYFUNCTION("""COMPUTED_VALUE"""),"")</f>
        <v/>
      </c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</row>
    <row r="445">
      <c r="A445" s="27" t="str">
        <f>IFERROR(__xludf.DUMMYFUNCTION("""COMPUTED_VALUE"""),"")</f>
        <v/>
      </c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</row>
    <row r="446">
      <c r="A446" s="27" t="str">
        <f>IFERROR(__xludf.DUMMYFUNCTION("""COMPUTED_VALUE"""),"")</f>
        <v/>
      </c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</row>
    <row r="447">
      <c r="A447" s="27" t="str">
        <f>IFERROR(__xludf.DUMMYFUNCTION("""COMPUTED_VALUE"""),"")</f>
        <v/>
      </c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</row>
    <row r="448">
      <c r="A448" s="27" t="str">
        <f>IFERROR(__xludf.DUMMYFUNCTION("""COMPUTED_VALUE"""),"")</f>
        <v/>
      </c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</row>
    <row r="449">
      <c r="A449" s="27" t="str">
        <f>IFERROR(__xludf.DUMMYFUNCTION("""COMPUTED_VALUE"""),"")</f>
        <v/>
      </c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</row>
    <row r="450">
      <c r="A450" s="27" t="str">
        <f>IFERROR(__xludf.DUMMYFUNCTION("""COMPUTED_VALUE"""),"")</f>
        <v/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</row>
    <row r="451">
      <c r="A451" s="27" t="str">
        <f>IFERROR(__xludf.DUMMYFUNCTION("""COMPUTED_VALUE"""),"")</f>
        <v/>
      </c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</row>
    <row r="452">
      <c r="A452" s="27" t="str">
        <f>IFERROR(__xludf.DUMMYFUNCTION("""COMPUTED_VALUE"""),"")</f>
        <v/>
      </c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</row>
    <row r="453">
      <c r="A453" s="27" t="str">
        <f>IFERROR(__xludf.DUMMYFUNCTION("""COMPUTED_VALUE"""),"")</f>
        <v/>
      </c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</row>
    <row r="454">
      <c r="A454" s="27" t="str">
        <f>IFERROR(__xludf.DUMMYFUNCTION("""COMPUTED_VALUE"""),"")</f>
        <v/>
      </c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</row>
    <row r="455">
      <c r="A455" s="27" t="str">
        <f>IFERROR(__xludf.DUMMYFUNCTION("""COMPUTED_VALUE"""),"")</f>
        <v/>
      </c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</row>
    <row r="456">
      <c r="A456" s="27" t="str">
        <f>IFERROR(__xludf.DUMMYFUNCTION("""COMPUTED_VALUE"""),"")</f>
        <v/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</row>
    <row r="457">
      <c r="A457" s="27" t="str">
        <f>IFERROR(__xludf.DUMMYFUNCTION("""COMPUTED_VALUE"""),"")</f>
        <v/>
      </c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</row>
    <row r="458">
      <c r="A458" s="27" t="str">
        <f>IFERROR(__xludf.DUMMYFUNCTION("""COMPUTED_VALUE"""),"")</f>
        <v/>
      </c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</row>
    <row r="459">
      <c r="A459" s="27" t="str">
        <f>IFERROR(__xludf.DUMMYFUNCTION("""COMPUTED_VALUE"""),"")</f>
        <v/>
      </c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</row>
    <row r="460">
      <c r="A460" s="27" t="str">
        <f>IFERROR(__xludf.DUMMYFUNCTION("""COMPUTED_VALUE"""),"")</f>
        <v/>
      </c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</row>
    <row r="461">
      <c r="A461" s="27" t="str">
        <f>IFERROR(__xludf.DUMMYFUNCTION("""COMPUTED_VALUE"""),"")</f>
        <v/>
      </c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</row>
    <row r="462">
      <c r="A462" s="27" t="str">
        <f>IFERROR(__xludf.DUMMYFUNCTION("""COMPUTED_VALUE"""),"")</f>
        <v/>
      </c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</row>
    <row r="463">
      <c r="A463" s="27" t="str">
        <f>IFERROR(__xludf.DUMMYFUNCTION("""COMPUTED_VALUE"""),"")</f>
        <v/>
      </c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</row>
    <row r="464">
      <c r="A464" s="27" t="str">
        <f>IFERROR(__xludf.DUMMYFUNCTION("""COMPUTED_VALUE"""),"")</f>
        <v/>
      </c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</row>
    <row r="465">
      <c r="A465" s="27" t="str">
        <f>IFERROR(__xludf.DUMMYFUNCTION("""COMPUTED_VALUE"""),"")</f>
        <v/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</row>
    <row r="466">
      <c r="A466" s="27" t="str">
        <f>IFERROR(__xludf.DUMMYFUNCTION("""COMPUTED_VALUE"""),"")</f>
        <v/>
      </c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</row>
    <row r="467">
      <c r="A467" s="27" t="str">
        <f>IFERROR(__xludf.DUMMYFUNCTION("""COMPUTED_VALUE"""),"")</f>
        <v/>
      </c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</row>
    <row r="468">
      <c r="A468" s="27" t="str">
        <f>IFERROR(__xludf.DUMMYFUNCTION("""COMPUTED_VALUE"""),"")</f>
        <v/>
      </c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</row>
    <row r="469">
      <c r="A469" s="27" t="str">
        <f>IFERROR(__xludf.DUMMYFUNCTION("""COMPUTED_VALUE"""),"")</f>
        <v/>
      </c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</row>
    <row r="470">
      <c r="A470" s="27" t="str">
        <f>IFERROR(__xludf.DUMMYFUNCTION("""COMPUTED_VALUE"""),"")</f>
        <v/>
      </c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</row>
    <row r="471">
      <c r="A471" s="27" t="str">
        <f>IFERROR(__xludf.DUMMYFUNCTION("""COMPUTED_VALUE"""),"")</f>
        <v/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</row>
    <row r="472">
      <c r="A472" s="27" t="str">
        <f>IFERROR(__xludf.DUMMYFUNCTION("""COMPUTED_VALUE"""),"")</f>
        <v/>
      </c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</row>
    <row r="473">
      <c r="A473" s="27" t="str">
        <f>IFERROR(__xludf.DUMMYFUNCTION("""COMPUTED_VALUE"""),"")</f>
        <v/>
      </c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</row>
    <row r="474">
      <c r="A474" s="27" t="str">
        <f>IFERROR(__xludf.DUMMYFUNCTION("""COMPUTED_VALUE"""),"")</f>
        <v/>
      </c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</row>
    <row r="475">
      <c r="A475" s="27" t="str">
        <f>IFERROR(__xludf.DUMMYFUNCTION("""COMPUTED_VALUE"""),"")</f>
        <v/>
      </c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</row>
    <row r="476">
      <c r="A476" s="27" t="str">
        <f>IFERROR(__xludf.DUMMYFUNCTION("""COMPUTED_VALUE"""),"")</f>
        <v/>
      </c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</row>
    <row r="477">
      <c r="A477" s="27" t="str">
        <f>IFERROR(__xludf.DUMMYFUNCTION("""COMPUTED_VALUE"""),"")</f>
        <v/>
      </c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</row>
    <row r="478">
      <c r="A478" s="27" t="str">
        <f>IFERROR(__xludf.DUMMYFUNCTION("""COMPUTED_VALUE"""),"")</f>
        <v/>
      </c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</row>
    <row r="479">
      <c r="A479" s="27" t="str">
        <f>IFERROR(__xludf.DUMMYFUNCTION("""COMPUTED_VALUE"""),"")</f>
        <v/>
      </c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</row>
    <row r="480">
      <c r="A480" s="27" t="str">
        <f>IFERROR(__xludf.DUMMYFUNCTION("""COMPUTED_VALUE"""),"")</f>
        <v/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</row>
    <row r="481">
      <c r="A481" s="27" t="str">
        <f>IFERROR(__xludf.DUMMYFUNCTION("""COMPUTED_VALUE"""),"")</f>
        <v/>
      </c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</row>
    <row r="482">
      <c r="A482" s="27" t="str">
        <f>IFERROR(__xludf.DUMMYFUNCTION("""COMPUTED_VALUE"""),"")</f>
        <v/>
      </c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</row>
    <row r="483">
      <c r="A483" s="27" t="str">
        <f>IFERROR(__xludf.DUMMYFUNCTION("""COMPUTED_VALUE"""),"")</f>
        <v/>
      </c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</row>
    <row r="484">
      <c r="A484" s="27" t="str">
        <f>IFERROR(__xludf.DUMMYFUNCTION("""COMPUTED_VALUE"""),"")</f>
        <v/>
      </c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</row>
    <row r="485">
      <c r="A485" s="27" t="str">
        <f>IFERROR(__xludf.DUMMYFUNCTION("""COMPUTED_VALUE"""),"")</f>
        <v/>
      </c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</row>
    <row r="486">
      <c r="A486" s="27" t="str">
        <f>IFERROR(__xludf.DUMMYFUNCTION("""COMPUTED_VALUE"""),"")</f>
        <v/>
      </c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</row>
    <row r="487">
      <c r="A487" s="27" t="str">
        <f>IFERROR(__xludf.DUMMYFUNCTION("""COMPUTED_VALUE"""),"")</f>
        <v/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</row>
    <row r="488">
      <c r="A488" s="27" t="str">
        <f>IFERROR(__xludf.DUMMYFUNCTION("""COMPUTED_VALUE"""),"")</f>
        <v/>
      </c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</row>
    <row r="489">
      <c r="A489" s="27" t="str">
        <f>IFERROR(__xludf.DUMMYFUNCTION("""COMPUTED_VALUE"""),"")</f>
        <v/>
      </c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</row>
    <row r="490">
      <c r="A490" s="27" t="str">
        <f>IFERROR(__xludf.DUMMYFUNCTION("""COMPUTED_VALUE"""),"")</f>
        <v/>
      </c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</row>
    <row r="491">
      <c r="A491" s="27" t="str">
        <f>IFERROR(__xludf.DUMMYFUNCTION("""COMPUTED_VALUE"""),"")</f>
        <v/>
      </c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</row>
    <row r="492">
      <c r="A492" s="27" t="str">
        <f>IFERROR(__xludf.DUMMYFUNCTION("""COMPUTED_VALUE"""),"")</f>
        <v/>
      </c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</row>
    <row r="493">
      <c r="A493" s="27" t="str">
        <f>IFERROR(__xludf.DUMMYFUNCTION("""COMPUTED_VALUE"""),"")</f>
        <v/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</row>
    <row r="494">
      <c r="A494" s="27" t="str">
        <f>IFERROR(__xludf.DUMMYFUNCTION("""COMPUTED_VALUE"""),"")</f>
        <v/>
      </c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</row>
    <row r="495">
      <c r="A495" s="27" t="str">
        <f>IFERROR(__xludf.DUMMYFUNCTION("""COMPUTED_VALUE"""),"")</f>
        <v/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</row>
    <row r="496">
      <c r="A496" s="27" t="str">
        <f>IFERROR(__xludf.DUMMYFUNCTION("""COMPUTED_VALUE"""),"")</f>
        <v/>
      </c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</row>
    <row r="497">
      <c r="A497" s="27" t="str">
        <f>IFERROR(__xludf.DUMMYFUNCTION("""COMPUTED_VALUE"""),"")</f>
        <v/>
      </c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</row>
    <row r="498">
      <c r="A498" s="27" t="str">
        <f>IFERROR(__xludf.DUMMYFUNCTION("""COMPUTED_VALUE"""),"")</f>
        <v/>
      </c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</row>
    <row r="499">
      <c r="A499" s="27" t="str">
        <f>IFERROR(__xludf.DUMMYFUNCTION("""COMPUTED_VALUE"""),"")</f>
        <v/>
      </c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</row>
    <row r="500">
      <c r="A500" s="27" t="str">
        <f>IFERROR(__xludf.DUMMYFUNCTION("""COMPUTED_VALUE"""),"")</f>
        <v/>
      </c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</row>
    <row r="501">
      <c r="A501" s="27" t="str">
        <f>IFERROR(__xludf.DUMMYFUNCTION("""COMPUTED_VALUE"""),"")</f>
        <v/>
      </c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</row>
    <row r="502">
      <c r="A502" s="27" t="str">
        <f>IFERROR(__xludf.DUMMYFUNCTION("""COMPUTED_VALUE"""),"")</f>
        <v/>
      </c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</row>
    <row r="503">
      <c r="A503" s="27" t="str">
        <f>IFERROR(__xludf.DUMMYFUNCTION("""COMPUTED_VALUE"""),"")</f>
        <v/>
      </c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</row>
    <row r="504">
      <c r="A504" s="27" t="str">
        <f>IFERROR(__xludf.DUMMYFUNCTION("""COMPUTED_VALUE"""),"")</f>
        <v/>
      </c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</row>
    <row r="505">
      <c r="A505" s="27" t="str">
        <f>IFERROR(__xludf.DUMMYFUNCTION("""COMPUTED_VALUE"""),"")</f>
        <v/>
      </c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</row>
    <row r="506">
      <c r="A506" s="27" t="str">
        <f>IFERROR(__xludf.DUMMYFUNCTION("""COMPUTED_VALUE"""),"")</f>
        <v/>
      </c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</row>
    <row r="507">
      <c r="A507" s="27" t="str">
        <f>IFERROR(__xludf.DUMMYFUNCTION("""COMPUTED_VALUE"""),"")</f>
        <v/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</row>
    <row r="508">
      <c r="A508" s="27" t="str">
        <f>IFERROR(__xludf.DUMMYFUNCTION("""COMPUTED_VALUE"""),"")</f>
        <v/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</row>
    <row r="509">
      <c r="A509" s="27" t="str">
        <f>IFERROR(__xludf.DUMMYFUNCTION("""COMPUTED_VALUE"""),"")</f>
        <v/>
      </c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</row>
    <row r="510">
      <c r="A510" s="27" t="str">
        <f>IFERROR(__xludf.DUMMYFUNCTION("""COMPUTED_VALUE"""),"")</f>
        <v/>
      </c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</row>
    <row r="511">
      <c r="A511" s="27" t="str">
        <f>IFERROR(__xludf.DUMMYFUNCTION("""COMPUTED_VALUE"""),"")</f>
        <v/>
      </c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</row>
    <row r="512">
      <c r="A512" s="27" t="str">
        <f>IFERROR(__xludf.DUMMYFUNCTION("""COMPUTED_VALUE"""),"")</f>
        <v/>
      </c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</row>
    <row r="513">
      <c r="A513" s="27" t="str">
        <f>IFERROR(__xludf.DUMMYFUNCTION("""COMPUTED_VALUE"""),"")</f>
        <v/>
      </c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</row>
    <row r="514">
      <c r="A514" s="27" t="str">
        <f>IFERROR(__xludf.DUMMYFUNCTION("""COMPUTED_VALUE"""),"")</f>
        <v/>
      </c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</row>
    <row r="515">
      <c r="A515" s="27" t="str">
        <f>IFERROR(__xludf.DUMMYFUNCTION("""COMPUTED_VALUE"""),"")</f>
        <v/>
      </c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</row>
    <row r="516">
      <c r="A516" s="27" t="str">
        <f>IFERROR(__xludf.DUMMYFUNCTION("""COMPUTED_VALUE"""),"")</f>
        <v/>
      </c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</row>
    <row r="517">
      <c r="A517" s="27" t="str">
        <f>IFERROR(__xludf.DUMMYFUNCTION("""COMPUTED_VALUE"""),"")</f>
        <v/>
      </c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</row>
    <row r="518">
      <c r="A518" s="27" t="str">
        <f>IFERROR(__xludf.DUMMYFUNCTION("""COMPUTED_VALUE"""),"")</f>
        <v/>
      </c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</row>
    <row r="519">
      <c r="A519" s="27" t="str">
        <f>IFERROR(__xludf.DUMMYFUNCTION("""COMPUTED_VALUE"""),"")</f>
        <v/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</row>
    <row r="520">
      <c r="A520" s="27" t="str">
        <f>IFERROR(__xludf.DUMMYFUNCTION("""COMPUTED_VALUE"""),"")</f>
        <v/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</row>
    <row r="521">
      <c r="A521" s="27" t="str">
        <f>IFERROR(__xludf.DUMMYFUNCTION("""COMPUTED_VALUE"""),"")</f>
        <v/>
      </c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</row>
    <row r="522">
      <c r="A522" s="27" t="str">
        <f>IFERROR(__xludf.DUMMYFUNCTION("""COMPUTED_VALUE"""),"")</f>
        <v/>
      </c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</row>
    <row r="523">
      <c r="A523" s="27" t="str">
        <f>IFERROR(__xludf.DUMMYFUNCTION("""COMPUTED_VALUE"""),"")</f>
        <v/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</row>
    <row r="524">
      <c r="A524" s="27" t="str">
        <f>IFERROR(__xludf.DUMMYFUNCTION("""COMPUTED_VALUE"""),"")</f>
        <v/>
      </c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</row>
    <row r="525">
      <c r="A525" s="27" t="str">
        <f>IFERROR(__xludf.DUMMYFUNCTION("""COMPUTED_VALUE"""),"")</f>
        <v/>
      </c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</row>
    <row r="526">
      <c r="A526" s="27" t="str">
        <f>IFERROR(__xludf.DUMMYFUNCTION("""COMPUTED_VALUE"""),"")</f>
        <v/>
      </c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</row>
    <row r="527">
      <c r="A527" s="27" t="str">
        <f>IFERROR(__xludf.DUMMYFUNCTION("""COMPUTED_VALUE"""),"")</f>
        <v/>
      </c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</row>
    <row r="528">
      <c r="A528" s="27" t="str">
        <f>IFERROR(__xludf.DUMMYFUNCTION("""COMPUTED_VALUE"""),"")</f>
        <v/>
      </c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</row>
    <row r="529">
      <c r="A529" s="27" t="str">
        <f>IFERROR(__xludf.DUMMYFUNCTION("""COMPUTED_VALUE"""),"")</f>
        <v/>
      </c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</row>
    <row r="530">
      <c r="A530" s="27" t="str">
        <f>IFERROR(__xludf.DUMMYFUNCTION("""COMPUTED_VALUE"""),"")</f>
        <v/>
      </c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</row>
    <row r="531">
      <c r="A531" s="27" t="str">
        <f>IFERROR(__xludf.DUMMYFUNCTION("""COMPUTED_VALUE"""),"")</f>
        <v/>
      </c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</row>
    <row r="532">
      <c r="A532" s="27" t="str">
        <f>IFERROR(__xludf.DUMMYFUNCTION("""COMPUTED_VALUE"""),"")</f>
        <v/>
      </c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</row>
    <row r="533">
      <c r="A533" s="27" t="str">
        <f>IFERROR(__xludf.DUMMYFUNCTION("""COMPUTED_VALUE"""),"")</f>
        <v/>
      </c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</row>
    <row r="534">
      <c r="A534" s="27" t="str">
        <f>IFERROR(__xludf.DUMMYFUNCTION("""COMPUTED_VALUE"""),"")</f>
        <v/>
      </c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</row>
    <row r="535">
      <c r="A535" s="27" t="str">
        <f>IFERROR(__xludf.DUMMYFUNCTION("""COMPUTED_VALUE"""),"")</f>
        <v/>
      </c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</row>
    <row r="536">
      <c r="A536" s="27" t="str">
        <f>IFERROR(__xludf.DUMMYFUNCTION("""COMPUTED_VALUE"""),"")</f>
        <v/>
      </c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</row>
    <row r="537">
      <c r="A537" s="27" t="str">
        <f>IFERROR(__xludf.DUMMYFUNCTION("""COMPUTED_VALUE"""),"")</f>
        <v/>
      </c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</row>
    <row r="538">
      <c r="A538" s="27" t="str">
        <f>IFERROR(__xludf.DUMMYFUNCTION("""COMPUTED_VALUE"""),"")</f>
        <v/>
      </c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</row>
    <row r="539">
      <c r="A539" s="27" t="str">
        <f>IFERROR(__xludf.DUMMYFUNCTION("""COMPUTED_VALUE"""),"")</f>
        <v/>
      </c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</row>
    <row r="540">
      <c r="A540" s="27" t="str">
        <f>IFERROR(__xludf.DUMMYFUNCTION("""COMPUTED_VALUE"""),"")</f>
        <v/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</row>
    <row r="541">
      <c r="A541" s="27" t="str">
        <f>IFERROR(__xludf.DUMMYFUNCTION("""COMPUTED_VALUE"""),"")</f>
        <v/>
      </c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</row>
    <row r="542">
      <c r="A542" s="27" t="str">
        <f>IFERROR(__xludf.DUMMYFUNCTION("""COMPUTED_VALUE"""),"")</f>
        <v/>
      </c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</row>
    <row r="543">
      <c r="A543" s="27" t="str">
        <f>IFERROR(__xludf.DUMMYFUNCTION("""COMPUTED_VALUE"""),"")</f>
        <v/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</row>
    <row r="544">
      <c r="A544" s="27" t="str">
        <f>IFERROR(__xludf.DUMMYFUNCTION("""COMPUTED_VALUE"""),"")</f>
        <v/>
      </c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</row>
    <row r="545">
      <c r="A545" s="27" t="str">
        <f>IFERROR(__xludf.DUMMYFUNCTION("""COMPUTED_VALUE"""),"")</f>
        <v/>
      </c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</row>
    <row r="546">
      <c r="A546" s="27" t="str">
        <f>IFERROR(__xludf.DUMMYFUNCTION("""COMPUTED_VALUE"""),"")</f>
        <v/>
      </c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</row>
    <row r="547">
      <c r="A547" s="27" t="str">
        <f>IFERROR(__xludf.DUMMYFUNCTION("""COMPUTED_VALUE"""),"")</f>
        <v/>
      </c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</row>
    <row r="548">
      <c r="A548" s="27" t="str">
        <f>IFERROR(__xludf.DUMMYFUNCTION("""COMPUTED_VALUE"""),"")</f>
        <v/>
      </c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</row>
    <row r="549">
      <c r="A549" s="27" t="str">
        <f>IFERROR(__xludf.DUMMYFUNCTION("""COMPUTED_VALUE"""),"")</f>
        <v/>
      </c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</row>
    <row r="550">
      <c r="A550" s="27" t="str">
        <f>IFERROR(__xludf.DUMMYFUNCTION("""COMPUTED_VALUE"""),"")</f>
        <v/>
      </c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</row>
    <row r="551">
      <c r="A551" s="27" t="str">
        <f>IFERROR(__xludf.DUMMYFUNCTION("""COMPUTED_VALUE"""),"")</f>
        <v/>
      </c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</row>
    <row r="552">
      <c r="A552" s="27" t="str">
        <f>IFERROR(__xludf.DUMMYFUNCTION("""COMPUTED_VALUE"""),"")</f>
        <v/>
      </c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</row>
    <row r="553">
      <c r="A553" s="27" t="str">
        <f>IFERROR(__xludf.DUMMYFUNCTION("""COMPUTED_VALUE"""),"")</f>
        <v/>
      </c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</row>
    <row r="554">
      <c r="A554" s="27" t="str">
        <f>IFERROR(__xludf.DUMMYFUNCTION("""COMPUTED_VALUE"""),"")</f>
        <v/>
      </c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</row>
    <row r="555">
      <c r="A555" s="27" t="str">
        <f>IFERROR(__xludf.DUMMYFUNCTION("""COMPUTED_VALUE"""),"")</f>
        <v/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</row>
    <row r="556">
      <c r="A556" s="27" t="str">
        <f>IFERROR(__xludf.DUMMYFUNCTION("""COMPUTED_VALUE"""),"")</f>
        <v/>
      </c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</row>
    <row r="557">
      <c r="A557" s="27" t="str">
        <f>IFERROR(__xludf.DUMMYFUNCTION("""COMPUTED_VALUE"""),"")</f>
        <v/>
      </c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</row>
    <row r="558">
      <c r="A558" s="27" t="str">
        <f>IFERROR(__xludf.DUMMYFUNCTION("""COMPUTED_VALUE"""),"")</f>
        <v/>
      </c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</row>
    <row r="559">
      <c r="A559" s="27" t="str">
        <f>IFERROR(__xludf.DUMMYFUNCTION("""COMPUTED_VALUE"""),"")</f>
        <v/>
      </c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</row>
    <row r="560">
      <c r="A560" s="27" t="str">
        <f>IFERROR(__xludf.DUMMYFUNCTION("""COMPUTED_VALUE"""),"")</f>
        <v/>
      </c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</row>
    <row r="561">
      <c r="A561" s="27" t="str">
        <f>IFERROR(__xludf.DUMMYFUNCTION("""COMPUTED_VALUE"""),"")</f>
        <v/>
      </c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</row>
    <row r="562">
      <c r="A562" s="27" t="str">
        <f>IFERROR(__xludf.DUMMYFUNCTION("""COMPUTED_VALUE"""),"")</f>
        <v/>
      </c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</row>
    <row r="563">
      <c r="A563" s="27" t="str">
        <f>IFERROR(__xludf.DUMMYFUNCTION("""COMPUTED_VALUE"""),"")</f>
        <v/>
      </c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</row>
    <row r="564">
      <c r="A564" s="27" t="str">
        <f>IFERROR(__xludf.DUMMYFUNCTION("""COMPUTED_VALUE"""),"")</f>
        <v/>
      </c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</row>
    <row r="565">
      <c r="A565" s="27" t="str">
        <f>IFERROR(__xludf.DUMMYFUNCTION("""COMPUTED_VALUE"""),"")</f>
        <v/>
      </c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</row>
    <row r="566">
      <c r="A566" s="27" t="str">
        <f>IFERROR(__xludf.DUMMYFUNCTION("""COMPUTED_VALUE"""),"")</f>
        <v/>
      </c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</row>
    <row r="567">
      <c r="A567" s="27" t="str">
        <f>IFERROR(__xludf.DUMMYFUNCTION("""COMPUTED_VALUE"""),"")</f>
        <v/>
      </c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</row>
    <row r="568">
      <c r="A568" s="27" t="str">
        <f>IFERROR(__xludf.DUMMYFUNCTION("""COMPUTED_VALUE"""),"")</f>
        <v/>
      </c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</row>
    <row r="569">
      <c r="A569" s="27" t="str">
        <f>IFERROR(__xludf.DUMMYFUNCTION("""COMPUTED_VALUE"""),"")</f>
        <v/>
      </c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</row>
    <row r="570">
      <c r="A570" s="27" t="str">
        <f>IFERROR(__xludf.DUMMYFUNCTION("""COMPUTED_VALUE"""),"")</f>
        <v/>
      </c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</row>
    <row r="571">
      <c r="A571" s="27" t="str">
        <f>IFERROR(__xludf.DUMMYFUNCTION("""COMPUTED_VALUE"""),"")</f>
        <v/>
      </c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</row>
    <row r="572">
      <c r="A572" s="27" t="str">
        <f>IFERROR(__xludf.DUMMYFUNCTION("""COMPUTED_VALUE"""),"")</f>
        <v/>
      </c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</row>
    <row r="573">
      <c r="A573" s="27" t="str">
        <f>IFERROR(__xludf.DUMMYFUNCTION("""COMPUTED_VALUE"""),"")</f>
        <v/>
      </c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</row>
    <row r="574">
      <c r="A574" s="27" t="str">
        <f>IFERROR(__xludf.DUMMYFUNCTION("""COMPUTED_VALUE"""),"")</f>
        <v/>
      </c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</row>
    <row r="575">
      <c r="A575" s="27" t="str">
        <f>IFERROR(__xludf.DUMMYFUNCTION("""COMPUTED_VALUE"""),"")</f>
        <v/>
      </c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</row>
    <row r="576">
      <c r="A576" s="27" t="str">
        <f>IFERROR(__xludf.DUMMYFUNCTION("""COMPUTED_VALUE"""),"")</f>
        <v/>
      </c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</row>
    <row r="577">
      <c r="A577" s="27" t="str">
        <f>IFERROR(__xludf.DUMMYFUNCTION("""COMPUTED_VALUE"""),"")</f>
        <v/>
      </c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</row>
    <row r="578">
      <c r="A578" s="27" t="str">
        <f>IFERROR(__xludf.DUMMYFUNCTION("""COMPUTED_VALUE"""),"")</f>
        <v/>
      </c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</row>
    <row r="579">
      <c r="A579" s="27" t="str">
        <f>IFERROR(__xludf.DUMMYFUNCTION("""COMPUTED_VALUE"""),"")</f>
        <v/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</row>
    <row r="580">
      <c r="A580" s="27" t="str">
        <f>IFERROR(__xludf.DUMMYFUNCTION("""COMPUTED_VALUE"""),"")</f>
        <v/>
      </c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</row>
    <row r="581">
      <c r="A581" s="27" t="str">
        <f>IFERROR(__xludf.DUMMYFUNCTION("""COMPUTED_VALUE"""),"")</f>
        <v/>
      </c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</row>
    <row r="582">
      <c r="A582" s="27" t="str">
        <f>IFERROR(__xludf.DUMMYFUNCTION("""COMPUTED_VALUE"""),"")</f>
        <v/>
      </c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</row>
    <row r="583">
      <c r="A583" s="27" t="str">
        <f>IFERROR(__xludf.DUMMYFUNCTION("""COMPUTED_VALUE"""),"")</f>
        <v/>
      </c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</row>
    <row r="584">
      <c r="A584" s="27" t="str">
        <f>IFERROR(__xludf.DUMMYFUNCTION("""COMPUTED_VALUE"""),"")</f>
        <v/>
      </c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</row>
    <row r="585">
      <c r="A585" s="27" t="str">
        <f>IFERROR(__xludf.DUMMYFUNCTION("""COMPUTED_VALUE"""),"")</f>
        <v/>
      </c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</row>
    <row r="586">
      <c r="A586" s="27" t="str">
        <f>IFERROR(__xludf.DUMMYFUNCTION("""COMPUTED_VALUE"""),"")</f>
        <v/>
      </c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</row>
    <row r="587">
      <c r="A587" s="27" t="str">
        <f>IFERROR(__xludf.DUMMYFUNCTION("""COMPUTED_VALUE"""),"")</f>
        <v/>
      </c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</row>
    <row r="588">
      <c r="A588" s="27" t="str">
        <f>IFERROR(__xludf.DUMMYFUNCTION("""COMPUTED_VALUE"""),"")</f>
        <v/>
      </c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</row>
    <row r="589">
      <c r="A589" s="27" t="str">
        <f>IFERROR(__xludf.DUMMYFUNCTION("""COMPUTED_VALUE"""),"")</f>
        <v/>
      </c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</row>
    <row r="590">
      <c r="A590" s="27" t="str">
        <f>IFERROR(__xludf.DUMMYFUNCTION("""COMPUTED_VALUE"""),"")</f>
        <v/>
      </c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</row>
    <row r="591">
      <c r="A591" s="27" t="str">
        <f>IFERROR(__xludf.DUMMYFUNCTION("""COMPUTED_VALUE"""),"")</f>
        <v/>
      </c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</row>
    <row r="592">
      <c r="A592" s="27" t="str">
        <f>IFERROR(__xludf.DUMMYFUNCTION("""COMPUTED_VALUE"""),"")</f>
        <v/>
      </c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</row>
    <row r="593">
      <c r="A593" s="27" t="str">
        <f>IFERROR(__xludf.DUMMYFUNCTION("""COMPUTED_VALUE"""),"")</f>
        <v/>
      </c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</row>
    <row r="594">
      <c r="A594" s="27" t="str">
        <f>IFERROR(__xludf.DUMMYFUNCTION("""COMPUTED_VALUE"""),"")</f>
        <v/>
      </c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</row>
    <row r="595">
      <c r="A595" s="27" t="str">
        <f>IFERROR(__xludf.DUMMYFUNCTION("""COMPUTED_VALUE"""),"")</f>
        <v/>
      </c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</row>
    <row r="596">
      <c r="A596" s="27" t="str">
        <f>IFERROR(__xludf.DUMMYFUNCTION("""COMPUTED_VALUE"""),"")</f>
        <v/>
      </c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</row>
    <row r="597">
      <c r="A597" s="27" t="str">
        <f>IFERROR(__xludf.DUMMYFUNCTION("""COMPUTED_VALUE"""),"")</f>
        <v/>
      </c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</row>
    <row r="598">
      <c r="A598" s="27" t="str">
        <f>IFERROR(__xludf.DUMMYFUNCTION("""COMPUTED_VALUE"""),"")</f>
        <v/>
      </c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</row>
    <row r="599">
      <c r="A599" s="27" t="str">
        <f>IFERROR(__xludf.DUMMYFUNCTION("""COMPUTED_VALUE"""),"")</f>
        <v/>
      </c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</row>
    <row r="600">
      <c r="A600" s="27" t="str">
        <f>IFERROR(__xludf.DUMMYFUNCTION("""COMPUTED_VALUE"""),"")</f>
        <v/>
      </c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</row>
    <row r="601">
      <c r="A601" s="27" t="str">
        <f>IFERROR(__xludf.DUMMYFUNCTION("""COMPUTED_VALUE"""),"")</f>
        <v/>
      </c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</row>
    <row r="602">
      <c r="A602" s="27" t="str">
        <f>IFERROR(__xludf.DUMMYFUNCTION("""COMPUTED_VALUE"""),"")</f>
        <v/>
      </c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</row>
    <row r="603">
      <c r="A603" s="27" t="str">
        <f>IFERROR(__xludf.DUMMYFUNCTION("""COMPUTED_VALUE"""),"")</f>
        <v/>
      </c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</row>
    <row r="604">
      <c r="A604" s="27" t="str">
        <f>IFERROR(__xludf.DUMMYFUNCTION("""COMPUTED_VALUE"""),"")</f>
        <v/>
      </c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</row>
    <row r="605">
      <c r="A605" s="27" t="str">
        <f>IFERROR(__xludf.DUMMYFUNCTION("""COMPUTED_VALUE"""),"")</f>
        <v/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</row>
    <row r="606">
      <c r="A606" s="27" t="str">
        <f>IFERROR(__xludf.DUMMYFUNCTION("""COMPUTED_VALUE"""),"")</f>
        <v/>
      </c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</row>
    <row r="607">
      <c r="A607" s="27" t="str">
        <f>IFERROR(__xludf.DUMMYFUNCTION("""COMPUTED_VALUE"""),"")</f>
        <v/>
      </c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</row>
    <row r="608">
      <c r="A608" s="27" t="str">
        <f>IFERROR(__xludf.DUMMYFUNCTION("""COMPUTED_VALUE"""),"")</f>
        <v/>
      </c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</row>
    <row r="609">
      <c r="A609" s="27" t="str">
        <f>IFERROR(__xludf.DUMMYFUNCTION("""COMPUTED_VALUE"""),"")</f>
        <v/>
      </c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</row>
    <row r="610">
      <c r="A610" s="27" t="str">
        <f>IFERROR(__xludf.DUMMYFUNCTION("""COMPUTED_VALUE"""),"")</f>
        <v/>
      </c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</row>
    <row r="611">
      <c r="A611" s="27" t="str">
        <f>IFERROR(__xludf.DUMMYFUNCTION("""COMPUTED_VALUE"""),"")</f>
        <v/>
      </c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</row>
    <row r="612">
      <c r="A612" s="27" t="str">
        <f>IFERROR(__xludf.DUMMYFUNCTION("""COMPUTED_VALUE"""),"")</f>
        <v/>
      </c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</row>
    <row r="613">
      <c r="A613" s="27" t="str">
        <f>IFERROR(__xludf.DUMMYFUNCTION("""COMPUTED_VALUE"""),"")</f>
        <v/>
      </c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</row>
    <row r="614">
      <c r="A614" s="27" t="str">
        <f>IFERROR(__xludf.DUMMYFUNCTION("""COMPUTED_VALUE"""),"")</f>
        <v/>
      </c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</row>
    <row r="615">
      <c r="A615" s="27" t="str">
        <f>IFERROR(__xludf.DUMMYFUNCTION("""COMPUTED_VALUE"""),"")</f>
        <v/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</row>
    <row r="616">
      <c r="A616" s="27" t="str">
        <f>IFERROR(__xludf.DUMMYFUNCTION("""COMPUTED_VALUE"""),"")</f>
        <v/>
      </c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</row>
    <row r="617">
      <c r="A617" s="27" t="str">
        <f>IFERROR(__xludf.DUMMYFUNCTION("""COMPUTED_VALUE"""),"")</f>
        <v/>
      </c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</row>
    <row r="618">
      <c r="A618" s="27" t="str">
        <f>IFERROR(__xludf.DUMMYFUNCTION("""COMPUTED_VALUE"""),"")</f>
        <v/>
      </c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</row>
    <row r="619">
      <c r="A619" s="27" t="str">
        <f>IFERROR(__xludf.DUMMYFUNCTION("""COMPUTED_VALUE"""),"")</f>
        <v/>
      </c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</row>
    <row r="620">
      <c r="A620" s="27" t="str">
        <f>IFERROR(__xludf.DUMMYFUNCTION("""COMPUTED_VALUE"""),"")</f>
        <v/>
      </c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</row>
    <row r="621">
      <c r="A621" s="27" t="str">
        <f>IFERROR(__xludf.DUMMYFUNCTION("""COMPUTED_VALUE"""),"")</f>
        <v/>
      </c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</row>
    <row r="622">
      <c r="A622" s="27" t="str">
        <f>IFERROR(__xludf.DUMMYFUNCTION("""COMPUTED_VALUE"""),"")</f>
        <v/>
      </c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</row>
    <row r="623">
      <c r="A623" s="27" t="str">
        <f>IFERROR(__xludf.DUMMYFUNCTION("""COMPUTED_VALUE"""),"")</f>
        <v/>
      </c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</row>
    <row r="624">
      <c r="A624" s="27" t="str">
        <f>IFERROR(__xludf.DUMMYFUNCTION("""COMPUTED_VALUE"""),"")</f>
        <v/>
      </c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</row>
    <row r="625">
      <c r="A625" s="27" t="str">
        <f>IFERROR(__xludf.DUMMYFUNCTION("""COMPUTED_VALUE"""),"")</f>
        <v/>
      </c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</row>
    <row r="626">
      <c r="A626" s="27" t="str">
        <f>IFERROR(__xludf.DUMMYFUNCTION("""COMPUTED_VALUE"""),"")</f>
        <v/>
      </c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</row>
    <row r="627">
      <c r="A627" s="27" t="str">
        <f>IFERROR(__xludf.DUMMYFUNCTION("""COMPUTED_VALUE"""),"")</f>
        <v/>
      </c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</row>
    <row r="628">
      <c r="A628" s="27" t="str">
        <f>IFERROR(__xludf.DUMMYFUNCTION("""COMPUTED_VALUE"""),"")</f>
        <v/>
      </c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</row>
    <row r="629">
      <c r="A629" s="27" t="str">
        <f>IFERROR(__xludf.DUMMYFUNCTION("""COMPUTED_VALUE"""),"")</f>
        <v/>
      </c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</row>
    <row r="630">
      <c r="A630" s="27" t="str">
        <f>IFERROR(__xludf.DUMMYFUNCTION("""COMPUTED_VALUE"""),"")</f>
        <v/>
      </c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</row>
    <row r="631">
      <c r="A631" s="27" t="str">
        <f>IFERROR(__xludf.DUMMYFUNCTION("""COMPUTED_VALUE"""),"")</f>
        <v/>
      </c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</row>
    <row r="632">
      <c r="A632" s="27" t="str">
        <f>IFERROR(__xludf.DUMMYFUNCTION("""COMPUTED_VALUE"""),"")</f>
        <v/>
      </c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</row>
    <row r="633">
      <c r="A633" s="27" t="str">
        <f>IFERROR(__xludf.DUMMYFUNCTION("""COMPUTED_VALUE"""),"")</f>
        <v/>
      </c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</row>
    <row r="634">
      <c r="A634" s="27" t="str">
        <f>IFERROR(__xludf.DUMMYFUNCTION("""COMPUTED_VALUE"""),"")</f>
        <v/>
      </c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</row>
    <row r="635">
      <c r="A635" s="27" t="str">
        <f>IFERROR(__xludf.DUMMYFUNCTION("""COMPUTED_VALUE"""),"")</f>
        <v/>
      </c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</row>
    <row r="636">
      <c r="A636" s="27" t="str">
        <f>IFERROR(__xludf.DUMMYFUNCTION("""COMPUTED_VALUE"""),"")</f>
        <v/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</row>
    <row r="637">
      <c r="A637" s="27" t="str">
        <f>IFERROR(__xludf.DUMMYFUNCTION("""COMPUTED_VALUE"""),"")</f>
        <v/>
      </c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</row>
    <row r="638">
      <c r="A638" s="27" t="str">
        <f>IFERROR(__xludf.DUMMYFUNCTION("""COMPUTED_VALUE"""),"")</f>
        <v/>
      </c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</row>
    <row r="639">
      <c r="A639" s="27" t="str">
        <f>IFERROR(__xludf.DUMMYFUNCTION("""COMPUTED_VALUE"""),"")</f>
        <v/>
      </c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</row>
    <row r="640">
      <c r="A640" s="27" t="str">
        <f>IFERROR(__xludf.DUMMYFUNCTION("""COMPUTED_VALUE"""),"")</f>
        <v/>
      </c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</row>
    <row r="641">
      <c r="A641" s="27" t="str">
        <f>IFERROR(__xludf.DUMMYFUNCTION("""COMPUTED_VALUE"""),"")</f>
        <v/>
      </c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</row>
    <row r="642">
      <c r="A642" s="27" t="str">
        <f>IFERROR(__xludf.DUMMYFUNCTION("""COMPUTED_VALUE"""),"")</f>
        <v/>
      </c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</row>
    <row r="643">
      <c r="A643" s="27" t="str">
        <f>IFERROR(__xludf.DUMMYFUNCTION("""COMPUTED_VALUE"""),"")</f>
        <v/>
      </c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</row>
    <row r="644">
      <c r="A644" s="27" t="str">
        <f>IFERROR(__xludf.DUMMYFUNCTION("""COMPUTED_VALUE"""),"")</f>
        <v/>
      </c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</row>
    <row r="645">
      <c r="A645" s="27" t="str">
        <f>IFERROR(__xludf.DUMMYFUNCTION("""COMPUTED_VALUE"""),"")</f>
        <v/>
      </c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</row>
    <row r="646">
      <c r="A646" s="27" t="str">
        <f>IFERROR(__xludf.DUMMYFUNCTION("""COMPUTED_VALUE"""),"")</f>
        <v/>
      </c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</row>
    <row r="647">
      <c r="A647" s="27" t="str">
        <f>IFERROR(__xludf.DUMMYFUNCTION("""COMPUTED_VALUE"""),"")</f>
        <v/>
      </c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</row>
    <row r="648">
      <c r="A648" s="27" t="str">
        <f>IFERROR(__xludf.DUMMYFUNCTION("""COMPUTED_VALUE"""),"")</f>
        <v/>
      </c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</row>
    <row r="649">
      <c r="A649" s="27" t="str">
        <f>IFERROR(__xludf.DUMMYFUNCTION("""COMPUTED_VALUE"""),"")</f>
        <v/>
      </c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</row>
    <row r="650">
      <c r="A650" s="27" t="str">
        <f>IFERROR(__xludf.DUMMYFUNCTION("""COMPUTED_VALUE"""),"")</f>
        <v/>
      </c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</row>
    <row r="651">
      <c r="A651" s="27" t="str">
        <f>IFERROR(__xludf.DUMMYFUNCTION("""COMPUTED_VALUE"""),"")</f>
        <v/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</row>
    <row r="652">
      <c r="A652" s="27" t="str">
        <f>IFERROR(__xludf.DUMMYFUNCTION("""COMPUTED_VALUE"""),"")</f>
        <v/>
      </c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</row>
    <row r="653">
      <c r="A653" s="27" t="str">
        <f>IFERROR(__xludf.DUMMYFUNCTION("""COMPUTED_VALUE"""),"")</f>
        <v/>
      </c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</row>
    <row r="654">
      <c r="A654" s="27" t="str">
        <f>IFERROR(__xludf.DUMMYFUNCTION("""COMPUTED_VALUE"""),"")</f>
        <v/>
      </c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</row>
    <row r="655">
      <c r="A655" s="27" t="str">
        <f>IFERROR(__xludf.DUMMYFUNCTION("""COMPUTED_VALUE"""),"")</f>
        <v/>
      </c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</row>
    <row r="656">
      <c r="A656" s="27" t="str">
        <f>IFERROR(__xludf.DUMMYFUNCTION("""COMPUTED_VALUE"""),"")</f>
        <v/>
      </c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</row>
    <row r="657">
      <c r="A657" s="27" t="str">
        <f>IFERROR(__xludf.DUMMYFUNCTION("""COMPUTED_VALUE"""),"")</f>
        <v/>
      </c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</row>
    <row r="658">
      <c r="A658" s="27" t="str">
        <f>IFERROR(__xludf.DUMMYFUNCTION("""COMPUTED_VALUE"""),"")</f>
        <v/>
      </c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</row>
    <row r="659">
      <c r="A659" s="27" t="str">
        <f>IFERROR(__xludf.DUMMYFUNCTION("""COMPUTED_VALUE"""),"")</f>
        <v/>
      </c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</row>
    <row r="660">
      <c r="A660" s="27" t="str">
        <f>IFERROR(__xludf.DUMMYFUNCTION("""COMPUTED_VALUE"""),"")</f>
        <v/>
      </c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</row>
    <row r="661">
      <c r="A661" s="27" t="str">
        <f>IFERROR(__xludf.DUMMYFUNCTION("""COMPUTED_VALUE"""),"")</f>
        <v/>
      </c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</row>
    <row r="662">
      <c r="A662" s="27" t="str">
        <f>IFERROR(__xludf.DUMMYFUNCTION("""COMPUTED_VALUE"""),"")</f>
        <v/>
      </c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</row>
    <row r="663">
      <c r="A663" s="27" t="str">
        <f>IFERROR(__xludf.DUMMYFUNCTION("""COMPUTED_VALUE"""),"")</f>
        <v/>
      </c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</row>
    <row r="664">
      <c r="A664" s="27" t="str">
        <f>IFERROR(__xludf.DUMMYFUNCTION("""COMPUTED_VALUE"""),"")</f>
        <v/>
      </c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</row>
    <row r="665">
      <c r="A665" s="27" t="str">
        <f>IFERROR(__xludf.DUMMYFUNCTION("""COMPUTED_VALUE"""),"")</f>
        <v/>
      </c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</row>
    <row r="666">
      <c r="A666" s="27" t="str">
        <f>IFERROR(__xludf.DUMMYFUNCTION("""COMPUTED_VALUE"""),"")</f>
        <v/>
      </c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</row>
    <row r="667">
      <c r="A667" s="27" t="str">
        <f>IFERROR(__xludf.DUMMYFUNCTION("""COMPUTED_VALUE"""),"")</f>
        <v/>
      </c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</row>
    <row r="668">
      <c r="A668" s="27" t="str">
        <f>IFERROR(__xludf.DUMMYFUNCTION("""COMPUTED_VALUE"""),"")</f>
        <v/>
      </c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</row>
    <row r="669">
      <c r="A669" s="27" t="str">
        <f>IFERROR(__xludf.DUMMYFUNCTION("""COMPUTED_VALUE"""),"")</f>
        <v/>
      </c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</row>
    <row r="670">
      <c r="A670" s="27" t="str">
        <f>IFERROR(__xludf.DUMMYFUNCTION("""COMPUTED_VALUE"""),"")</f>
        <v/>
      </c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</row>
    <row r="671">
      <c r="A671" s="27" t="str">
        <f>IFERROR(__xludf.DUMMYFUNCTION("""COMPUTED_VALUE"""),"")</f>
        <v/>
      </c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</row>
    <row r="672">
      <c r="A672" s="27" t="str">
        <f>IFERROR(__xludf.DUMMYFUNCTION("""COMPUTED_VALUE"""),"")</f>
        <v/>
      </c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</row>
    <row r="673">
      <c r="A673" s="27" t="str">
        <f>IFERROR(__xludf.DUMMYFUNCTION("""COMPUTED_VALUE"""),"")</f>
        <v/>
      </c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</row>
    <row r="674">
      <c r="A674" s="27" t="str">
        <f>IFERROR(__xludf.DUMMYFUNCTION("""COMPUTED_VALUE"""),"")</f>
        <v/>
      </c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</row>
    <row r="675">
      <c r="A675" s="27" t="str">
        <f>IFERROR(__xludf.DUMMYFUNCTION("""COMPUTED_VALUE"""),"")</f>
        <v/>
      </c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</row>
    <row r="676">
      <c r="A676" s="27" t="str">
        <f>IFERROR(__xludf.DUMMYFUNCTION("""COMPUTED_VALUE"""),"")</f>
        <v/>
      </c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</row>
    <row r="677">
      <c r="A677" s="27" t="str">
        <f>IFERROR(__xludf.DUMMYFUNCTION("""COMPUTED_VALUE"""),"")</f>
        <v/>
      </c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</row>
    <row r="678">
      <c r="A678" s="27" t="str">
        <f>IFERROR(__xludf.DUMMYFUNCTION("""COMPUTED_VALUE"""),"")</f>
        <v/>
      </c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</row>
    <row r="679">
      <c r="A679" s="27" t="str">
        <f>IFERROR(__xludf.DUMMYFUNCTION("""COMPUTED_VALUE"""),"")</f>
        <v/>
      </c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</row>
    <row r="680">
      <c r="A680" s="27" t="str">
        <f>IFERROR(__xludf.DUMMYFUNCTION("""COMPUTED_VALUE"""),"")</f>
        <v/>
      </c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</row>
    <row r="681">
      <c r="A681" s="27" t="str">
        <f>IFERROR(__xludf.DUMMYFUNCTION("""COMPUTED_VALUE"""),"")</f>
        <v/>
      </c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</row>
    <row r="682">
      <c r="A682" s="27" t="str">
        <f>IFERROR(__xludf.DUMMYFUNCTION("""COMPUTED_VALUE"""),"")</f>
        <v/>
      </c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</row>
    <row r="683">
      <c r="A683" s="27" t="str">
        <f>IFERROR(__xludf.DUMMYFUNCTION("""COMPUTED_VALUE"""),"")</f>
        <v/>
      </c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</row>
    <row r="684">
      <c r="A684" s="27" t="str">
        <f>IFERROR(__xludf.DUMMYFUNCTION("""COMPUTED_VALUE"""),"")</f>
        <v/>
      </c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</row>
    <row r="685">
      <c r="A685" s="27" t="str">
        <f>IFERROR(__xludf.DUMMYFUNCTION("""COMPUTED_VALUE"""),"")</f>
        <v/>
      </c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</row>
    <row r="686">
      <c r="A686" s="27" t="str">
        <f>IFERROR(__xludf.DUMMYFUNCTION("""COMPUTED_VALUE"""),"")</f>
        <v/>
      </c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</row>
    <row r="687">
      <c r="A687" s="27" t="str">
        <f>IFERROR(__xludf.DUMMYFUNCTION("""COMPUTED_VALUE"""),"")</f>
        <v/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</row>
    <row r="688">
      <c r="A688" s="27" t="str">
        <f>IFERROR(__xludf.DUMMYFUNCTION("""COMPUTED_VALUE"""),"")</f>
        <v/>
      </c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</row>
    <row r="689">
      <c r="A689" s="27" t="str">
        <f>IFERROR(__xludf.DUMMYFUNCTION("""COMPUTED_VALUE"""),"")</f>
        <v/>
      </c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</row>
    <row r="690">
      <c r="A690" s="27" t="str">
        <f>IFERROR(__xludf.DUMMYFUNCTION("""COMPUTED_VALUE"""),"")</f>
        <v/>
      </c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</row>
    <row r="691">
      <c r="A691" s="27" t="str">
        <f>IFERROR(__xludf.DUMMYFUNCTION("""COMPUTED_VALUE"""),"")</f>
        <v/>
      </c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</row>
    <row r="692">
      <c r="A692" s="27" t="str">
        <f>IFERROR(__xludf.DUMMYFUNCTION("""COMPUTED_VALUE"""),"")</f>
        <v/>
      </c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</row>
    <row r="693">
      <c r="A693" s="27" t="str">
        <f>IFERROR(__xludf.DUMMYFUNCTION("""COMPUTED_VALUE"""),"")</f>
        <v/>
      </c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</row>
    <row r="694">
      <c r="A694" s="27" t="str">
        <f>IFERROR(__xludf.DUMMYFUNCTION("""COMPUTED_VALUE"""),"")</f>
        <v/>
      </c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</row>
    <row r="695">
      <c r="A695" s="27" t="str">
        <f>IFERROR(__xludf.DUMMYFUNCTION("""COMPUTED_VALUE"""),"")</f>
        <v/>
      </c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</row>
    <row r="696">
      <c r="A696" s="27" t="str">
        <f>IFERROR(__xludf.DUMMYFUNCTION("""COMPUTED_VALUE"""),"")</f>
        <v/>
      </c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</row>
    <row r="697">
      <c r="A697" s="27" t="str">
        <f>IFERROR(__xludf.DUMMYFUNCTION("""COMPUTED_VALUE"""),"")</f>
        <v/>
      </c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</row>
    <row r="698">
      <c r="A698" s="27" t="str">
        <f>IFERROR(__xludf.DUMMYFUNCTION("""COMPUTED_VALUE"""),"")</f>
        <v/>
      </c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</row>
    <row r="699">
      <c r="A699" s="27" t="str">
        <f>IFERROR(__xludf.DUMMYFUNCTION("""COMPUTED_VALUE"""),"")</f>
        <v/>
      </c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</row>
    <row r="700">
      <c r="A700" s="27" t="str">
        <f>IFERROR(__xludf.DUMMYFUNCTION("""COMPUTED_VALUE"""),"")</f>
        <v/>
      </c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</row>
    <row r="701">
      <c r="A701" s="27" t="str">
        <f>IFERROR(__xludf.DUMMYFUNCTION("""COMPUTED_VALUE"""),"")</f>
        <v/>
      </c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</row>
    <row r="702">
      <c r="A702" s="27" t="str">
        <f>IFERROR(__xludf.DUMMYFUNCTION("""COMPUTED_VALUE"""),"")</f>
        <v/>
      </c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</row>
    <row r="703">
      <c r="A703" s="27" t="str">
        <f>IFERROR(__xludf.DUMMYFUNCTION("""COMPUTED_VALUE"""),"")</f>
        <v/>
      </c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</row>
    <row r="704">
      <c r="A704" s="27" t="str">
        <f>IFERROR(__xludf.DUMMYFUNCTION("""COMPUTED_VALUE"""),"")</f>
        <v/>
      </c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</row>
    <row r="705">
      <c r="A705" s="27" t="str">
        <f>IFERROR(__xludf.DUMMYFUNCTION("""COMPUTED_VALUE"""),"")</f>
        <v/>
      </c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</row>
    <row r="706">
      <c r="A706" s="27" t="str">
        <f>IFERROR(__xludf.DUMMYFUNCTION("""COMPUTED_VALUE"""),"")</f>
        <v/>
      </c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</row>
    <row r="707">
      <c r="A707" s="27" t="str">
        <f>IFERROR(__xludf.DUMMYFUNCTION("""COMPUTED_VALUE"""),"")</f>
        <v/>
      </c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</row>
    <row r="708">
      <c r="A708" s="27" t="str">
        <f>IFERROR(__xludf.DUMMYFUNCTION("""COMPUTED_VALUE"""),"")</f>
        <v/>
      </c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</row>
    <row r="709">
      <c r="A709" s="27" t="str">
        <f>IFERROR(__xludf.DUMMYFUNCTION("""COMPUTED_VALUE"""),"")</f>
        <v/>
      </c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</row>
    <row r="710">
      <c r="A710" s="27" t="str">
        <f>IFERROR(__xludf.DUMMYFUNCTION("""COMPUTED_VALUE"""),"")</f>
        <v/>
      </c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</row>
    <row r="711">
      <c r="A711" s="27" t="str">
        <f>IFERROR(__xludf.DUMMYFUNCTION("""COMPUTED_VALUE"""),"")</f>
        <v/>
      </c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</row>
    <row r="712">
      <c r="A712" s="27" t="str">
        <f>IFERROR(__xludf.DUMMYFUNCTION("""COMPUTED_VALUE"""),"")</f>
        <v/>
      </c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</row>
    <row r="713">
      <c r="A713" s="27" t="str">
        <f>IFERROR(__xludf.DUMMYFUNCTION("""COMPUTED_VALUE"""),"")</f>
        <v/>
      </c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</row>
    <row r="714">
      <c r="A714" s="27" t="str">
        <f>IFERROR(__xludf.DUMMYFUNCTION("""COMPUTED_VALUE"""),"")</f>
        <v/>
      </c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</row>
    <row r="715">
      <c r="A715" s="27" t="str">
        <f>IFERROR(__xludf.DUMMYFUNCTION("""COMPUTED_VALUE"""),"")</f>
        <v/>
      </c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</row>
    <row r="716">
      <c r="A716" s="27" t="str">
        <f>IFERROR(__xludf.DUMMYFUNCTION("""COMPUTED_VALUE"""),"")</f>
        <v/>
      </c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</row>
    <row r="717">
      <c r="A717" s="27" t="str">
        <f>IFERROR(__xludf.DUMMYFUNCTION("""COMPUTED_VALUE"""),"")</f>
        <v/>
      </c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</row>
    <row r="718">
      <c r="A718" s="27" t="str">
        <f>IFERROR(__xludf.DUMMYFUNCTION("""COMPUTED_VALUE"""),"")</f>
        <v/>
      </c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</row>
    <row r="719">
      <c r="A719" s="27" t="str">
        <f>IFERROR(__xludf.DUMMYFUNCTION("""COMPUTED_VALUE"""),"")</f>
        <v/>
      </c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</row>
    <row r="720">
      <c r="A720" s="27" t="str">
        <f>IFERROR(__xludf.DUMMYFUNCTION("""COMPUTED_VALUE"""),"")</f>
        <v/>
      </c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</row>
    <row r="721">
      <c r="A721" s="27" t="str">
        <f>IFERROR(__xludf.DUMMYFUNCTION("""COMPUTED_VALUE"""),"")</f>
        <v/>
      </c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</row>
    <row r="722">
      <c r="A722" s="27" t="str">
        <f>IFERROR(__xludf.DUMMYFUNCTION("""COMPUTED_VALUE"""),"")</f>
        <v/>
      </c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</row>
    <row r="723">
      <c r="A723" s="27" t="str">
        <f>IFERROR(__xludf.DUMMYFUNCTION("""COMPUTED_VALUE"""),"")</f>
        <v/>
      </c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</row>
    <row r="724">
      <c r="A724" s="27" t="str">
        <f>IFERROR(__xludf.DUMMYFUNCTION("""COMPUTED_VALUE"""),"")</f>
        <v/>
      </c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</row>
    <row r="725">
      <c r="A725" s="27" t="str">
        <f>IFERROR(__xludf.DUMMYFUNCTION("""COMPUTED_VALUE"""),"")</f>
        <v/>
      </c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</row>
    <row r="726">
      <c r="A726" s="27" t="str">
        <f>IFERROR(__xludf.DUMMYFUNCTION("""COMPUTED_VALUE"""),"")</f>
        <v/>
      </c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</row>
    <row r="727">
      <c r="A727" s="27" t="str">
        <f>IFERROR(__xludf.DUMMYFUNCTION("""COMPUTED_VALUE"""),"")</f>
        <v/>
      </c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</row>
    <row r="728">
      <c r="A728" s="27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</row>
    <row r="729">
      <c r="A729" s="27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</row>
    <row r="730">
      <c r="A730" s="27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</row>
    <row r="731">
      <c r="A731" s="2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</row>
    <row r="732">
      <c r="A732" s="27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</row>
    <row r="733">
      <c r="A733" s="27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</row>
    <row r="734">
      <c r="A734" s="27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</row>
    <row r="735">
      <c r="A735" s="27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</row>
    <row r="736">
      <c r="A736" s="27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</row>
    <row r="737">
      <c r="A737" s="27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</row>
    <row r="738">
      <c r="A738" s="27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</row>
    <row r="739">
      <c r="A739" s="27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</row>
    <row r="740">
      <c r="A740" s="27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</row>
    <row r="741">
      <c r="A741" s="27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</row>
    <row r="742">
      <c r="A742" s="27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</row>
    <row r="743">
      <c r="A743" s="27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</row>
    <row r="744">
      <c r="A744" s="27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</row>
    <row r="745">
      <c r="A745" s="27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</row>
    <row r="746">
      <c r="A746" s="27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</row>
    <row r="747">
      <c r="A747" s="27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</row>
    <row r="748">
      <c r="A748" s="27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</row>
    <row r="749">
      <c r="A749" s="27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38.75"/>
    <col customWidth="1" min="3" max="3" width="10.38"/>
    <col customWidth="1" min="4" max="4" width="8.38"/>
    <col customWidth="1" min="5" max="5" width="7.25"/>
    <col customWidth="1" min="6" max="6" width="8.38"/>
    <col customWidth="1" min="7" max="7" width="13.5"/>
    <col customWidth="1" min="8" max="8" width="28.13"/>
    <col customWidth="1" min="9" max="9" width="27.5"/>
    <col customWidth="1" min="10" max="10" width="87.0"/>
    <col customWidth="1" min="11" max="11" width="14.0"/>
    <col customWidth="1" min="12" max="12" width="10.5"/>
    <col customWidth="1" min="13" max="13" width="8.5"/>
    <col customWidth="1" min="14" max="14" width="14.13"/>
    <col customWidth="1" min="15" max="15" width="9.38"/>
    <col customWidth="1" min="16" max="16" width="6.75"/>
    <col customWidth="1" min="17" max="17" width="3.75"/>
    <col customWidth="1" min="18" max="18" width="38.63"/>
    <col customWidth="1" min="19" max="19" width="25.13"/>
    <col customWidth="1" min="20" max="20" width="14.25"/>
    <col customWidth="1" min="21" max="80" width="6.38"/>
  </cols>
  <sheetData>
    <row r="1" ht="54.75" customHeight="1">
      <c r="A1" s="25" t="str">
        <f>IFERROR(__xludf.DUMMYFUNCTION("IMPORTRANGE(""144uclHCnoFWIUrORn8W5m9Ssp3_S-TobeXjaa8Juyx0/edit?gid=651441010#gid=651441010"",""A!A1:O1000"")"),"NO")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IFERROR(__xludf.DUMMYFUNCTION("""COMPUTED_VALUE"""),"ASRAMA")</f>
        <v>ASRAMA</v>
      </c>
      <c r="E1" s="25" t="str">
        <f>IFERROR(__xludf.DUMMYFUNCTION("""COMPUTED_VALUE"""),"KAMAR")</f>
        <v>KAMAR</v>
      </c>
      <c r="F1" s="25" t="str">
        <f>IFERROR(__xludf.DUMMYFUNCTION("""COMPUTED_VALUE"""),"TINGKAT")</f>
        <v>TINGKAT</v>
      </c>
      <c r="G1" s="25" t="str">
        <f>IFERROR(__xludf.DUMMYFUNCTION("""COMPUTED_VALUE"""),"MADRASIAH")</f>
        <v>MADRASIAH</v>
      </c>
      <c r="H1" s="25" t="str">
        <f>IFERROR(__xludf.DUMMYFUNCTION("""COMPUTED_VALUE"""),"SEKOLAH")</f>
        <v>SEKOLAH</v>
      </c>
      <c r="I1" s="25" t="str">
        <f>IFERROR(__xludf.DUMMYFUNCTION("""COMPUTED_VALUE"""),"IBU")</f>
        <v>IBU</v>
      </c>
      <c r="J1" s="25" t="str">
        <f>IFERROR(__xludf.DUMMYFUNCTION("""COMPUTED_VALUE"""),"ALAMAT")</f>
        <v>ALAMAT</v>
      </c>
      <c r="K1" s="25" t="str">
        <f>IFERROR(__xludf.DUMMYFUNCTION("""COMPUTED_VALUE"""),"WA")</f>
        <v>WA</v>
      </c>
      <c r="L1" s="25" t="str">
        <f>IFERROR(__xludf.DUMMYFUNCTION("""COMPUTED_VALUE"""),"JUMLAH SYAHRIYAH")</f>
        <v>JUMLAH SYAHRIYAH</v>
      </c>
      <c r="M1" s="25" t="str">
        <f>IFERROR(__xludf.DUMMYFUNCTION("""COMPUTED_VALUE"""),"JUMLAH JARIYAH")</f>
        <v>JUMLAH JARIYAH</v>
      </c>
      <c r="N1" s="25" t="str">
        <f>IFERROR(__xludf.DUMMYFUNCTION("""COMPUTED_VALUE"""),"JUMLAH DAFTAR ULANG")</f>
        <v>JUMLAH DAFTAR ULANG</v>
      </c>
      <c r="O1" s="25" t="str">
        <f>IFERROR(__xludf.DUMMYFUNCTION("""COMPUTED_VALUE"""),"JUMLAH TOTAL TUNGGAKAN")</f>
        <v>JUMLAH TOTAL TUNGGAKAN</v>
      </c>
      <c r="P1" s="30"/>
      <c r="Q1" s="30"/>
      <c r="R1" s="30"/>
      <c r="S1" s="30"/>
      <c r="T1" s="30"/>
      <c r="U1" s="30"/>
      <c r="V1" s="30"/>
      <c r="W1" s="30"/>
      <c r="X1" s="30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</row>
    <row r="2">
      <c r="A2" s="27">
        <f>IFERROR(__xludf.DUMMYFUNCTION("""COMPUTED_VALUE"""),1.0)</f>
        <v>1</v>
      </c>
      <c r="B2" s="28" t="str">
        <f>IFERROR(__xludf.DUMMYFUNCTION("""COMPUTED_VALUE"""),"ABDUL AZIZ")</f>
        <v>ABDUL AZIZ</v>
      </c>
      <c r="C2" s="28">
        <f>IFERROR(__xludf.DUMMYFUNCTION("""COMPUTED_VALUE"""),2.025070596E9)</f>
        <v>2025070596</v>
      </c>
      <c r="D2" s="27" t="str">
        <f>IFERROR(__xludf.DUMMYFUNCTION("""COMPUTED_VALUE"""),"A")</f>
        <v>A</v>
      </c>
      <c r="E2" s="27" t="str">
        <f>IFERROR(__xludf.DUMMYFUNCTION("""COMPUTED_VALUE"""),"A-1")</f>
        <v>A-1</v>
      </c>
      <c r="F2" s="31">
        <f>IFERROR(__xludf.DUMMYFUNCTION("""COMPUTED_VALUE"""),2.0)</f>
        <v>2</v>
      </c>
      <c r="G2" s="27" t="str">
        <f>IFERROR(__xludf.DUMMYFUNCTION("""COMPUTED_VALUE"""),"2 ULA A PUTRA")</f>
        <v>2 ULA A PUTRA</v>
      </c>
      <c r="H2" s="28" t="str">
        <f>IFERROR(__xludf.DUMMYFUNCTION("""COMPUTED_VALUE"""),"MTS-8 C")</f>
        <v>MTS-8 C</v>
      </c>
      <c r="I2" s="28" t="str">
        <f>IFERROR(__xludf.DUMMYFUNCTION("""COMPUTED_VALUE"""),"MAHWIYAH")</f>
        <v>MAHWIYAH</v>
      </c>
      <c r="J2" s="28" t="str">
        <f>IFERROR(__xludf.DUMMYFUNCTION("""COMPUTED_VALUE"""),"KALIREJO RT 003 RW 002 DUKUN GRESIK")</f>
        <v>KALIREJO RT 003 RW 002 DUKUN GRESIK</v>
      </c>
      <c r="K2" s="28" t="str">
        <f>IFERROR(__xludf.DUMMYFUNCTION("""COMPUTED_VALUE"""),"6285784330109")</f>
        <v>6285784330109</v>
      </c>
      <c r="L2" s="22">
        <f>IFERROR(__xludf.DUMMYFUNCTION("""COMPUTED_VALUE"""),0.0)</f>
        <v>0</v>
      </c>
      <c r="M2" s="22">
        <f>IFERROR(__xludf.DUMMYFUNCTION("""COMPUTED_VALUE"""),500000.0)</f>
        <v>500000</v>
      </c>
      <c r="N2" s="22">
        <f>IFERROR(__xludf.DUMMYFUNCTION("""COMPUTED_VALUE"""),0.0)</f>
        <v>0</v>
      </c>
      <c r="O2" s="22">
        <f>IFERROR(__xludf.DUMMYFUNCTION("""COMPUTED_VALUE"""),500000.0)</f>
        <v>500000</v>
      </c>
      <c r="P2" s="28" t="str">
        <f t="shared" ref="P2:P334" si="1">IF(N2=0,"LUNAS","BELUM")</f>
        <v>LUNAS</v>
      </c>
      <c r="Q2" s="28">
        <f t="shared" ref="Q2:Q334" si="2">_xlfn.RANK.EQ(O2,$O$2:$O$389,0)+COUNTIF($O$2:O2,O2)-1</f>
        <v>115</v>
      </c>
      <c r="R2" s="28" t="str">
        <f t="shared" ref="R2:R348" si="3">B2</f>
        <v>ABDUL AZIZ</v>
      </c>
      <c r="S2" s="28">
        <f>COUNTA(B2:B450)</f>
        <v>219</v>
      </c>
      <c r="T2" s="32" t="s">
        <v>16</v>
      </c>
    </row>
    <row r="3">
      <c r="A3" s="27">
        <f>IFERROR(__xludf.DUMMYFUNCTION("""COMPUTED_VALUE"""),2.0)</f>
        <v>2</v>
      </c>
      <c r="B3" s="28" t="str">
        <f>IFERROR(__xludf.DUMMYFUNCTION("""COMPUTED_VALUE"""),"ABI DZAR AL GHIFARI")</f>
        <v>ABI DZAR AL GHIFARI</v>
      </c>
      <c r="C3" s="28">
        <f>IFERROR(__xludf.DUMMYFUNCTION("""COMPUTED_VALUE"""),2.025070493E9)</f>
        <v>2025070493</v>
      </c>
      <c r="D3" s="27" t="str">
        <f>IFERROR(__xludf.DUMMYFUNCTION("""COMPUTED_VALUE"""),"A")</f>
        <v>A</v>
      </c>
      <c r="E3" s="27" t="str">
        <f>IFERROR(__xludf.DUMMYFUNCTION("""COMPUTED_VALUE"""),"A-1")</f>
        <v>A-1</v>
      </c>
      <c r="F3" s="31">
        <f>IFERROR(__xludf.DUMMYFUNCTION("""COMPUTED_VALUE"""),2.0)</f>
        <v>2</v>
      </c>
      <c r="G3" s="27" t="str">
        <f>IFERROR(__xludf.DUMMYFUNCTION("""COMPUTED_VALUE"""),"2 ULA A PUTRA")</f>
        <v>2 ULA A PUTRA</v>
      </c>
      <c r="H3" s="28" t="str">
        <f>IFERROR(__xludf.DUMMYFUNCTION("""COMPUTED_VALUE"""),"SMP-VIII C")</f>
        <v>SMP-VIII C</v>
      </c>
      <c r="I3" s="28" t="str">
        <f>IFERROR(__xludf.DUMMYFUNCTION("""COMPUTED_VALUE"""),"SITI WAHYUNI")</f>
        <v>SITI WAHYUNI</v>
      </c>
      <c r="J3" s="28" t="str">
        <f>IFERROR(__xludf.DUMMYFUNCTION("""COMPUTED_VALUE"""),"GLUMO JELAKCATUR RT 001 RW 005 KALITENGAH LAMONGAN")</f>
        <v>GLUMO JELAKCATUR RT 001 RW 005 KALITENGAH LAMONGAN</v>
      </c>
      <c r="K3" s="28" t="str">
        <f>IFERROR(__xludf.DUMMYFUNCTION("""COMPUTED_VALUE"""),"6285855722817")</f>
        <v>6285855722817</v>
      </c>
      <c r="L3" s="22">
        <f>IFERROR(__xludf.DUMMYFUNCTION("""COMPUTED_VALUE"""),4500000.0)</f>
        <v>4500000</v>
      </c>
      <c r="M3" s="22">
        <f>IFERROR(__xludf.DUMMYFUNCTION("""COMPUTED_VALUE"""),1600000.0)</f>
        <v>1600000</v>
      </c>
      <c r="N3" s="22">
        <f>IFERROR(__xludf.DUMMYFUNCTION("""COMPUTED_VALUE"""),0.0)</f>
        <v>0</v>
      </c>
      <c r="O3" s="22">
        <f>IFERROR(__xludf.DUMMYFUNCTION("""COMPUTED_VALUE"""),6100000.0)</f>
        <v>6100000</v>
      </c>
      <c r="P3" s="28" t="str">
        <f t="shared" si="1"/>
        <v>LUNAS</v>
      </c>
      <c r="Q3" s="28">
        <f t="shared" si="2"/>
        <v>3</v>
      </c>
      <c r="R3" s="28" t="str">
        <f t="shared" si="3"/>
        <v>ABI DZAR AL GHIFARI</v>
      </c>
      <c r="S3" s="28">
        <f>COUNTIF(F:F,1)</f>
        <v>0</v>
      </c>
      <c r="T3" s="32" t="s">
        <v>17</v>
      </c>
    </row>
    <row r="4">
      <c r="A4" s="27">
        <f>IFERROR(__xludf.DUMMYFUNCTION("""COMPUTED_VALUE"""),3.0)</f>
        <v>3</v>
      </c>
      <c r="B4" s="28" t="str">
        <f>IFERROR(__xludf.DUMMYFUNCTION("""COMPUTED_VALUE"""),"ADI FAJAR MUAYYAD")</f>
        <v>ADI FAJAR MUAYYAD</v>
      </c>
      <c r="C4" s="28">
        <f>IFERROR(__xludf.DUMMYFUNCTION("""COMPUTED_VALUE"""),2.025070642E9)</f>
        <v>2025070642</v>
      </c>
      <c r="D4" s="27" t="str">
        <f>IFERROR(__xludf.DUMMYFUNCTION("""COMPUTED_VALUE"""),"A")</f>
        <v>A</v>
      </c>
      <c r="E4" s="27" t="str">
        <f>IFERROR(__xludf.DUMMYFUNCTION("""COMPUTED_VALUE"""),"A-1")</f>
        <v>A-1</v>
      </c>
      <c r="F4" s="31">
        <f>IFERROR(__xludf.DUMMYFUNCTION("""COMPUTED_VALUE"""),2.0)</f>
        <v>2</v>
      </c>
      <c r="G4" s="27" t="str">
        <f>IFERROR(__xludf.DUMMYFUNCTION("""COMPUTED_VALUE"""),"2 ULA A PUTRA")</f>
        <v>2 ULA A PUTRA</v>
      </c>
      <c r="H4" s="28" t="str">
        <f>IFERROR(__xludf.DUMMYFUNCTION("""COMPUTED_VALUE"""),"MTS-8 B")</f>
        <v>MTS-8 B</v>
      </c>
      <c r="I4" s="28" t="str">
        <f>IFERROR(__xludf.DUMMYFUNCTION("""COMPUTED_VALUE"""),"UMMUL HASANAH")</f>
        <v>UMMUL HASANAH</v>
      </c>
      <c r="J4" s="28" t="str">
        <f>IFERROR(__xludf.DUMMYFUNCTION("""COMPUTED_VALUE"""),"KARANGTAWAR RT 002 RW 001 LAREN LAMONGAN")</f>
        <v>KARANGTAWAR RT 002 RW 001 LAREN LAMONGAN</v>
      </c>
      <c r="K4" s="28" t="str">
        <f>IFERROR(__xludf.DUMMYFUNCTION("""COMPUTED_VALUE"""),"6285739097145")</f>
        <v>6285739097145</v>
      </c>
      <c r="L4" s="22">
        <f>IFERROR(__xludf.DUMMYFUNCTION("""COMPUTED_VALUE"""),0.0)</f>
        <v>0</v>
      </c>
      <c r="M4" s="22">
        <f>IFERROR(__xludf.DUMMYFUNCTION("""COMPUTED_VALUE"""),0.0)</f>
        <v>0</v>
      </c>
      <c r="N4" s="22">
        <f>IFERROR(__xludf.DUMMYFUNCTION("""COMPUTED_VALUE"""),0.0)</f>
        <v>0</v>
      </c>
      <c r="O4" s="22">
        <f>IFERROR(__xludf.DUMMYFUNCTION("""COMPUTED_VALUE"""),0.0)</f>
        <v>0</v>
      </c>
      <c r="P4" s="28" t="str">
        <f t="shared" si="1"/>
        <v>LUNAS</v>
      </c>
      <c r="Q4" s="28">
        <f t="shared" si="2"/>
        <v>152</v>
      </c>
      <c r="R4" s="28" t="str">
        <f t="shared" si="3"/>
        <v>ADI FAJAR MUAYYAD</v>
      </c>
      <c r="S4" s="28">
        <f>COUNTIF(F:F,2)</f>
        <v>112</v>
      </c>
      <c r="T4" s="32" t="s">
        <v>18</v>
      </c>
    </row>
    <row r="5">
      <c r="A5" s="27">
        <f>IFERROR(__xludf.DUMMYFUNCTION("""COMPUTED_VALUE"""),4.0)</f>
        <v>4</v>
      </c>
      <c r="B5" s="28" t="str">
        <f>IFERROR(__xludf.DUMMYFUNCTION("""COMPUTED_VALUE"""),"ADJIE PANGESTU NURZAINI")</f>
        <v>ADJIE PANGESTU NURZAINI</v>
      </c>
      <c r="C5" s="28">
        <f>IFERROR(__xludf.DUMMYFUNCTION("""COMPUTED_VALUE"""),2.02507061E9)</f>
        <v>2025070610</v>
      </c>
      <c r="D5" s="27" t="str">
        <f>IFERROR(__xludf.DUMMYFUNCTION("""COMPUTED_VALUE"""),"A")</f>
        <v>A</v>
      </c>
      <c r="E5" s="27" t="str">
        <f>IFERROR(__xludf.DUMMYFUNCTION("""COMPUTED_VALUE"""),"A-1")</f>
        <v>A-1</v>
      </c>
      <c r="F5" s="31">
        <f>IFERROR(__xludf.DUMMYFUNCTION("""COMPUTED_VALUE"""),2.0)</f>
        <v>2</v>
      </c>
      <c r="G5" s="27" t="str">
        <f>IFERROR(__xludf.DUMMYFUNCTION("""COMPUTED_VALUE"""),"2 ULA A PUTRA")</f>
        <v>2 ULA A PUTRA</v>
      </c>
      <c r="H5" s="28" t="str">
        <f>IFERROR(__xludf.DUMMYFUNCTION("""COMPUTED_VALUE"""),"MTS-8 C")</f>
        <v>MTS-8 C</v>
      </c>
      <c r="I5" s="28" t="str">
        <f>IFERROR(__xludf.DUMMYFUNCTION("""COMPUTED_VALUE"""),"YUNI HARIATI NINGSIH")</f>
        <v>YUNI HARIATI NINGSIH</v>
      </c>
      <c r="J5" s="28" t="str">
        <f>IFERROR(__xludf.DUMMYFUNCTION("""COMPUTED_VALUE"""),"GERMAN RT 002 RW 004 SUGIO LAMONGAN")</f>
        <v>GERMAN RT 002 RW 004 SUGIO LAMONGAN</v>
      </c>
      <c r="K5" s="28" t="str">
        <f>IFERROR(__xludf.DUMMYFUNCTION("""COMPUTED_VALUE"""),"6282132209162")</f>
        <v>6282132209162</v>
      </c>
      <c r="L5" s="22">
        <f>IFERROR(__xludf.DUMMYFUNCTION("""COMPUTED_VALUE"""),900000.0)</f>
        <v>900000</v>
      </c>
      <c r="M5" s="22">
        <f>IFERROR(__xludf.DUMMYFUNCTION("""COMPUTED_VALUE"""),500000.0)</f>
        <v>500000</v>
      </c>
      <c r="N5" s="22">
        <f>IFERROR(__xludf.DUMMYFUNCTION("""COMPUTED_VALUE"""),0.0)</f>
        <v>0</v>
      </c>
      <c r="O5" s="22">
        <f>IFERROR(__xludf.DUMMYFUNCTION("""COMPUTED_VALUE"""),1400000.0)</f>
        <v>1400000</v>
      </c>
      <c r="P5" s="28" t="str">
        <f t="shared" si="1"/>
        <v>LUNAS</v>
      </c>
      <c r="Q5" s="28">
        <f t="shared" si="2"/>
        <v>57</v>
      </c>
      <c r="R5" s="28" t="str">
        <f t="shared" si="3"/>
        <v>ADJIE PANGESTU NURZAINI</v>
      </c>
      <c r="S5" s="28">
        <f>COUNTIF(F:F,3)</f>
        <v>107</v>
      </c>
      <c r="T5" s="32" t="s">
        <v>19</v>
      </c>
    </row>
    <row r="6">
      <c r="A6" s="27">
        <f>IFERROR(__xludf.DUMMYFUNCTION("""COMPUTED_VALUE"""),5.0)</f>
        <v>5</v>
      </c>
      <c r="B6" s="28" t="str">
        <f>IFERROR(__xludf.DUMMYFUNCTION("""COMPUTED_VALUE"""),"AHMAD BAHTIAR AL BUSTHOMY")</f>
        <v>AHMAD BAHTIAR AL BUSTHOMY</v>
      </c>
      <c r="C6" s="28">
        <f>IFERROR(__xludf.DUMMYFUNCTION("""COMPUTED_VALUE"""),2.025070592E9)</f>
        <v>2025070592</v>
      </c>
      <c r="D6" s="27" t="str">
        <f>IFERROR(__xludf.DUMMYFUNCTION("""COMPUTED_VALUE"""),"A")</f>
        <v>A</v>
      </c>
      <c r="E6" s="27" t="str">
        <f>IFERROR(__xludf.DUMMYFUNCTION("""COMPUTED_VALUE"""),"A-1")</f>
        <v>A-1</v>
      </c>
      <c r="F6" s="31">
        <f>IFERROR(__xludf.DUMMYFUNCTION("""COMPUTED_VALUE"""),2.0)</f>
        <v>2</v>
      </c>
      <c r="G6" s="27" t="str">
        <f>IFERROR(__xludf.DUMMYFUNCTION("""COMPUTED_VALUE"""),"2 ULA A PUTRA")</f>
        <v>2 ULA A PUTRA</v>
      </c>
      <c r="H6" s="28" t="str">
        <f>IFERROR(__xludf.DUMMYFUNCTION("""COMPUTED_VALUE"""),"MTS-8 B")</f>
        <v>MTS-8 B</v>
      </c>
      <c r="I6" s="28" t="str">
        <f>IFERROR(__xludf.DUMMYFUNCTION("""COMPUTED_VALUE"""),"NURUS SAIDATUL FUADAH")</f>
        <v>NURUS SAIDATUL FUADAH</v>
      </c>
      <c r="J6" s="28" t="str">
        <f>IFERROR(__xludf.DUMMYFUNCTION("""COMPUTED_VALUE"""),"BALONGPANGGANG RT 004 RW 002 BALONGPANGGANG GRESIK")</f>
        <v>BALONGPANGGANG RT 004 RW 002 BALONGPANGGANG GRESIK</v>
      </c>
      <c r="K6" s="28" t="str">
        <f>IFERROR(__xludf.DUMMYFUNCTION("""COMPUTED_VALUE"""),"6282231132034")</f>
        <v>6282231132034</v>
      </c>
      <c r="L6" s="22">
        <f>IFERROR(__xludf.DUMMYFUNCTION("""COMPUTED_VALUE"""),0.0)</f>
        <v>0</v>
      </c>
      <c r="M6" s="22">
        <f>IFERROR(__xludf.DUMMYFUNCTION("""COMPUTED_VALUE"""),0.0)</f>
        <v>0</v>
      </c>
      <c r="N6" s="22">
        <f>IFERROR(__xludf.DUMMYFUNCTION("""COMPUTED_VALUE"""),0.0)</f>
        <v>0</v>
      </c>
      <c r="O6" s="22">
        <f>IFERROR(__xludf.DUMMYFUNCTION("""COMPUTED_VALUE"""),0.0)</f>
        <v>0</v>
      </c>
      <c r="P6" s="28" t="str">
        <f t="shared" si="1"/>
        <v>LUNAS</v>
      </c>
      <c r="Q6" s="28">
        <f t="shared" si="2"/>
        <v>153</v>
      </c>
      <c r="R6" s="28" t="str">
        <f t="shared" si="3"/>
        <v>AHMAD BAHTIAR AL BUSTHOMY</v>
      </c>
      <c r="S6" s="28">
        <f>COUNTIF(P:P,"LUNAS")</f>
        <v>331</v>
      </c>
      <c r="T6" s="32" t="s">
        <v>20</v>
      </c>
    </row>
    <row r="7">
      <c r="A7" s="27">
        <f>IFERROR(__xludf.DUMMYFUNCTION("""COMPUTED_VALUE"""),6.0)</f>
        <v>6</v>
      </c>
      <c r="B7" s="28" t="str">
        <f>IFERROR(__xludf.DUMMYFUNCTION("""COMPUTED_VALUE"""),"AHMAD DANIEL IHSAN ADHITAMA")</f>
        <v>AHMAD DANIEL IHSAN ADHITAMA</v>
      </c>
      <c r="C7" s="28">
        <f>IFERROR(__xludf.DUMMYFUNCTION("""COMPUTED_VALUE"""),2.025070607E9)</f>
        <v>2025070607</v>
      </c>
      <c r="D7" s="27" t="str">
        <f>IFERROR(__xludf.DUMMYFUNCTION("""COMPUTED_VALUE"""),"A")</f>
        <v>A</v>
      </c>
      <c r="E7" s="27" t="str">
        <f>IFERROR(__xludf.DUMMYFUNCTION("""COMPUTED_VALUE"""),"A-1")</f>
        <v>A-1</v>
      </c>
      <c r="F7" s="31">
        <f>IFERROR(__xludf.DUMMYFUNCTION("""COMPUTED_VALUE"""),2.0)</f>
        <v>2</v>
      </c>
      <c r="G7" s="27" t="str">
        <f>IFERROR(__xludf.DUMMYFUNCTION("""COMPUTED_VALUE"""),"2 ULA A PUTRA")</f>
        <v>2 ULA A PUTRA</v>
      </c>
      <c r="H7" s="28" t="str">
        <f>IFERROR(__xludf.DUMMYFUNCTION("""COMPUTED_VALUE"""),"MTS-8 G")</f>
        <v>MTS-8 G</v>
      </c>
      <c r="I7" s="28" t="str">
        <f>IFERROR(__xludf.DUMMYFUNCTION("""COMPUTED_VALUE"""),"MUNJAROTUN")</f>
        <v>MUNJAROTUN</v>
      </c>
      <c r="J7" s="28" t="str">
        <f>IFERROR(__xludf.DUMMYFUNCTION("""COMPUTED_VALUE"""),"KULURAN RT 004 RW 004 KALITENGAH LAMONGAN")</f>
        <v>KULURAN RT 004 RW 004 KALITENGAH LAMONGAN</v>
      </c>
      <c r="K7" s="28" t="str">
        <f>IFERROR(__xludf.DUMMYFUNCTION("""COMPUTED_VALUE"""),"6285791936623")</f>
        <v>6285791936623</v>
      </c>
      <c r="L7" s="22">
        <f>IFERROR(__xludf.DUMMYFUNCTION("""COMPUTED_VALUE"""),450000.0)</f>
        <v>450000</v>
      </c>
      <c r="M7" s="22">
        <f>IFERROR(__xludf.DUMMYFUNCTION("""COMPUTED_VALUE"""),1000000.0)</f>
        <v>1000000</v>
      </c>
      <c r="N7" s="22">
        <f>IFERROR(__xludf.DUMMYFUNCTION("""COMPUTED_VALUE"""),0.0)</f>
        <v>0</v>
      </c>
      <c r="O7" s="22">
        <f>IFERROR(__xludf.DUMMYFUNCTION("""COMPUTED_VALUE"""),1450000.0)</f>
        <v>1450000</v>
      </c>
      <c r="P7" s="28" t="str">
        <f t="shared" si="1"/>
        <v>LUNAS</v>
      </c>
      <c r="Q7" s="28">
        <f t="shared" si="2"/>
        <v>47</v>
      </c>
      <c r="R7" s="28" t="str">
        <f t="shared" si="3"/>
        <v>AHMAD DANIEL IHSAN ADHITAMA</v>
      </c>
      <c r="S7" s="28">
        <f>COUNTIF(P:P,"BELUM")</f>
        <v>2</v>
      </c>
      <c r="T7" s="32" t="s">
        <v>21</v>
      </c>
    </row>
    <row r="8">
      <c r="A8" s="27">
        <f>IFERROR(__xludf.DUMMYFUNCTION("""COMPUTED_VALUE"""),7.0)</f>
        <v>7</v>
      </c>
      <c r="B8" s="28" t="str">
        <f>IFERROR(__xludf.DUMMYFUNCTION("""COMPUTED_VALUE"""),"AHMAD DANISH SYAHPUTRA")</f>
        <v>AHMAD DANISH SYAHPUTRA</v>
      </c>
      <c r="C8" s="28">
        <f>IFERROR(__xludf.DUMMYFUNCTION("""COMPUTED_VALUE"""),2.025070602E9)</f>
        <v>2025070602</v>
      </c>
      <c r="D8" s="27" t="str">
        <f>IFERROR(__xludf.DUMMYFUNCTION("""COMPUTED_VALUE"""),"A")</f>
        <v>A</v>
      </c>
      <c r="E8" s="27" t="str">
        <f>IFERROR(__xludf.DUMMYFUNCTION("""COMPUTED_VALUE"""),"A-1")</f>
        <v>A-1</v>
      </c>
      <c r="F8" s="31">
        <f>IFERROR(__xludf.DUMMYFUNCTION("""COMPUTED_VALUE"""),2.0)</f>
        <v>2</v>
      </c>
      <c r="G8" s="27" t="str">
        <f>IFERROR(__xludf.DUMMYFUNCTION("""COMPUTED_VALUE"""),"2 ULA A PUTRA")</f>
        <v>2 ULA A PUTRA</v>
      </c>
      <c r="H8" s="28" t="str">
        <f>IFERROR(__xludf.DUMMYFUNCTION("""COMPUTED_VALUE"""),"MTS-8 C")</f>
        <v>MTS-8 C</v>
      </c>
      <c r="I8" s="28" t="str">
        <f>IFERROR(__xludf.DUMMYFUNCTION("""COMPUTED_VALUE"""),"ZUNI ANISAH")</f>
        <v>ZUNI ANISAH</v>
      </c>
      <c r="J8" s="28" t="str">
        <f>IFERROR(__xludf.DUMMYFUNCTION("""COMPUTED_VALUE"""),"GEGER RT 003 RW 003 TURI LAMONGAN")</f>
        <v>GEGER RT 003 RW 003 TURI LAMONGAN</v>
      </c>
      <c r="K8" s="28" t="str">
        <f>IFERROR(__xludf.DUMMYFUNCTION("""COMPUTED_VALUE"""),"6285648764381")</f>
        <v>6285648764381</v>
      </c>
      <c r="L8" s="22">
        <f>IFERROR(__xludf.DUMMYFUNCTION("""COMPUTED_VALUE"""),0.0)</f>
        <v>0</v>
      </c>
      <c r="M8" s="22">
        <f>IFERROR(__xludf.DUMMYFUNCTION("""COMPUTED_VALUE"""),1000000.0)</f>
        <v>1000000</v>
      </c>
      <c r="N8" s="22">
        <f>IFERROR(__xludf.DUMMYFUNCTION("""COMPUTED_VALUE"""),0.0)</f>
        <v>0</v>
      </c>
      <c r="O8" s="22">
        <f>IFERROR(__xludf.DUMMYFUNCTION("""COMPUTED_VALUE"""),1000000.0)</f>
        <v>1000000</v>
      </c>
      <c r="P8" s="28" t="str">
        <f t="shared" si="1"/>
        <v>LUNAS</v>
      </c>
      <c r="Q8" s="28">
        <f t="shared" si="2"/>
        <v>63</v>
      </c>
      <c r="R8" s="28" t="str">
        <f t="shared" si="3"/>
        <v>AHMAD DANISH SYAHPUTRA</v>
      </c>
      <c r="S8" s="22">
        <f>SUM(L2:L450)</f>
        <v>162310000</v>
      </c>
      <c r="T8" s="32" t="s">
        <v>22</v>
      </c>
    </row>
    <row r="9">
      <c r="A9" s="27">
        <f>IFERROR(__xludf.DUMMYFUNCTION("""COMPUTED_VALUE"""),8.0)</f>
        <v>8</v>
      </c>
      <c r="B9" s="28" t="str">
        <f>IFERROR(__xludf.DUMMYFUNCTION("""COMPUTED_VALUE"""),"AHMAD KHOMEINI UWAIS SUSILO")</f>
        <v>AHMAD KHOMEINI UWAIS SUSILO</v>
      </c>
      <c r="C9" s="28">
        <f>IFERROR(__xludf.DUMMYFUNCTION("""COMPUTED_VALUE"""),2.025070574E9)</f>
        <v>2025070574</v>
      </c>
      <c r="D9" s="27" t="str">
        <f>IFERROR(__xludf.DUMMYFUNCTION("""COMPUTED_VALUE"""),"A")</f>
        <v>A</v>
      </c>
      <c r="E9" s="27" t="str">
        <f>IFERROR(__xludf.DUMMYFUNCTION("""COMPUTED_VALUE"""),"A-1")</f>
        <v>A-1</v>
      </c>
      <c r="F9" s="31">
        <f>IFERROR(__xludf.DUMMYFUNCTION("""COMPUTED_VALUE"""),2.0)</f>
        <v>2</v>
      </c>
      <c r="G9" s="27" t="str">
        <f>IFERROR(__xludf.DUMMYFUNCTION("""COMPUTED_VALUE"""),"2 ULA A PUTRA")</f>
        <v>2 ULA A PUTRA</v>
      </c>
      <c r="H9" s="28" t="str">
        <f>IFERROR(__xludf.DUMMYFUNCTION("""COMPUTED_VALUE"""),"MTS-8 C")</f>
        <v>MTS-8 C</v>
      </c>
      <c r="I9" s="28" t="str">
        <f>IFERROR(__xludf.DUMMYFUNCTION("""COMPUTED_VALUE"""),"BADHI`ATUL ATHORIYAH")</f>
        <v>BADHI`ATUL ATHORIYAH</v>
      </c>
      <c r="J9" s="28" t="str">
        <f>IFERROR(__xludf.DUMMYFUNCTION("""COMPUTED_VALUE"""),"TABONA RT 010 RW 004 TERNATE SELATAN TERNATE")</f>
        <v>TABONA RT 010 RW 004 TERNATE SELATAN TERNATE</v>
      </c>
      <c r="K9" s="28" t="str">
        <f>IFERROR(__xludf.DUMMYFUNCTION("""COMPUTED_VALUE"""),"6281218437264")</f>
        <v>6281218437264</v>
      </c>
      <c r="L9" s="22">
        <f>IFERROR(__xludf.DUMMYFUNCTION("""COMPUTED_VALUE"""),0.0)</f>
        <v>0</v>
      </c>
      <c r="M9" s="22">
        <f>IFERROR(__xludf.DUMMYFUNCTION("""COMPUTED_VALUE"""),0.0)</f>
        <v>0</v>
      </c>
      <c r="N9" s="22">
        <f>IFERROR(__xludf.DUMMYFUNCTION("""COMPUTED_VALUE"""),0.0)</f>
        <v>0</v>
      </c>
      <c r="O9" s="22">
        <f>IFERROR(__xludf.DUMMYFUNCTION("""COMPUTED_VALUE"""),0.0)</f>
        <v>0</v>
      </c>
      <c r="P9" s="28" t="str">
        <f t="shared" si="1"/>
        <v>LUNAS</v>
      </c>
      <c r="Q9" s="28">
        <f t="shared" si="2"/>
        <v>154</v>
      </c>
      <c r="R9" s="28" t="str">
        <f t="shared" si="3"/>
        <v>AHMAD KHOMEINI UWAIS SUSILO</v>
      </c>
      <c r="S9" s="22">
        <f>SUM(M2:M450)</f>
        <v>105900000</v>
      </c>
      <c r="T9" s="32" t="s">
        <v>23</v>
      </c>
    </row>
    <row r="10">
      <c r="A10" s="27">
        <f>IFERROR(__xludf.DUMMYFUNCTION("""COMPUTED_VALUE"""),9.0)</f>
        <v>9</v>
      </c>
      <c r="B10" s="28" t="str">
        <f>IFERROR(__xludf.DUMMYFUNCTION("""COMPUTED_VALUE"""),"AHMAD LAIQLABI ASROFI")</f>
        <v>AHMAD LAIQLABI ASROFI</v>
      </c>
      <c r="C10" s="28">
        <f>IFERROR(__xludf.DUMMYFUNCTION("""COMPUTED_VALUE"""),2.025070653E9)</f>
        <v>2025070653</v>
      </c>
      <c r="D10" s="27" t="str">
        <f>IFERROR(__xludf.DUMMYFUNCTION("""COMPUTED_VALUE"""),"A")</f>
        <v>A</v>
      </c>
      <c r="E10" s="27" t="str">
        <f>IFERROR(__xludf.DUMMYFUNCTION("""COMPUTED_VALUE"""),"A-1")</f>
        <v>A-1</v>
      </c>
      <c r="F10" s="31">
        <f>IFERROR(__xludf.DUMMYFUNCTION("""COMPUTED_VALUE"""),2.0)</f>
        <v>2</v>
      </c>
      <c r="G10" s="27" t="str">
        <f>IFERROR(__xludf.DUMMYFUNCTION("""COMPUTED_VALUE"""),"2 ULA A PUTRA")</f>
        <v>2 ULA A PUTRA</v>
      </c>
      <c r="H10" s="28" t="str">
        <f>IFERROR(__xludf.DUMMYFUNCTION("""COMPUTED_VALUE"""),"MTS-8 F")</f>
        <v>MTS-8 F</v>
      </c>
      <c r="I10" s="28" t="str">
        <f>IFERROR(__xludf.DUMMYFUNCTION("""COMPUTED_VALUE"""),"ENDANG SUSILOWATI")</f>
        <v>ENDANG SUSILOWATI</v>
      </c>
      <c r="J10" s="28" t="str">
        <f>IFERROR(__xludf.DUMMYFUNCTION("""COMPUTED_VALUE"""),"GERMAN RT 001 RW 003 SUGIO LAMONGAN")</f>
        <v>GERMAN RT 001 RW 003 SUGIO LAMONGAN</v>
      </c>
      <c r="K10" s="28" t="str">
        <f>IFERROR(__xludf.DUMMYFUNCTION("""COMPUTED_VALUE"""),"6285649385716")</f>
        <v>6285649385716</v>
      </c>
      <c r="L10" s="22">
        <f>IFERROR(__xludf.DUMMYFUNCTION("""COMPUTED_VALUE"""),4950000.0)</f>
        <v>4950000</v>
      </c>
      <c r="M10" s="22">
        <f>IFERROR(__xludf.DUMMYFUNCTION("""COMPUTED_VALUE"""),1000000.0)</f>
        <v>1000000</v>
      </c>
      <c r="N10" s="22">
        <f>IFERROR(__xludf.DUMMYFUNCTION("""COMPUTED_VALUE"""),0.0)</f>
        <v>0</v>
      </c>
      <c r="O10" s="22">
        <f>IFERROR(__xludf.DUMMYFUNCTION("""COMPUTED_VALUE"""),5950000.0)</f>
        <v>5950000</v>
      </c>
      <c r="P10" s="28" t="str">
        <f t="shared" si="1"/>
        <v>LUNAS</v>
      </c>
      <c r="Q10" s="28">
        <f t="shared" si="2"/>
        <v>4</v>
      </c>
      <c r="R10" s="28" t="str">
        <f t="shared" si="3"/>
        <v>AHMAD LAIQLABI ASROFI</v>
      </c>
      <c r="S10" s="22">
        <f>SUM(N2:N450)</f>
        <v>500000</v>
      </c>
      <c r="T10" s="32" t="s">
        <v>24</v>
      </c>
    </row>
    <row r="11">
      <c r="A11" s="27">
        <f>IFERROR(__xludf.DUMMYFUNCTION("""COMPUTED_VALUE"""),10.0)</f>
        <v>10</v>
      </c>
      <c r="B11" s="28" t="str">
        <f>IFERROR(__xludf.DUMMYFUNCTION("""COMPUTED_VALUE"""),"AHMAD MUSFIS SALAM")</f>
        <v>AHMAD MUSFIS SALAM</v>
      </c>
      <c r="C11" s="28">
        <f>IFERROR(__xludf.DUMMYFUNCTION("""COMPUTED_VALUE"""),2.02507062E9)</f>
        <v>2025070620</v>
      </c>
      <c r="D11" s="27" t="str">
        <f>IFERROR(__xludf.DUMMYFUNCTION("""COMPUTED_VALUE"""),"A")</f>
        <v>A</v>
      </c>
      <c r="E11" s="27" t="str">
        <f>IFERROR(__xludf.DUMMYFUNCTION("""COMPUTED_VALUE"""),"A-1")</f>
        <v>A-1</v>
      </c>
      <c r="F11" s="31">
        <f>IFERROR(__xludf.DUMMYFUNCTION("""COMPUTED_VALUE"""),2.0)</f>
        <v>2</v>
      </c>
      <c r="G11" s="27" t="str">
        <f>IFERROR(__xludf.DUMMYFUNCTION("""COMPUTED_VALUE"""),"2 ULA A PUTRA")</f>
        <v>2 ULA A PUTRA</v>
      </c>
      <c r="H11" s="28" t="str">
        <f>IFERROR(__xludf.DUMMYFUNCTION("""COMPUTED_VALUE"""),"MTS-8 G")</f>
        <v>MTS-8 G</v>
      </c>
      <c r="I11" s="28" t="str">
        <f>IFERROR(__xludf.DUMMYFUNCTION("""COMPUTED_VALUE"""),"MINARIYATI")</f>
        <v>MINARIYATI</v>
      </c>
      <c r="J11" s="28" t="str">
        <f>IFERROR(__xludf.DUMMYFUNCTION("""COMPUTED_VALUE"""),"KULURAN RT 002 RW 003 KALITENGAH LAMONGAN")</f>
        <v>KULURAN RT 002 RW 003 KALITENGAH LAMONGAN</v>
      </c>
      <c r="K11" s="28" t="str">
        <f>IFERROR(__xludf.DUMMYFUNCTION("""COMPUTED_VALUE"""),"6285899393570")</f>
        <v>6285899393570</v>
      </c>
      <c r="L11" s="22">
        <f>IFERROR(__xludf.DUMMYFUNCTION("""COMPUTED_VALUE"""),900000.0)</f>
        <v>900000</v>
      </c>
      <c r="M11" s="22">
        <f>IFERROR(__xludf.DUMMYFUNCTION("""COMPUTED_VALUE"""),1000000.0)</f>
        <v>1000000</v>
      </c>
      <c r="N11" s="22">
        <f>IFERROR(__xludf.DUMMYFUNCTION("""COMPUTED_VALUE"""),0.0)</f>
        <v>0</v>
      </c>
      <c r="O11" s="22">
        <f>IFERROR(__xludf.DUMMYFUNCTION("""COMPUTED_VALUE"""),1900000.0)</f>
        <v>1900000</v>
      </c>
      <c r="P11" s="28" t="str">
        <f t="shared" si="1"/>
        <v>LUNAS</v>
      </c>
      <c r="Q11" s="28">
        <f t="shared" si="2"/>
        <v>35</v>
      </c>
      <c r="R11" s="28" t="str">
        <f t="shared" si="3"/>
        <v>AHMAD MUSFIS SALAM</v>
      </c>
      <c r="S11" s="22">
        <f>SUM(O2:O450)</f>
        <v>268710000</v>
      </c>
      <c r="T11" s="32" t="s">
        <v>25</v>
      </c>
    </row>
    <row r="12">
      <c r="A12" s="27">
        <f>IFERROR(__xludf.DUMMYFUNCTION("""COMPUTED_VALUE"""),11.0)</f>
        <v>11</v>
      </c>
      <c r="B12" s="28" t="str">
        <f>IFERROR(__xludf.DUMMYFUNCTION("""COMPUTED_VALUE"""),"AHMAD NUR RIFKY FEBRIANSYAH")</f>
        <v>AHMAD NUR RIFKY FEBRIANSYAH</v>
      </c>
      <c r="C12" s="28">
        <f>IFERROR(__xludf.DUMMYFUNCTION("""COMPUTED_VALUE"""),2.025070638E9)</f>
        <v>2025070638</v>
      </c>
      <c r="D12" s="27" t="str">
        <f>IFERROR(__xludf.DUMMYFUNCTION("""COMPUTED_VALUE"""),"A")</f>
        <v>A</v>
      </c>
      <c r="E12" s="27" t="str">
        <f>IFERROR(__xludf.DUMMYFUNCTION("""COMPUTED_VALUE"""),"A-1")</f>
        <v>A-1</v>
      </c>
      <c r="F12" s="31">
        <f>IFERROR(__xludf.DUMMYFUNCTION("""COMPUTED_VALUE"""),2.0)</f>
        <v>2</v>
      </c>
      <c r="G12" s="27" t="str">
        <f>IFERROR(__xludf.DUMMYFUNCTION("""COMPUTED_VALUE"""),"2 ULA A PUTRA")</f>
        <v>2 ULA A PUTRA</v>
      </c>
      <c r="H12" s="28" t="str">
        <f>IFERROR(__xludf.DUMMYFUNCTION("""COMPUTED_VALUE"""),"MTS-8 F")</f>
        <v>MTS-8 F</v>
      </c>
      <c r="I12" s="28" t="str">
        <f>IFERROR(__xludf.DUMMYFUNCTION("""COMPUTED_VALUE"""),"NI`MATUS SHOLIKHAH")</f>
        <v>NI`MATUS SHOLIKHAH</v>
      </c>
      <c r="J12" s="28" t="str">
        <f>IFERROR(__xludf.DUMMYFUNCTION("""COMPUTED_VALUE"""),"GLUMO JELAKCATUR RT 003 RW 005 KALITENGAH LAMONGAN")</f>
        <v>GLUMO JELAKCATUR RT 003 RW 005 KALITENGAH LAMONGAN</v>
      </c>
      <c r="K12" s="28" t="str">
        <f>IFERROR(__xludf.DUMMYFUNCTION("""COMPUTED_VALUE"""),"6285852480277")</f>
        <v>6285852480277</v>
      </c>
      <c r="L12" s="22">
        <f>IFERROR(__xludf.DUMMYFUNCTION("""COMPUTED_VALUE"""),0.0)</f>
        <v>0</v>
      </c>
      <c r="M12" s="22">
        <f>IFERROR(__xludf.DUMMYFUNCTION("""COMPUTED_VALUE"""),1000000.0)</f>
        <v>1000000</v>
      </c>
      <c r="N12" s="22">
        <f>IFERROR(__xludf.DUMMYFUNCTION("""COMPUTED_VALUE"""),0.0)</f>
        <v>0</v>
      </c>
      <c r="O12" s="22">
        <f>IFERROR(__xludf.DUMMYFUNCTION("""COMPUTED_VALUE"""),1000000.0)</f>
        <v>1000000</v>
      </c>
      <c r="P12" s="28" t="str">
        <f t="shared" si="1"/>
        <v>LUNAS</v>
      </c>
      <c r="Q12" s="28">
        <f t="shared" si="2"/>
        <v>64</v>
      </c>
      <c r="R12" s="28" t="str">
        <f t="shared" si="3"/>
        <v>AHMAD NUR RIFKY FEBRIANSYAH</v>
      </c>
      <c r="T12" s="32" t="s">
        <v>26</v>
      </c>
      <c r="U12" s="32" t="s">
        <v>27</v>
      </c>
      <c r="V12" s="32" t="s">
        <v>28</v>
      </c>
      <c r="W12" s="32" t="s">
        <v>29</v>
      </c>
    </row>
    <row r="13">
      <c r="A13" s="27">
        <f>IFERROR(__xludf.DUMMYFUNCTION("""COMPUTED_VALUE"""),12.0)</f>
        <v>12</v>
      </c>
      <c r="B13" s="28" t="str">
        <f>IFERROR(__xludf.DUMMYFUNCTION("""COMPUTED_VALUE"""),"AHMAD RAFIF RADITIA SA`BANA")</f>
        <v>AHMAD RAFIF RADITIA SA`BANA</v>
      </c>
      <c r="C13" s="28">
        <f>IFERROR(__xludf.DUMMYFUNCTION("""COMPUTED_VALUE"""),2.025070563E9)</f>
        <v>2025070563</v>
      </c>
      <c r="D13" s="27" t="str">
        <f>IFERROR(__xludf.DUMMYFUNCTION("""COMPUTED_VALUE"""),"A")</f>
        <v>A</v>
      </c>
      <c r="E13" s="27" t="str">
        <f>IFERROR(__xludf.DUMMYFUNCTION("""COMPUTED_VALUE"""),"A-1")</f>
        <v>A-1</v>
      </c>
      <c r="F13" s="31">
        <f>IFERROR(__xludf.DUMMYFUNCTION("""COMPUTED_VALUE"""),2.0)</f>
        <v>2</v>
      </c>
      <c r="G13" s="27" t="str">
        <f>IFERROR(__xludf.DUMMYFUNCTION("""COMPUTED_VALUE"""),"2 ULA A PUTRA")</f>
        <v>2 ULA A PUTRA</v>
      </c>
      <c r="H13" s="28" t="str">
        <f>IFERROR(__xludf.DUMMYFUNCTION("""COMPUTED_VALUE"""),"MTS-8 D")</f>
        <v>MTS-8 D</v>
      </c>
      <c r="I13" s="28" t="str">
        <f>IFERROR(__xludf.DUMMYFUNCTION("""COMPUTED_VALUE"""),"HIDAYATUL MUNAWAROH")</f>
        <v>HIDAYATUL MUNAWAROH</v>
      </c>
      <c r="J13" s="28" t="str">
        <f>IFERROR(__xludf.DUMMYFUNCTION("""COMPUTED_VALUE"""),"PUTATLOR PUTATKUMPUL RT 002 RW 003 TURI LAMONGAN")</f>
        <v>PUTATLOR PUTATKUMPUL RT 002 RW 003 TURI LAMONGAN</v>
      </c>
      <c r="K13" s="28" t="str">
        <f>IFERROR(__xludf.DUMMYFUNCTION("""COMPUTED_VALUE"""),"6281347599509")</f>
        <v>6281347599509</v>
      </c>
      <c r="L13" s="22">
        <f>IFERROR(__xludf.DUMMYFUNCTION("""COMPUTED_VALUE"""),0.0)</f>
        <v>0</v>
      </c>
      <c r="M13" s="22">
        <f>IFERROR(__xludf.DUMMYFUNCTION("""COMPUTED_VALUE"""),500000.0)</f>
        <v>500000</v>
      </c>
      <c r="N13" s="22">
        <f>IFERROR(__xludf.DUMMYFUNCTION("""COMPUTED_VALUE"""),0.0)</f>
        <v>0</v>
      </c>
      <c r="O13" s="22">
        <f>IFERROR(__xludf.DUMMYFUNCTION("""COMPUTED_VALUE"""),500000.0)</f>
        <v>500000</v>
      </c>
      <c r="P13" s="28" t="str">
        <f t="shared" si="1"/>
        <v>LUNAS</v>
      </c>
      <c r="Q13" s="28">
        <f t="shared" si="2"/>
        <v>116</v>
      </c>
      <c r="R13" s="28" t="str">
        <f t="shared" si="3"/>
        <v>AHMAD RAFIF RADITIA SA`BANA</v>
      </c>
      <c r="S13" s="28" t="str">
        <f t="shared" ref="S13:S22" si="4">VLOOKUP(X13,$Q$2:$R$399,2,FALSE)</f>
        <v>MUHAMMAD IQBAL MAULANA PUTRA</v>
      </c>
      <c r="T13" s="22">
        <f t="shared" ref="T13:T22" si="5">VLOOKUP(S13,$B$2:$O$450,11,FALSE)</f>
        <v>8100000</v>
      </c>
      <c r="U13" s="22">
        <f t="shared" ref="U13:U22" si="6">VLOOKUP(S13,$B$2:$O$450,12,FALSE)</f>
        <v>1600000</v>
      </c>
      <c r="V13" s="22">
        <f t="shared" ref="V13:V22" si="7">VLOOKUP(S13,$B$2:$O$450,13,FALSE)</f>
        <v>0</v>
      </c>
      <c r="W13" s="22">
        <f t="shared" ref="W13:W22" si="8">VLOOKUP(S13,$B$2:$O$450,14,FALSE)</f>
        <v>9700000</v>
      </c>
      <c r="X13" s="32">
        <v>1.0</v>
      </c>
    </row>
    <row r="14">
      <c r="A14" s="27">
        <f>IFERROR(__xludf.DUMMYFUNCTION("""COMPUTED_VALUE"""),13.0)</f>
        <v>13</v>
      </c>
      <c r="B14" s="28" t="str">
        <f>IFERROR(__xludf.DUMMYFUNCTION("""COMPUTED_VALUE"""),"AHMAD YAZID AL BUSTHOMI")</f>
        <v>AHMAD YAZID AL BUSTHOMI</v>
      </c>
      <c r="C14" s="28">
        <f>IFERROR(__xludf.DUMMYFUNCTION("""COMPUTED_VALUE"""),2.025070612E9)</f>
        <v>2025070612</v>
      </c>
      <c r="D14" s="27" t="str">
        <f>IFERROR(__xludf.DUMMYFUNCTION("""COMPUTED_VALUE"""),"A")</f>
        <v>A</v>
      </c>
      <c r="E14" s="27" t="str">
        <f>IFERROR(__xludf.DUMMYFUNCTION("""COMPUTED_VALUE"""),"A-1")</f>
        <v>A-1</v>
      </c>
      <c r="F14" s="31">
        <f>IFERROR(__xludf.DUMMYFUNCTION("""COMPUTED_VALUE"""),2.0)</f>
        <v>2</v>
      </c>
      <c r="G14" s="27" t="str">
        <f>IFERROR(__xludf.DUMMYFUNCTION("""COMPUTED_VALUE"""),"2 ULA A PUTRA")</f>
        <v>2 ULA A PUTRA</v>
      </c>
      <c r="H14" s="28" t="str">
        <f>IFERROR(__xludf.DUMMYFUNCTION("""COMPUTED_VALUE"""),"MTS-8 E")</f>
        <v>MTS-8 E</v>
      </c>
      <c r="I14" s="28" t="str">
        <f>IFERROR(__xludf.DUMMYFUNCTION("""COMPUTED_VALUE"""),"SITI MUSTAINAH")</f>
        <v>SITI MUSTAINAH</v>
      </c>
      <c r="J14" s="28" t="str">
        <f>IFERROR(__xludf.DUMMYFUNCTION("""COMPUTED_VALUE"""),"BALUNGTAWUN RT 002 RW 003 SUKODADI LAMONGAN")</f>
        <v>BALUNGTAWUN RT 002 RW 003 SUKODADI LAMONGAN</v>
      </c>
      <c r="K14" s="28" t="str">
        <f>IFERROR(__xludf.DUMMYFUNCTION("""COMPUTED_VALUE"""),"6285730041984")</f>
        <v>6285730041984</v>
      </c>
      <c r="L14" s="22">
        <f>IFERROR(__xludf.DUMMYFUNCTION("""COMPUTED_VALUE"""),0.0)</f>
        <v>0</v>
      </c>
      <c r="M14" s="22">
        <f>IFERROR(__xludf.DUMMYFUNCTION("""COMPUTED_VALUE"""),1000000.0)</f>
        <v>1000000</v>
      </c>
      <c r="N14" s="22">
        <f>IFERROR(__xludf.DUMMYFUNCTION("""COMPUTED_VALUE"""),0.0)</f>
        <v>0</v>
      </c>
      <c r="O14" s="22">
        <f>IFERROR(__xludf.DUMMYFUNCTION("""COMPUTED_VALUE"""),1000000.0)</f>
        <v>1000000</v>
      </c>
      <c r="P14" s="28" t="str">
        <f t="shared" si="1"/>
        <v>LUNAS</v>
      </c>
      <c r="Q14" s="28">
        <f t="shared" si="2"/>
        <v>65</v>
      </c>
      <c r="R14" s="28" t="str">
        <f t="shared" si="3"/>
        <v>AHMAD YAZID AL BUSTHOMI</v>
      </c>
      <c r="S14" s="28" t="str">
        <f t="shared" si="4"/>
        <v>AHMAD GUTI JAELANI</v>
      </c>
      <c r="T14" s="22">
        <f t="shared" si="5"/>
        <v>6750000</v>
      </c>
      <c r="U14" s="22">
        <f t="shared" si="6"/>
        <v>0</v>
      </c>
      <c r="V14" s="22">
        <f t="shared" si="7"/>
        <v>0</v>
      </c>
      <c r="W14" s="22">
        <f t="shared" si="8"/>
        <v>6750000</v>
      </c>
      <c r="X14" s="32">
        <v>2.0</v>
      </c>
    </row>
    <row r="15">
      <c r="A15" s="27">
        <f>IFERROR(__xludf.DUMMYFUNCTION("""COMPUTED_VALUE"""),14.0)</f>
        <v>14</v>
      </c>
      <c r="B15" s="28" t="str">
        <f>IFERROR(__xludf.DUMMYFUNCTION("""COMPUTED_VALUE"""),"AQILA AJI ILLIAN SYAH")</f>
        <v>AQILA AJI ILLIAN SYAH</v>
      </c>
      <c r="C15" s="28">
        <f>IFERROR(__xludf.DUMMYFUNCTION("""COMPUTED_VALUE"""),2.025070571E9)</f>
        <v>2025070571</v>
      </c>
      <c r="D15" s="27" t="str">
        <f>IFERROR(__xludf.DUMMYFUNCTION("""COMPUTED_VALUE"""),"A")</f>
        <v>A</v>
      </c>
      <c r="E15" s="27" t="str">
        <f>IFERROR(__xludf.DUMMYFUNCTION("""COMPUTED_VALUE"""),"A-1")</f>
        <v>A-1</v>
      </c>
      <c r="F15" s="31">
        <f>IFERROR(__xludf.DUMMYFUNCTION("""COMPUTED_VALUE"""),2.0)</f>
        <v>2</v>
      </c>
      <c r="G15" s="27" t="str">
        <f>IFERROR(__xludf.DUMMYFUNCTION("""COMPUTED_VALUE"""),"2 ULA A PUTRA")</f>
        <v>2 ULA A PUTRA</v>
      </c>
      <c r="H15" s="28" t="str">
        <f>IFERROR(__xludf.DUMMYFUNCTION("""COMPUTED_VALUE"""),"MTS-8 D")</f>
        <v>MTS-8 D</v>
      </c>
      <c r="I15" s="28" t="str">
        <f>IFERROR(__xludf.DUMMYFUNCTION("""COMPUTED_VALUE"""),"ELLA TRI YUWANITA")</f>
        <v>ELLA TRI YUWANITA</v>
      </c>
      <c r="J15" s="28" t="str">
        <f>IFERROR(__xludf.DUMMYFUNCTION("""COMPUTED_VALUE"""),"JL. KH. AGUS SALIM NO. 11 KULURAN RT 002 RW 001 KALITENGAH LAMONGAN")</f>
        <v>JL. KH. AGUS SALIM NO. 11 KULURAN RT 002 RW 001 KALITENGAH LAMONGAN</v>
      </c>
      <c r="K15" s="28" t="str">
        <f>IFERROR(__xludf.DUMMYFUNCTION("""COMPUTED_VALUE"""),"6285697039280")</f>
        <v>6285697039280</v>
      </c>
      <c r="L15" s="22">
        <f>IFERROR(__xludf.DUMMYFUNCTION("""COMPUTED_VALUE"""),0.0)</f>
        <v>0</v>
      </c>
      <c r="M15" s="22">
        <f>IFERROR(__xludf.DUMMYFUNCTION("""COMPUTED_VALUE"""),1000000.0)</f>
        <v>1000000</v>
      </c>
      <c r="N15" s="22">
        <f>IFERROR(__xludf.DUMMYFUNCTION("""COMPUTED_VALUE"""),0.0)</f>
        <v>0</v>
      </c>
      <c r="O15" s="22">
        <f>IFERROR(__xludf.DUMMYFUNCTION("""COMPUTED_VALUE"""),1000000.0)</f>
        <v>1000000</v>
      </c>
      <c r="P15" s="28" t="str">
        <f t="shared" si="1"/>
        <v>LUNAS</v>
      </c>
      <c r="Q15" s="28">
        <f t="shared" si="2"/>
        <v>66</v>
      </c>
      <c r="R15" s="28" t="str">
        <f t="shared" si="3"/>
        <v>AQILA AJI ILLIAN SYAH</v>
      </c>
      <c r="S15" s="28" t="str">
        <f t="shared" si="4"/>
        <v>ABI DZAR AL GHIFARI</v>
      </c>
      <c r="T15" s="22">
        <f t="shared" si="5"/>
        <v>4500000</v>
      </c>
      <c r="U15" s="22">
        <f t="shared" si="6"/>
        <v>1600000</v>
      </c>
      <c r="V15" s="22">
        <f t="shared" si="7"/>
        <v>0</v>
      </c>
      <c r="W15" s="22">
        <f t="shared" si="8"/>
        <v>6100000</v>
      </c>
      <c r="X15" s="32">
        <v>3.0</v>
      </c>
    </row>
    <row r="16">
      <c r="A16" s="27">
        <f>IFERROR(__xludf.DUMMYFUNCTION("""COMPUTED_VALUE"""),15.0)</f>
        <v>15</v>
      </c>
      <c r="B16" s="28" t="str">
        <f>IFERROR(__xludf.DUMMYFUNCTION("""COMPUTED_VALUE"""),"BILFAQIH REY ALTEZA")</f>
        <v>BILFAQIH REY ALTEZA</v>
      </c>
      <c r="C16" s="28">
        <f>IFERROR(__xludf.DUMMYFUNCTION("""COMPUTED_VALUE"""),2.025070486E9)</f>
        <v>2025070486</v>
      </c>
      <c r="D16" s="27" t="str">
        <f>IFERROR(__xludf.DUMMYFUNCTION("""COMPUTED_VALUE"""),"A")</f>
        <v>A</v>
      </c>
      <c r="E16" s="27" t="str">
        <f>IFERROR(__xludf.DUMMYFUNCTION("""COMPUTED_VALUE"""),"A-1")</f>
        <v>A-1</v>
      </c>
      <c r="F16" s="31">
        <f>IFERROR(__xludf.DUMMYFUNCTION("""COMPUTED_VALUE"""),2.0)</f>
        <v>2</v>
      </c>
      <c r="G16" s="27" t="str">
        <f>IFERROR(__xludf.DUMMYFUNCTION("""COMPUTED_VALUE"""),"2 ULA A PUTRA")</f>
        <v>2 ULA A PUTRA</v>
      </c>
      <c r="H16" s="28" t="str">
        <f>IFERROR(__xludf.DUMMYFUNCTION("""COMPUTED_VALUE"""),"SMP-VIII C")</f>
        <v>SMP-VIII C</v>
      </c>
      <c r="I16" s="28" t="str">
        <f>IFERROR(__xludf.DUMMYFUNCTION("""COMPUTED_VALUE"""),"KHADHIROTUL KUDSIYA")</f>
        <v>KHADHIROTUL KUDSIYA</v>
      </c>
      <c r="J16" s="28" t="str">
        <f>IFERROR(__xludf.DUMMYFUNCTION("""COMPUTED_VALUE"""),"BESI TLOGOAGUNG RT 002 RW 002 KEMBANGBAHU LAMONGAN")</f>
        <v>BESI TLOGOAGUNG RT 002 RW 002 KEMBANGBAHU LAMONGAN</v>
      </c>
      <c r="K16" s="28" t="str">
        <f>IFERROR(__xludf.DUMMYFUNCTION("""COMPUTED_VALUE"""),"6285748773131")</f>
        <v>6285748773131</v>
      </c>
      <c r="L16" s="22">
        <f>IFERROR(__xludf.DUMMYFUNCTION("""COMPUTED_VALUE"""),0.0)</f>
        <v>0</v>
      </c>
      <c r="M16" s="22">
        <f>IFERROR(__xludf.DUMMYFUNCTION("""COMPUTED_VALUE"""),500000.0)</f>
        <v>500000</v>
      </c>
      <c r="N16" s="22">
        <f>IFERROR(__xludf.DUMMYFUNCTION("""COMPUTED_VALUE"""),0.0)</f>
        <v>0</v>
      </c>
      <c r="O16" s="22">
        <f>IFERROR(__xludf.DUMMYFUNCTION("""COMPUTED_VALUE"""),500000.0)</f>
        <v>500000</v>
      </c>
      <c r="P16" s="28" t="str">
        <f t="shared" si="1"/>
        <v>LUNAS</v>
      </c>
      <c r="Q16" s="28">
        <f t="shared" si="2"/>
        <v>117</v>
      </c>
      <c r="R16" s="28" t="str">
        <f t="shared" si="3"/>
        <v>BILFAQIH REY ALTEZA</v>
      </c>
      <c r="S16" s="28" t="str">
        <f t="shared" si="4"/>
        <v>AHMAD LAIQLABI ASROFI</v>
      </c>
      <c r="T16" s="22">
        <f t="shared" si="5"/>
        <v>4950000</v>
      </c>
      <c r="U16" s="22">
        <f t="shared" si="6"/>
        <v>1000000</v>
      </c>
      <c r="V16" s="22">
        <f t="shared" si="7"/>
        <v>0</v>
      </c>
      <c r="W16" s="22">
        <f t="shared" si="8"/>
        <v>5950000</v>
      </c>
      <c r="X16" s="32">
        <v>4.0</v>
      </c>
    </row>
    <row r="17">
      <c r="A17" s="27">
        <f>IFERROR(__xludf.DUMMYFUNCTION("""COMPUTED_VALUE"""),16.0)</f>
        <v>16</v>
      </c>
      <c r="B17" s="28" t="str">
        <f>IFERROR(__xludf.DUMMYFUNCTION("""COMPUTED_VALUE"""),"FARIEL DWI NUGROHO")</f>
        <v>FARIEL DWI NUGROHO</v>
      </c>
      <c r="C17" s="28">
        <f>IFERROR(__xludf.DUMMYFUNCTION("""COMPUTED_VALUE"""),2.025070648E9)</f>
        <v>2025070648</v>
      </c>
      <c r="D17" s="27" t="str">
        <f>IFERROR(__xludf.DUMMYFUNCTION("""COMPUTED_VALUE"""),"A")</f>
        <v>A</v>
      </c>
      <c r="E17" s="27" t="str">
        <f>IFERROR(__xludf.DUMMYFUNCTION("""COMPUTED_VALUE"""),"A-1")</f>
        <v>A-1</v>
      </c>
      <c r="F17" s="31">
        <f>IFERROR(__xludf.DUMMYFUNCTION("""COMPUTED_VALUE"""),2.0)</f>
        <v>2</v>
      </c>
      <c r="G17" s="27" t="str">
        <f>IFERROR(__xludf.DUMMYFUNCTION("""COMPUTED_VALUE"""),"2 ULA B PUTRA")</f>
        <v>2 ULA B PUTRA</v>
      </c>
      <c r="H17" s="28" t="str">
        <f>IFERROR(__xludf.DUMMYFUNCTION("""COMPUTED_VALUE"""),"MTS-8 F")</f>
        <v>MTS-8 F</v>
      </c>
      <c r="I17" s="28" t="str">
        <f>IFERROR(__xludf.DUMMYFUNCTION("""COMPUTED_VALUE"""),"SAMSIATUR ROCHMI")</f>
        <v>SAMSIATUR ROCHMI</v>
      </c>
      <c r="J17" s="28" t="str">
        <f>IFERROR(__xludf.DUMMYFUNCTION("""COMPUTED_VALUE"""),"APEL TUNJUNGMEKAR RT 001 RW 003 KALITENGAH LAMONGAN")</f>
        <v>APEL TUNJUNGMEKAR RT 001 RW 003 KALITENGAH LAMONGAN</v>
      </c>
      <c r="K17" s="28" t="str">
        <f>IFERROR(__xludf.DUMMYFUNCTION("""COMPUTED_VALUE"""),"6281532827112")</f>
        <v>6281532827112</v>
      </c>
      <c r="L17" s="22">
        <f>IFERROR(__xludf.DUMMYFUNCTION("""COMPUTED_VALUE"""),0.0)</f>
        <v>0</v>
      </c>
      <c r="M17" s="22">
        <f>IFERROR(__xludf.DUMMYFUNCTION("""COMPUTED_VALUE"""),500000.0)</f>
        <v>500000</v>
      </c>
      <c r="N17" s="22">
        <f>IFERROR(__xludf.DUMMYFUNCTION("""COMPUTED_VALUE"""),0.0)</f>
        <v>0</v>
      </c>
      <c r="O17" s="22">
        <f>IFERROR(__xludf.DUMMYFUNCTION("""COMPUTED_VALUE"""),500000.0)</f>
        <v>500000</v>
      </c>
      <c r="P17" s="28" t="str">
        <f t="shared" si="1"/>
        <v>LUNAS</v>
      </c>
      <c r="Q17" s="28">
        <f t="shared" si="2"/>
        <v>118</v>
      </c>
      <c r="R17" s="28" t="str">
        <f t="shared" si="3"/>
        <v>FARIEL DWI NUGROHO</v>
      </c>
      <c r="S17" s="28" t="str">
        <f t="shared" si="4"/>
        <v>MOCH. DANISH IRFAN NUSHFIANTO WAHID</v>
      </c>
      <c r="T17" s="22">
        <f t="shared" si="5"/>
        <v>4950000</v>
      </c>
      <c r="U17" s="22">
        <f t="shared" si="6"/>
        <v>1000000</v>
      </c>
      <c r="V17" s="22">
        <f t="shared" si="7"/>
        <v>0</v>
      </c>
      <c r="W17" s="22">
        <f t="shared" si="8"/>
        <v>5950000</v>
      </c>
      <c r="X17" s="32">
        <v>5.0</v>
      </c>
    </row>
    <row r="18">
      <c r="A18" s="27">
        <f>IFERROR(__xludf.DUMMYFUNCTION("""COMPUTED_VALUE"""),17.0)</f>
        <v>17</v>
      </c>
      <c r="B18" s="28" t="str">
        <f>IFERROR(__xludf.DUMMYFUNCTION("""COMPUTED_VALUE"""),"GAVIN DARREL ZYWANTA")</f>
        <v>GAVIN DARREL ZYWANTA</v>
      </c>
      <c r="C18" s="28">
        <f>IFERROR(__xludf.DUMMYFUNCTION("""COMPUTED_VALUE"""),2.025070528E9)</f>
        <v>2025070528</v>
      </c>
      <c r="D18" s="27" t="str">
        <f>IFERROR(__xludf.DUMMYFUNCTION("""COMPUTED_VALUE"""),"A")</f>
        <v>A</v>
      </c>
      <c r="E18" s="27" t="str">
        <f>IFERROR(__xludf.DUMMYFUNCTION("""COMPUTED_VALUE"""),"A-1")</f>
        <v>A-1</v>
      </c>
      <c r="F18" s="31">
        <f>IFERROR(__xludf.DUMMYFUNCTION("""COMPUTED_VALUE"""),2.0)</f>
        <v>2</v>
      </c>
      <c r="G18" s="27" t="str">
        <f>IFERROR(__xludf.DUMMYFUNCTION("""COMPUTED_VALUE"""),"2 ULA B PUTRA")</f>
        <v>2 ULA B PUTRA</v>
      </c>
      <c r="H18" s="28" t="str">
        <f>IFERROR(__xludf.DUMMYFUNCTION("""COMPUTED_VALUE"""),"MTS-8 C")</f>
        <v>MTS-8 C</v>
      </c>
      <c r="I18" s="28" t="str">
        <f>IFERROR(__xludf.DUMMYFUNCTION("""COMPUTED_VALUE"""),"UMZILAH")</f>
        <v>UMZILAH</v>
      </c>
      <c r="J18" s="28" t="str">
        <f>IFERROR(__xludf.DUMMYFUNCTION("""COMPUTED_VALUE"""),"WATANGAN WATANGPANJANG RT 002 RW 002 KARANGBINANGUN LAMONGAN")</f>
        <v>WATANGAN WATANGPANJANG RT 002 RW 002 KARANGBINANGUN LAMONGAN</v>
      </c>
      <c r="K18" s="28" t="str">
        <f>IFERROR(__xludf.DUMMYFUNCTION("""COMPUTED_VALUE"""),"6281515528147")</f>
        <v>6281515528147</v>
      </c>
      <c r="L18" s="22">
        <f>IFERROR(__xludf.DUMMYFUNCTION("""COMPUTED_VALUE"""),0.0)</f>
        <v>0</v>
      </c>
      <c r="M18" s="22">
        <f>IFERROR(__xludf.DUMMYFUNCTION("""COMPUTED_VALUE"""),1000000.0)</f>
        <v>1000000</v>
      </c>
      <c r="N18" s="22">
        <f>IFERROR(__xludf.DUMMYFUNCTION("""COMPUTED_VALUE"""),0.0)</f>
        <v>0</v>
      </c>
      <c r="O18" s="22">
        <f>IFERROR(__xludf.DUMMYFUNCTION("""COMPUTED_VALUE"""),1000000.0)</f>
        <v>1000000</v>
      </c>
      <c r="P18" s="28" t="str">
        <f t="shared" si="1"/>
        <v>LUNAS</v>
      </c>
      <c r="Q18" s="28">
        <f t="shared" si="2"/>
        <v>67</v>
      </c>
      <c r="R18" s="28" t="str">
        <f t="shared" si="3"/>
        <v>GAVIN DARREL ZYWANTA</v>
      </c>
      <c r="S18" s="28" t="str">
        <f t="shared" si="4"/>
        <v>MUHAMMAD RAFFA NUR RAMADHAN</v>
      </c>
      <c r="T18" s="22">
        <f t="shared" si="5"/>
        <v>4950000</v>
      </c>
      <c r="U18" s="22">
        <f t="shared" si="6"/>
        <v>1000000</v>
      </c>
      <c r="V18" s="22">
        <f t="shared" si="7"/>
        <v>0</v>
      </c>
      <c r="W18" s="22">
        <f t="shared" si="8"/>
        <v>5950000</v>
      </c>
      <c r="X18" s="32">
        <v>6.0</v>
      </c>
    </row>
    <row r="19">
      <c r="A19" s="27">
        <f>IFERROR(__xludf.DUMMYFUNCTION("""COMPUTED_VALUE"""),18.0)</f>
        <v>18</v>
      </c>
      <c r="B19" s="28" t="str">
        <f>IFERROR(__xludf.DUMMYFUNCTION("""COMPUTED_VALUE"""),"GHULAM AURELIO BHADRIKA")</f>
        <v>GHULAM AURELIO BHADRIKA</v>
      </c>
      <c r="C19" s="28">
        <f>IFERROR(__xludf.DUMMYFUNCTION("""COMPUTED_VALUE"""),2.025070553E9)</f>
        <v>2025070553</v>
      </c>
      <c r="D19" s="27" t="str">
        <f>IFERROR(__xludf.DUMMYFUNCTION("""COMPUTED_VALUE"""),"A")</f>
        <v>A</v>
      </c>
      <c r="E19" s="27" t="str">
        <f>IFERROR(__xludf.DUMMYFUNCTION("""COMPUTED_VALUE"""),"A-1")</f>
        <v>A-1</v>
      </c>
      <c r="F19" s="31">
        <f>IFERROR(__xludf.DUMMYFUNCTION("""COMPUTED_VALUE"""),2.0)</f>
        <v>2</v>
      </c>
      <c r="G19" s="27" t="str">
        <f>IFERROR(__xludf.DUMMYFUNCTION("""COMPUTED_VALUE"""),"2 ULA B PUTRA")</f>
        <v>2 ULA B PUTRA</v>
      </c>
      <c r="H19" s="28" t="str">
        <f>IFERROR(__xludf.DUMMYFUNCTION("""COMPUTED_VALUE"""),"MTS-8 F")</f>
        <v>MTS-8 F</v>
      </c>
      <c r="I19" s="28" t="str">
        <f>IFERROR(__xludf.DUMMYFUNCTION("""COMPUTED_VALUE"""),"SEPTINING WULANDARI")</f>
        <v>SEPTINING WULANDARI</v>
      </c>
      <c r="J19" s="28" t="str">
        <f>IFERROR(__xludf.DUMMYFUNCTION("""COMPUTED_VALUE"""),"TANJUNG RT 001 RW 002 LAMONGAN LAMONGAN")</f>
        <v>TANJUNG RT 001 RW 002 LAMONGAN LAMONGAN</v>
      </c>
      <c r="K19" s="28" t="str">
        <f>IFERROR(__xludf.DUMMYFUNCTION("""COMPUTED_VALUE"""),"628561750784")</f>
        <v>628561750784</v>
      </c>
      <c r="L19" s="22">
        <f>IFERROR(__xludf.DUMMYFUNCTION("""COMPUTED_VALUE"""),0.0)</f>
        <v>0</v>
      </c>
      <c r="M19" s="22">
        <f>IFERROR(__xludf.DUMMYFUNCTION("""COMPUTED_VALUE"""),1000000.0)</f>
        <v>1000000</v>
      </c>
      <c r="N19" s="22">
        <f>IFERROR(__xludf.DUMMYFUNCTION("""COMPUTED_VALUE"""),0.0)</f>
        <v>0</v>
      </c>
      <c r="O19" s="22">
        <f>IFERROR(__xludf.DUMMYFUNCTION("""COMPUTED_VALUE"""),1000000.0)</f>
        <v>1000000</v>
      </c>
      <c r="P19" s="28" t="str">
        <f t="shared" si="1"/>
        <v>LUNAS</v>
      </c>
      <c r="Q19" s="28">
        <f t="shared" si="2"/>
        <v>68</v>
      </c>
      <c r="R19" s="28" t="str">
        <f t="shared" si="3"/>
        <v>GHULAM AURELIO BHADRIKA</v>
      </c>
      <c r="S19" s="28" t="str">
        <f t="shared" si="4"/>
        <v>AHMAD BAKER ADLAN</v>
      </c>
      <c r="T19" s="22">
        <f t="shared" si="5"/>
        <v>4950000</v>
      </c>
      <c r="U19" s="22">
        <f t="shared" si="6"/>
        <v>1000000</v>
      </c>
      <c r="V19" s="22">
        <f t="shared" si="7"/>
        <v>0</v>
      </c>
      <c r="W19" s="22">
        <f t="shared" si="8"/>
        <v>5950000</v>
      </c>
      <c r="X19" s="32">
        <v>7.0</v>
      </c>
    </row>
    <row r="20">
      <c r="A20" s="27">
        <f>IFERROR(__xludf.DUMMYFUNCTION("""COMPUTED_VALUE"""),19.0)</f>
        <v>19</v>
      </c>
      <c r="B20" s="28" t="str">
        <f>IFERROR(__xludf.DUMMYFUNCTION("""COMPUTED_VALUE"""),"JABHAL ARZAD AL HUSAIN")</f>
        <v>JABHAL ARZAD AL HUSAIN</v>
      </c>
      <c r="C20" s="28">
        <f>IFERROR(__xludf.DUMMYFUNCTION("""COMPUTED_VALUE"""),2.025070583E9)</f>
        <v>2025070583</v>
      </c>
      <c r="D20" s="27" t="str">
        <f>IFERROR(__xludf.DUMMYFUNCTION("""COMPUTED_VALUE"""),"A")</f>
        <v>A</v>
      </c>
      <c r="E20" s="27" t="str">
        <f>IFERROR(__xludf.DUMMYFUNCTION("""COMPUTED_VALUE"""),"A-1")</f>
        <v>A-1</v>
      </c>
      <c r="F20" s="31">
        <f>IFERROR(__xludf.DUMMYFUNCTION("""COMPUTED_VALUE"""),2.0)</f>
        <v>2</v>
      </c>
      <c r="G20" s="27" t="str">
        <f>IFERROR(__xludf.DUMMYFUNCTION("""COMPUTED_VALUE"""),"2 ULA B PUTRA")</f>
        <v>2 ULA B PUTRA</v>
      </c>
      <c r="H20" s="28" t="str">
        <f>IFERROR(__xludf.DUMMYFUNCTION("""COMPUTED_VALUE"""),"MTS-8 E")</f>
        <v>MTS-8 E</v>
      </c>
      <c r="I20" s="28" t="str">
        <f>IFERROR(__xludf.DUMMYFUNCTION("""COMPUTED_VALUE"""),"SUNARTI")</f>
        <v>SUNARTI</v>
      </c>
      <c r="J20" s="28" t="str">
        <f>IFERROR(__xludf.DUMMYFUNCTION("""COMPUTED_VALUE"""),"KEBONANANOM RT 003 RW 002 GEDANGAN SIDOARJO")</f>
        <v>KEBONANANOM RT 003 RW 002 GEDANGAN SIDOARJO</v>
      </c>
      <c r="K20" s="28" t="str">
        <f>IFERROR(__xludf.DUMMYFUNCTION("""COMPUTED_VALUE"""),"6281286606782")</f>
        <v>6281286606782</v>
      </c>
      <c r="L20" s="22">
        <f>IFERROR(__xludf.DUMMYFUNCTION("""COMPUTED_VALUE"""),0.0)</f>
        <v>0</v>
      </c>
      <c r="M20" s="22">
        <f>IFERROR(__xludf.DUMMYFUNCTION("""COMPUTED_VALUE"""),1000000.0)</f>
        <v>1000000</v>
      </c>
      <c r="N20" s="22">
        <f>IFERROR(__xludf.DUMMYFUNCTION("""COMPUTED_VALUE"""),0.0)</f>
        <v>0</v>
      </c>
      <c r="O20" s="22">
        <f>IFERROR(__xludf.DUMMYFUNCTION("""COMPUTED_VALUE"""),1000000.0)</f>
        <v>1000000</v>
      </c>
      <c r="P20" s="28" t="str">
        <f t="shared" si="1"/>
        <v>LUNAS</v>
      </c>
      <c r="Q20" s="28">
        <f t="shared" si="2"/>
        <v>69</v>
      </c>
      <c r="R20" s="28" t="str">
        <f t="shared" si="3"/>
        <v>JABHAL ARZAD AL HUSAIN</v>
      </c>
      <c r="S20" s="28" t="str">
        <f t="shared" si="4"/>
        <v>ANDIKA CAHYO BUDI LAKSONO</v>
      </c>
      <c r="T20" s="22">
        <f t="shared" si="5"/>
        <v>4950000</v>
      </c>
      <c r="U20" s="22">
        <f t="shared" si="6"/>
        <v>1000000</v>
      </c>
      <c r="V20" s="22">
        <f t="shared" si="7"/>
        <v>0</v>
      </c>
      <c r="W20" s="22">
        <f t="shared" si="8"/>
        <v>5950000</v>
      </c>
      <c r="X20" s="32">
        <v>8.0</v>
      </c>
    </row>
    <row r="21">
      <c r="A21" s="27">
        <f>IFERROR(__xludf.DUMMYFUNCTION("""COMPUTED_VALUE"""),20.0)</f>
        <v>20</v>
      </c>
      <c r="B21" s="28" t="str">
        <f>IFERROR(__xludf.DUMMYFUNCTION("""COMPUTED_VALUE"""),"KAKA MAULANA AHMAD AL KAHFI")</f>
        <v>KAKA MAULANA AHMAD AL KAHFI</v>
      </c>
      <c r="C21" s="28">
        <f>IFERROR(__xludf.DUMMYFUNCTION("""COMPUTED_VALUE"""),2.025070639E9)</f>
        <v>2025070639</v>
      </c>
      <c r="D21" s="27" t="str">
        <f>IFERROR(__xludf.DUMMYFUNCTION("""COMPUTED_VALUE"""),"A")</f>
        <v>A</v>
      </c>
      <c r="E21" s="27" t="str">
        <f>IFERROR(__xludf.DUMMYFUNCTION("""COMPUTED_VALUE"""),"A-1")</f>
        <v>A-1</v>
      </c>
      <c r="F21" s="31">
        <f>IFERROR(__xludf.DUMMYFUNCTION("""COMPUTED_VALUE"""),2.0)</f>
        <v>2</v>
      </c>
      <c r="G21" s="27" t="str">
        <f>IFERROR(__xludf.DUMMYFUNCTION("""COMPUTED_VALUE"""),"2 ULA B PUTRA")</f>
        <v>2 ULA B PUTRA</v>
      </c>
      <c r="H21" s="28" t="str">
        <f>IFERROR(__xludf.DUMMYFUNCTION("""COMPUTED_VALUE"""),"MTS-8 B")</f>
        <v>MTS-8 B</v>
      </c>
      <c r="I21" s="28" t="str">
        <f>IFERROR(__xludf.DUMMYFUNCTION("""COMPUTED_VALUE"""),"I`ANATUS SA`ADAH")</f>
        <v>I`ANATUS SA`ADAH</v>
      </c>
      <c r="J21" s="28" t="str">
        <f>IFERROR(__xludf.DUMMYFUNCTION("""COMPUTED_VALUE"""),"PADENGANPLOSO RT 006 RW 001 PUCUK LAMONGAN")</f>
        <v>PADENGANPLOSO RT 006 RW 001 PUCUK LAMONGAN</v>
      </c>
      <c r="K21" s="28" t="str">
        <f>IFERROR(__xludf.DUMMYFUNCTION("""COMPUTED_VALUE"""),"6285854881555")</f>
        <v>6285854881555</v>
      </c>
      <c r="L21" s="22">
        <f>IFERROR(__xludf.DUMMYFUNCTION("""COMPUTED_VALUE"""),900000.0)</f>
        <v>900000</v>
      </c>
      <c r="M21" s="22">
        <f>IFERROR(__xludf.DUMMYFUNCTION("""COMPUTED_VALUE"""),1000000.0)</f>
        <v>1000000</v>
      </c>
      <c r="N21" s="22">
        <f>IFERROR(__xludf.DUMMYFUNCTION("""COMPUTED_VALUE"""),0.0)</f>
        <v>0</v>
      </c>
      <c r="O21" s="22">
        <f>IFERROR(__xludf.DUMMYFUNCTION("""COMPUTED_VALUE"""),1900000.0)</f>
        <v>1900000</v>
      </c>
      <c r="P21" s="28" t="str">
        <f t="shared" si="1"/>
        <v>LUNAS</v>
      </c>
      <c r="Q21" s="28">
        <f t="shared" si="2"/>
        <v>36</v>
      </c>
      <c r="R21" s="28" t="str">
        <f t="shared" si="3"/>
        <v>KAKA MAULANA AHMAD AL KAHFI</v>
      </c>
      <c r="S21" s="28" t="str">
        <f t="shared" si="4"/>
        <v>MOHAMAD NOVAL JALALUDIN</v>
      </c>
      <c r="T21" s="22">
        <f t="shared" si="5"/>
        <v>4950000</v>
      </c>
      <c r="U21" s="22">
        <f t="shared" si="6"/>
        <v>1000000</v>
      </c>
      <c r="V21" s="22">
        <f t="shared" si="7"/>
        <v>0</v>
      </c>
      <c r="W21" s="22">
        <f t="shared" si="8"/>
        <v>5950000</v>
      </c>
      <c r="X21" s="32">
        <v>9.0</v>
      </c>
    </row>
    <row r="22">
      <c r="A22" s="27">
        <f>IFERROR(__xludf.DUMMYFUNCTION("""COMPUTED_VALUE"""),21.0)</f>
        <v>21</v>
      </c>
      <c r="B22" s="28" t="str">
        <f>IFERROR(__xludf.DUMMYFUNCTION("""COMPUTED_VALUE"""),"MOH. ELMAR NAFARIL HANIS")</f>
        <v>MOH. ELMAR NAFARIL HANIS</v>
      </c>
      <c r="C22" s="28">
        <f>IFERROR(__xludf.DUMMYFUNCTION("""COMPUTED_VALUE"""),2.025070616E9)</f>
        <v>2025070616</v>
      </c>
      <c r="D22" s="27" t="str">
        <f>IFERROR(__xludf.DUMMYFUNCTION("""COMPUTED_VALUE"""),"A")</f>
        <v>A</v>
      </c>
      <c r="E22" s="27" t="str">
        <f>IFERROR(__xludf.DUMMYFUNCTION("""COMPUTED_VALUE"""),"A-1")</f>
        <v>A-1</v>
      </c>
      <c r="F22" s="31">
        <f>IFERROR(__xludf.DUMMYFUNCTION("""COMPUTED_VALUE"""),2.0)</f>
        <v>2</v>
      </c>
      <c r="G22" s="27" t="str">
        <f>IFERROR(__xludf.DUMMYFUNCTION("""COMPUTED_VALUE"""),"2 ULA B PUTRA")</f>
        <v>2 ULA B PUTRA</v>
      </c>
      <c r="H22" s="28" t="str">
        <f>IFERROR(__xludf.DUMMYFUNCTION("""COMPUTED_VALUE"""),"MTS-8 E")</f>
        <v>MTS-8 E</v>
      </c>
      <c r="I22" s="28" t="str">
        <f>IFERROR(__xludf.DUMMYFUNCTION("""COMPUTED_VALUE"""),"SITI NISWATUN HASANAH")</f>
        <v>SITI NISWATUN HASANAH</v>
      </c>
      <c r="J22" s="28" t="str">
        <f>IFERROR(__xludf.DUMMYFUNCTION("""COMPUTED_VALUE"""),"DATINAWONG RT 001 RW 006 BABAT LAMONGAN")</f>
        <v>DATINAWONG RT 001 RW 006 BABAT LAMONGAN</v>
      </c>
      <c r="K22" s="28" t="str">
        <f>IFERROR(__xludf.DUMMYFUNCTION("""COMPUTED_VALUE"""),"6281332384248")</f>
        <v>6281332384248</v>
      </c>
      <c r="L22" s="22">
        <f>IFERROR(__xludf.DUMMYFUNCTION("""COMPUTED_VALUE"""),0.0)</f>
        <v>0</v>
      </c>
      <c r="M22" s="22">
        <f>IFERROR(__xludf.DUMMYFUNCTION("""COMPUTED_VALUE"""),0.0)</f>
        <v>0</v>
      </c>
      <c r="N22" s="22">
        <f>IFERROR(__xludf.DUMMYFUNCTION("""COMPUTED_VALUE"""),0.0)</f>
        <v>0</v>
      </c>
      <c r="O22" s="22">
        <f>IFERROR(__xludf.DUMMYFUNCTION("""COMPUTED_VALUE"""),0.0)</f>
        <v>0</v>
      </c>
      <c r="P22" s="28" t="str">
        <f t="shared" si="1"/>
        <v>LUNAS</v>
      </c>
      <c r="Q22" s="28">
        <f t="shared" si="2"/>
        <v>155</v>
      </c>
      <c r="R22" s="28" t="str">
        <f t="shared" si="3"/>
        <v>MOH. ELMAR NAFARIL HANIS</v>
      </c>
      <c r="S22" s="28" t="str">
        <f t="shared" si="4"/>
        <v>AHMAD HABIBUR RAHMAN</v>
      </c>
      <c r="T22" s="22">
        <f t="shared" si="5"/>
        <v>4050000</v>
      </c>
      <c r="U22" s="22">
        <f t="shared" si="6"/>
        <v>1600000</v>
      </c>
      <c r="V22" s="22">
        <f t="shared" si="7"/>
        <v>0</v>
      </c>
      <c r="W22" s="22">
        <f t="shared" si="8"/>
        <v>5650000</v>
      </c>
      <c r="X22" s="32">
        <v>10.0</v>
      </c>
    </row>
    <row r="23">
      <c r="A23" s="27">
        <f>IFERROR(__xludf.DUMMYFUNCTION("""COMPUTED_VALUE"""),22.0)</f>
        <v>22</v>
      </c>
      <c r="B23" s="28" t="str">
        <f>IFERROR(__xludf.DUMMYFUNCTION("""COMPUTED_VALUE"""),"MOH. FAUQON HALWANI")</f>
        <v>MOH. FAUQON HALWANI</v>
      </c>
      <c r="C23" s="28">
        <f>IFERROR(__xludf.DUMMYFUNCTION("""COMPUTED_VALUE"""),2.025070564E9)</f>
        <v>2025070564</v>
      </c>
      <c r="D23" s="27" t="str">
        <f>IFERROR(__xludf.DUMMYFUNCTION("""COMPUTED_VALUE"""),"A")</f>
        <v>A</v>
      </c>
      <c r="E23" s="27" t="str">
        <f>IFERROR(__xludf.DUMMYFUNCTION("""COMPUTED_VALUE"""),"A-1")</f>
        <v>A-1</v>
      </c>
      <c r="F23" s="31">
        <f>IFERROR(__xludf.DUMMYFUNCTION("""COMPUTED_VALUE"""),2.0)</f>
        <v>2</v>
      </c>
      <c r="G23" s="27" t="str">
        <f>IFERROR(__xludf.DUMMYFUNCTION("""COMPUTED_VALUE"""),"2 ULA B PUTRA")</f>
        <v>2 ULA B PUTRA</v>
      </c>
      <c r="H23" s="28" t="str">
        <f>IFERROR(__xludf.DUMMYFUNCTION("""COMPUTED_VALUE"""),"MTS-8 F")</f>
        <v>MTS-8 F</v>
      </c>
      <c r="I23" s="28" t="str">
        <f>IFERROR(__xludf.DUMMYFUNCTION("""COMPUTED_VALUE"""),"AMALIATIN")</f>
        <v>AMALIATIN</v>
      </c>
      <c r="J23" s="28" t="str">
        <f>IFERROR(__xludf.DUMMYFUNCTION("""COMPUTED_VALUE"""),"KIRINGAN BERASAN KEMLAGILOR RT 004 RW 003 TURI LAMONGAN")</f>
        <v>KIRINGAN BERASAN KEMLAGILOR RT 004 RW 003 TURI LAMONGAN</v>
      </c>
      <c r="K23" s="28" t="str">
        <f>IFERROR(__xludf.DUMMYFUNCTION("""COMPUTED_VALUE"""),"6285806002627")</f>
        <v>6285806002627</v>
      </c>
      <c r="L23" s="22">
        <f>IFERROR(__xludf.DUMMYFUNCTION("""COMPUTED_VALUE"""),2250000.0)</f>
        <v>2250000</v>
      </c>
      <c r="M23" s="22">
        <f>IFERROR(__xludf.DUMMYFUNCTION("""COMPUTED_VALUE"""),1000000.0)</f>
        <v>1000000</v>
      </c>
      <c r="N23" s="22">
        <f>IFERROR(__xludf.DUMMYFUNCTION("""COMPUTED_VALUE"""),0.0)</f>
        <v>0</v>
      </c>
      <c r="O23" s="22">
        <f>IFERROR(__xludf.DUMMYFUNCTION("""COMPUTED_VALUE"""),3250000.0)</f>
        <v>3250000</v>
      </c>
      <c r="P23" s="28" t="str">
        <f t="shared" si="1"/>
        <v>LUNAS</v>
      </c>
      <c r="Q23" s="28">
        <f t="shared" si="2"/>
        <v>26</v>
      </c>
      <c r="R23" s="28" t="str">
        <f t="shared" si="3"/>
        <v>MOH. FAUQON HALWANI</v>
      </c>
    </row>
    <row r="24">
      <c r="A24" s="27">
        <f>IFERROR(__xludf.DUMMYFUNCTION("""COMPUTED_VALUE"""),23.0)</f>
        <v>23</v>
      </c>
      <c r="B24" s="28" t="str">
        <f>IFERROR(__xludf.DUMMYFUNCTION("""COMPUTED_VALUE"""),"MOHAMMAD RISWANDA IMAWAN")</f>
        <v>MOHAMMAD RISWANDA IMAWAN</v>
      </c>
      <c r="C24" s="28">
        <f>IFERROR(__xludf.DUMMYFUNCTION("""COMPUTED_VALUE"""),2.025070623E9)</f>
        <v>2025070623</v>
      </c>
      <c r="D24" s="27" t="str">
        <f>IFERROR(__xludf.DUMMYFUNCTION("""COMPUTED_VALUE"""),"A")</f>
        <v>A</v>
      </c>
      <c r="E24" s="27" t="str">
        <f>IFERROR(__xludf.DUMMYFUNCTION("""COMPUTED_VALUE"""),"A-1")</f>
        <v>A-1</v>
      </c>
      <c r="F24" s="31">
        <f>IFERROR(__xludf.DUMMYFUNCTION("""COMPUTED_VALUE"""),2.0)</f>
        <v>2</v>
      </c>
      <c r="G24" s="27" t="str">
        <f>IFERROR(__xludf.DUMMYFUNCTION("""COMPUTED_VALUE"""),"2 ULA B PUTRA")</f>
        <v>2 ULA B PUTRA</v>
      </c>
      <c r="H24" s="28" t="str">
        <f>IFERROR(__xludf.DUMMYFUNCTION("""COMPUTED_VALUE"""),"MTS-8 F")</f>
        <v>MTS-8 F</v>
      </c>
      <c r="I24" s="28" t="str">
        <f>IFERROR(__xludf.DUMMYFUNCTION("""COMPUTED_VALUE"""),"MUSANATUN")</f>
        <v>MUSANATUN</v>
      </c>
      <c r="J24" s="28" t="str">
        <f>IFERROR(__xludf.DUMMYFUNCTION("""COMPUTED_VALUE"""),"KULURAN RT 005 RW 001 KALITENGAH LAMONGAN")</f>
        <v>KULURAN RT 005 RW 001 KALITENGAH LAMONGAN</v>
      </c>
      <c r="K24" s="28" t="str">
        <f>IFERROR(__xludf.DUMMYFUNCTION("""COMPUTED_VALUE"""),"6285604160825")</f>
        <v>6285604160825</v>
      </c>
      <c r="L24" s="22">
        <f>IFERROR(__xludf.DUMMYFUNCTION("""COMPUTED_VALUE"""),3600000.0)</f>
        <v>3600000</v>
      </c>
      <c r="M24" s="22">
        <f>IFERROR(__xludf.DUMMYFUNCTION("""COMPUTED_VALUE"""),500000.0)</f>
        <v>500000</v>
      </c>
      <c r="N24" s="22">
        <f>IFERROR(__xludf.DUMMYFUNCTION("""COMPUTED_VALUE"""),0.0)</f>
        <v>0</v>
      </c>
      <c r="O24" s="22">
        <f>IFERROR(__xludf.DUMMYFUNCTION("""COMPUTED_VALUE"""),4100000.0)</f>
        <v>4100000</v>
      </c>
      <c r="P24" s="28" t="str">
        <f t="shared" si="1"/>
        <v>LUNAS</v>
      </c>
      <c r="Q24" s="28">
        <f t="shared" si="2"/>
        <v>22</v>
      </c>
      <c r="R24" s="28" t="str">
        <f t="shared" si="3"/>
        <v>MOHAMMAD RISWANDA IMAWAN</v>
      </c>
    </row>
    <row r="25">
      <c r="A25" s="27">
        <f>IFERROR(__xludf.DUMMYFUNCTION("""COMPUTED_VALUE"""),24.0)</f>
        <v>24</v>
      </c>
      <c r="B25" s="28" t="str">
        <f>IFERROR(__xludf.DUMMYFUNCTION("""COMPUTED_VALUE"""),"MUHAMMAD DZAKY MUBARAK")</f>
        <v>MUHAMMAD DZAKY MUBARAK</v>
      </c>
      <c r="C25" s="28">
        <f>IFERROR(__xludf.DUMMYFUNCTION("""COMPUTED_VALUE"""),2.025070471E9)</f>
        <v>2025070471</v>
      </c>
      <c r="D25" s="27" t="str">
        <f>IFERROR(__xludf.DUMMYFUNCTION("""COMPUTED_VALUE"""),"A")</f>
        <v>A</v>
      </c>
      <c r="E25" s="27" t="str">
        <f>IFERROR(__xludf.DUMMYFUNCTION("""COMPUTED_VALUE"""),"A-1")</f>
        <v>A-1</v>
      </c>
      <c r="F25" s="31">
        <f>IFERROR(__xludf.DUMMYFUNCTION("""COMPUTED_VALUE"""),2.0)</f>
        <v>2</v>
      </c>
      <c r="G25" s="27" t="str">
        <f>IFERROR(__xludf.DUMMYFUNCTION("""COMPUTED_VALUE"""),"2 ULA B PUTRA")</f>
        <v>2 ULA B PUTRA</v>
      </c>
      <c r="H25" s="28" t="str">
        <f>IFERROR(__xludf.DUMMYFUNCTION("""COMPUTED_VALUE"""),"SMP-VIII C")</f>
        <v>SMP-VIII C</v>
      </c>
      <c r="I25" s="28" t="str">
        <f>IFERROR(__xludf.DUMMYFUNCTION("""COMPUTED_VALUE"""),"NIHAYATUL KHIJJAH")</f>
        <v>NIHAYATUL KHIJJAH</v>
      </c>
      <c r="J25" s="28" t="str">
        <f>IFERROR(__xludf.DUMMYFUNCTION("""COMPUTED_VALUE"""),"KARANGAGUNG RT 003 RW 001 GLAGAH LAMONGAN")</f>
        <v>KARANGAGUNG RT 003 RW 001 GLAGAH LAMONGAN</v>
      </c>
      <c r="K25" s="28" t="str">
        <f>IFERROR(__xludf.DUMMYFUNCTION("""COMPUTED_VALUE"""),"6281230649991")</f>
        <v>6281230649991</v>
      </c>
      <c r="L25" s="22">
        <f>IFERROR(__xludf.DUMMYFUNCTION("""COMPUTED_VALUE"""),0.0)</f>
        <v>0</v>
      </c>
      <c r="M25" s="22">
        <f>IFERROR(__xludf.DUMMYFUNCTION("""COMPUTED_VALUE"""),500000.0)</f>
        <v>500000</v>
      </c>
      <c r="N25" s="22">
        <f>IFERROR(__xludf.DUMMYFUNCTION("""COMPUTED_VALUE"""),0.0)</f>
        <v>0</v>
      </c>
      <c r="O25" s="22">
        <f>IFERROR(__xludf.DUMMYFUNCTION("""COMPUTED_VALUE"""),500000.0)</f>
        <v>500000</v>
      </c>
      <c r="P25" s="28" t="str">
        <f t="shared" si="1"/>
        <v>LUNAS</v>
      </c>
      <c r="Q25" s="28">
        <f t="shared" si="2"/>
        <v>119</v>
      </c>
      <c r="R25" s="28" t="str">
        <f t="shared" si="3"/>
        <v>MUHAMMAD DZAKY MUBARAK</v>
      </c>
    </row>
    <row r="26">
      <c r="A26" s="27">
        <f>IFERROR(__xludf.DUMMYFUNCTION("""COMPUTED_VALUE"""),25.0)</f>
        <v>25</v>
      </c>
      <c r="B26" s="28" t="str">
        <f>IFERROR(__xludf.DUMMYFUNCTION("""COMPUTED_VALUE"""),"MUHAMMAD FAIRUS NADHIR AMRULLAH")</f>
        <v>MUHAMMAD FAIRUS NADHIR AMRULLAH</v>
      </c>
      <c r="C26" s="28">
        <f>IFERROR(__xludf.DUMMYFUNCTION("""COMPUTED_VALUE"""),2.025070555E9)</f>
        <v>2025070555</v>
      </c>
      <c r="D26" s="27" t="str">
        <f>IFERROR(__xludf.DUMMYFUNCTION("""COMPUTED_VALUE"""),"A")</f>
        <v>A</v>
      </c>
      <c r="E26" s="27" t="str">
        <f>IFERROR(__xludf.DUMMYFUNCTION("""COMPUTED_VALUE"""),"A-1")</f>
        <v>A-1</v>
      </c>
      <c r="F26" s="31">
        <f>IFERROR(__xludf.DUMMYFUNCTION("""COMPUTED_VALUE"""),2.0)</f>
        <v>2</v>
      </c>
      <c r="G26" s="27" t="str">
        <f>IFERROR(__xludf.DUMMYFUNCTION("""COMPUTED_VALUE"""),"2 ULA B PUTRA")</f>
        <v>2 ULA B PUTRA</v>
      </c>
      <c r="H26" s="28" t="str">
        <f>IFERROR(__xludf.DUMMYFUNCTION("""COMPUTED_VALUE"""),"MTS-8 G")</f>
        <v>MTS-8 G</v>
      </c>
      <c r="I26" s="28" t="str">
        <f>IFERROR(__xludf.DUMMYFUNCTION("""COMPUTED_VALUE"""),"LAILATUL MUNAWAROH")</f>
        <v>LAILATUL MUNAWAROH</v>
      </c>
      <c r="J26" s="28" t="str">
        <f>IFERROR(__xludf.DUMMYFUNCTION("""COMPUTED_VALUE"""),"SAWO RT 008 RW 004 DUKUN GRESIK")</f>
        <v>SAWO RT 008 RW 004 DUKUN GRESIK</v>
      </c>
      <c r="K26" s="28" t="str">
        <f>IFERROR(__xludf.DUMMYFUNCTION("""COMPUTED_VALUE"""),"6285733603080")</f>
        <v>6285733603080</v>
      </c>
      <c r="L26" s="22">
        <f>IFERROR(__xludf.DUMMYFUNCTION("""COMPUTED_VALUE"""),0.0)</f>
        <v>0</v>
      </c>
      <c r="M26" s="22">
        <f>IFERROR(__xludf.DUMMYFUNCTION("""COMPUTED_VALUE"""),1000000.0)</f>
        <v>1000000</v>
      </c>
      <c r="N26" s="22">
        <f>IFERROR(__xludf.DUMMYFUNCTION("""COMPUTED_VALUE"""),0.0)</f>
        <v>0</v>
      </c>
      <c r="O26" s="22">
        <f>IFERROR(__xludf.DUMMYFUNCTION("""COMPUTED_VALUE"""),1000000.0)</f>
        <v>1000000</v>
      </c>
      <c r="P26" s="28" t="str">
        <f t="shared" si="1"/>
        <v>LUNAS</v>
      </c>
      <c r="Q26" s="28">
        <f t="shared" si="2"/>
        <v>70</v>
      </c>
      <c r="R26" s="28" t="str">
        <f t="shared" si="3"/>
        <v>MUHAMMAD FAIRUS NADHIR AMRULLAH</v>
      </c>
    </row>
    <row r="27">
      <c r="A27" s="27">
        <f>IFERROR(__xludf.DUMMYFUNCTION("""COMPUTED_VALUE"""),26.0)</f>
        <v>26</v>
      </c>
      <c r="B27" s="28" t="str">
        <f>IFERROR(__xludf.DUMMYFUNCTION("""COMPUTED_VALUE"""),"MUHAMMAD RAUUF MAULANA")</f>
        <v>MUHAMMAD RAUUF MAULANA</v>
      </c>
      <c r="C27" s="28">
        <f>IFERROR(__xludf.DUMMYFUNCTION("""COMPUTED_VALUE"""),2.025070497E9)</f>
        <v>2025070497</v>
      </c>
      <c r="D27" s="27" t="str">
        <f>IFERROR(__xludf.DUMMYFUNCTION("""COMPUTED_VALUE"""),"A")</f>
        <v>A</v>
      </c>
      <c r="E27" s="27" t="str">
        <f>IFERROR(__xludf.DUMMYFUNCTION("""COMPUTED_VALUE"""),"A-1")</f>
        <v>A-1</v>
      </c>
      <c r="F27" s="31">
        <f>IFERROR(__xludf.DUMMYFUNCTION("""COMPUTED_VALUE"""),2.0)</f>
        <v>2</v>
      </c>
      <c r="G27" s="27" t="str">
        <f>IFERROR(__xludf.DUMMYFUNCTION("""COMPUTED_VALUE"""),"2 ULA B PUTRA")</f>
        <v>2 ULA B PUTRA</v>
      </c>
      <c r="H27" s="28" t="str">
        <f>IFERROR(__xludf.DUMMYFUNCTION("""COMPUTED_VALUE"""),"MTS-8 F")</f>
        <v>MTS-8 F</v>
      </c>
      <c r="I27" s="28" t="str">
        <f>IFERROR(__xludf.DUMMYFUNCTION("""COMPUTED_VALUE"""),"DEWI WAHYUNINGSIH")</f>
        <v>DEWI WAHYUNINGSIH</v>
      </c>
      <c r="J27" s="28" t="str">
        <f>IFERROR(__xludf.DUMMYFUNCTION("""COMPUTED_VALUE"""),"SUKOMULYO RT 005 RW 003 LAMONGAN LAMONGAN")</f>
        <v>SUKOMULYO RT 005 RW 003 LAMONGAN LAMONGAN</v>
      </c>
      <c r="K27" s="28" t="str">
        <f>IFERROR(__xludf.DUMMYFUNCTION("""COMPUTED_VALUE"""),"6288741091429")</f>
        <v>6288741091429</v>
      </c>
      <c r="L27" s="22">
        <f>IFERROR(__xludf.DUMMYFUNCTION("""COMPUTED_VALUE"""),0.0)</f>
        <v>0</v>
      </c>
      <c r="M27" s="22">
        <f>IFERROR(__xludf.DUMMYFUNCTION("""COMPUTED_VALUE"""),1000000.0)</f>
        <v>1000000</v>
      </c>
      <c r="N27" s="22">
        <f>IFERROR(__xludf.DUMMYFUNCTION("""COMPUTED_VALUE"""),0.0)</f>
        <v>0</v>
      </c>
      <c r="O27" s="22">
        <f>IFERROR(__xludf.DUMMYFUNCTION("""COMPUTED_VALUE"""),1000000.0)</f>
        <v>1000000</v>
      </c>
      <c r="P27" s="28" t="str">
        <f t="shared" si="1"/>
        <v>LUNAS</v>
      </c>
      <c r="Q27" s="28">
        <f t="shared" si="2"/>
        <v>71</v>
      </c>
      <c r="R27" s="28" t="str">
        <f t="shared" si="3"/>
        <v>MUHAMMAD RAUUF MAULANA</v>
      </c>
    </row>
    <row r="28">
      <c r="A28" s="27">
        <f>IFERROR(__xludf.DUMMYFUNCTION("""COMPUTED_VALUE"""),27.0)</f>
        <v>27</v>
      </c>
      <c r="B28" s="28" t="str">
        <f>IFERROR(__xludf.DUMMYFUNCTION("""COMPUTED_VALUE"""),"MUHAMMAD ZIDAN SAPUTRA")</f>
        <v>MUHAMMAD ZIDAN SAPUTRA</v>
      </c>
      <c r="C28" s="28">
        <f>IFERROR(__xludf.DUMMYFUNCTION("""COMPUTED_VALUE"""),2.025070577E9)</f>
        <v>2025070577</v>
      </c>
      <c r="D28" s="27" t="str">
        <f>IFERROR(__xludf.DUMMYFUNCTION("""COMPUTED_VALUE"""),"A")</f>
        <v>A</v>
      </c>
      <c r="E28" s="27" t="str">
        <f>IFERROR(__xludf.DUMMYFUNCTION("""COMPUTED_VALUE"""),"A-1")</f>
        <v>A-1</v>
      </c>
      <c r="F28" s="31">
        <f>IFERROR(__xludf.DUMMYFUNCTION("""COMPUTED_VALUE"""),2.0)</f>
        <v>2</v>
      </c>
      <c r="G28" s="27" t="str">
        <f>IFERROR(__xludf.DUMMYFUNCTION("""COMPUTED_VALUE"""),"2 ULA B PUTRA")</f>
        <v>2 ULA B PUTRA</v>
      </c>
      <c r="H28" s="28" t="str">
        <f>IFERROR(__xludf.DUMMYFUNCTION("""COMPUTED_VALUE"""),"MTS-8 E")</f>
        <v>MTS-8 E</v>
      </c>
      <c r="I28" s="28" t="str">
        <f>IFERROR(__xludf.DUMMYFUNCTION("""COMPUTED_VALUE"""),"NUR HIDAYATI")</f>
        <v>NUR HIDAYATI</v>
      </c>
      <c r="J28" s="28" t="str">
        <f>IFERROR(__xludf.DUMMYFUNCTION("""COMPUTED_VALUE"""),"BUTOREJO SIDOGEMBUL RT 002 RW 001 SUKODADI LAMONGAN")</f>
        <v>BUTOREJO SIDOGEMBUL RT 002 RW 001 SUKODADI LAMONGAN</v>
      </c>
      <c r="K28" s="28" t="str">
        <f>IFERROR(__xludf.DUMMYFUNCTION("""COMPUTED_VALUE"""),"6281283671417")</f>
        <v>6281283671417</v>
      </c>
      <c r="L28" s="22">
        <f>IFERROR(__xludf.DUMMYFUNCTION("""COMPUTED_VALUE"""),0.0)</f>
        <v>0</v>
      </c>
      <c r="M28" s="22">
        <f>IFERROR(__xludf.DUMMYFUNCTION("""COMPUTED_VALUE"""),500000.0)</f>
        <v>500000</v>
      </c>
      <c r="N28" s="22">
        <f>IFERROR(__xludf.DUMMYFUNCTION("""COMPUTED_VALUE"""),0.0)</f>
        <v>0</v>
      </c>
      <c r="O28" s="22">
        <f>IFERROR(__xludf.DUMMYFUNCTION("""COMPUTED_VALUE"""),500000.0)</f>
        <v>500000</v>
      </c>
      <c r="P28" s="28" t="str">
        <f t="shared" si="1"/>
        <v>LUNAS</v>
      </c>
      <c r="Q28" s="28">
        <f t="shared" si="2"/>
        <v>120</v>
      </c>
      <c r="R28" s="28" t="str">
        <f t="shared" si="3"/>
        <v>MUHAMMAD ZIDAN SAPUTRA</v>
      </c>
    </row>
    <row r="29">
      <c r="A29" s="27">
        <f>IFERROR(__xludf.DUMMYFUNCTION("""COMPUTED_VALUE"""),28.0)</f>
        <v>28</v>
      </c>
      <c r="B29" s="28" t="str">
        <f>IFERROR(__xludf.DUMMYFUNCTION("""COMPUTED_VALUE"""),"PUTRADANA ABDY ASY`ARY")</f>
        <v>PUTRADANA ABDY ASY`ARY</v>
      </c>
      <c r="C29" s="28">
        <f>IFERROR(__xludf.DUMMYFUNCTION("""COMPUTED_VALUE"""),2.025070608E9)</f>
        <v>2025070608</v>
      </c>
      <c r="D29" s="27" t="str">
        <f>IFERROR(__xludf.DUMMYFUNCTION("""COMPUTED_VALUE"""),"A")</f>
        <v>A</v>
      </c>
      <c r="E29" s="27" t="str">
        <f>IFERROR(__xludf.DUMMYFUNCTION("""COMPUTED_VALUE"""),"A-1")</f>
        <v>A-1</v>
      </c>
      <c r="F29" s="31">
        <f>IFERROR(__xludf.DUMMYFUNCTION("""COMPUTED_VALUE"""),2.0)</f>
        <v>2</v>
      </c>
      <c r="G29" s="27" t="str">
        <f>IFERROR(__xludf.DUMMYFUNCTION("""COMPUTED_VALUE"""),"2 ULA B PUTRA")</f>
        <v>2 ULA B PUTRA</v>
      </c>
      <c r="H29" s="28" t="str">
        <f>IFERROR(__xludf.DUMMYFUNCTION("""COMPUTED_VALUE"""),"MTS-8 F")</f>
        <v>MTS-8 F</v>
      </c>
      <c r="I29" s="28" t="str">
        <f>IFERROR(__xludf.DUMMYFUNCTION("""COMPUTED_VALUE"""),"KHOLIFATUL MA`RIFAH")</f>
        <v>KHOLIFATUL MA`RIFAH</v>
      </c>
      <c r="J29" s="28" t="str">
        <f>IFERROR(__xludf.DUMMYFUNCTION("""COMPUTED_VALUE"""),"KULURAN RT 004 RW 002 KALITENGAH LAMONGAN")</f>
        <v>KULURAN RT 004 RW 002 KALITENGAH LAMONGAN</v>
      </c>
      <c r="K29" s="28" t="str">
        <f>IFERROR(__xludf.DUMMYFUNCTION("""COMPUTED_VALUE"""),"6285790574521")</f>
        <v>6285790574521</v>
      </c>
      <c r="L29" s="22">
        <f>IFERROR(__xludf.DUMMYFUNCTION("""COMPUTED_VALUE"""),450000.0)</f>
        <v>450000</v>
      </c>
      <c r="M29" s="22">
        <f>IFERROR(__xludf.DUMMYFUNCTION("""COMPUTED_VALUE"""),1000000.0)</f>
        <v>1000000</v>
      </c>
      <c r="N29" s="22">
        <f>IFERROR(__xludf.DUMMYFUNCTION("""COMPUTED_VALUE"""),0.0)</f>
        <v>0</v>
      </c>
      <c r="O29" s="22">
        <f>IFERROR(__xludf.DUMMYFUNCTION("""COMPUTED_VALUE"""),1450000.0)</f>
        <v>1450000</v>
      </c>
      <c r="P29" s="28" t="str">
        <f t="shared" si="1"/>
        <v>LUNAS</v>
      </c>
      <c r="Q29" s="28">
        <f t="shared" si="2"/>
        <v>48</v>
      </c>
      <c r="R29" s="28" t="str">
        <f t="shared" si="3"/>
        <v>PUTRADANA ABDY ASY`ARY</v>
      </c>
    </row>
    <row r="30">
      <c r="A30" s="27">
        <f>IFERROR(__xludf.DUMMYFUNCTION("""COMPUTED_VALUE"""),29.0)</f>
        <v>29</v>
      </c>
      <c r="B30" s="28" t="str">
        <f>IFERROR(__xludf.DUMMYFUNCTION("""COMPUTED_VALUE"""),"SHOKHIBUL MUQSIT RAMADANI")</f>
        <v>SHOKHIBUL MUQSIT RAMADANI</v>
      </c>
      <c r="C30" s="28">
        <f>IFERROR(__xludf.DUMMYFUNCTION("""COMPUTED_VALUE"""),2.025070489E9)</f>
        <v>2025070489</v>
      </c>
      <c r="D30" s="27" t="str">
        <f>IFERROR(__xludf.DUMMYFUNCTION("""COMPUTED_VALUE"""),"A")</f>
        <v>A</v>
      </c>
      <c r="E30" s="27" t="str">
        <f>IFERROR(__xludf.DUMMYFUNCTION("""COMPUTED_VALUE"""),"A-1")</f>
        <v>A-1</v>
      </c>
      <c r="F30" s="31">
        <f>IFERROR(__xludf.DUMMYFUNCTION("""COMPUTED_VALUE"""),2.0)</f>
        <v>2</v>
      </c>
      <c r="G30" s="27" t="str">
        <f>IFERROR(__xludf.DUMMYFUNCTION("""COMPUTED_VALUE"""),"2 ULA B PUTRA")</f>
        <v>2 ULA B PUTRA</v>
      </c>
      <c r="H30" s="28" t="str">
        <f>IFERROR(__xludf.DUMMYFUNCTION("""COMPUTED_VALUE"""),"SMP-VIII A")</f>
        <v>SMP-VIII A</v>
      </c>
      <c r="I30" s="28" t="str">
        <f>IFERROR(__xludf.DUMMYFUNCTION("""COMPUTED_VALUE"""),"SITI KALIMAH")</f>
        <v>SITI KALIMAH</v>
      </c>
      <c r="J30" s="28" t="str">
        <f>IFERROR(__xludf.DUMMYFUNCTION("""COMPUTED_VALUE"""),"NGANGKRIK BALUN RT 003 RW 004 TURI LAMONGAN")</f>
        <v>NGANGKRIK BALUN RT 003 RW 004 TURI LAMONGAN</v>
      </c>
      <c r="K30" s="28" t="str">
        <f>IFERROR(__xludf.DUMMYFUNCTION("""COMPUTED_VALUE"""),"6285655881598")</f>
        <v>6285655881598</v>
      </c>
      <c r="L30" s="22">
        <f>IFERROR(__xludf.DUMMYFUNCTION("""COMPUTED_VALUE"""),0.0)</f>
        <v>0</v>
      </c>
      <c r="M30" s="22">
        <f>IFERROR(__xludf.DUMMYFUNCTION("""COMPUTED_VALUE"""),600000.0)</f>
        <v>600000</v>
      </c>
      <c r="N30" s="22">
        <f>IFERROR(__xludf.DUMMYFUNCTION("""COMPUTED_VALUE"""),0.0)</f>
        <v>0</v>
      </c>
      <c r="O30" s="22">
        <f>IFERROR(__xludf.DUMMYFUNCTION("""COMPUTED_VALUE"""),600000.0)</f>
        <v>600000</v>
      </c>
      <c r="P30" s="28" t="str">
        <f t="shared" si="1"/>
        <v>LUNAS</v>
      </c>
      <c r="Q30" s="28">
        <f t="shared" si="2"/>
        <v>114</v>
      </c>
      <c r="R30" s="28" t="str">
        <f t="shared" si="3"/>
        <v>SHOKHIBUL MUQSIT RAMADANI</v>
      </c>
    </row>
    <row r="31">
      <c r="A31" s="27">
        <f>IFERROR(__xludf.DUMMYFUNCTION("""COMPUTED_VALUE"""),30.0)</f>
        <v>30</v>
      </c>
      <c r="B31" s="28" t="str">
        <f>IFERROR(__xludf.DUMMYFUNCTION("""COMPUTED_VALUE"""),"THAMIL ARIF IBRAHIM")</f>
        <v>THAMIL ARIF IBRAHIM</v>
      </c>
      <c r="C31" s="28">
        <f>IFERROR(__xludf.DUMMYFUNCTION("""COMPUTED_VALUE"""),2.025070501E9)</f>
        <v>2025070501</v>
      </c>
      <c r="D31" s="27" t="str">
        <f>IFERROR(__xludf.DUMMYFUNCTION("""COMPUTED_VALUE"""),"A")</f>
        <v>A</v>
      </c>
      <c r="E31" s="27" t="str">
        <f>IFERROR(__xludf.DUMMYFUNCTION("""COMPUTED_VALUE"""),"A-1")</f>
        <v>A-1</v>
      </c>
      <c r="F31" s="31">
        <f>IFERROR(__xludf.DUMMYFUNCTION("""COMPUTED_VALUE"""),2.0)</f>
        <v>2</v>
      </c>
      <c r="G31" s="27" t="str">
        <f>IFERROR(__xludf.DUMMYFUNCTION("""COMPUTED_VALUE"""),"2 ULA B PUTRA")</f>
        <v>2 ULA B PUTRA</v>
      </c>
      <c r="H31" s="28" t="str">
        <f>IFERROR(__xludf.DUMMYFUNCTION("""COMPUTED_VALUE"""),"MTS-8 C")</f>
        <v>MTS-8 C</v>
      </c>
      <c r="I31" s="28" t="str">
        <f>IFERROR(__xludf.DUMMYFUNCTION("""COMPUTED_VALUE"""),"SAROFAH")</f>
        <v>SAROFAH</v>
      </c>
      <c r="J31" s="28" t="str">
        <f>IFERROR(__xludf.DUMMYFUNCTION("""COMPUTED_VALUE"""),"SOKO RT 001 RW 001 TIKUNG LAMONGAN")</f>
        <v>SOKO RT 001 RW 001 TIKUNG LAMONGAN</v>
      </c>
      <c r="K31" s="28" t="str">
        <f>IFERROR(__xludf.DUMMYFUNCTION("""COMPUTED_VALUE"""),"6282132399800")</f>
        <v>6282132399800</v>
      </c>
      <c r="L31" s="22">
        <f>IFERROR(__xludf.DUMMYFUNCTION("""COMPUTED_VALUE"""),0.0)</f>
        <v>0</v>
      </c>
      <c r="M31" s="22">
        <f>IFERROR(__xludf.DUMMYFUNCTION("""COMPUTED_VALUE"""),1000000.0)</f>
        <v>1000000</v>
      </c>
      <c r="N31" s="22">
        <f>IFERROR(__xludf.DUMMYFUNCTION("""COMPUTED_VALUE"""),0.0)</f>
        <v>0</v>
      </c>
      <c r="O31" s="22">
        <f>IFERROR(__xludf.DUMMYFUNCTION("""COMPUTED_VALUE"""),1000000.0)</f>
        <v>1000000</v>
      </c>
      <c r="P31" s="28" t="str">
        <f t="shared" si="1"/>
        <v>LUNAS</v>
      </c>
      <c r="Q31" s="28">
        <f t="shared" si="2"/>
        <v>72</v>
      </c>
      <c r="R31" s="28" t="str">
        <f t="shared" si="3"/>
        <v>THAMIL ARIF IBRAHIM</v>
      </c>
    </row>
    <row r="32">
      <c r="A32" s="27">
        <f>IFERROR(__xludf.DUMMYFUNCTION("""COMPUTED_VALUE"""),31.0)</f>
        <v>31</v>
      </c>
      <c r="B32" s="28" t="str">
        <f>IFERROR(__xludf.DUMMYFUNCTION("""COMPUTED_VALUE"""),"MUHAMMAD JEFFRY JUNAIDI")</f>
        <v>MUHAMMAD JEFFRY JUNAIDI</v>
      </c>
      <c r="C32" s="28">
        <f>IFERROR(__xludf.DUMMYFUNCTION("""COMPUTED_VALUE"""),2.025100677E9)</f>
        <v>2025100677</v>
      </c>
      <c r="D32" s="27" t="str">
        <f>IFERROR(__xludf.DUMMYFUNCTION("""COMPUTED_VALUE"""),"A")</f>
        <v>A</v>
      </c>
      <c r="E32" s="27" t="str">
        <f>IFERROR(__xludf.DUMMYFUNCTION("""COMPUTED_VALUE"""),"A-1")</f>
        <v>A-1</v>
      </c>
      <c r="F32" s="31">
        <f>IFERROR(__xludf.DUMMYFUNCTION("""COMPUTED_VALUE"""),2.0)</f>
        <v>2</v>
      </c>
      <c r="G32" s="27" t="str">
        <f>IFERROR(__xludf.DUMMYFUNCTION("""COMPUTED_VALUE"""),"2 MAK PUTRA")</f>
        <v>2 MAK PUTRA</v>
      </c>
      <c r="H32" s="28" t="str">
        <f>IFERROR(__xludf.DUMMYFUNCTION("""COMPUTED_VALUE"""),"MA-XI.13")</f>
        <v>MA-XI.13</v>
      </c>
      <c r="I32" s="28" t="str">
        <f>IFERROR(__xludf.DUMMYFUNCTION("""COMPUTED_VALUE"""),"MASRO ERNAWATI")</f>
        <v>MASRO ERNAWATI</v>
      </c>
      <c r="J32" s="28" t="str">
        <f>IFERROR(__xludf.DUMMYFUNCTION("""COMPUTED_VALUE"""),"JL. PANGLIMA SUDIRMAN 33 RT 003 RW 004 SIDOKUMPUL LAMONGAN")</f>
        <v>JL. PANGLIMA SUDIRMAN 33 RT 003 RW 004 SIDOKUMPUL LAMONGAN</v>
      </c>
      <c r="K32" s="28" t="str">
        <f>IFERROR(__xludf.DUMMYFUNCTION("""COMPUTED_VALUE"""),"6285880120002")</f>
        <v>6285880120002</v>
      </c>
      <c r="L32" s="22">
        <f>IFERROR(__xludf.DUMMYFUNCTION("""COMPUTED_VALUE"""),450000.0)</f>
        <v>450000</v>
      </c>
      <c r="M32" s="22">
        <f>IFERROR(__xludf.DUMMYFUNCTION("""COMPUTED_VALUE"""),0.0)</f>
        <v>0</v>
      </c>
      <c r="N32" s="22">
        <f>IFERROR(__xludf.DUMMYFUNCTION("""COMPUTED_VALUE"""),0.0)</f>
        <v>0</v>
      </c>
      <c r="O32" s="22">
        <f>IFERROR(__xludf.DUMMYFUNCTION("""COMPUTED_VALUE"""),450000.0)</f>
        <v>450000</v>
      </c>
      <c r="P32" s="28" t="str">
        <f t="shared" si="1"/>
        <v>LUNAS</v>
      </c>
      <c r="Q32" s="28">
        <f t="shared" si="2"/>
        <v>135</v>
      </c>
      <c r="R32" s="28" t="str">
        <f t="shared" si="3"/>
        <v>MUHAMMAD JEFFRY JUNAIDI</v>
      </c>
    </row>
    <row r="33">
      <c r="A33" s="27">
        <f>IFERROR(__xludf.DUMMYFUNCTION("""COMPUTED_VALUE"""),32.0)</f>
        <v>32</v>
      </c>
      <c r="B33" s="28" t="str">
        <f>IFERROR(__xludf.DUMMYFUNCTION("""COMPUTED_VALUE"""),"MUHAMMAD ZAKI ABIYASA")</f>
        <v>MUHAMMAD ZAKI ABIYASA</v>
      </c>
      <c r="C33" s="28">
        <f>IFERROR(__xludf.DUMMYFUNCTION("""COMPUTED_VALUE"""),2.02510068E9)</f>
        <v>2025100680</v>
      </c>
      <c r="D33" s="27" t="str">
        <f>IFERROR(__xludf.DUMMYFUNCTION("""COMPUTED_VALUE"""),"A")</f>
        <v>A</v>
      </c>
      <c r="E33" s="27" t="str">
        <f>IFERROR(__xludf.DUMMYFUNCTION("""COMPUTED_VALUE"""),"A-1")</f>
        <v>A-1</v>
      </c>
      <c r="F33" s="31">
        <f>IFERROR(__xludf.DUMMYFUNCTION("""COMPUTED_VALUE"""),3.0)</f>
        <v>3</v>
      </c>
      <c r="G33" s="27" t="str">
        <f>IFERROR(__xludf.DUMMYFUNCTION("""COMPUTED_VALUE"""),"3 ULA A PUTRA")</f>
        <v>3 ULA A PUTRA</v>
      </c>
      <c r="H33" s="28" t="str">
        <f>IFERROR(__xludf.DUMMYFUNCTION("""COMPUTED_VALUE"""),"#N/A")</f>
        <v>#N/A</v>
      </c>
      <c r="I33" s="28" t="str">
        <f>IFERROR(__xludf.DUMMYFUNCTION("""COMPUTED_VALUE"""),"ELNA RUSMA WATI")</f>
        <v>ELNA RUSMA WATI</v>
      </c>
      <c r="J33" s="28" t="str">
        <f>IFERROR(__xludf.DUMMYFUNCTION("""COMPUTED_VALUE"""),"PUCUK RT 005 RW 001 PUCUK LAMONGAN")</f>
        <v>PUCUK RT 005 RW 001 PUCUK LAMONGAN</v>
      </c>
      <c r="K33" s="28" t="str">
        <f>IFERROR(__xludf.DUMMYFUNCTION("""COMPUTED_VALUE"""),"6289513220988")</f>
        <v>6289513220988</v>
      </c>
      <c r="L33" s="22">
        <f>IFERROR(__xludf.DUMMYFUNCTION("""COMPUTED_VALUE"""),450000.0)</f>
        <v>450000</v>
      </c>
      <c r="M33" s="22">
        <f>IFERROR(__xludf.DUMMYFUNCTION("""COMPUTED_VALUE"""),1000000.0)</f>
        <v>1000000</v>
      </c>
      <c r="N33" s="22">
        <f>IFERROR(__xludf.DUMMYFUNCTION("""COMPUTED_VALUE"""),0.0)</f>
        <v>0</v>
      </c>
      <c r="O33" s="22">
        <f>IFERROR(__xludf.DUMMYFUNCTION("""COMPUTED_VALUE"""),1450000.0)</f>
        <v>1450000</v>
      </c>
      <c r="P33" s="28" t="str">
        <f t="shared" si="1"/>
        <v>LUNAS</v>
      </c>
      <c r="Q33" s="28">
        <f t="shared" si="2"/>
        <v>49</v>
      </c>
      <c r="R33" s="28" t="str">
        <f t="shared" si="3"/>
        <v>MUHAMMAD ZAKI ABIYASA</v>
      </c>
    </row>
    <row r="34">
      <c r="A34" s="27">
        <f>IFERROR(__xludf.DUMMYFUNCTION("""COMPUTED_VALUE"""),33.0)</f>
        <v>33</v>
      </c>
      <c r="B34" s="28" t="str">
        <f>IFERROR(__xludf.DUMMYFUNCTION("""COMPUTED_VALUE"""),"ACH. ADITIYA YUGASWARA")</f>
        <v>ACH. ADITIYA YUGASWARA</v>
      </c>
      <c r="C34" s="28">
        <f>IFERROR(__xludf.DUMMYFUNCTION("""COMPUTED_VALUE"""),2.025110681E9)</f>
        <v>2025110681</v>
      </c>
      <c r="D34" s="27" t="str">
        <f>IFERROR(__xludf.DUMMYFUNCTION("""COMPUTED_VALUE"""),"A")</f>
        <v>A</v>
      </c>
      <c r="E34" s="27" t="str">
        <f>IFERROR(__xludf.DUMMYFUNCTION("""COMPUTED_VALUE"""),"A-1")</f>
        <v>A-1</v>
      </c>
      <c r="F34" s="31">
        <f>IFERROR(__xludf.DUMMYFUNCTION("""COMPUTED_VALUE"""),3.0)</f>
        <v>3</v>
      </c>
      <c r="G34" s="27" t="str">
        <f>IFERROR(__xludf.DUMMYFUNCTION("""COMPUTED_VALUE"""),"3 ULA A PUTRA")</f>
        <v>3 ULA A PUTRA</v>
      </c>
      <c r="H34" s="28" t="str">
        <f>IFERROR(__xludf.DUMMYFUNCTION("""COMPUTED_VALUE"""),"#N/A")</f>
        <v>#N/A</v>
      </c>
      <c r="I34" s="28"/>
      <c r="J34" s="28"/>
      <c r="K34" s="28"/>
      <c r="L34" s="22">
        <f>IFERROR(__xludf.DUMMYFUNCTION("""COMPUTED_VALUE"""),0.0)</f>
        <v>0</v>
      </c>
      <c r="M34" s="22">
        <f>IFERROR(__xludf.DUMMYFUNCTION("""COMPUTED_VALUE"""),0.0)</f>
        <v>0</v>
      </c>
      <c r="N34" s="22">
        <f>IFERROR(__xludf.DUMMYFUNCTION("""COMPUTED_VALUE"""),0.0)</f>
        <v>0</v>
      </c>
      <c r="O34" s="22">
        <f>IFERROR(__xludf.DUMMYFUNCTION("""COMPUTED_VALUE"""),0.0)</f>
        <v>0</v>
      </c>
      <c r="P34" s="28" t="str">
        <f t="shared" si="1"/>
        <v>LUNAS</v>
      </c>
      <c r="Q34" s="28">
        <f t="shared" si="2"/>
        <v>156</v>
      </c>
      <c r="R34" s="28" t="str">
        <f t="shared" si="3"/>
        <v>ACH. ADITIYA YUGASWARA</v>
      </c>
    </row>
    <row r="35">
      <c r="A35" s="27">
        <f>IFERROR(__xludf.DUMMYFUNCTION("""COMPUTED_VALUE"""),34.0)</f>
        <v>34</v>
      </c>
      <c r="B35" s="28" t="str">
        <f>IFERROR(__xludf.DUMMYFUNCTION("""COMPUTED_VALUE"""),"AHMAD AGUS JAZULI IRFAN")</f>
        <v>AHMAD AGUS JAZULI IRFAN</v>
      </c>
      <c r="C35" s="28">
        <f>IFERROR(__xludf.DUMMYFUNCTION("""COMPUTED_VALUE"""),2.024070719E9)</f>
        <v>2024070719</v>
      </c>
      <c r="D35" s="27" t="str">
        <f>IFERROR(__xludf.DUMMYFUNCTION("""COMPUTED_VALUE"""),"A")</f>
        <v>A</v>
      </c>
      <c r="E35" s="27" t="str">
        <f>IFERROR(__xludf.DUMMYFUNCTION("""COMPUTED_VALUE"""),"A-10")</f>
        <v>A-10</v>
      </c>
      <c r="F35" s="31">
        <f>IFERROR(__xludf.DUMMYFUNCTION("""COMPUTED_VALUE"""),3.0)</f>
        <v>3</v>
      </c>
      <c r="G35" s="27" t="str">
        <f>IFERROR(__xludf.DUMMYFUNCTION("""COMPUTED_VALUE"""),"3 WUSTHO PUTRA")</f>
        <v>3 WUSTHO PUTRA</v>
      </c>
      <c r="H35" s="28" t="str">
        <f>IFERROR(__xludf.DUMMYFUNCTION("""COMPUTED_VALUE"""),"SMK-XII TKJ 1")</f>
        <v>SMK-XII TKJ 1</v>
      </c>
      <c r="I35" s="28" t="str">
        <f>IFERROR(__xludf.DUMMYFUNCTION("""COMPUTED_VALUE"""),"IMROATIN JALILAH")</f>
        <v>IMROATIN JALILAH</v>
      </c>
      <c r="J35" s="28" t="str">
        <f>IFERROR(__xludf.DUMMYFUNCTION("""COMPUTED_VALUE"""),"BOJOASRI RT  RW  KALITENGAH LAMONGAN")</f>
        <v>BOJOASRI RT  RW  KALITENGAH LAMONGAN</v>
      </c>
      <c r="K35" s="28" t="str">
        <f>IFERROR(__xludf.DUMMYFUNCTION("""COMPUTED_VALUE"""),"6285648607075")</f>
        <v>6285648607075</v>
      </c>
      <c r="L35" s="22">
        <f>IFERROR(__xludf.DUMMYFUNCTION("""COMPUTED_VALUE"""),900000.0)</f>
        <v>900000</v>
      </c>
      <c r="M35" s="22">
        <f>IFERROR(__xludf.DUMMYFUNCTION("""COMPUTED_VALUE"""),0.0)</f>
        <v>0</v>
      </c>
      <c r="N35" s="22">
        <f>IFERROR(__xludf.DUMMYFUNCTION("""COMPUTED_VALUE"""),0.0)</f>
        <v>0</v>
      </c>
      <c r="O35" s="22">
        <f>IFERROR(__xludf.DUMMYFUNCTION("""COMPUTED_VALUE"""),900000.0)</f>
        <v>900000</v>
      </c>
      <c r="P35" s="28" t="str">
        <f t="shared" si="1"/>
        <v>LUNAS</v>
      </c>
      <c r="Q35" s="28">
        <f t="shared" si="2"/>
        <v>112</v>
      </c>
      <c r="R35" s="28" t="str">
        <f t="shared" si="3"/>
        <v>AHMAD AGUS JAZULI IRFAN</v>
      </c>
    </row>
    <row r="36">
      <c r="A36" s="27">
        <f>IFERROR(__xludf.DUMMYFUNCTION("""COMPUTED_VALUE"""),35.0)</f>
        <v>35</v>
      </c>
      <c r="B36" s="28" t="str">
        <f>IFERROR(__xludf.DUMMYFUNCTION("""COMPUTED_VALUE"""),"AHMAD GUTI JAELANI")</f>
        <v>AHMAD GUTI JAELANI</v>
      </c>
      <c r="C36" s="28">
        <f>IFERROR(__xludf.DUMMYFUNCTION("""COMPUTED_VALUE"""),2.02407006E9)</f>
        <v>2024070060</v>
      </c>
      <c r="D36" s="27" t="str">
        <f>IFERROR(__xludf.DUMMYFUNCTION("""COMPUTED_VALUE"""),"A")</f>
        <v>A</v>
      </c>
      <c r="E36" s="27" t="str">
        <f>IFERROR(__xludf.DUMMYFUNCTION("""COMPUTED_VALUE"""),"A-10")</f>
        <v>A-10</v>
      </c>
      <c r="F36" s="31">
        <f>IFERROR(__xludf.DUMMYFUNCTION("""COMPUTED_VALUE"""),3.0)</f>
        <v>3</v>
      </c>
      <c r="G36" s="27" t="str">
        <f>IFERROR(__xludf.DUMMYFUNCTION("""COMPUTED_VALUE"""),"3 WUSTHO PUTRA")</f>
        <v>3 WUSTHO PUTRA</v>
      </c>
      <c r="H36" s="28" t="str">
        <f>IFERROR(__xludf.DUMMYFUNCTION("""COMPUTED_VALUE"""),"MA-XII.3")</f>
        <v>MA-XII.3</v>
      </c>
      <c r="I36" s="28" t="str">
        <f>IFERROR(__xludf.DUMMYFUNCTION("""COMPUTED_VALUE"""),"SITI MA`RUFAH")</f>
        <v>SITI MA`RUFAH</v>
      </c>
      <c r="J36" s="28" t="str">
        <f>IFERROR(__xludf.DUMMYFUNCTION("""COMPUTED_VALUE"""),"MADURAN RT 5 RW 2 MADURAN LAMONGAN")</f>
        <v>MADURAN RT 5 RW 2 MADURAN LAMONGAN</v>
      </c>
      <c r="K36" s="28" t="str">
        <f>IFERROR(__xludf.DUMMYFUNCTION("""COMPUTED_VALUE"""),"6285646030802")</f>
        <v>6285646030802</v>
      </c>
      <c r="L36" s="22">
        <f>IFERROR(__xludf.DUMMYFUNCTION("""COMPUTED_VALUE"""),6750000.0)</f>
        <v>6750000</v>
      </c>
      <c r="M36" s="22">
        <f>IFERROR(__xludf.DUMMYFUNCTION("""COMPUTED_VALUE"""),0.0)</f>
        <v>0</v>
      </c>
      <c r="N36" s="22">
        <f>IFERROR(__xludf.DUMMYFUNCTION("""COMPUTED_VALUE"""),0.0)</f>
        <v>0</v>
      </c>
      <c r="O36" s="22">
        <f>IFERROR(__xludf.DUMMYFUNCTION("""COMPUTED_VALUE"""),6750000.0)</f>
        <v>6750000</v>
      </c>
      <c r="P36" s="28" t="str">
        <f t="shared" si="1"/>
        <v>LUNAS</v>
      </c>
      <c r="Q36" s="28">
        <f t="shared" si="2"/>
        <v>2</v>
      </c>
      <c r="R36" s="28" t="str">
        <f t="shared" si="3"/>
        <v>AHMAD GUTI JAELANI</v>
      </c>
    </row>
    <row r="37">
      <c r="A37" s="27">
        <f>IFERROR(__xludf.DUMMYFUNCTION("""COMPUTED_VALUE"""),36.0)</f>
        <v>36</v>
      </c>
      <c r="B37" s="28" t="str">
        <f>IFERROR(__xludf.DUMMYFUNCTION("""COMPUTED_VALUE"""),"AHMAD MANSYAUL HIKAMI")</f>
        <v>AHMAD MANSYAUL HIKAMI</v>
      </c>
      <c r="C37" s="28">
        <f>IFERROR(__xludf.DUMMYFUNCTION("""COMPUTED_VALUE"""),2.024070402E9)</f>
        <v>2024070402</v>
      </c>
      <c r="D37" s="27" t="str">
        <f>IFERROR(__xludf.DUMMYFUNCTION("""COMPUTED_VALUE"""),"A")</f>
        <v>A</v>
      </c>
      <c r="E37" s="27" t="str">
        <f>IFERROR(__xludf.DUMMYFUNCTION("""COMPUTED_VALUE"""),"A-10")</f>
        <v>A-10</v>
      </c>
      <c r="F37" s="31">
        <f>IFERROR(__xludf.DUMMYFUNCTION("""COMPUTED_VALUE"""),3.0)</f>
        <v>3</v>
      </c>
      <c r="G37" s="27" t="str">
        <f>IFERROR(__xludf.DUMMYFUNCTION("""COMPUTED_VALUE"""),"3 WUSTHO PUTRA")</f>
        <v>3 WUSTHO PUTRA</v>
      </c>
      <c r="H37" s="28" t="str">
        <f>IFERROR(__xludf.DUMMYFUNCTION("""COMPUTED_VALUE"""),"MA-XII.9")</f>
        <v>MA-XII.9</v>
      </c>
      <c r="I37" s="28" t="str">
        <f>IFERROR(__xludf.DUMMYFUNCTION("""COMPUTED_VALUE"""),"KHOIRIYAH")</f>
        <v>KHOIRIYAH</v>
      </c>
      <c r="J37" s="28" t="str">
        <f>IFERROR(__xludf.DUMMYFUNCTION("""COMPUTED_VALUE"""),"MAYONG NGABLAK RT 1 RW 2 KARANGBINANGUN LAMONGAN")</f>
        <v>MAYONG NGABLAK RT 1 RW 2 KARANGBINANGUN LAMONGAN</v>
      </c>
      <c r="K37" s="28" t="str">
        <f>IFERROR(__xludf.DUMMYFUNCTION("""COMPUTED_VALUE"""),"6285852940999")</f>
        <v>6285852940999</v>
      </c>
      <c r="L37" s="22">
        <f>IFERROR(__xludf.DUMMYFUNCTION("""COMPUTED_VALUE"""),0.0)</f>
        <v>0</v>
      </c>
      <c r="M37" s="22">
        <f>IFERROR(__xludf.DUMMYFUNCTION("""COMPUTED_VALUE"""),0.0)</f>
        <v>0</v>
      </c>
      <c r="N37" s="22">
        <f>IFERROR(__xludf.DUMMYFUNCTION("""COMPUTED_VALUE"""),0.0)</f>
        <v>0</v>
      </c>
      <c r="O37" s="22">
        <f>IFERROR(__xludf.DUMMYFUNCTION("""COMPUTED_VALUE"""),0.0)</f>
        <v>0</v>
      </c>
      <c r="P37" s="28" t="str">
        <f t="shared" si="1"/>
        <v>LUNAS</v>
      </c>
      <c r="Q37" s="28">
        <f t="shared" si="2"/>
        <v>157</v>
      </c>
      <c r="R37" s="28" t="str">
        <f t="shared" si="3"/>
        <v>AHMAD MANSYAUL HIKAMI</v>
      </c>
    </row>
    <row r="38">
      <c r="A38" s="27">
        <f>IFERROR(__xludf.DUMMYFUNCTION("""COMPUTED_VALUE"""),37.0)</f>
        <v>37</v>
      </c>
      <c r="B38" s="28" t="str">
        <f>IFERROR(__xludf.DUMMYFUNCTION("""COMPUTED_VALUE"""),"AZKA YAFIS FIRMANSYAH")</f>
        <v>AZKA YAFIS FIRMANSYAH</v>
      </c>
      <c r="C38" s="28">
        <f>IFERROR(__xludf.DUMMYFUNCTION("""COMPUTED_VALUE"""),2.024070306E9)</f>
        <v>2024070306</v>
      </c>
      <c r="D38" s="27" t="str">
        <f>IFERROR(__xludf.DUMMYFUNCTION("""COMPUTED_VALUE"""),"A")</f>
        <v>A</v>
      </c>
      <c r="E38" s="27" t="str">
        <f>IFERROR(__xludf.DUMMYFUNCTION("""COMPUTED_VALUE"""),"A-10")</f>
        <v>A-10</v>
      </c>
      <c r="F38" s="31">
        <f>IFERROR(__xludf.DUMMYFUNCTION("""COMPUTED_VALUE"""),3.0)</f>
        <v>3</v>
      </c>
      <c r="G38" s="27" t="str">
        <f>IFERROR(__xludf.DUMMYFUNCTION("""COMPUTED_VALUE"""),"3 WUSTHO PUTRA")</f>
        <v>3 WUSTHO PUTRA</v>
      </c>
      <c r="H38" s="28" t="str">
        <f>IFERROR(__xludf.DUMMYFUNCTION("""COMPUTED_VALUE"""),"MA-XII.10")</f>
        <v>MA-XII.10</v>
      </c>
      <c r="I38" s="28" t="str">
        <f>IFERROR(__xludf.DUMMYFUNCTION("""COMPUTED_VALUE"""),"ISWATI")</f>
        <v>ISWATI</v>
      </c>
      <c r="J38" s="28" t="str">
        <f>IFERROR(__xludf.DUMMYFUNCTION("""COMPUTED_VALUE"""),"WIDHE SENDANGHARJO RT 006 RW 001 BRONDONG LAMONGAN")</f>
        <v>WIDHE SENDANGHARJO RT 006 RW 001 BRONDONG LAMONGAN</v>
      </c>
      <c r="K38" s="28" t="str">
        <f>IFERROR(__xludf.DUMMYFUNCTION("""COMPUTED_VALUE"""),"628585028102")</f>
        <v>628585028102</v>
      </c>
      <c r="L38" s="22">
        <f>IFERROR(__xludf.DUMMYFUNCTION("""COMPUTED_VALUE"""),0.0)</f>
        <v>0</v>
      </c>
      <c r="M38" s="22">
        <f>IFERROR(__xludf.DUMMYFUNCTION("""COMPUTED_VALUE"""),0.0)</f>
        <v>0</v>
      </c>
      <c r="N38" s="22">
        <f>IFERROR(__xludf.DUMMYFUNCTION("""COMPUTED_VALUE"""),0.0)</f>
        <v>0</v>
      </c>
      <c r="O38" s="22">
        <f>IFERROR(__xludf.DUMMYFUNCTION("""COMPUTED_VALUE"""),0.0)</f>
        <v>0</v>
      </c>
      <c r="P38" s="28" t="str">
        <f t="shared" si="1"/>
        <v>LUNAS</v>
      </c>
      <c r="Q38" s="28">
        <f t="shared" si="2"/>
        <v>158</v>
      </c>
      <c r="R38" s="28" t="str">
        <f t="shared" si="3"/>
        <v>AZKA YAFIS FIRMANSYAH</v>
      </c>
    </row>
    <row r="39">
      <c r="A39" s="27">
        <f>IFERROR(__xludf.DUMMYFUNCTION("""COMPUTED_VALUE"""),38.0)</f>
        <v>38</v>
      </c>
      <c r="B39" s="28" t="str">
        <f>IFERROR(__xludf.DUMMYFUNCTION("""COMPUTED_VALUE"""),"IMAM ALI SAMUDRA ARIF")</f>
        <v>IMAM ALI SAMUDRA ARIF</v>
      </c>
      <c r="C39" s="28">
        <f>IFERROR(__xludf.DUMMYFUNCTION("""COMPUTED_VALUE"""),2.024070135E9)</f>
        <v>2024070135</v>
      </c>
      <c r="D39" s="27" t="str">
        <f>IFERROR(__xludf.DUMMYFUNCTION("""COMPUTED_VALUE"""),"A")</f>
        <v>A</v>
      </c>
      <c r="E39" s="27" t="str">
        <f>IFERROR(__xludf.DUMMYFUNCTION("""COMPUTED_VALUE"""),"A-10")</f>
        <v>A-10</v>
      </c>
      <c r="F39" s="31">
        <f>IFERROR(__xludf.DUMMYFUNCTION("""COMPUTED_VALUE"""),3.0)</f>
        <v>3</v>
      </c>
      <c r="G39" s="27" t="str">
        <f>IFERROR(__xludf.DUMMYFUNCTION("""COMPUTED_VALUE"""),"3 WUSTHO PUTRA")</f>
        <v>3 WUSTHO PUTRA</v>
      </c>
      <c r="H39" s="28" t="str">
        <f>IFERROR(__xludf.DUMMYFUNCTION("""COMPUTED_VALUE"""),"MA-XII.7")</f>
        <v>MA-XII.7</v>
      </c>
      <c r="I39" s="28" t="str">
        <f>IFERROR(__xludf.DUMMYFUNCTION("""COMPUTED_VALUE"""),"AYSYYA ISLAMIAH")</f>
        <v>AYSYYA ISLAMIAH</v>
      </c>
      <c r="J39" s="28" t="str">
        <f>IFERROR(__xludf.DUMMYFUNCTION("""COMPUTED_VALUE"""),"KALITENGAH RT 1 RW 4 KALITENGAH LAMONGAN")</f>
        <v>KALITENGAH RT 1 RW 4 KALITENGAH LAMONGAN</v>
      </c>
      <c r="K39" s="28" t="str">
        <f>IFERROR(__xludf.DUMMYFUNCTION("""COMPUTED_VALUE"""),"6285648494406")</f>
        <v>6285648494406</v>
      </c>
      <c r="L39" s="22">
        <f>IFERROR(__xludf.DUMMYFUNCTION("""COMPUTED_VALUE"""),0.0)</f>
        <v>0</v>
      </c>
      <c r="M39" s="22">
        <f>IFERROR(__xludf.DUMMYFUNCTION("""COMPUTED_VALUE"""),0.0)</f>
        <v>0</v>
      </c>
      <c r="N39" s="22">
        <f>IFERROR(__xludf.DUMMYFUNCTION("""COMPUTED_VALUE"""),0.0)</f>
        <v>0</v>
      </c>
      <c r="O39" s="22">
        <f>IFERROR(__xludf.DUMMYFUNCTION("""COMPUTED_VALUE"""),0.0)</f>
        <v>0</v>
      </c>
      <c r="P39" s="28" t="str">
        <f t="shared" si="1"/>
        <v>LUNAS</v>
      </c>
      <c r="Q39" s="28">
        <f t="shared" si="2"/>
        <v>159</v>
      </c>
      <c r="R39" s="28" t="str">
        <f t="shared" si="3"/>
        <v>IMAM ALI SAMUDRA ARIF</v>
      </c>
    </row>
    <row r="40">
      <c r="A40" s="27">
        <f>IFERROR(__xludf.DUMMYFUNCTION("""COMPUTED_VALUE"""),39.0)</f>
        <v>39</v>
      </c>
      <c r="B40" s="28" t="str">
        <f>IFERROR(__xludf.DUMMYFUNCTION("""COMPUTED_VALUE"""),"IRSYAD KAHFI SOFYAN")</f>
        <v>IRSYAD KAHFI SOFYAN</v>
      </c>
      <c r="C40" s="28">
        <f>IFERROR(__xludf.DUMMYFUNCTION("""COMPUTED_VALUE"""),2.024070091E9)</f>
        <v>2024070091</v>
      </c>
      <c r="D40" s="27" t="str">
        <f>IFERROR(__xludf.DUMMYFUNCTION("""COMPUTED_VALUE"""),"A")</f>
        <v>A</v>
      </c>
      <c r="E40" s="27" t="str">
        <f>IFERROR(__xludf.DUMMYFUNCTION("""COMPUTED_VALUE"""),"A-10")</f>
        <v>A-10</v>
      </c>
      <c r="F40" s="31">
        <f>IFERROR(__xludf.DUMMYFUNCTION("""COMPUTED_VALUE"""),3.0)</f>
        <v>3</v>
      </c>
      <c r="G40" s="27" t="str">
        <f>IFERROR(__xludf.DUMMYFUNCTION("""COMPUTED_VALUE"""),"3 WUSTHO PUTRA")</f>
        <v>3 WUSTHO PUTRA</v>
      </c>
      <c r="H40" s="28" t="str">
        <f>IFERROR(__xludf.DUMMYFUNCTION("""COMPUTED_VALUE"""),"MA-XII.4")</f>
        <v>MA-XII.4</v>
      </c>
      <c r="I40" s="28" t="str">
        <f>IFERROR(__xludf.DUMMYFUNCTION("""COMPUTED_VALUE"""),"FAIDATUN NISA'")</f>
        <v>FAIDATUN NISA'</v>
      </c>
      <c r="J40" s="28" t="str">
        <f>IFERROR(__xludf.DUMMYFUNCTION("""COMPUTED_VALUE"""),"KAUMAN REGENCY BLOK L NO. 6 RT 5 RW 9 MRANGGEN DEMAK")</f>
        <v>KAUMAN REGENCY BLOK L NO. 6 RT 5 RW 9 MRANGGEN DEMAK</v>
      </c>
      <c r="K40" s="28" t="str">
        <f>IFERROR(__xludf.DUMMYFUNCTION("""COMPUTED_VALUE"""),"6285708222090")</f>
        <v>6285708222090</v>
      </c>
      <c r="L40" s="22">
        <f>IFERROR(__xludf.DUMMYFUNCTION("""COMPUTED_VALUE"""),0.0)</f>
        <v>0</v>
      </c>
      <c r="M40" s="22">
        <f>IFERROR(__xludf.DUMMYFUNCTION("""COMPUTED_VALUE"""),0.0)</f>
        <v>0</v>
      </c>
      <c r="N40" s="22">
        <f>IFERROR(__xludf.DUMMYFUNCTION("""COMPUTED_VALUE"""),0.0)</f>
        <v>0</v>
      </c>
      <c r="O40" s="22">
        <f>IFERROR(__xludf.DUMMYFUNCTION("""COMPUTED_VALUE"""),0.0)</f>
        <v>0</v>
      </c>
      <c r="P40" s="28" t="str">
        <f t="shared" si="1"/>
        <v>LUNAS</v>
      </c>
      <c r="Q40" s="28">
        <f t="shared" si="2"/>
        <v>160</v>
      </c>
      <c r="R40" s="28" t="str">
        <f t="shared" si="3"/>
        <v>IRSYAD KAHFI SOFYAN</v>
      </c>
    </row>
    <row r="41">
      <c r="A41" s="27">
        <f>IFERROR(__xludf.DUMMYFUNCTION("""COMPUTED_VALUE"""),40.0)</f>
        <v>40</v>
      </c>
      <c r="B41" s="28" t="str">
        <f>IFERROR(__xludf.DUMMYFUNCTION("""COMPUTED_VALUE"""),"M. SATRIA PUTRA AMILINA")</f>
        <v>M. SATRIA PUTRA AMILINA</v>
      </c>
      <c r="C41" s="28">
        <f>IFERROR(__xludf.DUMMYFUNCTION("""COMPUTED_VALUE"""),2.024070092E9)</f>
        <v>2024070092</v>
      </c>
      <c r="D41" s="27" t="str">
        <f>IFERROR(__xludf.DUMMYFUNCTION("""COMPUTED_VALUE"""),"A")</f>
        <v>A</v>
      </c>
      <c r="E41" s="27" t="str">
        <f>IFERROR(__xludf.DUMMYFUNCTION("""COMPUTED_VALUE"""),"A-10")</f>
        <v>A-10</v>
      </c>
      <c r="F41" s="31">
        <f>IFERROR(__xludf.DUMMYFUNCTION("""COMPUTED_VALUE"""),3.0)</f>
        <v>3</v>
      </c>
      <c r="G41" s="27" t="str">
        <f>IFERROR(__xludf.DUMMYFUNCTION("""COMPUTED_VALUE"""),"3 WUSTHO PUTRA")</f>
        <v>3 WUSTHO PUTRA</v>
      </c>
      <c r="H41" s="28" t="str">
        <f>IFERROR(__xludf.DUMMYFUNCTION("""COMPUTED_VALUE"""),"MA-XII.4")</f>
        <v>MA-XII.4</v>
      </c>
      <c r="I41" s="28" t="str">
        <f>IFERROR(__xludf.DUMMYFUNCTION("""COMPUTED_VALUE"""),"LINA ANGGRAINI")</f>
        <v>LINA ANGGRAINI</v>
      </c>
      <c r="J41" s="28" t="str">
        <f>IFERROR(__xludf.DUMMYFUNCTION("""COMPUTED_VALUE"""),"TALUN RT 4 RW 1 SUMBERREJO BOJONEGORO")</f>
        <v>TALUN RT 4 RW 1 SUMBERREJO BOJONEGORO</v>
      </c>
      <c r="K41" s="28" t="str">
        <f>IFERROR(__xludf.DUMMYFUNCTION("""COMPUTED_VALUE"""),"628568406710")</f>
        <v>628568406710</v>
      </c>
      <c r="L41" s="22">
        <f>IFERROR(__xludf.DUMMYFUNCTION("""COMPUTED_VALUE"""),450000.0)</f>
        <v>450000</v>
      </c>
      <c r="M41" s="22">
        <f>IFERROR(__xludf.DUMMYFUNCTION("""COMPUTED_VALUE"""),0.0)</f>
        <v>0</v>
      </c>
      <c r="N41" s="22">
        <f>IFERROR(__xludf.DUMMYFUNCTION("""COMPUTED_VALUE"""),0.0)</f>
        <v>0</v>
      </c>
      <c r="O41" s="22">
        <f>IFERROR(__xludf.DUMMYFUNCTION("""COMPUTED_VALUE"""),450000.0)</f>
        <v>450000</v>
      </c>
      <c r="P41" s="28" t="str">
        <f t="shared" si="1"/>
        <v>LUNAS</v>
      </c>
      <c r="Q41" s="28">
        <f t="shared" si="2"/>
        <v>136</v>
      </c>
      <c r="R41" s="28" t="str">
        <f t="shared" si="3"/>
        <v>M. SATRIA PUTRA AMILINA</v>
      </c>
    </row>
    <row r="42">
      <c r="A42" s="27">
        <f>IFERROR(__xludf.DUMMYFUNCTION("""COMPUTED_VALUE"""),41.0)</f>
        <v>41</v>
      </c>
      <c r="B42" s="28" t="str">
        <f>IFERROR(__xludf.DUMMYFUNCTION("""COMPUTED_VALUE"""),"MAEKAL RAHMAT")</f>
        <v>MAEKAL RAHMAT</v>
      </c>
      <c r="C42" s="28">
        <f>IFERROR(__xludf.DUMMYFUNCTION("""COMPUTED_VALUE"""),2.024070311E9)</f>
        <v>2024070311</v>
      </c>
      <c r="D42" s="27" t="str">
        <f>IFERROR(__xludf.DUMMYFUNCTION("""COMPUTED_VALUE"""),"A")</f>
        <v>A</v>
      </c>
      <c r="E42" s="27" t="str">
        <f>IFERROR(__xludf.DUMMYFUNCTION("""COMPUTED_VALUE"""),"A-10")</f>
        <v>A-10</v>
      </c>
      <c r="F42" s="31">
        <f>IFERROR(__xludf.DUMMYFUNCTION("""COMPUTED_VALUE"""),3.0)</f>
        <v>3</v>
      </c>
      <c r="G42" s="27" t="str">
        <f>IFERROR(__xludf.DUMMYFUNCTION("""COMPUTED_VALUE"""),"3 WUSTHO PUTRA")</f>
        <v>3 WUSTHO PUTRA</v>
      </c>
      <c r="H42" s="28" t="str">
        <f>IFERROR(__xludf.DUMMYFUNCTION("""COMPUTED_VALUE"""),"MA-XII.10")</f>
        <v>MA-XII.10</v>
      </c>
      <c r="I42" s="28" t="str">
        <f>IFERROR(__xludf.DUMMYFUNCTION("""COMPUTED_VALUE"""),"WIWIK WIDAYATI")</f>
        <v>WIWIK WIDAYATI</v>
      </c>
      <c r="J42" s="28" t="str">
        <f>IFERROR(__xludf.DUMMYFUNCTION("""COMPUTED_VALUE"""),"JL. PUTER DALAM SELATAN 39 A TANJUNGREJO RT 10 RW 12 SUKUN MALANG")</f>
        <v>JL. PUTER DALAM SELATAN 39 A TANJUNGREJO RT 10 RW 12 SUKUN MALANG</v>
      </c>
      <c r="K42" s="28" t="str">
        <f>IFERROR(__xludf.DUMMYFUNCTION("""COMPUTED_VALUE"""),"6281998985638")</f>
        <v>6281998985638</v>
      </c>
      <c r="L42" s="22">
        <f>IFERROR(__xludf.DUMMYFUNCTION("""COMPUTED_VALUE"""),0.0)</f>
        <v>0</v>
      </c>
      <c r="M42" s="22">
        <f>IFERROR(__xludf.DUMMYFUNCTION("""COMPUTED_VALUE"""),0.0)</f>
        <v>0</v>
      </c>
      <c r="N42" s="22">
        <f>IFERROR(__xludf.DUMMYFUNCTION("""COMPUTED_VALUE"""),0.0)</f>
        <v>0</v>
      </c>
      <c r="O42" s="22">
        <f>IFERROR(__xludf.DUMMYFUNCTION("""COMPUTED_VALUE"""),0.0)</f>
        <v>0</v>
      </c>
      <c r="P42" s="28" t="str">
        <f t="shared" si="1"/>
        <v>LUNAS</v>
      </c>
      <c r="Q42" s="28">
        <f t="shared" si="2"/>
        <v>161</v>
      </c>
      <c r="R42" s="28" t="str">
        <f t="shared" si="3"/>
        <v>MAEKAL RAHMAT</v>
      </c>
    </row>
    <row r="43">
      <c r="A43" s="27">
        <f>IFERROR(__xludf.DUMMYFUNCTION("""COMPUTED_VALUE"""),42.0)</f>
        <v>42</v>
      </c>
      <c r="B43" s="28" t="str">
        <f>IFERROR(__xludf.DUMMYFUNCTION("""COMPUTED_VALUE"""),"MAHATMA SATYA GRAHA")</f>
        <v>MAHATMA SATYA GRAHA</v>
      </c>
      <c r="C43" s="28">
        <f>IFERROR(__xludf.DUMMYFUNCTION("""COMPUTED_VALUE"""),2.024070407E9)</f>
        <v>2024070407</v>
      </c>
      <c r="D43" s="27" t="str">
        <f>IFERROR(__xludf.DUMMYFUNCTION("""COMPUTED_VALUE"""),"A")</f>
        <v>A</v>
      </c>
      <c r="E43" s="27" t="str">
        <f>IFERROR(__xludf.DUMMYFUNCTION("""COMPUTED_VALUE"""),"A-10")</f>
        <v>A-10</v>
      </c>
      <c r="F43" s="31">
        <f>IFERROR(__xludf.DUMMYFUNCTION("""COMPUTED_VALUE"""),3.0)</f>
        <v>3</v>
      </c>
      <c r="G43" s="27" t="str">
        <f>IFERROR(__xludf.DUMMYFUNCTION("""COMPUTED_VALUE"""),"3 WUSTHO PUTRA")</f>
        <v>3 WUSTHO PUTRA</v>
      </c>
      <c r="H43" s="28" t="str">
        <f>IFERROR(__xludf.DUMMYFUNCTION("""COMPUTED_VALUE"""),"MA-XII.9")</f>
        <v>MA-XII.9</v>
      </c>
      <c r="I43" s="28" t="str">
        <f>IFERROR(__xludf.DUMMYFUNCTION("""COMPUTED_VALUE"""),"AIYINATUL JAMILAH")</f>
        <v>AIYINATUL JAMILAH</v>
      </c>
      <c r="J43" s="28" t="str">
        <f>IFERROR(__xludf.DUMMYFUNCTION("""COMPUTED_VALUE"""),"JELAK JELAKCATUR RT 001 RW 004 KALITENGAH LAMONGAN")</f>
        <v>JELAK JELAKCATUR RT 001 RW 004 KALITENGAH LAMONGAN</v>
      </c>
      <c r="K43" s="28" t="str">
        <f>IFERROR(__xludf.DUMMYFUNCTION("""COMPUTED_VALUE"""),"628557692330")</f>
        <v>628557692330</v>
      </c>
      <c r="L43" s="22">
        <f>IFERROR(__xludf.DUMMYFUNCTION("""COMPUTED_VALUE"""),450000.0)</f>
        <v>450000</v>
      </c>
      <c r="M43" s="22">
        <f>IFERROR(__xludf.DUMMYFUNCTION("""COMPUTED_VALUE"""),0.0)</f>
        <v>0</v>
      </c>
      <c r="N43" s="22">
        <f>IFERROR(__xludf.DUMMYFUNCTION("""COMPUTED_VALUE"""),0.0)</f>
        <v>0</v>
      </c>
      <c r="O43" s="22">
        <f>IFERROR(__xludf.DUMMYFUNCTION("""COMPUTED_VALUE"""),450000.0)</f>
        <v>450000</v>
      </c>
      <c r="P43" s="28" t="str">
        <f t="shared" si="1"/>
        <v>LUNAS</v>
      </c>
      <c r="Q43" s="28">
        <f t="shared" si="2"/>
        <v>137</v>
      </c>
      <c r="R43" s="28" t="str">
        <f t="shared" si="3"/>
        <v>MAHATMA SATYA GRAHA</v>
      </c>
    </row>
    <row r="44">
      <c r="A44" s="27">
        <f>IFERROR(__xludf.DUMMYFUNCTION("""COMPUTED_VALUE"""),43.0)</f>
        <v>43</v>
      </c>
      <c r="B44" s="28" t="str">
        <f>IFERROR(__xludf.DUMMYFUNCTION("""COMPUTED_VALUE"""),"MARVELL RIZIQ AMIN")</f>
        <v>MARVELL RIZIQ AMIN</v>
      </c>
      <c r="C44" s="28">
        <f>IFERROR(__xludf.DUMMYFUNCTION("""COMPUTED_VALUE"""),2.02407021E9)</f>
        <v>2024070210</v>
      </c>
      <c r="D44" s="27" t="str">
        <f>IFERROR(__xludf.DUMMYFUNCTION("""COMPUTED_VALUE"""),"A")</f>
        <v>A</v>
      </c>
      <c r="E44" s="27" t="str">
        <f>IFERROR(__xludf.DUMMYFUNCTION("""COMPUTED_VALUE"""),"A-10")</f>
        <v>A-10</v>
      </c>
      <c r="F44" s="31">
        <f>IFERROR(__xludf.DUMMYFUNCTION("""COMPUTED_VALUE"""),3.0)</f>
        <v>3</v>
      </c>
      <c r="G44" s="27" t="str">
        <f>IFERROR(__xludf.DUMMYFUNCTION("""COMPUTED_VALUE"""),"3 WUSTHO PUTRA")</f>
        <v>3 WUSTHO PUTRA</v>
      </c>
      <c r="H44" s="28" t="str">
        <f>IFERROR(__xludf.DUMMYFUNCTION("""COMPUTED_VALUE"""),"MA-XII.6")</f>
        <v>MA-XII.6</v>
      </c>
      <c r="I44" s="28" t="str">
        <f>IFERROR(__xludf.DUMMYFUNCTION("""COMPUTED_VALUE"""),"SITI ANISAH")</f>
        <v>SITI ANISAH</v>
      </c>
      <c r="J44" s="28" t="str">
        <f>IFERROR(__xludf.DUMMYFUNCTION("""COMPUTED_VALUE"""),"GENENG RT 5 RW 8 BRONDONG LAMONGAN")</f>
        <v>GENENG RT 5 RW 8 BRONDONG LAMONGAN</v>
      </c>
      <c r="K44" s="28" t="str">
        <f>IFERROR(__xludf.DUMMYFUNCTION("""COMPUTED_VALUE"""),"62895323652394")</f>
        <v>62895323652394</v>
      </c>
      <c r="L44" s="22">
        <f>IFERROR(__xludf.DUMMYFUNCTION("""COMPUTED_VALUE"""),0.0)</f>
        <v>0</v>
      </c>
      <c r="M44" s="22">
        <f>IFERROR(__xludf.DUMMYFUNCTION("""COMPUTED_VALUE"""),0.0)</f>
        <v>0</v>
      </c>
      <c r="N44" s="22">
        <f>IFERROR(__xludf.DUMMYFUNCTION("""COMPUTED_VALUE"""),0.0)</f>
        <v>0</v>
      </c>
      <c r="O44" s="22">
        <f>IFERROR(__xludf.DUMMYFUNCTION("""COMPUTED_VALUE"""),0.0)</f>
        <v>0</v>
      </c>
      <c r="P44" s="28" t="str">
        <f t="shared" si="1"/>
        <v>LUNAS</v>
      </c>
      <c r="Q44" s="28">
        <f t="shared" si="2"/>
        <v>162</v>
      </c>
      <c r="R44" s="28" t="str">
        <f t="shared" si="3"/>
        <v>MARVELL RIZIQ AMIN</v>
      </c>
    </row>
    <row r="45">
      <c r="A45" s="27">
        <f>IFERROR(__xludf.DUMMYFUNCTION("""COMPUTED_VALUE"""),44.0)</f>
        <v>44</v>
      </c>
      <c r="B45" s="28" t="str">
        <f>IFERROR(__xludf.DUMMYFUNCTION("""COMPUTED_VALUE"""),"MOCH. FAJAR QOMARUDIN FEBRIAN")</f>
        <v>MOCH. FAJAR QOMARUDIN FEBRIAN</v>
      </c>
      <c r="C45" s="28">
        <f>IFERROR(__xludf.DUMMYFUNCTION("""COMPUTED_VALUE"""),2.024070678E9)</f>
        <v>2024070678</v>
      </c>
      <c r="D45" s="27" t="str">
        <f>IFERROR(__xludf.DUMMYFUNCTION("""COMPUTED_VALUE"""),"A")</f>
        <v>A</v>
      </c>
      <c r="E45" s="27" t="str">
        <f>IFERROR(__xludf.DUMMYFUNCTION("""COMPUTED_VALUE"""),"A-10")</f>
        <v>A-10</v>
      </c>
      <c r="F45" s="31">
        <f>IFERROR(__xludf.DUMMYFUNCTION("""COMPUTED_VALUE"""),3.0)</f>
        <v>3</v>
      </c>
      <c r="G45" s="27" t="str">
        <f>IFERROR(__xludf.DUMMYFUNCTION("""COMPUTED_VALUE"""),"3 WUSTHO PUTRA")</f>
        <v>3 WUSTHO PUTRA</v>
      </c>
      <c r="H45" s="28" t="str">
        <f>IFERROR(__xludf.DUMMYFUNCTION("""COMPUTED_VALUE"""),"SMK-XII TKJ 1")</f>
        <v>SMK-XII TKJ 1</v>
      </c>
      <c r="I45" s="28" t="str">
        <f>IFERROR(__xludf.DUMMYFUNCTION("""COMPUTED_VALUE"""),"SA'ADATUN NI'MAH")</f>
        <v>SA'ADATUN NI'MAH</v>
      </c>
      <c r="J45" s="28" t="str">
        <f>IFERROR(__xludf.DUMMYFUNCTION("""COMPUTED_VALUE"""),"KANDANGAN CANDISARI RT 012 RW 002 SAMBENG LAMONGAN")</f>
        <v>KANDANGAN CANDISARI RT 012 RW 002 SAMBENG LAMONGAN</v>
      </c>
      <c r="K45" s="28" t="str">
        <f>IFERROR(__xludf.DUMMYFUNCTION("""COMPUTED_VALUE"""),"6285809004813")</f>
        <v>6285809004813</v>
      </c>
      <c r="L45" s="22">
        <f>IFERROR(__xludf.DUMMYFUNCTION("""COMPUTED_VALUE"""),1890000.0)</f>
        <v>1890000</v>
      </c>
      <c r="M45" s="22">
        <f>IFERROR(__xludf.DUMMYFUNCTION("""COMPUTED_VALUE"""),0.0)</f>
        <v>0</v>
      </c>
      <c r="N45" s="22">
        <f>IFERROR(__xludf.DUMMYFUNCTION("""COMPUTED_VALUE"""),250000.0)</f>
        <v>250000</v>
      </c>
      <c r="O45" s="22">
        <f>IFERROR(__xludf.DUMMYFUNCTION("""COMPUTED_VALUE"""),2140000.0)</f>
        <v>2140000</v>
      </c>
      <c r="P45" s="28" t="str">
        <f t="shared" si="1"/>
        <v>BELUM</v>
      </c>
      <c r="Q45" s="28">
        <f t="shared" si="2"/>
        <v>34</v>
      </c>
      <c r="R45" s="28" t="str">
        <f t="shared" si="3"/>
        <v>MOCH. FAJAR QOMARUDIN FEBRIAN</v>
      </c>
    </row>
    <row r="46">
      <c r="A46" s="27">
        <f>IFERROR(__xludf.DUMMYFUNCTION("""COMPUTED_VALUE"""),45.0)</f>
        <v>45</v>
      </c>
      <c r="B46" s="28" t="str">
        <f>IFERROR(__xludf.DUMMYFUNCTION("""COMPUTED_VALUE"""),"MOH. RAFY ANDIKA ROHMAN")</f>
        <v>MOH. RAFY ANDIKA ROHMAN</v>
      </c>
      <c r="C46" s="28">
        <f>IFERROR(__xludf.DUMMYFUNCTION("""COMPUTED_VALUE"""),2.024070676E9)</f>
        <v>2024070676</v>
      </c>
      <c r="D46" s="27" t="str">
        <f>IFERROR(__xludf.DUMMYFUNCTION("""COMPUTED_VALUE"""),"A")</f>
        <v>A</v>
      </c>
      <c r="E46" s="27" t="str">
        <f>IFERROR(__xludf.DUMMYFUNCTION("""COMPUTED_VALUE"""),"A-10")</f>
        <v>A-10</v>
      </c>
      <c r="F46" s="31">
        <f>IFERROR(__xludf.DUMMYFUNCTION("""COMPUTED_VALUE"""),3.0)</f>
        <v>3</v>
      </c>
      <c r="G46" s="27" t="str">
        <f>IFERROR(__xludf.DUMMYFUNCTION("""COMPUTED_VALUE"""),"3 WUSTHO PUTRA")</f>
        <v>3 WUSTHO PUTRA</v>
      </c>
      <c r="H46" s="28" t="str">
        <f>IFERROR(__xludf.DUMMYFUNCTION("""COMPUTED_VALUE"""),"SMK-XII TKR 2")</f>
        <v>SMK-XII TKR 2</v>
      </c>
      <c r="I46" s="28" t="str">
        <f>IFERROR(__xludf.DUMMYFUNCTION("""COMPUTED_VALUE"""),"SUTATIK")</f>
        <v>SUTATIK</v>
      </c>
      <c r="J46" s="28" t="str">
        <f>IFERROR(__xludf.DUMMYFUNCTION("""COMPUTED_VALUE"""),"PUTATREJO PUTATBANGAH RT 002 RW 003 KARANGBINANGUN LAMONGAN")</f>
        <v>PUTATREJO PUTATBANGAH RT 002 RW 003 KARANGBINANGUN LAMONGAN</v>
      </c>
      <c r="K46" s="28" t="str">
        <f>IFERROR(__xludf.DUMMYFUNCTION("""COMPUTED_VALUE"""),"6285730854693")</f>
        <v>6285730854693</v>
      </c>
      <c r="L46" s="22">
        <f>IFERROR(__xludf.DUMMYFUNCTION("""COMPUTED_VALUE"""),3600000.0)</f>
        <v>3600000</v>
      </c>
      <c r="M46" s="22">
        <f>IFERROR(__xludf.DUMMYFUNCTION("""COMPUTED_VALUE"""),0.0)</f>
        <v>0</v>
      </c>
      <c r="N46" s="22">
        <f>IFERROR(__xludf.DUMMYFUNCTION("""COMPUTED_VALUE"""),0.0)</f>
        <v>0</v>
      </c>
      <c r="O46" s="22">
        <f>IFERROR(__xludf.DUMMYFUNCTION("""COMPUTED_VALUE"""),3600000.0)</f>
        <v>3600000</v>
      </c>
      <c r="P46" s="28" t="str">
        <f t="shared" si="1"/>
        <v>LUNAS</v>
      </c>
      <c r="Q46" s="28">
        <f t="shared" si="2"/>
        <v>24</v>
      </c>
      <c r="R46" s="28" t="str">
        <f t="shared" si="3"/>
        <v>MOH. RAFY ANDIKA ROHMAN</v>
      </c>
    </row>
    <row r="47">
      <c r="A47" s="27">
        <f>IFERROR(__xludf.DUMMYFUNCTION("""COMPUTED_VALUE"""),46.0)</f>
        <v>46</v>
      </c>
      <c r="B47" s="28" t="str">
        <f>IFERROR(__xludf.DUMMYFUNCTION("""COMPUTED_VALUE"""),"MUHAMMAD ARIS IBRAHIM")</f>
        <v>MUHAMMAD ARIS IBRAHIM</v>
      </c>
      <c r="C47" s="28">
        <f>IFERROR(__xludf.DUMMYFUNCTION("""COMPUTED_VALUE"""),2.024070691E9)</f>
        <v>2024070691</v>
      </c>
      <c r="D47" s="27" t="str">
        <f>IFERROR(__xludf.DUMMYFUNCTION("""COMPUTED_VALUE"""),"A")</f>
        <v>A</v>
      </c>
      <c r="E47" s="27" t="str">
        <f>IFERROR(__xludf.DUMMYFUNCTION("""COMPUTED_VALUE"""),"A-10")</f>
        <v>A-10</v>
      </c>
      <c r="F47" s="31">
        <f>IFERROR(__xludf.DUMMYFUNCTION("""COMPUTED_VALUE"""),3.0)</f>
        <v>3</v>
      </c>
      <c r="G47" s="27" t="str">
        <f>IFERROR(__xludf.DUMMYFUNCTION("""COMPUTED_VALUE"""),"3 WUSTHO PUTRA")</f>
        <v>3 WUSTHO PUTRA</v>
      </c>
      <c r="H47" s="28" t="str">
        <f>IFERROR(__xludf.DUMMYFUNCTION("""COMPUTED_VALUE"""),"SMK-XII TKJ 1")</f>
        <v>SMK-XII TKJ 1</v>
      </c>
      <c r="I47" s="28" t="str">
        <f>IFERROR(__xludf.DUMMYFUNCTION("""COMPUTED_VALUE"""),"EMI LAKSEMI ZAHARA")</f>
        <v>EMI LAKSEMI ZAHARA</v>
      </c>
      <c r="J47" s="28" t="str">
        <f>IFERROR(__xludf.DUMMYFUNCTION("""COMPUTED_VALUE"""),"WANAR RT 001 RW 007 PUCUK LAMONGAN")</f>
        <v>WANAR RT 001 RW 007 PUCUK LAMONGAN</v>
      </c>
      <c r="K47" s="28" t="str">
        <f>IFERROR(__xludf.DUMMYFUNCTION("""COMPUTED_VALUE"""),"6289523611658")</f>
        <v>6289523611658</v>
      </c>
      <c r="L47" s="22">
        <f>IFERROR(__xludf.DUMMYFUNCTION("""COMPUTED_VALUE"""),0.0)</f>
        <v>0</v>
      </c>
      <c r="M47" s="22">
        <f>IFERROR(__xludf.DUMMYFUNCTION("""COMPUTED_VALUE"""),0.0)</f>
        <v>0</v>
      </c>
      <c r="N47" s="22">
        <f>IFERROR(__xludf.DUMMYFUNCTION("""COMPUTED_VALUE"""),0.0)</f>
        <v>0</v>
      </c>
      <c r="O47" s="22">
        <f>IFERROR(__xludf.DUMMYFUNCTION("""COMPUTED_VALUE"""),0.0)</f>
        <v>0</v>
      </c>
      <c r="P47" s="28" t="str">
        <f t="shared" si="1"/>
        <v>LUNAS</v>
      </c>
      <c r="Q47" s="28">
        <f t="shared" si="2"/>
        <v>163</v>
      </c>
      <c r="R47" s="28" t="str">
        <f t="shared" si="3"/>
        <v>MUHAMMAD ARIS IBRAHIM</v>
      </c>
    </row>
    <row r="48">
      <c r="A48" s="27">
        <f>IFERROR(__xludf.DUMMYFUNCTION("""COMPUTED_VALUE"""),47.0)</f>
        <v>47</v>
      </c>
      <c r="B48" s="28" t="str">
        <f>IFERROR(__xludf.DUMMYFUNCTION("""COMPUTED_VALUE"""),"MUHAMMAD FIRDAUS AL AYYUBI")</f>
        <v>MUHAMMAD FIRDAUS AL AYYUBI</v>
      </c>
      <c r="C48" s="28">
        <f>IFERROR(__xludf.DUMMYFUNCTION("""COMPUTED_VALUE"""),2.02407068E9)</f>
        <v>2024070680</v>
      </c>
      <c r="D48" s="27" t="str">
        <f>IFERROR(__xludf.DUMMYFUNCTION("""COMPUTED_VALUE"""),"A")</f>
        <v>A</v>
      </c>
      <c r="E48" s="27" t="str">
        <f>IFERROR(__xludf.DUMMYFUNCTION("""COMPUTED_VALUE"""),"A-10")</f>
        <v>A-10</v>
      </c>
      <c r="F48" s="31">
        <f>IFERROR(__xludf.DUMMYFUNCTION("""COMPUTED_VALUE"""),3.0)</f>
        <v>3</v>
      </c>
      <c r="G48" s="27" t="str">
        <f>IFERROR(__xludf.DUMMYFUNCTION("""COMPUTED_VALUE"""),"3 WUSTHO PUTRA")</f>
        <v>3 WUSTHO PUTRA</v>
      </c>
      <c r="H48" s="28" t="str">
        <f>IFERROR(__xludf.DUMMYFUNCTION("""COMPUTED_VALUE"""),"SMK-XII TKJ 1")</f>
        <v>SMK-XII TKJ 1</v>
      </c>
      <c r="I48" s="28" t="str">
        <f>IFERROR(__xludf.DUMMYFUNCTION("""COMPUTED_VALUE"""),"SITI NASRIYATUN")</f>
        <v>SITI NASRIYATUN</v>
      </c>
      <c r="J48" s="28" t="str">
        <f>IFERROR(__xludf.DUMMYFUNCTION("""COMPUTED_VALUE"""),"DAGAN RT 002 RW 002 SOLOKURO LAMONGAN")</f>
        <v>DAGAN RT 002 RW 002 SOLOKURO LAMONGAN</v>
      </c>
      <c r="K48" s="28" t="str">
        <f>IFERROR(__xludf.DUMMYFUNCTION("""COMPUTED_VALUE"""),"6285648339606")</f>
        <v>6285648339606</v>
      </c>
      <c r="L48" s="22">
        <f>IFERROR(__xludf.DUMMYFUNCTION("""COMPUTED_VALUE"""),0.0)</f>
        <v>0</v>
      </c>
      <c r="M48" s="22">
        <f>IFERROR(__xludf.DUMMYFUNCTION("""COMPUTED_VALUE"""),0.0)</f>
        <v>0</v>
      </c>
      <c r="N48" s="22">
        <f>IFERROR(__xludf.DUMMYFUNCTION("""COMPUTED_VALUE"""),0.0)</f>
        <v>0</v>
      </c>
      <c r="O48" s="22">
        <f>IFERROR(__xludf.DUMMYFUNCTION("""COMPUTED_VALUE"""),0.0)</f>
        <v>0</v>
      </c>
      <c r="P48" s="28" t="str">
        <f t="shared" si="1"/>
        <v>LUNAS</v>
      </c>
      <c r="Q48" s="28">
        <f t="shared" si="2"/>
        <v>164</v>
      </c>
      <c r="R48" s="28" t="str">
        <f t="shared" si="3"/>
        <v>MUHAMMAD FIRDAUS AL AYYUBI</v>
      </c>
    </row>
    <row r="49">
      <c r="A49" s="27">
        <f>IFERROR(__xludf.DUMMYFUNCTION("""COMPUTED_VALUE"""),48.0)</f>
        <v>48</v>
      </c>
      <c r="B49" s="28" t="str">
        <f>IFERROR(__xludf.DUMMYFUNCTION("""COMPUTED_VALUE"""),"MUHAMMAD HIBATULLAH TSAQIF")</f>
        <v>MUHAMMAD HIBATULLAH TSAQIF</v>
      </c>
      <c r="C49" s="28">
        <f>IFERROR(__xludf.DUMMYFUNCTION("""COMPUTED_VALUE"""),2.024070097E9)</f>
        <v>2024070097</v>
      </c>
      <c r="D49" s="27" t="str">
        <f>IFERROR(__xludf.DUMMYFUNCTION("""COMPUTED_VALUE"""),"A")</f>
        <v>A</v>
      </c>
      <c r="E49" s="27" t="str">
        <f>IFERROR(__xludf.DUMMYFUNCTION("""COMPUTED_VALUE"""),"A-10")</f>
        <v>A-10</v>
      </c>
      <c r="F49" s="31">
        <f>IFERROR(__xludf.DUMMYFUNCTION("""COMPUTED_VALUE"""),3.0)</f>
        <v>3</v>
      </c>
      <c r="G49" s="27" t="str">
        <f>IFERROR(__xludf.DUMMYFUNCTION("""COMPUTED_VALUE"""),"3 WUSTHO PUTRA")</f>
        <v>3 WUSTHO PUTRA</v>
      </c>
      <c r="H49" s="28" t="str">
        <f>IFERROR(__xludf.DUMMYFUNCTION("""COMPUTED_VALUE"""),"MA-XII.4")</f>
        <v>MA-XII.4</v>
      </c>
      <c r="I49" s="28" t="str">
        <f>IFERROR(__xludf.DUMMYFUNCTION("""COMPUTED_VALUE"""),"RIRIN FITYATUN YUNIS SA'IDAH")</f>
        <v>RIRIN FITYATUN YUNIS SA'IDAH</v>
      </c>
      <c r="J49" s="28" t="str">
        <f>IFERROR(__xludf.DUMMYFUNCTION("""COMPUTED_VALUE"""),"SOLOKURO RT 004 RW 003 SOLOKURO LAMONGAN")</f>
        <v>SOLOKURO RT 004 RW 003 SOLOKURO LAMONGAN</v>
      </c>
      <c r="K49" s="28" t="str">
        <f>IFERROR(__xludf.DUMMYFUNCTION("""COMPUTED_VALUE"""),"6285182276192")</f>
        <v>6285182276192</v>
      </c>
      <c r="L49" s="22">
        <f>IFERROR(__xludf.DUMMYFUNCTION("""COMPUTED_VALUE"""),0.0)</f>
        <v>0</v>
      </c>
      <c r="M49" s="22">
        <f>IFERROR(__xludf.DUMMYFUNCTION("""COMPUTED_VALUE"""),0.0)</f>
        <v>0</v>
      </c>
      <c r="N49" s="22">
        <f>IFERROR(__xludf.DUMMYFUNCTION("""COMPUTED_VALUE"""),0.0)</f>
        <v>0</v>
      </c>
      <c r="O49" s="22">
        <f>IFERROR(__xludf.DUMMYFUNCTION("""COMPUTED_VALUE"""),0.0)</f>
        <v>0</v>
      </c>
      <c r="P49" s="28" t="str">
        <f t="shared" si="1"/>
        <v>LUNAS</v>
      </c>
      <c r="Q49" s="28">
        <f t="shared" si="2"/>
        <v>165</v>
      </c>
      <c r="R49" s="28" t="str">
        <f t="shared" si="3"/>
        <v>MUHAMMAD HIBATULLAH TSAQIF</v>
      </c>
    </row>
    <row r="50">
      <c r="A50" s="27">
        <f>IFERROR(__xludf.DUMMYFUNCTION("""COMPUTED_VALUE"""),49.0)</f>
        <v>49</v>
      </c>
      <c r="B50" s="28" t="str">
        <f>IFERROR(__xludf.DUMMYFUNCTION("""COMPUTED_VALUE"""),"MUHAMMAD SYA`DANA")</f>
        <v>MUHAMMAD SYA`DANA</v>
      </c>
      <c r="C50" s="28">
        <f>IFERROR(__xludf.DUMMYFUNCTION("""COMPUTED_VALUE"""),2.024070715E9)</f>
        <v>2024070715</v>
      </c>
      <c r="D50" s="27" t="str">
        <f>IFERROR(__xludf.DUMMYFUNCTION("""COMPUTED_VALUE"""),"A")</f>
        <v>A</v>
      </c>
      <c r="E50" s="27" t="str">
        <f>IFERROR(__xludf.DUMMYFUNCTION("""COMPUTED_VALUE"""),"A-10")</f>
        <v>A-10</v>
      </c>
      <c r="F50" s="31">
        <f>IFERROR(__xludf.DUMMYFUNCTION("""COMPUTED_VALUE"""),3.0)</f>
        <v>3</v>
      </c>
      <c r="G50" s="27" t="str">
        <f>IFERROR(__xludf.DUMMYFUNCTION("""COMPUTED_VALUE"""),"3 WUSTHO PUTRA")</f>
        <v>3 WUSTHO PUTRA</v>
      </c>
      <c r="H50" s="28" t="str">
        <f>IFERROR(__xludf.DUMMYFUNCTION("""COMPUTED_VALUE"""),"SMK-XII TKJ 2")</f>
        <v>SMK-XII TKJ 2</v>
      </c>
      <c r="I50" s="28" t="str">
        <f>IFERROR(__xludf.DUMMYFUNCTION("""COMPUTED_VALUE"""),"FATMAWATI")</f>
        <v>FATMAWATI</v>
      </c>
      <c r="J50" s="28" t="str">
        <f>IFERROR(__xludf.DUMMYFUNCTION("""COMPUTED_VALUE"""),"PARENGAN RT 4 RW 3 MADURAN LAMONGAN")</f>
        <v>PARENGAN RT 4 RW 3 MADURAN LAMONGAN</v>
      </c>
      <c r="K50" s="28" t="str">
        <f>IFERROR(__xludf.DUMMYFUNCTION("""COMPUTED_VALUE"""),"6281216068509")</f>
        <v>6281216068509</v>
      </c>
      <c r="L50" s="22">
        <f>IFERROR(__xludf.DUMMYFUNCTION("""COMPUTED_VALUE"""),450000.0)</f>
        <v>450000</v>
      </c>
      <c r="M50" s="22">
        <f>IFERROR(__xludf.DUMMYFUNCTION("""COMPUTED_VALUE"""),0.0)</f>
        <v>0</v>
      </c>
      <c r="N50" s="22">
        <f>IFERROR(__xludf.DUMMYFUNCTION("""COMPUTED_VALUE"""),0.0)</f>
        <v>0</v>
      </c>
      <c r="O50" s="22">
        <f>IFERROR(__xludf.DUMMYFUNCTION("""COMPUTED_VALUE"""),450000.0)</f>
        <v>450000</v>
      </c>
      <c r="P50" s="28" t="str">
        <f t="shared" si="1"/>
        <v>LUNAS</v>
      </c>
      <c r="Q50" s="28">
        <f t="shared" si="2"/>
        <v>138</v>
      </c>
      <c r="R50" s="28" t="str">
        <f t="shared" si="3"/>
        <v>MUHAMMAD SYA`DANA</v>
      </c>
    </row>
    <row r="51">
      <c r="A51" s="27">
        <f>IFERROR(__xludf.DUMMYFUNCTION("""COMPUTED_VALUE"""),50.0)</f>
        <v>50</v>
      </c>
      <c r="B51" s="28" t="str">
        <f>IFERROR(__xludf.DUMMYFUNCTION("""COMPUTED_VALUE"""),"MUHYIDDIN FAQIH")</f>
        <v>MUHYIDDIN FAQIH</v>
      </c>
      <c r="C51" s="28">
        <f>IFERROR(__xludf.DUMMYFUNCTION("""COMPUTED_VALUE"""),2.024070299E9)</f>
        <v>2024070299</v>
      </c>
      <c r="D51" s="27" t="str">
        <f>IFERROR(__xludf.DUMMYFUNCTION("""COMPUTED_VALUE"""),"A")</f>
        <v>A</v>
      </c>
      <c r="E51" s="27" t="str">
        <f>IFERROR(__xludf.DUMMYFUNCTION("""COMPUTED_VALUE"""),"A-10")</f>
        <v>A-10</v>
      </c>
      <c r="F51" s="31">
        <f>IFERROR(__xludf.DUMMYFUNCTION("""COMPUTED_VALUE"""),3.0)</f>
        <v>3</v>
      </c>
      <c r="G51" s="27" t="str">
        <f>IFERROR(__xludf.DUMMYFUNCTION("""COMPUTED_VALUE"""),"3 WUSTHO PUTRA")</f>
        <v>3 WUSTHO PUTRA</v>
      </c>
      <c r="H51" s="28" t="str">
        <f>IFERROR(__xludf.DUMMYFUNCTION("""COMPUTED_VALUE"""),"MA-XII.9")</f>
        <v>MA-XII.9</v>
      </c>
      <c r="I51" s="28" t="str">
        <f>IFERROR(__xludf.DUMMYFUNCTION("""COMPUTED_VALUE"""),"SUHARNIK")</f>
        <v>SUHARNIK</v>
      </c>
      <c r="J51" s="28" t="str">
        <f>IFERROR(__xludf.DUMMYFUNCTION("""COMPUTED_VALUE"""),"SAWO RT 003 RW 002 DUKUN GRESIK")</f>
        <v>SAWO RT 003 RW 002 DUKUN GRESIK</v>
      </c>
      <c r="K51" s="28" t="str">
        <f>IFERROR(__xludf.DUMMYFUNCTION("""COMPUTED_VALUE"""),"6281554403924")</f>
        <v>6281554403924</v>
      </c>
      <c r="L51" s="22">
        <f>IFERROR(__xludf.DUMMYFUNCTION("""COMPUTED_VALUE"""),450000.0)</f>
        <v>450000</v>
      </c>
      <c r="M51" s="22">
        <f>IFERROR(__xludf.DUMMYFUNCTION("""COMPUTED_VALUE"""),500000.0)</f>
        <v>500000</v>
      </c>
      <c r="N51" s="22">
        <f>IFERROR(__xludf.DUMMYFUNCTION("""COMPUTED_VALUE"""),0.0)</f>
        <v>0</v>
      </c>
      <c r="O51" s="22">
        <f>IFERROR(__xludf.DUMMYFUNCTION("""COMPUTED_VALUE"""),950000.0)</f>
        <v>950000</v>
      </c>
      <c r="P51" s="28" t="str">
        <f t="shared" si="1"/>
        <v>LUNAS</v>
      </c>
      <c r="Q51" s="28">
        <f t="shared" si="2"/>
        <v>106</v>
      </c>
      <c r="R51" s="28" t="str">
        <f t="shared" si="3"/>
        <v>MUHYIDDIN FAQIH</v>
      </c>
    </row>
    <row r="52">
      <c r="A52" s="27">
        <f>IFERROR(__xludf.DUMMYFUNCTION("""COMPUTED_VALUE"""),51.0)</f>
        <v>51</v>
      </c>
      <c r="B52" s="28" t="str">
        <f>IFERROR(__xludf.DUMMYFUNCTION("""COMPUTED_VALUE"""),"NAURIL ASTRA DIRGANTARA")</f>
        <v>NAURIL ASTRA DIRGANTARA</v>
      </c>
      <c r="C52" s="28">
        <f>IFERROR(__xludf.DUMMYFUNCTION("""COMPUTED_VALUE"""),2.024070713E9)</f>
        <v>2024070713</v>
      </c>
      <c r="D52" s="27" t="str">
        <f>IFERROR(__xludf.DUMMYFUNCTION("""COMPUTED_VALUE"""),"A")</f>
        <v>A</v>
      </c>
      <c r="E52" s="27" t="str">
        <f>IFERROR(__xludf.DUMMYFUNCTION("""COMPUTED_VALUE"""),"A-10")</f>
        <v>A-10</v>
      </c>
      <c r="F52" s="31">
        <f>IFERROR(__xludf.DUMMYFUNCTION("""COMPUTED_VALUE"""),3.0)</f>
        <v>3</v>
      </c>
      <c r="G52" s="27" t="str">
        <f>IFERROR(__xludf.DUMMYFUNCTION("""COMPUTED_VALUE"""),"3 WUSTHO PUTRA")</f>
        <v>3 WUSTHO PUTRA</v>
      </c>
      <c r="H52" s="28" t="str">
        <f>IFERROR(__xludf.DUMMYFUNCTION("""COMPUTED_VALUE"""),"SMK-XII TKJ 1")</f>
        <v>SMK-XII TKJ 1</v>
      </c>
      <c r="I52" s="28" t="str">
        <f>IFERROR(__xludf.DUMMYFUNCTION("""COMPUTED_VALUE"""),"ERTINA YAROH")</f>
        <v>ERTINA YAROH</v>
      </c>
      <c r="J52" s="28" t="str">
        <f>IFERROR(__xludf.DUMMYFUNCTION("""COMPUTED_VALUE"""),"BANJARANYAR RT 007 RW 002 BAURENO BOJONEGORO")</f>
        <v>BANJARANYAR RT 007 RW 002 BAURENO BOJONEGORO</v>
      </c>
      <c r="K52" s="28" t="str">
        <f>IFERROR(__xludf.DUMMYFUNCTION("""COMPUTED_VALUE"""),"6281286452697")</f>
        <v>6281286452697</v>
      </c>
      <c r="L52" s="22">
        <f>IFERROR(__xludf.DUMMYFUNCTION("""COMPUTED_VALUE"""),0.0)</f>
        <v>0</v>
      </c>
      <c r="M52" s="22">
        <f>IFERROR(__xludf.DUMMYFUNCTION("""COMPUTED_VALUE"""),0.0)</f>
        <v>0</v>
      </c>
      <c r="N52" s="22">
        <f>IFERROR(__xludf.DUMMYFUNCTION("""COMPUTED_VALUE"""),0.0)</f>
        <v>0</v>
      </c>
      <c r="O52" s="22">
        <f>IFERROR(__xludf.DUMMYFUNCTION("""COMPUTED_VALUE"""),0.0)</f>
        <v>0</v>
      </c>
      <c r="P52" s="28" t="str">
        <f t="shared" si="1"/>
        <v>LUNAS</v>
      </c>
      <c r="Q52" s="28">
        <f t="shared" si="2"/>
        <v>166</v>
      </c>
      <c r="R52" s="28" t="str">
        <f t="shared" si="3"/>
        <v>NAURIL ASTRA DIRGANTARA</v>
      </c>
    </row>
    <row r="53">
      <c r="A53" s="27">
        <f>IFERROR(__xludf.DUMMYFUNCTION("""COMPUTED_VALUE"""),52.0)</f>
        <v>52</v>
      </c>
      <c r="B53" s="28" t="str">
        <f>IFERROR(__xludf.DUMMYFUNCTION("""COMPUTED_VALUE"""),"RIDHO BINTANG PAMUNGKAS")</f>
        <v>RIDHO BINTANG PAMUNGKAS</v>
      </c>
      <c r="C53" s="28">
        <f>IFERROR(__xludf.DUMMYFUNCTION("""COMPUTED_VALUE"""),2.024070181E9)</f>
        <v>2024070181</v>
      </c>
      <c r="D53" s="27" t="str">
        <f>IFERROR(__xludf.DUMMYFUNCTION("""COMPUTED_VALUE"""),"A")</f>
        <v>A</v>
      </c>
      <c r="E53" s="27" t="str">
        <f>IFERROR(__xludf.DUMMYFUNCTION("""COMPUTED_VALUE"""),"A-10")</f>
        <v>A-10</v>
      </c>
      <c r="F53" s="31">
        <f>IFERROR(__xludf.DUMMYFUNCTION("""COMPUTED_VALUE"""),3.0)</f>
        <v>3</v>
      </c>
      <c r="G53" s="27" t="str">
        <f>IFERROR(__xludf.DUMMYFUNCTION("""COMPUTED_VALUE"""),"3 WUSTHO PUTRA")</f>
        <v>3 WUSTHO PUTRA</v>
      </c>
      <c r="H53" s="28" t="str">
        <f>IFERROR(__xludf.DUMMYFUNCTION("""COMPUTED_VALUE"""),"MA-XII.5")</f>
        <v>MA-XII.5</v>
      </c>
      <c r="I53" s="28" t="str">
        <f>IFERROR(__xludf.DUMMYFUNCTION("""COMPUTED_VALUE"""),"SITI FATIMAH")</f>
        <v>SITI FATIMAH</v>
      </c>
      <c r="J53" s="28" t="str">
        <f>IFERROR(__xludf.DUMMYFUNCTION("""COMPUTED_VALUE"""),"PETIYIN TAKERHARJO RT 002 RW 005 SOLOKURO LAMONGAN")</f>
        <v>PETIYIN TAKERHARJO RT 002 RW 005 SOLOKURO LAMONGAN</v>
      </c>
      <c r="K53" s="28" t="str">
        <f>IFERROR(__xludf.DUMMYFUNCTION("""COMPUTED_VALUE"""),"6285732113931")</f>
        <v>6285732113931</v>
      </c>
      <c r="L53" s="22">
        <f>IFERROR(__xludf.DUMMYFUNCTION("""COMPUTED_VALUE"""),0.0)</f>
        <v>0</v>
      </c>
      <c r="M53" s="22">
        <f>IFERROR(__xludf.DUMMYFUNCTION("""COMPUTED_VALUE"""),0.0)</f>
        <v>0</v>
      </c>
      <c r="N53" s="22">
        <f>IFERROR(__xludf.DUMMYFUNCTION("""COMPUTED_VALUE"""),0.0)</f>
        <v>0</v>
      </c>
      <c r="O53" s="22">
        <f>IFERROR(__xludf.DUMMYFUNCTION("""COMPUTED_VALUE"""),0.0)</f>
        <v>0</v>
      </c>
      <c r="P53" s="28" t="str">
        <f t="shared" si="1"/>
        <v>LUNAS</v>
      </c>
      <c r="Q53" s="28">
        <f t="shared" si="2"/>
        <v>167</v>
      </c>
      <c r="R53" s="28" t="str">
        <f t="shared" si="3"/>
        <v>RIDHO BINTANG PAMUNGKAS</v>
      </c>
    </row>
    <row r="54">
      <c r="A54" s="27">
        <f>IFERROR(__xludf.DUMMYFUNCTION("""COMPUTED_VALUE"""),53.0)</f>
        <v>53</v>
      </c>
      <c r="B54" s="28" t="str">
        <f>IFERROR(__xludf.DUMMYFUNCTION("""COMPUTED_VALUE"""),"RIJALU FACHRI NA`IM")</f>
        <v>RIJALU FACHRI NA`IM</v>
      </c>
      <c r="C54" s="28">
        <f>IFERROR(__xludf.DUMMYFUNCTION("""COMPUTED_VALUE"""),2.024070099E9)</f>
        <v>2024070099</v>
      </c>
      <c r="D54" s="27" t="str">
        <f>IFERROR(__xludf.DUMMYFUNCTION("""COMPUTED_VALUE"""),"A")</f>
        <v>A</v>
      </c>
      <c r="E54" s="27" t="str">
        <f>IFERROR(__xludf.DUMMYFUNCTION("""COMPUTED_VALUE"""),"A-10")</f>
        <v>A-10</v>
      </c>
      <c r="F54" s="31">
        <f>IFERROR(__xludf.DUMMYFUNCTION("""COMPUTED_VALUE"""),3.0)</f>
        <v>3</v>
      </c>
      <c r="G54" s="27" t="str">
        <f>IFERROR(__xludf.DUMMYFUNCTION("""COMPUTED_VALUE"""),"3 WUSTHO PUTRA")</f>
        <v>3 WUSTHO PUTRA</v>
      </c>
      <c r="H54" s="28" t="str">
        <f>IFERROR(__xludf.DUMMYFUNCTION("""COMPUTED_VALUE"""),"MA-XII.4")</f>
        <v>MA-XII.4</v>
      </c>
      <c r="I54" s="28" t="str">
        <f>IFERROR(__xludf.DUMMYFUNCTION("""COMPUTED_VALUE"""),"RIZKUL MAFTUHAH")</f>
        <v>RIZKUL MAFTUHAH</v>
      </c>
      <c r="J54" s="28" t="str">
        <f>IFERROR(__xludf.DUMMYFUNCTION("""COMPUTED_VALUE"""),"GENENG INDAH RT 5 RW 8 BRONDONG LAMONGAN")</f>
        <v>GENENG INDAH RT 5 RW 8 BRONDONG LAMONGAN</v>
      </c>
      <c r="K54" s="28" t="str">
        <f>IFERROR(__xludf.DUMMYFUNCTION("""COMPUTED_VALUE"""),"6281333389848")</f>
        <v>6281333389848</v>
      </c>
      <c r="L54" s="22">
        <f>IFERROR(__xludf.DUMMYFUNCTION("""COMPUTED_VALUE"""),0.0)</f>
        <v>0</v>
      </c>
      <c r="M54" s="22">
        <f>IFERROR(__xludf.DUMMYFUNCTION("""COMPUTED_VALUE"""),0.0)</f>
        <v>0</v>
      </c>
      <c r="N54" s="22">
        <f>IFERROR(__xludf.DUMMYFUNCTION("""COMPUTED_VALUE"""),0.0)</f>
        <v>0</v>
      </c>
      <c r="O54" s="22">
        <f>IFERROR(__xludf.DUMMYFUNCTION("""COMPUTED_VALUE"""),0.0)</f>
        <v>0</v>
      </c>
      <c r="P54" s="28" t="str">
        <f t="shared" si="1"/>
        <v>LUNAS</v>
      </c>
      <c r="Q54" s="28">
        <f t="shared" si="2"/>
        <v>168</v>
      </c>
      <c r="R54" s="28" t="str">
        <f t="shared" si="3"/>
        <v>RIJALU FACHRI NA`IM</v>
      </c>
    </row>
    <row r="55">
      <c r="A55" s="27">
        <f>IFERROR(__xludf.DUMMYFUNCTION("""COMPUTED_VALUE"""),54.0)</f>
        <v>54</v>
      </c>
      <c r="B55" s="28" t="str">
        <f>IFERROR(__xludf.DUMMYFUNCTION("""COMPUTED_VALUE"""),"ROKHMAT")</f>
        <v>ROKHMAT</v>
      </c>
      <c r="C55" s="28">
        <f>IFERROR(__xludf.DUMMYFUNCTION("""COMPUTED_VALUE"""),2.024070145E9)</f>
        <v>2024070145</v>
      </c>
      <c r="D55" s="27" t="str">
        <f>IFERROR(__xludf.DUMMYFUNCTION("""COMPUTED_VALUE"""),"A")</f>
        <v>A</v>
      </c>
      <c r="E55" s="27" t="str">
        <f>IFERROR(__xludf.DUMMYFUNCTION("""COMPUTED_VALUE"""),"A-10")</f>
        <v>A-10</v>
      </c>
      <c r="F55" s="31">
        <f>IFERROR(__xludf.DUMMYFUNCTION("""COMPUTED_VALUE"""),3.0)</f>
        <v>3</v>
      </c>
      <c r="G55" s="27" t="str">
        <f>IFERROR(__xludf.DUMMYFUNCTION("""COMPUTED_VALUE"""),"3 WUSTHO PUTRA")</f>
        <v>3 WUSTHO PUTRA</v>
      </c>
      <c r="H55" s="28" t="str">
        <f>IFERROR(__xludf.DUMMYFUNCTION("""COMPUTED_VALUE"""),"MA-XII.5")</f>
        <v>MA-XII.5</v>
      </c>
      <c r="I55" s="28" t="str">
        <f>IFERROR(__xludf.DUMMYFUNCTION("""COMPUTED_VALUE"""),"SITI AMINAH")</f>
        <v>SITI AMINAH</v>
      </c>
      <c r="J55" s="28" t="str">
        <f>IFERROR(__xludf.DUMMYFUNCTION("""COMPUTED_VALUE"""),"PERTANIAN RT 002 RW 002 SEKARAN LAMONGAN")</f>
        <v>PERTANIAN RT 002 RW 002 SEKARAN LAMONGAN</v>
      </c>
      <c r="K55" s="28" t="str">
        <f>IFERROR(__xludf.DUMMYFUNCTION("""COMPUTED_VALUE"""),"628564609510")</f>
        <v>628564609510</v>
      </c>
      <c r="L55" s="22">
        <f>IFERROR(__xludf.DUMMYFUNCTION("""COMPUTED_VALUE"""),0.0)</f>
        <v>0</v>
      </c>
      <c r="M55" s="22">
        <f>IFERROR(__xludf.DUMMYFUNCTION("""COMPUTED_VALUE"""),0.0)</f>
        <v>0</v>
      </c>
      <c r="N55" s="22">
        <f>IFERROR(__xludf.DUMMYFUNCTION("""COMPUTED_VALUE"""),0.0)</f>
        <v>0</v>
      </c>
      <c r="O55" s="22">
        <f>IFERROR(__xludf.DUMMYFUNCTION("""COMPUTED_VALUE"""),0.0)</f>
        <v>0</v>
      </c>
      <c r="P55" s="28" t="str">
        <f t="shared" si="1"/>
        <v>LUNAS</v>
      </c>
      <c r="Q55" s="28">
        <f t="shared" si="2"/>
        <v>169</v>
      </c>
      <c r="R55" s="28" t="str">
        <f t="shared" si="3"/>
        <v>ROKHMAT</v>
      </c>
    </row>
    <row r="56">
      <c r="A56" s="27">
        <f>IFERROR(__xludf.DUMMYFUNCTION("""COMPUTED_VALUE"""),55.0)</f>
        <v>55</v>
      </c>
      <c r="B56" s="28" t="str">
        <f>IFERROR(__xludf.DUMMYFUNCTION("""COMPUTED_VALUE"""),"SYAHRUL MAULANA ARIF")</f>
        <v>SYAHRUL MAULANA ARIF</v>
      </c>
      <c r="C56" s="28">
        <f>IFERROR(__xludf.DUMMYFUNCTION("""COMPUTED_VALUE"""),2.02407041E9)</f>
        <v>2024070410</v>
      </c>
      <c r="D56" s="27" t="str">
        <f>IFERROR(__xludf.DUMMYFUNCTION("""COMPUTED_VALUE"""),"A")</f>
        <v>A</v>
      </c>
      <c r="E56" s="27" t="str">
        <f>IFERROR(__xludf.DUMMYFUNCTION("""COMPUTED_VALUE"""),"A-10")</f>
        <v>A-10</v>
      </c>
      <c r="F56" s="31">
        <f>IFERROR(__xludf.DUMMYFUNCTION("""COMPUTED_VALUE"""),3.0)</f>
        <v>3</v>
      </c>
      <c r="G56" s="27" t="str">
        <f>IFERROR(__xludf.DUMMYFUNCTION("""COMPUTED_VALUE"""),"3 WUSTHO PUTRA")</f>
        <v>3 WUSTHO PUTRA</v>
      </c>
      <c r="H56" s="28" t="str">
        <f>IFERROR(__xludf.DUMMYFUNCTION("""COMPUTED_VALUE"""),"MA-XII.9")</f>
        <v>MA-XII.9</v>
      </c>
      <c r="I56" s="28" t="str">
        <f>IFERROR(__xludf.DUMMYFUNCTION("""COMPUTED_VALUE"""),"IRMAWATI")</f>
        <v>IRMAWATI</v>
      </c>
      <c r="J56" s="28" t="str">
        <f>IFERROR(__xludf.DUMMYFUNCTION("""COMPUTED_VALUE"""),"PATALAN SUMBERJO RT 3 RW 1 PUCUK LAMONGAN")</f>
        <v>PATALAN SUMBERJO RT 3 RW 1 PUCUK LAMONGAN</v>
      </c>
      <c r="K56" s="28" t="str">
        <f>IFERROR(__xludf.DUMMYFUNCTION("""COMPUTED_VALUE"""),"6285606326321")</f>
        <v>6285606326321</v>
      </c>
      <c r="L56" s="22">
        <f>IFERROR(__xludf.DUMMYFUNCTION("""COMPUTED_VALUE"""),0.0)</f>
        <v>0</v>
      </c>
      <c r="M56" s="22">
        <f>IFERROR(__xludf.DUMMYFUNCTION("""COMPUTED_VALUE"""),0.0)</f>
        <v>0</v>
      </c>
      <c r="N56" s="22">
        <f>IFERROR(__xludf.DUMMYFUNCTION("""COMPUTED_VALUE"""),0.0)</f>
        <v>0</v>
      </c>
      <c r="O56" s="22">
        <f>IFERROR(__xludf.DUMMYFUNCTION("""COMPUTED_VALUE"""),0.0)</f>
        <v>0</v>
      </c>
      <c r="P56" s="28" t="str">
        <f t="shared" si="1"/>
        <v>LUNAS</v>
      </c>
      <c r="Q56" s="28">
        <f t="shared" si="2"/>
        <v>170</v>
      </c>
      <c r="R56" s="28" t="str">
        <f t="shared" si="3"/>
        <v>SYAHRUL MAULANA ARIF</v>
      </c>
    </row>
    <row r="57">
      <c r="A57" s="27">
        <f>IFERROR(__xludf.DUMMYFUNCTION("""COMPUTED_VALUE"""),56.0)</f>
        <v>56</v>
      </c>
      <c r="B57" s="28" t="str">
        <f>IFERROR(__xludf.DUMMYFUNCTION("""COMPUTED_VALUE"""),"WAHYU UBAIDHILLAH")</f>
        <v>WAHYU UBAIDHILLAH</v>
      </c>
      <c r="C57" s="28">
        <f>IFERROR(__xludf.DUMMYFUNCTION("""COMPUTED_VALUE"""),2.024070065E9)</f>
        <v>2024070065</v>
      </c>
      <c r="D57" s="27" t="str">
        <f>IFERROR(__xludf.DUMMYFUNCTION("""COMPUTED_VALUE"""),"A")</f>
        <v>A</v>
      </c>
      <c r="E57" s="27" t="str">
        <f>IFERROR(__xludf.DUMMYFUNCTION("""COMPUTED_VALUE"""),"A-10")</f>
        <v>A-10</v>
      </c>
      <c r="F57" s="31">
        <f>IFERROR(__xludf.DUMMYFUNCTION("""COMPUTED_VALUE"""),3.0)</f>
        <v>3</v>
      </c>
      <c r="G57" s="27" t="str">
        <f>IFERROR(__xludf.DUMMYFUNCTION("""COMPUTED_VALUE"""),"3 WUSTHO PUTRA")</f>
        <v>3 WUSTHO PUTRA</v>
      </c>
      <c r="H57" s="28" t="str">
        <f>IFERROR(__xludf.DUMMYFUNCTION("""COMPUTED_VALUE"""),"MA-XII.3")</f>
        <v>MA-XII.3</v>
      </c>
      <c r="I57" s="28" t="str">
        <f>IFERROR(__xludf.DUMMYFUNCTION("""COMPUTED_VALUE"""),"LEMU SA`ADAH")</f>
        <v>LEMU SA`ADAH</v>
      </c>
      <c r="J57" s="28" t="str">
        <f>IFERROR(__xludf.DUMMYFUNCTION("""COMPUTED_VALUE"""),"KARANGGAYAM CT. VIII CATURTUNGGAL RT 2 RW 1 DEPOK SLEMAN")</f>
        <v>KARANGGAYAM CT. VIII CATURTUNGGAL RT 2 RW 1 DEPOK SLEMAN</v>
      </c>
      <c r="K57" s="28" t="str">
        <f>IFERROR(__xludf.DUMMYFUNCTION("""COMPUTED_VALUE"""),"6285640124812")</f>
        <v>6285640124812</v>
      </c>
      <c r="L57" s="22">
        <f>IFERROR(__xludf.DUMMYFUNCTION("""COMPUTED_VALUE"""),1800000.0)</f>
        <v>1800000</v>
      </c>
      <c r="M57" s="22">
        <f>IFERROR(__xludf.DUMMYFUNCTION("""COMPUTED_VALUE"""),0.0)</f>
        <v>0</v>
      </c>
      <c r="N57" s="22">
        <f>IFERROR(__xludf.DUMMYFUNCTION("""COMPUTED_VALUE"""),0.0)</f>
        <v>0</v>
      </c>
      <c r="O57" s="22">
        <f>IFERROR(__xludf.DUMMYFUNCTION("""COMPUTED_VALUE"""),1800000.0)</f>
        <v>1800000</v>
      </c>
      <c r="P57" s="28" t="str">
        <f t="shared" si="1"/>
        <v>LUNAS</v>
      </c>
      <c r="Q57" s="28">
        <f t="shared" si="2"/>
        <v>41</v>
      </c>
      <c r="R57" s="28" t="str">
        <f t="shared" si="3"/>
        <v>WAHYU UBAIDHILLAH</v>
      </c>
    </row>
    <row r="58">
      <c r="A58" s="27">
        <f>IFERROR(__xludf.DUMMYFUNCTION("""COMPUTED_VALUE"""),57.0)</f>
        <v>57</v>
      </c>
      <c r="B58" s="28" t="str">
        <f>IFERROR(__xludf.DUMMYFUNCTION("""COMPUTED_VALUE"""),"DZULFIKAR KEIMAL ALAWY")</f>
        <v>DZULFIKAR KEIMAL ALAWY</v>
      </c>
      <c r="C58" s="28">
        <f>IFERROR(__xludf.DUMMYFUNCTION("""COMPUTED_VALUE"""),2.025070661E9)</f>
        <v>2025070661</v>
      </c>
      <c r="D58" s="27" t="str">
        <f>IFERROR(__xludf.DUMMYFUNCTION("""COMPUTED_VALUE"""),"A")</f>
        <v>A</v>
      </c>
      <c r="E58" s="27" t="str">
        <f>IFERROR(__xludf.DUMMYFUNCTION("""COMPUTED_VALUE"""),"A-10")</f>
        <v>A-10</v>
      </c>
      <c r="F58" s="31">
        <f>IFERROR(__xludf.DUMMYFUNCTION("""COMPUTED_VALUE"""),3.0)</f>
        <v>3</v>
      </c>
      <c r="G58" s="27" t="str">
        <f>IFERROR(__xludf.DUMMYFUNCTION("""COMPUTED_VALUE"""),"3 ULA A PUTRA")</f>
        <v>3 ULA A PUTRA</v>
      </c>
      <c r="H58" s="28" t="str">
        <f>IFERROR(__xludf.DUMMYFUNCTION("""COMPUTED_VALUE"""),"MTS-9 C")</f>
        <v>MTS-9 C</v>
      </c>
      <c r="I58" s="28" t="str">
        <f>IFERROR(__xludf.DUMMYFUNCTION("""COMPUTED_VALUE"""),"MAHFUDLOTIN NI`MAH")</f>
        <v>MAHFUDLOTIN NI`MAH</v>
      </c>
      <c r="J58" s="28" t="str">
        <f>IFERROR(__xludf.DUMMYFUNCTION("""COMPUTED_VALUE"""),"GEDONGKEDOAN RT 002 RW 001 DUKUN GRESIK")</f>
        <v>GEDONGKEDOAN RT 002 RW 001 DUKUN GRESIK</v>
      </c>
      <c r="K58" s="28" t="str">
        <f>IFERROR(__xludf.DUMMYFUNCTION("""COMPUTED_VALUE"""),"6285738157018")</f>
        <v>6285738157018</v>
      </c>
      <c r="L58" s="22">
        <f>IFERROR(__xludf.DUMMYFUNCTION("""COMPUTED_VALUE"""),900000.0)</f>
        <v>900000</v>
      </c>
      <c r="M58" s="22">
        <f>IFERROR(__xludf.DUMMYFUNCTION("""COMPUTED_VALUE"""),0.0)</f>
        <v>0</v>
      </c>
      <c r="N58" s="22">
        <f>IFERROR(__xludf.DUMMYFUNCTION("""COMPUTED_VALUE"""),0.0)</f>
        <v>0</v>
      </c>
      <c r="O58" s="22">
        <f>IFERROR(__xludf.DUMMYFUNCTION("""COMPUTED_VALUE"""),900000.0)</f>
        <v>900000</v>
      </c>
      <c r="P58" s="28" t="str">
        <f t="shared" si="1"/>
        <v>LUNAS</v>
      </c>
      <c r="Q58" s="28">
        <f t="shared" si="2"/>
        <v>113</v>
      </c>
      <c r="R58" s="28" t="str">
        <f t="shared" si="3"/>
        <v>DZULFIKAR KEIMAL ALAWY</v>
      </c>
    </row>
    <row r="59">
      <c r="A59" s="27">
        <f>IFERROR(__xludf.DUMMYFUNCTION("""COMPUTED_VALUE"""),58.0)</f>
        <v>58</v>
      </c>
      <c r="B59" s="28" t="str">
        <f>IFERROR(__xludf.DUMMYFUNCTION("""COMPUTED_VALUE"""),"M. SHEVA AL ABID")</f>
        <v>M. SHEVA AL ABID</v>
      </c>
      <c r="C59" s="28">
        <f>IFERROR(__xludf.DUMMYFUNCTION("""COMPUTED_VALUE"""),2.025070445E9)</f>
        <v>2025070445</v>
      </c>
      <c r="D59" s="27" t="str">
        <f>IFERROR(__xludf.DUMMYFUNCTION("""COMPUTED_VALUE"""),"A")</f>
        <v>A</v>
      </c>
      <c r="E59" s="27" t="str">
        <f>IFERROR(__xludf.DUMMYFUNCTION("""COMPUTED_VALUE"""),"A-11")</f>
        <v>A-11</v>
      </c>
      <c r="F59" s="31">
        <f>IFERROR(__xludf.DUMMYFUNCTION("""COMPUTED_VALUE"""),2.0)</f>
        <v>2</v>
      </c>
      <c r="G59" s="27" t="str">
        <f>IFERROR(__xludf.DUMMYFUNCTION("""COMPUTED_VALUE"""),"2 WUSTHO A PUTRA")</f>
        <v>2 WUSTHO A PUTRA</v>
      </c>
      <c r="H59" s="28" t="str">
        <f>IFERROR(__xludf.DUMMYFUNCTION("""COMPUTED_VALUE"""),"SMK-XI TKR 2")</f>
        <v>SMK-XI TKR 2</v>
      </c>
      <c r="I59" s="28" t="str">
        <f>IFERROR(__xludf.DUMMYFUNCTION("""COMPUTED_VALUE"""),"SITI MUBAROKATUN NI'MAH")</f>
        <v>SITI MUBAROKATUN NI'MAH</v>
      </c>
      <c r="J59" s="28" t="str">
        <f>IFERROR(__xludf.DUMMYFUNCTION("""COMPUTED_VALUE"""),"KANUGRAHAN RT 004 RW 001 MADURAN LAMONGAN")</f>
        <v>KANUGRAHAN RT 004 RW 001 MADURAN LAMONGAN</v>
      </c>
      <c r="K59" s="28" t="str">
        <f>IFERROR(__xludf.DUMMYFUNCTION("""COMPUTED_VALUE"""),"6285637331175")</f>
        <v>6285637331175</v>
      </c>
      <c r="L59" s="22">
        <f>IFERROR(__xludf.DUMMYFUNCTION("""COMPUTED_VALUE"""),1800000.0)</f>
        <v>1800000</v>
      </c>
      <c r="M59" s="22">
        <f>IFERROR(__xludf.DUMMYFUNCTION("""COMPUTED_VALUE"""),0.0)</f>
        <v>0</v>
      </c>
      <c r="N59" s="22">
        <f>IFERROR(__xludf.DUMMYFUNCTION("""COMPUTED_VALUE"""),0.0)</f>
        <v>0</v>
      </c>
      <c r="O59" s="22">
        <f>IFERROR(__xludf.DUMMYFUNCTION("""COMPUTED_VALUE"""),1800000.0)</f>
        <v>1800000</v>
      </c>
      <c r="P59" s="28" t="str">
        <f t="shared" si="1"/>
        <v>LUNAS</v>
      </c>
      <c r="Q59" s="28">
        <f t="shared" si="2"/>
        <v>42</v>
      </c>
      <c r="R59" s="28" t="str">
        <f t="shared" si="3"/>
        <v>M. SHEVA AL ABID</v>
      </c>
    </row>
    <row r="60">
      <c r="A60" s="27">
        <f>IFERROR(__xludf.DUMMYFUNCTION("""COMPUTED_VALUE"""),59.0)</f>
        <v>59</v>
      </c>
      <c r="B60" s="28" t="str">
        <f>IFERROR(__xludf.DUMMYFUNCTION("""COMPUTED_VALUE"""),"MUHAMMAD NASRUL FALAQ")</f>
        <v>MUHAMMAD NASRUL FALAQ</v>
      </c>
      <c r="C60" s="28">
        <f>IFERROR(__xludf.DUMMYFUNCTION("""COMPUTED_VALUE"""),2.024070695E9)</f>
        <v>2024070695</v>
      </c>
      <c r="D60" s="27" t="str">
        <f>IFERROR(__xludf.DUMMYFUNCTION("""COMPUTED_VALUE"""),"A")</f>
        <v>A</v>
      </c>
      <c r="E60" s="27" t="str">
        <f>IFERROR(__xludf.DUMMYFUNCTION("""COMPUTED_VALUE"""),"A-12")</f>
        <v>A-12</v>
      </c>
      <c r="F60" s="31">
        <f>IFERROR(__xludf.DUMMYFUNCTION("""COMPUTED_VALUE"""),3.0)</f>
        <v>3</v>
      </c>
      <c r="G60" s="27" t="str">
        <f>IFERROR(__xludf.DUMMYFUNCTION("""COMPUTED_VALUE"""),"3 WUSTHO PUTRA")</f>
        <v>3 WUSTHO PUTRA</v>
      </c>
      <c r="H60" s="28" t="str">
        <f>IFERROR(__xludf.DUMMYFUNCTION("""COMPUTED_VALUE"""),"SMK-XII TKJ 1")</f>
        <v>SMK-XII TKJ 1</v>
      </c>
      <c r="I60" s="28" t="str">
        <f>IFERROR(__xludf.DUMMYFUNCTION("""COMPUTED_VALUE"""),"IFA TRIANA")</f>
        <v>IFA TRIANA</v>
      </c>
      <c r="J60" s="28" t="str">
        <f>IFERROR(__xludf.DUMMYFUNCTION("""COMPUTED_VALUE"""),"WONOKERTO RT 017 RW 003 DUKUN GRESIK")</f>
        <v>WONOKERTO RT 017 RW 003 DUKUN GRESIK</v>
      </c>
      <c r="K60" s="28" t="str">
        <f>IFERROR(__xludf.DUMMYFUNCTION("""COMPUTED_VALUE"""),"6285602657179")</f>
        <v>6285602657179</v>
      </c>
      <c r="L60" s="22">
        <f>IFERROR(__xludf.DUMMYFUNCTION("""COMPUTED_VALUE"""),0.0)</f>
        <v>0</v>
      </c>
      <c r="M60" s="22">
        <f>IFERROR(__xludf.DUMMYFUNCTION("""COMPUTED_VALUE"""),1000000.0)</f>
        <v>1000000</v>
      </c>
      <c r="N60" s="22">
        <f>IFERROR(__xludf.DUMMYFUNCTION("""COMPUTED_VALUE"""),0.0)</f>
        <v>0</v>
      </c>
      <c r="O60" s="22">
        <f>IFERROR(__xludf.DUMMYFUNCTION("""COMPUTED_VALUE"""),1000000.0)</f>
        <v>1000000</v>
      </c>
      <c r="P60" s="28" t="str">
        <f t="shared" si="1"/>
        <v>LUNAS</v>
      </c>
      <c r="Q60" s="28">
        <f t="shared" si="2"/>
        <v>73</v>
      </c>
      <c r="R60" s="28" t="str">
        <f t="shared" si="3"/>
        <v>MUHAMMAD NASRUL FALAQ</v>
      </c>
    </row>
    <row r="61">
      <c r="A61" s="27">
        <f>IFERROR(__xludf.DUMMYFUNCTION("""COMPUTED_VALUE"""),60.0)</f>
        <v>60</v>
      </c>
      <c r="B61" s="28" t="str">
        <f>IFERROR(__xludf.DUMMYFUNCTION("""COMPUTED_VALUE"""),"MUHAMMAD VICTOR NAJIB BAIHAQI")</f>
        <v>MUHAMMAD VICTOR NAJIB BAIHAQI</v>
      </c>
      <c r="C61" s="28">
        <f>IFERROR(__xludf.DUMMYFUNCTION("""COMPUTED_VALUE"""),2.024070217E9)</f>
        <v>2024070217</v>
      </c>
      <c r="D61" s="27" t="str">
        <f>IFERROR(__xludf.DUMMYFUNCTION("""COMPUTED_VALUE"""),"A")</f>
        <v>A</v>
      </c>
      <c r="E61" s="27" t="str">
        <f>IFERROR(__xludf.DUMMYFUNCTION("""COMPUTED_VALUE"""),"A-12")</f>
        <v>A-12</v>
      </c>
      <c r="F61" s="31">
        <f>IFERROR(__xludf.DUMMYFUNCTION("""COMPUTED_VALUE"""),3.0)</f>
        <v>3</v>
      </c>
      <c r="G61" s="27" t="str">
        <f>IFERROR(__xludf.DUMMYFUNCTION("""COMPUTED_VALUE"""),"3 WUSTHO PUTRA")</f>
        <v>3 WUSTHO PUTRA</v>
      </c>
      <c r="H61" s="28" t="str">
        <f>IFERROR(__xludf.DUMMYFUNCTION("""COMPUTED_VALUE"""),"MA-XII.6")</f>
        <v>MA-XII.6</v>
      </c>
      <c r="I61" s="28" t="str">
        <f>IFERROR(__xludf.DUMMYFUNCTION("""COMPUTED_VALUE"""),"RENI FATMAWATI")</f>
        <v>RENI FATMAWATI</v>
      </c>
      <c r="J61" s="28" t="str">
        <f>IFERROR(__xludf.DUMMYFUNCTION("""COMPUTED_VALUE"""),"WEDENG SUKOREJO RT 002 RW 002 KARANGBINANGUN LAMONGAN")</f>
        <v>WEDENG SUKOREJO RT 002 RW 002 KARANGBINANGUN LAMONGAN</v>
      </c>
      <c r="K61" s="28" t="str">
        <f>IFERROR(__xludf.DUMMYFUNCTION("""COMPUTED_VALUE"""),"6285646194740")</f>
        <v>6285646194740</v>
      </c>
      <c r="L61" s="22">
        <f>IFERROR(__xludf.DUMMYFUNCTION("""COMPUTED_VALUE"""),1350000.0)</f>
        <v>1350000</v>
      </c>
      <c r="M61" s="22">
        <f>IFERROR(__xludf.DUMMYFUNCTION("""COMPUTED_VALUE"""),0.0)</f>
        <v>0</v>
      </c>
      <c r="N61" s="22">
        <f>IFERROR(__xludf.DUMMYFUNCTION("""COMPUTED_VALUE"""),0.0)</f>
        <v>0</v>
      </c>
      <c r="O61" s="22">
        <f>IFERROR(__xludf.DUMMYFUNCTION("""COMPUTED_VALUE"""),1350000.0)</f>
        <v>1350000</v>
      </c>
      <c r="P61" s="28" t="str">
        <f t="shared" si="1"/>
        <v>LUNAS</v>
      </c>
      <c r="Q61" s="28">
        <f t="shared" si="2"/>
        <v>60</v>
      </c>
      <c r="R61" s="28" t="str">
        <f t="shared" si="3"/>
        <v>MUHAMMAD VICTOR NAJIB BAIHAQI</v>
      </c>
    </row>
    <row r="62">
      <c r="A62" s="27">
        <f>IFERROR(__xludf.DUMMYFUNCTION("""COMPUTED_VALUE"""),61.0)</f>
        <v>61</v>
      </c>
      <c r="B62" s="28" t="str">
        <f>IFERROR(__xludf.DUMMYFUNCTION("""COMPUTED_VALUE"""),"AHMAD FAIZIN")</f>
        <v>AHMAD FAIZIN</v>
      </c>
      <c r="C62" s="28">
        <f>IFERROR(__xludf.DUMMYFUNCTION("""COMPUTED_VALUE"""),2.025070492E9)</f>
        <v>2025070492</v>
      </c>
      <c r="D62" s="27" t="str">
        <f>IFERROR(__xludf.DUMMYFUNCTION("""COMPUTED_VALUE"""),"A")</f>
        <v>A</v>
      </c>
      <c r="E62" s="27" t="str">
        <f>IFERROR(__xludf.DUMMYFUNCTION("""COMPUTED_VALUE"""),"A-13")</f>
        <v>A-13</v>
      </c>
      <c r="F62" s="31">
        <f>IFERROR(__xludf.DUMMYFUNCTION("""COMPUTED_VALUE"""),2.0)</f>
        <v>2</v>
      </c>
      <c r="G62" s="27" t="str">
        <f>IFERROR(__xludf.DUMMYFUNCTION("""COMPUTED_VALUE"""),"2 ULA A PUTRA")</f>
        <v>2 ULA A PUTRA</v>
      </c>
      <c r="H62" s="28" t="str">
        <f>IFERROR(__xludf.DUMMYFUNCTION("""COMPUTED_VALUE"""),"MTS-8 A")</f>
        <v>MTS-8 A</v>
      </c>
      <c r="I62" s="28" t="str">
        <f>IFERROR(__xludf.DUMMYFUNCTION("""COMPUTED_VALUE"""),"SITI ROMLAH")</f>
        <v>SITI ROMLAH</v>
      </c>
      <c r="J62" s="28" t="str">
        <f>IFERROR(__xludf.DUMMYFUNCTION("""COMPUTED_VALUE"""),"PELUK PENDOWOLIMO RT 001 RW 003 KARANGBINANGUN LAMONGAN")</f>
        <v>PELUK PENDOWOLIMO RT 001 RW 003 KARANGBINANGUN LAMONGAN</v>
      </c>
      <c r="K62" s="28" t="str">
        <f>IFERROR(__xludf.DUMMYFUNCTION("""COMPUTED_VALUE"""),"6285730840655")</f>
        <v>6285730840655</v>
      </c>
      <c r="L62" s="22">
        <f>IFERROR(__xludf.DUMMYFUNCTION("""COMPUTED_VALUE"""),900000.0)</f>
        <v>900000</v>
      </c>
      <c r="M62" s="22">
        <f>IFERROR(__xludf.DUMMYFUNCTION("""COMPUTED_VALUE"""),1000000.0)</f>
        <v>1000000</v>
      </c>
      <c r="N62" s="22">
        <f>IFERROR(__xludf.DUMMYFUNCTION("""COMPUTED_VALUE"""),0.0)</f>
        <v>0</v>
      </c>
      <c r="O62" s="22">
        <f>IFERROR(__xludf.DUMMYFUNCTION("""COMPUTED_VALUE"""),1900000.0)</f>
        <v>1900000</v>
      </c>
      <c r="P62" s="28" t="str">
        <f t="shared" si="1"/>
        <v>LUNAS</v>
      </c>
      <c r="Q62" s="28">
        <f t="shared" si="2"/>
        <v>37</v>
      </c>
      <c r="R62" s="28" t="str">
        <f t="shared" si="3"/>
        <v>AHMAD FAIZIN</v>
      </c>
    </row>
    <row r="63">
      <c r="A63" s="27">
        <f>IFERROR(__xludf.DUMMYFUNCTION("""COMPUTED_VALUE"""),62.0)</f>
        <v>62</v>
      </c>
      <c r="B63" s="28" t="str">
        <f>IFERROR(__xludf.DUMMYFUNCTION("""COMPUTED_VALUE"""),"FAIRUS ALFIAN ALBAIHAQI")</f>
        <v>FAIRUS ALFIAN ALBAIHAQI</v>
      </c>
      <c r="C63" s="28">
        <f>IFERROR(__xludf.DUMMYFUNCTION("""COMPUTED_VALUE"""),2.025070594E9)</f>
        <v>2025070594</v>
      </c>
      <c r="D63" s="27" t="str">
        <f>IFERROR(__xludf.DUMMYFUNCTION("""COMPUTED_VALUE"""),"A")</f>
        <v>A</v>
      </c>
      <c r="E63" s="27" t="str">
        <f>IFERROR(__xludf.DUMMYFUNCTION("""COMPUTED_VALUE"""),"A-13")</f>
        <v>A-13</v>
      </c>
      <c r="F63" s="31">
        <f>IFERROR(__xludf.DUMMYFUNCTION("""COMPUTED_VALUE"""),2.0)</f>
        <v>2</v>
      </c>
      <c r="G63" s="27" t="str">
        <f>IFERROR(__xludf.DUMMYFUNCTION("""COMPUTED_VALUE"""),"2 ULA A PUTRA")</f>
        <v>2 ULA A PUTRA</v>
      </c>
      <c r="H63" s="28" t="str">
        <f>IFERROR(__xludf.DUMMYFUNCTION("""COMPUTED_VALUE"""),"MTS-8 A")</f>
        <v>MTS-8 A</v>
      </c>
      <c r="I63" s="28" t="str">
        <f>IFERROR(__xludf.DUMMYFUNCTION("""COMPUTED_VALUE"""),"UMANI WULANDARI")</f>
        <v>UMANI WULANDARI</v>
      </c>
      <c r="J63" s="28" t="str">
        <f>IFERROR(__xludf.DUMMYFUNCTION("""COMPUTED_VALUE"""),"KLAMPIS BANJAREJO RT 001 RW 006 KARANGBINANGUN LAMONGAN")</f>
        <v>KLAMPIS BANJAREJO RT 001 RW 006 KARANGBINANGUN LAMONGAN</v>
      </c>
      <c r="K63" s="28" t="str">
        <f>IFERROR(__xludf.DUMMYFUNCTION("""COMPUTED_VALUE"""),"6283161806155")</f>
        <v>6283161806155</v>
      </c>
      <c r="L63" s="22">
        <f>IFERROR(__xludf.DUMMYFUNCTION("""COMPUTED_VALUE"""),0.0)</f>
        <v>0</v>
      </c>
      <c r="M63" s="22">
        <f>IFERROR(__xludf.DUMMYFUNCTION("""COMPUTED_VALUE"""),1000000.0)</f>
        <v>1000000</v>
      </c>
      <c r="N63" s="22">
        <f>IFERROR(__xludf.DUMMYFUNCTION("""COMPUTED_VALUE"""),0.0)</f>
        <v>0</v>
      </c>
      <c r="O63" s="22">
        <f>IFERROR(__xludf.DUMMYFUNCTION("""COMPUTED_VALUE"""),1000000.0)</f>
        <v>1000000</v>
      </c>
      <c r="P63" s="28" t="str">
        <f t="shared" si="1"/>
        <v>LUNAS</v>
      </c>
      <c r="Q63" s="28">
        <f t="shared" si="2"/>
        <v>74</v>
      </c>
      <c r="R63" s="28" t="str">
        <f t="shared" si="3"/>
        <v>FAIRUS ALFIAN ALBAIHAQI</v>
      </c>
    </row>
    <row r="64">
      <c r="A64" s="27">
        <f>IFERROR(__xludf.DUMMYFUNCTION("""COMPUTED_VALUE"""),63.0)</f>
        <v>63</v>
      </c>
      <c r="B64" s="28" t="str">
        <f>IFERROR(__xludf.DUMMYFUNCTION("""COMPUTED_VALUE"""),"MUHAMMAD HISYAM")</f>
        <v>MUHAMMAD HISYAM</v>
      </c>
      <c r="C64" s="28">
        <f>IFERROR(__xludf.DUMMYFUNCTION("""COMPUTED_VALUE"""),2.02507048E9)</f>
        <v>2025070480</v>
      </c>
      <c r="D64" s="27" t="str">
        <f>IFERROR(__xludf.DUMMYFUNCTION("""COMPUTED_VALUE"""),"A")</f>
        <v>A</v>
      </c>
      <c r="E64" s="27" t="str">
        <f>IFERROR(__xludf.DUMMYFUNCTION("""COMPUTED_VALUE"""),"A-13")</f>
        <v>A-13</v>
      </c>
      <c r="F64" s="31">
        <f>IFERROR(__xludf.DUMMYFUNCTION("""COMPUTED_VALUE"""),2.0)</f>
        <v>2</v>
      </c>
      <c r="G64" s="27" t="str">
        <f>IFERROR(__xludf.DUMMYFUNCTION("""COMPUTED_VALUE"""),"ULA")</f>
        <v>ULA</v>
      </c>
      <c r="H64" s="28" t="str">
        <f>IFERROR(__xludf.DUMMYFUNCTION("""COMPUTED_VALUE"""),"SMP-VIII A")</f>
        <v>SMP-VIII A</v>
      </c>
      <c r="I64" s="28" t="str">
        <f>IFERROR(__xludf.DUMMYFUNCTION("""COMPUTED_VALUE"""),"NASOKHATUL MUNAWAROH")</f>
        <v>NASOKHATUL MUNAWAROH</v>
      </c>
      <c r="J64" s="28" t="str">
        <f>IFERROR(__xludf.DUMMYFUNCTION("""COMPUTED_VALUE"""),"GUNUNGANYAR KIDUL RT 002 RW 003 GUNUNG ANYAR SURABAYA")</f>
        <v>GUNUNGANYAR KIDUL RT 002 RW 003 GUNUNG ANYAR SURABAYA</v>
      </c>
      <c r="K64" s="28" t="str">
        <f>IFERROR(__xludf.DUMMYFUNCTION("""COMPUTED_VALUE"""),"628758704525")</f>
        <v>628758704525</v>
      </c>
      <c r="L64" s="22">
        <f>IFERROR(__xludf.DUMMYFUNCTION("""COMPUTED_VALUE"""),0.0)</f>
        <v>0</v>
      </c>
      <c r="M64" s="22">
        <f>IFERROR(__xludf.DUMMYFUNCTION("""COMPUTED_VALUE"""),0.0)</f>
        <v>0</v>
      </c>
      <c r="N64" s="22">
        <f>IFERROR(__xludf.DUMMYFUNCTION("""COMPUTED_VALUE"""),0.0)</f>
        <v>0</v>
      </c>
      <c r="O64" s="22">
        <f>IFERROR(__xludf.DUMMYFUNCTION("""COMPUTED_VALUE"""),0.0)</f>
        <v>0</v>
      </c>
      <c r="P64" s="28" t="str">
        <f t="shared" si="1"/>
        <v>LUNAS</v>
      </c>
      <c r="Q64" s="28">
        <f t="shared" si="2"/>
        <v>171</v>
      </c>
      <c r="R64" s="28" t="str">
        <f t="shared" si="3"/>
        <v>MUHAMMAD HISYAM</v>
      </c>
    </row>
    <row r="65">
      <c r="A65" s="27">
        <f>IFERROR(__xludf.DUMMYFUNCTION("""COMPUTED_VALUE"""),64.0)</f>
        <v>64</v>
      </c>
      <c r="B65" s="28" t="str">
        <f>IFERROR(__xludf.DUMMYFUNCTION("""COMPUTED_VALUE"""),"MUHAMMAD KAVA RIZQI ADITYA")</f>
        <v>MUHAMMAD KAVA RIZQI ADITYA</v>
      </c>
      <c r="C65" s="28">
        <f>IFERROR(__xludf.DUMMYFUNCTION("""COMPUTED_VALUE"""),2.025070609E9)</f>
        <v>2025070609</v>
      </c>
      <c r="D65" s="27" t="str">
        <f>IFERROR(__xludf.DUMMYFUNCTION("""COMPUTED_VALUE"""),"A")</f>
        <v>A</v>
      </c>
      <c r="E65" s="27" t="str">
        <f>IFERROR(__xludf.DUMMYFUNCTION("""COMPUTED_VALUE"""),"A-13")</f>
        <v>A-13</v>
      </c>
      <c r="F65" s="31">
        <f>IFERROR(__xludf.DUMMYFUNCTION("""COMPUTED_VALUE"""),2.0)</f>
        <v>2</v>
      </c>
      <c r="G65" s="27" t="str">
        <f>IFERROR(__xludf.DUMMYFUNCTION("""COMPUTED_VALUE"""),"ULA")</f>
        <v>ULA</v>
      </c>
      <c r="H65" s="28" t="str">
        <f>IFERROR(__xludf.DUMMYFUNCTION("""COMPUTED_VALUE"""),"MTS-8 A")</f>
        <v>MTS-8 A</v>
      </c>
      <c r="I65" s="28" t="str">
        <f>IFERROR(__xludf.DUMMYFUNCTION("""COMPUTED_VALUE"""),"MUALLIFATUL HISBIYAH")</f>
        <v>MUALLIFATUL HISBIYAH</v>
      </c>
      <c r="J65" s="28" t="str">
        <f>IFERROR(__xludf.DUMMYFUNCTION("""COMPUTED_VALUE"""),"MENGAI SUKOREJO RT 002 RW 006 KARANGBINANGUN LAMONGAN")</f>
        <v>MENGAI SUKOREJO RT 002 RW 006 KARANGBINANGUN LAMONGAN</v>
      </c>
      <c r="K65" s="28" t="str">
        <f>IFERROR(__xludf.DUMMYFUNCTION("""COMPUTED_VALUE"""),"6285852514150")</f>
        <v>6285852514150</v>
      </c>
      <c r="L65" s="22">
        <f>IFERROR(__xludf.DUMMYFUNCTION("""COMPUTED_VALUE"""),3150000.0)</f>
        <v>3150000</v>
      </c>
      <c r="M65" s="22">
        <f>IFERROR(__xludf.DUMMYFUNCTION("""COMPUTED_VALUE"""),1000000.0)</f>
        <v>1000000</v>
      </c>
      <c r="N65" s="22">
        <f>IFERROR(__xludf.DUMMYFUNCTION("""COMPUTED_VALUE"""),0.0)</f>
        <v>0</v>
      </c>
      <c r="O65" s="22">
        <f>IFERROR(__xludf.DUMMYFUNCTION("""COMPUTED_VALUE"""),4150000.0)</f>
        <v>4150000</v>
      </c>
      <c r="P65" s="28" t="str">
        <f t="shared" si="1"/>
        <v>LUNAS</v>
      </c>
      <c r="Q65" s="28">
        <f t="shared" si="2"/>
        <v>18</v>
      </c>
      <c r="R65" s="28" t="str">
        <f t="shared" si="3"/>
        <v>MUHAMMAD KAVA RIZQI ADITYA</v>
      </c>
    </row>
    <row r="66">
      <c r="A66" s="27">
        <f>IFERROR(__xludf.DUMMYFUNCTION("""COMPUTED_VALUE"""),65.0)</f>
        <v>65</v>
      </c>
      <c r="B66" s="28" t="str">
        <f>IFERROR(__xludf.DUMMYFUNCTION("""COMPUTED_VALUE"""),"RAIHAN MAWARDI PUTRA ZAINAL")</f>
        <v>RAIHAN MAWARDI PUTRA ZAINAL</v>
      </c>
      <c r="C66" s="28">
        <f>IFERROR(__xludf.DUMMYFUNCTION("""COMPUTED_VALUE"""),2.025070505E9)</f>
        <v>2025070505</v>
      </c>
      <c r="D66" s="27" t="str">
        <f>IFERROR(__xludf.DUMMYFUNCTION("""COMPUTED_VALUE"""),"A")</f>
        <v>A</v>
      </c>
      <c r="E66" s="27" t="str">
        <f>IFERROR(__xludf.DUMMYFUNCTION("""COMPUTED_VALUE"""),"A-13")</f>
        <v>A-13</v>
      </c>
      <c r="F66" s="31">
        <f>IFERROR(__xludf.DUMMYFUNCTION("""COMPUTED_VALUE"""),2.0)</f>
        <v>2</v>
      </c>
      <c r="G66" s="27" t="str">
        <f>IFERROR(__xludf.DUMMYFUNCTION("""COMPUTED_VALUE"""),"ULA")</f>
        <v>ULA</v>
      </c>
      <c r="H66" s="28" t="str">
        <f>IFERROR(__xludf.DUMMYFUNCTION("""COMPUTED_VALUE"""),"MTS-8 B")</f>
        <v>MTS-8 B</v>
      </c>
      <c r="I66" s="28" t="str">
        <f>IFERROR(__xludf.DUMMYFUNCTION("""COMPUTED_VALUE"""),"SANTY KUMALA SARY")</f>
        <v>SANTY KUMALA SARY</v>
      </c>
      <c r="J66" s="28" t="str">
        <f>IFERROR(__xludf.DUMMYFUNCTION("""COMPUTED_VALUE"""),"BADAN BOGOBABADAN RT 001 RW 004 KARANGBINANGUN LAMONGAN")</f>
        <v>BADAN BOGOBABADAN RT 001 RW 004 KARANGBINANGUN LAMONGAN</v>
      </c>
      <c r="K66" s="28" t="str">
        <f>IFERROR(__xludf.DUMMYFUNCTION("""COMPUTED_VALUE"""),"6285655897293")</f>
        <v>6285655897293</v>
      </c>
      <c r="L66" s="22">
        <f>IFERROR(__xludf.DUMMYFUNCTION("""COMPUTED_VALUE"""),450000.0)</f>
        <v>450000</v>
      </c>
      <c r="M66" s="22">
        <f>IFERROR(__xludf.DUMMYFUNCTION("""COMPUTED_VALUE"""),1000000.0)</f>
        <v>1000000</v>
      </c>
      <c r="N66" s="22">
        <f>IFERROR(__xludf.DUMMYFUNCTION("""COMPUTED_VALUE"""),0.0)</f>
        <v>0</v>
      </c>
      <c r="O66" s="22">
        <f>IFERROR(__xludf.DUMMYFUNCTION("""COMPUTED_VALUE"""),1450000.0)</f>
        <v>1450000</v>
      </c>
      <c r="P66" s="28" t="str">
        <f t="shared" si="1"/>
        <v>LUNAS</v>
      </c>
      <c r="Q66" s="28">
        <f t="shared" si="2"/>
        <v>50</v>
      </c>
      <c r="R66" s="28" t="str">
        <f t="shared" si="3"/>
        <v>RAIHAN MAWARDI PUTRA ZAINAL</v>
      </c>
    </row>
    <row r="67">
      <c r="A67" s="27">
        <f>IFERROR(__xludf.DUMMYFUNCTION("""COMPUTED_VALUE"""),66.0)</f>
        <v>66</v>
      </c>
      <c r="B67" s="28" t="str">
        <f>IFERROR(__xludf.DUMMYFUNCTION("""COMPUTED_VALUE"""),"ALFIYAN NADA FIRDAUS")</f>
        <v>ALFIYAN NADA FIRDAUS</v>
      </c>
      <c r="C67" s="28">
        <f>IFERROR(__xludf.DUMMYFUNCTION("""COMPUTED_VALUE"""),2.024070566E9)</f>
        <v>2024070566</v>
      </c>
      <c r="D67" s="27" t="str">
        <f>IFERROR(__xludf.DUMMYFUNCTION("""COMPUTED_VALUE"""),"A")</f>
        <v>A</v>
      </c>
      <c r="E67" s="27" t="str">
        <f>IFERROR(__xludf.DUMMYFUNCTION("""COMPUTED_VALUE"""),"A-13")</f>
        <v>A-13</v>
      </c>
      <c r="F67" s="31">
        <f>IFERROR(__xludf.DUMMYFUNCTION("""COMPUTED_VALUE"""),3.0)</f>
        <v>3</v>
      </c>
      <c r="G67" s="27"/>
      <c r="H67" s="28" t="str">
        <f>IFERROR(__xludf.DUMMYFUNCTION("""COMPUTED_VALUE"""),"MTS-9 A")</f>
        <v>MTS-9 A</v>
      </c>
      <c r="I67" s="28" t="str">
        <f>IFERROR(__xludf.DUMMYFUNCTION("""COMPUTED_VALUE"""),"KHUSNIYAH")</f>
        <v>KHUSNIYAH</v>
      </c>
      <c r="J67" s="28" t="str">
        <f>IFERROR(__xludf.DUMMYFUNCTION("""COMPUTED_VALUE"""),"BANGO PAYAMAN RT 004 RW 015 SOLOKURO LAMONGAN")</f>
        <v>BANGO PAYAMAN RT 004 RW 015 SOLOKURO LAMONGAN</v>
      </c>
      <c r="K67" s="28" t="str">
        <f>IFERROR(__xludf.DUMMYFUNCTION("""COMPUTED_VALUE"""),"6285733111734")</f>
        <v>6285733111734</v>
      </c>
      <c r="L67" s="22">
        <f>IFERROR(__xludf.DUMMYFUNCTION("""COMPUTED_VALUE"""),410000.0)</f>
        <v>410000</v>
      </c>
      <c r="M67" s="22">
        <f>IFERROR(__xludf.DUMMYFUNCTION("""COMPUTED_VALUE"""),500000.0)</f>
        <v>500000</v>
      </c>
      <c r="N67" s="22">
        <f>IFERROR(__xludf.DUMMYFUNCTION("""COMPUTED_VALUE"""),0.0)</f>
        <v>0</v>
      </c>
      <c r="O67" s="22">
        <f>IFERROR(__xludf.DUMMYFUNCTION("""COMPUTED_VALUE"""),910000.0)</f>
        <v>910000</v>
      </c>
      <c r="P67" s="28" t="str">
        <f t="shared" si="1"/>
        <v>LUNAS</v>
      </c>
      <c r="Q67" s="28">
        <f t="shared" si="2"/>
        <v>111</v>
      </c>
      <c r="R67" s="28" t="str">
        <f t="shared" si="3"/>
        <v>ALFIYAN NADA FIRDAUS</v>
      </c>
    </row>
    <row r="68">
      <c r="A68" s="27">
        <f>IFERROR(__xludf.DUMMYFUNCTION("""COMPUTED_VALUE"""),67.0)</f>
        <v>67</v>
      </c>
      <c r="B68" s="28" t="str">
        <f>IFERROR(__xludf.DUMMYFUNCTION("""COMPUTED_VALUE"""),"ILHAM AWALUDDIN RIJALUL BARPI")</f>
        <v>ILHAM AWALUDDIN RIJALUL BARPI</v>
      </c>
      <c r="C68" s="28">
        <f>IFERROR(__xludf.DUMMYFUNCTION("""COMPUTED_VALUE"""),2.024070512E9)</f>
        <v>2024070512</v>
      </c>
      <c r="D68" s="27" t="str">
        <f>IFERROR(__xludf.DUMMYFUNCTION("""COMPUTED_VALUE"""),"A")</f>
        <v>A</v>
      </c>
      <c r="E68" s="27" t="str">
        <f>IFERROR(__xludf.DUMMYFUNCTION("""COMPUTED_VALUE"""),"A-13")</f>
        <v>A-13</v>
      </c>
      <c r="F68" s="31">
        <f>IFERROR(__xludf.DUMMYFUNCTION("""COMPUTED_VALUE"""),3.0)</f>
        <v>3</v>
      </c>
      <c r="G68" s="27"/>
      <c r="H68" s="28" t="str">
        <f>IFERROR(__xludf.DUMMYFUNCTION("""COMPUTED_VALUE"""),"MTS-9 A")</f>
        <v>MTS-9 A</v>
      </c>
      <c r="I68" s="28" t="str">
        <f>IFERROR(__xludf.DUMMYFUNCTION("""COMPUTED_VALUE"""),"ROKHMAWATI")</f>
        <v>ROKHMAWATI</v>
      </c>
      <c r="J68" s="28" t="str">
        <f>IFERROR(__xludf.DUMMYFUNCTION("""COMPUTED_VALUE"""),"DEKETWETAN RT 001 RW 005 DEKET LAMONGAN")</f>
        <v>DEKETWETAN RT 001 RW 005 DEKET LAMONGAN</v>
      </c>
      <c r="K68" s="28" t="str">
        <f>IFERROR(__xludf.DUMMYFUNCTION("""COMPUTED_VALUE"""),"6285748111696")</f>
        <v>6285748111696</v>
      </c>
      <c r="L68" s="22">
        <f>IFERROR(__xludf.DUMMYFUNCTION("""COMPUTED_VALUE"""),4510000.0)</f>
        <v>4510000</v>
      </c>
      <c r="M68" s="22">
        <f>IFERROR(__xludf.DUMMYFUNCTION("""COMPUTED_VALUE"""),1000000.0)</f>
        <v>1000000</v>
      </c>
      <c r="N68" s="22">
        <f>IFERROR(__xludf.DUMMYFUNCTION("""COMPUTED_VALUE"""),0.0)</f>
        <v>0</v>
      </c>
      <c r="O68" s="22">
        <f>IFERROR(__xludf.DUMMYFUNCTION("""COMPUTED_VALUE"""),5510000.0)</f>
        <v>5510000</v>
      </c>
      <c r="P68" s="28" t="str">
        <f t="shared" si="1"/>
        <v>LUNAS</v>
      </c>
      <c r="Q68" s="28">
        <f t="shared" si="2"/>
        <v>13</v>
      </c>
      <c r="R68" s="28" t="str">
        <f t="shared" si="3"/>
        <v>ILHAM AWALUDDIN RIJALUL BARPI</v>
      </c>
    </row>
    <row r="69">
      <c r="A69" s="27">
        <f>IFERROR(__xludf.DUMMYFUNCTION("""COMPUTED_VALUE"""),68.0)</f>
        <v>68</v>
      </c>
      <c r="B69" s="28" t="str">
        <f>IFERROR(__xludf.DUMMYFUNCTION("""COMPUTED_VALUE"""),"KAFA MUZAMIL BILHAQ")</f>
        <v>KAFA MUZAMIL BILHAQ</v>
      </c>
      <c r="C69" s="28">
        <f>IFERROR(__xludf.DUMMYFUNCTION("""COMPUTED_VALUE"""),2.024070603E9)</f>
        <v>2024070603</v>
      </c>
      <c r="D69" s="27" t="str">
        <f>IFERROR(__xludf.DUMMYFUNCTION("""COMPUTED_VALUE"""),"A")</f>
        <v>A</v>
      </c>
      <c r="E69" s="27" t="str">
        <f>IFERROR(__xludf.DUMMYFUNCTION("""COMPUTED_VALUE"""),"A-13")</f>
        <v>A-13</v>
      </c>
      <c r="F69" s="31">
        <f>IFERROR(__xludf.DUMMYFUNCTION("""COMPUTED_VALUE"""),3.0)</f>
        <v>3</v>
      </c>
      <c r="G69" s="27"/>
      <c r="H69" s="28" t="str">
        <f>IFERROR(__xludf.DUMMYFUNCTION("""COMPUTED_VALUE"""),"MTS-9 A")</f>
        <v>MTS-9 A</v>
      </c>
      <c r="I69" s="28" t="str">
        <f>IFERROR(__xludf.DUMMYFUNCTION("""COMPUTED_VALUE"""),"SITI FATIMAH")</f>
        <v>SITI FATIMAH</v>
      </c>
      <c r="J69" s="28" t="str">
        <f>IFERROR(__xludf.DUMMYFUNCTION("""COMPUTED_VALUE"""),"MOJORANU RT 002 RW 005 TIKUNG LAMONGAN")</f>
        <v>MOJORANU RT 002 RW 005 TIKUNG LAMONGAN</v>
      </c>
      <c r="K69" s="28" t="str">
        <f>IFERROR(__xludf.DUMMYFUNCTION("""COMPUTED_VALUE"""),"6285815585925")</f>
        <v>6285815585925</v>
      </c>
      <c r="L69" s="22">
        <f>IFERROR(__xludf.DUMMYFUNCTION("""COMPUTED_VALUE"""),0.0)</f>
        <v>0</v>
      </c>
      <c r="M69" s="22">
        <f>IFERROR(__xludf.DUMMYFUNCTION("""COMPUTED_VALUE"""),0.0)</f>
        <v>0</v>
      </c>
      <c r="N69" s="22">
        <f>IFERROR(__xludf.DUMMYFUNCTION("""COMPUTED_VALUE"""),0.0)</f>
        <v>0</v>
      </c>
      <c r="O69" s="22">
        <f>IFERROR(__xludf.DUMMYFUNCTION("""COMPUTED_VALUE"""),0.0)</f>
        <v>0</v>
      </c>
      <c r="P69" s="28" t="str">
        <f t="shared" si="1"/>
        <v>LUNAS</v>
      </c>
      <c r="Q69" s="28">
        <f t="shared" si="2"/>
        <v>172</v>
      </c>
      <c r="R69" s="28" t="str">
        <f t="shared" si="3"/>
        <v>KAFA MUZAMIL BILHAQ</v>
      </c>
    </row>
    <row r="70">
      <c r="A70" s="27">
        <f>IFERROR(__xludf.DUMMYFUNCTION("""COMPUTED_VALUE"""),69.0)</f>
        <v>69</v>
      </c>
      <c r="B70" s="28" t="str">
        <f>IFERROR(__xludf.DUMMYFUNCTION("""COMPUTED_VALUE"""),"M. JA`FAR SHODIQ FIRMANSYAH")</f>
        <v>M. JA`FAR SHODIQ FIRMANSYAH</v>
      </c>
      <c r="C70" s="28">
        <f>IFERROR(__xludf.DUMMYFUNCTION("""COMPUTED_VALUE"""),2.024070667E9)</f>
        <v>2024070667</v>
      </c>
      <c r="D70" s="27" t="str">
        <f>IFERROR(__xludf.DUMMYFUNCTION("""COMPUTED_VALUE"""),"A")</f>
        <v>A</v>
      </c>
      <c r="E70" s="27" t="str">
        <f>IFERROR(__xludf.DUMMYFUNCTION("""COMPUTED_VALUE"""),"A-13")</f>
        <v>A-13</v>
      </c>
      <c r="F70" s="31">
        <f>IFERROR(__xludf.DUMMYFUNCTION("""COMPUTED_VALUE"""),3.0)</f>
        <v>3</v>
      </c>
      <c r="G70" s="27"/>
      <c r="H70" s="28" t="str">
        <f>IFERROR(__xludf.DUMMYFUNCTION("""COMPUTED_VALUE"""),"MTS-9 A")</f>
        <v>MTS-9 A</v>
      </c>
      <c r="I70" s="28" t="str">
        <f>IFERROR(__xludf.DUMMYFUNCTION("""COMPUTED_VALUE"""),"ULFATIN KHOFSAH")</f>
        <v>ULFATIN KHOFSAH</v>
      </c>
      <c r="J70" s="28" t="str">
        <f>IFERROR(__xludf.DUMMYFUNCTION("""COMPUTED_VALUE"""),"SEMBUNG RT 005 RW 002 PERAK JOMBANG")</f>
        <v>SEMBUNG RT 005 RW 002 PERAK JOMBANG</v>
      </c>
      <c r="K70" s="28" t="str">
        <f>IFERROR(__xludf.DUMMYFUNCTION("""COMPUTED_VALUE"""),"6285646766057")</f>
        <v>6285646766057</v>
      </c>
      <c r="L70" s="22">
        <f>IFERROR(__xludf.DUMMYFUNCTION("""COMPUTED_VALUE"""),0.0)</f>
        <v>0</v>
      </c>
      <c r="M70" s="22">
        <f>IFERROR(__xludf.DUMMYFUNCTION("""COMPUTED_VALUE"""),0.0)</f>
        <v>0</v>
      </c>
      <c r="N70" s="22">
        <f>IFERROR(__xludf.DUMMYFUNCTION("""COMPUTED_VALUE"""),0.0)</f>
        <v>0</v>
      </c>
      <c r="O70" s="22">
        <f>IFERROR(__xludf.DUMMYFUNCTION("""COMPUTED_VALUE"""),0.0)</f>
        <v>0</v>
      </c>
      <c r="P70" s="28" t="str">
        <f t="shared" si="1"/>
        <v>LUNAS</v>
      </c>
      <c r="Q70" s="28">
        <f t="shared" si="2"/>
        <v>173</v>
      </c>
      <c r="R70" s="28" t="str">
        <f t="shared" si="3"/>
        <v>M. JA`FAR SHODIQ FIRMANSYAH</v>
      </c>
    </row>
    <row r="71">
      <c r="A71" s="27">
        <f>IFERROR(__xludf.DUMMYFUNCTION("""COMPUTED_VALUE"""),70.0)</f>
        <v>70</v>
      </c>
      <c r="B71" s="28" t="str">
        <f>IFERROR(__xludf.DUMMYFUNCTION("""COMPUTED_VALUE"""),"MIRZA ATHA HIBATULLAH")</f>
        <v>MIRZA ATHA HIBATULLAH</v>
      </c>
      <c r="C71" s="28">
        <f>IFERROR(__xludf.DUMMYFUNCTION("""COMPUTED_VALUE"""),2.0240706E9)</f>
        <v>2024070600</v>
      </c>
      <c r="D71" s="27" t="str">
        <f>IFERROR(__xludf.DUMMYFUNCTION("""COMPUTED_VALUE"""),"A")</f>
        <v>A</v>
      </c>
      <c r="E71" s="27" t="str">
        <f>IFERROR(__xludf.DUMMYFUNCTION("""COMPUTED_VALUE"""),"A-13")</f>
        <v>A-13</v>
      </c>
      <c r="F71" s="31">
        <f>IFERROR(__xludf.DUMMYFUNCTION("""COMPUTED_VALUE"""),3.0)</f>
        <v>3</v>
      </c>
      <c r="G71" s="27"/>
      <c r="H71" s="28" t="str">
        <f>IFERROR(__xludf.DUMMYFUNCTION("""COMPUTED_VALUE"""),"MTS-9 E")</f>
        <v>MTS-9 E</v>
      </c>
      <c r="I71" s="28" t="str">
        <f>IFERROR(__xludf.DUMMYFUNCTION("""COMPUTED_VALUE"""),"HARWATI, S,SOS I")</f>
        <v>HARWATI, S,SOS I</v>
      </c>
      <c r="J71" s="28" t="str">
        <f>IFERROR(__xludf.DUMMYFUNCTION("""COMPUTED_VALUE"""),"BADAN BOGOBABADAN RT 001 RW 004 KARANGBINANGUN LAMONGAN")</f>
        <v>BADAN BOGOBABADAN RT 001 RW 004 KARANGBINANGUN LAMONGAN</v>
      </c>
      <c r="K71" s="28" t="str">
        <f>IFERROR(__xludf.DUMMYFUNCTION("""COMPUTED_VALUE"""),"6285731205500")</f>
        <v>6285731205500</v>
      </c>
      <c r="L71" s="22">
        <f>IFERROR(__xludf.DUMMYFUNCTION("""COMPUTED_VALUE"""),410000.0)</f>
        <v>410000</v>
      </c>
      <c r="M71" s="22">
        <f>IFERROR(__xludf.DUMMYFUNCTION("""COMPUTED_VALUE"""),0.0)</f>
        <v>0</v>
      </c>
      <c r="N71" s="22">
        <f>IFERROR(__xludf.DUMMYFUNCTION("""COMPUTED_VALUE"""),0.0)</f>
        <v>0</v>
      </c>
      <c r="O71" s="22">
        <f>IFERROR(__xludf.DUMMYFUNCTION("""COMPUTED_VALUE"""),410000.0)</f>
        <v>410000</v>
      </c>
      <c r="P71" s="28" t="str">
        <f t="shared" si="1"/>
        <v>LUNAS</v>
      </c>
      <c r="Q71" s="28">
        <f t="shared" si="2"/>
        <v>150</v>
      </c>
      <c r="R71" s="28" t="str">
        <f t="shared" si="3"/>
        <v>MIRZA ATHA HIBATULLAH</v>
      </c>
    </row>
    <row r="72">
      <c r="A72" s="27">
        <f>IFERROR(__xludf.DUMMYFUNCTION("""COMPUTED_VALUE"""),71.0)</f>
        <v>71</v>
      </c>
      <c r="B72" s="28" t="str">
        <f>IFERROR(__xludf.DUMMYFUNCTION("""COMPUTED_VALUE"""),"MUHAMMAD SABIL FIRDAUS")</f>
        <v>MUHAMMAD SABIL FIRDAUS</v>
      </c>
      <c r="C72" s="28">
        <f>IFERROR(__xludf.DUMMYFUNCTION("""COMPUTED_VALUE"""),2.024070451E9)</f>
        <v>2024070451</v>
      </c>
      <c r="D72" s="27" t="str">
        <f>IFERROR(__xludf.DUMMYFUNCTION("""COMPUTED_VALUE"""),"A")</f>
        <v>A</v>
      </c>
      <c r="E72" s="27" t="str">
        <f>IFERROR(__xludf.DUMMYFUNCTION("""COMPUTED_VALUE"""),"A-13")</f>
        <v>A-13</v>
      </c>
      <c r="F72" s="31">
        <f>IFERROR(__xludf.DUMMYFUNCTION("""COMPUTED_VALUE"""),3.0)</f>
        <v>3</v>
      </c>
      <c r="G72" s="27"/>
      <c r="H72" s="28" t="str">
        <f>IFERROR(__xludf.DUMMYFUNCTION("""COMPUTED_VALUE"""),"MTS-9 A")</f>
        <v>MTS-9 A</v>
      </c>
      <c r="I72" s="28" t="str">
        <f>IFERROR(__xludf.DUMMYFUNCTION("""COMPUTED_VALUE"""),"SITI MUSAROH")</f>
        <v>SITI MUSAROH</v>
      </c>
      <c r="J72" s="28" t="str">
        <f>IFERROR(__xludf.DUMMYFUNCTION("""COMPUTED_VALUE"""),"SUMBERMULYO SUKOMULYO RT 004 RW 002 LAMONGAN LAMONGAN")</f>
        <v>SUMBERMULYO SUKOMULYO RT 004 RW 002 LAMONGAN LAMONGAN</v>
      </c>
      <c r="K72" s="28" t="str">
        <f>IFERROR(__xludf.DUMMYFUNCTION("""COMPUTED_VALUE"""),"6285816909650")</f>
        <v>6285816909650</v>
      </c>
      <c r="L72" s="22">
        <f>IFERROR(__xludf.DUMMYFUNCTION("""COMPUTED_VALUE"""),0.0)</f>
        <v>0</v>
      </c>
      <c r="M72" s="22">
        <f>IFERROR(__xludf.DUMMYFUNCTION("""COMPUTED_VALUE"""),0.0)</f>
        <v>0</v>
      </c>
      <c r="N72" s="22">
        <f>IFERROR(__xludf.DUMMYFUNCTION("""COMPUTED_VALUE"""),0.0)</f>
        <v>0</v>
      </c>
      <c r="O72" s="22">
        <f>IFERROR(__xludf.DUMMYFUNCTION("""COMPUTED_VALUE"""),0.0)</f>
        <v>0</v>
      </c>
      <c r="P72" s="28" t="str">
        <f t="shared" si="1"/>
        <v>LUNAS</v>
      </c>
      <c r="Q72" s="28">
        <f t="shared" si="2"/>
        <v>174</v>
      </c>
      <c r="R72" s="28" t="str">
        <f t="shared" si="3"/>
        <v>MUHAMMAD SABIL FIRDAUS</v>
      </c>
    </row>
    <row r="73">
      <c r="A73" s="27">
        <f>IFERROR(__xludf.DUMMYFUNCTION("""COMPUTED_VALUE"""),72.0)</f>
        <v>72</v>
      </c>
      <c r="B73" s="28" t="str">
        <f>IFERROR(__xludf.DUMMYFUNCTION("""COMPUTED_VALUE"""),"MUHAMMAD TSAQIF WIRA ARDANA")</f>
        <v>MUHAMMAD TSAQIF WIRA ARDANA</v>
      </c>
      <c r="C73" s="28">
        <f>IFERROR(__xludf.DUMMYFUNCTION("""COMPUTED_VALUE"""),2.024070725E9)</f>
        <v>2024070725</v>
      </c>
      <c r="D73" s="27" t="str">
        <f>IFERROR(__xludf.DUMMYFUNCTION("""COMPUTED_VALUE"""),"A")</f>
        <v>A</v>
      </c>
      <c r="E73" s="27" t="str">
        <f>IFERROR(__xludf.DUMMYFUNCTION("""COMPUTED_VALUE"""),"A-13")</f>
        <v>A-13</v>
      </c>
      <c r="F73" s="31">
        <f>IFERROR(__xludf.DUMMYFUNCTION("""COMPUTED_VALUE"""),3.0)</f>
        <v>3</v>
      </c>
      <c r="G73" s="27"/>
      <c r="H73" s="28" t="str">
        <f>IFERROR(__xludf.DUMMYFUNCTION("""COMPUTED_VALUE"""),"SMP-IX B")</f>
        <v>SMP-IX B</v>
      </c>
      <c r="I73" s="28" t="str">
        <f>IFERROR(__xludf.DUMMYFUNCTION("""COMPUTED_VALUE"""),"YUYUN HANIFAH")</f>
        <v>YUYUN HANIFAH</v>
      </c>
      <c r="J73" s="28" t="str">
        <f>IFERROR(__xludf.DUMMYFUNCTION("""COMPUTED_VALUE"""),"PRINGGOBOYO RT 002 RW 001 MADURAN LAMONGAN")</f>
        <v>PRINGGOBOYO RT 002 RW 001 MADURAN LAMONGAN</v>
      </c>
      <c r="K73" s="28" t="str">
        <f>IFERROR(__xludf.DUMMYFUNCTION("""COMPUTED_VALUE"""),"6281330019092")</f>
        <v>6281330019092</v>
      </c>
      <c r="L73" s="22">
        <f>IFERROR(__xludf.DUMMYFUNCTION("""COMPUTED_VALUE"""),0.0)</f>
        <v>0</v>
      </c>
      <c r="M73" s="22">
        <f>IFERROR(__xludf.DUMMYFUNCTION("""COMPUTED_VALUE"""),0.0)</f>
        <v>0</v>
      </c>
      <c r="N73" s="22">
        <f>IFERROR(__xludf.DUMMYFUNCTION("""COMPUTED_VALUE"""),0.0)</f>
        <v>0</v>
      </c>
      <c r="O73" s="22">
        <f>IFERROR(__xludf.DUMMYFUNCTION("""COMPUTED_VALUE"""),0.0)</f>
        <v>0</v>
      </c>
      <c r="P73" s="28" t="str">
        <f t="shared" si="1"/>
        <v>LUNAS</v>
      </c>
      <c r="Q73" s="28">
        <f t="shared" si="2"/>
        <v>175</v>
      </c>
      <c r="R73" s="28" t="str">
        <f t="shared" si="3"/>
        <v>MUHAMMAD TSAQIF WIRA ARDANA</v>
      </c>
    </row>
    <row r="74">
      <c r="A74" s="27">
        <f>IFERROR(__xludf.DUMMYFUNCTION("""COMPUTED_VALUE"""),73.0)</f>
        <v>73</v>
      </c>
      <c r="B74" s="28" t="str">
        <f>IFERROR(__xludf.DUMMYFUNCTION("""COMPUTED_VALUE"""),"M. FAHMI ALFIYAN NURIL HAQ")</f>
        <v>M. FAHMI ALFIYAN NURIL HAQ</v>
      </c>
      <c r="C74" s="28">
        <f>IFERROR(__xludf.DUMMYFUNCTION("""COMPUTED_VALUE"""),2.024070718E9)</f>
        <v>2024070718</v>
      </c>
      <c r="D74" s="27" t="str">
        <f>IFERROR(__xludf.DUMMYFUNCTION("""COMPUTED_VALUE"""),"A")</f>
        <v>A</v>
      </c>
      <c r="E74" s="27" t="str">
        <f>IFERROR(__xludf.DUMMYFUNCTION("""COMPUTED_VALUE"""),"A-13")</f>
        <v>A-13</v>
      </c>
      <c r="F74" s="31">
        <f>IFERROR(__xludf.DUMMYFUNCTION("""COMPUTED_VALUE"""),3.0)</f>
        <v>3</v>
      </c>
      <c r="G74" s="27"/>
      <c r="H74" s="28" t="str">
        <f>IFERROR(__xludf.DUMMYFUNCTION("""COMPUTED_VALUE"""),"SMK-XII DKV")</f>
        <v>SMK-XII DKV</v>
      </c>
      <c r="I74" s="28" t="str">
        <f>IFERROR(__xludf.DUMMYFUNCTION("""COMPUTED_VALUE"""),"SUKARTI")</f>
        <v>SUKARTI</v>
      </c>
      <c r="J74" s="28" t="str">
        <f>IFERROR(__xludf.DUMMYFUNCTION("""COMPUTED_VALUE"""),"PLAKARAN SOMOSARI RT 3 RW 2 KALITENGAH LAMONGAN")</f>
        <v>PLAKARAN SOMOSARI RT 3 RW 2 KALITENGAH LAMONGAN</v>
      </c>
      <c r="K74" s="28" t="str">
        <f>IFERROR(__xludf.DUMMYFUNCTION("""COMPUTED_VALUE"""),"6289677807375")</f>
        <v>6289677807375</v>
      </c>
      <c r="L74" s="22">
        <f>IFERROR(__xludf.DUMMYFUNCTION("""COMPUTED_VALUE"""),410000.0)</f>
        <v>410000</v>
      </c>
      <c r="M74" s="22">
        <f>IFERROR(__xludf.DUMMYFUNCTION("""COMPUTED_VALUE"""),0.0)</f>
        <v>0</v>
      </c>
      <c r="N74" s="22">
        <f>IFERROR(__xludf.DUMMYFUNCTION("""COMPUTED_VALUE"""),0.0)</f>
        <v>0</v>
      </c>
      <c r="O74" s="22">
        <f>IFERROR(__xludf.DUMMYFUNCTION("""COMPUTED_VALUE"""),410000.0)</f>
        <v>410000</v>
      </c>
      <c r="P74" s="28" t="str">
        <f t="shared" si="1"/>
        <v>LUNAS</v>
      </c>
      <c r="Q74" s="28">
        <f t="shared" si="2"/>
        <v>151</v>
      </c>
      <c r="R74" s="28" t="str">
        <f t="shared" si="3"/>
        <v>M. FAHMI ALFIYAN NURIL HAQ</v>
      </c>
    </row>
    <row r="75">
      <c r="A75" s="27">
        <f>IFERROR(__xludf.DUMMYFUNCTION("""COMPUTED_VALUE"""),74.0)</f>
        <v>74</v>
      </c>
      <c r="B75" s="28" t="str">
        <f>IFERROR(__xludf.DUMMYFUNCTION("""COMPUTED_VALUE"""),"ABDUL MALIK ARIF DAULAY")</f>
        <v>ABDUL MALIK ARIF DAULAY</v>
      </c>
      <c r="C75" s="28">
        <f>IFERROR(__xludf.DUMMYFUNCTION("""COMPUTED_VALUE"""),2.025070299E9)</f>
        <v>2025070299</v>
      </c>
      <c r="D75" s="27" t="str">
        <f>IFERROR(__xludf.DUMMYFUNCTION("""COMPUTED_VALUE"""),"A")</f>
        <v>A</v>
      </c>
      <c r="E75" s="27" t="str">
        <f>IFERROR(__xludf.DUMMYFUNCTION("""COMPUTED_VALUE"""),"A-2")</f>
        <v>A-2</v>
      </c>
      <c r="F75" s="31">
        <f>IFERROR(__xludf.DUMMYFUNCTION("""COMPUTED_VALUE"""),2.0)</f>
        <v>2</v>
      </c>
      <c r="G75" s="27" t="str">
        <f>IFERROR(__xludf.DUMMYFUNCTION("""COMPUTED_VALUE"""),"2 MAK PUTRA")</f>
        <v>2 MAK PUTRA</v>
      </c>
      <c r="H75" s="28" t="str">
        <f>IFERROR(__xludf.DUMMYFUNCTION("""COMPUTED_VALUE"""),"MA-XI.13")</f>
        <v>MA-XI.13</v>
      </c>
      <c r="I75" s="28" t="str">
        <f>IFERROR(__xludf.DUMMYFUNCTION("""COMPUTED_VALUE"""),"SITI NURAFIYAH")</f>
        <v>SITI NURAFIYAH</v>
      </c>
      <c r="J75" s="28" t="str">
        <f>IFERROR(__xludf.DUMMYFUNCTION("""COMPUTED_VALUE"""),"GENDONG RT 002 RW 004 LAREN LAMONGAN")</f>
        <v>GENDONG RT 002 RW 004 LAREN LAMONGAN</v>
      </c>
      <c r="K75" s="28" t="str">
        <f>IFERROR(__xludf.DUMMYFUNCTION("""COMPUTED_VALUE"""),"6285646321062")</f>
        <v>6285646321062</v>
      </c>
      <c r="L75" s="22">
        <f>IFERROR(__xludf.DUMMYFUNCTION("""COMPUTED_VALUE"""),0.0)</f>
        <v>0</v>
      </c>
      <c r="M75" s="22">
        <f>IFERROR(__xludf.DUMMYFUNCTION("""COMPUTED_VALUE"""),500000.0)</f>
        <v>500000</v>
      </c>
      <c r="N75" s="22">
        <f>IFERROR(__xludf.DUMMYFUNCTION("""COMPUTED_VALUE"""),0.0)</f>
        <v>0</v>
      </c>
      <c r="O75" s="22">
        <f>IFERROR(__xludf.DUMMYFUNCTION("""COMPUTED_VALUE"""),500000.0)</f>
        <v>500000</v>
      </c>
      <c r="P75" s="28" t="str">
        <f t="shared" si="1"/>
        <v>LUNAS</v>
      </c>
      <c r="Q75" s="28">
        <f t="shared" si="2"/>
        <v>121</v>
      </c>
      <c r="R75" s="28" t="str">
        <f t="shared" si="3"/>
        <v>ABDUL MALIK ARIF DAULAY</v>
      </c>
    </row>
    <row r="76">
      <c r="A76" s="27">
        <f>IFERROR(__xludf.DUMMYFUNCTION("""COMPUTED_VALUE"""),75.0)</f>
        <v>75</v>
      </c>
      <c r="B76" s="28" t="str">
        <f>IFERROR(__xludf.DUMMYFUNCTION("""COMPUTED_VALUE"""),"ABDUL QODIR AL JAILANI")</f>
        <v>ABDUL QODIR AL JAILANI</v>
      </c>
      <c r="C76" s="28">
        <f>IFERROR(__xludf.DUMMYFUNCTION("""COMPUTED_VALUE"""),2.025070418E9)</f>
        <v>2025070418</v>
      </c>
      <c r="D76" s="27" t="str">
        <f>IFERROR(__xludf.DUMMYFUNCTION("""COMPUTED_VALUE"""),"A")</f>
        <v>A</v>
      </c>
      <c r="E76" s="27" t="str">
        <f>IFERROR(__xludf.DUMMYFUNCTION("""COMPUTED_VALUE"""),"A-2")</f>
        <v>A-2</v>
      </c>
      <c r="F76" s="31">
        <f>IFERROR(__xludf.DUMMYFUNCTION("""COMPUTED_VALUE"""),2.0)</f>
        <v>2</v>
      </c>
      <c r="G76" s="27" t="str">
        <f>IFERROR(__xludf.DUMMYFUNCTION("""COMPUTED_VALUE"""),"2 MAK PUTRA")</f>
        <v>2 MAK PUTRA</v>
      </c>
      <c r="H76" s="28" t="str">
        <f>IFERROR(__xludf.DUMMYFUNCTION("""COMPUTED_VALUE"""),"MA-XI.13")</f>
        <v>MA-XI.13</v>
      </c>
      <c r="I76" s="28" t="str">
        <f>IFERROR(__xludf.DUMMYFUNCTION("""COMPUTED_VALUE"""),"MUNIROH")</f>
        <v>MUNIROH</v>
      </c>
      <c r="J76" s="28" t="str">
        <f>IFERROR(__xludf.DUMMYFUNCTION("""COMPUTED_VALUE"""),"BERLANTONG PANDIYANGAN RT 000 RW 000 ROBATAL SAMPANG")</f>
        <v>BERLANTONG PANDIYANGAN RT 000 RW 000 ROBATAL SAMPANG</v>
      </c>
      <c r="K76" s="28" t="str">
        <f>IFERROR(__xludf.DUMMYFUNCTION("""COMPUTED_VALUE"""),"6282334141174")</f>
        <v>6282334141174</v>
      </c>
      <c r="L76" s="22">
        <f>IFERROR(__xludf.DUMMYFUNCTION("""COMPUTED_VALUE"""),450000.0)</f>
        <v>450000</v>
      </c>
      <c r="M76" s="22">
        <f>IFERROR(__xludf.DUMMYFUNCTION("""COMPUTED_VALUE"""),0.0)</f>
        <v>0</v>
      </c>
      <c r="N76" s="22">
        <f>IFERROR(__xludf.DUMMYFUNCTION("""COMPUTED_VALUE"""),0.0)</f>
        <v>0</v>
      </c>
      <c r="O76" s="22">
        <f>IFERROR(__xludf.DUMMYFUNCTION("""COMPUTED_VALUE"""),450000.0)</f>
        <v>450000</v>
      </c>
      <c r="P76" s="28" t="str">
        <f t="shared" si="1"/>
        <v>LUNAS</v>
      </c>
      <c r="Q76" s="28">
        <f t="shared" si="2"/>
        <v>139</v>
      </c>
      <c r="R76" s="28" t="str">
        <f t="shared" si="3"/>
        <v>ABDUL QODIR AL JAILANI</v>
      </c>
    </row>
    <row r="77">
      <c r="A77" s="27">
        <f>IFERROR(__xludf.DUMMYFUNCTION("""COMPUTED_VALUE"""),76.0)</f>
        <v>76</v>
      </c>
      <c r="B77" s="28" t="str">
        <f>IFERROR(__xludf.DUMMYFUNCTION("""COMPUTED_VALUE"""),"ACHMAD MIFTAHUL AN-NURIL HUDA")</f>
        <v>ACHMAD MIFTAHUL AN-NURIL HUDA</v>
      </c>
      <c r="C77" s="28">
        <f>IFERROR(__xludf.DUMMYFUNCTION("""COMPUTED_VALUE"""),2.025070328E9)</f>
        <v>2025070328</v>
      </c>
      <c r="D77" s="27" t="str">
        <f>IFERROR(__xludf.DUMMYFUNCTION("""COMPUTED_VALUE"""),"A")</f>
        <v>A</v>
      </c>
      <c r="E77" s="27" t="str">
        <f>IFERROR(__xludf.DUMMYFUNCTION("""COMPUTED_VALUE"""),"A-2")</f>
        <v>A-2</v>
      </c>
      <c r="F77" s="31">
        <f>IFERROR(__xludf.DUMMYFUNCTION("""COMPUTED_VALUE"""),2.0)</f>
        <v>2</v>
      </c>
      <c r="G77" s="27" t="str">
        <f>IFERROR(__xludf.DUMMYFUNCTION("""COMPUTED_VALUE"""),"2 MAK PUTRA")</f>
        <v>2 MAK PUTRA</v>
      </c>
      <c r="H77" s="28" t="str">
        <f>IFERROR(__xludf.DUMMYFUNCTION("""COMPUTED_VALUE"""),"MA-XI.13")</f>
        <v>MA-XI.13</v>
      </c>
      <c r="I77" s="28" t="str">
        <f>IFERROR(__xludf.DUMMYFUNCTION("""COMPUTED_VALUE"""),"QOMAI EFTIKA")</f>
        <v>QOMAI EFTIKA</v>
      </c>
      <c r="J77" s="28" t="str">
        <f>IFERROR(__xludf.DUMMYFUNCTION("""COMPUTED_VALUE"""),"SUKOLILO RT 002 RW 003 SUKODADI LAMONGAN")</f>
        <v>SUKOLILO RT 002 RW 003 SUKODADI LAMONGAN</v>
      </c>
      <c r="K77" s="28" t="str">
        <f>IFERROR(__xludf.DUMMYFUNCTION("""COMPUTED_VALUE"""),"62895420477717")</f>
        <v>62895420477717</v>
      </c>
      <c r="L77" s="22">
        <f>IFERROR(__xludf.DUMMYFUNCTION("""COMPUTED_VALUE"""),1350000.0)</f>
        <v>1350000</v>
      </c>
      <c r="M77" s="22">
        <f>IFERROR(__xludf.DUMMYFUNCTION("""COMPUTED_VALUE"""),0.0)</f>
        <v>0</v>
      </c>
      <c r="N77" s="22">
        <f>IFERROR(__xludf.DUMMYFUNCTION("""COMPUTED_VALUE"""),0.0)</f>
        <v>0</v>
      </c>
      <c r="O77" s="22">
        <f>IFERROR(__xludf.DUMMYFUNCTION("""COMPUTED_VALUE"""),1350000.0)</f>
        <v>1350000</v>
      </c>
      <c r="P77" s="28" t="str">
        <f t="shared" si="1"/>
        <v>LUNAS</v>
      </c>
      <c r="Q77" s="28">
        <f t="shared" si="2"/>
        <v>61</v>
      </c>
      <c r="R77" s="28" t="str">
        <f t="shared" si="3"/>
        <v>ACHMAD MIFTAHUL AN-NURIL HUDA</v>
      </c>
    </row>
    <row r="78">
      <c r="A78" s="27">
        <f>IFERROR(__xludf.DUMMYFUNCTION("""COMPUTED_VALUE"""),77.0)</f>
        <v>77</v>
      </c>
      <c r="B78" s="28" t="str">
        <f>IFERROR(__xludf.DUMMYFUNCTION("""COMPUTED_VALUE"""),"AHMAD FIROS MUSADDAD")</f>
        <v>AHMAD FIROS MUSADDAD</v>
      </c>
      <c r="C78" s="28">
        <f>IFERROR(__xludf.DUMMYFUNCTION("""COMPUTED_VALUE"""),2.025070197E9)</f>
        <v>2025070197</v>
      </c>
      <c r="D78" s="27" t="str">
        <f>IFERROR(__xludf.DUMMYFUNCTION("""COMPUTED_VALUE"""),"A")</f>
        <v>A</v>
      </c>
      <c r="E78" s="27" t="str">
        <f>IFERROR(__xludf.DUMMYFUNCTION("""COMPUTED_VALUE"""),"A-2")</f>
        <v>A-2</v>
      </c>
      <c r="F78" s="31">
        <f>IFERROR(__xludf.DUMMYFUNCTION("""COMPUTED_VALUE"""),2.0)</f>
        <v>2</v>
      </c>
      <c r="G78" s="27" t="str">
        <f>IFERROR(__xludf.DUMMYFUNCTION("""COMPUTED_VALUE"""),"2 MAK PUTRA")</f>
        <v>2 MAK PUTRA</v>
      </c>
      <c r="H78" s="28" t="str">
        <f>IFERROR(__xludf.DUMMYFUNCTION("""COMPUTED_VALUE"""),"MA-XI.13")</f>
        <v>MA-XI.13</v>
      </c>
      <c r="I78" s="28" t="str">
        <f>IFERROR(__xludf.DUMMYFUNCTION("""COMPUTED_VALUE"""),"MUKAYAROH")</f>
        <v>MUKAYAROH</v>
      </c>
      <c r="J78" s="28" t="str">
        <f>IFERROR(__xludf.DUMMYFUNCTION("""COMPUTED_VALUE"""),"KULURAN RT 003 RW 003 KALITENGAH LAMONGAN")</f>
        <v>KULURAN RT 003 RW 003 KALITENGAH LAMONGAN</v>
      </c>
      <c r="K78" s="28" t="str">
        <f>IFERROR(__xludf.DUMMYFUNCTION("""COMPUTED_VALUE"""),"6285606726357")</f>
        <v>6285606726357</v>
      </c>
      <c r="L78" s="22">
        <f>IFERROR(__xludf.DUMMYFUNCTION("""COMPUTED_VALUE"""),450000.0)</f>
        <v>450000</v>
      </c>
      <c r="M78" s="22">
        <f>IFERROR(__xludf.DUMMYFUNCTION("""COMPUTED_VALUE"""),0.0)</f>
        <v>0</v>
      </c>
      <c r="N78" s="22">
        <f>IFERROR(__xludf.DUMMYFUNCTION("""COMPUTED_VALUE"""),0.0)</f>
        <v>0</v>
      </c>
      <c r="O78" s="22">
        <f>IFERROR(__xludf.DUMMYFUNCTION("""COMPUTED_VALUE"""),450000.0)</f>
        <v>450000</v>
      </c>
      <c r="P78" s="28" t="str">
        <f t="shared" si="1"/>
        <v>LUNAS</v>
      </c>
      <c r="Q78" s="28">
        <f t="shared" si="2"/>
        <v>140</v>
      </c>
      <c r="R78" s="28" t="str">
        <f t="shared" si="3"/>
        <v>AHMAD FIROS MUSADDAD</v>
      </c>
    </row>
    <row r="79">
      <c r="A79" s="27">
        <f>IFERROR(__xludf.DUMMYFUNCTION("""COMPUTED_VALUE"""),78.0)</f>
        <v>78</v>
      </c>
      <c r="B79" s="28" t="str">
        <f>IFERROR(__xludf.DUMMYFUNCTION("""COMPUTED_VALUE"""),"AHMAD RAFI MAULANA YUSUF")</f>
        <v>AHMAD RAFI MAULANA YUSUF</v>
      </c>
      <c r="C79" s="28">
        <f>IFERROR(__xludf.DUMMYFUNCTION("""COMPUTED_VALUE"""),2.02507031E9)</f>
        <v>2025070310</v>
      </c>
      <c r="D79" s="27" t="str">
        <f>IFERROR(__xludf.DUMMYFUNCTION("""COMPUTED_VALUE"""),"A")</f>
        <v>A</v>
      </c>
      <c r="E79" s="27" t="str">
        <f>IFERROR(__xludf.DUMMYFUNCTION("""COMPUTED_VALUE"""),"A-2")</f>
        <v>A-2</v>
      </c>
      <c r="F79" s="31">
        <f>IFERROR(__xludf.DUMMYFUNCTION("""COMPUTED_VALUE"""),2.0)</f>
        <v>2</v>
      </c>
      <c r="G79" s="27" t="str">
        <f>IFERROR(__xludf.DUMMYFUNCTION("""COMPUTED_VALUE"""),"2 MAK PUTRA")</f>
        <v>2 MAK PUTRA</v>
      </c>
      <c r="H79" s="28" t="str">
        <f>IFERROR(__xludf.DUMMYFUNCTION("""COMPUTED_VALUE"""),"MA-XI.13")</f>
        <v>MA-XI.13</v>
      </c>
      <c r="I79" s="28" t="str">
        <f>IFERROR(__xludf.DUMMYFUNCTION("""COMPUTED_VALUE"""),"SHOLIHATUN")</f>
        <v>SHOLIHATUN</v>
      </c>
      <c r="J79" s="28" t="str">
        <f>IFERROR(__xludf.DUMMYFUNCTION("""COMPUTED_VALUE"""),"BARU KEMLAGILOR RT 003 RW 001 TURI LAMONGAN")</f>
        <v>BARU KEMLAGILOR RT 003 RW 001 TURI LAMONGAN</v>
      </c>
      <c r="K79" s="28" t="str">
        <f>IFERROR(__xludf.DUMMYFUNCTION("""COMPUTED_VALUE"""),"6285706624674")</f>
        <v>6285706624674</v>
      </c>
      <c r="L79" s="22">
        <f>IFERROR(__xludf.DUMMYFUNCTION("""COMPUTED_VALUE"""),450000.0)</f>
        <v>450000</v>
      </c>
      <c r="M79" s="22">
        <f>IFERROR(__xludf.DUMMYFUNCTION("""COMPUTED_VALUE"""),1000000.0)</f>
        <v>1000000</v>
      </c>
      <c r="N79" s="22">
        <f>IFERROR(__xludf.DUMMYFUNCTION("""COMPUTED_VALUE"""),0.0)</f>
        <v>0</v>
      </c>
      <c r="O79" s="22">
        <f>IFERROR(__xludf.DUMMYFUNCTION("""COMPUTED_VALUE"""),1450000.0)</f>
        <v>1450000</v>
      </c>
      <c r="P79" s="28" t="str">
        <f t="shared" si="1"/>
        <v>LUNAS</v>
      </c>
      <c r="Q79" s="28">
        <f t="shared" si="2"/>
        <v>51</v>
      </c>
      <c r="R79" s="28" t="str">
        <f t="shared" si="3"/>
        <v>AHMAD RAFI MAULANA YUSUF</v>
      </c>
    </row>
    <row r="80">
      <c r="A80" s="27">
        <f>IFERROR(__xludf.DUMMYFUNCTION("""COMPUTED_VALUE"""),79.0)</f>
        <v>79</v>
      </c>
      <c r="B80" s="28" t="str">
        <f>IFERROR(__xludf.DUMMYFUNCTION("""COMPUTED_VALUE"""),"AHMAD ZUBAD AL ASROR")</f>
        <v>AHMAD ZUBAD AL ASROR</v>
      </c>
      <c r="C80" s="28">
        <f>IFERROR(__xludf.DUMMYFUNCTION("""COMPUTED_VALUE"""),2.025070367E9)</f>
        <v>2025070367</v>
      </c>
      <c r="D80" s="27" t="str">
        <f>IFERROR(__xludf.DUMMYFUNCTION("""COMPUTED_VALUE"""),"A")</f>
        <v>A</v>
      </c>
      <c r="E80" s="27" t="str">
        <f>IFERROR(__xludf.DUMMYFUNCTION("""COMPUTED_VALUE"""),"A-2")</f>
        <v>A-2</v>
      </c>
      <c r="F80" s="31">
        <f>IFERROR(__xludf.DUMMYFUNCTION("""COMPUTED_VALUE"""),2.0)</f>
        <v>2</v>
      </c>
      <c r="G80" s="27" t="str">
        <f>IFERROR(__xludf.DUMMYFUNCTION("""COMPUTED_VALUE"""),"2 MAK PUTRA")</f>
        <v>2 MAK PUTRA</v>
      </c>
      <c r="H80" s="28" t="str">
        <f>IFERROR(__xludf.DUMMYFUNCTION("""COMPUTED_VALUE"""),"MA-XI.13")</f>
        <v>MA-XI.13</v>
      </c>
      <c r="I80" s="28" t="str">
        <f>IFERROR(__xludf.DUMMYFUNCTION("""COMPUTED_VALUE"""),"MUTHOHAROH")</f>
        <v>MUTHOHAROH</v>
      </c>
      <c r="J80" s="28" t="str">
        <f>IFERROR(__xludf.DUMMYFUNCTION("""COMPUTED_VALUE"""),"BANJARMADU RT 002 RW 007 KARANGGENENG LAMONGAN")</f>
        <v>BANJARMADU RT 002 RW 007 KARANGGENENG LAMONGAN</v>
      </c>
      <c r="K80" s="28" t="str">
        <f>IFERROR(__xludf.DUMMYFUNCTION("""COMPUTED_VALUE"""),"6285707241922")</f>
        <v>6285707241922</v>
      </c>
      <c r="L80" s="22">
        <f>IFERROR(__xludf.DUMMYFUNCTION("""COMPUTED_VALUE"""),0.0)</f>
        <v>0</v>
      </c>
      <c r="M80" s="22">
        <f>IFERROR(__xludf.DUMMYFUNCTION("""COMPUTED_VALUE"""),0.0)</f>
        <v>0</v>
      </c>
      <c r="N80" s="22">
        <f>IFERROR(__xludf.DUMMYFUNCTION("""COMPUTED_VALUE"""),0.0)</f>
        <v>0</v>
      </c>
      <c r="O80" s="22">
        <f>IFERROR(__xludf.DUMMYFUNCTION("""COMPUTED_VALUE"""),0.0)</f>
        <v>0</v>
      </c>
      <c r="P80" s="28" t="str">
        <f t="shared" si="1"/>
        <v>LUNAS</v>
      </c>
      <c r="Q80" s="28">
        <f t="shared" si="2"/>
        <v>176</v>
      </c>
      <c r="R80" s="28" t="str">
        <f t="shared" si="3"/>
        <v>AHMAD ZUBAD AL ASROR</v>
      </c>
    </row>
    <row r="81">
      <c r="A81" s="27">
        <f>IFERROR(__xludf.DUMMYFUNCTION("""COMPUTED_VALUE"""),80.0)</f>
        <v>80</v>
      </c>
      <c r="B81" s="28" t="str">
        <f>IFERROR(__xludf.DUMMYFUNCTION("""COMPUTED_VALUE"""),"FAUZAN ZAKARIA FIRDAUS")</f>
        <v>FAUZAN ZAKARIA FIRDAUS</v>
      </c>
      <c r="C81" s="28">
        <f>IFERROR(__xludf.DUMMYFUNCTION("""COMPUTED_VALUE"""),2.02507035E9)</f>
        <v>2025070350</v>
      </c>
      <c r="D81" s="27" t="str">
        <f>IFERROR(__xludf.DUMMYFUNCTION("""COMPUTED_VALUE"""),"A")</f>
        <v>A</v>
      </c>
      <c r="E81" s="27" t="str">
        <f>IFERROR(__xludf.DUMMYFUNCTION("""COMPUTED_VALUE"""),"A-2")</f>
        <v>A-2</v>
      </c>
      <c r="F81" s="31">
        <f>IFERROR(__xludf.DUMMYFUNCTION("""COMPUTED_VALUE"""),2.0)</f>
        <v>2</v>
      </c>
      <c r="G81" s="27" t="str">
        <f>IFERROR(__xludf.DUMMYFUNCTION("""COMPUTED_VALUE"""),"2 MAK PUTRA")</f>
        <v>2 MAK PUTRA</v>
      </c>
      <c r="H81" s="28" t="str">
        <f>IFERROR(__xludf.DUMMYFUNCTION("""COMPUTED_VALUE"""),"MA-XI.13")</f>
        <v>MA-XI.13</v>
      </c>
      <c r="I81" s="28" t="str">
        <f>IFERROR(__xludf.DUMMYFUNCTION("""COMPUTED_VALUE"""),"TAMBIYAH")</f>
        <v>TAMBIYAH</v>
      </c>
      <c r="J81" s="28" t="str">
        <f>IFERROR(__xludf.DUMMYFUNCTION("""COMPUTED_VALUE"""),"PELABUHAN RT 001 RW 005 JETIS MOJOKERTO")</f>
        <v>PELABUHAN RT 001 RW 005 JETIS MOJOKERTO</v>
      </c>
      <c r="K81" s="28" t="str">
        <f>IFERROR(__xludf.DUMMYFUNCTION("""COMPUTED_VALUE"""),"6285649576786")</f>
        <v>6285649576786</v>
      </c>
      <c r="L81" s="22">
        <f>IFERROR(__xludf.DUMMYFUNCTION("""COMPUTED_VALUE"""),5400000.0)</f>
        <v>5400000</v>
      </c>
      <c r="M81" s="22">
        <f>IFERROR(__xludf.DUMMYFUNCTION("""COMPUTED_VALUE"""),0.0)</f>
        <v>0</v>
      </c>
      <c r="N81" s="22">
        <f>IFERROR(__xludf.DUMMYFUNCTION("""COMPUTED_VALUE"""),0.0)</f>
        <v>0</v>
      </c>
      <c r="O81" s="22">
        <f>IFERROR(__xludf.DUMMYFUNCTION("""COMPUTED_VALUE"""),5400000.0)</f>
        <v>5400000</v>
      </c>
      <c r="P81" s="28" t="str">
        <f t="shared" si="1"/>
        <v>LUNAS</v>
      </c>
      <c r="Q81" s="28">
        <f t="shared" si="2"/>
        <v>14</v>
      </c>
      <c r="R81" s="28" t="str">
        <f t="shared" si="3"/>
        <v>FAUZAN ZAKARIA FIRDAUS</v>
      </c>
    </row>
    <row r="82">
      <c r="A82" s="27">
        <f>IFERROR(__xludf.DUMMYFUNCTION("""COMPUTED_VALUE"""),81.0)</f>
        <v>81</v>
      </c>
      <c r="B82" s="28" t="str">
        <f>IFERROR(__xludf.DUMMYFUNCTION("""COMPUTED_VALUE"""),"MOH. FADLIL SAPUTRA")</f>
        <v>MOH. FADLIL SAPUTRA</v>
      </c>
      <c r="C82" s="28">
        <f>IFERROR(__xludf.DUMMYFUNCTION("""COMPUTED_VALUE"""),2.025070416E9)</f>
        <v>2025070416</v>
      </c>
      <c r="D82" s="27" t="str">
        <f>IFERROR(__xludf.DUMMYFUNCTION("""COMPUTED_VALUE"""),"A")</f>
        <v>A</v>
      </c>
      <c r="E82" s="27" t="str">
        <f>IFERROR(__xludf.DUMMYFUNCTION("""COMPUTED_VALUE"""),"A-2")</f>
        <v>A-2</v>
      </c>
      <c r="F82" s="31">
        <f>IFERROR(__xludf.DUMMYFUNCTION("""COMPUTED_VALUE"""),2.0)</f>
        <v>2</v>
      </c>
      <c r="G82" s="27" t="str">
        <f>IFERROR(__xludf.DUMMYFUNCTION("""COMPUTED_VALUE"""),"2 MAK PUTRA")</f>
        <v>2 MAK PUTRA</v>
      </c>
      <c r="H82" s="28" t="str">
        <f>IFERROR(__xludf.DUMMYFUNCTION("""COMPUTED_VALUE"""),"MA-XI.13")</f>
        <v>MA-XI.13</v>
      </c>
      <c r="I82" s="28" t="str">
        <f>IFERROR(__xludf.DUMMYFUNCTION("""COMPUTED_VALUE"""),"TUMIASRI")</f>
        <v>TUMIASRI</v>
      </c>
      <c r="J82" s="28" t="str">
        <f>IFERROR(__xludf.DUMMYFUNCTION("""COMPUTED_VALUE"""),"KULURAN RT 002 RW 007 KALITENGAH LAMONGAN")</f>
        <v>KULURAN RT 002 RW 007 KALITENGAH LAMONGAN</v>
      </c>
      <c r="K82" s="28" t="str">
        <f>IFERROR(__xludf.DUMMYFUNCTION("""COMPUTED_VALUE"""),"6285852082730")</f>
        <v>6285852082730</v>
      </c>
      <c r="L82" s="22">
        <f>IFERROR(__xludf.DUMMYFUNCTION("""COMPUTED_VALUE"""),0.0)</f>
        <v>0</v>
      </c>
      <c r="M82" s="22">
        <f>IFERROR(__xludf.DUMMYFUNCTION("""COMPUTED_VALUE"""),0.0)</f>
        <v>0</v>
      </c>
      <c r="N82" s="22">
        <f>IFERROR(__xludf.DUMMYFUNCTION("""COMPUTED_VALUE"""),0.0)</f>
        <v>0</v>
      </c>
      <c r="O82" s="22">
        <f>IFERROR(__xludf.DUMMYFUNCTION("""COMPUTED_VALUE"""),0.0)</f>
        <v>0</v>
      </c>
      <c r="P82" s="28" t="str">
        <f t="shared" si="1"/>
        <v>LUNAS</v>
      </c>
      <c r="Q82" s="28">
        <f t="shared" si="2"/>
        <v>177</v>
      </c>
      <c r="R82" s="28" t="str">
        <f t="shared" si="3"/>
        <v>MOH. FADLIL SAPUTRA</v>
      </c>
    </row>
    <row r="83">
      <c r="A83" s="27">
        <f>IFERROR(__xludf.DUMMYFUNCTION("""COMPUTED_VALUE"""),82.0)</f>
        <v>82</v>
      </c>
      <c r="B83" s="28" t="str">
        <f>IFERROR(__xludf.DUMMYFUNCTION("""COMPUTED_VALUE"""),"VANNY ZUDHA PRATAMA")</f>
        <v>VANNY ZUDHA PRATAMA</v>
      </c>
      <c r="C83" s="28">
        <f>IFERROR(__xludf.DUMMYFUNCTION("""COMPUTED_VALUE"""),2.025070351E9)</f>
        <v>2025070351</v>
      </c>
      <c r="D83" s="27" t="str">
        <f>IFERROR(__xludf.DUMMYFUNCTION("""COMPUTED_VALUE"""),"A")</f>
        <v>A</v>
      </c>
      <c r="E83" s="27" t="str">
        <f>IFERROR(__xludf.DUMMYFUNCTION("""COMPUTED_VALUE"""),"A-2")</f>
        <v>A-2</v>
      </c>
      <c r="F83" s="31">
        <f>IFERROR(__xludf.DUMMYFUNCTION("""COMPUTED_VALUE"""),2.0)</f>
        <v>2</v>
      </c>
      <c r="G83" s="27" t="str">
        <f>IFERROR(__xludf.DUMMYFUNCTION("""COMPUTED_VALUE"""),"2 MAK PUTRA")</f>
        <v>2 MAK PUTRA</v>
      </c>
      <c r="H83" s="28" t="str">
        <f>IFERROR(__xludf.DUMMYFUNCTION("""COMPUTED_VALUE"""),"MA-XI.13")</f>
        <v>MA-XI.13</v>
      </c>
      <c r="I83" s="28" t="str">
        <f>IFERROR(__xludf.DUMMYFUNCTION("""COMPUTED_VALUE"""),"QURROTUN AINIYAH")</f>
        <v>QURROTUN AINIYAH</v>
      </c>
      <c r="J83" s="28" t="str">
        <f>IFERROR(__xludf.DUMMYFUNCTION("""COMPUTED_VALUE"""),"BANJARMADU RT 001 RW 007 KARANGGENENG LAMONGAN")</f>
        <v>BANJARMADU RT 001 RW 007 KARANGGENENG LAMONGAN</v>
      </c>
      <c r="K83" s="28" t="str">
        <f>IFERROR(__xludf.DUMMYFUNCTION("""COMPUTED_VALUE"""),"6283893321061")</f>
        <v>6283893321061</v>
      </c>
      <c r="L83" s="22">
        <f>IFERROR(__xludf.DUMMYFUNCTION("""COMPUTED_VALUE"""),0.0)</f>
        <v>0</v>
      </c>
      <c r="M83" s="22">
        <f>IFERROR(__xludf.DUMMYFUNCTION("""COMPUTED_VALUE"""),1600000.0)</f>
        <v>1600000</v>
      </c>
      <c r="N83" s="22">
        <f>IFERROR(__xludf.DUMMYFUNCTION("""COMPUTED_VALUE"""),0.0)</f>
        <v>0</v>
      </c>
      <c r="O83" s="22">
        <f>IFERROR(__xludf.DUMMYFUNCTION("""COMPUTED_VALUE"""),1600000.0)</f>
        <v>1600000</v>
      </c>
      <c r="P83" s="28" t="str">
        <f t="shared" si="1"/>
        <v>LUNAS</v>
      </c>
      <c r="Q83" s="28">
        <f t="shared" si="2"/>
        <v>45</v>
      </c>
      <c r="R83" s="28" t="str">
        <f t="shared" si="3"/>
        <v>VANNY ZUDHA PRATAMA</v>
      </c>
    </row>
    <row r="84">
      <c r="A84" s="27">
        <f>IFERROR(__xludf.DUMMYFUNCTION("""COMPUTED_VALUE"""),83.0)</f>
        <v>83</v>
      </c>
      <c r="B84" s="28" t="str">
        <f>IFERROR(__xludf.DUMMYFUNCTION("""COMPUTED_VALUE"""),"AHMAD NUR FAJAR ROMADHONI")</f>
        <v>AHMAD NUR FAJAR ROMADHONI</v>
      </c>
      <c r="C84" s="28">
        <f>IFERROR(__xludf.DUMMYFUNCTION("""COMPUTED_VALUE"""),2.024070403E9)</f>
        <v>2024070403</v>
      </c>
      <c r="D84" s="27" t="str">
        <f>IFERROR(__xludf.DUMMYFUNCTION("""COMPUTED_VALUE"""),"A")</f>
        <v>A</v>
      </c>
      <c r="E84" s="27" t="str">
        <f>IFERROR(__xludf.DUMMYFUNCTION("""COMPUTED_VALUE"""),"A-2")</f>
        <v>A-2</v>
      </c>
      <c r="F84" s="31">
        <f>IFERROR(__xludf.DUMMYFUNCTION("""COMPUTED_VALUE"""),3.0)</f>
        <v>3</v>
      </c>
      <c r="G84" s="27" t="str">
        <f>IFERROR(__xludf.DUMMYFUNCTION("""COMPUTED_VALUE"""),"3 MAK PUTRA")</f>
        <v>3 MAK PUTRA</v>
      </c>
      <c r="H84" s="28" t="str">
        <f>IFERROR(__xludf.DUMMYFUNCTION("""COMPUTED_VALUE"""),"MA-XII.13")</f>
        <v>MA-XII.13</v>
      </c>
      <c r="I84" s="28" t="str">
        <f>IFERROR(__xludf.DUMMYFUNCTION("""COMPUTED_VALUE"""),"SITI ULFAH")</f>
        <v>SITI ULFAH</v>
      </c>
      <c r="J84" s="28" t="str">
        <f>IFERROR(__xludf.DUMMYFUNCTION("""COMPUTED_VALUE"""),"GENDONG RT 002 RW 004 LAREN LAMONGAN")</f>
        <v>GENDONG RT 002 RW 004 LAREN LAMONGAN</v>
      </c>
      <c r="K84" s="28" t="str">
        <f>IFERROR(__xludf.DUMMYFUNCTION("""COMPUTED_VALUE"""),"685736441139")</f>
        <v>685736441139</v>
      </c>
      <c r="L84" s="22">
        <f>IFERROR(__xludf.DUMMYFUNCTION("""COMPUTED_VALUE"""),0.0)</f>
        <v>0</v>
      </c>
      <c r="M84" s="22">
        <f>IFERROR(__xludf.DUMMYFUNCTION("""COMPUTED_VALUE"""),0.0)</f>
        <v>0</v>
      </c>
      <c r="N84" s="22">
        <f>IFERROR(__xludf.DUMMYFUNCTION("""COMPUTED_VALUE"""),0.0)</f>
        <v>0</v>
      </c>
      <c r="O84" s="22">
        <f>IFERROR(__xludf.DUMMYFUNCTION("""COMPUTED_VALUE"""),0.0)</f>
        <v>0</v>
      </c>
      <c r="P84" s="28" t="str">
        <f t="shared" si="1"/>
        <v>LUNAS</v>
      </c>
      <c r="Q84" s="28">
        <f t="shared" si="2"/>
        <v>178</v>
      </c>
      <c r="R84" s="28" t="str">
        <f t="shared" si="3"/>
        <v>AHMAD NUR FAJAR ROMADHONI</v>
      </c>
    </row>
    <row r="85">
      <c r="A85" s="27">
        <f>IFERROR(__xludf.DUMMYFUNCTION("""COMPUTED_VALUE"""),84.0)</f>
        <v>84</v>
      </c>
      <c r="B85" s="28" t="str">
        <f>IFERROR(__xludf.DUMMYFUNCTION("""COMPUTED_VALUE"""),"AKHMAD FATIKHUL IN`AM")</f>
        <v>AKHMAD FATIKHUL IN`AM</v>
      </c>
      <c r="C85" s="28">
        <f>IFERROR(__xludf.DUMMYFUNCTION("""COMPUTED_VALUE"""),2.024070404E9)</f>
        <v>2024070404</v>
      </c>
      <c r="D85" s="27" t="str">
        <f>IFERROR(__xludf.DUMMYFUNCTION("""COMPUTED_VALUE"""),"A")</f>
        <v>A</v>
      </c>
      <c r="E85" s="27" t="str">
        <f>IFERROR(__xludf.DUMMYFUNCTION("""COMPUTED_VALUE"""),"A-2")</f>
        <v>A-2</v>
      </c>
      <c r="F85" s="31">
        <f>IFERROR(__xludf.DUMMYFUNCTION("""COMPUTED_VALUE"""),3.0)</f>
        <v>3</v>
      </c>
      <c r="G85" s="27" t="str">
        <f>IFERROR(__xludf.DUMMYFUNCTION("""COMPUTED_VALUE"""),"3 MAK PUTRA")</f>
        <v>3 MAK PUTRA</v>
      </c>
      <c r="H85" s="28" t="str">
        <f>IFERROR(__xludf.DUMMYFUNCTION("""COMPUTED_VALUE"""),"MA-XII.13")</f>
        <v>MA-XII.13</v>
      </c>
      <c r="I85" s="28" t="str">
        <f>IFERROR(__xludf.DUMMYFUNCTION("""COMPUTED_VALUE"""),"NURUL MUTHOHAROH")</f>
        <v>NURUL MUTHOHAROH</v>
      </c>
      <c r="J85" s="28" t="str">
        <f>IFERROR(__xludf.DUMMYFUNCTION("""COMPUTED_VALUE"""),"LUMBER KALIPANG RT 001 RW 001 SUGIO LAMONGAN")</f>
        <v>LUMBER KALIPANG RT 001 RW 001 SUGIO LAMONGAN</v>
      </c>
      <c r="K85" s="28" t="str">
        <f>IFERROR(__xludf.DUMMYFUNCTION("""COMPUTED_VALUE"""),"6285645455467")</f>
        <v>6285645455467</v>
      </c>
      <c r="L85" s="22">
        <f>IFERROR(__xludf.DUMMYFUNCTION("""COMPUTED_VALUE"""),0.0)</f>
        <v>0</v>
      </c>
      <c r="M85" s="22">
        <f>IFERROR(__xludf.DUMMYFUNCTION("""COMPUTED_VALUE"""),0.0)</f>
        <v>0</v>
      </c>
      <c r="N85" s="22">
        <f>IFERROR(__xludf.DUMMYFUNCTION("""COMPUTED_VALUE"""),0.0)</f>
        <v>0</v>
      </c>
      <c r="O85" s="22">
        <f>IFERROR(__xludf.DUMMYFUNCTION("""COMPUTED_VALUE"""),0.0)</f>
        <v>0</v>
      </c>
      <c r="P85" s="28" t="str">
        <f t="shared" si="1"/>
        <v>LUNAS</v>
      </c>
      <c r="Q85" s="28">
        <f t="shared" si="2"/>
        <v>179</v>
      </c>
      <c r="R85" s="28" t="str">
        <f t="shared" si="3"/>
        <v>AKHMAD FATIKHUL IN`AM</v>
      </c>
    </row>
    <row r="86">
      <c r="A86" s="27">
        <f>IFERROR(__xludf.DUMMYFUNCTION("""COMPUTED_VALUE"""),85.0)</f>
        <v>85</v>
      </c>
      <c r="B86" s="28" t="str">
        <f>IFERROR(__xludf.DUMMYFUNCTION("""COMPUTED_VALUE"""),"M. SAFIUL REZA SELOHANDOYO")</f>
        <v>M. SAFIUL REZA SELOHANDOYO</v>
      </c>
      <c r="C86" s="28">
        <f>IFERROR(__xludf.DUMMYFUNCTION("""COMPUTED_VALUE"""),2.024070406E9)</f>
        <v>2024070406</v>
      </c>
      <c r="D86" s="27" t="str">
        <f>IFERROR(__xludf.DUMMYFUNCTION("""COMPUTED_VALUE"""),"A")</f>
        <v>A</v>
      </c>
      <c r="E86" s="27" t="str">
        <f>IFERROR(__xludf.DUMMYFUNCTION("""COMPUTED_VALUE"""),"A-2")</f>
        <v>A-2</v>
      </c>
      <c r="F86" s="31">
        <f>IFERROR(__xludf.DUMMYFUNCTION("""COMPUTED_VALUE"""),3.0)</f>
        <v>3</v>
      </c>
      <c r="G86" s="27" t="str">
        <f>IFERROR(__xludf.DUMMYFUNCTION("""COMPUTED_VALUE"""),"3 MAK PUTRA")</f>
        <v>3 MAK PUTRA</v>
      </c>
      <c r="H86" s="28" t="str">
        <f>IFERROR(__xludf.DUMMYFUNCTION("""COMPUTED_VALUE"""),"MA-XII.13")</f>
        <v>MA-XII.13</v>
      </c>
      <c r="I86" s="28" t="str">
        <f>IFERROR(__xludf.DUMMYFUNCTION("""COMPUTED_VALUE"""),"SITI HALIMAH")</f>
        <v>SITI HALIMAH</v>
      </c>
      <c r="J86" s="28" t="str">
        <f>IFERROR(__xludf.DUMMYFUNCTION("""COMPUTED_VALUE"""),"GOWAH POMAHANJANGGAN RT 002 RW 001 TURI LAMONGAN")</f>
        <v>GOWAH POMAHANJANGGAN RT 002 RW 001 TURI LAMONGAN</v>
      </c>
      <c r="K86" s="28" t="str">
        <f>IFERROR(__xludf.DUMMYFUNCTION("""COMPUTED_VALUE"""),"6282229847381")</f>
        <v>6282229847381</v>
      </c>
      <c r="L86" s="22">
        <f>IFERROR(__xludf.DUMMYFUNCTION("""COMPUTED_VALUE"""),450000.0)</f>
        <v>450000</v>
      </c>
      <c r="M86" s="22">
        <f>IFERROR(__xludf.DUMMYFUNCTION("""COMPUTED_VALUE"""),500000.0)</f>
        <v>500000</v>
      </c>
      <c r="N86" s="22">
        <f>IFERROR(__xludf.DUMMYFUNCTION("""COMPUTED_VALUE"""),0.0)</f>
        <v>0</v>
      </c>
      <c r="O86" s="22">
        <f>IFERROR(__xludf.DUMMYFUNCTION("""COMPUTED_VALUE"""),950000.0)</f>
        <v>950000</v>
      </c>
      <c r="P86" s="28" t="str">
        <f t="shared" si="1"/>
        <v>LUNAS</v>
      </c>
      <c r="Q86" s="28">
        <f t="shared" si="2"/>
        <v>107</v>
      </c>
      <c r="R86" s="28" t="str">
        <f t="shared" si="3"/>
        <v>M. SAFIUL REZA SELOHANDOYO</v>
      </c>
    </row>
    <row r="87">
      <c r="A87" s="27">
        <f>IFERROR(__xludf.DUMMYFUNCTION("""COMPUTED_VALUE"""),86.0)</f>
        <v>86</v>
      </c>
      <c r="B87" s="28" t="str">
        <f>IFERROR(__xludf.DUMMYFUNCTION("""COMPUTED_VALUE"""),"NASHIH AMIN")</f>
        <v>NASHIH AMIN</v>
      </c>
      <c r="C87" s="28">
        <f>IFERROR(__xludf.DUMMYFUNCTION("""COMPUTED_VALUE"""),2.024070409E9)</f>
        <v>2024070409</v>
      </c>
      <c r="D87" s="27" t="str">
        <f>IFERROR(__xludf.DUMMYFUNCTION("""COMPUTED_VALUE"""),"A")</f>
        <v>A</v>
      </c>
      <c r="E87" s="27" t="str">
        <f>IFERROR(__xludf.DUMMYFUNCTION("""COMPUTED_VALUE"""),"A-2")</f>
        <v>A-2</v>
      </c>
      <c r="F87" s="31">
        <f>IFERROR(__xludf.DUMMYFUNCTION("""COMPUTED_VALUE"""),3.0)</f>
        <v>3</v>
      </c>
      <c r="G87" s="27" t="str">
        <f>IFERROR(__xludf.DUMMYFUNCTION("""COMPUTED_VALUE"""),"3 MAK PUTRA")</f>
        <v>3 MAK PUTRA</v>
      </c>
      <c r="H87" s="28" t="str">
        <f>IFERROR(__xludf.DUMMYFUNCTION("""COMPUTED_VALUE"""),"MA-XII.13")</f>
        <v>MA-XII.13</v>
      </c>
      <c r="I87" s="28" t="str">
        <f>IFERROR(__xludf.DUMMYFUNCTION("""COMPUTED_VALUE"""),"LISTIANAH")</f>
        <v>LISTIANAH</v>
      </c>
      <c r="J87" s="28" t="str">
        <f>IFERROR(__xludf.DUMMYFUNCTION("""COMPUTED_VALUE"""),"TAMBAK ASRI 262-C MOROKREMBANGAN RT 008 RW 009 KREMBANGAN SURABAYA")</f>
        <v>TAMBAK ASRI 262-C MOROKREMBANGAN RT 008 RW 009 KREMBANGAN SURABAYA</v>
      </c>
      <c r="K87" s="28" t="str">
        <f>IFERROR(__xludf.DUMMYFUNCTION("""COMPUTED_VALUE"""),"6285715548194")</f>
        <v>6285715548194</v>
      </c>
      <c r="L87" s="22">
        <f>IFERROR(__xludf.DUMMYFUNCTION("""COMPUTED_VALUE"""),900000.0)</f>
        <v>900000</v>
      </c>
      <c r="M87" s="22">
        <f>IFERROR(__xludf.DUMMYFUNCTION("""COMPUTED_VALUE"""),500000.0)</f>
        <v>500000</v>
      </c>
      <c r="N87" s="22">
        <f>IFERROR(__xludf.DUMMYFUNCTION("""COMPUTED_VALUE"""),0.0)</f>
        <v>0</v>
      </c>
      <c r="O87" s="22">
        <f>IFERROR(__xludf.DUMMYFUNCTION("""COMPUTED_VALUE"""),1400000.0)</f>
        <v>1400000</v>
      </c>
      <c r="P87" s="28" t="str">
        <f t="shared" si="1"/>
        <v>LUNAS</v>
      </c>
      <c r="Q87" s="28">
        <f t="shared" si="2"/>
        <v>58</v>
      </c>
      <c r="R87" s="28" t="str">
        <f t="shared" si="3"/>
        <v>NASHIH AMIN</v>
      </c>
    </row>
    <row r="88">
      <c r="A88" s="27">
        <f>IFERROR(__xludf.DUMMYFUNCTION("""COMPUTED_VALUE"""),87.0)</f>
        <v>87</v>
      </c>
      <c r="B88" s="28" t="str">
        <f>IFERROR(__xludf.DUMMYFUNCTION("""COMPUTED_VALUE"""),"RAHMAT NURRUZAMAN AL ALI")</f>
        <v>RAHMAT NURRUZAMAN AL ALI</v>
      </c>
      <c r="C88" s="28">
        <f>IFERROR(__xludf.DUMMYFUNCTION("""COMPUTED_VALUE"""),2.02407018E9)</f>
        <v>2024070180</v>
      </c>
      <c r="D88" s="27" t="str">
        <f>IFERROR(__xludf.DUMMYFUNCTION("""COMPUTED_VALUE"""),"A")</f>
        <v>A</v>
      </c>
      <c r="E88" s="27" t="str">
        <f>IFERROR(__xludf.DUMMYFUNCTION("""COMPUTED_VALUE"""),"A-2")</f>
        <v>A-2</v>
      </c>
      <c r="F88" s="31">
        <f>IFERROR(__xludf.DUMMYFUNCTION("""COMPUTED_VALUE"""),3.0)</f>
        <v>3</v>
      </c>
      <c r="G88" s="27" t="str">
        <f>IFERROR(__xludf.DUMMYFUNCTION("""COMPUTED_VALUE"""),"3 WUSTHO PUTRA")</f>
        <v>3 WUSTHO PUTRA</v>
      </c>
      <c r="H88" s="28" t="str">
        <f>IFERROR(__xludf.DUMMYFUNCTION("""COMPUTED_VALUE"""),"MA-XII.5")</f>
        <v>MA-XII.5</v>
      </c>
      <c r="I88" s="28" t="str">
        <f>IFERROR(__xludf.DUMMYFUNCTION("""COMPUTED_VALUE"""),"SITI MAIDAH")</f>
        <v>SITI MAIDAH</v>
      </c>
      <c r="J88" s="28" t="str">
        <f>IFERROR(__xludf.DUMMYFUNCTION("""COMPUTED_VALUE"""),"PUCANGRO RT 1 RW 1 KALITENGAH LAMONGAN")</f>
        <v>PUCANGRO RT 1 RW 1 KALITENGAH LAMONGAN</v>
      </c>
      <c r="K88" s="28" t="str">
        <f>IFERROR(__xludf.DUMMYFUNCTION("""COMPUTED_VALUE"""),"62895605958887")</f>
        <v>62895605958887</v>
      </c>
      <c r="L88" s="22">
        <f>IFERROR(__xludf.DUMMYFUNCTION("""COMPUTED_VALUE"""),0.0)</f>
        <v>0</v>
      </c>
      <c r="M88" s="22">
        <f>IFERROR(__xludf.DUMMYFUNCTION("""COMPUTED_VALUE"""),0.0)</f>
        <v>0</v>
      </c>
      <c r="N88" s="22">
        <f>IFERROR(__xludf.DUMMYFUNCTION("""COMPUTED_VALUE"""),0.0)</f>
        <v>0</v>
      </c>
      <c r="O88" s="22">
        <f>IFERROR(__xludf.DUMMYFUNCTION("""COMPUTED_VALUE"""),0.0)</f>
        <v>0</v>
      </c>
      <c r="P88" s="28" t="str">
        <f t="shared" si="1"/>
        <v>LUNAS</v>
      </c>
      <c r="Q88" s="28">
        <f t="shared" si="2"/>
        <v>180</v>
      </c>
      <c r="R88" s="28" t="str">
        <f t="shared" si="3"/>
        <v>RAHMAT NURRUZAMAN AL ALI</v>
      </c>
    </row>
    <row r="89">
      <c r="A89" s="27">
        <f>IFERROR(__xludf.DUMMYFUNCTION("""COMPUTED_VALUE"""),88.0)</f>
        <v>88</v>
      </c>
      <c r="B89" s="28" t="str">
        <f>IFERROR(__xludf.DUMMYFUNCTION("""COMPUTED_VALUE"""),"WILDAN ARFIAN")</f>
        <v>WILDAN ARFIAN</v>
      </c>
      <c r="C89" s="28">
        <f>IFERROR(__xludf.DUMMYFUNCTION("""COMPUTED_VALUE"""),2.024070411E9)</f>
        <v>2024070411</v>
      </c>
      <c r="D89" s="27" t="str">
        <f>IFERROR(__xludf.DUMMYFUNCTION("""COMPUTED_VALUE"""),"A")</f>
        <v>A</v>
      </c>
      <c r="E89" s="27" t="str">
        <f>IFERROR(__xludf.DUMMYFUNCTION("""COMPUTED_VALUE"""),"A-2")</f>
        <v>A-2</v>
      </c>
      <c r="F89" s="31">
        <f>IFERROR(__xludf.DUMMYFUNCTION("""COMPUTED_VALUE"""),3.0)</f>
        <v>3</v>
      </c>
      <c r="G89" s="27" t="str">
        <f>IFERROR(__xludf.DUMMYFUNCTION("""COMPUTED_VALUE"""),"3 MAK PUTRA")</f>
        <v>3 MAK PUTRA</v>
      </c>
      <c r="H89" s="28" t="str">
        <f>IFERROR(__xludf.DUMMYFUNCTION("""COMPUTED_VALUE"""),"MA-XII.13")</f>
        <v>MA-XII.13</v>
      </c>
      <c r="I89" s="28" t="str">
        <f>IFERROR(__xludf.DUMMYFUNCTION("""COMPUTED_VALUE"""),"MARATUL MUKARROMAH")</f>
        <v>MARATUL MUKARROMAH</v>
      </c>
      <c r="J89" s="28" t="str">
        <f>IFERROR(__xludf.DUMMYFUNCTION("""COMPUTED_VALUE"""),"KREBET KAYULEMAH RT 006 RW 002 SUMBERREJO BOJONEGORO")</f>
        <v>KREBET KAYULEMAH RT 006 RW 002 SUMBERREJO BOJONEGORO</v>
      </c>
      <c r="K89" s="28" t="str">
        <f>IFERROR(__xludf.DUMMYFUNCTION("""COMPUTED_VALUE"""),"6282275756518")</f>
        <v>6282275756518</v>
      </c>
      <c r="L89" s="22">
        <f>IFERROR(__xludf.DUMMYFUNCTION("""COMPUTED_VALUE"""),0.0)</f>
        <v>0</v>
      </c>
      <c r="M89" s="22">
        <f>IFERROR(__xludf.DUMMYFUNCTION("""COMPUTED_VALUE"""),500000.0)</f>
        <v>500000</v>
      </c>
      <c r="N89" s="22">
        <f>IFERROR(__xludf.DUMMYFUNCTION("""COMPUTED_VALUE"""),0.0)</f>
        <v>0</v>
      </c>
      <c r="O89" s="22">
        <f>IFERROR(__xludf.DUMMYFUNCTION("""COMPUTED_VALUE"""),500000.0)</f>
        <v>500000</v>
      </c>
      <c r="P89" s="28" t="str">
        <f t="shared" si="1"/>
        <v>LUNAS</v>
      </c>
      <c r="Q89" s="28">
        <f t="shared" si="2"/>
        <v>122</v>
      </c>
      <c r="R89" s="28" t="str">
        <f t="shared" si="3"/>
        <v>WILDAN ARFIAN</v>
      </c>
    </row>
    <row r="90">
      <c r="A90" s="27">
        <f>IFERROR(__xludf.DUMMYFUNCTION("""COMPUTED_VALUE"""),89.0)</f>
        <v>89</v>
      </c>
      <c r="B90" s="28" t="str">
        <f>IFERROR(__xludf.DUMMYFUNCTION("""COMPUTED_VALUE"""),"ACHMAD SYAHRUL DZAKIE AL KAUTSAR")</f>
        <v>ACHMAD SYAHRUL DZAKIE AL KAUTSAR</v>
      </c>
      <c r="C90" s="28">
        <f>IFERROR(__xludf.DUMMYFUNCTION("""COMPUTED_VALUE"""),2.025070523E9)</f>
        <v>2025070523</v>
      </c>
      <c r="D90" s="27" t="str">
        <f>IFERROR(__xludf.DUMMYFUNCTION("""COMPUTED_VALUE"""),"A")</f>
        <v>A</v>
      </c>
      <c r="E90" s="27" t="str">
        <f>IFERROR(__xludf.DUMMYFUNCTION("""COMPUTED_VALUE"""),"A-3")</f>
        <v>A-3</v>
      </c>
      <c r="F90" s="31">
        <f>IFERROR(__xludf.DUMMYFUNCTION("""COMPUTED_VALUE"""),2.0)</f>
        <v>2</v>
      </c>
      <c r="G90" s="27" t="str">
        <f>IFERROR(__xludf.DUMMYFUNCTION("""COMPUTED_VALUE"""),"2 ULA A PUTRA")</f>
        <v>2 ULA A PUTRA</v>
      </c>
      <c r="H90" s="28" t="str">
        <f>IFERROR(__xludf.DUMMYFUNCTION("""COMPUTED_VALUE"""),"MTS-8 F")</f>
        <v>MTS-8 F</v>
      </c>
      <c r="I90" s="28" t="str">
        <f>IFERROR(__xludf.DUMMYFUNCTION("""COMPUTED_VALUE"""),"SHOLIHATUL MUFIDAH")</f>
        <v>SHOLIHATUL MUFIDAH</v>
      </c>
      <c r="J90" s="28" t="str">
        <f>IFERROR(__xludf.DUMMYFUNCTION("""COMPUTED_VALUE"""),"JL AMBARAWA PETUNG RT 010 RW 004 PANCENG BABAT")</f>
        <v>JL AMBARAWA PETUNG RT 010 RW 004 PANCENG BABAT</v>
      </c>
      <c r="K90" s="28" t="str">
        <f>IFERROR(__xludf.DUMMYFUNCTION("""COMPUTED_VALUE"""),"62881027793394")</f>
        <v>62881027793394</v>
      </c>
      <c r="L90" s="22">
        <f>IFERROR(__xludf.DUMMYFUNCTION("""COMPUTED_VALUE"""),0.0)</f>
        <v>0</v>
      </c>
      <c r="M90" s="22">
        <f>IFERROR(__xludf.DUMMYFUNCTION("""COMPUTED_VALUE"""),1000000.0)</f>
        <v>1000000</v>
      </c>
      <c r="N90" s="22">
        <f>IFERROR(__xludf.DUMMYFUNCTION("""COMPUTED_VALUE"""),0.0)</f>
        <v>0</v>
      </c>
      <c r="O90" s="22">
        <f>IFERROR(__xludf.DUMMYFUNCTION("""COMPUTED_VALUE"""),1000000.0)</f>
        <v>1000000</v>
      </c>
      <c r="P90" s="28" t="str">
        <f t="shared" si="1"/>
        <v>LUNAS</v>
      </c>
      <c r="Q90" s="28">
        <f t="shared" si="2"/>
        <v>75</v>
      </c>
      <c r="R90" s="28" t="str">
        <f t="shared" si="3"/>
        <v>ACHMAD SYAHRUL DZAKIE AL KAUTSAR</v>
      </c>
    </row>
    <row r="91">
      <c r="A91" s="27">
        <f>IFERROR(__xludf.DUMMYFUNCTION("""COMPUTED_VALUE"""),90.0)</f>
        <v>90</v>
      </c>
      <c r="B91" s="28" t="str">
        <f>IFERROR(__xludf.DUMMYFUNCTION("""COMPUTED_VALUE"""),"ADHIAN SAKANI ZADDA")</f>
        <v>ADHIAN SAKANI ZADDA</v>
      </c>
      <c r="C91" s="28">
        <f>IFERROR(__xludf.DUMMYFUNCTION("""COMPUTED_VALUE"""),2.025070582E9)</f>
        <v>2025070582</v>
      </c>
      <c r="D91" s="27" t="str">
        <f>IFERROR(__xludf.DUMMYFUNCTION("""COMPUTED_VALUE"""),"A")</f>
        <v>A</v>
      </c>
      <c r="E91" s="27" t="str">
        <f>IFERROR(__xludf.DUMMYFUNCTION("""COMPUTED_VALUE"""),"A-3")</f>
        <v>A-3</v>
      </c>
      <c r="F91" s="31">
        <f>IFERROR(__xludf.DUMMYFUNCTION("""COMPUTED_VALUE"""),2.0)</f>
        <v>2</v>
      </c>
      <c r="G91" s="27" t="str">
        <f>IFERROR(__xludf.DUMMYFUNCTION("""COMPUTED_VALUE"""),"2 ULA A PUTRA")</f>
        <v>2 ULA A PUTRA</v>
      </c>
      <c r="H91" s="28" t="str">
        <f>IFERROR(__xludf.DUMMYFUNCTION("""COMPUTED_VALUE"""),"MTS-8 G")</f>
        <v>MTS-8 G</v>
      </c>
      <c r="I91" s="28" t="str">
        <f>IFERROR(__xludf.DUMMYFUNCTION("""COMPUTED_VALUE"""),"MARKUTIK")</f>
        <v>MARKUTIK</v>
      </c>
      <c r="J91" s="28" t="str">
        <f>IFERROR(__xludf.DUMMYFUNCTION("""COMPUTED_VALUE"""),"SUGIHAN RT 012 RW 002 SOLOKURO LAMONGAN")</f>
        <v>SUGIHAN RT 012 RW 002 SOLOKURO LAMONGAN</v>
      </c>
      <c r="K91" s="28" t="str">
        <f>IFERROR(__xludf.DUMMYFUNCTION("""COMPUTED_VALUE"""),"628563276002")</f>
        <v>628563276002</v>
      </c>
      <c r="L91" s="22">
        <f>IFERROR(__xludf.DUMMYFUNCTION("""COMPUTED_VALUE"""),0.0)</f>
        <v>0</v>
      </c>
      <c r="M91" s="22">
        <f>IFERROR(__xludf.DUMMYFUNCTION("""COMPUTED_VALUE"""),1000000.0)</f>
        <v>1000000</v>
      </c>
      <c r="N91" s="22">
        <f>IFERROR(__xludf.DUMMYFUNCTION("""COMPUTED_VALUE"""),0.0)</f>
        <v>0</v>
      </c>
      <c r="O91" s="22">
        <f>IFERROR(__xludf.DUMMYFUNCTION("""COMPUTED_VALUE"""),1000000.0)</f>
        <v>1000000</v>
      </c>
      <c r="P91" s="28" t="str">
        <f t="shared" si="1"/>
        <v>LUNAS</v>
      </c>
      <c r="Q91" s="28">
        <f t="shared" si="2"/>
        <v>76</v>
      </c>
      <c r="R91" s="28" t="str">
        <f t="shared" si="3"/>
        <v>ADHIAN SAKANI ZADDA</v>
      </c>
    </row>
    <row r="92">
      <c r="A92" s="27">
        <f>IFERROR(__xludf.DUMMYFUNCTION("""COMPUTED_VALUE"""),91.0)</f>
        <v>91</v>
      </c>
      <c r="B92" s="28" t="str">
        <f>IFERROR(__xludf.DUMMYFUNCTION("""COMPUTED_VALUE"""),"AHMAD AUFAR SHOLAHAN HIRZI")</f>
        <v>AHMAD AUFAR SHOLAHAN HIRZI</v>
      </c>
      <c r="C92" s="28">
        <f>IFERROR(__xludf.DUMMYFUNCTION("""COMPUTED_VALUE"""),2.025070632E9)</f>
        <v>2025070632</v>
      </c>
      <c r="D92" s="27" t="str">
        <f>IFERROR(__xludf.DUMMYFUNCTION("""COMPUTED_VALUE"""),"A")</f>
        <v>A</v>
      </c>
      <c r="E92" s="27" t="str">
        <f>IFERROR(__xludf.DUMMYFUNCTION("""COMPUTED_VALUE"""),"A-3")</f>
        <v>A-3</v>
      </c>
      <c r="F92" s="31">
        <f>IFERROR(__xludf.DUMMYFUNCTION("""COMPUTED_VALUE"""),2.0)</f>
        <v>2</v>
      </c>
      <c r="G92" s="27" t="str">
        <f>IFERROR(__xludf.DUMMYFUNCTION("""COMPUTED_VALUE"""),"2 ULA A PUTRA")</f>
        <v>2 ULA A PUTRA</v>
      </c>
      <c r="H92" s="28" t="str">
        <f>IFERROR(__xludf.DUMMYFUNCTION("""COMPUTED_VALUE"""),"MTS-8 C")</f>
        <v>MTS-8 C</v>
      </c>
      <c r="I92" s="28" t="str">
        <f>IFERROR(__xludf.DUMMYFUNCTION("""COMPUTED_VALUE"""),"SHOFIYATUN")</f>
        <v>SHOFIYATUN</v>
      </c>
      <c r="J92" s="28" t="str">
        <f>IFERROR(__xludf.DUMMYFUNCTION("""COMPUTED_VALUE"""),"PUCANGRO RT 004 RW 001 KALITENGAH LAMONGAN")</f>
        <v>PUCANGRO RT 004 RW 001 KALITENGAH LAMONGAN</v>
      </c>
      <c r="K92" s="28" t="str">
        <f>IFERROR(__xludf.DUMMYFUNCTION("""COMPUTED_VALUE"""),"6285707398701")</f>
        <v>6285707398701</v>
      </c>
      <c r="L92" s="22">
        <f>IFERROR(__xludf.DUMMYFUNCTION("""COMPUTED_VALUE"""),0.0)</f>
        <v>0</v>
      </c>
      <c r="M92" s="22">
        <f>IFERROR(__xludf.DUMMYFUNCTION("""COMPUTED_VALUE"""),1000000.0)</f>
        <v>1000000</v>
      </c>
      <c r="N92" s="22">
        <f>IFERROR(__xludf.DUMMYFUNCTION("""COMPUTED_VALUE"""),0.0)</f>
        <v>0</v>
      </c>
      <c r="O92" s="22">
        <f>IFERROR(__xludf.DUMMYFUNCTION("""COMPUTED_VALUE"""),1000000.0)</f>
        <v>1000000</v>
      </c>
      <c r="P92" s="28" t="str">
        <f t="shared" si="1"/>
        <v>LUNAS</v>
      </c>
      <c r="Q92" s="28">
        <f t="shared" si="2"/>
        <v>77</v>
      </c>
      <c r="R92" s="28" t="str">
        <f t="shared" si="3"/>
        <v>AHMAD AUFAR SHOLAHAN HIRZI</v>
      </c>
    </row>
    <row r="93">
      <c r="A93" s="27">
        <f>IFERROR(__xludf.DUMMYFUNCTION("""COMPUTED_VALUE"""),92.0)</f>
        <v>92</v>
      </c>
      <c r="B93" s="28" t="str">
        <f>IFERROR(__xludf.DUMMYFUNCTION("""COMPUTED_VALUE"""),"AHMAD AVICENNA AHZA")</f>
        <v>AHMAD AVICENNA AHZA</v>
      </c>
      <c r="C93" s="28">
        <f>IFERROR(__xludf.DUMMYFUNCTION("""COMPUTED_VALUE"""),2.025070625E9)</f>
        <v>2025070625</v>
      </c>
      <c r="D93" s="27" t="str">
        <f>IFERROR(__xludf.DUMMYFUNCTION("""COMPUTED_VALUE"""),"A")</f>
        <v>A</v>
      </c>
      <c r="E93" s="27" t="str">
        <f>IFERROR(__xludf.DUMMYFUNCTION("""COMPUTED_VALUE"""),"A-3")</f>
        <v>A-3</v>
      </c>
      <c r="F93" s="31">
        <f>IFERROR(__xludf.DUMMYFUNCTION("""COMPUTED_VALUE"""),2.0)</f>
        <v>2</v>
      </c>
      <c r="G93" s="27" t="str">
        <f>IFERROR(__xludf.DUMMYFUNCTION("""COMPUTED_VALUE"""),"2 ULA A PUTRA")</f>
        <v>2 ULA A PUTRA</v>
      </c>
      <c r="H93" s="28" t="str">
        <f>IFERROR(__xludf.DUMMYFUNCTION("""COMPUTED_VALUE"""),"MTS-8 E")</f>
        <v>MTS-8 E</v>
      </c>
      <c r="I93" s="28" t="str">
        <f>IFERROR(__xludf.DUMMYFUNCTION("""COMPUTED_VALUE"""),"ARKANI")</f>
        <v>ARKANI</v>
      </c>
      <c r="J93" s="28" t="str">
        <f>IFERROR(__xludf.DUMMYFUNCTION("""COMPUTED_VALUE"""),"PADENGANPLOSO RT 005 RW 001 PUCUK LAMONGAN")</f>
        <v>PADENGANPLOSO RT 005 RW 001 PUCUK LAMONGAN</v>
      </c>
      <c r="K93" s="28" t="str">
        <f>IFERROR(__xludf.DUMMYFUNCTION("""COMPUTED_VALUE"""),"6285231952815")</f>
        <v>6285231952815</v>
      </c>
      <c r="L93" s="22">
        <f>IFERROR(__xludf.DUMMYFUNCTION("""COMPUTED_VALUE"""),0.0)</f>
        <v>0</v>
      </c>
      <c r="M93" s="22">
        <f>IFERROR(__xludf.DUMMYFUNCTION("""COMPUTED_VALUE"""),1000000.0)</f>
        <v>1000000</v>
      </c>
      <c r="N93" s="22">
        <f>IFERROR(__xludf.DUMMYFUNCTION("""COMPUTED_VALUE"""),0.0)</f>
        <v>0</v>
      </c>
      <c r="O93" s="22">
        <f>IFERROR(__xludf.DUMMYFUNCTION("""COMPUTED_VALUE"""),1000000.0)</f>
        <v>1000000</v>
      </c>
      <c r="P93" s="28" t="str">
        <f t="shared" si="1"/>
        <v>LUNAS</v>
      </c>
      <c r="Q93" s="28">
        <f t="shared" si="2"/>
        <v>78</v>
      </c>
      <c r="R93" s="28" t="str">
        <f t="shared" si="3"/>
        <v>AHMAD AVICENNA AHZA</v>
      </c>
    </row>
    <row r="94">
      <c r="A94" s="27">
        <f>IFERROR(__xludf.DUMMYFUNCTION("""COMPUTED_VALUE"""),93.0)</f>
        <v>93</v>
      </c>
      <c r="B94" s="28" t="str">
        <f>IFERROR(__xludf.DUMMYFUNCTION("""COMPUTED_VALUE"""),"AHMAD HABIBUR RAHMAN")</f>
        <v>AHMAD HABIBUR RAHMAN</v>
      </c>
      <c r="C94" s="28">
        <f>IFERROR(__xludf.DUMMYFUNCTION("""COMPUTED_VALUE"""),2.02507053E9)</f>
        <v>2025070530</v>
      </c>
      <c r="D94" s="27" t="str">
        <f>IFERROR(__xludf.DUMMYFUNCTION("""COMPUTED_VALUE"""),"A")</f>
        <v>A</v>
      </c>
      <c r="E94" s="27" t="str">
        <f>IFERROR(__xludf.DUMMYFUNCTION("""COMPUTED_VALUE"""),"A-3")</f>
        <v>A-3</v>
      </c>
      <c r="F94" s="31">
        <f>IFERROR(__xludf.DUMMYFUNCTION("""COMPUTED_VALUE"""),2.0)</f>
        <v>2</v>
      </c>
      <c r="G94" s="27" t="str">
        <f>IFERROR(__xludf.DUMMYFUNCTION("""COMPUTED_VALUE"""),"2 ULA A PUTRA")</f>
        <v>2 ULA A PUTRA</v>
      </c>
      <c r="H94" s="28" t="str">
        <f>IFERROR(__xludf.DUMMYFUNCTION("""COMPUTED_VALUE"""),"MTS-8 G")</f>
        <v>MTS-8 G</v>
      </c>
      <c r="I94" s="28" t="str">
        <f>IFERROR(__xludf.DUMMYFUNCTION("""COMPUTED_VALUE"""),"JAYANTI")</f>
        <v>JAYANTI</v>
      </c>
      <c r="J94" s="28" t="str">
        <f>IFERROR(__xludf.DUMMYFUNCTION("""COMPUTED_VALUE"""),"BADU BADURAME RT 002 RW 004 TURI LAMONGAN")</f>
        <v>BADU BADURAME RT 002 RW 004 TURI LAMONGAN</v>
      </c>
      <c r="K94" s="28" t="str">
        <f>IFERROR(__xludf.DUMMYFUNCTION("""COMPUTED_VALUE"""),"6281649582028")</f>
        <v>6281649582028</v>
      </c>
      <c r="L94" s="22">
        <f>IFERROR(__xludf.DUMMYFUNCTION("""COMPUTED_VALUE"""),4050000.0)</f>
        <v>4050000</v>
      </c>
      <c r="M94" s="22">
        <f>IFERROR(__xludf.DUMMYFUNCTION("""COMPUTED_VALUE"""),1600000.0)</f>
        <v>1600000</v>
      </c>
      <c r="N94" s="22">
        <f>IFERROR(__xludf.DUMMYFUNCTION("""COMPUTED_VALUE"""),0.0)</f>
        <v>0</v>
      </c>
      <c r="O94" s="22">
        <f>IFERROR(__xludf.DUMMYFUNCTION("""COMPUTED_VALUE"""),5650000.0)</f>
        <v>5650000</v>
      </c>
      <c r="P94" s="28" t="str">
        <f t="shared" si="1"/>
        <v>LUNAS</v>
      </c>
      <c r="Q94" s="28">
        <f t="shared" si="2"/>
        <v>10</v>
      </c>
      <c r="R94" s="28" t="str">
        <f t="shared" si="3"/>
        <v>AHMAD HABIBUR RAHMAN</v>
      </c>
    </row>
    <row r="95">
      <c r="A95" s="27">
        <f>IFERROR(__xludf.DUMMYFUNCTION("""COMPUTED_VALUE"""),94.0)</f>
        <v>94</v>
      </c>
      <c r="B95" s="28" t="str">
        <f>IFERROR(__xludf.DUMMYFUNCTION("""COMPUTED_VALUE"""),"AHMAD SYAUQI AL QORNI")</f>
        <v>AHMAD SYAUQI AL QORNI</v>
      </c>
      <c r="C95" s="28">
        <f>IFERROR(__xludf.DUMMYFUNCTION("""COMPUTED_VALUE"""),2.025070554E9)</f>
        <v>2025070554</v>
      </c>
      <c r="D95" s="27" t="str">
        <f>IFERROR(__xludf.DUMMYFUNCTION("""COMPUTED_VALUE"""),"A")</f>
        <v>A</v>
      </c>
      <c r="E95" s="27" t="str">
        <f>IFERROR(__xludf.DUMMYFUNCTION("""COMPUTED_VALUE"""),"A-3")</f>
        <v>A-3</v>
      </c>
      <c r="F95" s="31">
        <f>IFERROR(__xludf.DUMMYFUNCTION("""COMPUTED_VALUE"""),2.0)</f>
        <v>2</v>
      </c>
      <c r="G95" s="27" t="str">
        <f>IFERROR(__xludf.DUMMYFUNCTION("""COMPUTED_VALUE"""),"2 ULA A PUTRA")</f>
        <v>2 ULA A PUTRA</v>
      </c>
      <c r="H95" s="28" t="str">
        <f>IFERROR(__xludf.DUMMYFUNCTION("""COMPUTED_VALUE"""),"MTS-8 G")</f>
        <v>MTS-8 G</v>
      </c>
      <c r="I95" s="28" t="str">
        <f>IFERROR(__xludf.DUMMYFUNCTION("""COMPUTED_VALUE"""),"TITIN HENY HAYYINAH")</f>
        <v>TITIN HENY HAYYINAH</v>
      </c>
      <c r="J95" s="28" t="str">
        <f>IFERROR(__xludf.DUMMYFUNCTION("""COMPUTED_VALUE"""),"JL. SIDO MAKMUR PETUNG RT 003 RW 001 PANCENG GRESIK")</f>
        <v>JL. SIDO MAKMUR PETUNG RT 003 RW 001 PANCENG GRESIK</v>
      </c>
      <c r="K95" s="28" t="str">
        <f>IFERROR(__xludf.DUMMYFUNCTION("""COMPUTED_VALUE"""),"6285645546566")</f>
        <v>6285645546566</v>
      </c>
      <c r="L95" s="22">
        <f>IFERROR(__xludf.DUMMYFUNCTION("""COMPUTED_VALUE"""),0.0)</f>
        <v>0</v>
      </c>
      <c r="M95" s="22">
        <f>IFERROR(__xludf.DUMMYFUNCTION("""COMPUTED_VALUE"""),1000000.0)</f>
        <v>1000000</v>
      </c>
      <c r="N95" s="22">
        <f>IFERROR(__xludf.DUMMYFUNCTION("""COMPUTED_VALUE"""),0.0)</f>
        <v>0</v>
      </c>
      <c r="O95" s="22">
        <f>IFERROR(__xludf.DUMMYFUNCTION("""COMPUTED_VALUE"""),1000000.0)</f>
        <v>1000000</v>
      </c>
      <c r="P95" s="28" t="str">
        <f t="shared" si="1"/>
        <v>LUNAS</v>
      </c>
      <c r="Q95" s="28">
        <f t="shared" si="2"/>
        <v>79</v>
      </c>
      <c r="R95" s="28" t="str">
        <f t="shared" si="3"/>
        <v>AHMAD SYAUQI AL QORNI</v>
      </c>
    </row>
    <row r="96">
      <c r="A96" s="27">
        <f>IFERROR(__xludf.DUMMYFUNCTION("""COMPUTED_VALUE"""),95.0)</f>
        <v>95</v>
      </c>
      <c r="B96" s="28" t="str">
        <f>IFERROR(__xludf.DUMMYFUNCTION("""COMPUTED_VALUE"""),"ALFIN FAIRUS AGATHA")</f>
        <v>ALFIN FAIRUS AGATHA</v>
      </c>
      <c r="C96" s="28">
        <f>IFERROR(__xludf.DUMMYFUNCTION("""COMPUTED_VALUE"""),2.025070558E9)</f>
        <v>2025070558</v>
      </c>
      <c r="D96" s="27" t="str">
        <f>IFERROR(__xludf.DUMMYFUNCTION("""COMPUTED_VALUE"""),"A")</f>
        <v>A</v>
      </c>
      <c r="E96" s="27" t="str">
        <f>IFERROR(__xludf.DUMMYFUNCTION("""COMPUTED_VALUE"""),"A-3")</f>
        <v>A-3</v>
      </c>
      <c r="F96" s="31">
        <f>IFERROR(__xludf.DUMMYFUNCTION("""COMPUTED_VALUE"""),2.0)</f>
        <v>2</v>
      </c>
      <c r="G96" s="27" t="str">
        <f>IFERROR(__xludf.DUMMYFUNCTION("""COMPUTED_VALUE"""),"2 ULA A PUTRA")</f>
        <v>2 ULA A PUTRA</v>
      </c>
      <c r="H96" s="28" t="str">
        <f>IFERROR(__xludf.DUMMYFUNCTION("""COMPUTED_VALUE"""),"MTS-8 G")</f>
        <v>MTS-8 G</v>
      </c>
      <c r="I96" s="28" t="str">
        <f>IFERROR(__xludf.DUMMYFUNCTION("""COMPUTED_VALUE"""),"SRI ZULIANINGSIH")</f>
        <v>SRI ZULIANINGSIH</v>
      </c>
      <c r="J96" s="28" t="str">
        <f>IFERROR(__xludf.DUMMYFUNCTION("""COMPUTED_VALUE"""),"SUMURAN SEKARBAGUS RT 002 RW 004 SUGIO LAMONGAN")</f>
        <v>SUMURAN SEKARBAGUS RT 002 RW 004 SUGIO LAMONGAN</v>
      </c>
      <c r="K96" s="28" t="str">
        <f>IFERROR(__xludf.DUMMYFUNCTION("""COMPUTED_VALUE"""),"6281615235302")</f>
        <v>6281615235302</v>
      </c>
      <c r="L96" s="22">
        <f>IFERROR(__xludf.DUMMYFUNCTION("""COMPUTED_VALUE"""),0.0)</f>
        <v>0</v>
      </c>
      <c r="M96" s="22">
        <f>IFERROR(__xludf.DUMMYFUNCTION("""COMPUTED_VALUE"""),1000000.0)</f>
        <v>1000000</v>
      </c>
      <c r="N96" s="22">
        <f>IFERROR(__xludf.DUMMYFUNCTION("""COMPUTED_VALUE"""),0.0)</f>
        <v>0</v>
      </c>
      <c r="O96" s="22">
        <f>IFERROR(__xludf.DUMMYFUNCTION("""COMPUTED_VALUE"""),1000000.0)</f>
        <v>1000000</v>
      </c>
      <c r="P96" s="28" t="str">
        <f t="shared" si="1"/>
        <v>LUNAS</v>
      </c>
      <c r="Q96" s="28">
        <f t="shared" si="2"/>
        <v>80</v>
      </c>
      <c r="R96" s="28" t="str">
        <f t="shared" si="3"/>
        <v>ALFIN FAIRUS AGATHA</v>
      </c>
    </row>
    <row r="97">
      <c r="A97" s="27">
        <f>IFERROR(__xludf.DUMMYFUNCTION("""COMPUTED_VALUE"""),96.0)</f>
        <v>96</v>
      </c>
      <c r="B97" s="28" t="str">
        <f>IFERROR(__xludf.DUMMYFUNCTION("""COMPUTED_VALUE"""),"ARJUNA AUFAR FEBRIAN")</f>
        <v>ARJUNA AUFAR FEBRIAN</v>
      </c>
      <c r="C97" s="28">
        <f>IFERROR(__xludf.DUMMYFUNCTION("""COMPUTED_VALUE"""),2.025070474E9)</f>
        <v>2025070474</v>
      </c>
      <c r="D97" s="27" t="str">
        <f>IFERROR(__xludf.DUMMYFUNCTION("""COMPUTED_VALUE"""),"A")</f>
        <v>A</v>
      </c>
      <c r="E97" s="27" t="str">
        <f>IFERROR(__xludf.DUMMYFUNCTION("""COMPUTED_VALUE"""),"A-3")</f>
        <v>A-3</v>
      </c>
      <c r="F97" s="31">
        <f>IFERROR(__xludf.DUMMYFUNCTION("""COMPUTED_VALUE"""),2.0)</f>
        <v>2</v>
      </c>
      <c r="G97" s="27" t="str">
        <f>IFERROR(__xludf.DUMMYFUNCTION("""COMPUTED_VALUE"""),"2 ULA A PUTRA")</f>
        <v>2 ULA A PUTRA</v>
      </c>
      <c r="H97" s="28" t="str">
        <f>IFERROR(__xludf.DUMMYFUNCTION("""COMPUTED_VALUE"""),"SMP-VIII A")</f>
        <v>SMP-VIII A</v>
      </c>
      <c r="I97" s="28" t="str">
        <f>IFERROR(__xludf.DUMMYFUNCTION("""COMPUTED_VALUE"""),"EVI KARTIKA SARI")</f>
        <v>EVI KARTIKA SARI</v>
      </c>
      <c r="J97" s="28" t="str">
        <f>IFERROR(__xludf.DUMMYFUNCTION("""COMPUTED_VALUE"""),"PERUM GRAHA INDAH BLOK M 12 A TAMBAKRIGADUNG RT 001 RW 010 TIKUNG LAMONGAN")</f>
        <v>PERUM GRAHA INDAH BLOK M 12 A TAMBAKRIGADUNG RT 001 RW 010 TIKUNG LAMONGAN</v>
      </c>
      <c r="K97" s="28" t="str">
        <f>IFERROR(__xludf.DUMMYFUNCTION("""COMPUTED_VALUE"""),"6285748239151")</f>
        <v>6285748239151</v>
      </c>
      <c r="L97" s="22">
        <f>IFERROR(__xludf.DUMMYFUNCTION("""COMPUTED_VALUE"""),0.0)</f>
        <v>0</v>
      </c>
      <c r="M97" s="22">
        <f>IFERROR(__xludf.DUMMYFUNCTION("""COMPUTED_VALUE"""),1000000.0)</f>
        <v>1000000</v>
      </c>
      <c r="N97" s="22">
        <f>IFERROR(__xludf.DUMMYFUNCTION("""COMPUTED_VALUE"""),0.0)</f>
        <v>0</v>
      </c>
      <c r="O97" s="22">
        <f>IFERROR(__xludf.DUMMYFUNCTION("""COMPUTED_VALUE"""),1000000.0)</f>
        <v>1000000</v>
      </c>
      <c r="P97" s="28" t="str">
        <f t="shared" si="1"/>
        <v>LUNAS</v>
      </c>
      <c r="Q97" s="28">
        <f t="shared" si="2"/>
        <v>81</v>
      </c>
      <c r="R97" s="28" t="str">
        <f t="shared" si="3"/>
        <v>ARJUNA AUFAR FEBRIAN</v>
      </c>
    </row>
    <row r="98">
      <c r="A98" s="27">
        <f>IFERROR(__xludf.DUMMYFUNCTION("""COMPUTED_VALUE"""),97.0)</f>
        <v>97</v>
      </c>
      <c r="B98" s="28" t="str">
        <f>IFERROR(__xludf.DUMMYFUNCTION("""COMPUTED_VALUE"""),"AZKA ATHFAL AL IMRON")</f>
        <v>AZKA ATHFAL AL IMRON</v>
      </c>
      <c r="C98" s="28">
        <f>IFERROR(__xludf.DUMMYFUNCTION("""COMPUTED_VALUE"""),2.025070619E9)</f>
        <v>2025070619</v>
      </c>
      <c r="D98" s="27" t="str">
        <f>IFERROR(__xludf.DUMMYFUNCTION("""COMPUTED_VALUE"""),"A")</f>
        <v>A</v>
      </c>
      <c r="E98" s="27" t="str">
        <f>IFERROR(__xludf.DUMMYFUNCTION("""COMPUTED_VALUE"""),"A-3")</f>
        <v>A-3</v>
      </c>
      <c r="F98" s="31">
        <f>IFERROR(__xludf.DUMMYFUNCTION("""COMPUTED_VALUE"""),2.0)</f>
        <v>2</v>
      </c>
      <c r="G98" s="27" t="str">
        <f>IFERROR(__xludf.DUMMYFUNCTION("""COMPUTED_VALUE"""),"2 ULA A PUTRA")</f>
        <v>2 ULA A PUTRA</v>
      </c>
      <c r="H98" s="28" t="str">
        <f>IFERROR(__xludf.DUMMYFUNCTION("""COMPUTED_VALUE"""),"MTS-8 B")</f>
        <v>MTS-8 B</v>
      </c>
      <c r="I98" s="28" t="str">
        <f>IFERROR(__xludf.DUMMYFUNCTION("""COMPUTED_VALUE"""),"ANIS SHOLIKHAH")</f>
        <v>ANIS SHOLIKHAH</v>
      </c>
      <c r="J98" s="28" t="str">
        <f>IFERROR(__xludf.DUMMYFUNCTION("""COMPUTED_VALUE"""),"KARANGWUNGU RT 005 RW 001 KARANGGENENG LAMONGAN")</f>
        <v>KARANGWUNGU RT 005 RW 001 KARANGGENENG LAMONGAN</v>
      </c>
      <c r="K98" s="28" t="str">
        <f>IFERROR(__xludf.DUMMYFUNCTION("""COMPUTED_VALUE"""),"6289509221082")</f>
        <v>6289509221082</v>
      </c>
      <c r="L98" s="22">
        <f>IFERROR(__xludf.DUMMYFUNCTION("""COMPUTED_VALUE"""),0.0)</f>
        <v>0</v>
      </c>
      <c r="M98" s="22">
        <f>IFERROR(__xludf.DUMMYFUNCTION("""COMPUTED_VALUE"""),1000000.0)</f>
        <v>1000000</v>
      </c>
      <c r="N98" s="22">
        <f>IFERROR(__xludf.DUMMYFUNCTION("""COMPUTED_VALUE"""),0.0)</f>
        <v>0</v>
      </c>
      <c r="O98" s="22">
        <f>IFERROR(__xludf.DUMMYFUNCTION("""COMPUTED_VALUE"""),1000000.0)</f>
        <v>1000000</v>
      </c>
      <c r="P98" s="28" t="str">
        <f t="shared" si="1"/>
        <v>LUNAS</v>
      </c>
      <c r="Q98" s="28">
        <f t="shared" si="2"/>
        <v>82</v>
      </c>
      <c r="R98" s="28" t="str">
        <f t="shared" si="3"/>
        <v>AZKA ATHFAL AL IMRON</v>
      </c>
    </row>
    <row r="99">
      <c r="A99" s="27">
        <f>IFERROR(__xludf.DUMMYFUNCTION("""COMPUTED_VALUE"""),98.0)</f>
        <v>98</v>
      </c>
      <c r="B99" s="28" t="str">
        <f>IFERROR(__xludf.DUMMYFUNCTION("""COMPUTED_VALUE"""),"BRIAN BILLIY ZADAH")</f>
        <v>BRIAN BILLIY ZADAH</v>
      </c>
      <c r="C99" s="28">
        <f>IFERROR(__xludf.DUMMYFUNCTION("""COMPUTED_VALUE"""),2.025070624E9)</f>
        <v>2025070624</v>
      </c>
      <c r="D99" s="27" t="str">
        <f>IFERROR(__xludf.DUMMYFUNCTION("""COMPUTED_VALUE"""),"A")</f>
        <v>A</v>
      </c>
      <c r="E99" s="27" t="str">
        <f>IFERROR(__xludf.DUMMYFUNCTION("""COMPUTED_VALUE"""),"A-3")</f>
        <v>A-3</v>
      </c>
      <c r="F99" s="31">
        <f>IFERROR(__xludf.DUMMYFUNCTION("""COMPUTED_VALUE"""),2.0)</f>
        <v>2</v>
      </c>
      <c r="G99" s="27" t="str">
        <f>IFERROR(__xludf.DUMMYFUNCTION("""COMPUTED_VALUE"""),"2 ULA A PUTRA")</f>
        <v>2 ULA A PUTRA</v>
      </c>
      <c r="H99" s="28" t="str">
        <f>IFERROR(__xludf.DUMMYFUNCTION("""COMPUTED_VALUE"""),"MTS-8 E")</f>
        <v>MTS-8 E</v>
      </c>
      <c r="I99" s="28" t="str">
        <f>IFERROR(__xludf.DUMMYFUNCTION("""COMPUTED_VALUE"""),"LISMA DWI PRASASTI")</f>
        <v>LISMA DWI PRASASTI</v>
      </c>
      <c r="J99" s="28" t="str">
        <f>IFERROR(__xludf.DUMMYFUNCTION("""COMPUTED_VALUE"""),"PADENGANPLOSO RT 012 RW 001 PUCUK LAMONGAN")</f>
        <v>PADENGANPLOSO RT 012 RW 001 PUCUK LAMONGAN</v>
      </c>
      <c r="K99" s="28" t="str">
        <f>IFERROR(__xludf.DUMMYFUNCTION("""COMPUTED_VALUE"""),"6281333533845")</f>
        <v>6281333533845</v>
      </c>
      <c r="L99" s="22">
        <f>IFERROR(__xludf.DUMMYFUNCTION("""COMPUTED_VALUE"""),0.0)</f>
        <v>0</v>
      </c>
      <c r="M99" s="22">
        <f>IFERROR(__xludf.DUMMYFUNCTION("""COMPUTED_VALUE"""),0.0)</f>
        <v>0</v>
      </c>
      <c r="N99" s="22">
        <f>IFERROR(__xludf.DUMMYFUNCTION("""COMPUTED_VALUE"""),0.0)</f>
        <v>0</v>
      </c>
      <c r="O99" s="22">
        <f>IFERROR(__xludf.DUMMYFUNCTION("""COMPUTED_VALUE"""),0.0)</f>
        <v>0</v>
      </c>
      <c r="P99" s="28" t="str">
        <f t="shared" si="1"/>
        <v>LUNAS</v>
      </c>
      <c r="Q99" s="28">
        <f t="shared" si="2"/>
        <v>181</v>
      </c>
      <c r="R99" s="28" t="str">
        <f t="shared" si="3"/>
        <v>BRIAN BILLIY ZADAH</v>
      </c>
    </row>
    <row r="100">
      <c r="A100" s="27">
        <f>IFERROR(__xludf.DUMMYFUNCTION("""COMPUTED_VALUE"""),99.0)</f>
        <v>99</v>
      </c>
      <c r="B100" s="28" t="str">
        <f>IFERROR(__xludf.DUMMYFUNCTION("""COMPUTED_VALUE"""),"DAVID ELBERTA PRAKASA")</f>
        <v>DAVID ELBERTA PRAKASA</v>
      </c>
      <c r="C100" s="28">
        <f>IFERROR(__xludf.DUMMYFUNCTION("""COMPUTED_VALUE"""),2.025070603E9)</f>
        <v>2025070603</v>
      </c>
      <c r="D100" s="27" t="str">
        <f>IFERROR(__xludf.DUMMYFUNCTION("""COMPUTED_VALUE"""),"A")</f>
        <v>A</v>
      </c>
      <c r="E100" s="27" t="str">
        <f>IFERROR(__xludf.DUMMYFUNCTION("""COMPUTED_VALUE"""),"A-3")</f>
        <v>A-3</v>
      </c>
      <c r="F100" s="31">
        <f>IFERROR(__xludf.DUMMYFUNCTION("""COMPUTED_VALUE"""),2.0)</f>
        <v>2</v>
      </c>
      <c r="G100" s="27" t="str">
        <f>IFERROR(__xludf.DUMMYFUNCTION("""COMPUTED_VALUE"""),"2 ULA A PUTRA")</f>
        <v>2 ULA A PUTRA</v>
      </c>
      <c r="H100" s="28" t="str">
        <f>IFERROR(__xludf.DUMMYFUNCTION("""COMPUTED_VALUE"""),"MTS-8 F")</f>
        <v>MTS-8 F</v>
      </c>
      <c r="I100" s="28" t="str">
        <f>IFERROR(__xludf.DUMMYFUNCTION("""COMPUTED_VALUE"""),"SUMIATI")</f>
        <v>SUMIATI</v>
      </c>
      <c r="J100" s="28" t="str">
        <f>IFERROR(__xludf.DUMMYFUNCTION("""COMPUTED_VALUE"""),"MOROGO PUTATKUMPUL RT 006 RW 005 TURI LAMONGAN")</f>
        <v>MOROGO PUTATKUMPUL RT 006 RW 005 TURI LAMONGAN</v>
      </c>
      <c r="K100" s="28" t="str">
        <f>IFERROR(__xludf.DUMMYFUNCTION("""COMPUTED_VALUE"""),"6285150634655")</f>
        <v>6285150634655</v>
      </c>
      <c r="L100" s="22">
        <f>IFERROR(__xludf.DUMMYFUNCTION("""COMPUTED_VALUE"""),0.0)</f>
        <v>0</v>
      </c>
      <c r="M100" s="22">
        <f>IFERROR(__xludf.DUMMYFUNCTION("""COMPUTED_VALUE"""),1000000.0)</f>
        <v>1000000</v>
      </c>
      <c r="N100" s="22">
        <f>IFERROR(__xludf.DUMMYFUNCTION("""COMPUTED_VALUE"""),0.0)</f>
        <v>0</v>
      </c>
      <c r="O100" s="22">
        <f>IFERROR(__xludf.DUMMYFUNCTION("""COMPUTED_VALUE"""),1000000.0)</f>
        <v>1000000</v>
      </c>
      <c r="P100" s="28" t="str">
        <f t="shared" si="1"/>
        <v>LUNAS</v>
      </c>
      <c r="Q100" s="28">
        <f t="shared" si="2"/>
        <v>83</v>
      </c>
      <c r="R100" s="28" t="str">
        <f t="shared" si="3"/>
        <v>DAVID ELBERTA PRAKASA</v>
      </c>
    </row>
    <row r="101">
      <c r="A101" s="27">
        <f>IFERROR(__xludf.DUMMYFUNCTION("""COMPUTED_VALUE"""),100.0)</f>
        <v>100</v>
      </c>
      <c r="B101" s="28" t="str">
        <f>IFERROR(__xludf.DUMMYFUNCTION("""COMPUTED_VALUE"""),"FAREL YOGI MAHARDIKA")</f>
        <v>FAREL YOGI MAHARDIKA</v>
      </c>
      <c r="C101" s="28">
        <f>IFERROR(__xludf.DUMMYFUNCTION("""COMPUTED_VALUE"""),2.025070499E9)</f>
        <v>2025070499</v>
      </c>
      <c r="D101" s="27" t="str">
        <f>IFERROR(__xludf.DUMMYFUNCTION("""COMPUTED_VALUE"""),"A")</f>
        <v>A</v>
      </c>
      <c r="E101" s="27" t="str">
        <f>IFERROR(__xludf.DUMMYFUNCTION("""COMPUTED_VALUE"""),"A-3")</f>
        <v>A-3</v>
      </c>
      <c r="F101" s="31">
        <f>IFERROR(__xludf.DUMMYFUNCTION("""COMPUTED_VALUE"""),2.0)</f>
        <v>2</v>
      </c>
      <c r="G101" s="27" t="str">
        <f>IFERROR(__xludf.DUMMYFUNCTION("""COMPUTED_VALUE"""),"2 ULA A PUTRA")</f>
        <v>2 ULA A PUTRA</v>
      </c>
      <c r="H101" s="28" t="str">
        <f>IFERROR(__xludf.DUMMYFUNCTION("""COMPUTED_VALUE"""),"MTS-8 B")</f>
        <v>MTS-8 B</v>
      </c>
      <c r="I101" s="28" t="str">
        <f>IFERROR(__xludf.DUMMYFUNCTION("""COMPUTED_VALUE"""),"RINI ASTUTIK")</f>
        <v>RINI ASTUTIK</v>
      </c>
      <c r="J101" s="28" t="str">
        <f>IFERROR(__xludf.DUMMYFUNCTION("""COMPUTED_VALUE"""),"GENTING TAMBAK DALAM NO. 200 RT 004 RW 002 ASEMROWO SURABAYA")</f>
        <v>GENTING TAMBAK DALAM NO. 200 RT 004 RW 002 ASEMROWO SURABAYA</v>
      </c>
      <c r="K101" s="28" t="str">
        <f>IFERROR(__xludf.DUMMYFUNCTION("""COMPUTED_VALUE"""),"6281333110186")</f>
        <v>6281333110186</v>
      </c>
      <c r="L101" s="22">
        <f>IFERROR(__xludf.DUMMYFUNCTION("""COMPUTED_VALUE"""),0.0)</f>
        <v>0</v>
      </c>
      <c r="M101" s="22">
        <f>IFERROR(__xludf.DUMMYFUNCTION("""COMPUTED_VALUE"""),0.0)</f>
        <v>0</v>
      </c>
      <c r="N101" s="22">
        <f>IFERROR(__xludf.DUMMYFUNCTION("""COMPUTED_VALUE"""),0.0)</f>
        <v>0</v>
      </c>
      <c r="O101" s="22">
        <f>IFERROR(__xludf.DUMMYFUNCTION("""COMPUTED_VALUE"""),0.0)</f>
        <v>0</v>
      </c>
      <c r="P101" s="28" t="str">
        <f t="shared" si="1"/>
        <v>LUNAS</v>
      </c>
      <c r="Q101" s="28">
        <f t="shared" si="2"/>
        <v>182</v>
      </c>
      <c r="R101" s="28" t="str">
        <f t="shared" si="3"/>
        <v>FAREL YOGI MAHARDIKA</v>
      </c>
    </row>
    <row r="102">
      <c r="A102" s="27">
        <f>IFERROR(__xludf.DUMMYFUNCTION("""COMPUTED_VALUE"""),101.0)</f>
        <v>101</v>
      </c>
      <c r="B102" s="28" t="str">
        <f>IFERROR(__xludf.DUMMYFUNCTION("""COMPUTED_VALUE"""),"GALVIN UNA ROMAN SANDI")</f>
        <v>GALVIN UNA ROMAN SANDI</v>
      </c>
      <c r="C102" s="28">
        <f>IFERROR(__xludf.DUMMYFUNCTION("""COMPUTED_VALUE"""),2.025070646E9)</f>
        <v>2025070646</v>
      </c>
      <c r="D102" s="27" t="str">
        <f>IFERROR(__xludf.DUMMYFUNCTION("""COMPUTED_VALUE"""),"A")</f>
        <v>A</v>
      </c>
      <c r="E102" s="27" t="str">
        <f>IFERROR(__xludf.DUMMYFUNCTION("""COMPUTED_VALUE"""),"A-3")</f>
        <v>A-3</v>
      </c>
      <c r="F102" s="31">
        <f>IFERROR(__xludf.DUMMYFUNCTION("""COMPUTED_VALUE"""),2.0)</f>
        <v>2</v>
      </c>
      <c r="G102" s="27" t="str">
        <f>IFERROR(__xludf.DUMMYFUNCTION("""COMPUTED_VALUE"""),"2 ULA B PUTRA")</f>
        <v>2 ULA B PUTRA</v>
      </c>
      <c r="H102" s="28" t="str">
        <f>IFERROR(__xludf.DUMMYFUNCTION("""COMPUTED_VALUE"""),"MTS-8 D")</f>
        <v>MTS-8 D</v>
      </c>
      <c r="I102" s="28" t="str">
        <f>IFERROR(__xludf.DUMMYFUNCTION("""COMPUTED_VALUE"""),"SRINI ROKAYAH")</f>
        <v>SRINI ROKAYAH</v>
      </c>
      <c r="J102" s="28" t="str">
        <f>IFERROR(__xludf.DUMMYFUNCTION("""COMPUTED_VALUE"""),"PENGANGSALAN RT 001 RW 002 KALITENGAH LAMONGAN")</f>
        <v>PENGANGSALAN RT 001 RW 002 KALITENGAH LAMONGAN</v>
      </c>
      <c r="K102" s="28" t="str">
        <f>IFERROR(__xludf.DUMMYFUNCTION("""COMPUTED_VALUE"""),"6285648208817")</f>
        <v>6285648208817</v>
      </c>
      <c r="L102" s="22">
        <f>IFERROR(__xludf.DUMMYFUNCTION("""COMPUTED_VALUE"""),900000.0)</f>
        <v>900000</v>
      </c>
      <c r="M102" s="22">
        <f>IFERROR(__xludf.DUMMYFUNCTION("""COMPUTED_VALUE"""),1000000.0)</f>
        <v>1000000</v>
      </c>
      <c r="N102" s="22">
        <f>IFERROR(__xludf.DUMMYFUNCTION("""COMPUTED_VALUE"""),0.0)</f>
        <v>0</v>
      </c>
      <c r="O102" s="22">
        <f>IFERROR(__xludf.DUMMYFUNCTION("""COMPUTED_VALUE"""),1900000.0)</f>
        <v>1900000</v>
      </c>
      <c r="P102" s="28" t="str">
        <f t="shared" si="1"/>
        <v>LUNAS</v>
      </c>
      <c r="Q102" s="28">
        <f t="shared" si="2"/>
        <v>38</v>
      </c>
      <c r="R102" s="28" t="str">
        <f t="shared" si="3"/>
        <v>GALVIN UNA ROMAN SANDI</v>
      </c>
    </row>
    <row r="103">
      <c r="A103" s="27">
        <f>IFERROR(__xludf.DUMMYFUNCTION("""COMPUTED_VALUE"""),102.0)</f>
        <v>102</v>
      </c>
      <c r="B103" s="28" t="str">
        <f>IFERROR(__xludf.DUMMYFUNCTION("""COMPUTED_VALUE"""),"HABIBAULLAH ZADAH VARIAN")</f>
        <v>HABIBAULLAH ZADAH VARIAN</v>
      </c>
      <c r="C103" s="28">
        <f>IFERROR(__xludf.DUMMYFUNCTION("""COMPUTED_VALUE"""),2.025070652E9)</f>
        <v>2025070652</v>
      </c>
      <c r="D103" s="27" t="str">
        <f>IFERROR(__xludf.DUMMYFUNCTION("""COMPUTED_VALUE"""),"A")</f>
        <v>A</v>
      </c>
      <c r="E103" s="27" t="str">
        <f>IFERROR(__xludf.DUMMYFUNCTION("""COMPUTED_VALUE"""),"A-3")</f>
        <v>A-3</v>
      </c>
      <c r="F103" s="31">
        <f>IFERROR(__xludf.DUMMYFUNCTION("""COMPUTED_VALUE"""),2.0)</f>
        <v>2</v>
      </c>
      <c r="G103" s="27" t="str">
        <f>IFERROR(__xludf.DUMMYFUNCTION("""COMPUTED_VALUE"""),"2 ULA B PUTRA")</f>
        <v>2 ULA B PUTRA</v>
      </c>
      <c r="H103" s="28" t="str">
        <f>IFERROR(__xludf.DUMMYFUNCTION("""COMPUTED_VALUE"""),"MTS-8 E")</f>
        <v>MTS-8 E</v>
      </c>
      <c r="I103" s="28" t="str">
        <f>IFERROR(__xludf.DUMMYFUNCTION("""COMPUTED_VALUE"""),"INTAN DWI SATRIYA")</f>
        <v>INTAN DWI SATRIYA</v>
      </c>
      <c r="J103" s="28" t="str">
        <f>IFERROR(__xludf.DUMMYFUNCTION("""COMPUTED_VALUE"""),"PADENGANPLOSO RT 013 RW 002 PUCUK LAMONGAN")</f>
        <v>PADENGANPLOSO RT 013 RW 002 PUCUK LAMONGAN</v>
      </c>
      <c r="K103" s="28" t="str">
        <f>IFERROR(__xludf.DUMMYFUNCTION("""COMPUTED_VALUE"""),"6285645225607")</f>
        <v>6285645225607</v>
      </c>
      <c r="L103" s="22">
        <f>IFERROR(__xludf.DUMMYFUNCTION("""COMPUTED_VALUE"""),0.0)</f>
        <v>0</v>
      </c>
      <c r="M103" s="22">
        <f>IFERROR(__xludf.DUMMYFUNCTION("""COMPUTED_VALUE"""),1000000.0)</f>
        <v>1000000</v>
      </c>
      <c r="N103" s="22">
        <f>IFERROR(__xludf.DUMMYFUNCTION("""COMPUTED_VALUE"""),0.0)</f>
        <v>0</v>
      </c>
      <c r="O103" s="22">
        <f>IFERROR(__xludf.DUMMYFUNCTION("""COMPUTED_VALUE"""),1000000.0)</f>
        <v>1000000</v>
      </c>
      <c r="P103" s="28" t="str">
        <f t="shared" si="1"/>
        <v>LUNAS</v>
      </c>
      <c r="Q103" s="28">
        <f t="shared" si="2"/>
        <v>84</v>
      </c>
      <c r="R103" s="28" t="str">
        <f t="shared" si="3"/>
        <v>HABIBAULLAH ZADAH VARIAN</v>
      </c>
    </row>
    <row r="104">
      <c r="A104" s="27">
        <f>IFERROR(__xludf.DUMMYFUNCTION("""COMPUTED_VALUE"""),103.0)</f>
        <v>103</v>
      </c>
      <c r="B104" s="28" t="str">
        <f>IFERROR(__xludf.DUMMYFUNCTION("""COMPUTED_VALUE"""),"M. FARHAN FRANANDA RADITYA")</f>
        <v>M. FARHAN FRANANDA RADITYA</v>
      </c>
      <c r="C104" s="28">
        <f>IFERROR(__xludf.DUMMYFUNCTION("""COMPUTED_VALUE"""),2.025070541E9)</f>
        <v>2025070541</v>
      </c>
      <c r="D104" s="27" t="str">
        <f>IFERROR(__xludf.DUMMYFUNCTION("""COMPUTED_VALUE"""),"A")</f>
        <v>A</v>
      </c>
      <c r="E104" s="27" t="str">
        <f>IFERROR(__xludf.DUMMYFUNCTION("""COMPUTED_VALUE"""),"A-3")</f>
        <v>A-3</v>
      </c>
      <c r="F104" s="31">
        <f>IFERROR(__xludf.DUMMYFUNCTION("""COMPUTED_VALUE"""),2.0)</f>
        <v>2</v>
      </c>
      <c r="G104" s="27" t="str">
        <f>IFERROR(__xludf.DUMMYFUNCTION("""COMPUTED_VALUE"""),"2 ULA B PUTRA")</f>
        <v>2 ULA B PUTRA</v>
      </c>
      <c r="H104" s="28" t="str">
        <f>IFERROR(__xludf.DUMMYFUNCTION("""COMPUTED_VALUE"""),"MTS-8 G")</f>
        <v>MTS-8 G</v>
      </c>
      <c r="I104" s="28" t="str">
        <f>IFERROR(__xludf.DUMMYFUNCTION("""COMPUTED_VALUE"""),"LULUK MAF`ULLAH")</f>
        <v>LULUK MAF`ULLAH</v>
      </c>
      <c r="J104" s="28" t="str">
        <f>IFERROR(__xludf.DUMMYFUNCTION("""COMPUTED_VALUE"""),"NGUJUNG NGUJUNGREJO RT 002 RW 001 TURI LAMONGAN")</f>
        <v>NGUJUNG NGUJUNGREJO RT 002 RW 001 TURI LAMONGAN</v>
      </c>
      <c r="K104" s="28" t="str">
        <f>IFERROR(__xludf.DUMMYFUNCTION("""COMPUTED_VALUE"""),"6285850274729")</f>
        <v>6285850274729</v>
      </c>
      <c r="L104" s="22">
        <f>IFERROR(__xludf.DUMMYFUNCTION("""COMPUTED_VALUE"""),0.0)</f>
        <v>0</v>
      </c>
      <c r="M104" s="22">
        <f>IFERROR(__xludf.DUMMYFUNCTION("""COMPUTED_VALUE"""),1000000.0)</f>
        <v>1000000</v>
      </c>
      <c r="N104" s="22">
        <f>IFERROR(__xludf.DUMMYFUNCTION("""COMPUTED_VALUE"""),0.0)</f>
        <v>0</v>
      </c>
      <c r="O104" s="22">
        <f>IFERROR(__xludf.DUMMYFUNCTION("""COMPUTED_VALUE"""),1000000.0)</f>
        <v>1000000</v>
      </c>
      <c r="P104" s="28" t="str">
        <f t="shared" si="1"/>
        <v>LUNAS</v>
      </c>
      <c r="Q104" s="28">
        <f t="shared" si="2"/>
        <v>85</v>
      </c>
      <c r="R104" s="28" t="str">
        <f t="shared" si="3"/>
        <v>M. FARHAN FRANANDA RADITYA</v>
      </c>
    </row>
    <row r="105">
      <c r="A105" s="27">
        <f>IFERROR(__xludf.DUMMYFUNCTION("""COMPUTED_VALUE"""),104.0)</f>
        <v>104</v>
      </c>
      <c r="B105" s="28" t="str">
        <f>IFERROR(__xludf.DUMMYFUNCTION("""COMPUTED_VALUE"""),"MUHAMMAD AYUBI TRI NURIL AZZAMY")</f>
        <v>MUHAMMAD AYUBI TRI NURIL AZZAMY</v>
      </c>
      <c r="C105" s="28">
        <f>IFERROR(__xludf.DUMMYFUNCTION("""COMPUTED_VALUE"""),2.025070615E9)</f>
        <v>2025070615</v>
      </c>
      <c r="D105" s="27" t="str">
        <f>IFERROR(__xludf.DUMMYFUNCTION("""COMPUTED_VALUE"""),"A")</f>
        <v>A</v>
      </c>
      <c r="E105" s="27" t="str">
        <f>IFERROR(__xludf.DUMMYFUNCTION("""COMPUTED_VALUE"""),"A-3")</f>
        <v>A-3</v>
      </c>
      <c r="F105" s="31">
        <f>IFERROR(__xludf.DUMMYFUNCTION("""COMPUTED_VALUE"""),2.0)</f>
        <v>2</v>
      </c>
      <c r="G105" s="27" t="str">
        <f>IFERROR(__xludf.DUMMYFUNCTION("""COMPUTED_VALUE"""),"2 ULA B PUTRA")</f>
        <v>2 ULA B PUTRA</v>
      </c>
      <c r="H105" s="28" t="str">
        <f>IFERROR(__xludf.DUMMYFUNCTION("""COMPUTED_VALUE"""),"MTS-8 D")</f>
        <v>MTS-8 D</v>
      </c>
      <c r="I105" s="28" t="str">
        <f>IFERROR(__xludf.DUMMYFUNCTION("""COMPUTED_VALUE"""),"SULASTRI")</f>
        <v>SULASTRI</v>
      </c>
      <c r="J105" s="28" t="str">
        <f>IFERROR(__xludf.DUMMYFUNCTION("""COMPUTED_VALUE"""),"CANDITUNGGAL RT 003 RW 001 KALITENGAH LAMONGAN")</f>
        <v>CANDITUNGGAL RT 003 RW 001 KALITENGAH LAMONGAN</v>
      </c>
      <c r="K105" s="28" t="str">
        <f>IFERROR(__xludf.DUMMYFUNCTION("""COMPUTED_VALUE"""),"6285607247419")</f>
        <v>6285607247419</v>
      </c>
      <c r="L105" s="22">
        <f>IFERROR(__xludf.DUMMYFUNCTION("""COMPUTED_VALUE"""),0.0)</f>
        <v>0</v>
      </c>
      <c r="M105" s="22">
        <f>IFERROR(__xludf.DUMMYFUNCTION("""COMPUTED_VALUE"""),0.0)</f>
        <v>0</v>
      </c>
      <c r="N105" s="22">
        <f>IFERROR(__xludf.DUMMYFUNCTION("""COMPUTED_VALUE"""),0.0)</f>
        <v>0</v>
      </c>
      <c r="O105" s="22">
        <f>IFERROR(__xludf.DUMMYFUNCTION("""COMPUTED_VALUE"""),0.0)</f>
        <v>0</v>
      </c>
      <c r="P105" s="28" t="str">
        <f t="shared" si="1"/>
        <v>LUNAS</v>
      </c>
      <c r="Q105" s="28">
        <f t="shared" si="2"/>
        <v>183</v>
      </c>
      <c r="R105" s="28" t="str">
        <f t="shared" si="3"/>
        <v>MUHAMMAD AYUBI TRI NURIL AZZAMY</v>
      </c>
    </row>
    <row r="106">
      <c r="A106" s="27">
        <f>IFERROR(__xludf.DUMMYFUNCTION("""COMPUTED_VALUE"""),105.0)</f>
        <v>105</v>
      </c>
      <c r="B106" s="28" t="str">
        <f>IFERROR(__xludf.DUMMYFUNCTION("""COMPUTED_VALUE"""),"MUHAMMAD AZZAM AL BARIQ")</f>
        <v>MUHAMMAD AZZAM AL BARIQ</v>
      </c>
      <c r="C106" s="28">
        <f>IFERROR(__xludf.DUMMYFUNCTION("""COMPUTED_VALUE"""),2.025070538E9)</f>
        <v>2025070538</v>
      </c>
      <c r="D106" s="27" t="str">
        <f>IFERROR(__xludf.DUMMYFUNCTION("""COMPUTED_VALUE"""),"A")</f>
        <v>A</v>
      </c>
      <c r="E106" s="27" t="str">
        <f>IFERROR(__xludf.DUMMYFUNCTION("""COMPUTED_VALUE"""),"A-3")</f>
        <v>A-3</v>
      </c>
      <c r="F106" s="31">
        <f>IFERROR(__xludf.DUMMYFUNCTION("""COMPUTED_VALUE"""),2.0)</f>
        <v>2</v>
      </c>
      <c r="G106" s="27" t="str">
        <f>IFERROR(__xludf.DUMMYFUNCTION("""COMPUTED_VALUE"""),"2 ULA B PUTRA")</f>
        <v>2 ULA B PUTRA</v>
      </c>
      <c r="H106" s="28" t="str">
        <f>IFERROR(__xludf.DUMMYFUNCTION("""COMPUTED_VALUE"""),"MTS-8 A")</f>
        <v>MTS-8 A</v>
      </c>
      <c r="I106" s="28" t="str">
        <f>IFERROR(__xludf.DUMMYFUNCTION("""COMPUTED_VALUE"""),"SOIMAH")</f>
        <v>SOIMAH</v>
      </c>
      <c r="J106" s="28" t="str">
        <f>IFERROR(__xludf.DUMMYFUNCTION("""COMPUTED_VALUE"""),"PERUM BHUMMI JATI PERMAI BLOK GG NO. 20 JATIREMBE RT 016 RW 002 BENJENG GRESIK")</f>
        <v>PERUM BHUMMI JATI PERMAI BLOK GG NO. 20 JATIREMBE RT 016 RW 002 BENJENG GRESIK</v>
      </c>
      <c r="K106" s="28" t="str">
        <f>IFERROR(__xludf.DUMMYFUNCTION("""COMPUTED_VALUE"""),"6281334828231")</f>
        <v>6281334828231</v>
      </c>
      <c r="L106" s="22">
        <f>IFERROR(__xludf.DUMMYFUNCTION("""COMPUTED_VALUE"""),0.0)</f>
        <v>0</v>
      </c>
      <c r="M106" s="22">
        <f>IFERROR(__xludf.DUMMYFUNCTION("""COMPUTED_VALUE"""),1000000.0)</f>
        <v>1000000</v>
      </c>
      <c r="N106" s="22">
        <f>IFERROR(__xludf.DUMMYFUNCTION("""COMPUTED_VALUE"""),0.0)</f>
        <v>0</v>
      </c>
      <c r="O106" s="22">
        <f>IFERROR(__xludf.DUMMYFUNCTION("""COMPUTED_VALUE"""),1000000.0)</f>
        <v>1000000</v>
      </c>
      <c r="P106" s="28" t="str">
        <f t="shared" si="1"/>
        <v>LUNAS</v>
      </c>
      <c r="Q106" s="28">
        <f t="shared" si="2"/>
        <v>86</v>
      </c>
      <c r="R106" s="28" t="str">
        <f t="shared" si="3"/>
        <v>MUHAMMAD AZZAM AL BARIQ</v>
      </c>
    </row>
    <row r="107">
      <c r="A107" s="27">
        <f>IFERROR(__xludf.DUMMYFUNCTION("""COMPUTED_VALUE"""),106.0)</f>
        <v>106</v>
      </c>
      <c r="B107" s="28" t="str">
        <f>IFERROR(__xludf.DUMMYFUNCTION("""COMPUTED_VALUE"""),"NAUFAL SEBASTIAN ZUHDI")</f>
        <v>NAUFAL SEBASTIAN ZUHDI</v>
      </c>
      <c r="C107" s="28">
        <f>IFERROR(__xludf.DUMMYFUNCTION("""COMPUTED_VALUE"""),2.025070576E9)</f>
        <v>2025070576</v>
      </c>
      <c r="D107" s="27" t="str">
        <f>IFERROR(__xludf.DUMMYFUNCTION("""COMPUTED_VALUE"""),"A")</f>
        <v>A</v>
      </c>
      <c r="E107" s="27" t="str">
        <f>IFERROR(__xludf.DUMMYFUNCTION("""COMPUTED_VALUE"""),"A-3")</f>
        <v>A-3</v>
      </c>
      <c r="F107" s="31">
        <f>IFERROR(__xludf.DUMMYFUNCTION("""COMPUTED_VALUE"""),2.0)</f>
        <v>2</v>
      </c>
      <c r="G107" s="27" t="str">
        <f>IFERROR(__xludf.DUMMYFUNCTION("""COMPUTED_VALUE"""),"2 ULA B PUTRA")</f>
        <v>2 ULA B PUTRA</v>
      </c>
      <c r="H107" s="28" t="str">
        <f>IFERROR(__xludf.DUMMYFUNCTION("""COMPUTED_VALUE"""),"MTS-8 E")</f>
        <v>MTS-8 E</v>
      </c>
      <c r="I107" s="28" t="str">
        <f>IFERROR(__xludf.DUMMYFUNCTION("""COMPUTED_VALUE"""),"IKE YUSTIN DEVIA")</f>
        <v>IKE YUSTIN DEVIA</v>
      </c>
      <c r="J107" s="28" t="str">
        <f>IFERROR(__xludf.DUMMYFUNCTION("""COMPUTED_VALUE"""),"DADAPAN RT 003 RW 002 SOLOKURO LAMONGAN")</f>
        <v>DADAPAN RT 003 RW 002 SOLOKURO LAMONGAN</v>
      </c>
      <c r="K107" s="28" t="str">
        <f>IFERROR(__xludf.DUMMYFUNCTION("""COMPUTED_VALUE"""),"6285933222243")</f>
        <v>6285933222243</v>
      </c>
      <c r="L107" s="22">
        <f>IFERROR(__xludf.DUMMYFUNCTION("""COMPUTED_VALUE"""),0.0)</f>
        <v>0</v>
      </c>
      <c r="M107" s="22">
        <f>IFERROR(__xludf.DUMMYFUNCTION("""COMPUTED_VALUE"""),1000000.0)</f>
        <v>1000000</v>
      </c>
      <c r="N107" s="22">
        <f>IFERROR(__xludf.DUMMYFUNCTION("""COMPUTED_VALUE"""),0.0)</f>
        <v>0</v>
      </c>
      <c r="O107" s="22">
        <f>IFERROR(__xludf.DUMMYFUNCTION("""COMPUTED_VALUE"""),1000000.0)</f>
        <v>1000000</v>
      </c>
      <c r="P107" s="28" t="str">
        <f t="shared" si="1"/>
        <v>LUNAS</v>
      </c>
      <c r="Q107" s="28">
        <f t="shared" si="2"/>
        <v>87</v>
      </c>
      <c r="R107" s="28" t="str">
        <f t="shared" si="3"/>
        <v>NAUFAL SEBASTIAN ZUHDI</v>
      </c>
    </row>
    <row r="108">
      <c r="A108" s="27">
        <f>IFERROR(__xludf.DUMMYFUNCTION("""COMPUTED_VALUE"""),107.0)</f>
        <v>107</v>
      </c>
      <c r="B108" s="28" t="str">
        <f>IFERROR(__xludf.DUMMYFUNCTION("""COMPUTED_VALUE"""),"RAIHAN AUFAR ALDIVA ARSYIL")</f>
        <v>RAIHAN AUFAR ALDIVA ARSYIL</v>
      </c>
      <c r="C108" s="28">
        <f>IFERROR(__xludf.DUMMYFUNCTION("""COMPUTED_VALUE"""),2.025070537E9)</f>
        <v>2025070537</v>
      </c>
      <c r="D108" s="27" t="str">
        <f>IFERROR(__xludf.DUMMYFUNCTION("""COMPUTED_VALUE"""),"A")</f>
        <v>A</v>
      </c>
      <c r="E108" s="27" t="str">
        <f>IFERROR(__xludf.DUMMYFUNCTION("""COMPUTED_VALUE"""),"A-3")</f>
        <v>A-3</v>
      </c>
      <c r="F108" s="31">
        <f>IFERROR(__xludf.DUMMYFUNCTION("""COMPUTED_VALUE"""),2.0)</f>
        <v>2</v>
      </c>
      <c r="G108" s="27" t="str">
        <f>IFERROR(__xludf.DUMMYFUNCTION("""COMPUTED_VALUE"""),"2 ULA B PUTRA")</f>
        <v>2 ULA B PUTRA</v>
      </c>
      <c r="H108" s="28" t="str">
        <f>IFERROR(__xludf.DUMMYFUNCTION("""COMPUTED_VALUE"""),"MTS-8 G")</f>
        <v>MTS-8 G</v>
      </c>
      <c r="I108" s="28" t="str">
        <f>IFERROR(__xludf.DUMMYFUNCTION("""COMPUTED_VALUE"""),"NANIK ERMAWATI")</f>
        <v>NANIK ERMAWATI</v>
      </c>
      <c r="J108" s="28" t="str">
        <f>IFERROR(__xludf.DUMMYFUNCTION("""COMPUTED_VALUE"""),"NGUJUNG NGUJUNGREJO RT 001 RW 001 TURI LAMONGAN")</f>
        <v>NGUJUNG NGUJUNGREJO RT 001 RW 001 TURI LAMONGAN</v>
      </c>
      <c r="K108" s="28" t="str">
        <f>IFERROR(__xludf.DUMMYFUNCTION("""COMPUTED_VALUE"""),"6285708809822")</f>
        <v>6285708809822</v>
      </c>
      <c r="L108" s="22">
        <f>IFERROR(__xludf.DUMMYFUNCTION("""COMPUTED_VALUE"""),0.0)</f>
        <v>0</v>
      </c>
      <c r="M108" s="22">
        <f>IFERROR(__xludf.DUMMYFUNCTION("""COMPUTED_VALUE"""),1000000.0)</f>
        <v>1000000</v>
      </c>
      <c r="N108" s="22">
        <f>IFERROR(__xludf.DUMMYFUNCTION("""COMPUTED_VALUE"""),0.0)</f>
        <v>0</v>
      </c>
      <c r="O108" s="22">
        <f>IFERROR(__xludf.DUMMYFUNCTION("""COMPUTED_VALUE"""),1000000.0)</f>
        <v>1000000</v>
      </c>
      <c r="P108" s="28" t="str">
        <f t="shared" si="1"/>
        <v>LUNAS</v>
      </c>
      <c r="Q108" s="28">
        <f t="shared" si="2"/>
        <v>88</v>
      </c>
      <c r="R108" s="28" t="str">
        <f t="shared" si="3"/>
        <v>RAIHAN AUFAR ALDIVA ARSYIL</v>
      </c>
    </row>
    <row r="109">
      <c r="A109" s="27">
        <f>IFERROR(__xludf.DUMMYFUNCTION("""COMPUTED_VALUE"""),108.0)</f>
        <v>108</v>
      </c>
      <c r="B109" s="28" t="str">
        <f>IFERROR(__xludf.DUMMYFUNCTION("""COMPUTED_VALUE"""),"ABD. RO`UF WISNU WARDANA")</f>
        <v>ABD. RO`UF WISNU WARDANA</v>
      </c>
      <c r="C109" s="28">
        <f>IFERROR(__xludf.DUMMYFUNCTION("""COMPUTED_VALUE"""),2.025070115E9)</f>
        <v>2025070115</v>
      </c>
      <c r="D109" s="27" t="str">
        <f>IFERROR(__xludf.DUMMYFUNCTION("""COMPUTED_VALUE"""),"A")</f>
        <v>A</v>
      </c>
      <c r="E109" s="27" t="str">
        <f>IFERROR(__xludf.DUMMYFUNCTION("""COMPUTED_VALUE"""),"A-4")</f>
        <v>A-4</v>
      </c>
      <c r="F109" s="31">
        <f>IFERROR(__xludf.DUMMYFUNCTION("""COMPUTED_VALUE"""),2.0)</f>
        <v>2</v>
      </c>
      <c r="G109" s="27" t="str">
        <f>IFERROR(__xludf.DUMMYFUNCTION("""COMPUTED_VALUE"""),"2 MAK PUTRA")</f>
        <v>2 MAK PUTRA</v>
      </c>
      <c r="H109" s="28" t="str">
        <f>IFERROR(__xludf.DUMMYFUNCTION("""COMPUTED_VALUE"""),"MA-XI.13")</f>
        <v>MA-XI.13</v>
      </c>
      <c r="I109" s="28" t="str">
        <f>IFERROR(__xludf.DUMMYFUNCTION("""COMPUTED_VALUE"""),"NUR LAYLI ROHMAWATI")</f>
        <v>NUR LAYLI ROHMAWATI</v>
      </c>
      <c r="J109" s="28" t="str">
        <f>IFERROR(__xludf.DUMMYFUNCTION("""COMPUTED_VALUE"""),"KLATING TAKERANKLATING RT 005 RW 001 TIKUNG LAMONGAN")</f>
        <v>KLATING TAKERANKLATING RT 005 RW 001 TIKUNG LAMONGAN</v>
      </c>
      <c r="K109" s="28" t="str">
        <f>IFERROR(__xludf.DUMMYFUNCTION("""COMPUTED_VALUE"""),"6285707284833")</f>
        <v>6285707284833</v>
      </c>
      <c r="L109" s="22">
        <f>IFERROR(__xludf.DUMMYFUNCTION("""COMPUTED_VALUE"""),0.0)</f>
        <v>0</v>
      </c>
      <c r="M109" s="22">
        <f>IFERROR(__xludf.DUMMYFUNCTION("""COMPUTED_VALUE"""),1000000.0)</f>
        <v>1000000</v>
      </c>
      <c r="N109" s="22">
        <f>IFERROR(__xludf.DUMMYFUNCTION("""COMPUTED_VALUE"""),0.0)</f>
        <v>0</v>
      </c>
      <c r="O109" s="22">
        <f>IFERROR(__xludf.DUMMYFUNCTION("""COMPUTED_VALUE"""),1000000.0)</f>
        <v>1000000</v>
      </c>
      <c r="P109" s="28" t="str">
        <f t="shared" si="1"/>
        <v>LUNAS</v>
      </c>
      <c r="Q109" s="28">
        <f t="shared" si="2"/>
        <v>89</v>
      </c>
      <c r="R109" s="28" t="str">
        <f t="shared" si="3"/>
        <v>ABD. RO`UF WISNU WARDANA</v>
      </c>
    </row>
    <row r="110">
      <c r="A110" s="27">
        <f>IFERROR(__xludf.DUMMYFUNCTION("""COMPUTED_VALUE"""),109.0)</f>
        <v>109</v>
      </c>
      <c r="B110" s="28" t="str">
        <f>IFERROR(__xludf.DUMMYFUNCTION("""COMPUTED_VALUE"""),"ABDUL MUIZ SALAM")</f>
        <v>ABDUL MUIZ SALAM</v>
      </c>
      <c r="C110" s="28">
        <f>IFERROR(__xludf.DUMMYFUNCTION("""COMPUTED_VALUE"""),2.025070224E9)</f>
        <v>2025070224</v>
      </c>
      <c r="D110" s="27" t="str">
        <f>IFERROR(__xludf.DUMMYFUNCTION("""COMPUTED_VALUE"""),"A")</f>
        <v>A</v>
      </c>
      <c r="E110" s="27" t="str">
        <f>IFERROR(__xludf.DUMMYFUNCTION("""COMPUTED_VALUE"""),"A-4")</f>
        <v>A-4</v>
      </c>
      <c r="F110" s="31">
        <f>IFERROR(__xludf.DUMMYFUNCTION("""COMPUTED_VALUE"""),2.0)</f>
        <v>2</v>
      </c>
      <c r="G110" s="27" t="str">
        <f>IFERROR(__xludf.DUMMYFUNCTION("""COMPUTED_VALUE"""),"2 MAK PUTRA")</f>
        <v>2 MAK PUTRA</v>
      </c>
      <c r="H110" s="28" t="str">
        <f>IFERROR(__xludf.DUMMYFUNCTION("""COMPUTED_VALUE"""),"MA-XI.13")</f>
        <v>MA-XI.13</v>
      </c>
      <c r="I110" s="28" t="str">
        <f>IFERROR(__xludf.DUMMYFUNCTION("""COMPUTED_VALUE"""),"KASMUNTIK")</f>
        <v>KASMUNTIK</v>
      </c>
      <c r="J110" s="28" t="str">
        <f>IFERROR(__xludf.DUMMYFUNCTION("""COMPUTED_VALUE"""),"KEPATIHAN SUKOREJO RT 007 RW 002 TURI LAMONGAN")</f>
        <v>KEPATIHAN SUKOREJO RT 007 RW 002 TURI LAMONGAN</v>
      </c>
      <c r="K110" s="28" t="str">
        <f>IFERROR(__xludf.DUMMYFUNCTION("""COMPUTED_VALUE"""),"6285731779996")</f>
        <v>6285731779996</v>
      </c>
      <c r="L110" s="22">
        <f>IFERROR(__xludf.DUMMYFUNCTION("""COMPUTED_VALUE"""),0.0)</f>
        <v>0</v>
      </c>
      <c r="M110" s="22">
        <f>IFERROR(__xludf.DUMMYFUNCTION("""COMPUTED_VALUE"""),1000000.0)</f>
        <v>1000000</v>
      </c>
      <c r="N110" s="22">
        <f>IFERROR(__xludf.DUMMYFUNCTION("""COMPUTED_VALUE"""),0.0)</f>
        <v>0</v>
      </c>
      <c r="O110" s="22">
        <f>IFERROR(__xludf.DUMMYFUNCTION("""COMPUTED_VALUE"""),1000000.0)</f>
        <v>1000000</v>
      </c>
      <c r="P110" s="28" t="str">
        <f t="shared" si="1"/>
        <v>LUNAS</v>
      </c>
      <c r="Q110" s="28">
        <f t="shared" si="2"/>
        <v>90</v>
      </c>
      <c r="R110" s="28" t="str">
        <f t="shared" si="3"/>
        <v>ABDUL MUIZ SALAM</v>
      </c>
    </row>
    <row r="111">
      <c r="A111" s="27">
        <f>IFERROR(__xludf.DUMMYFUNCTION("""COMPUTED_VALUE"""),110.0)</f>
        <v>110</v>
      </c>
      <c r="B111" s="28" t="str">
        <f>IFERROR(__xludf.DUMMYFUNCTION("""COMPUTED_VALUE"""),"ACHMAD SIDDIQ")</f>
        <v>ACHMAD SIDDIQ</v>
      </c>
      <c r="C111" s="28">
        <f>IFERROR(__xludf.DUMMYFUNCTION("""COMPUTED_VALUE"""),2.025070306E9)</f>
        <v>2025070306</v>
      </c>
      <c r="D111" s="27" t="str">
        <f>IFERROR(__xludf.DUMMYFUNCTION("""COMPUTED_VALUE"""),"A")</f>
        <v>A</v>
      </c>
      <c r="E111" s="27" t="str">
        <f>IFERROR(__xludf.DUMMYFUNCTION("""COMPUTED_VALUE"""),"A-4")</f>
        <v>A-4</v>
      </c>
      <c r="F111" s="31">
        <f>IFERROR(__xludf.DUMMYFUNCTION("""COMPUTED_VALUE"""),2.0)</f>
        <v>2</v>
      </c>
      <c r="G111" s="27" t="str">
        <f>IFERROR(__xludf.DUMMYFUNCTION("""COMPUTED_VALUE"""),"2 MAK PUTRA")</f>
        <v>2 MAK PUTRA</v>
      </c>
      <c r="H111" s="28" t="str">
        <f>IFERROR(__xludf.DUMMYFUNCTION("""COMPUTED_VALUE"""),"MA-XI.13")</f>
        <v>MA-XI.13</v>
      </c>
      <c r="I111" s="28" t="str">
        <f>IFERROR(__xludf.DUMMYFUNCTION("""COMPUTED_VALUE"""),"KUSENAH")</f>
        <v>KUSENAH</v>
      </c>
      <c r="J111" s="28" t="str">
        <f>IFERROR(__xludf.DUMMYFUNCTION("""COMPUTED_VALUE"""),"BANYUBANG RT 011 RW 003 SOLOKURO LAMONGAN")</f>
        <v>BANYUBANG RT 011 RW 003 SOLOKURO LAMONGAN</v>
      </c>
      <c r="K111" s="28" t="str">
        <f>IFERROR(__xludf.DUMMYFUNCTION("""COMPUTED_VALUE"""),"6282214993212")</f>
        <v>6282214993212</v>
      </c>
      <c r="L111" s="22">
        <f>IFERROR(__xludf.DUMMYFUNCTION("""COMPUTED_VALUE"""),0.0)</f>
        <v>0</v>
      </c>
      <c r="M111" s="22">
        <f>IFERROR(__xludf.DUMMYFUNCTION("""COMPUTED_VALUE"""),1000000.0)</f>
        <v>1000000</v>
      </c>
      <c r="N111" s="22">
        <f>IFERROR(__xludf.DUMMYFUNCTION("""COMPUTED_VALUE"""),0.0)</f>
        <v>0</v>
      </c>
      <c r="O111" s="22">
        <f>IFERROR(__xludf.DUMMYFUNCTION("""COMPUTED_VALUE"""),1000000.0)</f>
        <v>1000000</v>
      </c>
      <c r="P111" s="28" t="str">
        <f t="shared" si="1"/>
        <v>LUNAS</v>
      </c>
      <c r="Q111" s="28">
        <f t="shared" si="2"/>
        <v>91</v>
      </c>
      <c r="R111" s="28" t="str">
        <f t="shared" si="3"/>
        <v>ACHMAD SIDDIQ</v>
      </c>
    </row>
    <row r="112">
      <c r="A112" s="27">
        <f>IFERROR(__xludf.DUMMYFUNCTION("""COMPUTED_VALUE"""),111.0)</f>
        <v>111</v>
      </c>
      <c r="B112" s="28" t="str">
        <f>IFERROR(__xludf.DUMMYFUNCTION("""COMPUTED_VALUE"""),"ADITYA FERYANSYAH")</f>
        <v>ADITYA FERYANSYAH</v>
      </c>
      <c r="C112" s="28">
        <f>IFERROR(__xludf.DUMMYFUNCTION("""COMPUTED_VALUE"""),2.02507046E9)</f>
        <v>2025070460</v>
      </c>
      <c r="D112" s="27" t="str">
        <f>IFERROR(__xludf.DUMMYFUNCTION("""COMPUTED_VALUE"""),"A")</f>
        <v>A</v>
      </c>
      <c r="E112" s="27" t="str">
        <f>IFERROR(__xludf.DUMMYFUNCTION("""COMPUTED_VALUE"""),"A-4")</f>
        <v>A-4</v>
      </c>
      <c r="F112" s="31">
        <f>IFERROR(__xludf.DUMMYFUNCTION("""COMPUTED_VALUE"""),2.0)</f>
        <v>2</v>
      </c>
      <c r="G112" s="27" t="str">
        <f>IFERROR(__xludf.DUMMYFUNCTION("""COMPUTED_VALUE"""),"2 WUSTHO A PUTRA")</f>
        <v>2 WUSTHO A PUTRA</v>
      </c>
      <c r="H112" s="28" t="str">
        <f>IFERROR(__xludf.DUMMYFUNCTION("""COMPUTED_VALUE"""),"SMK-XI TSM")</f>
        <v>SMK-XI TSM</v>
      </c>
      <c r="I112" s="28" t="str">
        <f>IFERROR(__xludf.DUMMYFUNCTION("""COMPUTED_VALUE"""),"ASLAMIYAH")</f>
        <v>ASLAMIYAH</v>
      </c>
      <c r="J112" s="28" t="str">
        <f>IFERROR(__xludf.DUMMYFUNCTION("""COMPUTED_VALUE"""),"JL. DEMAK JAYA GG 8 NO 9 TEMBOK DUKUH  RT 012 RW 010 BUBUTAN SURABAYA")</f>
        <v>JL. DEMAK JAYA GG 8 NO 9 TEMBOK DUKUH  RT 012 RW 010 BUBUTAN SURABAYA</v>
      </c>
      <c r="K112" s="28" t="str">
        <f>IFERROR(__xludf.DUMMYFUNCTION("""COMPUTED_VALUE"""),"6283857988668")</f>
        <v>6283857988668</v>
      </c>
      <c r="L112" s="22">
        <f>IFERROR(__xludf.DUMMYFUNCTION("""COMPUTED_VALUE"""),0.0)</f>
        <v>0</v>
      </c>
      <c r="M112" s="22">
        <f>IFERROR(__xludf.DUMMYFUNCTION("""COMPUTED_VALUE"""),1000000.0)</f>
        <v>1000000</v>
      </c>
      <c r="N112" s="22">
        <f>IFERROR(__xludf.DUMMYFUNCTION("""COMPUTED_VALUE"""),0.0)</f>
        <v>0</v>
      </c>
      <c r="O112" s="22">
        <f>IFERROR(__xludf.DUMMYFUNCTION("""COMPUTED_VALUE"""),1000000.0)</f>
        <v>1000000</v>
      </c>
      <c r="P112" s="28" t="str">
        <f t="shared" si="1"/>
        <v>LUNAS</v>
      </c>
      <c r="Q112" s="28">
        <f t="shared" si="2"/>
        <v>92</v>
      </c>
      <c r="R112" s="28" t="str">
        <f t="shared" si="3"/>
        <v>ADITYA FERYANSYAH</v>
      </c>
    </row>
    <row r="113">
      <c r="A113" s="27">
        <f>IFERROR(__xludf.DUMMYFUNCTION("""COMPUTED_VALUE"""),112.0)</f>
        <v>112</v>
      </c>
      <c r="B113" s="28" t="str">
        <f>IFERROR(__xludf.DUMMYFUNCTION("""COMPUTED_VALUE"""),"AHMAD AZMUL ARIF")</f>
        <v>AHMAD AZMUL ARIF</v>
      </c>
      <c r="C113" s="28">
        <f>IFERROR(__xludf.DUMMYFUNCTION("""COMPUTED_VALUE"""),2.025070136E9)</f>
        <v>2025070136</v>
      </c>
      <c r="D113" s="27" t="str">
        <f>IFERROR(__xludf.DUMMYFUNCTION("""COMPUTED_VALUE"""),"A")</f>
        <v>A</v>
      </c>
      <c r="E113" s="27" t="str">
        <f>IFERROR(__xludf.DUMMYFUNCTION("""COMPUTED_VALUE"""),"A-4")</f>
        <v>A-4</v>
      </c>
      <c r="F113" s="31">
        <f>IFERROR(__xludf.DUMMYFUNCTION("""COMPUTED_VALUE"""),2.0)</f>
        <v>2</v>
      </c>
      <c r="G113" s="27" t="str">
        <f>IFERROR(__xludf.DUMMYFUNCTION("""COMPUTED_VALUE"""),"2 WUSTHO A PUTRA")</f>
        <v>2 WUSTHO A PUTRA</v>
      </c>
      <c r="H113" s="28" t="str">
        <f>IFERROR(__xludf.DUMMYFUNCTION("""COMPUTED_VALUE"""),"MA-XI.13")</f>
        <v>MA-XI.13</v>
      </c>
      <c r="I113" s="28" t="str">
        <f>IFERROR(__xludf.DUMMYFUNCTION("""COMPUTED_VALUE"""),"KHOLIDATUL MA`RIFAH")</f>
        <v>KHOLIDATUL MA`RIFAH</v>
      </c>
      <c r="J113" s="28" t="str">
        <f>IFERROR(__xludf.DUMMYFUNCTION("""COMPUTED_VALUE"""),"BANGERAN GENENG BANGERAN RT 005 RW 003 DUKUN GRESIK")</f>
        <v>BANGERAN GENENG BANGERAN RT 005 RW 003 DUKUN GRESIK</v>
      </c>
      <c r="K113" s="28" t="str">
        <f>IFERROR(__xludf.DUMMYFUNCTION("""COMPUTED_VALUE"""),"6287862214524")</f>
        <v>6287862214524</v>
      </c>
      <c r="L113" s="22">
        <f>IFERROR(__xludf.DUMMYFUNCTION("""COMPUTED_VALUE"""),0.0)</f>
        <v>0</v>
      </c>
      <c r="M113" s="22">
        <f>IFERROR(__xludf.DUMMYFUNCTION("""COMPUTED_VALUE"""),1000000.0)</f>
        <v>1000000</v>
      </c>
      <c r="N113" s="22">
        <f>IFERROR(__xludf.DUMMYFUNCTION("""COMPUTED_VALUE"""),0.0)</f>
        <v>0</v>
      </c>
      <c r="O113" s="22">
        <f>IFERROR(__xludf.DUMMYFUNCTION("""COMPUTED_VALUE"""),1000000.0)</f>
        <v>1000000</v>
      </c>
      <c r="P113" s="28" t="str">
        <f t="shared" si="1"/>
        <v>LUNAS</v>
      </c>
      <c r="Q113" s="28">
        <f t="shared" si="2"/>
        <v>93</v>
      </c>
      <c r="R113" s="28" t="str">
        <f t="shared" si="3"/>
        <v>AHMAD AZMUL ARIF</v>
      </c>
    </row>
    <row r="114">
      <c r="A114" s="27">
        <f>IFERROR(__xludf.DUMMYFUNCTION("""COMPUTED_VALUE"""),113.0)</f>
        <v>113</v>
      </c>
      <c r="B114" s="28" t="str">
        <f>IFERROR(__xludf.DUMMYFUNCTION("""COMPUTED_VALUE"""),"AHMAD FAKHRI AFIF")</f>
        <v>AHMAD FAKHRI AFIF</v>
      </c>
      <c r="C114" s="28">
        <f>IFERROR(__xludf.DUMMYFUNCTION("""COMPUTED_VALUE"""),2.025070393E9)</f>
        <v>2025070393</v>
      </c>
      <c r="D114" s="27" t="str">
        <f>IFERROR(__xludf.DUMMYFUNCTION("""COMPUTED_VALUE"""),"A")</f>
        <v>A</v>
      </c>
      <c r="E114" s="27" t="str">
        <f>IFERROR(__xludf.DUMMYFUNCTION("""COMPUTED_VALUE"""),"A-4")</f>
        <v>A-4</v>
      </c>
      <c r="F114" s="31">
        <f>IFERROR(__xludf.DUMMYFUNCTION("""COMPUTED_VALUE"""),2.0)</f>
        <v>2</v>
      </c>
      <c r="G114" s="27" t="str">
        <f>IFERROR(__xludf.DUMMYFUNCTION("""COMPUTED_VALUE"""),"2 WUSTHO A PUTRA")</f>
        <v>2 WUSTHO A PUTRA</v>
      </c>
      <c r="H114" s="28" t="str">
        <f>IFERROR(__xludf.DUMMYFUNCTION("""COMPUTED_VALUE"""),"MA-XI.10")</f>
        <v>MA-XI.10</v>
      </c>
      <c r="I114" s="28" t="str">
        <f>IFERROR(__xludf.DUMMYFUNCTION("""COMPUTED_VALUE"""),"DWI ALFIAH LUTFIANINGSIH")</f>
        <v>DWI ALFIAH LUTFIANINGSIH</v>
      </c>
      <c r="J114" s="28" t="str">
        <f>IFERROR(__xludf.DUMMYFUNCTION("""COMPUTED_VALUE"""),"BLOK C SUKA DAMAI RT 006 RW 002 MADANG SUKU III OKU TIMUR")</f>
        <v>BLOK C SUKA DAMAI RT 006 RW 002 MADANG SUKU III OKU TIMUR</v>
      </c>
      <c r="K114" s="28" t="str">
        <f>IFERROR(__xludf.DUMMYFUNCTION("""COMPUTED_VALUE"""),"6285664844095")</f>
        <v>6285664844095</v>
      </c>
      <c r="L114" s="22">
        <f>IFERROR(__xludf.DUMMYFUNCTION("""COMPUTED_VALUE"""),3150000.0)</f>
        <v>3150000</v>
      </c>
      <c r="M114" s="22">
        <f>IFERROR(__xludf.DUMMYFUNCTION("""COMPUTED_VALUE"""),1000000.0)</f>
        <v>1000000</v>
      </c>
      <c r="N114" s="22">
        <f>IFERROR(__xludf.DUMMYFUNCTION("""COMPUTED_VALUE"""),0.0)</f>
        <v>0</v>
      </c>
      <c r="O114" s="22">
        <f>IFERROR(__xludf.DUMMYFUNCTION("""COMPUTED_VALUE"""),4150000.0)</f>
        <v>4150000</v>
      </c>
      <c r="P114" s="28" t="str">
        <f t="shared" si="1"/>
        <v>LUNAS</v>
      </c>
      <c r="Q114" s="28">
        <f t="shared" si="2"/>
        <v>19</v>
      </c>
      <c r="R114" s="28" t="str">
        <f t="shared" si="3"/>
        <v>AHMAD FAKHRI AFIF</v>
      </c>
    </row>
    <row r="115">
      <c r="A115" s="27">
        <f>IFERROR(__xludf.DUMMYFUNCTION("""COMPUTED_VALUE"""),114.0)</f>
        <v>114</v>
      </c>
      <c r="B115" s="28" t="str">
        <f>IFERROR(__xludf.DUMMYFUNCTION("""COMPUTED_VALUE"""),"AHMAD FATIH HASAN AL-FARROS")</f>
        <v>AHMAD FATIH HASAN AL-FARROS</v>
      </c>
      <c r="C115" s="28">
        <f>IFERROR(__xludf.DUMMYFUNCTION("""COMPUTED_VALUE"""),2.025070375E9)</f>
        <v>2025070375</v>
      </c>
      <c r="D115" s="27" t="str">
        <f>IFERROR(__xludf.DUMMYFUNCTION("""COMPUTED_VALUE"""),"A")</f>
        <v>A</v>
      </c>
      <c r="E115" s="27" t="str">
        <f>IFERROR(__xludf.DUMMYFUNCTION("""COMPUTED_VALUE"""),"A-4")</f>
        <v>A-4</v>
      </c>
      <c r="F115" s="31">
        <f>IFERROR(__xludf.DUMMYFUNCTION("""COMPUTED_VALUE"""),2.0)</f>
        <v>2</v>
      </c>
      <c r="G115" s="27" t="str">
        <f>IFERROR(__xludf.DUMMYFUNCTION("""COMPUTED_VALUE"""),"2 WUSTHO A PUTRA")</f>
        <v>2 WUSTHO A PUTRA</v>
      </c>
      <c r="H115" s="28" t="str">
        <f>IFERROR(__xludf.DUMMYFUNCTION("""COMPUTED_VALUE"""),"MA-XI.10")</f>
        <v>MA-XI.10</v>
      </c>
      <c r="I115" s="28" t="str">
        <f>IFERROR(__xludf.DUMMYFUNCTION("""COMPUTED_VALUE"""),"SYARIFATUL FARIDAH")</f>
        <v>SYARIFATUL FARIDAH</v>
      </c>
      <c r="J115" s="28" t="str">
        <f>IFERROR(__xludf.DUMMYFUNCTION("""COMPUTED_VALUE"""),"BLAWI RT 002 RW 004 KARANGBINANGUN LAMONGAN")</f>
        <v>BLAWI RT 002 RW 004 KARANGBINANGUN LAMONGAN</v>
      </c>
      <c r="K115" s="28" t="str">
        <f>IFERROR(__xludf.DUMMYFUNCTION("""COMPUTED_VALUE"""),"6281234406503")</f>
        <v>6281234406503</v>
      </c>
      <c r="L115" s="22">
        <f>IFERROR(__xludf.DUMMYFUNCTION("""COMPUTED_VALUE"""),0.0)</f>
        <v>0</v>
      </c>
      <c r="M115" s="22">
        <f>IFERROR(__xludf.DUMMYFUNCTION("""COMPUTED_VALUE"""),0.0)</f>
        <v>0</v>
      </c>
      <c r="N115" s="22">
        <f>IFERROR(__xludf.DUMMYFUNCTION("""COMPUTED_VALUE"""),0.0)</f>
        <v>0</v>
      </c>
      <c r="O115" s="22">
        <f>IFERROR(__xludf.DUMMYFUNCTION("""COMPUTED_VALUE"""),0.0)</f>
        <v>0</v>
      </c>
      <c r="P115" s="28" t="str">
        <f t="shared" si="1"/>
        <v>LUNAS</v>
      </c>
      <c r="Q115" s="28">
        <f t="shared" si="2"/>
        <v>184</v>
      </c>
      <c r="R115" s="28" t="str">
        <f t="shared" si="3"/>
        <v>AHMAD FATIH HASAN AL-FARROS</v>
      </c>
    </row>
    <row r="116">
      <c r="A116" s="27">
        <f>IFERROR(__xludf.DUMMYFUNCTION("""COMPUTED_VALUE"""),115.0)</f>
        <v>115</v>
      </c>
      <c r="B116" s="28" t="str">
        <f>IFERROR(__xludf.DUMMYFUNCTION("""COMPUTED_VALUE"""),"AHMAD FIRDAUS")</f>
        <v>AHMAD FIRDAUS</v>
      </c>
      <c r="C116" s="28">
        <f>IFERROR(__xludf.DUMMYFUNCTION("""COMPUTED_VALUE"""),2.025070151E9)</f>
        <v>2025070151</v>
      </c>
      <c r="D116" s="27" t="str">
        <f>IFERROR(__xludf.DUMMYFUNCTION("""COMPUTED_VALUE"""),"A")</f>
        <v>A</v>
      </c>
      <c r="E116" s="27" t="str">
        <f>IFERROR(__xludf.DUMMYFUNCTION("""COMPUTED_VALUE"""),"A-4")</f>
        <v>A-4</v>
      </c>
      <c r="F116" s="31">
        <f>IFERROR(__xludf.DUMMYFUNCTION("""COMPUTED_VALUE"""),2.0)</f>
        <v>2</v>
      </c>
      <c r="G116" s="27" t="str">
        <f>IFERROR(__xludf.DUMMYFUNCTION("""COMPUTED_VALUE"""),"2 WUSTHO A PUTRA")</f>
        <v>2 WUSTHO A PUTRA</v>
      </c>
      <c r="H116" s="28" t="str">
        <f>IFERROR(__xludf.DUMMYFUNCTION("""COMPUTED_VALUE"""),"MA-XI.10")</f>
        <v>MA-XI.10</v>
      </c>
      <c r="I116" s="28" t="str">
        <f>IFERROR(__xludf.DUMMYFUNCTION("""COMPUTED_VALUE"""),"AFIDAH")</f>
        <v>AFIDAH</v>
      </c>
      <c r="J116" s="28" t="str">
        <f>IFERROR(__xludf.DUMMYFUNCTION("""COMPUTED_VALUE"""),"TEJOASRI RT 001 RW 002 LAREN LAMONGAN")</f>
        <v>TEJOASRI RT 001 RW 002 LAREN LAMONGAN</v>
      </c>
      <c r="K116" s="28" t="str">
        <f>IFERROR(__xludf.DUMMYFUNCTION("""COMPUTED_VALUE"""),"6285777892081")</f>
        <v>6285777892081</v>
      </c>
      <c r="L116" s="22">
        <f>IFERROR(__xludf.DUMMYFUNCTION("""COMPUTED_VALUE"""),2700000.0)</f>
        <v>2700000</v>
      </c>
      <c r="M116" s="22">
        <f>IFERROR(__xludf.DUMMYFUNCTION("""COMPUTED_VALUE"""),1000000.0)</f>
        <v>1000000</v>
      </c>
      <c r="N116" s="22">
        <f>IFERROR(__xludf.DUMMYFUNCTION("""COMPUTED_VALUE"""),0.0)</f>
        <v>0</v>
      </c>
      <c r="O116" s="22">
        <f>IFERROR(__xludf.DUMMYFUNCTION("""COMPUTED_VALUE"""),3700000.0)</f>
        <v>3700000</v>
      </c>
      <c r="P116" s="28" t="str">
        <f t="shared" si="1"/>
        <v>LUNAS</v>
      </c>
      <c r="Q116" s="28">
        <f t="shared" si="2"/>
        <v>23</v>
      </c>
      <c r="R116" s="28" t="str">
        <f t="shared" si="3"/>
        <v>AHMAD FIRDAUS</v>
      </c>
    </row>
    <row r="117">
      <c r="A117" s="27">
        <f>IFERROR(__xludf.DUMMYFUNCTION("""COMPUTED_VALUE"""),116.0)</f>
        <v>116</v>
      </c>
      <c r="B117" s="28" t="str">
        <f>IFERROR(__xludf.DUMMYFUNCTION("""COMPUTED_VALUE"""),"AHMAD IRVAN SURYA MAHENDRA")</f>
        <v>AHMAD IRVAN SURYA MAHENDRA</v>
      </c>
      <c r="C117" s="28">
        <f>IFERROR(__xludf.DUMMYFUNCTION("""COMPUTED_VALUE"""),2.025070397E9)</f>
        <v>2025070397</v>
      </c>
      <c r="D117" s="27" t="str">
        <f>IFERROR(__xludf.DUMMYFUNCTION("""COMPUTED_VALUE"""),"A")</f>
        <v>A</v>
      </c>
      <c r="E117" s="27" t="str">
        <f>IFERROR(__xludf.DUMMYFUNCTION("""COMPUTED_VALUE"""),"A-4")</f>
        <v>A-4</v>
      </c>
      <c r="F117" s="31">
        <f>IFERROR(__xludf.DUMMYFUNCTION("""COMPUTED_VALUE"""),2.0)</f>
        <v>2</v>
      </c>
      <c r="G117" s="27" t="str">
        <f>IFERROR(__xludf.DUMMYFUNCTION("""COMPUTED_VALUE"""),"2 WUSTHO A PUTRA")</f>
        <v>2 WUSTHO A PUTRA</v>
      </c>
      <c r="H117" s="28" t="str">
        <f>IFERROR(__xludf.DUMMYFUNCTION("""COMPUTED_VALUE"""),"MA-XI.6")</f>
        <v>MA-XI.6</v>
      </c>
      <c r="I117" s="28" t="str">
        <f>IFERROR(__xludf.DUMMYFUNCTION("""COMPUTED_VALUE"""),"FATIMAH")</f>
        <v>FATIMAH</v>
      </c>
      <c r="J117" s="28" t="str">
        <f>IFERROR(__xludf.DUMMYFUNCTION("""COMPUTED_VALUE"""),"TAMAN PRIJEG TAMAN PRIJEK RT 006 RW 002 LAREN LAMONGAN")</f>
        <v>TAMAN PRIJEG TAMAN PRIJEK RT 006 RW 002 LAREN LAMONGAN</v>
      </c>
      <c r="K117" s="28" t="str">
        <f>IFERROR(__xludf.DUMMYFUNCTION("""COMPUTED_VALUE"""),"6281331330878")</f>
        <v>6281331330878</v>
      </c>
      <c r="L117" s="22">
        <f>IFERROR(__xludf.DUMMYFUNCTION("""COMPUTED_VALUE"""),0.0)</f>
        <v>0</v>
      </c>
      <c r="M117" s="22">
        <f>IFERROR(__xludf.DUMMYFUNCTION("""COMPUTED_VALUE"""),1000000.0)</f>
        <v>1000000</v>
      </c>
      <c r="N117" s="22">
        <f>IFERROR(__xludf.DUMMYFUNCTION("""COMPUTED_VALUE"""),0.0)</f>
        <v>0</v>
      </c>
      <c r="O117" s="22">
        <f>IFERROR(__xludf.DUMMYFUNCTION("""COMPUTED_VALUE"""),1000000.0)</f>
        <v>1000000</v>
      </c>
      <c r="P117" s="28" t="str">
        <f t="shared" si="1"/>
        <v>LUNAS</v>
      </c>
      <c r="Q117" s="28">
        <f t="shared" si="2"/>
        <v>94</v>
      </c>
      <c r="R117" s="28" t="str">
        <f t="shared" si="3"/>
        <v>AHMAD IRVAN SURYA MAHENDRA</v>
      </c>
    </row>
    <row r="118">
      <c r="A118" s="27">
        <f>IFERROR(__xludf.DUMMYFUNCTION("""COMPUTED_VALUE"""),117.0)</f>
        <v>117</v>
      </c>
      <c r="B118" s="28" t="str">
        <f>IFERROR(__xludf.DUMMYFUNCTION("""COMPUTED_VALUE"""),"AKBAR MAULANA")</f>
        <v>AKBAR MAULANA</v>
      </c>
      <c r="C118" s="28">
        <f>IFERROR(__xludf.DUMMYFUNCTION("""COMPUTED_VALUE"""),2.025070272E9)</f>
        <v>2025070272</v>
      </c>
      <c r="D118" s="27" t="str">
        <f>IFERROR(__xludf.DUMMYFUNCTION("""COMPUTED_VALUE"""),"A")</f>
        <v>A</v>
      </c>
      <c r="E118" s="27" t="str">
        <f>IFERROR(__xludf.DUMMYFUNCTION("""COMPUTED_VALUE"""),"A-4")</f>
        <v>A-4</v>
      </c>
      <c r="F118" s="31">
        <f>IFERROR(__xludf.DUMMYFUNCTION("""COMPUTED_VALUE"""),2.0)</f>
        <v>2</v>
      </c>
      <c r="G118" s="27" t="str">
        <f>IFERROR(__xludf.DUMMYFUNCTION("""COMPUTED_VALUE"""),"2 WUSTHO A PUTRA")</f>
        <v>2 WUSTHO A PUTRA</v>
      </c>
      <c r="H118" s="28" t="str">
        <f>IFERROR(__xludf.DUMMYFUNCTION("""COMPUTED_VALUE"""),"MA-XI.2")</f>
        <v>MA-XI.2</v>
      </c>
      <c r="I118" s="28" t="str">
        <f>IFERROR(__xludf.DUMMYFUNCTION("""COMPUTED_VALUE"""),"SITI MAIMUNAH")</f>
        <v>SITI MAIMUNAH</v>
      </c>
      <c r="J118" s="28" t="str">
        <f>IFERROR(__xludf.DUMMYFUNCTION("""COMPUTED_VALUE"""),"TENGGULUN RT 001 RW 001 SOLOKURO LAMONGAN")</f>
        <v>TENGGULUN RT 001 RW 001 SOLOKURO LAMONGAN</v>
      </c>
      <c r="K118" s="28" t="str">
        <f>IFERROR(__xludf.DUMMYFUNCTION("""COMPUTED_VALUE"""),"6285743392823")</f>
        <v>6285743392823</v>
      </c>
      <c r="L118" s="22">
        <f>IFERROR(__xludf.DUMMYFUNCTION("""COMPUTED_VALUE"""),0.0)</f>
        <v>0</v>
      </c>
      <c r="M118" s="22">
        <f>IFERROR(__xludf.DUMMYFUNCTION("""COMPUTED_VALUE"""),0.0)</f>
        <v>0</v>
      </c>
      <c r="N118" s="22">
        <f>IFERROR(__xludf.DUMMYFUNCTION("""COMPUTED_VALUE"""),0.0)</f>
        <v>0</v>
      </c>
      <c r="O118" s="22">
        <f>IFERROR(__xludf.DUMMYFUNCTION("""COMPUTED_VALUE"""),0.0)</f>
        <v>0</v>
      </c>
      <c r="P118" s="28" t="str">
        <f t="shared" si="1"/>
        <v>LUNAS</v>
      </c>
      <c r="Q118" s="28">
        <f t="shared" si="2"/>
        <v>185</v>
      </c>
      <c r="R118" s="28" t="str">
        <f t="shared" si="3"/>
        <v>AKBAR MAULANA</v>
      </c>
    </row>
    <row r="119">
      <c r="A119" s="27">
        <f>IFERROR(__xludf.DUMMYFUNCTION("""COMPUTED_VALUE"""),118.0)</f>
        <v>118</v>
      </c>
      <c r="B119" s="28" t="str">
        <f>IFERROR(__xludf.DUMMYFUNCTION("""COMPUTED_VALUE"""),"ANDREI ARSHAVIN ADITYA PRATAMA")</f>
        <v>ANDREI ARSHAVIN ADITYA PRATAMA</v>
      </c>
      <c r="C119" s="28">
        <f>IFERROR(__xludf.DUMMYFUNCTION("""COMPUTED_VALUE"""),2.025070174E9)</f>
        <v>2025070174</v>
      </c>
      <c r="D119" s="27" t="str">
        <f>IFERROR(__xludf.DUMMYFUNCTION("""COMPUTED_VALUE"""),"A")</f>
        <v>A</v>
      </c>
      <c r="E119" s="27" t="str">
        <f>IFERROR(__xludf.DUMMYFUNCTION("""COMPUTED_VALUE"""),"A-4")</f>
        <v>A-4</v>
      </c>
      <c r="F119" s="31">
        <f>IFERROR(__xludf.DUMMYFUNCTION("""COMPUTED_VALUE"""),2.0)</f>
        <v>2</v>
      </c>
      <c r="G119" s="27" t="str">
        <f>IFERROR(__xludf.DUMMYFUNCTION("""COMPUTED_VALUE"""),"2 WUSTHO A PUTRA")</f>
        <v>2 WUSTHO A PUTRA</v>
      </c>
      <c r="H119" s="28" t="str">
        <f>IFERROR(__xludf.DUMMYFUNCTION("""COMPUTED_VALUE"""),"MA-XI.10")</f>
        <v>MA-XI.10</v>
      </c>
      <c r="I119" s="28" t="str">
        <f>IFERROR(__xludf.DUMMYFUNCTION("""COMPUTED_VALUE"""),"LULUK LUTFIA")</f>
        <v>LULUK LUTFIA</v>
      </c>
      <c r="J119" s="28" t="str">
        <f>IFERROR(__xludf.DUMMYFUNCTION("""COMPUTED_VALUE"""),"BUTUNGAN RT 002 RW 002 KALITENGAH LAMONGAN")</f>
        <v>BUTUNGAN RT 002 RW 002 KALITENGAH LAMONGAN</v>
      </c>
      <c r="K119" s="28" t="str">
        <f>IFERROR(__xludf.DUMMYFUNCTION("""COMPUTED_VALUE"""),"6285853921007")</f>
        <v>6285853921007</v>
      </c>
      <c r="L119" s="22">
        <f>IFERROR(__xludf.DUMMYFUNCTION("""COMPUTED_VALUE"""),0.0)</f>
        <v>0</v>
      </c>
      <c r="M119" s="22">
        <f>IFERROR(__xludf.DUMMYFUNCTION("""COMPUTED_VALUE"""),1600000.0)</f>
        <v>1600000</v>
      </c>
      <c r="N119" s="22">
        <f>IFERROR(__xludf.DUMMYFUNCTION("""COMPUTED_VALUE"""),0.0)</f>
        <v>0</v>
      </c>
      <c r="O119" s="22">
        <f>IFERROR(__xludf.DUMMYFUNCTION("""COMPUTED_VALUE"""),1600000.0)</f>
        <v>1600000</v>
      </c>
      <c r="P119" s="28" t="str">
        <f t="shared" si="1"/>
        <v>LUNAS</v>
      </c>
      <c r="Q119" s="28">
        <f t="shared" si="2"/>
        <v>46</v>
      </c>
      <c r="R119" s="28" t="str">
        <f t="shared" si="3"/>
        <v>ANDREI ARSHAVIN ADITYA PRATAMA</v>
      </c>
    </row>
    <row r="120">
      <c r="A120" s="27">
        <f>IFERROR(__xludf.DUMMYFUNCTION("""COMPUTED_VALUE"""),119.0)</f>
        <v>119</v>
      </c>
      <c r="B120" s="28" t="str">
        <f>IFERROR(__xludf.DUMMYFUNCTION("""COMPUTED_VALUE"""),"APRIANSYAH BAYU ROBBANY")</f>
        <v>APRIANSYAH BAYU ROBBANY</v>
      </c>
      <c r="C120" s="28">
        <f>IFERROR(__xludf.DUMMYFUNCTION("""COMPUTED_VALUE"""),2.025070371E9)</f>
        <v>2025070371</v>
      </c>
      <c r="D120" s="27" t="str">
        <f>IFERROR(__xludf.DUMMYFUNCTION("""COMPUTED_VALUE"""),"A")</f>
        <v>A</v>
      </c>
      <c r="E120" s="27" t="str">
        <f>IFERROR(__xludf.DUMMYFUNCTION("""COMPUTED_VALUE"""),"A-4")</f>
        <v>A-4</v>
      </c>
      <c r="F120" s="31">
        <f>IFERROR(__xludf.DUMMYFUNCTION("""COMPUTED_VALUE"""),2.0)</f>
        <v>2</v>
      </c>
      <c r="G120" s="27" t="str">
        <f>IFERROR(__xludf.DUMMYFUNCTION("""COMPUTED_VALUE"""),"2 MAK PUTRA")</f>
        <v>2 MAK PUTRA</v>
      </c>
      <c r="H120" s="28" t="str">
        <f>IFERROR(__xludf.DUMMYFUNCTION("""COMPUTED_VALUE"""),"MA-XI.13")</f>
        <v>MA-XI.13</v>
      </c>
      <c r="I120" s="28" t="str">
        <f>IFERROR(__xludf.DUMMYFUNCTION("""COMPUTED_VALUE"""),"BINTI KHOTIMAH")</f>
        <v>BINTI KHOTIMAH</v>
      </c>
      <c r="J120" s="28" t="str">
        <f>IFERROR(__xludf.DUMMYFUNCTION("""COMPUTED_VALUE"""),"TENGGER BLONGKO RT 004 RW 005 NGETOS NGANJUK")</f>
        <v>TENGGER BLONGKO RT 004 RW 005 NGETOS NGANJUK</v>
      </c>
      <c r="K120" s="28" t="str">
        <f>IFERROR(__xludf.DUMMYFUNCTION("""COMPUTED_VALUE"""),"6282230736243")</f>
        <v>6282230736243</v>
      </c>
      <c r="L120" s="22">
        <f>IFERROR(__xludf.DUMMYFUNCTION("""COMPUTED_VALUE"""),1800000.0)</f>
        <v>1800000</v>
      </c>
      <c r="M120" s="22">
        <f>IFERROR(__xludf.DUMMYFUNCTION("""COMPUTED_VALUE"""),1600000.0)</f>
        <v>1600000</v>
      </c>
      <c r="N120" s="22">
        <f>IFERROR(__xludf.DUMMYFUNCTION("""COMPUTED_VALUE"""),0.0)</f>
        <v>0</v>
      </c>
      <c r="O120" s="22">
        <f>IFERROR(__xludf.DUMMYFUNCTION("""COMPUTED_VALUE"""),3400000.0)</f>
        <v>3400000</v>
      </c>
      <c r="P120" s="28" t="str">
        <f t="shared" si="1"/>
        <v>LUNAS</v>
      </c>
      <c r="Q120" s="28">
        <f t="shared" si="2"/>
        <v>25</v>
      </c>
      <c r="R120" s="28" t="str">
        <f t="shared" si="3"/>
        <v>APRIANSYAH BAYU ROBBANY</v>
      </c>
    </row>
    <row r="121">
      <c r="A121" s="27">
        <f>IFERROR(__xludf.DUMMYFUNCTION("""COMPUTED_VALUE"""),120.0)</f>
        <v>120</v>
      </c>
      <c r="B121" s="28" t="str">
        <f>IFERROR(__xludf.DUMMYFUNCTION("""COMPUTED_VALUE"""),"MALLAHUL JAYYIDI ALITSNAN")</f>
        <v>MALLAHUL JAYYIDI ALITSNAN</v>
      </c>
      <c r="C121" s="28">
        <f>IFERROR(__xludf.DUMMYFUNCTION("""COMPUTED_VALUE"""),2.025070273E9)</f>
        <v>2025070273</v>
      </c>
      <c r="D121" s="27" t="str">
        <f>IFERROR(__xludf.DUMMYFUNCTION("""COMPUTED_VALUE"""),"A")</f>
        <v>A</v>
      </c>
      <c r="E121" s="27" t="str">
        <f>IFERROR(__xludf.DUMMYFUNCTION("""COMPUTED_VALUE"""),"A-4")</f>
        <v>A-4</v>
      </c>
      <c r="F121" s="31">
        <f>IFERROR(__xludf.DUMMYFUNCTION("""COMPUTED_VALUE"""),2.0)</f>
        <v>2</v>
      </c>
      <c r="G121" s="27" t="str">
        <f>IFERROR(__xludf.DUMMYFUNCTION("""COMPUTED_VALUE"""),"2 WUSTHO A PUTRA")</f>
        <v>2 WUSTHO A PUTRA</v>
      </c>
      <c r="H121" s="28" t="str">
        <f>IFERROR(__xludf.DUMMYFUNCTION("""COMPUTED_VALUE"""),"MA-XI.2")</f>
        <v>MA-XI.2</v>
      </c>
      <c r="I121" s="28" t="str">
        <f>IFERROR(__xludf.DUMMYFUNCTION("""COMPUTED_VALUE"""),"ISLAMIYATI")</f>
        <v>ISLAMIYATI</v>
      </c>
      <c r="J121" s="28" t="str">
        <f>IFERROR(__xludf.DUMMYFUNCTION("""COMPUTED_VALUE"""),"JETAK RT 001 RW 002 PACIRAN LAMONGAN")</f>
        <v>JETAK RT 001 RW 002 PACIRAN LAMONGAN</v>
      </c>
      <c r="K121" s="28" t="str">
        <f>IFERROR(__xludf.DUMMYFUNCTION("""COMPUTED_VALUE"""),"6285232394315")</f>
        <v>6285232394315</v>
      </c>
      <c r="L121" s="22">
        <f>IFERROR(__xludf.DUMMYFUNCTION("""COMPUTED_VALUE"""),0.0)</f>
        <v>0</v>
      </c>
      <c r="M121" s="22">
        <f>IFERROR(__xludf.DUMMYFUNCTION("""COMPUTED_VALUE"""),1000000.0)</f>
        <v>1000000</v>
      </c>
      <c r="N121" s="22">
        <f>IFERROR(__xludf.DUMMYFUNCTION("""COMPUTED_VALUE"""),0.0)</f>
        <v>0</v>
      </c>
      <c r="O121" s="22">
        <f>IFERROR(__xludf.DUMMYFUNCTION("""COMPUTED_VALUE"""),1000000.0)</f>
        <v>1000000</v>
      </c>
      <c r="P121" s="28" t="str">
        <f t="shared" si="1"/>
        <v>LUNAS</v>
      </c>
      <c r="Q121" s="28">
        <f t="shared" si="2"/>
        <v>95</v>
      </c>
      <c r="R121" s="28" t="str">
        <f t="shared" si="3"/>
        <v>MALLAHUL JAYYIDI ALITSNAN</v>
      </c>
    </row>
    <row r="122">
      <c r="A122" s="27">
        <f>IFERROR(__xludf.DUMMYFUNCTION("""COMPUTED_VALUE"""),121.0)</f>
        <v>121</v>
      </c>
      <c r="B122" s="28" t="str">
        <f>IFERROR(__xludf.DUMMYFUNCTION("""COMPUTED_VALUE"""),"MOCH. DANISH IRFAN NUSHFIANTO WAHID")</f>
        <v>MOCH. DANISH IRFAN NUSHFIANTO WAHID</v>
      </c>
      <c r="C122" s="28">
        <f>IFERROR(__xludf.DUMMYFUNCTION("""COMPUTED_VALUE"""),2.025070066E9)</f>
        <v>2025070066</v>
      </c>
      <c r="D122" s="27" t="str">
        <f>IFERROR(__xludf.DUMMYFUNCTION("""COMPUTED_VALUE"""),"A")</f>
        <v>A</v>
      </c>
      <c r="E122" s="27" t="str">
        <f>IFERROR(__xludf.DUMMYFUNCTION("""COMPUTED_VALUE"""),"A-4")</f>
        <v>A-4</v>
      </c>
      <c r="F122" s="31">
        <f>IFERROR(__xludf.DUMMYFUNCTION("""COMPUTED_VALUE"""),2.0)</f>
        <v>2</v>
      </c>
      <c r="G122" s="27" t="str">
        <f>IFERROR(__xludf.DUMMYFUNCTION("""COMPUTED_VALUE"""),"WUSTHO")</f>
        <v>WUSTHO</v>
      </c>
      <c r="H122" s="28" t="str">
        <f>IFERROR(__xludf.DUMMYFUNCTION("""COMPUTED_VALUE"""),"MA-XI.10")</f>
        <v>MA-XI.10</v>
      </c>
      <c r="I122" s="28" t="str">
        <f>IFERROR(__xludf.DUMMYFUNCTION("""COMPUTED_VALUE"""),"LILIK SUDARWATI")</f>
        <v>LILIK SUDARWATI</v>
      </c>
      <c r="J122" s="28" t="str">
        <f>IFERROR(__xludf.DUMMYFUNCTION("""COMPUTED_VALUE"""),"BLURI RT 004 RW 003 SOLOKURO LAMONGAN")</f>
        <v>BLURI RT 004 RW 003 SOLOKURO LAMONGAN</v>
      </c>
      <c r="K122" s="28" t="str">
        <f>IFERROR(__xludf.DUMMYFUNCTION("""COMPUTED_VALUE"""),"6282333978889")</f>
        <v>6282333978889</v>
      </c>
      <c r="L122" s="22">
        <f>IFERROR(__xludf.DUMMYFUNCTION("""COMPUTED_VALUE"""),4950000.0)</f>
        <v>4950000</v>
      </c>
      <c r="M122" s="22">
        <f>IFERROR(__xludf.DUMMYFUNCTION("""COMPUTED_VALUE"""),1000000.0)</f>
        <v>1000000</v>
      </c>
      <c r="N122" s="22">
        <f>IFERROR(__xludf.DUMMYFUNCTION("""COMPUTED_VALUE"""),0.0)</f>
        <v>0</v>
      </c>
      <c r="O122" s="22">
        <f>IFERROR(__xludf.DUMMYFUNCTION("""COMPUTED_VALUE"""),5950000.0)</f>
        <v>5950000</v>
      </c>
      <c r="P122" s="28" t="str">
        <f t="shared" si="1"/>
        <v>LUNAS</v>
      </c>
      <c r="Q122" s="28">
        <f t="shared" si="2"/>
        <v>5</v>
      </c>
      <c r="R122" s="28" t="str">
        <f t="shared" si="3"/>
        <v>MOCH. DANISH IRFAN NUSHFIANTO WAHID</v>
      </c>
    </row>
    <row r="123">
      <c r="A123" s="27">
        <f>IFERROR(__xludf.DUMMYFUNCTION("""COMPUTED_VALUE"""),122.0)</f>
        <v>122</v>
      </c>
      <c r="B123" s="28" t="str">
        <f>IFERROR(__xludf.DUMMYFUNCTION("""COMPUTED_VALUE"""),"MOCH. FEBRIZANSYAH SAPUTRA")</f>
        <v>MOCH. FEBRIZANSYAH SAPUTRA</v>
      </c>
      <c r="C123" s="28">
        <f>IFERROR(__xludf.DUMMYFUNCTION("""COMPUTED_VALUE"""),2.025070343E9)</f>
        <v>2025070343</v>
      </c>
      <c r="D123" s="27" t="str">
        <f>IFERROR(__xludf.DUMMYFUNCTION("""COMPUTED_VALUE"""),"A")</f>
        <v>A</v>
      </c>
      <c r="E123" s="27" t="str">
        <f>IFERROR(__xludf.DUMMYFUNCTION("""COMPUTED_VALUE"""),"A-4")</f>
        <v>A-4</v>
      </c>
      <c r="F123" s="31">
        <f>IFERROR(__xludf.DUMMYFUNCTION("""COMPUTED_VALUE"""),2.0)</f>
        <v>2</v>
      </c>
      <c r="G123" s="27" t="str">
        <f>IFERROR(__xludf.DUMMYFUNCTION("""COMPUTED_VALUE"""),"2 MAK PUTRA")</f>
        <v>2 MAK PUTRA</v>
      </c>
      <c r="H123" s="28" t="str">
        <f>IFERROR(__xludf.DUMMYFUNCTION("""COMPUTED_VALUE"""),"MA-XI.8")</f>
        <v>MA-XI.8</v>
      </c>
      <c r="I123" s="28" t="str">
        <f>IFERROR(__xludf.DUMMYFUNCTION("""COMPUTED_VALUE"""),"ALIYA")</f>
        <v>ALIYA</v>
      </c>
      <c r="J123" s="28" t="str">
        <f>IFERROR(__xludf.DUMMYFUNCTION("""COMPUTED_VALUE"""),"PLANDI SUMBEREJO RT 001 RW 003 LAMONGAN LAMONGAN")</f>
        <v>PLANDI SUMBEREJO RT 001 RW 003 LAMONGAN LAMONGAN</v>
      </c>
      <c r="K123" s="28" t="str">
        <f>IFERROR(__xludf.DUMMYFUNCTION("""COMPUTED_VALUE"""),"6285857260015")</f>
        <v>6285857260015</v>
      </c>
      <c r="L123" s="22">
        <f>IFERROR(__xludf.DUMMYFUNCTION("""COMPUTED_VALUE"""),0.0)</f>
        <v>0</v>
      </c>
      <c r="M123" s="22">
        <f>IFERROR(__xludf.DUMMYFUNCTION("""COMPUTED_VALUE"""),1000000.0)</f>
        <v>1000000</v>
      </c>
      <c r="N123" s="22">
        <f>IFERROR(__xludf.DUMMYFUNCTION("""COMPUTED_VALUE"""),0.0)</f>
        <v>0</v>
      </c>
      <c r="O123" s="22">
        <f>IFERROR(__xludf.DUMMYFUNCTION("""COMPUTED_VALUE"""),1000000.0)</f>
        <v>1000000</v>
      </c>
      <c r="P123" s="28" t="str">
        <f t="shared" si="1"/>
        <v>LUNAS</v>
      </c>
      <c r="Q123" s="28">
        <f t="shared" si="2"/>
        <v>96</v>
      </c>
      <c r="R123" s="28" t="str">
        <f t="shared" si="3"/>
        <v>MOCH. FEBRIZANSYAH SAPUTRA</v>
      </c>
    </row>
    <row r="124">
      <c r="A124" s="27">
        <f>IFERROR(__xludf.DUMMYFUNCTION("""COMPUTED_VALUE"""),123.0)</f>
        <v>123</v>
      </c>
      <c r="B124" s="28" t="str">
        <f>IFERROR(__xludf.DUMMYFUNCTION("""COMPUTED_VALUE"""),"MOH. AQIL MUBAROK")</f>
        <v>MOH. AQIL MUBAROK</v>
      </c>
      <c r="C124" s="28">
        <f>IFERROR(__xludf.DUMMYFUNCTION("""COMPUTED_VALUE"""),2.025070219E9)</f>
        <v>2025070219</v>
      </c>
      <c r="D124" s="27" t="str">
        <f>IFERROR(__xludf.DUMMYFUNCTION("""COMPUTED_VALUE"""),"A")</f>
        <v>A</v>
      </c>
      <c r="E124" s="27" t="str">
        <f>IFERROR(__xludf.DUMMYFUNCTION("""COMPUTED_VALUE"""),"A-4")</f>
        <v>A-4</v>
      </c>
      <c r="F124" s="31">
        <f>IFERROR(__xludf.DUMMYFUNCTION("""COMPUTED_VALUE"""),2.0)</f>
        <v>2</v>
      </c>
      <c r="G124" s="27" t="str">
        <f>IFERROR(__xludf.DUMMYFUNCTION("""COMPUTED_VALUE"""),"2 WUSTHO A PUTRA")</f>
        <v>2 WUSTHO A PUTRA</v>
      </c>
      <c r="H124" s="28" t="str">
        <f>IFERROR(__xludf.DUMMYFUNCTION("""COMPUTED_VALUE"""),"MA-XI.9")</f>
        <v>MA-XI.9</v>
      </c>
      <c r="I124" s="28" t="str">
        <f>IFERROR(__xludf.DUMMYFUNCTION("""COMPUTED_VALUE"""),"SITI ISMAROH")</f>
        <v>SITI ISMAROH</v>
      </c>
      <c r="J124" s="28" t="str">
        <f>IFERROR(__xludf.DUMMYFUNCTION("""COMPUTED_VALUE"""),"TALE BLURI RT 001 RW 001 SOLOKURO LAMONGAN")</f>
        <v>TALE BLURI RT 001 RW 001 SOLOKURO LAMONGAN</v>
      </c>
      <c r="K124" s="28" t="str">
        <f>IFERROR(__xludf.DUMMYFUNCTION("""COMPUTED_VALUE"""),"6283169854714")</f>
        <v>6283169854714</v>
      </c>
      <c r="L124" s="22">
        <f>IFERROR(__xludf.DUMMYFUNCTION("""COMPUTED_VALUE"""),3150000.0)</f>
        <v>3150000</v>
      </c>
      <c r="M124" s="22">
        <f>IFERROR(__xludf.DUMMYFUNCTION("""COMPUTED_VALUE"""),1000000.0)</f>
        <v>1000000</v>
      </c>
      <c r="N124" s="22">
        <f>IFERROR(__xludf.DUMMYFUNCTION("""COMPUTED_VALUE"""),0.0)</f>
        <v>0</v>
      </c>
      <c r="O124" s="22">
        <f>IFERROR(__xludf.DUMMYFUNCTION("""COMPUTED_VALUE"""),4150000.0)</f>
        <v>4150000</v>
      </c>
      <c r="P124" s="28" t="str">
        <f t="shared" si="1"/>
        <v>LUNAS</v>
      </c>
      <c r="Q124" s="28">
        <f t="shared" si="2"/>
        <v>20</v>
      </c>
      <c r="R124" s="28" t="str">
        <f t="shared" si="3"/>
        <v>MOH. AQIL MUBAROK</v>
      </c>
    </row>
    <row r="125">
      <c r="A125" s="27">
        <f>IFERROR(__xludf.DUMMYFUNCTION("""COMPUTED_VALUE"""),124.0)</f>
        <v>124</v>
      </c>
      <c r="B125" s="28" t="str">
        <f>IFERROR(__xludf.DUMMYFUNCTION("""COMPUTED_VALUE"""),"MOHAMMAD BAGAS ARDIAN PUTRA")</f>
        <v>MOHAMMAD BAGAS ARDIAN PUTRA</v>
      </c>
      <c r="C125" s="28">
        <f>IFERROR(__xludf.DUMMYFUNCTION("""COMPUTED_VALUE"""),2.02507012E9)</f>
        <v>2025070120</v>
      </c>
      <c r="D125" s="27" t="str">
        <f>IFERROR(__xludf.DUMMYFUNCTION("""COMPUTED_VALUE"""),"A")</f>
        <v>A</v>
      </c>
      <c r="E125" s="27" t="str">
        <f>IFERROR(__xludf.DUMMYFUNCTION("""COMPUTED_VALUE"""),"A-4")</f>
        <v>A-4</v>
      </c>
      <c r="F125" s="31">
        <f>IFERROR(__xludf.DUMMYFUNCTION("""COMPUTED_VALUE"""),2.0)</f>
        <v>2</v>
      </c>
      <c r="G125" s="27" t="str">
        <f>IFERROR(__xludf.DUMMYFUNCTION("""COMPUTED_VALUE"""),"2 MAK PUTRA")</f>
        <v>2 MAK PUTRA</v>
      </c>
      <c r="H125" s="28" t="str">
        <f>IFERROR(__xludf.DUMMYFUNCTION("""COMPUTED_VALUE"""),"MA-XI.13")</f>
        <v>MA-XI.13</v>
      </c>
      <c r="I125" s="28" t="str">
        <f>IFERROR(__xludf.DUMMYFUNCTION("""COMPUTED_VALUE"""),"FAJRIN KHOTIMA")</f>
        <v>FAJRIN KHOTIMA</v>
      </c>
      <c r="J125" s="28" t="str">
        <f>IFERROR(__xludf.DUMMYFUNCTION("""COMPUTED_VALUE"""),"KLATING TAKERANKLATING RT 005 RW 001 TIKUNG LAMONGAN")</f>
        <v>KLATING TAKERANKLATING RT 005 RW 001 TIKUNG LAMONGAN</v>
      </c>
      <c r="K125" s="28" t="str">
        <f>IFERROR(__xludf.DUMMYFUNCTION("""COMPUTED_VALUE"""),"6281235897606")</f>
        <v>6281235897606</v>
      </c>
      <c r="L125" s="22">
        <f>IFERROR(__xludf.DUMMYFUNCTION("""COMPUTED_VALUE"""),450000.0)</f>
        <v>450000</v>
      </c>
      <c r="M125" s="22">
        <f>IFERROR(__xludf.DUMMYFUNCTION("""COMPUTED_VALUE"""),1000000.0)</f>
        <v>1000000</v>
      </c>
      <c r="N125" s="22">
        <f>IFERROR(__xludf.DUMMYFUNCTION("""COMPUTED_VALUE"""),0.0)</f>
        <v>0</v>
      </c>
      <c r="O125" s="22">
        <f>IFERROR(__xludf.DUMMYFUNCTION("""COMPUTED_VALUE"""),1450000.0)</f>
        <v>1450000</v>
      </c>
      <c r="P125" s="28" t="str">
        <f t="shared" si="1"/>
        <v>LUNAS</v>
      </c>
      <c r="Q125" s="28">
        <f t="shared" si="2"/>
        <v>52</v>
      </c>
      <c r="R125" s="28" t="str">
        <f t="shared" si="3"/>
        <v>MOHAMMAD BAGAS ARDIAN PUTRA</v>
      </c>
    </row>
    <row r="126">
      <c r="A126" s="27">
        <f>IFERROR(__xludf.DUMMYFUNCTION("""COMPUTED_VALUE"""),125.0)</f>
        <v>125</v>
      </c>
      <c r="B126" s="28" t="str">
        <f>IFERROR(__xludf.DUMMYFUNCTION("""COMPUTED_VALUE"""),"MOHAMMAD MAKKI RAFIQNA ADABI")</f>
        <v>MOHAMMAD MAKKI RAFIQNA ADABI</v>
      </c>
      <c r="C126" s="28">
        <f>IFERROR(__xludf.DUMMYFUNCTION("""COMPUTED_VALUE"""),2.025070409E9)</f>
        <v>2025070409</v>
      </c>
      <c r="D126" s="27" t="str">
        <f>IFERROR(__xludf.DUMMYFUNCTION("""COMPUTED_VALUE"""),"A")</f>
        <v>A</v>
      </c>
      <c r="E126" s="27" t="str">
        <f>IFERROR(__xludf.DUMMYFUNCTION("""COMPUTED_VALUE"""),"A-4")</f>
        <v>A-4</v>
      </c>
      <c r="F126" s="31">
        <f>IFERROR(__xludf.DUMMYFUNCTION("""COMPUTED_VALUE"""),2.0)</f>
        <v>2</v>
      </c>
      <c r="G126" s="27" t="str">
        <f>IFERROR(__xludf.DUMMYFUNCTION("""COMPUTED_VALUE"""),"2 MAK PUTRA")</f>
        <v>2 MAK PUTRA</v>
      </c>
      <c r="H126" s="28" t="str">
        <f>IFERROR(__xludf.DUMMYFUNCTION("""COMPUTED_VALUE"""),"MA-XI.13")</f>
        <v>MA-XI.13</v>
      </c>
      <c r="I126" s="28" t="str">
        <f>IFERROR(__xludf.DUMMYFUNCTION("""COMPUTED_VALUE"""),"IIS MAFIDAH")</f>
        <v>IIS MAFIDAH</v>
      </c>
      <c r="J126" s="28" t="str">
        <f>IFERROR(__xludf.DUMMYFUNCTION("""COMPUTED_VALUE"""),"GEDANGAN RT 002 RW 006 SIDAYU GRESIK")</f>
        <v>GEDANGAN RT 002 RW 006 SIDAYU GRESIK</v>
      </c>
      <c r="K126" s="28" t="str">
        <f>IFERROR(__xludf.DUMMYFUNCTION("""COMPUTED_VALUE"""),"6285749696444")</f>
        <v>6285749696444</v>
      </c>
      <c r="L126" s="22">
        <f>IFERROR(__xludf.DUMMYFUNCTION("""COMPUTED_VALUE"""),0.0)</f>
        <v>0</v>
      </c>
      <c r="M126" s="22">
        <f>IFERROR(__xludf.DUMMYFUNCTION("""COMPUTED_VALUE"""),0.0)</f>
        <v>0</v>
      </c>
      <c r="N126" s="22">
        <f>IFERROR(__xludf.DUMMYFUNCTION("""COMPUTED_VALUE"""),0.0)</f>
        <v>0</v>
      </c>
      <c r="O126" s="22">
        <f>IFERROR(__xludf.DUMMYFUNCTION("""COMPUTED_VALUE"""),0.0)</f>
        <v>0</v>
      </c>
      <c r="P126" s="28" t="str">
        <f t="shared" si="1"/>
        <v>LUNAS</v>
      </c>
      <c r="Q126" s="28">
        <f t="shared" si="2"/>
        <v>186</v>
      </c>
      <c r="R126" s="28" t="str">
        <f t="shared" si="3"/>
        <v>MOHAMMAD MAKKI RAFIQNA ADABI</v>
      </c>
    </row>
    <row r="127">
      <c r="A127" s="27">
        <f>IFERROR(__xludf.DUMMYFUNCTION("""COMPUTED_VALUE"""),126.0)</f>
        <v>126</v>
      </c>
      <c r="B127" s="28" t="str">
        <f>IFERROR(__xludf.DUMMYFUNCTION("""COMPUTED_VALUE"""),"MOHAMMAD RIDHO")</f>
        <v>MOHAMMAD RIDHO</v>
      </c>
      <c r="C127" s="28">
        <f>IFERROR(__xludf.DUMMYFUNCTION("""COMPUTED_VALUE"""),2.025070376E9)</f>
        <v>2025070376</v>
      </c>
      <c r="D127" s="27" t="str">
        <f>IFERROR(__xludf.DUMMYFUNCTION("""COMPUTED_VALUE"""),"A")</f>
        <v>A</v>
      </c>
      <c r="E127" s="27" t="str">
        <f>IFERROR(__xludf.DUMMYFUNCTION("""COMPUTED_VALUE"""),"A-4")</f>
        <v>A-4</v>
      </c>
      <c r="F127" s="31">
        <f>IFERROR(__xludf.DUMMYFUNCTION("""COMPUTED_VALUE"""),2.0)</f>
        <v>2</v>
      </c>
      <c r="G127" s="27" t="str">
        <f>IFERROR(__xludf.DUMMYFUNCTION("""COMPUTED_VALUE"""),"2 WUSTHO B PUTRA")</f>
        <v>2 WUSTHO B PUTRA</v>
      </c>
      <c r="H127" s="28" t="str">
        <f>IFERROR(__xludf.DUMMYFUNCTION("""COMPUTED_VALUE"""),"MA-XI.5")</f>
        <v>MA-XI.5</v>
      </c>
      <c r="I127" s="28" t="str">
        <f>IFERROR(__xludf.DUMMYFUNCTION("""COMPUTED_VALUE"""),"SITI MAHMUDAH")</f>
        <v>SITI MAHMUDAH</v>
      </c>
      <c r="J127" s="28" t="str">
        <f>IFERROR(__xludf.DUMMYFUNCTION("""COMPUTED_VALUE"""),"BAMBANG RT 004 RW 001 TURI LAMONGAN")</f>
        <v>BAMBANG RT 004 RW 001 TURI LAMONGAN</v>
      </c>
      <c r="K127" s="28" t="str">
        <f>IFERROR(__xludf.DUMMYFUNCTION("""COMPUTED_VALUE"""),"6285718313441")</f>
        <v>6285718313441</v>
      </c>
      <c r="L127" s="22">
        <f>IFERROR(__xludf.DUMMYFUNCTION("""COMPUTED_VALUE"""),0.0)</f>
        <v>0</v>
      </c>
      <c r="M127" s="22">
        <f>IFERROR(__xludf.DUMMYFUNCTION("""COMPUTED_VALUE"""),1000000.0)</f>
        <v>1000000</v>
      </c>
      <c r="N127" s="22">
        <f>IFERROR(__xludf.DUMMYFUNCTION("""COMPUTED_VALUE"""),0.0)</f>
        <v>0</v>
      </c>
      <c r="O127" s="22">
        <f>IFERROR(__xludf.DUMMYFUNCTION("""COMPUTED_VALUE"""),1000000.0)</f>
        <v>1000000</v>
      </c>
      <c r="P127" s="28" t="str">
        <f t="shared" si="1"/>
        <v>LUNAS</v>
      </c>
      <c r="Q127" s="28">
        <f t="shared" si="2"/>
        <v>97</v>
      </c>
      <c r="R127" s="28" t="str">
        <f t="shared" si="3"/>
        <v>MOHAMMAD RIDHO</v>
      </c>
    </row>
    <row r="128">
      <c r="A128" s="27">
        <f>IFERROR(__xludf.DUMMYFUNCTION("""COMPUTED_VALUE"""),127.0)</f>
        <v>127</v>
      </c>
      <c r="B128" s="28" t="str">
        <f>IFERROR(__xludf.DUMMYFUNCTION("""COMPUTED_VALUE"""),"MUHAMMAD BAHRU NADA")</f>
        <v>MUHAMMAD BAHRU NADA</v>
      </c>
      <c r="C128" s="28">
        <f>IFERROR(__xludf.DUMMYFUNCTION("""COMPUTED_VALUE"""),2.025070228E9)</f>
        <v>2025070228</v>
      </c>
      <c r="D128" s="27" t="str">
        <f>IFERROR(__xludf.DUMMYFUNCTION("""COMPUTED_VALUE"""),"A")</f>
        <v>A</v>
      </c>
      <c r="E128" s="27" t="str">
        <f>IFERROR(__xludf.DUMMYFUNCTION("""COMPUTED_VALUE"""),"A-4")</f>
        <v>A-4</v>
      </c>
      <c r="F128" s="31">
        <f>IFERROR(__xludf.DUMMYFUNCTION("""COMPUTED_VALUE"""),2.0)</f>
        <v>2</v>
      </c>
      <c r="G128" s="27" t="str">
        <f>IFERROR(__xludf.DUMMYFUNCTION("""COMPUTED_VALUE"""),"2 WUSTHO B PUTRA")</f>
        <v>2 WUSTHO B PUTRA</v>
      </c>
      <c r="H128" s="28" t="str">
        <f>IFERROR(__xludf.DUMMYFUNCTION("""COMPUTED_VALUE"""),"MA-XI.6")</f>
        <v>MA-XI.6</v>
      </c>
      <c r="I128" s="28" t="str">
        <f>IFERROR(__xludf.DUMMYFUNCTION("""COMPUTED_VALUE"""),"JUWARMIN")</f>
        <v>JUWARMIN</v>
      </c>
      <c r="J128" s="28" t="str">
        <f>IFERROR(__xludf.DUMMYFUNCTION("""COMPUTED_VALUE"""),"TEJOASRI RT 003 RW 001 LAREN LAMONGAN")</f>
        <v>TEJOASRI RT 003 RW 001 LAREN LAMONGAN</v>
      </c>
      <c r="K128" s="28" t="str">
        <f>IFERROR(__xludf.DUMMYFUNCTION("""COMPUTED_VALUE"""),"6281332375889")</f>
        <v>6281332375889</v>
      </c>
      <c r="L128" s="22">
        <f>IFERROR(__xludf.DUMMYFUNCTION("""COMPUTED_VALUE"""),0.0)</f>
        <v>0</v>
      </c>
      <c r="M128" s="22">
        <f>IFERROR(__xludf.DUMMYFUNCTION("""COMPUTED_VALUE"""),1000000.0)</f>
        <v>1000000</v>
      </c>
      <c r="N128" s="22">
        <f>IFERROR(__xludf.DUMMYFUNCTION("""COMPUTED_VALUE"""),0.0)</f>
        <v>0</v>
      </c>
      <c r="O128" s="22">
        <f>IFERROR(__xludf.DUMMYFUNCTION("""COMPUTED_VALUE"""),1000000.0)</f>
        <v>1000000</v>
      </c>
      <c r="P128" s="28" t="str">
        <f t="shared" si="1"/>
        <v>LUNAS</v>
      </c>
      <c r="Q128" s="28">
        <f t="shared" si="2"/>
        <v>98</v>
      </c>
      <c r="R128" s="28" t="str">
        <f t="shared" si="3"/>
        <v>MUHAMMAD BAHRU NADA</v>
      </c>
    </row>
    <row r="129">
      <c r="A129" s="27">
        <f>IFERROR(__xludf.DUMMYFUNCTION("""COMPUTED_VALUE"""),128.0)</f>
        <v>128</v>
      </c>
      <c r="B129" s="28" t="str">
        <f>IFERROR(__xludf.DUMMYFUNCTION("""COMPUTED_VALUE"""),"MUHAMMAD MAULIDI NURWAHID")</f>
        <v>MUHAMMAD MAULIDI NURWAHID</v>
      </c>
      <c r="C129" s="28">
        <f>IFERROR(__xludf.DUMMYFUNCTION("""COMPUTED_VALUE"""),2.02507007E9)</f>
        <v>2025070070</v>
      </c>
      <c r="D129" s="27" t="str">
        <f>IFERROR(__xludf.DUMMYFUNCTION("""COMPUTED_VALUE"""),"A")</f>
        <v>A</v>
      </c>
      <c r="E129" s="27" t="str">
        <f>IFERROR(__xludf.DUMMYFUNCTION("""COMPUTED_VALUE"""),"A-4")</f>
        <v>A-4</v>
      </c>
      <c r="F129" s="31">
        <f>IFERROR(__xludf.DUMMYFUNCTION("""COMPUTED_VALUE"""),2.0)</f>
        <v>2</v>
      </c>
      <c r="G129" s="27" t="str">
        <f>IFERROR(__xludf.DUMMYFUNCTION("""COMPUTED_VALUE"""),"2 WUSTHO B PUTRA")</f>
        <v>2 WUSTHO B PUTRA</v>
      </c>
      <c r="H129" s="28" t="str">
        <f>IFERROR(__xludf.DUMMYFUNCTION("""COMPUTED_VALUE"""),"MA-XI.8")</f>
        <v>MA-XI.8</v>
      </c>
      <c r="I129" s="28" t="str">
        <f>IFERROR(__xludf.DUMMYFUNCTION("""COMPUTED_VALUE"""),"ZULAEMAH")</f>
        <v>ZULAEMAH</v>
      </c>
      <c r="J129" s="28" t="str">
        <f>IFERROR(__xludf.DUMMYFUNCTION("""COMPUTED_VALUE"""),"RAJAWALI TANGGUNGAN RT 003 RW 001 PUCUK LAMONGAN")</f>
        <v>RAJAWALI TANGGUNGAN RT 003 RW 001 PUCUK LAMONGAN</v>
      </c>
      <c r="K129" s="28" t="str">
        <f>IFERROR(__xludf.DUMMYFUNCTION("""COMPUTED_VALUE"""),"62895391636106")</f>
        <v>62895391636106</v>
      </c>
      <c r="L129" s="22">
        <f>IFERROR(__xludf.DUMMYFUNCTION("""COMPUTED_VALUE"""),450000.0)</f>
        <v>450000</v>
      </c>
      <c r="M129" s="22">
        <f>IFERROR(__xludf.DUMMYFUNCTION("""COMPUTED_VALUE"""),1000000.0)</f>
        <v>1000000</v>
      </c>
      <c r="N129" s="22">
        <f>IFERROR(__xludf.DUMMYFUNCTION("""COMPUTED_VALUE"""),0.0)</f>
        <v>0</v>
      </c>
      <c r="O129" s="22">
        <f>IFERROR(__xludf.DUMMYFUNCTION("""COMPUTED_VALUE"""),1450000.0)</f>
        <v>1450000</v>
      </c>
      <c r="P129" s="28" t="str">
        <f t="shared" si="1"/>
        <v>LUNAS</v>
      </c>
      <c r="Q129" s="28">
        <f t="shared" si="2"/>
        <v>53</v>
      </c>
      <c r="R129" s="28" t="str">
        <f t="shared" si="3"/>
        <v>MUHAMMAD MAULIDI NURWAHID</v>
      </c>
    </row>
    <row r="130">
      <c r="A130" s="27">
        <f>IFERROR(__xludf.DUMMYFUNCTION("""COMPUTED_VALUE"""),129.0)</f>
        <v>129</v>
      </c>
      <c r="B130" s="28" t="str">
        <f>IFERROR(__xludf.DUMMYFUNCTION("""COMPUTED_VALUE"""),"MUHAMMAD RAFFA NUR RAMADHAN")</f>
        <v>MUHAMMAD RAFFA NUR RAMADHAN</v>
      </c>
      <c r="C130" s="28">
        <f>IFERROR(__xludf.DUMMYFUNCTION("""COMPUTED_VALUE"""),2.025070065E9)</f>
        <v>2025070065</v>
      </c>
      <c r="D130" s="27" t="str">
        <f>IFERROR(__xludf.DUMMYFUNCTION("""COMPUTED_VALUE"""),"A")</f>
        <v>A</v>
      </c>
      <c r="E130" s="27" t="str">
        <f>IFERROR(__xludf.DUMMYFUNCTION("""COMPUTED_VALUE"""),"A-4")</f>
        <v>A-4</v>
      </c>
      <c r="F130" s="31">
        <f>IFERROR(__xludf.DUMMYFUNCTION("""COMPUTED_VALUE"""),2.0)</f>
        <v>2</v>
      </c>
      <c r="G130" s="27" t="str">
        <f>IFERROR(__xludf.DUMMYFUNCTION("""COMPUTED_VALUE"""),"2 WUSTHO B PUTRA")</f>
        <v>2 WUSTHO B PUTRA</v>
      </c>
      <c r="H130" s="28" t="str">
        <f>IFERROR(__xludf.DUMMYFUNCTION("""COMPUTED_VALUE"""),"MA-XI.8")</f>
        <v>MA-XI.8</v>
      </c>
      <c r="I130" s="28" t="str">
        <f>IFERROR(__xludf.DUMMYFUNCTION("""COMPUTED_VALUE"""),"MUYASIROTUL UMAH")</f>
        <v>MUYASIROTUL UMAH</v>
      </c>
      <c r="J130" s="28" t="str">
        <f>IFERROR(__xludf.DUMMYFUNCTION("""COMPUTED_VALUE"""),"BLURI RT 009 RW 002 SOLOKURO LAMONGAN")</f>
        <v>BLURI RT 009 RW 002 SOLOKURO LAMONGAN</v>
      </c>
      <c r="K130" s="28" t="str">
        <f>IFERROR(__xludf.DUMMYFUNCTION("""COMPUTED_VALUE"""),"6285852311302")</f>
        <v>6285852311302</v>
      </c>
      <c r="L130" s="22">
        <f>IFERROR(__xludf.DUMMYFUNCTION("""COMPUTED_VALUE"""),4950000.0)</f>
        <v>4950000</v>
      </c>
      <c r="M130" s="22">
        <f>IFERROR(__xludf.DUMMYFUNCTION("""COMPUTED_VALUE"""),1000000.0)</f>
        <v>1000000</v>
      </c>
      <c r="N130" s="22">
        <f>IFERROR(__xludf.DUMMYFUNCTION("""COMPUTED_VALUE"""),0.0)</f>
        <v>0</v>
      </c>
      <c r="O130" s="22">
        <f>IFERROR(__xludf.DUMMYFUNCTION("""COMPUTED_VALUE"""),5950000.0)</f>
        <v>5950000</v>
      </c>
      <c r="P130" s="28" t="str">
        <f t="shared" si="1"/>
        <v>LUNAS</v>
      </c>
      <c r="Q130" s="28">
        <f t="shared" si="2"/>
        <v>6</v>
      </c>
      <c r="R130" s="28" t="str">
        <f t="shared" si="3"/>
        <v>MUHAMMAD RAFFA NUR RAMADHAN</v>
      </c>
    </row>
    <row r="131">
      <c r="A131" s="27">
        <f>IFERROR(__xludf.DUMMYFUNCTION("""COMPUTED_VALUE"""),130.0)</f>
        <v>130</v>
      </c>
      <c r="B131" s="28" t="str">
        <f>IFERROR(__xludf.DUMMYFUNCTION("""COMPUTED_VALUE"""),"MUHAMMAD RAZIQ RAHMAN")</f>
        <v>MUHAMMAD RAZIQ RAHMAN</v>
      </c>
      <c r="C131" s="28">
        <f>IFERROR(__xludf.DUMMYFUNCTION("""COMPUTED_VALUE"""),2.02507004E9)</f>
        <v>2025070040</v>
      </c>
      <c r="D131" s="27" t="str">
        <f>IFERROR(__xludf.DUMMYFUNCTION("""COMPUTED_VALUE"""),"A")</f>
        <v>A</v>
      </c>
      <c r="E131" s="27" t="str">
        <f>IFERROR(__xludf.DUMMYFUNCTION("""COMPUTED_VALUE"""),"A-4")</f>
        <v>A-4</v>
      </c>
      <c r="F131" s="31">
        <f>IFERROR(__xludf.DUMMYFUNCTION("""COMPUTED_VALUE"""),2.0)</f>
        <v>2</v>
      </c>
      <c r="G131" s="27" t="str">
        <f>IFERROR(__xludf.DUMMYFUNCTION("""COMPUTED_VALUE"""),"2 WUSTHO B PUTRA")</f>
        <v>2 WUSTHO B PUTRA</v>
      </c>
      <c r="H131" s="28" t="str">
        <f>IFERROR(__xludf.DUMMYFUNCTION("""COMPUTED_VALUE"""),"MA-XI.9")</f>
        <v>MA-XI.9</v>
      </c>
      <c r="I131" s="28" t="str">
        <f>IFERROR(__xludf.DUMMYFUNCTION("""COMPUTED_VALUE"""),"MUSLIHAH")</f>
        <v>MUSLIHAH</v>
      </c>
      <c r="J131" s="28" t="str">
        <f>IFERROR(__xludf.DUMMYFUNCTION("""COMPUTED_VALUE"""),"SAWO RT 008 RW 004 DUKUN GRESIK")</f>
        <v>SAWO RT 008 RW 004 DUKUN GRESIK</v>
      </c>
      <c r="K131" s="28" t="str">
        <f>IFERROR(__xludf.DUMMYFUNCTION("""COMPUTED_VALUE"""),"6285815333968")</f>
        <v>6285815333968</v>
      </c>
      <c r="L131" s="22">
        <f>IFERROR(__xludf.DUMMYFUNCTION("""COMPUTED_VALUE"""),0.0)</f>
        <v>0</v>
      </c>
      <c r="M131" s="22">
        <f>IFERROR(__xludf.DUMMYFUNCTION("""COMPUTED_VALUE"""),1000000.0)</f>
        <v>1000000</v>
      </c>
      <c r="N131" s="22">
        <f>IFERROR(__xludf.DUMMYFUNCTION("""COMPUTED_VALUE"""),0.0)</f>
        <v>0</v>
      </c>
      <c r="O131" s="22">
        <f>IFERROR(__xludf.DUMMYFUNCTION("""COMPUTED_VALUE"""),1000000.0)</f>
        <v>1000000</v>
      </c>
      <c r="P131" s="28" t="str">
        <f t="shared" si="1"/>
        <v>LUNAS</v>
      </c>
      <c r="Q131" s="28">
        <f t="shared" si="2"/>
        <v>99</v>
      </c>
      <c r="R131" s="28" t="str">
        <f t="shared" si="3"/>
        <v>MUHAMMAD RAZIQ RAHMAN</v>
      </c>
    </row>
    <row r="132">
      <c r="A132" s="27">
        <f>IFERROR(__xludf.DUMMYFUNCTION("""COMPUTED_VALUE"""),131.0)</f>
        <v>131</v>
      </c>
      <c r="B132" s="28" t="str">
        <f>IFERROR(__xludf.DUMMYFUNCTION("""COMPUTED_VALUE"""),"MUHAMMAD RIZKI RAMDHANI")</f>
        <v>MUHAMMAD RIZKI RAMDHANI</v>
      </c>
      <c r="C132" s="28">
        <f>IFERROR(__xludf.DUMMYFUNCTION("""COMPUTED_VALUE"""),2.025070452E9)</f>
        <v>2025070452</v>
      </c>
      <c r="D132" s="27" t="str">
        <f>IFERROR(__xludf.DUMMYFUNCTION("""COMPUTED_VALUE"""),"A")</f>
        <v>A</v>
      </c>
      <c r="E132" s="27" t="str">
        <f>IFERROR(__xludf.DUMMYFUNCTION("""COMPUTED_VALUE"""),"A-4")</f>
        <v>A-4</v>
      </c>
      <c r="F132" s="31">
        <f>IFERROR(__xludf.DUMMYFUNCTION("""COMPUTED_VALUE"""),2.0)</f>
        <v>2</v>
      </c>
      <c r="G132" s="27" t="str">
        <f>IFERROR(__xludf.DUMMYFUNCTION("""COMPUTED_VALUE"""),"2 WUSTHO B PUTRA")</f>
        <v>2 WUSTHO B PUTRA</v>
      </c>
      <c r="H132" s="28" t="str">
        <f>IFERROR(__xludf.DUMMYFUNCTION("""COMPUTED_VALUE"""),"SMK-XI TKJ 1")</f>
        <v>SMK-XI TKJ 1</v>
      </c>
      <c r="I132" s="28" t="str">
        <f>IFERROR(__xludf.DUMMYFUNCTION("""COMPUTED_VALUE"""),"SITI ROHIMAH")</f>
        <v>SITI ROHIMAH</v>
      </c>
      <c r="J132" s="28" t="str">
        <f>IFERROR(__xludf.DUMMYFUNCTION("""COMPUTED_VALUE"""),"BAMBANG RT 004 RW 002 TURI LAMONGAN")</f>
        <v>BAMBANG RT 004 RW 002 TURI LAMONGAN</v>
      </c>
      <c r="K132" s="28" t="str">
        <f>IFERROR(__xludf.DUMMYFUNCTION("""COMPUTED_VALUE"""),"6285730186043")</f>
        <v>6285730186043</v>
      </c>
      <c r="L132" s="22">
        <f>IFERROR(__xludf.DUMMYFUNCTION("""COMPUTED_VALUE"""),0.0)</f>
        <v>0</v>
      </c>
      <c r="M132" s="22">
        <f>IFERROR(__xludf.DUMMYFUNCTION("""COMPUTED_VALUE"""),1000000.0)</f>
        <v>1000000</v>
      </c>
      <c r="N132" s="22">
        <f>IFERROR(__xludf.DUMMYFUNCTION("""COMPUTED_VALUE"""),0.0)</f>
        <v>0</v>
      </c>
      <c r="O132" s="22">
        <f>IFERROR(__xludf.DUMMYFUNCTION("""COMPUTED_VALUE"""),1000000.0)</f>
        <v>1000000</v>
      </c>
      <c r="P132" s="28" t="str">
        <f t="shared" si="1"/>
        <v>LUNAS</v>
      </c>
      <c r="Q132" s="28">
        <f t="shared" si="2"/>
        <v>100</v>
      </c>
      <c r="R132" s="28" t="str">
        <f t="shared" si="3"/>
        <v>MUHAMMAD RIZKI RAMDHANI</v>
      </c>
    </row>
    <row r="133">
      <c r="A133" s="27">
        <f>IFERROR(__xludf.DUMMYFUNCTION("""COMPUTED_VALUE"""),132.0)</f>
        <v>132</v>
      </c>
      <c r="B133" s="28" t="str">
        <f>IFERROR(__xludf.DUMMYFUNCTION("""COMPUTED_VALUE"""),"MUHAMMAD WATSIQUZ ZIMAM")</f>
        <v>MUHAMMAD WATSIQUZ ZIMAM</v>
      </c>
      <c r="C133" s="28">
        <f>IFERROR(__xludf.DUMMYFUNCTION("""COMPUTED_VALUE"""),2.025070059E9)</f>
        <v>2025070059</v>
      </c>
      <c r="D133" s="27" t="str">
        <f>IFERROR(__xludf.DUMMYFUNCTION("""COMPUTED_VALUE"""),"A")</f>
        <v>A</v>
      </c>
      <c r="E133" s="27" t="str">
        <f>IFERROR(__xludf.DUMMYFUNCTION("""COMPUTED_VALUE"""),"A-4")</f>
        <v>A-4</v>
      </c>
      <c r="F133" s="31">
        <f>IFERROR(__xludf.DUMMYFUNCTION("""COMPUTED_VALUE"""),2.0)</f>
        <v>2</v>
      </c>
      <c r="G133" s="27" t="str">
        <f>IFERROR(__xludf.DUMMYFUNCTION("""COMPUTED_VALUE"""),"2 WUSTHO B PUTRA")</f>
        <v>2 WUSTHO B PUTRA</v>
      </c>
      <c r="H133" s="28" t="str">
        <f>IFERROR(__xludf.DUMMYFUNCTION("""COMPUTED_VALUE"""),"MA-XI.8")</f>
        <v>MA-XI.8</v>
      </c>
      <c r="I133" s="28" t="str">
        <f>IFERROR(__xludf.DUMMYFUNCTION("""COMPUTED_VALUE"""),"ZULAIKHAH")</f>
        <v>ZULAIKHAH</v>
      </c>
      <c r="J133" s="28" t="str">
        <f>IFERROR(__xludf.DUMMYFUNCTION("""COMPUTED_VALUE"""),"BLURI RT 003 RW 001 SOLOKURO LAMONGAN")</f>
        <v>BLURI RT 003 RW 001 SOLOKURO LAMONGAN</v>
      </c>
      <c r="K133" s="28" t="str">
        <f>IFERROR(__xludf.DUMMYFUNCTION("""COMPUTED_VALUE"""),"6285604191141")</f>
        <v>6285604191141</v>
      </c>
      <c r="L133" s="22">
        <f>IFERROR(__xludf.DUMMYFUNCTION("""COMPUTED_VALUE"""),1350000.0)</f>
        <v>1350000</v>
      </c>
      <c r="M133" s="22">
        <f>IFERROR(__xludf.DUMMYFUNCTION("""COMPUTED_VALUE"""),1000000.0)</f>
        <v>1000000</v>
      </c>
      <c r="N133" s="22">
        <f>IFERROR(__xludf.DUMMYFUNCTION("""COMPUTED_VALUE"""),0.0)</f>
        <v>0</v>
      </c>
      <c r="O133" s="22">
        <f>IFERROR(__xludf.DUMMYFUNCTION("""COMPUTED_VALUE"""),2350000.0)</f>
        <v>2350000</v>
      </c>
      <c r="P133" s="28" t="str">
        <f t="shared" si="1"/>
        <v>LUNAS</v>
      </c>
      <c r="Q133" s="28">
        <f t="shared" si="2"/>
        <v>33</v>
      </c>
      <c r="R133" s="28" t="str">
        <f t="shared" si="3"/>
        <v>MUHAMMAD WATSIQUZ ZIMAM</v>
      </c>
    </row>
    <row r="134">
      <c r="A134" s="27">
        <f>IFERROR(__xludf.DUMMYFUNCTION("""COMPUTED_VALUE"""),133.0)</f>
        <v>133</v>
      </c>
      <c r="B134" s="28" t="str">
        <f>IFERROR(__xludf.DUMMYFUNCTION("""COMPUTED_VALUE"""),"RADITYA GUNA ATMAJA")</f>
        <v>RADITYA GUNA ATMAJA</v>
      </c>
      <c r="C134" s="28">
        <f>IFERROR(__xludf.DUMMYFUNCTION("""COMPUTED_VALUE"""),2.025070014E9)</f>
        <v>2025070014</v>
      </c>
      <c r="D134" s="27" t="str">
        <f>IFERROR(__xludf.DUMMYFUNCTION("""COMPUTED_VALUE"""),"A")</f>
        <v>A</v>
      </c>
      <c r="E134" s="27" t="str">
        <f>IFERROR(__xludf.DUMMYFUNCTION("""COMPUTED_VALUE"""),"A-4")</f>
        <v>A-4</v>
      </c>
      <c r="F134" s="31">
        <f>IFERROR(__xludf.DUMMYFUNCTION("""COMPUTED_VALUE"""),2.0)</f>
        <v>2</v>
      </c>
      <c r="G134" s="27" t="str">
        <f>IFERROR(__xludf.DUMMYFUNCTION("""COMPUTED_VALUE"""),"2 WUSTHO B PUTRA")</f>
        <v>2 WUSTHO B PUTRA</v>
      </c>
      <c r="H134" s="28" t="str">
        <f>IFERROR(__xludf.DUMMYFUNCTION("""COMPUTED_VALUE"""),"MA-XI.4")</f>
        <v>MA-XI.4</v>
      </c>
      <c r="I134" s="28" t="str">
        <f>IFERROR(__xludf.DUMMYFUNCTION("""COMPUTED_VALUE"""),"SUIRAWATI")</f>
        <v>SUIRAWATI</v>
      </c>
      <c r="J134" s="28" t="str">
        <f>IFERROR(__xludf.DUMMYFUNCTION("""COMPUTED_VALUE"""),"WIDHE SENDANGHARJO RT 014 RW 002 BRONDONG LAMONGAN")</f>
        <v>WIDHE SENDANGHARJO RT 014 RW 002 BRONDONG LAMONGAN</v>
      </c>
      <c r="K134" s="28" t="str">
        <f>IFERROR(__xludf.DUMMYFUNCTION("""COMPUTED_VALUE"""),"6285708380208")</f>
        <v>6285708380208</v>
      </c>
      <c r="L134" s="22">
        <f>IFERROR(__xludf.DUMMYFUNCTION("""COMPUTED_VALUE"""),2700000.0)</f>
        <v>2700000</v>
      </c>
      <c r="M134" s="22">
        <f>IFERROR(__xludf.DUMMYFUNCTION("""COMPUTED_VALUE"""),0.0)</f>
        <v>0</v>
      </c>
      <c r="N134" s="22">
        <f>IFERROR(__xludf.DUMMYFUNCTION("""COMPUTED_VALUE"""),0.0)</f>
        <v>0</v>
      </c>
      <c r="O134" s="22">
        <f>IFERROR(__xludf.DUMMYFUNCTION("""COMPUTED_VALUE"""),2700000.0)</f>
        <v>2700000</v>
      </c>
      <c r="P134" s="28" t="str">
        <f t="shared" si="1"/>
        <v>LUNAS</v>
      </c>
      <c r="Q134" s="28">
        <f t="shared" si="2"/>
        <v>30</v>
      </c>
      <c r="R134" s="28" t="str">
        <f t="shared" si="3"/>
        <v>RADITYA GUNA ATMAJA</v>
      </c>
    </row>
    <row r="135">
      <c r="A135" s="27">
        <f>IFERROR(__xludf.DUMMYFUNCTION("""COMPUTED_VALUE"""),134.0)</f>
        <v>134</v>
      </c>
      <c r="B135" s="28" t="str">
        <f>IFERROR(__xludf.DUMMYFUNCTION("""COMPUTED_VALUE"""),"RAMANDA ALKATIRI PRINCE MUIS")</f>
        <v>RAMANDA ALKATIRI PRINCE MUIS</v>
      </c>
      <c r="C135" s="28">
        <f>IFERROR(__xludf.DUMMYFUNCTION("""COMPUTED_VALUE"""),2.025070369E9)</f>
        <v>2025070369</v>
      </c>
      <c r="D135" s="27" t="str">
        <f>IFERROR(__xludf.DUMMYFUNCTION("""COMPUTED_VALUE"""),"A")</f>
        <v>A</v>
      </c>
      <c r="E135" s="27" t="str">
        <f>IFERROR(__xludf.DUMMYFUNCTION("""COMPUTED_VALUE"""),"A-4")</f>
        <v>A-4</v>
      </c>
      <c r="F135" s="31">
        <f>IFERROR(__xludf.DUMMYFUNCTION("""COMPUTED_VALUE"""),2.0)</f>
        <v>2</v>
      </c>
      <c r="G135" s="27" t="str">
        <f>IFERROR(__xludf.DUMMYFUNCTION("""COMPUTED_VALUE"""),"2 WUSTHO B PUTRA")</f>
        <v>2 WUSTHO B PUTRA</v>
      </c>
      <c r="H135" s="28" t="str">
        <f>IFERROR(__xludf.DUMMYFUNCTION("""COMPUTED_VALUE"""),"MA-XI.2")</f>
        <v>MA-XI.2</v>
      </c>
      <c r="I135" s="28" t="str">
        <f>IFERROR(__xludf.DUMMYFUNCTION("""COMPUTED_VALUE"""),"RATNA SYARIYANI")</f>
        <v>RATNA SYARIYANI</v>
      </c>
      <c r="J135" s="28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K135" s="28" t="str">
        <f>IFERROR(__xludf.DUMMYFUNCTION("""COMPUTED_VALUE"""),"6281520481213")</f>
        <v>6281520481213</v>
      </c>
      <c r="L135" s="22">
        <f>IFERROR(__xludf.DUMMYFUNCTION("""COMPUTED_VALUE"""),0.0)</f>
        <v>0</v>
      </c>
      <c r="M135" s="22">
        <f>IFERROR(__xludf.DUMMYFUNCTION("""COMPUTED_VALUE"""),1000000.0)</f>
        <v>1000000</v>
      </c>
      <c r="N135" s="22">
        <f>IFERROR(__xludf.DUMMYFUNCTION("""COMPUTED_VALUE"""),0.0)</f>
        <v>0</v>
      </c>
      <c r="O135" s="22">
        <f>IFERROR(__xludf.DUMMYFUNCTION("""COMPUTED_VALUE"""),1000000.0)</f>
        <v>1000000</v>
      </c>
      <c r="P135" s="28" t="str">
        <f t="shared" si="1"/>
        <v>LUNAS</v>
      </c>
      <c r="Q135" s="28">
        <f t="shared" si="2"/>
        <v>101</v>
      </c>
      <c r="R135" s="28" t="str">
        <f t="shared" si="3"/>
        <v>RAMANDA ALKATIRI PRINCE MUIS</v>
      </c>
    </row>
    <row r="136">
      <c r="A136" s="27">
        <f>IFERROR(__xludf.DUMMYFUNCTION("""COMPUTED_VALUE"""),135.0)</f>
        <v>135</v>
      </c>
      <c r="B136" s="28" t="str">
        <f>IFERROR(__xludf.DUMMYFUNCTION("""COMPUTED_VALUE"""),"SA`ID AQIL AL MURTADLA")</f>
        <v>SA`ID AQIL AL MURTADLA</v>
      </c>
      <c r="C136" s="28">
        <f>IFERROR(__xludf.DUMMYFUNCTION("""COMPUTED_VALUE"""),2.025070294E9)</f>
        <v>2025070294</v>
      </c>
      <c r="D136" s="27" t="str">
        <f>IFERROR(__xludf.DUMMYFUNCTION("""COMPUTED_VALUE"""),"A")</f>
        <v>A</v>
      </c>
      <c r="E136" s="27" t="str">
        <f>IFERROR(__xludf.DUMMYFUNCTION("""COMPUTED_VALUE"""),"A-4")</f>
        <v>A-4</v>
      </c>
      <c r="F136" s="31">
        <f>IFERROR(__xludf.DUMMYFUNCTION("""COMPUTED_VALUE"""),2.0)</f>
        <v>2</v>
      </c>
      <c r="G136" s="27" t="str">
        <f>IFERROR(__xludf.DUMMYFUNCTION("""COMPUTED_VALUE"""),"2 WUSTHO B PUTRA")</f>
        <v>2 WUSTHO B PUTRA</v>
      </c>
      <c r="H136" s="28" t="str">
        <f>IFERROR(__xludf.DUMMYFUNCTION("""COMPUTED_VALUE"""),"MA-XI.5")</f>
        <v>MA-XI.5</v>
      </c>
      <c r="I136" s="28" t="str">
        <f>IFERROR(__xludf.DUMMYFUNCTION("""COMPUTED_VALUE"""),"NUR MA`RIFATUN")</f>
        <v>NUR MA`RIFATUN</v>
      </c>
      <c r="J136" s="28" t="str">
        <f>IFERROR(__xludf.DUMMYFUNCTION("""COMPUTED_VALUE"""),"SIDOMUKTI RT 010 RW 003 KEMBANGBAHU LAMONGAN")</f>
        <v>SIDOMUKTI RT 010 RW 003 KEMBANGBAHU LAMONGAN</v>
      </c>
      <c r="K136" s="28" t="str">
        <f>IFERROR(__xludf.DUMMYFUNCTION("""COMPUTED_VALUE"""),"6285730837888")</f>
        <v>6285730837888</v>
      </c>
      <c r="L136" s="22">
        <f>IFERROR(__xludf.DUMMYFUNCTION("""COMPUTED_VALUE"""),0.0)</f>
        <v>0</v>
      </c>
      <c r="M136" s="22">
        <f>IFERROR(__xludf.DUMMYFUNCTION("""COMPUTED_VALUE"""),1000000.0)</f>
        <v>1000000</v>
      </c>
      <c r="N136" s="22">
        <f>IFERROR(__xludf.DUMMYFUNCTION("""COMPUTED_VALUE"""),0.0)</f>
        <v>0</v>
      </c>
      <c r="O136" s="22">
        <f>IFERROR(__xludf.DUMMYFUNCTION("""COMPUTED_VALUE"""),1000000.0)</f>
        <v>1000000</v>
      </c>
      <c r="P136" s="28" t="str">
        <f t="shared" si="1"/>
        <v>LUNAS</v>
      </c>
      <c r="Q136" s="28">
        <f t="shared" si="2"/>
        <v>102</v>
      </c>
      <c r="R136" s="28" t="str">
        <f t="shared" si="3"/>
        <v>SA`ID AQIL AL MURTADLA</v>
      </c>
    </row>
    <row r="137">
      <c r="A137" s="27">
        <f>IFERROR(__xludf.DUMMYFUNCTION("""COMPUTED_VALUE"""),136.0)</f>
        <v>136</v>
      </c>
      <c r="B137" s="28" t="str">
        <f>IFERROR(__xludf.DUMMYFUNCTION("""COMPUTED_VALUE"""),"SYARIFUDIN ZUHRI JAELANI IRSYAD")</f>
        <v>SYARIFUDIN ZUHRI JAELANI IRSYAD</v>
      </c>
      <c r="C137" s="28">
        <f>IFERROR(__xludf.DUMMYFUNCTION("""COMPUTED_VALUE"""),2.025070403E9)</f>
        <v>2025070403</v>
      </c>
      <c r="D137" s="27" t="str">
        <f>IFERROR(__xludf.DUMMYFUNCTION("""COMPUTED_VALUE"""),"A")</f>
        <v>A</v>
      </c>
      <c r="E137" s="27" t="str">
        <f>IFERROR(__xludf.DUMMYFUNCTION("""COMPUTED_VALUE"""),"A-4")</f>
        <v>A-4</v>
      </c>
      <c r="F137" s="31">
        <f>IFERROR(__xludf.DUMMYFUNCTION("""COMPUTED_VALUE"""),2.0)</f>
        <v>2</v>
      </c>
      <c r="G137" s="27" t="str">
        <f>IFERROR(__xludf.DUMMYFUNCTION("""COMPUTED_VALUE"""),"2 MAK PUTRA")</f>
        <v>2 MAK PUTRA</v>
      </c>
      <c r="H137" s="28" t="str">
        <f>IFERROR(__xludf.DUMMYFUNCTION("""COMPUTED_VALUE"""),"MA-XI.13")</f>
        <v>MA-XI.13</v>
      </c>
      <c r="I137" s="28" t="str">
        <f>IFERROR(__xludf.DUMMYFUNCTION("""COMPUTED_VALUE"""),"ILYA HASANAH")</f>
        <v>ILYA HASANAH</v>
      </c>
      <c r="J137" s="28" t="str">
        <f>IFERROR(__xludf.DUMMYFUNCTION("""COMPUTED_VALUE"""),"DJATI SUKOSONGO RT 003 RW 002 KEMBANGBAHU LAMONGAN")</f>
        <v>DJATI SUKOSONGO RT 003 RW 002 KEMBANGBAHU LAMONGAN</v>
      </c>
      <c r="K137" s="28" t="str">
        <f>IFERROR(__xludf.DUMMYFUNCTION("""COMPUTED_VALUE"""),"6281331364804")</f>
        <v>6281331364804</v>
      </c>
      <c r="L137" s="22">
        <f>IFERROR(__xludf.DUMMYFUNCTION("""COMPUTED_VALUE"""),0.0)</f>
        <v>0</v>
      </c>
      <c r="M137" s="22">
        <f>IFERROR(__xludf.DUMMYFUNCTION("""COMPUTED_VALUE"""),1000000.0)</f>
        <v>1000000</v>
      </c>
      <c r="N137" s="22">
        <f>IFERROR(__xludf.DUMMYFUNCTION("""COMPUTED_VALUE"""),0.0)</f>
        <v>0</v>
      </c>
      <c r="O137" s="22">
        <f>IFERROR(__xludf.DUMMYFUNCTION("""COMPUTED_VALUE"""),1000000.0)</f>
        <v>1000000</v>
      </c>
      <c r="P137" s="28" t="str">
        <f t="shared" si="1"/>
        <v>LUNAS</v>
      </c>
      <c r="Q137" s="28">
        <f t="shared" si="2"/>
        <v>103</v>
      </c>
      <c r="R137" s="28" t="str">
        <f t="shared" si="3"/>
        <v>SYARIFUDIN ZUHRI JAELANI IRSYAD</v>
      </c>
    </row>
    <row r="138">
      <c r="A138" s="27">
        <f>IFERROR(__xludf.DUMMYFUNCTION("""COMPUTED_VALUE"""),137.0)</f>
        <v>137</v>
      </c>
      <c r="B138" s="28" t="str">
        <f>IFERROR(__xludf.DUMMYFUNCTION("""COMPUTED_VALUE"""),"SYHARIL FIRMAN MAULANA IRLANGGAH")</f>
        <v>SYHARIL FIRMAN MAULANA IRLANGGAH</v>
      </c>
      <c r="C138" s="28">
        <f>IFERROR(__xludf.DUMMYFUNCTION("""COMPUTED_VALUE"""),2.025070396E9)</f>
        <v>2025070396</v>
      </c>
      <c r="D138" s="27" t="str">
        <f>IFERROR(__xludf.DUMMYFUNCTION("""COMPUTED_VALUE"""),"A")</f>
        <v>A</v>
      </c>
      <c r="E138" s="27" t="str">
        <f>IFERROR(__xludf.DUMMYFUNCTION("""COMPUTED_VALUE"""),"A-4")</f>
        <v>A-4</v>
      </c>
      <c r="F138" s="31">
        <f>IFERROR(__xludf.DUMMYFUNCTION("""COMPUTED_VALUE"""),2.0)</f>
        <v>2</v>
      </c>
      <c r="G138" s="27" t="str">
        <f>IFERROR(__xludf.DUMMYFUNCTION("""COMPUTED_VALUE"""),"2 WUSTHO B PUTRA")</f>
        <v>2 WUSTHO B PUTRA</v>
      </c>
      <c r="H138" s="28" t="str">
        <f>IFERROR(__xludf.DUMMYFUNCTION("""COMPUTED_VALUE"""),"MA-XI.8")</f>
        <v>MA-XI.8</v>
      </c>
      <c r="I138" s="28" t="str">
        <f>IFERROR(__xludf.DUMMYFUNCTION("""COMPUTED_VALUE"""),"NINGSIH")</f>
        <v>NINGSIH</v>
      </c>
      <c r="J138" s="28" t="str">
        <f>IFERROR(__xludf.DUMMYFUNCTION("""COMPUTED_VALUE"""),"TAMAN PRIJEG TAMAN PRIJEK RT 006 RW 002 LAREN LAMONGAN")</f>
        <v>TAMAN PRIJEG TAMAN PRIJEK RT 006 RW 002 LAREN LAMONGAN</v>
      </c>
      <c r="K138" s="28" t="str">
        <f>IFERROR(__xludf.DUMMYFUNCTION("""COMPUTED_VALUE"""),"6285846482646")</f>
        <v>6285846482646</v>
      </c>
      <c r="L138" s="22">
        <f>IFERROR(__xludf.DUMMYFUNCTION("""COMPUTED_VALUE"""),4050000.0)</f>
        <v>4050000</v>
      </c>
      <c r="M138" s="22">
        <f>IFERROR(__xludf.DUMMYFUNCTION("""COMPUTED_VALUE"""),1600000.0)</f>
        <v>1600000</v>
      </c>
      <c r="N138" s="22">
        <f>IFERROR(__xludf.DUMMYFUNCTION("""COMPUTED_VALUE"""),0.0)</f>
        <v>0</v>
      </c>
      <c r="O138" s="22">
        <f>IFERROR(__xludf.DUMMYFUNCTION("""COMPUTED_VALUE"""),5650000.0)</f>
        <v>5650000</v>
      </c>
      <c r="P138" s="28" t="str">
        <f t="shared" si="1"/>
        <v>LUNAS</v>
      </c>
      <c r="Q138" s="28">
        <f t="shared" si="2"/>
        <v>11</v>
      </c>
      <c r="R138" s="28" t="str">
        <f t="shared" si="3"/>
        <v>SYHARIL FIRMAN MAULANA IRLANGGAH</v>
      </c>
    </row>
    <row r="139">
      <c r="A139" s="27">
        <f>IFERROR(__xludf.DUMMYFUNCTION("""COMPUTED_VALUE"""),138.0)</f>
        <v>138</v>
      </c>
      <c r="B139" s="28" t="str">
        <f>IFERROR(__xludf.DUMMYFUNCTION("""COMPUTED_VALUE"""),"YOGA PUTRA PRATAMA")</f>
        <v>YOGA PUTRA PRATAMA</v>
      </c>
      <c r="C139" s="28">
        <f>IFERROR(__xludf.DUMMYFUNCTION("""COMPUTED_VALUE"""),2.025070462E9)</f>
        <v>2025070462</v>
      </c>
      <c r="D139" s="27" t="str">
        <f>IFERROR(__xludf.DUMMYFUNCTION("""COMPUTED_VALUE"""),"A")</f>
        <v>A</v>
      </c>
      <c r="E139" s="27" t="str">
        <f>IFERROR(__xludf.DUMMYFUNCTION("""COMPUTED_VALUE"""),"A-4")</f>
        <v>A-4</v>
      </c>
      <c r="F139" s="31">
        <f>IFERROR(__xludf.DUMMYFUNCTION("""COMPUTED_VALUE"""),2.0)</f>
        <v>2</v>
      </c>
      <c r="G139" s="27" t="str">
        <f>IFERROR(__xludf.DUMMYFUNCTION("""COMPUTED_VALUE"""),"2 WUSTHO B PUTRA")</f>
        <v>2 WUSTHO B PUTRA</v>
      </c>
      <c r="H139" s="28" t="str">
        <f>IFERROR(__xludf.DUMMYFUNCTION("""COMPUTED_VALUE"""),"SMK-XI TSM")</f>
        <v>SMK-XI TSM</v>
      </c>
      <c r="I139" s="28" t="str">
        <f>IFERROR(__xludf.DUMMYFUNCTION("""COMPUTED_VALUE"""),"NUZIFATIN")</f>
        <v>NUZIFATIN</v>
      </c>
      <c r="J139" s="28" t="str">
        <f>IFERROR(__xludf.DUMMYFUNCTION("""COMPUTED_VALUE"""),"MOJOPETUNG RT 004 RW 002 DUKUN GRESIK")</f>
        <v>MOJOPETUNG RT 004 RW 002 DUKUN GRESIK</v>
      </c>
      <c r="K139" s="28" t="str">
        <f>IFERROR(__xludf.DUMMYFUNCTION("""COMPUTED_VALUE"""),"6285604385253")</f>
        <v>6285604385253</v>
      </c>
      <c r="L139" s="22">
        <f>IFERROR(__xludf.DUMMYFUNCTION("""COMPUTED_VALUE"""),0.0)</f>
        <v>0</v>
      </c>
      <c r="M139" s="22">
        <f>IFERROR(__xludf.DUMMYFUNCTION("""COMPUTED_VALUE"""),0.0)</f>
        <v>0</v>
      </c>
      <c r="N139" s="22">
        <f>IFERROR(__xludf.DUMMYFUNCTION("""COMPUTED_VALUE"""),0.0)</f>
        <v>0</v>
      </c>
      <c r="O139" s="22">
        <f>IFERROR(__xludf.DUMMYFUNCTION("""COMPUTED_VALUE"""),0.0)</f>
        <v>0</v>
      </c>
      <c r="P139" s="28" t="str">
        <f t="shared" si="1"/>
        <v>LUNAS</v>
      </c>
      <c r="Q139" s="28">
        <f t="shared" si="2"/>
        <v>187</v>
      </c>
      <c r="R139" s="28" t="str">
        <f t="shared" si="3"/>
        <v>YOGA PUTRA PRATAMA</v>
      </c>
    </row>
    <row r="140">
      <c r="A140" s="27">
        <f>IFERROR(__xludf.DUMMYFUNCTION("""COMPUTED_VALUE"""),139.0)</f>
        <v>139</v>
      </c>
      <c r="B140" s="28" t="str">
        <f>IFERROR(__xludf.DUMMYFUNCTION("""COMPUTED_VALUE"""),"MUHAMMAD ULINNUHA")</f>
        <v>MUHAMMAD ULINNUHA</v>
      </c>
      <c r="C140" s="28">
        <f>IFERROR(__xludf.DUMMYFUNCTION("""COMPUTED_VALUE"""),2.024070034E9)</f>
        <v>2024070034</v>
      </c>
      <c r="D140" s="27" t="str">
        <f>IFERROR(__xludf.DUMMYFUNCTION("""COMPUTED_VALUE"""),"A")</f>
        <v>A</v>
      </c>
      <c r="E140" s="27" t="str">
        <f>IFERROR(__xludf.DUMMYFUNCTION("""COMPUTED_VALUE"""),"A-4")</f>
        <v>A-4</v>
      </c>
      <c r="F140" s="31">
        <f>IFERROR(__xludf.DUMMYFUNCTION("""COMPUTED_VALUE"""),3.0)</f>
        <v>3</v>
      </c>
      <c r="G140" s="27" t="str">
        <f>IFERROR(__xludf.DUMMYFUNCTION("""COMPUTED_VALUE"""),"3 WUSTHO PUTRA")</f>
        <v>3 WUSTHO PUTRA</v>
      </c>
      <c r="H140" s="28" t="str">
        <f>IFERROR(__xludf.DUMMYFUNCTION("""COMPUTED_VALUE"""),"MA-XII.2")</f>
        <v>MA-XII.2</v>
      </c>
      <c r="I140" s="28" t="str">
        <f>IFERROR(__xludf.DUMMYFUNCTION("""COMPUTED_VALUE"""),"RUKHOYATN")</f>
        <v>RUKHOYATN</v>
      </c>
      <c r="J140" s="28" t="str">
        <f>IFERROR(__xludf.DUMMYFUNCTION("""COMPUTED_VALUE"""),"WARUK RT 001 RW 002 KARANGBINANGUN LAMONGAN")</f>
        <v>WARUK RT 001 RW 002 KARANGBINANGUN LAMONGAN</v>
      </c>
      <c r="K140" s="28" t="str">
        <f>IFERROR(__xludf.DUMMYFUNCTION("""COMPUTED_VALUE"""),"6285230868111")</f>
        <v>6285230868111</v>
      </c>
      <c r="L140" s="22">
        <f>IFERROR(__xludf.DUMMYFUNCTION("""COMPUTED_VALUE"""),0.0)</f>
        <v>0</v>
      </c>
      <c r="M140" s="22">
        <f>IFERROR(__xludf.DUMMYFUNCTION("""COMPUTED_VALUE"""),0.0)</f>
        <v>0</v>
      </c>
      <c r="N140" s="22">
        <f>IFERROR(__xludf.DUMMYFUNCTION("""COMPUTED_VALUE"""),0.0)</f>
        <v>0</v>
      </c>
      <c r="O140" s="22">
        <f>IFERROR(__xludf.DUMMYFUNCTION("""COMPUTED_VALUE"""),0.0)</f>
        <v>0</v>
      </c>
      <c r="P140" s="28" t="str">
        <f t="shared" si="1"/>
        <v>LUNAS</v>
      </c>
      <c r="Q140" s="28">
        <f t="shared" si="2"/>
        <v>188</v>
      </c>
      <c r="R140" s="28" t="str">
        <f t="shared" si="3"/>
        <v>MUHAMMAD ULINNUHA</v>
      </c>
    </row>
    <row r="141">
      <c r="A141" s="27">
        <f>IFERROR(__xludf.DUMMYFUNCTION("""COMPUTED_VALUE"""),140.0)</f>
        <v>140</v>
      </c>
      <c r="B141" s="28" t="str">
        <f>IFERROR(__xludf.DUMMYFUNCTION("""COMPUTED_VALUE"""),"AHMAD WILDAN ARRIFQI")</f>
        <v>AHMAD WILDAN ARRIFQI</v>
      </c>
      <c r="C141" s="28">
        <f>IFERROR(__xludf.DUMMYFUNCTION("""COMPUTED_VALUE"""),2.025070651E9)</f>
        <v>2025070651</v>
      </c>
      <c r="D141" s="27" t="str">
        <f>IFERROR(__xludf.DUMMYFUNCTION("""COMPUTED_VALUE"""),"A")</f>
        <v>A</v>
      </c>
      <c r="E141" s="27" t="str">
        <f>IFERROR(__xludf.DUMMYFUNCTION("""COMPUTED_VALUE"""),"A-5")</f>
        <v>A-5</v>
      </c>
      <c r="F141" s="31">
        <f>IFERROR(__xludf.DUMMYFUNCTION("""COMPUTED_VALUE"""),2.0)</f>
        <v>2</v>
      </c>
      <c r="G141" s="27" t="str">
        <f>IFERROR(__xludf.DUMMYFUNCTION("""COMPUTED_VALUE"""),"ULA")</f>
        <v>ULA</v>
      </c>
      <c r="H141" s="28" t="str">
        <f>IFERROR(__xludf.DUMMYFUNCTION("""COMPUTED_VALUE"""),"#N/A")</f>
        <v>#N/A</v>
      </c>
      <c r="I141" s="28" t="str">
        <f>IFERROR(__xludf.DUMMYFUNCTION("""COMPUTED_VALUE"""),"SHOCHIBAH")</f>
        <v>SHOCHIBAH</v>
      </c>
      <c r="J141" s="28" t="str">
        <f>IFERROR(__xludf.DUMMYFUNCTION("""COMPUTED_VALUE"""),"IMAAN RT 001 RW 001 DUKUN GRESIK")</f>
        <v>IMAAN RT 001 RW 001 DUKUN GRESIK</v>
      </c>
      <c r="K141" s="28" t="str">
        <f>IFERROR(__xludf.DUMMYFUNCTION("""COMPUTED_VALUE"""),"6282143079056")</f>
        <v>6282143079056</v>
      </c>
      <c r="L141" s="22">
        <f>IFERROR(__xludf.DUMMYFUNCTION("""COMPUTED_VALUE"""),0.0)</f>
        <v>0</v>
      </c>
      <c r="M141" s="22">
        <f>IFERROR(__xludf.DUMMYFUNCTION("""COMPUTED_VALUE"""),0.0)</f>
        <v>0</v>
      </c>
      <c r="N141" s="22">
        <f>IFERROR(__xludf.DUMMYFUNCTION("""COMPUTED_VALUE"""),0.0)</f>
        <v>0</v>
      </c>
      <c r="O141" s="22">
        <f>IFERROR(__xludf.DUMMYFUNCTION("""COMPUTED_VALUE"""),0.0)</f>
        <v>0</v>
      </c>
      <c r="P141" s="28" t="str">
        <f t="shared" si="1"/>
        <v>LUNAS</v>
      </c>
      <c r="Q141" s="28">
        <f t="shared" si="2"/>
        <v>189</v>
      </c>
      <c r="R141" s="28" t="str">
        <f t="shared" si="3"/>
        <v>AHMAD WILDAN ARRIFQI</v>
      </c>
    </row>
    <row r="142">
      <c r="A142" s="27">
        <f>IFERROR(__xludf.DUMMYFUNCTION("""COMPUTED_VALUE"""),141.0)</f>
        <v>141</v>
      </c>
      <c r="B142" s="28" t="str">
        <f>IFERROR(__xludf.DUMMYFUNCTION("""COMPUTED_VALUE"""),"AHMAD AZKA ALFIKRI")</f>
        <v>AHMAD AZKA ALFIKRI</v>
      </c>
      <c r="C142" s="28">
        <f>IFERROR(__xludf.DUMMYFUNCTION("""COMPUTED_VALUE"""),2.024070554E9)</f>
        <v>2024070554</v>
      </c>
      <c r="D142" s="27" t="str">
        <f>IFERROR(__xludf.DUMMYFUNCTION("""COMPUTED_VALUE"""),"A")</f>
        <v>A</v>
      </c>
      <c r="E142" s="27" t="str">
        <f>IFERROR(__xludf.DUMMYFUNCTION("""COMPUTED_VALUE"""),"A-7")</f>
        <v>A-7</v>
      </c>
      <c r="F142" s="31">
        <f>IFERROR(__xludf.DUMMYFUNCTION("""COMPUTED_VALUE"""),3.0)</f>
        <v>3</v>
      </c>
      <c r="G142" s="27" t="str">
        <f>IFERROR(__xludf.DUMMYFUNCTION("""COMPUTED_VALUE"""),"3 ULA B PUTRA")</f>
        <v>3 ULA B PUTRA</v>
      </c>
      <c r="H142" s="28" t="str">
        <f>IFERROR(__xludf.DUMMYFUNCTION("""COMPUTED_VALUE"""),"MTS-9 E")</f>
        <v>MTS-9 E</v>
      </c>
      <c r="I142" s="28" t="str">
        <f>IFERROR(__xludf.DUMMYFUNCTION("""COMPUTED_VALUE"""),"MASRUAH")</f>
        <v>MASRUAH</v>
      </c>
      <c r="J142" s="28" t="str">
        <f>IFERROR(__xludf.DUMMYFUNCTION("""COMPUTED_VALUE"""),"LASEM RT 001 RW 001 SIDAYU GRESIK")</f>
        <v>LASEM RT 001 RW 001 SIDAYU GRESIK</v>
      </c>
      <c r="K142" s="28" t="str">
        <f>IFERROR(__xludf.DUMMYFUNCTION("""COMPUTED_VALUE"""),"6285645389910")</f>
        <v>6285645389910</v>
      </c>
      <c r="L142" s="22">
        <f>IFERROR(__xludf.DUMMYFUNCTION("""COMPUTED_VALUE"""),0.0)</f>
        <v>0</v>
      </c>
      <c r="M142" s="22">
        <f>IFERROR(__xludf.DUMMYFUNCTION("""COMPUTED_VALUE"""),0.0)</f>
        <v>0</v>
      </c>
      <c r="N142" s="22">
        <f>IFERROR(__xludf.DUMMYFUNCTION("""COMPUTED_VALUE"""),0.0)</f>
        <v>0</v>
      </c>
      <c r="O142" s="22">
        <f>IFERROR(__xludf.DUMMYFUNCTION("""COMPUTED_VALUE"""),0.0)</f>
        <v>0</v>
      </c>
      <c r="P142" s="28" t="str">
        <f t="shared" si="1"/>
        <v>LUNAS</v>
      </c>
      <c r="Q142" s="28">
        <f t="shared" si="2"/>
        <v>190</v>
      </c>
      <c r="R142" s="28" t="str">
        <f t="shared" si="3"/>
        <v>AHMAD AZKA ALFIKRI</v>
      </c>
    </row>
    <row r="143">
      <c r="A143" s="27">
        <f>IFERROR(__xludf.DUMMYFUNCTION("""COMPUTED_VALUE"""),142.0)</f>
        <v>142</v>
      </c>
      <c r="B143" s="28" t="str">
        <f>IFERROR(__xludf.DUMMYFUNCTION("""COMPUTED_VALUE"""),"AHMAD BAKER ADLAN")</f>
        <v>AHMAD BAKER ADLAN</v>
      </c>
      <c r="C143" s="28">
        <f>IFERROR(__xludf.DUMMYFUNCTION("""COMPUTED_VALUE"""),2.02407065E9)</f>
        <v>2024070650</v>
      </c>
      <c r="D143" s="27" t="str">
        <f>IFERROR(__xludf.DUMMYFUNCTION("""COMPUTED_VALUE"""),"A")</f>
        <v>A</v>
      </c>
      <c r="E143" s="27" t="str">
        <f>IFERROR(__xludf.DUMMYFUNCTION("""COMPUTED_VALUE"""),"A-7")</f>
        <v>A-7</v>
      </c>
      <c r="F143" s="31">
        <f>IFERROR(__xludf.DUMMYFUNCTION("""COMPUTED_VALUE"""),3.0)</f>
        <v>3</v>
      </c>
      <c r="G143" s="27" t="str">
        <f>IFERROR(__xludf.DUMMYFUNCTION("""COMPUTED_VALUE"""),"3 ULA A PUTRA")</f>
        <v>3 ULA A PUTRA</v>
      </c>
      <c r="H143" s="28" t="str">
        <f>IFERROR(__xludf.DUMMYFUNCTION("""COMPUTED_VALUE"""),"MTS-9 B")</f>
        <v>MTS-9 B</v>
      </c>
      <c r="I143" s="28" t="str">
        <f>IFERROR(__xludf.DUMMYFUNCTION("""COMPUTED_VALUE"""),"NOVRI YANTI")</f>
        <v>NOVRI YANTI</v>
      </c>
      <c r="J143" s="28" t="str">
        <f>IFERROR(__xludf.DUMMYFUNCTION("""COMPUTED_VALUE"""),"DAGAN RT 003 RW 003 SOLOKURO LAMONGAN")</f>
        <v>DAGAN RT 003 RW 003 SOLOKURO LAMONGAN</v>
      </c>
      <c r="K143" s="28" t="str">
        <f>IFERROR(__xludf.DUMMYFUNCTION("""COMPUTED_VALUE"""),"6285765987279")</f>
        <v>6285765987279</v>
      </c>
      <c r="L143" s="22">
        <f>IFERROR(__xludf.DUMMYFUNCTION("""COMPUTED_VALUE"""),4950000.0)</f>
        <v>4950000</v>
      </c>
      <c r="M143" s="22">
        <f>IFERROR(__xludf.DUMMYFUNCTION("""COMPUTED_VALUE"""),1000000.0)</f>
        <v>1000000</v>
      </c>
      <c r="N143" s="22">
        <f>IFERROR(__xludf.DUMMYFUNCTION("""COMPUTED_VALUE"""),0.0)</f>
        <v>0</v>
      </c>
      <c r="O143" s="22">
        <f>IFERROR(__xludf.DUMMYFUNCTION("""COMPUTED_VALUE"""),5950000.0)</f>
        <v>5950000</v>
      </c>
      <c r="P143" s="28" t="str">
        <f t="shared" si="1"/>
        <v>LUNAS</v>
      </c>
      <c r="Q143" s="28">
        <f t="shared" si="2"/>
        <v>7</v>
      </c>
      <c r="R143" s="28" t="str">
        <f t="shared" si="3"/>
        <v>AHMAD BAKER ADLAN</v>
      </c>
    </row>
    <row r="144">
      <c r="A144" s="27">
        <f>IFERROR(__xludf.DUMMYFUNCTION("""COMPUTED_VALUE"""),143.0)</f>
        <v>143</v>
      </c>
      <c r="B144" s="28" t="str">
        <f>IFERROR(__xludf.DUMMYFUNCTION("""COMPUTED_VALUE"""),"AHMAD HAFIDZ RIZKI AL ZAMZAMI")</f>
        <v>AHMAD HAFIDZ RIZKI AL ZAMZAMI</v>
      </c>
      <c r="C144" s="28">
        <f>IFERROR(__xludf.DUMMYFUNCTION("""COMPUTED_VALUE"""),2.024070615E9)</f>
        <v>2024070615</v>
      </c>
      <c r="D144" s="27" t="str">
        <f>IFERROR(__xludf.DUMMYFUNCTION("""COMPUTED_VALUE"""),"A")</f>
        <v>A</v>
      </c>
      <c r="E144" s="27" t="str">
        <f>IFERROR(__xludf.DUMMYFUNCTION("""COMPUTED_VALUE"""),"A-7")</f>
        <v>A-7</v>
      </c>
      <c r="F144" s="31">
        <f>IFERROR(__xludf.DUMMYFUNCTION("""COMPUTED_VALUE"""),3.0)</f>
        <v>3</v>
      </c>
      <c r="G144" s="27" t="str">
        <f>IFERROR(__xludf.DUMMYFUNCTION("""COMPUTED_VALUE"""),"3 ULA B PUTRA")</f>
        <v>3 ULA B PUTRA</v>
      </c>
      <c r="H144" s="28" t="str">
        <f>IFERROR(__xludf.DUMMYFUNCTION("""COMPUTED_VALUE"""),"MTS-9 E")</f>
        <v>MTS-9 E</v>
      </c>
      <c r="I144" s="28" t="str">
        <f>IFERROR(__xludf.DUMMYFUNCTION("""COMPUTED_VALUE"""),"SITI ZUMAROH")</f>
        <v>SITI ZUMAROH</v>
      </c>
      <c r="J144" s="28" t="str">
        <f>IFERROR(__xludf.DUMMYFUNCTION("""COMPUTED_VALUE"""),"GLUMO JELAKCATUR RT 003 RW 005 KALITENGAH LAMONGAN")</f>
        <v>GLUMO JELAKCATUR RT 003 RW 005 KALITENGAH LAMONGAN</v>
      </c>
      <c r="K144" s="28" t="str">
        <f>IFERROR(__xludf.DUMMYFUNCTION("""COMPUTED_VALUE"""),"6285759930572")</f>
        <v>6285759930572</v>
      </c>
      <c r="L144" s="22">
        <f>IFERROR(__xludf.DUMMYFUNCTION("""COMPUTED_VALUE"""),0.0)</f>
        <v>0</v>
      </c>
      <c r="M144" s="22">
        <f>IFERROR(__xludf.DUMMYFUNCTION("""COMPUTED_VALUE"""),0.0)</f>
        <v>0</v>
      </c>
      <c r="N144" s="22">
        <f>IFERROR(__xludf.DUMMYFUNCTION("""COMPUTED_VALUE"""),0.0)</f>
        <v>0</v>
      </c>
      <c r="O144" s="22">
        <f>IFERROR(__xludf.DUMMYFUNCTION("""COMPUTED_VALUE"""),0.0)</f>
        <v>0</v>
      </c>
      <c r="P144" s="28" t="str">
        <f t="shared" si="1"/>
        <v>LUNAS</v>
      </c>
      <c r="Q144" s="28">
        <f t="shared" si="2"/>
        <v>191</v>
      </c>
      <c r="R144" s="28" t="str">
        <f t="shared" si="3"/>
        <v>AHMAD HAFIDZ RIZKI AL ZAMZAMI</v>
      </c>
    </row>
    <row r="145">
      <c r="A145" s="27">
        <f>IFERROR(__xludf.DUMMYFUNCTION("""COMPUTED_VALUE"""),144.0)</f>
        <v>144</v>
      </c>
      <c r="B145" s="28" t="str">
        <f>IFERROR(__xludf.DUMMYFUNCTION("""COMPUTED_VALUE"""),"AHMAD SUSETO ANGGA SUKMA")</f>
        <v>AHMAD SUSETO ANGGA SUKMA</v>
      </c>
      <c r="C145" s="28">
        <f>IFERROR(__xludf.DUMMYFUNCTION("""COMPUTED_VALUE"""),2.024070601E9)</f>
        <v>2024070601</v>
      </c>
      <c r="D145" s="27" t="str">
        <f>IFERROR(__xludf.DUMMYFUNCTION("""COMPUTED_VALUE"""),"A")</f>
        <v>A</v>
      </c>
      <c r="E145" s="27" t="str">
        <f>IFERROR(__xludf.DUMMYFUNCTION("""COMPUTED_VALUE"""),"A-7")</f>
        <v>A-7</v>
      </c>
      <c r="F145" s="31">
        <f>IFERROR(__xludf.DUMMYFUNCTION("""COMPUTED_VALUE"""),3.0)</f>
        <v>3</v>
      </c>
      <c r="G145" s="27" t="str">
        <f>IFERROR(__xludf.DUMMYFUNCTION("""COMPUTED_VALUE"""),"3 ULA B PUTRA")</f>
        <v>3 ULA B PUTRA</v>
      </c>
      <c r="H145" s="28" t="str">
        <f>IFERROR(__xludf.DUMMYFUNCTION("""COMPUTED_VALUE"""),"MTS-9 E")</f>
        <v>MTS-9 E</v>
      </c>
      <c r="I145" s="28" t="str">
        <f>IFERROR(__xludf.DUMMYFUNCTION("""COMPUTED_VALUE"""),"MUSYAFAAH")</f>
        <v>MUSYAFAAH</v>
      </c>
      <c r="J145" s="28" t="str">
        <f>IFERROR(__xludf.DUMMYFUNCTION("""COMPUTED_VALUE"""),"WEDENG SUKOREJO RT 001 RW 003 KARANGBINANGUN LAMONGAN")</f>
        <v>WEDENG SUKOREJO RT 001 RW 003 KARANGBINANGUN LAMONGAN</v>
      </c>
      <c r="K145" s="28" t="str">
        <f>IFERROR(__xludf.DUMMYFUNCTION("""COMPUTED_VALUE"""),"6281330117049")</f>
        <v>6281330117049</v>
      </c>
      <c r="L145" s="22">
        <f>IFERROR(__xludf.DUMMYFUNCTION("""COMPUTED_VALUE"""),450000.0)</f>
        <v>450000</v>
      </c>
      <c r="M145" s="22">
        <f>IFERROR(__xludf.DUMMYFUNCTION("""COMPUTED_VALUE"""),0.0)</f>
        <v>0</v>
      </c>
      <c r="N145" s="22">
        <f>IFERROR(__xludf.DUMMYFUNCTION("""COMPUTED_VALUE"""),0.0)</f>
        <v>0</v>
      </c>
      <c r="O145" s="22">
        <f>IFERROR(__xludf.DUMMYFUNCTION("""COMPUTED_VALUE"""),450000.0)</f>
        <v>450000</v>
      </c>
      <c r="P145" s="28" t="str">
        <f t="shared" si="1"/>
        <v>LUNAS</v>
      </c>
      <c r="Q145" s="28">
        <f t="shared" si="2"/>
        <v>141</v>
      </c>
      <c r="R145" s="28" t="str">
        <f t="shared" si="3"/>
        <v>AHMAD SUSETO ANGGA SUKMA</v>
      </c>
    </row>
    <row r="146">
      <c r="A146" s="27">
        <f>IFERROR(__xludf.DUMMYFUNCTION("""COMPUTED_VALUE"""),145.0)</f>
        <v>145</v>
      </c>
      <c r="B146" s="28" t="str">
        <f>IFERROR(__xludf.DUMMYFUNCTION("""COMPUTED_VALUE"""),"ALMAIR FADHIL ABID ALHAQ")</f>
        <v>ALMAIR FADHIL ABID ALHAQ</v>
      </c>
      <c r="C146" s="28">
        <f>IFERROR(__xludf.DUMMYFUNCTION("""COMPUTED_VALUE"""),2.024070508E9)</f>
        <v>2024070508</v>
      </c>
      <c r="D146" s="27" t="str">
        <f>IFERROR(__xludf.DUMMYFUNCTION("""COMPUTED_VALUE"""),"A")</f>
        <v>A</v>
      </c>
      <c r="E146" s="27" t="str">
        <f>IFERROR(__xludf.DUMMYFUNCTION("""COMPUTED_VALUE"""),"A-7")</f>
        <v>A-7</v>
      </c>
      <c r="F146" s="31">
        <f>IFERROR(__xludf.DUMMYFUNCTION("""COMPUTED_VALUE"""),3.0)</f>
        <v>3</v>
      </c>
      <c r="G146" s="27" t="str">
        <f>IFERROR(__xludf.DUMMYFUNCTION("""COMPUTED_VALUE"""),"3 ULA A PUTRA")</f>
        <v>3 ULA A PUTRA</v>
      </c>
      <c r="H146" s="28" t="str">
        <f>IFERROR(__xludf.DUMMYFUNCTION("""COMPUTED_VALUE"""),"MTS-9 C")</f>
        <v>MTS-9 C</v>
      </c>
      <c r="I146" s="28" t="str">
        <f>IFERROR(__xludf.DUMMYFUNCTION("""COMPUTED_VALUE"""),"IIN UMAYYAH")</f>
        <v>IIN UMAYYAH</v>
      </c>
      <c r="J146" s="28" t="str">
        <f>IFERROR(__xludf.DUMMYFUNCTION("""COMPUTED_VALUE"""),"JL. PENDIDIKAN 20 B RT 001 RW 005 BABAT LAMONGAN")</f>
        <v>JL. PENDIDIKAN 20 B RT 001 RW 005 BABAT LAMONGAN</v>
      </c>
      <c r="K146" s="28" t="str">
        <f>IFERROR(__xludf.DUMMYFUNCTION("""COMPUTED_VALUE"""),"6285230844686")</f>
        <v>6285230844686</v>
      </c>
      <c r="L146" s="22">
        <f>IFERROR(__xludf.DUMMYFUNCTION("""COMPUTED_VALUE"""),450000.0)</f>
        <v>450000</v>
      </c>
      <c r="M146" s="22">
        <f>IFERROR(__xludf.DUMMYFUNCTION("""COMPUTED_VALUE"""),1000000.0)</f>
        <v>1000000</v>
      </c>
      <c r="N146" s="22">
        <f>IFERROR(__xludf.DUMMYFUNCTION("""COMPUTED_VALUE"""),0.0)</f>
        <v>0</v>
      </c>
      <c r="O146" s="22">
        <f>IFERROR(__xludf.DUMMYFUNCTION("""COMPUTED_VALUE"""),1450000.0)</f>
        <v>1450000</v>
      </c>
      <c r="P146" s="28" t="str">
        <f t="shared" si="1"/>
        <v>LUNAS</v>
      </c>
      <c r="Q146" s="28">
        <f t="shared" si="2"/>
        <v>54</v>
      </c>
      <c r="R146" s="28" t="str">
        <f t="shared" si="3"/>
        <v>ALMAIR FADHIL ABID ALHAQ</v>
      </c>
    </row>
    <row r="147">
      <c r="A147" s="27">
        <f>IFERROR(__xludf.DUMMYFUNCTION("""COMPUTED_VALUE"""),146.0)</f>
        <v>146</v>
      </c>
      <c r="B147" s="28" t="str">
        <f>IFERROR(__xludf.DUMMYFUNCTION("""COMPUTED_VALUE"""),"ANDIKA CAHYO BUDI LAKSONO")</f>
        <v>ANDIKA CAHYO BUDI LAKSONO</v>
      </c>
      <c r="C147" s="28">
        <f>IFERROR(__xludf.DUMMYFUNCTION("""COMPUTED_VALUE"""),2.024070654E9)</f>
        <v>2024070654</v>
      </c>
      <c r="D147" s="27" t="str">
        <f>IFERROR(__xludf.DUMMYFUNCTION("""COMPUTED_VALUE"""),"A")</f>
        <v>A</v>
      </c>
      <c r="E147" s="27" t="str">
        <f>IFERROR(__xludf.DUMMYFUNCTION("""COMPUTED_VALUE"""),"A-7")</f>
        <v>A-7</v>
      </c>
      <c r="F147" s="31">
        <f>IFERROR(__xludf.DUMMYFUNCTION("""COMPUTED_VALUE"""),3.0)</f>
        <v>3</v>
      </c>
      <c r="G147" s="27" t="str">
        <f>IFERROR(__xludf.DUMMYFUNCTION("""COMPUTED_VALUE"""),"3 ULA A PUTRA")</f>
        <v>3 ULA A PUTRA</v>
      </c>
      <c r="H147" s="28" t="str">
        <f>IFERROR(__xludf.DUMMYFUNCTION("""COMPUTED_VALUE"""),"MTS-9 F")</f>
        <v>MTS-9 F</v>
      </c>
      <c r="I147" s="28" t="str">
        <f>IFERROR(__xludf.DUMMYFUNCTION("""COMPUTED_VALUE"""),"USWATUN HASANAH")</f>
        <v>USWATUN HASANAH</v>
      </c>
      <c r="J147" s="28" t="str">
        <f>IFERROR(__xludf.DUMMYFUNCTION("""COMPUTED_VALUE"""),"KEMLAGIGEDE RT 007 RW 002 TURI LAMONGAN")</f>
        <v>KEMLAGIGEDE RT 007 RW 002 TURI LAMONGAN</v>
      </c>
      <c r="K147" s="28" t="str">
        <f>IFERROR(__xludf.DUMMYFUNCTION("""COMPUTED_VALUE"""),"628579002358")</f>
        <v>628579002358</v>
      </c>
      <c r="L147" s="22">
        <f>IFERROR(__xludf.DUMMYFUNCTION("""COMPUTED_VALUE"""),4950000.0)</f>
        <v>4950000</v>
      </c>
      <c r="M147" s="22">
        <f>IFERROR(__xludf.DUMMYFUNCTION("""COMPUTED_VALUE"""),1000000.0)</f>
        <v>1000000</v>
      </c>
      <c r="N147" s="22">
        <f>IFERROR(__xludf.DUMMYFUNCTION("""COMPUTED_VALUE"""),0.0)</f>
        <v>0</v>
      </c>
      <c r="O147" s="22">
        <f>IFERROR(__xludf.DUMMYFUNCTION("""COMPUTED_VALUE"""),5950000.0)</f>
        <v>5950000</v>
      </c>
      <c r="P147" s="28" t="str">
        <f t="shared" si="1"/>
        <v>LUNAS</v>
      </c>
      <c r="Q147" s="28">
        <f t="shared" si="2"/>
        <v>8</v>
      </c>
      <c r="R147" s="28" t="str">
        <f t="shared" si="3"/>
        <v>ANDIKA CAHYO BUDI LAKSONO</v>
      </c>
    </row>
    <row r="148">
      <c r="A148" s="27">
        <f>IFERROR(__xludf.DUMMYFUNCTION("""COMPUTED_VALUE"""),147.0)</f>
        <v>147</v>
      </c>
      <c r="B148" s="28" t="str">
        <f>IFERROR(__xludf.DUMMYFUNCTION("""COMPUTED_VALUE"""),"ARVEL ALIF SYAIFULLAH")</f>
        <v>ARVEL ALIF SYAIFULLAH</v>
      </c>
      <c r="C148" s="28">
        <f>IFERROR(__xludf.DUMMYFUNCTION("""COMPUTED_VALUE"""),2.024070652E9)</f>
        <v>2024070652</v>
      </c>
      <c r="D148" s="27" t="str">
        <f>IFERROR(__xludf.DUMMYFUNCTION("""COMPUTED_VALUE"""),"A")</f>
        <v>A</v>
      </c>
      <c r="E148" s="27" t="str">
        <f>IFERROR(__xludf.DUMMYFUNCTION("""COMPUTED_VALUE"""),"A-7")</f>
        <v>A-7</v>
      </c>
      <c r="F148" s="31">
        <f>IFERROR(__xludf.DUMMYFUNCTION("""COMPUTED_VALUE"""),3.0)</f>
        <v>3</v>
      </c>
      <c r="G148" s="27" t="str">
        <f>IFERROR(__xludf.DUMMYFUNCTION("""COMPUTED_VALUE"""),"3 ULA A PUTRA")</f>
        <v>3 ULA A PUTRA</v>
      </c>
      <c r="H148" s="28" t="str">
        <f>IFERROR(__xludf.DUMMYFUNCTION("""COMPUTED_VALUE"""),"MTS-9 F")</f>
        <v>MTS-9 F</v>
      </c>
      <c r="I148" s="28" t="str">
        <f>IFERROR(__xludf.DUMMYFUNCTION("""COMPUTED_VALUE"""),"DEWI IRMAWATI")</f>
        <v>DEWI IRMAWATI</v>
      </c>
      <c r="J148" s="28" t="str">
        <f>IFERROR(__xludf.DUMMYFUNCTION("""COMPUTED_VALUE"""),"DUKUH GEMPOL PENDOWO RT 004 RW 002 GLAGAH LAMONGAN")</f>
        <v>DUKUH GEMPOL PENDOWO RT 004 RW 002 GLAGAH LAMONGAN</v>
      </c>
      <c r="K148" s="28" t="str">
        <f>IFERROR(__xludf.DUMMYFUNCTION("""COMPUTED_VALUE"""),"6282139016910")</f>
        <v>6282139016910</v>
      </c>
      <c r="L148" s="22">
        <f>IFERROR(__xludf.DUMMYFUNCTION("""COMPUTED_VALUE"""),900000.0)</f>
        <v>900000</v>
      </c>
      <c r="M148" s="22">
        <f>IFERROR(__xludf.DUMMYFUNCTION("""COMPUTED_VALUE"""),500000.0)</f>
        <v>500000</v>
      </c>
      <c r="N148" s="22">
        <f>IFERROR(__xludf.DUMMYFUNCTION("""COMPUTED_VALUE"""),0.0)</f>
        <v>0</v>
      </c>
      <c r="O148" s="22">
        <f>IFERROR(__xludf.DUMMYFUNCTION("""COMPUTED_VALUE"""),1400000.0)</f>
        <v>1400000</v>
      </c>
      <c r="P148" s="28" t="str">
        <f t="shared" si="1"/>
        <v>LUNAS</v>
      </c>
      <c r="Q148" s="28">
        <f t="shared" si="2"/>
        <v>59</v>
      </c>
      <c r="R148" s="28" t="str">
        <f t="shared" si="3"/>
        <v>ARVEL ALIF SYAIFULLAH</v>
      </c>
    </row>
    <row r="149">
      <c r="A149" s="27">
        <f>IFERROR(__xludf.DUMMYFUNCTION("""COMPUTED_VALUE"""),148.0)</f>
        <v>148</v>
      </c>
      <c r="B149" s="28" t="str">
        <f>IFERROR(__xludf.DUMMYFUNCTION("""COMPUTED_VALUE"""),"BENY OCKTA")</f>
        <v>BENY OCKTA</v>
      </c>
      <c r="C149" s="28">
        <f>IFERROR(__xludf.DUMMYFUNCTION("""COMPUTED_VALUE"""),2.024070602E9)</f>
        <v>2024070602</v>
      </c>
      <c r="D149" s="27" t="str">
        <f>IFERROR(__xludf.DUMMYFUNCTION("""COMPUTED_VALUE"""),"A")</f>
        <v>A</v>
      </c>
      <c r="E149" s="27" t="str">
        <f>IFERROR(__xludf.DUMMYFUNCTION("""COMPUTED_VALUE"""),"A-7")</f>
        <v>A-7</v>
      </c>
      <c r="F149" s="31">
        <f>IFERROR(__xludf.DUMMYFUNCTION("""COMPUTED_VALUE"""),3.0)</f>
        <v>3</v>
      </c>
      <c r="G149" s="27" t="str">
        <f>IFERROR(__xludf.DUMMYFUNCTION("""COMPUTED_VALUE"""),"3 ULA B PUTRA")</f>
        <v>3 ULA B PUTRA</v>
      </c>
      <c r="H149" s="28" t="str">
        <f>IFERROR(__xludf.DUMMYFUNCTION("""COMPUTED_VALUE"""),"MTS-9 F")</f>
        <v>MTS-9 F</v>
      </c>
      <c r="I149" s="28" t="str">
        <f>IFERROR(__xludf.DUMMYFUNCTION("""COMPUTED_VALUE"""),"SUSANTI")</f>
        <v>SUSANTI</v>
      </c>
      <c r="J149" s="28" t="str">
        <f>IFERROR(__xludf.DUMMYFUNCTION("""COMPUTED_VALUE"""),"WEDENG SUKOREJO RT 001 RW 003 KARANGBINANGUN LAMONGAN")</f>
        <v>WEDENG SUKOREJO RT 001 RW 003 KARANGBINANGUN LAMONGAN</v>
      </c>
      <c r="K149" s="28" t="str">
        <f>IFERROR(__xludf.DUMMYFUNCTION("""COMPUTED_VALUE"""),"6285252386649")</f>
        <v>6285252386649</v>
      </c>
      <c r="L149" s="22">
        <f>IFERROR(__xludf.DUMMYFUNCTION("""COMPUTED_VALUE"""),0.0)</f>
        <v>0</v>
      </c>
      <c r="M149" s="22">
        <f>IFERROR(__xludf.DUMMYFUNCTION("""COMPUTED_VALUE"""),1000000.0)</f>
        <v>1000000</v>
      </c>
      <c r="N149" s="22">
        <f>IFERROR(__xludf.DUMMYFUNCTION("""COMPUTED_VALUE"""),250000.0)</f>
        <v>250000</v>
      </c>
      <c r="O149" s="22">
        <f>IFERROR(__xludf.DUMMYFUNCTION("""COMPUTED_VALUE"""),1250000.0)</f>
        <v>1250000</v>
      </c>
      <c r="P149" s="28" t="str">
        <f t="shared" si="1"/>
        <v>BELUM</v>
      </c>
      <c r="Q149" s="28">
        <f t="shared" si="2"/>
        <v>62</v>
      </c>
      <c r="R149" s="28" t="str">
        <f t="shared" si="3"/>
        <v>BENY OCKTA</v>
      </c>
    </row>
    <row r="150">
      <c r="A150" s="27">
        <f>IFERROR(__xludf.DUMMYFUNCTION("""COMPUTED_VALUE"""),149.0)</f>
        <v>149</v>
      </c>
      <c r="B150" s="28" t="str">
        <f>IFERROR(__xludf.DUMMYFUNCTION("""COMPUTED_VALUE"""),"BINTANG FARSYA HUSBANA")</f>
        <v>BINTANG FARSYA HUSBANA</v>
      </c>
      <c r="C150" s="28">
        <f>IFERROR(__xludf.DUMMYFUNCTION("""COMPUTED_VALUE"""),2.024070646E9)</f>
        <v>2024070646</v>
      </c>
      <c r="D150" s="27" t="str">
        <f>IFERROR(__xludf.DUMMYFUNCTION("""COMPUTED_VALUE"""),"A")</f>
        <v>A</v>
      </c>
      <c r="E150" s="27" t="str">
        <f>IFERROR(__xludf.DUMMYFUNCTION("""COMPUTED_VALUE"""),"A-7")</f>
        <v>A-7</v>
      </c>
      <c r="F150" s="31">
        <f>IFERROR(__xludf.DUMMYFUNCTION("""COMPUTED_VALUE"""),3.0)</f>
        <v>3</v>
      </c>
      <c r="G150" s="27" t="str">
        <f>IFERROR(__xludf.DUMMYFUNCTION("""COMPUTED_VALUE"""),"3 ULA A PUTRA")</f>
        <v>3 ULA A PUTRA</v>
      </c>
      <c r="H150" s="28" t="str">
        <f>IFERROR(__xludf.DUMMYFUNCTION("""COMPUTED_VALUE"""),"MTS-9 F")</f>
        <v>MTS-9 F</v>
      </c>
      <c r="I150" s="28" t="str">
        <f>IFERROR(__xludf.DUMMYFUNCTION("""COMPUTED_VALUE"""),"SITI MUNFARIDA")</f>
        <v>SITI MUNFARIDA</v>
      </c>
      <c r="J150" s="28" t="str">
        <f>IFERROR(__xludf.DUMMYFUNCTION("""COMPUTED_VALUE"""),"SEREN JATIPANDAK RT 007 RW 003 SAMBENG LAMONGAN")</f>
        <v>SEREN JATIPANDAK RT 007 RW 003 SAMBENG LAMONGAN</v>
      </c>
      <c r="K150" s="28" t="str">
        <f>IFERROR(__xludf.DUMMYFUNCTION("""COMPUTED_VALUE"""),"6285851833747")</f>
        <v>6285851833747</v>
      </c>
      <c r="L150" s="22">
        <f>IFERROR(__xludf.DUMMYFUNCTION("""COMPUTED_VALUE"""),450000.0)</f>
        <v>450000</v>
      </c>
      <c r="M150" s="22">
        <f>IFERROR(__xludf.DUMMYFUNCTION("""COMPUTED_VALUE"""),0.0)</f>
        <v>0</v>
      </c>
      <c r="N150" s="22">
        <f>IFERROR(__xludf.DUMMYFUNCTION("""COMPUTED_VALUE"""),0.0)</f>
        <v>0</v>
      </c>
      <c r="O150" s="22">
        <f>IFERROR(__xludf.DUMMYFUNCTION("""COMPUTED_VALUE"""),450000.0)</f>
        <v>450000</v>
      </c>
      <c r="P150" s="28" t="str">
        <f t="shared" si="1"/>
        <v>LUNAS</v>
      </c>
      <c r="Q150" s="28">
        <f t="shared" si="2"/>
        <v>142</v>
      </c>
      <c r="R150" s="28" t="str">
        <f t="shared" si="3"/>
        <v>BINTANG FARSYA HUSBANA</v>
      </c>
    </row>
    <row r="151">
      <c r="A151" s="27">
        <f>IFERROR(__xludf.DUMMYFUNCTION("""COMPUTED_VALUE"""),150.0)</f>
        <v>150</v>
      </c>
      <c r="B151" s="28" t="str">
        <f>IFERROR(__xludf.DUMMYFUNCTION("""COMPUTED_VALUE"""),"DIMAS ALFIAN SAPUTRA")</f>
        <v>DIMAS ALFIAN SAPUTRA</v>
      </c>
      <c r="C151" s="28">
        <f>IFERROR(__xludf.DUMMYFUNCTION("""COMPUTED_VALUE"""),2.024070655E9)</f>
        <v>2024070655</v>
      </c>
      <c r="D151" s="27" t="str">
        <f>IFERROR(__xludf.DUMMYFUNCTION("""COMPUTED_VALUE"""),"A")</f>
        <v>A</v>
      </c>
      <c r="E151" s="27" t="str">
        <f>IFERROR(__xludf.DUMMYFUNCTION("""COMPUTED_VALUE"""),"A-7")</f>
        <v>A-7</v>
      </c>
      <c r="F151" s="31">
        <f>IFERROR(__xludf.DUMMYFUNCTION("""COMPUTED_VALUE"""),3.0)</f>
        <v>3</v>
      </c>
      <c r="G151" s="27" t="str">
        <f>IFERROR(__xludf.DUMMYFUNCTION("""COMPUTED_VALUE"""),"3 ULA A PUTRA")</f>
        <v>3 ULA A PUTRA</v>
      </c>
      <c r="H151" s="28" t="str">
        <f>IFERROR(__xludf.DUMMYFUNCTION("""COMPUTED_VALUE"""),"MTS-9 F")</f>
        <v>MTS-9 F</v>
      </c>
      <c r="I151" s="28" t="str">
        <f>IFERROR(__xludf.DUMMYFUNCTION("""COMPUTED_VALUE"""),"MAHZUMAH")</f>
        <v>MAHZUMAH</v>
      </c>
      <c r="J151" s="28" t="str">
        <f>IFERROR(__xludf.DUMMYFUNCTION("""COMPUTED_VALUE"""),"WEDENG SUKOREJO RT 001 RW 002 KARANGBINANGUN LAMONGAN")</f>
        <v>WEDENG SUKOREJO RT 001 RW 002 KARANGBINANGUN LAMONGAN</v>
      </c>
      <c r="K151" s="28" t="str">
        <f>IFERROR(__xludf.DUMMYFUNCTION("""COMPUTED_VALUE"""),"6285855732030")</f>
        <v>6285855732030</v>
      </c>
      <c r="L151" s="22">
        <f>IFERROR(__xludf.DUMMYFUNCTION("""COMPUTED_VALUE"""),0.0)</f>
        <v>0</v>
      </c>
      <c r="M151" s="22">
        <f>IFERROR(__xludf.DUMMYFUNCTION("""COMPUTED_VALUE"""),0.0)</f>
        <v>0</v>
      </c>
      <c r="N151" s="22">
        <f>IFERROR(__xludf.DUMMYFUNCTION("""COMPUTED_VALUE"""),0.0)</f>
        <v>0</v>
      </c>
      <c r="O151" s="22">
        <f>IFERROR(__xludf.DUMMYFUNCTION("""COMPUTED_VALUE"""),0.0)</f>
        <v>0</v>
      </c>
      <c r="P151" s="28" t="str">
        <f t="shared" si="1"/>
        <v>LUNAS</v>
      </c>
      <c r="Q151" s="28">
        <f t="shared" si="2"/>
        <v>192</v>
      </c>
      <c r="R151" s="28" t="str">
        <f t="shared" si="3"/>
        <v>DIMAS ALFIAN SAPUTRA</v>
      </c>
    </row>
    <row r="152">
      <c r="A152" s="27">
        <f>IFERROR(__xludf.DUMMYFUNCTION("""COMPUTED_VALUE"""),151.0)</f>
        <v>151</v>
      </c>
      <c r="B152" s="28" t="str">
        <f>IFERROR(__xludf.DUMMYFUNCTION("""COMPUTED_VALUE"""),"FAIRUZZABADI WAHYU MAHFUL")</f>
        <v>FAIRUZZABADI WAHYU MAHFUL</v>
      </c>
      <c r="C152" s="28">
        <f>IFERROR(__xludf.DUMMYFUNCTION("""COMPUTED_VALUE"""),2.024070458E9)</f>
        <v>2024070458</v>
      </c>
      <c r="D152" s="27" t="str">
        <f>IFERROR(__xludf.DUMMYFUNCTION("""COMPUTED_VALUE"""),"A")</f>
        <v>A</v>
      </c>
      <c r="E152" s="27" t="str">
        <f>IFERROR(__xludf.DUMMYFUNCTION("""COMPUTED_VALUE"""),"A-7")</f>
        <v>A-7</v>
      </c>
      <c r="F152" s="31">
        <f>IFERROR(__xludf.DUMMYFUNCTION("""COMPUTED_VALUE"""),3.0)</f>
        <v>3</v>
      </c>
      <c r="G152" s="27" t="str">
        <f>IFERROR(__xludf.DUMMYFUNCTION("""COMPUTED_VALUE"""),"3 ULA A PUTRA")</f>
        <v>3 ULA A PUTRA</v>
      </c>
      <c r="H152" s="28" t="str">
        <f>IFERROR(__xludf.DUMMYFUNCTION("""COMPUTED_VALUE"""),"MTS-9 E")</f>
        <v>MTS-9 E</v>
      </c>
      <c r="I152" s="28" t="str">
        <f>IFERROR(__xludf.DUMMYFUNCTION("""COMPUTED_VALUE"""),"TRI UTAMI")</f>
        <v>TRI UTAMI</v>
      </c>
      <c r="J152" s="28" t="str">
        <f>IFERROR(__xludf.DUMMYFUNCTION("""COMPUTED_VALUE"""),"PAJANGAN RT 001 RW 002 SUKODADI LAMONGAN")</f>
        <v>PAJANGAN RT 001 RW 002 SUKODADI LAMONGAN</v>
      </c>
      <c r="K152" s="28" t="str">
        <f>IFERROR(__xludf.DUMMYFUNCTION("""COMPUTED_VALUE"""),"6285730482785")</f>
        <v>6285730482785</v>
      </c>
      <c r="L152" s="22">
        <f>IFERROR(__xludf.DUMMYFUNCTION("""COMPUTED_VALUE"""),0.0)</f>
        <v>0</v>
      </c>
      <c r="M152" s="22">
        <f>IFERROR(__xludf.DUMMYFUNCTION("""COMPUTED_VALUE"""),500000.0)</f>
        <v>500000</v>
      </c>
      <c r="N152" s="22">
        <f>IFERROR(__xludf.DUMMYFUNCTION("""COMPUTED_VALUE"""),0.0)</f>
        <v>0</v>
      </c>
      <c r="O152" s="22">
        <f>IFERROR(__xludf.DUMMYFUNCTION("""COMPUTED_VALUE"""),500000.0)</f>
        <v>500000</v>
      </c>
      <c r="P152" s="28" t="str">
        <f t="shared" si="1"/>
        <v>LUNAS</v>
      </c>
      <c r="Q152" s="28">
        <f t="shared" si="2"/>
        <v>123</v>
      </c>
      <c r="R152" s="28" t="str">
        <f t="shared" si="3"/>
        <v>FAIRUZZABADI WAHYU MAHFUL</v>
      </c>
    </row>
    <row r="153">
      <c r="A153" s="27">
        <f>IFERROR(__xludf.DUMMYFUNCTION("""COMPUTED_VALUE"""),152.0)</f>
        <v>152</v>
      </c>
      <c r="B153" s="28" t="str">
        <f>IFERROR(__xludf.DUMMYFUNCTION("""COMPUTED_VALUE"""),"FAQUR ROZIQ MAULUDI")</f>
        <v>FAQUR ROZIQ MAULUDI</v>
      </c>
      <c r="C153" s="28">
        <f>IFERROR(__xludf.DUMMYFUNCTION("""COMPUTED_VALUE"""),2.024070556E9)</f>
        <v>2024070556</v>
      </c>
      <c r="D153" s="27" t="str">
        <f>IFERROR(__xludf.DUMMYFUNCTION("""COMPUTED_VALUE"""),"A")</f>
        <v>A</v>
      </c>
      <c r="E153" s="27" t="str">
        <f>IFERROR(__xludf.DUMMYFUNCTION("""COMPUTED_VALUE"""),"A-7")</f>
        <v>A-7</v>
      </c>
      <c r="F153" s="31">
        <f>IFERROR(__xludf.DUMMYFUNCTION("""COMPUTED_VALUE"""),3.0)</f>
        <v>3</v>
      </c>
      <c r="G153" s="27" t="str">
        <f>IFERROR(__xludf.DUMMYFUNCTION("""COMPUTED_VALUE"""),"3 ULA B PUTRA")</f>
        <v>3 ULA B PUTRA</v>
      </c>
      <c r="H153" s="28" t="str">
        <f>IFERROR(__xludf.DUMMYFUNCTION("""COMPUTED_VALUE"""),"MTS-9 E")</f>
        <v>MTS-9 E</v>
      </c>
      <c r="I153" s="28" t="str">
        <f>IFERROR(__xludf.DUMMYFUNCTION("""COMPUTED_VALUE"""),"LASIANAH")</f>
        <v>LASIANAH</v>
      </c>
      <c r="J153" s="28" t="str">
        <f>IFERROR(__xludf.DUMMYFUNCTION("""COMPUTED_VALUE"""),"GANGIN JELAKCATUR RT 004 RW 003 KALITENGAH LAMONGAN")</f>
        <v>GANGIN JELAKCATUR RT 004 RW 003 KALITENGAH LAMONGAN</v>
      </c>
      <c r="K153" s="28" t="str">
        <f>IFERROR(__xludf.DUMMYFUNCTION("""COMPUTED_VALUE"""),"6285871052078")</f>
        <v>6285871052078</v>
      </c>
      <c r="L153" s="22">
        <f>IFERROR(__xludf.DUMMYFUNCTION("""COMPUTED_VALUE"""),1800000.0)</f>
        <v>1800000</v>
      </c>
      <c r="M153" s="22">
        <f>IFERROR(__xludf.DUMMYFUNCTION("""COMPUTED_VALUE"""),1000000.0)</f>
        <v>1000000</v>
      </c>
      <c r="N153" s="22">
        <f>IFERROR(__xludf.DUMMYFUNCTION("""COMPUTED_VALUE"""),0.0)</f>
        <v>0</v>
      </c>
      <c r="O153" s="22">
        <f>IFERROR(__xludf.DUMMYFUNCTION("""COMPUTED_VALUE"""),2800000.0)</f>
        <v>2800000</v>
      </c>
      <c r="P153" s="28" t="str">
        <f t="shared" si="1"/>
        <v>LUNAS</v>
      </c>
      <c r="Q153" s="28">
        <f t="shared" si="2"/>
        <v>27</v>
      </c>
      <c r="R153" s="28" t="str">
        <f t="shared" si="3"/>
        <v>FAQUR ROZIQ MAULUDI</v>
      </c>
    </row>
    <row r="154">
      <c r="A154" s="27">
        <f>IFERROR(__xludf.DUMMYFUNCTION("""COMPUTED_VALUE"""),153.0)</f>
        <v>153</v>
      </c>
      <c r="B154" s="28" t="str">
        <f>IFERROR(__xludf.DUMMYFUNCTION("""COMPUTED_VALUE"""),"FATIR APRILIANT SYAH")</f>
        <v>FATIR APRILIANT SYAH</v>
      </c>
      <c r="C154" s="28">
        <f>IFERROR(__xludf.DUMMYFUNCTION("""COMPUTED_VALUE"""),2.02407066E9)</f>
        <v>2024070660</v>
      </c>
      <c r="D154" s="27" t="str">
        <f>IFERROR(__xludf.DUMMYFUNCTION("""COMPUTED_VALUE"""),"A")</f>
        <v>A</v>
      </c>
      <c r="E154" s="27" t="str">
        <f>IFERROR(__xludf.DUMMYFUNCTION("""COMPUTED_VALUE"""),"A-7")</f>
        <v>A-7</v>
      </c>
      <c r="F154" s="31">
        <f>IFERROR(__xludf.DUMMYFUNCTION("""COMPUTED_VALUE"""),3.0)</f>
        <v>3</v>
      </c>
      <c r="G154" s="27" t="str">
        <f>IFERROR(__xludf.DUMMYFUNCTION("""COMPUTED_VALUE"""),"3 ULA A PUTRA")</f>
        <v>3 ULA A PUTRA</v>
      </c>
      <c r="H154" s="28" t="str">
        <f>IFERROR(__xludf.DUMMYFUNCTION("""COMPUTED_VALUE"""),"MTS-9 A")</f>
        <v>MTS-9 A</v>
      </c>
      <c r="I154" s="28" t="str">
        <f>IFERROR(__xludf.DUMMYFUNCTION("""COMPUTED_VALUE"""),"SUGIATI")</f>
        <v>SUGIATI</v>
      </c>
      <c r="J154" s="28" t="str">
        <f>IFERROR(__xludf.DUMMYFUNCTION("""COMPUTED_VALUE"""),"GANGIN JELAKCATUR RT 004 RW 003 KALITENGAH LAMONGAN")</f>
        <v>GANGIN JELAKCATUR RT 004 RW 003 KALITENGAH LAMONGAN</v>
      </c>
      <c r="K154" s="28" t="str">
        <f>IFERROR(__xludf.DUMMYFUNCTION("""COMPUTED_VALUE"""),"6285853949817")</f>
        <v>6285853949817</v>
      </c>
      <c r="L154" s="22">
        <f>IFERROR(__xludf.DUMMYFUNCTION("""COMPUTED_VALUE"""),1230000.0)</f>
        <v>1230000</v>
      </c>
      <c r="M154" s="22">
        <f>IFERROR(__xludf.DUMMYFUNCTION("""COMPUTED_VALUE"""),500000.0)</f>
        <v>500000</v>
      </c>
      <c r="N154" s="22">
        <f>IFERROR(__xludf.DUMMYFUNCTION("""COMPUTED_VALUE"""),0.0)</f>
        <v>0</v>
      </c>
      <c r="O154" s="22">
        <f>IFERROR(__xludf.DUMMYFUNCTION("""COMPUTED_VALUE"""),1730000.0)</f>
        <v>1730000</v>
      </c>
      <c r="P154" s="28" t="str">
        <f t="shared" si="1"/>
        <v>LUNAS</v>
      </c>
      <c r="Q154" s="28">
        <f t="shared" si="2"/>
        <v>44</v>
      </c>
      <c r="R154" s="28" t="str">
        <f t="shared" si="3"/>
        <v>FATIR APRILIANT SYAH</v>
      </c>
    </row>
    <row r="155">
      <c r="A155" s="27">
        <f>IFERROR(__xludf.DUMMYFUNCTION("""COMPUTED_VALUE"""),154.0)</f>
        <v>154</v>
      </c>
      <c r="B155" s="28" t="str">
        <f>IFERROR(__xludf.DUMMYFUNCTION("""COMPUTED_VALUE"""),"HAFIDZ ALFITO ZAEIN")</f>
        <v>HAFIDZ ALFITO ZAEIN</v>
      </c>
      <c r="C155" s="28">
        <f>IFERROR(__xludf.DUMMYFUNCTION("""COMPUTED_VALUE"""),2.024070619E9)</f>
        <v>2024070619</v>
      </c>
      <c r="D155" s="27" t="str">
        <f>IFERROR(__xludf.DUMMYFUNCTION("""COMPUTED_VALUE"""),"A")</f>
        <v>A</v>
      </c>
      <c r="E155" s="27" t="str">
        <f>IFERROR(__xludf.DUMMYFUNCTION("""COMPUTED_VALUE"""),"A-7")</f>
        <v>A-7</v>
      </c>
      <c r="F155" s="31">
        <f>IFERROR(__xludf.DUMMYFUNCTION("""COMPUTED_VALUE"""),3.0)</f>
        <v>3</v>
      </c>
      <c r="G155" s="27" t="str">
        <f>IFERROR(__xludf.DUMMYFUNCTION("""COMPUTED_VALUE"""),"3 ULA B PUTRA")</f>
        <v>3 ULA B PUTRA</v>
      </c>
      <c r="H155" s="28" t="str">
        <f>IFERROR(__xludf.DUMMYFUNCTION("""COMPUTED_VALUE"""),"MTS-9 F")</f>
        <v>MTS-9 F</v>
      </c>
      <c r="I155" s="28" t="str">
        <f>IFERROR(__xludf.DUMMYFUNCTION("""COMPUTED_VALUE"""),"TAYEM")</f>
        <v>TAYEM</v>
      </c>
      <c r="J155" s="28" t="str">
        <f>IFERROR(__xludf.DUMMYFUNCTION("""COMPUTED_VALUE"""),"JELAKCATUR RT 001 RW 004 KALITENGAH LAMONGAN")</f>
        <v>JELAKCATUR RT 001 RW 004 KALITENGAH LAMONGAN</v>
      </c>
      <c r="K155" s="28" t="str">
        <f>IFERROR(__xludf.DUMMYFUNCTION("""COMPUTED_VALUE"""),"628130372202")</f>
        <v>628130372202</v>
      </c>
      <c r="L155" s="22">
        <f>IFERROR(__xludf.DUMMYFUNCTION("""COMPUTED_VALUE"""),4050000.0)</f>
        <v>4050000</v>
      </c>
      <c r="M155" s="22">
        <f>IFERROR(__xludf.DUMMYFUNCTION("""COMPUTED_VALUE"""),1600000.0)</f>
        <v>1600000</v>
      </c>
      <c r="N155" s="22">
        <f>IFERROR(__xludf.DUMMYFUNCTION("""COMPUTED_VALUE"""),0.0)</f>
        <v>0</v>
      </c>
      <c r="O155" s="22">
        <f>IFERROR(__xludf.DUMMYFUNCTION("""COMPUTED_VALUE"""),5650000.0)</f>
        <v>5650000</v>
      </c>
      <c r="P155" s="28" t="str">
        <f t="shared" si="1"/>
        <v>LUNAS</v>
      </c>
      <c r="Q155" s="28">
        <f t="shared" si="2"/>
        <v>12</v>
      </c>
      <c r="R155" s="28" t="str">
        <f t="shared" si="3"/>
        <v>HAFIDZ ALFITO ZAEIN</v>
      </c>
    </row>
    <row r="156">
      <c r="A156" s="27">
        <f>IFERROR(__xludf.DUMMYFUNCTION("""COMPUTED_VALUE"""),155.0)</f>
        <v>155</v>
      </c>
      <c r="B156" s="28" t="str">
        <f>IFERROR(__xludf.DUMMYFUNCTION("""COMPUTED_VALUE"""),"HAMDAN ALIEF")</f>
        <v>HAMDAN ALIEF</v>
      </c>
      <c r="C156" s="28">
        <f>IFERROR(__xludf.DUMMYFUNCTION("""COMPUTED_VALUE"""),2.024070663E9)</f>
        <v>2024070663</v>
      </c>
      <c r="D156" s="27" t="str">
        <f>IFERROR(__xludf.DUMMYFUNCTION("""COMPUTED_VALUE"""),"A")</f>
        <v>A</v>
      </c>
      <c r="E156" s="27" t="str">
        <f>IFERROR(__xludf.DUMMYFUNCTION("""COMPUTED_VALUE"""),"A-7")</f>
        <v>A-7</v>
      </c>
      <c r="F156" s="31">
        <f>IFERROR(__xludf.DUMMYFUNCTION("""COMPUTED_VALUE"""),3.0)</f>
        <v>3</v>
      </c>
      <c r="G156" s="27" t="str">
        <f>IFERROR(__xludf.DUMMYFUNCTION("""COMPUTED_VALUE"""),"3 ULA A PUTRA")</f>
        <v>3 ULA A PUTRA</v>
      </c>
      <c r="H156" s="28" t="str">
        <f>IFERROR(__xludf.DUMMYFUNCTION("""COMPUTED_VALUE"""),"MTS-9 D")</f>
        <v>MTS-9 D</v>
      </c>
      <c r="I156" s="28" t="str">
        <f>IFERROR(__xludf.DUMMYFUNCTION("""COMPUTED_VALUE"""),"NUR AMALAH")</f>
        <v>NUR AMALAH</v>
      </c>
      <c r="J156" s="28" t="str">
        <f>IFERROR(__xludf.DUMMYFUNCTION("""COMPUTED_VALUE"""),"SEMOLOWARU UTARA 1/31 RT 005 RW 001 SUKOLILO SURABAYA")</f>
        <v>SEMOLOWARU UTARA 1/31 RT 005 RW 001 SUKOLILO SURABAYA</v>
      </c>
      <c r="K156" s="28" t="str">
        <f>IFERROR(__xludf.DUMMYFUNCTION("""COMPUTED_VALUE"""),"6281216694589")</f>
        <v>6281216694589</v>
      </c>
      <c r="L156" s="22">
        <f>IFERROR(__xludf.DUMMYFUNCTION("""COMPUTED_VALUE"""),0.0)</f>
        <v>0</v>
      </c>
      <c r="M156" s="22">
        <f>IFERROR(__xludf.DUMMYFUNCTION("""COMPUTED_VALUE"""),500000.0)</f>
        <v>500000</v>
      </c>
      <c r="N156" s="22">
        <f>IFERROR(__xludf.DUMMYFUNCTION("""COMPUTED_VALUE"""),0.0)</f>
        <v>0</v>
      </c>
      <c r="O156" s="22">
        <f>IFERROR(__xludf.DUMMYFUNCTION("""COMPUTED_VALUE"""),500000.0)</f>
        <v>500000</v>
      </c>
      <c r="P156" s="28" t="str">
        <f t="shared" si="1"/>
        <v>LUNAS</v>
      </c>
      <c r="Q156" s="28">
        <f t="shared" si="2"/>
        <v>124</v>
      </c>
      <c r="R156" s="28" t="str">
        <f t="shared" si="3"/>
        <v>HAMDAN ALIEF</v>
      </c>
    </row>
    <row r="157">
      <c r="A157" s="27">
        <f>IFERROR(__xludf.DUMMYFUNCTION("""COMPUTED_VALUE"""),156.0)</f>
        <v>156</v>
      </c>
      <c r="B157" s="28" t="str">
        <f>IFERROR(__xludf.DUMMYFUNCTION("""COMPUTED_VALUE"""),"LABIB AZAM")</f>
        <v>LABIB AZAM</v>
      </c>
      <c r="C157" s="28">
        <f>IFERROR(__xludf.DUMMYFUNCTION("""COMPUTED_VALUE"""),2.024070756E9)</f>
        <v>2024070756</v>
      </c>
      <c r="D157" s="27" t="str">
        <f>IFERROR(__xludf.DUMMYFUNCTION("""COMPUTED_VALUE"""),"A")</f>
        <v>A</v>
      </c>
      <c r="E157" s="27" t="str">
        <f>IFERROR(__xludf.DUMMYFUNCTION("""COMPUTED_VALUE"""),"A-7")</f>
        <v>A-7</v>
      </c>
      <c r="F157" s="31">
        <f>IFERROR(__xludf.DUMMYFUNCTION("""COMPUTED_VALUE"""),3.0)</f>
        <v>3</v>
      </c>
      <c r="G157" s="27" t="str">
        <f>IFERROR(__xludf.DUMMYFUNCTION("""COMPUTED_VALUE"""),"3 ULA A PUTRA")</f>
        <v>3 ULA A PUTRA</v>
      </c>
      <c r="H157" s="28" t="str">
        <f>IFERROR(__xludf.DUMMYFUNCTION("""COMPUTED_VALUE"""),"SMP-IX B")</f>
        <v>SMP-IX B</v>
      </c>
      <c r="I157" s="28" t="str">
        <f>IFERROR(__xludf.DUMMYFUNCTION("""COMPUTED_VALUE"""),"EVA YUNIARTI")</f>
        <v>EVA YUNIARTI</v>
      </c>
      <c r="J157" s="28" t="str">
        <f>IFERROR(__xludf.DUMMYFUNCTION("""COMPUTED_VALUE"""),"TENGGER RAYA 1 KANDANGAN RT 007 RW 002 BENOWO SURABAYA")</f>
        <v>TENGGER RAYA 1 KANDANGAN RT 007 RW 002 BENOWO SURABAYA</v>
      </c>
      <c r="K157" s="28" t="str">
        <f>IFERROR(__xludf.DUMMYFUNCTION("""COMPUTED_VALUE"""),"6282333086607")</f>
        <v>6282333086607</v>
      </c>
      <c r="L157" s="22">
        <f>IFERROR(__xludf.DUMMYFUNCTION("""COMPUTED_VALUE"""),450000.0)</f>
        <v>450000</v>
      </c>
      <c r="M157" s="22">
        <f>IFERROR(__xludf.DUMMYFUNCTION("""COMPUTED_VALUE"""),0.0)</f>
        <v>0</v>
      </c>
      <c r="N157" s="22">
        <f>IFERROR(__xludf.DUMMYFUNCTION("""COMPUTED_VALUE"""),0.0)</f>
        <v>0</v>
      </c>
      <c r="O157" s="22">
        <f>IFERROR(__xludf.DUMMYFUNCTION("""COMPUTED_VALUE"""),450000.0)</f>
        <v>450000</v>
      </c>
      <c r="P157" s="28" t="str">
        <f t="shared" si="1"/>
        <v>LUNAS</v>
      </c>
      <c r="Q157" s="28">
        <f t="shared" si="2"/>
        <v>143</v>
      </c>
      <c r="R157" s="28" t="str">
        <f t="shared" si="3"/>
        <v>LABIB AZAM</v>
      </c>
    </row>
    <row r="158">
      <c r="A158" s="27">
        <f>IFERROR(__xludf.DUMMYFUNCTION("""COMPUTED_VALUE"""),157.0)</f>
        <v>157</v>
      </c>
      <c r="B158" s="28" t="str">
        <f>IFERROR(__xludf.DUMMYFUNCTION("""COMPUTED_VALUE"""),"MOCH. RAYYAN ZIDNY IRHAMNI")</f>
        <v>MOCH. RAYYAN ZIDNY IRHAMNI</v>
      </c>
      <c r="C158" s="28">
        <f>IFERROR(__xludf.DUMMYFUNCTION("""COMPUTED_VALUE"""),2.024070649E9)</f>
        <v>2024070649</v>
      </c>
      <c r="D158" s="27" t="str">
        <f>IFERROR(__xludf.DUMMYFUNCTION("""COMPUTED_VALUE"""),"A")</f>
        <v>A</v>
      </c>
      <c r="E158" s="27" t="str">
        <f>IFERROR(__xludf.DUMMYFUNCTION("""COMPUTED_VALUE"""),"A-7")</f>
        <v>A-7</v>
      </c>
      <c r="F158" s="31">
        <f>IFERROR(__xludf.DUMMYFUNCTION("""COMPUTED_VALUE"""),3.0)</f>
        <v>3</v>
      </c>
      <c r="G158" s="27" t="str">
        <f>IFERROR(__xludf.DUMMYFUNCTION("""COMPUTED_VALUE"""),"3 ULA B PUTRA")</f>
        <v>3 ULA B PUTRA</v>
      </c>
      <c r="H158" s="28" t="str">
        <f>IFERROR(__xludf.DUMMYFUNCTION("""COMPUTED_VALUE"""),"MTS-9 D")</f>
        <v>MTS-9 D</v>
      </c>
      <c r="I158" s="28" t="str">
        <f>IFERROR(__xludf.DUMMYFUNCTION("""COMPUTED_VALUE"""),"ERNAWATI")</f>
        <v>ERNAWATI</v>
      </c>
      <c r="J158" s="28" t="str">
        <f>IFERROR(__xludf.DUMMYFUNCTION("""COMPUTED_VALUE"""),"WONOKERTO RT 015 RW 003 DUKUN GRESIK")</f>
        <v>WONOKERTO RT 015 RW 003 DUKUN GRESIK</v>
      </c>
      <c r="K158" s="28" t="str">
        <f>IFERROR(__xludf.DUMMYFUNCTION("""COMPUTED_VALUE"""),"6285708249869")</f>
        <v>6285708249869</v>
      </c>
      <c r="L158" s="22">
        <f>IFERROR(__xludf.DUMMYFUNCTION("""COMPUTED_VALUE"""),450000.0)</f>
        <v>450000</v>
      </c>
      <c r="M158" s="22">
        <f>IFERROR(__xludf.DUMMYFUNCTION("""COMPUTED_VALUE"""),1000000.0)</f>
        <v>1000000</v>
      </c>
      <c r="N158" s="22">
        <f>IFERROR(__xludf.DUMMYFUNCTION("""COMPUTED_VALUE"""),0.0)</f>
        <v>0</v>
      </c>
      <c r="O158" s="22">
        <f>IFERROR(__xludf.DUMMYFUNCTION("""COMPUTED_VALUE"""),1450000.0)</f>
        <v>1450000</v>
      </c>
      <c r="P158" s="28" t="str">
        <f t="shared" si="1"/>
        <v>LUNAS</v>
      </c>
      <c r="Q158" s="28">
        <f t="shared" si="2"/>
        <v>55</v>
      </c>
      <c r="R158" s="28" t="str">
        <f t="shared" si="3"/>
        <v>MOCH. RAYYAN ZIDNY IRHAMNI</v>
      </c>
    </row>
    <row r="159">
      <c r="A159" s="27">
        <f>IFERROR(__xludf.DUMMYFUNCTION("""COMPUTED_VALUE"""),158.0)</f>
        <v>158</v>
      </c>
      <c r="B159" s="28" t="str">
        <f>IFERROR(__xludf.DUMMYFUNCTION("""COMPUTED_VALUE"""),"MOH. VERRY HILMI MUBAROK")</f>
        <v>MOH. VERRY HILMI MUBAROK</v>
      </c>
      <c r="C159" s="28">
        <f>IFERROR(__xludf.DUMMYFUNCTION("""COMPUTED_VALUE"""),2.024070552E9)</f>
        <v>2024070552</v>
      </c>
      <c r="D159" s="27" t="str">
        <f>IFERROR(__xludf.DUMMYFUNCTION("""COMPUTED_VALUE"""),"A")</f>
        <v>A</v>
      </c>
      <c r="E159" s="27" t="str">
        <f>IFERROR(__xludf.DUMMYFUNCTION("""COMPUTED_VALUE"""),"A-7")</f>
        <v>A-7</v>
      </c>
      <c r="F159" s="31">
        <f>IFERROR(__xludf.DUMMYFUNCTION("""COMPUTED_VALUE"""),3.0)</f>
        <v>3</v>
      </c>
      <c r="G159" s="27" t="str">
        <f>IFERROR(__xludf.DUMMYFUNCTION("""COMPUTED_VALUE"""),"3 ULA B PUTRA")</f>
        <v>3 ULA B PUTRA</v>
      </c>
      <c r="H159" s="28" t="str">
        <f>IFERROR(__xludf.DUMMYFUNCTION("""COMPUTED_VALUE"""),"MTS-9 F")</f>
        <v>MTS-9 F</v>
      </c>
      <c r="I159" s="28" t="str">
        <f>IFERROR(__xludf.DUMMYFUNCTION("""COMPUTED_VALUE"""),"NUR UMIYATI")</f>
        <v>NUR UMIYATI</v>
      </c>
      <c r="J159" s="28" t="str">
        <f>IFERROR(__xludf.DUMMYFUNCTION("""COMPUTED_VALUE"""),"JL. GUNUNG BATU NO. 102 SUKARAJA RT 007 RW 002 CICENDO BANDUNG")</f>
        <v>JL. GUNUNG BATU NO. 102 SUKARAJA RT 007 RW 002 CICENDO BANDUNG</v>
      </c>
      <c r="K159" s="28" t="str">
        <f>IFERROR(__xludf.DUMMYFUNCTION("""COMPUTED_VALUE"""),"6281221567120")</f>
        <v>6281221567120</v>
      </c>
      <c r="L159" s="22">
        <f>IFERROR(__xludf.DUMMYFUNCTION("""COMPUTED_VALUE"""),0.0)</f>
        <v>0</v>
      </c>
      <c r="M159" s="22">
        <f>IFERROR(__xludf.DUMMYFUNCTION("""COMPUTED_VALUE"""),0.0)</f>
        <v>0</v>
      </c>
      <c r="N159" s="22">
        <f>IFERROR(__xludf.DUMMYFUNCTION("""COMPUTED_VALUE"""),0.0)</f>
        <v>0</v>
      </c>
      <c r="O159" s="22">
        <f>IFERROR(__xludf.DUMMYFUNCTION("""COMPUTED_VALUE"""),0.0)</f>
        <v>0</v>
      </c>
      <c r="P159" s="28" t="str">
        <f t="shared" si="1"/>
        <v>LUNAS</v>
      </c>
      <c r="Q159" s="28">
        <f t="shared" si="2"/>
        <v>193</v>
      </c>
      <c r="R159" s="28" t="str">
        <f t="shared" si="3"/>
        <v>MOH. VERRY HILMI MUBAROK</v>
      </c>
    </row>
    <row r="160">
      <c r="A160" s="27">
        <f>IFERROR(__xludf.DUMMYFUNCTION("""COMPUTED_VALUE"""),159.0)</f>
        <v>159</v>
      </c>
      <c r="B160" s="28" t="str">
        <f>IFERROR(__xludf.DUMMYFUNCTION("""COMPUTED_VALUE"""),"MUHAMMAD ALFIN JAMIL")</f>
        <v>MUHAMMAD ALFIN JAMIL</v>
      </c>
      <c r="C160" s="28">
        <f>IFERROR(__xludf.DUMMYFUNCTION("""COMPUTED_VALUE"""),2.024070503E9)</f>
        <v>2024070503</v>
      </c>
      <c r="D160" s="27" t="str">
        <f>IFERROR(__xludf.DUMMYFUNCTION("""COMPUTED_VALUE"""),"A")</f>
        <v>A</v>
      </c>
      <c r="E160" s="27" t="str">
        <f>IFERROR(__xludf.DUMMYFUNCTION("""COMPUTED_VALUE"""),"A-7")</f>
        <v>A-7</v>
      </c>
      <c r="F160" s="31">
        <f>IFERROR(__xludf.DUMMYFUNCTION("""COMPUTED_VALUE"""),3.0)</f>
        <v>3</v>
      </c>
      <c r="G160" s="27" t="str">
        <f>IFERROR(__xludf.DUMMYFUNCTION("""COMPUTED_VALUE"""),"3 ULA A PUTRA")</f>
        <v>3 ULA A PUTRA</v>
      </c>
      <c r="H160" s="28" t="str">
        <f>IFERROR(__xludf.DUMMYFUNCTION("""COMPUTED_VALUE"""),"MTS-9 C")</f>
        <v>MTS-9 C</v>
      </c>
      <c r="I160" s="28" t="str">
        <f>IFERROR(__xludf.DUMMYFUNCTION("""COMPUTED_VALUE"""),"DAROAINI")</f>
        <v>DAROAINI</v>
      </c>
      <c r="J160" s="28" t="str">
        <f>IFERROR(__xludf.DUMMYFUNCTION("""COMPUTED_VALUE"""),"PRINGGOBOYO RT 009 RW 001 MADURAN LAMONGAN")</f>
        <v>PRINGGOBOYO RT 009 RW 001 MADURAN LAMONGAN</v>
      </c>
      <c r="K160" s="28" t="str">
        <f>IFERROR(__xludf.DUMMYFUNCTION("""COMPUTED_VALUE"""),"6281230455748")</f>
        <v>6281230455748</v>
      </c>
      <c r="L160" s="22">
        <f>IFERROR(__xludf.DUMMYFUNCTION("""COMPUTED_VALUE"""),0.0)</f>
        <v>0</v>
      </c>
      <c r="M160" s="22">
        <f>IFERROR(__xludf.DUMMYFUNCTION("""COMPUTED_VALUE"""),500000.0)</f>
        <v>500000</v>
      </c>
      <c r="N160" s="22">
        <f>IFERROR(__xludf.DUMMYFUNCTION("""COMPUTED_VALUE"""),0.0)</f>
        <v>0</v>
      </c>
      <c r="O160" s="22">
        <f>IFERROR(__xludf.DUMMYFUNCTION("""COMPUTED_VALUE"""),500000.0)</f>
        <v>500000</v>
      </c>
      <c r="P160" s="28" t="str">
        <f t="shared" si="1"/>
        <v>LUNAS</v>
      </c>
      <c r="Q160" s="28">
        <f t="shared" si="2"/>
        <v>125</v>
      </c>
      <c r="R160" s="28" t="str">
        <f t="shared" si="3"/>
        <v>MUHAMMAD ALFIN JAMIL</v>
      </c>
    </row>
    <row r="161">
      <c r="A161" s="27">
        <f>IFERROR(__xludf.DUMMYFUNCTION("""COMPUTED_VALUE"""),160.0)</f>
        <v>160</v>
      </c>
      <c r="B161" s="28" t="str">
        <f>IFERROR(__xludf.DUMMYFUNCTION("""COMPUTED_VALUE"""),"MUHAMMAD EZA AL`IMRON")</f>
        <v>MUHAMMAD EZA AL`IMRON</v>
      </c>
      <c r="C161" s="28">
        <f>IFERROR(__xludf.DUMMYFUNCTION("""COMPUTED_VALUE"""),2.024070653E9)</f>
        <v>2024070653</v>
      </c>
      <c r="D161" s="27" t="str">
        <f>IFERROR(__xludf.DUMMYFUNCTION("""COMPUTED_VALUE"""),"A")</f>
        <v>A</v>
      </c>
      <c r="E161" s="27" t="str">
        <f>IFERROR(__xludf.DUMMYFUNCTION("""COMPUTED_VALUE"""),"A-7")</f>
        <v>A-7</v>
      </c>
      <c r="F161" s="31">
        <f>IFERROR(__xludf.DUMMYFUNCTION("""COMPUTED_VALUE"""),3.0)</f>
        <v>3</v>
      </c>
      <c r="G161" s="27" t="str">
        <f>IFERROR(__xludf.DUMMYFUNCTION("""COMPUTED_VALUE"""),"3 ULA B PUTRA")</f>
        <v>3 ULA B PUTRA</v>
      </c>
      <c r="H161" s="28" t="str">
        <f>IFERROR(__xludf.DUMMYFUNCTION("""COMPUTED_VALUE"""),"MTS-9 F")</f>
        <v>MTS-9 F</v>
      </c>
      <c r="I161" s="28" t="str">
        <f>IFERROR(__xludf.DUMMYFUNCTION("""COMPUTED_VALUE"""),"MAESAROH")</f>
        <v>MAESAROH</v>
      </c>
      <c r="J161" s="28" t="str">
        <f>IFERROR(__xludf.DUMMYFUNCTION("""COMPUTED_VALUE"""),"KEMLAGIGEDE RT 012 RW 002 TURI LAMONGAN")</f>
        <v>KEMLAGIGEDE RT 012 RW 002 TURI LAMONGAN</v>
      </c>
      <c r="K161" s="28" t="str">
        <f>IFERROR(__xludf.DUMMYFUNCTION("""COMPUTED_VALUE"""),"6285755534326")</f>
        <v>6285755534326</v>
      </c>
      <c r="L161" s="22">
        <f>IFERROR(__xludf.DUMMYFUNCTION("""COMPUTED_VALUE"""),1800000.0)</f>
        <v>1800000</v>
      </c>
      <c r="M161" s="22">
        <f>IFERROR(__xludf.DUMMYFUNCTION("""COMPUTED_VALUE"""),1000000.0)</f>
        <v>1000000</v>
      </c>
      <c r="N161" s="22">
        <f>IFERROR(__xludf.DUMMYFUNCTION("""COMPUTED_VALUE"""),0.0)</f>
        <v>0</v>
      </c>
      <c r="O161" s="22">
        <f>IFERROR(__xludf.DUMMYFUNCTION("""COMPUTED_VALUE"""),2800000.0)</f>
        <v>2800000</v>
      </c>
      <c r="P161" s="28" t="str">
        <f t="shared" si="1"/>
        <v>LUNAS</v>
      </c>
      <c r="Q161" s="28">
        <f t="shared" si="2"/>
        <v>28</v>
      </c>
      <c r="R161" s="28" t="str">
        <f t="shared" si="3"/>
        <v>MUHAMMAD EZA AL`IMRON</v>
      </c>
    </row>
    <row r="162">
      <c r="A162" s="27">
        <f>IFERROR(__xludf.DUMMYFUNCTION("""COMPUTED_VALUE"""),161.0)</f>
        <v>161</v>
      </c>
      <c r="B162" s="28" t="str">
        <f>IFERROR(__xludf.DUMMYFUNCTION("""COMPUTED_VALUE"""),"MUHAMMAD HANIF AFIYAN")</f>
        <v>MUHAMMAD HANIF AFIYAN</v>
      </c>
      <c r="C162" s="28">
        <f>IFERROR(__xludf.DUMMYFUNCTION("""COMPUTED_VALUE"""),2.024070486E9)</f>
        <v>2024070486</v>
      </c>
      <c r="D162" s="27" t="str">
        <f>IFERROR(__xludf.DUMMYFUNCTION("""COMPUTED_VALUE"""),"A")</f>
        <v>A</v>
      </c>
      <c r="E162" s="27" t="str">
        <f>IFERROR(__xludf.DUMMYFUNCTION("""COMPUTED_VALUE"""),"A-7")</f>
        <v>A-7</v>
      </c>
      <c r="F162" s="31">
        <f>IFERROR(__xludf.DUMMYFUNCTION("""COMPUTED_VALUE"""),3.0)</f>
        <v>3</v>
      </c>
      <c r="G162" s="27" t="str">
        <f>IFERROR(__xludf.DUMMYFUNCTION("""COMPUTED_VALUE"""),"3 ULA A PUTRA")</f>
        <v>3 ULA A PUTRA</v>
      </c>
      <c r="H162" s="28" t="str">
        <f>IFERROR(__xludf.DUMMYFUNCTION("""COMPUTED_VALUE"""),"MTS-9 C")</f>
        <v>MTS-9 C</v>
      </c>
      <c r="I162" s="28" t="str">
        <f>IFERROR(__xludf.DUMMYFUNCTION("""COMPUTED_VALUE"""),"FARIDATUZ ZUHRIYAH")</f>
        <v>FARIDATUZ ZUHRIYAH</v>
      </c>
      <c r="J162" s="28" t="str">
        <f>IFERROR(__xludf.DUMMYFUNCTION("""COMPUTED_VALUE"""),"RINGIN TLOGOREJO RT 002 RW 002 SUKODADI LAMONGAN")</f>
        <v>RINGIN TLOGOREJO RT 002 RW 002 SUKODADI LAMONGAN</v>
      </c>
      <c r="K162" s="28" t="str">
        <f>IFERROR(__xludf.DUMMYFUNCTION("""COMPUTED_VALUE"""),"6285748905402")</f>
        <v>6285748905402</v>
      </c>
      <c r="L162" s="22">
        <f>IFERROR(__xludf.DUMMYFUNCTION("""COMPUTED_VALUE"""),0.0)</f>
        <v>0</v>
      </c>
      <c r="M162" s="22">
        <f>IFERROR(__xludf.DUMMYFUNCTION("""COMPUTED_VALUE"""),500000.0)</f>
        <v>500000</v>
      </c>
      <c r="N162" s="22">
        <f>IFERROR(__xludf.DUMMYFUNCTION("""COMPUTED_VALUE"""),0.0)</f>
        <v>0</v>
      </c>
      <c r="O162" s="22">
        <f>IFERROR(__xludf.DUMMYFUNCTION("""COMPUTED_VALUE"""),500000.0)</f>
        <v>500000</v>
      </c>
      <c r="P162" s="28" t="str">
        <f t="shared" si="1"/>
        <v>LUNAS</v>
      </c>
      <c r="Q162" s="28">
        <f t="shared" si="2"/>
        <v>126</v>
      </c>
      <c r="R162" s="28" t="str">
        <f t="shared" si="3"/>
        <v>MUHAMMAD HANIF AFIYAN</v>
      </c>
    </row>
    <row r="163">
      <c r="A163" s="27">
        <f>IFERROR(__xludf.DUMMYFUNCTION("""COMPUTED_VALUE"""),162.0)</f>
        <v>162</v>
      </c>
      <c r="B163" s="28" t="str">
        <f>IFERROR(__xludf.DUMMYFUNCTION("""COMPUTED_VALUE"""),"RAUFA IKHSANUL ALIM")</f>
        <v>RAUFA IKHSANUL ALIM</v>
      </c>
      <c r="C163" s="28">
        <f>IFERROR(__xludf.DUMMYFUNCTION("""COMPUTED_VALUE"""),2.024070587E9)</f>
        <v>2024070587</v>
      </c>
      <c r="D163" s="27" t="str">
        <f>IFERROR(__xludf.DUMMYFUNCTION("""COMPUTED_VALUE"""),"A")</f>
        <v>A</v>
      </c>
      <c r="E163" s="27" t="str">
        <f>IFERROR(__xludf.DUMMYFUNCTION("""COMPUTED_VALUE"""),"A-7")</f>
        <v>A-7</v>
      </c>
      <c r="F163" s="31">
        <f>IFERROR(__xludf.DUMMYFUNCTION("""COMPUTED_VALUE"""),3.0)</f>
        <v>3</v>
      </c>
      <c r="G163" s="27" t="str">
        <f>IFERROR(__xludf.DUMMYFUNCTION("""COMPUTED_VALUE"""),"3 ULA B PUTRA")</f>
        <v>3 ULA B PUTRA</v>
      </c>
      <c r="H163" s="28" t="str">
        <f>IFERROR(__xludf.DUMMYFUNCTION("""COMPUTED_VALUE"""),"MTS-9 A")</f>
        <v>MTS-9 A</v>
      </c>
      <c r="I163" s="28" t="str">
        <f>IFERROR(__xludf.DUMMYFUNCTION("""COMPUTED_VALUE"""),"VIRGARIA SRI PURNAMAWATIK")</f>
        <v>VIRGARIA SRI PURNAMAWATIK</v>
      </c>
      <c r="J163" s="28" t="str">
        <f>IFERROR(__xludf.DUMMYFUNCTION("""COMPUTED_VALUE"""),"BANJARAN TURI RT 005 RW 002 MADURAN LAMONGAN")</f>
        <v>BANJARAN TURI RT 005 RW 002 MADURAN LAMONGAN</v>
      </c>
      <c r="K163" s="28" t="str">
        <f>IFERROR(__xludf.DUMMYFUNCTION("""COMPUTED_VALUE"""),"6285815312298")</f>
        <v>6285815312298</v>
      </c>
      <c r="L163" s="22">
        <f>IFERROR(__xludf.DUMMYFUNCTION("""COMPUTED_VALUE"""),0.0)</f>
        <v>0</v>
      </c>
      <c r="M163" s="22">
        <f>IFERROR(__xludf.DUMMYFUNCTION("""COMPUTED_VALUE"""),0.0)</f>
        <v>0</v>
      </c>
      <c r="N163" s="22">
        <f>IFERROR(__xludf.DUMMYFUNCTION("""COMPUTED_VALUE"""),0.0)</f>
        <v>0</v>
      </c>
      <c r="O163" s="22">
        <f>IFERROR(__xludf.DUMMYFUNCTION("""COMPUTED_VALUE"""),0.0)</f>
        <v>0</v>
      </c>
      <c r="P163" s="28" t="str">
        <f t="shared" si="1"/>
        <v>LUNAS</v>
      </c>
      <c r="Q163" s="28">
        <f t="shared" si="2"/>
        <v>194</v>
      </c>
      <c r="R163" s="28" t="str">
        <f t="shared" si="3"/>
        <v>RAUFA IKHSANUL ALIM</v>
      </c>
    </row>
    <row r="164">
      <c r="A164" s="27">
        <f>IFERROR(__xludf.DUMMYFUNCTION("""COMPUTED_VALUE"""),163.0)</f>
        <v>163</v>
      </c>
      <c r="B164" s="28" t="str">
        <f>IFERROR(__xludf.DUMMYFUNCTION("""COMPUTED_VALUE"""),"RIZKY ADITYA")</f>
        <v>RIZKY ADITYA</v>
      </c>
      <c r="C164" s="28">
        <f>IFERROR(__xludf.DUMMYFUNCTION("""COMPUTED_VALUE"""),2.024070592E9)</f>
        <v>2024070592</v>
      </c>
      <c r="D164" s="27" t="str">
        <f>IFERROR(__xludf.DUMMYFUNCTION("""COMPUTED_VALUE"""),"A")</f>
        <v>A</v>
      </c>
      <c r="E164" s="27" t="str">
        <f>IFERROR(__xludf.DUMMYFUNCTION("""COMPUTED_VALUE"""),"A-7")</f>
        <v>A-7</v>
      </c>
      <c r="F164" s="31">
        <f>IFERROR(__xludf.DUMMYFUNCTION("""COMPUTED_VALUE"""),3.0)</f>
        <v>3</v>
      </c>
      <c r="G164" s="27" t="str">
        <f>IFERROR(__xludf.DUMMYFUNCTION("""COMPUTED_VALUE"""),"3 ULA B PUTRA")</f>
        <v>3 ULA B PUTRA</v>
      </c>
      <c r="H164" s="28" t="str">
        <f>IFERROR(__xludf.DUMMYFUNCTION("""COMPUTED_VALUE"""),"MTS-9 F")</f>
        <v>MTS-9 F</v>
      </c>
      <c r="I164" s="28" t="str">
        <f>IFERROR(__xludf.DUMMYFUNCTION("""COMPUTED_VALUE"""),"ANISA SARI")</f>
        <v>ANISA SARI</v>
      </c>
      <c r="J164" s="28" t="str">
        <f>IFERROR(__xludf.DUMMYFUNCTION("""COMPUTED_VALUE"""),"PARANGA KAPITA RT - RW - BANGKALA JENEPONTO")</f>
        <v>PARANGA KAPITA RT - RW - BANGKALA JENEPONTO</v>
      </c>
      <c r="K164" s="28" t="str">
        <f>IFERROR(__xludf.DUMMYFUNCTION("""COMPUTED_VALUE"""),"6282255832815")</f>
        <v>6282255832815</v>
      </c>
      <c r="L164" s="22">
        <f>IFERROR(__xludf.DUMMYFUNCTION("""COMPUTED_VALUE"""),1350000.0)</f>
        <v>1350000</v>
      </c>
      <c r="M164" s="22">
        <f>IFERROR(__xludf.DUMMYFUNCTION("""COMPUTED_VALUE"""),500000.0)</f>
        <v>500000</v>
      </c>
      <c r="N164" s="22">
        <f>IFERROR(__xludf.DUMMYFUNCTION("""COMPUTED_VALUE"""),0.0)</f>
        <v>0</v>
      </c>
      <c r="O164" s="22">
        <f>IFERROR(__xludf.DUMMYFUNCTION("""COMPUTED_VALUE"""),1850000.0)</f>
        <v>1850000</v>
      </c>
      <c r="P164" s="28" t="str">
        <f t="shared" si="1"/>
        <v>LUNAS</v>
      </c>
      <c r="Q164" s="28">
        <f t="shared" si="2"/>
        <v>40</v>
      </c>
      <c r="R164" s="28" t="str">
        <f t="shared" si="3"/>
        <v>RIZKY ADITYA</v>
      </c>
    </row>
    <row r="165">
      <c r="A165" s="27">
        <f>IFERROR(__xludf.DUMMYFUNCTION("""COMPUTED_VALUE"""),164.0)</f>
        <v>164</v>
      </c>
      <c r="B165" s="28" t="str">
        <f>IFERROR(__xludf.DUMMYFUNCTION("""COMPUTED_VALUE"""),"RIZKY YUSUF MAULANA")</f>
        <v>RIZKY YUSUF MAULANA</v>
      </c>
      <c r="C165" s="28">
        <f>IFERROR(__xludf.DUMMYFUNCTION("""COMPUTED_VALUE"""),2.024070453E9)</f>
        <v>2024070453</v>
      </c>
      <c r="D165" s="27" t="str">
        <f>IFERROR(__xludf.DUMMYFUNCTION("""COMPUTED_VALUE"""),"A")</f>
        <v>A</v>
      </c>
      <c r="E165" s="27" t="str">
        <f>IFERROR(__xludf.DUMMYFUNCTION("""COMPUTED_VALUE"""),"A-7")</f>
        <v>A-7</v>
      </c>
      <c r="F165" s="31">
        <f>IFERROR(__xludf.DUMMYFUNCTION("""COMPUTED_VALUE"""),3.0)</f>
        <v>3</v>
      </c>
      <c r="G165" s="27" t="str">
        <f>IFERROR(__xludf.DUMMYFUNCTION("""COMPUTED_VALUE"""),"3 ULA A PUTRA")</f>
        <v>3 ULA A PUTRA</v>
      </c>
      <c r="H165" s="28" t="str">
        <f>IFERROR(__xludf.DUMMYFUNCTION("""COMPUTED_VALUE"""),"MTS-9 E")</f>
        <v>MTS-9 E</v>
      </c>
      <c r="I165" s="28" t="str">
        <f>IFERROR(__xludf.DUMMYFUNCTION("""COMPUTED_VALUE"""),"SRI KUSTINIAH")</f>
        <v>SRI KUSTINIAH</v>
      </c>
      <c r="J165" s="28" t="str">
        <f>IFERROR(__xludf.DUMMYFUNCTION("""COMPUTED_VALUE"""),"TEJOASRI RT 003 RW 005 LAREN LAMONGAN")</f>
        <v>TEJOASRI RT 003 RW 005 LAREN LAMONGAN</v>
      </c>
      <c r="K165" s="28"/>
      <c r="L165" s="22">
        <f>IFERROR(__xludf.DUMMYFUNCTION("""COMPUTED_VALUE"""),3150000.0)</f>
        <v>3150000</v>
      </c>
      <c r="M165" s="22">
        <f>IFERROR(__xludf.DUMMYFUNCTION("""COMPUTED_VALUE"""),1000000.0)</f>
        <v>1000000</v>
      </c>
      <c r="N165" s="22">
        <f>IFERROR(__xludf.DUMMYFUNCTION("""COMPUTED_VALUE"""),0.0)</f>
        <v>0</v>
      </c>
      <c r="O165" s="22">
        <f>IFERROR(__xludf.DUMMYFUNCTION("""COMPUTED_VALUE"""),4150000.0)</f>
        <v>4150000</v>
      </c>
      <c r="P165" s="28" t="str">
        <f t="shared" si="1"/>
        <v>LUNAS</v>
      </c>
      <c r="Q165" s="28">
        <f t="shared" si="2"/>
        <v>21</v>
      </c>
      <c r="R165" s="28" t="str">
        <f t="shared" si="3"/>
        <v>RIZKY YUSUF MAULANA</v>
      </c>
    </row>
    <row r="166">
      <c r="A166" s="27">
        <f>IFERROR(__xludf.DUMMYFUNCTION("""COMPUTED_VALUE"""),165.0)</f>
        <v>165</v>
      </c>
      <c r="B166" s="28" t="str">
        <f>IFERROR(__xludf.DUMMYFUNCTION("""COMPUTED_VALUE"""),"SAHRUL DICKY ARDIANSYAH")</f>
        <v>SAHRUL DICKY ARDIANSYAH</v>
      </c>
      <c r="C166" s="28">
        <f>IFERROR(__xludf.DUMMYFUNCTION("""COMPUTED_VALUE"""),2.024070616E9)</f>
        <v>2024070616</v>
      </c>
      <c r="D166" s="27" t="str">
        <f>IFERROR(__xludf.DUMMYFUNCTION("""COMPUTED_VALUE"""),"A")</f>
        <v>A</v>
      </c>
      <c r="E166" s="27" t="str">
        <f>IFERROR(__xludf.DUMMYFUNCTION("""COMPUTED_VALUE"""),"A-7")</f>
        <v>A-7</v>
      </c>
      <c r="F166" s="31">
        <f>IFERROR(__xludf.DUMMYFUNCTION("""COMPUTED_VALUE"""),3.0)</f>
        <v>3</v>
      </c>
      <c r="G166" s="27" t="str">
        <f>IFERROR(__xludf.DUMMYFUNCTION("""COMPUTED_VALUE"""),"3 ULA B PUTRA")</f>
        <v>3 ULA B PUTRA</v>
      </c>
      <c r="H166" s="28" t="str">
        <f>IFERROR(__xludf.DUMMYFUNCTION("""COMPUTED_VALUE"""),"MTS-9 E")</f>
        <v>MTS-9 E</v>
      </c>
      <c r="I166" s="28" t="str">
        <f>IFERROR(__xludf.DUMMYFUNCTION("""COMPUTED_VALUE"""),"MASRIFAH")</f>
        <v>MASRIFAH</v>
      </c>
      <c r="J166" s="28" t="str">
        <f>IFERROR(__xludf.DUMMYFUNCTION("""COMPUTED_VALUE"""),"GLUMO JELAKCATUR RT 002 RW 005 KALITENGAH LAMONGAN")</f>
        <v>GLUMO JELAKCATUR RT 002 RW 005 KALITENGAH LAMONGAN</v>
      </c>
      <c r="K166" s="28" t="str">
        <f>IFERROR(__xludf.DUMMYFUNCTION("""COMPUTED_VALUE"""),"6285645276494")</f>
        <v>6285645276494</v>
      </c>
      <c r="L166" s="22">
        <f>IFERROR(__xludf.DUMMYFUNCTION("""COMPUTED_VALUE"""),900000.0)</f>
        <v>900000</v>
      </c>
      <c r="M166" s="22">
        <f>IFERROR(__xludf.DUMMYFUNCTION("""COMPUTED_VALUE"""),1000000.0)</f>
        <v>1000000</v>
      </c>
      <c r="N166" s="22">
        <f>IFERROR(__xludf.DUMMYFUNCTION("""COMPUTED_VALUE"""),0.0)</f>
        <v>0</v>
      </c>
      <c r="O166" s="22">
        <f>IFERROR(__xludf.DUMMYFUNCTION("""COMPUTED_VALUE"""),1900000.0)</f>
        <v>1900000</v>
      </c>
      <c r="P166" s="28" t="str">
        <f t="shared" si="1"/>
        <v>LUNAS</v>
      </c>
      <c r="Q166" s="28">
        <f t="shared" si="2"/>
        <v>39</v>
      </c>
      <c r="R166" s="28" t="str">
        <f t="shared" si="3"/>
        <v>SAHRUL DICKY ARDIANSYAH</v>
      </c>
    </row>
    <row r="167">
      <c r="A167" s="27">
        <f>IFERROR(__xludf.DUMMYFUNCTION("""COMPUTED_VALUE"""),166.0)</f>
        <v>166</v>
      </c>
      <c r="B167" s="28" t="str">
        <f>IFERROR(__xludf.DUMMYFUNCTION("""COMPUTED_VALUE"""),"AHMAD BAHRUL FITRONI")</f>
        <v>AHMAD BAHRUL FITRONI</v>
      </c>
      <c r="C167" s="28">
        <f>IFERROR(__xludf.DUMMYFUNCTION("""COMPUTED_VALUE"""),2.024070534E9)</f>
        <v>2024070534</v>
      </c>
      <c r="D167" s="27" t="str">
        <f>IFERROR(__xludf.DUMMYFUNCTION("""COMPUTED_VALUE"""),"A")</f>
        <v>A</v>
      </c>
      <c r="E167" s="27" t="str">
        <f>IFERROR(__xludf.DUMMYFUNCTION("""COMPUTED_VALUE"""),"A-8")</f>
        <v>A-8</v>
      </c>
      <c r="F167" s="31">
        <f>IFERROR(__xludf.DUMMYFUNCTION("""COMPUTED_VALUE"""),3.0)</f>
        <v>3</v>
      </c>
      <c r="G167" s="27" t="str">
        <f>IFERROR(__xludf.DUMMYFUNCTION("""COMPUTED_VALUE"""),"3 ULA B PUTRA")</f>
        <v>3 ULA B PUTRA</v>
      </c>
      <c r="H167" s="28" t="str">
        <f>IFERROR(__xludf.DUMMYFUNCTION("""COMPUTED_VALUE"""),"MTS-9 E")</f>
        <v>MTS-9 E</v>
      </c>
      <c r="I167" s="28" t="str">
        <f>IFERROR(__xludf.DUMMYFUNCTION("""COMPUTED_VALUE"""),"SRI MULYATI")</f>
        <v>SRI MULYATI</v>
      </c>
      <c r="J167" s="28" t="str">
        <f>IFERROR(__xludf.DUMMYFUNCTION("""COMPUTED_VALUE"""),"KEBET RT 005 RW 001 LAMONGAN LAMONGAN")</f>
        <v>KEBET RT 005 RW 001 LAMONGAN LAMONGAN</v>
      </c>
      <c r="K167" s="28" t="str">
        <f>IFERROR(__xludf.DUMMYFUNCTION("""COMPUTED_VALUE"""),"6285812677937")</f>
        <v>6285812677937</v>
      </c>
      <c r="L167" s="22">
        <f>IFERROR(__xludf.DUMMYFUNCTION("""COMPUTED_VALUE"""),0.0)</f>
        <v>0</v>
      </c>
      <c r="M167" s="22">
        <f>IFERROR(__xludf.DUMMYFUNCTION("""COMPUTED_VALUE"""),500000.0)</f>
        <v>500000</v>
      </c>
      <c r="N167" s="22">
        <f>IFERROR(__xludf.DUMMYFUNCTION("""COMPUTED_VALUE"""),0.0)</f>
        <v>0</v>
      </c>
      <c r="O167" s="22">
        <f>IFERROR(__xludf.DUMMYFUNCTION("""COMPUTED_VALUE"""),500000.0)</f>
        <v>500000</v>
      </c>
      <c r="P167" s="28" t="str">
        <f t="shared" si="1"/>
        <v>LUNAS</v>
      </c>
      <c r="Q167" s="28">
        <f t="shared" si="2"/>
        <v>127</v>
      </c>
      <c r="R167" s="28" t="str">
        <f t="shared" si="3"/>
        <v>AHMAD BAHRUL FITRONI</v>
      </c>
    </row>
    <row r="168">
      <c r="A168" s="27">
        <f>IFERROR(__xludf.DUMMYFUNCTION("""COMPUTED_VALUE"""),167.0)</f>
        <v>167</v>
      </c>
      <c r="B168" s="28" t="str">
        <f>IFERROR(__xludf.DUMMYFUNCTION("""COMPUTED_VALUE"""),"AHMAD MUZAKKI")</f>
        <v>AHMAD MUZAKKI</v>
      </c>
      <c r="C168" s="28">
        <f>IFERROR(__xludf.DUMMYFUNCTION("""COMPUTED_VALUE"""),2.024070502E9)</f>
        <v>2024070502</v>
      </c>
      <c r="D168" s="27" t="str">
        <f>IFERROR(__xludf.DUMMYFUNCTION("""COMPUTED_VALUE"""),"A")</f>
        <v>A</v>
      </c>
      <c r="E168" s="27" t="str">
        <f>IFERROR(__xludf.DUMMYFUNCTION("""COMPUTED_VALUE"""),"A-8")</f>
        <v>A-8</v>
      </c>
      <c r="F168" s="31">
        <f>IFERROR(__xludf.DUMMYFUNCTION("""COMPUTED_VALUE"""),3.0)</f>
        <v>3</v>
      </c>
      <c r="G168" s="27" t="str">
        <f>IFERROR(__xludf.DUMMYFUNCTION("""COMPUTED_VALUE"""),"3 ULA A PUTRA")</f>
        <v>3 ULA A PUTRA</v>
      </c>
      <c r="H168" s="28" t="str">
        <f>IFERROR(__xludf.DUMMYFUNCTION("""COMPUTED_VALUE"""),"MTS-9 E")</f>
        <v>MTS-9 E</v>
      </c>
      <c r="I168" s="28" t="str">
        <f>IFERROR(__xludf.DUMMYFUNCTION("""COMPUTED_VALUE"""),"FITRIATUN NADHIROH")</f>
        <v>FITRIATUN NADHIROH</v>
      </c>
      <c r="J168" s="28" t="str">
        <f>IFERROR(__xludf.DUMMYFUNCTION("""COMPUTED_VALUE"""),"JUBAK NGUWOK RT 014 RW 006 MODO LAMONGAN")</f>
        <v>JUBAK NGUWOK RT 014 RW 006 MODO LAMONGAN</v>
      </c>
      <c r="K168" s="28" t="str">
        <f>IFERROR(__xludf.DUMMYFUNCTION("""COMPUTED_VALUE"""),"6285230826998")</f>
        <v>6285230826998</v>
      </c>
      <c r="L168" s="22">
        <f>IFERROR(__xludf.DUMMYFUNCTION("""COMPUTED_VALUE"""),0.0)</f>
        <v>0</v>
      </c>
      <c r="M168" s="22">
        <f>IFERROR(__xludf.DUMMYFUNCTION("""COMPUTED_VALUE"""),0.0)</f>
        <v>0</v>
      </c>
      <c r="N168" s="22">
        <f>IFERROR(__xludf.DUMMYFUNCTION("""COMPUTED_VALUE"""),0.0)</f>
        <v>0</v>
      </c>
      <c r="O168" s="22">
        <f>IFERROR(__xludf.DUMMYFUNCTION("""COMPUTED_VALUE"""),0.0)</f>
        <v>0</v>
      </c>
      <c r="P168" s="28" t="str">
        <f t="shared" si="1"/>
        <v>LUNAS</v>
      </c>
      <c r="Q168" s="28">
        <f t="shared" si="2"/>
        <v>195</v>
      </c>
      <c r="R168" s="28" t="str">
        <f t="shared" si="3"/>
        <v>AHMAD MUZAKKI</v>
      </c>
    </row>
    <row r="169">
      <c r="A169" s="27">
        <f>IFERROR(__xludf.DUMMYFUNCTION("""COMPUTED_VALUE"""),168.0)</f>
        <v>168</v>
      </c>
      <c r="B169" s="28" t="str">
        <f>IFERROR(__xludf.DUMMYFUNCTION("""COMPUTED_VALUE"""),"AZZA IBNU ARJUN")</f>
        <v>AZZA IBNU ARJUN</v>
      </c>
      <c r="C169" s="28">
        <f>IFERROR(__xludf.DUMMYFUNCTION("""COMPUTED_VALUE"""),2.024090771E9)</f>
        <v>2024090771</v>
      </c>
      <c r="D169" s="27" t="str">
        <f>IFERROR(__xludf.DUMMYFUNCTION("""COMPUTED_VALUE"""),"A")</f>
        <v>A</v>
      </c>
      <c r="E169" s="27" t="str">
        <f>IFERROR(__xludf.DUMMYFUNCTION("""COMPUTED_VALUE"""),"A-8")</f>
        <v>A-8</v>
      </c>
      <c r="F169" s="31">
        <f>IFERROR(__xludf.DUMMYFUNCTION("""COMPUTED_VALUE"""),3.0)</f>
        <v>3</v>
      </c>
      <c r="G169" s="27" t="str">
        <f>IFERROR(__xludf.DUMMYFUNCTION("""COMPUTED_VALUE"""),"3 ULA A PUTRA")</f>
        <v>3 ULA A PUTRA</v>
      </c>
      <c r="H169" s="28" t="str">
        <f>IFERROR(__xludf.DUMMYFUNCTION("""COMPUTED_VALUE"""),"SMP-IX A")</f>
        <v>SMP-IX A</v>
      </c>
      <c r="I169" s="28" t="str">
        <f>IFERROR(__xludf.DUMMYFUNCTION("""COMPUTED_VALUE"""),"IKA NUR KHOLIFAH")</f>
        <v>IKA NUR KHOLIFAH</v>
      </c>
      <c r="J169" s="28" t="str">
        <f>IFERROR(__xludf.DUMMYFUNCTION("""COMPUTED_VALUE"""),"MALINAU HULU RT 009 RW 000 MALINAU KOTA MALINAU")</f>
        <v>MALINAU HULU RT 009 RW 000 MALINAU KOTA MALINAU</v>
      </c>
      <c r="K169" s="28" t="str">
        <f>IFERROR(__xludf.DUMMYFUNCTION("""COMPUTED_VALUE"""),"6282234721856")</f>
        <v>6282234721856</v>
      </c>
      <c r="L169" s="22">
        <f>IFERROR(__xludf.DUMMYFUNCTION("""COMPUTED_VALUE"""),450000.0)</f>
        <v>450000</v>
      </c>
      <c r="M169" s="22">
        <f>IFERROR(__xludf.DUMMYFUNCTION("""COMPUTED_VALUE"""),0.0)</f>
        <v>0</v>
      </c>
      <c r="N169" s="22">
        <f>IFERROR(__xludf.DUMMYFUNCTION("""COMPUTED_VALUE"""),0.0)</f>
        <v>0</v>
      </c>
      <c r="O169" s="22">
        <f>IFERROR(__xludf.DUMMYFUNCTION("""COMPUTED_VALUE"""),450000.0)</f>
        <v>450000</v>
      </c>
      <c r="P169" s="28" t="str">
        <f t="shared" si="1"/>
        <v>LUNAS</v>
      </c>
      <c r="Q169" s="28">
        <f t="shared" si="2"/>
        <v>144</v>
      </c>
      <c r="R169" s="28" t="str">
        <f t="shared" si="3"/>
        <v>AZZA IBNU ARJUN</v>
      </c>
    </row>
    <row r="170">
      <c r="A170" s="27">
        <f>IFERROR(__xludf.DUMMYFUNCTION("""COMPUTED_VALUE"""),169.0)</f>
        <v>169</v>
      </c>
      <c r="B170" s="28" t="str">
        <f>IFERROR(__xludf.DUMMYFUNCTION("""COMPUTED_VALUE"""),"AZZAM ABDILLAH SAPTA")</f>
        <v>AZZAM ABDILLAH SAPTA</v>
      </c>
      <c r="C170" s="28">
        <f>IFERROR(__xludf.DUMMYFUNCTION("""COMPUTED_VALUE"""),2.02407059E9)</f>
        <v>2024070590</v>
      </c>
      <c r="D170" s="27" t="str">
        <f>IFERROR(__xludf.DUMMYFUNCTION("""COMPUTED_VALUE"""),"A")</f>
        <v>A</v>
      </c>
      <c r="E170" s="27" t="str">
        <f>IFERROR(__xludf.DUMMYFUNCTION("""COMPUTED_VALUE"""),"A-8")</f>
        <v>A-8</v>
      </c>
      <c r="F170" s="31">
        <f>IFERROR(__xludf.DUMMYFUNCTION("""COMPUTED_VALUE"""),3.0)</f>
        <v>3</v>
      </c>
      <c r="G170" s="27" t="str">
        <f>IFERROR(__xludf.DUMMYFUNCTION("""COMPUTED_VALUE"""),"3 ULA B PUTRA")</f>
        <v>3 ULA B PUTRA</v>
      </c>
      <c r="H170" s="28" t="str">
        <f>IFERROR(__xludf.DUMMYFUNCTION("""COMPUTED_VALUE"""),"MTS-9 D")</f>
        <v>MTS-9 D</v>
      </c>
      <c r="I170" s="28" t="str">
        <f>IFERROR(__xludf.DUMMYFUNCTION("""COMPUTED_VALUE"""),"MUIYATI")</f>
        <v>MUIYATI</v>
      </c>
      <c r="J170" s="28" t="str">
        <f>IFERROR(__xludf.DUMMYFUNCTION("""COMPUTED_VALUE"""),"NGAYUNG RT 005 RW 002 MADURAN LAMONGAN")</f>
        <v>NGAYUNG RT 005 RW 002 MADURAN LAMONGAN</v>
      </c>
      <c r="K170" s="28" t="str">
        <f>IFERROR(__xludf.DUMMYFUNCTION("""COMPUTED_VALUE"""),"6282143068892")</f>
        <v>6282143068892</v>
      </c>
      <c r="L170" s="22">
        <f>IFERROR(__xludf.DUMMYFUNCTION("""COMPUTED_VALUE"""),0.0)</f>
        <v>0</v>
      </c>
      <c r="M170" s="22">
        <f>IFERROR(__xludf.DUMMYFUNCTION("""COMPUTED_VALUE"""),500000.0)</f>
        <v>500000</v>
      </c>
      <c r="N170" s="22">
        <f>IFERROR(__xludf.DUMMYFUNCTION("""COMPUTED_VALUE"""),0.0)</f>
        <v>0</v>
      </c>
      <c r="O170" s="22">
        <f>IFERROR(__xludf.DUMMYFUNCTION("""COMPUTED_VALUE"""),500000.0)</f>
        <v>500000</v>
      </c>
      <c r="P170" s="28" t="str">
        <f t="shared" si="1"/>
        <v>LUNAS</v>
      </c>
      <c r="Q170" s="28">
        <f t="shared" si="2"/>
        <v>128</v>
      </c>
      <c r="R170" s="28" t="str">
        <f t="shared" si="3"/>
        <v>AZZAM ABDILLAH SAPTA</v>
      </c>
    </row>
    <row r="171">
      <c r="A171" s="27">
        <f>IFERROR(__xludf.DUMMYFUNCTION("""COMPUTED_VALUE"""),170.0)</f>
        <v>170</v>
      </c>
      <c r="B171" s="28" t="str">
        <f>IFERROR(__xludf.DUMMYFUNCTION("""COMPUTED_VALUE"""),"BAGAS KHOIRUL AZAM")</f>
        <v>BAGAS KHOIRUL AZAM</v>
      </c>
      <c r="C171" s="28">
        <f>IFERROR(__xludf.DUMMYFUNCTION("""COMPUTED_VALUE"""),2.024070452E9)</f>
        <v>2024070452</v>
      </c>
      <c r="D171" s="27" t="str">
        <f>IFERROR(__xludf.DUMMYFUNCTION("""COMPUTED_VALUE"""),"A")</f>
        <v>A</v>
      </c>
      <c r="E171" s="27" t="str">
        <f>IFERROR(__xludf.DUMMYFUNCTION("""COMPUTED_VALUE"""),"A-8")</f>
        <v>A-8</v>
      </c>
      <c r="F171" s="31">
        <f>IFERROR(__xludf.DUMMYFUNCTION("""COMPUTED_VALUE"""),3.0)</f>
        <v>3</v>
      </c>
      <c r="G171" s="27" t="str">
        <f>IFERROR(__xludf.DUMMYFUNCTION("""COMPUTED_VALUE"""),"3 ULA A PUTRA")</f>
        <v>3 ULA A PUTRA</v>
      </c>
      <c r="H171" s="28" t="str">
        <f>IFERROR(__xludf.DUMMYFUNCTION("""COMPUTED_VALUE"""),"MTS-9 D")</f>
        <v>MTS-9 D</v>
      </c>
      <c r="I171" s="28" t="str">
        <f>IFERROR(__xludf.DUMMYFUNCTION("""COMPUTED_VALUE"""),"SUKANI")</f>
        <v>SUKANI</v>
      </c>
      <c r="J171" s="28" t="str">
        <f>IFERROR(__xludf.DUMMYFUNCTION("""COMPUTED_VALUE"""),"WONOSARI MULYO 5/37 WONOKUSUMO RT 017 RW 007 SEMAMPIR SURABAYA")</f>
        <v>WONOSARI MULYO 5/37 WONOKUSUMO RT 017 RW 007 SEMAMPIR SURABAYA</v>
      </c>
      <c r="K171" s="28" t="str">
        <f>IFERROR(__xludf.DUMMYFUNCTION("""COMPUTED_VALUE"""),"6285738565150")</f>
        <v>6285738565150</v>
      </c>
      <c r="L171" s="22">
        <f>IFERROR(__xludf.DUMMYFUNCTION("""COMPUTED_VALUE"""),0.0)</f>
        <v>0</v>
      </c>
      <c r="M171" s="22">
        <f>IFERROR(__xludf.DUMMYFUNCTION("""COMPUTED_VALUE"""),500000.0)</f>
        <v>500000</v>
      </c>
      <c r="N171" s="22">
        <f>IFERROR(__xludf.DUMMYFUNCTION("""COMPUTED_VALUE"""),0.0)</f>
        <v>0</v>
      </c>
      <c r="O171" s="22">
        <f>IFERROR(__xludf.DUMMYFUNCTION("""COMPUTED_VALUE"""),500000.0)</f>
        <v>500000</v>
      </c>
      <c r="P171" s="28" t="str">
        <f t="shared" si="1"/>
        <v>LUNAS</v>
      </c>
      <c r="Q171" s="28">
        <f t="shared" si="2"/>
        <v>129</v>
      </c>
      <c r="R171" s="28" t="str">
        <f t="shared" si="3"/>
        <v>BAGAS KHOIRUL AZAM</v>
      </c>
    </row>
    <row r="172">
      <c r="A172" s="27">
        <f>IFERROR(__xludf.DUMMYFUNCTION("""COMPUTED_VALUE"""),171.0)</f>
        <v>171</v>
      </c>
      <c r="B172" s="28" t="str">
        <f>IFERROR(__xludf.DUMMYFUNCTION("""COMPUTED_VALUE"""),"DIMAS PRATAMA ARIYANTO")</f>
        <v>DIMAS PRATAMA ARIYANTO</v>
      </c>
      <c r="C172" s="28">
        <f>IFERROR(__xludf.DUMMYFUNCTION("""COMPUTED_VALUE"""),2.024070444E9)</f>
        <v>2024070444</v>
      </c>
      <c r="D172" s="27" t="str">
        <f>IFERROR(__xludf.DUMMYFUNCTION("""COMPUTED_VALUE"""),"A")</f>
        <v>A</v>
      </c>
      <c r="E172" s="27" t="str">
        <f>IFERROR(__xludf.DUMMYFUNCTION("""COMPUTED_VALUE"""),"A-8")</f>
        <v>A-8</v>
      </c>
      <c r="F172" s="31">
        <f>IFERROR(__xludf.DUMMYFUNCTION("""COMPUTED_VALUE"""),3.0)</f>
        <v>3</v>
      </c>
      <c r="G172" s="27" t="str">
        <f>IFERROR(__xludf.DUMMYFUNCTION("""COMPUTED_VALUE"""),"3 ULA A PUTRA")</f>
        <v>3 ULA A PUTRA</v>
      </c>
      <c r="H172" s="28" t="str">
        <f>IFERROR(__xludf.DUMMYFUNCTION("""COMPUTED_VALUE"""),"MTS-9 E")</f>
        <v>MTS-9 E</v>
      </c>
      <c r="I172" s="28" t="str">
        <f>IFERROR(__xludf.DUMMYFUNCTION("""COMPUTED_VALUE"""),"YAYUK ERNAWATI")</f>
        <v>YAYUK ERNAWATI</v>
      </c>
      <c r="J172" s="28" t="str">
        <f>IFERROR(__xludf.DUMMYFUNCTION("""COMPUTED_VALUE"""),"SUKOWATI SUKOSONGO RT 017 RW 008 KEMBANGBAHU LAMONGAN")</f>
        <v>SUKOWATI SUKOSONGO RT 017 RW 008 KEMBANGBAHU LAMONGAN</v>
      </c>
      <c r="K172" s="28" t="str">
        <f>IFERROR(__xludf.DUMMYFUNCTION("""COMPUTED_VALUE"""),"6281515026997")</f>
        <v>6281515026997</v>
      </c>
      <c r="L172" s="22">
        <f>IFERROR(__xludf.DUMMYFUNCTION("""COMPUTED_VALUE"""),0.0)</f>
        <v>0</v>
      </c>
      <c r="M172" s="22">
        <f>IFERROR(__xludf.DUMMYFUNCTION("""COMPUTED_VALUE"""),0.0)</f>
        <v>0</v>
      </c>
      <c r="N172" s="22">
        <f>IFERROR(__xludf.DUMMYFUNCTION("""COMPUTED_VALUE"""),0.0)</f>
        <v>0</v>
      </c>
      <c r="O172" s="22">
        <f>IFERROR(__xludf.DUMMYFUNCTION("""COMPUTED_VALUE"""),0.0)</f>
        <v>0</v>
      </c>
      <c r="P172" s="28" t="str">
        <f t="shared" si="1"/>
        <v>LUNAS</v>
      </c>
      <c r="Q172" s="28">
        <f t="shared" si="2"/>
        <v>196</v>
      </c>
      <c r="R172" s="28" t="str">
        <f t="shared" si="3"/>
        <v>DIMAS PRATAMA ARIYANTO</v>
      </c>
    </row>
    <row r="173">
      <c r="A173" s="27">
        <f>IFERROR(__xludf.DUMMYFUNCTION("""COMPUTED_VALUE"""),172.0)</f>
        <v>172</v>
      </c>
      <c r="B173" s="28" t="str">
        <f>IFERROR(__xludf.DUMMYFUNCTION("""COMPUTED_VALUE"""),"DZAKIR ZAMAHSARI EL GHIFARI ZEIN")</f>
        <v>DZAKIR ZAMAHSARI EL GHIFARI ZEIN</v>
      </c>
      <c r="C173" s="28">
        <f>IFERROR(__xludf.DUMMYFUNCTION("""COMPUTED_VALUE"""),2.024070624E9)</f>
        <v>2024070624</v>
      </c>
      <c r="D173" s="27" t="str">
        <f>IFERROR(__xludf.DUMMYFUNCTION("""COMPUTED_VALUE"""),"A")</f>
        <v>A</v>
      </c>
      <c r="E173" s="27" t="str">
        <f>IFERROR(__xludf.DUMMYFUNCTION("""COMPUTED_VALUE"""),"A-8")</f>
        <v>A-8</v>
      </c>
      <c r="F173" s="31">
        <f>IFERROR(__xludf.DUMMYFUNCTION("""COMPUTED_VALUE"""),3.0)</f>
        <v>3</v>
      </c>
      <c r="G173" s="27" t="str">
        <f>IFERROR(__xludf.DUMMYFUNCTION("""COMPUTED_VALUE"""),"3 ULA B PUTRA")</f>
        <v>3 ULA B PUTRA</v>
      </c>
      <c r="H173" s="28" t="str">
        <f>IFERROR(__xludf.DUMMYFUNCTION("""COMPUTED_VALUE"""),"MTS-9 D")</f>
        <v>MTS-9 D</v>
      </c>
      <c r="I173" s="28" t="str">
        <f>IFERROR(__xludf.DUMMYFUNCTION("""COMPUTED_VALUE"""),"SITI ZUBAIDAH")</f>
        <v>SITI ZUBAIDAH</v>
      </c>
      <c r="J173" s="28" t="str">
        <f>IFERROR(__xludf.DUMMYFUNCTION("""COMPUTED_VALUE"""),"JL. MESDJID NO. 4 CIPULIR RT 011 RW 001 KEBAYORAN LAMA JAKARTA SELATAN")</f>
        <v>JL. MESDJID NO. 4 CIPULIR RT 011 RW 001 KEBAYORAN LAMA JAKARTA SELATAN</v>
      </c>
      <c r="K173" s="28" t="str">
        <f>IFERROR(__xludf.DUMMYFUNCTION("""COMPUTED_VALUE"""),"6281779129473")</f>
        <v>6281779129473</v>
      </c>
      <c r="L173" s="22">
        <f>IFERROR(__xludf.DUMMYFUNCTION("""COMPUTED_VALUE"""),1800000.0)</f>
        <v>1800000</v>
      </c>
      <c r="M173" s="22">
        <f>IFERROR(__xludf.DUMMYFUNCTION("""COMPUTED_VALUE"""),0.0)</f>
        <v>0</v>
      </c>
      <c r="N173" s="22">
        <f>IFERROR(__xludf.DUMMYFUNCTION("""COMPUTED_VALUE"""),0.0)</f>
        <v>0</v>
      </c>
      <c r="O173" s="22">
        <f>IFERROR(__xludf.DUMMYFUNCTION("""COMPUTED_VALUE"""),1800000.0)</f>
        <v>1800000</v>
      </c>
      <c r="P173" s="28" t="str">
        <f t="shared" si="1"/>
        <v>LUNAS</v>
      </c>
      <c r="Q173" s="28">
        <f t="shared" si="2"/>
        <v>43</v>
      </c>
      <c r="R173" s="28" t="str">
        <f t="shared" si="3"/>
        <v>DZAKIR ZAMAHSARI EL GHIFARI ZEIN</v>
      </c>
    </row>
    <row r="174">
      <c r="A174" s="27">
        <f>IFERROR(__xludf.DUMMYFUNCTION("""COMPUTED_VALUE"""),173.0)</f>
        <v>173</v>
      </c>
      <c r="B174" s="28" t="str">
        <f>IFERROR(__xludf.DUMMYFUNCTION("""COMPUTED_VALUE"""),"EZZAR RADITYA PUTRA RAMADHAN")</f>
        <v>EZZAR RADITYA PUTRA RAMADHAN</v>
      </c>
      <c r="C174" s="28">
        <f>IFERROR(__xludf.DUMMYFUNCTION("""COMPUTED_VALUE"""),2.024070639E9)</f>
        <v>2024070639</v>
      </c>
      <c r="D174" s="27" t="str">
        <f>IFERROR(__xludf.DUMMYFUNCTION("""COMPUTED_VALUE"""),"A")</f>
        <v>A</v>
      </c>
      <c r="E174" s="27" t="str">
        <f>IFERROR(__xludf.DUMMYFUNCTION("""COMPUTED_VALUE"""),"A-8")</f>
        <v>A-8</v>
      </c>
      <c r="F174" s="31">
        <f>IFERROR(__xludf.DUMMYFUNCTION("""COMPUTED_VALUE"""),3.0)</f>
        <v>3</v>
      </c>
      <c r="G174" s="27" t="str">
        <f>IFERROR(__xludf.DUMMYFUNCTION("""COMPUTED_VALUE"""),"3 ULA A PUTRA")</f>
        <v>3 ULA A PUTRA</v>
      </c>
      <c r="H174" s="28" t="str">
        <f>IFERROR(__xludf.DUMMYFUNCTION("""COMPUTED_VALUE"""),"MTS-9 B")</f>
        <v>MTS-9 B</v>
      </c>
      <c r="I174" s="28" t="str">
        <f>IFERROR(__xludf.DUMMYFUNCTION("""COMPUTED_VALUE"""),"NUR AINI")</f>
        <v>NUR AINI</v>
      </c>
      <c r="J174" s="28" t="str">
        <f>IFERROR(__xludf.DUMMYFUNCTION("""COMPUTED_VALUE"""),"PUCANGRO RT 002 RW 001 KALITENGAH LAMONGAN")</f>
        <v>PUCANGRO RT 002 RW 001 KALITENGAH LAMONGAN</v>
      </c>
      <c r="K174" s="28" t="str">
        <f>IFERROR(__xludf.DUMMYFUNCTION("""COMPUTED_VALUE"""),"6285707124359")</f>
        <v>6285707124359</v>
      </c>
      <c r="L174" s="22">
        <f>IFERROR(__xludf.DUMMYFUNCTION("""COMPUTED_VALUE"""),0.0)</f>
        <v>0</v>
      </c>
      <c r="M174" s="22">
        <f>IFERROR(__xludf.DUMMYFUNCTION("""COMPUTED_VALUE"""),0.0)</f>
        <v>0</v>
      </c>
      <c r="N174" s="22">
        <f>IFERROR(__xludf.DUMMYFUNCTION("""COMPUTED_VALUE"""),0.0)</f>
        <v>0</v>
      </c>
      <c r="O174" s="22">
        <f>IFERROR(__xludf.DUMMYFUNCTION("""COMPUTED_VALUE"""),0.0)</f>
        <v>0</v>
      </c>
      <c r="P174" s="28" t="str">
        <f t="shared" si="1"/>
        <v>LUNAS</v>
      </c>
      <c r="Q174" s="28">
        <f t="shared" si="2"/>
        <v>197</v>
      </c>
      <c r="R174" s="28" t="str">
        <f t="shared" si="3"/>
        <v>EZZAR RADITYA PUTRA RAMADHAN</v>
      </c>
    </row>
    <row r="175">
      <c r="A175" s="27">
        <f>IFERROR(__xludf.DUMMYFUNCTION("""COMPUTED_VALUE"""),174.0)</f>
        <v>174</v>
      </c>
      <c r="B175" s="28" t="str">
        <f>IFERROR(__xludf.DUMMYFUNCTION("""COMPUTED_VALUE"""),"GALANG SAPUTRA")</f>
        <v>GALANG SAPUTRA</v>
      </c>
      <c r="C175" s="28">
        <f>IFERROR(__xludf.DUMMYFUNCTION("""COMPUTED_VALUE"""),2.02407073E9)</f>
        <v>2024070730</v>
      </c>
      <c r="D175" s="27" t="str">
        <f>IFERROR(__xludf.DUMMYFUNCTION("""COMPUTED_VALUE"""),"A")</f>
        <v>A</v>
      </c>
      <c r="E175" s="27" t="str">
        <f>IFERROR(__xludf.DUMMYFUNCTION("""COMPUTED_VALUE"""),"A-8")</f>
        <v>A-8</v>
      </c>
      <c r="F175" s="31">
        <f>IFERROR(__xludf.DUMMYFUNCTION("""COMPUTED_VALUE"""),3.0)</f>
        <v>3</v>
      </c>
      <c r="G175" s="27" t="str">
        <f>IFERROR(__xludf.DUMMYFUNCTION("""COMPUTED_VALUE"""),"3 ULA A PUTRA")</f>
        <v>3 ULA A PUTRA</v>
      </c>
      <c r="H175" s="28" t="str">
        <f>IFERROR(__xludf.DUMMYFUNCTION("""COMPUTED_VALUE"""),"SMP-IX A")</f>
        <v>SMP-IX A</v>
      </c>
      <c r="I175" s="28" t="str">
        <f>IFERROR(__xludf.DUMMYFUNCTION("""COMPUTED_VALUE"""),"SULIYATI")</f>
        <v>SULIYATI</v>
      </c>
      <c r="J175" s="28" t="str">
        <f>IFERROR(__xludf.DUMMYFUNCTION("""COMPUTED_VALUE"""),"DORO KARANGWEDORO RT 009 RW 003 TURI LAMONGAN")</f>
        <v>DORO KARANGWEDORO RT 009 RW 003 TURI LAMONGAN</v>
      </c>
      <c r="K175" s="28" t="str">
        <f>IFERROR(__xludf.DUMMYFUNCTION("""COMPUTED_VALUE"""),"6285756513128")</f>
        <v>6285756513128</v>
      </c>
      <c r="L175" s="22">
        <f>IFERROR(__xludf.DUMMYFUNCTION("""COMPUTED_VALUE"""),0.0)</f>
        <v>0</v>
      </c>
      <c r="M175" s="22">
        <f>IFERROR(__xludf.DUMMYFUNCTION("""COMPUTED_VALUE"""),500000.0)</f>
        <v>500000</v>
      </c>
      <c r="N175" s="22">
        <f>IFERROR(__xludf.DUMMYFUNCTION("""COMPUTED_VALUE"""),0.0)</f>
        <v>0</v>
      </c>
      <c r="O175" s="22">
        <f>IFERROR(__xludf.DUMMYFUNCTION("""COMPUTED_VALUE"""),500000.0)</f>
        <v>500000</v>
      </c>
      <c r="P175" s="28" t="str">
        <f t="shared" si="1"/>
        <v>LUNAS</v>
      </c>
      <c r="Q175" s="28">
        <f t="shared" si="2"/>
        <v>130</v>
      </c>
      <c r="R175" s="28" t="str">
        <f t="shared" si="3"/>
        <v>GALANG SAPUTRA</v>
      </c>
    </row>
    <row r="176">
      <c r="A176" s="27">
        <f>IFERROR(__xludf.DUMMYFUNCTION("""COMPUTED_VALUE"""),175.0)</f>
        <v>175</v>
      </c>
      <c r="B176" s="28" t="str">
        <f>IFERROR(__xludf.DUMMYFUNCTION("""COMPUTED_VALUE"""),"KHARIS DWI FIRMANA")</f>
        <v>KHARIS DWI FIRMANA</v>
      </c>
      <c r="C176" s="28">
        <f>IFERROR(__xludf.DUMMYFUNCTION("""COMPUTED_VALUE"""),2.024070627E9)</f>
        <v>2024070627</v>
      </c>
      <c r="D176" s="27" t="str">
        <f>IFERROR(__xludf.DUMMYFUNCTION("""COMPUTED_VALUE"""),"A")</f>
        <v>A</v>
      </c>
      <c r="E176" s="27" t="str">
        <f>IFERROR(__xludf.DUMMYFUNCTION("""COMPUTED_VALUE"""),"A-8")</f>
        <v>A-8</v>
      </c>
      <c r="F176" s="31">
        <f>IFERROR(__xludf.DUMMYFUNCTION("""COMPUTED_VALUE"""),3.0)</f>
        <v>3</v>
      </c>
      <c r="G176" s="27" t="str">
        <f>IFERROR(__xludf.DUMMYFUNCTION("""COMPUTED_VALUE"""),"3 ULA B PUTRA")</f>
        <v>3 ULA B PUTRA</v>
      </c>
      <c r="H176" s="28" t="str">
        <f>IFERROR(__xludf.DUMMYFUNCTION("""COMPUTED_VALUE"""),"MTS-9 F")</f>
        <v>MTS-9 F</v>
      </c>
      <c r="I176" s="28" t="str">
        <f>IFERROR(__xludf.DUMMYFUNCTION("""COMPUTED_VALUE"""),"KHOLIFAH")</f>
        <v>KHOLIFAH</v>
      </c>
      <c r="J176" s="28" t="str">
        <f>IFERROR(__xludf.DUMMYFUNCTION("""COMPUTED_VALUE"""),"NGAYUNG RT 010 RW 003 MADURAN LAMONGAN")</f>
        <v>NGAYUNG RT 010 RW 003 MADURAN LAMONGAN</v>
      </c>
      <c r="K176" s="28" t="str">
        <f>IFERROR(__xludf.DUMMYFUNCTION("""COMPUTED_VALUE"""),"6285777721366")</f>
        <v>6285777721366</v>
      </c>
      <c r="L176" s="22">
        <f>IFERROR(__xludf.DUMMYFUNCTION("""COMPUTED_VALUE"""),2250000.0)</f>
        <v>2250000</v>
      </c>
      <c r="M176" s="22">
        <f>IFERROR(__xludf.DUMMYFUNCTION("""COMPUTED_VALUE"""),500000.0)</f>
        <v>500000</v>
      </c>
      <c r="N176" s="22">
        <f>IFERROR(__xludf.DUMMYFUNCTION("""COMPUTED_VALUE"""),0.0)</f>
        <v>0</v>
      </c>
      <c r="O176" s="22">
        <f>IFERROR(__xludf.DUMMYFUNCTION("""COMPUTED_VALUE"""),2750000.0)</f>
        <v>2750000</v>
      </c>
      <c r="P176" s="28" t="str">
        <f t="shared" si="1"/>
        <v>LUNAS</v>
      </c>
      <c r="Q176" s="28">
        <f t="shared" si="2"/>
        <v>29</v>
      </c>
      <c r="R176" s="28" t="str">
        <f t="shared" si="3"/>
        <v>KHARIS DWI FIRMANA</v>
      </c>
    </row>
    <row r="177">
      <c r="A177" s="27">
        <f>IFERROR(__xludf.DUMMYFUNCTION("""COMPUTED_VALUE"""),176.0)</f>
        <v>176</v>
      </c>
      <c r="B177" s="28" t="str">
        <f>IFERROR(__xludf.DUMMYFUNCTION("""COMPUTED_VALUE"""),"M. FAHRY SATRIA KURNIAWAN")</f>
        <v>M. FAHRY SATRIA KURNIAWAN</v>
      </c>
      <c r="C177" s="28">
        <f>IFERROR(__xludf.DUMMYFUNCTION("""COMPUTED_VALUE"""),2.024070477E9)</f>
        <v>2024070477</v>
      </c>
      <c r="D177" s="27" t="str">
        <f>IFERROR(__xludf.DUMMYFUNCTION("""COMPUTED_VALUE"""),"A")</f>
        <v>A</v>
      </c>
      <c r="E177" s="27" t="str">
        <f>IFERROR(__xludf.DUMMYFUNCTION("""COMPUTED_VALUE"""),"A-8")</f>
        <v>A-8</v>
      </c>
      <c r="F177" s="31">
        <f>IFERROR(__xludf.DUMMYFUNCTION("""COMPUTED_VALUE"""),3.0)</f>
        <v>3</v>
      </c>
      <c r="G177" s="27" t="str">
        <f>IFERROR(__xludf.DUMMYFUNCTION("""COMPUTED_VALUE"""),"3 ULA A PUTRA")</f>
        <v>3 ULA A PUTRA</v>
      </c>
      <c r="H177" s="28" t="str">
        <f>IFERROR(__xludf.DUMMYFUNCTION("""COMPUTED_VALUE"""),"MTS-9 E")</f>
        <v>MTS-9 E</v>
      </c>
      <c r="I177" s="28" t="str">
        <f>IFERROR(__xludf.DUMMYFUNCTION("""COMPUTED_VALUE"""),"IVA WAHYU NINGSIH")</f>
        <v>IVA WAHYU NINGSIH</v>
      </c>
      <c r="J177" s="28" t="str">
        <f>IFERROR(__xludf.DUMMYFUNCTION("""COMPUTED_VALUE"""),"SUGIHWARAS RT 002 RW 001 DEKET LAMONGAN")</f>
        <v>SUGIHWARAS RT 002 RW 001 DEKET LAMONGAN</v>
      </c>
      <c r="K177" s="28" t="str">
        <f>IFERROR(__xludf.DUMMYFUNCTION("""COMPUTED_VALUE"""),"6282143497363")</f>
        <v>6282143497363</v>
      </c>
      <c r="L177" s="22">
        <f>IFERROR(__xludf.DUMMYFUNCTION("""COMPUTED_VALUE"""),0.0)</f>
        <v>0</v>
      </c>
      <c r="M177" s="22">
        <f>IFERROR(__xludf.DUMMYFUNCTION("""COMPUTED_VALUE"""),1000000.0)</f>
        <v>1000000</v>
      </c>
      <c r="N177" s="22">
        <f>IFERROR(__xludf.DUMMYFUNCTION("""COMPUTED_VALUE"""),0.0)</f>
        <v>0</v>
      </c>
      <c r="O177" s="22">
        <f>IFERROR(__xludf.DUMMYFUNCTION("""COMPUTED_VALUE"""),1000000.0)</f>
        <v>1000000</v>
      </c>
      <c r="P177" s="28" t="str">
        <f t="shared" si="1"/>
        <v>LUNAS</v>
      </c>
      <c r="Q177" s="28">
        <f t="shared" si="2"/>
        <v>104</v>
      </c>
      <c r="R177" s="28" t="str">
        <f t="shared" si="3"/>
        <v>M. FAHRY SATRIA KURNIAWAN</v>
      </c>
    </row>
    <row r="178">
      <c r="A178" s="27">
        <f>IFERROR(__xludf.DUMMYFUNCTION("""COMPUTED_VALUE"""),177.0)</f>
        <v>177</v>
      </c>
      <c r="B178" s="28" t="str">
        <f>IFERROR(__xludf.DUMMYFUNCTION("""COMPUTED_VALUE"""),"M. FARID ALI MUSLIMIN")</f>
        <v>M. FARID ALI MUSLIMIN</v>
      </c>
      <c r="C178" s="28">
        <f>IFERROR(__xludf.DUMMYFUNCTION("""COMPUTED_VALUE"""),2.024070469E9)</f>
        <v>2024070469</v>
      </c>
      <c r="D178" s="27" t="str">
        <f>IFERROR(__xludf.DUMMYFUNCTION("""COMPUTED_VALUE"""),"A")</f>
        <v>A</v>
      </c>
      <c r="E178" s="27" t="str">
        <f>IFERROR(__xludf.DUMMYFUNCTION("""COMPUTED_VALUE"""),"A-8")</f>
        <v>A-8</v>
      </c>
      <c r="F178" s="31">
        <f>IFERROR(__xludf.DUMMYFUNCTION("""COMPUTED_VALUE"""),3.0)</f>
        <v>3</v>
      </c>
      <c r="G178" s="27" t="str">
        <f>IFERROR(__xludf.DUMMYFUNCTION("""COMPUTED_VALUE"""),"3 ULA A PUTRA")</f>
        <v>3 ULA A PUTRA</v>
      </c>
      <c r="H178" s="28" t="str">
        <f>IFERROR(__xludf.DUMMYFUNCTION("""COMPUTED_VALUE"""),"MTS-9 E")</f>
        <v>MTS-9 E</v>
      </c>
      <c r="I178" s="28" t="str">
        <f>IFERROR(__xludf.DUMMYFUNCTION("""COMPUTED_VALUE"""),"SUPARTI")</f>
        <v>SUPARTI</v>
      </c>
      <c r="J178" s="28" t="str">
        <f>IFERROR(__xludf.DUMMYFUNCTION("""COMPUTED_VALUE"""),"BULAKWATU BANJAREJO RT 003 RW 003 SUKODADI LAMONGAN")</f>
        <v>BULAKWATU BANJAREJO RT 003 RW 003 SUKODADI LAMONGAN</v>
      </c>
      <c r="K178" s="28" t="str">
        <f>IFERROR(__xludf.DUMMYFUNCTION("""COMPUTED_VALUE"""),"6285731459363")</f>
        <v>6285731459363</v>
      </c>
      <c r="L178" s="22">
        <f>IFERROR(__xludf.DUMMYFUNCTION("""COMPUTED_VALUE"""),0.0)</f>
        <v>0</v>
      </c>
      <c r="M178" s="22">
        <f>IFERROR(__xludf.DUMMYFUNCTION("""COMPUTED_VALUE"""),0.0)</f>
        <v>0</v>
      </c>
      <c r="N178" s="22">
        <f>IFERROR(__xludf.DUMMYFUNCTION("""COMPUTED_VALUE"""),0.0)</f>
        <v>0</v>
      </c>
      <c r="O178" s="22">
        <f>IFERROR(__xludf.DUMMYFUNCTION("""COMPUTED_VALUE"""),0.0)</f>
        <v>0</v>
      </c>
      <c r="P178" s="28" t="str">
        <f t="shared" si="1"/>
        <v>LUNAS</v>
      </c>
      <c r="Q178" s="28">
        <f t="shared" si="2"/>
        <v>198</v>
      </c>
      <c r="R178" s="28" t="str">
        <f t="shared" si="3"/>
        <v>M. FARID ALI MUSLIMIN</v>
      </c>
    </row>
    <row r="179">
      <c r="A179" s="27">
        <f>IFERROR(__xludf.DUMMYFUNCTION("""COMPUTED_VALUE"""),178.0)</f>
        <v>178</v>
      </c>
      <c r="B179" s="28" t="str">
        <f>IFERROR(__xludf.DUMMYFUNCTION("""COMPUTED_VALUE"""),"M. RADIFQI ALFARISTY")</f>
        <v>M. RADIFQI ALFARISTY</v>
      </c>
      <c r="C179" s="28">
        <f>IFERROR(__xludf.DUMMYFUNCTION("""COMPUTED_VALUE"""),2.024070747E9)</f>
        <v>2024070747</v>
      </c>
      <c r="D179" s="27" t="str">
        <f>IFERROR(__xludf.DUMMYFUNCTION("""COMPUTED_VALUE"""),"A")</f>
        <v>A</v>
      </c>
      <c r="E179" s="27" t="str">
        <f>IFERROR(__xludf.DUMMYFUNCTION("""COMPUTED_VALUE"""),"A-8")</f>
        <v>A-8</v>
      </c>
      <c r="F179" s="31">
        <f>IFERROR(__xludf.DUMMYFUNCTION("""COMPUTED_VALUE"""),3.0)</f>
        <v>3</v>
      </c>
      <c r="G179" s="27" t="str">
        <f>IFERROR(__xludf.DUMMYFUNCTION("""COMPUTED_VALUE"""),"3 ULA A PUTRA")</f>
        <v>3 ULA A PUTRA</v>
      </c>
      <c r="H179" s="28" t="str">
        <f>IFERROR(__xludf.DUMMYFUNCTION("""COMPUTED_VALUE"""),"SMP-IX C")</f>
        <v>SMP-IX C</v>
      </c>
      <c r="I179" s="28" t="str">
        <f>IFERROR(__xludf.DUMMYFUNCTION("""COMPUTED_VALUE"""),"KUSNAWATI")</f>
        <v>KUSNAWATI</v>
      </c>
      <c r="J179" s="28" t="str">
        <f>IFERROR(__xludf.DUMMYFUNCTION("""COMPUTED_VALUE"""),"DORO KARANGWEDORO RT 001 RW 001 TURI LAMONGAN")</f>
        <v>DORO KARANGWEDORO RT 001 RW 001 TURI LAMONGAN</v>
      </c>
      <c r="K179" s="28" t="str">
        <f>IFERROR(__xludf.DUMMYFUNCTION("""COMPUTED_VALUE"""),"6285649740556")</f>
        <v>6285649740556</v>
      </c>
      <c r="L179" s="22">
        <f>IFERROR(__xludf.DUMMYFUNCTION("""COMPUTED_VALUE"""),450000.0)</f>
        <v>450000</v>
      </c>
      <c r="M179" s="22">
        <f>IFERROR(__xludf.DUMMYFUNCTION("""COMPUTED_VALUE"""),500000.0)</f>
        <v>500000</v>
      </c>
      <c r="N179" s="22">
        <f>IFERROR(__xludf.DUMMYFUNCTION("""COMPUTED_VALUE"""),0.0)</f>
        <v>0</v>
      </c>
      <c r="O179" s="22">
        <f>IFERROR(__xludf.DUMMYFUNCTION("""COMPUTED_VALUE"""),950000.0)</f>
        <v>950000</v>
      </c>
      <c r="P179" s="28" t="str">
        <f t="shared" si="1"/>
        <v>LUNAS</v>
      </c>
      <c r="Q179" s="28">
        <f t="shared" si="2"/>
        <v>108</v>
      </c>
      <c r="R179" s="28" t="str">
        <f t="shared" si="3"/>
        <v>M. RADIFQI ALFARISTY</v>
      </c>
    </row>
    <row r="180">
      <c r="A180" s="27">
        <f>IFERROR(__xludf.DUMMYFUNCTION("""COMPUTED_VALUE"""),179.0)</f>
        <v>179</v>
      </c>
      <c r="B180" s="28" t="str">
        <f>IFERROR(__xludf.DUMMYFUNCTION("""COMPUTED_VALUE"""),"M. SYAHRUL BAHRI ALSYAFIK")</f>
        <v>M. SYAHRUL BAHRI ALSYAFIK</v>
      </c>
      <c r="C180" s="28">
        <f>IFERROR(__xludf.DUMMYFUNCTION("""COMPUTED_VALUE"""),2.024070628E9)</f>
        <v>2024070628</v>
      </c>
      <c r="D180" s="27" t="str">
        <f>IFERROR(__xludf.DUMMYFUNCTION("""COMPUTED_VALUE"""),"A")</f>
        <v>A</v>
      </c>
      <c r="E180" s="27" t="str">
        <f>IFERROR(__xludf.DUMMYFUNCTION("""COMPUTED_VALUE"""),"A-8")</f>
        <v>A-8</v>
      </c>
      <c r="F180" s="31">
        <f>IFERROR(__xludf.DUMMYFUNCTION("""COMPUTED_VALUE"""),3.0)</f>
        <v>3</v>
      </c>
      <c r="G180" s="27" t="str">
        <f>IFERROR(__xludf.DUMMYFUNCTION("""COMPUTED_VALUE"""),"3 ULA B PUTRA")</f>
        <v>3 ULA B PUTRA</v>
      </c>
      <c r="H180" s="28" t="str">
        <f>IFERROR(__xludf.DUMMYFUNCTION("""COMPUTED_VALUE"""),"MTS-9 E")</f>
        <v>MTS-9 E</v>
      </c>
      <c r="I180" s="28" t="str">
        <f>IFERROR(__xludf.DUMMYFUNCTION("""COMPUTED_VALUE"""),"ETIK NUR KUMALA")</f>
        <v>ETIK NUR KUMALA</v>
      </c>
      <c r="J180" s="28" t="str">
        <f>IFERROR(__xludf.DUMMYFUNCTION("""COMPUTED_VALUE"""),"PENDOWO LIMO RT 001 RW 003 KARANGBINANGUN LAMONGAN")</f>
        <v>PENDOWO LIMO RT 001 RW 003 KARANGBINANGUN LAMONGAN</v>
      </c>
      <c r="K180" s="28" t="str">
        <f>IFERROR(__xludf.DUMMYFUNCTION("""COMPUTED_VALUE"""),"6285704248674")</f>
        <v>6285704248674</v>
      </c>
      <c r="L180" s="22">
        <f>IFERROR(__xludf.DUMMYFUNCTION("""COMPUTED_VALUE"""),0.0)</f>
        <v>0</v>
      </c>
      <c r="M180" s="22">
        <f>IFERROR(__xludf.DUMMYFUNCTION("""COMPUTED_VALUE"""),500000.0)</f>
        <v>500000</v>
      </c>
      <c r="N180" s="22">
        <f>IFERROR(__xludf.DUMMYFUNCTION("""COMPUTED_VALUE"""),0.0)</f>
        <v>0</v>
      </c>
      <c r="O180" s="22">
        <f>IFERROR(__xludf.DUMMYFUNCTION("""COMPUTED_VALUE"""),500000.0)</f>
        <v>500000</v>
      </c>
      <c r="P180" s="28" t="str">
        <f t="shared" si="1"/>
        <v>LUNAS</v>
      </c>
      <c r="Q180" s="28">
        <f t="shared" si="2"/>
        <v>131</v>
      </c>
      <c r="R180" s="28" t="str">
        <f t="shared" si="3"/>
        <v>M. SYAHRUL BAHRI ALSYAFIK</v>
      </c>
    </row>
    <row r="181">
      <c r="A181" s="27">
        <f>IFERROR(__xludf.DUMMYFUNCTION("""COMPUTED_VALUE"""),180.0)</f>
        <v>180</v>
      </c>
      <c r="B181" s="28" t="str">
        <f>IFERROR(__xludf.DUMMYFUNCTION("""COMPUTED_VALUE"""),"MOCH SLAMET JULIANTO")</f>
        <v>MOCH SLAMET JULIANTO</v>
      </c>
      <c r="C181" s="28">
        <f>IFERROR(__xludf.DUMMYFUNCTION("""COMPUTED_VALUE"""),2.024070589E9)</f>
        <v>2024070589</v>
      </c>
      <c r="D181" s="27" t="str">
        <f>IFERROR(__xludf.DUMMYFUNCTION("""COMPUTED_VALUE"""),"A")</f>
        <v>A</v>
      </c>
      <c r="E181" s="27" t="str">
        <f>IFERROR(__xludf.DUMMYFUNCTION("""COMPUTED_VALUE"""),"A-8")</f>
        <v>A-8</v>
      </c>
      <c r="F181" s="31">
        <f>IFERROR(__xludf.DUMMYFUNCTION("""COMPUTED_VALUE"""),3.0)</f>
        <v>3</v>
      </c>
      <c r="G181" s="27" t="str">
        <f>IFERROR(__xludf.DUMMYFUNCTION("""COMPUTED_VALUE"""),"3 ULA B PUTRA")</f>
        <v>3 ULA B PUTRA</v>
      </c>
      <c r="H181" s="28" t="str">
        <f>IFERROR(__xludf.DUMMYFUNCTION("""COMPUTED_VALUE"""),"MTS-9 B")</f>
        <v>MTS-9 B</v>
      </c>
      <c r="I181" s="28" t="str">
        <f>IFERROR(__xludf.DUMMYFUNCTION("""COMPUTED_VALUE"""),"SRI ULFIATI")</f>
        <v>SRI ULFIATI</v>
      </c>
      <c r="J181" s="28" t="str">
        <f>IFERROR(__xludf.DUMMYFUNCTION("""COMPUTED_VALUE"""),"SAWAH 2-A PEGIRIAN RT 009 RW 002 SEMAMPIR SURABAYA")</f>
        <v>SAWAH 2-A PEGIRIAN RT 009 RW 002 SEMAMPIR SURABAYA</v>
      </c>
      <c r="K181" s="28" t="str">
        <f>IFERROR(__xludf.DUMMYFUNCTION("""COMPUTED_VALUE"""),"6285851745443")</f>
        <v>6285851745443</v>
      </c>
      <c r="L181" s="22">
        <f>IFERROR(__xludf.DUMMYFUNCTION("""COMPUTED_VALUE"""),0.0)</f>
        <v>0</v>
      </c>
      <c r="M181" s="22">
        <f>IFERROR(__xludf.DUMMYFUNCTION("""COMPUTED_VALUE"""),0.0)</f>
        <v>0</v>
      </c>
      <c r="N181" s="22">
        <f>IFERROR(__xludf.DUMMYFUNCTION("""COMPUTED_VALUE"""),0.0)</f>
        <v>0</v>
      </c>
      <c r="O181" s="22">
        <f>IFERROR(__xludf.DUMMYFUNCTION("""COMPUTED_VALUE"""),0.0)</f>
        <v>0</v>
      </c>
      <c r="P181" s="28" t="str">
        <f t="shared" si="1"/>
        <v>LUNAS</v>
      </c>
      <c r="Q181" s="28">
        <f t="shared" si="2"/>
        <v>199</v>
      </c>
      <c r="R181" s="28" t="str">
        <f t="shared" si="3"/>
        <v>MOCH SLAMET JULIANTO</v>
      </c>
    </row>
    <row r="182">
      <c r="A182" s="27">
        <f>IFERROR(__xludf.DUMMYFUNCTION("""COMPUTED_VALUE"""),181.0)</f>
        <v>181</v>
      </c>
      <c r="B182" s="28" t="str">
        <f>IFERROR(__xludf.DUMMYFUNCTION("""COMPUTED_VALUE"""),"MOCHAMMAD AL FATIH ABRISAM KURNIAWAN")</f>
        <v>MOCHAMMAD AL FATIH ABRISAM KURNIAWAN</v>
      </c>
      <c r="C182" s="28">
        <f>IFERROR(__xludf.DUMMYFUNCTION("""COMPUTED_VALUE"""),2.024070637E9)</f>
        <v>2024070637</v>
      </c>
      <c r="D182" s="27" t="str">
        <f>IFERROR(__xludf.DUMMYFUNCTION("""COMPUTED_VALUE"""),"A")</f>
        <v>A</v>
      </c>
      <c r="E182" s="27" t="str">
        <f>IFERROR(__xludf.DUMMYFUNCTION("""COMPUTED_VALUE"""),"A-8")</f>
        <v>A-8</v>
      </c>
      <c r="F182" s="31">
        <f>IFERROR(__xludf.DUMMYFUNCTION("""COMPUTED_VALUE"""),3.0)</f>
        <v>3</v>
      </c>
      <c r="G182" s="27" t="str">
        <f>IFERROR(__xludf.DUMMYFUNCTION("""COMPUTED_VALUE"""),"3 ULA B PUTRA")</f>
        <v>3 ULA B PUTRA</v>
      </c>
      <c r="H182" s="28" t="str">
        <f>IFERROR(__xludf.DUMMYFUNCTION("""COMPUTED_VALUE"""),"MTS-9 E")</f>
        <v>MTS-9 E</v>
      </c>
      <c r="I182" s="28" t="str">
        <f>IFERROR(__xludf.DUMMYFUNCTION("""COMPUTED_VALUE"""),"WIWIT INDRAYATI")</f>
        <v>WIWIT INDRAYATI</v>
      </c>
      <c r="J182" s="28" t="str">
        <f>IFERROR(__xludf.DUMMYFUNCTION("""COMPUTED_VALUE"""),"SUKOANYAR SIDOMUKTI RT 006 RW 002 KEMBANGBAHU LAMONGAN")</f>
        <v>SUKOANYAR SIDOMUKTI RT 006 RW 002 KEMBANGBAHU LAMONGAN</v>
      </c>
      <c r="K182" s="28" t="str">
        <f>IFERROR(__xludf.DUMMYFUNCTION("""COMPUTED_VALUE"""),"6281553088645")</f>
        <v>6281553088645</v>
      </c>
      <c r="L182" s="22">
        <f>IFERROR(__xludf.DUMMYFUNCTION("""COMPUTED_VALUE"""),0.0)</f>
        <v>0</v>
      </c>
      <c r="M182" s="22">
        <f>IFERROR(__xludf.DUMMYFUNCTION("""COMPUTED_VALUE"""),0.0)</f>
        <v>0</v>
      </c>
      <c r="N182" s="22">
        <f>IFERROR(__xludf.DUMMYFUNCTION("""COMPUTED_VALUE"""),0.0)</f>
        <v>0</v>
      </c>
      <c r="O182" s="22">
        <f>IFERROR(__xludf.DUMMYFUNCTION("""COMPUTED_VALUE"""),0.0)</f>
        <v>0</v>
      </c>
      <c r="P182" s="28" t="str">
        <f t="shared" si="1"/>
        <v>LUNAS</v>
      </c>
      <c r="Q182" s="28">
        <f t="shared" si="2"/>
        <v>200</v>
      </c>
      <c r="R182" s="28" t="str">
        <f t="shared" si="3"/>
        <v>MOCHAMMAD AL FATIH ABRISAM KURNIAWAN</v>
      </c>
    </row>
    <row r="183">
      <c r="A183" s="27">
        <f>IFERROR(__xludf.DUMMYFUNCTION("""COMPUTED_VALUE"""),182.0)</f>
        <v>182</v>
      </c>
      <c r="B183" s="28" t="str">
        <f>IFERROR(__xludf.DUMMYFUNCTION("""COMPUTED_VALUE"""),"MOCHAMMAD NEIZTAHUL HUDA")</f>
        <v>MOCHAMMAD NEIZTAHUL HUDA</v>
      </c>
      <c r="C183" s="28">
        <f>IFERROR(__xludf.DUMMYFUNCTION("""COMPUTED_VALUE"""),2.024070626E9)</f>
        <v>2024070626</v>
      </c>
      <c r="D183" s="27" t="str">
        <f>IFERROR(__xludf.DUMMYFUNCTION("""COMPUTED_VALUE"""),"A")</f>
        <v>A</v>
      </c>
      <c r="E183" s="27" t="str">
        <f>IFERROR(__xludf.DUMMYFUNCTION("""COMPUTED_VALUE"""),"A-8")</f>
        <v>A-8</v>
      </c>
      <c r="F183" s="31">
        <f>IFERROR(__xludf.DUMMYFUNCTION("""COMPUTED_VALUE"""),3.0)</f>
        <v>3</v>
      </c>
      <c r="G183" s="27" t="str">
        <f>IFERROR(__xludf.DUMMYFUNCTION("""COMPUTED_VALUE"""),"3 ULA B PUTRA")</f>
        <v>3 ULA B PUTRA</v>
      </c>
      <c r="H183" s="28" t="str">
        <f>IFERROR(__xludf.DUMMYFUNCTION("""COMPUTED_VALUE"""),"MTS-9 B")</f>
        <v>MTS-9 B</v>
      </c>
      <c r="I183" s="28" t="str">
        <f>IFERROR(__xludf.DUMMYFUNCTION("""COMPUTED_VALUE"""),"RIYAYUK")</f>
        <v>RIYAYUK</v>
      </c>
      <c r="J183" s="28" t="str">
        <f>IFERROR(__xludf.DUMMYFUNCTION("""COMPUTED_VALUE"""),"NGAYUNG RT 007 RW 002 MADURAN LAMONGAN")</f>
        <v>NGAYUNG RT 007 RW 002 MADURAN LAMONGAN</v>
      </c>
      <c r="K183" s="28" t="str">
        <f>IFERROR(__xludf.DUMMYFUNCTION("""COMPUTED_VALUE"""),"6282237520701")</f>
        <v>6282237520701</v>
      </c>
      <c r="L183" s="22">
        <f>IFERROR(__xludf.DUMMYFUNCTION("""COMPUTED_VALUE"""),450000.0)</f>
        <v>450000</v>
      </c>
      <c r="M183" s="22">
        <f>IFERROR(__xludf.DUMMYFUNCTION("""COMPUTED_VALUE"""),0.0)</f>
        <v>0</v>
      </c>
      <c r="N183" s="22">
        <f>IFERROR(__xludf.DUMMYFUNCTION("""COMPUTED_VALUE"""),0.0)</f>
        <v>0</v>
      </c>
      <c r="O183" s="22">
        <f>IFERROR(__xludf.DUMMYFUNCTION("""COMPUTED_VALUE"""),450000.0)</f>
        <v>450000</v>
      </c>
      <c r="P183" s="28" t="str">
        <f t="shared" si="1"/>
        <v>LUNAS</v>
      </c>
      <c r="Q183" s="28">
        <f t="shared" si="2"/>
        <v>145</v>
      </c>
      <c r="R183" s="28" t="str">
        <f t="shared" si="3"/>
        <v>MOCHAMMAD NEIZTAHUL HUDA</v>
      </c>
    </row>
    <row r="184">
      <c r="A184" s="27">
        <f>IFERROR(__xludf.DUMMYFUNCTION("""COMPUTED_VALUE"""),183.0)</f>
        <v>183</v>
      </c>
      <c r="B184" s="28" t="str">
        <f>IFERROR(__xludf.DUMMYFUNCTION("""COMPUTED_VALUE"""),"MOH. FAKHRI ARVIANSYAH")</f>
        <v>MOH. FAKHRI ARVIANSYAH</v>
      </c>
      <c r="C184" s="28">
        <f>IFERROR(__xludf.DUMMYFUNCTION("""COMPUTED_VALUE"""),2.02407048E9)</f>
        <v>2024070480</v>
      </c>
      <c r="D184" s="27" t="str">
        <f>IFERROR(__xludf.DUMMYFUNCTION("""COMPUTED_VALUE"""),"A")</f>
        <v>A</v>
      </c>
      <c r="E184" s="27" t="str">
        <f>IFERROR(__xludf.DUMMYFUNCTION("""COMPUTED_VALUE"""),"A-8")</f>
        <v>A-8</v>
      </c>
      <c r="F184" s="31">
        <f>IFERROR(__xludf.DUMMYFUNCTION("""COMPUTED_VALUE"""),3.0)</f>
        <v>3</v>
      </c>
      <c r="G184" s="27" t="str">
        <f>IFERROR(__xludf.DUMMYFUNCTION("""COMPUTED_VALUE"""),"3 ULA A PUTRA")</f>
        <v>3 ULA A PUTRA</v>
      </c>
      <c r="H184" s="28" t="str">
        <f>IFERROR(__xludf.DUMMYFUNCTION("""COMPUTED_VALUE"""),"MTS-9 F")</f>
        <v>MTS-9 F</v>
      </c>
      <c r="I184" s="28" t="str">
        <f>IFERROR(__xludf.DUMMYFUNCTION("""COMPUTED_VALUE"""),"SUFINAH DWI ROKHMAH")</f>
        <v>SUFINAH DWI ROKHMAH</v>
      </c>
      <c r="J184" s="28" t="str">
        <f>IFERROR(__xludf.DUMMYFUNCTION("""COMPUTED_VALUE"""),"KARANGTAPEN KARANGLANGIT RT 002 RW 004 LAMONGAN LAMONGAN")</f>
        <v>KARANGTAPEN KARANGLANGIT RT 002 RW 004 LAMONGAN LAMONGAN</v>
      </c>
      <c r="K184" s="28" t="str">
        <f>IFERROR(__xludf.DUMMYFUNCTION("""COMPUTED_VALUE"""),"6285732561338")</f>
        <v>6285732561338</v>
      </c>
      <c r="L184" s="22">
        <f>IFERROR(__xludf.DUMMYFUNCTION("""COMPUTED_VALUE"""),0.0)</f>
        <v>0</v>
      </c>
      <c r="M184" s="22">
        <f>IFERROR(__xludf.DUMMYFUNCTION("""COMPUTED_VALUE"""),0.0)</f>
        <v>0</v>
      </c>
      <c r="N184" s="22">
        <f>IFERROR(__xludf.DUMMYFUNCTION("""COMPUTED_VALUE"""),0.0)</f>
        <v>0</v>
      </c>
      <c r="O184" s="22">
        <f>IFERROR(__xludf.DUMMYFUNCTION("""COMPUTED_VALUE"""),0.0)</f>
        <v>0</v>
      </c>
      <c r="P184" s="28" t="str">
        <f t="shared" si="1"/>
        <v>LUNAS</v>
      </c>
      <c r="Q184" s="28">
        <f t="shared" si="2"/>
        <v>201</v>
      </c>
      <c r="R184" s="28" t="str">
        <f t="shared" si="3"/>
        <v>MOH. FAKHRI ARVIANSYAH</v>
      </c>
    </row>
    <row r="185">
      <c r="A185" s="27">
        <f>IFERROR(__xludf.DUMMYFUNCTION("""COMPUTED_VALUE"""),184.0)</f>
        <v>184</v>
      </c>
      <c r="B185" s="28" t="str">
        <f>IFERROR(__xludf.DUMMYFUNCTION("""COMPUTED_VALUE"""),"MOHAMAD ARZAQ DWI SAPUTRA")</f>
        <v>MOHAMAD ARZAQ DWI SAPUTRA</v>
      </c>
      <c r="C185" s="28">
        <f>IFERROR(__xludf.DUMMYFUNCTION("""COMPUTED_VALUE"""),2.024070529E9)</f>
        <v>2024070529</v>
      </c>
      <c r="D185" s="27" t="str">
        <f>IFERROR(__xludf.DUMMYFUNCTION("""COMPUTED_VALUE"""),"A")</f>
        <v>A</v>
      </c>
      <c r="E185" s="27" t="str">
        <f>IFERROR(__xludf.DUMMYFUNCTION("""COMPUTED_VALUE"""),"A-8")</f>
        <v>A-8</v>
      </c>
      <c r="F185" s="31">
        <f>IFERROR(__xludf.DUMMYFUNCTION("""COMPUTED_VALUE"""),3.0)</f>
        <v>3</v>
      </c>
      <c r="G185" s="27" t="str">
        <f>IFERROR(__xludf.DUMMYFUNCTION("""COMPUTED_VALUE"""),"3 ULA A PUTRA")</f>
        <v>3 ULA A PUTRA</v>
      </c>
      <c r="H185" s="28" t="str">
        <f>IFERROR(__xludf.DUMMYFUNCTION("""COMPUTED_VALUE"""),"MTS-9 D")</f>
        <v>MTS-9 D</v>
      </c>
      <c r="I185" s="28" t="str">
        <f>IFERROR(__xludf.DUMMYFUNCTION("""COMPUTED_VALUE"""),"UMMU ZAHROTIN")</f>
        <v>UMMU ZAHROTIN</v>
      </c>
      <c r="J185" s="28" t="str">
        <f>IFERROR(__xludf.DUMMYFUNCTION("""COMPUTED_VALUE"""),"TRACAL RT 003 RW 003 KARANGGENENG LAMONGAN")</f>
        <v>TRACAL RT 003 RW 003 KARANGGENENG LAMONGAN</v>
      </c>
      <c r="K185" s="28" t="str">
        <f>IFERROR(__xludf.DUMMYFUNCTION("""COMPUTED_VALUE"""),"6287794604684")</f>
        <v>6287794604684</v>
      </c>
      <c r="L185" s="22">
        <f>IFERROR(__xludf.DUMMYFUNCTION("""COMPUTED_VALUE"""),0.0)</f>
        <v>0</v>
      </c>
      <c r="M185" s="22">
        <f>IFERROR(__xludf.DUMMYFUNCTION("""COMPUTED_VALUE"""),1000000.0)</f>
        <v>1000000</v>
      </c>
      <c r="N185" s="22">
        <f>IFERROR(__xludf.DUMMYFUNCTION("""COMPUTED_VALUE"""),0.0)</f>
        <v>0</v>
      </c>
      <c r="O185" s="22">
        <f>IFERROR(__xludf.DUMMYFUNCTION("""COMPUTED_VALUE"""),1000000.0)</f>
        <v>1000000</v>
      </c>
      <c r="P185" s="28" t="str">
        <f t="shared" si="1"/>
        <v>LUNAS</v>
      </c>
      <c r="Q185" s="28">
        <f t="shared" si="2"/>
        <v>105</v>
      </c>
      <c r="R185" s="28" t="str">
        <f t="shared" si="3"/>
        <v>MOHAMAD ARZAQ DWI SAPUTRA</v>
      </c>
    </row>
    <row r="186">
      <c r="A186" s="27">
        <f>IFERROR(__xludf.DUMMYFUNCTION("""COMPUTED_VALUE"""),185.0)</f>
        <v>185</v>
      </c>
      <c r="B186" s="28" t="str">
        <f>IFERROR(__xludf.DUMMYFUNCTION("""COMPUTED_VALUE"""),"MOHAMAD NOVAL JALALUDIN")</f>
        <v>MOHAMAD NOVAL JALALUDIN</v>
      </c>
      <c r="C186" s="28">
        <f>IFERROR(__xludf.DUMMYFUNCTION("""COMPUTED_VALUE"""),2.024070485E9)</f>
        <v>2024070485</v>
      </c>
      <c r="D186" s="27" t="str">
        <f>IFERROR(__xludf.DUMMYFUNCTION("""COMPUTED_VALUE"""),"A")</f>
        <v>A</v>
      </c>
      <c r="E186" s="27" t="str">
        <f>IFERROR(__xludf.DUMMYFUNCTION("""COMPUTED_VALUE"""),"A-8")</f>
        <v>A-8</v>
      </c>
      <c r="F186" s="31">
        <f>IFERROR(__xludf.DUMMYFUNCTION("""COMPUTED_VALUE"""),3.0)</f>
        <v>3</v>
      </c>
      <c r="G186" s="27" t="str">
        <f>IFERROR(__xludf.DUMMYFUNCTION("""COMPUTED_VALUE"""),"3 ULA A PUTRA")</f>
        <v>3 ULA A PUTRA</v>
      </c>
      <c r="H186" s="28" t="str">
        <f>IFERROR(__xludf.DUMMYFUNCTION("""COMPUTED_VALUE"""),"MTS-9 E")</f>
        <v>MTS-9 E</v>
      </c>
      <c r="I186" s="28" t="str">
        <f>IFERROR(__xludf.DUMMYFUNCTION("""COMPUTED_VALUE"""),"NURUL LAILI")</f>
        <v>NURUL LAILI</v>
      </c>
      <c r="J186" s="28" t="str">
        <f>IFERROR(__xludf.DUMMYFUNCTION("""COMPUTED_VALUE"""),"SUGIHWARAS RT 002 RW 001 DEKET LAMONGAN")</f>
        <v>SUGIHWARAS RT 002 RW 001 DEKET LAMONGAN</v>
      </c>
      <c r="K186" s="28" t="str">
        <f>IFERROR(__xludf.DUMMYFUNCTION("""COMPUTED_VALUE"""),"6281237377978")</f>
        <v>6281237377978</v>
      </c>
      <c r="L186" s="22">
        <f>IFERROR(__xludf.DUMMYFUNCTION("""COMPUTED_VALUE"""),4950000.0)</f>
        <v>4950000</v>
      </c>
      <c r="M186" s="22">
        <f>IFERROR(__xludf.DUMMYFUNCTION("""COMPUTED_VALUE"""),1000000.0)</f>
        <v>1000000</v>
      </c>
      <c r="N186" s="22">
        <f>IFERROR(__xludf.DUMMYFUNCTION("""COMPUTED_VALUE"""),0.0)</f>
        <v>0</v>
      </c>
      <c r="O186" s="22">
        <f>IFERROR(__xludf.DUMMYFUNCTION("""COMPUTED_VALUE"""),5950000.0)</f>
        <v>5950000</v>
      </c>
      <c r="P186" s="28" t="str">
        <f t="shared" si="1"/>
        <v>LUNAS</v>
      </c>
      <c r="Q186" s="28">
        <f t="shared" si="2"/>
        <v>9</v>
      </c>
      <c r="R186" s="28" t="str">
        <f t="shared" si="3"/>
        <v>MOHAMAD NOVAL JALALUDIN</v>
      </c>
    </row>
    <row r="187">
      <c r="A187" s="27">
        <f>IFERROR(__xludf.DUMMYFUNCTION("""COMPUTED_VALUE"""),186.0)</f>
        <v>186</v>
      </c>
      <c r="B187" s="28" t="str">
        <f>IFERROR(__xludf.DUMMYFUNCTION("""COMPUTED_VALUE"""),"MUHAMMAD ALAM FIRMANSYAH")</f>
        <v>MUHAMMAD ALAM FIRMANSYAH</v>
      </c>
      <c r="C187" s="28">
        <f>IFERROR(__xludf.DUMMYFUNCTION("""COMPUTED_VALUE"""),2.024070506E9)</f>
        <v>2024070506</v>
      </c>
      <c r="D187" s="27" t="str">
        <f>IFERROR(__xludf.DUMMYFUNCTION("""COMPUTED_VALUE"""),"A")</f>
        <v>A</v>
      </c>
      <c r="E187" s="27" t="str">
        <f>IFERROR(__xludf.DUMMYFUNCTION("""COMPUTED_VALUE"""),"A-8")</f>
        <v>A-8</v>
      </c>
      <c r="F187" s="31">
        <f>IFERROR(__xludf.DUMMYFUNCTION("""COMPUTED_VALUE"""),3.0)</f>
        <v>3</v>
      </c>
      <c r="G187" s="27" t="str">
        <f>IFERROR(__xludf.DUMMYFUNCTION("""COMPUTED_VALUE"""),"3 ULA A PUTRA")</f>
        <v>3 ULA A PUTRA</v>
      </c>
      <c r="H187" s="28" t="str">
        <f>IFERROR(__xludf.DUMMYFUNCTION("""COMPUTED_VALUE"""),"MTS-9 F")</f>
        <v>MTS-9 F</v>
      </c>
      <c r="I187" s="28" t="str">
        <f>IFERROR(__xludf.DUMMYFUNCTION("""COMPUTED_VALUE"""),"MUFA ROKAH")</f>
        <v>MUFA ROKAH</v>
      </c>
      <c r="J187" s="28" t="str">
        <f>IFERROR(__xludf.DUMMYFUNCTION("""COMPUTED_VALUE"""),"KAMAL RT 004 RW 000 KAIRATU BARAT SERAM BAGIAN BARAT")</f>
        <v>KAMAL RT 004 RW 000 KAIRATU BARAT SERAM BAGIAN BARAT</v>
      </c>
      <c r="K187" s="28" t="str">
        <f>IFERROR(__xludf.DUMMYFUNCTION("""COMPUTED_VALUE"""),"6282199817002")</f>
        <v>6282199817002</v>
      </c>
      <c r="L187" s="22">
        <f>IFERROR(__xludf.DUMMYFUNCTION("""COMPUTED_VALUE"""),450000.0)</f>
        <v>450000</v>
      </c>
      <c r="M187" s="22">
        <f>IFERROR(__xludf.DUMMYFUNCTION("""COMPUTED_VALUE"""),0.0)</f>
        <v>0</v>
      </c>
      <c r="N187" s="22">
        <f>IFERROR(__xludf.DUMMYFUNCTION("""COMPUTED_VALUE"""),0.0)</f>
        <v>0</v>
      </c>
      <c r="O187" s="22">
        <f>IFERROR(__xludf.DUMMYFUNCTION("""COMPUTED_VALUE"""),450000.0)</f>
        <v>450000</v>
      </c>
      <c r="P187" s="28" t="str">
        <f t="shared" si="1"/>
        <v>LUNAS</v>
      </c>
      <c r="Q187" s="28">
        <f t="shared" si="2"/>
        <v>146</v>
      </c>
      <c r="R187" s="28" t="str">
        <f t="shared" si="3"/>
        <v>MUHAMMAD ALAM FIRMANSYAH</v>
      </c>
    </row>
    <row r="188">
      <c r="A188" s="27">
        <f>IFERROR(__xludf.DUMMYFUNCTION("""COMPUTED_VALUE"""),187.0)</f>
        <v>187</v>
      </c>
      <c r="B188" s="28" t="str">
        <f>IFERROR(__xludf.DUMMYFUNCTION("""COMPUTED_VALUE"""),"MUHAMMAD BINTANG MAULANA")</f>
        <v>MUHAMMAD BINTANG MAULANA</v>
      </c>
      <c r="C188" s="28">
        <f>IFERROR(__xludf.DUMMYFUNCTION("""COMPUTED_VALUE"""),2.024070559E9)</f>
        <v>2024070559</v>
      </c>
      <c r="D188" s="27" t="str">
        <f>IFERROR(__xludf.DUMMYFUNCTION("""COMPUTED_VALUE"""),"A")</f>
        <v>A</v>
      </c>
      <c r="E188" s="27" t="str">
        <f>IFERROR(__xludf.DUMMYFUNCTION("""COMPUTED_VALUE"""),"A-8")</f>
        <v>A-8</v>
      </c>
      <c r="F188" s="31">
        <f>IFERROR(__xludf.DUMMYFUNCTION("""COMPUTED_VALUE"""),3.0)</f>
        <v>3</v>
      </c>
      <c r="G188" s="27" t="str">
        <f>IFERROR(__xludf.DUMMYFUNCTION("""COMPUTED_VALUE"""),"3 ULA B PUTRA")</f>
        <v>3 ULA B PUTRA</v>
      </c>
      <c r="H188" s="28" t="str">
        <f>IFERROR(__xludf.DUMMYFUNCTION("""COMPUTED_VALUE"""),"MTS-9 C")</f>
        <v>MTS-9 C</v>
      </c>
      <c r="I188" s="28" t="str">
        <f>IFERROR(__xludf.DUMMYFUNCTION("""COMPUTED_VALUE"""),"DEVININGTYAS")</f>
        <v>DEVININGTYAS</v>
      </c>
      <c r="J188" s="28" t="str">
        <f>IFERROR(__xludf.DUMMYFUNCTION("""COMPUTED_VALUE"""),"DADAPAN RT 003 RW 001 SOLOKURO LAMONGAN")</f>
        <v>DADAPAN RT 003 RW 001 SOLOKURO LAMONGAN</v>
      </c>
      <c r="K188" s="28" t="str">
        <f>IFERROR(__xludf.DUMMYFUNCTION("""COMPUTED_VALUE"""),"6285745898936")</f>
        <v>6285745898936</v>
      </c>
      <c r="L188" s="22">
        <f>IFERROR(__xludf.DUMMYFUNCTION("""COMPUTED_VALUE"""),0.0)</f>
        <v>0</v>
      </c>
      <c r="M188" s="22">
        <f>IFERROR(__xludf.DUMMYFUNCTION("""COMPUTED_VALUE"""),0.0)</f>
        <v>0</v>
      </c>
      <c r="N188" s="22">
        <f>IFERROR(__xludf.DUMMYFUNCTION("""COMPUTED_VALUE"""),0.0)</f>
        <v>0</v>
      </c>
      <c r="O188" s="22">
        <f>IFERROR(__xludf.DUMMYFUNCTION("""COMPUTED_VALUE"""),0.0)</f>
        <v>0</v>
      </c>
      <c r="P188" s="28" t="str">
        <f t="shared" si="1"/>
        <v>LUNAS</v>
      </c>
      <c r="Q188" s="28">
        <f t="shared" si="2"/>
        <v>202</v>
      </c>
      <c r="R188" s="28" t="str">
        <f t="shared" si="3"/>
        <v>MUHAMMAD BINTANG MAULANA</v>
      </c>
    </row>
    <row r="189">
      <c r="A189" s="27">
        <f>IFERROR(__xludf.DUMMYFUNCTION("""COMPUTED_VALUE"""),188.0)</f>
        <v>188</v>
      </c>
      <c r="B189" s="28" t="str">
        <f>IFERROR(__xludf.DUMMYFUNCTION("""COMPUTED_VALUE"""),"MUHAMMAD DEDY FIRMANSYAH")</f>
        <v>MUHAMMAD DEDY FIRMANSYAH</v>
      </c>
      <c r="C189" s="28">
        <f>IFERROR(__xludf.DUMMYFUNCTION("""COMPUTED_VALUE"""),2.024070482E9)</f>
        <v>2024070482</v>
      </c>
      <c r="D189" s="27" t="str">
        <f>IFERROR(__xludf.DUMMYFUNCTION("""COMPUTED_VALUE"""),"A")</f>
        <v>A</v>
      </c>
      <c r="E189" s="27" t="str">
        <f>IFERROR(__xludf.DUMMYFUNCTION("""COMPUTED_VALUE"""),"A-8")</f>
        <v>A-8</v>
      </c>
      <c r="F189" s="31">
        <f>IFERROR(__xludf.DUMMYFUNCTION("""COMPUTED_VALUE"""),3.0)</f>
        <v>3</v>
      </c>
      <c r="G189" s="27" t="str">
        <f>IFERROR(__xludf.DUMMYFUNCTION("""COMPUTED_VALUE"""),"3 ULA A PUTRA")</f>
        <v>3 ULA A PUTRA</v>
      </c>
      <c r="H189" s="28" t="str">
        <f>IFERROR(__xludf.DUMMYFUNCTION("""COMPUTED_VALUE"""),"MTS-9 D")</f>
        <v>MTS-9 D</v>
      </c>
      <c r="I189" s="28" t="str">
        <f>IFERROR(__xludf.DUMMYFUNCTION("""COMPUTED_VALUE"""),"SITI FILIZAH")</f>
        <v>SITI FILIZAH</v>
      </c>
      <c r="J189" s="28" t="str">
        <f>IFERROR(__xludf.DUMMYFUNCTION("""COMPUTED_VALUE"""),"BLANGIT KARANGLANGIT RT 002 RW 002 LAMONGAN LAMONGAN")</f>
        <v>BLANGIT KARANGLANGIT RT 002 RW 002 LAMONGAN LAMONGAN</v>
      </c>
      <c r="K189" s="28" t="str">
        <f>IFERROR(__xludf.DUMMYFUNCTION("""COMPUTED_VALUE"""),"6285425525123")</f>
        <v>6285425525123</v>
      </c>
      <c r="L189" s="22">
        <f>IFERROR(__xludf.DUMMYFUNCTION("""COMPUTED_VALUE"""),0.0)</f>
        <v>0</v>
      </c>
      <c r="M189" s="22">
        <f>IFERROR(__xludf.DUMMYFUNCTION("""COMPUTED_VALUE"""),0.0)</f>
        <v>0</v>
      </c>
      <c r="N189" s="22">
        <f>IFERROR(__xludf.DUMMYFUNCTION("""COMPUTED_VALUE"""),0.0)</f>
        <v>0</v>
      </c>
      <c r="O189" s="22">
        <f>IFERROR(__xludf.DUMMYFUNCTION("""COMPUTED_VALUE"""),0.0)</f>
        <v>0</v>
      </c>
      <c r="P189" s="28" t="str">
        <f t="shared" si="1"/>
        <v>LUNAS</v>
      </c>
      <c r="Q189" s="28">
        <f t="shared" si="2"/>
        <v>203</v>
      </c>
      <c r="R189" s="28" t="str">
        <f t="shared" si="3"/>
        <v>MUHAMMAD DEDY FIRMANSYAH</v>
      </c>
    </row>
    <row r="190">
      <c r="A190" s="27">
        <f>IFERROR(__xludf.DUMMYFUNCTION("""COMPUTED_VALUE"""),189.0)</f>
        <v>189</v>
      </c>
      <c r="B190" s="28" t="str">
        <f>IFERROR(__xludf.DUMMYFUNCTION("""COMPUTED_VALUE"""),"MUHAMMAD FADLY HANANIA RABBANI")</f>
        <v>MUHAMMAD FADLY HANANIA RABBANI</v>
      </c>
      <c r="C190" s="28">
        <f>IFERROR(__xludf.DUMMYFUNCTION("""COMPUTED_VALUE"""),2.024070457E9)</f>
        <v>2024070457</v>
      </c>
      <c r="D190" s="27" t="str">
        <f>IFERROR(__xludf.DUMMYFUNCTION("""COMPUTED_VALUE"""),"A")</f>
        <v>A</v>
      </c>
      <c r="E190" s="27" t="str">
        <f>IFERROR(__xludf.DUMMYFUNCTION("""COMPUTED_VALUE"""),"A-8")</f>
        <v>A-8</v>
      </c>
      <c r="F190" s="31">
        <f>IFERROR(__xludf.DUMMYFUNCTION("""COMPUTED_VALUE"""),3.0)</f>
        <v>3</v>
      </c>
      <c r="G190" s="27" t="str">
        <f>IFERROR(__xludf.DUMMYFUNCTION("""COMPUTED_VALUE"""),"3 ULA A PUTRA")</f>
        <v>3 ULA A PUTRA</v>
      </c>
      <c r="H190" s="28" t="str">
        <f>IFERROR(__xludf.DUMMYFUNCTION("""COMPUTED_VALUE"""),"MTS-9 B")</f>
        <v>MTS-9 B</v>
      </c>
      <c r="I190" s="28" t="str">
        <f>IFERROR(__xludf.DUMMYFUNCTION("""COMPUTED_VALUE"""),"FITRI JULIANA")</f>
        <v>FITRI JULIANA</v>
      </c>
      <c r="J190" s="28" t="str">
        <f>IFERROR(__xludf.DUMMYFUNCTION("""COMPUTED_VALUE"""),"PERUM GRAND GRESIK HARMONI BLOK B-6/9 KEMBANGAN RT 001 RW 003 KEBOMAS GRESIK")</f>
        <v>PERUM GRAND GRESIK HARMONI BLOK B-6/9 KEMBANGAN RT 001 RW 003 KEBOMAS GRESIK</v>
      </c>
      <c r="K190" s="28" t="str">
        <f>IFERROR(__xludf.DUMMYFUNCTION("""COMPUTED_VALUE"""),"6289533798465")</f>
        <v>6289533798465</v>
      </c>
      <c r="L190" s="22">
        <f>IFERROR(__xludf.DUMMYFUNCTION("""COMPUTED_VALUE"""),0.0)</f>
        <v>0</v>
      </c>
      <c r="M190" s="22">
        <f>IFERROR(__xludf.DUMMYFUNCTION("""COMPUTED_VALUE"""),500000.0)</f>
        <v>500000</v>
      </c>
      <c r="N190" s="22">
        <f>IFERROR(__xludf.DUMMYFUNCTION("""COMPUTED_VALUE"""),0.0)</f>
        <v>0</v>
      </c>
      <c r="O190" s="22">
        <f>IFERROR(__xludf.DUMMYFUNCTION("""COMPUTED_VALUE"""),500000.0)</f>
        <v>500000</v>
      </c>
      <c r="P190" s="28" t="str">
        <f t="shared" si="1"/>
        <v>LUNAS</v>
      </c>
      <c r="Q190" s="28">
        <f t="shared" si="2"/>
        <v>132</v>
      </c>
      <c r="R190" s="28" t="str">
        <f t="shared" si="3"/>
        <v>MUHAMMAD FADLY HANANIA RABBANI</v>
      </c>
    </row>
    <row r="191">
      <c r="A191" s="27">
        <f>IFERROR(__xludf.DUMMYFUNCTION("""COMPUTED_VALUE"""),190.0)</f>
        <v>190</v>
      </c>
      <c r="B191" s="28" t="str">
        <f>IFERROR(__xludf.DUMMYFUNCTION("""COMPUTED_VALUE"""),"MUHAMMAD HAIKAL JAMALUDDIN RUMMY")</f>
        <v>MUHAMMAD HAIKAL JAMALUDDIN RUMMY</v>
      </c>
      <c r="C191" s="28">
        <f>IFERROR(__xludf.DUMMYFUNCTION("""COMPUTED_VALUE"""),2.024070612E9)</f>
        <v>2024070612</v>
      </c>
      <c r="D191" s="27" t="str">
        <f>IFERROR(__xludf.DUMMYFUNCTION("""COMPUTED_VALUE"""),"A")</f>
        <v>A</v>
      </c>
      <c r="E191" s="27" t="str">
        <f>IFERROR(__xludf.DUMMYFUNCTION("""COMPUTED_VALUE"""),"A-8")</f>
        <v>A-8</v>
      </c>
      <c r="F191" s="31">
        <f>IFERROR(__xludf.DUMMYFUNCTION("""COMPUTED_VALUE"""),3.0)</f>
        <v>3</v>
      </c>
      <c r="G191" s="27" t="str">
        <f>IFERROR(__xludf.DUMMYFUNCTION("""COMPUTED_VALUE"""),"3 ULA B PUTRA")</f>
        <v>3 ULA B PUTRA</v>
      </c>
      <c r="H191" s="28" t="str">
        <f>IFERROR(__xludf.DUMMYFUNCTION("""COMPUTED_VALUE"""),"MTS-9 E")</f>
        <v>MTS-9 E</v>
      </c>
      <c r="I191" s="28" t="str">
        <f>IFERROR(__xludf.DUMMYFUNCTION("""COMPUTED_VALUE"""),"YENNY FIRDIANING TYAS")</f>
        <v>YENNY FIRDIANING TYAS</v>
      </c>
      <c r="J191" s="28" t="str">
        <f>IFERROR(__xludf.DUMMYFUNCTION("""COMPUTED_VALUE"""),"WARU KULON RT 002 RW 005 PUCUK LAMONGAN")</f>
        <v>WARU KULON RT 002 RW 005 PUCUK LAMONGAN</v>
      </c>
      <c r="K191" s="28" t="str">
        <f>IFERROR(__xludf.DUMMYFUNCTION("""COMPUTED_VALUE"""),"6285536895754")</f>
        <v>6285536895754</v>
      </c>
      <c r="L191" s="22">
        <f>IFERROR(__xludf.DUMMYFUNCTION("""COMPUTED_VALUE"""),4050000.0)</f>
        <v>4050000</v>
      </c>
      <c r="M191" s="22">
        <f>IFERROR(__xludf.DUMMYFUNCTION("""COMPUTED_VALUE"""),1000000.0)</f>
        <v>1000000</v>
      </c>
      <c r="N191" s="22">
        <f>IFERROR(__xludf.DUMMYFUNCTION("""COMPUTED_VALUE"""),0.0)</f>
        <v>0</v>
      </c>
      <c r="O191" s="22">
        <f>IFERROR(__xludf.DUMMYFUNCTION("""COMPUTED_VALUE"""),5050000.0)</f>
        <v>5050000</v>
      </c>
      <c r="P191" s="28" t="str">
        <f t="shared" si="1"/>
        <v>LUNAS</v>
      </c>
      <c r="Q191" s="28">
        <f t="shared" si="2"/>
        <v>15</v>
      </c>
      <c r="R191" s="28" t="str">
        <f t="shared" si="3"/>
        <v>MUHAMMAD HAIKAL JAMALUDDIN RUMMY</v>
      </c>
    </row>
    <row r="192">
      <c r="A192" s="27">
        <f>IFERROR(__xludf.DUMMYFUNCTION("""COMPUTED_VALUE"""),191.0)</f>
        <v>191</v>
      </c>
      <c r="B192" s="28" t="str">
        <f>IFERROR(__xludf.DUMMYFUNCTION("""COMPUTED_VALUE"""),"MUHAMMAD HAKIKI CHANDRA")</f>
        <v>MUHAMMAD HAKIKI CHANDRA</v>
      </c>
      <c r="C192" s="28">
        <f>IFERROR(__xludf.DUMMYFUNCTION("""COMPUTED_VALUE"""),2.024070622E9)</f>
        <v>2024070622</v>
      </c>
      <c r="D192" s="27" t="str">
        <f>IFERROR(__xludf.DUMMYFUNCTION("""COMPUTED_VALUE"""),"A")</f>
        <v>A</v>
      </c>
      <c r="E192" s="27" t="str">
        <f>IFERROR(__xludf.DUMMYFUNCTION("""COMPUTED_VALUE"""),"A-8")</f>
        <v>A-8</v>
      </c>
      <c r="F192" s="31">
        <f>IFERROR(__xludf.DUMMYFUNCTION("""COMPUTED_VALUE"""),3.0)</f>
        <v>3</v>
      </c>
      <c r="G192" s="27" t="str">
        <f>IFERROR(__xludf.DUMMYFUNCTION("""COMPUTED_VALUE"""),"3 ULA B PUTRA")</f>
        <v>3 ULA B PUTRA</v>
      </c>
      <c r="H192" s="28" t="str">
        <f>IFERROR(__xludf.DUMMYFUNCTION("""COMPUTED_VALUE"""),"MTS-9 E")</f>
        <v>MTS-9 E</v>
      </c>
      <c r="I192" s="28" t="str">
        <f>IFERROR(__xludf.DUMMYFUNCTION("""COMPUTED_VALUE"""),"UMU SALAMAH")</f>
        <v>UMU SALAMAH</v>
      </c>
      <c r="J192" s="28" t="str">
        <f>IFERROR(__xludf.DUMMYFUNCTION("""COMPUTED_VALUE"""),"WANGUN BARAT RT 003 RW 002 PALANG TUBAN")</f>
        <v>WANGUN BARAT RT 003 RW 002 PALANG TUBAN</v>
      </c>
      <c r="K192" s="28" t="str">
        <f>IFERROR(__xludf.DUMMYFUNCTION("""COMPUTED_VALUE"""),"6282261176617")</f>
        <v>6282261176617</v>
      </c>
      <c r="L192" s="22">
        <f>IFERROR(__xludf.DUMMYFUNCTION("""COMPUTED_VALUE"""),0.0)</f>
        <v>0</v>
      </c>
      <c r="M192" s="22">
        <f>IFERROR(__xludf.DUMMYFUNCTION("""COMPUTED_VALUE"""),0.0)</f>
        <v>0</v>
      </c>
      <c r="N192" s="22">
        <f>IFERROR(__xludf.DUMMYFUNCTION("""COMPUTED_VALUE"""),0.0)</f>
        <v>0</v>
      </c>
      <c r="O192" s="22">
        <f>IFERROR(__xludf.DUMMYFUNCTION("""COMPUTED_VALUE"""),0.0)</f>
        <v>0</v>
      </c>
      <c r="P192" s="28" t="str">
        <f t="shared" si="1"/>
        <v>LUNAS</v>
      </c>
      <c r="Q192" s="28">
        <f t="shared" si="2"/>
        <v>204</v>
      </c>
      <c r="R192" s="28" t="str">
        <f t="shared" si="3"/>
        <v>MUHAMMAD HAKIKI CHANDRA</v>
      </c>
    </row>
    <row r="193">
      <c r="A193" s="27">
        <f>IFERROR(__xludf.DUMMYFUNCTION("""COMPUTED_VALUE"""),192.0)</f>
        <v>192</v>
      </c>
      <c r="B193" s="28" t="str">
        <f>IFERROR(__xludf.DUMMYFUNCTION("""COMPUTED_VALUE"""),"MUHAMMAD IBRA HAJAR FARUQI")</f>
        <v>MUHAMMAD IBRA HAJAR FARUQI</v>
      </c>
      <c r="C193" s="28">
        <f>IFERROR(__xludf.DUMMYFUNCTION("""COMPUTED_VALUE"""),2.024070739E9)</f>
        <v>2024070739</v>
      </c>
      <c r="D193" s="27" t="str">
        <f>IFERROR(__xludf.DUMMYFUNCTION("""COMPUTED_VALUE"""),"A")</f>
        <v>A</v>
      </c>
      <c r="E193" s="27" t="str">
        <f>IFERROR(__xludf.DUMMYFUNCTION("""COMPUTED_VALUE"""),"A-8")</f>
        <v>A-8</v>
      </c>
      <c r="F193" s="31">
        <f>IFERROR(__xludf.DUMMYFUNCTION("""COMPUTED_VALUE"""),3.0)</f>
        <v>3</v>
      </c>
      <c r="G193" s="27" t="str">
        <f>IFERROR(__xludf.DUMMYFUNCTION("""COMPUTED_VALUE"""),"3 ULA B PUTRA")</f>
        <v>3 ULA B PUTRA</v>
      </c>
      <c r="H193" s="28" t="str">
        <f>IFERROR(__xludf.DUMMYFUNCTION("""COMPUTED_VALUE"""),"SMP-IX C")</f>
        <v>SMP-IX C</v>
      </c>
      <c r="I193" s="28" t="str">
        <f>IFERROR(__xludf.DUMMYFUNCTION("""COMPUTED_VALUE"""),"SARPIYATUN")</f>
        <v>SARPIYATUN</v>
      </c>
      <c r="J193" s="28" t="str">
        <f>IFERROR(__xludf.DUMMYFUNCTION("""COMPUTED_VALUE"""),"KEMLAGIGEDE RT 010 RW 002 TURI LAMONGAN")</f>
        <v>KEMLAGIGEDE RT 010 RW 002 TURI LAMONGAN</v>
      </c>
      <c r="K193" s="28" t="str">
        <f>IFERROR(__xludf.DUMMYFUNCTION("""COMPUTED_VALUE"""),"628574573760")</f>
        <v>628574573760</v>
      </c>
      <c r="L193" s="22">
        <f>IFERROR(__xludf.DUMMYFUNCTION("""COMPUTED_VALUE"""),0.0)</f>
        <v>0</v>
      </c>
      <c r="M193" s="22">
        <f>IFERROR(__xludf.DUMMYFUNCTION("""COMPUTED_VALUE"""),0.0)</f>
        <v>0</v>
      </c>
      <c r="N193" s="22">
        <f>IFERROR(__xludf.DUMMYFUNCTION("""COMPUTED_VALUE"""),0.0)</f>
        <v>0</v>
      </c>
      <c r="O193" s="22">
        <f>IFERROR(__xludf.DUMMYFUNCTION("""COMPUTED_VALUE"""),0.0)</f>
        <v>0</v>
      </c>
      <c r="P193" s="28" t="str">
        <f t="shared" si="1"/>
        <v>LUNAS</v>
      </c>
      <c r="Q193" s="28">
        <f t="shared" si="2"/>
        <v>205</v>
      </c>
      <c r="R193" s="28" t="str">
        <f t="shared" si="3"/>
        <v>MUHAMMAD IBRA HAJAR FARUQI</v>
      </c>
    </row>
    <row r="194">
      <c r="A194" s="27">
        <f>IFERROR(__xludf.DUMMYFUNCTION("""COMPUTED_VALUE"""),193.0)</f>
        <v>193</v>
      </c>
      <c r="B194" s="28" t="str">
        <f>IFERROR(__xludf.DUMMYFUNCTION("""COMPUTED_VALUE"""),"MUHAMMAD IQBAL MAULANA PUTRA")</f>
        <v>MUHAMMAD IQBAL MAULANA PUTRA</v>
      </c>
      <c r="C194" s="28">
        <f>IFERROR(__xludf.DUMMYFUNCTION("""COMPUTED_VALUE"""),2.024070743E9)</f>
        <v>2024070743</v>
      </c>
      <c r="D194" s="27" t="str">
        <f>IFERROR(__xludf.DUMMYFUNCTION("""COMPUTED_VALUE"""),"A")</f>
        <v>A</v>
      </c>
      <c r="E194" s="27" t="str">
        <f>IFERROR(__xludf.DUMMYFUNCTION("""COMPUTED_VALUE"""),"A-8")</f>
        <v>A-8</v>
      </c>
      <c r="F194" s="31">
        <f>IFERROR(__xludf.DUMMYFUNCTION("""COMPUTED_VALUE"""),3.0)</f>
        <v>3</v>
      </c>
      <c r="G194" s="27" t="str">
        <f>IFERROR(__xludf.DUMMYFUNCTION("""COMPUTED_VALUE"""),"3 ULA B PUTRA")</f>
        <v>3 ULA B PUTRA</v>
      </c>
      <c r="H194" s="28" t="str">
        <f>IFERROR(__xludf.DUMMYFUNCTION("""COMPUTED_VALUE"""),"SMP-IX C")</f>
        <v>SMP-IX C</v>
      </c>
      <c r="I194" s="28" t="str">
        <f>IFERROR(__xludf.DUMMYFUNCTION("""COMPUTED_VALUE"""),"NIA MUSTIANA")</f>
        <v>NIA MUSTIANA</v>
      </c>
      <c r="J194" s="28" t="str">
        <f>IFERROR(__xludf.DUMMYFUNCTION("""COMPUTED_VALUE"""),"SUKLEN KETAPANGTELU RT 001 RW 004 KARANGBINANGUN LAMONGAN")</f>
        <v>SUKLEN KETAPANGTELU RT 001 RW 004 KARANGBINANGUN LAMONGAN</v>
      </c>
      <c r="K194" s="28" t="str">
        <f>IFERROR(__xludf.DUMMYFUNCTION("""COMPUTED_VALUE"""),"6285648971511")</f>
        <v>6285648971511</v>
      </c>
      <c r="L194" s="22">
        <f>IFERROR(__xludf.DUMMYFUNCTION("""COMPUTED_VALUE"""),8100000.0)</f>
        <v>8100000</v>
      </c>
      <c r="M194" s="22">
        <f>IFERROR(__xludf.DUMMYFUNCTION("""COMPUTED_VALUE"""),1600000.0)</f>
        <v>1600000</v>
      </c>
      <c r="N194" s="22">
        <f>IFERROR(__xludf.DUMMYFUNCTION("""COMPUTED_VALUE"""),0.0)</f>
        <v>0</v>
      </c>
      <c r="O194" s="22">
        <f>IFERROR(__xludf.DUMMYFUNCTION("""COMPUTED_VALUE"""),9700000.0)</f>
        <v>9700000</v>
      </c>
      <c r="P194" s="28" t="str">
        <f t="shared" si="1"/>
        <v>LUNAS</v>
      </c>
      <c r="Q194" s="28">
        <f t="shared" si="2"/>
        <v>1</v>
      </c>
      <c r="R194" s="28" t="str">
        <f t="shared" si="3"/>
        <v>MUHAMMAD IQBAL MAULANA PUTRA</v>
      </c>
    </row>
    <row r="195">
      <c r="A195" s="27">
        <f>IFERROR(__xludf.DUMMYFUNCTION("""COMPUTED_VALUE"""),194.0)</f>
        <v>194</v>
      </c>
      <c r="B195" s="28" t="str">
        <f>IFERROR(__xludf.DUMMYFUNCTION("""COMPUTED_VALUE"""),"MUHAMMAD RAFA AL KAUTSAR")</f>
        <v>MUHAMMAD RAFA AL KAUTSAR</v>
      </c>
      <c r="C195" s="28">
        <f>IFERROR(__xludf.DUMMYFUNCTION("""COMPUTED_VALUE"""),2.024070648E9)</f>
        <v>2024070648</v>
      </c>
      <c r="D195" s="27" t="str">
        <f>IFERROR(__xludf.DUMMYFUNCTION("""COMPUTED_VALUE"""),"A")</f>
        <v>A</v>
      </c>
      <c r="E195" s="27" t="str">
        <f>IFERROR(__xludf.DUMMYFUNCTION("""COMPUTED_VALUE"""),"A-8")</f>
        <v>A-8</v>
      </c>
      <c r="F195" s="31">
        <f>IFERROR(__xludf.DUMMYFUNCTION("""COMPUTED_VALUE"""),3.0)</f>
        <v>3</v>
      </c>
      <c r="G195" s="27" t="str">
        <f>IFERROR(__xludf.DUMMYFUNCTION("""COMPUTED_VALUE"""),"3 ULA B PUTRA")</f>
        <v>3 ULA B PUTRA</v>
      </c>
      <c r="H195" s="28" t="str">
        <f>IFERROR(__xludf.DUMMYFUNCTION("""COMPUTED_VALUE"""),"MTS-9 C")</f>
        <v>MTS-9 C</v>
      </c>
      <c r="I195" s="28" t="str">
        <f>IFERROR(__xludf.DUMMYFUNCTION("""COMPUTED_VALUE"""),"SHOIFAH")</f>
        <v>SHOIFAH</v>
      </c>
      <c r="J195" s="28" t="str">
        <f>IFERROR(__xludf.DUMMYFUNCTION("""COMPUTED_VALUE"""),"BANJARANYAR BANJARWATI RT 002 RW 002 PACIRAN LAMONGAN")</f>
        <v>BANJARANYAR BANJARWATI RT 002 RW 002 PACIRAN LAMONGAN</v>
      </c>
      <c r="K195" s="28" t="str">
        <f>IFERROR(__xludf.DUMMYFUNCTION("""COMPUTED_VALUE"""),"6285859853448")</f>
        <v>6285859853448</v>
      </c>
      <c r="L195" s="22">
        <f>IFERROR(__xludf.DUMMYFUNCTION("""COMPUTED_VALUE"""),450000.0)</f>
        <v>450000</v>
      </c>
      <c r="M195" s="22">
        <f>IFERROR(__xludf.DUMMYFUNCTION("""COMPUTED_VALUE"""),500000.0)</f>
        <v>500000</v>
      </c>
      <c r="N195" s="22">
        <f>IFERROR(__xludf.DUMMYFUNCTION("""COMPUTED_VALUE"""),0.0)</f>
        <v>0</v>
      </c>
      <c r="O195" s="22">
        <f>IFERROR(__xludf.DUMMYFUNCTION("""COMPUTED_VALUE"""),950000.0)</f>
        <v>950000</v>
      </c>
      <c r="P195" s="28" t="str">
        <f t="shared" si="1"/>
        <v>LUNAS</v>
      </c>
      <c r="Q195" s="28">
        <f t="shared" si="2"/>
        <v>109</v>
      </c>
      <c r="R195" s="28" t="str">
        <f t="shared" si="3"/>
        <v>MUHAMMAD RAFA AL KAUTSAR</v>
      </c>
    </row>
    <row r="196">
      <c r="A196" s="27">
        <f>IFERROR(__xludf.DUMMYFUNCTION("""COMPUTED_VALUE"""),195.0)</f>
        <v>195</v>
      </c>
      <c r="B196" s="28" t="str">
        <f>IFERROR(__xludf.DUMMYFUNCTION("""COMPUTED_VALUE"""),"MUHAMMAD RAFI TAMAM")</f>
        <v>MUHAMMAD RAFI TAMAM</v>
      </c>
      <c r="C196" s="28">
        <f>IFERROR(__xludf.DUMMYFUNCTION("""COMPUTED_VALUE"""),2.024070558E9)</f>
        <v>2024070558</v>
      </c>
      <c r="D196" s="27" t="str">
        <f>IFERROR(__xludf.DUMMYFUNCTION("""COMPUTED_VALUE"""),"A")</f>
        <v>A</v>
      </c>
      <c r="E196" s="27" t="str">
        <f>IFERROR(__xludf.DUMMYFUNCTION("""COMPUTED_VALUE"""),"A-8")</f>
        <v>A-8</v>
      </c>
      <c r="F196" s="31">
        <f>IFERROR(__xludf.DUMMYFUNCTION("""COMPUTED_VALUE"""),3.0)</f>
        <v>3</v>
      </c>
      <c r="G196" s="27" t="str">
        <f>IFERROR(__xludf.DUMMYFUNCTION("""COMPUTED_VALUE"""),"3 ULA B PUTRA")</f>
        <v>3 ULA B PUTRA</v>
      </c>
      <c r="H196" s="28" t="str">
        <f>IFERROR(__xludf.DUMMYFUNCTION("""COMPUTED_VALUE"""),"MTS-9 C")</f>
        <v>MTS-9 C</v>
      </c>
      <c r="I196" s="28" t="str">
        <f>IFERROR(__xludf.DUMMYFUNCTION("""COMPUTED_VALUE"""),"MAHFUDLOTIN")</f>
        <v>MAHFUDLOTIN</v>
      </c>
      <c r="J196" s="28" t="str">
        <f>IFERROR(__xludf.DUMMYFUNCTION("""COMPUTED_VALUE"""),"DADAPAN RT 002 RW 001 SOLOKURO LAMONGAN")</f>
        <v>DADAPAN RT 002 RW 001 SOLOKURO LAMONGAN</v>
      </c>
      <c r="K196" s="28" t="str">
        <f>IFERROR(__xludf.DUMMYFUNCTION("""COMPUTED_VALUE"""),"628578500200")</f>
        <v>628578500200</v>
      </c>
      <c r="L196" s="22">
        <f>IFERROR(__xludf.DUMMYFUNCTION("""COMPUTED_VALUE"""),0.0)</f>
        <v>0</v>
      </c>
      <c r="M196" s="22">
        <f>IFERROR(__xludf.DUMMYFUNCTION("""COMPUTED_VALUE"""),0.0)</f>
        <v>0</v>
      </c>
      <c r="N196" s="22">
        <f>IFERROR(__xludf.DUMMYFUNCTION("""COMPUTED_VALUE"""),0.0)</f>
        <v>0</v>
      </c>
      <c r="O196" s="22">
        <f>IFERROR(__xludf.DUMMYFUNCTION("""COMPUTED_VALUE"""),0.0)</f>
        <v>0</v>
      </c>
      <c r="P196" s="28" t="str">
        <f t="shared" si="1"/>
        <v>LUNAS</v>
      </c>
      <c r="Q196" s="28">
        <f t="shared" si="2"/>
        <v>206</v>
      </c>
      <c r="R196" s="28" t="str">
        <f t="shared" si="3"/>
        <v>MUHAMMAD RAFI TAMAM</v>
      </c>
    </row>
    <row r="197">
      <c r="A197" s="27">
        <f>IFERROR(__xludf.DUMMYFUNCTION("""COMPUTED_VALUE"""),196.0)</f>
        <v>196</v>
      </c>
      <c r="B197" s="28" t="str">
        <f>IFERROR(__xludf.DUMMYFUNCTION("""COMPUTED_VALUE"""),"MUHAMMAD RISKI MISHBAHUL MUNIR")</f>
        <v>MUHAMMAD RISKI MISHBAHUL MUNIR</v>
      </c>
      <c r="C197" s="28">
        <f>IFERROR(__xludf.DUMMYFUNCTION("""COMPUTED_VALUE"""),2.024070535E9)</f>
        <v>2024070535</v>
      </c>
      <c r="D197" s="27" t="str">
        <f>IFERROR(__xludf.DUMMYFUNCTION("""COMPUTED_VALUE"""),"A")</f>
        <v>A</v>
      </c>
      <c r="E197" s="27" t="str">
        <f>IFERROR(__xludf.DUMMYFUNCTION("""COMPUTED_VALUE"""),"A-8")</f>
        <v>A-8</v>
      </c>
      <c r="F197" s="31">
        <f>IFERROR(__xludf.DUMMYFUNCTION("""COMPUTED_VALUE"""),3.0)</f>
        <v>3</v>
      </c>
      <c r="G197" s="27" t="str">
        <f>IFERROR(__xludf.DUMMYFUNCTION("""COMPUTED_VALUE"""),"3 ULA B PUTRA")</f>
        <v>3 ULA B PUTRA</v>
      </c>
      <c r="H197" s="28" t="str">
        <f>IFERROR(__xludf.DUMMYFUNCTION("""COMPUTED_VALUE"""),"MTS-9 E")</f>
        <v>MTS-9 E</v>
      </c>
      <c r="I197" s="28" t="str">
        <f>IFERROR(__xludf.DUMMYFUNCTION("""COMPUTED_VALUE"""),"KASIYATUN")</f>
        <v>KASIYATUN</v>
      </c>
      <c r="J197" s="28" t="str">
        <f>IFERROR(__xludf.DUMMYFUNCTION("""COMPUTED_VALUE"""),"NGUJUNG NGUJUNGREJO RT 005 RW 002 TURI LAMONGAN")</f>
        <v>NGUJUNG NGUJUNGREJO RT 005 RW 002 TURI LAMONGAN</v>
      </c>
      <c r="K197" s="28" t="str">
        <f>IFERROR(__xludf.DUMMYFUNCTION("""COMPUTED_VALUE"""),"6285648380596")</f>
        <v>6285648380596</v>
      </c>
      <c r="L197" s="22">
        <f>IFERROR(__xludf.DUMMYFUNCTION("""COMPUTED_VALUE"""),0.0)</f>
        <v>0</v>
      </c>
      <c r="M197" s="22">
        <f>IFERROR(__xludf.DUMMYFUNCTION("""COMPUTED_VALUE"""),500000.0)</f>
        <v>500000</v>
      </c>
      <c r="N197" s="22">
        <f>IFERROR(__xludf.DUMMYFUNCTION("""COMPUTED_VALUE"""),0.0)</f>
        <v>0</v>
      </c>
      <c r="O197" s="22">
        <f>IFERROR(__xludf.DUMMYFUNCTION("""COMPUTED_VALUE"""),500000.0)</f>
        <v>500000</v>
      </c>
      <c r="P197" s="28" t="str">
        <f t="shared" si="1"/>
        <v>LUNAS</v>
      </c>
      <c r="Q197" s="28">
        <f t="shared" si="2"/>
        <v>133</v>
      </c>
      <c r="R197" s="28" t="str">
        <f t="shared" si="3"/>
        <v>MUHAMMAD RISKI MISHBAHUL MUNIR</v>
      </c>
    </row>
    <row r="198">
      <c r="A198" s="27">
        <f>IFERROR(__xludf.DUMMYFUNCTION("""COMPUTED_VALUE"""),197.0)</f>
        <v>197</v>
      </c>
      <c r="B198" s="28" t="str">
        <f>IFERROR(__xludf.DUMMYFUNCTION("""COMPUTED_VALUE"""),"MUHAMMAD ROHID ALY WAFA ASSYUKUR")</f>
        <v>MUHAMMAD ROHID ALY WAFA ASSYUKUR</v>
      </c>
      <c r="C198" s="28">
        <f>IFERROR(__xludf.DUMMYFUNCTION("""COMPUTED_VALUE"""),2.024070496E9)</f>
        <v>2024070496</v>
      </c>
      <c r="D198" s="27" t="str">
        <f>IFERROR(__xludf.DUMMYFUNCTION("""COMPUTED_VALUE"""),"A")</f>
        <v>A</v>
      </c>
      <c r="E198" s="27" t="str">
        <f>IFERROR(__xludf.DUMMYFUNCTION("""COMPUTED_VALUE"""),"A-8")</f>
        <v>A-8</v>
      </c>
      <c r="F198" s="31">
        <f>IFERROR(__xludf.DUMMYFUNCTION("""COMPUTED_VALUE"""),3.0)</f>
        <v>3</v>
      </c>
      <c r="G198" s="27" t="str">
        <f>IFERROR(__xludf.DUMMYFUNCTION("""COMPUTED_VALUE"""),"3 ULA A PUTRA")</f>
        <v>3 ULA A PUTRA</v>
      </c>
      <c r="H198" s="28" t="str">
        <f>IFERROR(__xludf.DUMMYFUNCTION("""COMPUTED_VALUE"""),"MTS-9 C")</f>
        <v>MTS-9 C</v>
      </c>
      <c r="I198" s="28" t="str">
        <f>IFERROR(__xludf.DUMMYFUNCTION("""COMPUTED_VALUE"""),"ASMAUL HUSNA")</f>
        <v>ASMAUL HUSNA</v>
      </c>
      <c r="J198" s="28" t="str">
        <f>IFERROR(__xludf.DUMMYFUNCTION("""COMPUTED_VALUE"""),"JUBAK NGUWOK RT 014 RW 006 MODO LAMONGAN")</f>
        <v>JUBAK NGUWOK RT 014 RW 006 MODO LAMONGAN</v>
      </c>
      <c r="K198" s="28" t="str">
        <f>IFERROR(__xludf.DUMMYFUNCTION("""COMPUTED_VALUE"""),"6285607086322")</f>
        <v>6285607086322</v>
      </c>
      <c r="L198" s="22">
        <f>IFERROR(__xludf.DUMMYFUNCTION("""COMPUTED_VALUE"""),0.0)</f>
        <v>0</v>
      </c>
      <c r="M198" s="22">
        <f>IFERROR(__xludf.DUMMYFUNCTION("""COMPUTED_VALUE"""),0.0)</f>
        <v>0</v>
      </c>
      <c r="N198" s="22">
        <f>IFERROR(__xludf.DUMMYFUNCTION("""COMPUTED_VALUE"""),0.0)</f>
        <v>0</v>
      </c>
      <c r="O198" s="22">
        <f>IFERROR(__xludf.DUMMYFUNCTION("""COMPUTED_VALUE"""),0.0)</f>
        <v>0</v>
      </c>
      <c r="P198" s="28" t="str">
        <f t="shared" si="1"/>
        <v>LUNAS</v>
      </c>
      <c r="Q198" s="28">
        <f t="shared" si="2"/>
        <v>207</v>
      </c>
      <c r="R198" s="28" t="str">
        <f t="shared" si="3"/>
        <v>MUHAMMAD ROHID ALY WAFA ASSYUKUR</v>
      </c>
    </row>
    <row r="199">
      <c r="A199" s="27">
        <f>IFERROR(__xludf.DUMMYFUNCTION("""COMPUTED_VALUE"""),198.0)</f>
        <v>198</v>
      </c>
      <c r="B199" s="28" t="str">
        <f>IFERROR(__xludf.DUMMYFUNCTION("""COMPUTED_VALUE"""),"MUHAMMAD SYAFI` AL FATHIR")</f>
        <v>MUHAMMAD SYAFI` AL FATHIR</v>
      </c>
      <c r="C199" s="28">
        <f>IFERROR(__xludf.DUMMYFUNCTION("""COMPUTED_VALUE"""),2.024070588E9)</f>
        <v>2024070588</v>
      </c>
      <c r="D199" s="27" t="str">
        <f>IFERROR(__xludf.DUMMYFUNCTION("""COMPUTED_VALUE"""),"A")</f>
        <v>A</v>
      </c>
      <c r="E199" s="27" t="str">
        <f>IFERROR(__xludf.DUMMYFUNCTION("""COMPUTED_VALUE"""),"A-8")</f>
        <v>A-8</v>
      </c>
      <c r="F199" s="31">
        <f>IFERROR(__xludf.DUMMYFUNCTION("""COMPUTED_VALUE"""),3.0)</f>
        <v>3</v>
      </c>
      <c r="G199" s="27" t="str">
        <f>IFERROR(__xludf.DUMMYFUNCTION("""COMPUTED_VALUE"""),"3 ULA B PUTRA")</f>
        <v>3 ULA B PUTRA</v>
      </c>
      <c r="H199" s="28" t="str">
        <f>IFERROR(__xludf.DUMMYFUNCTION("""COMPUTED_VALUE"""),"MTS-9 B")</f>
        <v>MTS-9 B</v>
      </c>
      <c r="I199" s="28" t="str">
        <f>IFERROR(__xludf.DUMMYFUNCTION("""COMPUTED_VALUE"""),"SULISTIAWATI")</f>
        <v>SULISTIAWATI</v>
      </c>
      <c r="J199" s="28" t="str">
        <f>IFERROR(__xludf.DUMMYFUNCTION("""COMPUTED_VALUE"""),"NGAYUNG RT 003 RW 001 MADURAN LAMONGAN")</f>
        <v>NGAYUNG RT 003 RW 001 MADURAN LAMONGAN</v>
      </c>
      <c r="K199" s="28" t="str">
        <f>IFERROR(__xludf.DUMMYFUNCTION("""COMPUTED_VALUE"""),"6285850361410")</f>
        <v>6285850361410</v>
      </c>
      <c r="L199" s="22">
        <f>IFERROR(__xludf.DUMMYFUNCTION("""COMPUTED_VALUE"""),0.0)</f>
        <v>0</v>
      </c>
      <c r="M199" s="22">
        <f>IFERROR(__xludf.DUMMYFUNCTION("""COMPUTED_VALUE"""),0.0)</f>
        <v>0</v>
      </c>
      <c r="N199" s="22">
        <f>IFERROR(__xludf.DUMMYFUNCTION("""COMPUTED_VALUE"""),0.0)</f>
        <v>0</v>
      </c>
      <c r="O199" s="22">
        <f>IFERROR(__xludf.DUMMYFUNCTION("""COMPUTED_VALUE"""),0.0)</f>
        <v>0</v>
      </c>
      <c r="P199" s="28" t="str">
        <f t="shared" si="1"/>
        <v>LUNAS</v>
      </c>
      <c r="Q199" s="28">
        <f t="shared" si="2"/>
        <v>208</v>
      </c>
      <c r="R199" s="28" t="str">
        <f t="shared" si="3"/>
        <v>MUHAMMAD SYAFI` AL FATHIR</v>
      </c>
    </row>
    <row r="200">
      <c r="A200" s="27">
        <f>IFERROR(__xludf.DUMMYFUNCTION("""COMPUTED_VALUE"""),199.0)</f>
        <v>199</v>
      </c>
      <c r="B200" s="28" t="str">
        <f>IFERROR(__xludf.DUMMYFUNCTION("""COMPUTED_VALUE"""),"NAUFAL DESTA ARYADI")</f>
        <v>NAUFAL DESTA ARYADI</v>
      </c>
      <c r="C200" s="28">
        <f>IFERROR(__xludf.DUMMYFUNCTION("""COMPUTED_VALUE"""),2.024070479E9)</f>
        <v>2024070479</v>
      </c>
      <c r="D200" s="27" t="str">
        <f>IFERROR(__xludf.DUMMYFUNCTION("""COMPUTED_VALUE"""),"A")</f>
        <v>A</v>
      </c>
      <c r="E200" s="27" t="str">
        <f>IFERROR(__xludf.DUMMYFUNCTION("""COMPUTED_VALUE"""),"A-8")</f>
        <v>A-8</v>
      </c>
      <c r="F200" s="31">
        <f>IFERROR(__xludf.DUMMYFUNCTION("""COMPUTED_VALUE"""),3.0)</f>
        <v>3</v>
      </c>
      <c r="G200" s="27" t="str">
        <f>IFERROR(__xludf.DUMMYFUNCTION("""COMPUTED_VALUE"""),"3 ULA A PUTRA")</f>
        <v>3 ULA A PUTRA</v>
      </c>
      <c r="H200" s="28" t="str">
        <f>IFERROR(__xludf.DUMMYFUNCTION("""COMPUTED_VALUE"""),"MTS-9 F")</f>
        <v>MTS-9 F</v>
      </c>
      <c r="I200" s="28" t="str">
        <f>IFERROR(__xludf.DUMMYFUNCTION("""COMPUTED_VALUE"""),"RUMIATIK")</f>
        <v>RUMIATIK</v>
      </c>
      <c r="J200" s="28" t="str">
        <f>IFERROR(__xludf.DUMMYFUNCTION("""COMPUTED_VALUE"""),"KARANGTAPEN KARANGLANGIT RT 002 RW 004 LAMONGAN LAMONGAN")</f>
        <v>KARANGTAPEN KARANGLANGIT RT 002 RW 004 LAMONGAN LAMONGAN</v>
      </c>
      <c r="K200" s="28" t="str">
        <f>IFERROR(__xludf.DUMMYFUNCTION("""COMPUTED_VALUE"""),"6285604016410")</f>
        <v>6285604016410</v>
      </c>
      <c r="L200" s="22">
        <f>IFERROR(__xludf.DUMMYFUNCTION("""COMPUTED_VALUE"""),0.0)</f>
        <v>0</v>
      </c>
      <c r="M200" s="22">
        <f>IFERROR(__xludf.DUMMYFUNCTION("""COMPUTED_VALUE"""),0.0)</f>
        <v>0</v>
      </c>
      <c r="N200" s="22">
        <f>IFERROR(__xludf.DUMMYFUNCTION("""COMPUTED_VALUE"""),0.0)</f>
        <v>0</v>
      </c>
      <c r="O200" s="22">
        <f>IFERROR(__xludf.DUMMYFUNCTION("""COMPUTED_VALUE"""),0.0)</f>
        <v>0</v>
      </c>
      <c r="P200" s="28" t="str">
        <f t="shared" si="1"/>
        <v>LUNAS</v>
      </c>
      <c r="Q200" s="28">
        <f t="shared" si="2"/>
        <v>209</v>
      </c>
      <c r="R200" s="28" t="str">
        <f t="shared" si="3"/>
        <v>NAUFAL DESTA ARYADI</v>
      </c>
    </row>
    <row r="201">
      <c r="A201" s="27">
        <f>IFERROR(__xludf.DUMMYFUNCTION("""COMPUTED_VALUE"""),200.0)</f>
        <v>200</v>
      </c>
      <c r="B201" s="28" t="str">
        <f>IFERROR(__xludf.DUMMYFUNCTION("""COMPUTED_VALUE"""),"NOVAL ARYA PRATAMA")</f>
        <v>NOVAL ARYA PRATAMA</v>
      </c>
      <c r="C201" s="28">
        <f>IFERROR(__xludf.DUMMYFUNCTION("""COMPUTED_VALUE"""),2.024070468E9)</f>
        <v>2024070468</v>
      </c>
      <c r="D201" s="27" t="str">
        <f>IFERROR(__xludf.DUMMYFUNCTION("""COMPUTED_VALUE"""),"A")</f>
        <v>A</v>
      </c>
      <c r="E201" s="27" t="str">
        <f>IFERROR(__xludf.DUMMYFUNCTION("""COMPUTED_VALUE"""),"A-8")</f>
        <v>A-8</v>
      </c>
      <c r="F201" s="31">
        <f>IFERROR(__xludf.DUMMYFUNCTION("""COMPUTED_VALUE"""),3.0)</f>
        <v>3</v>
      </c>
      <c r="G201" s="27" t="str">
        <f>IFERROR(__xludf.DUMMYFUNCTION("""COMPUTED_VALUE"""),"3 ULA A PUTRA")</f>
        <v>3 ULA A PUTRA</v>
      </c>
      <c r="H201" s="28" t="str">
        <f>IFERROR(__xludf.DUMMYFUNCTION("""COMPUTED_VALUE"""),"MTS-9 B")</f>
        <v>MTS-9 B</v>
      </c>
      <c r="I201" s="28" t="str">
        <f>IFERROR(__xludf.DUMMYFUNCTION("""COMPUTED_VALUE"""),"NURANITA LARASATI")</f>
        <v>NURANITA LARASATI</v>
      </c>
      <c r="J201" s="28" t="str">
        <f>IFERROR(__xludf.DUMMYFUNCTION("""COMPUTED_VALUE"""),"BULAKWATU BANJAREJO RT 003 RW 001 SUKODADI LAMONGAN")</f>
        <v>BULAKWATU BANJAREJO RT 003 RW 001 SUKODADI LAMONGAN</v>
      </c>
      <c r="K201" s="28" t="str">
        <f>IFERROR(__xludf.DUMMYFUNCTION("""COMPUTED_VALUE"""),"6285707106640")</f>
        <v>6285707106640</v>
      </c>
      <c r="L201" s="22">
        <f>IFERROR(__xludf.DUMMYFUNCTION("""COMPUTED_VALUE"""),450000.0)</f>
        <v>450000</v>
      </c>
      <c r="M201" s="22">
        <f>IFERROR(__xludf.DUMMYFUNCTION("""COMPUTED_VALUE"""),500000.0)</f>
        <v>500000</v>
      </c>
      <c r="N201" s="22">
        <f>IFERROR(__xludf.DUMMYFUNCTION("""COMPUTED_VALUE"""),0.0)</f>
        <v>0</v>
      </c>
      <c r="O201" s="22">
        <f>IFERROR(__xludf.DUMMYFUNCTION("""COMPUTED_VALUE"""),950000.0)</f>
        <v>950000</v>
      </c>
      <c r="P201" s="28" t="str">
        <f t="shared" si="1"/>
        <v>LUNAS</v>
      </c>
      <c r="Q201" s="28">
        <f t="shared" si="2"/>
        <v>110</v>
      </c>
      <c r="R201" s="28" t="str">
        <f t="shared" si="3"/>
        <v>NOVAL ARYA PRATAMA</v>
      </c>
    </row>
    <row r="202">
      <c r="A202" s="27">
        <f>IFERROR(__xludf.DUMMYFUNCTION("""COMPUTED_VALUE"""),201.0)</f>
        <v>201</v>
      </c>
      <c r="B202" s="28" t="str">
        <f>IFERROR(__xludf.DUMMYFUNCTION("""COMPUTED_VALUE"""),"NUR RIZKI FEBRIAN WAHYU PUTRA")</f>
        <v>NUR RIZKI FEBRIAN WAHYU PUTRA</v>
      </c>
      <c r="C202" s="28">
        <f>IFERROR(__xludf.DUMMYFUNCTION("""COMPUTED_VALUE"""),2.024070516E9)</f>
        <v>2024070516</v>
      </c>
      <c r="D202" s="27" t="str">
        <f>IFERROR(__xludf.DUMMYFUNCTION("""COMPUTED_VALUE"""),"A")</f>
        <v>A</v>
      </c>
      <c r="E202" s="27" t="str">
        <f>IFERROR(__xludf.DUMMYFUNCTION("""COMPUTED_VALUE"""),"A-8")</f>
        <v>A-8</v>
      </c>
      <c r="F202" s="31">
        <f>IFERROR(__xludf.DUMMYFUNCTION("""COMPUTED_VALUE"""),3.0)</f>
        <v>3</v>
      </c>
      <c r="G202" s="27" t="str">
        <f>IFERROR(__xludf.DUMMYFUNCTION("""COMPUTED_VALUE"""),"3 ULA A PUTRA")</f>
        <v>3 ULA A PUTRA</v>
      </c>
      <c r="H202" s="28" t="str">
        <f>IFERROR(__xludf.DUMMYFUNCTION("""COMPUTED_VALUE"""),"SMP-IX A")</f>
        <v>SMP-IX A</v>
      </c>
      <c r="I202" s="28" t="str">
        <f>IFERROR(__xludf.DUMMYFUNCTION("""COMPUTED_VALUE"""),"NANIK SURYANI")</f>
        <v>NANIK SURYANI</v>
      </c>
      <c r="J202" s="28" t="str">
        <f>IFERROR(__xludf.DUMMYFUNCTION("""COMPUTED_VALUE"""),"BLAJO RT 005 RW 003 KALITENGAH LAMONGAN")</f>
        <v>BLAJO RT 005 RW 003 KALITENGAH LAMONGAN</v>
      </c>
      <c r="K202" s="28" t="str">
        <f>IFERROR(__xludf.DUMMYFUNCTION("""COMPUTED_VALUE"""),"6285546527780")</f>
        <v>6285546527780</v>
      </c>
      <c r="L202" s="22">
        <f>IFERROR(__xludf.DUMMYFUNCTION("""COMPUTED_VALUE"""),0.0)</f>
        <v>0</v>
      </c>
      <c r="M202" s="22">
        <f>IFERROR(__xludf.DUMMYFUNCTION("""COMPUTED_VALUE"""),500000.0)</f>
        <v>500000</v>
      </c>
      <c r="N202" s="22">
        <f>IFERROR(__xludf.DUMMYFUNCTION("""COMPUTED_VALUE"""),0.0)</f>
        <v>0</v>
      </c>
      <c r="O202" s="22">
        <f>IFERROR(__xludf.DUMMYFUNCTION("""COMPUTED_VALUE"""),500000.0)</f>
        <v>500000</v>
      </c>
      <c r="P202" s="28" t="str">
        <f t="shared" si="1"/>
        <v>LUNAS</v>
      </c>
      <c r="Q202" s="28">
        <f t="shared" si="2"/>
        <v>134</v>
      </c>
      <c r="R202" s="28" t="str">
        <f t="shared" si="3"/>
        <v>NUR RIZKI FEBRIAN WAHYU PUTRA</v>
      </c>
    </row>
    <row r="203">
      <c r="A203" s="27">
        <f>IFERROR(__xludf.DUMMYFUNCTION("""COMPUTED_VALUE"""),202.0)</f>
        <v>202</v>
      </c>
      <c r="B203" s="28" t="str">
        <f>IFERROR(__xludf.DUMMYFUNCTION("""COMPUTED_VALUE"""),"RAIHAN DWI WIRATAMA")</f>
        <v>RAIHAN DWI WIRATAMA</v>
      </c>
      <c r="C203" s="28">
        <f>IFERROR(__xludf.DUMMYFUNCTION("""COMPUTED_VALUE"""),2.024070478E9)</f>
        <v>2024070478</v>
      </c>
      <c r="D203" s="27" t="str">
        <f>IFERROR(__xludf.DUMMYFUNCTION("""COMPUTED_VALUE"""),"A")</f>
        <v>A</v>
      </c>
      <c r="E203" s="27" t="str">
        <f>IFERROR(__xludf.DUMMYFUNCTION("""COMPUTED_VALUE"""),"A-8")</f>
        <v>A-8</v>
      </c>
      <c r="F203" s="31">
        <f>IFERROR(__xludf.DUMMYFUNCTION("""COMPUTED_VALUE"""),3.0)</f>
        <v>3</v>
      </c>
      <c r="G203" s="27" t="str">
        <f>IFERROR(__xludf.DUMMYFUNCTION("""COMPUTED_VALUE"""),"3 ULA A PUTRA")</f>
        <v>3 ULA A PUTRA</v>
      </c>
      <c r="H203" s="28" t="str">
        <f>IFERROR(__xludf.DUMMYFUNCTION("""COMPUTED_VALUE"""),"MTS-9 E")</f>
        <v>MTS-9 E</v>
      </c>
      <c r="I203" s="28" t="str">
        <f>IFERROR(__xludf.DUMMYFUNCTION("""COMPUTED_VALUE"""),"ANI FATEMAHWATI")</f>
        <v>ANI FATEMAHWATI</v>
      </c>
      <c r="J203" s="28" t="str">
        <f>IFERROR(__xludf.DUMMYFUNCTION("""COMPUTED_VALUE"""),"BLANGIT KARANGLANGIT RT 001 RW 002 LAMONGAN LAMONGAN")</f>
        <v>BLANGIT KARANGLANGIT RT 001 RW 002 LAMONGAN LAMONGAN</v>
      </c>
      <c r="K203" s="28" t="str">
        <f>IFERROR(__xludf.DUMMYFUNCTION("""COMPUTED_VALUE"""),"6282337249449")</f>
        <v>6282337249449</v>
      </c>
      <c r="L203" s="22">
        <f>IFERROR(__xludf.DUMMYFUNCTION("""COMPUTED_VALUE"""),0.0)</f>
        <v>0</v>
      </c>
      <c r="M203" s="22">
        <f>IFERROR(__xludf.DUMMYFUNCTION("""COMPUTED_VALUE"""),0.0)</f>
        <v>0</v>
      </c>
      <c r="N203" s="22">
        <f>IFERROR(__xludf.DUMMYFUNCTION("""COMPUTED_VALUE"""),0.0)</f>
        <v>0</v>
      </c>
      <c r="O203" s="22">
        <f>IFERROR(__xludf.DUMMYFUNCTION("""COMPUTED_VALUE"""),0.0)</f>
        <v>0</v>
      </c>
      <c r="P203" s="28" t="str">
        <f t="shared" si="1"/>
        <v>LUNAS</v>
      </c>
      <c r="Q203" s="28">
        <f t="shared" si="2"/>
        <v>210</v>
      </c>
      <c r="R203" s="28" t="str">
        <f t="shared" si="3"/>
        <v>RAIHAN DWI WIRATAMA</v>
      </c>
    </row>
    <row r="204">
      <c r="A204" s="27">
        <f>IFERROR(__xludf.DUMMYFUNCTION("""COMPUTED_VALUE"""),203.0)</f>
        <v>203</v>
      </c>
      <c r="B204" s="28" t="str">
        <f>IFERROR(__xludf.DUMMYFUNCTION("""COMPUTED_VALUE"""),"ZIDNY ILMAN NAFI`")</f>
        <v>ZIDNY ILMAN NAFI`</v>
      </c>
      <c r="C204" s="28">
        <f>IFERROR(__xludf.DUMMYFUNCTION("""COMPUTED_VALUE"""),2.024070741E9)</f>
        <v>2024070741</v>
      </c>
      <c r="D204" s="27" t="str">
        <f>IFERROR(__xludf.DUMMYFUNCTION("""COMPUTED_VALUE"""),"A")</f>
        <v>A</v>
      </c>
      <c r="E204" s="27" t="str">
        <f>IFERROR(__xludf.DUMMYFUNCTION("""COMPUTED_VALUE"""),"A-8")</f>
        <v>A-8</v>
      </c>
      <c r="F204" s="31">
        <f>IFERROR(__xludf.DUMMYFUNCTION("""COMPUTED_VALUE"""),3.0)</f>
        <v>3</v>
      </c>
      <c r="G204" s="27" t="str">
        <f>IFERROR(__xludf.DUMMYFUNCTION("""COMPUTED_VALUE"""),"3 ULA B PUTRA")</f>
        <v>3 ULA B PUTRA</v>
      </c>
      <c r="H204" s="28" t="str">
        <f>IFERROR(__xludf.DUMMYFUNCTION("""COMPUTED_VALUE"""),"SMP-IX A")</f>
        <v>SMP-IX A</v>
      </c>
      <c r="I204" s="28" t="str">
        <f>IFERROR(__xludf.DUMMYFUNCTION("""COMPUTED_VALUE"""),"CHOLIFATUS SIYADAH")</f>
        <v>CHOLIFATUS SIYADAH</v>
      </c>
      <c r="J204" s="28" t="str">
        <f>IFERROR(__xludf.DUMMYFUNCTION("""COMPUTED_VALUE"""),"TANGGULREJO UTARA RT 005 RW 001 MANYAR GRESIK")</f>
        <v>TANGGULREJO UTARA RT 005 RW 001 MANYAR GRESIK</v>
      </c>
      <c r="K204" s="28" t="str">
        <f>IFERROR(__xludf.DUMMYFUNCTION("""COMPUTED_VALUE"""),"6281230961334")</f>
        <v>6281230961334</v>
      </c>
      <c r="L204" s="22">
        <f>IFERROR(__xludf.DUMMYFUNCTION("""COMPUTED_VALUE"""),0.0)</f>
        <v>0</v>
      </c>
      <c r="M204" s="22">
        <f>IFERROR(__xludf.DUMMYFUNCTION("""COMPUTED_VALUE"""),0.0)</f>
        <v>0</v>
      </c>
      <c r="N204" s="22">
        <f>IFERROR(__xludf.DUMMYFUNCTION("""COMPUTED_VALUE"""),0.0)</f>
        <v>0</v>
      </c>
      <c r="O204" s="22">
        <f>IFERROR(__xludf.DUMMYFUNCTION("""COMPUTED_VALUE"""),0.0)</f>
        <v>0</v>
      </c>
      <c r="P204" s="28" t="str">
        <f t="shared" si="1"/>
        <v>LUNAS</v>
      </c>
      <c r="Q204" s="28">
        <f t="shared" si="2"/>
        <v>211</v>
      </c>
      <c r="R204" s="28" t="str">
        <f t="shared" si="3"/>
        <v>ZIDNY ILMAN NAFI`</v>
      </c>
    </row>
    <row r="205">
      <c r="A205" s="27">
        <f>IFERROR(__xludf.DUMMYFUNCTION("""COMPUTED_VALUE"""),204.0)</f>
        <v>204</v>
      </c>
      <c r="B205" s="28" t="str">
        <f>IFERROR(__xludf.DUMMYFUNCTION("""COMPUTED_VALUE"""),"ABDULLAH FAIZ")</f>
        <v>ABDULLAH FAIZ</v>
      </c>
      <c r="C205" s="28">
        <f>IFERROR(__xludf.DUMMYFUNCTION("""COMPUTED_VALUE"""),2.025070617E9)</f>
        <v>2025070617</v>
      </c>
      <c r="D205" s="27" t="str">
        <f>IFERROR(__xludf.DUMMYFUNCTION("""COMPUTED_VALUE"""),"A")</f>
        <v>A</v>
      </c>
      <c r="E205" s="27" t="str">
        <f>IFERROR(__xludf.DUMMYFUNCTION("""COMPUTED_VALUE"""),"A-8")</f>
        <v>A-8</v>
      </c>
      <c r="F205" s="31">
        <f>IFERROR(__xludf.DUMMYFUNCTION("""COMPUTED_VALUE"""),3.0)</f>
        <v>3</v>
      </c>
      <c r="G205" s="27" t="str">
        <f>IFERROR(__xludf.DUMMYFUNCTION("""COMPUTED_VALUE"""),"3 ULA A PUTRA")</f>
        <v>3 ULA A PUTRA</v>
      </c>
      <c r="H205" s="28" t="str">
        <f>IFERROR(__xludf.DUMMYFUNCTION("""COMPUTED_VALUE"""),"MTS-9 B")</f>
        <v>MTS-9 B</v>
      </c>
      <c r="I205" s="28" t="str">
        <f>IFERROR(__xludf.DUMMYFUNCTION("""COMPUTED_VALUE"""),"NUR FARIDAH")</f>
        <v>NUR FARIDAH</v>
      </c>
      <c r="J205" s="28" t="str">
        <f>IFERROR(__xludf.DUMMYFUNCTION("""COMPUTED_VALUE"""),"GEDONGKEDOAN RT 001 RW 001 DUKUN GRESIK")</f>
        <v>GEDONGKEDOAN RT 001 RW 001 DUKUN GRESIK</v>
      </c>
      <c r="K205" s="28" t="str">
        <f>IFERROR(__xludf.DUMMYFUNCTION("""COMPUTED_VALUE"""),"6281553874448")</f>
        <v>6281553874448</v>
      </c>
      <c r="L205" s="22">
        <f>IFERROR(__xludf.DUMMYFUNCTION("""COMPUTED_VALUE"""),450000.0)</f>
        <v>450000</v>
      </c>
      <c r="M205" s="22">
        <f>IFERROR(__xludf.DUMMYFUNCTION("""COMPUTED_VALUE"""),1000000.0)</f>
        <v>1000000</v>
      </c>
      <c r="N205" s="22">
        <f>IFERROR(__xludf.DUMMYFUNCTION("""COMPUTED_VALUE"""),0.0)</f>
        <v>0</v>
      </c>
      <c r="O205" s="22">
        <f>IFERROR(__xludf.DUMMYFUNCTION("""COMPUTED_VALUE"""),1450000.0)</f>
        <v>1450000</v>
      </c>
      <c r="P205" s="28" t="str">
        <f t="shared" si="1"/>
        <v>LUNAS</v>
      </c>
      <c r="Q205" s="28">
        <f t="shared" si="2"/>
        <v>56</v>
      </c>
      <c r="R205" s="28" t="str">
        <f t="shared" si="3"/>
        <v>ABDULLAH FAIZ</v>
      </c>
    </row>
    <row r="206">
      <c r="A206" s="27">
        <f>IFERROR(__xludf.DUMMYFUNCTION("""COMPUTED_VALUE"""),205.0)</f>
        <v>205</v>
      </c>
      <c r="B206" s="28" t="str">
        <f>IFERROR(__xludf.DUMMYFUNCTION("""COMPUTED_VALUE"""),"AFDHOL MUSYAFA")</f>
        <v>AFDHOL MUSYAFA</v>
      </c>
      <c r="C206" s="28">
        <f>IFERROR(__xludf.DUMMYFUNCTION("""COMPUTED_VALUE"""),2.025070436E9)</f>
        <v>2025070436</v>
      </c>
      <c r="D206" s="27" t="str">
        <f>IFERROR(__xludf.DUMMYFUNCTION("""COMPUTED_VALUE"""),"A")</f>
        <v>A</v>
      </c>
      <c r="E206" s="27" t="str">
        <f>IFERROR(__xludf.DUMMYFUNCTION("""COMPUTED_VALUE"""),"A-9")</f>
        <v>A-9</v>
      </c>
      <c r="F206" s="31">
        <f>IFERROR(__xludf.DUMMYFUNCTION("""COMPUTED_VALUE"""),2.0)</f>
        <v>2</v>
      </c>
      <c r="G206" s="27" t="str">
        <f>IFERROR(__xludf.DUMMYFUNCTION("""COMPUTED_VALUE"""),"2 WUSTHO A PUTRA")</f>
        <v>2 WUSTHO A PUTRA</v>
      </c>
      <c r="H206" s="28" t="str">
        <f>IFERROR(__xludf.DUMMYFUNCTION("""COMPUTED_VALUE"""),"SMK-XI TKJ 1")</f>
        <v>SMK-XI TKJ 1</v>
      </c>
      <c r="I206" s="28" t="str">
        <f>IFERROR(__xludf.DUMMYFUNCTION("""COMPUTED_VALUE"""),"MAISAROH")</f>
        <v>MAISAROH</v>
      </c>
      <c r="J206" s="28" t="str">
        <f>IFERROR(__xludf.DUMMYFUNCTION("""COMPUTED_VALUE"""),"JL. KAPAL SELAM LOK TUAN RT 018 RW 000 BONTANG UTARA BONTANG")</f>
        <v>JL. KAPAL SELAM LOK TUAN RT 018 RW 000 BONTANG UTARA BONTANG</v>
      </c>
      <c r="K206" s="28" t="str">
        <f>IFERROR(__xludf.DUMMYFUNCTION("""COMPUTED_VALUE"""),"6282240716916")</f>
        <v>6282240716916</v>
      </c>
      <c r="L206" s="22">
        <f>IFERROR(__xludf.DUMMYFUNCTION("""COMPUTED_VALUE"""),0.0)</f>
        <v>0</v>
      </c>
      <c r="M206" s="22">
        <f>IFERROR(__xludf.DUMMYFUNCTION("""COMPUTED_VALUE"""),0.0)</f>
        <v>0</v>
      </c>
      <c r="N206" s="22">
        <f>IFERROR(__xludf.DUMMYFUNCTION("""COMPUTED_VALUE"""),0.0)</f>
        <v>0</v>
      </c>
      <c r="O206" s="22">
        <f>IFERROR(__xludf.DUMMYFUNCTION("""COMPUTED_VALUE"""),0.0)</f>
        <v>0</v>
      </c>
      <c r="P206" s="28" t="str">
        <f t="shared" si="1"/>
        <v>LUNAS</v>
      </c>
      <c r="Q206" s="28">
        <f t="shared" si="2"/>
        <v>212</v>
      </c>
      <c r="R206" s="28" t="str">
        <f t="shared" si="3"/>
        <v>AFDHOL MUSYAFA</v>
      </c>
    </row>
    <row r="207">
      <c r="A207" s="27">
        <f>IFERROR(__xludf.DUMMYFUNCTION("""COMPUTED_VALUE"""),206.0)</f>
        <v>206</v>
      </c>
      <c r="B207" s="28" t="str">
        <f>IFERROR(__xludf.DUMMYFUNCTION("""COMPUTED_VALUE"""),"ANTADANNA MAULANA ALVINO")</f>
        <v>ANTADANNA MAULANA ALVINO</v>
      </c>
      <c r="C207" s="28">
        <f>IFERROR(__xludf.DUMMYFUNCTION("""COMPUTED_VALUE"""),2.025070437E9)</f>
        <v>2025070437</v>
      </c>
      <c r="D207" s="27" t="str">
        <f>IFERROR(__xludf.DUMMYFUNCTION("""COMPUTED_VALUE"""),"A")</f>
        <v>A</v>
      </c>
      <c r="E207" s="27" t="str">
        <f>IFERROR(__xludf.DUMMYFUNCTION("""COMPUTED_VALUE"""),"A-9")</f>
        <v>A-9</v>
      </c>
      <c r="F207" s="31">
        <f>IFERROR(__xludf.DUMMYFUNCTION("""COMPUTED_VALUE"""),2.0)</f>
        <v>2</v>
      </c>
      <c r="G207" s="27" t="str">
        <f>IFERROR(__xludf.DUMMYFUNCTION("""COMPUTED_VALUE"""),"2 WUSTHO A PUTRA")</f>
        <v>2 WUSTHO A PUTRA</v>
      </c>
      <c r="H207" s="28" t="str">
        <f>IFERROR(__xludf.DUMMYFUNCTION("""COMPUTED_VALUE"""),"SMK-XI TKJ 2")</f>
        <v>SMK-XI TKJ 2</v>
      </c>
      <c r="I207" s="28" t="str">
        <f>IFERROR(__xludf.DUMMYFUNCTION("""COMPUTED_VALUE"""),"KATSIROTUN NI`MAH")</f>
        <v>KATSIROTUN NI`MAH</v>
      </c>
      <c r="J207" s="28" t="str">
        <f>IFERROR(__xludf.DUMMYFUNCTION("""COMPUTED_VALUE"""),"KARANGLANGIT RT 001 RW 002 LAMONGAN LAMONGAN")</f>
        <v>KARANGLANGIT RT 001 RW 002 LAMONGAN LAMONGAN</v>
      </c>
      <c r="K207" s="28" t="str">
        <f>IFERROR(__xludf.DUMMYFUNCTION("""COMPUTED_VALUE"""),"6282243925015")</f>
        <v>6282243925015</v>
      </c>
      <c r="L207" s="22">
        <f>IFERROR(__xludf.DUMMYFUNCTION("""COMPUTED_VALUE"""),0.0)</f>
        <v>0</v>
      </c>
      <c r="M207" s="22">
        <f>IFERROR(__xludf.DUMMYFUNCTION("""COMPUTED_VALUE"""),0.0)</f>
        <v>0</v>
      </c>
      <c r="N207" s="22">
        <f>IFERROR(__xludf.DUMMYFUNCTION("""COMPUTED_VALUE"""),0.0)</f>
        <v>0</v>
      </c>
      <c r="O207" s="22">
        <f>IFERROR(__xludf.DUMMYFUNCTION("""COMPUTED_VALUE"""),0.0)</f>
        <v>0</v>
      </c>
      <c r="P207" s="28" t="str">
        <f t="shared" si="1"/>
        <v>LUNAS</v>
      </c>
      <c r="Q207" s="28">
        <f t="shared" si="2"/>
        <v>213</v>
      </c>
      <c r="R207" s="28" t="str">
        <f t="shared" si="3"/>
        <v>ANTADANNA MAULANA ALVINO</v>
      </c>
    </row>
    <row r="208">
      <c r="A208" s="27">
        <f>IFERROR(__xludf.DUMMYFUNCTION("""COMPUTED_VALUE"""),207.0)</f>
        <v>207</v>
      </c>
      <c r="B208" s="28" t="str">
        <f>IFERROR(__xludf.DUMMYFUNCTION("""COMPUTED_VALUE"""),"HALLI SALAKHUDIN")</f>
        <v>HALLI SALAKHUDIN</v>
      </c>
      <c r="C208" s="28">
        <f>IFERROR(__xludf.DUMMYFUNCTION("""COMPUTED_VALUE"""),2.025070459E9)</f>
        <v>2025070459</v>
      </c>
      <c r="D208" s="27" t="str">
        <f>IFERROR(__xludf.DUMMYFUNCTION("""COMPUTED_VALUE"""),"A")</f>
        <v>A</v>
      </c>
      <c r="E208" s="27" t="str">
        <f>IFERROR(__xludf.DUMMYFUNCTION("""COMPUTED_VALUE"""),"A-9")</f>
        <v>A-9</v>
      </c>
      <c r="F208" s="31">
        <f>IFERROR(__xludf.DUMMYFUNCTION("""COMPUTED_VALUE"""),2.0)</f>
        <v>2</v>
      </c>
      <c r="G208" s="27" t="str">
        <f>IFERROR(__xludf.DUMMYFUNCTION("""COMPUTED_VALUE"""),"2 WUSTHO A PUTRA")</f>
        <v>2 WUSTHO A PUTRA</v>
      </c>
      <c r="H208" s="28" t="str">
        <f>IFERROR(__xludf.DUMMYFUNCTION("""COMPUTED_VALUE"""),"SMK-XI TKJ 2")</f>
        <v>SMK-XI TKJ 2</v>
      </c>
      <c r="I208" s="28" t="str">
        <f>IFERROR(__xludf.DUMMYFUNCTION("""COMPUTED_VALUE"""),"SUMILAH")</f>
        <v>SUMILAH</v>
      </c>
      <c r="J208" s="28" t="str">
        <f>IFERROR(__xludf.DUMMYFUNCTION("""COMPUTED_VALUE"""),"RINGIN PAYAMAN RT 001 RW 007 SOLOKURO LAMONGAN")</f>
        <v>RINGIN PAYAMAN RT 001 RW 007 SOLOKURO LAMONGAN</v>
      </c>
      <c r="K208" s="28" t="str">
        <f>IFERROR(__xludf.DUMMYFUNCTION("""COMPUTED_VALUE"""),"6281357414185")</f>
        <v>6281357414185</v>
      </c>
      <c r="L208" s="22">
        <f>IFERROR(__xludf.DUMMYFUNCTION("""COMPUTED_VALUE"""),450000.0)</f>
        <v>450000</v>
      </c>
      <c r="M208" s="22">
        <f>IFERROR(__xludf.DUMMYFUNCTION("""COMPUTED_VALUE"""),0.0)</f>
        <v>0</v>
      </c>
      <c r="N208" s="22">
        <f>IFERROR(__xludf.DUMMYFUNCTION("""COMPUTED_VALUE"""),0.0)</f>
        <v>0</v>
      </c>
      <c r="O208" s="22">
        <f>IFERROR(__xludf.DUMMYFUNCTION("""COMPUTED_VALUE"""),450000.0)</f>
        <v>450000</v>
      </c>
      <c r="P208" s="28" t="str">
        <f t="shared" si="1"/>
        <v>LUNAS</v>
      </c>
      <c r="Q208" s="28">
        <f t="shared" si="2"/>
        <v>147</v>
      </c>
      <c r="R208" s="28" t="str">
        <f t="shared" si="3"/>
        <v>HALLI SALAKHUDIN</v>
      </c>
    </row>
    <row r="209">
      <c r="A209" s="27">
        <f>IFERROR(__xludf.DUMMYFUNCTION("""COMPUTED_VALUE"""),208.0)</f>
        <v>208</v>
      </c>
      <c r="B209" s="28" t="str">
        <f>IFERROR(__xludf.DUMMYFUNCTION("""COMPUTED_VALUE"""),"M. FATIHU AHSANI TAQWIM")</f>
        <v>M. FATIHU AHSANI TAQWIM</v>
      </c>
      <c r="C209" s="28">
        <f>IFERROR(__xludf.DUMMYFUNCTION("""COMPUTED_VALUE"""),2.02507022E9)</f>
        <v>2025070220</v>
      </c>
      <c r="D209" s="27" t="str">
        <f>IFERROR(__xludf.DUMMYFUNCTION("""COMPUTED_VALUE"""),"A")</f>
        <v>A</v>
      </c>
      <c r="E209" s="27" t="str">
        <f>IFERROR(__xludf.DUMMYFUNCTION("""COMPUTED_VALUE"""),"A-9")</f>
        <v>A-9</v>
      </c>
      <c r="F209" s="31">
        <f>IFERROR(__xludf.DUMMYFUNCTION("""COMPUTED_VALUE"""),2.0)</f>
        <v>2</v>
      </c>
      <c r="G209" s="27" t="str">
        <f>IFERROR(__xludf.DUMMYFUNCTION("""COMPUTED_VALUE"""),"2 WUSTHO A PUTRA")</f>
        <v>2 WUSTHO A PUTRA</v>
      </c>
      <c r="H209" s="28" t="str">
        <f>IFERROR(__xludf.DUMMYFUNCTION("""COMPUTED_VALUE"""),"MA-XI.8")</f>
        <v>MA-XI.8</v>
      </c>
      <c r="I209" s="28" t="str">
        <f>IFERROR(__xludf.DUMMYFUNCTION("""COMPUTED_VALUE"""),"KARYATI")</f>
        <v>KARYATI</v>
      </c>
      <c r="J209" s="28" t="str">
        <f>IFERROR(__xludf.DUMMYFUNCTION("""COMPUTED_VALUE"""),"MENGAI SUKOREJO RT 002 RW 005 KARANGBINANGUN LAMONGAN")</f>
        <v>MENGAI SUKOREJO RT 002 RW 005 KARANGBINANGUN LAMONGAN</v>
      </c>
      <c r="K209" s="28" t="str">
        <f>IFERROR(__xludf.DUMMYFUNCTION("""COMPUTED_VALUE"""),"6285607890133")</f>
        <v>6285607890133</v>
      </c>
      <c r="L209" s="22">
        <f>IFERROR(__xludf.DUMMYFUNCTION("""COMPUTED_VALUE"""),4500000.0)</f>
        <v>4500000</v>
      </c>
      <c r="M209" s="22">
        <f>IFERROR(__xludf.DUMMYFUNCTION("""COMPUTED_VALUE"""),0.0)</f>
        <v>0</v>
      </c>
      <c r="N209" s="22">
        <f>IFERROR(__xludf.DUMMYFUNCTION("""COMPUTED_VALUE"""),0.0)</f>
        <v>0</v>
      </c>
      <c r="O209" s="22">
        <f>IFERROR(__xludf.DUMMYFUNCTION("""COMPUTED_VALUE"""),4500000.0)</f>
        <v>4500000</v>
      </c>
      <c r="P209" s="28" t="str">
        <f t="shared" si="1"/>
        <v>LUNAS</v>
      </c>
      <c r="Q209" s="28">
        <f t="shared" si="2"/>
        <v>16</v>
      </c>
      <c r="R209" s="28" t="str">
        <f t="shared" si="3"/>
        <v>M. FATIHU AHSANI TAQWIM</v>
      </c>
    </row>
    <row r="210">
      <c r="A210" s="27">
        <f>IFERROR(__xludf.DUMMYFUNCTION("""COMPUTED_VALUE"""),209.0)</f>
        <v>209</v>
      </c>
      <c r="B210" s="28" t="str">
        <f>IFERROR(__xludf.DUMMYFUNCTION("""COMPUTED_VALUE"""),"M. MARCEL AULIA WICAKSANA")</f>
        <v>M. MARCEL AULIA WICAKSANA</v>
      </c>
      <c r="C210" s="28">
        <f>IFERROR(__xludf.DUMMYFUNCTION("""COMPUTED_VALUE"""),2.02507028E9)</f>
        <v>2025070280</v>
      </c>
      <c r="D210" s="27" t="str">
        <f>IFERROR(__xludf.DUMMYFUNCTION("""COMPUTED_VALUE"""),"A")</f>
        <v>A</v>
      </c>
      <c r="E210" s="27" t="str">
        <f>IFERROR(__xludf.DUMMYFUNCTION("""COMPUTED_VALUE"""),"A-9")</f>
        <v>A-9</v>
      </c>
      <c r="F210" s="31">
        <f>IFERROR(__xludf.DUMMYFUNCTION("""COMPUTED_VALUE"""),2.0)</f>
        <v>2</v>
      </c>
      <c r="G210" s="27" t="str">
        <f>IFERROR(__xludf.DUMMYFUNCTION("""COMPUTED_VALUE"""),"2 WUSTHO B PUTRA")</f>
        <v>2 WUSTHO B PUTRA</v>
      </c>
      <c r="H210" s="28" t="str">
        <f>IFERROR(__xludf.DUMMYFUNCTION("""COMPUTED_VALUE"""),"MA-XI.2")</f>
        <v>MA-XI.2</v>
      </c>
      <c r="I210" s="28" t="str">
        <f>IFERROR(__xludf.DUMMYFUNCTION("""COMPUTED_VALUE"""),"FENI SUSANTI")</f>
        <v>FENI SUSANTI</v>
      </c>
      <c r="J210" s="28" t="str">
        <f>IFERROR(__xludf.DUMMYFUNCTION("""COMPUTED_VALUE"""),"BAMBANG RT 005 RW 002 TURI LAMONGAN")</f>
        <v>BAMBANG RT 005 RW 002 TURI LAMONGAN</v>
      </c>
      <c r="K210" s="28" t="str">
        <f>IFERROR(__xludf.DUMMYFUNCTION("""COMPUTED_VALUE"""),"6285692959785")</f>
        <v>6285692959785</v>
      </c>
      <c r="L210" s="22">
        <f>IFERROR(__xludf.DUMMYFUNCTION("""COMPUTED_VALUE"""),4500000.0)</f>
        <v>4500000</v>
      </c>
      <c r="M210" s="22">
        <f>IFERROR(__xludf.DUMMYFUNCTION("""COMPUTED_VALUE"""),0.0)</f>
        <v>0</v>
      </c>
      <c r="N210" s="22">
        <f>IFERROR(__xludf.DUMMYFUNCTION("""COMPUTED_VALUE"""),0.0)</f>
        <v>0</v>
      </c>
      <c r="O210" s="22">
        <f>IFERROR(__xludf.DUMMYFUNCTION("""COMPUTED_VALUE"""),4500000.0)</f>
        <v>4500000</v>
      </c>
      <c r="P210" s="28" t="str">
        <f t="shared" si="1"/>
        <v>LUNAS</v>
      </c>
      <c r="Q210" s="28">
        <f t="shared" si="2"/>
        <v>17</v>
      </c>
      <c r="R210" s="28" t="str">
        <f t="shared" si="3"/>
        <v>M. MARCEL AULIA WICAKSANA</v>
      </c>
    </row>
    <row r="211">
      <c r="A211" s="27">
        <f>IFERROR(__xludf.DUMMYFUNCTION("""COMPUTED_VALUE"""),210.0)</f>
        <v>210</v>
      </c>
      <c r="B211" s="28" t="str">
        <f>IFERROR(__xludf.DUMMYFUNCTION("""COMPUTED_VALUE"""),"MICKAIL JALU JAGAD")</f>
        <v>MICKAIL JALU JAGAD</v>
      </c>
      <c r="C211" s="28">
        <f>IFERROR(__xludf.DUMMYFUNCTION("""COMPUTED_VALUE"""),2.02507044E9)</f>
        <v>2025070440</v>
      </c>
      <c r="D211" s="27" t="str">
        <f>IFERROR(__xludf.DUMMYFUNCTION("""COMPUTED_VALUE"""),"A")</f>
        <v>A</v>
      </c>
      <c r="E211" s="27" t="str">
        <f>IFERROR(__xludf.DUMMYFUNCTION("""COMPUTED_VALUE"""),"A-9")</f>
        <v>A-9</v>
      </c>
      <c r="F211" s="31">
        <f>IFERROR(__xludf.DUMMYFUNCTION("""COMPUTED_VALUE"""),2.0)</f>
        <v>2</v>
      </c>
      <c r="G211" s="27" t="str">
        <f>IFERROR(__xludf.DUMMYFUNCTION("""COMPUTED_VALUE"""),"2 WUSTHO B PUTRA")</f>
        <v>2 WUSTHO B PUTRA</v>
      </c>
      <c r="H211" s="28" t="str">
        <f>IFERROR(__xludf.DUMMYFUNCTION("""COMPUTED_VALUE"""),"SMK-XI DKV")</f>
        <v>SMK-XI DKV</v>
      </c>
      <c r="I211" s="28" t="str">
        <f>IFERROR(__xludf.DUMMYFUNCTION("""COMPUTED_VALUE"""),"MARDHIYATUS SHOLIKHAH")</f>
        <v>MARDHIYATUS SHOLIKHAH</v>
      </c>
      <c r="J211" s="28" t="str">
        <f>IFERROR(__xludf.DUMMYFUNCTION("""COMPUTED_VALUE"""),"TULUNG WANAR RT 001 RW 004 PUCUK LAMONGAN")</f>
        <v>TULUNG WANAR RT 001 RW 004 PUCUK LAMONGAN</v>
      </c>
      <c r="K211" s="28" t="str">
        <f>IFERROR(__xludf.DUMMYFUNCTION("""COMPUTED_VALUE"""),"6281357162725")</f>
        <v>6281357162725</v>
      </c>
      <c r="L211" s="22">
        <f>IFERROR(__xludf.DUMMYFUNCTION("""COMPUTED_VALUE"""),450000.0)</f>
        <v>450000</v>
      </c>
      <c r="M211" s="22">
        <f>IFERROR(__xludf.DUMMYFUNCTION("""COMPUTED_VALUE"""),0.0)</f>
        <v>0</v>
      </c>
      <c r="N211" s="22">
        <f>IFERROR(__xludf.DUMMYFUNCTION("""COMPUTED_VALUE"""),0.0)</f>
        <v>0</v>
      </c>
      <c r="O211" s="22">
        <f>IFERROR(__xludf.DUMMYFUNCTION("""COMPUTED_VALUE"""),450000.0)</f>
        <v>450000</v>
      </c>
      <c r="P211" s="28" t="str">
        <f t="shared" si="1"/>
        <v>LUNAS</v>
      </c>
      <c r="Q211" s="28">
        <f t="shared" si="2"/>
        <v>148</v>
      </c>
      <c r="R211" s="28" t="str">
        <f t="shared" si="3"/>
        <v>MICKAIL JALU JAGAD</v>
      </c>
    </row>
    <row r="212">
      <c r="A212" s="27">
        <f>IFERROR(__xludf.DUMMYFUNCTION("""COMPUTED_VALUE"""),211.0)</f>
        <v>211</v>
      </c>
      <c r="B212" s="28" t="str">
        <f>IFERROR(__xludf.DUMMYFUNCTION("""COMPUTED_VALUE"""),"MOH. HAYKAL ZAHID AZZA")</f>
        <v>MOH. HAYKAL ZAHID AZZA</v>
      </c>
      <c r="C212" s="28">
        <f>IFERROR(__xludf.DUMMYFUNCTION("""COMPUTED_VALUE"""),2.025070435E9)</f>
        <v>2025070435</v>
      </c>
      <c r="D212" s="27" t="str">
        <f>IFERROR(__xludf.DUMMYFUNCTION("""COMPUTED_VALUE"""),"A")</f>
        <v>A</v>
      </c>
      <c r="E212" s="27" t="str">
        <f>IFERROR(__xludf.DUMMYFUNCTION("""COMPUTED_VALUE"""),"A-9")</f>
        <v>A-9</v>
      </c>
      <c r="F212" s="31">
        <f>IFERROR(__xludf.DUMMYFUNCTION("""COMPUTED_VALUE"""),2.0)</f>
        <v>2</v>
      </c>
      <c r="G212" s="27" t="str">
        <f>IFERROR(__xludf.DUMMYFUNCTION("""COMPUTED_VALUE"""),"2 WUSTHO B PUTRA")</f>
        <v>2 WUSTHO B PUTRA</v>
      </c>
      <c r="H212" s="28" t="str">
        <f>IFERROR(__xludf.DUMMYFUNCTION("""COMPUTED_VALUE"""),"SMK-XI DKV")</f>
        <v>SMK-XI DKV</v>
      </c>
      <c r="I212" s="28" t="str">
        <f>IFERROR(__xludf.DUMMYFUNCTION("""COMPUTED_VALUE"""),"FITROTIN AZIZAH")</f>
        <v>FITROTIN AZIZAH</v>
      </c>
      <c r="J212" s="28" t="str">
        <f>IFERROR(__xludf.DUMMYFUNCTION("""COMPUTED_VALUE"""),"BANJARMADU RT 002 RW 001 KARANGGENENG LAMONGAN")</f>
        <v>BANJARMADU RT 002 RW 001 KARANGGENENG LAMONGAN</v>
      </c>
      <c r="K212" s="28" t="str">
        <f>IFERROR(__xludf.DUMMYFUNCTION("""COMPUTED_VALUE"""),"6285655316184")</f>
        <v>6285655316184</v>
      </c>
      <c r="L212" s="22">
        <f>IFERROR(__xludf.DUMMYFUNCTION("""COMPUTED_VALUE"""),0.0)</f>
        <v>0</v>
      </c>
      <c r="M212" s="22">
        <f>IFERROR(__xludf.DUMMYFUNCTION("""COMPUTED_VALUE"""),0.0)</f>
        <v>0</v>
      </c>
      <c r="N212" s="22">
        <f>IFERROR(__xludf.DUMMYFUNCTION("""COMPUTED_VALUE"""),0.0)</f>
        <v>0</v>
      </c>
      <c r="O212" s="22">
        <f>IFERROR(__xludf.DUMMYFUNCTION("""COMPUTED_VALUE"""),0.0)</f>
        <v>0</v>
      </c>
      <c r="P212" s="28" t="str">
        <f t="shared" si="1"/>
        <v>LUNAS</v>
      </c>
      <c r="Q212" s="28">
        <f t="shared" si="2"/>
        <v>214</v>
      </c>
      <c r="R212" s="28" t="str">
        <f t="shared" si="3"/>
        <v>MOH. HAYKAL ZAHID AZZA</v>
      </c>
    </row>
    <row r="213">
      <c r="A213" s="27">
        <f>IFERROR(__xludf.DUMMYFUNCTION("""COMPUTED_VALUE"""),212.0)</f>
        <v>212</v>
      </c>
      <c r="B213" s="28" t="str">
        <f>IFERROR(__xludf.DUMMYFUNCTION("""COMPUTED_VALUE"""),"MUHAMMAD NABIL SALMAN")</f>
        <v>MUHAMMAD NABIL SALMAN</v>
      </c>
      <c r="C213" s="28">
        <f>IFERROR(__xludf.DUMMYFUNCTION("""COMPUTED_VALUE"""),2.025070429E9)</f>
        <v>2025070429</v>
      </c>
      <c r="D213" s="27" t="str">
        <f>IFERROR(__xludf.DUMMYFUNCTION("""COMPUTED_VALUE"""),"A")</f>
        <v>A</v>
      </c>
      <c r="E213" s="27" t="str">
        <f>IFERROR(__xludf.DUMMYFUNCTION("""COMPUTED_VALUE"""),"A-9")</f>
        <v>A-9</v>
      </c>
      <c r="F213" s="31">
        <f>IFERROR(__xludf.DUMMYFUNCTION("""COMPUTED_VALUE"""),2.0)</f>
        <v>2</v>
      </c>
      <c r="G213" s="27" t="str">
        <f>IFERROR(__xludf.DUMMYFUNCTION("""COMPUTED_VALUE"""),"2 WUSTHO B PUTRA")</f>
        <v>2 WUSTHO B PUTRA</v>
      </c>
      <c r="H213" s="28" t="str">
        <f>IFERROR(__xludf.DUMMYFUNCTION("""COMPUTED_VALUE"""),"SMK-XI TSM")</f>
        <v>SMK-XI TSM</v>
      </c>
      <c r="I213" s="28" t="str">
        <f>IFERROR(__xludf.DUMMYFUNCTION("""COMPUTED_VALUE"""),"ASMAUL KHUSNAH")</f>
        <v>ASMAUL KHUSNAH</v>
      </c>
      <c r="J213" s="28" t="str">
        <f>IFERROR(__xludf.DUMMYFUNCTION("""COMPUTED_VALUE"""),"BLAWI RT 002 RW 003 KARANGBINANGUN LAMONGAN")</f>
        <v>BLAWI RT 002 RW 003 KARANGBINANGUN LAMONGAN</v>
      </c>
      <c r="K213" s="28" t="str">
        <f>IFERROR(__xludf.DUMMYFUNCTION("""COMPUTED_VALUE"""),"6282334470986")</f>
        <v>6282334470986</v>
      </c>
      <c r="L213" s="22">
        <f>IFERROR(__xludf.DUMMYFUNCTION("""COMPUTED_VALUE"""),450000.0)</f>
        <v>450000</v>
      </c>
      <c r="M213" s="22">
        <f>IFERROR(__xludf.DUMMYFUNCTION("""COMPUTED_VALUE"""),0.0)</f>
        <v>0</v>
      </c>
      <c r="N213" s="22">
        <f>IFERROR(__xludf.DUMMYFUNCTION("""COMPUTED_VALUE"""),0.0)</f>
        <v>0</v>
      </c>
      <c r="O213" s="22">
        <f>IFERROR(__xludf.DUMMYFUNCTION("""COMPUTED_VALUE"""),450000.0)</f>
        <v>450000</v>
      </c>
      <c r="P213" s="28" t="str">
        <f t="shared" si="1"/>
        <v>LUNAS</v>
      </c>
      <c r="Q213" s="28">
        <f t="shared" si="2"/>
        <v>149</v>
      </c>
      <c r="R213" s="28" t="str">
        <f t="shared" si="3"/>
        <v>MUHAMMAD NABIL SALMAN</v>
      </c>
    </row>
    <row r="214">
      <c r="A214" s="27">
        <f>IFERROR(__xludf.DUMMYFUNCTION("""COMPUTED_VALUE"""),213.0)</f>
        <v>213</v>
      </c>
      <c r="B214" s="28" t="str">
        <f>IFERROR(__xludf.DUMMYFUNCTION("""COMPUTED_VALUE"""),"RYAN ARDHIYANSYAH EKA SAPUTRA")</f>
        <v>RYAN ARDHIYANSYAH EKA SAPUTRA</v>
      </c>
      <c r="C214" s="28">
        <f>IFERROR(__xludf.DUMMYFUNCTION("""COMPUTED_VALUE"""),2.025070185E9)</f>
        <v>2025070185</v>
      </c>
      <c r="D214" s="27" t="str">
        <f>IFERROR(__xludf.DUMMYFUNCTION("""COMPUTED_VALUE"""),"A")</f>
        <v>A</v>
      </c>
      <c r="E214" s="27" t="str">
        <f>IFERROR(__xludf.DUMMYFUNCTION("""COMPUTED_VALUE"""),"A-9")</f>
        <v>A-9</v>
      </c>
      <c r="F214" s="31">
        <f>IFERROR(__xludf.DUMMYFUNCTION("""COMPUTED_VALUE"""),2.0)</f>
        <v>2</v>
      </c>
      <c r="G214" s="27" t="str">
        <f>IFERROR(__xludf.DUMMYFUNCTION("""COMPUTED_VALUE"""),"2 WUSTHO B PUTRA")</f>
        <v>2 WUSTHO B PUTRA</v>
      </c>
      <c r="H214" s="28" t="str">
        <f>IFERROR(__xludf.DUMMYFUNCTION("""COMPUTED_VALUE"""),"MA-XI.6")</f>
        <v>MA-XI.6</v>
      </c>
      <c r="I214" s="28" t="str">
        <f>IFERROR(__xludf.DUMMYFUNCTION("""COMPUTED_VALUE"""),"RANIK FURI RAHAYUNINGSIH")</f>
        <v>RANIK FURI RAHAYUNINGSIH</v>
      </c>
      <c r="J214" s="28" t="str">
        <f>IFERROR(__xludf.DUMMYFUNCTION("""COMPUTED_VALUE"""),"MULYOREJO SELATAN II NO. 24 BELAKANG RT 002 RW 004 MULYOREJO SURABAYA")</f>
        <v>MULYOREJO SELATAN II NO. 24 BELAKANG RT 002 RW 004 MULYOREJO SURABAYA</v>
      </c>
      <c r="K214" s="28" t="str">
        <f>IFERROR(__xludf.DUMMYFUNCTION("""COMPUTED_VALUE"""),"6282250540860")</f>
        <v>6282250540860</v>
      </c>
      <c r="L214" s="22">
        <f>IFERROR(__xludf.DUMMYFUNCTION("""COMPUTED_VALUE"""),2700000.0)</f>
        <v>2700000</v>
      </c>
      <c r="M214" s="22">
        <f>IFERROR(__xludf.DUMMYFUNCTION("""COMPUTED_VALUE"""),0.0)</f>
        <v>0</v>
      </c>
      <c r="N214" s="22">
        <f>IFERROR(__xludf.DUMMYFUNCTION("""COMPUTED_VALUE"""),0.0)</f>
        <v>0</v>
      </c>
      <c r="O214" s="22">
        <f>IFERROR(__xludf.DUMMYFUNCTION("""COMPUTED_VALUE"""),2700000.0)</f>
        <v>2700000</v>
      </c>
      <c r="P214" s="28" t="str">
        <f t="shared" si="1"/>
        <v>LUNAS</v>
      </c>
      <c r="Q214" s="28">
        <f t="shared" si="2"/>
        <v>31</v>
      </c>
      <c r="R214" s="28" t="str">
        <f t="shared" si="3"/>
        <v>RYAN ARDHIYANSYAH EKA SAPUTRA</v>
      </c>
    </row>
    <row r="215">
      <c r="A215" s="27">
        <f>IFERROR(__xludf.DUMMYFUNCTION("""COMPUTED_VALUE"""),214.0)</f>
        <v>214</v>
      </c>
      <c r="B215" s="28" t="str">
        <f>IFERROR(__xludf.DUMMYFUNCTION("""COMPUTED_VALUE"""),"MOHAMMAD NAWANG NABIL AL FARISYI")</f>
        <v>MOHAMMAD NAWANG NABIL AL FARISYI</v>
      </c>
      <c r="C215" s="28">
        <f>IFERROR(__xludf.DUMMYFUNCTION("""COMPUTED_VALUE"""),2.025070257E9)</f>
        <v>2025070257</v>
      </c>
      <c r="D215" s="27" t="str">
        <f>IFERROR(__xludf.DUMMYFUNCTION("""COMPUTED_VALUE"""),"A")</f>
        <v>A</v>
      </c>
      <c r="E215" s="27" t="str">
        <f>IFERROR(__xludf.DUMMYFUNCTION("""COMPUTED_VALUE"""),"A-9")</f>
        <v>A-9</v>
      </c>
      <c r="F215" s="31">
        <f>IFERROR(__xludf.DUMMYFUNCTION("""COMPUTED_VALUE"""),2.0)</f>
        <v>2</v>
      </c>
      <c r="G215" s="27" t="str">
        <f>IFERROR(__xludf.DUMMYFUNCTION("""COMPUTED_VALUE"""),"2 WUSTHO B PUTRA")</f>
        <v>2 WUSTHO B PUTRA</v>
      </c>
      <c r="H215" s="28" t="str">
        <f>IFERROR(__xludf.DUMMYFUNCTION("""COMPUTED_VALUE"""),"MA-XI.10")</f>
        <v>MA-XI.10</v>
      </c>
      <c r="I215" s="28" t="str">
        <f>IFERROR(__xludf.DUMMYFUNCTION("""COMPUTED_VALUE"""),"USWATUN HASANAH")</f>
        <v>USWATUN HASANAH</v>
      </c>
      <c r="J215" s="28" t="str">
        <f>IFERROR(__xludf.DUMMYFUNCTION("""COMPUTED_VALUE"""),"JL. RAYA SENTANI WAENA RT 002 RW 005 HERAM JAYAPURA")</f>
        <v>JL. RAYA SENTANI WAENA RT 002 RW 005 HERAM JAYAPURA</v>
      </c>
      <c r="K215" s="28" t="str">
        <f>IFERROR(__xludf.DUMMYFUNCTION("""COMPUTED_VALUE"""),"6281248060403")</f>
        <v>6281248060403</v>
      </c>
      <c r="L215" s="22">
        <f>IFERROR(__xludf.DUMMYFUNCTION("""COMPUTED_VALUE"""),0.0)</f>
        <v>0</v>
      </c>
      <c r="M215" s="22">
        <f>IFERROR(__xludf.DUMMYFUNCTION("""COMPUTED_VALUE"""),0.0)</f>
        <v>0</v>
      </c>
      <c r="N215" s="22">
        <f>IFERROR(__xludf.DUMMYFUNCTION("""COMPUTED_VALUE"""),0.0)</f>
        <v>0</v>
      </c>
      <c r="O215" s="22">
        <f>IFERROR(__xludf.DUMMYFUNCTION("""COMPUTED_VALUE"""),0.0)</f>
        <v>0</v>
      </c>
      <c r="P215" s="28" t="str">
        <f t="shared" si="1"/>
        <v>LUNAS</v>
      </c>
      <c r="Q215" s="28">
        <f t="shared" si="2"/>
        <v>215</v>
      </c>
      <c r="R215" s="28" t="str">
        <f t="shared" si="3"/>
        <v>MOHAMMAD NAWANG NABIL AL FARISYI</v>
      </c>
    </row>
    <row r="216">
      <c r="A216" s="27">
        <f>IFERROR(__xludf.DUMMYFUNCTION("""COMPUTED_VALUE"""),215.0)</f>
        <v>215</v>
      </c>
      <c r="B216" s="28" t="str">
        <f>IFERROR(__xludf.DUMMYFUNCTION("""COMPUTED_VALUE"""),"MUHAMMAD FAIZUL FAWWAZ")</f>
        <v>MUHAMMAD FAIZUL FAWWAZ</v>
      </c>
      <c r="C216" s="28">
        <f>IFERROR(__xludf.DUMMYFUNCTION("""COMPUTED_VALUE"""),2.025070202E9)</f>
        <v>2025070202</v>
      </c>
      <c r="D216" s="27" t="str">
        <f>IFERROR(__xludf.DUMMYFUNCTION("""COMPUTED_VALUE"""),"A")</f>
        <v>A</v>
      </c>
      <c r="E216" s="27" t="str">
        <f>IFERROR(__xludf.DUMMYFUNCTION("""COMPUTED_VALUE"""),"A-9")</f>
        <v>A-9</v>
      </c>
      <c r="F216" s="31">
        <f>IFERROR(__xludf.DUMMYFUNCTION("""COMPUTED_VALUE"""),2.0)</f>
        <v>2</v>
      </c>
      <c r="G216" s="27" t="str">
        <f>IFERROR(__xludf.DUMMYFUNCTION("""COMPUTED_VALUE"""),"2 WUSTHO B PUTRA")</f>
        <v>2 WUSTHO B PUTRA</v>
      </c>
      <c r="H216" s="28" t="str">
        <f>IFERROR(__xludf.DUMMYFUNCTION("""COMPUTED_VALUE"""),"MA-XI.2")</f>
        <v>MA-XI.2</v>
      </c>
      <c r="I216" s="28" t="str">
        <f>IFERROR(__xludf.DUMMYFUNCTION("""COMPUTED_VALUE"""),"PANCASENO ANASWORO")</f>
        <v>PANCASENO ANASWORO</v>
      </c>
      <c r="J216" s="28" t="str">
        <f>IFERROR(__xludf.DUMMYFUNCTION("""COMPUTED_VALUE"""),"SUKOANYAR SIDOMUKTI RT 005 RW 002 KEMBANGBAHU LAMONGAN")</f>
        <v>SUKOANYAR SIDOMUKTI RT 005 RW 002 KEMBANGBAHU LAMONGAN</v>
      </c>
      <c r="K216" s="28" t="str">
        <f>IFERROR(__xludf.DUMMYFUNCTION("""COMPUTED_VALUE"""),"6282245048774")</f>
        <v>6282245048774</v>
      </c>
      <c r="L216" s="22">
        <f>IFERROR(__xludf.DUMMYFUNCTION("""COMPUTED_VALUE"""),0.0)</f>
        <v>0</v>
      </c>
      <c r="M216" s="22">
        <f>IFERROR(__xludf.DUMMYFUNCTION("""COMPUTED_VALUE"""),0.0)</f>
        <v>0</v>
      </c>
      <c r="N216" s="22">
        <f>IFERROR(__xludf.DUMMYFUNCTION("""COMPUTED_VALUE"""),0.0)</f>
        <v>0</v>
      </c>
      <c r="O216" s="22">
        <f>IFERROR(__xludf.DUMMYFUNCTION("""COMPUTED_VALUE"""),0.0)</f>
        <v>0</v>
      </c>
      <c r="P216" s="28" t="str">
        <f t="shared" si="1"/>
        <v>LUNAS</v>
      </c>
      <c r="Q216" s="28">
        <f t="shared" si="2"/>
        <v>216</v>
      </c>
      <c r="R216" s="28" t="str">
        <f t="shared" si="3"/>
        <v>MUHAMMAD FAIZUL FAWWAZ</v>
      </c>
    </row>
    <row r="217">
      <c r="A217" s="27">
        <f>IFERROR(__xludf.DUMMYFUNCTION("""COMPUTED_VALUE"""),216.0)</f>
        <v>216</v>
      </c>
      <c r="B217" s="28" t="str">
        <f>IFERROR(__xludf.DUMMYFUNCTION("""COMPUTED_VALUE"""),"JALALUDDIN MUHAMMAD AKBAR")</f>
        <v>JALALUDDIN MUHAMMAD AKBAR</v>
      </c>
      <c r="C217" s="28">
        <f>IFERROR(__xludf.DUMMYFUNCTION("""COMPUTED_VALUE"""),2.02507001E9)</f>
        <v>2025070010</v>
      </c>
      <c r="D217" s="27" t="str">
        <f>IFERROR(__xludf.DUMMYFUNCTION("""COMPUTED_VALUE"""),"A")</f>
        <v>A</v>
      </c>
      <c r="E217" s="27" t="str">
        <f>IFERROR(__xludf.DUMMYFUNCTION("""COMPUTED_VALUE"""),"A-9")</f>
        <v>A-9</v>
      </c>
      <c r="F217" s="31">
        <f>IFERROR(__xludf.DUMMYFUNCTION("""COMPUTED_VALUE"""),2.0)</f>
        <v>2</v>
      </c>
      <c r="G217" s="27" t="str">
        <f>IFERROR(__xludf.DUMMYFUNCTION("""COMPUTED_VALUE"""),"2 WUSTHO A PUTRA")</f>
        <v>2 WUSTHO A PUTRA</v>
      </c>
      <c r="H217" s="28" t="str">
        <f>IFERROR(__xludf.DUMMYFUNCTION("""COMPUTED_VALUE"""),"MA-XI.2")</f>
        <v>MA-XI.2</v>
      </c>
      <c r="I217" s="28" t="str">
        <f>IFERROR(__xludf.DUMMYFUNCTION("""COMPUTED_VALUE"""),"ELLI ISMAWATI")</f>
        <v>ELLI ISMAWATI</v>
      </c>
      <c r="J217" s="28" t="str">
        <f>IFERROR(__xludf.DUMMYFUNCTION("""COMPUTED_VALUE"""),"MEGARIH KEDUNGMEGARIH RT 007 RW 002 KEMBANGBAHU LAMONGAN")</f>
        <v>MEGARIH KEDUNGMEGARIH RT 007 RW 002 KEMBANGBAHU LAMONGAN</v>
      </c>
      <c r="K217" s="28" t="str">
        <f>IFERROR(__xludf.DUMMYFUNCTION("""COMPUTED_VALUE"""),"6285707911232")</f>
        <v>6285707911232</v>
      </c>
      <c r="L217" s="22">
        <f>IFERROR(__xludf.DUMMYFUNCTION("""COMPUTED_VALUE"""),0.0)</f>
        <v>0</v>
      </c>
      <c r="M217" s="22">
        <f>IFERROR(__xludf.DUMMYFUNCTION("""COMPUTED_VALUE"""),0.0)</f>
        <v>0</v>
      </c>
      <c r="N217" s="22">
        <f>IFERROR(__xludf.DUMMYFUNCTION("""COMPUTED_VALUE"""),0.0)</f>
        <v>0</v>
      </c>
      <c r="O217" s="22">
        <f>IFERROR(__xludf.DUMMYFUNCTION("""COMPUTED_VALUE"""),0.0)</f>
        <v>0</v>
      </c>
      <c r="P217" s="28" t="str">
        <f t="shared" si="1"/>
        <v>LUNAS</v>
      </c>
      <c r="Q217" s="28">
        <f t="shared" si="2"/>
        <v>217</v>
      </c>
      <c r="R217" s="28" t="str">
        <f t="shared" si="3"/>
        <v>JALALUDDIN MUHAMMAD AKBAR</v>
      </c>
    </row>
    <row r="218">
      <c r="A218" s="27">
        <f>IFERROR(__xludf.DUMMYFUNCTION("""COMPUTED_VALUE"""),217.0)</f>
        <v>217</v>
      </c>
      <c r="B218" s="28" t="str">
        <f>IFERROR(__xludf.DUMMYFUNCTION("""COMPUTED_VALUE"""),"MUHAMMAD `AAQIL SIROJUL MUNIR")</f>
        <v>MUHAMMAD `AAQIL SIROJUL MUNIR</v>
      </c>
      <c r="C218" s="28">
        <f>IFERROR(__xludf.DUMMYFUNCTION("""COMPUTED_VALUE"""),2.025070175E9)</f>
        <v>2025070175</v>
      </c>
      <c r="D218" s="27" t="str">
        <f>IFERROR(__xludf.DUMMYFUNCTION("""COMPUTED_VALUE"""),"A")</f>
        <v>A</v>
      </c>
      <c r="E218" s="27" t="str">
        <f>IFERROR(__xludf.DUMMYFUNCTION("""COMPUTED_VALUE"""),"A-9")</f>
        <v>A-9</v>
      </c>
      <c r="F218" s="31">
        <f>IFERROR(__xludf.DUMMYFUNCTION("""COMPUTED_VALUE"""),2.0)</f>
        <v>2</v>
      </c>
      <c r="G218" s="27" t="str">
        <f>IFERROR(__xludf.DUMMYFUNCTION("""COMPUTED_VALUE"""),"2 WUSTHO B PUTRA")</f>
        <v>2 WUSTHO B PUTRA</v>
      </c>
      <c r="H218" s="28" t="str">
        <f>IFERROR(__xludf.DUMMYFUNCTION("""COMPUTED_VALUE"""),"MA-XI.4")</f>
        <v>MA-XI.4</v>
      </c>
      <c r="I218" s="28" t="str">
        <f>IFERROR(__xludf.DUMMYFUNCTION("""COMPUTED_VALUE"""),"PUJI ASIYAH")</f>
        <v>PUJI ASIYAH</v>
      </c>
      <c r="J218" s="28" t="str">
        <f>IFERROR(__xludf.DUMMYFUNCTION("""COMPUTED_VALUE"""),"KALANGANYAR RT 005 RW 001 KARANGGENENG LAMONGAN")</f>
        <v>KALANGANYAR RT 005 RW 001 KARANGGENENG LAMONGAN</v>
      </c>
      <c r="K218" s="28" t="str">
        <f>IFERROR(__xludf.DUMMYFUNCTION("""COMPUTED_VALUE"""),"6285730289577")</f>
        <v>6285730289577</v>
      </c>
      <c r="L218" s="22">
        <f>IFERROR(__xludf.DUMMYFUNCTION("""COMPUTED_VALUE"""),0.0)</f>
        <v>0</v>
      </c>
      <c r="M218" s="22">
        <f>IFERROR(__xludf.DUMMYFUNCTION("""COMPUTED_VALUE"""),0.0)</f>
        <v>0</v>
      </c>
      <c r="N218" s="22">
        <f>IFERROR(__xludf.DUMMYFUNCTION("""COMPUTED_VALUE"""),0.0)</f>
        <v>0</v>
      </c>
      <c r="O218" s="22">
        <f>IFERROR(__xludf.DUMMYFUNCTION("""COMPUTED_VALUE"""),0.0)</f>
        <v>0</v>
      </c>
      <c r="P218" s="28" t="str">
        <f t="shared" si="1"/>
        <v>LUNAS</v>
      </c>
      <c r="Q218" s="28">
        <f t="shared" si="2"/>
        <v>218</v>
      </c>
      <c r="R218" s="28" t="str">
        <f t="shared" si="3"/>
        <v>MUHAMMAD `AAQIL SIROJUL MUNIR</v>
      </c>
    </row>
    <row r="219">
      <c r="A219" s="27">
        <f>IFERROR(__xludf.DUMMYFUNCTION("""COMPUTED_VALUE"""),218.0)</f>
        <v>218</v>
      </c>
      <c r="B219" s="28" t="str">
        <f>IFERROR(__xludf.DUMMYFUNCTION("""COMPUTED_VALUE"""),"MUHAMMAD AINUR DZIKRY")</f>
        <v>MUHAMMAD AINUR DZIKRY</v>
      </c>
      <c r="C219" s="28">
        <f>IFERROR(__xludf.DUMMYFUNCTION("""COMPUTED_VALUE"""),2.025070089E9)</f>
        <v>2025070089</v>
      </c>
      <c r="D219" s="27" t="str">
        <f>IFERROR(__xludf.DUMMYFUNCTION("""COMPUTED_VALUE"""),"A")</f>
        <v>A</v>
      </c>
      <c r="E219" s="27" t="str">
        <f>IFERROR(__xludf.DUMMYFUNCTION("""COMPUTED_VALUE"""),"A-9")</f>
        <v>A-9</v>
      </c>
      <c r="F219" s="31">
        <f>IFERROR(__xludf.DUMMYFUNCTION("""COMPUTED_VALUE"""),2.0)</f>
        <v>2</v>
      </c>
      <c r="G219" s="27" t="str">
        <f>IFERROR(__xludf.DUMMYFUNCTION("""COMPUTED_VALUE"""),"2 WUSTHO B PUTRA")</f>
        <v>2 WUSTHO B PUTRA</v>
      </c>
      <c r="H219" s="28" t="str">
        <f>IFERROR(__xludf.DUMMYFUNCTION("""COMPUTED_VALUE"""),"MA-XI.2")</f>
        <v>MA-XI.2</v>
      </c>
      <c r="I219" s="28" t="str">
        <f>IFERROR(__xludf.DUMMYFUNCTION("""COMPUTED_VALUE"""),"NIKMATUS SOLIKHA")</f>
        <v>NIKMATUS SOLIKHA</v>
      </c>
      <c r="J219" s="28" t="str">
        <f>IFERROR(__xludf.DUMMYFUNCTION("""COMPUTED_VALUE"""),"PENGANGSALAN RT 003 RW 003 KALITENGAH LAMONGAN")</f>
        <v>PENGANGSALAN RT 003 RW 003 KALITENGAH LAMONGAN</v>
      </c>
      <c r="K219" s="28" t="str">
        <f>IFERROR(__xludf.DUMMYFUNCTION("""COMPUTED_VALUE"""),"6285648107918")</f>
        <v>6285648107918</v>
      </c>
      <c r="L219" s="22">
        <f>IFERROR(__xludf.DUMMYFUNCTION("""COMPUTED_VALUE"""),0.0)</f>
        <v>0</v>
      </c>
      <c r="M219" s="22">
        <f>IFERROR(__xludf.DUMMYFUNCTION("""COMPUTED_VALUE"""),0.0)</f>
        <v>0</v>
      </c>
      <c r="N219" s="22">
        <f>IFERROR(__xludf.DUMMYFUNCTION("""COMPUTED_VALUE"""),0.0)</f>
        <v>0</v>
      </c>
      <c r="O219" s="22">
        <f>IFERROR(__xludf.DUMMYFUNCTION("""COMPUTED_VALUE"""),0.0)</f>
        <v>0</v>
      </c>
      <c r="P219" s="28" t="str">
        <f t="shared" si="1"/>
        <v>LUNAS</v>
      </c>
      <c r="Q219" s="28">
        <f t="shared" si="2"/>
        <v>219</v>
      </c>
      <c r="R219" s="28" t="str">
        <f t="shared" si="3"/>
        <v>MUHAMMAD AINUR DZIKRY</v>
      </c>
    </row>
    <row r="220">
      <c r="A220" s="27">
        <f>IFERROR(__xludf.DUMMYFUNCTION("""COMPUTED_VALUE"""),219.0)</f>
        <v>219</v>
      </c>
      <c r="B220" s="28" t="str">
        <f>IFERROR(__xludf.DUMMYFUNCTION("""COMPUTED_VALUE"""),"NABIL ZAKWAN ALZENA")</f>
        <v>NABIL ZAKWAN ALZENA</v>
      </c>
      <c r="C220" s="28">
        <f>IFERROR(__xludf.DUMMYFUNCTION("""COMPUTED_VALUE"""),2.025070144E9)</f>
        <v>2025070144</v>
      </c>
      <c r="D220" s="27" t="str">
        <f>IFERROR(__xludf.DUMMYFUNCTION("""COMPUTED_VALUE"""),"A")</f>
        <v>A</v>
      </c>
      <c r="E220" s="27" t="str">
        <f>IFERROR(__xludf.DUMMYFUNCTION("""COMPUTED_VALUE"""),"A-9")</f>
        <v>A-9</v>
      </c>
      <c r="F220" s="31">
        <f>IFERROR(__xludf.DUMMYFUNCTION("""COMPUTED_VALUE"""),2.0)</f>
        <v>2</v>
      </c>
      <c r="G220" s="27" t="str">
        <f>IFERROR(__xludf.DUMMYFUNCTION("""COMPUTED_VALUE"""),"2 WUSTHO B PUTRA")</f>
        <v>2 WUSTHO B PUTRA</v>
      </c>
      <c r="H220" s="28" t="str">
        <f>IFERROR(__xludf.DUMMYFUNCTION("""COMPUTED_VALUE"""),"MA-XI.5")</f>
        <v>MA-XI.5</v>
      </c>
      <c r="I220" s="28" t="str">
        <f>IFERROR(__xludf.DUMMYFUNCTION("""COMPUTED_VALUE"""),"ZUMROTUS SHOLIHAH")</f>
        <v>ZUMROTUS SHOLIHAH</v>
      </c>
      <c r="J220" s="28" t="str">
        <f>IFERROR(__xludf.DUMMYFUNCTION("""COMPUTED_VALUE"""),"NGAYUNG RT 008 RW 001 MADURAN LAMONGAN")</f>
        <v>NGAYUNG RT 008 RW 001 MADURAN LAMONGAN</v>
      </c>
      <c r="K220" s="28" t="str">
        <f>IFERROR(__xludf.DUMMYFUNCTION("""COMPUTED_VALUE"""),"6285785323818")</f>
        <v>6285785323818</v>
      </c>
      <c r="L220" s="22">
        <f>IFERROR(__xludf.DUMMYFUNCTION("""COMPUTED_VALUE"""),2700000.0)</f>
        <v>2700000</v>
      </c>
      <c r="M220" s="22">
        <f>IFERROR(__xludf.DUMMYFUNCTION("""COMPUTED_VALUE"""),0.0)</f>
        <v>0</v>
      </c>
      <c r="N220" s="22">
        <f>IFERROR(__xludf.DUMMYFUNCTION("""COMPUTED_VALUE"""),0.0)</f>
        <v>0</v>
      </c>
      <c r="O220" s="22">
        <f>IFERROR(__xludf.DUMMYFUNCTION("""COMPUTED_VALUE"""),2700000.0)</f>
        <v>2700000</v>
      </c>
      <c r="P220" s="28" t="str">
        <f t="shared" si="1"/>
        <v>LUNAS</v>
      </c>
      <c r="Q220" s="28">
        <f t="shared" si="2"/>
        <v>32</v>
      </c>
      <c r="R220" s="28" t="str">
        <f t="shared" si="3"/>
        <v>NABIL ZAKWAN ALZENA</v>
      </c>
    </row>
    <row r="221">
      <c r="A221" s="27" t="str">
        <f>IFERROR(__xludf.DUMMYFUNCTION("""COMPUTED_VALUE"""),"")</f>
        <v/>
      </c>
      <c r="B221" s="28"/>
      <c r="C221" s="28"/>
      <c r="D221" s="27"/>
      <c r="E221" s="27"/>
      <c r="F221" s="27"/>
      <c r="G221" s="27"/>
      <c r="H221" s="28"/>
      <c r="I221" s="28"/>
      <c r="J221" s="28"/>
      <c r="K221" s="28"/>
      <c r="L221" s="28"/>
      <c r="M221" s="28"/>
      <c r="N221" s="28"/>
      <c r="O221" s="28"/>
      <c r="P221" s="28" t="str">
        <f t="shared" si="1"/>
        <v>LUNAS</v>
      </c>
      <c r="Q221" s="28">
        <f t="shared" si="2"/>
        <v>151</v>
      </c>
      <c r="R221" s="28" t="str">
        <f t="shared" si="3"/>
        <v/>
      </c>
    </row>
    <row r="222">
      <c r="A222" s="27" t="str">
        <f>IFERROR(__xludf.DUMMYFUNCTION("""COMPUTED_VALUE"""),"")</f>
        <v/>
      </c>
      <c r="B222" s="28"/>
      <c r="C222" s="28"/>
      <c r="D222" s="27"/>
      <c r="E222" s="27"/>
      <c r="F222" s="27"/>
      <c r="G222" s="27"/>
      <c r="H222" s="28"/>
      <c r="I222" s="28"/>
      <c r="J222" s="28"/>
      <c r="K222" s="28"/>
      <c r="L222" s="28"/>
      <c r="M222" s="28"/>
      <c r="N222" s="28"/>
      <c r="O222" s="28"/>
      <c r="P222" s="28" t="str">
        <f t="shared" si="1"/>
        <v>LUNAS</v>
      </c>
      <c r="Q222" s="28">
        <f t="shared" si="2"/>
        <v>151</v>
      </c>
      <c r="R222" s="28" t="str">
        <f t="shared" si="3"/>
        <v/>
      </c>
    </row>
    <row r="223">
      <c r="A223" s="27" t="str">
        <f>IFERROR(__xludf.DUMMYFUNCTION("""COMPUTED_VALUE"""),"")</f>
        <v/>
      </c>
      <c r="B223" s="28"/>
      <c r="C223" s="28"/>
      <c r="D223" s="27"/>
      <c r="E223" s="27"/>
      <c r="F223" s="27"/>
      <c r="G223" s="27"/>
      <c r="H223" s="28"/>
      <c r="I223" s="28"/>
      <c r="J223" s="28"/>
      <c r="K223" s="28"/>
      <c r="L223" s="28"/>
      <c r="M223" s="28"/>
      <c r="N223" s="28"/>
      <c r="O223" s="28"/>
      <c r="P223" s="28" t="str">
        <f t="shared" si="1"/>
        <v>LUNAS</v>
      </c>
      <c r="Q223" s="28">
        <f t="shared" si="2"/>
        <v>151</v>
      </c>
      <c r="R223" s="28" t="str">
        <f t="shared" si="3"/>
        <v/>
      </c>
    </row>
    <row r="224">
      <c r="A224" s="27" t="str">
        <f>IFERROR(__xludf.DUMMYFUNCTION("""COMPUTED_VALUE"""),"")</f>
        <v/>
      </c>
      <c r="B224" s="28"/>
      <c r="C224" s="28"/>
      <c r="D224" s="27"/>
      <c r="E224" s="27"/>
      <c r="F224" s="27"/>
      <c r="G224" s="27"/>
      <c r="H224" s="28"/>
      <c r="I224" s="28"/>
      <c r="J224" s="28"/>
      <c r="K224" s="28"/>
      <c r="L224" s="28"/>
      <c r="M224" s="28"/>
      <c r="N224" s="28"/>
      <c r="O224" s="28"/>
      <c r="P224" s="28" t="str">
        <f t="shared" si="1"/>
        <v>LUNAS</v>
      </c>
      <c r="Q224" s="28">
        <f t="shared" si="2"/>
        <v>151</v>
      </c>
      <c r="R224" s="28" t="str">
        <f t="shared" si="3"/>
        <v/>
      </c>
    </row>
    <row r="225">
      <c r="A225" s="27" t="str">
        <f>IFERROR(__xludf.DUMMYFUNCTION("""COMPUTED_VALUE"""),"")</f>
        <v/>
      </c>
      <c r="B225" s="28"/>
      <c r="C225" s="28"/>
      <c r="D225" s="27"/>
      <c r="E225" s="27"/>
      <c r="F225" s="27"/>
      <c r="G225" s="27"/>
      <c r="H225" s="28"/>
      <c r="I225" s="28"/>
      <c r="J225" s="28"/>
      <c r="K225" s="28"/>
      <c r="L225" s="28"/>
      <c r="M225" s="28"/>
      <c r="N225" s="28"/>
      <c r="O225" s="28"/>
      <c r="P225" s="28" t="str">
        <f t="shared" si="1"/>
        <v>LUNAS</v>
      </c>
      <c r="Q225" s="28">
        <f t="shared" si="2"/>
        <v>151</v>
      </c>
      <c r="R225" s="28" t="str">
        <f t="shared" si="3"/>
        <v/>
      </c>
    </row>
    <row r="226">
      <c r="A226" s="27" t="str">
        <f>IFERROR(__xludf.DUMMYFUNCTION("""COMPUTED_VALUE"""),"")</f>
        <v/>
      </c>
      <c r="B226" s="28"/>
      <c r="C226" s="28"/>
      <c r="D226" s="27"/>
      <c r="E226" s="27"/>
      <c r="F226" s="27"/>
      <c r="G226" s="27"/>
      <c r="H226" s="28"/>
      <c r="I226" s="28"/>
      <c r="J226" s="28"/>
      <c r="K226" s="28"/>
      <c r="L226" s="28"/>
      <c r="M226" s="28"/>
      <c r="N226" s="28"/>
      <c r="O226" s="28"/>
      <c r="P226" s="28" t="str">
        <f t="shared" si="1"/>
        <v>LUNAS</v>
      </c>
      <c r="Q226" s="28">
        <f t="shared" si="2"/>
        <v>151</v>
      </c>
      <c r="R226" s="28" t="str">
        <f t="shared" si="3"/>
        <v/>
      </c>
    </row>
    <row r="227">
      <c r="A227" s="27" t="str">
        <f>IFERROR(__xludf.DUMMYFUNCTION("""COMPUTED_VALUE"""),"")</f>
        <v/>
      </c>
      <c r="B227" s="28"/>
      <c r="C227" s="28"/>
      <c r="D227" s="27"/>
      <c r="E227" s="27"/>
      <c r="F227" s="27"/>
      <c r="G227" s="27"/>
      <c r="H227" s="28"/>
      <c r="I227" s="28"/>
      <c r="J227" s="28"/>
      <c r="K227" s="28"/>
      <c r="L227" s="28"/>
      <c r="M227" s="28"/>
      <c r="N227" s="28"/>
      <c r="O227" s="28"/>
      <c r="P227" s="28" t="str">
        <f t="shared" si="1"/>
        <v>LUNAS</v>
      </c>
      <c r="Q227" s="28">
        <f t="shared" si="2"/>
        <v>151</v>
      </c>
      <c r="R227" s="28" t="str">
        <f t="shared" si="3"/>
        <v/>
      </c>
    </row>
    <row r="228">
      <c r="A228" s="27" t="str">
        <f>IFERROR(__xludf.DUMMYFUNCTION("""COMPUTED_VALUE"""),"")</f>
        <v/>
      </c>
      <c r="B228" s="28"/>
      <c r="C228" s="28"/>
      <c r="D228" s="27"/>
      <c r="E228" s="27"/>
      <c r="F228" s="27"/>
      <c r="G228" s="27"/>
      <c r="H228" s="28"/>
      <c r="I228" s="28"/>
      <c r="J228" s="28"/>
      <c r="K228" s="28"/>
      <c r="L228" s="28"/>
      <c r="M228" s="28"/>
      <c r="N228" s="28"/>
      <c r="O228" s="28"/>
      <c r="P228" s="28" t="str">
        <f t="shared" si="1"/>
        <v>LUNAS</v>
      </c>
      <c r="Q228" s="28">
        <f t="shared" si="2"/>
        <v>151</v>
      </c>
      <c r="R228" s="28" t="str">
        <f t="shared" si="3"/>
        <v/>
      </c>
    </row>
    <row r="229">
      <c r="A229" s="27" t="str">
        <f>IFERROR(__xludf.DUMMYFUNCTION("""COMPUTED_VALUE"""),"")</f>
        <v/>
      </c>
      <c r="B229" s="28"/>
      <c r="C229" s="28"/>
      <c r="D229" s="27"/>
      <c r="E229" s="27"/>
      <c r="F229" s="27"/>
      <c r="G229" s="27"/>
      <c r="H229" s="28"/>
      <c r="I229" s="28"/>
      <c r="J229" s="28"/>
      <c r="K229" s="28"/>
      <c r="L229" s="28"/>
      <c r="M229" s="28"/>
      <c r="N229" s="28"/>
      <c r="O229" s="28"/>
      <c r="P229" s="28" t="str">
        <f t="shared" si="1"/>
        <v>LUNAS</v>
      </c>
      <c r="Q229" s="28">
        <f t="shared" si="2"/>
        <v>151</v>
      </c>
      <c r="R229" s="28" t="str">
        <f t="shared" si="3"/>
        <v/>
      </c>
    </row>
    <row r="230">
      <c r="A230" s="27" t="str">
        <f>IFERROR(__xludf.DUMMYFUNCTION("""COMPUTED_VALUE"""),"")</f>
        <v/>
      </c>
      <c r="B230" s="28"/>
      <c r="C230" s="28"/>
      <c r="D230" s="27"/>
      <c r="E230" s="27"/>
      <c r="F230" s="27"/>
      <c r="G230" s="27"/>
      <c r="H230" s="28"/>
      <c r="I230" s="28"/>
      <c r="J230" s="28"/>
      <c r="K230" s="28"/>
      <c r="L230" s="28"/>
      <c r="M230" s="28"/>
      <c r="N230" s="28"/>
      <c r="O230" s="28"/>
      <c r="P230" s="28" t="str">
        <f t="shared" si="1"/>
        <v>LUNAS</v>
      </c>
      <c r="Q230" s="28">
        <f t="shared" si="2"/>
        <v>151</v>
      </c>
      <c r="R230" s="28" t="str">
        <f t="shared" si="3"/>
        <v/>
      </c>
    </row>
    <row r="231">
      <c r="A231" s="27" t="str">
        <f>IFERROR(__xludf.DUMMYFUNCTION("""COMPUTED_VALUE"""),"")</f>
        <v/>
      </c>
      <c r="B231" s="28"/>
      <c r="C231" s="28"/>
      <c r="D231" s="27"/>
      <c r="E231" s="27"/>
      <c r="F231" s="27"/>
      <c r="G231" s="27"/>
      <c r="H231" s="28"/>
      <c r="I231" s="28"/>
      <c r="J231" s="28"/>
      <c r="K231" s="28"/>
      <c r="L231" s="28"/>
      <c r="M231" s="28"/>
      <c r="N231" s="28"/>
      <c r="O231" s="28"/>
      <c r="P231" s="28" t="str">
        <f t="shared" si="1"/>
        <v>LUNAS</v>
      </c>
      <c r="Q231" s="28">
        <f t="shared" si="2"/>
        <v>151</v>
      </c>
      <c r="R231" s="28" t="str">
        <f t="shared" si="3"/>
        <v/>
      </c>
    </row>
    <row r="232">
      <c r="A232" s="27" t="str">
        <f>IFERROR(__xludf.DUMMYFUNCTION("""COMPUTED_VALUE"""),"")</f>
        <v/>
      </c>
      <c r="B232" s="28"/>
      <c r="C232" s="28"/>
      <c r="D232" s="27"/>
      <c r="E232" s="27"/>
      <c r="F232" s="27"/>
      <c r="G232" s="27"/>
      <c r="H232" s="28"/>
      <c r="I232" s="28"/>
      <c r="J232" s="28"/>
      <c r="K232" s="28"/>
      <c r="L232" s="28"/>
      <c r="M232" s="28"/>
      <c r="N232" s="28"/>
      <c r="O232" s="28"/>
      <c r="P232" s="28" t="str">
        <f t="shared" si="1"/>
        <v>LUNAS</v>
      </c>
      <c r="Q232" s="28">
        <f t="shared" si="2"/>
        <v>151</v>
      </c>
      <c r="R232" s="28" t="str">
        <f t="shared" si="3"/>
        <v/>
      </c>
    </row>
    <row r="233">
      <c r="A233" s="27" t="str">
        <f>IFERROR(__xludf.DUMMYFUNCTION("""COMPUTED_VALUE"""),"")</f>
        <v/>
      </c>
      <c r="B233" s="28"/>
      <c r="C233" s="28"/>
      <c r="D233" s="27"/>
      <c r="E233" s="27"/>
      <c r="F233" s="27"/>
      <c r="G233" s="27"/>
      <c r="H233" s="28"/>
      <c r="I233" s="28"/>
      <c r="J233" s="28"/>
      <c r="K233" s="28"/>
      <c r="L233" s="28"/>
      <c r="M233" s="28"/>
      <c r="N233" s="28"/>
      <c r="O233" s="28"/>
      <c r="P233" s="28" t="str">
        <f t="shared" si="1"/>
        <v>LUNAS</v>
      </c>
      <c r="Q233" s="28">
        <f t="shared" si="2"/>
        <v>151</v>
      </c>
      <c r="R233" s="28" t="str">
        <f t="shared" si="3"/>
        <v/>
      </c>
    </row>
    <row r="234">
      <c r="A234" s="27" t="str">
        <f>IFERROR(__xludf.DUMMYFUNCTION("""COMPUTED_VALUE"""),"")</f>
        <v/>
      </c>
      <c r="B234" s="28"/>
      <c r="C234" s="28"/>
      <c r="D234" s="27"/>
      <c r="E234" s="27"/>
      <c r="F234" s="27"/>
      <c r="G234" s="27"/>
      <c r="H234" s="28"/>
      <c r="I234" s="28"/>
      <c r="J234" s="28"/>
      <c r="K234" s="28"/>
      <c r="L234" s="28"/>
      <c r="M234" s="28"/>
      <c r="N234" s="28"/>
      <c r="O234" s="28"/>
      <c r="P234" s="28" t="str">
        <f t="shared" si="1"/>
        <v>LUNAS</v>
      </c>
      <c r="Q234" s="28">
        <f t="shared" si="2"/>
        <v>151</v>
      </c>
      <c r="R234" s="28" t="str">
        <f t="shared" si="3"/>
        <v/>
      </c>
    </row>
    <row r="235">
      <c r="A235" s="27" t="str">
        <f>IFERROR(__xludf.DUMMYFUNCTION("""COMPUTED_VALUE"""),"")</f>
        <v/>
      </c>
      <c r="B235" s="28"/>
      <c r="C235" s="28"/>
      <c r="D235" s="27"/>
      <c r="E235" s="27"/>
      <c r="F235" s="27"/>
      <c r="G235" s="27"/>
      <c r="H235" s="28"/>
      <c r="I235" s="28"/>
      <c r="J235" s="28"/>
      <c r="K235" s="28"/>
      <c r="L235" s="28"/>
      <c r="M235" s="28"/>
      <c r="N235" s="28"/>
      <c r="O235" s="28"/>
      <c r="P235" s="28" t="str">
        <f t="shared" si="1"/>
        <v>LUNAS</v>
      </c>
      <c r="Q235" s="28">
        <f t="shared" si="2"/>
        <v>151</v>
      </c>
      <c r="R235" s="28" t="str">
        <f t="shared" si="3"/>
        <v/>
      </c>
    </row>
    <row r="236">
      <c r="A236" s="27" t="str">
        <f>IFERROR(__xludf.DUMMYFUNCTION("""COMPUTED_VALUE"""),"")</f>
        <v/>
      </c>
      <c r="B236" s="28"/>
      <c r="C236" s="28"/>
      <c r="D236" s="27"/>
      <c r="E236" s="27"/>
      <c r="F236" s="27"/>
      <c r="G236" s="27"/>
      <c r="H236" s="28"/>
      <c r="I236" s="28"/>
      <c r="J236" s="28"/>
      <c r="K236" s="28"/>
      <c r="L236" s="28"/>
      <c r="M236" s="28"/>
      <c r="N236" s="28"/>
      <c r="O236" s="28"/>
      <c r="P236" s="28" t="str">
        <f t="shared" si="1"/>
        <v>LUNAS</v>
      </c>
      <c r="Q236" s="28">
        <f t="shared" si="2"/>
        <v>151</v>
      </c>
      <c r="R236" s="28" t="str">
        <f t="shared" si="3"/>
        <v/>
      </c>
    </row>
    <row r="237">
      <c r="A237" s="27" t="str">
        <f>IFERROR(__xludf.DUMMYFUNCTION("""COMPUTED_VALUE"""),"")</f>
        <v/>
      </c>
      <c r="B237" s="28"/>
      <c r="C237" s="28"/>
      <c r="D237" s="27"/>
      <c r="E237" s="27"/>
      <c r="F237" s="27"/>
      <c r="G237" s="27"/>
      <c r="H237" s="28"/>
      <c r="I237" s="28"/>
      <c r="J237" s="28"/>
      <c r="K237" s="28"/>
      <c r="L237" s="28"/>
      <c r="M237" s="28"/>
      <c r="N237" s="28"/>
      <c r="O237" s="28"/>
      <c r="P237" s="28" t="str">
        <f t="shared" si="1"/>
        <v>LUNAS</v>
      </c>
      <c r="Q237" s="28">
        <f t="shared" si="2"/>
        <v>151</v>
      </c>
      <c r="R237" s="28" t="str">
        <f t="shared" si="3"/>
        <v/>
      </c>
    </row>
    <row r="238">
      <c r="A238" s="27" t="str">
        <f>IFERROR(__xludf.DUMMYFUNCTION("""COMPUTED_VALUE"""),"")</f>
        <v/>
      </c>
      <c r="B238" s="28"/>
      <c r="C238" s="28"/>
      <c r="D238" s="27"/>
      <c r="E238" s="27"/>
      <c r="F238" s="27"/>
      <c r="G238" s="27"/>
      <c r="H238" s="28"/>
      <c r="I238" s="28"/>
      <c r="J238" s="28"/>
      <c r="K238" s="28"/>
      <c r="L238" s="28"/>
      <c r="M238" s="28"/>
      <c r="N238" s="28"/>
      <c r="O238" s="28"/>
      <c r="P238" s="28" t="str">
        <f t="shared" si="1"/>
        <v>LUNAS</v>
      </c>
      <c r="Q238" s="28">
        <f t="shared" si="2"/>
        <v>151</v>
      </c>
      <c r="R238" s="28" t="str">
        <f t="shared" si="3"/>
        <v/>
      </c>
    </row>
    <row r="239">
      <c r="A239" s="27" t="str">
        <f>IFERROR(__xludf.DUMMYFUNCTION("""COMPUTED_VALUE"""),"")</f>
        <v/>
      </c>
      <c r="B239" s="28"/>
      <c r="C239" s="28"/>
      <c r="D239" s="27"/>
      <c r="E239" s="27"/>
      <c r="F239" s="27"/>
      <c r="G239" s="27"/>
      <c r="H239" s="28"/>
      <c r="I239" s="28"/>
      <c r="J239" s="28"/>
      <c r="K239" s="28"/>
      <c r="L239" s="28"/>
      <c r="M239" s="28"/>
      <c r="N239" s="28"/>
      <c r="O239" s="28"/>
      <c r="P239" s="28" t="str">
        <f t="shared" si="1"/>
        <v>LUNAS</v>
      </c>
      <c r="Q239" s="28">
        <f t="shared" si="2"/>
        <v>151</v>
      </c>
      <c r="R239" s="28" t="str">
        <f t="shared" si="3"/>
        <v/>
      </c>
    </row>
    <row r="240">
      <c r="A240" s="27" t="str">
        <f>IFERROR(__xludf.DUMMYFUNCTION("""COMPUTED_VALUE"""),"")</f>
        <v/>
      </c>
      <c r="B240" s="28"/>
      <c r="C240" s="28"/>
      <c r="D240" s="27"/>
      <c r="E240" s="27"/>
      <c r="F240" s="27"/>
      <c r="G240" s="27"/>
      <c r="H240" s="28"/>
      <c r="I240" s="28"/>
      <c r="J240" s="28"/>
      <c r="K240" s="28"/>
      <c r="L240" s="28"/>
      <c r="M240" s="28"/>
      <c r="N240" s="28"/>
      <c r="O240" s="28"/>
      <c r="P240" s="28" t="str">
        <f t="shared" si="1"/>
        <v>LUNAS</v>
      </c>
      <c r="Q240" s="28">
        <f t="shared" si="2"/>
        <v>151</v>
      </c>
      <c r="R240" s="28" t="str">
        <f t="shared" si="3"/>
        <v/>
      </c>
    </row>
    <row r="241">
      <c r="A241" s="27" t="str">
        <f>IFERROR(__xludf.DUMMYFUNCTION("""COMPUTED_VALUE"""),"")</f>
        <v/>
      </c>
      <c r="B241" s="28"/>
      <c r="C241" s="28"/>
      <c r="D241" s="27"/>
      <c r="E241" s="27"/>
      <c r="F241" s="27"/>
      <c r="G241" s="27"/>
      <c r="H241" s="28"/>
      <c r="I241" s="28"/>
      <c r="J241" s="28"/>
      <c r="K241" s="28"/>
      <c r="L241" s="28"/>
      <c r="M241" s="28"/>
      <c r="N241" s="28"/>
      <c r="O241" s="28"/>
      <c r="P241" s="28" t="str">
        <f t="shared" si="1"/>
        <v>LUNAS</v>
      </c>
      <c r="Q241" s="28">
        <f t="shared" si="2"/>
        <v>151</v>
      </c>
      <c r="R241" s="28" t="str">
        <f t="shared" si="3"/>
        <v/>
      </c>
    </row>
    <row r="242">
      <c r="A242" s="27" t="str">
        <f>IFERROR(__xludf.DUMMYFUNCTION("""COMPUTED_VALUE"""),"")</f>
        <v/>
      </c>
      <c r="B242" s="28"/>
      <c r="C242" s="28"/>
      <c r="D242" s="27"/>
      <c r="E242" s="27"/>
      <c r="F242" s="27"/>
      <c r="G242" s="27"/>
      <c r="H242" s="28"/>
      <c r="I242" s="28"/>
      <c r="J242" s="28"/>
      <c r="K242" s="28"/>
      <c r="L242" s="28"/>
      <c r="M242" s="28"/>
      <c r="N242" s="28"/>
      <c r="O242" s="28"/>
      <c r="P242" s="28" t="str">
        <f t="shared" si="1"/>
        <v>LUNAS</v>
      </c>
      <c r="Q242" s="28">
        <f t="shared" si="2"/>
        <v>151</v>
      </c>
      <c r="R242" s="28" t="str">
        <f t="shared" si="3"/>
        <v/>
      </c>
    </row>
    <row r="243">
      <c r="A243" s="27" t="str">
        <f>IFERROR(__xludf.DUMMYFUNCTION("""COMPUTED_VALUE"""),"")</f>
        <v/>
      </c>
      <c r="B243" s="28"/>
      <c r="C243" s="28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P243" s="28" t="str">
        <f t="shared" si="1"/>
        <v>LUNAS</v>
      </c>
      <c r="Q243" s="28">
        <f t="shared" si="2"/>
        <v>151</v>
      </c>
      <c r="R243" s="28" t="str">
        <f t="shared" si="3"/>
        <v/>
      </c>
    </row>
    <row r="244">
      <c r="A244" s="27" t="str">
        <f>IFERROR(__xludf.DUMMYFUNCTION("""COMPUTED_VALUE"""),"")</f>
        <v/>
      </c>
      <c r="B244" s="28"/>
      <c r="C244" s="28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P244" s="28" t="str">
        <f t="shared" si="1"/>
        <v>LUNAS</v>
      </c>
      <c r="Q244" s="28">
        <f t="shared" si="2"/>
        <v>151</v>
      </c>
      <c r="R244" s="28" t="str">
        <f t="shared" si="3"/>
        <v/>
      </c>
    </row>
    <row r="245">
      <c r="A245" s="27" t="str">
        <f>IFERROR(__xludf.DUMMYFUNCTION("""COMPUTED_VALUE"""),"")</f>
        <v/>
      </c>
      <c r="B245" s="28"/>
      <c r="C245" s="28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P245" s="28" t="str">
        <f t="shared" si="1"/>
        <v>LUNAS</v>
      </c>
      <c r="Q245" s="28">
        <f t="shared" si="2"/>
        <v>151</v>
      </c>
      <c r="R245" s="28" t="str">
        <f t="shared" si="3"/>
        <v/>
      </c>
    </row>
    <row r="246">
      <c r="A246" s="27" t="str">
        <f>IFERROR(__xludf.DUMMYFUNCTION("""COMPUTED_VALUE"""),"")</f>
        <v/>
      </c>
      <c r="B246" s="28"/>
      <c r="C246" s="28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P246" s="28" t="str">
        <f t="shared" si="1"/>
        <v>LUNAS</v>
      </c>
      <c r="Q246" s="28">
        <f t="shared" si="2"/>
        <v>151</v>
      </c>
      <c r="R246" s="28" t="str">
        <f t="shared" si="3"/>
        <v/>
      </c>
    </row>
    <row r="247">
      <c r="A247" s="27" t="str">
        <f>IFERROR(__xludf.DUMMYFUNCTION("""COMPUTED_VALUE"""),"")</f>
        <v/>
      </c>
      <c r="B247" s="28"/>
      <c r="C247" s="28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P247" s="28" t="str">
        <f t="shared" si="1"/>
        <v>LUNAS</v>
      </c>
      <c r="Q247" s="28">
        <f t="shared" si="2"/>
        <v>151</v>
      </c>
      <c r="R247" s="28" t="str">
        <f t="shared" si="3"/>
        <v/>
      </c>
    </row>
    <row r="248">
      <c r="A248" s="27" t="str">
        <f>IFERROR(__xludf.DUMMYFUNCTION("""COMPUTED_VALUE"""),"")</f>
        <v/>
      </c>
      <c r="B248" s="28"/>
      <c r="C248" s="28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P248" s="28" t="str">
        <f t="shared" si="1"/>
        <v>LUNAS</v>
      </c>
      <c r="Q248" s="28">
        <f t="shared" si="2"/>
        <v>151</v>
      </c>
      <c r="R248" s="28" t="str">
        <f t="shared" si="3"/>
        <v/>
      </c>
    </row>
    <row r="249">
      <c r="A249" s="27" t="str">
        <f>IFERROR(__xludf.DUMMYFUNCTION("""COMPUTED_VALUE"""),"")</f>
        <v/>
      </c>
      <c r="B249" s="28"/>
      <c r="C249" s="28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P249" s="28" t="str">
        <f t="shared" si="1"/>
        <v>LUNAS</v>
      </c>
      <c r="Q249" s="28">
        <f t="shared" si="2"/>
        <v>151</v>
      </c>
      <c r="R249" s="28" t="str">
        <f t="shared" si="3"/>
        <v/>
      </c>
    </row>
    <row r="250">
      <c r="A250" s="27" t="str">
        <f>IFERROR(__xludf.DUMMYFUNCTION("""COMPUTED_VALUE"""),"")</f>
        <v/>
      </c>
      <c r="B250" s="28"/>
      <c r="C250" s="28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P250" s="28" t="str">
        <f t="shared" si="1"/>
        <v>LUNAS</v>
      </c>
      <c r="Q250" s="28">
        <f t="shared" si="2"/>
        <v>151</v>
      </c>
      <c r="R250" s="28" t="str">
        <f t="shared" si="3"/>
        <v/>
      </c>
    </row>
    <row r="251">
      <c r="A251" s="27" t="str">
        <f>IFERROR(__xludf.DUMMYFUNCTION("""COMPUTED_VALUE"""),"")</f>
        <v/>
      </c>
      <c r="B251" s="28"/>
      <c r="C251" s="28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P251" s="28" t="str">
        <f t="shared" si="1"/>
        <v>LUNAS</v>
      </c>
      <c r="Q251" s="28">
        <f t="shared" si="2"/>
        <v>151</v>
      </c>
      <c r="R251" s="28" t="str">
        <f t="shared" si="3"/>
        <v/>
      </c>
    </row>
    <row r="252">
      <c r="A252" s="27" t="str">
        <f>IFERROR(__xludf.DUMMYFUNCTION("""COMPUTED_VALUE"""),"")</f>
        <v/>
      </c>
      <c r="B252" s="28"/>
      <c r="C252" s="28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P252" s="28" t="str">
        <f t="shared" si="1"/>
        <v>LUNAS</v>
      </c>
      <c r="Q252" s="28">
        <f t="shared" si="2"/>
        <v>151</v>
      </c>
      <c r="R252" s="28" t="str">
        <f t="shared" si="3"/>
        <v/>
      </c>
    </row>
    <row r="253">
      <c r="A253" s="27" t="str">
        <f>IFERROR(__xludf.DUMMYFUNCTION("""COMPUTED_VALUE"""),"")</f>
        <v/>
      </c>
      <c r="B253" s="28"/>
      <c r="C253" s="28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P253" s="28" t="str">
        <f t="shared" si="1"/>
        <v>LUNAS</v>
      </c>
      <c r="Q253" s="28">
        <f t="shared" si="2"/>
        <v>151</v>
      </c>
      <c r="R253" s="28" t="str">
        <f t="shared" si="3"/>
        <v/>
      </c>
    </row>
    <row r="254">
      <c r="A254" s="27" t="str">
        <f>IFERROR(__xludf.DUMMYFUNCTION("""COMPUTED_VALUE"""),"")</f>
        <v/>
      </c>
      <c r="B254" s="28"/>
      <c r="C254" s="28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P254" s="28" t="str">
        <f t="shared" si="1"/>
        <v>LUNAS</v>
      </c>
      <c r="Q254" s="28">
        <f t="shared" si="2"/>
        <v>151</v>
      </c>
      <c r="R254" s="28" t="str">
        <f t="shared" si="3"/>
        <v/>
      </c>
    </row>
    <row r="255">
      <c r="A255" s="27" t="str">
        <f>IFERROR(__xludf.DUMMYFUNCTION("""COMPUTED_VALUE"""),"")</f>
        <v/>
      </c>
      <c r="B255" s="28"/>
      <c r="C255" s="28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P255" s="28" t="str">
        <f t="shared" si="1"/>
        <v>LUNAS</v>
      </c>
      <c r="Q255" s="28">
        <f t="shared" si="2"/>
        <v>151</v>
      </c>
      <c r="R255" s="28" t="str">
        <f t="shared" si="3"/>
        <v/>
      </c>
    </row>
    <row r="256">
      <c r="A256" s="27" t="str">
        <f>IFERROR(__xludf.DUMMYFUNCTION("""COMPUTED_VALUE"""),"")</f>
        <v/>
      </c>
      <c r="B256" s="28"/>
      <c r="C256" s="28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P256" s="28" t="str">
        <f t="shared" si="1"/>
        <v>LUNAS</v>
      </c>
      <c r="Q256" s="28">
        <f t="shared" si="2"/>
        <v>151</v>
      </c>
      <c r="R256" s="28" t="str">
        <f t="shared" si="3"/>
        <v/>
      </c>
    </row>
    <row r="257">
      <c r="A257" s="27" t="str">
        <f>IFERROR(__xludf.DUMMYFUNCTION("""COMPUTED_VALUE"""),"")</f>
        <v/>
      </c>
      <c r="B257" s="28"/>
      <c r="C257" s="28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P257" s="28" t="str">
        <f t="shared" si="1"/>
        <v>LUNAS</v>
      </c>
      <c r="Q257" s="28">
        <f t="shared" si="2"/>
        <v>151</v>
      </c>
      <c r="R257" s="28" t="str">
        <f t="shared" si="3"/>
        <v/>
      </c>
    </row>
    <row r="258">
      <c r="A258" s="27" t="str">
        <f>IFERROR(__xludf.DUMMYFUNCTION("""COMPUTED_VALUE"""),"")</f>
        <v/>
      </c>
      <c r="B258" s="28"/>
      <c r="C258" s="28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P258" s="28" t="str">
        <f t="shared" si="1"/>
        <v>LUNAS</v>
      </c>
      <c r="Q258" s="28">
        <f t="shared" si="2"/>
        <v>151</v>
      </c>
      <c r="R258" s="28" t="str">
        <f t="shared" si="3"/>
        <v/>
      </c>
    </row>
    <row r="259">
      <c r="A259" s="27" t="str">
        <f>IFERROR(__xludf.DUMMYFUNCTION("""COMPUTED_VALUE"""),"")</f>
        <v/>
      </c>
      <c r="B259" s="28"/>
      <c r="C259" s="28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P259" s="28" t="str">
        <f t="shared" si="1"/>
        <v>LUNAS</v>
      </c>
      <c r="Q259" s="28">
        <f t="shared" si="2"/>
        <v>151</v>
      </c>
      <c r="R259" s="28" t="str">
        <f t="shared" si="3"/>
        <v/>
      </c>
    </row>
    <row r="260">
      <c r="A260" s="27" t="str">
        <f>IFERROR(__xludf.DUMMYFUNCTION("""COMPUTED_VALUE"""),"")</f>
        <v/>
      </c>
      <c r="B260" s="28"/>
      <c r="C260" s="28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P260" s="28" t="str">
        <f t="shared" si="1"/>
        <v>LUNAS</v>
      </c>
      <c r="Q260" s="28">
        <f t="shared" si="2"/>
        <v>151</v>
      </c>
      <c r="R260" s="28" t="str">
        <f t="shared" si="3"/>
        <v/>
      </c>
    </row>
    <row r="261">
      <c r="A261" s="27" t="str">
        <f>IFERROR(__xludf.DUMMYFUNCTION("""COMPUTED_VALUE"""),"")</f>
        <v/>
      </c>
      <c r="B261" s="28"/>
      <c r="C261" s="28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P261" s="28" t="str">
        <f t="shared" si="1"/>
        <v>LUNAS</v>
      </c>
      <c r="Q261" s="28">
        <f t="shared" si="2"/>
        <v>151</v>
      </c>
      <c r="R261" s="28" t="str">
        <f t="shared" si="3"/>
        <v/>
      </c>
    </row>
    <row r="262">
      <c r="A262" s="27" t="str">
        <f>IFERROR(__xludf.DUMMYFUNCTION("""COMPUTED_VALUE"""),"")</f>
        <v/>
      </c>
      <c r="B262" s="28"/>
      <c r="C262" s="28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P262" s="28" t="str">
        <f t="shared" si="1"/>
        <v>LUNAS</v>
      </c>
      <c r="Q262" s="28">
        <f t="shared" si="2"/>
        <v>151</v>
      </c>
      <c r="R262" s="28" t="str">
        <f t="shared" si="3"/>
        <v/>
      </c>
    </row>
    <row r="263">
      <c r="A263" s="27" t="str">
        <f>IFERROR(__xludf.DUMMYFUNCTION("""COMPUTED_VALUE"""),"")</f>
        <v/>
      </c>
      <c r="B263" s="28"/>
      <c r="C263" s="28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P263" s="28" t="str">
        <f t="shared" si="1"/>
        <v>LUNAS</v>
      </c>
      <c r="Q263" s="28">
        <f t="shared" si="2"/>
        <v>151</v>
      </c>
      <c r="R263" s="28" t="str">
        <f t="shared" si="3"/>
        <v/>
      </c>
    </row>
    <row r="264">
      <c r="A264" s="27" t="str">
        <f>IFERROR(__xludf.DUMMYFUNCTION("""COMPUTED_VALUE"""),"")</f>
        <v/>
      </c>
      <c r="B264" s="28"/>
      <c r="C264" s="28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P264" s="28" t="str">
        <f t="shared" si="1"/>
        <v>LUNAS</v>
      </c>
      <c r="Q264" s="28">
        <f t="shared" si="2"/>
        <v>151</v>
      </c>
      <c r="R264" s="28" t="str">
        <f t="shared" si="3"/>
        <v/>
      </c>
    </row>
    <row r="265">
      <c r="A265" s="27" t="str">
        <f>IFERROR(__xludf.DUMMYFUNCTION("""COMPUTED_VALUE"""),"")</f>
        <v/>
      </c>
      <c r="B265" s="28"/>
      <c r="C265" s="28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P265" s="28" t="str">
        <f t="shared" si="1"/>
        <v>LUNAS</v>
      </c>
      <c r="Q265" s="28">
        <f t="shared" si="2"/>
        <v>151</v>
      </c>
      <c r="R265" s="28" t="str">
        <f t="shared" si="3"/>
        <v/>
      </c>
    </row>
    <row r="266">
      <c r="A266" s="27" t="str">
        <f>IFERROR(__xludf.DUMMYFUNCTION("""COMPUTED_VALUE"""),"")</f>
        <v/>
      </c>
      <c r="B266" s="28"/>
      <c r="C266" s="28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P266" s="28" t="str">
        <f t="shared" si="1"/>
        <v>LUNAS</v>
      </c>
      <c r="Q266" s="28">
        <f t="shared" si="2"/>
        <v>151</v>
      </c>
      <c r="R266" s="28" t="str">
        <f t="shared" si="3"/>
        <v/>
      </c>
    </row>
    <row r="267">
      <c r="A267" s="27" t="str">
        <f>IFERROR(__xludf.DUMMYFUNCTION("""COMPUTED_VALUE"""),"")</f>
        <v/>
      </c>
      <c r="B267" s="28"/>
      <c r="C267" s="28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P267" s="28" t="str">
        <f t="shared" si="1"/>
        <v>LUNAS</v>
      </c>
      <c r="Q267" s="28">
        <f t="shared" si="2"/>
        <v>151</v>
      </c>
      <c r="R267" s="28" t="str">
        <f t="shared" si="3"/>
        <v/>
      </c>
    </row>
    <row r="268">
      <c r="A268" s="27" t="str">
        <f>IFERROR(__xludf.DUMMYFUNCTION("""COMPUTED_VALUE"""),"")</f>
        <v/>
      </c>
      <c r="B268" s="28"/>
      <c r="C268" s="28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P268" s="28" t="str">
        <f t="shared" si="1"/>
        <v>LUNAS</v>
      </c>
      <c r="Q268" s="28">
        <f t="shared" si="2"/>
        <v>151</v>
      </c>
      <c r="R268" s="28" t="str">
        <f t="shared" si="3"/>
        <v/>
      </c>
    </row>
    <row r="269">
      <c r="A269" s="27" t="str">
        <f>IFERROR(__xludf.DUMMYFUNCTION("""COMPUTED_VALUE"""),"")</f>
        <v/>
      </c>
      <c r="B269" s="28"/>
      <c r="C269" s="28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P269" s="28" t="str">
        <f t="shared" si="1"/>
        <v>LUNAS</v>
      </c>
      <c r="Q269" s="28">
        <f t="shared" si="2"/>
        <v>151</v>
      </c>
      <c r="R269" s="28" t="str">
        <f t="shared" si="3"/>
        <v/>
      </c>
    </row>
    <row r="270">
      <c r="A270" s="27" t="str">
        <f>IFERROR(__xludf.DUMMYFUNCTION("""COMPUTED_VALUE"""),"")</f>
        <v/>
      </c>
      <c r="B270" s="28"/>
      <c r="C270" s="28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P270" s="28" t="str">
        <f t="shared" si="1"/>
        <v>LUNAS</v>
      </c>
      <c r="Q270" s="28">
        <f t="shared" si="2"/>
        <v>151</v>
      </c>
      <c r="R270" s="28" t="str">
        <f t="shared" si="3"/>
        <v/>
      </c>
    </row>
    <row r="271">
      <c r="A271" s="27" t="str">
        <f>IFERROR(__xludf.DUMMYFUNCTION("""COMPUTED_VALUE"""),"")</f>
        <v/>
      </c>
      <c r="B271" s="28"/>
      <c r="C271" s="28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P271" s="28" t="str">
        <f t="shared" si="1"/>
        <v>LUNAS</v>
      </c>
      <c r="Q271" s="28">
        <f t="shared" si="2"/>
        <v>151</v>
      </c>
      <c r="R271" s="28" t="str">
        <f t="shared" si="3"/>
        <v/>
      </c>
    </row>
    <row r="272">
      <c r="A272" s="27" t="str">
        <f>IFERROR(__xludf.DUMMYFUNCTION("""COMPUTED_VALUE"""),"")</f>
        <v/>
      </c>
      <c r="B272" s="28"/>
      <c r="C272" s="28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P272" s="28" t="str">
        <f t="shared" si="1"/>
        <v>LUNAS</v>
      </c>
      <c r="Q272" s="28">
        <f t="shared" si="2"/>
        <v>151</v>
      </c>
      <c r="R272" s="28" t="str">
        <f t="shared" si="3"/>
        <v/>
      </c>
    </row>
    <row r="273">
      <c r="A273" s="27" t="str">
        <f>IFERROR(__xludf.DUMMYFUNCTION("""COMPUTED_VALUE"""),"")</f>
        <v/>
      </c>
      <c r="B273" s="28"/>
      <c r="C273" s="28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P273" s="28" t="str">
        <f t="shared" si="1"/>
        <v>LUNAS</v>
      </c>
      <c r="Q273" s="28">
        <f t="shared" si="2"/>
        <v>151</v>
      </c>
      <c r="R273" s="28" t="str">
        <f t="shared" si="3"/>
        <v/>
      </c>
    </row>
    <row r="274">
      <c r="A274" s="27" t="str">
        <f>IFERROR(__xludf.DUMMYFUNCTION("""COMPUTED_VALUE"""),"")</f>
        <v/>
      </c>
      <c r="B274" s="28"/>
      <c r="C274" s="28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P274" s="28" t="str">
        <f t="shared" si="1"/>
        <v>LUNAS</v>
      </c>
      <c r="Q274" s="28">
        <f t="shared" si="2"/>
        <v>151</v>
      </c>
      <c r="R274" s="28" t="str">
        <f t="shared" si="3"/>
        <v/>
      </c>
    </row>
    <row r="275">
      <c r="A275" s="27" t="str">
        <f>IFERROR(__xludf.DUMMYFUNCTION("""COMPUTED_VALUE"""),"")</f>
        <v/>
      </c>
      <c r="B275" s="28"/>
      <c r="C275" s="28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P275" s="28" t="str">
        <f t="shared" si="1"/>
        <v>LUNAS</v>
      </c>
      <c r="Q275" s="28">
        <f t="shared" si="2"/>
        <v>151</v>
      </c>
      <c r="R275" s="28" t="str">
        <f t="shared" si="3"/>
        <v/>
      </c>
    </row>
    <row r="276">
      <c r="A276" s="27" t="str">
        <f>IFERROR(__xludf.DUMMYFUNCTION("""COMPUTED_VALUE"""),"")</f>
        <v/>
      </c>
      <c r="B276" s="28"/>
      <c r="C276" s="28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P276" s="28" t="str">
        <f t="shared" si="1"/>
        <v>LUNAS</v>
      </c>
      <c r="Q276" s="28">
        <f t="shared" si="2"/>
        <v>151</v>
      </c>
      <c r="R276" s="28" t="str">
        <f t="shared" si="3"/>
        <v/>
      </c>
    </row>
    <row r="277">
      <c r="A277" s="27" t="str">
        <f>IFERROR(__xludf.DUMMYFUNCTION("""COMPUTED_VALUE"""),"")</f>
        <v/>
      </c>
      <c r="B277" s="28"/>
      <c r="C277" s="28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P277" s="28" t="str">
        <f t="shared" si="1"/>
        <v>LUNAS</v>
      </c>
      <c r="Q277" s="28">
        <f t="shared" si="2"/>
        <v>151</v>
      </c>
      <c r="R277" s="28" t="str">
        <f t="shared" si="3"/>
        <v/>
      </c>
    </row>
    <row r="278">
      <c r="A278" s="27" t="str">
        <f>IFERROR(__xludf.DUMMYFUNCTION("""COMPUTED_VALUE"""),"")</f>
        <v/>
      </c>
      <c r="B278" s="28"/>
      <c r="C278" s="28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P278" s="28" t="str">
        <f t="shared" si="1"/>
        <v>LUNAS</v>
      </c>
      <c r="Q278" s="28">
        <f t="shared" si="2"/>
        <v>151</v>
      </c>
      <c r="R278" s="28" t="str">
        <f t="shared" si="3"/>
        <v/>
      </c>
    </row>
    <row r="279">
      <c r="A279" s="27" t="str">
        <f>IFERROR(__xludf.DUMMYFUNCTION("""COMPUTED_VALUE"""),"")</f>
        <v/>
      </c>
      <c r="B279" s="28"/>
      <c r="C279" s="28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P279" s="28" t="str">
        <f t="shared" si="1"/>
        <v>LUNAS</v>
      </c>
      <c r="Q279" s="28">
        <f t="shared" si="2"/>
        <v>151</v>
      </c>
      <c r="R279" s="28" t="str">
        <f t="shared" si="3"/>
        <v/>
      </c>
    </row>
    <row r="280">
      <c r="A280" s="27" t="str">
        <f>IFERROR(__xludf.DUMMYFUNCTION("""COMPUTED_VALUE"""),"")</f>
        <v/>
      </c>
      <c r="B280" s="28"/>
      <c r="C280" s="28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P280" s="28" t="str">
        <f t="shared" si="1"/>
        <v>LUNAS</v>
      </c>
      <c r="Q280" s="28">
        <f t="shared" si="2"/>
        <v>151</v>
      </c>
      <c r="R280" s="28" t="str">
        <f t="shared" si="3"/>
        <v/>
      </c>
    </row>
    <row r="281">
      <c r="A281" s="27" t="str">
        <f>IFERROR(__xludf.DUMMYFUNCTION("""COMPUTED_VALUE"""),"")</f>
        <v/>
      </c>
      <c r="B281" s="28"/>
      <c r="C281" s="28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P281" s="28" t="str">
        <f t="shared" si="1"/>
        <v>LUNAS</v>
      </c>
      <c r="Q281" s="28">
        <f t="shared" si="2"/>
        <v>151</v>
      </c>
      <c r="R281" s="28" t="str">
        <f t="shared" si="3"/>
        <v/>
      </c>
    </row>
    <row r="282">
      <c r="A282" s="27" t="str">
        <f>IFERROR(__xludf.DUMMYFUNCTION("""COMPUTED_VALUE"""),"")</f>
        <v/>
      </c>
      <c r="B282" s="28"/>
      <c r="C282" s="28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P282" s="28" t="str">
        <f t="shared" si="1"/>
        <v>LUNAS</v>
      </c>
      <c r="Q282" s="28">
        <f t="shared" si="2"/>
        <v>151</v>
      </c>
      <c r="R282" s="28" t="str">
        <f t="shared" si="3"/>
        <v/>
      </c>
    </row>
    <row r="283">
      <c r="A283" s="27" t="str">
        <f>IFERROR(__xludf.DUMMYFUNCTION("""COMPUTED_VALUE"""),"")</f>
        <v/>
      </c>
      <c r="B283" s="28"/>
      <c r="C283" s="28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P283" s="28" t="str">
        <f t="shared" si="1"/>
        <v>LUNAS</v>
      </c>
      <c r="Q283" s="28">
        <f t="shared" si="2"/>
        <v>151</v>
      </c>
      <c r="R283" s="28" t="str">
        <f t="shared" si="3"/>
        <v/>
      </c>
    </row>
    <row r="284">
      <c r="A284" s="27" t="str">
        <f>IFERROR(__xludf.DUMMYFUNCTION("""COMPUTED_VALUE"""),"")</f>
        <v/>
      </c>
      <c r="B284" s="28"/>
      <c r="C284" s="28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P284" s="28" t="str">
        <f t="shared" si="1"/>
        <v>LUNAS</v>
      </c>
      <c r="Q284" s="28">
        <f t="shared" si="2"/>
        <v>151</v>
      </c>
      <c r="R284" s="28" t="str">
        <f t="shared" si="3"/>
        <v/>
      </c>
    </row>
    <row r="285">
      <c r="A285" s="27" t="str">
        <f>IFERROR(__xludf.DUMMYFUNCTION("""COMPUTED_VALUE"""),"")</f>
        <v/>
      </c>
      <c r="B285" s="28"/>
      <c r="C285" s="28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P285" s="28" t="str">
        <f t="shared" si="1"/>
        <v>LUNAS</v>
      </c>
      <c r="Q285" s="28">
        <f t="shared" si="2"/>
        <v>151</v>
      </c>
      <c r="R285" s="28" t="str">
        <f t="shared" si="3"/>
        <v/>
      </c>
    </row>
    <row r="286">
      <c r="A286" s="27" t="str">
        <f>IFERROR(__xludf.DUMMYFUNCTION("""COMPUTED_VALUE"""),"")</f>
        <v/>
      </c>
      <c r="B286" s="28"/>
      <c r="C286" s="28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P286" s="28" t="str">
        <f t="shared" si="1"/>
        <v>LUNAS</v>
      </c>
      <c r="Q286" s="28">
        <f t="shared" si="2"/>
        <v>151</v>
      </c>
      <c r="R286" s="28" t="str">
        <f t="shared" si="3"/>
        <v/>
      </c>
    </row>
    <row r="287">
      <c r="A287" s="27" t="str">
        <f>IFERROR(__xludf.DUMMYFUNCTION("""COMPUTED_VALUE"""),"")</f>
        <v/>
      </c>
      <c r="B287" s="28"/>
      <c r="C287" s="28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P287" s="28" t="str">
        <f t="shared" si="1"/>
        <v>LUNAS</v>
      </c>
      <c r="Q287" s="28">
        <f t="shared" si="2"/>
        <v>151</v>
      </c>
      <c r="R287" s="28" t="str">
        <f t="shared" si="3"/>
        <v/>
      </c>
    </row>
    <row r="288">
      <c r="A288" s="27" t="str">
        <f>IFERROR(__xludf.DUMMYFUNCTION("""COMPUTED_VALUE"""),"")</f>
        <v/>
      </c>
      <c r="B288" s="28"/>
      <c r="C288" s="28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P288" s="28" t="str">
        <f t="shared" si="1"/>
        <v>LUNAS</v>
      </c>
      <c r="Q288" s="28">
        <f t="shared" si="2"/>
        <v>151</v>
      </c>
      <c r="R288" s="28" t="str">
        <f t="shared" si="3"/>
        <v/>
      </c>
    </row>
    <row r="289">
      <c r="A289" s="27" t="str">
        <f>IFERROR(__xludf.DUMMYFUNCTION("""COMPUTED_VALUE"""),"")</f>
        <v/>
      </c>
      <c r="B289" s="28"/>
      <c r="C289" s="28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P289" s="28" t="str">
        <f t="shared" si="1"/>
        <v>LUNAS</v>
      </c>
      <c r="Q289" s="28">
        <f t="shared" si="2"/>
        <v>151</v>
      </c>
      <c r="R289" s="28" t="str">
        <f t="shared" si="3"/>
        <v/>
      </c>
    </row>
    <row r="290">
      <c r="A290" s="27" t="str">
        <f>IFERROR(__xludf.DUMMYFUNCTION("""COMPUTED_VALUE"""),"")</f>
        <v/>
      </c>
      <c r="B290" s="28"/>
      <c r="C290" s="28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P290" s="28" t="str">
        <f t="shared" si="1"/>
        <v>LUNAS</v>
      </c>
      <c r="Q290" s="28">
        <f t="shared" si="2"/>
        <v>151</v>
      </c>
      <c r="R290" s="28" t="str">
        <f t="shared" si="3"/>
        <v/>
      </c>
    </row>
    <row r="291">
      <c r="A291" s="27" t="str">
        <f>IFERROR(__xludf.DUMMYFUNCTION("""COMPUTED_VALUE"""),"")</f>
        <v/>
      </c>
      <c r="B291" s="28"/>
      <c r="C291" s="28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P291" s="28" t="str">
        <f t="shared" si="1"/>
        <v>LUNAS</v>
      </c>
      <c r="Q291" s="28">
        <f t="shared" si="2"/>
        <v>151</v>
      </c>
      <c r="R291" s="28" t="str">
        <f t="shared" si="3"/>
        <v/>
      </c>
    </row>
    <row r="292">
      <c r="A292" s="27" t="str">
        <f>IFERROR(__xludf.DUMMYFUNCTION("""COMPUTED_VALUE"""),"")</f>
        <v/>
      </c>
      <c r="B292" s="28"/>
      <c r="C292" s="28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P292" s="28" t="str">
        <f t="shared" si="1"/>
        <v>LUNAS</v>
      </c>
      <c r="Q292" s="28">
        <f t="shared" si="2"/>
        <v>151</v>
      </c>
      <c r="R292" s="28" t="str">
        <f t="shared" si="3"/>
        <v/>
      </c>
    </row>
    <row r="293">
      <c r="A293" s="27" t="str">
        <f>IFERROR(__xludf.DUMMYFUNCTION("""COMPUTED_VALUE"""),"")</f>
        <v/>
      </c>
      <c r="B293" s="28"/>
      <c r="C293" s="28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P293" s="28" t="str">
        <f t="shared" si="1"/>
        <v>LUNAS</v>
      </c>
      <c r="Q293" s="28">
        <f t="shared" si="2"/>
        <v>151</v>
      </c>
      <c r="R293" s="28" t="str">
        <f t="shared" si="3"/>
        <v/>
      </c>
    </row>
    <row r="294">
      <c r="A294" s="27" t="str">
        <f>IFERROR(__xludf.DUMMYFUNCTION("""COMPUTED_VALUE"""),"")</f>
        <v/>
      </c>
      <c r="B294" s="28"/>
      <c r="C294" s="28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P294" s="28" t="str">
        <f t="shared" si="1"/>
        <v>LUNAS</v>
      </c>
      <c r="Q294" s="28">
        <f t="shared" si="2"/>
        <v>151</v>
      </c>
      <c r="R294" s="28" t="str">
        <f t="shared" si="3"/>
        <v/>
      </c>
    </row>
    <row r="295">
      <c r="A295" s="27" t="str">
        <f>IFERROR(__xludf.DUMMYFUNCTION("""COMPUTED_VALUE"""),"")</f>
        <v/>
      </c>
      <c r="B295" s="28"/>
      <c r="C295" s="28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P295" s="28" t="str">
        <f t="shared" si="1"/>
        <v>LUNAS</v>
      </c>
      <c r="Q295" s="28">
        <f t="shared" si="2"/>
        <v>151</v>
      </c>
      <c r="R295" s="28" t="str">
        <f t="shared" si="3"/>
        <v/>
      </c>
    </row>
    <row r="296">
      <c r="A296" s="27" t="str">
        <f>IFERROR(__xludf.DUMMYFUNCTION("""COMPUTED_VALUE"""),"")</f>
        <v/>
      </c>
      <c r="B296" s="28"/>
      <c r="C296" s="28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P296" s="28" t="str">
        <f t="shared" si="1"/>
        <v>LUNAS</v>
      </c>
      <c r="Q296" s="28">
        <f t="shared" si="2"/>
        <v>151</v>
      </c>
      <c r="R296" s="28" t="str">
        <f t="shared" si="3"/>
        <v/>
      </c>
    </row>
    <row r="297">
      <c r="A297" s="27" t="str">
        <f>IFERROR(__xludf.DUMMYFUNCTION("""COMPUTED_VALUE"""),"")</f>
        <v/>
      </c>
      <c r="B297" s="28"/>
      <c r="C297" s="28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P297" s="28" t="str">
        <f t="shared" si="1"/>
        <v>LUNAS</v>
      </c>
      <c r="Q297" s="28">
        <f t="shared" si="2"/>
        <v>151</v>
      </c>
      <c r="R297" s="28" t="str">
        <f t="shared" si="3"/>
        <v/>
      </c>
    </row>
    <row r="298">
      <c r="A298" s="27" t="str">
        <f>IFERROR(__xludf.DUMMYFUNCTION("""COMPUTED_VALUE"""),"")</f>
        <v/>
      </c>
      <c r="B298" s="28"/>
      <c r="C298" s="28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P298" s="28" t="str">
        <f t="shared" si="1"/>
        <v>LUNAS</v>
      </c>
      <c r="Q298" s="28">
        <f t="shared" si="2"/>
        <v>151</v>
      </c>
      <c r="R298" s="28" t="str">
        <f t="shared" si="3"/>
        <v/>
      </c>
    </row>
    <row r="299">
      <c r="A299" s="27" t="str">
        <f>IFERROR(__xludf.DUMMYFUNCTION("""COMPUTED_VALUE"""),"")</f>
        <v/>
      </c>
      <c r="B299" s="28"/>
      <c r="C299" s="28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P299" s="28" t="str">
        <f t="shared" si="1"/>
        <v>LUNAS</v>
      </c>
      <c r="Q299" s="28">
        <f t="shared" si="2"/>
        <v>151</v>
      </c>
      <c r="R299" s="28" t="str">
        <f t="shared" si="3"/>
        <v/>
      </c>
    </row>
    <row r="300">
      <c r="A300" s="27" t="str">
        <f>IFERROR(__xludf.DUMMYFUNCTION("""COMPUTED_VALUE"""),"")</f>
        <v/>
      </c>
      <c r="B300" s="28"/>
      <c r="C300" s="28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P300" s="28" t="str">
        <f t="shared" si="1"/>
        <v>LUNAS</v>
      </c>
      <c r="Q300" s="28">
        <f t="shared" si="2"/>
        <v>151</v>
      </c>
      <c r="R300" s="28" t="str">
        <f t="shared" si="3"/>
        <v/>
      </c>
    </row>
    <row r="301">
      <c r="A301" s="27" t="str">
        <f>IFERROR(__xludf.DUMMYFUNCTION("""COMPUTED_VALUE"""),"")</f>
        <v/>
      </c>
      <c r="B301" s="28"/>
      <c r="C301" s="28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P301" s="28" t="str">
        <f t="shared" si="1"/>
        <v>LUNAS</v>
      </c>
      <c r="Q301" s="28">
        <f t="shared" si="2"/>
        <v>151</v>
      </c>
      <c r="R301" s="28" t="str">
        <f t="shared" si="3"/>
        <v/>
      </c>
    </row>
    <row r="302">
      <c r="A302" s="27" t="str">
        <f>IFERROR(__xludf.DUMMYFUNCTION("""COMPUTED_VALUE"""),"")</f>
        <v/>
      </c>
      <c r="B302" s="28"/>
      <c r="C302" s="28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P302" s="28" t="str">
        <f t="shared" si="1"/>
        <v>LUNAS</v>
      </c>
      <c r="Q302" s="28">
        <f t="shared" si="2"/>
        <v>151</v>
      </c>
      <c r="R302" s="28" t="str">
        <f t="shared" si="3"/>
        <v/>
      </c>
    </row>
    <row r="303">
      <c r="A303" s="27" t="str">
        <f>IFERROR(__xludf.DUMMYFUNCTION("""COMPUTED_VALUE"""),"")</f>
        <v/>
      </c>
      <c r="B303" s="28"/>
      <c r="C303" s="28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P303" s="28" t="str">
        <f t="shared" si="1"/>
        <v>LUNAS</v>
      </c>
      <c r="Q303" s="28">
        <f t="shared" si="2"/>
        <v>151</v>
      </c>
      <c r="R303" s="28" t="str">
        <f t="shared" si="3"/>
        <v/>
      </c>
    </row>
    <row r="304">
      <c r="A304" s="27" t="str">
        <f>IFERROR(__xludf.DUMMYFUNCTION("""COMPUTED_VALUE"""),"")</f>
        <v/>
      </c>
      <c r="B304" s="28"/>
      <c r="C304" s="28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P304" s="28" t="str">
        <f t="shared" si="1"/>
        <v>LUNAS</v>
      </c>
      <c r="Q304" s="28">
        <f t="shared" si="2"/>
        <v>151</v>
      </c>
      <c r="R304" s="28" t="str">
        <f t="shared" si="3"/>
        <v/>
      </c>
    </row>
    <row r="305">
      <c r="A305" s="27" t="str">
        <f>IFERROR(__xludf.DUMMYFUNCTION("""COMPUTED_VALUE"""),"")</f>
        <v/>
      </c>
      <c r="B305" s="28"/>
      <c r="C305" s="28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P305" s="28" t="str">
        <f t="shared" si="1"/>
        <v>LUNAS</v>
      </c>
      <c r="Q305" s="28">
        <f t="shared" si="2"/>
        <v>151</v>
      </c>
      <c r="R305" s="28" t="str">
        <f t="shared" si="3"/>
        <v/>
      </c>
    </row>
    <row r="306">
      <c r="A306" s="27" t="str">
        <f>IFERROR(__xludf.DUMMYFUNCTION("""COMPUTED_VALUE"""),"")</f>
        <v/>
      </c>
      <c r="B306" s="28"/>
      <c r="C306" s="28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P306" s="28" t="str">
        <f t="shared" si="1"/>
        <v>LUNAS</v>
      </c>
      <c r="Q306" s="28">
        <f t="shared" si="2"/>
        <v>151</v>
      </c>
      <c r="R306" s="28" t="str">
        <f t="shared" si="3"/>
        <v/>
      </c>
    </row>
    <row r="307">
      <c r="A307" s="27" t="str">
        <f>IFERROR(__xludf.DUMMYFUNCTION("""COMPUTED_VALUE"""),"")</f>
        <v/>
      </c>
      <c r="B307" s="28"/>
      <c r="C307" s="28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P307" s="28" t="str">
        <f t="shared" si="1"/>
        <v>LUNAS</v>
      </c>
      <c r="Q307" s="28">
        <f t="shared" si="2"/>
        <v>151</v>
      </c>
      <c r="R307" s="28" t="str">
        <f t="shared" si="3"/>
        <v/>
      </c>
    </row>
    <row r="308">
      <c r="A308" s="27" t="str">
        <f>IFERROR(__xludf.DUMMYFUNCTION("""COMPUTED_VALUE"""),"")</f>
        <v/>
      </c>
      <c r="B308" s="28"/>
      <c r="C308" s="28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P308" s="28" t="str">
        <f t="shared" si="1"/>
        <v>LUNAS</v>
      </c>
      <c r="Q308" s="28">
        <f t="shared" si="2"/>
        <v>151</v>
      </c>
      <c r="R308" s="28" t="str">
        <f t="shared" si="3"/>
        <v/>
      </c>
    </row>
    <row r="309">
      <c r="A309" s="27" t="str">
        <f>IFERROR(__xludf.DUMMYFUNCTION("""COMPUTED_VALUE"""),"")</f>
        <v/>
      </c>
      <c r="B309" s="28"/>
      <c r="C309" s="28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P309" s="28" t="str">
        <f t="shared" si="1"/>
        <v>LUNAS</v>
      </c>
      <c r="Q309" s="28">
        <f t="shared" si="2"/>
        <v>151</v>
      </c>
      <c r="R309" s="28" t="str">
        <f t="shared" si="3"/>
        <v/>
      </c>
    </row>
    <row r="310">
      <c r="A310" s="27" t="str">
        <f>IFERROR(__xludf.DUMMYFUNCTION("""COMPUTED_VALUE"""),"")</f>
        <v/>
      </c>
      <c r="B310" s="28"/>
      <c r="C310" s="28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P310" s="28" t="str">
        <f t="shared" si="1"/>
        <v>LUNAS</v>
      </c>
      <c r="Q310" s="28">
        <f t="shared" si="2"/>
        <v>151</v>
      </c>
      <c r="R310" s="28" t="str">
        <f t="shared" si="3"/>
        <v/>
      </c>
    </row>
    <row r="311">
      <c r="A311" s="27" t="str">
        <f>IFERROR(__xludf.DUMMYFUNCTION("""COMPUTED_VALUE"""),"")</f>
        <v/>
      </c>
      <c r="B311" s="28"/>
      <c r="C311" s="28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P311" s="28" t="str">
        <f t="shared" si="1"/>
        <v>LUNAS</v>
      </c>
      <c r="Q311" s="28">
        <f t="shared" si="2"/>
        <v>151</v>
      </c>
      <c r="R311" s="28" t="str">
        <f t="shared" si="3"/>
        <v/>
      </c>
    </row>
    <row r="312">
      <c r="A312" s="27" t="str">
        <f>IFERROR(__xludf.DUMMYFUNCTION("""COMPUTED_VALUE"""),"")</f>
        <v/>
      </c>
      <c r="B312" s="28"/>
      <c r="C312" s="28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P312" s="28" t="str">
        <f t="shared" si="1"/>
        <v>LUNAS</v>
      </c>
      <c r="Q312" s="28">
        <f t="shared" si="2"/>
        <v>151</v>
      </c>
      <c r="R312" s="28" t="str">
        <f t="shared" si="3"/>
        <v/>
      </c>
    </row>
    <row r="313">
      <c r="A313" s="27" t="str">
        <f>IFERROR(__xludf.DUMMYFUNCTION("""COMPUTED_VALUE"""),"")</f>
        <v/>
      </c>
      <c r="B313" s="28"/>
      <c r="C313" s="28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P313" s="28" t="str">
        <f t="shared" si="1"/>
        <v>LUNAS</v>
      </c>
      <c r="Q313" s="28">
        <f t="shared" si="2"/>
        <v>151</v>
      </c>
      <c r="R313" s="28" t="str">
        <f t="shared" si="3"/>
        <v/>
      </c>
    </row>
    <row r="314">
      <c r="A314" s="27" t="str">
        <f>IFERROR(__xludf.DUMMYFUNCTION("""COMPUTED_VALUE"""),"")</f>
        <v/>
      </c>
      <c r="B314" s="28"/>
      <c r="C314" s="28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P314" s="28" t="str">
        <f t="shared" si="1"/>
        <v>LUNAS</v>
      </c>
      <c r="Q314" s="28">
        <f t="shared" si="2"/>
        <v>151</v>
      </c>
      <c r="R314" s="28" t="str">
        <f t="shared" si="3"/>
        <v/>
      </c>
    </row>
    <row r="315">
      <c r="A315" s="27" t="str">
        <f>IFERROR(__xludf.DUMMYFUNCTION("""COMPUTED_VALUE"""),"")</f>
        <v/>
      </c>
      <c r="B315" s="28"/>
      <c r="C315" s="28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P315" s="28" t="str">
        <f t="shared" si="1"/>
        <v>LUNAS</v>
      </c>
      <c r="Q315" s="28">
        <f t="shared" si="2"/>
        <v>151</v>
      </c>
      <c r="R315" s="28" t="str">
        <f t="shared" si="3"/>
        <v/>
      </c>
    </row>
    <row r="316">
      <c r="A316" s="27" t="str">
        <f>IFERROR(__xludf.DUMMYFUNCTION("""COMPUTED_VALUE"""),"")</f>
        <v/>
      </c>
      <c r="B316" s="28"/>
      <c r="C316" s="28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P316" s="28" t="str">
        <f t="shared" si="1"/>
        <v>LUNAS</v>
      </c>
      <c r="Q316" s="28">
        <f t="shared" si="2"/>
        <v>151</v>
      </c>
      <c r="R316" s="28" t="str">
        <f t="shared" si="3"/>
        <v/>
      </c>
    </row>
    <row r="317">
      <c r="A317" s="27" t="str">
        <f>IFERROR(__xludf.DUMMYFUNCTION("""COMPUTED_VALUE"""),"")</f>
        <v/>
      </c>
      <c r="B317" s="28"/>
      <c r="C317" s="28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P317" s="28" t="str">
        <f t="shared" si="1"/>
        <v>LUNAS</v>
      </c>
      <c r="Q317" s="28">
        <f t="shared" si="2"/>
        <v>151</v>
      </c>
      <c r="R317" s="28" t="str">
        <f t="shared" si="3"/>
        <v/>
      </c>
    </row>
    <row r="318">
      <c r="A318" s="27" t="str">
        <f>IFERROR(__xludf.DUMMYFUNCTION("""COMPUTED_VALUE"""),"")</f>
        <v/>
      </c>
      <c r="B318" s="28"/>
      <c r="C318" s="28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P318" s="28" t="str">
        <f t="shared" si="1"/>
        <v>LUNAS</v>
      </c>
      <c r="Q318" s="28">
        <f t="shared" si="2"/>
        <v>151</v>
      </c>
      <c r="R318" s="28" t="str">
        <f t="shared" si="3"/>
        <v/>
      </c>
    </row>
    <row r="319">
      <c r="A319" s="27" t="str">
        <f>IFERROR(__xludf.DUMMYFUNCTION("""COMPUTED_VALUE"""),"")</f>
        <v/>
      </c>
      <c r="B319" s="28"/>
      <c r="C319" s="28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P319" s="28" t="str">
        <f t="shared" si="1"/>
        <v>LUNAS</v>
      </c>
      <c r="Q319" s="28">
        <f t="shared" si="2"/>
        <v>151</v>
      </c>
      <c r="R319" s="28" t="str">
        <f t="shared" si="3"/>
        <v/>
      </c>
    </row>
    <row r="320">
      <c r="A320" s="27" t="str">
        <f>IFERROR(__xludf.DUMMYFUNCTION("""COMPUTED_VALUE"""),"")</f>
        <v/>
      </c>
      <c r="B320" s="28"/>
      <c r="C320" s="28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P320" s="28" t="str">
        <f t="shared" si="1"/>
        <v>LUNAS</v>
      </c>
      <c r="Q320" s="28">
        <f t="shared" si="2"/>
        <v>151</v>
      </c>
      <c r="R320" s="28" t="str">
        <f t="shared" si="3"/>
        <v/>
      </c>
    </row>
    <row r="321">
      <c r="A321" s="27" t="str">
        <f>IFERROR(__xludf.DUMMYFUNCTION("""COMPUTED_VALUE"""),"")</f>
        <v/>
      </c>
      <c r="B321" s="28"/>
      <c r="C321" s="28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P321" s="28" t="str">
        <f t="shared" si="1"/>
        <v>LUNAS</v>
      </c>
      <c r="Q321" s="28">
        <f t="shared" si="2"/>
        <v>151</v>
      </c>
      <c r="R321" s="28" t="str">
        <f t="shared" si="3"/>
        <v/>
      </c>
    </row>
    <row r="322">
      <c r="A322" s="27" t="str">
        <f>IFERROR(__xludf.DUMMYFUNCTION("""COMPUTED_VALUE"""),"")</f>
        <v/>
      </c>
      <c r="B322" s="28"/>
      <c r="C322" s="28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P322" s="28" t="str">
        <f t="shared" si="1"/>
        <v>LUNAS</v>
      </c>
      <c r="Q322" s="28">
        <f t="shared" si="2"/>
        <v>151</v>
      </c>
      <c r="R322" s="28" t="str">
        <f t="shared" si="3"/>
        <v/>
      </c>
    </row>
    <row r="323">
      <c r="A323" s="27" t="str">
        <f>IFERROR(__xludf.DUMMYFUNCTION("""COMPUTED_VALUE"""),"")</f>
        <v/>
      </c>
      <c r="B323" s="28"/>
      <c r="C323" s="28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P323" s="28" t="str">
        <f t="shared" si="1"/>
        <v>LUNAS</v>
      </c>
      <c r="Q323" s="28">
        <f t="shared" si="2"/>
        <v>151</v>
      </c>
      <c r="R323" s="28" t="str">
        <f t="shared" si="3"/>
        <v/>
      </c>
    </row>
    <row r="324">
      <c r="A324" s="27" t="str">
        <f>IFERROR(__xludf.DUMMYFUNCTION("""COMPUTED_VALUE"""),"")</f>
        <v/>
      </c>
      <c r="B324" s="28"/>
      <c r="C324" s="28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P324" s="28" t="str">
        <f t="shared" si="1"/>
        <v>LUNAS</v>
      </c>
      <c r="Q324" s="28">
        <f t="shared" si="2"/>
        <v>151</v>
      </c>
      <c r="R324" s="28" t="str">
        <f t="shared" si="3"/>
        <v/>
      </c>
    </row>
    <row r="325">
      <c r="A325" s="27" t="str">
        <f>IFERROR(__xludf.DUMMYFUNCTION("""COMPUTED_VALUE"""),"")</f>
        <v/>
      </c>
      <c r="B325" s="28"/>
      <c r="C325" s="28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P325" s="28" t="str">
        <f t="shared" si="1"/>
        <v>LUNAS</v>
      </c>
      <c r="Q325" s="28">
        <f t="shared" si="2"/>
        <v>151</v>
      </c>
      <c r="R325" s="28" t="str">
        <f t="shared" si="3"/>
        <v/>
      </c>
    </row>
    <row r="326">
      <c r="A326" s="27" t="str">
        <f>IFERROR(__xludf.DUMMYFUNCTION("""COMPUTED_VALUE"""),"")</f>
        <v/>
      </c>
      <c r="B326" s="28"/>
      <c r="C326" s="28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P326" s="28" t="str">
        <f t="shared" si="1"/>
        <v>LUNAS</v>
      </c>
      <c r="Q326" s="28">
        <f t="shared" si="2"/>
        <v>151</v>
      </c>
      <c r="R326" s="28" t="str">
        <f t="shared" si="3"/>
        <v/>
      </c>
    </row>
    <row r="327">
      <c r="A327" s="27" t="str">
        <f>IFERROR(__xludf.DUMMYFUNCTION("""COMPUTED_VALUE"""),"")</f>
        <v/>
      </c>
      <c r="B327" s="28"/>
      <c r="C327" s="28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P327" s="28" t="str">
        <f t="shared" si="1"/>
        <v>LUNAS</v>
      </c>
      <c r="Q327" s="28">
        <f t="shared" si="2"/>
        <v>151</v>
      </c>
      <c r="R327" s="28" t="str">
        <f t="shared" si="3"/>
        <v/>
      </c>
    </row>
    <row r="328">
      <c r="A328" s="27" t="str">
        <f>IFERROR(__xludf.DUMMYFUNCTION("""COMPUTED_VALUE"""),"")</f>
        <v/>
      </c>
      <c r="B328" s="28"/>
      <c r="C328" s="28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P328" s="28" t="str">
        <f t="shared" si="1"/>
        <v>LUNAS</v>
      </c>
      <c r="Q328" s="28">
        <f t="shared" si="2"/>
        <v>151</v>
      </c>
      <c r="R328" s="28" t="str">
        <f t="shared" si="3"/>
        <v/>
      </c>
    </row>
    <row r="329">
      <c r="A329" s="27" t="str">
        <f>IFERROR(__xludf.DUMMYFUNCTION("""COMPUTED_VALUE"""),"")</f>
        <v/>
      </c>
      <c r="B329" s="28"/>
      <c r="C329" s="28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P329" s="28" t="str">
        <f t="shared" si="1"/>
        <v>LUNAS</v>
      </c>
      <c r="Q329" s="28">
        <f t="shared" si="2"/>
        <v>151</v>
      </c>
      <c r="R329" s="28" t="str">
        <f t="shared" si="3"/>
        <v/>
      </c>
    </row>
    <row r="330">
      <c r="A330" s="27" t="str">
        <f>IFERROR(__xludf.DUMMYFUNCTION("""COMPUTED_VALUE"""),"")</f>
        <v/>
      </c>
      <c r="B330" s="28"/>
      <c r="C330" s="28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P330" s="28" t="str">
        <f t="shared" si="1"/>
        <v>LUNAS</v>
      </c>
      <c r="Q330" s="28">
        <f t="shared" si="2"/>
        <v>151</v>
      </c>
      <c r="R330" s="28" t="str">
        <f t="shared" si="3"/>
        <v/>
      </c>
    </row>
    <row r="331">
      <c r="A331" s="27" t="str">
        <f>IFERROR(__xludf.DUMMYFUNCTION("""COMPUTED_VALUE"""),"")</f>
        <v/>
      </c>
      <c r="B331" s="28"/>
      <c r="C331" s="28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P331" s="28" t="str">
        <f t="shared" si="1"/>
        <v>LUNAS</v>
      </c>
      <c r="Q331" s="28">
        <f t="shared" si="2"/>
        <v>151</v>
      </c>
      <c r="R331" s="28" t="str">
        <f t="shared" si="3"/>
        <v/>
      </c>
    </row>
    <row r="332">
      <c r="A332" s="27" t="str">
        <f>IFERROR(__xludf.DUMMYFUNCTION("""COMPUTED_VALUE"""),"")</f>
        <v/>
      </c>
      <c r="B332" s="28"/>
      <c r="C332" s="28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P332" s="28" t="str">
        <f t="shared" si="1"/>
        <v>LUNAS</v>
      </c>
      <c r="Q332" s="28">
        <f t="shared" si="2"/>
        <v>151</v>
      </c>
      <c r="R332" s="28" t="str">
        <f t="shared" si="3"/>
        <v/>
      </c>
    </row>
    <row r="333">
      <c r="A333" s="27" t="str">
        <f>IFERROR(__xludf.DUMMYFUNCTION("""COMPUTED_VALUE"""),"")</f>
        <v/>
      </c>
      <c r="B333" s="28"/>
      <c r="C333" s="28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P333" s="28" t="str">
        <f t="shared" si="1"/>
        <v>LUNAS</v>
      </c>
      <c r="Q333" s="28">
        <f t="shared" si="2"/>
        <v>151</v>
      </c>
      <c r="R333" s="28" t="str">
        <f t="shared" si="3"/>
        <v/>
      </c>
    </row>
    <row r="334">
      <c r="A334" s="27" t="str">
        <f>IFERROR(__xludf.DUMMYFUNCTION("""COMPUTED_VALUE"""),"")</f>
        <v/>
      </c>
      <c r="B334" s="28"/>
      <c r="C334" s="28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P334" s="28" t="str">
        <f t="shared" si="1"/>
        <v>LUNAS</v>
      </c>
      <c r="Q334" s="28">
        <f t="shared" si="2"/>
        <v>151</v>
      </c>
      <c r="R334" s="28" t="str">
        <f t="shared" si="3"/>
        <v/>
      </c>
    </row>
    <row r="335">
      <c r="A335" s="27" t="str">
        <f>IFERROR(__xludf.DUMMYFUNCTION("""COMPUTED_VALUE"""),"")</f>
        <v/>
      </c>
      <c r="B335" s="28"/>
      <c r="C335" s="28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R335" s="28" t="str">
        <f t="shared" si="3"/>
        <v/>
      </c>
    </row>
    <row r="336">
      <c r="A336" s="27" t="str">
        <f>IFERROR(__xludf.DUMMYFUNCTION("""COMPUTED_VALUE"""),"")</f>
        <v/>
      </c>
      <c r="B336" s="28"/>
      <c r="C336" s="28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R336" s="28" t="str">
        <f t="shared" si="3"/>
        <v/>
      </c>
    </row>
    <row r="337">
      <c r="A337" s="27" t="str">
        <f>IFERROR(__xludf.DUMMYFUNCTION("""COMPUTED_VALUE"""),"")</f>
        <v/>
      </c>
      <c r="B337" s="28"/>
      <c r="C337" s="28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R337" s="28" t="str">
        <f t="shared" si="3"/>
        <v/>
      </c>
    </row>
    <row r="338">
      <c r="A338" s="27" t="str">
        <f>IFERROR(__xludf.DUMMYFUNCTION("""COMPUTED_VALUE"""),"")</f>
        <v/>
      </c>
      <c r="B338" s="28"/>
      <c r="C338" s="28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R338" s="28" t="str">
        <f t="shared" si="3"/>
        <v/>
      </c>
    </row>
    <row r="339">
      <c r="A339" s="27" t="str">
        <f>IFERROR(__xludf.DUMMYFUNCTION("""COMPUTED_VALUE"""),"")</f>
        <v/>
      </c>
      <c r="B339" s="28"/>
      <c r="C339" s="28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R339" s="28" t="str">
        <f t="shared" si="3"/>
        <v/>
      </c>
    </row>
    <row r="340">
      <c r="A340" s="27" t="str">
        <f>IFERROR(__xludf.DUMMYFUNCTION("""COMPUTED_VALUE"""),"")</f>
        <v/>
      </c>
      <c r="B340" s="28"/>
      <c r="C340" s="28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R340" s="28" t="str">
        <f t="shared" si="3"/>
        <v/>
      </c>
    </row>
    <row r="341">
      <c r="A341" s="27" t="str">
        <f>IFERROR(__xludf.DUMMYFUNCTION("""COMPUTED_VALUE"""),"")</f>
        <v/>
      </c>
      <c r="B341" s="28"/>
      <c r="C341" s="28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R341" s="28" t="str">
        <f t="shared" si="3"/>
        <v/>
      </c>
    </row>
    <row r="342">
      <c r="A342" s="27" t="str">
        <f>IFERROR(__xludf.DUMMYFUNCTION("""COMPUTED_VALUE"""),"")</f>
        <v/>
      </c>
      <c r="B342" s="28"/>
      <c r="C342" s="28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R342" s="28" t="str">
        <f t="shared" si="3"/>
        <v/>
      </c>
    </row>
    <row r="343">
      <c r="A343" s="27" t="str">
        <f>IFERROR(__xludf.DUMMYFUNCTION("""COMPUTED_VALUE"""),"")</f>
        <v/>
      </c>
      <c r="B343" s="28"/>
      <c r="C343" s="28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R343" s="28" t="str">
        <f t="shared" si="3"/>
        <v/>
      </c>
    </row>
    <row r="344">
      <c r="A344" s="27" t="str">
        <f>IFERROR(__xludf.DUMMYFUNCTION("""COMPUTED_VALUE"""),"")</f>
        <v/>
      </c>
      <c r="B344" s="28"/>
      <c r="C344" s="28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R344" s="28" t="str">
        <f t="shared" si="3"/>
        <v/>
      </c>
    </row>
    <row r="345">
      <c r="A345" s="27" t="str">
        <f>IFERROR(__xludf.DUMMYFUNCTION("""COMPUTED_VALUE"""),"")</f>
        <v/>
      </c>
      <c r="B345" s="28"/>
      <c r="C345" s="28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R345" s="28" t="str">
        <f t="shared" si="3"/>
        <v/>
      </c>
    </row>
    <row r="346">
      <c r="A346" s="27" t="str">
        <f>IFERROR(__xludf.DUMMYFUNCTION("""COMPUTED_VALUE"""),"")</f>
        <v/>
      </c>
      <c r="B346" s="28"/>
      <c r="C346" s="28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R346" s="28" t="str">
        <f t="shared" si="3"/>
        <v/>
      </c>
    </row>
    <row r="347">
      <c r="A347" s="27" t="str">
        <f>IFERROR(__xludf.DUMMYFUNCTION("""COMPUTED_VALUE"""),"")</f>
        <v/>
      </c>
      <c r="B347" s="28"/>
      <c r="C347" s="28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R347" s="28" t="str">
        <f t="shared" si="3"/>
        <v/>
      </c>
    </row>
    <row r="348">
      <c r="A348" s="27" t="str">
        <f>IFERROR(__xludf.DUMMYFUNCTION("""COMPUTED_VALUE"""),"")</f>
        <v/>
      </c>
      <c r="B348" s="28"/>
      <c r="C348" s="28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R348" s="28" t="str">
        <f t="shared" si="3"/>
        <v/>
      </c>
    </row>
    <row r="349">
      <c r="A349" s="27" t="str">
        <f>IFERROR(__xludf.DUMMYFUNCTION("""COMPUTED_VALUE"""),"")</f>
        <v/>
      </c>
      <c r="B349" s="28"/>
      <c r="C349" s="28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</row>
    <row r="350">
      <c r="A350" s="27" t="str">
        <f>IFERROR(__xludf.DUMMYFUNCTION("""COMPUTED_VALUE"""),"")</f>
        <v/>
      </c>
      <c r="B350" s="28"/>
      <c r="C350" s="28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</row>
    <row r="351">
      <c r="A351" s="27" t="str">
        <f>IFERROR(__xludf.DUMMYFUNCTION("""COMPUTED_VALUE"""),"")</f>
        <v/>
      </c>
      <c r="B351" s="28"/>
      <c r="C351" s="28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</row>
    <row r="352">
      <c r="A352" s="27" t="str">
        <f>IFERROR(__xludf.DUMMYFUNCTION("""COMPUTED_VALUE"""),"")</f>
        <v/>
      </c>
      <c r="B352" s="28"/>
      <c r="C352" s="28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</row>
    <row r="353">
      <c r="A353" s="27" t="str">
        <f>IFERROR(__xludf.DUMMYFUNCTION("""COMPUTED_VALUE"""),"")</f>
        <v/>
      </c>
      <c r="B353" s="28"/>
      <c r="C353" s="28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</row>
    <row r="354">
      <c r="A354" s="27" t="str">
        <f>IFERROR(__xludf.DUMMYFUNCTION("""COMPUTED_VALUE"""),"")</f>
        <v/>
      </c>
      <c r="B354" s="28"/>
      <c r="C354" s="28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</row>
    <row r="355">
      <c r="A355" s="27" t="str">
        <f>IFERROR(__xludf.DUMMYFUNCTION("""COMPUTED_VALUE"""),"")</f>
        <v/>
      </c>
      <c r="B355" s="28"/>
      <c r="C355" s="28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</row>
    <row r="356">
      <c r="A356" s="27" t="str">
        <f>IFERROR(__xludf.DUMMYFUNCTION("""COMPUTED_VALUE"""),"")</f>
        <v/>
      </c>
      <c r="B356" s="28"/>
      <c r="C356" s="28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</row>
    <row r="357">
      <c r="A357" s="27" t="str">
        <f>IFERROR(__xludf.DUMMYFUNCTION("""COMPUTED_VALUE"""),"")</f>
        <v/>
      </c>
      <c r="B357" s="28"/>
      <c r="C357" s="28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</row>
    <row r="358">
      <c r="A358" s="27" t="str">
        <f>IFERROR(__xludf.DUMMYFUNCTION("""COMPUTED_VALUE"""),"")</f>
        <v/>
      </c>
      <c r="B358" s="28"/>
      <c r="C358" s="28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</row>
    <row r="359">
      <c r="A359" s="27" t="str">
        <f>IFERROR(__xludf.DUMMYFUNCTION("""COMPUTED_VALUE"""),"")</f>
        <v/>
      </c>
      <c r="B359" s="28"/>
      <c r="C359" s="28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</row>
    <row r="360">
      <c r="A360" s="27" t="str">
        <f>IFERROR(__xludf.DUMMYFUNCTION("""COMPUTED_VALUE"""),"")</f>
        <v/>
      </c>
      <c r="B360" s="28"/>
      <c r="C360" s="28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</row>
    <row r="361">
      <c r="A361" s="27" t="str">
        <f>IFERROR(__xludf.DUMMYFUNCTION("""COMPUTED_VALUE"""),"")</f>
        <v/>
      </c>
      <c r="B361" s="28"/>
      <c r="C361" s="28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</row>
    <row r="362">
      <c r="A362" s="27" t="str">
        <f>IFERROR(__xludf.DUMMYFUNCTION("""COMPUTED_VALUE"""),"")</f>
        <v/>
      </c>
      <c r="B362" s="28"/>
      <c r="C362" s="28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</row>
    <row r="363">
      <c r="A363" s="27" t="str">
        <f>IFERROR(__xludf.DUMMYFUNCTION("""COMPUTED_VALUE"""),"")</f>
        <v/>
      </c>
      <c r="B363" s="28"/>
      <c r="C363" s="28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</row>
    <row r="364">
      <c r="A364" s="27" t="str">
        <f>IFERROR(__xludf.DUMMYFUNCTION("""COMPUTED_VALUE"""),"")</f>
        <v/>
      </c>
      <c r="B364" s="28"/>
      <c r="C364" s="28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R364" s="28" t="str">
        <f t="shared" ref="R364:R389" si="9">B364</f>
        <v/>
      </c>
    </row>
    <row r="365">
      <c r="A365" s="27" t="str">
        <f>IFERROR(__xludf.DUMMYFUNCTION("""COMPUTED_VALUE"""),"")</f>
        <v/>
      </c>
      <c r="B365" s="28"/>
      <c r="C365" s="28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R365" s="28" t="str">
        <f t="shared" si="9"/>
        <v/>
      </c>
    </row>
    <row r="366">
      <c r="A366" s="27" t="str">
        <f>IFERROR(__xludf.DUMMYFUNCTION("""COMPUTED_VALUE"""),"")</f>
        <v/>
      </c>
      <c r="B366" s="28"/>
      <c r="C366" s="28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R366" s="28" t="str">
        <f t="shared" si="9"/>
        <v/>
      </c>
    </row>
    <row r="367">
      <c r="A367" s="27" t="str">
        <f>IFERROR(__xludf.DUMMYFUNCTION("""COMPUTED_VALUE"""),"")</f>
        <v/>
      </c>
      <c r="B367" s="28"/>
      <c r="C367" s="28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R367" s="28" t="str">
        <f t="shared" si="9"/>
        <v/>
      </c>
    </row>
    <row r="368">
      <c r="A368" s="27" t="str">
        <f>IFERROR(__xludf.DUMMYFUNCTION("""COMPUTED_VALUE"""),"")</f>
        <v/>
      </c>
      <c r="B368" s="28"/>
      <c r="C368" s="28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R368" s="28" t="str">
        <f t="shared" si="9"/>
        <v/>
      </c>
    </row>
    <row r="369">
      <c r="A369" s="27" t="str">
        <f>IFERROR(__xludf.DUMMYFUNCTION("""COMPUTED_VALUE"""),"")</f>
        <v/>
      </c>
      <c r="B369" s="28"/>
      <c r="C369" s="28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R369" s="28" t="str">
        <f t="shared" si="9"/>
        <v/>
      </c>
    </row>
    <row r="370">
      <c r="A370" s="27" t="str">
        <f>IFERROR(__xludf.DUMMYFUNCTION("""COMPUTED_VALUE"""),"")</f>
        <v/>
      </c>
      <c r="B370" s="28"/>
      <c r="C370" s="28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R370" s="28" t="str">
        <f t="shared" si="9"/>
        <v/>
      </c>
    </row>
    <row r="371">
      <c r="A371" s="27" t="str">
        <f>IFERROR(__xludf.DUMMYFUNCTION("""COMPUTED_VALUE"""),"")</f>
        <v/>
      </c>
      <c r="B371" s="28"/>
      <c r="C371" s="28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R371" s="28" t="str">
        <f t="shared" si="9"/>
        <v/>
      </c>
    </row>
    <row r="372">
      <c r="A372" s="27" t="str">
        <f>IFERROR(__xludf.DUMMYFUNCTION("""COMPUTED_VALUE"""),"")</f>
        <v/>
      </c>
      <c r="B372" s="28"/>
      <c r="C372" s="28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R372" s="28" t="str">
        <f t="shared" si="9"/>
        <v/>
      </c>
    </row>
    <row r="373">
      <c r="A373" s="27" t="str">
        <f>IFERROR(__xludf.DUMMYFUNCTION("""COMPUTED_VALUE"""),"")</f>
        <v/>
      </c>
      <c r="B373" s="28"/>
      <c r="C373" s="28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R373" s="28" t="str">
        <f t="shared" si="9"/>
        <v/>
      </c>
    </row>
    <row r="374">
      <c r="A374" s="27" t="str">
        <f>IFERROR(__xludf.DUMMYFUNCTION("""COMPUTED_VALUE"""),"")</f>
        <v/>
      </c>
      <c r="B374" s="28"/>
      <c r="C374" s="28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R374" s="28" t="str">
        <f t="shared" si="9"/>
        <v/>
      </c>
    </row>
    <row r="375">
      <c r="A375" s="27" t="str">
        <f>IFERROR(__xludf.DUMMYFUNCTION("""COMPUTED_VALUE"""),"")</f>
        <v/>
      </c>
      <c r="B375" s="28"/>
      <c r="C375" s="28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R375" s="28" t="str">
        <f t="shared" si="9"/>
        <v/>
      </c>
    </row>
    <row r="376">
      <c r="A376" s="27" t="str">
        <f>IFERROR(__xludf.DUMMYFUNCTION("""COMPUTED_VALUE"""),"")</f>
        <v/>
      </c>
      <c r="B376" s="28"/>
      <c r="C376" s="28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R376" s="28" t="str">
        <f t="shared" si="9"/>
        <v/>
      </c>
    </row>
    <row r="377">
      <c r="A377" s="27" t="str">
        <f>IFERROR(__xludf.DUMMYFUNCTION("""COMPUTED_VALUE"""),"")</f>
        <v/>
      </c>
      <c r="B377" s="28"/>
      <c r="C377" s="28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R377" s="28" t="str">
        <f t="shared" si="9"/>
        <v/>
      </c>
    </row>
    <row r="378">
      <c r="A378" s="27" t="str">
        <f>IFERROR(__xludf.DUMMYFUNCTION("""COMPUTED_VALUE"""),"")</f>
        <v/>
      </c>
      <c r="B378" s="28"/>
      <c r="C378" s="28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R378" s="28" t="str">
        <f t="shared" si="9"/>
        <v/>
      </c>
    </row>
    <row r="379">
      <c r="A379" s="27" t="str">
        <f>IFERROR(__xludf.DUMMYFUNCTION("""COMPUTED_VALUE"""),"")</f>
        <v/>
      </c>
      <c r="B379" s="28"/>
      <c r="C379" s="28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R379" s="28" t="str">
        <f t="shared" si="9"/>
        <v/>
      </c>
    </row>
    <row r="380">
      <c r="A380" s="27" t="str">
        <f>IFERROR(__xludf.DUMMYFUNCTION("""COMPUTED_VALUE"""),"")</f>
        <v/>
      </c>
      <c r="B380" s="28"/>
      <c r="C380" s="28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R380" s="28" t="str">
        <f t="shared" si="9"/>
        <v/>
      </c>
    </row>
    <row r="381">
      <c r="A381" s="27" t="str">
        <f>IFERROR(__xludf.DUMMYFUNCTION("""COMPUTED_VALUE"""),"")</f>
        <v/>
      </c>
      <c r="B381" s="28"/>
      <c r="C381" s="28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R381" s="28" t="str">
        <f t="shared" si="9"/>
        <v/>
      </c>
    </row>
    <row r="382">
      <c r="A382" s="27" t="str">
        <f>IFERROR(__xludf.DUMMYFUNCTION("""COMPUTED_VALUE"""),"")</f>
        <v/>
      </c>
      <c r="B382" s="28"/>
      <c r="C382" s="28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R382" s="28" t="str">
        <f t="shared" si="9"/>
        <v/>
      </c>
    </row>
    <row r="383">
      <c r="A383" s="27" t="str">
        <f>IFERROR(__xludf.DUMMYFUNCTION("""COMPUTED_VALUE"""),"")</f>
        <v/>
      </c>
      <c r="B383" s="28"/>
      <c r="C383" s="28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R383" s="28" t="str">
        <f t="shared" si="9"/>
        <v/>
      </c>
    </row>
    <row r="384">
      <c r="A384" s="27" t="str">
        <f>IFERROR(__xludf.DUMMYFUNCTION("""COMPUTED_VALUE"""),"")</f>
        <v/>
      </c>
      <c r="B384" s="28"/>
      <c r="C384" s="28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R384" s="28" t="str">
        <f t="shared" si="9"/>
        <v/>
      </c>
    </row>
    <row r="385">
      <c r="A385" s="27" t="str">
        <f>IFERROR(__xludf.DUMMYFUNCTION("""COMPUTED_VALUE"""),"")</f>
        <v/>
      </c>
      <c r="B385" s="28"/>
      <c r="C385" s="28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R385" s="28" t="str">
        <f t="shared" si="9"/>
        <v/>
      </c>
    </row>
    <row r="386">
      <c r="A386" s="27" t="str">
        <f>IFERROR(__xludf.DUMMYFUNCTION("""COMPUTED_VALUE"""),"")</f>
        <v/>
      </c>
      <c r="B386" s="28"/>
      <c r="C386" s="28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R386" s="28" t="str">
        <f t="shared" si="9"/>
        <v/>
      </c>
    </row>
    <row r="387">
      <c r="A387" s="27" t="str">
        <f>IFERROR(__xludf.DUMMYFUNCTION("""COMPUTED_VALUE"""),"")</f>
        <v/>
      </c>
      <c r="B387" s="28"/>
      <c r="C387" s="28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R387" s="28" t="str">
        <f t="shared" si="9"/>
        <v/>
      </c>
    </row>
    <row r="388">
      <c r="A388" s="27" t="str">
        <f>IFERROR(__xludf.DUMMYFUNCTION("""COMPUTED_VALUE"""),"")</f>
        <v/>
      </c>
      <c r="B388" s="28"/>
      <c r="C388" s="28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R388" s="28" t="str">
        <f t="shared" si="9"/>
        <v/>
      </c>
    </row>
    <row r="389">
      <c r="A389" s="27" t="str">
        <f>IFERROR(__xludf.DUMMYFUNCTION("""COMPUTED_VALUE"""),"")</f>
        <v/>
      </c>
      <c r="B389" s="28"/>
      <c r="C389" s="28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R389" s="28" t="str">
        <f t="shared" si="9"/>
        <v/>
      </c>
    </row>
    <row r="390">
      <c r="A390" s="27" t="str">
        <f>IFERROR(__xludf.DUMMYFUNCTION("""COMPUTED_VALUE"""),"")</f>
        <v/>
      </c>
      <c r="B390" s="28"/>
      <c r="C390" s="28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</row>
    <row r="391">
      <c r="A391" s="27" t="str">
        <f>IFERROR(__xludf.DUMMYFUNCTION("""COMPUTED_VALUE"""),"")</f>
        <v/>
      </c>
      <c r="B391" s="28"/>
      <c r="C391" s="28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</row>
    <row r="392">
      <c r="A392" s="27" t="str">
        <f>IFERROR(__xludf.DUMMYFUNCTION("""COMPUTED_VALUE"""),"")</f>
        <v/>
      </c>
      <c r="B392" s="28"/>
      <c r="C392" s="28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</row>
    <row r="393">
      <c r="A393" s="27" t="str">
        <f>IFERROR(__xludf.DUMMYFUNCTION("""COMPUTED_VALUE"""),"")</f>
        <v/>
      </c>
      <c r="B393" s="28"/>
      <c r="C393" s="28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</row>
    <row r="394">
      <c r="A394" s="27" t="str">
        <f>IFERROR(__xludf.DUMMYFUNCTION("""COMPUTED_VALUE"""),"")</f>
        <v/>
      </c>
      <c r="B394" s="28"/>
      <c r="C394" s="28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</row>
    <row r="395">
      <c r="A395" s="27" t="str">
        <f>IFERROR(__xludf.DUMMYFUNCTION("""COMPUTED_VALUE"""),"")</f>
        <v/>
      </c>
      <c r="B395" s="28"/>
      <c r="C395" s="28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</row>
    <row r="396">
      <c r="A396" s="27" t="str">
        <f>IFERROR(__xludf.DUMMYFUNCTION("""COMPUTED_VALUE"""),"")</f>
        <v/>
      </c>
      <c r="B396" s="28"/>
      <c r="C396" s="28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</row>
    <row r="397">
      <c r="A397" s="27" t="str">
        <f>IFERROR(__xludf.DUMMYFUNCTION("""COMPUTED_VALUE"""),"")</f>
        <v/>
      </c>
      <c r="B397" s="28"/>
      <c r="C397" s="28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</row>
    <row r="398">
      <c r="A398" s="27" t="str">
        <f>IFERROR(__xludf.DUMMYFUNCTION("""COMPUTED_VALUE"""),"")</f>
        <v/>
      </c>
      <c r="B398" s="28"/>
      <c r="C398" s="28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</row>
    <row r="399">
      <c r="A399" s="27" t="str">
        <f>IFERROR(__xludf.DUMMYFUNCTION("""COMPUTED_VALUE"""),"")</f>
        <v/>
      </c>
      <c r="B399" s="28"/>
      <c r="C399" s="28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</row>
    <row r="400">
      <c r="A400" s="27" t="str">
        <f>IFERROR(__xludf.DUMMYFUNCTION("""COMPUTED_VALUE"""),"")</f>
        <v/>
      </c>
      <c r="B400" s="28"/>
      <c r="C400" s="28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</row>
    <row r="401">
      <c r="A401" s="27" t="str">
        <f>IFERROR(__xludf.DUMMYFUNCTION("""COMPUTED_VALUE"""),"")</f>
        <v/>
      </c>
      <c r="B401" s="28"/>
      <c r="C401" s="28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</row>
    <row r="402">
      <c r="A402" s="27" t="str">
        <f>IFERROR(__xludf.DUMMYFUNCTION("""COMPUTED_VALUE"""),"")</f>
        <v/>
      </c>
      <c r="B402" s="28"/>
      <c r="C402" s="28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</row>
    <row r="403">
      <c r="A403" s="27"/>
      <c r="B403" s="28"/>
      <c r="C403" s="28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</row>
    <row r="404">
      <c r="A404" s="27"/>
      <c r="B404" s="28"/>
      <c r="C404" s="28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</row>
    <row r="405">
      <c r="A405" s="27"/>
      <c r="B405" s="28"/>
      <c r="C405" s="28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</row>
    <row r="406">
      <c r="A406" s="27"/>
      <c r="B406" s="28"/>
      <c r="C406" s="28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</row>
    <row r="407">
      <c r="A407" s="27"/>
      <c r="B407" s="28"/>
      <c r="C407" s="28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</row>
    <row r="408">
      <c r="A408" s="27"/>
      <c r="B408" s="28"/>
      <c r="C408" s="28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</row>
    <row r="409">
      <c r="A409" s="27"/>
      <c r="B409" s="28"/>
      <c r="C409" s="28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</row>
    <row r="410">
      <c r="A410" s="27"/>
      <c r="B410" s="28"/>
      <c r="C410" s="28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</row>
    <row r="411">
      <c r="A411" s="27"/>
      <c r="B411" s="28"/>
      <c r="C411" s="28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</row>
    <row r="412">
      <c r="A412" s="27"/>
      <c r="B412" s="28"/>
      <c r="C412" s="28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</row>
    <row r="413">
      <c r="A413" s="27"/>
      <c r="B413" s="28"/>
      <c r="C413" s="28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</row>
    <row r="414">
      <c r="A414" s="27"/>
      <c r="B414" s="28"/>
      <c r="C414" s="28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</row>
    <row r="415">
      <c r="A415" s="27"/>
      <c r="B415" s="28"/>
      <c r="C415" s="28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</row>
    <row r="416">
      <c r="A416" s="27"/>
      <c r="B416" s="28"/>
      <c r="C416" s="28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</row>
    <row r="417">
      <c r="A417" s="27"/>
      <c r="B417" s="28"/>
      <c r="C417" s="28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</row>
    <row r="418">
      <c r="A418" s="27"/>
      <c r="B418" s="28"/>
      <c r="C418" s="28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</row>
    <row r="419">
      <c r="A419" s="27"/>
      <c r="B419" s="28"/>
      <c r="C419" s="28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</row>
    <row r="420">
      <c r="A420" s="27"/>
      <c r="B420" s="28"/>
      <c r="C420" s="28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</row>
    <row r="421">
      <c r="A421" s="27"/>
      <c r="B421" s="28"/>
      <c r="C421" s="28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</row>
    <row r="422">
      <c r="A422" s="27"/>
      <c r="B422" s="28"/>
      <c r="C422" s="28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</row>
    <row r="423">
      <c r="A423" s="27"/>
      <c r="B423" s="28"/>
      <c r="C423" s="28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</row>
    <row r="424">
      <c r="A424" s="27"/>
      <c r="B424" s="28"/>
      <c r="C424" s="28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</row>
    <row r="425">
      <c r="A425" s="27"/>
      <c r="B425" s="28"/>
      <c r="C425" s="28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</row>
    <row r="426">
      <c r="A426" s="27"/>
      <c r="B426" s="28"/>
      <c r="C426" s="28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</row>
    <row r="427">
      <c r="A427" s="27"/>
      <c r="B427" s="28"/>
      <c r="C427" s="28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</row>
    <row r="428">
      <c r="A428" s="27"/>
      <c r="B428" s="28"/>
      <c r="C428" s="28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</row>
    <row r="429">
      <c r="A429" s="27"/>
      <c r="B429" s="28"/>
      <c r="C429" s="28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</row>
    <row r="430">
      <c r="A430" s="27"/>
      <c r="B430" s="28"/>
      <c r="C430" s="28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</row>
    <row r="431">
      <c r="A431" s="27"/>
      <c r="B431" s="28"/>
      <c r="C431" s="28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</row>
    <row r="432">
      <c r="A432" s="27"/>
      <c r="B432" s="28"/>
      <c r="C432" s="28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</row>
    <row r="433">
      <c r="A433" s="27"/>
      <c r="B433" s="28"/>
      <c r="C433" s="28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</row>
    <row r="434">
      <c r="A434" s="27"/>
      <c r="B434" s="28"/>
      <c r="C434" s="28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</row>
    <row r="435">
      <c r="A435" s="27"/>
      <c r="B435" s="28"/>
      <c r="C435" s="28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</row>
    <row r="436">
      <c r="A436" s="27"/>
      <c r="B436" s="28"/>
      <c r="C436" s="28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</row>
    <row r="437">
      <c r="A437" s="27"/>
      <c r="B437" s="28"/>
      <c r="C437" s="28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</row>
    <row r="438">
      <c r="A438" s="27"/>
      <c r="B438" s="28"/>
      <c r="C438" s="28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</row>
    <row r="439">
      <c r="A439" s="27"/>
      <c r="B439" s="28"/>
      <c r="C439" s="28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</row>
    <row r="440">
      <c r="A440" s="27"/>
      <c r="B440" s="28"/>
      <c r="C440" s="28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</row>
    <row r="441">
      <c r="A441" s="27"/>
      <c r="B441" s="28"/>
      <c r="C441" s="28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</row>
    <row r="442">
      <c r="A442" s="27"/>
      <c r="B442" s="28"/>
      <c r="C442" s="28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</row>
    <row r="443">
      <c r="A443" s="27"/>
      <c r="B443" s="28"/>
      <c r="C443" s="28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</row>
    <row r="444">
      <c r="A444" s="27"/>
      <c r="B444" s="28"/>
      <c r="C444" s="28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</row>
    <row r="445">
      <c r="A445" s="27"/>
      <c r="B445" s="28"/>
      <c r="C445" s="28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</row>
    <row r="446">
      <c r="A446" s="27"/>
      <c r="B446" s="28"/>
      <c r="C446" s="28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</row>
    <row r="447">
      <c r="A447" s="27"/>
      <c r="B447" s="28"/>
      <c r="C447" s="28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</row>
    <row r="448">
      <c r="A448" s="27"/>
      <c r="B448" s="28"/>
      <c r="C448" s="28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</row>
    <row r="449">
      <c r="A449" s="27"/>
      <c r="B449" s="28"/>
      <c r="C449" s="28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</row>
    <row r="450">
      <c r="A450" s="27"/>
      <c r="B450" s="28"/>
      <c r="C450" s="28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</row>
    <row r="451">
      <c r="A451" s="27"/>
      <c r="B451" s="28"/>
      <c r="C451" s="28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</row>
    <row r="452">
      <c r="A452" s="27"/>
      <c r="B452" s="28"/>
      <c r="C452" s="28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</row>
    <row r="453">
      <c r="A453" s="27"/>
      <c r="B453" s="28"/>
      <c r="C453" s="28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</row>
    <row r="454">
      <c r="A454" s="27"/>
      <c r="B454" s="28"/>
      <c r="C454" s="28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</row>
    <row r="455">
      <c r="A455" s="27"/>
      <c r="B455" s="28"/>
      <c r="C455" s="28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</row>
    <row r="456">
      <c r="A456" s="27"/>
      <c r="B456" s="28"/>
      <c r="C456" s="28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</row>
    <row r="457">
      <c r="A457" s="27"/>
      <c r="B457" s="28"/>
      <c r="C457" s="28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</row>
    <row r="458">
      <c r="A458" s="27"/>
      <c r="B458" s="28"/>
      <c r="C458" s="28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</row>
    <row r="459">
      <c r="A459" s="27"/>
      <c r="B459" s="28"/>
      <c r="C459" s="28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</row>
    <row r="460">
      <c r="A460" s="27"/>
      <c r="B460" s="28"/>
      <c r="C460" s="28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</row>
    <row r="461">
      <c r="A461" s="27"/>
      <c r="B461" s="28"/>
      <c r="C461" s="28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</row>
    <row r="462">
      <c r="A462" s="27"/>
      <c r="B462" s="28"/>
      <c r="C462" s="28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</row>
    <row r="463">
      <c r="A463" s="27"/>
      <c r="B463" s="28"/>
      <c r="C463" s="28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</row>
    <row r="464">
      <c r="A464" s="27"/>
      <c r="B464" s="28"/>
      <c r="C464" s="28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</row>
    <row r="465">
      <c r="A465" s="27"/>
      <c r="B465" s="28"/>
      <c r="C465" s="28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</row>
    <row r="466">
      <c r="A466" s="27"/>
      <c r="B466" s="28"/>
      <c r="C466" s="28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</row>
    <row r="467">
      <c r="A467" s="27"/>
      <c r="B467" s="28"/>
      <c r="C467" s="28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</row>
    <row r="468">
      <c r="A468" s="27"/>
      <c r="B468" s="28"/>
      <c r="C468" s="28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</row>
    <row r="469">
      <c r="A469" s="27"/>
      <c r="B469" s="28"/>
      <c r="C469" s="28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</row>
    <row r="470">
      <c r="A470" s="27"/>
      <c r="B470" s="28"/>
      <c r="C470" s="28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</row>
    <row r="471">
      <c r="A471" s="27"/>
      <c r="B471" s="28"/>
      <c r="C471" s="28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</row>
    <row r="472">
      <c r="A472" s="27"/>
      <c r="B472" s="28"/>
      <c r="C472" s="28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</row>
    <row r="473">
      <c r="A473" s="27"/>
      <c r="B473" s="28"/>
      <c r="C473" s="28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</row>
    <row r="474">
      <c r="A474" s="27"/>
      <c r="B474" s="28"/>
      <c r="C474" s="28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</row>
    <row r="475">
      <c r="A475" s="27"/>
      <c r="B475" s="28"/>
      <c r="C475" s="28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</row>
    <row r="476">
      <c r="A476" s="27"/>
      <c r="B476" s="28"/>
      <c r="C476" s="28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</row>
    <row r="477">
      <c r="A477" s="27"/>
      <c r="B477" s="28"/>
      <c r="C477" s="28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</row>
    <row r="478">
      <c r="A478" s="27"/>
      <c r="B478" s="28"/>
      <c r="C478" s="28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</row>
    <row r="479">
      <c r="A479" s="27"/>
      <c r="B479" s="28"/>
      <c r="C479" s="28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</row>
    <row r="480">
      <c r="A480" s="27"/>
      <c r="B480" s="28"/>
      <c r="C480" s="28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</row>
    <row r="481">
      <c r="A481" s="27"/>
      <c r="B481" s="28"/>
      <c r="C481" s="28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</row>
    <row r="482">
      <c r="A482" s="27"/>
      <c r="B482" s="28"/>
      <c r="C482" s="28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</row>
    <row r="483">
      <c r="A483" s="27"/>
      <c r="B483" s="28"/>
      <c r="C483" s="28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</row>
    <row r="484">
      <c r="A484" s="27"/>
      <c r="B484" s="28"/>
      <c r="C484" s="28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</row>
    <row r="485">
      <c r="A485" s="27"/>
      <c r="B485" s="28"/>
      <c r="C485" s="28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</row>
    <row r="486">
      <c r="A486" s="27"/>
      <c r="B486" s="28"/>
      <c r="C486" s="28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</row>
    <row r="487">
      <c r="A487" s="27"/>
      <c r="B487" s="28"/>
      <c r="C487" s="28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</row>
    <row r="488">
      <c r="A488" s="27"/>
      <c r="B488" s="28"/>
      <c r="C488" s="28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</row>
    <row r="489">
      <c r="A489" s="27"/>
      <c r="B489" s="28"/>
      <c r="C489" s="28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</row>
    <row r="490">
      <c r="A490" s="27"/>
      <c r="B490" s="28"/>
      <c r="C490" s="28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</row>
    <row r="491">
      <c r="A491" s="27"/>
      <c r="B491" s="28"/>
      <c r="C491" s="28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</row>
    <row r="492">
      <c r="A492" s="27"/>
      <c r="B492" s="28"/>
      <c r="C492" s="28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</row>
    <row r="493">
      <c r="A493" s="27"/>
      <c r="B493" s="28"/>
      <c r="C493" s="28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</row>
    <row r="494">
      <c r="A494" s="27"/>
      <c r="B494" s="28"/>
      <c r="C494" s="28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</row>
    <row r="495">
      <c r="A495" s="27"/>
      <c r="B495" s="28"/>
      <c r="C495" s="28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</row>
    <row r="496">
      <c r="A496" s="27"/>
      <c r="B496" s="28"/>
      <c r="C496" s="28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</row>
    <row r="497">
      <c r="A497" s="27"/>
      <c r="B497" s="28"/>
      <c r="C497" s="28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</row>
    <row r="498">
      <c r="A498" s="27"/>
      <c r="B498" s="28"/>
      <c r="C498" s="28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</row>
    <row r="499">
      <c r="A499" s="27"/>
      <c r="B499" s="28"/>
      <c r="C499" s="28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</row>
    <row r="500">
      <c r="A500" s="27"/>
      <c r="B500" s="28"/>
      <c r="C500" s="28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</row>
    <row r="501">
      <c r="A501" s="27"/>
      <c r="B501" s="28"/>
      <c r="C501" s="28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</row>
    <row r="502">
      <c r="A502" s="27"/>
      <c r="B502" s="28"/>
      <c r="C502" s="28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</row>
    <row r="503">
      <c r="A503" s="27"/>
      <c r="B503" s="28"/>
      <c r="C503" s="28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</row>
    <row r="504">
      <c r="A504" s="27"/>
      <c r="B504" s="28"/>
      <c r="C504" s="28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</row>
    <row r="505">
      <c r="A505" s="27"/>
      <c r="B505" s="28"/>
      <c r="C505" s="28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</row>
    <row r="506">
      <c r="A506" s="27"/>
      <c r="B506" s="28"/>
      <c r="C506" s="28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</row>
    <row r="507">
      <c r="A507" s="27"/>
      <c r="B507" s="28"/>
      <c r="C507" s="28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</row>
    <row r="508">
      <c r="A508" s="27"/>
      <c r="B508" s="28"/>
      <c r="C508" s="28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</row>
    <row r="509">
      <c r="A509" s="27"/>
      <c r="B509" s="28"/>
      <c r="C509" s="28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</row>
    <row r="510">
      <c r="A510" s="27"/>
      <c r="B510" s="28"/>
      <c r="C510" s="28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</row>
    <row r="511">
      <c r="A511" s="27"/>
      <c r="B511" s="28"/>
      <c r="C511" s="28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</row>
    <row r="512">
      <c r="A512" s="27"/>
      <c r="B512" s="28"/>
      <c r="C512" s="28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</row>
    <row r="513">
      <c r="A513" s="27"/>
      <c r="B513" s="28"/>
      <c r="C513" s="28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</row>
    <row r="514">
      <c r="A514" s="27"/>
      <c r="B514" s="28"/>
      <c r="C514" s="28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</row>
    <row r="515">
      <c r="A515" s="27"/>
      <c r="B515" s="28"/>
      <c r="C515" s="28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</row>
    <row r="516">
      <c r="A516" s="27"/>
      <c r="B516" s="28"/>
      <c r="C516" s="28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</row>
    <row r="517">
      <c r="A517" s="27"/>
      <c r="B517" s="28"/>
      <c r="C517" s="28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</row>
    <row r="518">
      <c r="A518" s="27"/>
      <c r="B518" s="28"/>
      <c r="C518" s="28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</row>
    <row r="519">
      <c r="A519" s="27"/>
      <c r="B519" s="28"/>
      <c r="C519" s="28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</row>
    <row r="520">
      <c r="A520" s="27"/>
      <c r="B520" s="28"/>
      <c r="C520" s="28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</row>
    <row r="521">
      <c r="A521" s="27"/>
      <c r="B521" s="28"/>
      <c r="C521" s="28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</row>
    <row r="522">
      <c r="A522" s="27"/>
      <c r="B522" s="28"/>
      <c r="C522" s="28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</row>
    <row r="523">
      <c r="A523" s="27"/>
      <c r="B523" s="28"/>
      <c r="C523" s="28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</row>
    <row r="524">
      <c r="A524" s="27"/>
      <c r="B524" s="28"/>
      <c r="C524" s="28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</row>
    <row r="525">
      <c r="A525" s="27"/>
      <c r="B525" s="28"/>
      <c r="C525" s="28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</row>
    <row r="526">
      <c r="A526" s="27"/>
      <c r="B526" s="28"/>
      <c r="C526" s="28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</row>
    <row r="527">
      <c r="A527" s="27"/>
      <c r="B527" s="28"/>
      <c r="C527" s="28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</row>
    <row r="528">
      <c r="A528" s="27"/>
      <c r="B528" s="28"/>
      <c r="C528" s="28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</row>
    <row r="529">
      <c r="A529" s="27"/>
      <c r="B529" s="28"/>
      <c r="C529" s="28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</row>
    <row r="530">
      <c r="A530" s="27"/>
      <c r="B530" s="28"/>
      <c r="C530" s="28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</row>
    <row r="531">
      <c r="A531" s="27"/>
      <c r="B531" s="28"/>
      <c r="C531" s="28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</row>
    <row r="532">
      <c r="A532" s="27"/>
      <c r="B532" s="28"/>
      <c r="C532" s="28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</row>
    <row r="533">
      <c r="A533" s="27"/>
      <c r="B533" s="28"/>
      <c r="C533" s="28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</row>
    <row r="534">
      <c r="A534" s="27"/>
      <c r="B534" s="28"/>
      <c r="C534" s="28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</row>
    <row r="535">
      <c r="A535" s="27"/>
      <c r="B535" s="28"/>
      <c r="C535" s="28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</row>
    <row r="536">
      <c r="A536" s="27"/>
      <c r="B536" s="28"/>
      <c r="C536" s="28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</row>
    <row r="537">
      <c r="A537" s="27"/>
      <c r="B537" s="28"/>
      <c r="C537" s="28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</row>
    <row r="538">
      <c r="A538" s="27"/>
      <c r="B538" s="28"/>
      <c r="C538" s="28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</row>
    <row r="539">
      <c r="A539" s="27"/>
      <c r="B539" s="28"/>
      <c r="C539" s="28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</row>
    <row r="540">
      <c r="A540" s="27"/>
      <c r="B540" s="28"/>
      <c r="C540" s="28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</row>
    <row r="541">
      <c r="A541" s="27"/>
      <c r="B541" s="28"/>
      <c r="C541" s="28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</row>
    <row r="542">
      <c r="A542" s="27"/>
      <c r="B542" s="28"/>
      <c r="C542" s="28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</row>
    <row r="543">
      <c r="A543" s="27"/>
      <c r="B543" s="28"/>
      <c r="C543" s="28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</row>
    <row r="544">
      <c r="A544" s="27"/>
      <c r="B544" s="28"/>
      <c r="C544" s="28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</row>
    <row r="545">
      <c r="A545" s="27"/>
      <c r="B545" s="28"/>
      <c r="C545" s="28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</row>
    <row r="546">
      <c r="A546" s="27"/>
      <c r="B546" s="28"/>
      <c r="C546" s="28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</row>
    <row r="547">
      <c r="A547" s="27"/>
      <c r="B547" s="28"/>
      <c r="C547" s="28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</row>
    <row r="548">
      <c r="A548" s="27"/>
      <c r="B548" s="28"/>
      <c r="C548" s="28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</row>
    <row r="549">
      <c r="A549" s="27"/>
      <c r="B549" s="28"/>
      <c r="C549" s="28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</row>
    <row r="550">
      <c r="A550" s="27"/>
      <c r="B550" s="28"/>
      <c r="C550" s="28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</row>
    <row r="551">
      <c r="A551" s="27"/>
      <c r="B551" s="28"/>
      <c r="C551" s="28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</row>
    <row r="552">
      <c r="A552" s="27"/>
      <c r="B552" s="28"/>
      <c r="C552" s="28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</row>
    <row r="553">
      <c r="A553" s="27"/>
      <c r="B553" s="28"/>
      <c r="C553" s="28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</row>
    <row r="554">
      <c r="A554" s="27"/>
      <c r="B554" s="28"/>
      <c r="C554" s="28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</row>
    <row r="555">
      <c r="A555" s="27"/>
      <c r="B555" s="28"/>
      <c r="C555" s="28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</row>
    <row r="556">
      <c r="A556" s="27"/>
      <c r="B556" s="28"/>
      <c r="C556" s="28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</row>
    <row r="557">
      <c r="A557" s="27"/>
      <c r="B557" s="28"/>
      <c r="C557" s="28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</row>
    <row r="558">
      <c r="A558" s="27"/>
      <c r="B558" s="28"/>
      <c r="C558" s="28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</row>
    <row r="559">
      <c r="A559" s="27"/>
      <c r="B559" s="28"/>
      <c r="C559" s="28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</row>
    <row r="560">
      <c r="A560" s="27"/>
      <c r="B560" s="28"/>
      <c r="C560" s="28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</row>
    <row r="561">
      <c r="A561" s="27"/>
      <c r="B561" s="28"/>
      <c r="C561" s="28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</row>
    <row r="562">
      <c r="A562" s="27"/>
      <c r="B562" s="28"/>
      <c r="C562" s="28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</row>
    <row r="563">
      <c r="A563" s="27"/>
      <c r="B563" s="28"/>
      <c r="C563" s="28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</row>
    <row r="564">
      <c r="A564" s="27"/>
      <c r="B564" s="28"/>
      <c r="C564" s="28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</row>
    <row r="565">
      <c r="A565" s="27"/>
      <c r="B565" s="28"/>
      <c r="C565" s="28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</row>
    <row r="566">
      <c r="A566" s="27"/>
      <c r="B566" s="28"/>
      <c r="C566" s="28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</row>
    <row r="567">
      <c r="A567" s="27"/>
      <c r="B567" s="28"/>
      <c r="C567" s="28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</row>
    <row r="568">
      <c r="A568" s="27"/>
      <c r="B568" s="28"/>
      <c r="C568" s="28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</row>
    <row r="569">
      <c r="A569" s="27"/>
      <c r="B569" s="28"/>
      <c r="C569" s="28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</row>
    <row r="570">
      <c r="A570" s="27"/>
      <c r="B570" s="28"/>
      <c r="C570" s="28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</row>
    <row r="571">
      <c r="A571" s="27"/>
      <c r="B571" s="28"/>
      <c r="C571" s="28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</row>
    <row r="572">
      <c r="A572" s="27"/>
      <c r="B572" s="28"/>
      <c r="C572" s="28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</row>
    <row r="573">
      <c r="A573" s="27"/>
      <c r="B573" s="28"/>
      <c r="C573" s="28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</row>
    <row r="574">
      <c r="A574" s="27"/>
      <c r="B574" s="28"/>
      <c r="C574" s="28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</row>
    <row r="575">
      <c r="A575" s="27"/>
      <c r="B575" s="28"/>
      <c r="C575" s="28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</row>
    <row r="576">
      <c r="A576" s="27"/>
      <c r="B576" s="28"/>
      <c r="C576" s="28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</row>
    <row r="577">
      <c r="A577" s="27"/>
      <c r="B577" s="28"/>
      <c r="C577" s="28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</row>
    <row r="578">
      <c r="A578" s="27"/>
      <c r="B578" s="28"/>
      <c r="C578" s="28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</row>
    <row r="579">
      <c r="A579" s="27"/>
      <c r="B579" s="28"/>
      <c r="C579" s="28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</row>
    <row r="580">
      <c r="A580" s="27"/>
      <c r="B580" s="28"/>
      <c r="C580" s="28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</row>
    <row r="581">
      <c r="A581" s="27"/>
      <c r="B581" s="28"/>
      <c r="C581" s="28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</row>
    <row r="582">
      <c r="A582" s="27"/>
      <c r="B582" s="28"/>
      <c r="C582" s="28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</row>
    <row r="583">
      <c r="A583" s="27"/>
      <c r="B583" s="28"/>
      <c r="C583" s="28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</row>
    <row r="584">
      <c r="A584" s="27"/>
      <c r="B584" s="28"/>
      <c r="C584" s="28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</row>
    <row r="585">
      <c r="A585" s="27"/>
      <c r="B585" s="28"/>
      <c r="C585" s="28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</row>
    <row r="586">
      <c r="A586" s="27"/>
      <c r="B586" s="28"/>
      <c r="C586" s="28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</row>
    <row r="587">
      <c r="A587" s="27"/>
      <c r="B587" s="28"/>
      <c r="C587" s="28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</row>
    <row r="588">
      <c r="A588" s="27"/>
      <c r="B588" s="28"/>
      <c r="C588" s="28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</row>
    <row r="589">
      <c r="A589" s="27"/>
      <c r="B589" s="28"/>
      <c r="C589" s="28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</row>
    <row r="590">
      <c r="A590" s="27"/>
      <c r="B590" s="28"/>
      <c r="C590" s="28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</row>
    <row r="591">
      <c r="A591" s="27"/>
      <c r="B591" s="28"/>
      <c r="C591" s="28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</row>
    <row r="592">
      <c r="A592" s="27"/>
      <c r="B592" s="28"/>
      <c r="C592" s="28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</row>
    <row r="593">
      <c r="A593" s="27"/>
      <c r="B593" s="28"/>
      <c r="C593" s="28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</row>
    <row r="594">
      <c r="A594" s="27"/>
      <c r="B594" s="28"/>
      <c r="C594" s="28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</row>
    <row r="595">
      <c r="A595" s="27"/>
      <c r="B595" s="28"/>
      <c r="C595" s="28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</row>
    <row r="596">
      <c r="A596" s="27"/>
      <c r="B596" s="28"/>
      <c r="C596" s="28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</row>
    <row r="597">
      <c r="A597" s="27"/>
      <c r="B597" s="28"/>
      <c r="C597" s="28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</row>
    <row r="598">
      <c r="A598" s="27"/>
      <c r="B598" s="28"/>
      <c r="C598" s="28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</row>
    <row r="599">
      <c r="A599" s="27"/>
      <c r="B599" s="28"/>
      <c r="C599" s="28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</row>
    <row r="600">
      <c r="A600" s="27"/>
      <c r="B600" s="28"/>
      <c r="C600" s="28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</row>
    <row r="601">
      <c r="A601" s="27"/>
      <c r="B601" s="28"/>
      <c r="C601" s="28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</row>
    <row r="602">
      <c r="A602" s="27"/>
      <c r="B602" s="28"/>
      <c r="C602" s="28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</row>
    <row r="603">
      <c r="A603" s="27"/>
      <c r="B603" s="28"/>
      <c r="C603" s="28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</row>
    <row r="604">
      <c r="A604" s="27"/>
      <c r="B604" s="28"/>
      <c r="C604" s="28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</row>
    <row r="605">
      <c r="A605" s="27"/>
      <c r="B605" s="28"/>
      <c r="C605" s="28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</row>
    <row r="606">
      <c r="A606" s="27"/>
      <c r="B606" s="28"/>
      <c r="C606" s="28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</row>
    <row r="607">
      <c r="A607" s="27"/>
      <c r="B607" s="28"/>
      <c r="C607" s="28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</row>
    <row r="608">
      <c r="A608" s="27"/>
      <c r="B608" s="28"/>
      <c r="C608" s="28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</row>
    <row r="609">
      <c r="A609" s="27"/>
      <c r="B609" s="28"/>
      <c r="C609" s="28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</row>
    <row r="610">
      <c r="A610" s="27"/>
      <c r="B610" s="28"/>
      <c r="C610" s="28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</row>
    <row r="611">
      <c r="A611" s="27"/>
      <c r="B611" s="28"/>
      <c r="C611" s="28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</row>
    <row r="612">
      <c r="A612" s="27"/>
      <c r="B612" s="28"/>
      <c r="C612" s="28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</row>
    <row r="613">
      <c r="A613" s="27"/>
      <c r="B613" s="28"/>
      <c r="C613" s="28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</row>
    <row r="614">
      <c r="A614" s="27"/>
      <c r="B614" s="28"/>
      <c r="C614" s="28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</row>
    <row r="615">
      <c r="A615" s="27"/>
      <c r="B615" s="28"/>
      <c r="C615" s="28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</row>
    <row r="616">
      <c r="A616" s="27"/>
      <c r="B616" s="28"/>
      <c r="C616" s="28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</row>
    <row r="617">
      <c r="A617" s="27"/>
      <c r="B617" s="28"/>
      <c r="C617" s="28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</row>
    <row r="618">
      <c r="A618" s="27"/>
      <c r="B618" s="28"/>
      <c r="C618" s="28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</row>
    <row r="619">
      <c r="A619" s="27"/>
      <c r="B619" s="28"/>
      <c r="C619" s="28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</row>
    <row r="620">
      <c r="A620" s="27"/>
      <c r="B620" s="28"/>
      <c r="C620" s="28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</row>
    <row r="621">
      <c r="A621" s="27"/>
      <c r="B621" s="28"/>
      <c r="C621" s="28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</row>
    <row r="622">
      <c r="A622" s="27"/>
      <c r="B622" s="28"/>
      <c r="C622" s="28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</row>
    <row r="623">
      <c r="A623" s="27"/>
      <c r="B623" s="28"/>
      <c r="C623" s="28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</row>
    <row r="624">
      <c r="A624" s="27"/>
      <c r="B624" s="28"/>
      <c r="C624" s="28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</row>
    <row r="625">
      <c r="A625" s="27"/>
      <c r="B625" s="28"/>
      <c r="C625" s="28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</row>
    <row r="626">
      <c r="A626" s="27"/>
      <c r="B626" s="28"/>
      <c r="C626" s="28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</row>
    <row r="627">
      <c r="A627" s="27"/>
      <c r="B627" s="28"/>
      <c r="C627" s="28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</row>
    <row r="628">
      <c r="A628" s="27"/>
      <c r="B628" s="28"/>
      <c r="C628" s="28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</row>
    <row r="629">
      <c r="A629" s="27"/>
      <c r="B629" s="28"/>
      <c r="C629" s="28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</row>
    <row r="630">
      <c r="A630" s="27"/>
      <c r="B630" s="28"/>
      <c r="C630" s="28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</row>
    <row r="631">
      <c r="A631" s="27"/>
      <c r="B631" s="28"/>
      <c r="C631" s="28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</row>
    <row r="632">
      <c r="A632" s="27"/>
      <c r="B632" s="28"/>
      <c r="C632" s="28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</row>
    <row r="633">
      <c r="A633" s="27"/>
      <c r="B633" s="28"/>
      <c r="C633" s="28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</row>
    <row r="634">
      <c r="A634" s="27"/>
      <c r="B634" s="28"/>
      <c r="C634" s="28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</row>
    <row r="635">
      <c r="A635" s="27"/>
      <c r="B635" s="28"/>
      <c r="C635" s="28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</row>
    <row r="636">
      <c r="A636" s="27"/>
      <c r="B636" s="28"/>
      <c r="C636" s="28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</row>
    <row r="637">
      <c r="A637" s="27"/>
      <c r="B637" s="28"/>
      <c r="C637" s="28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</row>
    <row r="638">
      <c r="A638" s="27"/>
      <c r="B638" s="28"/>
      <c r="C638" s="28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</row>
    <row r="639">
      <c r="A639" s="27"/>
      <c r="B639" s="28"/>
      <c r="C639" s="28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</row>
    <row r="640">
      <c r="A640" s="27"/>
      <c r="B640" s="28"/>
      <c r="C640" s="28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</row>
    <row r="641">
      <c r="A641" s="27"/>
      <c r="B641" s="28"/>
      <c r="C641" s="28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</row>
    <row r="642">
      <c r="A642" s="27"/>
      <c r="B642" s="28"/>
      <c r="C642" s="28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</row>
    <row r="643">
      <c r="A643" s="27"/>
      <c r="B643" s="28"/>
      <c r="C643" s="28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</row>
    <row r="644">
      <c r="A644" s="27"/>
      <c r="B644" s="28"/>
      <c r="C644" s="28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</row>
    <row r="645">
      <c r="A645" s="27"/>
      <c r="B645" s="28"/>
      <c r="C645" s="28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</row>
    <row r="646">
      <c r="A646" s="27"/>
      <c r="B646" s="28"/>
      <c r="C646" s="28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</row>
    <row r="647">
      <c r="A647" s="27"/>
      <c r="B647" s="28"/>
      <c r="C647" s="28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</row>
    <row r="648">
      <c r="A648" s="27"/>
      <c r="B648" s="28"/>
      <c r="C648" s="28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</row>
    <row r="649">
      <c r="A649" s="27"/>
      <c r="B649" s="28"/>
      <c r="C649" s="28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</row>
    <row r="650">
      <c r="A650" s="27"/>
      <c r="B650" s="28"/>
      <c r="C650" s="28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</row>
    <row r="651">
      <c r="A651" s="27"/>
      <c r="B651" s="28"/>
      <c r="C651" s="28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</row>
    <row r="652">
      <c r="A652" s="27"/>
      <c r="B652" s="28"/>
      <c r="C652" s="28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</row>
    <row r="653">
      <c r="A653" s="27"/>
      <c r="B653" s="28"/>
      <c r="C653" s="28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</row>
    <row r="654">
      <c r="A654" s="27"/>
      <c r="B654" s="28"/>
      <c r="C654" s="28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</row>
    <row r="655">
      <c r="A655" s="27"/>
      <c r="B655" s="28"/>
      <c r="C655" s="28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</row>
    <row r="656">
      <c r="A656" s="27"/>
      <c r="B656" s="28"/>
      <c r="C656" s="28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</row>
    <row r="657">
      <c r="A657" s="27"/>
      <c r="B657" s="28"/>
      <c r="C657" s="28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</row>
    <row r="658">
      <c r="A658" s="27"/>
      <c r="B658" s="28"/>
      <c r="C658" s="28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</row>
    <row r="659">
      <c r="A659" s="27"/>
      <c r="B659" s="28"/>
      <c r="C659" s="28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</row>
    <row r="660">
      <c r="A660" s="27"/>
      <c r="B660" s="28"/>
      <c r="C660" s="28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</row>
    <row r="661">
      <c r="A661" s="27"/>
      <c r="B661" s="28"/>
      <c r="C661" s="28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</row>
    <row r="662">
      <c r="A662" s="27"/>
      <c r="B662" s="28"/>
      <c r="C662" s="28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</row>
    <row r="663">
      <c r="A663" s="27"/>
      <c r="B663" s="28"/>
      <c r="C663" s="28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</row>
    <row r="664">
      <c r="A664" s="27"/>
      <c r="B664" s="28"/>
      <c r="C664" s="28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</row>
    <row r="665">
      <c r="A665" s="27"/>
      <c r="B665" s="28"/>
      <c r="C665" s="28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</row>
    <row r="666">
      <c r="A666" s="27"/>
      <c r="B666" s="28"/>
      <c r="C666" s="28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</row>
    <row r="667">
      <c r="A667" s="27"/>
      <c r="B667" s="28"/>
      <c r="C667" s="28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</row>
    <row r="668">
      <c r="A668" s="27"/>
      <c r="B668" s="28"/>
      <c r="C668" s="28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</row>
    <row r="669">
      <c r="A669" s="27"/>
      <c r="B669" s="28"/>
      <c r="C669" s="28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</row>
    <row r="670">
      <c r="A670" s="27"/>
      <c r="B670" s="28"/>
      <c r="C670" s="28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</row>
    <row r="671">
      <c r="A671" s="27"/>
      <c r="B671" s="28"/>
      <c r="C671" s="28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</row>
    <row r="672">
      <c r="A672" s="27"/>
      <c r="B672" s="28"/>
      <c r="C672" s="28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</row>
    <row r="673">
      <c r="A673" s="27"/>
      <c r="B673" s="28"/>
      <c r="C673" s="28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</row>
    <row r="674">
      <c r="A674" s="27"/>
      <c r="B674" s="28"/>
      <c r="C674" s="28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</row>
    <row r="675">
      <c r="A675" s="27"/>
      <c r="B675" s="28"/>
      <c r="C675" s="28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</row>
    <row r="676">
      <c r="A676" s="27"/>
      <c r="B676" s="28"/>
      <c r="C676" s="28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</row>
    <row r="677">
      <c r="A677" s="27"/>
      <c r="B677" s="28"/>
      <c r="C677" s="28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</row>
    <row r="678">
      <c r="A678" s="27"/>
      <c r="B678" s="28"/>
      <c r="C678" s="28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</row>
    <row r="679">
      <c r="A679" s="27"/>
      <c r="B679" s="28"/>
      <c r="C679" s="28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</row>
    <row r="680">
      <c r="A680" s="27"/>
      <c r="B680" s="28"/>
      <c r="C680" s="28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</row>
    <row r="681">
      <c r="A681" s="27"/>
      <c r="B681" s="28"/>
      <c r="C681" s="28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</row>
    <row r="682">
      <c r="A682" s="27"/>
      <c r="B682" s="28"/>
      <c r="C682" s="28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</row>
    <row r="683">
      <c r="A683" s="27"/>
      <c r="B683" s="28"/>
      <c r="C683" s="28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</row>
    <row r="684">
      <c r="A684" s="27"/>
      <c r="B684" s="28"/>
      <c r="C684" s="28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</row>
    <row r="685">
      <c r="A685" s="27"/>
      <c r="B685" s="28"/>
      <c r="C685" s="28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</row>
    <row r="686">
      <c r="A686" s="27"/>
      <c r="B686" s="28"/>
      <c r="C686" s="28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</row>
    <row r="687">
      <c r="A687" s="27"/>
      <c r="B687" s="28"/>
      <c r="C687" s="28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</row>
    <row r="688">
      <c r="A688" s="27"/>
      <c r="B688" s="28"/>
      <c r="C688" s="28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</row>
    <row r="689">
      <c r="A689" s="27"/>
      <c r="B689" s="28"/>
      <c r="C689" s="28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</row>
    <row r="690">
      <c r="A690" s="27"/>
      <c r="B690" s="28"/>
      <c r="C690" s="28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</row>
    <row r="691">
      <c r="A691" s="27"/>
      <c r="B691" s="28"/>
      <c r="C691" s="28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</row>
    <row r="692">
      <c r="A692" s="27"/>
      <c r="B692" s="28"/>
      <c r="C692" s="28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</row>
    <row r="693">
      <c r="A693" s="27"/>
      <c r="B693" s="28"/>
      <c r="C693" s="28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</row>
    <row r="694">
      <c r="A694" s="27"/>
      <c r="B694" s="28"/>
      <c r="C694" s="28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</row>
    <row r="695">
      <c r="A695" s="27"/>
      <c r="B695" s="28"/>
      <c r="C695" s="28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</row>
    <row r="696">
      <c r="A696" s="27"/>
      <c r="B696" s="28"/>
      <c r="C696" s="28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</row>
    <row r="697">
      <c r="A697" s="27"/>
      <c r="B697" s="28"/>
      <c r="C697" s="28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</row>
    <row r="698">
      <c r="A698" s="27"/>
      <c r="B698" s="28"/>
      <c r="C698" s="28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</row>
    <row r="699">
      <c r="A699" s="27"/>
      <c r="B699" s="28"/>
      <c r="C699" s="28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</row>
    <row r="700">
      <c r="A700" s="27"/>
      <c r="B700" s="28"/>
      <c r="C700" s="28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</row>
    <row r="701">
      <c r="A701" s="27"/>
      <c r="B701" s="28"/>
      <c r="C701" s="28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</row>
    <row r="702">
      <c r="A702" s="27"/>
      <c r="B702" s="28"/>
      <c r="C702" s="28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</row>
    <row r="703">
      <c r="A703" s="27"/>
      <c r="B703" s="28"/>
      <c r="C703" s="28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</row>
    <row r="704">
      <c r="A704" s="27"/>
      <c r="B704" s="28"/>
      <c r="C704" s="28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</row>
    <row r="705">
      <c r="A705" s="27"/>
      <c r="B705" s="28"/>
      <c r="C705" s="28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</row>
    <row r="706">
      <c r="A706" s="27"/>
      <c r="B706" s="28"/>
      <c r="C706" s="28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</row>
    <row r="707">
      <c r="A707" s="27"/>
      <c r="B707" s="28"/>
      <c r="C707" s="28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</row>
    <row r="708">
      <c r="A708" s="27"/>
      <c r="B708" s="28"/>
      <c r="C708" s="28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</row>
    <row r="709">
      <c r="A709" s="27"/>
      <c r="B709" s="28"/>
      <c r="C709" s="28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</row>
    <row r="710">
      <c r="A710" s="27"/>
      <c r="B710" s="28"/>
      <c r="C710" s="28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</row>
    <row r="711">
      <c r="A711" s="27"/>
      <c r="B711" s="28"/>
      <c r="C711" s="28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</row>
    <row r="712">
      <c r="A712" s="27"/>
      <c r="B712" s="28"/>
      <c r="C712" s="28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</row>
    <row r="713">
      <c r="A713" s="27"/>
      <c r="B713" s="28"/>
      <c r="C713" s="28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</row>
    <row r="714">
      <c r="A714" s="27"/>
      <c r="B714" s="28"/>
      <c r="C714" s="28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</row>
    <row r="715">
      <c r="A715" s="27"/>
      <c r="B715" s="28"/>
      <c r="C715" s="28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</row>
    <row r="716">
      <c r="A716" s="27"/>
      <c r="B716" s="28"/>
      <c r="C716" s="28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</row>
    <row r="717">
      <c r="A717" s="27"/>
      <c r="B717" s="28"/>
      <c r="C717" s="28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</row>
    <row r="718">
      <c r="A718" s="27"/>
      <c r="B718" s="28"/>
      <c r="C718" s="28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</row>
    <row r="719">
      <c r="A719" s="27"/>
      <c r="B719" s="28"/>
      <c r="C719" s="28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</row>
    <row r="720">
      <c r="A720" s="27"/>
      <c r="B720" s="28"/>
      <c r="C720" s="28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</row>
    <row r="721">
      <c r="A721" s="27"/>
      <c r="B721" s="28"/>
      <c r="C721" s="28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</row>
    <row r="722">
      <c r="A722" s="27"/>
      <c r="B722" s="28"/>
      <c r="C722" s="28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</row>
    <row r="723">
      <c r="A723" s="27"/>
      <c r="B723" s="28"/>
      <c r="C723" s="28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</row>
    <row r="724">
      <c r="A724" s="27"/>
      <c r="B724" s="28"/>
      <c r="C724" s="28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</row>
    <row r="725">
      <c r="A725" s="27"/>
      <c r="B725" s="28"/>
      <c r="C725" s="28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</row>
    <row r="726">
      <c r="A726" s="27"/>
      <c r="B726" s="28"/>
      <c r="C726" s="28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</row>
    <row r="727">
      <c r="A727" s="27"/>
      <c r="B727" s="28"/>
      <c r="C727" s="28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</row>
    <row r="728">
      <c r="A728" s="27"/>
      <c r="B728" s="28"/>
      <c r="C728" s="28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</row>
    <row r="729">
      <c r="A729" s="27"/>
      <c r="B729" s="28"/>
      <c r="C729" s="28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</row>
    <row r="730">
      <c r="A730" s="27"/>
      <c r="B730" s="28"/>
      <c r="C730" s="28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</row>
    <row r="731">
      <c r="A731" s="27"/>
      <c r="B731" s="28"/>
      <c r="C731" s="28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</row>
    <row r="732">
      <c r="A732" s="27"/>
      <c r="B732" s="28"/>
      <c r="C732" s="28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</row>
    <row r="733">
      <c r="A733" s="27"/>
      <c r="B733" s="28"/>
      <c r="C733" s="28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</row>
    <row r="734">
      <c r="A734" s="27"/>
      <c r="B734" s="28"/>
      <c r="C734" s="28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</row>
    <row r="735">
      <c r="A735" s="27"/>
      <c r="B735" s="28"/>
      <c r="C735" s="28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</row>
    <row r="736">
      <c r="A736" s="27"/>
      <c r="B736" s="28"/>
      <c r="C736" s="28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</row>
    <row r="737">
      <c r="A737" s="27"/>
      <c r="B737" s="28"/>
      <c r="C737" s="28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</row>
    <row r="738">
      <c r="A738" s="27"/>
      <c r="B738" s="28"/>
      <c r="C738" s="28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</row>
    <row r="739">
      <c r="A739" s="27"/>
      <c r="B739" s="28"/>
      <c r="C739" s="28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</row>
    <row r="740">
      <c r="A740" s="27"/>
      <c r="B740" s="28"/>
      <c r="C740" s="28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</row>
    <row r="741">
      <c r="A741" s="27"/>
      <c r="B741" s="28"/>
      <c r="C741" s="28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</row>
    <row r="742">
      <c r="A742" s="27"/>
      <c r="B742" s="28"/>
      <c r="C742" s="28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</row>
    <row r="743">
      <c r="A743" s="27"/>
      <c r="B743" s="28"/>
      <c r="C743" s="28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</row>
    <row r="744">
      <c r="A744" s="27"/>
      <c r="B744" s="28"/>
      <c r="C744" s="28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</row>
    <row r="745">
      <c r="A745" s="27"/>
      <c r="B745" s="28"/>
      <c r="C745" s="28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</row>
    <row r="746">
      <c r="A746" s="27"/>
      <c r="B746" s="28"/>
      <c r="C746" s="28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</row>
    <row r="747">
      <c r="A747" s="27"/>
      <c r="B747" s="28"/>
      <c r="C747" s="28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</row>
    <row r="748">
      <c r="A748" s="27"/>
      <c r="B748" s="28"/>
      <c r="C748" s="28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</row>
    <row r="749">
      <c r="A749" s="27"/>
      <c r="B749" s="28"/>
      <c r="C749" s="28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</row>
    <row r="750">
      <c r="A750" s="27"/>
      <c r="B750" s="28"/>
      <c r="C750" s="28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</row>
    <row r="751">
      <c r="A751" s="27"/>
      <c r="B751" s="28"/>
      <c r="C751" s="28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</row>
    <row r="752">
      <c r="A752" s="27"/>
      <c r="B752" s="28"/>
      <c r="C752" s="28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</row>
    <row r="753">
      <c r="A753" s="27"/>
      <c r="B753" s="28"/>
      <c r="C753" s="28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</row>
    <row r="754">
      <c r="A754" s="27"/>
      <c r="B754" s="28"/>
      <c r="C754" s="28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</row>
    <row r="755">
      <c r="A755" s="27"/>
      <c r="B755" s="28"/>
      <c r="C755" s="28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</row>
    <row r="756">
      <c r="A756" s="27"/>
      <c r="B756" s="28"/>
      <c r="C756" s="28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</row>
    <row r="757">
      <c r="A757" s="27"/>
      <c r="B757" s="28"/>
      <c r="C757" s="28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</row>
    <row r="758">
      <c r="A758" s="27"/>
      <c r="B758" s="28"/>
      <c r="C758" s="28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</row>
    <row r="759">
      <c r="A759" s="27"/>
      <c r="B759" s="28"/>
      <c r="C759" s="28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</row>
    <row r="760">
      <c r="A760" s="27"/>
      <c r="B760" s="28"/>
      <c r="C760" s="28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</row>
    <row r="761">
      <c r="A761" s="27"/>
      <c r="B761" s="28"/>
      <c r="C761" s="28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</row>
    <row r="762">
      <c r="A762" s="27"/>
      <c r="B762" s="28"/>
      <c r="C762" s="28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</row>
    <row r="763">
      <c r="A763" s="27"/>
      <c r="B763" s="28"/>
      <c r="C763" s="28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</row>
    <row r="764">
      <c r="A764" s="27"/>
      <c r="B764" s="28"/>
      <c r="C764" s="28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</row>
    <row r="765">
      <c r="A765" s="27"/>
      <c r="B765" s="28"/>
      <c r="C765" s="28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</row>
    <row r="766">
      <c r="A766" s="27"/>
      <c r="B766" s="28"/>
      <c r="C766" s="28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</row>
    <row r="767">
      <c r="A767" s="27"/>
      <c r="B767" s="28"/>
      <c r="C767" s="28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</row>
    <row r="768">
      <c r="A768" s="27"/>
      <c r="B768" s="28"/>
      <c r="C768" s="28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</row>
    <row r="769">
      <c r="A769" s="27"/>
      <c r="B769" s="28"/>
      <c r="C769" s="28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</row>
    <row r="770">
      <c r="A770" s="27"/>
      <c r="B770" s="28"/>
      <c r="C770" s="28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</row>
    <row r="771">
      <c r="A771" s="27"/>
      <c r="B771" s="28"/>
      <c r="C771" s="28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</row>
    <row r="772">
      <c r="A772" s="27"/>
      <c r="B772" s="28"/>
      <c r="C772" s="28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</row>
    <row r="773">
      <c r="A773" s="27"/>
      <c r="B773" s="28"/>
      <c r="C773" s="28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</row>
    <row r="774">
      <c r="A774" s="27"/>
      <c r="B774" s="28"/>
      <c r="C774" s="28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</row>
    <row r="775">
      <c r="A775" s="27"/>
      <c r="B775" s="28"/>
      <c r="C775" s="28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</row>
    <row r="776">
      <c r="A776" s="27"/>
      <c r="B776" s="28"/>
      <c r="C776" s="28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</row>
    <row r="777">
      <c r="A777" s="27"/>
      <c r="B777" s="28"/>
      <c r="C777" s="28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</row>
    <row r="778">
      <c r="A778" s="27"/>
      <c r="B778" s="28"/>
      <c r="C778" s="28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</row>
    <row r="779">
      <c r="A779" s="27"/>
      <c r="B779" s="28"/>
      <c r="C779" s="28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</row>
    <row r="780">
      <c r="A780" s="27"/>
      <c r="B780" s="28"/>
      <c r="C780" s="28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</row>
    <row r="781">
      <c r="A781" s="27"/>
      <c r="B781" s="28"/>
      <c r="C781" s="28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</row>
    <row r="782">
      <c r="A782" s="27"/>
      <c r="B782" s="28"/>
      <c r="C782" s="28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</row>
    <row r="783">
      <c r="A783" s="27"/>
      <c r="B783" s="28"/>
      <c r="C783" s="28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</row>
    <row r="784">
      <c r="A784" s="27"/>
      <c r="B784" s="28"/>
      <c r="C784" s="28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</row>
    <row r="785">
      <c r="A785" s="27"/>
      <c r="B785" s="28"/>
      <c r="C785" s="28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</row>
    <row r="786">
      <c r="A786" s="27"/>
      <c r="B786" s="28"/>
      <c r="C786" s="28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</row>
    <row r="787">
      <c r="A787" s="27"/>
      <c r="B787" s="28"/>
      <c r="C787" s="28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</row>
    <row r="788">
      <c r="A788" s="27"/>
      <c r="B788" s="28"/>
      <c r="C788" s="28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</row>
    <row r="789">
      <c r="A789" s="27"/>
      <c r="B789" s="28"/>
      <c r="C789" s="28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</row>
    <row r="790">
      <c r="A790" s="27"/>
      <c r="B790" s="28"/>
      <c r="C790" s="28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</row>
    <row r="791">
      <c r="A791" s="27"/>
      <c r="B791" s="28"/>
      <c r="C791" s="28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</row>
    <row r="792">
      <c r="A792" s="27"/>
      <c r="B792" s="28"/>
      <c r="C792" s="28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</row>
    <row r="793">
      <c r="A793" s="27"/>
      <c r="B793" s="28"/>
      <c r="C793" s="28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</row>
    <row r="794">
      <c r="A794" s="27"/>
      <c r="B794" s="28"/>
      <c r="C794" s="28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</row>
    <row r="795">
      <c r="A795" s="27"/>
      <c r="B795" s="28"/>
      <c r="C795" s="28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</row>
    <row r="796">
      <c r="A796" s="27"/>
      <c r="B796" s="28"/>
      <c r="C796" s="28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</row>
    <row r="797">
      <c r="A797" s="27"/>
      <c r="B797" s="28"/>
      <c r="C797" s="28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</row>
    <row r="798">
      <c r="A798" s="27"/>
      <c r="B798" s="28"/>
      <c r="C798" s="28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</row>
    <row r="799">
      <c r="A799" s="27"/>
      <c r="B799" s="28"/>
      <c r="C799" s="28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</row>
    <row r="800">
      <c r="A800" s="27"/>
      <c r="B800" s="28"/>
      <c r="C800" s="28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</row>
    <row r="801">
      <c r="A801" s="27"/>
      <c r="B801" s="28"/>
      <c r="C801" s="28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</row>
    <row r="802">
      <c r="A802" s="27"/>
      <c r="B802" s="28"/>
      <c r="C802" s="28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</row>
    <row r="803">
      <c r="A803" s="27"/>
      <c r="B803" s="28"/>
      <c r="C803" s="28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</row>
    <row r="804">
      <c r="A804" s="27"/>
      <c r="B804" s="28"/>
      <c r="C804" s="28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</row>
    <row r="805">
      <c r="A805" s="27"/>
      <c r="B805" s="28"/>
      <c r="C805" s="28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</row>
    <row r="806">
      <c r="A806" s="27"/>
      <c r="B806" s="28"/>
      <c r="C806" s="28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</row>
    <row r="807">
      <c r="A807" s="27"/>
      <c r="B807" s="28"/>
      <c r="C807" s="28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</row>
    <row r="808">
      <c r="A808" s="27"/>
      <c r="B808" s="28"/>
      <c r="C808" s="28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</row>
    <row r="809">
      <c r="A809" s="27"/>
      <c r="B809" s="28"/>
      <c r="C809" s="28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</row>
    <row r="810">
      <c r="A810" s="27"/>
      <c r="B810" s="28"/>
      <c r="C810" s="28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</row>
    <row r="811">
      <c r="A811" s="27"/>
      <c r="B811" s="28"/>
      <c r="C811" s="28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</row>
    <row r="812">
      <c r="A812" s="27"/>
      <c r="B812" s="28"/>
      <c r="C812" s="28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</row>
    <row r="813">
      <c r="A813" s="27"/>
      <c r="B813" s="28"/>
      <c r="C813" s="28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</row>
    <row r="814">
      <c r="A814" s="27"/>
      <c r="B814" s="28"/>
      <c r="C814" s="28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</row>
    <row r="815">
      <c r="A815" s="27"/>
      <c r="B815" s="28"/>
      <c r="C815" s="28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</row>
    <row r="816">
      <c r="A816" s="27"/>
      <c r="B816" s="28"/>
      <c r="C816" s="28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</row>
    <row r="817">
      <c r="A817" s="27"/>
      <c r="B817" s="28"/>
      <c r="C817" s="28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</row>
    <row r="818">
      <c r="A818" s="27"/>
      <c r="B818" s="28"/>
      <c r="C818" s="28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</row>
    <row r="819">
      <c r="A819" s="27"/>
      <c r="B819" s="28"/>
      <c r="C819" s="28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</row>
    <row r="820">
      <c r="A820" s="27"/>
      <c r="B820" s="28"/>
      <c r="C820" s="28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</row>
    <row r="821">
      <c r="A821" s="27"/>
      <c r="B821" s="28"/>
      <c r="C821" s="28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</row>
    <row r="822">
      <c r="A822" s="27"/>
      <c r="B822" s="28"/>
      <c r="C822" s="28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</row>
    <row r="823">
      <c r="A823" s="27"/>
      <c r="B823" s="28"/>
      <c r="C823" s="28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</row>
    <row r="824">
      <c r="A824" s="27"/>
      <c r="B824" s="28"/>
      <c r="C824" s="28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</row>
    <row r="825">
      <c r="A825" s="27"/>
      <c r="B825" s="28"/>
      <c r="C825" s="28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</row>
    <row r="826">
      <c r="A826" s="27"/>
      <c r="B826" s="28"/>
      <c r="C826" s="28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</row>
    <row r="827">
      <c r="A827" s="27"/>
      <c r="B827" s="28"/>
      <c r="C827" s="28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</row>
    <row r="828">
      <c r="A828" s="27"/>
      <c r="B828" s="28"/>
      <c r="C828" s="28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</row>
    <row r="829">
      <c r="A829" s="27"/>
      <c r="B829" s="28"/>
      <c r="C829" s="28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</row>
    <row r="830">
      <c r="A830" s="27"/>
      <c r="B830" s="28"/>
      <c r="C830" s="28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</row>
    <row r="831">
      <c r="A831" s="27"/>
      <c r="B831" s="28"/>
      <c r="C831" s="28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</row>
    <row r="832">
      <c r="A832" s="27"/>
      <c r="B832" s="28"/>
      <c r="C832" s="28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</row>
    <row r="833">
      <c r="A833" s="27"/>
      <c r="B833" s="28"/>
      <c r="C833" s="28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</row>
    <row r="834">
      <c r="A834" s="27"/>
      <c r="B834" s="28"/>
      <c r="C834" s="28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</row>
    <row r="835">
      <c r="A835" s="27"/>
      <c r="B835" s="28"/>
      <c r="C835" s="28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</row>
    <row r="836">
      <c r="A836" s="27"/>
      <c r="B836" s="28"/>
      <c r="C836" s="28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</row>
    <row r="837">
      <c r="A837" s="27"/>
      <c r="B837" s="28"/>
      <c r="C837" s="28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</row>
    <row r="838">
      <c r="A838" s="27"/>
      <c r="B838" s="28"/>
      <c r="C838" s="28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</row>
    <row r="839">
      <c r="A839" s="27"/>
      <c r="B839" s="28"/>
      <c r="C839" s="28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</row>
    <row r="840">
      <c r="A840" s="27"/>
      <c r="B840" s="28"/>
      <c r="C840" s="28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</row>
    <row r="841">
      <c r="A841" s="27"/>
      <c r="B841" s="28"/>
      <c r="C841" s="28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</row>
    <row r="842">
      <c r="A842" s="27"/>
      <c r="B842" s="28"/>
      <c r="C842" s="28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</row>
    <row r="843">
      <c r="A843" s="27"/>
      <c r="B843" s="28"/>
      <c r="C843" s="28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</row>
    <row r="844">
      <c r="A844" s="27"/>
      <c r="B844" s="28"/>
      <c r="C844" s="28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</row>
    <row r="845">
      <c r="A845" s="27"/>
      <c r="B845" s="28"/>
      <c r="C845" s="28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</row>
    <row r="846">
      <c r="A846" s="27"/>
      <c r="B846" s="28"/>
      <c r="C846" s="28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</row>
    <row r="847">
      <c r="A847" s="27"/>
      <c r="B847" s="28"/>
      <c r="C847" s="28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</row>
    <row r="848">
      <c r="A848" s="27"/>
      <c r="B848" s="28"/>
      <c r="C848" s="28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</row>
    <row r="849">
      <c r="A849" s="27"/>
      <c r="B849" s="28"/>
      <c r="C849" s="28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</row>
    <row r="850">
      <c r="A850" s="27"/>
      <c r="B850" s="28"/>
      <c r="C850" s="28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</row>
    <row r="851">
      <c r="A851" s="27"/>
      <c r="B851" s="28"/>
      <c r="C851" s="28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</row>
    <row r="852">
      <c r="A852" s="27"/>
      <c r="B852" s="28"/>
      <c r="C852" s="28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</row>
    <row r="853">
      <c r="A853" s="27"/>
      <c r="B853" s="28"/>
      <c r="C853" s="28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</row>
    <row r="854">
      <c r="A854" s="27"/>
      <c r="B854" s="28"/>
      <c r="C854" s="28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</row>
    <row r="855">
      <c r="A855" s="27"/>
      <c r="B855" s="28"/>
      <c r="C855" s="28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</row>
    <row r="856">
      <c r="A856" s="27"/>
      <c r="B856" s="28"/>
      <c r="C856" s="28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</row>
    <row r="857">
      <c r="A857" s="27"/>
      <c r="B857" s="28"/>
      <c r="C857" s="28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</row>
    <row r="858">
      <c r="A858" s="27"/>
      <c r="B858" s="28"/>
      <c r="C858" s="28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</row>
    <row r="859">
      <c r="A859" s="27"/>
      <c r="B859" s="28"/>
      <c r="C859" s="28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</row>
    <row r="860">
      <c r="A860" s="27"/>
      <c r="B860" s="28"/>
      <c r="C860" s="28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</row>
    <row r="861">
      <c r="A861" s="27"/>
      <c r="B861" s="28"/>
      <c r="C861" s="28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</row>
    <row r="862">
      <c r="A862" s="27"/>
      <c r="B862" s="28"/>
      <c r="C862" s="28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</row>
    <row r="863">
      <c r="A863" s="27"/>
      <c r="B863" s="28"/>
      <c r="C863" s="28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</row>
    <row r="864">
      <c r="A864" s="27"/>
      <c r="B864" s="28"/>
      <c r="C864" s="28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</row>
    <row r="865">
      <c r="A865" s="27"/>
      <c r="B865" s="28"/>
      <c r="C865" s="28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</row>
    <row r="866">
      <c r="A866" s="27"/>
      <c r="B866" s="28"/>
      <c r="C866" s="28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</row>
    <row r="867">
      <c r="A867" s="27"/>
      <c r="B867" s="28"/>
      <c r="C867" s="28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</row>
    <row r="868">
      <c r="A868" s="27"/>
      <c r="B868" s="28"/>
      <c r="C868" s="28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</row>
    <row r="869">
      <c r="A869" s="27"/>
      <c r="B869" s="28"/>
      <c r="C869" s="28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</row>
    <row r="870">
      <c r="A870" s="27"/>
      <c r="B870" s="28"/>
      <c r="C870" s="28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</row>
    <row r="871">
      <c r="A871" s="27"/>
      <c r="B871" s="28"/>
      <c r="C871" s="28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</row>
    <row r="872">
      <c r="A872" s="27"/>
      <c r="B872" s="28"/>
      <c r="C872" s="28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</row>
    <row r="873">
      <c r="A873" s="27"/>
      <c r="B873" s="28"/>
      <c r="C873" s="28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</row>
    <row r="874">
      <c r="A874" s="27"/>
      <c r="B874" s="28"/>
      <c r="C874" s="28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</row>
    <row r="875">
      <c r="A875" s="27"/>
      <c r="B875" s="28"/>
      <c r="C875" s="28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</row>
    <row r="876">
      <c r="A876" s="27"/>
      <c r="B876" s="28"/>
      <c r="C876" s="28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</row>
    <row r="877">
      <c r="A877" s="27"/>
      <c r="B877" s="28"/>
      <c r="C877" s="28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</row>
    <row r="878">
      <c r="A878" s="27"/>
      <c r="B878" s="28"/>
      <c r="C878" s="28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</row>
    <row r="879">
      <c r="A879" s="27"/>
      <c r="B879" s="28"/>
      <c r="C879" s="28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</row>
    <row r="880">
      <c r="A880" s="27"/>
      <c r="B880" s="28"/>
      <c r="C880" s="28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</row>
    <row r="881">
      <c r="A881" s="27"/>
      <c r="B881" s="28"/>
      <c r="C881" s="28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</row>
    <row r="882">
      <c r="A882" s="27"/>
      <c r="B882" s="28"/>
      <c r="C882" s="28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</row>
    <row r="883">
      <c r="A883" s="27"/>
      <c r="B883" s="28"/>
      <c r="C883" s="28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</row>
    <row r="884">
      <c r="A884" s="27"/>
      <c r="B884" s="28"/>
      <c r="C884" s="28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</row>
    <row r="885">
      <c r="A885" s="27"/>
      <c r="B885" s="28"/>
      <c r="C885" s="28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</row>
    <row r="886">
      <c r="A886" s="27"/>
      <c r="B886" s="28"/>
      <c r="C886" s="28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</row>
    <row r="887">
      <c r="A887" s="27"/>
      <c r="B887" s="28"/>
      <c r="C887" s="28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</row>
    <row r="888">
      <c r="A888" s="27"/>
      <c r="B888" s="28"/>
      <c r="C888" s="28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</row>
    <row r="889">
      <c r="A889" s="27"/>
      <c r="B889" s="28"/>
      <c r="C889" s="28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</row>
    <row r="890">
      <c r="A890" s="27"/>
      <c r="B890" s="28"/>
      <c r="C890" s="28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</row>
    <row r="891">
      <c r="A891" s="27"/>
      <c r="B891" s="28"/>
      <c r="C891" s="28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</row>
    <row r="892">
      <c r="A892" s="27"/>
      <c r="B892" s="28"/>
      <c r="C892" s="28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</row>
    <row r="893">
      <c r="A893" s="27"/>
      <c r="B893" s="28"/>
      <c r="C893" s="28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</row>
    <row r="894">
      <c r="A894" s="27"/>
      <c r="B894" s="28"/>
      <c r="C894" s="28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</row>
    <row r="895">
      <c r="A895" s="27"/>
      <c r="B895" s="28"/>
      <c r="C895" s="28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</row>
    <row r="896">
      <c r="A896" s="27"/>
      <c r="B896" s="28"/>
      <c r="C896" s="28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</row>
    <row r="897">
      <c r="A897" s="27"/>
      <c r="B897" s="28"/>
      <c r="C897" s="28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</row>
    <row r="898">
      <c r="A898" s="27"/>
      <c r="B898" s="28"/>
      <c r="C898" s="28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</row>
    <row r="899">
      <c r="A899" s="27"/>
      <c r="B899" s="28"/>
      <c r="C899" s="28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</row>
    <row r="900">
      <c r="A900" s="27"/>
      <c r="B900" s="28"/>
      <c r="C900" s="28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</row>
    <row r="901">
      <c r="A901" s="27"/>
      <c r="B901" s="28"/>
      <c r="C901" s="28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</row>
    <row r="902">
      <c r="A902" s="27"/>
      <c r="B902" s="28"/>
      <c r="C902" s="28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</row>
    <row r="903">
      <c r="A903" s="27"/>
      <c r="B903" s="28"/>
      <c r="C903" s="28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</row>
    <row r="904">
      <c r="A904" s="27"/>
      <c r="B904" s="28"/>
      <c r="C904" s="28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</row>
    <row r="905">
      <c r="A905" s="27"/>
      <c r="B905" s="28"/>
      <c r="C905" s="28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</row>
    <row r="906">
      <c r="A906" s="27"/>
      <c r="B906" s="28"/>
      <c r="C906" s="28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</row>
    <row r="907">
      <c r="A907" s="27"/>
      <c r="B907" s="28"/>
      <c r="C907" s="28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</row>
    <row r="908">
      <c r="A908" s="27"/>
      <c r="B908" s="28"/>
      <c r="C908" s="28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</row>
    <row r="909">
      <c r="A909" s="27"/>
      <c r="B909" s="28"/>
      <c r="C909" s="28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</row>
    <row r="910">
      <c r="A910" s="27"/>
      <c r="B910" s="28"/>
      <c r="C910" s="28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</row>
    <row r="911">
      <c r="A911" s="27"/>
      <c r="B911" s="28"/>
      <c r="C911" s="28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</row>
    <row r="912">
      <c r="A912" s="27"/>
      <c r="B912" s="28"/>
      <c r="C912" s="28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</row>
    <row r="913">
      <c r="A913" s="27"/>
      <c r="B913" s="28"/>
      <c r="C913" s="28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</row>
    <row r="914">
      <c r="A914" s="27"/>
      <c r="B914" s="28"/>
      <c r="C914" s="28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</row>
    <row r="915">
      <c r="A915" s="27"/>
      <c r="B915" s="28"/>
      <c r="C915" s="28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</row>
    <row r="916">
      <c r="A916" s="27"/>
      <c r="B916" s="28"/>
      <c r="C916" s="28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</row>
    <row r="917">
      <c r="A917" s="27"/>
      <c r="B917" s="28"/>
      <c r="C917" s="28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</row>
    <row r="918">
      <c r="A918" s="27"/>
      <c r="B918" s="28"/>
      <c r="C918" s="28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</row>
    <row r="919">
      <c r="A919" s="27"/>
      <c r="B919" s="28"/>
      <c r="C919" s="28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</row>
    <row r="920">
      <c r="A920" s="27"/>
      <c r="B920" s="28"/>
      <c r="C920" s="28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</row>
    <row r="921">
      <c r="A921" s="27"/>
      <c r="B921" s="28"/>
      <c r="C921" s="28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</row>
    <row r="922">
      <c r="A922" s="27"/>
      <c r="B922" s="28"/>
      <c r="C922" s="28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</row>
    <row r="923">
      <c r="A923" s="27"/>
      <c r="B923" s="28"/>
      <c r="C923" s="28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</row>
    <row r="924">
      <c r="A924" s="27"/>
      <c r="B924" s="28"/>
      <c r="C924" s="28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</row>
    <row r="925">
      <c r="A925" s="27"/>
      <c r="B925" s="28"/>
      <c r="C925" s="28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</row>
    <row r="926">
      <c r="A926" s="27"/>
      <c r="B926" s="28"/>
      <c r="C926" s="28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</row>
    <row r="927">
      <c r="A927" s="27"/>
      <c r="B927" s="28"/>
      <c r="C927" s="28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</row>
    <row r="928">
      <c r="A928" s="27"/>
      <c r="B928" s="28"/>
      <c r="C928" s="28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</row>
    <row r="929">
      <c r="A929" s="27"/>
      <c r="B929" s="28"/>
      <c r="C929" s="28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</row>
    <row r="930">
      <c r="A930" s="27"/>
      <c r="B930" s="28"/>
      <c r="C930" s="28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</row>
    <row r="931">
      <c r="A931" s="27"/>
      <c r="B931" s="28"/>
      <c r="C931" s="28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</row>
    <row r="932">
      <c r="A932" s="27"/>
      <c r="B932" s="28"/>
      <c r="C932" s="28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</row>
    <row r="933">
      <c r="A933" s="27"/>
      <c r="B933" s="28"/>
      <c r="C933" s="28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</row>
    <row r="934">
      <c r="A934" s="27"/>
      <c r="B934" s="28"/>
      <c r="C934" s="28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</row>
    <row r="935">
      <c r="A935" s="27"/>
      <c r="B935" s="28"/>
      <c r="C935" s="28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</row>
    <row r="936">
      <c r="A936" s="27"/>
      <c r="B936" s="28"/>
      <c r="C936" s="28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</row>
    <row r="937">
      <c r="A937" s="27"/>
      <c r="B937" s="28"/>
      <c r="C937" s="28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</row>
    <row r="938">
      <c r="A938" s="27"/>
      <c r="B938" s="28"/>
      <c r="C938" s="28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</row>
    <row r="939">
      <c r="A939" s="27"/>
      <c r="B939" s="28"/>
      <c r="C939" s="28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</row>
    <row r="940">
      <c r="A940" s="27"/>
      <c r="B940" s="28"/>
      <c r="C940" s="28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</row>
    <row r="941">
      <c r="A941" s="27"/>
      <c r="B941" s="28"/>
      <c r="C941" s="28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</row>
    <row r="942">
      <c r="A942" s="27"/>
      <c r="B942" s="28"/>
      <c r="C942" s="28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</row>
    <row r="943">
      <c r="A943" s="27"/>
      <c r="B943" s="28"/>
      <c r="C943" s="28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</row>
    <row r="944">
      <c r="A944" s="27"/>
      <c r="B944" s="28"/>
      <c r="C944" s="28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</row>
    <row r="945">
      <c r="A945" s="27"/>
      <c r="B945" s="28"/>
      <c r="C945" s="28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</row>
    <row r="946">
      <c r="A946" s="27"/>
      <c r="B946" s="28"/>
      <c r="C946" s="28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</row>
    <row r="947">
      <c r="A947" s="27"/>
      <c r="B947" s="28"/>
      <c r="C947" s="28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</row>
    <row r="948">
      <c r="A948" s="27"/>
      <c r="B948" s="28"/>
      <c r="C948" s="28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</row>
    <row r="949">
      <c r="A949" s="27"/>
      <c r="B949" s="28"/>
      <c r="C949" s="28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</row>
    <row r="950">
      <c r="A950" s="27"/>
      <c r="B950" s="28"/>
      <c r="C950" s="28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</row>
    <row r="951">
      <c r="A951" s="27"/>
      <c r="B951" s="28"/>
      <c r="C951" s="28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</row>
    <row r="952">
      <c r="A952" s="27"/>
      <c r="B952" s="28"/>
      <c r="C952" s="28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</row>
    <row r="953">
      <c r="A953" s="27"/>
      <c r="B953" s="28"/>
      <c r="C953" s="28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</row>
    <row r="954">
      <c r="A954" s="27"/>
      <c r="B954" s="28"/>
      <c r="C954" s="28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</row>
    <row r="955">
      <c r="A955" s="27"/>
      <c r="B955" s="28"/>
      <c r="C955" s="28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</row>
    <row r="956">
      <c r="A956" s="27"/>
      <c r="B956" s="28"/>
      <c r="C956" s="28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</row>
    <row r="957">
      <c r="A957" s="27"/>
      <c r="B957" s="28"/>
      <c r="C957" s="28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</row>
    <row r="958">
      <c r="A958" s="27"/>
      <c r="B958" s="28"/>
      <c r="C958" s="28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</row>
    <row r="959">
      <c r="A959" s="27"/>
      <c r="B959" s="28"/>
      <c r="C959" s="28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</row>
    <row r="960">
      <c r="A960" s="27"/>
      <c r="B960" s="28"/>
      <c r="C960" s="28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</row>
    <row r="961">
      <c r="A961" s="27"/>
      <c r="B961" s="28"/>
      <c r="C961" s="28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</row>
    <row r="962">
      <c r="A962" s="27"/>
      <c r="B962" s="28"/>
      <c r="C962" s="28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</row>
    <row r="963">
      <c r="A963" s="27"/>
      <c r="B963" s="28"/>
      <c r="C963" s="28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</row>
    <row r="964">
      <c r="A964" s="27"/>
      <c r="B964" s="28"/>
      <c r="C964" s="28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</row>
    <row r="965">
      <c r="A965" s="27"/>
      <c r="B965" s="28"/>
      <c r="C965" s="28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</row>
    <row r="966">
      <c r="A966" s="27"/>
      <c r="B966" s="28"/>
      <c r="C966" s="28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</row>
    <row r="967">
      <c r="A967" s="27"/>
      <c r="B967" s="28"/>
      <c r="C967" s="28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</row>
    <row r="968">
      <c r="A968" s="27"/>
      <c r="B968" s="28"/>
      <c r="C968" s="28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</row>
    <row r="969">
      <c r="A969" s="27"/>
      <c r="B969" s="28"/>
      <c r="C969" s="28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</row>
    <row r="970">
      <c r="A970" s="27"/>
      <c r="B970" s="28"/>
      <c r="C970" s="28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</row>
    <row r="971">
      <c r="A971" s="27"/>
      <c r="B971" s="28"/>
      <c r="C971" s="28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</row>
    <row r="972">
      <c r="A972" s="27"/>
      <c r="B972" s="28"/>
      <c r="C972" s="28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</row>
    <row r="973">
      <c r="A973" s="27"/>
      <c r="B973" s="28"/>
      <c r="C973" s="28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</row>
    <row r="974">
      <c r="A974" s="27"/>
      <c r="B974" s="28"/>
      <c r="C974" s="28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</row>
    <row r="975">
      <c r="A975" s="27"/>
      <c r="B975" s="28"/>
      <c r="C975" s="28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</row>
    <row r="976">
      <c r="A976" s="27"/>
      <c r="B976" s="28"/>
      <c r="C976" s="28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</row>
    <row r="977">
      <c r="A977" s="27"/>
      <c r="B977" s="28"/>
      <c r="C977" s="28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</row>
    <row r="978">
      <c r="A978" s="27"/>
      <c r="B978" s="28"/>
      <c r="C978" s="28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</row>
    <row r="979">
      <c r="A979" s="27"/>
      <c r="B979" s="28"/>
      <c r="C979" s="28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</row>
    <row r="980">
      <c r="A980" s="27"/>
      <c r="B980" s="28"/>
      <c r="C980" s="28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</row>
    <row r="981">
      <c r="A981" s="27"/>
      <c r="B981" s="28"/>
      <c r="C981" s="28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</row>
    <row r="982">
      <c r="A982" s="27"/>
      <c r="B982" s="28"/>
      <c r="C982" s="28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</row>
    <row r="983">
      <c r="A983" s="27"/>
      <c r="B983" s="28"/>
      <c r="C983" s="28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</row>
    <row r="984">
      <c r="A984" s="27"/>
      <c r="B984" s="28"/>
      <c r="C984" s="28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</row>
    <row r="985">
      <c r="A985" s="27"/>
      <c r="B985" s="28"/>
      <c r="C985" s="28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</row>
    <row r="986">
      <c r="A986" s="27"/>
      <c r="B986" s="28"/>
      <c r="C986" s="28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</row>
    <row r="987">
      <c r="A987" s="27"/>
      <c r="B987" s="28"/>
      <c r="C987" s="28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</row>
    <row r="988">
      <c r="A988" s="27"/>
      <c r="B988" s="28"/>
      <c r="C988" s="28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</row>
    <row r="989">
      <c r="A989" s="27"/>
      <c r="B989" s="28"/>
      <c r="C989" s="28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</row>
    <row r="990">
      <c r="A990" s="27"/>
      <c r="B990" s="28"/>
      <c r="C990" s="28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</row>
    <row r="991">
      <c r="A991" s="27"/>
      <c r="B991" s="28"/>
      <c r="C991" s="28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</row>
    <row r="992">
      <c r="A992" s="27"/>
      <c r="B992" s="28"/>
      <c r="C992" s="28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</row>
    <row r="993">
      <c r="A993" s="27"/>
      <c r="B993" s="28"/>
      <c r="C993" s="28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</row>
    <row r="994">
      <c r="A994" s="27"/>
      <c r="B994" s="28"/>
      <c r="C994" s="28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</row>
    <row r="995">
      <c r="A995" s="27"/>
      <c r="B995" s="28"/>
      <c r="C995" s="28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</row>
    <row r="996">
      <c r="A996" s="27"/>
      <c r="B996" s="28"/>
      <c r="C996" s="28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</row>
    <row r="997">
      <c r="A997" s="27"/>
      <c r="B997" s="28"/>
      <c r="C997" s="28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</row>
    <row r="998">
      <c r="A998" s="27"/>
      <c r="B998" s="28"/>
      <c r="C998" s="28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</row>
    <row r="999">
      <c r="A999" s="27"/>
      <c r="B999" s="28"/>
      <c r="C999" s="28"/>
      <c r="D999" s="27"/>
      <c r="E999" s="27"/>
      <c r="F999" s="27"/>
      <c r="G999" s="27"/>
      <c r="H999" s="28"/>
      <c r="I999" s="28"/>
      <c r="J999" s="28"/>
      <c r="K999" s="28"/>
      <c r="L999" s="28"/>
      <c r="M999" s="28"/>
      <c r="N999" s="28"/>
      <c r="O999" s="28"/>
    </row>
    <row r="1000">
      <c r="A1000" s="27"/>
      <c r="B1000" s="28">
        <f>IFERROR(__xludf.DUMMYFUNCTION("""COMPUTED_VALUE"""),1.0)</f>
        <v>1</v>
      </c>
      <c r="C1000" s="28">
        <f>IFERROR(__xludf.DUMMYFUNCTION("""COMPUTED_VALUE"""),2.0)</f>
        <v>2</v>
      </c>
      <c r="D1000" s="27">
        <f>IFERROR(__xludf.DUMMYFUNCTION("""COMPUTED_VALUE"""),3.0)</f>
        <v>3</v>
      </c>
      <c r="E1000" s="27">
        <f>IFERROR(__xludf.DUMMYFUNCTION("""COMPUTED_VALUE"""),4.0)</f>
        <v>4</v>
      </c>
      <c r="F1000" s="27">
        <f>IFERROR(__xludf.DUMMYFUNCTION("""COMPUTED_VALUE"""),5.0)</f>
        <v>5</v>
      </c>
      <c r="G1000" s="27">
        <f>IFERROR(__xludf.DUMMYFUNCTION("""COMPUTED_VALUE"""),6.0)</f>
        <v>6</v>
      </c>
      <c r="H1000" s="28">
        <f>IFERROR(__xludf.DUMMYFUNCTION("""COMPUTED_VALUE"""),7.0)</f>
        <v>7</v>
      </c>
      <c r="I1000" s="28">
        <f>IFERROR(__xludf.DUMMYFUNCTION("""COMPUTED_VALUE"""),8.0)</f>
        <v>8</v>
      </c>
      <c r="J1000" s="28">
        <f>IFERROR(__xludf.DUMMYFUNCTION("""COMPUTED_VALUE"""),9.0)</f>
        <v>9</v>
      </c>
      <c r="K1000" s="28">
        <f>IFERROR(__xludf.DUMMYFUNCTION("""COMPUTED_VALUE"""),10.0)</f>
        <v>10</v>
      </c>
      <c r="L1000" s="28">
        <f>IFERROR(__xludf.DUMMYFUNCTION("""COMPUTED_VALUE"""),11.0)</f>
        <v>11</v>
      </c>
      <c r="M1000" s="28">
        <f>IFERROR(__xludf.DUMMYFUNCTION("""COMPUTED_VALUE"""),12.0)</f>
        <v>12</v>
      </c>
      <c r="N1000" s="28">
        <f>IFERROR(__xludf.DUMMYFUNCTION("""COMPUTED_VALUE"""),13.0)</f>
        <v>13</v>
      </c>
      <c r="O1000" s="28">
        <f>IFERROR(__xludf.DUMMYFUNCTION("""COMPUTED_VALUE"""),14.0)</f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38.75"/>
    <col customWidth="1" min="3" max="3" width="10.38"/>
    <col customWidth="1" min="4" max="4" width="8.38"/>
    <col customWidth="1" min="5" max="5" width="7.25"/>
    <col customWidth="1" min="6" max="6" width="8.38"/>
    <col customWidth="1" min="7" max="7" width="13.5"/>
    <col customWidth="1" min="8" max="8" width="28.13"/>
    <col customWidth="1" min="9" max="9" width="27.5"/>
    <col customWidth="1" min="10" max="10" width="87.0"/>
    <col customWidth="1" min="11" max="11" width="14.0"/>
    <col customWidth="1" min="12" max="12" width="10.5"/>
    <col customWidth="1" min="13" max="13" width="8.5"/>
    <col customWidth="1" min="14" max="14" width="14.13"/>
    <col customWidth="1" min="15" max="15" width="9.38"/>
    <col customWidth="1" min="16" max="16" width="6.75"/>
    <col customWidth="1" min="17" max="17" width="3.75"/>
    <col customWidth="1" min="18" max="19" width="22.13"/>
    <col customWidth="1" min="20" max="20" width="8.75"/>
    <col customWidth="1" min="21" max="76" width="12.63"/>
  </cols>
  <sheetData>
    <row r="1" ht="54.75" customHeight="1">
      <c r="A1" s="25" t="str">
        <f>IFERROR(__xludf.DUMMYFUNCTION("IMPORTRANGE(""1zX-umb3R89BgfKel8PDMhvmSxirG3S70xT_uaVwqKyM/edit?gid=651441010#gid=651441010"",""B!A1:O1000"")"),"NO")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IFERROR(__xludf.DUMMYFUNCTION("""COMPUTED_VALUE"""),"ASRAMA")</f>
        <v>ASRAMA</v>
      </c>
      <c r="E1" s="25" t="str">
        <f>IFERROR(__xludf.DUMMYFUNCTION("""COMPUTED_VALUE"""),"KAMAR")</f>
        <v>KAMAR</v>
      </c>
      <c r="F1" s="25" t="str">
        <f>IFERROR(__xludf.DUMMYFUNCTION("""COMPUTED_VALUE"""),"TINGKAT")</f>
        <v>TINGKAT</v>
      </c>
      <c r="G1" s="25" t="str">
        <f>IFERROR(__xludf.DUMMYFUNCTION("""COMPUTED_VALUE"""),"MADRASIAH")</f>
        <v>MADRASIAH</v>
      </c>
      <c r="H1" s="25" t="str">
        <f>IFERROR(__xludf.DUMMYFUNCTION("""COMPUTED_VALUE"""),"AYAH")</f>
        <v>AYAH</v>
      </c>
      <c r="I1" s="25" t="str">
        <f>IFERROR(__xludf.DUMMYFUNCTION("""COMPUTED_VALUE"""),"IBU")</f>
        <v>IBU</v>
      </c>
      <c r="J1" s="25" t="str">
        <f>IFERROR(__xludf.DUMMYFUNCTION("""COMPUTED_VALUE"""),"ALAMAT")</f>
        <v>ALAMAT</v>
      </c>
      <c r="K1" s="26" t="str">
        <f>IFERROR(__xludf.DUMMYFUNCTION("""COMPUTED_VALUE"""),"WA")</f>
        <v>WA</v>
      </c>
      <c r="L1" s="25" t="str">
        <f>IFERROR(__xludf.DUMMYFUNCTION("""COMPUTED_VALUE"""),"JUMLAH SYAHRIYAH")</f>
        <v>JUMLAH SYAHRIYAH</v>
      </c>
      <c r="M1" s="25" t="str">
        <f>IFERROR(__xludf.DUMMYFUNCTION("""COMPUTED_VALUE"""),"JUMLAH JARIYAH")</f>
        <v>JUMLAH JARIYAH</v>
      </c>
      <c r="N1" s="25" t="str">
        <f>IFERROR(__xludf.DUMMYFUNCTION("""COMPUTED_VALUE"""),"JUMLAH DAFTAR ULANG")</f>
        <v>JUMLAH DAFTAR ULANG</v>
      </c>
      <c r="O1" s="25" t="str">
        <f>IFERROR(__xludf.DUMMYFUNCTION("""COMPUTED_VALUE"""),"JUMLAH TOTAL TUNGGAKAN")</f>
        <v>JUMLAH TOTAL TUNGGAKAN</v>
      </c>
      <c r="P1" s="30"/>
      <c r="Q1" s="30"/>
      <c r="R1" s="30"/>
      <c r="S1" s="30"/>
      <c r="T1" s="30"/>
      <c r="U1" s="30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</row>
    <row r="2">
      <c r="A2" s="27">
        <f>IFERROR(__xludf.DUMMYFUNCTION("""COMPUTED_VALUE"""),1.0)</f>
        <v>1</v>
      </c>
      <c r="B2" s="28" t="str">
        <f>IFERROR(__xludf.DUMMYFUNCTION("""COMPUTED_VALUE"""),"ALDA RISMAYANTI")</f>
        <v>ALDA RISMAYANTI</v>
      </c>
      <c r="C2" s="28">
        <f>IFERROR(__xludf.DUMMYFUNCTION("""COMPUTED_VALUE"""),2.025070378E9)</f>
        <v>2025070378</v>
      </c>
      <c r="D2" s="27" t="str">
        <f>IFERROR(__xludf.DUMMYFUNCTION("""COMPUTED_VALUE"""),"B")</f>
        <v>B</v>
      </c>
      <c r="E2" s="27" t="str">
        <f>IFERROR(__xludf.DUMMYFUNCTION("""COMPUTED_VALUE"""),"B-1")</f>
        <v>B-1</v>
      </c>
      <c r="F2" s="31">
        <f>IFERROR(__xludf.DUMMYFUNCTION("""COMPUTED_VALUE"""),2.0)</f>
        <v>2</v>
      </c>
      <c r="G2" s="27" t="str">
        <f>IFERROR(__xludf.DUMMYFUNCTION("""COMPUTED_VALUE"""),"2 WUSTHO C PUTRI")</f>
        <v>2 WUSTHO C PUTRI</v>
      </c>
      <c r="H2" s="28" t="str">
        <f>IFERROR(__xludf.DUMMYFUNCTION("""COMPUTED_VALUE"""),"DIDIK PRAMONO")</f>
        <v>DIDIK PRAMONO</v>
      </c>
      <c r="I2" s="28" t="str">
        <f>IFERROR(__xludf.DUMMYFUNCTION("""COMPUTED_VALUE"""),"UMALIYAH")</f>
        <v>UMALIYAH</v>
      </c>
      <c r="J2" s="28" t="str">
        <f>IFERROR(__xludf.DUMMYFUNCTION("""COMPUTED_VALUE"""),"TENGGULUN RT 001 RW 001 SOLOKURO LAMONGAN")</f>
        <v>TENGGULUN RT 001 RW 001 SOLOKURO LAMONGAN</v>
      </c>
      <c r="K2" s="29" t="str">
        <f>IFERROR(__xludf.DUMMYFUNCTION("""COMPUTED_VALUE"""),"6285746669052")</f>
        <v>6285746669052</v>
      </c>
      <c r="L2" s="22">
        <f>IFERROR(__xludf.DUMMYFUNCTION("""COMPUTED_VALUE"""),0.0)</f>
        <v>0</v>
      </c>
      <c r="M2" s="22">
        <f>IFERROR(__xludf.DUMMYFUNCTION("""COMPUTED_VALUE"""),0.0)</f>
        <v>0</v>
      </c>
      <c r="N2" s="22">
        <f>IFERROR(__xludf.DUMMYFUNCTION("""COMPUTED_VALUE"""),0.0)</f>
        <v>0</v>
      </c>
      <c r="O2" s="22">
        <f>IFERROR(__xludf.DUMMYFUNCTION("""COMPUTED_VALUE"""),0.0)</f>
        <v>0</v>
      </c>
      <c r="P2" s="28" t="str">
        <f t="shared" ref="P2:P138" si="1">IF(N2=0,"LUNAS","BELUM")</f>
        <v>LUNAS</v>
      </c>
      <c r="Q2" s="28">
        <f t="shared" ref="Q2:Q138" si="2">_xlfn.RANK.EQ(O2,$O$2:$O$389,0)+COUNTIF($O$2:O2,O2)-1</f>
        <v>67</v>
      </c>
      <c r="R2" s="28" t="str">
        <f t="shared" ref="R2:R161" si="3">B2</f>
        <v>ALDA RISMAYANTI</v>
      </c>
      <c r="S2" s="28">
        <f>COUNTA(B2:B450)</f>
        <v>92</v>
      </c>
      <c r="T2" s="32" t="s">
        <v>30</v>
      </c>
    </row>
    <row r="3">
      <c r="A3" s="27">
        <f>IFERROR(__xludf.DUMMYFUNCTION("""COMPUTED_VALUE"""),2.0)</f>
        <v>2</v>
      </c>
      <c r="B3" s="28" t="str">
        <f>IFERROR(__xludf.DUMMYFUNCTION("""COMPUTED_VALUE"""),"ATIQO NAILATUL FAKHIROH")</f>
        <v>ATIQO NAILATUL FAKHIROH</v>
      </c>
      <c r="C3" s="28">
        <f>IFERROR(__xludf.DUMMYFUNCTION("""COMPUTED_VALUE"""),2.025070017E9)</f>
        <v>2025070017</v>
      </c>
      <c r="D3" s="27" t="str">
        <f>IFERROR(__xludf.DUMMYFUNCTION("""COMPUTED_VALUE"""),"B")</f>
        <v>B</v>
      </c>
      <c r="E3" s="27" t="str">
        <f>IFERROR(__xludf.DUMMYFUNCTION("""COMPUTED_VALUE"""),"B-1")</f>
        <v>B-1</v>
      </c>
      <c r="F3" s="31">
        <f>IFERROR(__xludf.DUMMYFUNCTION("""COMPUTED_VALUE"""),2.0)</f>
        <v>2</v>
      </c>
      <c r="G3" s="27" t="str">
        <f>IFERROR(__xludf.DUMMYFUNCTION("""COMPUTED_VALUE"""),"2 WUSTHO D PUTRI")</f>
        <v>2 WUSTHO D PUTRI</v>
      </c>
      <c r="H3" s="28" t="str">
        <f>IFERROR(__xludf.DUMMYFUNCTION("""COMPUTED_VALUE"""),"MUJTABA")</f>
        <v>MUJTABA</v>
      </c>
      <c r="I3" s="28" t="str">
        <f>IFERROR(__xludf.DUMMYFUNCTION("""COMPUTED_VALUE"""),"MUYASAROH")</f>
        <v>MUYASAROH</v>
      </c>
      <c r="J3" s="28" t="str">
        <f>IFERROR(__xludf.DUMMYFUNCTION("""COMPUTED_VALUE"""),"BALONGPANGGANG RT 004 RW 002 BALONGPANGGANG GRESIK")</f>
        <v>BALONGPANGGANG RT 004 RW 002 BALONGPANGGANG GRESIK</v>
      </c>
      <c r="K3" s="29" t="str">
        <f>IFERROR(__xludf.DUMMYFUNCTION("""COMPUTED_VALUE"""),"6282245008448")</f>
        <v>6282245008448</v>
      </c>
      <c r="L3" s="22">
        <f>IFERROR(__xludf.DUMMYFUNCTION("""COMPUTED_VALUE"""),0.0)</f>
        <v>0</v>
      </c>
      <c r="M3" s="22">
        <f>IFERROR(__xludf.DUMMYFUNCTION("""COMPUTED_VALUE"""),1000000.0)</f>
        <v>1000000</v>
      </c>
      <c r="N3" s="22">
        <f>IFERROR(__xludf.DUMMYFUNCTION("""COMPUTED_VALUE"""),0.0)</f>
        <v>0</v>
      </c>
      <c r="O3" s="22">
        <f>IFERROR(__xludf.DUMMYFUNCTION("""COMPUTED_VALUE"""),1000000.0)</f>
        <v>1000000</v>
      </c>
      <c r="P3" s="28" t="str">
        <f t="shared" si="1"/>
        <v>LUNAS</v>
      </c>
      <c r="Q3" s="28">
        <f t="shared" si="2"/>
        <v>35</v>
      </c>
      <c r="R3" s="28" t="str">
        <f t="shared" si="3"/>
        <v>ATIQO NAILATUL FAKHIROH</v>
      </c>
      <c r="S3" s="28">
        <f>COUNTIF(F:F,1)</f>
        <v>0</v>
      </c>
      <c r="T3" s="32" t="s">
        <v>17</v>
      </c>
    </row>
    <row r="4">
      <c r="A4" s="27">
        <f>IFERROR(__xludf.DUMMYFUNCTION("""COMPUTED_VALUE"""),3.0)</f>
        <v>3</v>
      </c>
      <c r="B4" s="28" t="str">
        <f>IFERROR(__xludf.DUMMYFUNCTION("""COMPUTED_VALUE"""),"AYU WIDYA")</f>
        <v>AYU WIDYA</v>
      </c>
      <c r="C4" s="28">
        <f>IFERROR(__xludf.DUMMYFUNCTION("""COMPUTED_VALUE"""),2.025070398E9)</f>
        <v>2025070398</v>
      </c>
      <c r="D4" s="27" t="str">
        <f>IFERROR(__xludf.DUMMYFUNCTION("""COMPUTED_VALUE"""),"B")</f>
        <v>B</v>
      </c>
      <c r="E4" s="27" t="str">
        <f>IFERROR(__xludf.DUMMYFUNCTION("""COMPUTED_VALUE"""),"B-1")</f>
        <v>B-1</v>
      </c>
      <c r="F4" s="31">
        <f>IFERROR(__xludf.DUMMYFUNCTION("""COMPUTED_VALUE"""),2.0)</f>
        <v>2</v>
      </c>
      <c r="G4" s="27" t="str">
        <f>IFERROR(__xludf.DUMMYFUNCTION("""COMPUTED_VALUE"""),"2 WUSTHO C PUTRI")</f>
        <v>2 WUSTHO C PUTRI</v>
      </c>
      <c r="H4" s="28" t="str">
        <f>IFERROR(__xludf.DUMMYFUNCTION("""COMPUTED_VALUE"""),"SHOLEH FUDIN")</f>
        <v>SHOLEH FUDIN</v>
      </c>
      <c r="I4" s="28" t="str">
        <f>IFERROR(__xludf.DUMMYFUNCTION("""COMPUTED_VALUE"""),"SITI NUR MASITO")</f>
        <v>SITI NUR MASITO</v>
      </c>
      <c r="J4" s="28" t="str">
        <f>IFERROR(__xludf.DUMMYFUNCTION("""COMPUTED_VALUE"""),"BLAWI RT 002 RW 003 KARANGBINANGUN LAMONGAN")</f>
        <v>BLAWI RT 002 RW 003 KARANGBINANGUN LAMONGAN</v>
      </c>
      <c r="K4" s="29" t="str">
        <f>IFERROR(__xludf.DUMMYFUNCTION("""COMPUTED_VALUE"""),"6285857702561")</f>
        <v>6285857702561</v>
      </c>
      <c r="L4" s="22">
        <f>IFERROR(__xludf.DUMMYFUNCTION("""COMPUTED_VALUE"""),0.0)</f>
        <v>0</v>
      </c>
      <c r="M4" s="22">
        <f>IFERROR(__xludf.DUMMYFUNCTION("""COMPUTED_VALUE"""),1600000.0)</f>
        <v>1600000</v>
      </c>
      <c r="N4" s="22">
        <f>IFERROR(__xludf.DUMMYFUNCTION("""COMPUTED_VALUE"""),0.0)</f>
        <v>0</v>
      </c>
      <c r="O4" s="22">
        <f>IFERROR(__xludf.DUMMYFUNCTION("""COMPUTED_VALUE"""),1600000.0)</f>
        <v>1600000</v>
      </c>
      <c r="P4" s="28" t="str">
        <f t="shared" si="1"/>
        <v>LUNAS</v>
      </c>
      <c r="Q4" s="28">
        <f t="shared" si="2"/>
        <v>24</v>
      </c>
      <c r="R4" s="28" t="str">
        <f t="shared" si="3"/>
        <v>AYU WIDYA</v>
      </c>
      <c r="S4" s="28">
        <f>COUNTIF(F:F,2)</f>
        <v>57</v>
      </c>
      <c r="T4" s="32" t="s">
        <v>18</v>
      </c>
    </row>
    <row r="5">
      <c r="A5" s="27">
        <f>IFERROR(__xludf.DUMMYFUNCTION("""COMPUTED_VALUE"""),4.0)</f>
        <v>4</v>
      </c>
      <c r="B5" s="28" t="str">
        <f>IFERROR(__xludf.DUMMYFUNCTION("""COMPUTED_VALUE"""),"BIYATI AHWARUNI")</f>
        <v>BIYATI AHWARUNI</v>
      </c>
      <c r="C5" s="28">
        <f>IFERROR(__xludf.DUMMYFUNCTION("""COMPUTED_VALUE"""),2.025070235E9)</f>
        <v>2025070235</v>
      </c>
      <c r="D5" s="27" t="str">
        <f>IFERROR(__xludf.DUMMYFUNCTION("""COMPUTED_VALUE"""),"B")</f>
        <v>B</v>
      </c>
      <c r="E5" s="27" t="str">
        <f>IFERROR(__xludf.DUMMYFUNCTION("""COMPUTED_VALUE"""),"B-1")</f>
        <v>B-1</v>
      </c>
      <c r="F5" s="31">
        <f>IFERROR(__xludf.DUMMYFUNCTION("""COMPUTED_VALUE"""),2.0)</f>
        <v>2</v>
      </c>
      <c r="G5" s="27" t="str">
        <f>IFERROR(__xludf.DUMMYFUNCTION("""COMPUTED_VALUE"""),"2 WUSTHO D PUTRI")</f>
        <v>2 WUSTHO D PUTRI</v>
      </c>
      <c r="H5" s="28" t="str">
        <f>IFERROR(__xludf.DUMMYFUNCTION("""COMPUTED_VALUE"""),"M SYA`RONI")</f>
        <v>M SYA`RONI</v>
      </c>
      <c r="I5" s="28" t="str">
        <f>IFERROR(__xludf.DUMMYFUNCTION("""COMPUTED_VALUE"""),"MAILISTIN")</f>
        <v>MAILISTIN</v>
      </c>
      <c r="J5" s="28" t="str">
        <f>IFERROR(__xludf.DUMMYFUNCTION("""COMPUTED_VALUE"""),"JANGGAN POMAHANJANGGAN RT 007 RW 003 TURI LAMONGAN")</f>
        <v>JANGGAN POMAHANJANGGAN RT 007 RW 003 TURI LAMONGAN</v>
      </c>
      <c r="K5" s="29" t="str">
        <f>IFERROR(__xludf.DUMMYFUNCTION("""COMPUTED_VALUE"""),"6285736466131")</f>
        <v>6285736466131</v>
      </c>
      <c r="L5" s="22">
        <f>IFERROR(__xludf.DUMMYFUNCTION("""COMPUTED_VALUE"""),900000.0)</f>
        <v>900000</v>
      </c>
      <c r="M5" s="22">
        <f>IFERROR(__xludf.DUMMYFUNCTION("""COMPUTED_VALUE"""),1600000.0)</f>
        <v>1600000</v>
      </c>
      <c r="N5" s="22">
        <f>IFERROR(__xludf.DUMMYFUNCTION("""COMPUTED_VALUE"""),0.0)</f>
        <v>0</v>
      </c>
      <c r="O5" s="22">
        <f>IFERROR(__xludf.DUMMYFUNCTION("""COMPUTED_VALUE"""),2500000.0)</f>
        <v>2500000</v>
      </c>
      <c r="P5" s="28" t="str">
        <f t="shared" si="1"/>
        <v>LUNAS</v>
      </c>
      <c r="Q5" s="28">
        <f t="shared" si="2"/>
        <v>15</v>
      </c>
      <c r="R5" s="28" t="str">
        <f t="shared" si="3"/>
        <v>BIYATI AHWARUNI</v>
      </c>
      <c r="S5" s="28">
        <f>COUNTIF(F:F,3)</f>
        <v>35</v>
      </c>
      <c r="T5" s="32" t="s">
        <v>19</v>
      </c>
    </row>
    <row r="6">
      <c r="A6" s="27">
        <f>IFERROR(__xludf.DUMMYFUNCTION("""COMPUTED_VALUE"""),5.0)</f>
        <v>5</v>
      </c>
      <c r="B6" s="28" t="str">
        <f>IFERROR(__xludf.DUMMYFUNCTION("""COMPUTED_VALUE"""),"DIAZ ATIKA RAIS")</f>
        <v>DIAZ ATIKA RAIS</v>
      </c>
      <c r="C6" s="28">
        <f>IFERROR(__xludf.DUMMYFUNCTION("""COMPUTED_VALUE"""),2.025070098E9)</f>
        <v>2025070098</v>
      </c>
      <c r="D6" s="27" t="str">
        <f>IFERROR(__xludf.DUMMYFUNCTION("""COMPUTED_VALUE"""),"B")</f>
        <v>B</v>
      </c>
      <c r="E6" s="27" t="str">
        <f>IFERROR(__xludf.DUMMYFUNCTION("""COMPUTED_VALUE"""),"B-1")</f>
        <v>B-1</v>
      </c>
      <c r="F6" s="31">
        <f>IFERROR(__xludf.DUMMYFUNCTION("""COMPUTED_VALUE"""),2.0)</f>
        <v>2</v>
      </c>
      <c r="G6" s="27" t="str">
        <f>IFERROR(__xludf.DUMMYFUNCTION("""COMPUTED_VALUE"""),"2 WUSTHO C PUTRI")</f>
        <v>2 WUSTHO C PUTRI</v>
      </c>
      <c r="H6" s="28" t="str">
        <f>IFERROR(__xludf.DUMMYFUNCTION("""COMPUTED_VALUE"""),"AINUL HIDAYAT")</f>
        <v>AINUL HIDAYAT</v>
      </c>
      <c r="I6" s="28" t="str">
        <f>IFERROR(__xludf.DUMMYFUNCTION("""COMPUTED_VALUE"""),"ARIKATUL MAKADAH")</f>
        <v>ARIKATUL MAKADAH</v>
      </c>
      <c r="J6" s="28" t="str">
        <f>IFERROR(__xludf.DUMMYFUNCTION("""COMPUTED_VALUE"""),"BADU WANAR RT 003 RW 007 PUCUK LAMONGAN")</f>
        <v>BADU WANAR RT 003 RW 007 PUCUK LAMONGAN</v>
      </c>
      <c r="K6" s="29" t="str">
        <f>IFERROR(__xludf.DUMMYFUNCTION("""COMPUTED_VALUE"""),"6285331177040")</f>
        <v>6285331177040</v>
      </c>
      <c r="L6" s="22">
        <f>IFERROR(__xludf.DUMMYFUNCTION("""COMPUTED_VALUE"""),900000.0)</f>
        <v>900000</v>
      </c>
      <c r="M6" s="22">
        <f>IFERROR(__xludf.DUMMYFUNCTION("""COMPUTED_VALUE"""),700000.0)</f>
        <v>700000</v>
      </c>
      <c r="N6" s="22">
        <f>IFERROR(__xludf.DUMMYFUNCTION("""COMPUTED_VALUE"""),0.0)</f>
        <v>0</v>
      </c>
      <c r="O6" s="22">
        <f>IFERROR(__xludf.DUMMYFUNCTION("""COMPUTED_VALUE"""),1600000.0)</f>
        <v>1600000</v>
      </c>
      <c r="P6" s="28" t="str">
        <f t="shared" si="1"/>
        <v>LUNAS</v>
      </c>
      <c r="Q6" s="28">
        <f t="shared" si="2"/>
        <v>25</v>
      </c>
      <c r="R6" s="28" t="str">
        <f t="shared" si="3"/>
        <v>DIAZ ATIKA RAIS</v>
      </c>
      <c r="S6" s="28">
        <f>COUNTIF(P:P,"LUNAS")</f>
        <v>134</v>
      </c>
      <c r="T6" s="32" t="s">
        <v>20</v>
      </c>
    </row>
    <row r="7">
      <c r="A7" s="27">
        <f>IFERROR(__xludf.DUMMYFUNCTION("""COMPUTED_VALUE"""),6.0)</f>
        <v>6</v>
      </c>
      <c r="B7" s="28" t="str">
        <f>IFERROR(__xludf.DUMMYFUNCTION("""COMPUTED_VALUE"""),"DINA AULIYAH")</f>
        <v>DINA AULIYAH</v>
      </c>
      <c r="C7" s="28">
        <f>IFERROR(__xludf.DUMMYFUNCTION("""COMPUTED_VALUE"""),2.025070061E9)</f>
        <v>2025070061</v>
      </c>
      <c r="D7" s="27" t="str">
        <f>IFERROR(__xludf.DUMMYFUNCTION("""COMPUTED_VALUE"""),"B")</f>
        <v>B</v>
      </c>
      <c r="E7" s="27" t="str">
        <f>IFERROR(__xludf.DUMMYFUNCTION("""COMPUTED_VALUE"""),"B-1")</f>
        <v>B-1</v>
      </c>
      <c r="F7" s="31">
        <f>IFERROR(__xludf.DUMMYFUNCTION("""COMPUTED_VALUE"""),2.0)</f>
        <v>2</v>
      </c>
      <c r="G7" s="27" t="str">
        <f>IFERROR(__xludf.DUMMYFUNCTION("""COMPUTED_VALUE"""),"2 WUSTHO C PUTRI")</f>
        <v>2 WUSTHO C PUTRI</v>
      </c>
      <c r="H7" s="28" t="str">
        <f>IFERROR(__xludf.DUMMYFUNCTION("""COMPUTED_VALUE"""),"MUNIF")</f>
        <v>MUNIF</v>
      </c>
      <c r="I7" s="28" t="str">
        <f>IFERROR(__xludf.DUMMYFUNCTION("""COMPUTED_VALUE"""),"SHOLIHAH")</f>
        <v>SHOLIHAH</v>
      </c>
      <c r="J7" s="28" t="str">
        <f>IFERROR(__xludf.DUMMYFUNCTION("""COMPUTED_VALUE"""),"BANYUBANG RT 003 RW 001 SOLOKURO LAMONGAN")</f>
        <v>BANYUBANG RT 003 RW 001 SOLOKURO LAMONGAN</v>
      </c>
      <c r="K7" s="29" t="str">
        <f>IFERROR(__xludf.DUMMYFUNCTION("""COMPUTED_VALUE"""),"6285604510864")</f>
        <v>6285604510864</v>
      </c>
      <c r="L7" s="22">
        <f>IFERROR(__xludf.DUMMYFUNCTION("""COMPUTED_VALUE"""),0.0)</f>
        <v>0</v>
      </c>
      <c r="M7" s="22">
        <f>IFERROR(__xludf.DUMMYFUNCTION("""COMPUTED_VALUE"""),1000000.0)</f>
        <v>1000000</v>
      </c>
      <c r="N7" s="22">
        <f>IFERROR(__xludf.DUMMYFUNCTION("""COMPUTED_VALUE"""),0.0)</f>
        <v>0</v>
      </c>
      <c r="O7" s="22">
        <f>IFERROR(__xludf.DUMMYFUNCTION("""COMPUTED_VALUE"""),1000000.0)</f>
        <v>1000000</v>
      </c>
      <c r="P7" s="28" t="str">
        <f t="shared" si="1"/>
        <v>LUNAS</v>
      </c>
      <c r="Q7" s="28">
        <f t="shared" si="2"/>
        <v>36</v>
      </c>
      <c r="R7" s="28" t="str">
        <f t="shared" si="3"/>
        <v>DINA AULIYAH</v>
      </c>
      <c r="S7" s="28">
        <f>COUNTIF(P:P,"BELUM")</f>
        <v>3</v>
      </c>
      <c r="T7" s="32" t="s">
        <v>21</v>
      </c>
    </row>
    <row r="8">
      <c r="A8" s="27">
        <f>IFERROR(__xludf.DUMMYFUNCTION("""COMPUTED_VALUE"""),7.0)</f>
        <v>7</v>
      </c>
      <c r="B8" s="28" t="str">
        <f>IFERROR(__xludf.DUMMYFUNCTION("""COMPUTED_VALUE"""),"DINDA FIZZAH ANNISA`")</f>
        <v>DINDA FIZZAH ANNISA`</v>
      </c>
      <c r="C8" s="28">
        <f>IFERROR(__xludf.DUMMYFUNCTION("""COMPUTED_VALUE"""),2.025070377E9)</f>
        <v>2025070377</v>
      </c>
      <c r="D8" s="27" t="str">
        <f>IFERROR(__xludf.DUMMYFUNCTION("""COMPUTED_VALUE"""),"B")</f>
        <v>B</v>
      </c>
      <c r="E8" s="27" t="str">
        <f>IFERROR(__xludf.DUMMYFUNCTION("""COMPUTED_VALUE"""),"B-1")</f>
        <v>B-1</v>
      </c>
      <c r="F8" s="31">
        <f>IFERROR(__xludf.DUMMYFUNCTION("""COMPUTED_VALUE"""),2.0)</f>
        <v>2</v>
      </c>
      <c r="G8" s="27" t="str">
        <f>IFERROR(__xludf.DUMMYFUNCTION("""COMPUTED_VALUE"""),"2 WUSTHO C PUTRI")</f>
        <v>2 WUSTHO C PUTRI</v>
      </c>
      <c r="H8" s="28" t="str">
        <f>IFERROR(__xludf.DUMMYFUNCTION("""COMPUTED_VALUE"""),"AHMAD ZAINURI")</f>
        <v>AHMAD ZAINURI</v>
      </c>
      <c r="I8" s="28" t="str">
        <f>IFERROR(__xludf.DUMMYFUNCTION("""COMPUTED_VALUE"""),"LISWATIN")</f>
        <v>LISWATIN</v>
      </c>
      <c r="J8" s="28" t="str">
        <f>IFERROR(__xludf.DUMMYFUNCTION("""COMPUTED_VALUE"""),"TENGGULUN RT 007 RW 003 SOLOKURO LAMONGAN")</f>
        <v>TENGGULUN RT 007 RW 003 SOLOKURO LAMONGAN</v>
      </c>
      <c r="K8" s="29" t="str">
        <f>IFERROR(__xludf.DUMMYFUNCTION("""COMPUTED_VALUE"""),"6285649099700")</f>
        <v>6285649099700</v>
      </c>
      <c r="L8" s="22">
        <f>IFERROR(__xludf.DUMMYFUNCTION("""COMPUTED_VALUE"""),0.0)</f>
        <v>0</v>
      </c>
      <c r="M8" s="22">
        <f>IFERROR(__xludf.DUMMYFUNCTION("""COMPUTED_VALUE"""),0.0)</f>
        <v>0</v>
      </c>
      <c r="N8" s="22">
        <f>IFERROR(__xludf.DUMMYFUNCTION("""COMPUTED_VALUE"""),0.0)</f>
        <v>0</v>
      </c>
      <c r="O8" s="22">
        <f>IFERROR(__xludf.DUMMYFUNCTION("""COMPUTED_VALUE"""),0.0)</f>
        <v>0</v>
      </c>
      <c r="P8" s="28" t="str">
        <f t="shared" si="1"/>
        <v>LUNAS</v>
      </c>
      <c r="Q8" s="28">
        <f t="shared" si="2"/>
        <v>68</v>
      </c>
      <c r="R8" s="28" t="str">
        <f t="shared" si="3"/>
        <v>DINDA FIZZAH ANNISA`</v>
      </c>
      <c r="S8" s="22">
        <f>SUM(L2:L450)</f>
        <v>81900000</v>
      </c>
      <c r="T8" s="32" t="s">
        <v>22</v>
      </c>
    </row>
    <row r="9">
      <c r="A9" s="27">
        <f>IFERROR(__xludf.DUMMYFUNCTION("""COMPUTED_VALUE"""),8.0)</f>
        <v>8</v>
      </c>
      <c r="B9" s="28" t="str">
        <f>IFERROR(__xludf.DUMMYFUNCTION("""COMPUTED_VALUE"""),"DURROTUN NASIHAH")</f>
        <v>DURROTUN NASIHAH</v>
      </c>
      <c r="C9" s="28">
        <f>IFERROR(__xludf.DUMMYFUNCTION("""COMPUTED_VALUE"""),2.02507027E9)</f>
        <v>2025070270</v>
      </c>
      <c r="D9" s="27" t="str">
        <f>IFERROR(__xludf.DUMMYFUNCTION("""COMPUTED_VALUE"""),"B")</f>
        <v>B</v>
      </c>
      <c r="E9" s="27" t="str">
        <f>IFERROR(__xludf.DUMMYFUNCTION("""COMPUTED_VALUE"""),"B-1")</f>
        <v>B-1</v>
      </c>
      <c r="F9" s="31">
        <f>IFERROR(__xludf.DUMMYFUNCTION("""COMPUTED_VALUE"""),2.0)</f>
        <v>2</v>
      </c>
      <c r="G9" s="27" t="str">
        <f>IFERROR(__xludf.DUMMYFUNCTION("""COMPUTED_VALUE"""),"2 WUSTHO D PUTRI")</f>
        <v>2 WUSTHO D PUTRI</v>
      </c>
      <c r="H9" s="28" t="str">
        <f>IFERROR(__xludf.DUMMYFUNCTION("""COMPUTED_VALUE"""),"KHOIRUL ABDI")</f>
        <v>KHOIRUL ABDI</v>
      </c>
      <c r="I9" s="28" t="str">
        <f>IFERROR(__xludf.DUMMYFUNCTION("""COMPUTED_VALUE"""),"MUKHAROMAH")</f>
        <v>MUKHAROMAH</v>
      </c>
      <c r="J9" s="28" t="str">
        <f>IFERROR(__xludf.DUMMYFUNCTION("""COMPUTED_VALUE"""),"KEPUDIKULON KEPUDIBENER RT 003 RW 001 TURI LAMONGAN")</f>
        <v>KEPUDIKULON KEPUDIBENER RT 003 RW 001 TURI LAMONGAN</v>
      </c>
      <c r="K9" s="29" t="str">
        <f>IFERROR(__xludf.DUMMYFUNCTION("""COMPUTED_VALUE"""),"6281347075557")</f>
        <v>6281347075557</v>
      </c>
      <c r="L9" s="22">
        <f>IFERROR(__xludf.DUMMYFUNCTION("""COMPUTED_VALUE"""),0.0)</f>
        <v>0</v>
      </c>
      <c r="M9" s="22">
        <f>IFERROR(__xludf.DUMMYFUNCTION("""COMPUTED_VALUE"""),1000000.0)</f>
        <v>1000000</v>
      </c>
      <c r="N9" s="22">
        <f>IFERROR(__xludf.DUMMYFUNCTION("""COMPUTED_VALUE"""),0.0)</f>
        <v>0</v>
      </c>
      <c r="O9" s="22">
        <f>IFERROR(__xludf.DUMMYFUNCTION("""COMPUTED_VALUE"""),1000000.0)</f>
        <v>1000000</v>
      </c>
      <c r="P9" s="28" t="str">
        <f t="shared" si="1"/>
        <v>LUNAS</v>
      </c>
      <c r="Q9" s="28">
        <f t="shared" si="2"/>
        <v>37</v>
      </c>
      <c r="R9" s="28" t="str">
        <f t="shared" si="3"/>
        <v>DURROTUN NASIHAH</v>
      </c>
      <c r="S9" s="22">
        <f>SUM(M2:M450)</f>
        <v>53100000</v>
      </c>
      <c r="T9" s="32" t="s">
        <v>23</v>
      </c>
    </row>
    <row r="10">
      <c r="A10" s="27">
        <f>IFERROR(__xludf.DUMMYFUNCTION("""COMPUTED_VALUE"""),9.0)</f>
        <v>9</v>
      </c>
      <c r="B10" s="28" t="str">
        <f>IFERROR(__xludf.DUMMYFUNCTION("""COMPUTED_VALUE"""),"FAHMIDA NAILIL AGHNIYA")</f>
        <v>FAHMIDA NAILIL AGHNIYA</v>
      </c>
      <c r="C10" s="28">
        <f>IFERROR(__xludf.DUMMYFUNCTION("""COMPUTED_VALUE"""),2.025070047E9)</f>
        <v>2025070047</v>
      </c>
      <c r="D10" s="27" t="str">
        <f>IFERROR(__xludf.DUMMYFUNCTION("""COMPUTED_VALUE"""),"B")</f>
        <v>B</v>
      </c>
      <c r="E10" s="27" t="str">
        <f>IFERROR(__xludf.DUMMYFUNCTION("""COMPUTED_VALUE"""),"B-1")</f>
        <v>B-1</v>
      </c>
      <c r="F10" s="31">
        <f>IFERROR(__xludf.DUMMYFUNCTION("""COMPUTED_VALUE"""),2.0)</f>
        <v>2</v>
      </c>
      <c r="G10" s="27" t="str">
        <f>IFERROR(__xludf.DUMMYFUNCTION("""COMPUTED_VALUE"""),"2 WUSTHO B PUTRI")</f>
        <v>2 WUSTHO B PUTRI</v>
      </c>
      <c r="H10" s="28" t="str">
        <f>IFERROR(__xludf.DUMMYFUNCTION("""COMPUTED_VALUE"""),"AHMAD ZAINUL MUSTAKHIM")</f>
        <v>AHMAD ZAINUL MUSTAKHIM</v>
      </c>
      <c r="I10" s="28" t="str">
        <f>IFERROR(__xludf.DUMMYFUNCTION("""COMPUTED_VALUE"""),"NUR HAYATI")</f>
        <v>NUR HAYATI</v>
      </c>
      <c r="J10" s="28" t="str">
        <f>IFERROR(__xludf.DUMMYFUNCTION("""COMPUTED_VALUE"""),"SLATUNG TLOGOAGUNG RT 001 RW 001 KEMBANGBAHU LAMONGAN")</f>
        <v>SLATUNG TLOGOAGUNG RT 001 RW 001 KEMBANGBAHU LAMONGAN</v>
      </c>
      <c r="K10" s="29" t="str">
        <f>IFERROR(__xludf.DUMMYFUNCTION("""COMPUTED_VALUE"""),"6285731807166")</f>
        <v>6285731807166</v>
      </c>
      <c r="L10" s="22">
        <f>IFERROR(__xludf.DUMMYFUNCTION("""COMPUTED_VALUE"""),0.0)</f>
        <v>0</v>
      </c>
      <c r="M10" s="22">
        <f>IFERROR(__xludf.DUMMYFUNCTION("""COMPUTED_VALUE"""),0.0)</f>
        <v>0</v>
      </c>
      <c r="N10" s="22">
        <f>IFERROR(__xludf.DUMMYFUNCTION("""COMPUTED_VALUE"""),0.0)</f>
        <v>0</v>
      </c>
      <c r="O10" s="22">
        <f>IFERROR(__xludf.DUMMYFUNCTION("""COMPUTED_VALUE"""),0.0)</f>
        <v>0</v>
      </c>
      <c r="P10" s="28" t="str">
        <f t="shared" si="1"/>
        <v>LUNAS</v>
      </c>
      <c r="Q10" s="28">
        <f t="shared" si="2"/>
        <v>69</v>
      </c>
      <c r="R10" s="28" t="str">
        <f t="shared" si="3"/>
        <v>FAHMIDA NAILIL AGHNIYA</v>
      </c>
      <c r="S10" s="22">
        <f>SUM(N2:N450)</f>
        <v>1050000</v>
      </c>
      <c r="T10" s="32" t="s">
        <v>24</v>
      </c>
    </row>
    <row r="11">
      <c r="A11" s="27">
        <f>IFERROR(__xludf.DUMMYFUNCTION("""COMPUTED_VALUE"""),10.0)</f>
        <v>10</v>
      </c>
      <c r="B11" s="28" t="str">
        <f>IFERROR(__xludf.DUMMYFUNCTION("""COMPUTED_VALUE"""),"INTAN TIFFAH KURNIA ARIF")</f>
        <v>INTAN TIFFAH KURNIA ARIF</v>
      </c>
      <c r="C11" s="28">
        <f>IFERROR(__xludf.DUMMYFUNCTION("""COMPUTED_VALUE"""),2.025070276E9)</f>
        <v>2025070276</v>
      </c>
      <c r="D11" s="27" t="str">
        <f>IFERROR(__xludf.DUMMYFUNCTION("""COMPUTED_VALUE"""),"B")</f>
        <v>B</v>
      </c>
      <c r="E11" s="27" t="str">
        <f>IFERROR(__xludf.DUMMYFUNCTION("""COMPUTED_VALUE"""),"B-1")</f>
        <v>B-1</v>
      </c>
      <c r="F11" s="31">
        <f>IFERROR(__xludf.DUMMYFUNCTION("""COMPUTED_VALUE"""),2.0)</f>
        <v>2</v>
      </c>
      <c r="G11" s="27" t="str">
        <f>IFERROR(__xludf.DUMMYFUNCTION("""COMPUTED_VALUE"""),"2 WUSTHO C PUTRI")</f>
        <v>2 WUSTHO C PUTRI</v>
      </c>
      <c r="H11" s="28" t="str">
        <f>IFERROR(__xludf.DUMMYFUNCTION("""COMPUTED_VALUE"""),"SYAIFUL ARIF")</f>
        <v>SYAIFUL ARIF</v>
      </c>
      <c r="I11" s="28" t="str">
        <f>IFERROR(__xludf.DUMMYFUNCTION("""COMPUTED_VALUE"""),"MUHAIMINAH")</f>
        <v>MUHAIMINAH</v>
      </c>
      <c r="J11" s="28" t="str">
        <f>IFERROR(__xludf.DUMMYFUNCTION("""COMPUTED_VALUE"""),"WARUK RT 003 RW 002 KARANGBINANGUN LAMONGAN")</f>
        <v>WARUK RT 003 RW 002 KARANGBINANGUN LAMONGAN</v>
      </c>
      <c r="K11" s="29" t="str">
        <f>IFERROR(__xludf.DUMMYFUNCTION("""COMPUTED_VALUE"""),"6285731326025")</f>
        <v>6285731326025</v>
      </c>
      <c r="L11" s="22">
        <f>IFERROR(__xludf.DUMMYFUNCTION("""COMPUTED_VALUE"""),0.0)</f>
        <v>0</v>
      </c>
      <c r="M11" s="22">
        <f>IFERROR(__xludf.DUMMYFUNCTION("""COMPUTED_VALUE"""),1000000.0)</f>
        <v>1000000</v>
      </c>
      <c r="N11" s="22">
        <f>IFERROR(__xludf.DUMMYFUNCTION("""COMPUTED_VALUE"""),0.0)</f>
        <v>0</v>
      </c>
      <c r="O11" s="22">
        <f>IFERROR(__xludf.DUMMYFUNCTION("""COMPUTED_VALUE"""),1000000.0)</f>
        <v>1000000</v>
      </c>
      <c r="P11" s="28" t="str">
        <f t="shared" si="1"/>
        <v>LUNAS</v>
      </c>
      <c r="Q11" s="28">
        <f t="shared" si="2"/>
        <v>38</v>
      </c>
      <c r="R11" s="28" t="str">
        <f t="shared" si="3"/>
        <v>INTAN TIFFAH KURNIA ARIF</v>
      </c>
      <c r="S11" s="22">
        <f>SUM(O2:O450)</f>
        <v>136050000</v>
      </c>
      <c r="T11" s="32" t="s">
        <v>25</v>
      </c>
    </row>
    <row r="12">
      <c r="A12" s="27">
        <f>IFERROR(__xludf.DUMMYFUNCTION("""COMPUTED_VALUE"""),11.0)</f>
        <v>11</v>
      </c>
      <c r="B12" s="28" t="str">
        <f>IFERROR(__xludf.DUMMYFUNCTION("""COMPUTED_VALUE"""),"LAESYTAH AGGUSTINA RAMADHANI")</f>
        <v>LAESYTAH AGGUSTINA RAMADHANI</v>
      </c>
      <c r="C12" s="28">
        <f>IFERROR(__xludf.DUMMYFUNCTION("""COMPUTED_VALUE"""),2.025070005E9)</f>
        <v>2025070005</v>
      </c>
      <c r="D12" s="27" t="str">
        <f>IFERROR(__xludf.DUMMYFUNCTION("""COMPUTED_VALUE"""),"B")</f>
        <v>B</v>
      </c>
      <c r="E12" s="27" t="str">
        <f>IFERROR(__xludf.DUMMYFUNCTION("""COMPUTED_VALUE"""),"B-1")</f>
        <v>B-1</v>
      </c>
      <c r="F12" s="31">
        <f>IFERROR(__xludf.DUMMYFUNCTION("""COMPUTED_VALUE"""),2.0)</f>
        <v>2</v>
      </c>
      <c r="G12" s="27" t="str">
        <f>IFERROR(__xludf.DUMMYFUNCTION("""COMPUTED_VALUE"""),"2 WUSTHO C PUTRI")</f>
        <v>2 WUSTHO C PUTRI</v>
      </c>
      <c r="H12" s="28" t="str">
        <f>IFERROR(__xludf.DUMMYFUNCTION("""COMPUTED_VALUE"""),"AL MUTA`IN")</f>
        <v>AL MUTA`IN</v>
      </c>
      <c r="I12" s="28" t="str">
        <f>IFERROR(__xludf.DUMMYFUNCTION("""COMPUTED_VALUE"""),"LILIK ZUBAIDAH")</f>
        <v>LILIK ZUBAIDAH</v>
      </c>
      <c r="J12" s="28" t="str">
        <f>IFERROR(__xludf.DUMMYFUNCTION("""COMPUTED_VALUE"""),"TAKERHARJO RT 002 RW 003 SOLOKURO LAMONGAN")</f>
        <v>TAKERHARJO RT 002 RW 003 SOLOKURO LAMONGAN</v>
      </c>
      <c r="K12" s="29" t="str">
        <f>IFERROR(__xludf.DUMMYFUNCTION("""COMPUTED_VALUE"""),"6285854669977")</f>
        <v>6285854669977</v>
      </c>
      <c r="L12" s="22">
        <f>IFERROR(__xludf.DUMMYFUNCTION("""COMPUTED_VALUE"""),2700000.0)</f>
        <v>2700000</v>
      </c>
      <c r="M12" s="22">
        <f>IFERROR(__xludf.DUMMYFUNCTION("""COMPUTED_VALUE"""),1000000.0)</f>
        <v>1000000</v>
      </c>
      <c r="N12" s="22">
        <f>IFERROR(__xludf.DUMMYFUNCTION("""COMPUTED_VALUE"""),0.0)</f>
        <v>0</v>
      </c>
      <c r="O12" s="22">
        <f>IFERROR(__xludf.DUMMYFUNCTION("""COMPUTED_VALUE"""),3700000.0)</f>
        <v>3700000</v>
      </c>
      <c r="P12" s="28" t="str">
        <f t="shared" si="1"/>
        <v>LUNAS</v>
      </c>
      <c r="Q12" s="28">
        <f t="shared" si="2"/>
        <v>10</v>
      </c>
      <c r="R12" s="28" t="str">
        <f t="shared" si="3"/>
        <v>LAESYTAH AGGUSTINA RAMADHANI</v>
      </c>
      <c r="T12" s="32" t="s">
        <v>26</v>
      </c>
      <c r="U12" s="32" t="s">
        <v>27</v>
      </c>
      <c r="V12" s="32" t="s">
        <v>28</v>
      </c>
      <c r="W12" s="32" t="s">
        <v>29</v>
      </c>
    </row>
    <row r="13">
      <c r="A13" s="27">
        <f>IFERROR(__xludf.DUMMYFUNCTION("""COMPUTED_VALUE"""),12.0)</f>
        <v>12</v>
      </c>
      <c r="B13" s="28" t="str">
        <f>IFERROR(__xludf.DUMMYFUNCTION("""COMPUTED_VALUE"""),"MAKAYLA SAFIRA DWINATASYA")</f>
        <v>MAKAYLA SAFIRA DWINATASYA</v>
      </c>
      <c r="C13" s="28">
        <f>IFERROR(__xludf.DUMMYFUNCTION("""COMPUTED_VALUE"""),2.025070125E9)</f>
        <v>2025070125</v>
      </c>
      <c r="D13" s="27" t="str">
        <f>IFERROR(__xludf.DUMMYFUNCTION("""COMPUTED_VALUE"""),"B")</f>
        <v>B</v>
      </c>
      <c r="E13" s="27" t="str">
        <f>IFERROR(__xludf.DUMMYFUNCTION("""COMPUTED_VALUE"""),"B-1")</f>
        <v>B-1</v>
      </c>
      <c r="F13" s="31">
        <f>IFERROR(__xludf.DUMMYFUNCTION("""COMPUTED_VALUE"""),2.0)</f>
        <v>2</v>
      </c>
      <c r="G13" s="27" t="str">
        <f>IFERROR(__xludf.DUMMYFUNCTION("""COMPUTED_VALUE"""),"2 WUSTHO D PUTRI")</f>
        <v>2 WUSTHO D PUTRI</v>
      </c>
      <c r="H13" s="28" t="str">
        <f>IFERROR(__xludf.DUMMYFUNCTION("""COMPUTED_VALUE"""),"ZAINAL ABIDIN")</f>
        <v>ZAINAL ABIDIN</v>
      </c>
      <c r="I13" s="28" t="str">
        <f>IFERROR(__xludf.DUMMYFUNCTION("""COMPUTED_VALUE"""),"SUN`IYAH")</f>
        <v>SUN`IYAH</v>
      </c>
      <c r="J13" s="28" t="str">
        <f>IFERROR(__xludf.DUMMYFUNCTION("""COMPUTED_VALUE"""),"KURO RT 002 RW 001 KARANGBINANGUN LAMONGAN")</f>
        <v>KURO RT 002 RW 001 KARANGBINANGUN LAMONGAN</v>
      </c>
      <c r="K13" s="29" t="str">
        <f>IFERROR(__xludf.DUMMYFUNCTION("""COMPUTED_VALUE"""),"6285853252042")</f>
        <v>6285853252042</v>
      </c>
      <c r="L13" s="22">
        <f>IFERROR(__xludf.DUMMYFUNCTION("""COMPUTED_VALUE"""),1350000.0)</f>
        <v>1350000</v>
      </c>
      <c r="M13" s="22">
        <f>IFERROR(__xludf.DUMMYFUNCTION("""COMPUTED_VALUE"""),1000000.0)</f>
        <v>1000000</v>
      </c>
      <c r="N13" s="22">
        <f>IFERROR(__xludf.DUMMYFUNCTION("""COMPUTED_VALUE"""),0.0)</f>
        <v>0</v>
      </c>
      <c r="O13" s="22">
        <f>IFERROR(__xludf.DUMMYFUNCTION("""COMPUTED_VALUE"""),2350000.0)</f>
        <v>2350000</v>
      </c>
      <c r="P13" s="28" t="str">
        <f t="shared" si="1"/>
        <v>LUNAS</v>
      </c>
      <c r="Q13" s="28">
        <f t="shared" si="2"/>
        <v>16</v>
      </c>
      <c r="R13" s="28" t="str">
        <f t="shared" si="3"/>
        <v>MAKAYLA SAFIRA DWINATASYA</v>
      </c>
      <c r="S13" s="28" t="str">
        <f t="shared" ref="S13:S22" si="4">VLOOKUP(X13,$Q$2:$R$399,2,FALSE)</f>
        <v>AYUNDA KIRANA QURROTUL ISHAQIYYAH</v>
      </c>
      <c r="T13" s="22">
        <f t="shared" ref="T13:T22" si="5">VLOOKUP(S13,$B$2:$O$450,11,FALSE)</f>
        <v>9000000</v>
      </c>
      <c r="U13" s="22">
        <f t="shared" ref="U13:U22" si="6">VLOOKUP(S13,$B$2:$O$450,12,FALSE)</f>
        <v>1000000</v>
      </c>
      <c r="V13" s="22">
        <f t="shared" ref="V13:V22" si="7">VLOOKUP(S13,$B$2:$O$450,13,FALSE)</f>
        <v>0</v>
      </c>
      <c r="W13" s="22">
        <f t="shared" ref="W13:W22" si="8">VLOOKUP(S13,$B$2:$O$450,14,FALSE)</f>
        <v>10000000</v>
      </c>
      <c r="X13" s="32">
        <v>1.0</v>
      </c>
    </row>
    <row r="14">
      <c r="A14" s="27">
        <f>IFERROR(__xludf.DUMMYFUNCTION("""COMPUTED_VALUE"""),13.0)</f>
        <v>13</v>
      </c>
      <c r="B14" s="28" t="str">
        <f>IFERROR(__xludf.DUMMYFUNCTION("""COMPUTED_VALUE"""),"MANOHARA GENDHIS FAROKHA")</f>
        <v>MANOHARA GENDHIS FAROKHA</v>
      </c>
      <c r="C14" s="28">
        <f>IFERROR(__xludf.DUMMYFUNCTION("""COMPUTED_VALUE"""),2.025070204E9)</f>
        <v>2025070204</v>
      </c>
      <c r="D14" s="27" t="str">
        <f>IFERROR(__xludf.DUMMYFUNCTION("""COMPUTED_VALUE"""),"B")</f>
        <v>B</v>
      </c>
      <c r="E14" s="27" t="str">
        <f>IFERROR(__xludf.DUMMYFUNCTION("""COMPUTED_VALUE"""),"B-1")</f>
        <v>B-1</v>
      </c>
      <c r="F14" s="31">
        <f>IFERROR(__xludf.DUMMYFUNCTION("""COMPUTED_VALUE"""),2.0)</f>
        <v>2</v>
      </c>
      <c r="G14" s="27" t="str">
        <f>IFERROR(__xludf.DUMMYFUNCTION("""COMPUTED_VALUE"""),"2 WUSTHO C PUTRI")</f>
        <v>2 WUSTHO C PUTRI</v>
      </c>
      <c r="H14" s="28" t="str">
        <f>IFERROR(__xludf.DUMMYFUNCTION("""COMPUTED_VALUE"""),"KADIR")</f>
        <v>KADIR</v>
      </c>
      <c r="I14" s="28" t="str">
        <f>IFERROR(__xludf.DUMMYFUNCTION("""COMPUTED_VALUE"""),"MUNINGSIH")</f>
        <v>MUNINGSIH</v>
      </c>
      <c r="J14" s="28" t="str">
        <f>IFERROR(__xludf.DUMMYFUNCTION("""COMPUTED_VALUE"""),"KUDON MADULEGI RT 001 RW 002 SUKODADI LAMONGAN")</f>
        <v>KUDON MADULEGI RT 001 RW 002 SUKODADI LAMONGAN</v>
      </c>
      <c r="K14" s="29" t="str">
        <f>IFERROR(__xludf.DUMMYFUNCTION("""COMPUTED_VALUE"""),"6285632444976")</f>
        <v>6285632444976</v>
      </c>
      <c r="L14" s="22">
        <f>IFERROR(__xludf.DUMMYFUNCTION("""COMPUTED_VALUE"""),450000.0)</f>
        <v>450000</v>
      </c>
      <c r="M14" s="22">
        <f>IFERROR(__xludf.DUMMYFUNCTION("""COMPUTED_VALUE"""),1600000.0)</f>
        <v>1600000</v>
      </c>
      <c r="N14" s="22">
        <f>IFERROR(__xludf.DUMMYFUNCTION("""COMPUTED_VALUE"""),0.0)</f>
        <v>0</v>
      </c>
      <c r="O14" s="22">
        <f>IFERROR(__xludf.DUMMYFUNCTION("""COMPUTED_VALUE"""),2050000.0)</f>
        <v>2050000</v>
      </c>
      <c r="P14" s="28" t="str">
        <f t="shared" si="1"/>
        <v>LUNAS</v>
      </c>
      <c r="Q14" s="28">
        <f t="shared" si="2"/>
        <v>18</v>
      </c>
      <c r="R14" s="28" t="str">
        <f t="shared" si="3"/>
        <v>MANOHARA GENDHIS FAROKHA</v>
      </c>
      <c r="S14" s="28" t="str">
        <f t="shared" si="4"/>
        <v>KHUMAIRO FAUZIA</v>
      </c>
      <c r="T14" s="22">
        <f t="shared" si="5"/>
        <v>8100000</v>
      </c>
      <c r="U14" s="22">
        <f t="shared" si="6"/>
        <v>1000000</v>
      </c>
      <c r="V14" s="22">
        <f t="shared" si="7"/>
        <v>350000</v>
      </c>
      <c r="W14" s="22">
        <f t="shared" si="8"/>
        <v>9450000</v>
      </c>
      <c r="X14" s="32">
        <v>2.0</v>
      </c>
    </row>
    <row r="15">
      <c r="A15" s="27">
        <f>IFERROR(__xludf.DUMMYFUNCTION("""COMPUTED_VALUE"""),14.0)</f>
        <v>14</v>
      </c>
      <c r="B15" s="28" t="str">
        <f>IFERROR(__xludf.DUMMYFUNCTION("""COMPUTED_VALUE"""),"MAULIDA BIMILATI ZAKIYAH")</f>
        <v>MAULIDA BIMILATI ZAKIYAH</v>
      </c>
      <c r="C15" s="28">
        <f>IFERROR(__xludf.DUMMYFUNCTION("""COMPUTED_VALUE"""),2.025070074E9)</f>
        <v>2025070074</v>
      </c>
      <c r="D15" s="27" t="str">
        <f>IFERROR(__xludf.DUMMYFUNCTION("""COMPUTED_VALUE"""),"B")</f>
        <v>B</v>
      </c>
      <c r="E15" s="27" t="str">
        <f>IFERROR(__xludf.DUMMYFUNCTION("""COMPUTED_VALUE"""),"B-1")</f>
        <v>B-1</v>
      </c>
      <c r="F15" s="31">
        <f>IFERROR(__xludf.DUMMYFUNCTION("""COMPUTED_VALUE"""),2.0)</f>
        <v>2</v>
      </c>
      <c r="G15" s="27" t="str">
        <f>IFERROR(__xludf.DUMMYFUNCTION("""COMPUTED_VALUE"""),"2 WUSTHO C PUTRI")</f>
        <v>2 WUSTHO C PUTRI</v>
      </c>
      <c r="H15" s="28" t="str">
        <f>IFERROR(__xludf.DUMMYFUNCTION("""COMPUTED_VALUE"""),"SENADIANTO")</f>
        <v>SENADIANTO</v>
      </c>
      <c r="I15" s="28" t="str">
        <f>IFERROR(__xludf.DUMMYFUNCTION("""COMPUTED_VALUE"""),"ANIFAH")</f>
        <v>ANIFAH</v>
      </c>
      <c r="J15" s="28" t="str">
        <f>IFERROR(__xludf.DUMMYFUNCTION("""COMPUTED_VALUE"""),"WIDE SENDANGHARJO RT 003 RW 002 BRONDONG LAMONGAN")</f>
        <v>WIDE SENDANGHARJO RT 003 RW 002 BRONDONG LAMONGAN</v>
      </c>
      <c r="K15" s="29" t="str">
        <f>IFERROR(__xludf.DUMMYFUNCTION("""COMPUTED_VALUE"""),"6285606172880")</f>
        <v>6285606172880</v>
      </c>
      <c r="L15" s="22">
        <f>IFERROR(__xludf.DUMMYFUNCTION("""COMPUTED_VALUE"""),0.0)</f>
        <v>0</v>
      </c>
      <c r="M15" s="22">
        <f>IFERROR(__xludf.DUMMYFUNCTION("""COMPUTED_VALUE"""),1000000.0)</f>
        <v>1000000</v>
      </c>
      <c r="N15" s="22">
        <f>IFERROR(__xludf.DUMMYFUNCTION("""COMPUTED_VALUE"""),0.0)</f>
        <v>0</v>
      </c>
      <c r="O15" s="22">
        <f>IFERROR(__xludf.DUMMYFUNCTION("""COMPUTED_VALUE"""),1000000.0)</f>
        <v>1000000</v>
      </c>
      <c r="P15" s="28" t="str">
        <f t="shared" si="1"/>
        <v>LUNAS</v>
      </c>
      <c r="Q15" s="28">
        <f t="shared" si="2"/>
        <v>39</v>
      </c>
      <c r="R15" s="28" t="str">
        <f t="shared" si="3"/>
        <v>MAULIDA BIMILATI ZAKIYAH</v>
      </c>
      <c r="S15" s="28" t="str">
        <f t="shared" si="4"/>
        <v>PARAMITA ANGGRAINI</v>
      </c>
      <c r="T15" s="22">
        <f t="shared" si="5"/>
        <v>7650000</v>
      </c>
      <c r="U15" s="22">
        <f t="shared" si="6"/>
        <v>1000000</v>
      </c>
      <c r="V15" s="22">
        <f t="shared" si="7"/>
        <v>350000</v>
      </c>
      <c r="W15" s="22">
        <f t="shared" si="8"/>
        <v>9000000</v>
      </c>
      <c r="X15" s="32">
        <v>3.0</v>
      </c>
    </row>
    <row r="16">
      <c r="A16" s="27">
        <f>IFERROR(__xludf.DUMMYFUNCTION("""COMPUTED_VALUE"""),15.0)</f>
        <v>15</v>
      </c>
      <c r="B16" s="28" t="str">
        <f>IFERROR(__xludf.DUMMYFUNCTION("""COMPUTED_VALUE"""),"MILLATUN THOYIBAH")</f>
        <v>MILLATUN THOYIBAH</v>
      </c>
      <c r="C16" s="28">
        <f>IFERROR(__xludf.DUMMYFUNCTION("""COMPUTED_VALUE"""),2.025070221E9)</f>
        <v>2025070221</v>
      </c>
      <c r="D16" s="27" t="str">
        <f>IFERROR(__xludf.DUMMYFUNCTION("""COMPUTED_VALUE"""),"B")</f>
        <v>B</v>
      </c>
      <c r="E16" s="27" t="str">
        <f>IFERROR(__xludf.DUMMYFUNCTION("""COMPUTED_VALUE"""),"B-1")</f>
        <v>B-1</v>
      </c>
      <c r="F16" s="31">
        <f>IFERROR(__xludf.DUMMYFUNCTION("""COMPUTED_VALUE"""),2.0)</f>
        <v>2</v>
      </c>
      <c r="G16" s="27" t="str">
        <f>IFERROR(__xludf.DUMMYFUNCTION("""COMPUTED_VALUE"""),"2 WUSTHO C PUTRI")</f>
        <v>2 WUSTHO C PUTRI</v>
      </c>
      <c r="H16" s="28" t="str">
        <f>IFERROR(__xludf.DUMMYFUNCTION("""COMPUTED_VALUE"""),"MASYHADI")</f>
        <v>MASYHADI</v>
      </c>
      <c r="I16" s="28" t="str">
        <f>IFERROR(__xludf.DUMMYFUNCTION("""COMPUTED_VALUE"""),"SITI KHODIJAH")</f>
        <v>SITI KHODIJAH</v>
      </c>
      <c r="J16" s="28" t="str">
        <f>IFERROR(__xludf.DUMMYFUNCTION("""COMPUTED_VALUE"""),"JANGGAN POMAHANJANGGAN RT 006 RW 003 TURI LAMONGAN")</f>
        <v>JANGGAN POMAHANJANGGAN RT 006 RW 003 TURI LAMONGAN</v>
      </c>
      <c r="K16" s="29" t="str">
        <f>IFERROR(__xludf.DUMMYFUNCTION("""COMPUTED_VALUE"""),"6285732713016")</f>
        <v>6285732713016</v>
      </c>
      <c r="L16" s="22">
        <f>IFERROR(__xludf.DUMMYFUNCTION("""COMPUTED_VALUE"""),1350000.0)</f>
        <v>1350000</v>
      </c>
      <c r="M16" s="22">
        <f>IFERROR(__xludf.DUMMYFUNCTION("""COMPUTED_VALUE"""),1600000.0)</f>
        <v>1600000</v>
      </c>
      <c r="N16" s="22">
        <f>IFERROR(__xludf.DUMMYFUNCTION("""COMPUTED_VALUE"""),0.0)</f>
        <v>0</v>
      </c>
      <c r="O16" s="22">
        <f>IFERROR(__xludf.DUMMYFUNCTION("""COMPUTED_VALUE"""),2950000.0)</f>
        <v>2950000</v>
      </c>
      <c r="P16" s="28" t="str">
        <f t="shared" si="1"/>
        <v>LUNAS</v>
      </c>
      <c r="Q16" s="28">
        <f t="shared" si="2"/>
        <v>13</v>
      </c>
      <c r="R16" s="28" t="str">
        <f t="shared" si="3"/>
        <v>MILLATUN THOYIBAH</v>
      </c>
      <c r="S16" s="28" t="str">
        <f t="shared" si="4"/>
        <v>FARIH FIRDAUSI NUZULA</v>
      </c>
      <c r="T16" s="22">
        <f t="shared" si="5"/>
        <v>5400000</v>
      </c>
      <c r="U16" s="22">
        <f t="shared" si="6"/>
        <v>1600000</v>
      </c>
      <c r="V16" s="22">
        <f t="shared" si="7"/>
        <v>0</v>
      </c>
      <c r="W16" s="22">
        <f t="shared" si="8"/>
        <v>7000000</v>
      </c>
      <c r="X16" s="32">
        <v>4.0</v>
      </c>
    </row>
    <row r="17">
      <c r="A17" s="27">
        <f>IFERROR(__xludf.DUMMYFUNCTION("""COMPUTED_VALUE"""),16.0)</f>
        <v>16</v>
      </c>
      <c r="B17" s="28" t="str">
        <f>IFERROR(__xludf.DUMMYFUNCTION("""COMPUTED_VALUE"""),"NAFIATUL KHOIROH")</f>
        <v>NAFIATUL KHOIROH</v>
      </c>
      <c r="C17" s="28">
        <f>IFERROR(__xludf.DUMMYFUNCTION("""COMPUTED_VALUE"""),2.025070379E9)</f>
        <v>2025070379</v>
      </c>
      <c r="D17" s="27" t="str">
        <f>IFERROR(__xludf.DUMMYFUNCTION("""COMPUTED_VALUE"""),"B")</f>
        <v>B</v>
      </c>
      <c r="E17" s="27" t="str">
        <f>IFERROR(__xludf.DUMMYFUNCTION("""COMPUTED_VALUE"""),"B-1")</f>
        <v>B-1</v>
      </c>
      <c r="F17" s="31">
        <f>IFERROR(__xludf.DUMMYFUNCTION("""COMPUTED_VALUE"""),2.0)</f>
        <v>2</v>
      </c>
      <c r="G17" s="27" t="str">
        <f>IFERROR(__xludf.DUMMYFUNCTION("""COMPUTED_VALUE"""),"2 WUSTHO B PUTRI")</f>
        <v>2 WUSTHO B PUTRI</v>
      </c>
      <c r="H17" s="28" t="str">
        <f>IFERROR(__xludf.DUMMYFUNCTION("""COMPUTED_VALUE"""),"PRIYADI")</f>
        <v>PRIYADI</v>
      </c>
      <c r="I17" s="28" t="str">
        <f>IFERROR(__xludf.DUMMYFUNCTION("""COMPUTED_VALUE"""),"SYAROFAH")</f>
        <v>SYAROFAH</v>
      </c>
      <c r="J17" s="28" t="str">
        <f>IFERROR(__xludf.DUMMYFUNCTION("""COMPUTED_VALUE"""),"BANYUBANG RT 005 RW 002 SOLOKURO LAMONGAN")</f>
        <v>BANYUBANG RT 005 RW 002 SOLOKURO LAMONGAN</v>
      </c>
      <c r="K17" s="29" t="str">
        <f>IFERROR(__xludf.DUMMYFUNCTION("""COMPUTED_VALUE"""),"6285231576976")</f>
        <v>6285231576976</v>
      </c>
      <c r="L17" s="22">
        <f>IFERROR(__xludf.DUMMYFUNCTION("""COMPUTED_VALUE"""),0.0)</f>
        <v>0</v>
      </c>
      <c r="M17" s="22">
        <f>IFERROR(__xludf.DUMMYFUNCTION("""COMPUTED_VALUE"""),0.0)</f>
        <v>0</v>
      </c>
      <c r="N17" s="22">
        <f>IFERROR(__xludf.DUMMYFUNCTION("""COMPUTED_VALUE"""),0.0)</f>
        <v>0</v>
      </c>
      <c r="O17" s="22">
        <f>IFERROR(__xludf.DUMMYFUNCTION("""COMPUTED_VALUE"""),0.0)</f>
        <v>0</v>
      </c>
      <c r="P17" s="28" t="str">
        <f t="shared" si="1"/>
        <v>LUNAS</v>
      </c>
      <c r="Q17" s="28">
        <f t="shared" si="2"/>
        <v>70</v>
      </c>
      <c r="R17" s="28" t="str">
        <f t="shared" si="3"/>
        <v>NAFIATUL KHOIROH</v>
      </c>
      <c r="S17" s="28" t="str">
        <f t="shared" si="4"/>
        <v>HILYATUL FAIRAH</v>
      </c>
      <c r="T17" s="22">
        <f t="shared" si="5"/>
        <v>4950000</v>
      </c>
      <c r="U17" s="22">
        <f t="shared" si="6"/>
        <v>1600000</v>
      </c>
      <c r="V17" s="22">
        <f t="shared" si="7"/>
        <v>0</v>
      </c>
      <c r="W17" s="22">
        <f t="shared" si="8"/>
        <v>6550000</v>
      </c>
      <c r="X17" s="32">
        <v>5.0</v>
      </c>
    </row>
    <row r="18">
      <c r="A18" s="27">
        <f>IFERROR(__xludf.DUMMYFUNCTION("""COMPUTED_VALUE"""),17.0)</f>
        <v>17</v>
      </c>
      <c r="B18" s="28" t="str">
        <f>IFERROR(__xludf.DUMMYFUNCTION("""COMPUTED_VALUE"""),"SHABRINA RAHMADANI")</f>
        <v>SHABRINA RAHMADANI</v>
      </c>
      <c r="C18" s="28">
        <f>IFERROR(__xludf.DUMMYFUNCTION("""COMPUTED_VALUE"""),2.025070091E9)</f>
        <v>2025070091</v>
      </c>
      <c r="D18" s="27" t="str">
        <f>IFERROR(__xludf.DUMMYFUNCTION("""COMPUTED_VALUE"""),"B")</f>
        <v>B</v>
      </c>
      <c r="E18" s="27" t="str">
        <f>IFERROR(__xludf.DUMMYFUNCTION("""COMPUTED_VALUE"""),"B-1")</f>
        <v>B-1</v>
      </c>
      <c r="F18" s="31">
        <f>IFERROR(__xludf.DUMMYFUNCTION("""COMPUTED_VALUE"""),2.0)</f>
        <v>2</v>
      </c>
      <c r="G18" s="27" t="str">
        <f>IFERROR(__xludf.DUMMYFUNCTION("""COMPUTED_VALUE"""),"2 WUSTHO B PUTRI")</f>
        <v>2 WUSTHO B PUTRI</v>
      </c>
      <c r="H18" s="28" t="str">
        <f>IFERROR(__xludf.DUMMYFUNCTION("""COMPUTED_VALUE"""),"SULIANTO")</f>
        <v>SULIANTO</v>
      </c>
      <c r="I18" s="28" t="str">
        <f>IFERROR(__xludf.DUMMYFUNCTION("""COMPUTED_VALUE"""),"SUKINI")</f>
        <v>SUKINI</v>
      </c>
      <c r="J18" s="28" t="str">
        <f>IFERROR(__xludf.DUMMYFUNCTION("""COMPUTED_VALUE"""),"SUDIMORO MENDOGO RT 002 RW 001 GLAGAH LAMONGAN")</f>
        <v>SUDIMORO MENDOGO RT 002 RW 001 GLAGAH LAMONGAN</v>
      </c>
      <c r="K18" s="29" t="str">
        <f>IFERROR(__xludf.DUMMYFUNCTION("""COMPUTED_VALUE"""),"6285831478645")</f>
        <v>6285831478645</v>
      </c>
      <c r="L18" s="22">
        <f>IFERROR(__xludf.DUMMYFUNCTION("""COMPUTED_VALUE"""),0.0)</f>
        <v>0</v>
      </c>
      <c r="M18" s="22">
        <f>IFERROR(__xludf.DUMMYFUNCTION("""COMPUTED_VALUE"""),500000.0)</f>
        <v>500000</v>
      </c>
      <c r="N18" s="22">
        <f>IFERROR(__xludf.DUMMYFUNCTION("""COMPUTED_VALUE"""),0.0)</f>
        <v>0</v>
      </c>
      <c r="O18" s="22">
        <f>IFERROR(__xludf.DUMMYFUNCTION("""COMPUTED_VALUE"""),500000.0)</f>
        <v>500000</v>
      </c>
      <c r="P18" s="28" t="str">
        <f t="shared" si="1"/>
        <v>LUNAS</v>
      </c>
      <c r="Q18" s="28">
        <f t="shared" si="2"/>
        <v>53</v>
      </c>
      <c r="R18" s="28" t="str">
        <f t="shared" si="3"/>
        <v>SHABRINA RAHMADANI</v>
      </c>
      <c r="S18" s="28" t="str">
        <f t="shared" si="4"/>
        <v>ZAHRIATUL MUHIMATUN NISA`</v>
      </c>
      <c r="T18" s="22">
        <f t="shared" si="5"/>
        <v>5400000</v>
      </c>
      <c r="U18" s="22">
        <f t="shared" si="6"/>
        <v>0</v>
      </c>
      <c r="V18" s="22">
        <f t="shared" si="7"/>
        <v>0</v>
      </c>
      <c r="W18" s="22">
        <f t="shared" si="8"/>
        <v>5400000</v>
      </c>
      <c r="X18" s="32">
        <v>6.0</v>
      </c>
    </row>
    <row r="19">
      <c r="A19" s="27">
        <f>IFERROR(__xludf.DUMMYFUNCTION("""COMPUTED_VALUE"""),18.0)</f>
        <v>18</v>
      </c>
      <c r="B19" s="28" t="str">
        <f>IFERROR(__xludf.DUMMYFUNCTION("""COMPUTED_VALUE"""),"SYAKILA RAMADHANI")</f>
        <v>SYAKILA RAMADHANI</v>
      </c>
      <c r="C19" s="28">
        <f>IFERROR(__xludf.DUMMYFUNCTION("""COMPUTED_VALUE"""),2.02507037E9)</f>
        <v>2025070370</v>
      </c>
      <c r="D19" s="27" t="str">
        <f>IFERROR(__xludf.DUMMYFUNCTION("""COMPUTED_VALUE"""),"B")</f>
        <v>B</v>
      </c>
      <c r="E19" s="27" t="str">
        <f>IFERROR(__xludf.DUMMYFUNCTION("""COMPUTED_VALUE"""),"B-1")</f>
        <v>B-1</v>
      </c>
      <c r="F19" s="31">
        <f>IFERROR(__xludf.DUMMYFUNCTION("""COMPUTED_VALUE"""),2.0)</f>
        <v>2</v>
      </c>
      <c r="G19" s="27" t="str">
        <f>IFERROR(__xludf.DUMMYFUNCTION("""COMPUTED_VALUE"""),"2 WUSTHO C PUTRI")</f>
        <v>2 WUSTHO C PUTRI</v>
      </c>
      <c r="H19" s="28" t="str">
        <f>IFERROR(__xludf.DUMMYFUNCTION("""COMPUTED_VALUE"""),"CHAIRUL ANAM")</f>
        <v>CHAIRUL ANAM</v>
      </c>
      <c r="I19" s="28" t="str">
        <f>IFERROR(__xludf.DUMMYFUNCTION("""COMPUTED_VALUE"""),"MASFUFAH")</f>
        <v>MASFUFAH</v>
      </c>
      <c r="J19" s="28" t="str">
        <f>IFERROR(__xludf.DUMMYFUNCTION("""COMPUTED_VALUE"""),"TUNJUNGMEKAR RT 002 RW 004 KALITENGAH LAMONGAN")</f>
        <v>TUNJUNGMEKAR RT 002 RW 004 KALITENGAH LAMONGAN</v>
      </c>
      <c r="K19" s="29" t="str">
        <f>IFERROR(__xludf.DUMMYFUNCTION("""COMPUTED_VALUE"""),"6285536376619")</f>
        <v>6285536376619</v>
      </c>
      <c r="L19" s="22">
        <f>IFERROR(__xludf.DUMMYFUNCTION("""COMPUTED_VALUE"""),450000.0)</f>
        <v>450000</v>
      </c>
      <c r="M19" s="22">
        <f>IFERROR(__xludf.DUMMYFUNCTION("""COMPUTED_VALUE"""),1000000.0)</f>
        <v>1000000</v>
      </c>
      <c r="N19" s="22">
        <f>IFERROR(__xludf.DUMMYFUNCTION("""COMPUTED_VALUE"""),0.0)</f>
        <v>0</v>
      </c>
      <c r="O19" s="22">
        <f>IFERROR(__xludf.DUMMYFUNCTION("""COMPUTED_VALUE"""),1450000.0)</f>
        <v>1450000</v>
      </c>
      <c r="P19" s="28" t="str">
        <f t="shared" si="1"/>
        <v>LUNAS</v>
      </c>
      <c r="Q19" s="28">
        <f t="shared" si="2"/>
        <v>28</v>
      </c>
      <c r="R19" s="28" t="str">
        <f t="shared" si="3"/>
        <v>SYAKILA RAMADHANI</v>
      </c>
      <c r="S19" s="28" t="str">
        <f t="shared" si="4"/>
        <v>CITRA MULYA SARI</v>
      </c>
      <c r="T19" s="22">
        <f t="shared" si="5"/>
        <v>4950000</v>
      </c>
      <c r="U19" s="22">
        <f t="shared" si="6"/>
        <v>0</v>
      </c>
      <c r="V19" s="22">
        <f t="shared" si="7"/>
        <v>0</v>
      </c>
      <c r="W19" s="22">
        <f t="shared" si="8"/>
        <v>4950000</v>
      </c>
      <c r="X19" s="32">
        <v>7.0</v>
      </c>
    </row>
    <row r="20">
      <c r="A20" s="27">
        <f>IFERROR(__xludf.DUMMYFUNCTION("""COMPUTED_VALUE"""),19.0)</f>
        <v>19</v>
      </c>
      <c r="B20" s="28" t="str">
        <f>IFERROR(__xludf.DUMMYFUNCTION("""COMPUTED_VALUE"""),"ZUNI SARAH")</f>
        <v>ZUNI SARAH</v>
      </c>
      <c r="C20" s="28">
        <f>IFERROR(__xludf.DUMMYFUNCTION("""COMPUTED_VALUE"""),2.025070269E9)</f>
        <v>2025070269</v>
      </c>
      <c r="D20" s="27" t="str">
        <f>IFERROR(__xludf.DUMMYFUNCTION("""COMPUTED_VALUE"""),"B")</f>
        <v>B</v>
      </c>
      <c r="E20" s="27" t="str">
        <f>IFERROR(__xludf.DUMMYFUNCTION("""COMPUTED_VALUE"""),"B-1")</f>
        <v>B-1</v>
      </c>
      <c r="F20" s="31">
        <f>IFERROR(__xludf.DUMMYFUNCTION("""COMPUTED_VALUE"""),2.0)</f>
        <v>2</v>
      </c>
      <c r="G20" s="27" t="str">
        <f>IFERROR(__xludf.DUMMYFUNCTION("""COMPUTED_VALUE"""),"2 WUSTHO D PUTRI")</f>
        <v>2 WUSTHO D PUTRI</v>
      </c>
      <c r="H20" s="28" t="str">
        <f>IFERROR(__xludf.DUMMYFUNCTION("""COMPUTED_VALUE"""),"TASMAN")</f>
        <v>TASMAN</v>
      </c>
      <c r="I20" s="28" t="str">
        <f>IFERROR(__xludf.DUMMYFUNCTION("""COMPUTED_VALUE"""),"SULIMAH")</f>
        <v>SULIMAH</v>
      </c>
      <c r="J20" s="28" t="str">
        <f>IFERROR(__xludf.DUMMYFUNCTION("""COMPUTED_VALUE"""),"JANGGAN POMAHANJANGGAN RT 005 RW 003 TURI LAMONGAN")</f>
        <v>JANGGAN POMAHANJANGGAN RT 005 RW 003 TURI LAMONGAN</v>
      </c>
      <c r="K20" s="29" t="str">
        <f>IFERROR(__xludf.DUMMYFUNCTION("""COMPUTED_VALUE"""),"628507967794")</f>
        <v>628507967794</v>
      </c>
      <c r="L20" s="22">
        <f>IFERROR(__xludf.DUMMYFUNCTION("""COMPUTED_VALUE"""),0.0)</f>
        <v>0</v>
      </c>
      <c r="M20" s="22">
        <f>IFERROR(__xludf.DUMMYFUNCTION("""COMPUTED_VALUE"""),1600000.0)</f>
        <v>1600000</v>
      </c>
      <c r="N20" s="22">
        <f>IFERROR(__xludf.DUMMYFUNCTION("""COMPUTED_VALUE"""),0.0)</f>
        <v>0</v>
      </c>
      <c r="O20" s="22">
        <f>IFERROR(__xludf.DUMMYFUNCTION("""COMPUTED_VALUE"""),1600000.0)</f>
        <v>1600000</v>
      </c>
      <c r="P20" s="28" t="str">
        <f t="shared" si="1"/>
        <v>LUNAS</v>
      </c>
      <c r="Q20" s="28">
        <f t="shared" si="2"/>
        <v>26</v>
      </c>
      <c r="R20" s="28" t="str">
        <f t="shared" si="3"/>
        <v>ZUNI SARAH</v>
      </c>
      <c r="S20" s="28" t="str">
        <f t="shared" si="4"/>
        <v>SEVANI CHINTIA ANGELIA</v>
      </c>
      <c r="T20" s="22">
        <f t="shared" si="5"/>
        <v>3150000</v>
      </c>
      <c r="U20" s="22">
        <f t="shared" si="6"/>
        <v>1000000</v>
      </c>
      <c r="V20" s="22">
        <f t="shared" si="7"/>
        <v>0</v>
      </c>
      <c r="W20" s="22">
        <f t="shared" si="8"/>
        <v>4150000</v>
      </c>
      <c r="X20" s="32">
        <v>8.0</v>
      </c>
    </row>
    <row r="21">
      <c r="A21" s="27">
        <f>IFERROR(__xludf.DUMMYFUNCTION("""COMPUTED_VALUE"""),20.0)</f>
        <v>20</v>
      </c>
      <c r="B21" s="28" t="str">
        <f>IFERROR(__xludf.DUMMYFUNCTION("""COMPUTED_VALUE"""),"HURIN INHAYATUS SHOLIHAH")</f>
        <v>HURIN INHAYATUS SHOLIHAH</v>
      </c>
      <c r="C21" s="28">
        <f>IFERROR(__xludf.DUMMYFUNCTION("""COMPUTED_VALUE"""),2.025110682E9)</f>
        <v>2025110682</v>
      </c>
      <c r="D21" s="27" t="str">
        <f>IFERROR(__xludf.DUMMYFUNCTION("""COMPUTED_VALUE"""),"B")</f>
        <v>B</v>
      </c>
      <c r="E21" s="27" t="str">
        <f>IFERROR(__xludf.DUMMYFUNCTION("""COMPUTED_VALUE"""),"B-1")</f>
        <v>B-1</v>
      </c>
      <c r="F21" s="31">
        <f>IFERROR(__xludf.DUMMYFUNCTION("""COMPUTED_VALUE"""),2.0)</f>
        <v>2</v>
      </c>
      <c r="G21" s="27" t="str">
        <f>IFERROR(__xludf.DUMMYFUNCTION("""COMPUTED_VALUE"""),"2 WUSTHO C PUTRI")</f>
        <v>2 WUSTHO C PUTRI</v>
      </c>
      <c r="H21" s="28" t="str">
        <f>IFERROR(__xludf.DUMMYFUNCTION("""COMPUTED_VALUE"""),"SHOLIHUL AMIN")</f>
        <v>SHOLIHUL AMIN</v>
      </c>
      <c r="I21" s="28" t="str">
        <f>IFERROR(__xludf.DUMMYFUNCTION("""COMPUTED_VALUE"""),"UMU FAROHAH")</f>
        <v>UMU FAROHAH</v>
      </c>
      <c r="J21" s="28" t="str">
        <f>IFERROR(__xludf.DUMMYFUNCTION("""COMPUTED_VALUE"""),"TENGGULUN RT 001 RW 001 SOLOKURO LAMONGAN")</f>
        <v>TENGGULUN RT 001 RW 001 SOLOKURO LAMONGAN</v>
      </c>
      <c r="K21" s="29" t="str">
        <f>IFERROR(__xludf.DUMMYFUNCTION("""COMPUTED_VALUE"""),"6285856480046")</f>
        <v>6285856480046</v>
      </c>
      <c r="L21" s="22">
        <f>IFERROR(__xludf.DUMMYFUNCTION("""COMPUTED_VALUE"""),0.0)</f>
        <v>0</v>
      </c>
      <c r="M21" s="22">
        <f>IFERROR(__xludf.DUMMYFUNCTION("""COMPUTED_VALUE"""),0.0)</f>
        <v>0</v>
      </c>
      <c r="N21" s="22">
        <f>IFERROR(__xludf.DUMMYFUNCTION("""COMPUTED_VALUE"""),0.0)</f>
        <v>0</v>
      </c>
      <c r="O21" s="22">
        <f>IFERROR(__xludf.DUMMYFUNCTION("""COMPUTED_VALUE"""),0.0)</f>
        <v>0</v>
      </c>
      <c r="P21" s="28" t="str">
        <f t="shared" si="1"/>
        <v>LUNAS</v>
      </c>
      <c r="Q21" s="28">
        <f t="shared" si="2"/>
        <v>71</v>
      </c>
      <c r="R21" s="28" t="str">
        <f t="shared" si="3"/>
        <v>HURIN INHAYATUS SHOLIHAH</v>
      </c>
      <c r="S21" s="28" t="str">
        <f t="shared" si="4"/>
        <v>SHAFA KIRANA KAMALAT AZIZAH</v>
      </c>
      <c r="T21" s="22">
        <f t="shared" si="5"/>
        <v>3150000</v>
      </c>
      <c r="U21" s="22">
        <f t="shared" si="6"/>
        <v>1000000</v>
      </c>
      <c r="V21" s="22">
        <f t="shared" si="7"/>
        <v>0</v>
      </c>
      <c r="W21" s="22">
        <f t="shared" si="8"/>
        <v>4150000</v>
      </c>
      <c r="X21" s="32">
        <v>9.0</v>
      </c>
    </row>
    <row r="22">
      <c r="A22" s="27">
        <f>IFERROR(__xludf.DUMMYFUNCTION("""COMPUTED_VALUE"""),21.0)</f>
        <v>21</v>
      </c>
      <c r="B22" s="28" t="str">
        <f>IFERROR(__xludf.DUMMYFUNCTION("""COMPUTED_VALUE"""),"REVALINA AZZAHRA")</f>
        <v>REVALINA AZZAHRA</v>
      </c>
      <c r="C22" s="28">
        <f>IFERROR(__xludf.DUMMYFUNCTION("""COMPUTED_VALUE"""),2.026010001E9)</f>
        <v>2026010001</v>
      </c>
      <c r="D22" s="27" t="str">
        <f>IFERROR(__xludf.DUMMYFUNCTION("""COMPUTED_VALUE"""),"B")</f>
        <v>B</v>
      </c>
      <c r="E22" s="27" t="str">
        <f>IFERROR(__xludf.DUMMYFUNCTION("""COMPUTED_VALUE"""),"B-1")</f>
        <v>B-1</v>
      </c>
      <c r="F22" s="31">
        <f>IFERROR(__xludf.DUMMYFUNCTION("""COMPUTED_VALUE"""),2.0)</f>
        <v>2</v>
      </c>
      <c r="G22" s="27"/>
      <c r="H22" s="28"/>
      <c r="I22" s="28"/>
      <c r="J22" s="28"/>
      <c r="K22" s="28"/>
      <c r="L22" s="22">
        <f>IFERROR(__xludf.DUMMYFUNCTION("""COMPUTED_VALUE"""),1800000.0)</f>
        <v>1800000</v>
      </c>
      <c r="M22" s="22">
        <f>IFERROR(__xludf.DUMMYFUNCTION("""COMPUTED_VALUE"""),0.0)</f>
        <v>0</v>
      </c>
      <c r="N22" s="22">
        <f>IFERROR(__xludf.DUMMYFUNCTION("""COMPUTED_VALUE"""),0.0)</f>
        <v>0</v>
      </c>
      <c r="O22" s="22">
        <f>IFERROR(__xludf.DUMMYFUNCTION("""COMPUTED_VALUE"""),1800000.0)</f>
        <v>1800000</v>
      </c>
      <c r="P22" s="28" t="str">
        <f t="shared" si="1"/>
        <v>LUNAS</v>
      </c>
      <c r="Q22" s="28">
        <f t="shared" si="2"/>
        <v>23</v>
      </c>
      <c r="R22" s="28" t="str">
        <f t="shared" si="3"/>
        <v>REVALINA AZZAHRA</v>
      </c>
      <c r="S22" s="28" t="str">
        <f t="shared" si="4"/>
        <v>LAESYTAH AGGUSTINA RAMADHANI</v>
      </c>
      <c r="T22" s="22">
        <f t="shared" si="5"/>
        <v>2700000</v>
      </c>
      <c r="U22" s="22">
        <f t="shared" si="6"/>
        <v>1000000</v>
      </c>
      <c r="V22" s="22">
        <f t="shared" si="7"/>
        <v>0</v>
      </c>
      <c r="W22" s="22">
        <f t="shared" si="8"/>
        <v>3700000</v>
      </c>
      <c r="X22" s="32">
        <v>10.0</v>
      </c>
    </row>
    <row r="23">
      <c r="A23" s="27">
        <f>IFERROR(__xludf.DUMMYFUNCTION("""COMPUTED_VALUE"""),22.0)</f>
        <v>22</v>
      </c>
      <c r="B23" s="28" t="str">
        <f>IFERROR(__xludf.DUMMYFUNCTION("""COMPUTED_VALUE"""),"ALFIRA NURUS SA`ADAH")</f>
        <v>ALFIRA NURUS SA`ADAH</v>
      </c>
      <c r="C23" s="28">
        <f>IFERROR(__xludf.DUMMYFUNCTION("""COMPUTED_VALUE"""),2.025070483E9)</f>
        <v>2025070483</v>
      </c>
      <c r="D23" s="27" t="str">
        <f>IFERROR(__xludf.DUMMYFUNCTION("""COMPUTED_VALUE"""),"B")</f>
        <v>B</v>
      </c>
      <c r="E23" s="27" t="str">
        <f>IFERROR(__xludf.DUMMYFUNCTION("""COMPUTED_VALUE"""),"B-10")</f>
        <v>B-10</v>
      </c>
      <c r="F23" s="31">
        <f>IFERROR(__xludf.DUMMYFUNCTION("""COMPUTED_VALUE"""),2.0)</f>
        <v>2</v>
      </c>
      <c r="G23" s="27" t="str">
        <f>IFERROR(__xludf.DUMMYFUNCTION("""COMPUTED_VALUE"""),"2 ULA A PUTRI")</f>
        <v>2 ULA A PUTRI</v>
      </c>
      <c r="H23" s="28" t="str">
        <f>IFERROR(__xludf.DUMMYFUNCTION("""COMPUTED_VALUE"""),"KHUDHORI")</f>
        <v>KHUDHORI</v>
      </c>
      <c r="I23" s="28" t="str">
        <f>IFERROR(__xludf.DUMMYFUNCTION("""COMPUTED_VALUE"""),"SRI AGENG ARICH PRATIWI")</f>
        <v>SRI AGENG ARICH PRATIWI</v>
      </c>
      <c r="J23" s="28" t="str">
        <f>IFERROR(__xludf.DUMMYFUNCTION("""COMPUTED_VALUE"""),"TIWET RT 002 RW 002 KALITENGAH LAMONGAN")</f>
        <v>TIWET RT 002 RW 002 KALITENGAH LAMONGAN</v>
      </c>
      <c r="K23" s="29" t="str">
        <f>IFERROR(__xludf.DUMMYFUNCTION("""COMPUTED_VALUE"""),"6285812495184")</f>
        <v>6285812495184</v>
      </c>
      <c r="L23" s="22">
        <f>IFERROR(__xludf.DUMMYFUNCTION("""COMPUTED_VALUE"""),0.0)</f>
        <v>0</v>
      </c>
      <c r="M23" s="22">
        <f>IFERROR(__xludf.DUMMYFUNCTION("""COMPUTED_VALUE"""),1000000.0)</f>
        <v>1000000</v>
      </c>
      <c r="N23" s="22">
        <f>IFERROR(__xludf.DUMMYFUNCTION("""COMPUTED_VALUE"""),0.0)</f>
        <v>0</v>
      </c>
      <c r="O23" s="22">
        <f>IFERROR(__xludf.DUMMYFUNCTION("""COMPUTED_VALUE"""),1000000.0)</f>
        <v>1000000</v>
      </c>
      <c r="P23" s="28" t="str">
        <f t="shared" si="1"/>
        <v>LUNAS</v>
      </c>
      <c r="Q23" s="28">
        <f t="shared" si="2"/>
        <v>40</v>
      </c>
      <c r="R23" s="28" t="str">
        <f t="shared" si="3"/>
        <v>ALFIRA NURUS SA`ADAH</v>
      </c>
    </row>
    <row r="24">
      <c r="A24" s="27">
        <f>IFERROR(__xludf.DUMMYFUNCTION("""COMPUTED_VALUE"""),23.0)</f>
        <v>23</v>
      </c>
      <c r="B24" s="28" t="str">
        <f>IFERROR(__xludf.DUMMYFUNCTION("""COMPUTED_VALUE"""),"FARIH FIRDAUSI NUZULA")</f>
        <v>FARIH FIRDAUSI NUZULA</v>
      </c>
      <c r="C24" s="28">
        <f>IFERROR(__xludf.DUMMYFUNCTION("""COMPUTED_VALUE"""),2.02507049E9)</f>
        <v>2025070490</v>
      </c>
      <c r="D24" s="27" t="str">
        <f>IFERROR(__xludf.DUMMYFUNCTION("""COMPUTED_VALUE"""),"B")</f>
        <v>B</v>
      </c>
      <c r="E24" s="27" t="str">
        <f>IFERROR(__xludf.DUMMYFUNCTION("""COMPUTED_VALUE"""),"B-10")</f>
        <v>B-10</v>
      </c>
      <c r="F24" s="31">
        <f>IFERROR(__xludf.DUMMYFUNCTION("""COMPUTED_VALUE"""),2.0)</f>
        <v>2</v>
      </c>
      <c r="G24" s="27" t="str">
        <f>IFERROR(__xludf.DUMMYFUNCTION("""COMPUTED_VALUE"""),"2 ULA C PUTRI")</f>
        <v>2 ULA C PUTRI</v>
      </c>
      <c r="H24" s="28" t="str">
        <f>IFERROR(__xludf.DUMMYFUNCTION("""COMPUTED_VALUE"""),"CHOIRUL HUDA")</f>
        <v>CHOIRUL HUDA</v>
      </c>
      <c r="I24" s="28" t="str">
        <f>IFERROR(__xludf.DUMMYFUNCTION("""COMPUTED_VALUE"""),"PRATIWI AFAITA")</f>
        <v>PRATIWI AFAITA</v>
      </c>
      <c r="J24" s="28" t="str">
        <f>IFERROR(__xludf.DUMMYFUNCTION("""COMPUTED_VALUE"""),"GETUNG TAWANGREJO RT 003 RW 002 TURI LAMONGAN")</f>
        <v>GETUNG TAWANGREJO RT 003 RW 002 TURI LAMONGAN</v>
      </c>
      <c r="K24" s="29" t="str">
        <f>IFERROR(__xludf.DUMMYFUNCTION("""COMPUTED_VALUE"""),"6285854669194")</f>
        <v>6285854669194</v>
      </c>
      <c r="L24" s="22">
        <f>IFERROR(__xludf.DUMMYFUNCTION("""COMPUTED_VALUE"""),5400000.0)</f>
        <v>5400000</v>
      </c>
      <c r="M24" s="22">
        <f>IFERROR(__xludf.DUMMYFUNCTION("""COMPUTED_VALUE"""),1600000.0)</f>
        <v>1600000</v>
      </c>
      <c r="N24" s="22">
        <f>IFERROR(__xludf.DUMMYFUNCTION("""COMPUTED_VALUE"""),0.0)</f>
        <v>0</v>
      </c>
      <c r="O24" s="22">
        <f>IFERROR(__xludf.DUMMYFUNCTION("""COMPUTED_VALUE"""),7000000.0)</f>
        <v>7000000</v>
      </c>
      <c r="P24" s="28" t="str">
        <f t="shared" si="1"/>
        <v>LUNAS</v>
      </c>
      <c r="Q24" s="28">
        <f t="shared" si="2"/>
        <v>4</v>
      </c>
      <c r="R24" s="28" t="str">
        <f t="shared" si="3"/>
        <v>FARIH FIRDAUSI NUZULA</v>
      </c>
    </row>
    <row r="25">
      <c r="A25" s="27">
        <f>IFERROR(__xludf.DUMMYFUNCTION("""COMPUTED_VALUE"""),24.0)</f>
        <v>24</v>
      </c>
      <c r="B25" s="28" t="str">
        <f>IFERROR(__xludf.DUMMYFUNCTION("""COMPUTED_VALUE"""),"ISTNA NOUR SHAUMI RAMADHANI")</f>
        <v>ISTNA NOUR SHAUMI RAMADHANI</v>
      </c>
      <c r="C25" s="28">
        <f>IFERROR(__xludf.DUMMYFUNCTION("""COMPUTED_VALUE"""),2.025070484E9)</f>
        <v>2025070484</v>
      </c>
      <c r="D25" s="27" t="str">
        <f>IFERROR(__xludf.DUMMYFUNCTION("""COMPUTED_VALUE"""),"B")</f>
        <v>B</v>
      </c>
      <c r="E25" s="27" t="str">
        <f>IFERROR(__xludf.DUMMYFUNCTION("""COMPUTED_VALUE"""),"B-10")</f>
        <v>B-10</v>
      </c>
      <c r="F25" s="31">
        <f>IFERROR(__xludf.DUMMYFUNCTION("""COMPUTED_VALUE"""),2.0)</f>
        <v>2</v>
      </c>
      <c r="G25" s="27" t="str">
        <f>IFERROR(__xludf.DUMMYFUNCTION("""COMPUTED_VALUE"""),"2 ULA C PUTRI")</f>
        <v>2 ULA C PUTRI</v>
      </c>
      <c r="H25" s="28" t="str">
        <f>IFERROR(__xludf.DUMMYFUNCTION("""COMPUTED_VALUE"""),"M. RUKUN SUPRANATA")</f>
        <v>M. RUKUN SUPRANATA</v>
      </c>
      <c r="I25" s="28" t="str">
        <f>IFERROR(__xludf.DUMMYFUNCTION("""COMPUTED_VALUE"""),"SULASTRI")</f>
        <v>SULASTRI</v>
      </c>
      <c r="J25" s="28" t="str">
        <f>IFERROR(__xludf.DUMMYFUNCTION("""COMPUTED_VALUE"""),"TIWET RT 001 RW 001 KALITENGAH LAMONGAN")</f>
        <v>TIWET RT 001 RW 001 KALITENGAH LAMONGAN</v>
      </c>
      <c r="K25" s="29" t="str">
        <f>IFERROR(__xludf.DUMMYFUNCTION("""COMPUTED_VALUE"""),"6289530455849")</f>
        <v>6289530455849</v>
      </c>
      <c r="L25" s="22">
        <f>IFERROR(__xludf.DUMMYFUNCTION("""COMPUTED_VALUE"""),0.0)</f>
        <v>0</v>
      </c>
      <c r="M25" s="22">
        <f>IFERROR(__xludf.DUMMYFUNCTION("""COMPUTED_VALUE"""),1600000.0)</f>
        <v>1600000</v>
      </c>
      <c r="N25" s="22">
        <f>IFERROR(__xludf.DUMMYFUNCTION("""COMPUTED_VALUE"""),0.0)</f>
        <v>0</v>
      </c>
      <c r="O25" s="22">
        <f>IFERROR(__xludf.DUMMYFUNCTION("""COMPUTED_VALUE"""),1600000.0)</f>
        <v>1600000</v>
      </c>
      <c r="P25" s="28" t="str">
        <f t="shared" si="1"/>
        <v>LUNAS</v>
      </c>
      <c r="Q25" s="28">
        <f t="shared" si="2"/>
        <v>27</v>
      </c>
      <c r="R25" s="28" t="str">
        <f t="shared" si="3"/>
        <v>ISTNA NOUR SHAUMI RAMADHANI</v>
      </c>
    </row>
    <row r="26">
      <c r="A26" s="27">
        <f>IFERROR(__xludf.DUMMYFUNCTION("""COMPUTED_VALUE"""),25.0)</f>
        <v>25</v>
      </c>
      <c r="B26" s="28" t="str">
        <f>IFERROR(__xludf.DUMMYFUNCTION("""COMPUTED_VALUE"""),"JANUARIS AZKA GUMAISHA SAPUTRI")</f>
        <v>JANUARIS AZKA GUMAISHA SAPUTRI</v>
      </c>
      <c r="C26" s="28">
        <f>IFERROR(__xludf.DUMMYFUNCTION("""COMPUTED_VALUE"""),2.02507009E9)</f>
        <v>2025070090</v>
      </c>
      <c r="D26" s="27" t="str">
        <f>IFERROR(__xludf.DUMMYFUNCTION("""COMPUTED_VALUE"""),"B")</f>
        <v>B</v>
      </c>
      <c r="E26" s="27" t="str">
        <f>IFERROR(__xludf.DUMMYFUNCTION("""COMPUTED_VALUE"""),"B-10")</f>
        <v>B-10</v>
      </c>
      <c r="F26" s="31">
        <f>IFERROR(__xludf.DUMMYFUNCTION("""COMPUTED_VALUE"""),2.0)</f>
        <v>2</v>
      </c>
      <c r="G26" s="27" t="str">
        <f>IFERROR(__xludf.DUMMYFUNCTION("""COMPUTED_VALUE"""),"2 WUSTHO B PUTRI")</f>
        <v>2 WUSTHO B PUTRI</v>
      </c>
      <c r="H26" s="28" t="str">
        <f>IFERROR(__xludf.DUMMYFUNCTION("""COMPUTED_VALUE"""),"NARIP SAPUTRO")</f>
        <v>NARIP SAPUTRO</v>
      </c>
      <c r="I26" s="28" t="str">
        <f>IFERROR(__xludf.DUMMYFUNCTION("""COMPUTED_VALUE"""),"ENIK ULIYATIN")</f>
        <v>ENIK ULIYATIN</v>
      </c>
      <c r="J26" s="28" t="str">
        <f>IFERROR(__xludf.DUMMYFUNCTION("""COMPUTED_VALUE"""),"TEJOASRI RT 003 RW 004 LAREN LAMONGAN")</f>
        <v>TEJOASRI RT 003 RW 004 LAREN LAMONGAN</v>
      </c>
      <c r="K26" s="29" t="str">
        <f>IFERROR(__xludf.DUMMYFUNCTION("""COMPUTED_VALUE"""),"6282141394371")</f>
        <v>6282141394371</v>
      </c>
      <c r="L26" s="22">
        <f>IFERROR(__xludf.DUMMYFUNCTION("""COMPUTED_VALUE"""),0.0)</f>
        <v>0</v>
      </c>
      <c r="M26" s="22">
        <f>IFERROR(__xludf.DUMMYFUNCTION("""COMPUTED_VALUE"""),0.0)</f>
        <v>0</v>
      </c>
      <c r="N26" s="22">
        <f>IFERROR(__xludf.DUMMYFUNCTION("""COMPUTED_VALUE"""),0.0)</f>
        <v>0</v>
      </c>
      <c r="O26" s="22">
        <f>IFERROR(__xludf.DUMMYFUNCTION("""COMPUTED_VALUE"""),0.0)</f>
        <v>0</v>
      </c>
      <c r="P26" s="28" t="str">
        <f t="shared" si="1"/>
        <v>LUNAS</v>
      </c>
      <c r="Q26" s="28">
        <f t="shared" si="2"/>
        <v>72</v>
      </c>
      <c r="R26" s="28" t="str">
        <f t="shared" si="3"/>
        <v>JANUARIS AZKA GUMAISHA SAPUTRI</v>
      </c>
    </row>
    <row r="27">
      <c r="A27" s="27">
        <f>IFERROR(__xludf.DUMMYFUNCTION("""COMPUTED_VALUE"""),26.0)</f>
        <v>26</v>
      </c>
      <c r="B27" s="28" t="str">
        <f>IFERROR(__xludf.DUMMYFUNCTION("""COMPUTED_VALUE"""),"NIDIAH ANNISA` ISKARIMAH")</f>
        <v>NIDIAH ANNISA` ISKARIMAH</v>
      </c>
      <c r="C27" s="28">
        <f>IFERROR(__xludf.DUMMYFUNCTION("""COMPUTED_VALUE"""),2.025070068E9)</f>
        <v>2025070068</v>
      </c>
      <c r="D27" s="27" t="str">
        <f>IFERROR(__xludf.DUMMYFUNCTION("""COMPUTED_VALUE"""),"B")</f>
        <v>B</v>
      </c>
      <c r="E27" s="27" t="str">
        <f>IFERROR(__xludf.DUMMYFUNCTION("""COMPUTED_VALUE"""),"B-10")</f>
        <v>B-10</v>
      </c>
      <c r="F27" s="31">
        <f>IFERROR(__xludf.DUMMYFUNCTION("""COMPUTED_VALUE"""),2.0)</f>
        <v>2</v>
      </c>
      <c r="G27" s="27" t="str">
        <f>IFERROR(__xludf.DUMMYFUNCTION("""COMPUTED_VALUE"""),"2 WUSTHO B PUTRI")</f>
        <v>2 WUSTHO B PUTRI</v>
      </c>
      <c r="H27" s="28" t="str">
        <f>IFERROR(__xludf.DUMMYFUNCTION("""COMPUTED_VALUE"""),"SHAFWAN")</f>
        <v>SHAFWAN</v>
      </c>
      <c r="I27" s="28" t="str">
        <f>IFERROR(__xludf.DUMMYFUNCTION("""COMPUTED_VALUE"""),"MUTAQIYAH")</f>
        <v>MUTAQIYAH</v>
      </c>
      <c r="J27" s="28" t="str">
        <f>IFERROR(__xludf.DUMMYFUNCTION("""COMPUTED_VALUE"""),"RAYUNG RAYUNGGUMUK RT 001 RW 003 GLAGAH LAMONGAN")</f>
        <v>RAYUNG RAYUNGGUMUK RT 001 RW 003 GLAGAH LAMONGAN</v>
      </c>
      <c r="K27" s="29" t="str">
        <f>IFERROR(__xludf.DUMMYFUNCTION("""COMPUTED_VALUE"""),"6285746102022")</f>
        <v>6285746102022</v>
      </c>
      <c r="L27" s="22">
        <f>IFERROR(__xludf.DUMMYFUNCTION("""COMPUTED_VALUE"""),900000.0)</f>
        <v>900000</v>
      </c>
      <c r="M27" s="22">
        <f>IFERROR(__xludf.DUMMYFUNCTION("""COMPUTED_VALUE"""),0.0)</f>
        <v>0</v>
      </c>
      <c r="N27" s="22">
        <f>IFERROR(__xludf.DUMMYFUNCTION("""COMPUTED_VALUE"""),0.0)</f>
        <v>0</v>
      </c>
      <c r="O27" s="22">
        <f>IFERROR(__xludf.DUMMYFUNCTION("""COMPUTED_VALUE"""),900000.0)</f>
        <v>900000</v>
      </c>
      <c r="P27" s="28" t="str">
        <f t="shared" si="1"/>
        <v>LUNAS</v>
      </c>
      <c r="Q27" s="28">
        <f t="shared" si="2"/>
        <v>51</v>
      </c>
      <c r="R27" s="28" t="str">
        <f t="shared" si="3"/>
        <v>NIDIAH ANNISA` ISKARIMAH</v>
      </c>
    </row>
    <row r="28">
      <c r="A28" s="27">
        <f>IFERROR(__xludf.DUMMYFUNCTION("""COMPUTED_VALUE"""),27.0)</f>
        <v>27</v>
      </c>
      <c r="B28" s="28" t="str">
        <f>IFERROR(__xludf.DUMMYFUNCTION("""COMPUTED_VALUE"""),"NUR ASIVA RAHAYU")</f>
        <v>NUR ASIVA RAHAYU</v>
      </c>
      <c r="C28" s="28">
        <f>IFERROR(__xludf.DUMMYFUNCTION("""COMPUTED_VALUE"""),2.025070481E9)</f>
        <v>2025070481</v>
      </c>
      <c r="D28" s="27" t="str">
        <f>IFERROR(__xludf.DUMMYFUNCTION("""COMPUTED_VALUE"""),"B")</f>
        <v>B</v>
      </c>
      <c r="E28" s="27" t="str">
        <f>IFERROR(__xludf.DUMMYFUNCTION("""COMPUTED_VALUE"""),"B-10")</f>
        <v>B-10</v>
      </c>
      <c r="F28" s="31">
        <f>IFERROR(__xludf.DUMMYFUNCTION("""COMPUTED_VALUE"""),2.0)</f>
        <v>2</v>
      </c>
      <c r="G28" s="27" t="str">
        <f>IFERROR(__xludf.DUMMYFUNCTION("""COMPUTED_VALUE"""),"2 ULA C PUTRI")</f>
        <v>2 ULA C PUTRI</v>
      </c>
      <c r="H28" s="28" t="str">
        <f>IFERROR(__xludf.DUMMYFUNCTION("""COMPUTED_VALUE"""),"AS`AD")</f>
        <v>AS`AD</v>
      </c>
      <c r="I28" s="28" t="str">
        <f>IFERROR(__xludf.DUMMYFUNCTION("""COMPUTED_VALUE"""),"ISVA UMROAH")</f>
        <v>ISVA UMROAH</v>
      </c>
      <c r="J28" s="28" t="str">
        <f>IFERROR(__xludf.DUMMYFUNCTION("""COMPUTED_VALUE"""),"TIWET RT 002 RW 003 KALITENGAH LAMONGAN")</f>
        <v>TIWET RT 002 RW 003 KALITENGAH LAMONGAN</v>
      </c>
      <c r="K28" s="29" t="str">
        <f>IFERROR(__xludf.DUMMYFUNCTION("""COMPUTED_VALUE"""),"6285784441243")</f>
        <v>6285784441243</v>
      </c>
      <c r="L28" s="22">
        <f>IFERROR(__xludf.DUMMYFUNCTION("""COMPUTED_VALUE"""),1800000.0)</f>
        <v>1800000</v>
      </c>
      <c r="M28" s="22">
        <f>IFERROR(__xludf.DUMMYFUNCTION("""COMPUTED_VALUE"""),1000000.0)</f>
        <v>1000000</v>
      </c>
      <c r="N28" s="22">
        <f>IFERROR(__xludf.DUMMYFUNCTION("""COMPUTED_VALUE"""),0.0)</f>
        <v>0</v>
      </c>
      <c r="O28" s="22">
        <f>IFERROR(__xludf.DUMMYFUNCTION("""COMPUTED_VALUE"""),2800000.0)</f>
        <v>2800000</v>
      </c>
      <c r="P28" s="28" t="str">
        <f t="shared" si="1"/>
        <v>LUNAS</v>
      </c>
      <c r="Q28" s="28">
        <f t="shared" si="2"/>
        <v>14</v>
      </c>
      <c r="R28" s="28" t="str">
        <f t="shared" si="3"/>
        <v>NUR ASIVA RAHAYU</v>
      </c>
    </row>
    <row r="29">
      <c r="A29" s="27">
        <f>IFERROR(__xludf.DUMMYFUNCTION("""COMPUTED_VALUE"""),28.0)</f>
        <v>28</v>
      </c>
      <c r="B29" s="28" t="str">
        <f>IFERROR(__xludf.DUMMYFUNCTION("""COMPUTED_VALUE"""),"NUR ROFIDATUZ ZAHRA")</f>
        <v>NUR ROFIDATUZ ZAHRA</v>
      </c>
      <c r="C29" s="28">
        <f>IFERROR(__xludf.DUMMYFUNCTION("""COMPUTED_VALUE"""),2.025070438E9)</f>
        <v>2025070438</v>
      </c>
      <c r="D29" s="27" t="str">
        <f>IFERROR(__xludf.DUMMYFUNCTION("""COMPUTED_VALUE"""),"B")</f>
        <v>B</v>
      </c>
      <c r="E29" s="27" t="str">
        <f>IFERROR(__xludf.DUMMYFUNCTION("""COMPUTED_VALUE"""),"B-10")</f>
        <v>B-10</v>
      </c>
      <c r="F29" s="31">
        <f>IFERROR(__xludf.DUMMYFUNCTION("""COMPUTED_VALUE"""),2.0)</f>
        <v>2</v>
      </c>
      <c r="G29" s="27" t="str">
        <f>IFERROR(__xludf.DUMMYFUNCTION("""COMPUTED_VALUE"""),"2 WUSTHO C PUTRI")</f>
        <v>2 WUSTHO C PUTRI</v>
      </c>
      <c r="H29" s="28" t="str">
        <f>IFERROR(__xludf.DUMMYFUNCTION("""COMPUTED_VALUE"""),"MUJAZIN")</f>
        <v>MUJAZIN</v>
      </c>
      <c r="I29" s="28" t="str">
        <f>IFERROR(__xludf.DUMMYFUNCTION("""COMPUTED_VALUE"""),"RINI NORHAYATI")</f>
        <v>RINI NORHAYATI</v>
      </c>
      <c r="J29" s="28" t="str">
        <f>IFERROR(__xludf.DUMMYFUNCTION("""COMPUTED_VALUE"""),"KENDALKEMLAGI RT 003 RW 001 KARANGGENENG LAMONGAN")</f>
        <v>KENDALKEMLAGI RT 003 RW 001 KARANGGENENG LAMONGAN</v>
      </c>
      <c r="K29" s="29" t="str">
        <f>IFERROR(__xludf.DUMMYFUNCTION("""COMPUTED_VALUE"""),"6281553870082")</f>
        <v>6281553870082</v>
      </c>
      <c r="L29" s="22">
        <f>IFERROR(__xludf.DUMMYFUNCTION("""COMPUTED_VALUE"""),0.0)</f>
        <v>0</v>
      </c>
      <c r="M29" s="22">
        <f>IFERROR(__xludf.DUMMYFUNCTION("""COMPUTED_VALUE"""),0.0)</f>
        <v>0</v>
      </c>
      <c r="N29" s="22">
        <f>IFERROR(__xludf.DUMMYFUNCTION("""COMPUTED_VALUE"""),0.0)</f>
        <v>0</v>
      </c>
      <c r="O29" s="22">
        <f>IFERROR(__xludf.DUMMYFUNCTION("""COMPUTED_VALUE"""),0.0)</f>
        <v>0</v>
      </c>
      <c r="P29" s="28" t="str">
        <f t="shared" si="1"/>
        <v>LUNAS</v>
      </c>
      <c r="Q29" s="28">
        <f t="shared" si="2"/>
        <v>73</v>
      </c>
      <c r="R29" s="28" t="str">
        <f t="shared" si="3"/>
        <v>NUR ROFIDATUZ ZAHRA</v>
      </c>
    </row>
    <row r="30">
      <c r="A30" s="27">
        <f>IFERROR(__xludf.DUMMYFUNCTION("""COMPUTED_VALUE"""),29.0)</f>
        <v>29</v>
      </c>
      <c r="B30" s="28" t="str">
        <f>IFERROR(__xludf.DUMMYFUNCTION("""COMPUTED_VALUE"""),"REVALINA INTAN PARAMITA")</f>
        <v>REVALINA INTAN PARAMITA</v>
      </c>
      <c r="C30" s="28">
        <f>IFERROR(__xludf.DUMMYFUNCTION("""COMPUTED_VALUE"""),2.025070201E9)</f>
        <v>2025070201</v>
      </c>
      <c r="D30" s="27" t="str">
        <f>IFERROR(__xludf.DUMMYFUNCTION("""COMPUTED_VALUE"""),"B")</f>
        <v>B</v>
      </c>
      <c r="E30" s="27" t="str">
        <f>IFERROR(__xludf.DUMMYFUNCTION("""COMPUTED_VALUE"""),"B-10")</f>
        <v>B-10</v>
      </c>
      <c r="F30" s="31">
        <f>IFERROR(__xludf.DUMMYFUNCTION("""COMPUTED_VALUE"""),2.0)</f>
        <v>2</v>
      </c>
      <c r="G30" s="27" t="str">
        <f>IFERROR(__xludf.DUMMYFUNCTION("""COMPUTED_VALUE"""),"2 WUSTHO C PUTRI")</f>
        <v>2 WUSTHO C PUTRI</v>
      </c>
      <c r="H30" s="28" t="str">
        <f>IFERROR(__xludf.DUMMYFUNCTION("""COMPUTED_VALUE"""),"MARUWAN")</f>
        <v>MARUWAN</v>
      </c>
      <c r="I30" s="28" t="str">
        <f>IFERROR(__xludf.DUMMYFUNCTION("""COMPUTED_VALUE"""),"SUMARNI")</f>
        <v>SUMARNI</v>
      </c>
      <c r="J30" s="28" t="str">
        <f>IFERROR(__xludf.DUMMYFUNCTION("""COMPUTED_VALUE"""),"PLOSOLEBAK TAMBAKPLOSO RT 015 RW 003 TURI LAMONGAN")</f>
        <v>PLOSOLEBAK TAMBAKPLOSO RT 015 RW 003 TURI LAMONGAN</v>
      </c>
      <c r="K30" s="29" t="str">
        <f>IFERROR(__xludf.DUMMYFUNCTION("""COMPUTED_VALUE"""),"6285806977954")</f>
        <v>6285806977954</v>
      </c>
      <c r="L30" s="22">
        <f>IFERROR(__xludf.DUMMYFUNCTION("""COMPUTED_VALUE"""),1350000.0)</f>
        <v>1350000</v>
      </c>
      <c r="M30" s="22">
        <f>IFERROR(__xludf.DUMMYFUNCTION("""COMPUTED_VALUE"""),0.0)</f>
        <v>0</v>
      </c>
      <c r="N30" s="22">
        <f>IFERROR(__xludf.DUMMYFUNCTION("""COMPUTED_VALUE"""),0.0)</f>
        <v>0</v>
      </c>
      <c r="O30" s="22">
        <f>IFERROR(__xludf.DUMMYFUNCTION("""COMPUTED_VALUE"""),1350000.0)</f>
        <v>1350000</v>
      </c>
      <c r="P30" s="28" t="str">
        <f t="shared" si="1"/>
        <v>LUNAS</v>
      </c>
      <c r="Q30" s="28">
        <f t="shared" si="2"/>
        <v>34</v>
      </c>
      <c r="R30" s="28" t="str">
        <f t="shared" si="3"/>
        <v>REVALINA INTAN PARAMITA</v>
      </c>
    </row>
    <row r="31">
      <c r="A31" s="27">
        <f>IFERROR(__xludf.DUMMYFUNCTION("""COMPUTED_VALUE"""),30.0)</f>
        <v>30</v>
      </c>
      <c r="B31" s="28" t="str">
        <f>IFERROR(__xludf.DUMMYFUNCTION("""COMPUTED_VALUE"""),"SHOFIYATUN NISA`")</f>
        <v>SHOFIYATUN NISA`</v>
      </c>
      <c r="C31" s="28">
        <f>IFERROR(__xludf.DUMMYFUNCTION("""COMPUTED_VALUE"""),2.025070477E9)</f>
        <v>2025070477</v>
      </c>
      <c r="D31" s="27" t="str">
        <f>IFERROR(__xludf.DUMMYFUNCTION("""COMPUTED_VALUE"""),"B")</f>
        <v>B</v>
      </c>
      <c r="E31" s="27" t="str">
        <f>IFERROR(__xludf.DUMMYFUNCTION("""COMPUTED_VALUE"""),"B-10")</f>
        <v>B-10</v>
      </c>
      <c r="F31" s="31">
        <f>IFERROR(__xludf.DUMMYFUNCTION("""COMPUTED_VALUE"""),2.0)</f>
        <v>2</v>
      </c>
      <c r="G31" s="27" t="str">
        <f>IFERROR(__xludf.DUMMYFUNCTION("""COMPUTED_VALUE"""),"2 ULA B PUTRI")</f>
        <v>2 ULA B PUTRI</v>
      </c>
      <c r="H31" s="28" t="str">
        <f>IFERROR(__xludf.DUMMYFUNCTION("""COMPUTED_VALUE"""),"SUNAIN")</f>
        <v>SUNAIN</v>
      </c>
      <c r="I31" s="28" t="str">
        <f>IFERROR(__xludf.DUMMYFUNCTION("""COMPUTED_VALUE"""),"MAZROATUL AKHIROH")</f>
        <v>MAZROATUL AKHIROH</v>
      </c>
      <c r="J31" s="28" t="str">
        <f>IFERROR(__xludf.DUMMYFUNCTION("""COMPUTED_VALUE"""),"BARON RT 006 RW 003 DUKUN GRESIK")</f>
        <v>BARON RT 006 RW 003 DUKUN GRESIK</v>
      </c>
      <c r="K31" s="29" t="str">
        <f>IFERROR(__xludf.DUMMYFUNCTION("""COMPUTED_VALUE"""),"6287853490818")</f>
        <v>6287853490818</v>
      </c>
      <c r="L31" s="22">
        <f>IFERROR(__xludf.DUMMYFUNCTION("""COMPUTED_VALUE"""),0.0)</f>
        <v>0</v>
      </c>
      <c r="M31" s="22">
        <f>IFERROR(__xludf.DUMMYFUNCTION("""COMPUTED_VALUE"""),500000.0)</f>
        <v>500000</v>
      </c>
      <c r="N31" s="22">
        <f>IFERROR(__xludf.DUMMYFUNCTION("""COMPUTED_VALUE"""),0.0)</f>
        <v>0</v>
      </c>
      <c r="O31" s="22">
        <f>IFERROR(__xludf.DUMMYFUNCTION("""COMPUTED_VALUE"""),500000.0)</f>
        <v>500000</v>
      </c>
      <c r="P31" s="28" t="str">
        <f t="shared" si="1"/>
        <v>LUNAS</v>
      </c>
      <c r="Q31" s="28">
        <f t="shared" si="2"/>
        <v>54</v>
      </c>
      <c r="R31" s="28" t="str">
        <f t="shared" si="3"/>
        <v>SHOFIYATUN NISA`</v>
      </c>
    </row>
    <row r="32">
      <c r="A32" s="27">
        <f>IFERROR(__xludf.DUMMYFUNCTION("""COMPUTED_VALUE"""),31.0)</f>
        <v>31</v>
      </c>
      <c r="B32" s="28" t="str">
        <f>IFERROR(__xludf.DUMMYFUNCTION("""COMPUTED_VALUE"""),"AYUNDA KIRANA QURROTUL ISHAQIYYAH")</f>
        <v>AYUNDA KIRANA QURROTUL ISHAQIYYAH</v>
      </c>
      <c r="C32" s="28">
        <f>IFERROR(__xludf.DUMMYFUNCTION("""COMPUTED_VALUE"""),2.024070742E9)</f>
        <v>2024070742</v>
      </c>
      <c r="D32" s="27" t="str">
        <f>IFERROR(__xludf.DUMMYFUNCTION("""COMPUTED_VALUE"""),"B")</f>
        <v>B</v>
      </c>
      <c r="E32" s="27" t="str">
        <f>IFERROR(__xludf.DUMMYFUNCTION("""COMPUTED_VALUE"""),"B-10")</f>
        <v>B-10</v>
      </c>
      <c r="F32" s="31">
        <f>IFERROR(__xludf.DUMMYFUNCTION("""COMPUTED_VALUE"""),3.0)</f>
        <v>3</v>
      </c>
      <c r="G32" s="27" t="str">
        <f>IFERROR(__xludf.DUMMYFUNCTION("""COMPUTED_VALUE"""),"3 ULA A PUTRI")</f>
        <v>3 ULA A PUTRI</v>
      </c>
      <c r="H32" s="28" t="str">
        <f>IFERROR(__xludf.DUMMYFUNCTION("""COMPUTED_VALUE"""),"ERWANTO")</f>
        <v>ERWANTO</v>
      </c>
      <c r="I32" s="28" t="str">
        <f>IFERROR(__xludf.DUMMYFUNCTION("""COMPUTED_VALUE"""),"ZUMAROH")</f>
        <v>ZUMAROH</v>
      </c>
      <c r="J32" s="28" t="str">
        <f>IFERROR(__xludf.DUMMYFUNCTION("""COMPUTED_VALUE"""),"PANGEAN RT 008 RW 002 MADURAN LAMONGAN")</f>
        <v>PANGEAN RT 008 RW 002 MADURAN LAMONGAN</v>
      </c>
      <c r="K32" s="29" t="str">
        <f>IFERROR(__xludf.DUMMYFUNCTION("""COMPUTED_VALUE"""),"6285648522402")</f>
        <v>6285648522402</v>
      </c>
      <c r="L32" s="22">
        <f>IFERROR(__xludf.DUMMYFUNCTION("""COMPUTED_VALUE"""),9000000.0)</f>
        <v>9000000</v>
      </c>
      <c r="M32" s="22">
        <f>IFERROR(__xludf.DUMMYFUNCTION("""COMPUTED_VALUE"""),1000000.0)</f>
        <v>1000000</v>
      </c>
      <c r="N32" s="22">
        <f>IFERROR(__xludf.DUMMYFUNCTION("""COMPUTED_VALUE"""),0.0)</f>
        <v>0</v>
      </c>
      <c r="O32" s="22">
        <f>IFERROR(__xludf.DUMMYFUNCTION("""COMPUTED_VALUE"""),1.0E7)</f>
        <v>10000000</v>
      </c>
      <c r="P32" s="28" t="str">
        <f t="shared" si="1"/>
        <v>LUNAS</v>
      </c>
      <c r="Q32" s="28">
        <f t="shared" si="2"/>
        <v>1</v>
      </c>
      <c r="R32" s="28" t="str">
        <f t="shared" si="3"/>
        <v>AYUNDA KIRANA QURROTUL ISHAQIYYAH</v>
      </c>
    </row>
    <row r="33">
      <c r="A33" s="27">
        <f>IFERROR(__xludf.DUMMYFUNCTION("""COMPUTED_VALUE"""),32.0)</f>
        <v>32</v>
      </c>
      <c r="B33" s="28" t="str">
        <f>IFERROR(__xludf.DUMMYFUNCTION("""COMPUTED_VALUE"""),"KAYYISA ILMI RAFANDA")</f>
        <v>KAYYISA ILMI RAFANDA</v>
      </c>
      <c r="C33" s="28">
        <f>IFERROR(__xludf.DUMMYFUNCTION("""COMPUTED_VALUE"""),2.024070723E9)</f>
        <v>2024070723</v>
      </c>
      <c r="D33" s="27" t="str">
        <f>IFERROR(__xludf.DUMMYFUNCTION("""COMPUTED_VALUE"""),"B")</f>
        <v>B</v>
      </c>
      <c r="E33" s="27" t="str">
        <f>IFERROR(__xludf.DUMMYFUNCTION("""COMPUTED_VALUE"""),"B-10")</f>
        <v>B-10</v>
      </c>
      <c r="F33" s="31">
        <f>IFERROR(__xludf.DUMMYFUNCTION("""COMPUTED_VALUE"""),3.0)</f>
        <v>3</v>
      </c>
      <c r="G33" s="27" t="str">
        <f>IFERROR(__xludf.DUMMYFUNCTION("""COMPUTED_VALUE"""),"3 ULA A PUTRI")</f>
        <v>3 ULA A PUTRI</v>
      </c>
      <c r="H33" s="28" t="str">
        <f>IFERROR(__xludf.DUMMYFUNCTION("""COMPUTED_VALUE"""),"MAFTUKIN")</f>
        <v>MAFTUKIN</v>
      </c>
      <c r="I33" s="28" t="str">
        <f>IFERROR(__xludf.DUMMYFUNCTION("""COMPUTED_VALUE"""),"MAFTUKHAH")</f>
        <v>MAFTUKHAH</v>
      </c>
      <c r="J33" s="28" t="str">
        <f>IFERROR(__xludf.DUMMYFUNCTION("""COMPUTED_VALUE"""),"PANGEAN RT 002 RW 001 MADURAN LAMONGAN")</f>
        <v>PANGEAN RT 002 RW 001 MADURAN LAMONGAN</v>
      </c>
      <c r="K33" s="29" t="str">
        <f>IFERROR(__xludf.DUMMYFUNCTION("""COMPUTED_VALUE"""),"6282139931854")</f>
        <v>6282139931854</v>
      </c>
      <c r="L33" s="22">
        <f>IFERROR(__xludf.DUMMYFUNCTION("""COMPUTED_VALUE"""),0.0)</f>
        <v>0</v>
      </c>
      <c r="M33" s="22">
        <f>IFERROR(__xludf.DUMMYFUNCTION("""COMPUTED_VALUE"""),0.0)</f>
        <v>0</v>
      </c>
      <c r="N33" s="22">
        <f>IFERROR(__xludf.DUMMYFUNCTION("""COMPUTED_VALUE"""),0.0)</f>
        <v>0</v>
      </c>
      <c r="O33" s="22">
        <f>IFERROR(__xludf.DUMMYFUNCTION("""COMPUTED_VALUE"""),0.0)</f>
        <v>0</v>
      </c>
      <c r="P33" s="28" t="str">
        <f t="shared" si="1"/>
        <v>LUNAS</v>
      </c>
      <c r="Q33" s="28">
        <f t="shared" si="2"/>
        <v>74</v>
      </c>
      <c r="R33" s="28" t="str">
        <f t="shared" si="3"/>
        <v>KAYYISA ILMI RAFANDA</v>
      </c>
    </row>
    <row r="34">
      <c r="A34" s="27">
        <f>IFERROR(__xludf.DUMMYFUNCTION("""COMPUTED_VALUE"""),33.0)</f>
        <v>33</v>
      </c>
      <c r="B34" s="28" t="str">
        <f>IFERROR(__xludf.DUMMYFUNCTION("""COMPUTED_VALUE"""),"KHOLIFAH AMIYZANI NUR ISNAINI")</f>
        <v>KHOLIFAH AMIYZANI NUR ISNAINI</v>
      </c>
      <c r="C34" s="28">
        <f>IFERROR(__xludf.DUMMYFUNCTION("""COMPUTED_VALUE"""),2.024070752E9)</f>
        <v>2024070752</v>
      </c>
      <c r="D34" s="27" t="str">
        <f>IFERROR(__xludf.DUMMYFUNCTION("""COMPUTED_VALUE"""),"B")</f>
        <v>B</v>
      </c>
      <c r="E34" s="27" t="str">
        <f>IFERROR(__xludf.DUMMYFUNCTION("""COMPUTED_VALUE"""),"B-10")</f>
        <v>B-10</v>
      </c>
      <c r="F34" s="31">
        <f>IFERROR(__xludf.DUMMYFUNCTION("""COMPUTED_VALUE"""),3.0)</f>
        <v>3</v>
      </c>
      <c r="G34" s="27" t="str">
        <f>IFERROR(__xludf.DUMMYFUNCTION("""COMPUTED_VALUE"""),"3 ULA A PUTRI")</f>
        <v>3 ULA A PUTRI</v>
      </c>
      <c r="H34" s="28" t="str">
        <f>IFERROR(__xludf.DUMMYFUNCTION("""COMPUTED_VALUE"""),"MUHAMMAD SYAIFUL MUNIR")</f>
        <v>MUHAMMAD SYAIFUL MUNIR</v>
      </c>
      <c r="I34" s="28" t="str">
        <f>IFERROR(__xludf.DUMMYFUNCTION("""COMPUTED_VALUE"""),"INARIYATI")</f>
        <v>INARIYATI</v>
      </c>
      <c r="J34" s="28" t="str">
        <f>IFERROR(__xludf.DUMMYFUNCTION("""COMPUTED_VALUE"""),"WONOKERTO RT 014 RW 003 DUKUN GRESIK")</f>
        <v>WONOKERTO RT 014 RW 003 DUKUN GRESIK</v>
      </c>
      <c r="K34" s="29" t="str">
        <f>IFERROR(__xludf.DUMMYFUNCTION("""COMPUTED_VALUE"""),"6285855453839")</f>
        <v>6285855453839</v>
      </c>
      <c r="L34" s="22">
        <f>IFERROR(__xludf.DUMMYFUNCTION("""COMPUTED_VALUE"""),0.0)</f>
        <v>0</v>
      </c>
      <c r="M34" s="22">
        <f>IFERROR(__xludf.DUMMYFUNCTION("""COMPUTED_VALUE"""),0.0)</f>
        <v>0</v>
      </c>
      <c r="N34" s="22">
        <f>IFERROR(__xludf.DUMMYFUNCTION("""COMPUTED_VALUE"""),0.0)</f>
        <v>0</v>
      </c>
      <c r="O34" s="22">
        <f>IFERROR(__xludf.DUMMYFUNCTION("""COMPUTED_VALUE"""),0.0)</f>
        <v>0</v>
      </c>
      <c r="P34" s="28" t="str">
        <f t="shared" si="1"/>
        <v>LUNAS</v>
      </c>
      <c r="Q34" s="28">
        <f t="shared" si="2"/>
        <v>75</v>
      </c>
      <c r="R34" s="28" t="str">
        <f t="shared" si="3"/>
        <v>KHOLIFAH AMIYZANI NUR ISNAINI</v>
      </c>
    </row>
    <row r="35">
      <c r="A35" s="27">
        <f>IFERROR(__xludf.DUMMYFUNCTION("""COMPUTED_VALUE"""),34.0)</f>
        <v>34</v>
      </c>
      <c r="B35" s="28" t="str">
        <f>IFERROR(__xludf.DUMMYFUNCTION("""COMPUTED_VALUE"""),"NAILATUN NUR LAILATUL QUDSIYAH")</f>
        <v>NAILATUN NUR LAILATUL QUDSIYAH</v>
      </c>
      <c r="C35" s="28">
        <f>IFERROR(__xludf.DUMMYFUNCTION("""COMPUTED_VALUE"""),2.024070726E9)</f>
        <v>2024070726</v>
      </c>
      <c r="D35" s="27" t="str">
        <f>IFERROR(__xludf.DUMMYFUNCTION("""COMPUTED_VALUE"""),"B")</f>
        <v>B</v>
      </c>
      <c r="E35" s="27" t="str">
        <f>IFERROR(__xludf.DUMMYFUNCTION("""COMPUTED_VALUE"""),"B-10")</f>
        <v>B-10</v>
      </c>
      <c r="F35" s="31">
        <f>IFERROR(__xludf.DUMMYFUNCTION("""COMPUTED_VALUE"""),3.0)</f>
        <v>3</v>
      </c>
      <c r="G35" s="27" t="str">
        <f>IFERROR(__xludf.DUMMYFUNCTION("""COMPUTED_VALUE"""),"3 ULA A PUTRI")</f>
        <v>3 ULA A PUTRI</v>
      </c>
      <c r="H35" s="28" t="str">
        <f>IFERROR(__xludf.DUMMYFUNCTION("""COMPUTED_VALUE"""),"RAMELI")</f>
        <v>RAMELI</v>
      </c>
      <c r="I35" s="28" t="str">
        <f>IFERROR(__xludf.DUMMYFUNCTION("""COMPUTED_VALUE"""),"HARTATIK")</f>
        <v>HARTATIK</v>
      </c>
      <c r="J35" s="28" t="str">
        <f>IFERROR(__xludf.DUMMYFUNCTION("""COMPUTED_VALUE"""),"WONOSARI SEKARBAGUS RT 003 RW 001 SUGIO LAMONGAN")</f>
        <v>WONOSARI SEKARBAGUS RT 003 RW 001 SUGIO LAMONGAN</v>
      </c>
      <c r="K35" s="29" t="str">
        <f>IFERROR(__xludf.DUMMYFUNCTION("""COMPUTED_VALUE"""),"6285785360969")</f>
        <v>6285785360969</v>
      </c>
      <c r="L35" s="22">
        <f>IFERROR(__xludf.DUMMYFUNCTION("""COMPUTED_VALUE"""),0.0)</f>
        <v>0</v>
      </c>
      <c r="M35" s="22">
        <f>IFERROR(__xludf.DUMMYFUNCTION("""COMPUTED_VALUE"""),500000.0)</f>
        <v>500000</v>
      </c>
      <c r="N35" s="22">
        <f>IFERROR(__xludf.DUMMYFUNCTION("""COMPUTED_VALUE"""),0.0)</f>
        <v>0</v>
      </c>
      <c r="O35" s="22">
        <f>IFERROR(__xludf.DUMMYFUNCTION("""COMPUTED_VALUE"""),500000.0)</f>
        <v>500000</v>
      </c>
      <c r="P35" s="28" t="str">
        <f t="shared" si="1"/>
        <v>LUNAS</v>
      </c>
      <c r="Q35" s="28">
        <f t="shared" si="2"/>
        <v>55</v>
      </c>
      <c r="R35" s="28" t="str">
        <f t="shared" si="3"/>
        <v>NAILATUN NUR LAILATUL QUDSIYAH</v>
      </c>
    </row>
    <row r="36">
      <c r="A36" s="27">
        <f>IFERROR(__xludf.DUMMYFUNCTION("""COMPUTED_VALUE"""),35.0)</f>
        <v>35</v>
      </c>
      <c r="B36" s="28" t="str">
        <f>IFERROR(__xludf.DUMMYFUNCTION("""COMPUTED_VALUE"""),"RAISA PUTRI ELYSIA SADIRA")</f>
        <v>RAISA PUTRI ELYSIA SADIRA</v>
      </c>
      <c r="C36" s="28">
        <f>IFERROR(__xludf.DUMMYFUNCTION("""COMPUTED_VALUE"""),2.02407075E9)</f>
        <v>2024070750</v>
      </c>
      <c r="D36" s="27" t="str">
        <f>IFERROR(__xludf.DUMMYFUNCTION("""COMPUTED_VALUE"""),"B")</f>
        <v>B</v>
      </c>
      <c r="E36" s="27" t="str">
        <f>IFERROR(__xludf.DUMMYFUNCTION("""COMPUTED_VALUE"""),"B-10")</f>
        <v>B-10</v>
      </c>
      <c r="F36" s="31">
        <f>IFERROR(__xludf.DUMMYFUNCTION("""COMPUTED_VALUE"""),3.0)</f>
        <v>3</v>
      </c>
      <c r="G36" s="27" t="str">
        <f>IFERROR(__xludf.DUMMYFUNCTION("""COMPUTED_VALUE"""),"3 ULA A PUTRI")</f>
        <v>3 ULA A PUTRI</v>
      </c>
      <c r="H36" s="28" t="str">
        <f>IFERROR(__xludf.DUMMYFUNCTION("""COMPUTED_VALUE"""),"AMARI")</f>
        <v>AMARI</v>
      </c>
      <c r="I36" s="28" t="str">
        <f>IFERROR(__xludf.DUMMYFUNCTION("""COMPUTED_VALUE"""),"YANA")</f>
        <v>YANA</v>
      </c>
      <c r="J36" s="28" t="str">
        <f>IFERROR(__xludf.DUMMYFUNCTION("""COMPUTED_VALUE"""),"TIREMRNGGAL RT 011 RW 004 DUKUN GRESIK")</f>
        <v>TIREMRNGGAL RT 011 RW 004 DUKUN GRESIK</v>
      </c>
      <c r="K36" s="29" t="str">
        <f>IFERROR(__xludf.DUMMYFUNCTION("""COMPUTED_VALUE"""),"6285805516619")</f>
        <v>6285805516619</v>
      </c>
      <c r="L36" s="22">
        <f>IFERROR(__xludf.DUMMYFUNCTION("""COMPUTED_VALUE"""),1800000.0)</f>
        <v>1800000</v>
      </c>
      <c r="M36" s="22">
        <f>IFERROR(__xludf.DUMMYFUNCTION("""COMPUTED_VALUE"""),1600000.0)</f>
        <v>1600000</v>
      </c>
      <c r="N36" s="22">
        <f>IFERROR(__xludf.DUMMYFUNCTION("""COMPUTED_VALUE"""),0.0)</f>
        <v>0</v>
      </c>
      <c r="O36" s="22">
        <f>IFERROR(__xludf.DUMMYFUNCTION("""COMPUTED_VALUE"""),3400000.0)</f>
        <v>3400000</v>
      </c>
      <c r="P36" s="28" t="str">
        <f t="shared" si="1"/>
        <v>LUNAS</v>
      </c>
      <c r="Q36" s="28">
        <f t="shared" si="2"/>
        <v>11</v>
      </c>
      <c r="R36" s="28" t="str">
        <f t="shared" si="3"/>
        <v>RAISA PUTRI ELYSIA SADIRA</v>
      </c>
    </row>
    <row r="37">
      <c r="A37" s="27">
        <f>IFERROR(__xludf.DUMMYFUNCTION("""COMPUTED_VALUE"""),36.0)</f>
        <v>36</v>
      </c>
      <c r="B37" s="28" t="str">
        <f>IFERROR(__xludf.DUMMYFUNCTION("""COMPUTED_VALUE"""),"SALWA EKA SAFITRI")</f>
        <v>SALWA EKA SAFITRI</v>
      </c>
      <c r="C37" s="28">
        <f>IFERROR(__xludf.DUMMYFUNCTION("""COMPUTED_VALUE"""),2.024070724E9)</f>
        <v>2024070724</v>
      </c>
      <c r="D37" s="27" t="str">
        <f>IFERROR(__xludf.DUMMYFUNCTION("""COMPUTED_VALUE"""),"B")</f>
        <v>B</v>
      </c>
      <c r="E37" s="27" t="str">
        <f>IFERROR(__xludf.DUMMYFUNCTION("""COMPUTED_VALUE"""),"B-10")</f>
        <v>B-10</v>
      </c>
      <c r="F37" s="31">
        <f>IFERROR(__xludf.DUMMYFUNCTION("""COMPUTED_VALUE"""),3.0)</f>
        <v>3</v>
      </c>
      <c r="G37" s="27" t="str">
        <f>IFERROR(__xludf.DUMMYFUNCTION("""COMPUTED_VALUE"""),"3 ULA C PUTRI")</f>
        <v>3 ULA C PUTRI</v>
      </c>
      <c r="H37" s="28" t="str">
        <f>IFERROR(__xludf.DUMMYFUNCTION("""COMPUTED_VALUE"""),"SHOKIB PURWO")</f>
        <v>SHOKIB PURWO</v>
      </c>
      <c r="I37" s="28" t="str">
        <f>IFERROR(__xludf.DUMMYFUNCTION("""COMPUTED_VALUE"""),"DJUWARIYAH")</f>
        <v>DJUWARIYAH</v>
      </c>
      <c r="J37" s="28" t="str">
        <f>IFERROR(__xludf.DUMMYFUNCTION("""COMPUTED_VALUE"""),"TIWET RT 002 RW 002 KALITENGAH LAMONGAN")</f>
        <v>TIWET RT 002 RW 002 KALITENGAH LAMONGAN</v>
      </c>
      <c r="K37" s="29" t="str">
        <f>IFERROR(__xludf.DUMMYFUNCTION("""COMPUTED_VALUE"""),"6289653941550")</f>
        <v>6289653941550</v>
      </c>
      <c r="L37" s="22">
        <f>IFERROR(__xludf.DUMMYFUNCTION("""COMPUTED_VALUE"""),2250000.0)</f>
        <v>2250000</v>
      </c>
      <c r="M37" s="22">
        <f>IFERROR(__xludf.DUMMYFUNCTION("""COMPUTED_VALUE"""),1000000.0)</f>
        <v>1000000</v>
      </c>
      <c r="N37" s="22">
        <f>IFERROR(__xludf.DUMMYFUNCTION("""COMPUTED_VALUE"""),0.0)</f>
        <v>0</v>
      </c>
      <c r="O37" s="22">
        <f>IFERROR(__xludf.DUMMYFUNCTION("""COMPUTED_VALUE"""),3250000.0)</f>
        <v>3250000</v>
      </c>
      <c r="P37" s="28" t="str">
        <f t="shared" si="1"/>
        <v>LUNAS</v>
      </c>
      <c r="Q37" s="28">
        <f t="shared" si="2"/>
        <v>12</v>
      </c>
      <c r="R37" s="28" t="str">
        <f t="shared" si="3"/>
        <v>SALWA EKA SAFITRI</v>
      </c>
    </row>
    <row r="38">
      <c r="A38" s="27">
        <f>IFERROR(__xludf.DUMMYFUNCTION("""COMPUTED_VALUE"""),37.0)</f>
        <v>37</v>
      </c>
      <c r="B38" s="28" t="str">
        <f>IFERROR(__xludf.DUMMYFUNCTION("""COMPUTED_VALUE"""),"SELLY NOVI ANDINI")</f>
        <v>SELLY NOVI ANDINI</v>
      </c>
      <c r="C38" s="28">
        <f>IFERROR(__xludf.DUMMYFUNCTION("""COMPUTED_VALUE"""),2.024070727E9)</f>
        <v>2024070727</v>
      </c>
      <c r="D38" s="27" t="str">
        <f>IFERROR(__xludf.DUMMYFUNCTION("""COMPUTED_VALUE"""),"B")</f>
        <v>B</v>
      </c>
      <c r="E38" s="27" t="str">
        <f>IFERROR(__xludf.DUMMYFUNCTION("""COMPUTED_VALUE"""),"B-10")</f>
        <v>B-10</v>
      </c>
      <c r="F38" s="31">
        <f>IFERROR(__xludf.DUMMYFUNCTION("""COMPUTED_VALUE"""),3.0)</f>
        <v>3</v>
      </c>
      <c r="G38" s="27" t="str">
        <f>IFERROR(__xludf.DUMMYFUNCTION("""COMPUTED_VALUE"""),"3 ULA A PUTRI")</f>
        <v>3 ULA A PUTRI</v>
      </c>
      <c r="H38" s="28" t="str">
        <f>IFERROR(__xludf.DUMMYFUNCTION("""COMPUTED_VALUE"""),"AHMAD SHOLEH")</f>
        <v>AHMAD SHOLEH</v>
      </c>
      <c r="I38" s="28" t="str">
        <f>IFERROR(__xludf.DUMMYFUNCTION("""COMPUTED_VALUE"""),"ELI KUSUMAWATI")</f>
        <v>ELI KUSUMAWATI</v>
      </c>
      <c r="J38" s="28" t="str">
        <f>IFERROR(__xludf.DUMMYFUNCTION("""COMPUTED_VALUE"""),"PUCANGRO RT 001 RW 001 KALITENGAH LAMONGAN")</f>
        <v>PUCANGRO RT 001 RW 001 KALITENGAH LAMONGAN</v>
      </c>
      <c r="K38" s="29" t="str">
        <f>IFERROR(__xludf.DUMMYFUNCTION("""COMPUTED_VALUE"""),"6285788313508")</f>
        <v>6285788313508</v>
      </c>
      <c r="L38" s="22">
        <f>IFERROR(__xludf.DUMMYFUNCTION("""COMPUTED_VALUE"""),0.0)</f>
        <v>0</v>
      </c>
      <c r="M38" s="22">
        <f>IFERROR(__xludf.DUMMYFUNCTION("""COMPUTED_VALUE"""),500000.0)</f>
        <v>500000</v>
      </c>
      <c r="N38" s="22">
        <f>IFERROR(__xludf.DUMMYFUNCTION("""COMPUTED_VALUE"""),0.0)</f>
        <v>0</v>
      </c>
      <c r="O38" s="22">
        <f>IFERROR(__xludf.DUMMYFUNCTION("""COMPUTED_VALUE"""),500000.0)</f>
        <v>500000</v>
      </c>
      <c r="P38" s="28" t="str">
        <f t="shared" si="1"/>
        <v>LUNAS</v>
      </c>
      <c r="Q38" s="28">
        <f t="shared" si="2"/>
        <v>56</v>
      </c>
      <c r="R38" s="28" t="str">
        <f t="shared" si="3"/>
        <v>SELLY NOVI ANDINI</v>
      </c>
    </row>
    <row r="39">
      <c r="A39" s="27">
        <f>IFERROR(__xludf.DUMMYFUNCTION("""COMPUTED_VALUE"""),38.0)</f>
        <v>38</v>
      </c>
      <c r="B39" s="28" t="str">
        <f>IFERROR(__xludf.DUMMYFUNCTION("""COMPUTED_VALUE"""),"AFILIA MEGA NURFATMA")</f>
        <v>AFILIA MEGA NURFATMA</v>
      </c>
      <c r="C39" s="28">
        <f>IFERROR(__xludf.DUMMYFUNCTION("""COMPUTED_VALUE"""),2.024070563E9)</f>
        <v>2024070563</v>
      </c>
      <c r="D39" s="27" t="str">
        <f>IFERROR(__xludf.DUMMYFUNCTION("""COMPUTED_VALUE"""),"B")</f>
        <v>B</v>
      </c>
      <c r="E39" s="27" t="str">
        <f>IFERROR(__xludf.DUMMYFUNCTION("""COMPUTED_VALUE"""),"B-10")</f>
        <v>B-10</v>
      </c>
      <c r="F39" s="31">
        <f>IFERROR(__xludf.DUMMYFUNCTION("""COMPUTED_VALUE"""),3.0)</f>
        <v>3</v>
      </c>
      <c r="G39" s="27" t="str">
        <f>IFERROR(__xludf.DUMMYFUNCTION("""COMPUTED_VALUE"""),"3 ULA A PUTRI")</f>
        <v>3 ULA A PUTRI</v>
      </c>
      <c r="H39" s="28" t="str">
        <f>IFERROR(__xludf.DUMMYFUNCTION("""COMPUTED_VALUE"""),"M. NURDIN")</f>
        <v>M. NURDIN</v>
      </c>
      <c r="I39" s="28" t="str">
        <f>IFERROR(__xludf.DUMMYFUNCTION("""COMPUTED_VALUE"""),"ALIYATUN")</f>
        <v>ALIYATUN</v>
      </c>
      <c r="J39" s="28" t="str">
        <f>IFERROR(__xludf.DUMMYFUNCTION("""COMPUTED_VALUE"""),"TENGGULUN RT 003 RW 002 SOLOKURO LAMONGAN")</f>
        <v>TENGGULUN RT 003 RW 002 SOLOKURO LAMONGAN</v>
      </c>
      <c r="K39" s="29" t="str">
        <f>IFERROR(__xludf.DUMMYFUNCTION("""COMPUTED_VALUE"""),"6285812446154")</f>
        <v>6285812446154</v>
      </c>
      <c r="L39" s="22">
        <f>IFERROR(__xludf.DUMMYFUNCTION("""COMPUTED_VALUE"""),0.0)</f>
        <v>0</v>
      </c>
      <c r="M39" s="22">
        <f>IFERROR(__xludf.DUMMYFUNCTION("""COMPUTED_VALUE"""),0.0)</f>
        <v>0</v>
      </c>
      <c r="N39" s="22">
        <f>IFERROR(__xludf.DUMMYFUNCTION("""COMPUTED_VALUE"""),0.0)</f>
        <v>0</v>
      </c>
      <c r="O39" s="22">
        <f>IFERROR(__xludf.DUMMYFUNCTION("""COMPUTED_VALUE"""),0.0)</f>
        <v>0</v>
      </c>
      <c r="P39" s="28" t="str">
        <f t="shared" si="1"/>
        <v>LUNAS</v>
      </c>
      <c r="Q39" s="28">
        <f t="shared" si="2"/>
        <v>76</v>
      </c>
      <c r="R39" s="28" t="str">
        <f t="shared" si="3"/>
        <v>AFILIA MEGA NURFATMA</v>
      </c>
    </row>
    <row r="40">
      <c r="A40" s="27">
        <f>IFERROR(__xludf.DUMMYFUNCTION("""COMPUTED_VALUE"""),39.0)</f>
        <v>39</v>
      </c>
      <c r="B40" s="28" t="str">
        <f>IFERROR(__xludf.DUMMYFUNCTION("""COMPUTED_VALUE"""),"ALIFAH MAISAROH")</f>
        <v>ALIFAH MAISAROH</v>
      </c>
      <c r="C40" s="28">
        <f>IFERROR(__xludf.DUMMYFUNCTION("""COMPUTED_VALUE"""),2.025070543E9)</f>
        <v>2025070543</v>
      </c>
      <c r="D40" s="27" t="str">
        <f>IFERROR(__xludf.DUMMYFUNCTION("""COMPUTED_VALUE"""),"B")</f>
        <v>B</v>
      </c>
      <c r="E40" s="27" t="str">
        <f>IFERROR(__xludf.DUMMYFUNCTION("""COMPUTED_VALUE"""),"B-2")</f>
        <v>B-2</v>
      </c>
      <c r="F40" s="31">
        <f>IFERROR(__xludf.DUMMYFUNCTION("""COMPUTED_VALUE"""),2.0)</f>
        <v>2</v>
      </c>
      <c r="G40" s="27" t="str">
        <f>IFERROR(__xludf.DUMMYFUNCTION("""COMPUTED_VALUE"""),"2 ULA C PUTRI")</f>
        <v>2 ULA C PUTRI</v>
      </c>
      <c r="H40" s="28" t="str">
        <f>IFERROR(__xludf.DUMMYFUNCTION("""COMPUTED_VALUE"""),"CHOIRUL AMRI")</f>
        <v>CHOIRUL AMRI</v>
      </c>
      <c r="I40" s="28" t="str">
        <f>IFERROR(__xludf.DUMMYFUNCTION("""COMPUTED_VALUE"""),"INDRAWATI")</f>
        <v>INDRAWATI</v>
      </c>
      <c r="J40" s="28" t="str">
        <f>IFERROR(__xludf.DUMMYFUNCTION("""COMPUTED_VALUE"""),"KH. ABDUL GHONI KESAMBI RT 001 RW 003 PUCUK LAMONGAN")</f>
        <v>KH. ABDUL GHONI KESAMBI RT 001 RW 003 PUCUK LAMONGAN</v>
      </c>
      <c r="K40" s="29" t="str">
        <f>IFERROR(__xludf.DUMMYFUNCTION("""COMPUTED_VALUE"""),"6285291411425")</f>
        <v>6285291411425</v>
      </c>
      <c r="L40" s="22">
        <f>IFERROR(__xludf.DUMMYFUNCTION("""COMPUTED_VALUE"""),0.0)</f>
        <v>0</v>
      </c>
      <c r="M40" s="22">
        <f>IFERROR(__xludf.DUMMYFUNCTION("""COMPUTED_VALUE"""),1000000.0)</f>
        <v>1000000</v>
      </c>
      <c r="N40" s="22">
        <f>IFERROR(__xludf.DUMMYFUNCTION("""COMPUTED_VALUE"""),0.0)</f>
        <v>0</v>
      </c>
      <c r="O40" s="22">
        <f>IFERROR(__xludf.DUMMYFUNCTION("""COMPUTED_VALUE"""),1000000.0)</f>
        <v>1000000</v>
      </c>
      <c r="P40" s="28" t="str">
        <f t="shared" si="1"/>
        <v>LUNAS</v>
      </c>
      <c r="Q40" s="28">
        <f t="shared" si="2"/>
        <v>41</v>
      </c>
      <c r="R40" s="28" t="str">
        <f t="shared" si="3"/>
        <v>ALIFAH MAISAROH</v>
      </c>
    </row>
    <row r="41">
      <c r="A41" s="27">
        <f>IFERROR(__xludf.DUMMYFUNCTION("""COMPUTED_VALUE"""),40.0)</f>
        <v>40</v>
      </c>
      <c r="B41" s="28" t="str">
        <f>IFERROR(__xludf.DUMMYFUNCTION("""COMPUTED_VALUE"""),"ANINDYA KALLISTA PUTRI")</f>
        <v>ANINDYA KALLISTA PUTRI</v>
      </c>
      <c r="C41" s="28">
        <f>IFERROR(__xludf.DUMMYFUNCTION("""COMPUTED_VALUE"""),2.025070542E9)</f>
        <v>2025070542</v>
      </c>
      <c r="D41" s="27" t="str">
        <f>IFERROR(__xludf.DUMMYFUNCTION("""COMPUTED_VALUE"""),"B")</f>
        <v>B</v>
      </c>
      <c r="E41" s="27" t="str">
        <f>IFERROR(__xludf.DUMMYFUNCTION("""COMPUTED_VALUE"""),"B-2")</f>
        <v>B-2</v>
      </c>
      <c r="F41" s="31">
        <f>IFERROR(__xludf.DUMMYFUNCTION("""COMPUTED_VALUE"""),2.0)</f>
        <v>2</v>
      </c>
      <c r="G41" s="27" t="str">
        <f>IFERROR(__xludf.DUMMYFUNCTION("""COMPUTED_VALUE"""),"2 ULA B PUTRI")</f>
        <v>2 ULA B PUTRI</v>
      </c>
      <c r="H41" s="28" t="str">
        <f>IFERROR(__xludf.DUMMYFUNCTION("""COMPUTED_VALUE"""),"DARU AJAR PRASETYA")</f>
        <v>DARU AJAR PRASETYA</v>
      </c>
      <c r="I41" s="28" t="str">
        <f>IFERROR(__xludf.DUMMYFUNCTION("""COMPUTED_VALUE"""),"SITI MUAROFAH")</f>
        <v>SITI MUAROFAH</v>
      </c>
      <c r="J41" s="28" t="str">
        <f>IFERROR(__xludf.DUMMYFUNCTION("""COMPUTED_VALUE"""),"JL. JAKFAR KESAMBI RT 002 RW 002 PUCUK LAMONGAN")</f>
        <v>JL. JAKFAR KESAMBI RT 002 RW 002 PUCUK LAMONGAN</v>
      </c>
      <c r="K41" s="29" t="str">
        <f>IFERROR(__xludf.DUMMYFUNCTION("""COMPUTED_VALUE"""),"6281331157200")</f>
        <v>6281331157200</v>
      </c>
      <c r="L41" s="22">
        <f>IFERROR(__xludf.DUMMYFUNCTION("""COMPUTED_VALUE"""),900000.0)</f>
        <v>900000</v>
      </c>
      <c r="M41" s="22">
        <f>IFERROR(__xludf.DUMMYFUNCTION("""COMPUTED_VALUE"""),1000000.0)</f>
        <v>1000000</v>
      </c>
      <c r="N41" s="22">
        <f>IFERROR(__xludf.DUMMYFUNCTION("""COMPUTED_VALUE"""),0.0)</f>
        <v>0</v>
      </c>
      <c r="O41" s="22">
        <f>IFERROR(__xludf.DUMMYFUNCTION("""COMPUTED_VALUE"""),1900000.0)</f>
        <v>1900000</v>
      </c>
      <c r="P41" s="28" t="str">
        <f t="shared" si="1"/>
        <v>LUNAS</v>
      </c>
      <c r="Q41" s="28">
        <f t="shared" si="2"/>
        <v>19</v>
      </c>
      <c r="R41" s="28" t="str">
        <f t="shared" si="3"/>
        <v>ANINDYA KALLISTA PUTRI</v>
      </c>
    </row>
    <row r="42">
      <c r="A42" s="27">
        <f>IFERROR(__xludf.DUMMYFUNCTION("""COMPUTED_VALUE"""),41.0)</f>
        <v>41</v>
      </c>
      <c r="B42" s="28" t="str">
        <f>IFERROR(__xludf.DUMMYFUNCTION("""COMPUTED_VALUE"""),"ANINDYAH ISMI")</f>
        <v>ANINDYAH ISMI</v>
      </c>
      <c r="C42" s="28">
        <f>IFERROR(__xludf.DUMMYFUNCTION("""COMPUTED_VALUE"""),2.025070649E9)</f>
        <v>2025070649</v>
      </c>
      <c r="D42" s="27" t="str">
        <f>IFERROR(__xludf.DUMMYFUNCTION("""COMPUTED_VALUE"""),"B")</f>
        <v>B</v>
      </c>
      <c r="E42" s="27" t="str">
        <f>IFERROR(__xludf.DUMMYFUNCTION("""COMPUTED_VALUE"""),"B-2")</f>
        <v>B-2</v>
      </c>
      <c r="F42" s="31">
        <f>IFERROR(__xludf.DUMMYFUNCTION("""COMPUTED_VALUE"""),2.0)</f>
        <v>2</v>
      </c>
      <c r="G42" s="27" t="str">
        <f>IFERROR(__xludf.DUMMYFUNCTION("""COMPUTED_VALUE"""),"2 ULA C PUTRI")</f>
        <v>2 ULA C PUTRI</v>
      </c>
      <c r="H42" s="28" t="str">
        <f>IFERROR(__xludf.DUMMYFUNCTION("""COMPUTED_VALUE"""),"MIFTAKHUL HUDA")</f>
        <v>MIFTAKHUL HUDA</v>
      </c>
      <c r="I42" s="28" t="str">
        <f>IFERROR(__xludf.DUMMYFUNCTION("""COMPUTED_VALUE"""),"EVI NUR HIDAYAH")</f>
        <v>EVI NUR HIDAYAH</v>
      </c>
      <c r="J42" s="28" t="str">
        <f>IFERROR(__xludf.DUMMYFUNCTION("""COMPUTED_VALUE"""),"WANAR RT 002 RW 002 PUCUK LAMONGAN")</f>
        <v>WANAR RT 002 RW 002 PUCUK LAMONGAN</v>
      </c>
      <c r="K42" s="29" t="str">
        <f>IFERROR(__xludf.DUMMYFUNCTION("""COMPUTED_VALUE"""),"6281210337004")</f>
        <v>6281210337004</v>
      </c>
      <c r="L42" s="22">
        <f>IFERROR(__xludf.DUMMYFUNCTION("""COMPUTED_VALUE"""),900000.0)</f>
        <v>900000</v>
      </c>
      <c r="M42" s="22">
        <f>IFERROR(__xludf.DUMMYFUNCTION("""COMPUTED_VALUE"""),1000000.0)</f>
        <v>1000000</v>
      </c>
      <c r="N42" s="22">
        <f>IFERROR(__xludf.DUMMYFUNCTION("""COMPUTED_VALUE"""),0.0)</f>
        <v>0</v>
      </c>
      <c r="O42" s="22">
        <f>IFERROR(__xludf.DUMMYFUNCTION("""COMPUTED_VALUE"""),1900000.0)</f>
        <v>1900000</v>
      </c>
      <c r="P42" s="28" t="str">
        <f t="shared" si="1"/>
        <v>LUNAS</v>
      </c>
      <c r="Q42" s="28">
        <f t="shared" si="2"/>
        <v>20</v>
      </c>
      <c r="R42" s="28" t="str">
        <f t="shared" si="3"/>
        <v>ANINDYAH ISMI</v>
      </c>
    </row>
    <row r="43">
      <c r="A43" s="27">
        <f>IFERROR(__xludf.DUMMYFUNCTION("""COMPUTED_VALUE"""),42.0)</f>
        <v>42</v>
      </c>
      <c r="B43" s="28" t="str">
        <f>IFERROR(__xludf.DUMMYFUNCTION("""COMPUTED_VALUE"""),"HANNAH DAMIA IRHAMNI")</f>
        <v>HANNAH DAMIA IRHAMNI</v>
      </c>
      <c r="C43" s="28">
        <f>IFERROR(__xludf.DUMMYFUNCTION("""COMPUTED_VALUE"""),2.025070626E9)</f>
        <v>2025070626</v>
      </c>
      <c r="D43" s="27" t="str">
        <f>IFERROR(__xludf.DUMMYFUNCTION("""COMPUTED_VALUE"""),"B")</f>
        <v>B</v>
      </c>
      <c r="E43" s="27" t="str">
        <f>IFERROR(__xludf.DUMMYFUNCTION("""COMPUTED_VALUE"""),"B-2")</f>
        <v>B-2</v>
      </c>
      <c r="F43" s="31">
        <f>IFERROR(__xludf.DUMMYFUNCTION("""COMPUTED_VALUE"""),2.0)</f>
        <v>2</v>
      </c>
      <c r="G43" s="27" t="str">
        <f>IFERROR(__xludf.DUMMYFUNCTION("""COMPUTED_VALUE"""),"2 ULA C PUTRI")</f>
        <v>2 ULA C PUTRI</v>
      </c>
      <c r="H43" s="28" t="str">
        <f>IFERROR(__xludf.DUMMYFUNCTION("""COMPUTED_VALUE"""),"YUDI IRHAMNI")</f>
        <v>YUDI IRHAMNI</v>
      </c>
      <c r="I43" s="28" t="str">
        <f>IFERROR(__xludf.DUMMYFUNCTION("""COMPUTED_VALUE"""),"EVIE YAWATI")</f>
        <v>EVIE YAWATI</v>
      </c>
      <c r="J43" s="28" t="str">
        <f>IFERROR(__xludf.DUMMYFUNCTION("""COMPUTED_VALUE"""),"BANJARAN TURI RT 007 RW 002 MADURAN LAMONGAN")</f>
        <v>BANJARAN TURI RT 007 RW 002 MADURAN LAMONGAN</v>
      </c>
      <c r="K43" s="29" t="str">
        <f>IFERROR(__xludf.DUMMYFUNCTION("""COMPUTED_VALUE"""),"6281515114494")</f>
        <v>6281515114494</v>
      </c>
      <c r="L43" s="22">
        <f>IFERROR(__xludf.DUMMYFUNCTION("""COMPUTED_VALUE"""),0.0)</f>
        <v>0</v>
      </c>
      <c r="M43" s="22">
        <f>IFERROR(__xludf.DUMMYFUNCTION("""COMPUTED_VALUE"""),1000000.0)</f>
        <v>1000000</v>
      </c>
      <c r="N43" s="22">
        <f>IFERROR(__xludf.DUMMYFUNCTION("""COMPUTED_VALUE"""),0.0)</f>
        <v>0</v>
      </c>
      <c r="O43" s="22">
        <f>IFERROR(__xludf.DUMMYFUNCTION("""COMPUTED_VALUE"""),1000000.0)</f>
        <v>1000000</v>
      </c>
      <c r="P43" s="28" t="str">
        <f t="shared" si="1"/>
        <v>LUNAS</v>
      </c>
      <c r="Q43" s="28">
        <f t="shared" si="2"/>
        <v>42</v>
      </c>
      <c r="R43" s="28" t="str">
        <f t="shared" si="3"/>
        <v>HANNAH DAMIA IRHAMNI</v>
      </c>
    </row>
    <row r="44">
      <c r="A44" s="27">
        <f>IFERROR(__xludf.DUMMYFUNCTION("""COMPUTED_VALUE"""),43.0)</f>
        <v>43</v>
      </c>
      <c r="B44" s="28" t="str">
        <f>IFERROR(__xludf.DUMMYFUNCTION("""COMPUTED_VALUE"""),"RANI HARIROTUL MAHMUDAH")</f>
        <v>RANI HARIROTUL MAHMUDAH</v>
      </c>
      <c r="C44" s="28">
        <f>IFERROR(__xludf.DUMMYFUNCTION("""COMPUTED_VALUE"""),2.025070588E9)</f>
        <v>2025070588</v>
      </c>
      <c r="D44" s="27" t="str">
        <f>IFERROR(__xludf.DUMMYFUNCTION("""COMPUTED_VALUE"""),"B")</f>
        <v>B</v>
      </c>
      <c r="E44" s="27" t="str">
        <f>IFERROR(__xludf.DUMMYFUNCTION("""COMPUTED_VALUE"""),"B-2")</f>
        <v>B-2</v>
      </c>
      <c r="F44" s="31">
        <f>IFERROR(__xludf.DUMMYFUNCTION("""COMPUTED_VALUE"""),2.0)</f>
        <v>2</v>
      </c>
      <c r="G44" s="27" t="str">
        <f>IFERROR(__xludf.DUMMYFUNCTION("""COMPUTED_VALUE"""),"2 ULA A PUTRI")</f>
        <v>2 ULA A PUTRI</v>
      </c>
      <c r="H44" s="28" t="str">
        <f>IFERROR(__xludf.DUMMYFUNCTION("""COMPUTED_VALUE"""),"MAHMUDI")</f>
        <v>MAHMUDI</v>
      </c>
      <c r="I44" s="28" t="str">
        <f>IFERROR(__xludf.DUMMYFUNCTION("""COMPUTED_VALUE"""),"ALIYAH")</f>
        <v>ALIYAH</v>
      </c>
      <c r="J44" s="28" t="str">
        <f>IFERROR(__xludf.DUMMYFUNCTION("""COMPUTED_VALUE"""),"WARUK RT 003 RW 001 KARANGBINANGUN LAMONGAN")</f>
        <v>WARUK RT 003 RW 001 KARANGBINANGUN LAMONGAN</v>
      </c>
      <c r="K44" s="29" t="str">
        <f>IFERROR(__xludf.DUMMYFUNCTION("""COMPUTED_VALUE"""),"6281336008122")</f>
        <v>6281336008122</v>
      </c>
      <c r="L44" s="22">
        <f>IFERROR(__xludf.DUMMYFUNCTION("""COMPUTED_VALUE"""),0.0)</f>
        <v>0</v>
      </c>
      <c r="M44" s="22">
        <f>IFERROR(__xludf.DUMMYFUNCTION("""COMPUTED_VALUE"""),500000.0)</f>
        <v>500000</v>
      </c>
      <c r="N44" s="22">
        <f>IFERROR(__xludf.DUMMYFUNCTION("""COMPUTED_VALUE"""),0.0)</f>
        <v>0</v>
      </c>
      <c r="O44" s="22">
        <f>IFERROR(__xludf.DUMMYFUNCTION("""COMPUTED_VALUE"""),500000.0)</f>
        <v>500000</v>
      </c>
      <c r="P44" s="28" t="str">
        <f t="shared" si="1"/>
        <v>LUNAS</v>
      </c>
      <c r="Q44" s="28">
        <f t="shared" si="2"/>
        <v>57</v>
      </c>
      <c r="R44" s="28" t="str">
        <f t="shared" si="3"/>
        <v>RANI HARIROTUL MAHMUDAH</v>
      </c>
    </row>
    <row r="45">
      <c r="A45" s="27">
        <f>IFERROR(__xludf.DUMMYFUNCTION("""COMPUTED_VALUE"""),44.0)</f>
        <v>44</v>
      </c>
      <c r="B45" s="28" t="str">
        <f>IFERROR(__xludf.DUMMYFUNCTION("""COMPUTED_VALUE"""),"SEVANI CHINTIA ANGELIA")</f>
        <v>SEVANI CHINTIA ANGELIA</v>
      </c>
      <c r="C45" s="28">
        <f>IFERROR(__xludf.DUMMYFUNCTION("""COMPUTED_VALUE"""),2.025070533E9)</f>
        <v>2025070533</v>
      </c>
      <c r="D45" s="27" t="str">
        <f>IFERROR(__xludf.DUMMYFUNCTION("""COMPUTED_VALUE"""),"B")</f>
        <v>B</v>
      </c>
      <c r="E45" s="27" t="str">
        <f>IFERROR(__xludf.DUMMYFUNCTION("""COMPUTED_VALUE"""),"B-2")</f>
        <v>B-2</v>
      </c>
      <c r="F45" s="31">
        <f>IFERROR(__xludf.DUMMYFUNCTION("""COMPUTED_VALUE"""),2.0)</f>
        <v>2</v>
      </c>
      <c r="G45" s="27" t="str">
        <f>IFERROR(__xludf.DUMMYFUNCTION("""COMPUTED_VALUE"""),"2 ULA C PUTRI")</f>
        <v>2 ULA C PUTRI</v>
      </c>
      <c r="H45" s="28" t="str">
        <f>IFERROR(__xludf.DUMMYFUNCTION("""COMPUTED_VALUE"""),"RIEKY WAHYU HERMAWAN")</f>
        <v>RIEKY WAHYU HERMAWAN</v>
      </c>
      <c r="I45" s="28" t="str">
        <f>IFERROR(__xludf.DUMMYFUNCTION("""COMPUTED_VALUE"""),"ROMLAWATI")</f>
        <v>ROMLAWATI</v>
      </c>
      <c r="J45" s="28" t="str">
        <f>IFERROR(__xludf.DUMMYFUNCTION("""COMPUTED_VALUE"""),"GORAME BADURAME RT 001 RW 003 TURI LAMONGAN")</f>
        <v>GORAME BADURAME RT 001 RW 003 TURI LAMONGAN</v>
      </c>
      <c r="K45" s="29" t="str">
        <f>IFERROR(__xludf.DUMMYFUNCTION("""COMPUTED_VALUE"""),"6285859644980")</f>
        <v>6285859644980</v>
      </c>
      <c r="L45" s="22">
        <f>IFERROR(__xludf.DUMMYFUNCTION("""COMPUTED_VALUE"""),3150000.0)</f>
        <v>3150000</v>
      </c>
      <c r="M45" s="22">
        <f>IFERROR(__xludf.DUMMYFUNCTION("""COMPUTED_VALUE"""),1000000.0)</f>
        <v>1000000</v>
      </c>
      <c r="N45" s="22">
        <f>IFERROR(__xludf.DUMMYFUNCTION("""COMPUTED_VALUE"""),0.0)</f>
        <v>0</v>
      </c>
      <c r="O45" s="22">
        <f>IFERROR(__xludf.DUMMYFUNCTION("""COMPUTED_VALUE"""),4150000.0)</f>
        <v>4150000</v>
      </c>
      <c r="P45" s="28" t="str">
        <f t="shared" si="1"/>
        <v>LUNAS</v>
      </c>
      <c r="Q45" s="28">
        <f t="shared" si="2"/>
        <v>8</v>
      </c>
      <c r="R45" s="28" t="str">
        <f t="shared" si="3"/>
        <v>SEVANI CHINTIA ANGELIA</v>
      </c>
    </row>
    <row r="46">
      <c r="A46" s="27">
        <f>IFERROR(__xludf.DUMMYFUNCTION("""COMPUTED_VALUE"""),45.0)</f>
        <v>45</v>
      </c>
      <c r="B46" s="28" t="str">
        <f>IFERROR(__xludf.DUMMYFUNCTION("""COMPUTED_VALUE"""),"THEA CLARESTA")</f>
        <v>THEA CLARESTA</v>
      </c>
      <c r="C46" s="28">
        <f>IFERROR(__xludf.DUMMYFUNCTION("""COMPUTED_VALUE"""),2.025070545E9)</f>
        <v>2025070545</v>
      </c>
      <c r="D46" s="27" t="str">
        <f>IFERROR(__xludf.DUMMYFUNCTION("""COMPUTED_VALUE"""),"B")</f>
        <v>B</v>
      </c>
      <c r="E46" s="27" t="str">
        <f>IFERROR(__xludf.DUMMYFUNCTION("""COMPUTED_VALUE"""),"B-2")</f>
        <v>B-2</v>
      </c>
      <c r="F46" s="31">
        <f>IFERROR(__xludf.DUMMYFUNCTION("""COMPUTED_VALUE"""),2.0)</f>
        <v>2</v>
      </c>
      <c r="G46" s="27" t="str">
        <f>IFERROR(__xludf.DUMMYFUNCTION("""COMPUTED_VALUE"""),"2 ULA C PUTRI")</f>
        <v>2 ULA C PUTRI</v>
      </c>
      <c r="H46" s="28" t="str">
        <f>IFERROR(__xludf.DUMMYFUNCTION("""COMPUTED_VALUE"""),"SISWANTO")</f>
        <v>SISWANTO</v>
      </c>
      <c r="I46" s="28" t="str">
        <f>IFERROR(__xludf.DUMMYFUNCTION("""COMPUTED_VALUE"""),"DWI KRISTINA")</f>
        <v>DWI KRISTINA</v>
      </c>
      <c r="J46" s="28" t="str">
        <f>IFERROR(__xludf.DUMMYFUNCTION("""COMPUTED_VALUE"""),"BUCUKIDUL MENGANTI RT 004 RW 001 GLAGAH LAMONGAN")</f>
        <v>BUCUKIDUL MENGANTI RT 004 RW 001 GLAGAH LAMONGAN</v>
      </c>
      <c r="K46" s="29" t="str">
        <f>IFERROR(__xludf.DUMMYFUNCTION("""COMPUTED_VALUE"""),"6285806503341")</f>
        <v>6285806503341</v>
      </c>
      <c r="L46" s="22">
        <f>IFERROR(__xludf.DUMMYFUNCTION("""COMPUTED_VALUE"""),900000.0)</f>
        <v>900000</v>
      </c>
      <c r="M46" s="22">
        <f>IFERROR(__xludf.DUMMYFUNCTION("""COMPUTED_VALUE"""),1000000.0)</f>
        <v>1000000</v>
      </c>
      <c r="N46" s="22">
        <f>IFERROR(__xludf.DUMMYFUNCTION("""COMPUTED_VALUE"""),0.0)</f>
        <v>0</v>
      </c>
      <c r="O46" s="22">
        <f>IFERROR(__xludf.DUMMYFUNCTION("""COMPUTED_VALUE"""),1900000.0)</f>
        <v>1900000</v>
      </c>
      <c r="P46" s="28" t="str">
        <f t="shared" si="1"/>
        <v>LUNAS</v>
      </c>
      <c r="Q46" s="28">
        <f t="shared" si="2"/>
        <v>21</v>
      </c>
      <c r="R46" s="28" t="str">
        <f t="shared" si="3"/>
        <v>THEA CLARESTA</v>
      </c>
    </row>
    <row r="47">
      <c r="A47" s="27">
        <f>IFERROR(__xludf.DUMMYFUNCTION("""COMPUTED_VALUE"""),46.0)</f>
        <v>46</v>
      </c>
      <c r="B47" s="28" t="str">
        <f>IFERROR(__xludf.DUMMYFUNCTION("""COMPUTED_VALUE"""),"TITIN NUR MAULIDIA")</f>
        <v>TITIN NUR MAULIDIA</v>
      </c>
      <c r="C47" s="28">
        <f>IFERROR(__xludf.DUMMYFUNCTION("""COMPUTED_VALUE"""),2.025070621E9)</f>
        <v>2025070621</v>
      </c>
      <c r="D47" s="27" t="str">
        <f>IFERROR(__xludf.DUMMYFUNCTION("""COMPUTED_VALUE"""),"B")</f>
        <v>B</v>
      </c>
      <c r="E47" s="27" t="str">
        <f>IFERROR(__xludf.DUMMYFUNCTION("""COMPUTED_VALUE"""),"B-2")</f>
        <v>B-2</v>
      </c>
      <c r="F47" s="31">
        <f>IFERROR(__xludf.DUMMYFUNCTION("""COMPUTED_VALUE"""),2.0)</f>
        <v>2</v>
      </c>
      <c r="G47" s="27" t="str">
        <f>IFERROR(__xludf.DUMMYFUNCTION("""COMPUTED_VALUE"""),"2 ULA B PUTRI")</f>
        <v>2 ULA B PUTRI</v>
      </c>
      <c r="H47" s="28" t="str">
        <f>IFERROR(__xludf.DUMMYFUNCTION("""COMPUTED_VALUE"""),"ALI AFANDI")</f>
        <v>ALI AFANDI</v>
      </c>
      <c r="I47" s="28" t="str">
        <f>IFERROR(__xludf.DUMMYFUNCTION("""COMPUTED_VALUE"""),"PIYATI")</f>
        <v>PIYATI</v>
      </c>
      <c r="J47" s="28" t="str">
        <f>IFERROR(__xludf.DUMMYFUNCTION("""COMPUTED_VALUE"""),"RANGKAH NGUJUNGREJO RT 011 RW 005 TURI LAMONGAN")</f>
        <v>RANGKAH NGUJUNGREJO RT 011 RW 005 TURI LAMONGAN</v>
      </c>
      <c r="K47" s="29" t="str">
        <f>IFERROR(__xludf.DUMMYFUNCTION("""COMPUTED_VALUE"""),"6285859264732")</f>
        <v>6285859264732</v>
      </c>
      <c r="L47" s="22">
        <f>IFERROR(__xludf.DUMMYFUNCTION("""COMPUTED_VALUE"""),0.0)</f>
        <v>0</v>
      </c>
      <c r="M47" s="22">
        <f>IFERROR(__xludf.DUMMYFUNCTION("""COMPUTED_VALUE"""),1000000.0)</f>
        <v>1000000</v>
      </c>
      <c r="N47" s="22">
        <f>IFERROR(__xludf.DUMMYFUNCTION("""COMPUTED_VALUE"""),0.0)</f>
        <v>0</v>
      </c>
      <c r="O47" s="22">
        <f>IFERROR(__xludf.DUMMYFUNCTION("""COMPUTED_VALUE"""),1000000.0)</f>
        <v>1000000</v>
      </c>
      <c r="P47" s="28" t="str">
        <f t="shared" si="1"/>
        <v>LUNAS</v>
      </c>
      <c r="Q47" s="28">
        <f t="shared" si="2"/>
        <v>43</v>
      </c>
      <c r="R47" s="28" t="str">
        <f t="shared" si="3"/>
        <v>TITIN NUR MAULIDIA</v>
      </c>
    </row>
    <row r="48">
      <c r="A48" s="27">
        <f>IFERROR(__xludf.DUMMYFUNCTION("""COMPUTED_VALUE"""),47.0)</f>
        <v>47</v>
      </c>
      <c r="B48" s="28" t="str">
        <f>IFERROR(__xludf.DUMMYFUNCTION("""COMPUTED_VALUE"""),"TRIANOVA AMALIA AZ-ZAHRA")</f>
        <v>TRIANOVA AMALIA AZ-ZAHRA</v>
      </c>
      <c r="C48" s="28">
        <f>IFERROR(__xludf.DUMMYFUNCTION("""COMPUTED_VALUE"""),2.025070578E9)</f>
        <v>2025070578</v>
      </c>
      <c r="D48" s="27" t="str">
        <f>IFERROR(__xludf.DUMMYFUNCTION("""COMPUTED_VALUE"""),"B")</f>
        <v>B</v>
      </c>
      <c r="E48" s="27" t="str">
        <f>IFERROR(__xludf.DUMMYFUNCTION("""COMPUTED_VALUE"""),"B-2")</f>
        <v>B-2</v>
      </c>
      <c r="F48" s="31">
        <f>IFERROR(__xludf.DUMMYFUNCTION("""COMPUTED_VALUE"""),2.0)</f>
        <v>2</v>
      </c>
      <c r="G48" s="27" t="str">
        <f>IFERROR(__xludf.DUMMYFUNCTION("""COMPUTED_VALUE"""),"2 ULA C PUTRI")</f>
        <v>2 ULA C PUTRI</v>
      </c>
      <c r="H48" s="28" t="str">
        <f>IFERROR(__xludf.DUMMYFUNCTION("""COMPUTED_VALUE"""),"ABDULLAH UBET")</f>
        <v>ABDULLAH UBET</v>
      </c>
      <c r="I48" s="28" t="str">
        <f>IFERROR(__xludf.DUMMYFUNCTION("""COMPUTED_VALUE"""),"DWI DIAH ANGGRAINI")</f>
        <v>DWI DIAH ANGGRAINI</v>
      </c>
      <c r="J48" s="28" t="str">
        <f>IFERROR(__xludf.DUMMYFUNCTION("""COMPUTED_VALUE"""),"JL. KH. A. DAHLAN GG. MAWAR MERAH II TLOGOANYAR RT 001 RW 001 LAMONGAN LAMONGAN")</f>
        <v>JL. KH. A. DAHLAN GG. MAWAR MERAH II TLOGOANYAR RT 001 RW 001 LAMONGAN LAMONGAN</v>
      </c>
      <c r="K48" s="29" t="str">
        <f>IFERROR(__xludf.DUMMYFUNCTION("""COMPUTED_VALUE"""),"6281357970159")</f>
        <v>6281357970159</v>
      </c>
      <c r="L48" s="22">
        <f>IFERROR(__xludf.DUMMYFUNCTION("""COMPUTED_VALUE"""),900000.0)</f>
        <v>900000</v>
      </c>
      <c r="M48" s="22">
        <f>IFERROR(__xludf.DUMMYFUNCTION("""COMPUTED_VALUE"""),1000000.0)</f>
        <v>1000000</v>
      </c>
      <c r="N48" s="22">
        <f>IFERROR(__xludf.DUMMYFUNCTION("""COMPUTED_VALUE"""),0.0)</f>
        <v>0</v>
      </c>
      <c r="O48" s="22">
        <f>IFERROR(__xludf.DUMMYFUNCTION("""COMPUTED_VALUE"""),1900000.0)</f>
        <v>1900000</v>
      </c>
      <c r="P48" s="28" t="str">
        <f t="shared" si="1"/>
        <v>LUNAS</v>
      </c>
      <c r="Q48" s="28">
        <f t="shared" si="2"/>
        <v>22</v>
      </c>
      <c r="R48" s="28" t="str">
        <f t="shared" si="3"/>
        <v>TRIANOVA AMALIA AZ-ZAHRA</v>
      </c>
    </row>
    <row r="49">
      <c r="A49" s="27">
        <f>IFERROR(__xludf.DUMMYFUNCTION("""COMPUTED_VALUE"""),48.0)</f>
        <v>48</v>
      </c>
      <c r="B49" s="28" t="str">
        <f>IFERROR(__xludf.DUMMYFUNCTION("""COMPUTED_VALUE"""),"SINTA NURIYYAH")</f>
        <v>SINTA NURIYYAH</v>
      </c>
      <c r="C49" s="28">
        <f>IFERROR(__xludf.DUMMYFUNCTION("""COMPUTED_VALUE"""),2.024070182E9)</f>
        <v>2024070182</v>
      </c>
      <c r="D49" s="27" t="str">
        <f>IFERROR(__xludf.DUMMYFUNCTION("""COMPUTED_VALUE"""),"B")</f>
        <v>B</v>
      </c>
      <c r="E49" s="27" t="str">
        <f>IFERROR(__xludf.DUMMYFUNCTION("""COMPUTED_VALUE"""),"B-2")</f>
        <v>B-2</v>
      </c>
      <c r="F49" s="31">
        <f>IFERROR(__xludf.DUMMYFUNCTION("""COMPUTED_VALUE"""),3.0)</f>
        <v>3</v>
      </c>
      <c r="G49" s="27"/>
      <c r="H49" s="28"/>
      <c r="I49" s="28"/>
      <c r="J49" s="28"/>
      <c r="K49" s="28"/>
      <c r="L49" s="28"/>
      <c r="M49" s="28"/>
      <c r="N49" s="28"/>
      <c r="O49" s="28"/>
      <c r="P49" s="28" t="str">
        <f t="shared" si="1"/>
        <v>LUNAS</v>
      </c>
      <c r="Q49" s="28">
        <f t="shared" si="2"/>
        <v>66</v>
      </c>
      <c r="R49" s="28" t="str">
        <f t="shared" si="3"/>
        <v>SINTA NURIYYAH</v>
      </c>
    </row>
    <row r="50">
      <c r="A50" s="27">
        <f>IFERROR(__xludf.DUMMYFUNCTION("""COMPUTED_VALUE"""),49.0)</f>
        <v>49</v>
      </c>
      <c r="B50" s="28" t="str">
        <f>IFERROR(__xludf.DUMMYFUNCTION("""COMPUTED_VALUE"""),"ALISIA RAHMA AMALIA")</f>
        <v>ALISIA RAHMA AMALIA</v>
      </c>
      <c r="C50" s="28">
        <f>IFERROR(__xludf.DUMMYFUNCTION("""COMPUTED_VALUE"""),2.025070662E9)</f>
        <v>2025070662</v>
      </c>
      <c r="D50" s="27" t="str">
        <f>IFERROR(__xludf.DUMMYFUNCTION("""COMPUTED_VALUE"""),"B")</f>
        <v>B</v>
      </c>
      <c r="E50" s="27" t="str">
        <f>IFERROR(__xludf.DUMMYFUNCTION("""COMPUTED_VALUE"""),"B-3")</f>
        <v>B-3</v>
      </c>
      <c r="F50" s="31">
        <f>IFERROR(__xludf.DUMMYFUNCTION("""COMPUTED_VALUE"""),2.0)</f>
        <v>2</v>
      </c>
      <c r="G50" s="27" t="str">
        <f>IFERROR(__xludf.DUMMYFUNCTION("""COMPUTED_VALUE"""),"2 WUSTHO B PUTRI")</f>
        <v>2 WUSTHO B PUTRI</v>
      </c>
      <c r="H50" s="28" t="str">
        <f>IFERROR(__xludf.DUMMYFUNCTION("""COMPUTED_VALUE"""),"MUTHI'UR ROHMAN")</f>
        <v>MUTHI'UR ROHMAN</v>
      </c>
      <c r="I50" s="28" t="str">
        <f>IFERROR(__xludf.DUMMYFUNCTION("""COMPUTED_VALUE"""),"SITI HALIMAH SA'DIYAH")</f>
        <v>SITI HALIMAH SA'DIYAH</v>
      </c>
      <c r="J50" s="28" t="str">
        <f>IFERROR(__xludf.DUMMYFUNCTION("""COMPUTED_VALUE"""),"BANGERAN RT 001 RW 001 DUKUN GRESIK")</f>
        <v>BANGERAN RT 001 RW 001 DUKUN GRESIK</v>
      </c>
      <c r="K50" s="29" t="str">
        <f>IFERROR(__xludf.DUMMYFUNCTION("""COMPUTED_VALUE"""),"6285732704697")</f>
        <v>6285732704697</v>
      </c>
      <c r="L50" s="22">
        <f>IFERROR(__xludf.DUMMYFUNCTION("""COMPUTED_VALUE"""),0.0)</f>
        <v>0</v>
      </c>
      <c r="M50" s="22">
        <f>IFERROR(__xludf.DUMMYFUNCTION("""COMPUTED_VALUE"""),0.0)</f>
        <v>0</v>
      </c>
      <c r="N50" s="22">
        <f>IFERROR(__xludf.DUMMYFUNCTION("""COMPUTED_VALUE"""),0.0)</f>
        <v>0</v>
      </c>
      <c r="O50" s="22">
        <f>IFERROR(__xludf.DUMMYFUNCTION("""COMPUTED_VALUE"""),0.0)</f>
        <v>0</v>
      </c>
      <c r="P50" s="28" t="str">
        <f t="shared" si="1"/>
        <v>LUNAS</v>
      </c>
      <c r="Q50" s="28">
        <f t="shared" si="2"/>
        <v>77</v>
      </c>
      <c r="R50" s="28" t="str">
        <f t="shared" si="3"/>
        <v>ALISIA RAHMA AMALIA</v>
      </c>
    </row>
    <row r="51">
      <c r="A51" s="27">
        <f>IFERROR(__xludf.DUMMYFUNCTION("""COMPUTED_VALUE"""),50.0)</f>
        <v>50</v>
      </c>
      <c r="B51" s="28" t="str">
        <f>IFERROR(__xludf.DUMMYFUNCTION("""COMPUTED_VALUE"""),"ALYA INDRA FARISAH")</f>
        <v>ALYA INDRA FARISAH</v>
      </c>
      <c r="C51" s="28">
        <f>IFERROR(__xludf.DUMMYFUNCTION("""COMPUTED_VALUE"""),2.025070488E9)</f>
        <v>2025070488</v>
      </c>
      <c r="D51" s="27" t="str">
        <f>IFERROR(__xludf.DUMMYFUNCTION("""COMPUTED_VALUE"""),"B")</f>
        <v>B</v>
      </c>
      <c r="E51" s="27" t="str">
        <f>IFERROR(__xludf.DUMMYFUNCTION("""COMPUTED_VALUE"""),"B-3")</f>
        <v>B-3</v>
      </c>
      <c r="F51" s="31">
        <f>IFERROR(__xludf.DUMMYFUNCTION("""COMPUTED_VALUE"""),2.0)</f>
        <v>2</v>
      </c>
      <c r="G51" s="27" t="str">
        <f>IFERROR(__xludf.DUMMYFUNCTION("""COMPUTED_VALUE"""),"2 ULA C PUTRI")</f>
        <v>2 ULA C PUTRI</v>
      </c>
      <c r="H51" s="28" t="str">
        <f>IFERROR(__xludf.DUMMYFUNCTION("""COMPUTED_VALUE"""),"INDRA MURWANTO")</f>
        <v>INDRA MURWANTO</v>
      </c>
      <c r="I51" s="28" t="str">
        <f>IFERROR(__xludf.DUMMYFUNCTION("""COMPUTED_VALUE"""),"INDRAWATI")</f>
        <v>INDRAWATI</v>
      </c>
      <c r="J51" s="28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K51" s="29" t="str">
        <f>IFERROR(__xludf.DUMMYFUNCTION("""COMPUTED_VALUE"""),"628158257433")</f>
        <v>628158257433</v>
      </c>
      <c r="L51" s="22">
        <f>IFERROR(__xludf.DUMMYFUNCTION("""COMPUTED_VALUE"""),0.0)</f>
        <v>0</v>
      </c>
      <c r="M51" s="22">
        <f>IFERROR(__xludf.DUMMYFUNCTION("""COMPUTED_VALUE"""),0.0)</f>
        <v>0</v>
      </c>
      <c r="N51" s="22">
        <f>IFERROR(__xludf.DUMMYFUNCTION("""COMPUTED_VALUE"""),0.0)</f>
        <v>0</v>
      </c>
      <c r="O51" s="22">
        <f>IFERROR(__xludf.DUMMYFUNCTION("""COMPUTED_VALUE"""),0.0)</f>
        <v>0</v>
      </c>
      <c r="P51" s="28" t="str">
        <f t="shared" si="1"/>
        <v>LUNAS</v>
      </c>
      <c r="Q51" s="28">
        <f t="shared" si="2"/>
        <v>78</v>
      </c>
      <c r="R51" s="28" t="str">
        <f t="shared" si="3"/>
        <v>ALYA INDRA FARISAH</v>
      </c>
    </row>
    <row r="52">
      <c r="A52" s="27">
        <f>IFERROR(__xludf.DUMMYFUNCTION("""COMPUTED_VALUE"""),51.0)</f>
        <v>51</v>
      </c>
      <c r="B52" s="28" t="str">
        <f>IFERROR(__xludf.DUMMYFUNCTION("""COMPUTED_VALUE"""),"AURA FAJRINA SALSABILA")</f>
        <v>AURA FAJRINA SALSABILA</v>
      </c>
      <c r="C52" s="28">
        <f>IFERROR(__xludf.DUMMYFUNCTION("""COMPUTED_VALUE"""),2.025070502E9)</f>
        <v>2025070502</v>
      </c>
      <c r="D52" s="27" t="str">
        <f>IFERROR(__xludf.DUMMYFUNCTION("""COMPUTED_VALUE"""),"B")</f>
        <v>B</v>
      </c>
      <c r="E52" s="27" t="str">
        <f>IFERROR(__xludf.DUMMYFUNCTION("""COMPUTED_VALUE"""),"B-3")</f>
        <v>B-3</v>
      </c>
      <c r="F52" s="31">
        <f>IFERROR(__xludf.DUMMYFUNCTION("""COMPUTED_VALUE"""),2.0)</f>
        <v>2</v>
      </c>
      <c r="G52" s="27" t="str">
        <f>IFERROR(__xludf.DUMMYFUNCTION("""COMPUTED_VALUE"""),"2 ULA B PUTRI")</f>
        <v>2 ULA B PUTRI</v>
      </c>
      <c r="H52" s="28" t="str">
        <f>IFERROR(__xludf.DUMMYFUNCTION("""COMPUTED_VALUE"""),"MISBAHUL AQSHO")</f>
        <v>MISBAHUL AQSHO</v>
      </c>
      <c r="I52" s="28" t="str">
        <f>IFERROR(__xludf.DUMMYFUNCTION("""COMPUTED_VALUE"""),"NISWATIN")</f>
        <v>NISWATIN</v>
      </c>
      <c r="J52" s="28" t="str">
        <f>IFERROR(__xludf.DUMMYFUNCTION("""COMPUTED_VALUE"""),"TENGGULUN RT 004 RW 002 SOLOKURO LAMONGAN")</f>
        <v>TENGGULUN RT 004 RW 002 SOLOKURO LAMONGAN</v>
      </c>
      <c r="K52" s="29" t="str">
        <f>IFERROR(__xludf.DUMMYFUNCTION("""COMPUTED_VALUE"""),"6281330339700")</f>
        <v>6281330339700</v>
      </c>
      <c r="L52" s="22">
        <f>IFERROR(__xludf.DUMMYFUNCTION("""COMPUTED_VALUE"""),0.0)</f>
        <v>0</v>
      </c>
      <c r="M52" s="22">
        <f>IFERROR(__xludf.DUMMYFUNCTION("""COMPUTED_VALUE"""),0.0)</f>
        <v>0</v>
      </c>
      <c r="N52" s="22">
        <f>IFERROR(__xludf.DUMMYFUNCTION("""COMPUTED_VALUE"""),0.0)</f>
        <v>0</v>
      </c>
      <c r="O52" s="22">
        <f>IFERROR(__xludf.DUMMYFUNCTION("""COMPUTED_VALUE"""),0.0)</f>
        <v>0</v>
      </c>
      <c r="P52" s="28" t="str">
        <f t="shared" si="1"/>
        <v>LUNAS</v>
      </c>
      <c r="Q52" s="28">
        <f t="shared" si="2"/>
        <v>79</v>
      </c>
      <c r="R52" s="28" t="str">
        <f t="shared" si="3"/>
        <v>AURA FAJRINA SALSABILA</v>
      </c>
    </row>
    <row r="53">
      <c r="A53" s="27">
        <f>IFERROR(__xludf.DUMMYFUNCTION("""COMPUTED_VALUE"""),52.0)</f>
        <v>52</v>
      </c>
      <c r="B53" s="28" t="str">
        <f>IFERROR(__xludf.DUMMYFUNCTION("""COMPUTED_VALUE"""),"INDAH MARTHA NUR AINI")</f>
        <v>INDAH MARTHA NUR AINI</v>
      </c>
      <c r="C53" s="28">
        <f>IFERROR(__xludf.DUMMYFUNCTION("""COMPUTED_VALUE"""),2.025070468E9)</f>
        <v>2025070468</v>
      </c>
      <c r="D53" s="27" t="str">
        <f>IFERROR(__xludf.DUMMYFUNCTION("""COMPUTED_VALUE"""),"B")</f>
        <v>B</v>
      </c>
      <c r="E53" s="27" t="str">
        <f>IFERROR(__xludf.DUMMYFUNCTION("""COMPUTED_VALUE"""),"B-3")</f>
        <v>B-3</v>
      </c>
      <c r="F53" s="31">
        <f>IFERROR(__xludf.DUMMYFUNCTION("""COMPUTED_VALUE"""),2.0)</f>
        <v>2</v>
      </c>
      <c r="G53" s="27" t="str">
        <f>IFERROR(__xludf.DUMMYFUNCTION("""COMPUTED_VALUE"""),"2 ULA A PUTRI")</f>
        <v>2 ULA A PUTRI</v>
      </c>
      <c r="H53" s="28" t="str">
        <f>IFERROR(__xludf.DUMMYFUNCTION("""COMPUTED_VALUE"""),"SUKAMTO")</f>
        <v>SUKAMTO</v>
      </c>
      <c r="I53" s="28" t="str">
        <f>IFERROR(__xludf.DUMMYFUNCTION("""COMPUTED_VALUE"""),"SUMARMI")</f>
        <v>SUMARMI</v>
      </c>
      <c r="J53" s="28" t="str">
        <f>IFERROR(__xludf.DUMMYFUNCTION("""COMPUTED_VALUE"""),"VETERAN GANG KAMBOJA JETIS RT 004 RW 003 LAMONGAN LAMONGAN")</f>
        <v>VETERAN GANG KAMBOJA JETIS RT 004 RW 003 LAMONGAN LAMONGAN</v>
      </c>
      <c r="K53" s="29" t="str">
        <f>IFERROR(__xludf.DUMMYFUNCTION("""COMPUTED_VALUE"""),"62895603864010")</f>
        <v>62895603864010</v>
      </c>
      <c r="L53" s="22">
        <f>IFERROR(__xludf.DUMMYFUNCTION("""COMPUTED_VALUE"""),0.0)</f>
        <v>0</v>
      </c>
      <c r="M53" s="22">
        <f>IFERROR(__xludf.DUMMYFUNCTION("""COMPUTED_VALUE"""),0.0)</f>
        <v>0</v>
      </c>
      <c r="N53" s="22">
        <f>IFERROR(__xludf.DUMMYFUNCTION("""COMPUTED_VALUE"""),0.0)</f>
        <v>0</v>
      </c>
      <c r="O53" s="22">
        <f>IFERROR(__xludf.DUMMYFUNCTION("""COMPUTED_VALUE"""),0.0)</f>
        <v>0</v>
      </c>
      <c r="P53" s="28" t="str">
        <f t="shared" si="1"/>
        <v>LUNAS</v>
      </c>
      <c r="Q53" s="28">
        <f t="shared" si="2"/>
        <v>80</v>
      </c>
      <c r="R53" s="28" t="str">
        <f t="shared" si="3"/>
        <v>INDAH MARTHA NUR AINI</v>
      </c>
    </row>
    <row r="54">
      <c r="A54" s="27">
        <f>IFERROR(__xludf.DUMMYFUNCTION("""COMPUTED_VALUE"""),53.0)</f>
        <v>53</v>
      </c>
      <c r="B54" s="28" t="str">
        <f>IFERROR(__xludf.DUMMYFUNCTION("""COMPUTED_VALUE"""),"NUZILAT SHOFWATUL MAR`AH")</f>
        <v>NUZILAT SHOFWATUL MAR`AH</v>
      </c>
      <c r="C54" s="28">
        <f>IFERROR(__xludf.DUMMYFUNCTION("""COMPUTED_VALUE"""),2.025070093E9)</f>
        <v>2025070093</v>
      </c>
      <c r="D54" s="27" t="str">
        <f>IFERROR(__xludf.DUMMYFUNCTION("""COMPUTED_VALUE"""),"B")</f>
        <v>B</v>
      </c>
      <c r="E54" s="27" t="str">
        <f>IFERROR(__xludf.DUMMYFUNCTION("""COMPUTED_VALUE"""),"B-3")</f>
        <v>B-3</v>
      </c>
      <c r="F54" s="31">
        <f>IFERROR(__xludf.DUMMYFUNCTION("""COMPUTED_VALUE"""),2.0)</f>
        <v>2</v>
      </c>
      <c r="G54" s="27" t="str">
        <f>IFERROR(__xludf.DUMMYFUNCTION("""COMPUTED_VALUE"""),"TAHFIDZ")</f>
        <v>TAHFIDZ</v>
      </c>
      <c r="H54" s="28" t="str">
        <f>IFERROR(__xludf.DUMMYFUNCTION("""COMPUTED_VALUE"""),"SYUKUR, S.PD")</f>
        <v>SYUKUR, S.PD</v>
      </c>
      <c r="I54" s="28" t="str">
        <f>IFERROR(__xludf.DUMMYFUNCTION("""COMPUTED_VALUE"""),"ZULIYATI")</f>
        <v>ZULIYATI</v>
      </c>
      <c r="J54" s="28" t="str">
        <f>IFERROR(__xludf.DUMMYFUNCTION("""COMPUTED_VALUE"""),"PUCANGRO RT 002 RW 004 KALITENGAH LAMONGAN")</f>
        <v>PUCANGRO RT 002 RW 004 KALITENGAH LAMONGAN</v>
      </c>
      <c r="K54" s="29" t="str">
        <f>IFERROR(__xludf.DUMMYFUNCTION("""COMPUTED_VALUE"""),"6281554236367")</f>
        <v>6281554236367</v>
      </c>
      <c r="L54" s="22">
        <f>IFERROR(__xludf.DUMMYFUNCTION("""COMPUTED_VALUE"""),0.0)</f>
        <v>0</v>
      </c>
      <c r="M54" s="22">
        <f>IFERROR(__xludf.DUMMYFUNCTION("""COMPUTED_VALUE"""),0.0)</f>
        <v>0</v>
      </c>
      <c r="N54" s="22">
        <f>IFERROR(__xludf.DUMMYFUNCTION("""COMPUTED_VALUE"""),0.0)</f>
        <v>0</v>
      </c>
      <c r="O54" s="22">
        <f>IFERROR(__xludf.DUMMYFUNCTION("""COMPUTED_VALUE"""),0.0)</f>
        <v>0</v>
      </c>
      <c r="P54" s="28" t="str">
        <f t="shared" si="1"/>
        <v>LUNAS</v>
      </c>
      <c r="Q54" s="28">
        <f t="shared" si="2"/>
        <v>81</v>
      </c>
      <c r="R54" s="28" t="str">
        <f t="shared" si="3"/>
        <v>NUZILAT SHOFWATUL MAR`AH</v>
      </c>
    </row>
    <row r="55">
      <c r="A55" s="27">
        <f>IFERROR(__xludf.DUMMYFUNCTION("""COMPUTED_VALUE"""),54.0)</f>
        <v>54</v>
      </c>
      <c r="B55" s="28" t="str">
        <f>IFERROR(__xludf.DUMMYFUNCTION("""COMPUTED_VALUE"""),"OLIVIA SABITA PUTRI")</f>
        <v>OLIVIA SABITA PUTRI</v>
      </c>
      <c r="C55" s="28">
        <f>IFERROR(__xludf.DUMMYFUNCTION("""COMPUTED_VALUE"""),2.025070453E9)</f>
        <v>2025070453</v>
      </c>
      <c r="D55" s="27" t="str">
        <f>IFERROR(__xludf.DUMMYFUNCTION("""COMPUTED_VALUE"""),"B")</f>
        <v>B</v>
      </c>
      <c r="E55" s="27" t="str">
        <f>IFERROR(__xludf.DUMMYFUNCTION("""COMPUTED_VALUE"""),"B-3")</f>
        <v>B-3</v>
      </c>
      <c r="F55" s="31">
        <f>IFERROR(__xludf.DUMMYFUNCTION("""COMPUTED_VALUE"""),2.0)</f>
        <v>2</v>
      </c>
      <c r="G55" s="27" t="str">
        <f>IFERROR(__xludf.DUMMYFUNCTION("""COMPUTED_VALUE"""),"2 WUSTHO C PUTRI")</f>
        <v>2 WUSTHO C PUTRI</v>
      </c>
      <c r="H55" s="28" t="str">
        <f>IFERROR(__xludf.DUMMYFUNCTION("""COMPUTED_VALUE"""),"MARJO")</f>
        <v>MARJO</v>
      </c>
      <c r="I55" s="28" t="str">
        <f>IFERROR(__xludf.DUMMYFUNCTION("""COMPUTED_VALUE"""),"NAIHATUL MUFIDAH")</f>
        <v>NAIHATUL MUFIDAH</v>
      </c>
      <c r="J55" s="28" t="str">
        <f>IFERROR(__xludf.DUMMYFUNCTION("""COMPUTED_VALUE"""),"BANGERAN GENENG BANGERAN RT 004 RW 002 DUKUN GRESIK")</f>
        <v>BANGERAN GENENG BANGERAN RT 004 RW 002 DUKUN GRESIK</v>
      </c>
      <c r="K55" s="29" t="str">
        <f>IFERROR(__xludf.DUMMYFUNCTION("""COMPUTED_VALUE"""),"6285890583479")</f>
        <v>6285890583479</v>
      </c>
      <c r="L55" s="22">
        <f>IFERROR(__xludf.DUMMYFUNCTION("""COMPUTED_VALUE"""),0.0)</f>
        <v>0</v>
      </c>
      <c r="M55" s="22">
        <f>IFERROR(__xludf.DUMMYFUNCTION("""COMPUTED_VALUE"""),1000000.0)</f>
        <v>1000000</v>
      </c>
      <c r="N55" s="22">
        <f>IFERROR(__xludf.DUMMYFUNCTION("""COMPUTED_VALUE"""),0.0)</f>
        <v>0</v>
      </c>
      <c r="O55" s="22">
        <f>IFERROR(__xludf.DUMMYFUNCTION("""COMPUTED_VALUE"""),1000000.0)</f>
        <v>1000000</v>
      </c>
      <c r="P55" s="28" t="str">
        <f t="shared" si="1"/>
        <v>LUNAS</v>
      </c>
      <c r="Q55" s="28">
        <f t="shared" si="2"/>
        <v>44</v>
      </c>
      <c r="R55" s="28" t="str">
        <f t="shared" si="3"/>
        <v>OLIVIA SABITA PUTRI</v>
      </c>
    </row>
    <row r="56">
      <c r="A56" s="27">
        <f>IFERROR(__xludf.DUMMYFUNCTION("""COMPUTED_VALUE"""),55.0)</f>
        <v>55</v>
      </c>
      <c r="B56" s="28" t="str">
        <f>IFERROR(__xludf.DUMMYFUNCTION("""COMPUTED_VALUE"""),"RAEESA NABILA YAKTA WAFIQ")</f>
        <v>RAEESA NABILA YAKTA WAFIQ</v>
      </c>
      <c r="C56" s="28">
        <f>IFERROR(__xludf.DUMMYFUNCTION("""COMPUTED_VALUE"""),2.025070469E9)</f>
        <v>2025070469</v>
      </c>
      <c r="D56" s="27" t="str">
        <f>IFERROR(__xludf.DUMMYFUNCTION("""COMPUTED_VALUE"""),"B")</f>
        <v>B</v>
      </c>
      <c r="E56" s="27" t="str">
        <f>IFERROR(__xludf.DUMMYFUNCTION("""COMPUTED_VALUE"""),"B-3")</f>
        <v>B-3</v>
      </c>
      <c r="F56" s="31">
        <f>IFERROR(__xludf.DUMMYFUNCTION("""COMPUTED_VALUE"""),2.0)</f>
        <v>2</v>
      </c>
      <c r="G56" s="27" t="str">
        <f>IFERROR(__xludf.DUMMYFUNCTION("""COMPUTED_VALUE"""),"2 ULA B PUTRI")</f>
        <v>2 ULA B PUTRI</v>
      </c>
      <c r="H56" s="28" t="str">
        <f>IFERROR(__xludf.DUMMYFUNCTION("""COMPUTED_VALUE"""),"MOCHAMAD THOHA FATWA")</f>
        <v>MOCHAMAD THOHA FATWA</v>
      </c>
      <c r="I56" s="28" t="str">
        <f>IFERROR(__xludf.DUMMYFUNCTION("""COMPUTED_VALUE"""),"WINARSIH")</f>
        <v>WINARSIH</v>
      </c>
      <c r="J56" s="28" t="str">
        <f>IFERROR(__xludf.DUMMYFUNCTION("""COMPUTED_VALUE"""),"BANJARGONDANG RT 002 RW 003 BLULUK LAMONGAN")</f>
        <v>BANJARGONDANG RT 002 RW 003 BLULUK LAMONGAN</v>
      </c>
      <c r="K56" s="29" t="str">
        <f>IFERROR(__xludf.DUMMYFUNCTION("""COMPUTED_VALUE"""),"6281332471369")</f>
        <v>6281332471369</v>
      </c>
      <c r="L56" s="22">
        <f>IFERROR(__xludf.DUMMYFUNCTION("""COMPUTED_VALUE"""),0.0)</f>
        <v>0</v>
      </c>
      <c r="M56" s="22">
        <f>IFERROR(__xludf.DUMMYFUNCTION("""COMPUTED_VALUE"""),500000.0)</f>
        <v>500000</v>
      </c>
      <c r="N56" s="22">
        <f>IFERROR(__xludf.DUMMYFUNCTION("""COMPUTED_VALUE"""),0.0)</f>
        <v>0</v>
      </c>
      <c r="O56" s="22">
        <f>IFERROR(__xludf.DUMMYFUNCTION("""COMPUTED_VALUE"""),500000.0)</f>
        <v>500000</v>
      </c>
      <c r="P56" s="28" t="str">
        <f t="shared" si="1"/>
        <v>LUNAS</v>
      </c>
      <c r="Q56" s="28">
        <f t="shared" si="2"/>
        <v>58</v>
      </c>
      <c r="R56" s="28" t="str">
        <f t="shared" si="3"/>
        <v>RAEESA NABILA YAKTA WAFIQ</v>
      </c>
    </row>
    <row r="57">
      <c r="A57" s="27">
        <f>IFERROR(__xludf.DUMMYFUNCTION("""COMPUTED_VALUE"""),56.0)</f>
        <v>56</v>
      </c>
      <c r="B57" s="28" t="str">
        <f>IFERROR(__xludf.DUMMYFUNCTION("""COMPUTED_VALUE"""),"SEKAR AYU WARDHANI")</f>
        <v>SEKAR AYU WARDHANI</v>
      </c>
      <c r="C57" s="28">
        <f>IFERROR(__xludf.DUMMYFUNCTION("""COMPUTED_VALUE"""),2.025070475E9)</f>
        <v>2025070475</v>
      </c>
      <c r="D57" s="27" t="str">
        <f>IFERROR(__xludf.DUMMYFUNCTION("""COMPUTED_VALUE"""),"B")</f>
        <v>B</v>
      </c>
      <c r="E57" s="27" t="str">
        <f>IFERROR(__xludf.DUMMYFUNCTION("""COMPUTED_VALUE"""),"B-3")</f>
        <v>B-3</v>
      </c>
      <c r="F57" s="31">
        <f>IFERROR(__xludf.DUMMYFUNCTION("""COMPUTED_VALUE"""),2.0)</f>
        <v>2</v>
      </c>
      <c r="G57" s="27" t="str">
        <f>IFERROR(__xludf.DUMMYFUNCTION("""COMPUTED_VALUE"""),"2 ULA B PUTRI")</f>
        <v>2 ULA B PUTRI</v>
      </c>
      <c r="H57" s="28" t="str">
        <f>IFERROR(__xludf.DUMMYFUNCTION("""COMPUTED_VALUE"""),"SAINULLAH")</f>
        <v>SAINULLAH</v>
      </c>
      <c r="I57" s="28" t="str">
        <f>IFERROR(__xludf.DUMMYFUNCTION("""COMPUTED_VALUE"""),"IIS HUSNAWATI")</f>
        <v>IIS HUSNAWATI</v>
      </c>
      <c r="J57" s="28" t="str">
        <f>IFERROR(__xludf.DUMMYFUNCTION("""COMPUTED_VALUE"""),"BARON RT 004 RW 002 DUKUN GRESIK")</f>
        <v>BARON RT 004 RW 002 DUKUN GRESIK</v>
      </c>
      <c r="K57" s="29" t="str">
        <f>IFERROR(__xludf.DUMMYFUNCTION("""COMPUTED_VALUE"""),"6282338115599")</f>
        <v>6282338115599</v>
      </c>
      <c r="L57" s="22">
        <f>IFERROR(__xludf.DUMMYFUNCTION("""COMPUTED_VALUE"""),0.0)</f>
        <v>0</v>
      </c>
      <c r="M57" s="22">
        <f>IFERROR(__xludf.DUMMYFUNCTION("""COMPUTED_VALUE"""),1000000.0)</f>
        <v>1000000</v>
      </c>
      <c r="N57" s="22">
        <f>IFERROR(__xludf.DUMMYFUNCTION("""COMPUTED_VALUE"""),0.0)</f>
        <v>0</v>
      </c>
      <c r="O57" s="22">
        <f>IFERROR(__xludf.DUMMYFUNCTION("""COMPUTED_VALUE"""),1000000.0)</f>
        <v>1000000</v>
      </c>
      <c r="P57" s="28" t="str">
        <f t="shared" si="1"/>
        <v>LUNAS</v>
      </c>
      <c r="Q57" s="28">
        <f t="shared" si="2"/>
        <v>45</v>
      </c>
      <c r="R57" s="28" t="str">
        <f t="shared" si="3"/>
        <v>SEKAR AYU WARDHANI</v>
      </c>
    </row>
    <row r="58">
      <c r="A58" s="27">
        <f>IFERROR(__xludf.DUMMYFUNCTION("""COMPUTED_VALUE"""),57.0)</f>
        <v>57</v>
      </c>
      <c r="B58" s="28" t="str">
        <f>IFERROR(__xludf.DUMMYFUNCTION("""COMPUTED_VALUE"""),"SYAIDATUN MAULIDIYA MUNAWAROH")</f>
        <v>SYAIDATUN MAULIDIYA MUNAWAROH</v>
      </c>
      <c r="C58" s="28">
        <f>IFERROR(__xludf.DUMMYFUNCTION("""COMPUTED_VALUE"""),2.02507047E9)</f>
        <v>2025070470</v>
      </c>
      <c r="D58" s="27" t="str">
        <f>IFERROR(__xludf.DUMMYFUNCTION("""COMPUTED_VALUE"""),"B")</f>
        <v>B</v>
      </c>
      <c r="E58" s="27" t="str">
        <f>IFERROR(__xludf.DUMMYFUNCTION("""COMPUTED_VALUE"""),"B-3")</f>
        <v>B-3</v>
      </c>
      <c r="F58" s="31">
        <f>IFERROR(__xludf.DUMMYFUNCTION("""COMPUTED_VALUE"""),2.0)</f>
        <v>2</v>
      </c>
      <c r="G58" s="27" t="str">
        <f>IFERROR(__xludf.DUMMYFUNCTION("""COMPUTED_VALUE"""),"2 ULA A PUTRI")</f>
        <v>2 ULA A PUTRI</v>
      </c>
      <c r="H58" s="28" t="str">
        <f>IFERROR(__xludf.DUMMYFUNCTION("""COMPUTED_VALUE"""),"KARTO")</f>
        <v>KARTO</v>
      </c>
      <c r="I58" s="28" t="str">
        <f>IFERROR(__xludf.DUMMYFUNCTION("""COMPUTED_VALUE"""),"WATINI DWI LESTARI")</f>
        <v>WATINI DWI LESTARI</v>
      </c>
      <c r="J58" s="28" t="str">
        <f>IFERROR(__xludf.DUMMYFUNCTION("""COMPUTED_VALUE"""),"KALITENGAH SOKO RT 001 RW 007 TIKUNG LAMONGAN")</f>
        <v>KALITENGAH SOKO RT 001 RW 007 TIKUNG LAMONGAN</v>
      </c>
      <c r="K58" s="29" t="str">
        <f>IFERROR(__xludf.DUMMYFUNCTION("""COMPUTED_VALUE"""),"6285604924379")</f>
        <v>6285604924379</v>
      </c>
      <c r="L58" s="22">
        <f>IFERROR(__xludf.DUMMYFUNCTION("""COMPUTED_VALUE"""),0.0)</f>
        <v>0</v>
      </c>
      <c r="M58" s="22">
        <f>IFERROR(__xludf.DUMMYFUNCTION("""COMPUTED_VALUE"""),500000.0)</f>
        <v>500000</v>
      </c>
      <c r="N58" s="22">
        <f>IFERROR(__xludf.DUMMYFUNCTION("""COMPUTED_VALUE"""),0.0)</f>
        <v>0</v>
      </c>
      <c r="O58" s="22">
        <f>IFERROR(__xludf.DUMMYFUNCTION("""COMPUTED_VALUE"""),500000.0)</f>
        <v>500000</v>
      </c>
      <c r="P58" s="28" t="str">
        <f t="shared" si="1"/>
        <v>LUNAS</v>
      </c>
      <c r="Q58" s="28">
        <f t="shared" si="2"/>
        <v>59</v>
      </c>
      <c r="R58" s="28" t="str">
        <f t="shared" si="3"/>
        <v>SYAIDATUN MAULIDIYA MUNAWAROH</v>
      </c>
    </row>
    <row r="59">
      <c r="A59" s="27">
        <f>IFERROR(__xludf.DUMMYFUNCTION("""COMPUTED_VALUE"""),58.0)</f>
        <v>58</v>
      </c>
      <c r="B59" s="28" t="str">
        <f>IFERROR(__xludf.DUMMYFUNCTION("""COMPUTED_VALUE"""),"SYARIFA ZUHRIYAH")</f>
        <v>SYARIFA ZUHRIYAH</v>
      </c>
      <c r="C59" s="28">
        <f>IFERROR(__xludf.DUMMYFUNCTION("""COMPUTED_VALUE"""),2.025070473E9)</f>
        <v>2025070473</v>
      </c>
      <c r="D59" s="27" t="str">
        <f>IFERROR(__xludf.DUMMYFUNCTION("""COMPUTED_VALUE"""),"B")</f>
        <v>B</v>
      </c>
      <c r="E59" s="27" t="str">
        <f>IFERROR(__xludf.DUMMYFUNCTION("""COMPUTED_VALUE"""),"B-3")</f>
        <v>B-3</v>
      </c>
      <c r="F59" s="31">
        <f>IFERROR(__xludf.DUMMYFUNCTION("""COMPUTED_VALUE"""),2.0)</f>
        <v>2</v>
      </c>
      <c r="G59" s="27" t="str">
        <f>IFERROR(__xludf.DUMMYFUNCTION("""COMPUTED_VALUE"""),"2 ULA A PUTRI")</f>
        <v>2 ULA A PUTRI</v>
      </c>
      <c r="H59" s="28" t="str">
        <f>IFERROR(__xludf.DUMMYFUNCTION("""COMPUTED_VALUE"""),"KISWADI")</f>
        <v>KISWADI</v>
      </c>
      <c r="I59" s="28" t="str">
        <f>IFERROR(__xludf.DUMMYFUNCTION("""COMPUTED_VALUE"""),"SITI ZUMAEROH")</f>
        <v>SITI ZUMAEROH</v>
      </c>
      <c r="J59" s="28" t="str">
        <f>IFERROR(__xludf.DUMMYFUNCTION("""COMPUTED_VALUE"""),"KEDIREN RT 003 RW 002 KALITENGAH LAMONGAN")</f>
        <v>KEDIREN RT 003 RW 002 KALITENGAH LAMONGAN</v>
      </c>
      <c r="K59" s="29" t="str">
        <f>IFERROR(__xludf.DUMMYFUNCTION("""COMPUTED_VALUE"""),"6285739096483")</f>
        <v>6285739096483</v>
      </c>
      <c r="L59" s="22">
        <f>IFERROR(__xludf.DUMMYFUNCTION("""COMPUTED_VALUE"""),0.0)</f>
        <v>0</v>
      </c>
      <c r="M59" s="22">
        <f>IFERROR(__xludf.DUMMYFUNCTION("""COMPUTED_VALUE"""),1000000.0)</f>
        <v>1000000</v>
      </c>
      <c r="N59" s="22">
        <f>IFERROR(__xludf.DUMMYFUNCTION("""COMPUTED_VALUE"""),0.0)</f>
        <v>0</v>
      </c>
      <c r="O59" s="22">
        <f>IFERROR(__xludf.DUMMYFUNCTION("""COMPUTED_VALUE"""),1000000.0)</f>
        <v>1000000</v>
      </c>
      <c r="P59" s="28" t="str">
        <f t="shared" si="1"/>
        <v>LUNAS</v>
      </c>
      <c r="Q59" s="28">
        <f t="shared" si="2"/>
        <v>46</v>
      </c>
      <c r="R59" s="28" t="str">
        <f t="shared" si="3"/>
        <v>SYARIFA ZUHRIYAH</v>
      </c>
    </row>
    <row r="60">
      <c r="A60" s="27">
        <f>IFERROR(__xludf.DUMMYFUNCTION("""COMPUTED_VALUE"""),59.0)</f>
        <v>59</v>
      </c>
      <c r="B60" s="28" t="str">
        <f>IFERROR(__xludf.DUMMYFUNCTION("""COMPUTED_VALUE"""),"ZAHRIATUL MUHIMATUN NISA`")</f>
        <v>ZAHRIATUL MUHIMATUN NISA`</v>
      </c>
      <c r="C60" s="28">
        <f>IFERROR(__xludf.DUMMYFUNCTION("""COMPUTED_VALUE"""),2.025070094E9)</f>
        <v>2025070094</v>
      </c>
      <c r="D60" s="27" t="str">
        <f>IFERROR(__xludf.DUMMYFUNCTION("""COMPUTED_VALUE"""),"B")</f>
        <v>B</v>
      </c>
      <c r="E60" s="27" t="str">
        <f>IFERROR(__xludf.DUMMYFUNCTION("""COMPUTED_VALUE"""),"B-3")</f>
        <v>B-3</v>
      </c>
      <c r="F60" s="31">
        <f>IFERROR(__xludf.DUMMYFUNCTION("""COMPUTED_VALUE"""),2.0)</f>
        <v>2</v>
      </c>
      <c r="G60" s="27" t="str">
        <f>IFERROR(__xludf.DUMMYFUNCTION("""COMPUTED_VALUE"""),"TAHFIDZ")</f>
        <v>TAHFIDZ</v>
      </c>
      <c r="H60" s="28" t="str">
        <f>IFERROR(__xludf.DUMMYFUNCTION("""COMPUTED_VALUE"""),"MOHAMMAD ZAERI")</f>
        <v>MOHAMMAD ZAERI</v>
      </c>
      <c r="I60" s="28" t="str">
        <f>IFERROR(__xludf.DUMMYFUNCTION("""COMPUTED_VALUE"""),"ANISATUR ROSIDAH")</f>
        <v>ANISATUR ROSIDAH</v>
      </c>
      <c r="J60" s="28" t="str">
        <f>IFERROR(__xludf.DUMMYFUNCTION("""COMPUTED_VALUE"""),"RAYUNG RAYUNGGUMUK RT 003 RW 003 GLAGAH LAMONGAN")</f>
        <v>RAYUNG RAYUNGGUMUK RT 003 RW 003 GLAGAH LAMONGAN</v>
      </c>
      <c r="K60" s="29" t="str">
        <f>IFERROR(__xludf.DUMMYFUNCTION("""COMPUTED_VALUE"""),"6285607132023")</f>
        <v>6285607132023</v>
      </c>
      <c r="L60" s="22">
        <f>IFERROR(__xludf.DUMMYFUNCTION("""COMPUTED_VALUE"""),5400000.0)</f>
        <v>5400000</v>
      </c>
      <c r="M60" s="22">
        <f>IFERROR(__xludf.DUMMYFUNCTION("""COMPUTED_VALUE"""),0.0)</f>
        <v>0</v>
      </c>
      <c r="N60" s="22">
        <f>IFERROR(__xludf.DUMMYFUNCTION("""COMPUTED_VALUE"""),0.0)</f>
        <v>0</v>
      </c>
      <c r="O60" s="22">
        <f>IFERROR(__xludf.DUMMYFUNCTION("""COMPUTED_VALUE"""),5400000.0)</f>
        <v>5400000</v>
      </c>
      <c r="P60" s="28" t="str">
        <f t="shared" si="1"/>
        <v>LUNAS</v>
      </c>
      <c r="Q60" s="28">
        <f t="shared" si="2"/>
        <v>6</v>
      </c>
      <c r="R60" s="28" t="str">
        <f t="shared" si="3"/>
        <v>ZAHRIATUL MUHIMATUN NISA`</v>
      </c>
    </row>
    <row r="61">
      <c r="A61" s="27">
        <f>IFERROR(__xludf.DUMMYFUNCTION("""COMPUTED_VALUE"""),60.0)</f>
        <v>60</v>
      </c>
      <c r="B61" s="28" t="str">
        <f>IFERROR(__xludf.DUMMYFUNCTION("""COMPUTED_VALUE"""),"FRIKA AURORA NOVANI")</f>
        <v>FRIKA AURORA NOVANI</v>
      </c>
      <c r="C61" s="28">
        <f>IFERROR(__xludf.DUMMYFUNCTION("""COMPUTED_VALUE"""),2.025070117E9)</f>
        <v>2025070117</v>
      </c>
      <c r="D61" s="27" t="str">
        <f>IFERROR(__xludf.DUMMYFUNCTION("""COMPUTED_VALUE"""),"B")</f>
        <v>B</v>
      </c>
      <c r="E61" s="27" t="str">
        <f>IFERROR(__xludf.DUMMYFUNCTION("""COMPUTED_VALUE"""),"B-3")</f>
        <v>B-3</v>
      </c>
      <c r="F61" s="31">
        <f>IFERROR(__xludf.DUMMYFUNCTION("""COMPUTED_VALUE"""),2.0)</f>
        <v>2</v>
      </c>
      <c r="G61" s="27" t="str">
        <f>IFERROR(__xludf.DUMMYFUNCTION("""COMPUTED_VALUE"""),"2 WUSTHO C PUTRI")</f>
        <v>2 WUSTHO C PUTRI</v>
      </c>
      <c r="H61" s="28" t="str">
        <f>IFERROR(__xludf.DUMMYFUNCTION("""COMPUTED_VALUE"""),"SUTIKNO")</f>
        <v>SUTIKNO</v>
      </c>
      <c r="I61" s="28" t="str">
        <f>IFERROR(__xludf.DUMMYFUNCTION("""COMPUTED_VALUE"""),"HANNY MUSTIKA")</f>
        <v>HANNY MUSTIKA</v>
      </c>
      <c r="J61" s="28" t="str">
        <f>IFERROR(__xludf.DUMMYFUNCTION("""COMPUTED_VALUE"""),"BALUN RT 003 RW 001 TURI LAMONGAN")</f>
        <v>BALUN RT 003 RW 001 TURI LAMONGAN</v>
      </c>
      <c r="K61" s="29" t="str">
        <f>IFERROR(__xludf.DUMMYFUNCTION("""COMPUTED_VALUE"""),"6285855666978")</f>
        <v>6285855666978</v>
      </c>
      <c r="L61" s="22">
        <f>IFERROR(__xludf.DUMMYFUNCTION("""COMPUTED_VALUE"""),450000.0)</f>
        <v>450000</v>
      </c>
      <c r="M61" s="22">
        <f>IFERROR(__xludf.DUMMYFUNCTION("""COMPUTED_VALUE"""),0.0)</f>
        <v>0</v>
      </c>
      <c r="N61" s="22">
        <f>IFERROR(__xludf.DUMMYFUNCTION("""COMPUTED_VALUE"""),0.0)</f>
        <v>0</v>
      </c>
      <c r="O61" s="22">
        <f>IFERROR(__xludf.DUMMYFUNCTION("""COMPUTED_VALUE"""),450000.0)</f>
        <v>450000</v>
      </c>
      <c r="P61" s="28" t="str">
        <f t="shared" si="1"/>
        <v>LUNAS</v>
      </c>
      <c r="Q61" s="28">
        <f t="shared" si="2"/>
        <v>66</v>
      </c>
      <c r="R61" s="28" t="str">
        <f t="shared" si="3"/>
        <v>FRIKA AURORA NOVANI</v>
      </c>
    </row>
    <row r="62">
      <c r="A62" s="27">
        <f>IFERROR(__xludf.DUMMYFUNCTION("""COMPUTED_VALUE"""),61.0)</f>
        <v>61</v>
      </c>
      <c r="B62" s="28" t="str">
        <f>IFERROR(__xludf.DUMMYFUNCTION("""COMPUTED_VALUE"""),"ANINDYA FAZURA RAHMA")</f>
        <v>ANINDYA FAZURA RAHMA</v>
      </c>
      <c r="C62" s="28">
        <f>IFERROR(__xludf.DUMMYFUNCTION("""COMPUTED_VALUE"""),2.024070675E9)</f>
        <v>2024070675</v>
      </c>
      <c r="D62" s="27" t="str">
        <f>IFERROR(__xludf.DUMMYFUNCTION("""COMPUTED_VALUE"""),"B")</f>
        <v>B</v>
      </c>
      <c r="E62" s="27" t="str">
        <f>IFERROR(__xludf.DUMMYFUNCTION("""COMPUTED_VALUE"""),"B-4")</f>
        <v>B-4</v>
      </c>
      <c r="F62" s="31">
        <f>IFERROR(__xludf.DUMMYFUNCTION("""COMPUTED_VALUE"""),3.0)</f>
        <v>3</v>
      </c>
      <c r="G62" s="27" t="str">
        <f>IFERROR(__xludf.DUMMYFUNCTION("""COMPUTED_VALUE"""),"3 WUSTHO C PUTRI")</f>
        <v>3 WUSTHO C PUTRI</v>
      </c>
      <c r="H62" s="28" t="str">
        <f>IFERROR(__xludf.DUMMYFUNCTION("""COMPUTED_VALUE"""),"MOH NADLIF")</f>
        <v>MOH NADLIF</v>
      </c>
      <c r="I62" s="28" t="str">
        <f>IFERROR(__xludf.DUMMYFUNCTION("""COMPUTED_VALUE"""),"HUBBATUN NAJAH")</f>
        <v>HUBBATUN NAJAH</v>
      </c>
      <c r="J62" s="28" t="str">
        <f>IFERROR(__xludf.DUMMYFUNCTION("""COMPUTED_VALUE"""),"BANGERAN RT 001 RW 001 DUKUN GRESIK")</f>
        <v>BANGERAN RT 001 RW 001 DUKUN GRESIK</v>
      </c>
      <c r="K62" s="29" t="str">
        <f>IFERROR(__xludf.DUMMYFUNCTION("""COMPUTED_VALUE"""),"6281357042388")</f>
        <v>6281357042388</v>
      </c>
      <c r="L62" s="22">
        <f>IFERROR(__xludf.DUMMYFUNCTION("""COMPUTED_VALUE"""),900000.0)</f>
        <v>900000</v>
      </c>
      <c r="M62" s="22">
        <f>IFERROR(__xludf.DUMMYFUNCTION("""COMPUTED_VALUE"""),500000.0)</f>
        <v>500000</v>
      </c>
      <c r="N62" s="22">
        <f>IFERROR(__xludf.DUMMYFUNCTION("""COMPUTED_VALUE"""),0.0)</f>
        <v>0</v>
      </c>
      <c r="O62" s="22">
        <f>IFERROR(__xludf.DUMMYFUNCTION("""COMPUTED_VALUE"""),1400000.0)</f>
        <v>1400000</v>
      </c>
      <c r="P62" s="28" t="str">
        <f t="shared" si="1"/>
        <v>LUNAS</v>
      </c>
      <c r="Q62" s="28">
        <f t="shared" si="2"/>
        <v>30</v>
      </c>
      <c r="R62" s="28" t="str">
        <f t="shared" si="3"/>
        <v>ANINDYA FAZURA RAHMA</v>
      </c>
    </row>
    <row r="63">
      <c r="A63" s="27">
        <f>IFERROR(__xludf.DUMMYFUNCTION("""COMPUTED_VALUE"""),62.0)</f>
        <v>62</v>
      </c>
      <c r="B63" s="28" t="str">
        <f>IFERROR(__xludf.DUMMYFUNCTION("""COMPUTED_VALUE"""),"DINI WAHYU NINGTYAS")</f>
        <v>DINI WAHYU NINGTYAS</v>
      </c>
      <c r="C63" s="28">
        <f>IFERROR(__xludf.DUMMYFUNCTION("""COMPUTED_VALUE"""),2.024070688E9)</f>
        <v>2024070688</v>
      </c>
      <c r="D63" s="27" t="str">
        <f>IFERROR(__xludf.DUMMYFUNCTION("""COMPUTED_VALUE"""),"B")</f>
        <v>B</v>
      </c>
      <c r="E63" s="27" t="str">
        <f>IFERROR(__xludf.DUMMYFUNCTION("""COMPUTED_VALUE"""),"B-4")</f>
        <v>B-4</v>
      </c>
      <c r="F63" s="31">
        <f>IFERROR(__xludf.DUMMYFUNCTION("""COMPUTED_VALUE"""),3.0)</f>
        <v>3</v>
      </c>
      <c r="G63" s="27" t="str">
        <f>IFERROR(__xludf.DUMMYFUNCTION("""COMPUTED_VALUE"""),"3 WUSTHO C PUTRI")</f>
        <v>3 WUSTHO C PUTRI</v>
      </c>
      <c r="H63" s="28" t="str">
        <f>IFERROR(__xludf.DUMMYFUNCTION("""COMPUTED_VALUE"""),"DARTO")</f>
        <v>DARTO</v>
      </c>
      <c r="I63" s="28" t="str">
        <f>IFERROR(__xludf.DUMMYFUNCTION("""COMPUTED_VALUE"""),"YA ANTI")</f>
        <v>YA ANTI</v>
      </c>
      <c r="J63" s="28" t="str">
        <f>IFERROR(__xludf.DUMMYFUNCTION("""COMPUTED_VALUE"""),"TIRTA MULIA BATU MERANTI RT 011 RW 005 SUNGAILOBAN TANAH BUMBU")</f>
        <v>TIRTA MULIA BATU MERANTI RT 011 RW 005 SUNGAILOBAN TANAH BUMBU</v>
      </c>
      <c r="K63" s="29" t="str">
        <f>IFERROR(__xludf.DUMMYFUNCTION("""COMPUTED_VALUE"""),"6281255133458")</f>
        <v>6281255133458</v>
      </c>
      <c r="L63" s="22">
        <f>IFERROR(__xludf.DUMMYFUNCTION("""COMPUTED_VALUE"""),0.0)</f>
        <v>0</v>
      </c>
      <c r="M63" s="22">
        <f>IFERROR(__xludf.DUMMYFUNCTION("""COMPUTED_VALUE"""),500000.0)</f>
        <v>500000</v>
      </c>
      <c r="N63" s="22">
        <f>IFERROR(__xludf.DUMMYFUNCTION("""COMPUTED_VALUE"""),0.0)</f>
        <v>0</v>
      </c>
      <c r="O63" s="22">
        <f>IFERROR(__xludf.DUMMYFUNCTION("""COMPUTED_VALUE"""),500000.0)</f>
        <v>500000</v>
      </c>
      <c r="P63" s="28" t="str">
        <f t="shared" si="1"/>
        <v>LUNAS</v>
      </c>
      <c r="Q63" s="28">
        <f t="shared" si="2"/>
        <v>60</v>
      </c>
      <c r="R63" s="28" t="str">
        <f t="shared" si="3"/>
        <v>DINI WAHYU NINGTYAS</v>
      </c>
    </row>
    <row r="64">
      <c r="A64" s="27">
        <f>IFERROR(__xludf.DUMMYFUNCTION("""COMPUTED_VALUE"""),63.0)</f>
        <v>63</v>
      </c>
      <c r="B64" s="28" t="str">
        <f>IFERROR(__xludf.DUMMYFUNCTION("""COMPUTED_VALUE"""),"KHILYATUL MUROQOBAH ASSA`ADAH")</f>
        <v>KHILYATUL MUROQOBAH ASSA`ADAH</v>
      </c>
      <c r="C64" s="28">
        <f>IFERROR(__xludf.DUMMYFUNCTION("""COMPUTED_VALUE"""),2.024070716E9)</f>
        <v>2024070716</v>
      </c>
      <c r="D64" s="27" t="str">
        <f>IFERROR(__xludf.DUMMYFUNCTION("""COMPUTED_VALUE"""),"B")</f>
        <v>B</v>
      </c>
      <c r="E64" s="27" t="str">
        <f>IFERROR(__xludf.DUMMYFUNCTION("""COMPUTED_VALUE"""),"B-4")</f>
        <v>B-4</v>
      </c>
      <c r="F64" s="31">
        <f>IFERROR(__xludf.DUMMYFUNCTION("""COMPUTED_VALUE"""),3.0)</f>
        <v>3</v>
      </c>
      <c r="G64" s="27" t="str">
        <f>IFERROR(__xludf.DUMMYFUNCTION("""COMPUTED_VALUE"""),"3 WUSTHO C PUTRI")</f>
        <v>3 WUSTHO C PUTRI</v>
      </c>
      <c r="H64" s="28" t="str">
        <f>IFERROR(__xludf.DUMMYFUNCTION("""COMPUTED_VALUE"""),"MUROKIB")</f>
        <v>MUROKIB</v>
      </c>
      <c r="I64" s="28" t="str">
        <f>IFERROR(__xludf.DUMMYFUNCTION("""COMPUTED_VALUE"""),"UMMI HHANIK")</f>
        <v>UMMI HHANIK</v>
      </c>
      <c r="J64" s="28" t="str">
        <f>IFERROR(__xludf.DUMMYFUNCTION("""COMPUTED_VALUE"""),"PUCANGRO RT 3 RW 3 KALITENGAH LAMONGAN")</f>
        <v>PUCANGRO RT 3 RW 3 KALITENGAH LAMONGAN</v>
      </c>
      <c r="K64" s="29" t="str">
        <f>IFERROR(__xludf.DUMMYFUNCTION("""COMPUTED_VALUE"""),"6285707694746")</f>
        <v>6285707694746</v>
      </c>
      <c r="L64" s="22">
        <f>IFERROR(__xludf.DUMMYFUNCTION("""COMPUTED_VALUE"""),0.0)</f>
        <v>0</v>
      </c>
      <c r="M64" s="22">
        <f>IFERROR(__xludf.DUMMYFUNCTION("""COMPUTED_VALUE"""),0.0)</f>
        <v>0</v>
      </c>
      <c r="N64" s="22">
        <f>IFERROR(__xludf.DUMMYFUNCTION("""COMPUTED_VALUE"""),0.0)</f>
        <v>0</v>
      </c>
      <c r="O64" s="22">
        <f>IFERROR(__xludf.DUMMYFUNCTION("""COMPUTED_VALUE"""),0.0)</f>
        <v>0</v>
      </c>
      <c r="P64" s="28" t="str">
        <f t="shared" si="1"/>
        <v>LUNAS</v>
      </c>
      <c r="Q64" s="28">
        <f t="shared" si="2"/>
        <v>82</v>
      </c>
      <c r="R64" s="28" t="str">
        <f t="shared" si="3"/>
        <v>KHILYATUL MUROQOBAH ASSA`ADAH</v>
      </c>
    </row>
    <row r="65">
      <c r="A65" s="27">
        <f>IFERROR(__xludf.DUMMYFUNCTION("""COMPUTED_VALUE"""),64.0)</f>
        <v>64</v>
      </c>
      <c r="B65" s="28" t="str">
        <f>IFERROR(__xludf.DUMMYFUNCTION("""COMPUTED_VALUE"""),"PARAMITA ANGGRAINI")</f>
        <v>PARAMITA ANGGRAINI</v>
      </c>
      <c r="C65" s="28">
        <f>IFERROR(__xludf.DUMMYFUNCTION("""COMPUTED_VALUE"""),2.024070698E9)</f>
        <v>2024070698</v>
      </c>
      <c r="D65" s="27" t="str">
        <f>IFERROR(__xludf.DUMMYFUNCTION("""COMPUTED_VALUE"""),"B")</f>
        <v>B</v>
      </c>
      <c r="E65" s="27" t="str">
        <f>IFERROR(__xludf.DUMMYFUNCTION("""COMPUTED_VALUE"""),"B-4")</f>
        <v>B-4</v>
      </c>
      <c r="F65" s="31">
        <f>IFERROR(__xludf.DUMMYFUNCTION("""COMPUTED_VALUE"""),3.0)</f>
        <v>3</v>
      </c>
      <c r="G65" s="27" t="str">
        <f>IFERROR(__xludf.DUMMYFUNCTION("""COMPUTED_VALUE"""),"3 WUSTHO C PUTRI")</f>
        <v>3 WUSTHO C PUTRI</v>
      </c>
      <c r="H65" s="28" t="str">
        <f>IFERROR(__xludf.DUMMYFUNCTION("""COMPUTED_VALUE"""),"SUROSO")</f>
        <v>SUROSO</v>
      </c>
      <c r="I65" s="28" t="str">
        <f>IFERROR(__xludf.DUMMYFUNCTION("""COMPUTED_VALUE"""),"ISMIRA")</f>
        <v>ISMIRA</v>
      </c>
      <c r="J65" s="28" t="str">
        <f>IFERROR(__xludf.DUMMYFUNCTION("""COMPUTED_VALUE"""),"SEREN JATIPANDAK RT 005 RW 003 SAMBENG LAMONGAN")</f>
        <v>SEREN JATIPANDAK RT 005 RW 003 SAMBENG LAMONGAN</v>
      </c>
      <c r="K65" s="29" t="str">
        <f>IFERROR(__xludf.DUMMYFUNCTION("""COMPUTED_VALUE"""),"6285645123489")</f>
        <v>6285645123489</v>
      </c>
      <c r="L65" s="22">
        <f>IFERROR(__xludf.DUMMYFUNCTION("""COMPUTED_VALUE"""),7650000.0)</f>
        <v>7650000</v>
      </c>
      <c r="M65" s="22">
        <f>IFERROR(__xludf.DUMMYFUNCTION("""COMPUTED_VALUE"""),1000000.0)</f>
        <v>1000000</v>
      </c>
      <c r="N65" s="22">
        <f>IFERROR(__xludf.DUMMYFUNCTION("""COMPUTED_VALUE"""),350000.0)</f>
        <v>350000</v>
      </c>
      <c r="O65" s="22">
        <f>IFERROR(__xludf.DUMMYFUNCTION("""COMPUTED_VALUE"""),9000000.0)</f>
        <v>9000000</v>
      </c>
      <c r="P65" s="28" t="str">
        <f t="shared" si="1"/>
        <v>BELUM</v>
      </c>
      <c r="Q65" s="28">
        <f t="shared" si="2"/>
        <v>3</v>
      </c>
      <c r="R65" s="28" t="str">
        <f t="shared" si="3"/>
        <v>PARAMITA ANGGRAINI</v>
      </c>
    </row>
    <row r="66">
      <c r="A66" s="27">
        <f>IFERROR(__xludf.DUMMYFUNCTION("""COMPUTED_VALUE"""),65.0)</f>
        <v>65</v>
      </c>
      <c r="B66" s="28" t="str">
        <f>IFERROR(__xludf.DUMMYFUNCTION("""COMPUTED_VALUE"""),"NAILA MALIHA PUTRI")</f>
        <v>NAILA MALIHA PUTRI</v>
      </c>
      <c r="C66" s="28">
        <f>IFERROR(__xludf.DUMMYFUNCTION("""COMPUTED_VALUE"""),2.024070161E9)</f>
        <v>2024070161</v>
      </c>
      <c r="D66" s="27" t="str">
        <f>IFERROR(__xludf.DUMMYFUNCTION("""COMPUTED_VALUE"""),"B")</f>
        <v>B</v>
      </c>
      <c r="E66" s="27" t="str">
        <f>IFERROR(__xludf.DUMMYFUNCTION("""COMPUTED_VALUE"""),"B-5")</f>
        <v>B-5</v>
      </c>
      <c r="F66" s="31">
        <f>IFERROR(__xludf.DUMMYFUNCTION("""COMPUTED_VALUE"""),3.0)</f>
        <v>3</v>
      </c>
      <c r="G66" s="27" t="str">
        <f>IFERROR(__xludf.DUMMYFUNCTION("""COMPUTED_VALUE"""),"3 WUSTHO C PUTRI")</f>
        <v>3 WUSTHO C PUTRI</v>
      </c>
      <c r="H66" s="28" t="str">
        <f>IFERROR(__xludf.DUMMYFUNCTION("""COMPUTED_VALUE"""),"YADI")</f>
        <v>YADI</v>
      </c>
      <c r="I66" s="28" t="str">
        <f>IFERROR(__xludf.DUMMYFUNCTION("""COMPUTED_VALUE"""),"KHOMSATUN")</f>
        <v>KHOMSATUN</v>
      </c>
      <c r="J66" s="28" t="str">
        <f>IFERROR(__xludf.DUMMYFUNCTION("""COMPUTED_VALUE"""),"TENGGULUN RT 006 RW 003 SOLOKURO LAMONGAN")</f>
        <v>TENGGULUN RT 006 RW 003 SOLOKURO LAMONGAN</v>
      </c>
      <c r="K66" s="29" t="str">
        <f>IFERROR(__xludf.DUMMYFUNCTION("""COMPUTED_VALUE"""),"6285804308769")</f>
        <v>6285804308769</v>
      </c>
      <c r="L66" s="22">
        <f>IFERROR(__xludf.DUMMYFUNCTION("""COMPUTED_VALUE"""),0.0)</f>
        <v>0</v>
      </c>
      <c r="M66" s="22">
        <f>IFERROR(__xludf.DUMMYFUNCTION("""COMPUTED_VALUE"""),500000.0)</f>
        <v>500000</v>
      </c>
      <c r="N66" s="22">
        <f>IFERROR(__xludf.DUMMYFUNCTION("""COMPUTED_VALUE"""),0.0)</f>
        <v>0</v>
      </c>
      <c r="O66" s="22">
        <f>IFERROR(__xludf.DUMMYFUNCTION("""COMPUTED_VALUE"""),500000.0)</f>
        <v>500000</v>
      </c>
      <c r="P66" s="28" t="str">
        <f t="shared" si="1"/>
        <v>LUNAS</v>
      </c>
      <c r="Q66" s="28">
        <f t="shared" si="2"/>
        <v>61</v>
      </c>
      <c r="R66" s="28" t="str">
        <f t="shared" si="3"/>
        <v>NAILA MALIHA PUTRI</v>
      </c>
    </row>
    <row r="67">
      <c r="A67" s="27">
        <f>IFERROR(__xludf.DUMMYFUNCTION("""COMPUTED_VALUE"""),66.0)</f>
        <v>66</v>
      </c>
      <c r="B67" s="28" t="str">
        <f>IFERROR(__xludf.DUMMYFUNCTION("""COMPUTED_VALUE"""),"NOVI ADELIA SALSABILLA")</f>
        <v>NOVI ADELIA SALSABILLA</v>
      </c>
      <c r="C67" s="28">
        <f>IFERROR(__xludf.DUMMYFUNCTION("""COMPUTED_VALUE"""),2.024070082E9)</f>
        <v>2024070082</v>
      </c>
      <c r="D67" s="27" t="str">
        <f>IFERROR(__xludf.DUMMYFUNCTION("""COMPUTED_VALUE"""),"B")</f>
        <v>B</v>
      </c>
      <c r="E67" s="27" t="str">
        <f>IFERROR(__xludf.DUMMYFUNCTION("""COMPUTED_VALUE"""),"B-5")</f>
        <v>B-5</v>
      </c>
      <c r="F67" s="31">
        <f>IFERROR(__xludf.DUMMYFUNCTION("""COMPUTED_VALUE"""),3.0)</f>
        <v>3</v>
      </c>
      <c r="G67" s="27" t="str">
        <f>IFERROR(__xludf.DUMMYFUNCTION("""COMPUTED_VALUE"""),"3 WUSTHO B PUTRI")</f>
        <v>3 WUSTHO B PUTRI</v>
      </c>
      <c r="H67" s="28" t="str">
        <f>IFERROR(__xludf.DUMMYFUNCTION("""COMPUTED_VALUE"""),"SUKIRNO")</f>
        <v>SUKIRNO</v>
      </c>
      <c r="I67" s="28" t="str">
        <f>IFERROR(__xludf.DUMMYFUNCTION("""COMPUTED_VALUE"""),"SUSMIYATIN")</f>
        <v>SUSMIYATIN</v>
      </c>
      <c r="J67" s="28" t="str">
        <f>IFERROR(__xludf.DUMMYFUNCTION("""COMPUTED_VALUE"""),"TENGGULUN RT 007 RW 003 SOLOKURO LAMONGAN")</f>
        <v>TENGGULUN RT 007 RW 003 SOLOKURO LAMONGAN</v>
      </c>
      <c r="K67" s="29" t="str">
        <f>IFERROR(__xludf.DUMMYFUNCTION("""COMPUTED_VALUE"""),"6285706307948")</f>
        <v>6285706307948</v>
      </c>
      <c r="L67" s="22">
        <f>IFERROR(__xludf.DUMMYFUNCTION("""COMPUTED_VALUE"""),0.0)</f>
        <v>0</v>
      </c>
      <c r="M67" s="22">
        <f>IFERROR(__xludf.DUMMYFUNCTION("""COMPUTED_VALUE"""),0.0)</f>
        <v>0</v>
      </c>
      <c r="N67" s="22">
        <f>IFERROR(__xludf.DUMMYFUNCTION("""COMPUTED_VALUE"""),0.0)</f>
        <v>0</v>
      </c>
      <c r="O67" s="22">
        <f>IFERROR(__xludf.DUMMYFUNCTION("""COMPUTED_VALUE"""),0.0)</f>
        <v>0</v>
      </c>
      <c r="P67" s="28" t="str">
        <f t="shared" si="1"/>
        <v>LUNAS</v>
      </c>
      <c r="Q67" s="28">
        <f t="shared" si="2"/>
        <v>83</v>
      </c>
      <c r="R67" s="28" t="str">
        <f t="shared" si="3"/>
        <v>NOVI ADELIA SALSABILLA</v>
      </c>
    </row>
    <row r="68">
      <c r="A68" s="27">
        <f>IFERROR(__xludf.DUMMYFUNCTION("""COMPUTED_VALUE"""),67.0)</f>
        <v>67</v>
      </c>
      <c r="B68" s="28" t="str">
        <f>IFERROR(__xludf.DUMMYFUNCTION("""COMPUTED_VALUE"""),"NUR AILATUN NAKHWA")</f>
        <v>NUR AILATUN NAKHWA</v>
      </c>
      <c r="C68" s="28">
        <f>IFERROR(__xludf.DUMMYFUNCTION("""COMPUTED_VALUE"""),2.024070196E9)</f>
        <v>2024070196</v>
      </c>
      <c r="D68" s="27" t="str">
        <f>IFERROR(__xludf.DUMMYFUNCTION("""COMPUTED_VALUE"""),"B")</f>
        <v>B</v>
      </c>
      <c r="E68" s="27" t="str">
        <f>IFERROR(__xludf.DUMMYFUNCTION("""COMPUTED_VALUE"""),"B-5")</f>
        <v>B-5</v>
      </c>
      <c r="F68" s="31">
        <f>IFERROR(__xludf.DUMMYFUNCTION("""COMPUTED_VALUE"""),3.0)</f>
        <v>3</v>
      </c>
      <c r="G68" s="27" t="str">
        <f>IFERROR(__xludf.DUMMYFUNCTION("""COMPUTED_VALUE"""),"3 WUSTHO B PUTRI")</f>
        <v>3 WUSTHO B PUTRI</v>
      </c>
      <c r="H68" s="28" t="str">
        <f>IFERROR(__xludf.DUMMYFUNCTION("""COMPUTED_VALUE"""),"KARDIMAN")</f>
        <v>KARDIMAN</v>
      </c>
      <c r="I68" s="28" t="str">
        <f>IFERROR(__xludf.DUMMYFUNCTION("""COMPUTED_VALUE"""),"QUROTUL UMMAH")</f>
        <v>QUROTUL UMMAH</v>
      </c>
      <c r="J68" s="28" t="str">
        <f>IFERROR(__xludf.DUMMYFUNCTION("""COMPUTED_VALUE"""),"TENGGULUN RT 007 RW 003 SOLOKURO LAMONGAN")</f>
        <v>TENGGULUN RT 007 RW 003 SOLOKURO LAMONGAN</v>
      </c>
      <c r="K68" s="29" t="str">
        <f>IFERROR(__xludf.DUMMYFUNCTION("""COMPUTED_VALUE"""),"6282338617496")</f>
        <v>6282338617496</v>
      </c>
      <c r="L68" s="22">
        <f>IFERROR(__xludf.DUMMYFUNCTION("""COMPUTED_VALUE"""),0.0)</f>
        <v>0</v>
      </c>
      <c r="M68" s="22">
        <f>IFERROR(__xludf.DUMMYFUNCTION("""COMPUTED_VALUE"""),0.0)</f>
        <v>0</v>
      </c>
      <c r="N68" s="22">
        <f>IFERROR(__xludf.DUMMYFUNCTION("""COMPUTED_VALUE"""),0.0)</f>
        <v>0</v>
      </c>
      <c r="O68" s="22">
        <f>IFERROR(__xludf.DUMMYFUNCTION("""COMPUTED_VALUE"""),0.0)</f>
        <v>0</v>
      </c>
      <c r="P68" s="28" t="str">
        <f t="shared" si="1"/>
        <v>LUNAS</v>
      </c>
      <c r="Q68" s="28">
        <f t="shared" si="2"/>
        <v>84</v>
      </c>
      <c r="R68" s="28" t="str">
        <f t="shared" si="3"/>
        <v>NUR AILATUN NAKHWA</v>
      </c>
    </row>
    <row r="69">
      <c r="A69" s="27">
        <f>IFERROR(__xludf.DUMMYFUNCTION("""COMPUTED_VALUE"""),68.0)</f>
        <v>68</v>
      </c>
      <c r="B69" s="28" t="str">
        <f>IFERROR(__xludf.DUMMYFUNCTION("""COMPUTED_VALUE"""),"PUTRI FARHANA AMALIA")</f>
        <v>PUTRI FARHANA AMALIA</v>
      </c>
      <c r="C69" s="28">
        <f>IFERROR(__xludf.DUMMYFUNCTION("""COMPUTED_VALUE"""),2.024070084E9)</f>
        <v>2024070084</v>
      </c>
      <c r="D69" s="27" t="str">
        <f>IFERROR(__xludf.DUMMYFUNCTION("""COMPUTED_VALUE"""),"B")</f>
        <v>B</v>
      </c>
      <c r="E69" s="27" t="str">
        <f>IFERROR(__xludf.DUMMYFUNCTION("""COMPUTED_VALUE"""),"B-5")</f>
        <v>B-5</v>
      </c>
      <c r="F69" s="31">
        <f>IFERROR(__xludf.DUMMYFUNCTION("""COMPUTED_VALUE"""),3.0)</f>
        <v>3</v>
      </c>
      <c r="G69" s="27" t="str">
        <f>IFERROR(__xludf.DUMMYFUNCTION("""COMPUTED_VALUE"""),"3 WUSTHO B PUTRI")</f>
        <v>3 WUSTHO B PUTRI</v>
      </c>
      <c r="H69" s="28" t="str">
        <f>IFERROR(__xludf.DUMMYFUNCTION("""COMPUTED_VALUE"""),"SYAIFUL AMIN")</f>
        <v>SYAIFUL AMIN</v>
      </c>
      <c r="I69" s="28" t="str">
        <f>IFERROR(__xludf.DUMMYFUNCTION("""COMPUTED_VALUE"""),"SUNDARTI")</f>
        <v>SUNDARTI</v>
      </c>
      <c r="J69" s="28" t="str">
        <f>IFERROR(__xludf.DUMMYFUNCTION("""COMPUTED_VALUE"""),"TENGGULUN RT 003 RW 002 SOLOKURO LAMONGAN")</f>
        <v>TENGGULUN RT 003 RW 002 SOLOKURO LAMONGAN</v>
      </c>
      <c r="K69" s="29" t="str">
        <f>IFERROR(__xludf.DUMMYFUNCTION("""COMPUTED_VALUE"""),"6282245431749")</f>
        <v>6282245431749</v>
      </c>
      <c r="L69" s="22">
        <f>IFERROR(__xludf.DUMMYFUNCTION("""COMPUTED_VALUE"""),0.0)</f>
        <v>0</v>
      </c>
      <c r="M69" s="22">
        <f>IFERROR(__xludf.DUMMYFUNCTION("""COMPUTED_VALUE"""),0.0)</f>
        <v>0</v>
      </c>
      <c r="N69" s="22">
        <f>IFERROR(__xludf.DUMMYFUNCTION("""COMPUTED_VALUE"""),0.0)</f>
        <v>0</v>
      </c>
      <c r="O69" s="22">
        <f>IFERROR(__xludf.DUMMYFUNCTION("""COMPUTED_VALUE"""),0.0)</f>
        <v>0</v>
      </c>
      <c r="P69" s="28" t="str">
        <f t="shared" si="1"/>
        <v>LUNAS</v>
      </c>
      <c r="Q69" s="28">
        <f t="shared" si="2"/>
        <v>85</v>
      </c>
      <c r="R69" s="28" t="str">
        <f t="shared" si="3"/>
        <v>PUTRI FARHANA AMALIA</v>
      </c>
    </row>
    <row r="70">
      <c r="A70" s="27">
        <f>IFERROR(__xludf.DUMMYFUNCTION("""COMPUTED_VALUE"""),69.0)</f>
        <v>69</v>
      </c>
      <c r="B70" s="28" t="str">
        <f>IFERROR(__xludf.DUMMYFUNCTION("""COMPUTED_VALUE"""),"HANI HUMAIROH ANNAFISAH")</f>
        <v>HANI HUMAIROH ANNAFISAH</v>
      </c>
      <c r="C70" s="28">
        <f>IFERROR(__xludf.DUMMYFUNCTION("""COMPUTED_VALUE"""),2.025070118E9)</f>
        <v>2025070118</v>
      </c>
      <c r="D70" s="27" t="str">
        <f>IFERROR(__xludf.DUMMYFUNCTION("""COMPUTED_VALUE"""),"B")</f>
        <v>B</v>
      </c>
      <c r="E70" s="27" t="str">
        <f>IFERROR(__xludf.DUMMYFUNCTION("""COMPUTED_VALUE"""),"B-7")</f>
        <v>B-7</v>
      </c>
      <c r="F70" s="31">
        <f>IFERROR(__xludf.DUMMYFUNCTION("""COMPUTED_VALUE"""),2.0)</f>
        <v>2</v>
      </c>
      <c r="G70" s="27" t="str">
        <f>IFERROR(__xludf.DUMMYFUNCTION("""COMPUTED_VALUE"""),"2 WUSTHO C PUTRI")</f>
        <v>2 WUSTHO C PUTRI</v>
      </c>
      <c r="H70" s="28" t="str">
        <f>IFERROR(__xludf.DUMMYFUNCTION("""COMPUTED_VALUE"""),"M. HARUN ALWI")</f>
        <v>M. HARUN ALWI</v>
      </c>
      <c r="I70" s="28" t="str">
        <f>IFERROR(__xludf.DUMMYFUNCTION("""COMPUTED_VALUE"""),"NIKMATUN HAYATI")</f>
        <v>NIKMATUN HAYATI</v>
      </c>
      <c r="J70" s="28" t="str">
        <f>IFERROR(__xludf.DUMMYFUNCTION("""COMPUTED_VALUE"""),"PLAKARAN SOMOSARI RT 003 RW 002 KALITENGAH LAMONGAN")</f>
        <v>PLAKARAN SOMOSARI RT 003 RW 002 KALITENGAH LAMONGAN</v>
      </c>
      <c r="K70" s="29" t="str">
        <f>IFERROR(__xludf.DUMMYFUNCTION("""COMPUTED_VALUE"""),"6285707627884")</f>
        <v>6285707627884</v>
      </c>
      <c r="L70" s="22">
        <f>IFERROR(__xludf.DUMMYFUNCTION("""COMPUTED_VALUE"""),900000.0)</f>
        <v>900000</v>
      </c>
      <c r="M70" s="22">
        <f>IFERROR(__xludf.DUMMYFUNCTION("""COMPUTED_VALUE"""),0.0)</f>
        <v>0</v>
      </c>
      <c r="N70" s="22">
        <f>IFERROR(__xludf.DUMMYFUNCTION("""COMPUTED_VALUE"""),0.0)</f>
        <v>0</v>
      </c>
      <c r="O70" s="22">
        <f>IFERROR(__xludf.DUMMYFUNCTION("""COMPUTED_VALUE"""),900000.0)</f>
        <v>900000</v>
      </c>
      <c r="P70" s="28" t="str">
        <f t="shared" si="1"/>
        <v>LUNAS</v>
      </c>
      <c r="Q70" s="28">
        <f t="shared" si="2"/>
        <v>52</v>
      </c>
      <c r="R70" s="28" t="str">
        <f t="shared" si="3"/>
        <v>HANI HUMAIROH ANNAFISAH</v>
      </c>
    </row>
    <row r="71">
      <c r="A71" s="27">
        <f>IFERROR(__xludf.DUMMYFUNCTION("""COMPUTED_VALUE"""),70.0)</f>
        <v>70</v>
      </c>
      <c r="B71" s="28" t="str">
        <f>IFERROR(__xludf.DUMMYFUNCTION("""COMPUTED_VALUE"""),"HILYATUL FAIRAH")</f>
        <v>HILYATUL FAIRAH</v>
      </c>
      <c r="C71" s="28">
        <f>IFERROR(__xludf.DUMMYFUNCTION("""COMPUTED_VALUE"""),2.025070119E9)</f>
        <v>2025070119</v>
      </c>
      <c r="D71" s="27" t="str">
        <f>IFERROR(__xludf.DUMMYFUNCTION("""COMPUTED_VALUE"""),"B")</f>
        <v>B</v>
      </c>
      <c r="E71" s="27" t="str">
        <f>IFERROR(__xludf.DUMMYFUNCTION("""COMPUTED_VALUE"""),"B-7")</f>
        <v>B-7</v>
      </c>
      <c r="F71" s="31">
        <f>IFERROR(__xludf.DUMMYFUNCTION("""COMPUTED_VALUE"""),2.0)</f>
        <v>2</v>
      </c>
      <c r="G71" s="27" t="str">
        <f>IFERROR(__xludf.DUMMYFUNCTION("""COMPUTED_VALUE"""),"2 MAK PUTRI")</f>
        <v>2 MAK PUTRI</v>
      </c>
      <c r="H71" s="28" t="str">
        <f>IFERROR(__xludf.DUMMYFUNCTION("""COMPUTED_VALUE"""),"ALFAN")</f>
        <v>ALFAN</v>
      </c>
      <c r="I71" s="28" t="str">
        <f>IFERROR(__xludf.DUMMYFUNCTION("""COMPUTED_VALUE"""),"SUNANIK NUR INAYAH")</f>
        <v>SUNANIK NUR INAYAH</v>
      </c>
      <c r="J71" s="28" t="str">
        <f>IFERROR(__xludf.DUMMYFUNCTION("""COMPUTED_VALUE"""),"MARGOREJO MARGOANYAR RT 001 RW 004 GLAGAH LAMONGAN")</f>
        <v>MARGOREJO MARGOANYAR RT 001 RW 004 GLAGAH LAMONGAN</v>
      </c>
      <c r="K71" s="29" t="str">
        <f>IFERROR(__xludf.DUMMYFUNCTION("""COMPUTED_VALUE"""),"6281515855152")</f>
        <v>6281515855152</v>
      </c>
      <c r="L71" s="22">
        <f>IFERROR(__xludf.DUMMYFUNCTION("""COMPUTED_VALUE"""),4950000.0)</f>
        <v>4950000</v>
      </c>
      <c r="M71" s="22">
        <f>IFERROR(__xludf.DUMMYFUNCTION("""COMPUTED_VALUE"""),1600000.0)</f>
        <v>1600000</v>
      </c>
      <c r="N71" s="22">
        <f>IFERROR(__xludf.DUMMYFUNCTION("""COMPUTED_VALUE"""),0.0)</f>
        <v>0</v>
      </c>
      <c r="O71" s="22">
        <f>IFERROR(__xludf.DUMMYFUNCTION("""COMPUTED_VALUE"""),6550000.0)</f>
        <v>6550000</v>
      </c>
      <c r="P71" s="28" t="str">
        <f t="shared" si="1"/>
        <v>LUNAS</v>
      </c>
      <c r="Q71" s="28">
        <f t="shared" si="2"/>
        <v>5</v>
      </c>
      <c r="R71" s="28" t="str">
        <f t="shared" si="3"/>
        <v>HILYATUL FAIRAH</v>
      </c>
    </row>
    <row r="72">
      <c r="A72" s="27">
        <f>IFERROR(__xludf.DUMMYFUNCTION("""COMPUTED_VALUE"""),71.0)</f>
        <v>71</v>
      </c>
      <c r="B72" s="28" t="str">
        <f>IFERROR(__xludf.DUMMYFUNCTION("""COMPUTED_VALUE"""),"CITRA MULYA SARI")</f>
        <v>CITRA MULYA SARI</v>
      </c>
      <c r="C72" s="28">
        <f>IFERROR(__xludf.DUMMYFUNCTION("""COMPUTED_VALUE"""),2.025070177E9)</f>
        <v>2025070177</v>
      </c>
      <c r="D72" s="27" t="str">
        <f>IFERROR(__xludf.DUMMYFUNCTION("""COMPUTED_VALUE"""),"B")</f>
        <v>B</v>
      </c>
      <c r="E72" s="27" t="str">
        <f>IFERROR(__xludf.DUMMYFUNCTION("""COMPUTED_VALUE"""),"B-7")</f>
        <v>B-7</v>
      </c>
      <c r="F72" s="31">
        <f>IFERROR(__xludf.DUMMYFUNCTION("""COMPUTED_VALUE"""),2.0)</f>
        <v>2</v>
      </c>
      <c r="G72" s="27" t="str">
        <f>IFERROR(__xludf.DUMMYFUNCTION("""COMPUTED_VALUE"""),"2 MAK PUTRI")</f>
        <v>2 MAK PUTRI</v>
      </c>
      <c r="H72" s="28" t="str">
        <f>IFERROR(__xludf.DUMMYFUNCTION("""COMPUTED_VALUE"""),"MULYADI")</f>
        <v>MULYADI</v>
      </c>
      <c r="I72" s="28" t="str">
        <f>IFERROR(__xludf.DUMMYFUNCTION("""COMPUTED_VALUE"""),"SRI WAHYUNINGSIH")</f>
        <v>SRI WAHYUNINGSIH</v>
      </c>
      <c r="J72" s="28" t="str">
        <f>IFERROR(__xludf.DUMMYFUNCTION("""COMPUTED_VALUE"""),"BADU WANAR RT 002 RW 007 PUCUK LAMONGAN")</f>
        <v>BADU WANAR RT 002 RW 007 PUCUK LAMONGAN</v>
      </c>
      <c r="K72" s="29" t="str">
        <f>IFERROR(__xludf.DUMMYFUNCTION("""COMPUTED_VALUE"""),"6289604401834")</f>
        <v>6289604401834</v>
      </c>
      <c r="L72" s="22">
        <f>IFERROR(__xludf.DUMMYFUNCTION("""COMPUTED_VALUE"""),4950000.0)</f>
        <v>4950000</v>
      </c>
      <c r="M72" s="22">
        <f>IFERROR(__xludf.DUMMYFUNCTION("""COMPUTED_VALUE"""),0.0)</f>
        <v>0</v>
      </c>
      <c r="N72" s="22">
        <f>IFERROR(__xludf.DUMMYFUNCTION("""COMPUTED_VALUE"""),0.0)</f>
        <v>0</v>
      </c>
      <c r="O72" s="22">
        <f>IFERROR(__xludf.DUMMYFUNCTION("""COMPUTED_VALUE"""),4950000.0)</f>
        <v>4950000</v>
      </c>
      <c r="P72" s="28" t="str">
        <f t="shared" si="1"/>
        <v>LUNAS</v>
      </c>
      <c r="Q72" s="28">
        <f t="shared" si="2"/>
        <v>7</v>
      </c>
      <c r="R72" s="28" t="str">
        <f t="shared" si="3"/>
        <v>CITRA MULYA SARI</v>
      </c>
    </row>
    <row r="73">
      <c r="A73" s="27">
        <f>IFERROR(__xludf.DUMMYFUNCTION("""COMPUTED_VALUE"""),72.0)</f>
        <v>72</v>
      </c>
      <c r="B73" s="28" t="str">
        <f>IFERROR(__xludf.DUMMYFUNCTION("""COMPUTED_VALUE"""),"DENIS BALQIS IZZA ROHMANI")</f>
        <v>DENIS BALQIS IZZA ROHMANI</v>
      </c>
      <c r="C73" s="28">
        <f>IFERROR(__xludf.DUMMYFUNCTION("""COMPUTED_VALUE"""),2.025070103E9)</f>
        <v>2025070103</v>
      </c>
      <c r="D73" s="27" t="str">
        <f>IFERROR(__xludf.DUMMYFUNCTION("""COMPUTED_VALUE"""),"B")</f>
        <v>B</v>
      </c>
      <c r="E73" s="27" t="str">
        <f>IFERROR(__xludf.DUMMYFUNCTION("""COMPUTED_VALUE"""),"B-7")</f>
        <v>B-7</v>
      </c>
      <c r="F73" s="31">
        <f>IFERROR(__xludf.DUMMYFUNCTION("""COMPUTED_VALUE"""),2.0)</f>
        <v>2</v>
      </c>
      <c r="G73" s="27" t="str">
        <f>IFERROR(__xludf.DUMMYFUNCTION("""COMPUTED_VALUE"""),"2 WUSTHO B PUTRI")</f>
        <v>2 WUSTHO B PUTRI</v>
      </c>
      <c r="H73" s="28" t="str">
        <f>IFERROR(__xludf.DUMMYFUNCTION("""COMPUTED_VALUE"""),"DENI FATHUR ROHMAN")</f>
        <v>DENI FATHUR ROHMAN</v>
      </c>
      <c r="I73" s="28" t="str">
        <f>IFERROR(__xludf.DUMMYFUNCTION("""COMPUTED_VALUE"""),"WAHYUNIS SHILKHA")</f>
        <v>WAHYUNIS SHILKHA</v>
      </c>
      <c r="J73" s="28" t="str">
        <f>IFERROR(__xludf.DUMMYFUNCTION("""COMPUTED_VALUE"""),"KEMUDI RT 001 RW 001 DUDUKSAMPEAYAN GRESIK")</f>
        <v>KEMUDI RT 001 RW 001 DUDUKSAMPEAYAN GRESIK</v>
      </c>
      <c r="K73" s="29" t="str">
        <f>IFERROR(__xludf.DUMMYFUNCTION("""COMPUTED_VALUE"""),"6281235618573")</f>
        <v>6281235618573</v>
      </c>
      <c r="L73" s="22">
        <f>IFERROR(__xludf.DUMMYFUNCTION("""COMPUTED_VALUE"""),0.0)</f>
        <v>0</v>
      </c>
      <c r="M73" s="22">
        <f>IFERROR(__xludf.DUMMYFUNCTION("""COMPUTED_VALUE"""),0.0)</f>
        <v>0</v>
      </c>
      <c r="N73" s="22">
        <f>IFERROR(__xludf.DUMMYFUNCTION("""COMPUTED_VALUE"""),0.0)</f>
        <v>0</v>
      </c>
      <c r="O73" s="22">
        <f>IFERROR(__xludf.DUMMYFUNCTION("""COMPUTED_VALUE"""),0.0)</f>
        <v>0</v>
      </c>
      <c r="P73" s="28" t="str">
        <f t="shared" si="1"/>
        <v>LUNAS</v>
      </c>
      <c r="Q73" s="28">
        <f t="shared" si="2"/>
        <v>86</v>
      </c>
      <c r="R73" s="28" t="str">
        <f t="shared" si="3"/>
        <v>DENIS BALQIS IZZA ROHMANI</v>
      </c>
    </row>
    <row r="74">
      <c r="A74" s="27">
        <f>IFERROR(__xludf.DUMMYFUNCTION("""COMPUTED_VALUE"""),73.0)</f>
        <v>73</v>
      </c>
      <c r="B74" s="28" t="str">
        <f>IFERROR(__xludf.DUMMYFUNCTION("""COMPUTED_VALUE"""),"WINDA FAKHIRAH APRILIA")</f>
        <v>WINDA FAKHIRAH APRILIA</v>
      </c>
      <c r="C74" s="28">
        <f>IFERROR(__xludf.DUMMYFUNCTION("""COMPUTED_VALUE"""),2.025070156E9)</f>
        <v>2025070156</v>
      </c>
      <c r="D74" s="27" t="str">
        <f>IFERROR(__xludf.DUMMYFUNCTION("""COMPUTED_VALUE"""),"B")</f>
        <v>B</v>
      </c>
      <c r="E74" s="27" t="str">
        <f>IFERROR(__xludf.DUMMYFUNCTION("""COMPUTED_VALUE"""),"B-7")</f>
        <v>B-7</v>
      </c>
      <c r="F74" s="31">
        <f>IFERROR(__xludf.DUMMYFUNCTION("""COMPUTED_VALUE"""),2.0)</f>
        <v>2</v>
      </c>
      <c r="G74" s="27" t="str">
        <f>IFERROR(__xludf.DUMMYFUNCTION("""COMPUTED_VALUE"""),"2 WUSTHO B PUTRI")</f>
        <v>2 WUSTHO B PUTRI</v>
      </c>
      <c r="H74" s="28" t="str">
        <f>IFERROR(__xludf.DUMMYFUNCTION("""COMPUTED_VALUE"""),"SLAMET WIDOWO")</f>
        <v>SLAMET WIDOWO</v>
      </c>
      <c r="I74" s="28" t="str">
        <f>IFERROR(__xludf.DUMMYFUNCTION("""COMPUTED_VALUE"""),"HANIATUL LUTFIAH")</f>
        <v>HANIATUL LUTFIAH</v>
      </c>
      <c r="J74" s="28" t="str">
        <f>IFERROR(__xludf.DUMMYFUNCTION("""COMPUTED_VALUE"""),"BANGERAN GENENG RT 001 RW 001 DUKUN GRESIK")</f>
        <v>BANGERAN GENENG RT 001 RW 001 DUKUN GRESIK</v>
      </c>
      <c r="K74" s="29" t="str">
        <f>IFERROR(__xludf.DUMMYFUNCTION("""COMPUTED_VALUE"""),"62895635136011")</f>
        <v>62895635136011</v>
      </c>
      <c r="L74" s="22">
        <f>IFERROR(__xludf.DUMMYFUNCTION("""COMPUTED_VALUE"""),0.0)</f>
        <v>0</v>
      </c>
      <c r="M74" s="22">
        <f>IFERROR(__xludf.DUMMYFUNCTION("""COMPUTED_VALUE"""),0.0)</f>
        <v>0</v>
      </c>
      <c r="N74" s="22">
        <f>IFERROR(__xludf.DUMMYFUNCTION("""COMPUTED_VALUE"""),0.0)</f>
        <v>0</v>
      </c>
      <c r="O74" s="22">
        <f>IFERROR(__xludf.DUMMYFUNCTION("""COMPUTED_VALUE"""),0.0)</f>
        <v>0</v>
      </c>
      <c r="P74" s="28" t="str">
        <f t="shared" si="1"/>
        <v>LUNAS</v>
      </c>
      <c r="Q74" s="28">
        <f t="shared" si="2"/>
        <v>87</v>
      </c>
      <c r="R74" s="28" t="str">
        <f t="shared" si="3"/>
        <v>WINDA FAKHIRAH APRILIA</v>
      </c>
    </row>
    <row r="75">
      <c r="A75" s="27">
        <f>IFERROR(__xludf.DUMMYFUNCTION("""COMPUTED_VALUE"""),74.0)</f>
        <v>74</v>
      </c>
      <c r="B75" s="28" t="str">
        <f>IFERROR(__xludf.DUMMYFUNCTION("""COMPUTED_VALUE"""),"NURUL QHOIYIMATUL ALFIYAH")</f>
        <v>NURUL QHOIYIMATUL ALFIYAH</v>
      </c>
      <c r="C75" s="28">
        <f>IFERROR(__xludf.DUMMYFUNCTION("""COMPUTED_VALUE"""),2.024070436E9)</f>
        <v>2024070436</v>
      </c>
      <c r="D75" s="27" t="str">
        <f>IFERROR(__xludf.DUMMYFUNCTION("""COMPUTED_VALUE"""),"B")</f>
        <v>B</v>
      </c>
      <c r="E75" s="27" t="str">
        <f>IFERROR(__xludf.DUMMYFUNCTION("""COMPUTED_VALUE"""),"B-7")</f>
        <v>B-7</v>
      </c>
      <c r="F75" s="31">
        <f>IFERROR(__xludf.DUMMYFUNCTION("""COMPUTED_VALUE"""),3.0)</f>
        <v>3</v>
      </c>
      <c r="G75" s="27" t="str">
        <f>IFERROR(__xludf.DUMMYFUNCTION("""COMPUTED_VALUE"""),"3 MAK PUTRI")</f>
        <v>3 MAK PUTRI</v>
      </c>
      <c r="H75" s="28" t="str">
        <f>IFERROR(__xludf.DUMMYFUNCTION("""COMPUTED_VALUE"""),"MUKRI HAJI")</f>
        <v>MUKRI HAJI</v>
      </c>
      <c r="I75" s="28" t="str">
        <f>IFERROR(__xludf.DUMMYFUNCTION("""COMPUTED_VALUE"""),"MA`RIFAH")</f>
        <v>MA`RIFAH</v>
      </c>
      <c r="J75" s="28" t="str">
        <f>IFERROR(__xludf.DUMMYFUNCTION("""COMPUTED_VALUE"""),"TENGGULUN RT 008 RW 003 SOLOKURO LAMONGAN")</f>
        <v>TENGGULUN RT 008 RW 003 SOLOKURO LAMONGAN</v>
      </c>
      <c r="K75" s="29" t="str">
        <f>IFERROR(__xludf.DUMMYFUNCTION("""COMPUTED_VALUE"""),"628812496056661")</f>
        <v>628812496056661</v>
      </c>
      <c r="L75" s="22">
        <f>IFERROR(__xludf.DUMMYFUNCTION("""COMPUTED_VALUE"""),450000.0)</f>
        <v>450000</v>
      </c>
      <c r="M75" s="22">
        <f>IFERROR(__xludf.DUMMYFUNCTION("""COMPUTED_VALUE"""),1000000.0)</f>
        <v>1000000</v>
      </c>
      <c r="N75" s="22">
        <f>IFERROR(__xludf.DUMMYFUNCTION("""COMPUTED_VALUE"""),0.0)</f>
        <v>0</v>
      </c>
      <c r="O75" s="22">
        <f>IFERROR(__xludf.DUMMYFUNCTION("""COMPUTED_VALUE"""),1450000.0)</f>
        <v>1450000</v>
      </c>
      <c r="P75" s="28" t="str">
        <f t="shared" si="1"/>
        <v>LUNAS</v>
      </c>
      <c r="Q75" s="28">
        <f t="shared" si="2"/>
        <v>29</v>
      </c>
      <c r="R75" s="28" t="str">
        <f t="shared" si="3"/>
        <v>NURUL QHOIYIMATUL ALFIYAH</v>
      </c>
    </row>
    <row r="76">
      <c r="A76" s="27">
        <f>IFERROR(__xludf.DUMMYFUNCTION("""COMPUTED_VALUE"""),75.0)</f>
        <v>75</v>
      </c>
      <c r="B76" s="28" t="str">
        <f>IFERROR(__xludf.DUMMYFUNCTION("""COMPUTED_VALUE"""),"SHAFA KIRANA KAMALAT AZIZAH")</f>
        <v>SHAFA KIRANA KAMALAT AZIZAH</v>
      </c>
      <c r="C76" s="28">
        <f>IFERROR(__xludf.DUMMYFUNCTION("""COMPUTED_VALUE"""),2.024070438E9)</f>
        <v>2024070438</v>
      </c>
      <c r="D76" s="27" t="str">
        <f>IFERROR(__xludf.DUMMYFUNCTION("""COMPUTED_VALUE"""),"B")</f>
        <v>B</v>
      </c>
      <c r="E76" s="27" t="str">
        <f>IFERROR(__xludf.DUMMYFUNCTION("""COMPUTED_VALUE"""),"B-7")</f>
        <v>B-7</v>
      </c>
      <c r="F76" s="31">
        <f>IFERROR(__xludf.DUMMYFUNCTION("""COMPUTED_VALUE"""),3.0)</f>
        <v>3</v>
      </c>
      <c r="G76" s="27" t="str">
        <f>IFERROR(__xludf.DUMMYFUNCTION("""COMPUTED_VALUE"""),"3 MAK PUTRI")</f>
        <v>3 MAK PUTRI</v>
      </c>
      <c r="H76" s="28" t="str">
        <f>IFERROR(__xludf.DUMMYFUNCTION("""COMPUTED_VALUE"""),"SHAFIK UDIN")</f>
        <v>SHAFIK UDIN</v>
      </c>
      <c r="I76" s="28" t="str">
        <f>IFERROR(__xludf.DUMMYFUNCTION("""COMPUTED_VALUE"""),"KUSNUL AMALIYAH")</f>
        <v>KUSNUL AMALIYAH</v>
      </c>
      <c r="J76" s="28" t="str">
        <f>IFERROR(__xludf.DUMMYFUNCTION("""COMPUTED_VALUE"""),"PUCUK SRIRANDE RT 004 RW 003 DEKET LAMONGAN")</f>
        <v>PUCUK SRIRANDE RT 004 RW 003 DEKET LAMONGAN</v>
      </c>
      <c r="K76" s="29" t="str">
        <f>IFERROR(__xludf.DUMMYFUNCTION("""COMPUTED_VALUE"""),"6285790323117")</f>
        <v>6285790323117</v>
      </c>
      <c r="L76" s="22">
        <f>IFERROR(__xludf.DUMMYFUNCTION("""COMPUTED_VALUE"""),3150000.0)</f>
        <v>3150000</v>
      </c>
      <c r="M76" s="22">
        <f>IFERROR(__xludf.DUMMYFUNCTION("""COMPUTED_VALUE"""),1000000.0)</f>
        <v>1000000</v>
      </c>
      <c r="N76" s="22">
        <f>IFERROR(__xludf.DUMMYFUNCTION("""COMPUTED_VALUE"""),0.0)</f>
        <v>0</v>
      </c>
      <c r="O76" s="22">
        <f>IFERROR(__xludf.DUMMYFUNCTION("""COMPUTED_VALUE"""),4150000.0)</f>
        <v>4150000</v>
      </c>
      <c r="P76" s="28" t="str">
        <f t="shared" si="1"/>
        <v>LUNAS</v>
      </c>
      <c r="Q76" s="28">
        <f t="shared" si="2"/>
        <v>9</v>
      </c>
      <c r="R76" s="28" t="str">
        <f t="shared" si="3"/>
        <v>SHAFA KIRANA KAMALAT AZIZAH</v>
      </c>
    </row>
    <row r="77">
      <c r="A77" s="27">
        <f>IFERROR(__xludf.DUMMYFUNCTION("""COMPUTED_VALUE"""),76.0)</f>
        <v>76</v>
      </c>
      <c r="B77" s="28" t="str">
        <f>IFERROR(__xludf.DUMMYFUNCTION("""COMPUTED_VALUE"""),"SILVY AYU WULANDARI")</f>
        <v>SILVY AYU WULANDARI</v>
      </c>
      <c r="C77" s="28">
        <f>IFERROR(__xludf.DUMMYFUNCTION("""COMPUTED_VALUE"""),2.02407044E9)</f>
        <v>2024070440</v>
      </c>
      <c r="D77" s="27" t="str">
        <f>IFERROR(__xludf.DUMMYFUNCTION("""COMPUTED_VALUE"""),"B")</f>
        <v>B</v>
      </c>
      <c r="E77" s="27" t="str">
        <f>IFERROR(__xludf.DUMMYFUNCTION("""COMPUTED_VALUE"""),"B-7")</f>
        <v>B-7</v>
      </c>
      <c r="F77" s="31">
        <f>IFERROR(__xludf.DUMMYFUNCTION("""COMPUTED_VALUE"""),3.0)</f>
        <v>3</v>
      </c>
      <c r="G77" s="27" t="str">
        <f>IFERROR(__xludf.DUMMYFUNCTION("""COMPUTED_VALUE"""),"3 MAK PUTRI")</f>
        <v>3 MAK PUTRI</v>
      </c>
      <c r="H77" s="28" t="str">
        <f>IFERROR(__xludf.DUMMYFUNCTION("""COMPUTED_VALUE"""),"ADI LAKSONO")</f>
        <v>ADI LAKSONO</v>
      </c>
      <c r="I77" s="28" t="str">
        <f>IFERROR(__xludf.DUMMYFUNCTION("""COMPUTED_VALUE"""),"SITI KOMARIYAH")</f>
        <v>SITI KOMARIYAH</v>
      </c>
      <c r="J77" s="28" t="str">
        <f>IFERROR(__xludf.DUMMYFUNCTION("""COMPUTED_VALUE"""),"DADUNGAN RT 001 RW 004 KALITENGAH LAMONGAN")</f>
        <v>DADUNGAN RT 001 RW 004 KALITENGAH LAMONGAN</v>
      </c>
      <c r="K77" s="29" t="str">
        <f>IFERROR(__xludf.DUMMYFUNCTION("""COMPUTED_VALUE"""),"6281554219741")</f>
        <v>6281554219741</v>
      </c>
      <c r="L77" s="22">
        <f>IFERROR(__xludf.DUMMYFUNCTION("""COMPUTED_VALUE"""),0.0)</f>
        <v>0</v>
      </c>
      <c r="M77" s="22">
        <f>IFERROR(__xludf.DUMMYFUNCTION("""COMPUTED_VALUE"""),500000.0)</f>
        <v>500000</v>
      </c>
      <c r="N77" s="22">
        <f>IFERROR(__xludf.DUMMYFUNCTION("""COMPUTED_VALUE"""),0.0)</f>
        <v>0</v>
      </c>
      <c r="O77" s="22">
        <f>IFERROR(__xludf.DUMMYFUNCTION("""COMPUTED_VALUE"""),500000.0)</f>
        <v>500000</v>
      </c>
      <c r="P77" s="28" t="str">
        <f t="shared" si="1"/>
        <v>LUNAS</v>
      </c>
      <c r="Q77" s="28">
        <f t="shared" si="2"/>
        <v>62</v>
      </c>
      <c r="R77" s="28" t="str">
        <f t="shared" si="3"/>
        <v>SILVY AYU WULANDARI</v>
      </c>
    </row>
    <row r="78">
      <c r="A78" s="27">
        <f>IFERROR(__xludf.DUMMYFUNCTION("""COMPUTED_VALUE"""),77.0)</f>
        <v>77</v>
      </c>
      <c r="B78" s="28" t="str">
        <f>IFERROR(__xludf.DUMMYFUNCTION("""COMPUTED_VALUE"""),"SITI MAGFIROH")</f>
        <v>SITI MAGFIROH</v>
      </c>
      <c r="C78" s="28">
        <f>IFERROR(__xludf.DUMMYFUNCTION("""COMPUTED_VALUE"""),2.024070441E9)</f>
        <v>2024070441</v>
      </c>
      <c r="D78" s="27" t="str">
        <f>IFERROR(__xludf.DUMMYFUNCTION("""COMPUTED_VALUE"""),"B")</f>
        <v>B</v>
      </c>
      <c r="E78" s="27" t="str">
        <f>IFERROR(__xludf.DUMMYFUNCTION("""COMPUTED_VALUE"""),"B-7")</f>
        <v>B-7</v>
      </c>
      <c r="F78" s="31">
        <f>IFERROR(__xludf.DUMMYFUNCTION("""COMPUTED_VALUE"""),3.0)</f>
        <v>3</v>
      </c>
      <c r="G78" s="27" t="str">
        <f>IFERROR(__xludf.DUMMYFUNCTION("""COMPUTED_VALUE"""),"3 MAK PUTRI")</f>
        <v>3 MAK PUTRI</v>
      </c>
      <c r="H78" s="28" t="str">
        <f>IFERROR(__xludf.DUMMYFUNCTION("""COMPUTED_VALUE"""),"SUPARTO")</f>
        <v>SUPARTO</v>
      </c>
      <c r="I78" s="28" t="str">
        <f>IFERROR(__xludf.DUMMYFUNCTION("""COMPUTED_VALUE"""),"SITI MARDLIYAH NOVIA ROHMA")</f>
        <v>SITI MARDLIYAH NOVIA ROHMA</v>
      </c>
      <c r="J78" s="28" t="str">
        <f>IFERROR(__xludf.DUMMYFUNCTION("""COMPUTED_VALUE"""),"TIWET RT 2 RW 2 KALITENGAH LAMONGAN")</f>
        <v>TIWET RT 2 RW 2 KALITENGAH LAMONGAN</v>
      </c>
      <c r="K78" s="29" t="str">
        <f>IFERROR(__xludf.DUMMYFUNCTION("""COMPUTED_VALUE"""),"6285707732016")</f>
        <v>6285707732016</v>
      </c>
      <c r="L78" s="22">
        <f>IFERROR(__xludf.DUMMYFUNCTION("""COMPUTED_VALUE"""),1800000.0)</f>
        <v>1800000</v>
      </c>
      <c r="M78" s="22">
        <f>IFERROR(__xludf.DUMMYFUNCTION("""COMPUTED_VALUE"""),0.0)</f>
        <v>0</v>
      </c>
      <c r="N78" s="22">
        <f>IFERROR(__xludf.DUMMYFUNCTION("""COMPUTED_VALUE"""),350000.0)</f>
        <v>350000</v>
      </c>
      <c r="O78" s="22">
        <f>IFERROR(__xludf.DUMMYFUNCTION("""COMPUTED_VALUE"""),2150000.0)</f>
        <v>2150000</v>
      </c>
      <c r="P78" s="28" t="str">
        <f t="shared" si="1"/>
        <v>BELUM</v>
      </c>
      <c r="Q78" s="28">
        <f t="shared" si="2"/>
        <v>17</v>
      </c>
      <c r="R78" s="28" t="str">
        <f t="shared" si="3"/>
        <v>SITI MAGFIROH</v>
      </c>
    </row>
    <row r="79">
      <c r="A79" s="27">
        <f>IFERROR(__xludf.DUMMYFUNCTION("""COMPUTED_VALUE"""),78.0)</f>
        <v>78</v>
      </c>
      <c r="B79" s="28" t="str">
        <f>IFERROR(__xludf.DUMMYFUNCTION("""COMPUTED_VALUE"""),"ADELIAH PUTRI FEBRIANI")</f>
        <v>ADELIAH PUTRI FEBRIANI</v>
      </c>
      <c r="C79" s="28">
        <f>IFERROR(__xludf.DUMMYFUNCTION("""COMPUTED_VALUE"""),2.024070735E9)</f>
        <v>2024070735</v>
      </c>
      <c r="D79" s="27" t="str">
        <f>IFERROR(__xludf.DUMMYFUNCTION("""COMPUTED_VALUE"""),"B")</f>
        <v>B</v>
      </c>
      <c r="E79" s="27" t="str">
        <f>IFERROR(__xludf.DUMMYFUNCTION("""COMPUTED_VALUE"""),"B-9")</f>
        <v>B-9</v>
      </c>
      <c r="F79" s="31">
        <f>IFERROR(__xludf.DUMMYFUNCTION("""COMPUTED_VALUE"""),3.0)</f>
        <v>3</v>
      </c>
      <c r="G79" s="27" t="str">
        <f>IFERROR(__xludf.DUMMYFUNCTION("""COMPUTED_VALUE"""),"3 ULA C PUTRI")</f>
        <v>3 ULA C PUTRI</v>
      </c>
      <c r="H79" s="28" t="str">
        <f>IFERROR(__xludf.DUMMYFUNCTION("""COMPUTED_VALUE"""),"MASKUN")</f>
        <v>MASKUN</v>
      </c>
      <c r="I79" s="28" t="str">
        <f>IFERROR(__xludf.DUMMYFUNCTION("""COMPUTED_VALUE"""),"NASHOHAH")</f>
        <v>NASHOHAH</v>
      </c>
      <c r="J79" s="28" t="str">
        <f>IFERROR(__xludf.DUMMYFUNCTION("""COMPUTED_VALUE"""),"DORO KARANGWEDORO RT 001 RW 001 TURI LAMONGAN")</f>
        <v>DORO KARANGWEDORO RT 001 RW 001 TURI LAMONGAN</v>
      </c>
      <c r="K79" s="29" t="str">
        <f>IFERROR(__xludf.DUMMYFUNCTION("""COMPUTED_VALUE"""),"6285706603124")</f>
        <v>6285706603124</v>
      </c>
      <c r="L79" s="22">
        <f>IFERROR(__xludf.DUMMYFUNCTION("""COMPUTED_VALUE"""),450000.0)</f>
        <v>450000</v>
      </c>
      <c r="M79" s="22">
        <f>IFERROR(__xludf.DUMMYFUNCTION("""COMPUTED_VALUE"""),500000.0)</f>
        <v>500000</v>
      </c>
      <c r="N79" s="22">
        <f>IFERROR(__xludf.DUMMYFUNCTION("""COMPUTED_VALUE"""),0.0)</f>
        <v>0</v>
      </c>
      <c r="O79" s="22">
        <f>IFERROR(__xludf.DUMMYFUNCTION("""COMPUTED_VALUE"""),950000.0)</f>
        <v>950000</v>
      </c>
      <c r="P79" s="28" t="str">
        <f t="shared" si="1"/>
        <v>LUNAS</v>
      </c>
      <c r="Q79" s="28">
        <f t="shared" si="2"/>
        <v>48</v>
      </c>
      <c r="R79" s="28" t="str">
        <f t="shared" si="3"/>
        <v>ADELIAH PUTRI FEBRIANI</v>
      </c>
    </row>
    <row r="80">
      <c r="A80" s="27">
        <f>IFERROR(__xludf.DUMMYFUNCTION("""COMPUTED_VALUE"""),79.0)</f>
        <v>79</v>
      </c>
      <c r="B80" s="28" t="str">
        <f>IFERROR(__xludf.DUMMYFUNCTION("""COMPUTED_VALUE"""),"ALIFIA SEPTIANI AZ ZAHRA")</f>
        <v>ALIFIA SEPTIANI AZ ZAHRA</v>
      </c>
      <c r="C80" s="28">
        <f>IFERROR(__xludf.DUMMYFUNCTION("""COMPUTED_VALUE"""),2.024090773E9)</f>
        <v>2024090773</v>
      </c>
      <c r="D80" s="27" t="str">
        <f>IFERROR(__xludf.DUMMYFUNCTION("""COMPUTED_VALUE"""),"B")</f>
        <v>B</v>
      </c>
      <c r="E80" s="27" t="str">
        <f>IFERROR(__xludf.DUMMYFUNCTION("""COMPUTED_VALUE"""),"B-9")</f>
        <v>B-9</v>
      </c>
      <c r="F80" s="31">
        <f>IFERROR(__xludf.DUMMYFUNCTION("""COMPUTED_VALUE"""),3.0)</f>
        <v>3</v>
      </c>
      <c r="G80" s="27" t="str">
        <f>IFERROR(__xludf.DUMMYFUNCTION("""COMPUTED_VALUE"""),"3 ULA C PUTRI")</f>
        <v>3 ULA C PUTRI</v>
      </c>
      <c r="H80" s="28" t="str">
        <f>IFERROR(__xludf.DUMMYFUNCTION("""COMPUTED_VALUE"""),"JOKO SUTRISNO")</f>
        <v>JOKO SUTRISNO</v>
      </c>
      <c r="I80" s="28" t="str">
        <f>IFERROR(__xludf.DUMMYFUNCTION("""COMPUTED_VALUE"""),"KHOIRUL FITRI")</f>
        <v>KHOIRUL FITRI</v>
      </c>
      <c r="J80" s="28" t="str">
        <f>IFERROR(__xludf.DUMMYFUNCTION("""COMPUTED_VALUE"""),"DORO KARANGWEDORO RT 006 RW 002 TURI LAMONGAN")</f>
        <v>DORO KARANGWEDORO RT 006 RW 002 TURI LAMONGAN</v>
      </c>
      <c r="K80" s="29" t="str">
        <f>IFERROR(__xludf.DUMMYFUNCTION("""COMPUTED_VALUE"""),"6281556637615")</f>
        <v>6281556637615</v>
      </c>
      <c r="L80" s="22">
        <f>IFERROR(__xludf.DUMMYFUNCTION("""COMPUTED_VALUE"""),900000.0)</f>
        <v>900000</v>
      </c>
      <c r="M80" s="22">
        <f>IFERROR(__xludf.DUMMYFUNCTION("""COMPUTED_VALUE"""),500000.0)</f>
        <v>500000</v>
      </c>
      <c r="N80" s="22">
        <f>IFERROR(__xludf.DUMMYFUNCTION("""COMPUTED_VALUE"""),0.0)</f>
        <v>0</v>
      </c>
      <c r="O80" s="22">
        <f>IFERROR(__xludf.DUMMYFUNCTION("""COMPUTED_VALUE"""),1400000.0)</f>
        <v>1400000</v>
      </c>
      <c r="P80" s="28" t="str">
        <f t="shared" si="1"/>
        <v>LUNAS</v>
      </c>
      <c r="Q80" s="28">
        <f t="shared" si="2"/>
        <v>31</v>
      </c>
      <c r="R80" s="28" t="str">
        <f t="shared" si="3"/>
        <v>ALIFIA SEPTIANI AZ ZAHRA</v>
      </c>
    </row>
    <row r="81">
      <c r="A81" s="27">
        <f>IFERROR(__xludf.DUMMYFUNCTION("""COMPUTED_VALUE"""),80.0)</f>
        <v>80</v>
      </c>
      <c r="B81" s="28" t="str">
        <f>IFERROR(__xludf.DUMMYFUNCTION("""COMPUTED_VALUE"""),"ALYA SHIFA AZZAHRA")</f>
        <v>ALYA SHIFA AZZAHRA</v>
      </c>
      <c r="C81" s="28">
        <f>IFERROR(__xludf.DUMMYFUNCTION("""COMPUTED_VALUE"""),2.024070579E9)</f>
        <v>2024070579</v>
      </c>
      <c r="D81" s="27" t="str">
        <f>IFERROR(__xludf.DUMMYFUNCTION("""COMPUTED_VALUE"""),"B")</f>
        <v>B</v>
      </c>
      <c r="E81" s="27" t="str">
        <f>IFERROR(__xludf.DUMMYFUNCTION("""COMPUTED_VALUE"""),"B-9")</f>
        <v>B-9</v>
      </c>
      <c r="F81" s="31">
        <f>IFERROR(__xludf.DUMMYFUNCTION("""COMPUTED_VALUE"""),3.0)</f>
        <v>3</v>
      </c>
      <c r="G81" s="27" t="str">
        <f>IFERROR(__xludf.DUMMYFUNCTION("""COMPUTED_VALUE"""),"3 ULA B PUTRI")</f>
        <v>3 ULA B PUTRI</v>
      </c>
      <c r="H81" s="28" t="str">
        <f>IFERROR(__xludf.DUMMYFUNCTION("""COMPUTED_VALUE"""),"ARIF ROHMAN")</f>
        <v>ARIF ROHMAN</v>
      </c>
      <c r="I81" s="28" t="str">
        <f>IFERROR(__xludf.DUMMYFUNCTION("""COMPUTED_VALUE"""),"SULASTRI")</f>
        <v>SULASTRI</v>
      </c>
      <c r="J81" s="28" t="str">
        <f>IFERROR(__xludf.DUMMYFUNCTION("""COMPUTED_VALUE"""),"BANJARAN TURI RT 008 RW 002 MADURAN LAMONGAN")</f>
        <v>BANJARAN TURI RT 008 RW 002 MADURAN LAMONGAN</v>
      </c>
      <c r="K81" s="29" t="str">
        <f>IFERROR(__xludf.DUMMYFUNCTION("""COMPUTED_VALUE"""),"6285738896773")</f>
        <v>6285738896773</v>
      </c>
      <c r="L81" s="22">
        <f>IFERROR(__xludf.DUMMYFUNCTION("""COMPUTED_VALUE"""),0.0)</f>
        <v>0</v>
      </c>
      <c r="M81" s="22">
        <f>IFERROR(__xludf.DUMMYFUNCTION("""COMPUTED_VALUE"""),0.0)</f>
        <v>0</v>
      </c>
      <c r="N81" s="22">
        <f>IFERROR(__xludf.DUMMYFUNCTION("""COMPUTED_VALUE"""),0.0)</f>
        <v>0</v>
      </c>
      <c r="O81" s="22">
        <f>IFERROR(__xludf.DUMMYFUNCTION("""COMPUTED_VALUE"""),0.0)</f>
        <v>0</v>
      </c>
      <c r="P81" s="28" t="str">
        <f t="shared" si="1"/>
        <v>LUNAS</v>
      </c>
      <c r="Q81" s="28">
        <f t="shared" si="2"/>
        <v>88</v>
      </c>
      <c r="R81" s="28" t="str">
        <f t="shared" si="3"/>
        <v>ALYA SHIFA AZZAHRA</v>
      </c>
    </row>
    <row r="82">
      <c r="A82" s="27">
        <f>IFERROR(__xludf.DUMMYFUNCTION("""COMPUTED_VALUE"""),81.0)</f>
        <v>81</v>
      </c>
      <c r="B82" s="28" t="str">
        <f>IFERROR(__xludf.DUMMYFUNCTION("""COMPUTED_VALUE"""),"DESTIYA NUR LAILI")</f>
        <v>DESTIYA NUR LAILI</v>
      </c>
      <c r="C82" s="28">
        <f>IFERROR(__xludf.DUMMYFUNCTION("""COMPUTED_VALUE"""),2.024070758E9)</f>
        <v>2024070758</v>
      </c>
      <c r="D82" s="27" t="str">
        <f>IFERROR(__xludf.DUMMYFUNCTION("""COMPUTED_VALUE"""),"B")</f>
        <v>B</v>
      </c>
      <c r="E82" s="27" t="str">
        <f>IFERROR(__xludf.DUMMYFUNCTION("""COMPUTED_VALUE"""),"B-9")</f>
        <v>B-9</v>
      </c>
      <c r="F82" s="31">
        <f>IFERROR(__xludf.DUMMYFUNCTION("""COMPUTED_VALUE"""),3.0)</f>
        <v>3</v>
      </c>
      <c r="G82" s="27" t="str">
        <f>IFERROR(__xludf.DUMMYFUNCTION("""COMPUTED_VALUE"""),"3 ULA B PUTRI")</f>
        <v>3 ULA B PUTRI</v>
      </c>
      <c r="H82" s="28" t="str">
        <f>IFERROR(__xludf.DUMMYFUNCTION("""COMPUTED_VALUE"""),"ARIS SAMSUDIN")</f>
        <v>ARIS SAMSUDIN</v>
      </c>
      <c r="I82" s="28" t="str">
        <f>IFERROR(__xludf.DUMMYFUNCTION("""COMPUTED_VALUE"""),"LUTFI NUR ROHMAWATI")</f>
        <v>LUTFI NUR ROHMAWATI</v>
      </c>
      <c r="J82" s="28" t="str">
        <f>IFERROR(__xludf.DUMMYFUNCTION("""COMPUTED_VALUE"""),"LERAN BARU KEYONGAN RT 003 RW 006 BABAT LAMONGAN")</f>
        <v>LERAN BARU KEYONGAN RT 003 RW 006 BABAT LAMONGAN</v>
      </c>
      <c r="K82" s="29" t="str">
        <f>IFERROR(__xludf.DUMMYFUNCTION("""COMPUTED_VALUE"""),"6285745740702")</f>
        <v>6285745740702</v>
      </c>
      <c r="L82" s="22">
        <f>IFERROR(__xludf.DUMMYFUNCTION("""COMPUTED_VALUE"""),450000.0)</f>
        <v>450000</v>
      </c>
      <c r="M82" s="22">
        <f>IFERROR(__xludf.DUMMYFUNCTION("""COMPUTED_VALUE"""),500000.0)</f>
        <v>500000</v>
      </c>
      <c r="N82" s="22">
        <f>IFERROR(__xludf.DUMMYFUNCTION("""COMPUTED_VALUE"""),0.0)</f>
        <v>0</v>
      </c>
      <c r="O82" s="22">
        <f>IFERROR(__xludf.DUMMYFUNCTION("""COMPUTED_VALUE"""),950000.0)</f>
        <v>950000</v>
      </c>
      <c r="P82" s="28" t="str">
        <f t="shared" si="1"/>
        <v>LUNAS</v>
      </c>
      <c r="Q82" s="28">
        <f t="shared" si="2"/>
        <v>49</v>
      </c>
      <c r="R82" s="28" t="str">
        <f t="shared" si="3"/>
        <v>DESTIYA NUR LAILI</v>
      </c>
    </row>
    <row r="83">
      <c r="A83" s="27">
        <f>IFERROR(__xludf.DUMMYFUNCTION("""COMPUTED_VALUE"""),82.0)</f>
        <v>82</v>
      </c>
      <c r="B83" s="28" t="str">
        <f>IFERROR(__xludf.DUMMYFUNCTION("""COMPUTED_VALUE"""),"FAHDINA ZAHRA RAMADHANI")</f>
        <v>FAHDINA ZAHRA RAMADHANI</v>
      </c>
      <c r="C83" s="28">
        <f>IFERROR(__xludf.DUMMYFUNCTION("""COMPUTED_VALUE"""),2.024070514E9)</f>
        <v>2024070514</v>
      </c>
      <c r="D83" s="27" t="str">
        <f>IFERROR(__xludf.DUMMYFUNCTION("""COMPUTED_VALUE"""),"B")</f>
        <v>B</v>
      </c>
      <c r="E83" s="27" t="str">
        <f>IFERROR(__xludf.DUMMYFUNCTION("""COMPUTED_VALUE"""),"B-9")</f>
        <v>B-9</v>
      </c>
      <c r="F83" s="31">
        <f>IFERROR(__xludf.DUMMYFUNCTION("""COMPUTED_VALUE"""),3.0)</f>
        <v>3</v>
      </c>
      <c r="G83" s="27" t="str">
        <f>IFERROR(__xludf.DUMMYFUNCTION("""COMPUTED_VALUE"""),"3 ULA B PUTRI")</f>
        <v>3 ULA B PUTRI</v>
      </c>
      <c r="H83" s="28" t="str">
        <f>IFERROR(__xludf.DUMMYFUNCTION("""COMPUTED_VALUE"""),"MOH. ANDIK")</f>
        <v>MOH. ANDIK</v>
      </c>
      <c r="I83" s="28" t="str">
        <f>IFERROR(__xludf.DUMMYFUNCTION("""COMPUTED_VALUE"""),"DEFI NUR CHUSAINI")</f>
        <v>DEFI NUR CHUSAINI</v>
      </c>
      <c r="J83" s="28" t="str">
        <f>IFERROR(__xludf.DUMMYFUNCTION("""COMPUTED_VALUE"""),"SIDOMULYO RT 004 RW 003 DEKET LAMONGAN")</f>
        <v>SIDOMULYO RT 004 RW 003 DEKET LAMONGAN</v>
      </c>
      <c r="K83" s="29" t="str">
        <f>IFERROR(__xludf.DUMMYFUNCTION("""COMPUTED_VALUE"""),"6285748441057")</f>
        <v>6285748441057</v>
      </c>
      <c r="L83" s="22">
        <f>IFERROR(__xludf.DUMMYFUNCTION("""COMPUTED_VALUE"""),0.0)</f>
        <v>0</v>
      </c>
      <c r="M83" s="22">
        <f>IFERROR(__xludf.DUMMYFUNCTION("""COMPUTED_VALUE"""),0.0)</f>
        <v>0</v>
      </c>
      <c r="N83" s="22">
        <f>IFERROR(__xludf.DUMMYFUNCTION("""COMPUTED_VALUE"""),0.0)</f>
        <v>0</v>
      </c>
      <c r="O83" s="22">
        <f>IFERROR(__xludf.DUMMYFUNCTION("""COMPUTED_VALUE"""),0.0)</f>
        <v>0</v>
      </c>
      <c r="P83" s="28" t="str">
        <f t="shared" si="1"/>
        <v>LUNAS</v>
      </c>
      <c r="Q83" s="28">
        <f t="shared" si="2"/>
        <v>89</v>
      </c>
      <c r="R83" s="28" t="str">
        <f t="shared" si="3"/>
        <v>FAHDINA ZAHRA RAMADHANI</v>
      </c>
    </row>
    <row r="84">
      <c r="A84" s="27">
        <f>IFERROR(__xludf.DUMMYFUNCTION("""COMPUTED_VALUE"""),83.0)</f>
        <v>83</v>
      </c>
      <c r="B84" s="28" t="str">
        <f>IFERROR(__xludf.DUMMYFUNCTION("""COMPUTED_VALUE"""),"FATIMAH AZ-ZAHRAH")</f>
        <v>FATIMAH AZ-ZAHRAH</v>
      </c>
      <c r="C84" s="28">
        <f>IFERROR(__xludf.DUMMYFUNCTION("""COMPUTED_VALUE"""),2.024070507E9)</f>
        <v>2024070507</v>
      </c>
      <c r="D84" s="27" t="str">
        <f>IFERROR(__xludf.DUMMYFUNCTION("""COMPUTED_VALUE"""),"B")</f>
        <v>B</v>
      </c>
      <c r="E84" s="27" t="str">
        <f>IFERROR(__xludf.DUMMYFUNCTION("""COMPUTED_VALUE"""),"B-9")</f>
        <v>B-9</v>
      </c>
      <c r="F84" s="31">
        <f>IFERROR(__xludf.DUMMYFUNCTION("""COMPUTED_VALUE"""),3.0)</f>
        <v>3</v>
      </c>
      <c r="G84" s="27" t="str">
        <f>IFERROR(__xludf.DUMMYFUNCTION("""COMPUTED_VALUE"""),"3 ULA B PUTRI")</f>
        <v>3 ULA B PUTRI</v>
      </c>
      <c r="H84" s="28" t="str">
        <f>IFERROR(__xludf.DUMMYFUNCTION("""COMPUTED_VALUE"""),"AHMAD ZUHDI")</f>
        <v>AHMAD ZUHDI</v>
      </c>
      <c r="I84" s="28" t="str">
        <f>IFERROR(__xludf.DUMMYFUNCTION("""COMPUTED_VALUE"""),"SITI LUTHFIYAH")</f>
        <v>SITI LUTHFIYAH</v>
      </c>
      <c r="J84" s="28" t="str">
        <f>IFERROR(__xludf.DUMMYFUNCTION("""COMPUTED_VALUE"""),"SONGO SUKOSONGO RT 013 RW 006 KEMBANGBAHU LAMONGAN")</f>
        <v>SONGO SUKOSONGO RT 013 RW 006 KEMBANGBAHU LAMONGAN</v>
      </c>
      <c r="K84" s="29" t="str">
        <f>IFERROR(__xludf.DUMMYFUNCTION("""COMPUTED_VALUE"""),"6285706056735")</f>
        <v>6285706056735</v>
      </c>
      <c r="L84" s="22">
        <f>IFERROR(__xludf.DUMMYFUNCTION("""COMPUTED_VALUE"""),0.0)</f>
        <v>0</v>
      </c>
      <c r="M84" s="22">
        <f>IFERROR(__xludf.DUMMYFUNCTION("""COMPUTED_VALUE"""),500000.0)</f>
        <v>500000</v>
      </c>
      <c r="N84" s="22">
        <f>IFERROR(__xludf.DUMMYFUNCTION("""COMPUTED_VALUE"""),0.0)</f>
        <v>0</v>
      </c>
      <c r="O84" s="22">
        <f>IFERROR(__xludf.DUMMYFUNCTION("""COMPUTED_VALUE"""),500000.0)</f>
        <v>500000</v>
      </c>
      <c r="P84" s="28" t="str">
        <f t="shared" si="1"/>
        <v>LUNAS</v>
      </c>
      <c r="Q84" s="28">
        <f t="shared" si="2"/>
        <v>63</v>
      </c>
      <c r="R84" s="28" t="str">
        <f t="shared" si="3"/>
        <v>FATIMAH AZ-ZAHRAH</v>
      </c>
    </row>
    <row r="85">
      <c r="A85" s="27">
        <f>IFERROR(__xludf.DUMMYFUNCTION("""COMPUTED_VALUE"""),84.0)</f>
        <v>84</v>
      </c>
      <c r="B85" s="28" t="str">
        <f>IFERROR(__xludf.DUMMYFUNCTION("""COMPUTED_VALUE"""),"IMELDA CAHYA ANGGRAENI")</f>
        <v>IMELDA CAHYA ANGGRAENI</v>
      </c>
      <c r="C85" s="28">
        <f>IFERROR(__xludf.DUMMYFUNCTION("""COMPUTED_VALUE"""),2.024070515E9)</f>
        <v>2024070515</v>
      </c>
      <c r="D85" s="27" t="str">
        <f>IFERROR(__xludf.DUMMYFUNCTION("""COMPUTED_VALUE"""),"B")</f>
        <v>B</v>
      </c>
      <c r="E85" s="27" t="str">
        <f>IFERROR(__xludf.DUMMYFUNCTION("""COMPUTED_VALUE"""),"B-9")</f>
        <v>B-9</v>
      </c>
      <c r="F85" s="31">
        <f>IFERROR(__xludf.DUMMYFUNCTION("""COMPUTED_VALUE"""),3.0)</f>
        <v>3</v>
      </c>
      <c r="G85" s="27" t="str">
        <f>IFERROR(__xludf.DUMMYFUNCTION("""COMPUTED_VALUE"""),"3 ULA B PUTRI")</f>
        <v>3 ULA B PUTRI</v>
      </c>
      <c r="H85" s="28" t="str">
        <f>IFERROR(__xludf.DUMMYFUNCTION("""COMPUTED_VALUE"""),"IMAM MUJIANTO")</f>
        <v>IMAM MUJIANTO</v>
      </c>
      <c r="I85" s="28" t="str">
        <f>IFERROR(__xludf.DUMMYFUNCTION("""COMPUTED_VALUE"""),"ELIYAH LUTFIANAH")</f>
        <v>ELIYAH LUTFIANAH</v>
      </c>
      <c r="J85" s="28" t="str">
        <f>IFERROR(__xludf.DUMMYFUNCTION("""COMPUTED_VALUE"""),"MELUKE SIDOMULYO RT 002 RW 003 DEKET LAMONGAN")</f>
        <v>MELUKE SIDOMULYO RT 002 RW 003 DEKET LAMONGAN</v>
      </c>
      <c r="K85" s="29" t="str">
        <f>IFERROR(__xludf.DUMMYFUNCTION("""COMPUTED_VALUE"""),"6285604272784")</f>
        <v>6285604272784</v>
      </c>
      <c r="L85" s="22">
        <f>IFERROR(__xludf.DUMMYFUNCTION("""COMPUTED_VALUE"""),0.0)</f>
        <v>0</v>
      </c>
      <c r="M85" s="22">
        <f>IFERROR(__xludf.DUMMYFUNCTION("""COMPUTED_VALUE"""),0.0)</f>
        <v>0</v>
      </c>
      <c r="N85" s="22">
        <f>IFERROR(__xludf.DUMMYFUNCTION("""COMPUTED_VALUE"""),0.0)</f>
        <v>0</v>
      </c>
      <c r="O85" s="22">
        <f>IFERROR(__xludf.DUMMYFUNCTION("""COMPUTED_VALUE"""),0.0)</f>
        <v>0</v>
      </c>
      <c r="P85" s="28" t="str">
        <f t="shared" si="1"/>
        <v>LUNAS</v>
      </c>
      <c r="Q85" s="28">
        <f t="shared" si="2"/>
        <v>90</v>
      </c>
      <c r="R85" s="28" t="str">
        <f t="shared" si="3"/>
        <v>IMELDA CAHYA ANGGRAENI</v>
      </c>
    </row>
    <row r="86">
      <c r="A86" s="27">
        <f>IFERROR(__xludf.DUMMYFUNCTION("""COMPUTED_VALUE"""),85.0)</f>
        <v>85</v>
      </c>
      <c r="B86" s="28" t="str">
        <f>IFERROR(__xludf.DUMMYFUNCTION("""COMPUTED_VALUE"""),"KHAYLA NOVITA PUTRI")</f>
        <v>KHAYLA NOVITA PUTRI</v>
      </c>
      <c r="C86" s="28">
        <f>IFERROR(__xludf.DUMMYFUNCTION("""COMPUTED_VALUE"""),2.0240705E9)</f>
        <v>2024070500</v>
      </c>
      <c r="D86" s="27" t="str">
        <f>IFERROR(__xludf.DUMMYFUNCTION("""COMPUTED_VALUE"""),"B")</f>
        <v>B</v>
      </c>
      <c r="E86" s="27" t="str">
        <f>IFERROR(__xludf.DUMMYFUNCTION("""COMPUTED_VALUE"""),"B-9")</f>
        <v>B-9</v>
      </c>
      <c r="F86" s="31">
        <f>IFERROR(__xludf.DUMMYFUNCTION("""COMPUTED_VALUE"""),3.0)</f>
        <v>3</v>
      </c>
      <c r="G86" s="27" t="str">
        <f>IFERROR(__xludf.DUMMYFUNCTION("""COMPUTED_VALUE"""),"3 ULA B PUTRI")</f>
        <v>3 ULA B PUTRI</v>
      </c>
      <c r="H86" s="28" t="str">
        <f>IFERROR(__xludf.DUMMYFUNCTION("""COMPUTED_VALUE"""),"SISWANTO")</f>
        <v>SISWANTO</v>
      </c>
      <c r="I86" s="28" t="str">
        <f>IFERROR(__xludf.DUMMYFUNCTION("""COMPUTED_VALUE"""),"DWI KRISTINA")</f>
        <v>DWI KRISTINA</v>
      </c>
      <c r="J86" s="28" t="str">
        <f>IFERROR(__xludf.DUMMYFUNCTION("""COMPUTED_VALUE"""),"BUCUKIDUL MENGANTI RT 004 RW 001 GLAGAH LAMONGAN")</f>
        <v>BUCUKIDUL MENGANTI RT 004 RW 001 GLAGAH LAMONGAN</v>
      </c>
      <c r="K86" s="29" t="str">
        <f>IFERROR(__xludf.DUMMYFUNCTION("""COMPUTED_VALUE"""),"6281259310643")</f>
        <v>6281259310643</v>
      </c>
      <c r="L86" s="22">
        <f>IFERROR(__xludf.DUMMYFUNCTION("""COMPUTED_VALUE"""),900000.0)</f>
        <v>900000</v>
      </c>
      <c r="M86" s="22">
        <f>IFERROR(__xludf.DUMMYFUNCTION("""COMPUTED_VALUE"""),500000.0)</f>
        <v>500000</v>
      </c>
      <c r="N86" s="22">
        <f>IFERROR(__xludf.DUMMYFUNCTION("""COMPUTED_VALUE"""),0.0)</f>
        <v>0</v>
      </c>
      <c r="O86" s="22">
        <f>IFERROR(__xludf.DUMMYFUNCTION("""COMPUTED_VALUE"""),1400000.0)</f>
        <v>1400000</v>
      </c>
      <c r="P86" s="28" t="str">
        <f t="shared" si="1"/>
        <v>LUNAS</v>
      </c>
      <c r="Q86" s="28">
        <f t="shared" si="2"/>
        <v>32</v>
      </c>
      <c r="R86" s="28" t="str">
        <f t="shared" si="3"/>
        <v>KHAYLA NOVITA PUTRI</v>
      </c>
    </row>
    <row r="87">
      <c r="A87" s="27">
        <f>IFERROR(__xludf.DUMMYFUNCTION("""COMPUTED_VALUE"""),86.0)</f>
        <v>86</v>
      </c>
      <c r="B87" s="28" t="str">
        <f>IFERROR(__xludf.DUMMYFUNCTION("""COMPUTED_VALUE"""),"KHUMAIRO FAUZIA")</f>
        <v>KHUMAIRO FAUZIA</v>
      </c>
      <c r="C87" s="28">
        <f>IFERROR(__xludf.DUMMYFUNCTION("""COMPUTED_VALUE"""),2.024070642E9)</f>
        <v>2024070642</v>
      </c>
      <c r="D87" s="27" t="str">
        <f>IFERROR(__xludf.DUMMYFUNCTION("""COMPUTED_VALUE"""),"B")</f>
        <v>B</v>
      </c>
      <c r="E87" s="27" t="str">
        <f>IFERROR(__xludf.DUMMYFUNCTION("""COMPUTED_VALUE"""),"B-9")</f>
        <v>B-9</v>
      </c>
      <c r="F87" s="31">
        <f>IFERROR(__xludf.DUMMYFUNCTION("""COMPUTED_VALUE"""),3.0)</f>
        <v>3</v>
      </c>
      <c r="G87" s="27" t="str">
        <f>IFERROR(__xludf.DUMMYFUNCTION("""COMPUTED_VALUE"""),"3 ULA C PUTRI")</f>
        <v>3 ULA C PUTRI</v>
      </c>
      <c r="H87" s="28" t="str">
        <f>IFERROR(__xludf.DUMMYFUNCTION("""COMPUTED_VALUE"""),"RUDI SANTOSO")</f>
        <v>RUDI SANTOSO</v>
      </c>
      <c r="I87" s="28" t="str">
        <f>IFERROR(__xludf.DUMMYFUNCTION("""COMPUTED_VALUE"""),"SITI MUFARROKHAH")</f>
        <v>SITI MUFARROKHAH</v>
      </c>
      <c r="J87" s="28" t="str">
        <f>IFERROR(__xludf.DUMMYFUNCTION("""COMPUTED_VALUE"""),"KESAMBI RT 002 RW 002 PUCUK LAMONGAN")</f>
        <v>KESAMBI RT 002 RW 002 PUCUK LAMONGAN</v>
      </c>
      <c r="K87" s="29" t="str">
        <f>IFERROR(__xludf.DUMMYFUNCTION("""COMPUTED_VALUE"""),"6281216463303")</f>
        <v>6281216463303</v>
      </c>
      <c r="L87" s="22">
        <f>IFERROR(__xludf.DUMMYFUNCTION("""COMPUTED_VALUE"""),8100000.0)</f>
        <v>8100000</v>
      </c>
      <c r="M87" s="22">
        <f>IFERROR(__xludf.DUMMYFUNCTION("""COMPUTED_VALUE"""),1000000.0)</f>
        <v>1000000</v>
      </c>
      <c r="N87" s="22">
        <f>IFERROR(__xludf.DUMMYFUNCTION("""COMPUTED_VALUE"""),350000.0)</f>
        <v>350000</v>
      </c>
      <c r="O87" s="22">
        <f>IFERROR(__xludf.DUMMYFUNCTION("""COMPUTED_VALUE"""),9450000.0)</f>
        <v>9450000</v>
      </c>
      <c r="P87" s="28" t="str">
        <f t="shared" si="1"/>
        <v>BELUM</v>
      </c>
      <c r="Q87" s="28">
        <f t="shared" si="2"/>
        <v>2</v>
      </c>
      <c r="R87" s="28" t="str">
        <f t="shared" si="3"/>
        <v>KHUMAIRO FAUZIA</v>
      </c>
    </row>
    <row r="88">
      <c r="A88" s="27">
        <f>IFERROR(__xludf.DUMMYFUNCTION("""COMPUTED_VALUE"""),87.0)</f>
        <v>87</v>
      </c>
      <c r="B88" s="28" t="str">
        <f>IFERROR(__xludf.DUMMYFUNCTION("""COMPUTED_VALUE"""),"KURNIA MUFIDATUL FATIHAH")</f>
        <v>KURNIA MUFIDATUL FATIHAH</v>
      </c>
      <c r="C88" s="28">
        <f>IFERROR(__xludf.DUMMYFUNCTION("""COMPUTED_VALUE"""),2.024070641E9)</f>
        <v>2024070641</v>
      </c>
      <c r="D88" s="27" t="str">
        <f>IFERROR(__xludf.DUMMYFUNCTION("""COMPUTED_VALUE"""),"B")</f>
        <v>B</v>
      </c>
      <c r="E88" s="27" t="str">
        <f>IFERROR(__xludf.DUMMYFUNCTION("""COMPUTED_VALUE"""),"B-9")</f>
        <v>B-9</v>
      </c>
      <c r="F88" s="31">
        <f>IFERROR(__xludf.DUMMYFUNCTION("""COMPUTED_VALUE"""),3.0)</f>
        <v>3</v>
      </c>
      <c r="G88" s="27" t="str">
        <f>IFERROR(__xludf.DUMMYFUNCTION("""COMPUTED_VALUE"""),"3 ULA B PUTRI")</f>
        <v>3 ULA B PUTRI</v>
      </c>
      <c r="H88" s="28" t="str">
        <f>IFERROR(__xludf.DUMMYFUNCTION("""COMPUTED_VALUE"""),"FATKHUR ROKHMAN")</f>
        <v>FATKHUR ROKHMAN</v>
      </c>
      <c r="I88" s="28" t="str">
        <f>IFERROR(__xludf.DUMMYFUNCTION("""COMPUTED_VALUE"""),"FARIHATUS SHOLIHAH")</f>
        <v>FARIHATUS SHOLIHAH</v>
      </c>
      <c r="J88" s="28" t="str">
        <f>IFERROR(__xludf.DUMMYFUNCTION("""COMPUTED_VALUE"""),"BOJOASRI RT 005 RW 002 KALITENGAH LAMONGAN")</f>
        <v>BOJOASRI RT 005 RW 002 KALITENGAH LAMONGAN</v>
      </c>
      <c r="K88" s="29" t="str">
        <f>IFERROR(__xludf.DUMMYFUNCTION("""COMPUTED_VALUE"""),"6285748349331")</f>
        <v>6285748349331</v>
      </c>
      <c r="L88" s="22">
        <f>IFERROR(__xludf.DUMMYFUNCTION("""COMPUTED_VALUE"""),450000.0)</f>
        <v>450000</v>
      </c>
      <c r="M88" s="22">
        <f>IFERROR(__xludf.DUMMYFUNCTION("""COMPUTED_VALUE"""),500000.0)</f>
        <v>500000</v>
      </c>
      <c r="N88" s="22">
        <f>IFERROR(__xludf.DUMMYFUNCTION("""COMPUTED_VALUE"""),0.0)</f>
        <v>0</v>
      </c>
      <c r="O88" s="22">
        <f>IFERROR(__xludf.DUMMYFUNCTION("""COMPUTED_VALUE"""),950000.0)</f>
        <v>950000</v>
      </c>
      <c r="P88" s="28" t="str">
        <f t="shared" si="1"/>
        <v>LUNAS</v>
      </c>
      <c r="Q88" s="28">
        <f t="shared" si="2"/>
        <v>50</v>
      </c>
      <c r="R88" s="28" t="str">
        <f t="shared" si="3"/>
        <v>KURNIA MUFIDATUL FATIHAH</v>
      </c>
    </row>
    <row r="89">
      <c r="A89" s="27">
        <f>IFERROR(__xludf.DUMMYFUNCTION("""COMPUTED_VALUE"""),88.0)</f>
        <v>88</v>
      </c>
      <c r="B89" s="28" t="str">
        <f>IFERROR(__xludf.DUMMYFUNCTION("""COMPUTED_VALUE"""),"JESSICA SALSABILA")</f>
        <v>JESSICA SALSABILA</v>
      </c>
      <c r="C89" s="28">
        <f>IFERROR(__xludf.DUMMYFUNCTION("""COMPUTED_VALUE"""),2.024070564E9)</f>
        <v>2024070564</v>
      </c>
      <c r="D89" s="27" t="str">
        <f>IFERROR(__xludf.DUMMYFUNCTION("""COMPUTED_VALUE"""),"B")</f>
        <v>B</v>
      </c>
      <c r="E89" s="27" t="str">
        <f>IFERROR(__xludf.DUMMYFUNCTION("""COMPUTED_VALUE"""),"B-9")</f>
        <v>B-9</v>
      </c>
      <c r="F89" s="31">
        <f>IFERROR(__xludf.DUMMYFUNCTION("""COMPUTED_VALUE"""),3.0)</f>
        <v>3</v>
      </c>
      <c r="G89" s="27" t="str">
        <f>IFERROR(__xludf.DUMMYFUNCTION("""COMPUTED_VALUE"""),"3 ULA A PUTRI")</f>
        <v>3 ULA A PUTRI</v>
      </c>
      <c r="H89" s="28" t="str">
        <f>IFERROR(__xludf.DUMMYFUNCTION("""COMPUTED_VALUE"""),"SUNANDAR")</f>
        <v>SUNANDAR</v>
      </c>
      <c r="I89" s="28" t="str">
        <f>IFERROR(__xludf.DUMMYFUNCTION("""COMPUTED_VALUE"""),"NUR MILA")</f>
        <v>NUR MILA</v>
      </c>
      <c r="J89" s="28" t="str">
        <f>IFERROR(__xludf.DUMMYFUNCTION("""COMPUTED_VALUE"""),"KEDUNG KAMPIL SUKOSONGO RT - RW - KEMBANGBAHU LAMONGAN")</f>
        <v>KEDUNG KAMPIL SUKOSONGO RT - RW - KEMBANGBAHU LAMONGAN</v>
      </c>
      <c r="K89" s="29" t="str">
        <f>IFERROR(__xludf.DUMMYFUNCTION("""COMPUTED_VALUE"""),"628585260032")</f>
        <v>628585260032</v>
      </c>
      <c r="L89" s="22">
        <f>IFERROR(__xludf.DUMMYFUNCTION("""COMPUTED_VALUE"""),900000.0)</f>
        <v>900000</v>
      </c>
      <c r="M89" s="22">
        <f>IFERROR(__xludf.DUMMYFUNCTION("""COMPUTED_VALUE"""),500000.0)</f>
        <v>500000</v>
      </c>
      <c r="N89" s="22">
        <f>IFERROR(__xludf.DUMMYFUNCTION("""COMPUTED_VALUE"""),0.0)</f>
        <v>0</v>
      </c>
      <c r="O89" s="22">
        <f>IFERROR(__xludf.DUMMYFUNCTION("""COMPUTED_VALUE"""),1400000.0)</f>
        <v>1400000</v>
      </c>
      <c r="P89" s="28" t="str">
        <f t="shared" si="1"/>
        <v>LUNAS</v>
      </c>
      <c r="Q89" s="28">
        <f t="shared" si="2"/>
        <v>33</v>
      </c>
      <c r="R89" s="28" t="str">
        <f t="shared" si="3"/>
        <v>JESSICA SALSABILA</v>
      </c>
    </row>
    <row r="90">
      <c r="A90" s="27">
        <f>IFERROR(__xludf.DUMMYFUNCTION("""COMPUTED_VALUE"""),89.0)</f>
        <v>89</v>
      </c>
      <c r="B90" s="28" t="str">
        <f>IFERROR(__xludf.DUMMYFUNCTION("""COMPUTED_VALUE"""),"NUR MA`RIFAH")</f>
        <v>NUR MA`RIFAH</v>
      </c>
      <c r="C90" s="28">
        <f>IFERROR(__xludf.DUMMYFUNCTION("""COMPUTED_VALUE"""),2.024070578E9)</f>
        <v>2024070578</v>
      </c>
      <c r="D90" s="27" t="str">
        <f>IFERROR(__xludf.DUMMYFUNCTION("""COMPUTED_VALUE"""),"B")</f>
        <v>B</v>
      </c>
      <c r="E90" s="27" t="str">
        <f>IFERROR(__xludf.DUMMYFUNCTION("""COMPUTED_VALUE"""),"B-9")</f>
        <v>B-9</v>
      </c>
      <c r="F90" s="31">
        <f>IFERROR(__xludf.DUMMYFUNCTION("""COMPUTED_VALUE"""),3.0)</f>
        <v>3</v>
      </c>
      <c r="G90" s="27" t="str">
        <f>IFERROR(__xludf.DUMMYFUNCTION("""COMPUTED_VALUE"""),"3 ULA B PUTRI")</f>
        <v>3 ULA B PUTRI</v>
      </c>
      <c r="H90" s="28" t="str">
        <f>IFERROR(__xludf.DUMMYFUNCTION("""COMPUTED_VALUE"""),"SUN`AN")</f>
        <v>SUN`AN</v>
      </c>
      <c r="I90" s="28" t="str">
        <f>IFERROR(__xludf.DUMMYFUNCTION("""COMPUTED_VALUE"""),"SUMA`IDAH")</f>
        <v>SUMA`IDAH</v>
      </c>
      <c r="J90" s="28" t="str">
        <f>IFERROR(__xludf.DUMMYFUNCTION("""COMPUTED_VALUE"""),"BANJARAN TURI RT 006 RW 002 MADURAN LAMONGAN")</f>
        <v>BANJARAN TURI RT 006 RW 002 MADURAN LAMONGAN</v>
      </c>
      <c r="K90" s="29" t="str">
        <f>IFERROR(__xludf.DUMMYFUNCTION("""COMPUTED_VALUE"""),"6285730196160")</f>
        <v>6285730196160</v>
      </c>
      <c r="L90" s="22">
        <f>IFERROR(__xludf.DUMMYFUNCTION("""COMPUTED_VALUE"""),0.0)</f>
        <v>0</v>
      </c>
      <c r="M90" s="22">
        <f>IFERROR(__xludf.DUMMYFUNCTION("""COMPUTED_VALUE"""),500000.0)</f>
        <v>500000</v>
      </c>
      <c r="N90" s="22">
        <f>IFERROR(__xludf.DUMMYFUNCTION("""COMPUTED_VALUE"""),0.0)</f>
        <v>0</v>
      </c>
      <c r="O90" s="22">
        <f>IFERROR(__xludf.DUMMYFUNCTION("""COMPUTED_VALUE"""),500000.0)</f>
        <v>500000</v>
      </c>
      <c r="P90" s="28" t="str">
        <f t="shared" si="1"/>
        <v>LUNAS</v>
      </c>
      <c r="Q90" s="28">
        <f t="shared" si="2"/>
        <v>64</v>
      </c>
      <c r="R90" s="28" t="str">
        <f t="shared" si="3"/>
        <v>NUR MA`RIFAH</v>
      </c>
    </row>
    <row r="91">
      <c r="A91" s="27">
        <f>IFERROR(__xludf.DUMMYFUNCTION("""COMPUTED_VALUE"""),90.0)</f>
        <v>90</v>
      </c>
      <c r="B91" s="28" t="str">
        <f>IFERROR(__xludf.DUMMYFUNCTION("""COMPUTED_VALUE"""),"SYABANTA NIHAYATUS SYAQIYYAH")</f>
        <v>SYABANTA NIHAYATUS SYAQIYYAH</v>
      </c>
      <c r="C91" s="28">
        <f>IFERROR(__xludf.DUMMYFUNCTION("""COMPUTED_VALUE"""),2.02407056E9)</f>
        <v>2024070560</v>
      </c>
      <c r="D91" s="27" t="str">
        <f>IFERROR(__xludf.DUMMYFUNCTION("""COMPUTED_VALUE"""),"B")</f>
        <v>B</v>
      </c>
      <c r="E91" s="27" t="str">
        <f>IFERROR(__xludf.DUMMYFUNCTION("""COMPUTED_VALUE"""),"B-9")</f>
        <v>B-9</v>
      </c>
      <c r="F91" s="31">
        <f>IFERROR(__xludf.DUMMYFUNCTION("""COMPUTED_VALUE"""),3.0)</f>
        <v>3</v>
      </c>
      <c r="G91" s="27" t="str">
        <f>IFERROR(__xludf.DUMMYFUNCTION("""COMPUTED_VALUE"""),"3 ULA C PUTRI")</f>
        <v>3 ULA C PUTRI</v>
      </c>
      <c r="H91" s="28" t="str">
        <f>IFERROR(__xludf.DUMMYFUNCTION("""COMPUTED_VALUE"""),"MUHAMMAD MUSLIH")</f>
        <v>MUHAMMAD MUSLIH</v>
      </c>
      <c r="I91" s="28" t="str">
        <f>IFERROR(__xludf.DUMMYFUNCTION("""COMPUTED_VALUE"""),"FADHILATIN NISFAKURIYAH")</f>
        <v>FADHILATIN NISFAKURIYAH</v>
      </c>
      <c r="J91" s="28" t="str">
        <f>IFERROR(__xludf.DUMMYFUNCTION("""COMPUTED_VALUE"""),"BALAI DESA III CUNGKUP RT 004 RW 001 PUCUK LAMONGAN")</f>
        <v>BALAI DESA III CUNGKUP RT 004 RW 001 PUCUK LAMONGAN</v>
      </c>
      <c r="K91" s="29" t="str">
        <f>IFERROR(__xludf.DUMMYFUNCTION("""COMPUTED_VALUE"""),"6285648897421")</f>
        <v>6285648897421</v>
      </c>
      <c r="L91" s="22">
        <f>IFERROR(__xludf.DUMMYFUNCTION("""COMPUTED_VALUE"""),0.0)</f>
        <v>0</v>
      </c>
      <c r="M91" s="22">
        <f>IFERROR(__xludf.DUMMYFUNCTION("""COMPUTED_VALUE"""),500000.0)</f>
        <v>500000</v>
      </c>
      <c r="N91" s="22">
        <f>IFERROR(__xludf.DUMMYFUNCTION("""COMPUTED_VALUE"""),0.0)</f>
        <v>0</v>
      </c>
      <c r="O91" s="22">
        <f>IFERROR(__xludf.DUMMYFUNCTION("""COMPUTED_VALUE"""),500000.0)</f>
        <v>500000</v>
      </c>
      <c r="P91" s="28" t="str">
        <f t="shared" si="1"/>
        <v>LUNAS</v>
      </c>
      <c r="Q91" s="28">
        <f t="shared" si="2"/>
        <v>65</v>
      </c>
      <c r="R91" s="28" t="str">
        <f t="shared" si="3"/>
        <v>SYABANTA NIHAYATUS SYAQIYYAH</v>
      </c>
    </row>
    <row r="92">
      <c r="A92" s="27">
        <f>IFERROR(__xludf.DUMMYFUNCTION("""COMPUTED_VALUE"""),91.0)</f>
        <v>91</v>
      </c>
      <c r="B92" s="28" t="str">
        <f>IFERROR(__xludf.DUMMYFUNCTION("""COMPUTED_VALUE"""),"HANAH RAFIKA AMALIA PUTRI")</f>
        <v>HANAH RAFIKA AMALIA PUTRI</v>
      </c>
      <c r="C92" s="28">
        <f>IFERROR(__xludf.DUMMYFUNCTION("""COMPUTED_VALUE"""),2.025070253E9)</f>
        <v>2025070253</v>
      </c>
      <c r="D92" s="27" t="str">
        <f>IFERROR(__xludf.DUMMYFUNCTION("""COMPUTED_VALUE"""),"B")</f>
        <v>B</v>
      </c>
      <c r="E92" s="27"/>
      <c r="F92" s="31">
        <f>IFERROR(__xludf.DUMMYFUNCTION("""COMPUTED_VALUE"""),2.0)</f>
        <v>2</v>
      </c>
      <c r="G92" s="27" t="str">
        <f>IFERROR(__xludf.DUMMYFUNCTION("""COMPUTED_VALUE"""),"2 WUSTHO D PUTRI")</f>
        <v>2 WUSTHO D PUTRI</v>
      </c>
      <c r="H92" s="28" t="str">
        <f>IFERROR(__xludf.DUMMYFUNCTION("""COMPUTED_VALUE"""),"MUJIONO")</f>
        <v>MUJIONO</v>
      </c>
      <c r="I92" s="28" t="str">
        <f>IFERROR(__xludf.DUMMYFUNCTION("""COMPUTED_VALUE"""),"ROFIQOH")</f>
        <v>ROFIQOH</v>
      </c>
      <c r="J92" s="28" t="str">
        <f>IFERROR(__xludf.DUMMYFUNCTION("""COMPUTED_VALUE"""),"BALONGPANGGANG RT 002 RW 003 BALONGPANGGANG GRESIK")</f>
        <v>BALONGPANGGANG RT 002 RW 003 BALONGPANGGANG GRESIK</v>
      </c>
      <c r="K92" s="29" t="str">
        <f>IFERROR(__xludf.DUMMYFUNCTION("""COMPUTED_VALUE"""),"6282257303445")</f>
        <v>6282257303445</v>
      </c>
      <c r="L92" s="22">
        <f>IFERROR(__xludf.DUMMYFUNCTION("""COMPUTED_VALUE"""),0.0)</f>
        <v>0</v>
      </c>
      <c r="M92" s="22">
        <f>IFERROR(__xludf.DUMMYFUNCTION("""COMPUTED_VALUE"""),1000000.0)</f>
        <v>1000000</v>
      </c>
      <c r="N92" s="22">
        <f>IFERROR(__xludf.DUMMYFUNCTION("""COMPUTED_VALUE"""),0.0)</f>
        <v>0</v>
      </c>
      <c r="O92" s="22">
        <f>IFERROR(__xludf.DUMMYFUNCTION("""COMPUTED_VALUE"""),1000000.0)</f>
        <v>1000000</v>
      </c>
      <c r="P92" s="28" t="str">
        <f t="shared" si="1"/>
        <v>LUNAS</v>
      </c>
      <c r="Q92" s="28">
        <f t="shared" si="2"/>
        <v>47</v>
      </c>
      <c r="R92" s="28" t="str">
        <f t="shared" si="3"/>
        <v>HANAH RAFIKA AMALIA PUTRI</v>
      </c>
    </row>
    <row r="93">
      <c r="A93" s="27">
        <f>IFERROR(__xludf.DUMMYFUNCTION("""COMPUTED_VALUE"""),92.0)</f>
        <v>92</v>
      </c>
      <c r="B93" s="28" t="str">
        <f>IFERROR(__xludf.DUMMYFUNCTION("""COMPUTED_VALUE"""),"DZUN NUHA MAHMUDAH")</f>
        <v>DZUN NUHA MAHMUDAH</v>
      </c>
      <c r="C93" s="28">
        <f>IFERROR(__xludf.DUMMYFUNCTION("""COMPUTED_VALUE"""),2.024070042E9)</f>
        <v>2024070042</v>
      </c>
      <c r="D93" s="27" t="str">
        <f>IFERROR(__xludf.DUMMYFUNCTION("""COMPUTED_VALUE"""),"B")</f>
        <v>B</v>
      </c>
      <c r="E93" s="27"/>
      <c r="F93" s="31">
        <f>IFERROR(__xludf.DUMMYFUNCTION("""COMPUTED_VALUE"""),3.0)</f>
        <v>3</v>
      </c>
      <c r="G93" s="27" t="str">
        <f>IFERROR(__xludf.DUMMYFUNCTION("""COMPUTED_VALUE"""),"3 WUSTHO B PUTRI")</f>
        <v>3 WUSTHO B PUTRI</v>
      </c>
      <c r="H93" s="28" t="str">
        <f>IFERROR(__xludf.DUMMYFUNCTION("""COMPUTED_VALUE"""),"MAHMUDI")</f>
        <v>MAHMUDI</v>
      </c>
      <c r="I93" s="28" t="str">
        <f>IFERROR(__xludf.DUMMYFUNCTION("""COMPUTED_VALUE"""),"SRIATUN")</f>
        <v>SRIATUN</v>
      </c>
      <c r="J93" s="28" t="str">
        <f>IFERROR(__xludf.DUMMYFUNCTION("""COMPUTED_VALUE"""),"MENGAI SUKOREJO RT 2 RW 5 KARANGBINANGUN LAMONGAN")</f>
        <v>MENGAI SUKOREJO RT 2 RW 5 KARANGBINANGUN LAMONGAN</v>
      </c>
      <c r="K93" s="29" t="str">
        <f>IFERROR(__xludf.DUMMYFUNCTION("""COMPUTED_VALUE"""),"6285604191924")</f>
        <v>6285604191924</v>
      </c>
      <c r="L93" s="22">
        <f>IFERROR(__xludf.DUMMYFUNCTION("""COMPUTED_VALUE"""),0.0)</f>
        <v>0</v>
      </c>
      <c r="M93" s="22">
        <f>IFERROR(__xludf.DUMMYFUNCTION("""COMPUTED_VALUE"""),0.0)</f>
        <v>0</v>
      </c>
      <c r="N93" s="22">
        <f>IFERROR(__xludf.DUMMYFUNCTION("""COMPUTED_VALUE"""),0.0)</f>
        <v>0</v>
      </c>
      <c r="O93" s="22">
        <f>IFERROR(__xludf.DUMMYFUNCTION("""COMPUTED_VALUE"""),0.0)</f>
        <v>0</v>
      </c>
      <c r="P93" s="28" t="str">
        <f t="shared" si="1"/>
        <v>LUNAS</v>
      </c>
      <c r="Q93" s="28">
        <f t="shared" si="2"/>
        <v>91</v>
      </c>
      <c r="R93" s="28" t="str">
        <f t="shared" si="3"/>
        <v>DZUN NUHA MAHMUDAH</v>
      </c>
    </row>
    <row r="94">
      <c r="A94" s="27" t="str">
        <f>IFERROR(__xludf.DUMMYFUNCTION("""COMPUTED_VALUE"""),"")</f>
        <v/>
      </c>
      <c r="B94" s="28"/>
      <c r="C94" s="28"/>
      <c r="D94" s="27"/>
      <c r="E94" s="27"/>
      <c r="F94" s="27"/>
      <c r="G94" s="27"/>
      <c r="H94" s="28"/>
      <c r="I94" s="28"/>
      <c r="J94" s="28"/>
      <c r="K94" s="28"/>
      <c r="L94" s="28"/>
      <c r="M94" s="28"/>
      <c r="N94" s="28"/>
      <c r="O94" s="28"/>
      <c r="P94" s="28" t="str">
        <f t="shared" si="1"/>
        <v>LUNAS</v>
      </c>
      <c r="Q94" s="28">
        <f t="shared" si="2"/>
        <v>66</v>
      </c>
      <c r="R94" s="28" t="str">
        <f t="shared" si="3"/>
        <v/>
      </c>
    </row>
    <row r="95">
      <c r="A95" s="27" t="str">
        <f>IFERROR(__xludf.DUMMYFUNCTION("""COMPUTED_VALUE"""),"")</f>
        <v/>
      </c>
      <c r="B95" s="28"/>
      <c r="C95" s="28"/>
      <c r="D95" s="27"/>
      <c r="E95" s="27"/>
      <c r="F95" s="27"/>
      <c r="G95" s="27"/>
      <c r="H95" s="28"/>
      <c r="I95" s="28"/>
      <c r="J95" s="28"/>
      <c r="K95" s="28"/>
      <c r="L95" s="28"/>
      <c r="M95" s="28"/>
      <c r="N95" s="28"/>
      <c r="O95" s="28"/>
      <c r="P95" s="28" t="str">
        <f t="shared" si="1"/>
        <v>LUNAS</v>
      </c>
      <c r="Q95" s="28">
        <f t="shared" si="2"/>
        <v>66</v>
      </c>
      <c r="R95" s="28" t="str">
        <f t="shared" si="3"/>
        <v/>
      </c>
    </row>
    <row r="96">
      <c r="A96" s="27" t="str">
        <f>IFERROR(__xludf.DUMMYFUNCTION("""COMPUTED_VALUE"""),"")</f>
        <v/>
      </c>
      <c r="B96" s="28"/>
      <c r="C96" s="28"/>
      <c r="D96" s="27"/>
      <c r="E96" s="27"/>
      <c r="F96" s="27"/>
      <c r="G96" s="27"/>
      <c r="H96" s="28"/>
      <c r="I96" s="28"/>
      <c r="J96" s="28"/>
      <c r="K96" s="28"/>
      <c r="L96" s="28"/>
      <c r="M96" s="28"/>
      <c r="N96" s="28"/>
      <c r="O96" s="28"/>
      <c r="P96" s="28" t="str">
        <f t="shared" si="1"/>
        <v>LUNAS</v>
      </c>
      <c r="Q96" s="28">
        <f t="shared" si="2"/>
        <v>66</v>
      </c>
      <c r="R96" s="28" t="str">
        <f t="shared" si="3"/>
        <v/>
      </c>
    </row>
    <row r="97">
      <c r="A97" s="27" t="str">
        <f>IFERROR(__xludf.DUMMYFUNCTION("""COMPUTED_VALUE"""),"")</f>
        <v/>
      </c>
      <c r="B97" s="28"/>
      <c r="C97" s="28"/>
      <c r="D97" s="27"/>
      <c r="E97" s="27"/>
      <c r="F97" s="27"/>
      <c r="G97" s="27"/>
      <c r="H97" s="28"/>
      <c r="I97" s="28"/>
      <c r="J97" s="28"/>
      <c r="K97" s="28"/>
      <c r="L97" s="28"/>
      <c r="M97" s="28"/>
      <c r="N97" s="28"/>
      <c r="O97" s="28"/>
      <c r="P97" s="28" t="str">
        <f t="shared" si="1"/>
        <v>LUNAS</v>
      </c>
      <c r="Q97" s="28">
        <f t="shared" si="2"/>
        <v>66</v>
      </c>
      <c r="R97" s="28" t="str">
        <f t="shared" si="3"/>
        <v/>
      </c>
    </row>
    <row r="98">
      <c r="A98" s="27" t="str">
        <f>IFERROR(__xludf.DUMMYFUNCTION("""COMPUTED_VALUE"""),"")</f>
        <v/>
      </c>
      <c r="B98" s="28"/>
      <c r="C98" s="28"/>
      <c r="D98" s="27"/>
      <c r="E98" s="27"/>
      <c r="F98" s="27"/>
      <c r="G98" s="27"/>
      <c r="H98" s="28"/>
      <c r="I98" s="28"/>
      <c r="J98" s="28"/>
      <c r="K98" s="28"/>
      <c r="L98" s="28"/>
      <c r="M98" s="28"/>
      <c r="N98" s="28"/>
      <c r="O98" s="28"/>
      <c r="P98" s="28" t="str">
        <f t="shared" si="1"/>
        <v>LUNAS</v>
      </c>
      <c r="Q98" s="28">
        <f t="shared" si="2"/>
        <v>66</v>
      </c>
      <c r="R98" s="28" t="str">
        <f t="shared" si="3"/>
        <v/>
      </c>
    </row>
    <row r="99">
      <c r="A99" s="27" t="str">
        <f>IFERROR(__xludf.DUMMYFUNCTION("""COMPUTED_VALUE"""),"")</f>
        <v/>
      </c>
      <c r="B99" s="28"/>
      <c r="C99" s="28"/>
      <c r="D99" s="27"/>
      <c r="E99" s="27"/>
      <c r="F99" s="27"/>
      <c r="G99" s="27"/>
      <c r="H99" s="28"/>
      <c r="I99" s="28"/>
      <c r="J99" s="28"/>
      <c r="K99" s="28"/>
      <c r="L99" s="28"/>
      <c r="M99" s="28"/>
      <c r="N99" s="28"/>
      <c r="O99" s="28"/>
      <c r="P99" s="28" t="str">
        <f t="shared" si="1"/>
        <v>LUNAS</v>
      </c>
      <c r="Q99" s="28">
        <f t="shared" si="2"/>
        <v>66</v>
      </c>
      <c r="R99" s="28" t="str">
        <f t="shared" si="3"/>
        <v/>
      </c>
    </row>
    <row r="100">
      <c r="A100" s="27" t="str">
        <f>IFERROR(__xludf.DUMMYFUNCTION("""COMPUTED_VALUE"""),"")</f>
        <v/>
      </c>
      <c r="B100" s="28"/>
      <c r="C100" s="28"/>
      <c r="D100" s="27"/>
      <c r="E100" s="27"/>
      <c r="F100" s="27"/>
      <c r="G100" s="27"/>
      <c r="H100" s="28"/>
      <c r="I100" s="28"/>
      <c r="J100" s="28"/>
      <c r="K100" s="28"/>
      <c r="L100" s="28"/>
      <c r="M100" s="28"/>
      <c r="N100" s="28"/>
      <c r="O100" s="28"/>
      <c r="P100" s="28" t="str">
        <f t="shared" si="1"/>
        <v>LUNAS</v>
      </c>
      <c r="Q100" s="28">
        <f t="shared" si="2"/>
        <v>66</v>
      </c>
      <c r="R100" s="28" t="str">
        <f t="shared" si="3"/>
        <v/>
      </c>
    </row>
    <row r="101">
      <c r="A101" s="27" t="str">
        <f>IFERROR(__xludf.DUMMYFUNCTION("""COMPUTED_VALUE"""),"")</f>
        <v/>
      </c>
      <c r="B101" s="28"/>
      <c r="C101" s="28"/>
      <c r="D101" s="27"/>
      <c r="E101" s="27"/>
      <c r="F101" s="27"/>
      <c r="G101" s="27"/>
      <c r="H101" s="28"/>
      <c r="I101" s="28"/>
      <c r="J101" s="28"/>
      <c r="K101" s="28"/>
      <c r="L101" s="28"/>
      <c r="M101" s="28"/>
      <c r="N101" s="28"/>
      <c r="O101" s="28"/>
      <c r="P101" s="28" t="str">
        <f t="shared" si="1"/>
        <v>LUNAS</v>
      </c>
      <c r="Q101" s="28">
        <f t="shared" si="2"/>
        <v>66</v>
      </c>
      <c r="R101" s="28" t="str">
        <f t="shared" si="3"/>
        <v/>
      </c>
    </row>
    <row r="102">
      <c r="A102" s="27" t="str">
        <f>IFERROR(__xludf.DUMMYFUNCTION("""COMPUTED_VALUE"""),"")</f>
        <v/>
      </c>
      <c r="B102" s="28"/>
      <c r="C102" s="28"/>
      <c r="D102" s="27"/>
      <c r="E102" s="27"/>
      <c r="F102" s="27"/>
      <c r="G102" s="27"/>
      <c r="H102" s="28"/>
      <c r="I102" s="28"/>
      <c r="J102" s="28"/>
      <c r="K102" s="28"/>
      <c r="L102" s="28"/>
      <c r="M102" s="28"/>
      <c r="N102" s="28"/>
      <c r="O102" s="28"/>
      <c r="P102" s="28" t="str">
        <f t="shared" si="1"/>
        <v>LUNAS</v>
      </c>
      <c r="Q102" s="28">
        <f t="shared" si="2"/>
        <v>66</v>
      </c>
      <c r="R102" s="28" t="str">
        <f t="shared" si="3"/>
        <v/>
      </c>
    </row>
    <row r="103">
      <c r="A103" s="27" t="str">
        <f>IFERROR(__xludf.DUMMYFUNCTION("""COMPUTED_VALUE"""),"")</f>
        <v/>
      </c>
      <c r="B103" s="28"/>
      <c r="C103" s="28"/>
      <c r="D103" s="27"/>
      <c r="E103" s="27"/>
      <c r="F103" s="27"/>
      <c r="G103" s="27"/>
      <c r="H103" s="28"/>
      <c r="I103" s="28"/>
      <c r="J103" s="28"/>
      <c r="K103" s="28"/>
      <c r="L103" s="28"/>
      <c r="M103" s="28"/>
      <c r="N103" s="28"/>
      <c r="O103" s="28"/>
      <c r="P103" s="28" t="str">
        <f t="shared" si="1"/>
        <v>LUNAS</v>
      </c>
      <c r="Q103" s="28">
        <f t="shared" si="2"/>
        <v>66</v>
      </c>
      <c r="R103" s="28" t="str">
        <f t="shared" si="3"/>
        <v/>
      </c>
    </row>
    <row r="104">
      <c r="A104" s="27" t="str">
        <f>IFERROR(__xludf.DUMMYFUNCTION("""COMPUTED_VALUE"""),"")</f>
        <v/>
      </c>
      <c r="B104" s="28"/>
      <c r="C104" s="28"/>
      <c r="D104" s="27"/>
      <c r="E104" s="27"/>
      <c r="F104" s="27"/>
      <c r="G104" s="27"/>
      <c r="H104" s="28"/>
      <c r="I104" s="28"/>
      <c r="J104" s="28"/>
      <c r="K104" s="28"/>
      <c r="L104" s="28"/>
      <c r="M104" s="28"/>
      <c r="N104" s="28"/>
      <c r="O104" s="28"/>
      <c r="P104" s="28" t="str">
        <f t="shared" si="1"/>
        <v>LUNAS</v>
      </c>
      <c r="Q104" s="28">
        <f t="shared" si="2"/>
        <v>66</v>
      </c>
      <c r="R104" s="28" t="str">
        <f t="shared" si="3"/>
        <v/>
      </c>
    </row>
    <row r="105">
      <c r="A105" s="27" t="str">
        <f>IFERROR(__xludf.DUMMYFUNCTION("""COMPUTED_VALUE"""),"")</f>
        <v/>
      </c>
      <c r="B105" s="28"/>
      <c r="C105" s="28"/>
      <c r="D105" s="27"/>
      <c r="E105" s="27"/>
      <c r="F105" s="27"/>
      <c r="G105" s="27"/>
      <c r="H105" s="28"/>
      <c r="I105" s="28"/>
      <c r="J105" s="28"/>
      <c r="K105" s="28"/>
      <c r="L105" s="28"/>
      <c r="M105" s="28"/>
      <c r="N105" s="28"/>
      <c r="O105" s="28"/>
      <c r="P105" s="28" t="str">
        <f t="shared" si="1"/>
        <v>LUNAS</v>
      </c>
      <c r="Q105" s="28">
        <f t="shared" si="2"/>
        <v>66</v>
      </c>
      <c r="R105" s="28" t="str">
        <f t="shared" si="3"/>
        <v/>
      </c>
    </row>
    <row r="106">
      <c r="A106" s="27" t="str">
        <f>IFERROR(__xludf.DUMMYFUNCTION("""COMPUTED_VALUE"""),"")</f>
        <v/>
      </c>
      <c r="B106" s="28"/>
      <c r="C106" s="28"/>
      <c r="D106" s="27"/>
      <c r="E106" s="27"/>
      <c r="F106" s="27"/>
      <c r="G106" s="27"/>
      <c r="H106" s="28"/>
      <c r="I106" s="28"/>
      <c r="J106" s="28"/>
      <c r="K106" s="28"/>
      <c r="L106" s="28"/>
      <c r="M106" s="28"/>
      <c r="N106" s="28"/>
      <c r="O106" s="28"/>
      <c r="P106" s="28" t="str">
        <f t="shared" si="1"/>
        <v>LUNAS</v>
      </c>
      <c r="Q106" s="28">
        <f t="shared" si="2"/>
        <v>66</v>
      </c>
      <c r="R106" s="28" t="str">
        <f t="shared" si="3"/>
        <v/>
      </c>
    </row>
    <row r="107">
      <c r="A107" s="27" t="str">
        <f>IFERROR(__xludf.DUMMYFUNCTION("""COMPUTED_VALUE"""),"")</f>
        <v/>
      </c>
      <c r="B107" s="28"/>
      <c r="C107" s="28"/>
      <c r="D107" s="27"/>
      <c r="E107" s="27"/>
      <c r="F107" s="27"/>
      <c r="G107" s="27"/>
      <c r="H107" s="28"/>
      <c r="I107" s="28"/>
      <c r="J107" s="28"/>
      <c r="K107" s="28"/>
      <c r="L107" s="28"/>
      <c r="M107" s="28"/>
      <c r="N107" s="28"/>
      <c r="O107" s="28"/>
      <c r="P107" s="28" t="str">
        <f t="shared" si="1"/>
        <v>LUNAS</v>
      </c>
      <c r="Q107" s="28">
        <f t="shared" si="2"/>
        <v>66</v>
      </c>
      <c r="R107" s="28" t="str">
        <f t="shared" si="3"/>
        <v/>
      </c>
    </row>
    <row r="108">
      <c r="A108" s="27" t="str">
        <f>IFERROR(__xludf.DUMMYFUNCTION("""COMPUTED_VALUE"""),"")</f>
        <v/>
      </c>
      <c r="B108" s="28"/>
      <c r="C108" s="28"/>
      <c r="D108" s="27"/>
      <c r="E108" s="27"/>
      <c r="F108" s="27"/>
      <c r="G108" s="27"/>
      <c r="H108" s="28"/>
      <c r="I108" s="28"/>
      <c r="J108" s="28"/>
      <c r="K108" s="28"/>
      <c r="L108" s="28"/>
      <c r="M108" s="28"/>
      <c r="N108" s="28"/>
      <c r="O108" s="28"/>
      <c r="P108" s="28" t="str">
        <f t="shared" si="1"/>
        <v>LUNAS</v>
      </c>
      <c r="Q108" s="28">
        <f t="shared" si="2"/>
        <v>66</v>
      </c>
      <c r="R108" s="28" t="str">
        <f t="shared" si="3"/>
        <v/>
      </c>
    </row>
    <row r="109">
      <c r="A109" s="27" t="str">
        <f>IFERROR(__xludf.DUMMYFUNCTION("""COMPUTED_VALUE"""),"")</f>
        <v/>
      </c>
      <c r="B109" s="28"/>
      <c r="C109" s="28"/>
      <c r="D109" s="27"/>
      <c r="E109" s="27"/>
      <c r="F109" s="27"/>
      <c r="G109" s="27"/>
      <c r="H109" s="28"/>
      <c r="I109" s="28"/>
      <c r="J109" s="28"/>
      <c r="K109" s="28"/>
      <c r="L109" s="28"/>
      <c r="M109" s="28"/>
      <c r="N109" s="28"/>
      <c r="O109" s="28"/>
      <c r="P109" s="28" t="str">
        <f t="shared" si="1"/>
        <v>LUNAS</v>
      </c>
      <c r="Q109" s="28">
        <f t="shared" si="2"/>
        <v>66</v>
      </c>
      <c r="R109" s="28" t="str">
        <f t="shared" si="3"/>
        <v/>
      </c>
    </row>
    <row r="110">
      <c r="A110" s="27" t="str">
        <f>IFERROR(__xludf.DUMMYFUNCTION("""COMPUTED_VALUE"""),"")</f>
        <v/>
      </c>
      <c r="B110" s="28"/>
      <c r="C110" s="28"/>
      <c r="D110" s="27"/>
      <c r="E110" s="27"/>
      <c r="F110" s="27"/>
      <c r="G110" s="27"/>
      <c r="H110" s="28"/>
      <c r="I110" s="28"/>
      <c r="J110" s="28"/>
      <c r="K110" s="28"/>
      <c r="L110" s="28"/>
      <c r="M110" s="28"/>
      <c r="N110" s="28"/>
      <c r="O110" s="28"/>
      <c r="P110" s="28" t="str">
        <f t="shared" si="1"/>
        <v>LUNAS</v>
      </c>
      <c r="Q110" s="28">
        <f t="shared" si="2"/>
        <v>66</v>
      </c>
      <c r="R110" s="28" t="str">
        <f t="shared" si="3"/>
        <v/>
      </c>
    </row>
    <row r="111">
      <c r="A111" s="27" t="str">
        <f>IFERROR(__xludf.DUMMYFUNCTION("""COMPUTED_VALUE"""),"")</f>
        <v/>
      </c>
      <c r="B111" s="28"/>
      <c r="C111" s="28"/>
      <c r="D111" s="27"/>
      <c r="E111" s="27"/>
      <c r="F111" s="27"/>
      <c r="G111" s="27"/>
      <c r="H111" s="28"/>
      <c r="I111" s="28"/>
      <c r="J111" s="28"/>
      <c r="K111" s="28"/>
      <c r="L111" s="28"/>
      <c r="M111" s="28"/>
      <c r="N111" s="28"/>
      <c r="O111" s="28"/>
      <c r="P111" s="28" t="str">
        <f t="shared" si="1"/>
        <v>LUNAS</v>
      </c>
      <c r="Q111" s="28">
        <f t="shared" si="2"/>
        <v>66</v>
      </c>
      <c r="R111" s="28" t="str">
        <f t="shared" si="3"/>
        <v/>
      </c>
    </row>
    <row r="112">
      <c r="A112" s="27" t="str">
        <f>IFERROR(__xludf.DUMMYFUNCTION("""COMPUTED_VALUE"""),"")</f>
        <v/>
      </c>
      <c r="B112" s="28"/>
      <c r="C112" s="28"/>
      <c r="D112" s="27"/>
      <c r="E112" s="27"/>
      <c r="F112" s="27"/>
      <c r="G112" s="27"/>
      <c r="H112" s="28"/>
      <c r="I112" s="28"/>
      <c r="J112" s="28"/>
      <c r="K112" s="28"/>
      <c r="L112" s="28"/>
      <c r="M112" s="28"/>
      <c r="N112" s="28"/>
      <c r="O112" s="28"/>
      <c r="P112" s="28" t="str">
        <f t="shared" si="1"/>
        <v>LUNAS</v>
      </c>
      <c r="Q112" s="28">
        <f t="shared" si="2"/>
        <v>66</v>
      </c>
      <c r="R112" s="28" t="str">
        <f t="shared" si="3"/>
        <v/>
      </c>
    </row>
    <row r="113">
      <c r="A113" s="27" t="str">
        <f>IFERROR(__xludf.DUMMYFUNCTION("""COMPUTED_VALUE"""),"")</f>
        <v/>
      </c>
      <c r="B113" s="28"/>
      <c r="C113" s="28"/>
      <c r="D113" s="27"/>
      <c r="E113" s="27"/>
      <c r="F113" s="27"/>
      <c r="G113" s="27"/>
      <c r="H113" s="28"/>
      <c r="I113" s="28"/>
      <c r="J113" s="28"/>
      <c r="K113" s="28"/>
      <c r="L113" s="28"/>
      <c r="M113" s="28"/>
      <c r="N113" s="28"/>
      <c r="O113" s="28"/>
      <c r="P113" s="28" t="str">
        <f t="shared" si="1"/>
        <v>LUNAS</v>
      </c>
      <c r="Q113" s="28">
        <f t="shared" si="2"/>
        <v>66</v>
      </c>
      <c r="R113" s="28" t="str">
        <f t="shared" si="3"/>
        <v/>
      </c>
    </row>
    <row r="114">
      <c r="A114" s="27" t="str">
        <f>IFERROR(__xludf.DUMMYFUNCTION("""COMPUTED_VALUE"""),"")</f>
        <v/>
      </c>
      <c r="B114" s="28"/>
      <c r="C114" s="28"/>
      <c r="D114" s="27"/>
      <c r="E114" s="27"/>
      <c r="F114" s="27"/>
      <c r="G114" s="27"/>
      <c r="H114" s="28"/>
      <c r="I114" s="28"/>
      <c r="J114" s="28"/>
      <c r="K114" s="28"/>
      <c r="L114" s="28"/>
      <c r="M114" s="28"/>
      <c r="N114" s="28"/>
      <c r="O114" s="28"/>
      <c r="P114" s="28" t="str">
        <f t="shared" si="1"/>
        <v>LUNAS</v>
      </c>
      <c r="Q114" s="28">
        <f t="shared" si="2"/>
        <v>66</v>
      </c>
      <c r="R114" s="28" t="str">
        <f t="shared" si="3"/>
        <v/>
      </c>
    </row>
    <row r="115">
      <c r="A115" s="27" t="str">
        <f>IFERROR(__xludf.DUMMYFUNCTION("""COMPUTED_VALUE"""),"")</f>
        <v/>
      </c>
      <c r="B115" s="28"/>
      <c r="C115" s="28"/>
      <c r="D115" s="27"/>
      <c r="E115" s="27"/>
      <c r="F115" s="27"/>
      <c r="G115" s="27"/>
      <c r="H115" s="28"/>
      <c r="I115" s="28"/>
      <c r="J115" s="28"/>
      <c r="K115" s="28"/>
      <c r="L115" s="28"/>
      <c r="M115" s="28"/>
      <c r="N115" s="28"/>
      <c r="O115" s="28"/>
      <c r="P115" s="28" t="str">
        <f t="shared" si="1"/>
        <v>LUNAS</v>
      </c>
      <c r="Q115" s="28">
        <f t="shared" si="2"/>
        <v>66</v>
      </c>
      <c r="R115" s="28" t="str">
        <f t="shared" si="3"/>
        <v/>
      </c>
    </row>
    <row r="116">
      <c r="A116" s="27" t="str">
        <f>IFERROR(__xludf.DUMMYFUNCTION("""COMPUTED_VALUE"""),"")</f>
        <v/>
      </c>
      <c r="B116" s="28"/>
      <c r="C116" s="28"/>
      <c r="D116" s="27"/>
      <c r="E116" s="27"/>
      <c r="F116" s="27"/>
      <c r="G116" s="27"/>
      <c r="H116" s="28"/>
      <c r="I116" s="28"/>
      <c r="J116" s="28"/>
      <c r="K116" s="28"/>
      <c r="L116" s="28"/>
      <c r="M116" s="28"/>
      <c r="N116" s="28"/>
      <c r="O116" s="28"/>
      <c r="P116" s="28" t="str">
        <f t="shared" si="1"/>
        <v>LUNAS</v>
      </c>
      <c r="Q116" s="28">
        <f t="shared" si="2"/>
        <v>66</v>
      </c>
      <c r="R116" s="28" t="str">
        <f t="shared" si="3"/>
        <v/>
      </c>
    </row>
    <row r="117">
      <c r="A117" s="27" t="str">
        <f>IFERROR(__xludf.DUMMYFUNCTION("""COMPUTED_VALUE"""),"")</f>
        <v/>
      </c>
      <c r="B117" s="28"/>
      <c r="C117" s="28"/>
      <c r="D117" s="27"/>
      <c r="E117" s="27"/>
      <c r="F117" s="27"/>
      <c r="G117" s="27"/>
      <c r="H117" s="28"/>
      <c r="I117" s="28"/>
      <c r="J117" s="28"/>
      <c r="K117" s="28"/>
      <c r="L117" s="28"/>
      <c r="M117" s="28"/>
      <c r="N117" s="28"/>
      <c r="O117" s="28"/>
      <c r="P117" s="28" t="str">
        <f t="shared" si="1"/>
        <v>LUNAS</v>
      </c>
      <c r="Q117" s="28">
        <f t="shared" si="2"/>
        <v>66</v>
      </c>
      <c r="R117" s="28" t="str">
        <f t="shared" si="3"/>
        <v/>
      </c>
    </row>
    <row r="118">
      <c r="A118" s="27" t="str">
        <f>IFERROR(__xludf.DUMMYFUNCTION("""COMPUTED_VALUE"""),"")</f>
        <v/>
      </c>
      <c r="B118" s="28"/>
      <c r="C118" s="28"/>
      <c r="D118" s="27"/>
      <c r="E118" s="27"/>
      <c r="F118" s="27"/>
      <c r="G118" s="27"/>
      <c r="H118" s="28"/>
      <c r="I118" s="28"/>
      <c r="J118" s="28"/>
      <c r="K118" s="28"/>
      <c r="L118" s="28"/>
      <c r="M118" s="28"/>
      <c r="N118" s="28"/>
      <c r="O118" s="28"/>
      <c r="P118" s="28" t="str">
        <f t="shared" si="1"/>
        <v>LUNAS</v>
      </c>
      <c r="Q118" s="28">
        <f t="shared" si="2"/>
        <v>66</v>
      </c>
      <c r="R118" s="28" t="str">
        <f t="shared" si="3"/>
        <v/>
      </c>
    </row>
    <row r="119">
      <c r="A119" s="27" t="str">
        <f>IFERROR(__xludf.DUMMYFUNCTION("""COMPUTED_VALUE"""),"")</f>
        <v/>
      </c>
      <c r="B119" s="28"/>
      <c r="C119" s="28"/>
      <c r="D119" s="27"/>
      <c r="E119" s="27"/>
      <c r="F119" s="27"/>
      <c r="G119" s="27"/>
      <c r="H119" s="28"/>
      <c r="I119" s="28"/>
      <c r="J119" s="28"/>
      <c r="K119" s="28"/>
      <c r="L119" s="28"/>
      <c r="M119" s="28"/>
      <c r="N119" s="28"/>
      <c r="O119" s="28"/>
      <c r="P119" s="28" t="str">
        <f t="shared" si="1"/>
        <v>LUNAS</v>
      </c>
      <c r="Q119" s="28">
        <f t="shared" si="2"/>
        <v>66</v>
      </c>
      <c r="R119" s="28" t="str">
        <f t="shared" si="3"/>
        <v/>
      </c>
    </row>
    <row r="120">
      <c r="A120" s="27" t="str">
        <f>IFERROR(__xludf.DUMMYFUNCTION("""COMPUTED_VALUE"""),"")</f>
        <v/>
      </c>
      <c r="B120" s="28"/>
      <c r="C120" s="28"/>
      <c r="D120" s="27"/>
      <c r="E120" s="27"/>
      <c r="F120" s="27"/>
      <c r="G120" s="27"/>
      <c r="H120" s="28"/>
      <c r="I120" s="28"/>
      <c r="J120" s="28"/>
      <c r="K120" s="28"/>
      <c r="L120" s="28"/>
      <c r="M120" s="28"/>
      <c r="N120" s="28"/>
      <c r="O120" s="28"/>
      <c r="P120" s="28" t="str">
        <f t="shared" si="1"/>
        <v>LUNAS</v>
      </c>
      <c r="Q120" s="28">
        <f t="shared" si="2"/>
        <v>66</v>
      </c>
      <c r="R120" s="28" t="str">
        <f t="shared" si="3"/>
        <v/>
      </c>
    </row>
    <row r="121">
      <c r="A121" s="27" t="str">
        <f>IFERROR(__xludf.DUMMYFUNCTION("""COMPUTED_VALUE"""),"")</f>
        <v/>
      </c>
      <c r="B121" s="28"/>
      <c r="C121" s="28"/>
      <c r="D121" s="27"/>
      <c r="E121" s="27"/>
      <c r="F121" s="27"/>
      <c r="G121" s="27"/>
      <c r="H121" s="28"/>
      <c r="I121" s="28"/>
      <c r="J121" s="28"/>
      <c r="K121" s="28"/>
      <c r="L121" s="28"/>
      <c r="M121" s="28"/>
      <c r="N121" s="28"/>
      <c r="O121" s="28"/>
      <c r="P121" s="28" t="str">
        <f t="shared" si="1"/>
        <v>LUNAS</v>
      </c>
      <c r="Q121" s="28">
        <f t="shared" si="2"/>
        <v>66</v>
      </c>
      <c r="R121" s="28" t="str">
        <f t="shared" si="3"/>
        <v/>
      </c>
    </row>
    <row r="122">
      <c r="A122" s="27" t="str">
        <f>IFERROR(__xludf.DUMMYFUNCTION("""COMPUTED_VALUE"""),"")</f>
        <v/>
      </c>
      <c r="B122" s="28"/>
      <c r="C122" s="28"/>
      <c r="D122" s="27"/>
      <c r="E122" s="27"/>
      <c r="F122" s="27"/>
      <c r="G122" s="27"/>
      <c r="H122" s="28"/>
      <c r="I122" s="28"/>
      <c r="J122" s="28"/>
      <c r="K122" s="28"/>
      <c r="L122" s="28"/>
      <c r="M122" s="28"/>
      <c r="N122" s="28"/>
      <c r="O122" s="28"/>
      <c r="P122" s="28" t="str">
        <f t="shared" si="1"/>
        <v>LUNAS</v>
      </c>
      <c r="Q122" s="28">
        <f t="shared" si="2"/>
        <v>66</v>
      </c>
      <c r="R122" s="28" t="str">
        <f t="shared" si="3"/>
        <v/>
      </c>
    </row>
    <row r="123">
      <c r="A123" s="27" t="str">
        <f>IFERROR(__xludf.DUMMYFUNCTION("""COMPUTED_VALUE"""),"")</f>
        <v/>
      </c>
      <c r="B123" s="28"/>
      <c r="C123" s="28"/>
      <c r="D123" s="27"/>
      <c r="E123" s="27"/>
      <c r="F123" s="27"/>
      <c r="G123" s="27"/>
      <c r="H123" s="28"/>
      <c r="I123" s="28"/>
      <c r="J123" s="28"/>
      <c r="K123" s="28"/>
      <c r="L123" s="28"/>
      <c r="M123" s="28"/>
      <c r="N123" s="28"/>
      <c r="O123" s="28"/>
      <c r="P123" s="28" t="str">
        <f t="shared" si="1"/>
        <v>LUNAS</v>
      </c>
      <c r="Q123" s="28">
        <f t="shared" si="2"/>
        <v>66</v>
      </c>
      <c r="R123" s="28" t="str">
        <f t="shared" si="3"/>
        <v/>
      </c>
    </row>
    <row r="124">
      <c r="A124" s="27" t="str">
        <f>IFERROR(__xludf.DUMMYFUNCTION("""COMPUTED_VALUE"""),"")</f>
        <v/>
      </c>
      <c r="B124" s="28"/>
      <c r="C124" s="28"/>
      <c r="D124" s="27"/>
      <c r="E124" s="27"/>
      <c r="F124" s="27"/>
      <c r="G124" s="27"/>
      <c r="H124" s="28"/>
      <c r="I124" s="28"/>
      <c r="J124" s="28"/>
      <c r="K124" s="28"/>
      <c r="L124" s="28"/>
      <c r="M124" s="28"/>
      <c r="N124" s="28"/>
      <c r="O124" s="28"/>
      <c r="P124" s="28" t="str">
        <f t="shared" si="1"/>
        <v>LUNAS</v>
      </c>
      <c r="Q124" s="28">
        <f t="shared" si="2"/>
        <v>66</v>
      </c>
      <c r="R124" s="28" t="str">
        <f t="shared" si="3"/>
        <v/>
      </c>
    </row>
    <row r="125">
      <c r="A125" s="27" t="str">
        <f>IFERROR(__xludf.DUMMYFUNCTION("""COMPUTED_VALUE"""),"")</f>
        <v/>
      </c>
      <c r="B125" s="28"/>
      <c r="C125" s="28"/>
      <c r="D125" s="27"/>
      <c r="E125" s="27"/>
      <c r="F125" s="27"/>
      <c r="G125" s="27"/>
      <c r="H125" s="28"/>
      <c r="I125" s="28"/>
      <c r="J125" s="28"/>
      <c r="K125" s="28"/>
      <c r="L125" s="28"/>
      <c r="M125" s="28"/>
      <c r="N125" s="28"/>
      <c r="O125" s="28"/>
      <c r="P125" s="28" t="str">
        <f t="shared" si="1"/>
        <v>LUNAS</v>
      </c>
      <c r="Q125" s="28">
        <f t="shared" si="2"/>
        <v>66</v>
      </c>
      <c r="R125" s="28" t="str">
        <f t="shared" si="3"/>
        <v/>
      </c>
    </row>
    <row r="126">
      <c r="A126" s="27" t="str">
        <f>IFERROR(__xludf.DUMMYFUNCTION("""COMPUTED_VALUE"""),"")</f>
        <v/>
      </c>
      <c r="B126" s="28"/>
      <c r="C126" s="28"/>
      <c r="D126" s="27"/>
      <c r="E126" s="27"/>
      <c r="F126" s="27"/>
      <c r="G126" s="27"/>
      <c r="H126" s="28"/>
      <c r="I126" s="28"/>
      <c r="J126" s="28"/>
      <c r="K126" s="28"/>
      <c r="L126" s="28"/>
      <c r="M126" s="28"/>
      <c r="N126" s="28"/>
      <c r="O126" s="28"/>
      <c r="P126" s="28" t="str">
        <f t="shared" si="1"/>
        <v>LUNAS</v>
      </c>
      <c r="Q126" s="28">
        <f t="shared" si="2"/>
        <v>66</v>
      </c>
      <c r="R126" s="28" t="str">
        <f t="shared" si="3"/>
        <v/>
      </c>
    </row>
    <row r="127">
      <c r="A127" s="27" t="str">
        <f>IFERROR(__xludf.DUMMYFUNCTION("""COMPUTED_VALUE"""),"")</f>
        <v/>
      </c>
      <c r="B127" s="28"/>
      <c r="C127" s="28"/>
      <c r="D127" s="27"/>
      <c r="E127" s="27"/>
      <c r="F127" s="27"/>
      <c r="G127" s="27"/>
      <c r="H127" s="28"/>
      <c r="I127" s="28"/>
      <c r="J127" s="28"/>
      <c r="K127" s="28"/>
      <c r="L127" s="28"/>
      <c r="M127" s="28"/>
      <c r="N127" s="28"/>
      <c r="O127" s="28"/>
      <c r="P127" s="28" t="str">
        <f t="shared" si="1"/>
        <v>LUNAS</v>
      </c>
      <c r="Q127" s="28">
        <f t="shared" si="2"/>
        <v>66</v>
      </c>
      <c r="R127" s="28" t="str">
        <f t="shared" si="3"/>
        <v/>
      </c>
    </row>
    <row r="128">
      <c r="A128" s="27" t="str">
        <f>IFERROR(__xludf.DUMMYFUNCTION("""COMPUTED_VALUE"""),"")</f>
        <v/>
      </c>
      <c r="B128" s="28"/>
      <c r="C128" s="28"/>
      <c r="D128" s="27"/>
      <c r="E128" s="27"/>
      <c r="F128" s="27"/>
      <c r="G128" s="27"/>
      <c r="H128" s="28"/>
      <c r="I128" s="28"/>
      <c r="J128" s="28"/>
      <c r="K128" s="28"/>
      <c r="L128" s="28"/>
      <c r="M128" s="28"/>
      <c r="N128" s="28"/>
      <c r="O128" s="28"/>
      <c r="P128" s="28" t="str">
        <f t="shared" si="1"/>
        <v>LUNAS</v>
      </c>
      <c r="Q128" s="28">
        <f t="shared" si="2"/>
        <v>66</v>
      </c>
      <c r="R128" s="28" t="str">
        <f t="shared" si="3"/>
        <v/>
      </c>
    </row>
    <row r="129">
      <c r="A129" s="27" t="str">
        <f>IFERROR(__xludf.DUMMYFUNCTION("""COMPUTED_VALUE"""),"")</f>
        <v/>
      </c>
      <c r="B129" s="28"/>
      <c r="C129" s="28"/>
      <c r="D129" s="27"/>
      <c r="E129" s="27"/>
      <c r="F129" s="27"/>
      <c r="G129" s="27"/>
      <c r="H129" s="28"/>
      <c r="I129" s="28"/>
      <c r="J129" s="28"/>
      <c r="K129" s="28"/>
      <c r="L129" s="28"/>
      <c r="M129" s="28"/>
      <c r="N129" s="28"/>
      <c r="O129" s="28"/>
      <c r="P129" s="28" t="str">
        <f t="shared" si="1"/>
        <v>LUNAS</v>
      </c>
      <c r="Q129" s="28">
        <f t="shared" si="2"/>
        <v>66</v>
      </c>
      <c r="R129" s="28" t="str">
        <f t="shared" si="3"/>
        <v/>
      </c>
    </row>
    <row r="130">
      <c r="A130" s="27" t="str">
        <f>IFERROR(__xludf.DUMMYFUNCTION("""COMPUTED_VALUE"""),"")</f>
        <v/>
      </c>
      <c r="B130" s="28"/>
      <c r="C130" s="28"/>
      <c r="D130" s="27"/>
      <c r="E130" s="27"/>
      <c r="F130" s="27"/>
      <c r="G130" s="27"/>
      <c r="H130" s="28"/>
      <c r="I130" s="28"/>
      <c r="J130" s="28"/>
      <c r="K130" s="28"/>
      <c r="L130" s="28"/>
      <c r="M130" s="28"/>
      <c r="N130" s="28"/>
      <c r="O130" s="28"/>
      <c r="P130" s="28" t="str">
        <f t="shared" si="1"/>
        <v>LUNAS</v>
      </c>
      <c r="Q130" s="28">
        <f t="shared" si="2"/>
        <v>66</v>
      </c>
      <c r="R130" s="28" t="str">
        <f t="shared" si="3"/>
        <v/>
      </c>
    </row>
    <row r="131">
      <c r="A131" s="27" t="str">
        <f>IFERROR(__xludf.DUMMYFUNCTION("""COMPUTED_VALUE"""),"")</f>
        <v/>
      </c>
      <c r="B131" s="28"/>
      <c r="C131" s="28"/>
      <c r="D131" s="27"/>
      <c r="E131" s="27"/>
      <c r="F131" s="27"/>
      <c r="G131" s="27"/>
      <c r="H131" s="28"/>
      <c r="I131" s="28"/>
      <c r="J131" s="28"/>
      <c r="K131" s="28"/>
      <c r="L131" s="28"/>
      <c r="M131" s="28"/>
      <c r="N131" s="28"/>
      <c r="O131" s="28"/>
      <c r="P131" s="28" t="str">
        <f t="shared" si="1"/>
        <v>LUNAS</v>
      </c>
      <c r="Q131" s="28">
        <f t="shared" si="2"/>
        <v>66</v>
      </c>
      <c r="R131" s="28" t="str">
        <f t="shared" si="3"/>
        <v/>
      </c>
    </row>
    <row r="132">
      <c r="A132" s="27" t="str">
        <f>IFERROR(__xludf.DUMMYFUNCTION("""COMPUTED_VALUE"""),"")</f>
        <v/>
      </c>
      <c r="B132" s="28"/>
      <c r="C132" s="28"/>
      <c r="D132" s="27"/>
      <c r="E132" s="27"/>
      <c r="F132" s="27"/>
      <c r="G132" s="27"/>
      <c r="H132" s="28"/>
      <c r="I132" s="28"/>
      <c r="J132" s="28"/>
      <c r="K132" s="28"/>
      <c r="L132" s="28"/>
      <c r="M132" s="28"/>
      <c r="N132" s="28"/>
      <c r="O132" s="28"/>
      <c r="P132" s="28" t="str">
        <f t="shared" si="1"/>
        <v>LUNAS</v>
      </c>
      <c r="Q132" s="28">
        <f t="shared" si="2"/>
        <v>66</v>
      </c>
      <c r="R132" s="28" t="str">
        <f t="shared" si="3"/>
        <v/>
      </c>
    </row>
    <row r="133">
      <c r="A133" s="27" t="str">
        <f>IFERROR(__xludf.DUMMYFUNCTION("""COMPUTED_VALUE"""),"")</f>
        <v/>
      </c>
      <c r="B133" s="28"/>
      <c r="C133" s="28"/>
      <c r="D133" s="27"/>
      <c r="E133" s="27"/>
      <c r="F133" s="27"/>
      <c r="G133" s="27"/>
      <c r="H133" s="28"/>
      <c r="I133" s="28"/>
      <c r="J133" s="28"/>
      <c r="K133" s="28"/>
      <c r="L133" s="28"/>
      <c r="M133" s="28"/>
      <c r="N133" s="28"/>
      <c r="O133" s="28"/>
      <c r="P133" s="28" t="str">
        <f t="shared" si="1"/>
        <v>LUNAS</v>
      </c>
      <c r="Q133" s="28">
        <f t="shared" si="2"/>
        <v>66</v>
      </c>
      <c r="R133" s="28" t="str">
        <f t="shared" si="3"/>
        <v/>
      </c>
    </row>
    <row r="134">
      <c r="A134" s="27" t="str">
        <f>IFERROR(__xludf.DUMMYFUNCTION("""COMPUTED_VALUE"""),"")</f>
        <v/>
      </c>
      <c r="B134" s="28"/>
      <c r="C134" s="28"/>
      <c r="D134" s="27"/>
      <c r="E134" s="27"/>
      <c r="F134" s="27"/>
      <c r="G134" s="27"/>
      <c r="H134" s="28"/>
      <c r="I134" s="28"/>
      <c r="J134" s="28"/>
      <c r="K134" s="28"/>
      <c r="L134" s="28"/>
      <c r="M134" s="28"/>
      <c r="N134" s="28"/>
      <c r="O134" s="28"/>
      <c r="P134" s="28" t="str">
        <f t="shared" si="1"/>
        <v>LUNAS</v>
      </c>
      <c r="Q134" s="28">
        <f t="shared" si="2"/>
        <v>66</v>
      </c>
      <c r="R134" s="28" t="str">
        <f t="shared" si="3"/>
        <v/>
      </c>
    </row>
    <row r="135">
      <c r="A135" s="27" t="str">
        <f>IFERROR(__xludf.DUMMYFUNCTION("""COMPUTED_VALUE"""),"")</f>
        <v/>
      </c>
      <c r="B135" s="28"/>
      <c r="C135" s="28"/>
      <c r="D135" s="27"/>
      <c r="E135" s="27"/>
      <c r="F135" s="27"/>
      <c r="G135" s="27"/>
      <c r="H135" s="28"/>
      <c r="I135" s="28"/>
      <c r="J135" s="28"/>
      <c r="K135" s="28"/>
      <c r="L135" s="28"/>
      <c r="M135" s="28"/>
      <c r="N135" s="28"/>
      <c r="O135" s="28"/>
      <c r="P135" s="28" t="str">
        <f t="shared" si="1"/>
        <v>LUNAS</v>
      </c>
      <c r="Q135" s="28">
        <f t="shared" si="2"/>
        <v>66</v>
      </c>
      <c r="R135" s="28" t="str">
        <f t="shared" si="3"/>
        <v/>
      </c>
    </row>
    <row r="136">
      <c r="A136" s="27" t="str">
        <f>IFERROR(__xludf.DUMMYFUNCTION("""COMPUTED_VALUE"""),"")</f>
        <v/>
      </c>
      <c r="B136" s="28"/>
      <c r="C136" s="28"/>
      <c r="D136" s="27"/>
      <c r="E136" s="27"/>
      <c r="F136" s="27"/>
      <c r="G136" s="27"/>
      <c r="H136" s="28"/>
      <c r="I136" s="28"/>
      <c r="J136" s="28"/>
      <c r="K136" s="28"/>
      <c r="L136" s="28"/>
      <c r="M136" s="28"/>
      <c r="N136" s="28"/>
      <c r="O136" s="28"/>
      <c r="P136" s="28" t="str">
        <f t="shared" si="1"/>
        <v>LUNAS</v>
      </c>
      <c r="Q136" s="28">
        <f t="shared" si="2"/>
        <v>66</v>
      </c>
      <c r="R136" s="28" t="str">
        <f t="shared" si="3"/>
        <v/>
      </c>
    </row>
    <row r="137">
      <c r="A137" s="27" t="str">
        <f>IFERROR(__xludf.DUMMYFUNCTION("""COMPUTED_VALUE"""),"")</f>
        <v/>
      </c>
      <c r="B137" s="28"/>
      <c r="C137" s="28"/>
      <c r="D137" s="27"/>
      <c r="E137" s="27"/>
      <c r="F137" s="27"/>
      <c r="G137" s="27"/>
      <c r="H137" s="28"/>
      <c r="I137" s="28"/>
      <c r="J137" s="28"/>
      <c r="K137" s="28"/>
      <c r="L137" s="28"/>
      <c r="M137" s="28"/>
      <c r="N137" s="28"/>
      <c r="O137" s="28"/>
      <c r="P137" s="28" t="str">
        <f t="shared" si="1"/>
        <v>LUNAS</v>
      </c>
      <c r="Q137" s="28">
        <f t="shared" si="2"/>
        <v>66</v>
      </c>
      <c r="R137" s="28" t="str">
        <f t="shared" si="3"/>
        <v/>
      </c>
    </row>
    <row r="138">
      <c r="A138" s="27" t="str">
        <f>IFERROR(__xludf.DUMMYFUNCTION("""COMPUTED_VALUE"""),"")</f>
        <v/>
      </c>
      <c r="B138" s="28"/>
      <c r="C138" s="28"/>
      <c r="D138" s="27"/>
      <c r="E138" s="27"/>
      <c r="F138" s="27"/>
      <c r="G138" s="27"/>
      <c r="H138" s="28"/>
      <c r="I138" s="28"/>
      <c r="J138" s="28"/>
      <c r="K138" s="28"/>
      <c r="L138" s="28"/>
      <c r="M138" s="28"/>
      <c r="N138" s="28"/>
      <c r="O138" s="28"/>
      <c r="P138" s="28" t="str">
        <f t="shared" si="1"/>
        <v>LUNAS</v>
      </c>
      <c r="Q138" s="28">
        <f t="shared" si="2"/>
        <v>66</v>
      </c>
      <c r="R138" s="28" t="str">
        <f t="shared" si="3"/>
        <v/>
      </c>
    </row>
    <row r="139">
      <c r="A139" s="27" t="str">
        <f>IFERROR(__xludf.DUMMYFUNCTION("""COMPUTED_VALUE"""),"")</f>
        <v/>
      </c>
      <c r="B139" s="28"/>
      <c r="C139" s="28"/>
      <c r="D139" s="27"/>
      <c r="E139" s="27"/>
      <c r="F139" s="27"/>
      <c r="G139" s="27"/>
      <c r="H139" s="28"/>
      <c r="I139" s="28"/>
      <c r="J139" s="28"/>
      <c r="K139" s="28"/>
      <c r="L139" s="28"/>
      <c r="M139" s="28"/>
      <c r="N139" s="28"/>
      <c r="O139" s="28"/>
      <c r="R139" s="28" t="str">
        <f t="shared" si="3"/>
        <v/>
      </c>
    </row>
    <row r="140">
      <c r="A140" s="27" t="str">
        <f>IFERROR(__xludf.DUMMYFUNCTION("""COMPUTED_VALUE"""),"")</f>
        <v/>
      </c>
      <c r="B140" s="28"/>
      <c r="C140" s="28"/>
      <c r="D140" s="27"/>
      <c r="E140" s="27"/>
      <c r="F140" s="27"/>
      <c r="G140" s="27"/>
      <c r="H140" s="28"/>
      <c r="I140" s="28"/>
      <c r="J140" s="28"/>
      <c r="K140" s="28"/>
      <c r="L140" s="28"/>
      <c r="M140" s="28"/>
      <c r="N140" s="28"/>
      <c r="O140" s="28"/>
      <c r="R140" s="28" t="str">
        <f t="shared" si="3"/>
        <v/>
      </c>
    </row>
    <row r="141">
      <c r="A141" s="27" t="str">
        <f>IFERROR(__xludf.DUMMYFUNCTION("""COMPUTED_VALUE"""),"")</f>
        <v/>
      </c>
      <c r="B141" s="28"/>
      <c r="C141" s="28"/>
      <c r="D141" s="27"/>
      <c r="E141" s="27"/>
      <c r="F141" s="27"/>
      <c r="G141" s="27"/>
      <c r="H141" s="28"/>
      <c r="I141" s="28"/>
      <c r="J141" s="28"/>
      <c r="K141" s="28"/>
      <c r="L141" s="28"/>
      <c r="M141" s="28"/>
      <c r="N141" s="28"/>
      <c r="O141" s="28"/>
      <c r="R141" s="28" t="str">
        <f t="shared" si="3"/>
        <v/>
      </c>
    </row>
    <row r="142">
      <c r="A142" s="27" t="str">
        <f>IFERROR(__xludf.DUMMYFUNCTION("""COMPUTED_VALUE"""),"")</f>
        <v/>
      </c>
      <c r="B142" s="28"/>
      <c r="C142" s="28"/>
      <c r="D142" s="27"/>
      <c r="E142" s="27"/>
      <c r="F142" s="27"/>
      <c r="G142" s="27"/>
      <c r="H142" s="28"/>
      <c r="I142" s="28"/>
      <c r="J142" s="28"/>
      <c r="K142" s="28"/>
      <c r="L142" s="28"/>
      <c r="M142" s="28"/>
      <c r="N142" s="28"/>
      <c r="O142" s="28"/>
      <c r="R142" s="28" t="str">
        <f t="shared" si="3"/>
        <v/>
      </c>
    </row>
    <row r="143">
      <c r="A143" s="27" t="str">
        <f>IFERROR(__xludf.DUMMYFUNCTION("""COMPUTED_VALUE"""),"")</f>
        <v/>
      </c>
      <c r="B143" s="28"/>
      <c r="C143" s="28"/>
      <c r="D143" s="27"/>
      <c r="E143" s="27"/>
      <c r="F143" s="27"/>
      <c r="G143" s="27"/>
      <c r="H143" s="28"/>
      <c r="I143" s="28"/>
      <c r="J143" s="28"/>
      <c r="K143" s="28"/>
      <c r="L143" s="28"/>
      <c r="M143" s="28"/>
      <c r="N143" s="28"/>
      <c r="O143" s="28"/>
      <c r="R143" s="28" t="str">
        <f t="shared" si="3"/>
        <v/>
      </c>
    </row>
    <row r="144">
      <c r="A144" s="27" t="str">
        <f>IFERROR(__xludf.DUMMYFUNCTION("""COMPUTED_VALUE"""),"")</f>
        <v/>
      </c>
      <c r="B144" s="28"/>
      <c r="C144" s="28"/>
      <c r="D144" s="27"/>
      <c r="E144" s="27"/>
      <c r="F144" s="27"/>
      <c r="G144" s="27"/>
      <c r="H144" s="28"/>
      <c r="I144" s="28"/>
      <c r="J144" s="28"/>
      <c r="K144" s="28"/>
      <c r="L144" s="28"/>
      <c r="M144" s="28"/>
      <c r="N144" s="28"/>
      <c r="O144" s="28"/>
      <c r="R144" s="28" t="str">
        <f t="shared" si="3"/>
        <v/>
      </c>
    </row>
    <row r="145">
      <c r="A145" s="27" t="str">
        <f>IFERROR(__xludf.DUMMYFUNCTION("""COMPUTED_VALUE"""),"")</f>
        <v/>
      </c>
      <c r="B145" s="28"/>
      <c r="C145" s="28"/>
      <c r="D145" s="27"/>
      <c r="E145" s="27"/>
      <c r="F145" s="27"/>
      <c r="G145" s="27"/>
      <c r="H145" s="28"/>
      <c r="I145" s="28"/>
      <c r="J145" s="28"/>
      <c r="K145" s="28"/>
      <c r="L145" s="28"/>
      <c r="M145" s="28"/>
      <c r="N145" s="28"/>
      <c r="O145" s="28"/>
      <c r="R145" s="28" t="str">
        <f t="shared" si="3"/>
        <v/>
      </c>
    </row>
    <row r="146">
      <c r="A146" s="27" t="str">
        <f>IFERROR(__xludf.DUMMYFUNCTION("""COMPUTED_VALUE"""),"")</f>
        <v/>
      </c>
      <c r="B146" s="28"/>
      <c r="C146" s="28"/>
      <c r="D146" s="27"/>
      <c r="E146" s="27"/>
      <c r="F146" s="27"/>
      <c r="G146" s="27"/>
      <c r="H146" s="28"/>
      <c r="I146" s="28"/>
      <c r="J146" s="28"/>
      <c r="K146" s="28"/>
      <c r="L146" s="28"/>
      <c r="M146" s="28"/>
      <c r="N146" s="28"/>
      <c r="O146" s="28"/>
      <c r="R146" s="28" t="str">
        <f t="shared" si="3"/>
        <v/>
      </c>
    </row>
    <row r="147">
      <c r="A147" s="27" t="str">
        <f>IFERROR(__xludf.DUMMYFUNCTION("""COMPUTED_VALUE"""),"")</f>
        <v/>
      </c>
      <c r="B147" s="28"/>
      <c r="C147" s="28"/>
      <c r="D147" s="27"/>
      <c r="E147" s="27"/>
      <c r="F147" s="27"/>
      <c r="G147" s="27"/>
      <c r="H147" s="28"/>
      <c r="I147" s="28"/>
      <c r="J147" s="28"/>
      <c r="K147" s="28"/>
      <c r="L147" s="28"/>
      <c r="M147" s="28"/>
      <c r="N147" s="28"/>
      <c r="O147" s="28"/>
      <c r="R147" s="28" t="str">
        <f t="shared" si="3"/>
        <v/>
      </c>
    </row>
    <row r="148">
      <c r="A148" s="27" t="str">
        <f>IFERROR(__xludf.DUMMYFUNCTION("""COMPUTED_VALUE"""),"")</f>
        <v/>
      </c>
      <c r="B148" s="28"/>
      <c r="C148" s="28"/>
      <c r="D148" s="27"/>
      <c r="E148" s="27"/>
      <c r="F148" s="27"/>
      <c r="G148" s="27"/>
      <c r="H148" s="28"/>
      <c r="I148" s="28"/>
      <c r="J148" s="28"/>
      <c r="K148" s="28"/>
      <c r="L148" s="28"/>
      <c r="M148" s="28"/>
      <c r="N148" s="28"/>
      <c r="O148" s="28"/>
      <c r="R148" s="28" t="str">
        <f t="shared" si="3"/>
        <v/>
      </c>
    </row>
    <row r="149">
      <c r="A149" s="27" t="str">
        <f>IFERROR(__xludf.DUMMYFUNCTION("""COMPUTED_VALUE"""),"")</f>
        <v/>
      </c>
      <c r="B149" s="28"/>
      <c r="C149" s="28"/>
      <c r="D149" s="27"/>
      <c r="E149" s="27"/>
      <c r="F149" s="27"/>
      <c r="G149" s="27"/>
      <c r="H149" s="28"/>
      <c r="I149" s="28"/>
      <c r="J149" s="28"/>
      <c r="K149" s="28"/>
      <c r="L149" s="28"/>
      <c r="M149" s="28"/>
      <c r="N149" s="28"/>
      <c r="O149" s="28"/>
      <c r="R149" s="28" t="str">
        <f t="shared" si="3"/>
        <v/>
      </c>
    </row>
    <row r="150">
      <c r="A150" s="27" t="str">
        <f>IFERROR(__xludf.DUMMYFUNCTION("""COMPUTED_VALUE"""),"")</f>
        <v/>
      </c>
      <c r="B150" s="28"/>
      <c r="C150" s="28"/>
      <c r="D150" s="27"/>
      <c r="E150" s="27"/>
      <c r="F150" s="27"/>
      <c r="G150" s="27"/>
      <c r="H150" s="28"/>
      <c r="I150" s="28"/>
      <c r="J150" s="28"/>
      <c r="K150" s="28"/>
      <c r="L150" s="28"/>
      <c r="M150" s="28"/>
      <c r="N150" s="28"/>
      <c r="O150" s="28"/>
      <c r="R150" s="28" t="str">
        <f t="shared" si="3"/>
        <v/>
      </c>
    </row>
    <row r="151">
      <c r="A151" s="27" t="str">
        <f>IFERROR(__xludf.DUMMYFUNCTION("""COMPUTED_VALUE"""),"")</f>
        <v/>
      </c>
      <c r="B151" s="28"/>
      <c r="C151" s="28"/>
      <c r="D151" s="27"/>
      <c r="E151" s="27"/>
      <c r="F151" s="27"/>
      <c r="G151" s="27"/>
      <c r="H151" s="28"/>
      <c r="I151" s="28"/>
      <c r="J151" s="28"/>
      <c r="K151" s="28"/>
      <c r="L151" s="28"/>
      <c r="M151" s="28"/>
      <c r="N151" s="28"/>
      <c r="O151" s="28"/>
      <c r="R151" s="28" t="str">
        <f t="shared" si="3"/>
        <v/>
      </c>
    </row>
    <row r="152">
      <c r="A152" s="27" t="str">
        <f>IFERROR(__xludf.DUMMYFUNCTION("""COMPUTED_VALUE"""),"")</f>
        <v/>
      </c>
      <c r="B152" s="28"/>
      <c r="C152" s="28"/>
      <c r="D152" s="27"/>
      <c r="E152" s="27"/>
      <c r="F152" s="27"/>
      <c r="G152" s="27"/>
      <c r="H152" s="28"/>
      <c r="I152" s="28"/>
      <c r="J152" s="28"/>
      <c r="K152" s="28"/>
      <c r="L152" s="28"/>
      <c r="M152" s="28"/>
      <c r="N152" s="28"/>
      <c r="O152" s="28"/>
      <c r="R152" s="28" t="str">
        <f t="shared" si="3"/>
        <v/>
      </c>
    </row>
    <row r="153">
      <c r="A153" s="27" t="str">
        <f>IFERROR(__xludf.DUMMYFUNCTION("""COMPUTED_VALUE"""),"")</f>
        <v/>
      </c>
      <c r="B153" s="28"/>
      <c r="C153" s="28"/>
      <c r="D153" s="27"/>
      <c r="E153" s="27"/>
      <c r="F153" s="27"/>
      <c r="G153" s="27"/>
      <c r="H153" s="28"/>
      <c r="I153" s="28"/>
      <c r="J153" s="28"/>
      <c r="K153" s="28"/>
      <c r="L153" s="28"/>
      <c r="M153" s="28"/>
      <c r="N153" s="28"/>
      <c r="O153" s="28"/>
      <c r="R153" s="28" t="str">
        <f t="shared" si="3"/>
        <v/>
      </c>
    </row>
    <row r="154">
      <c r="A154" s="27" t="str">
        <f>IFERROR(__xludf.DUMMYFUNCTION("""COMPUTED_VALUE"""),"")</f>
        <v/>
      </c>
      <c r="B154" s="28"/>
      <c r="C154" s="28"/>
      <c r="D154" s="27"/>
      <c r="E154" s="27"/>
      <c r="F154" s="27"/>
      <c r="G154" s="27"/>
      <c r="H154" s="28"/>
      <c r="I154" s="28"/>
      <c r="J154" s="28"/>
      <c r="K154" s="28"/>
      <c r="L154" s="28"/>
      <c r="M154" s="28"/>
      <c r="N154" s="28"/>
      <c r="O154" s="28"/>
      <c r="R154" s="28" t="str">
        <f t="shared" si="3"/>
        <v/>
      </c>
    </row>
    <row r="155">
      <c r="A155" s="27" t="str">
        <f>IFERROR(__xludf.DUMMYFUNCTION("""COMPUTED_VALUE"""),"")</f>
        <v/>
      </c>
      <c r="B155" s="28"/>
      <c r="C155" s="28"/>
      <c r="D155" s="27"/>
      <c r="E155" s="27"/>
      <c r="F155" s="27"/>
      <c r="G155" s="27"/>
      <c r="H155" s="28"/>
      <c r="I155" s="28"/>
      <c r="J155" s="28"/>
      <c r="K155" s="28"/>
      <c r="L155" s="28"/>
      <c r="M155" s="28"/>
      <c r="N155" s="28"/>
      <c r="O155" s="28"/>
      <c r="R155" s="28" t="str">
        <f t="shared" si="3"/>
        <v/>
      </c>
    </row>
    <row r="156">
      <c r="A156" s="27" t="str">
        <f>IFERROR(__xludf.DUMMYFUNCTION("""COMPUTED_VALUE"""),"")</f>
        <v/>
      </c>
      <c r="B156" s="28"/>
      <c r="C156" s="28"/>
      <c r="D156" s="27"/>
      <c r="E156" s="27"/>
      <c r="F156" s="27"/>
      <c r="G156" s="27"/>
      <c r="H156" s="28"/>
      <c r="I156" s="28"/>
      <c r="J156" s="28"/>
      <c r="K156" s="28"/>
      <c r="L156" s="28"/>
      <c r="M156" s="28"/>
      <c r="N156" s="28"/>
      <c r="O156" s="28"/>
      <c r="R156" s="28" t="str">
        <f t="shared" si="3"/>
        <v/>
      </c>
    </row>
    <row r="157">
      <c r="A157" s="27" t="str">
        <f>IFERROR(__xludf.DUMMYFUNCTION("""COMPUTED_VALUE"""),"")</f>
        <v/>
      </c>
      <c r="B157" s="28"/>
      <c r="C157" s="28"/>
      <c r="D157" s="27"/>
      <c r="E157" s="27"/>
      <c r="F157" s="27"/>
      <c r="G157" s="27"/>
      <c r="H157" s="28"/>
      <c r="I157" s="28"/>
      <c r="J157" s="28"/>
      <c r="K157" s="28"/>
      <c r="L157" s="28"/>
      <c r="M157" s="28"/>
      <c r="N157" s="28"/>
      <c r="O157" s="28"/>
      <c r="R157" s="28" t="str">
        <f t="shared" si="3"/>
        <v/>
      </c>
    </row>
    <row r="158">
      <c r="A158" s="27" t="str">
        <f>IFERROR(__xludf.DUMMYFUNCTION("""COMPUTED_VALUE"""),"")</f>
        <v/>
      </c>
      <c r="B158" s="28"/>
      <c r="C158" s="28"/>
      <c r="D158" s="27"/>
      <c r="E158" s="27"/>
      <c r="F158" s="27"/>
      <c r="G158" s="27"/>
      <c r="H158" s="28"/>
      <c r="I158" s="28"/>
      <c r="J158" s="28"/>
      <c r="K158" s="28"/>
      <c r="L158" s="28"/>
      <c r="M158" s="28"/>
      <c r="N158" s="28"/>
      <c r="O158" s="28"/>
      <c r="R158" s="28" t="str">
        <f t="shared" si="3"/>
        <v/>
      </c>
    </row>
    <row r="159">
      <c r="A159" s="27" t="str">
        <f>IFERROR(__xludf.DUMMYFUNCTION("""COMPUTED_VALUE"""),"")</f>
        <v/>
      </c>
      <c r="B159" s="28"/>
      <c r="C159" s="28"/>
      <c r="D159" s="27"/>
      <c r="E159" s="27"/>
      <c r="F159" s="27"/>
      <c r="G159" s="27"/>
      <c r="H159" s="28"/>
      <c r="I159" s="28"/>
      <c r="J159" s="28"/>
      <c r="K159" s="28"/>
      <c r="L159" s="28"/>
      <c r="M159" s="28"/>
      <c r="N159" s="28"/>
      <c r="O159" s="28"/>
      <c r="R159" s="28" t="str">
        <f t="shared" si="3"/>
        <v/>
      </c>
    </row>
    <row r="160">
      <c r="A160" s="27" t="str">
        <f>IFERROR(__xludf.DUMMYFUNCTION("""COMPUTED_VALUE"""),"")</f>
        <v/>
      </c>
      <c r="B160" s="28"/>
      <c r="C160" s="28"/>
      <c r="D160" s="27"/>
      <c r="E160" s="27"/>
      <c r="F160" s="27"/>
      <c r="G160" s="27"/>
      <c r="H160" s="28"/>
      <c r="I160" s="28"/>
      <c r="J160" s="28"/>
      <c r="K160" s="28"/>
      <c r="L160" s="28"/>
      <c r="M160" s="28"/>
      <c r="N160" s="28"/>
      <c r="O160" s="28"/>
      <c r="R160" s="28" t="str">
        <f t="shared" si="3"/>
        <v/>
      </c>
    </row>
    <row r="161">
      <c r="A161" s="27" t="str">
        <f>IFERROR(__xludf.DUMMYFUNCTION("""COMPUTED_VALUE"""),"")</f>
        <v/>
      </c>
      <c r="B161" s="28"/>
      <c r="C161" s="28"/>
      <c r="D161" s="27"/>
      <c r="E161" s="27"/>
      <c r="F161" s="27"/>
      <c r="G161" s="27"/>
      <c r="H161" s="28"/>
      <c r="I161" s="28"/>
      <c r="J161" s="28"/>
      <c r="K161" s="28"/>
      <c r="L161" s="28"/>
      <c r="M161" s="28"/>
      <c r="N161" s="28"/>
      <c r="O161" s="28"/>
      <c r="R161" s="28" t="str">
        <f t="shared" si="3"/>
        <v/>
      </c>
    </row>
    <row r="162">
      <c r="A162" s="27" t="str">
        <f>IFERROR(__xludf.DUMMYFUNCTION("""COMPUTED_VALUE"""),"")</f>
        <v/>
      </c>
      <c r="B162" s="28"/>
      <c r="C162" s="28"/>
      <c r="D162" s="27"/>
      <c r="E162" s="27"/>
      <c r="F162" s="27"/>
      <c r="G162" s="27"/>
      <c r="H162" s="28"/>
      <c r="I162" s="28"/>
      <c r="J162" s="28"/>
      <c r="K162" s="28"/>
      <c r="L162" s="28"/>
      <c r="M162" s="28"/>
      <c r="N162" s="28"/>
      <c r="O162" s="28"/>
    </row>
    <row r="163">
      <c r="A163" s="27" t="str">
        <f>IFERROR(__xludf.DUMMYFUNCTION("""COMPUTED_VALUE"""),"")</f>
        <v/>
      </c>
      <c r="B163" s="28"/>
      <c r="C163" s="28"/>
      <c r="D163" s="27"/>
      <c r="E163" s="27"/>
      <c r="F163" s="27"/>
      <c r="G163" s="27"/>
      <c r="H163" s="28"/>
      <c r="I163" s="28"/>
      <c r="J163" s="28"/>
      <c r="K163" s="28"/>
      <c r="L163" s="28"/>
      <c r="M163" s="28"/>
      <c r="N163" s="28"/>
      <c r="O163" s="28"/>
    </row>
    <row r="164">
      <c r="A164" s="27" t="str">
        <f>IFERROR(__xludf.DUMMYFUNCTION("""COMPUTED_VALUE"""),"")</f>
        <v/>
      </c>
      <c r="B164" s="28"/>
      <c r="C164" s="28"/>
      <c r="D164" s="27"/>
      <c r="E164" s="27"/>
      <c r="F164" s="27"/>
      <c r="G164" s="27"/>
      <c r="H164" s="28"/>
      <c r="I164" s="28"/>
      <c r="J164" s="28"/>
      <c r="K164" s="28"/>
      <c r="L164" s="28"/>
      <c r="M164" s="28"/>
      <c r="N164" s="28"/>
      <c r="O164" s="28"/>
    </row>
    <row r="165">
      <c r="A165" s="27" t="str">
        <f>IFERROR(__xludf.DUMMYFUNCTION("""COMPUTED_VALUE"""),"")</f>
        <v/>
      </c>
      <c r="B165" s="28"/>
      <c r="C165" s="28"/>
      <c r="D165" s="27"/>
      <c r="E165" s="27"/>
      <c r="F165" s="27"/>
      <c r="G165" s="27"/>
      <c r="H165" s="28"/>
      <c r="I165" s="28"/>
      <c r="J165" s="28"/>
      <c r="K165" s="28"/>
      <c r="L165" s="28"/>
      <c r="M165" s="28"/>
      <c r="N165" s="28"/>
      <c r="O165" s="28"/>
    </row>
    <row r="166">
      <c r="A166" s="27" t="str">
        <f>IFERROR(__xludf.DUMMYFUNCTION("""COMPUTED_VALUE"""),"")</f>
        <v/>
      </c>
      <c r="B166" s="28"/>
      <c r="C166" s="28"/>
      <c r="D166" s="27"/>
      <c r="E166" s="27"/>
      <c r="F166" s="27"/>
      <c r="G166" s="27"/>
      <c r="H166" s="28"/>
      <c r="I166" s="28"/>
      <c r="J166" s="28"/>
      <c r="K166" s="28"/>
      <c r="L166" s="28"/>
      <c r="M166" s="28"/>
      <c r="N166" s="28"/>
      <c r="O166" s="28"/>
      <c r="R166" s="28" t="str">
        <f t="shared" ref="R166:R389" si="9">B166</f>
        <v/>
      </c>
    </row>
    <row r="167">
      <c r="A167" s="27" t="str">
        <f>IFERROR(__xludf.DUMMYFUNCTION("""COMPUTED_VALUE"""),"")</f>
        <v/>
      </c>
      <c r="B167" s="28"/>
      <c r="C167" s="28"/>
      <c r="D167" s="27"/>
      <c r="E167" s="27"/>
      <c r="F167" s="27"/>
      <c r="G167" s="27"/>
      <c r="H167" s="28"/>
      <c r="I167" s="28"/>
      <c r="J167" s="28"/>
      <c r="K167" s="28"/>
      <c r="L167" s="28"/>
      <c r="M167" s="28"/>
      <c r="N167" s="28"/>
      <c r="O167" s="28"/>
      <c r="R167" s="28" t="str">
        <f t="shared" si="9"/>
        <v/>
      </c>
    </row>
    <row r="168">
      <c r="A168" s="27" t="str">
        <f>IFERROR(__xludf.DUMMYFUNCTION("""COMPUTED_VALUE"""),"")</f>
        <v/>
      </c>
      <c r="B168" s="28"/>
      <c r="C168" s="28"/>
      <c r="D168" s="27"/>
      <c r="E168" s="27"/>
      <c r="F168" s="27"/>
      <c r="G168" s="27"/>
      <c r="H168" s="28"/>
      <c r="I168" s="28"/>
      <c r="J168" s="28"/>
      <c r="K168" s="28"/>
      <c r="L168" s="28"/>
      <c r="M168" s="28"/>
      <c r="N168" s="28"/>
      <c r="O168" s="28"/>
      <c r="R168" s="28" t="str">
        <f t="shared" si="9"/>
        <v/>
      </c>
    </row>
    <row r="169">
      <c r="A169" s="27" t="str">
        <f>IFERROR(__xludf.DUMMYFUNCTION("""COMPUTED_VALUE"""),"")</f>
        <v/>
      </c>
      <c r="B169" s="28"/>
      <c r="C169" s="28"/>
      <c r="D169" s="27"/>
      <c r="E169" s="27"/>
      <c r="F169" s="27"/>
      <c r="G169" s="27"/>
      <c r="H169" s="28"/>
      <c r="I169" s="28"/>
      <c r="J169" s="28"/>
      <c r="K169" s="28"/>
      <c r="L169" s="28"/>
      <c r="M169" s="28"/>
      <c r="N169" s="28"/>
      <c r="O169" s="28"/>
      <c r="R169" s="28" t="str">
        <f t="shared" si="9"/>
        <v/>
      </c>
    </row>
    <row r="170">
      <c r="A170" s="27" t="str">
        <f>IFERROR(__xludf.DUMMYFUNCTION("""COMPUTED_VALUE"""),"")</f>
        <v/>
      </c>
      <c r="B170" s="28"/>
      <c r="C170" s="28"/>
      <c r="D170" s="27"/>
      <c r="E170" s="27"/>
      <c r="F170" s="27"/>
      <c r="G170" s="27"/>
      <c r="H170" s="28"/>
      <c r="I170" s="28"/>
      <c r="J170" s="28"/>
      <c r="K170" s="28"/>
      <c r="L170" s="28"/>
      <c r="M170" s="28"/>
      <c r="N170" s="28"/>
      <c r="O170" s="28"/>
      <c r="R170" s="28" t="str">
        <f t="shared" si="9"/>
        <v/>
      </c>
    </row>
    <row r="171">
      <c r="A171" s="27" t="str">
        <f>IFERROR(__xludf.DUMMYFUNCTION("""COMPUTED_VALUE"""),"")</f>
        <v/>
      </c>
      <c r="B171" s="28"/>
      <c r="C171" s="28"/>
      <c r="D171" s="27"/>
      <c r="E171" s="27"/>
      <c r="F171" s="27"/>
      <c r="G171" s="27"/>
      <c r="H171" s="28"/>
      <c r="I171" s="28"/>
      <c r="J171" s="28"/>
      <c r="K171" s="28"/>
      <c r="L171" s="28"/>
      <c r="M171" s="28"/>
      <c r="N171" s="28"/>
      <c r="O171" s="28"/>
      <c r="R171" s="28" t="str">
        <f t="shared" si="9"/>
        <v/>
      </c>
    </row>
    <row r="172">
      <c r="A172" s="27" t="str">
        <f>IFERROR(__xludf.DUMMYFUNCTION("""COMPUTED_VALUE"""),"")</f>
        <v/>
      </c>
      <c r="B172" s="28"/>
      <c r="C172" s="28"/>
      <c r="D172" s="27"/>
      <c r="E172" s="27"/>
      <c r="F172" s="27"/>
      <c r="G172" s="27"/>
      <c r="H172" s="28"/>
      <c r="I172" s="28"/>
      <c r="J172" s="28"/>
      <c r="K172" s="28"/>
      <c r="L172" s="28"/>
      <c r="M172" s="28"/>
      <c r="N172" s="28"/>
      <c r="O172" s="28"/>
      <c r="R172" s="28" t="str">
        <f t="shared" si="9"/>
        <v/>
      </c>
    </row>
    <row r="173">
      <c r="A173" s="27" t="str">
        <f>IFERROR(__xludf.DUMMYFUNCTION("""COMPUTED_VALUE"""),"")</f>
        <v/>
      </c>
      <c r="B173" s="28"/>
      <c r="C173" s="28"/>
      <c r="D173" s="27"/>
      <c r="E173" s="27"/>
      <c r="F173" s="27"/>
      <c r="G173" s="27"/>
      <c r="H173" s="28"/>
      <c r="I173" s="28"/>
      <c r="J173" s="28"/>
      <c r="K173" s="28"/>
      <c r="L173" s="28"/>
      <c r="M173" s="28"/>
      <c r="N173" s="28"/>
      <c r="O173" s="28"/>
      <c r="R173" s="28" t="str">
        <f t="shared" si="9"/>
        <v/>
      </c>
    </row>
    <row r="174">
      <c r="A174" s="27" t="str">
        <f>IFERROR(__xludf.DUMMYFUNCTION("""COMPUTED_VALUE"""),"")</f>
        <v/>
      </c>
      <c r="B174" s="28"/>
      <c r="C174" s="28"/>
      <c r="D174" s="27"/>
      <c r="E174" s="27"/>
      <c r="F174" s="27"/>
      <c r="G174" s="27"/>
      <c r="H174" s="28"/>
      <c r="I174" s="28"/>
      <c r="J174" s="28"/>
      <c r="K174" s="28"/>
      <c r="L174" s="28"/>
      <c r="M174" s="28"/>
      <c r="N174" s="28"/>
      <c r="O174" s="28"/>
      <c r="R174" s="28" t="str">
        <f t="shared" si="9"/>
        <v/>
      </c>
    </row>
    <row r="175">
      <c r="A175" s="27" t="str">
        <f>IFERROR(__xludf.DUMMYFUNCTION("""COMPUTED_VALUE"""),"")</f>
        <v/>
      </c>
      <c r="B175" s="28"/>
      <c r="C175" s="28"/>
      <c r="D175" s="27"/>
      <c r="E175" s="27"/>
      <c r="F175" s="27"/>
      <c r="G175" s="27"/>
      <c r="H175" s="28"/>
      <c r="I175" s="28"/>
      <c r="J175" s="28"/>
      <c r="K175" s="28"/>
      <c r="L175" s="28"/>
      <c r="M175" s="28"/>
      <c r="N175" s="28"/>
      <c r="O175" s="28"/>
      <c r="R175" s="28" t="str">
        <f t="shared" si="9"/>
        <v/>
      </c>
    </row>
    <row r="176">
      <c r="A176" s="27" t="str">
        <f>IFERROR(__xludf.DUMMYFUNCTION("""COMPUTED_VALUE"""),"")</f>
        <v/>
      </c>
      <c r="B176" s="28"/>
      <c r="C176" s="28"/>
      <c r="D176" s="27"/>
      <c r="E176" s="27"/>
      <c r="F176" s="27"/>
      <c r="G176" s="27"/>
      <c r="H176" s="28"/>
      <c r="I176" s="28"/>
      <c r="J176" s="28"/>
      <c r="K176" s="28"/>
      <c r="L176" s="28"/>
      <c r="M176" s="28"/>
      <c r="N176" s="28"/>
      <c r="O176" s="28"/>
      <c r="R176" s="28" t="str">
        <f t="shared" si="9"/>
        <v/>
      </c>
    </row>
    <row r="177">
      <c r="A177" s="27" t="str">
        <f>IFERROR(__xludf.DUMMYFUNCTION("""COMPUTED_VALUE"""),"")</f>
        <v/>
      </c>
      <c r="B177" s="28"/>
      <c r="C177" s="28"/>
      <c r="D177" s="27"/>
      <c r="E177" s="27"/>
      <c r="F177" s="27"/>
      <c r="G177" s="27"/>
      <c r="H177" s="28"/>
      <c r="I177" s="28"/>
      <c r="J177" s="28"/>
      <c r="K177" s="28"/>
      <c r="L177" s="28"/>
      <c r="M177" s="28"/>
      <c r="N177" s="28"/>
      <c r="O177" s="28"/>
      <c r="R177" s="28" t="str">
        <f t="shared" si="9"/>
        <v/>
      </c>
    </row>
    <row r="178">
      <c r="A178" s="27" t="str">
        <f>IFERROR(__xludf.DUMMYFUNCTION("""COMPUTED_VALUE"""),"")</f>
        <v/>
      </c>
      <c r="B178" s="28"/>
      <c r="C178" s="28"/>
      <c r="D178" s="27"/>
      <c r="E178" s="27"/>
      <c r="F178" s="27"/>
      <c r="G178" s="27"/>
      <c r="H178" s="28"/>
      <c r="I178" s="28"/>
      <c r="J178" s="28"/>
      <c r="K178" s="28"/>
      <c r="L178" s="28"/>
      <c r="M178" s="28"/>
      <c r="N178" s="28"/>
      <c r="O178" s="28"/>
      <c r="R178" s="28" t="str">
        <f t="shared" si="9"/>
        <v/>
      </c>
    </row>
    <row r="179">
      <c r="A179" s="27" t="str">
        <f>IFERROR(__xludf.DUMMYFUNCTION("""COMPUTED_VALUE"""),"")</f>
        <v/>
      </c>
      <c r="B179" s="28"/>
      <c r="C179" s="28"/>
      <c r="D179" s="27"/>
      <c r="E179" s="27"/>
      <c r="F179" s="27"/>
      <c r="G179" s="27"/>
      <c r="H179" s="28"/>
      <c r="I179" s="28"/>
      <c r="J179" s="28"/>
      <c r="K179" s="28"/>
      <c r="L179" s="28"/>
      <c r="M179" s="28"/>
      <c r="N179" s="28"/>
      <c r="O179" s="28"/>
      <c r="R179" s="28" t="str">
        <f t="shared" si="9"/>
        <v/>
      </c>
    </row>
    <row r="180">
      <c r="A180" s="27" t="str">
        <f>IFERROR(__xludf.DUMMYFUNCTION("""COMPUTED_VALUE"""),"")</f>
        <v/>
      </c>
      <c r="B180" s="28"/>
      <c r="C180" s="28"/>
      <c r="D180" s="27"/>
      <c r="E180" s="27"/>
      <c r="F180" s="27"/>
      <c r="G180" s="27"/>
      <c r="H180" s="28"/>
      <c r="I180" s="28"/>
      <c r="J180" s="28"/>
      <c r="K180" s="28"/>
      <c r="L180" s="28"/>
      <c r="M180" s="28"/>
      <c r="N180" s="28"/>
      <c r="O180" s="28"/>
      <c r="R180" s="28" t="str">
        <f t="shared" si="9"/>
        <v/>
      </c>
    </row>
    <row r="181">
      <c r="A181" s="27" t="str">
        <f>IFERROR(__xludf.DUMMYFUNCTION("""COMPUTED_VALUE"""),"")</f>
        <v/>
      </c>
      <c r="B181" s="28"/>
      <c r="C181" s="28"/>
      <c r="D181" s="27"/>
      <c r="E181" s="27"/>
      <c r="F181" s="27"/>
      <c r="G181" s="27"/>
      <c r="H181" s="28"/>
      <c r="I181" s="28"/>
      <c r="J181" s="28"/>
      <c r="K181" s="28"/>
      <c r="L181" s="28"/>
      <c r="M181" s="28"/>
      <c r="N181" s="28"/>
      <c r="O181" s="28"/>
      <c r="R181" s="28" t="str">
        <f t="shared" si="9"/>
        <v/>
      </c>
    </row>
    <row r="182">
      <c r="A182" s="27" t="str">
        <f>IFERROR(__xludf.DUMMYFUNCTION("""COMPUTED_VALUE"""),"")</f>
        <v/>
      </c>
      <c r="B182" s="28"/>
      <c r="C182" s="28"/>
      <c r="D182" s="27"/>
      <c r="E182" s="27"/>
      <c r="F182" s="27"/>
      <c r="G182" s="27"/>
      <c r="H182" s="28"/>
      <c r="I182" s="28"/>
      <c r="J182" s="28"/>
      <c r="K182" s="28"/>
      <c r="L182" s="28"/>
      <c r="M182" s="28"/>
      <c r="N182" s="28"/>
      <c r="O182" s="28"/>
      <c r="R182" s="28" t="str">
        <f t="shared" si="9"/>
        <v/>
      </c>
    </row>
    <row r="183">
      <c r="A183" s="27" t="str">
        <f>IFERROR(__xludf.DUMMYFUNCTION("""COMPUTED_VALUE"""),"")</f>
        <v/>
      </c>
      <c r="B183" s="28"/>
      <c r="C183" s="28"/>
      <c r="D183" s="27"/>
      <c r="E183" s="27"/>
      <c r="F183" s="27"/>
      <c r="G183" s="27"/>
      <c r="H183" s="28"/>
      <c r="I183" s="28"/>
      <c r="J183" s="28"/>
      <c r="K183" s="28"/>
      <c r="L183" s="28"/>
      <c r="M183" s="28"/>
      <c r="N183" s="28"/>
      <c r="O183" s="28"/>
      <c r="R183" s="28" t="str">
        <f t="shared" si="9"/>
        <v/>
      </c>
    </row>
    <row r="184">
      <c r="A184" s="27" t="str">
        <f>IFERROR(__xludf.DUMMYFUNCTION("""COMPUTED_VALUE"""),"")</f>
        <v/>
      </c>
      <c r="B184" s="28"/>
      <c r="C184" s="28"/>
      <c r="D184" s="27"/>
      <c r="E184" s="27"/>
      <c r="F184" s="27"/>
      <c r="G184" s="27"/>
      <c r="H184" s="28"/>
      <c r="I184" s="28"/>
      <c r="J184" s="28"/>
      <c r="K184" s="28"/>
      <c r="L184" s="28"/>
      <c r="M184" s="28"/>
      <c r="N184" s="28"/>
      <c r="O184" s="28"/>
      <c r="R184" s="28" t="str">
        <f t="shared" si="9"/>
        <v/>
      </c>
    </row>
    <row r="185">
      <c r="A185" s="27" t="str">
        <f>IFERROR(__xludf.DUMMYFUNCTION("""COMPUTED_VALUE"""),"")</f>
        <v/>
      </c>
      <c r="B185" s="28"/>
      <c r="C185" s="28"/>
      <c r="D185" s="27"/>
      <c r="E185" s="27"/>
      <c r="F185" s="27"/>
      <c r="G185" s="27"/>
      <c r="H185" s="28"/>
      <c r="I185" s="28"/>
      <c r="J185" s="28"/>
      <c r="K185" s="28"/>
      <c r="L185" s="28"/>
      <c r="M185" s="28"/>
      <c r="N185" s="28"/>
      <c r="O185" s="28"/>
      <c r="R185" s="28" t="str">
        <f t="shared" si="9"/>
        <v/>
      </c>
    </row>
    <row r="186">
      <c r="A186" s="27" t="str">
        <f>IFERROR(__xludf.DUMMYFUNCTION("""COMPUTED_VALUE"""),"")</f>
        <v/>
      </c>
      <c r="B186" s="28"/>
      <c r="C186" s="28"/>
      <c r="D186" s="27"/>
      <c r="E186" s="27"/>
      <c r="F186" s="27"/>
      <c r="G186" s="27"/>
      <c r="H186" s="28"/>
      <c r="I186" s="28"/>
      <c r="J186" s="28"/>
      <c r="K186" s="28"/>
      <c r="L186" s="28"/>
      <c r="M186" s="28"/>
      <c r="N186" s="28"/>
      <c r="O186" s="28"/>
      <c r="R186" s="28" t="str">
        <f t="shared" si="9"/>
        <v/>
      </c>
    </row>
    <row r="187">
      <c r="A187" s="27" t="str">
        <f>IFERROR(__xludf.DUMMYFUNCTION("""COMPUTED_VALUE"""),"")</f>
        <v/>
      </c>
      <c r="B187" s="28"/>
      <c r="C187" s="28"/>
      <c r="D187" s="27"/>
      <c r="E187" s="27"/>
      <c r="F187" s="27"/>
      <c r="G187" s="27"/>
      <c r="H187" s="28"/>
      <c r="I187" s="28"/>
      <c r="J187" s="28"/>
      <c r="K187" s="28"/>
      <c r="L187" s="28"/>
      <c r="M187" s="28"/>
      <c r="N187" s="28"/>
      <c r="O187" s="28"/>
      <c r="R187" s="28" t="str">
        <f t="shared" si="9"/>
        <v/>
      </c>
    </row>
    <row r="188">
      <c r="A188" s="27" t="str">
        <f>IFERROR(__xludf.DUMMYFUNCTION("""COMPUTED_VALUE"""),"")</f>
        <v/>
      </c>
      <c r="B188" s="28"/>
      <c r="C188" s="28"/>
      <c r="D188" s="27"/>
      <c r="E188" s="27"/>
      <c r="F188" s="27"/>
      <c r="G188" s="27"/>
      <c r="H188" s="28"/>
      <c r="I188" s="28"/>
      <c r="J188" s="28"/>
      <c r="K188" s="28"/>
      <c r="L188" s="28"/>
      <c r="M188" s="28"/>
      <c r="N188" s="28"/>
      <c r="O188" s="28"/>
      <c r="R188" s="28" t="str">
        <f t="shared" si="9"/>
        <v/>
      </c>
    </row>
    <row r="189">
      <c r="A189" s="27" t="str">
        <f>IFERROR(__xludf.DUMMYFUNCTION("""COMPUTED_VALUE"""),"")</f>
        <v/>
      </c>
      <c r="B189" s="28"/>
      <c r="C189" s="28"/>
      <c r="D189" s="27"/>
      <c r="E189" s="27"/>
      <c r="F189" s="27"/>
      <c r="G189" s="27"/>
      <c r="H189" s="28"/>
      <c r="I189" s="28"/>
      <c r="J189" s="28"/>
      <c r="K189" s="28"/>
      <c r="L189" s="28"/>
      <c r="M189" s="28"/>
      <c r="N189" s="28"/>
      <c r="O189" s="28"/>
      <c r="R189" s="28" t="str">
        <f t="shared" si="9"/>
        <v/>
      </c>
    </row>
    <row r="190">
      <c r="A190" s="27" t="str">
        <f>IFERROR(__xludf.DUMMYFUNCTION("""COMPUTED_VALUE"""),"")</f>
        <v/>
      </c>
      <c r="B190" s="28"/>
      <c r="C190" s="28"/>
      <c r="D190" s="27"/>
      <c r="E190" s="27"/>
      <c r="F190" s="27"/>
      <c r="G190" s="27"/>
      <c r="H190" s="28"/>
      <c r="I190" s="28"/>
      <c r="J190" s="28"/>
      <c r="K190" s="28"/>
      <c r="L190" s="28"/>
      <c r="M190" s="28"/>
      <c r="N190" s="28"/>
      <c r="O190" s="28"/>
      <c r="R190" s="28" t="str">
        <f t="shared" si="9"/>
        <v/>
      </c>
    </row>
    <row r="191">
      <c r="A191" s="27" t="str">
        <f>IFERROR(__xludf.DUMMYFUNCTION("""COMPUTED_VALUE"""),"")</f>
        <v/>
      </c>
      <c r="B191" s="28"/>
      <c r="C191" s="28"/>
      <c r="D191" s="27"/>
      <c r="E191" s="27"/>
      <c r="F191" s="27"/>
      <c r="G191" s="27"/>
      <c r="H191" s="28"/>
      <c r="I191" s="28"/>
      <c r="J191" s="28"/>
      <c r="K191" s="28"/>
      <c r="L191" s="28"/>
      <c r="M191" s="28"/>
      <c r="N191" s="28"/>
      <c r="O191" s="28"/>
      <c r="R191" s="28" t="str">
        <f t="shared" si="9"/>
        <v/>
      </c>
    </row>
    <row r="192">
      <c r="A192" s="27" t="str">
        <f>IFERROR(__xludf.DUMMYFUNCTION("""COMPUTED_VALUE"""),"")</f>
        <v/>
      </c>
      <c r="B192" s="28"/>
      <c r="C192" s="28"/>
      <c r="D192" s="27"/>
      <c r="E192" s="27"/>
      <c r="F192" s="27"/>
      <c r="G192" s="27"/>
      <c r="H192" s="28"/>
      <c r="I192" s="28"/>
      <c r="J192" s="28"/>
      <c r="K192" s="28"/>
      <c r="L192" s="28"/>
      <c r="M192" s="28"/>
      <c r="N192" s="28"/>
      <c r="O192" s="28"/>
      <c r="R192" s="28" t="str">
        <f t="shared" si="9"/>
        <v/>
      </c>
    </row>
    <row r="193">
      <c r="A193" s="27" t="str">
        <f>IFERROR(__xludf.DUMMYFUNCTION("""COMPUTED_VALUE"""),"")</f>
        <v/>
      </c>
      <c r="B193" s="28"/>
      <c r="C193" s="28"/>
      <c r="D193" s="27"/>
      <c r="E193" s="27"/>
      <c r="F193" s="27"/>
      <c r="G193" s="27"/>
      <c r="H193" s="28"/>
      <c r="I193" s="28"/>
      <c r="J193" s="28"/>
      <c r="K193" s="28"/>
      <c r="L193" s="28"/>
      <c r="M193" s="28"/>
      <c r="N193" s="28"/>
      <c r="O193" s="28"/>
      <c r="R193" s="28" t="str">
        <f t="shared" si="9"/>
        <v/>
      </c>
    </row>
    <row r="194">
      <c r="A194" s="27" t="str">
        <f>IFERROR(__xludf.DUMMYFUNCTION("""COMPUTED_VALUE"""),"")</f>
        <v/>
      </c>
      <c r="B194" s="28"/>
      <c r="C194" s="28"/>
      <c r="D194" s="27"/>
      <c r="E194" s="27"/>
      <c r="F194" s="27"/>
      <c r="G194" s="27"/>
      <c r="H194" s="28"/>
      <c r="I194" s="28"/>
      <c r="J194" s="28"/>
      <c r="K194" s="28"/>
      <c r="L194" s="28"/>
      <c r="M194" s="28"/>
      <c r="N194" s="28"/>
      <c r="O194" s="28"/>
      <c r="R194" s="28" t="str">
        <f t="shared" si="9"/>
        <v/>
      </c>
    </row>
    <row r="195">
      <c r="A195" s="27" t="str">
        <f>IFERROR(__xludf.DUMMYFUNCTION("""COMPUTED_VALUE"""),"")</f>
        <v/>
      </c>
      <c r="B195" s="28"/>
      <c r="C195" s="28"/>
      <c r="D195" s="27"/>
      <c r="E195" s="27"/>
      <c r="F195" s="27"/>
      <c r="G195" s="27"/>
      <c r="H195" s="28"/>
      <c r="I195" s="28"/>
      <c r="J195" s="28"/>
      <c r="K195" s="28"/>
      <c r="L195" s="28"/>
      <c r="M195" s="28"/>
      <c r="N195" s="28"/>
      <c r="O195" s="28"/>
      <c r="R195" s="28" t="str">
        <f t="shared" si="9"/>
        <v/>
      </c>
    </row>
    <row r="196">
      <c r="A196" s="27" t="str">
        <f>IFERROR(__xludf.DUMMYFUNCTION("""COMPUTED_VALUE"""),"")</f>
        <v/>
      </c>
      <c r="B196" s="28"/>
      <c r="C196" s="28"/>
      <c r="D196" s="27"/>
      <c r="E196" s="27"/>
      <c r="F196" s="27"/>
      <c r="G196" s="27"/>
      <c r="H196" s="28"/>
      <c r="I196" s="28"/>
      <c r="J196" s="28"/>
      <c r="K196" s="28"/>
      <c r="L196" s="28"/>
      <c r="M196" s="28"/>
      <c r="N196" s="28"/>
      <c r="O196" s="28"/>
      <c r="R196" s="28" t="str">
        <f t="shared" si="9"/>
        <v/>
      </c>
    </row>
    <row r="197">
      <c r="A197" s="27" t="str">
        <f>IFERROR(__xludf.DUMMYFUNCTION("""COMPUTED_VALUE"""),"")</f>
        <v/>
      </c>
      <c r="B197" s="28"/>
      <c r="C197" s="28"/>
      <c r="D197" s="27"/>
      <c r="E197" s="27"/>
      <c r="F197" s="27"/>
      <c r="G197" s="27"/>
      <c r="H197" s="28"/>
      <c r="I197" s="28"/>
      <c r="J197" s="28"/>
      <c r="K197" s="28"/>
      <c r="L197" s="28"/>
      <c r="M197" s="28"/>
      <c r="N197" s="28"/>
      <c r="O197" s="28"/>
      <c r="R197" s="28" t="str">
        <f t="shared" si="9"/>
        <v/>
      </c>
    </row>
    <row r="198">
      <c r="A198" s="27" t="str">
        <f>IFERROR(__xludf.DUMMYFUNCTION("""COMPUTED_VALUE"""),"")</f>
        <v/>
      </c>
      <c r="B198" s="28"/>
      <c r="C198" s="28"/>
      <c r="D198" s="27"/>
      <c r="E198" s="27"/>
      <c r="F198" s="27"/>
      <c r="G198" s="27"/>
      <c r="H198" s="28"/>
      <c r="I198" s="28"/>
      <c r="J198" s="28"/>
      <c r="K198" s="28"/>
      <c r="L198" s="28"/>
      <c r="M198" s="28"/>
      <c r="N198" s="28"/>
      <c r="O198" s="28"/>
      <c r="R198" s="28" t="str">
        <f t="shared" si="9"/>
        <v/>
      </c>
    </row>
    <row r="199">
      <c r="A199" s="27" t="str">
        <f>IFERROR(__xludf.DUMMYFUNCTION("""COMPUTED_VALUE"""),"")</f>
        <v/>
      </c>
      <c r="B199" s="28"/>
      <c r="C199" s="28"/>
      <c r="D199" s="27"/>
      <c r="E199" s="27"/>
      <c r="F199" s="27"/>
      <c r="G199" s="27"/>
      <c r="H199" s="28"/>
      <c r="I199" s="28"/>
      <c r="J199" s="28"/>
      <c r="K199" s="28"/>
      <c r="L199" s="28"/>
      <c r="M199" s="28"/>
      <c r="N199" s="28"/>
      <c r="O199" s="28"/>
      <c r="R199" s="28" t="str">
        <f t="shared" si="9"/>
        <v/>
      </c>
    </row>
    <row r="200">
      <c r="A200" s="27" t="str">
        <f>IFERROR(__xludf.DUMMYFUNCTION("""COMPUTED_VALUE"""),"")</f>
        <v/>
      </c>
      <c r="B200" s="28"/>
      <c r="C200" s="28"/>
      <c r="D200" s="27"/>
      <c r="E200" s="27"/>
      <c r="F200" s="27"/>
      <c r="G200" s="27"/>
      <c r="H200" s="28"/>
      <c r="I200" s="28"/>
      <c r="J200" s="28"/>
      <c r="K200" s="28"/>
      <c r="L200" s="28"/>
      <c r="M200" s="28"/>
      <c r="N200" s="28"/>
      <c r="O200" s="28"/>
      <c r="R200" s="28" t="str">
        <f t="shared" si="9"/>
        <v/>
      </c>
    </row>
    <row r="201">
      <c r="A201" s="27" t="str">
        <f>IFERROR(__xludf.DUMMYFUNCTION("""COMPUTED_VALUE"""),"")</f>
        <v/>
      </c>
      <c r="B201" s="28"/>
      <c r="C201" s="28"/>
      <c r="D201" s="27"/>
      <c r="E201" s="27"/>
      <c r="F201" s="27"/>
      <c r="G201" s="27"/>
      <c r="H201" s="28"/>
      <c r="I201" s="28"/>
      <c r="J201" s="28"/>
      <c r="K201" s="28"/>
      <c r="L201" s="28"/>
      <c r="M201" s="28"/>
      <c r="N201" s="28"/>
      <c r="O201" s="28"/>
      <c r="R201" s="28" t="str">
        <f t="shared" si="9"/>
        <v/>
      </c>
    </row>
    <row r="202">
      <c r="A202" s="27" t="str">
        <f>IFERROR(__xludf.DUMMYFUNCTION("""COMPUTED_VALUE"""),"")</f>
        <v/>
      </c>
      <c r="B202" s="28"/>
      <c r="C202" s="28"/>
      <c r="D202" s="27"/>
      <c r="E202" s="27"/>
      <c r="F202" s="27"/>
      <c r="G202" s="27"/>
      <c r="H202" s="28"/>
      <c r="I202" s="28"/>
      <c r="J202" s="28"/>
      <c r="K202" s="28"/>
      <c r="L202" s="28"/>
      <c r="M202" s="28"/>
      <c r="N202" s="28"/>
      <c r="O202" s="28"/>
      <c r="R202" s="28" t="str">
        <f t="shared" si="9"/>
        <v/>
      </c>
    </row>
    <row r="203">
      <c r="A203" s="27" t="str">
        <f>IFERROR(__xludf.DUMMYFUNCTION("""COMPUTED_VALUE"""),"")</f>
        <v/>
      </c>
      <c r="B203" s="28"/>
      <c r="C203" s="28"/>
      <c r="D203" s="27"/>
      <c r="E203" s="27"/>
      <c r="F203" s="27"/>
      <c r="G203" s="27"/>
      <c r="H203" s="28"/>
      <c r="I203" s="28"/>
      <c r="J203" s="28"/>
      <c r="K203" s="28"/>
      <c r="L203" s="28"/>
      <c r="M203" s="28"/>
      <c r="N203" s="28"/>
      <c r="O203" s="28"/>
      <c r="R203" s="28" t="str">
        <f t="shared" si="9"/>
        <v/>
      </c>
    </row>
    <row r="204">
      <c r="A204" s="27" t="str">
        <f>IFERROR(__xludf.DUMMYFUNCTION("""COMPUTED_VALUE"""),"")</f>
        <v/>
      </c>
      <c r="B204" s="28"/>
      <c r="C204" s="28"/>
      <c r="D204" s="27"/>
      <c r="E204" s="27"/>
      <c r="F204" s="27"/>
      <c r="G204" s="27"/>
      <c r="H204" s="28"/>
      <c r="I204" s="28"/>
      <c r="J204" s="28"/>
      <c r="K204" s="28"/>
      <c r="L204" s="28"/>
      <c r="M204" s="28"/>
      <c r="N204" s="28"/>
      <c r="O204" s="28"/>
      <c r="R204" s="28" t="str">
        <f t="shared" si="9"/>
        <v/>
      </c>
    </row>
    <row r="205">
      <c r="A205" s="27" t="str">
        <f>IFERROR(__xludf.DUMMYFUNCTION("""COMPUTED_VALUE"""),"")</f>
        <v/>
      </c>
      <c r="B205" s="28"/>
      <c r="C205" s="28"/>
      <c r="D205" s="27"/>
      <c r="E205" s="27"/>
      <c r="F205" s="27"/>
      <c r="G205" s="27"/>
      <c r="H205" s="28"/>
      <c r="I205" s="28"/>
      <c r="J205" s="28"/>
      <c r="K205" s="28"/>
      <c r="L205" s="28"/>
      <c r="M205" s="28"/>
      <c r="N205" s="28"/>
      <c r="O205" s="28"/>
      <c r="R205" s="28" t="str">
        <f t="shared" si="9"/>
        <v/>
      </c>
    </row>
    <row r="206">
      <c r="A206" s="27" t="str">
        <f>IFERROR(__xludf.DUMMYFUNCTION("""COMPUTED_VALUE"""),"")</f>
        <v/>
      </c>
      <c r="B206" s="28"/>
      <c r="C206" s="28"/>
      <c r="D206" s="27"/>
      <c r="E206" s="27"/>
      <c r="F206" s="27"/>
      <c r="G206" s="27"/>
      <c r="H206" s="28"/>
      <c r="I206" s="28"/>
      <c r="J206" s="28"/>
      <c r="K206" s="28"/>
      <c r="L206" s="28"/>
      <c r="M206" s="28"/>
      <c r="N206" s="28"/>
      <c r="O206" s="28"/>
      <c r="R206" s="28" t="str">
        <f t="shared" si="9"/>
        <v/>
      </c>
    </row>
    <row r="207">
      <c r="A207" s="27" t="str">
        <f>IFERROR(__xludf.DUMMYFUNCTION("""COMPUTED_VALUE"""),"")</f>
        <v/>
      </c>
      <c r="B207" s="28"/>
      <c r="C207" s="28"/>
      <c r="D207" s="27"/>
      <c r="E207" s="27"/>
      <c r="F207" s="27"/>
      <c r="G207" s="27"/>
      <c r="H207" s="28"/>
      <c r="I207" s="28"/>
      <c r="J207" s="28"/>
      <c r="K207" s="28"/>
      <c r="L207" s="28"/>
      <c r="M207" s="28"/>
      <c r="N207" s="28"/>
      <c r="O207" s="28"/>
      <c r="R207" s="28" t="str">
        <f t="shared" si="9"/>
        <v/>
      </c>
    </row>
    <row r="208">
      <c r="A208" s="27" t="str">
        <f>IFERROR(__xludf.DUMMYFUNCTION("""COMPUTED_VALUE"""),"")</f>
        <v/>
      </c>
      <c r="B208" s="28"/>
      <c r="C208" s="28"/>
      <c r="D208" s="27"/>
      <c r="E208" s="27"/>
      <c r="F208" s="27"/>
      <c r="G208" s="27"/>
      <c r="H208" s="28"/>
      <c r="I208" s="28"/>
      <c r="J208" s="28"/>
      <c r="K208" s="28"/>
      <c r="L208" s="28"/>
      <c r="M208" s="28"/>
      <c r="N208" s="28"/>
      <c r="O208" s="28"/>
      <c r="R208" s="28" t="str">
        <f t="shared" si="9"/>
        <v/>
      </c>
    </row>
    <row r="209">
      <c r="A209" s="27" t="str">
        <f>IFERROR(__xludf.DUMMYFUNCTION("""COMPUTED_VALUE"""),"")</f>
        <v/>
      </c>
      <c r="B209" s="28"/>
      <c r="C209" s="28"/>
      <c r="D209" s="27"/>
      <c r="E209" s="27"/>
      <c r="F209" s="27"/>
      <c r="G209" s="27"/>
      <c r="H209" s="28"/>
      <c r="I209" s="28"/>
      <c r="J209" s="28"/>
      <c r="K209" s="28"/>
      <c r="L209" s="28"/>
      <c r="M209" s="28"/>
      <c r="N209" s="28"/>
      <c r="O209" s="28"/>
      <c r="R209" s="28" t="str">
        <f t="shared" si="9"/>
        <v/>
      </c>
    </row>
    <row r="210">
      <c r="A210" s="27" t="str">
        <f>IFERROR(__xludf.DUMMYFUNCTION("""COMPUTED_VALUE"""),"")</f>
        <v/>
      </c>
      <c r="B210" s="28"/>
      <c r="C210" s="28"/>
      <c r="D210" s="27"/>
      <c r="E210" s="27"/>
      <c r="F210" s="27"/>
      <c r="G210" s="27"/>
      <c r="H210" s="28"/>
      <c r="I210" s="28"/>
      <c r="J210" s="28"/>
      <c r="K210" s="28"/>
      <c r="L210" s="28"/>
      <c r="M210" s="28"/>
      <c r="N210" s="28"/>
      <c r="O210" s="28"/>
      <c r="R210" s="28" t="str">
        <f t="shared" si="9"/>
        <v/>
      </c>
    </row>
    <row r="211">
      <c r="A211" s="27" t="str">
        <f>IFERROR(__xludf.DUMMYFUNCTION("""COMPUTED_VALUE"""),"")</f>
        <v/>
      </c>
      <c r="B211" s="28"/>
      <c r="C211" s="28"/>
      <c r="D211" s="27"/>
      <c r="E211" s="27"/>
      <c r="F211" s="27"/>
      <c r="G211" s="27"/>
      <c r="H211" s="28"/>
      <c r="I211" s="28"/>
      <c r="J211" s="28"/>
      <c r="K211" s="28"/>
      <c r="L211" s="28"/>
      <c r="M211" s="28"/>
      <c r="N211" s="28"/>
      <c r="O211" s="28"/>
      <c r="R211" s="28" t="str">
        <f t="shared" si="9"/>
        <v/>
      </c>
    </row>
    <row r="212">
      <c r="A212" s="27" t="str">
        <f>IFERROR(__xludf.DUMMYFUNCTION("""COMPUTED_VALUE"""),"")</f>
        <v/>
      </c>
      <c r="B212" s="28"/>
      <c r="C212" s="28"/>
      <c r="D212" s="27"/>
      <c r="E212" s="27"/>
      <c r="F212" s="27"/>
      <c r="G212" s="27"/>
      <c r="H212" s="28"/>
      <c r="I212" s="28"/>
      <c r="J212" s="28"/>
      <c r="K212" s="28"/>
      <c r="L212" s="28"/>
      <c r="M212" s="28"/>
      <c r="N212" s="28"/>
      <c r="O212" s="28"/>
      <c r="R212" s="28" t="str">
        <f t="shared" si="9"/>
        <v/>
      </c>
    </row>
    <row r="213">
      <c r="A213" s="27" t="str">
        <f>IFERROR(__xludf.DUMMYFUNCTION("""COMPUTED_VALUE"""),"")</f>
        <v/>
      </c>
      <c r="B213" s="28"/>
      <c r="C213" s="28"/>
      <c r="D213" s="27"/>
      <c r="E213" s="27"/>
      <c r="F213" s="27"/>
      <c r="G213" s="27"/>
      <c r="H213" s="28"/>
      <c r="I213" s="28"/>
      <c r="J213" s="28"/>
      <c r="K213" s="28"/>
      <c r="L213" s="28"/>
      <c r="M213" s="28"/>
      <c r="N213" s="28"/>
      <c r="O213" s="28"/>
      <c r="R213" s="28" t="str">
        <f t="shared" si="9"/>
        <v/>
      </c>
    </row>
    <row r="214">
      <c r="A214" s="27" t="str">
        <f>IFERROR(__xludf.DUMMYFUNCTION("""COMPUTED_VALUE"""),"")</f>
        <v/>
      </c>
      <c r="B214" s="28"/>
      <c r="C214" s="28"/>
      <c r="D214" s="27"/>
      <c r="E214" s="27"/>
      <c r="F214" s="27"/>
      <c r="G214" s="27"/>
      <c r="H214" s="28"/>
      <c r="I214" s="28"/>
      <c r="J214" s="28"/>
      <c r="K214" s="28"/>
      <c r="L214" s="28"/>
      <c r="M214" s="28"/>
      <c r="N214" s="28"/>
      <c r="O214" s="28"/>
      <c r="R214" s="28" t="str">
        <f t="shared" si="9"/>
        <v/>
      </c>
    </row>
    <row r="215">
      <c r="A215" s="27" t="str">
        <f>IFERROR(__xludf.DUMMYFUNCTION("""COMPUTED_VALUE"""),"")</f>
        <v/>
      </c>
      <c r="B215" s="28"/>
      <c r="C215" s="28"/>
      <c r="D215" s="27"/>
      <c r="E215" s="27"/>
      <c r="F215" s="27"/>
      <c r="G215" s="27"/>
      <c r="H215" s="28"/>
      <c r="I215" s="28"/>
      <c r="J215" s="28"/>
      <c r="K215" s="28"/>
      <c r="L215" s="28"/>
      <c r="M215" s="28"/>
      <c r="N215" s="28"/>
      <c r="O215" s="28"/>
      <c r="R215" s="28" t="str">
        <f t="shared" si="9"/>
        <v/>
      </c>
    </row>
    <row r="216">
      <c r="A216" s="27" t="str">
        <f>IFERROR(__xludf.DUMMYFUNCTION("""COMPUTED_VALUE"""),"")</f>
        <v/>
      </c>
      <c r="B216" s="28"/>
      <c r="C216" s="28"/>
      <c r="D216" s="27"/>
      <c r="E216" s="27"/>
      <c r="F216" s="27"/>
      <c r="G216" s="27"/>
      <c r="H216" s="28"/>
      <c r="I216" s="28"/>
      <c r="J216" s="28"/>
      <c r="K216" s="28"/>
      <c r="L216" s="28"/>
      <c r="M216" s="28"/>
      <c r="N216" s="28"/>
      <c r="O216" s="28"/>
      <c r="R216" s="28" t="str">
        <f t="shared" si="9"/>
        <v/>
      </c>
    </row>
    <row r="217">
      <c r="A217" s="27" t="str">
        <f>IFERROR(__xludf.DUMMYFUNCTION("""COMPUTED_VALUE"""),"")</f>
        <v/>
      </c>
      <c r="B217" s="28"/>
      <c r="C217" s="28"/>
      <c r="D217" s="27"/>
      <c r="E217" s="27"/>
      <c r="F217" s="27"/>
      <c r="G217" s="27"/>
      <c r="H217" s="28"/>
      <c r="I217" s="28"/>
      <c r="J217" s="28"/>
      <c r="K217" s="28"/>
      <c r="L217" s="28"/>
      <c r="M217" s="28"/>
      <c r="N217" s="28"/>
      <c r="O217" s="28"/>
      <c r="R217" s="28" t="str">
        <f t="shared" si="9"/>
        <v/>
      </c>
    </row>
    <row r="218">
      <c r="A218" s="27" t="str">
        <f>IFERROR(__xludf.DUMMYFUNCTION("""COMPUTED_VALUE"""),"")</f>
        <v/>
      </c>
      <c r="B218" s="28"/>
      <c r="C218" s="28"/>
      <c r="D218" s="27"/>
      <c r="E218" s="27"/>
      <c r="F218" s="27"/>
      <c r="G218" s="27"/>
      <c r="H218" s="28"/>
      <c r="I218" s="28"/>
      <c r="J218" s="28"/>
      <c r="K218" s="28"/>
      <c r="L218" s="28"/>
      <c r="M218" s="28"/>
      <c r="N218" s="28"/>
      <c r="O218" s="28"/>
      <c r="R218" s="28" t="str">
        <f t="shared" si="9"/>
        <v/>
      </c>
    </row>
    <row r="219">
      <c r="A219" s="27" t="str">
        <f>IFERROR(__xludf.DUMMYFUNCTION("""COMPUTED_VALUE"""),"")</f>
        <v/>
      </c>
      <c r="B219" s="28"/>
      <c r="C219" s="28"/>
      <c r="D219" s="27"/>
      <c r="E219" s="27"/>
      <c r="F219" s="27"/>
      <c r="G219" s="27"/>
      <c r="H219" s="28"/>
      <c r="I219" s="28"/>
      <c r="J219" s="28"/>
      <c r="K219" s="28"/>
      <c r="L219" s="28"/>
      <c r="M219" s="28"/>
      <c r="N219" s="28"/>
      <c r="O219" s="28"/>
      <c r="R219" s="28" t="str">
        <f t="shared" si="9"/>
        <v/>
      </c>
    </row>
    <row r="220">
      <c r="A220" s="27" t="str">
        <f>IFERROR(__xludf.DUMMYFUNCTION("""COMPUTED_VALUE"""),"")</f>
        <v/>
      </c>
      <c r="B220" s="28"/>
      <c r="C220" s="28"/>
      <c r="D220" s="27"/>
      <c r="E220" s="27"/>
      <c r="F220" s="27"/>
      <c r="G220" s="27"/>
      <c r="H220" s="28"/>
      <c r="I220" s="28"/>
      <c r="J220" s="28"/>
      <c r="K220" s="28"/>
      <c r="L220" s="28"/>
      <c r="M220" s="28"/>
      <c r="N220" s="28"/>
      <c r="O220" s="28"/>
      <c r="R220" s="28" t="str">
        <f t="shared" si="9"/>
        <v/>
      </c>
    </row>
    <row r="221">
      <c r="A221" s="27" t="str">
        <f>IFERROR(__xludf.DUMMYFUNCTION("""COMPUTED_VALUE"""),"")</f>
        <v/>
      </c>
      <c r="B221" s="28"/>
      <c r="C221" s="28"/>
      <c r="D221" s="27"/>
      <c r="E221" s="27"/>
      <c r="F221" s="27"/>
      <c r="G221" s="27"/>
      <c r="H221" s="28"/>
      <c r="I221" s="28"/>
      <c r="J221" s="28"/>
      <c r="K221" s="28"/>
      <c r="L221" s="28"/>
      <c r="M221" s="28"/>
      <c r="N221" s="28"/>
      <c r="O221" s="28"/>
      <c r="R221" s="28" t="str">
        <f t="shared" si="9"/>
        <v/>
      </c>
    </row>
    <row r="222">
      <c r="A222" s="27" t="str">
        <f>IFERROR(__xludf.DUMMYFUNCTION("""COMPUTED_VALUE"""),"")</f>
        <v/>
      </c>
      <c r="B222" s="28"/>
      <c r="C222" s="28"/>
      <c r="D222" s="27"/>
      <c r="E222" s="27"/>
      <c r="F222" s="27"/>
      <c r="G222" s="27"/>
      <c r="H222" s="28"/>
      <c r="I222" s="28"/>
      <c r="J222" s="28"/>
      <c r="K222" s="28"/>
      <c r="L222" s="28"/>
      <c r="M222" s="28"/>
      <c r="N222" s="28"/>
      <c r="O222" s="28"/>
      <c r="R222" s="28" t="str">
        <f t="shared" si="9"/>
        <v/>
      </c>
    </row>
    <row r="223">
      <c r="A223" s="27" t="str">
        <f>IFERROR(__xludf.DUMMYFUNCTION("""COMPUTED_VALUE"""),"")</f>
        <v/>
      </c>
      <c r="B223" s="28"/>
      <c r="C223" s="28"/>
      <c r="D223" s="27"/>
      <c r="E223" s="27"/>
      <c r="F223" s="27"/>
      <c r="G223" s="27"/>
      <c r="H223" s="28"/>
      <c r="I223" s="28"/>
      <c r="J223" s="28"/>
      <c r="K223" s="28"/>
      <c r="L223" s="28"/>
      <c r="M223" s="28"/>
      <c r="N223" s="28"/>
      <c r="O223" s="28"/>
      <c r="R223" s="28" t="str">
        <f t="shared" si="9"/>
        <v/>
      </c>
    </row>
    <row r="224">
      <c r="A224" s="27" t="str">
        <f>IFERROR(__xludf.DUMMYFUNCTION("""COMPUTED_VALUE"""),"")</f>
        <v/>
      </c>
      <c r="B224" s="28"/>
      <c r="C224" s="28"/>
      <c r="D224" s="27"/>
      <c r="E224" s="27"/>
      <c r="F224" s="27"/>
      <c r="G224" s="27"/>
      <c r="H224" s="28"/>
      <c r="I224" s="28"/>
      <c r="J224" s="28"/>
      <c r="K224" s="28"/>
      <c r="L224" s="28"/>
      <c r="M224" s="28"/>
      <c r="N224" s="28"/>
      <c r="O224" s="28"/>
      <c r="R224" s="28" t="str">
        <f t="shared" si="9"/>
        <v/>
      </c>
    </row>
    <row r="225">
      <c r="A225" s="27" t="str">
        <f>IFERROR(__xludf.DUMMYFUNCTION("""COMPUTED_VALUE"""),"")</f>
        <v/>
      </c>
      <c r="B225" s="28"/>
      <c r="C225" s="28"/>
      <c r="D225" s="27"/>
      <c r="E225" s="27"/>
      <c r="F225" s="27"/>
      <c r="G225" s="27"/>
      <c r="H225" s="28"/>
      <c r="I225" s="28"/>
      <c r="J225" s="28"/>
      <c r="K225" s="28"/>
      <c r="L225" s="28"/>
      <c r="M225" s="28"/>
      <c r="N225" s="28"/>
      <c r="O225" s="28"/>
      <c r="R225" s="28" t="str">
        <f t="shared" si="9"/>
        <v/>
      </c>
    </row>
    <row r="226">
      <c r="A226" s="27" t="str">
        <f>IFERROR(__xludf.DUMMYFUNCTION("""COMPUTED_VALUE"""),"")</f>
        <v/>
      </c>
      <c r="B226" s="28"/>
      <c r="C226" s="28"/>
      <c r="D226" s="27"/>
      <c r="E226" s="27"/>
      <c r="F226" s="27"/>
      <c r="G226" s="27"/>
      <c r="H226" s="28"/>
      <c r="I226" s="28"/>
      <c r="J226" s="28"/>
      <c r="K226" s="28"/>
      <c r="L226" s="28"/>
      <c r="M226" s="28"/>
      <c r="N226" s="28"/>
      <c r="O226" s="28"/>
      <c r="R226" s="28" t="str">
        <f t="shared" si="9"/>
        <v/>
      </c>
    </row>
    <row r="227">
      <c r="A227" s="27" t="str">
        <f>IFERROR(__xludf.DUMMYFUNCTION("""COMPUTED_VALUE"""),"")</f>
        <v/>
      </c>
      <c r="B227" s="28"/>
      <c r="C227" s="28"/>
      <c r="D227" s="27"/>
      <c r="E227" s="27"/>
      <c r="F227" s="27"/>
      <c r="G227" s="27"/>
      <c r="H227" s="28"/>
      <c r="I227" s="28"/>
      <c r="J227" s="28"/>
      <c r="K227" s="28"/>
      <c r="L227" s="28"/>
      <c r="M227" s="28"/>
      <c r="N227" s="28"/>
      <c r="O227" s="28"/>
      <c r="R227" s="28" t="str">
        <f t="shared" si="9"/>
        <v/>
      </c>
    </row>
    <row r="228">
      <c r="A228" s="27" t="str">
        <f>IFERROR(__xludf.DUMMYFUNCTION("""COMPUTED_VALUE"""),"")</f>
        <v/>
      </c>
      <c r="B228" s="28"/>
      <c r="C228" s="28"/>
      <c r="D228" s="27"/>
      <c r="E228" s="27"/>
      <c r="F228" s="27"/>
      <c r="G228" s="27"/>
      <c r="H228" s="28"/>
      <c r="I228" s="28"/>
      <c r="J228" s="28"/>
      <c r="K228" s="28"/>
      <c r="L228" s="28"/>
      <c r="M228" s="28"/>
      <c r="N228" s="28"/>
      <c r="O228" s="28"/>
      <c r="R228" s="28" t="str">
        <f t="shared" si="9"/>
        <v/>
      </c>
    </row>
    <row r="229">
      <c r="A229" s="27" t="str">
        <f>IFERROR(__xludf.DUMMYFUNCTION("""COMPUTED_VALUE"""),"")</f>
        <v/>
      </c>
      <c r="B229" s="28"/>
      <c r="C229" s="28"/>
      <c r="D229" s="27"/>
      <c r="E229" s="27"/>
      <c r="F229" s="27"/>
      <c r="G229" s="27"/>
      <c r="H229" s="28"/>
      <c r="I229" s="28"/>
      <c r="J229" s="28"/>
      <c r="K229" s="28"/>
      <c r="L229" s="28"/>
      <c r="M229" s="28"/>
      <c r="N229" s="28"/>
      <c r="O229" s="28"/>
      <c r="R229" s="28" t="str">
        <f t="shared" si="9"/>
        <v/>
      </c>
    </row>
    <row r="230">
      <c r="A230" s="27" t="str">
        <f>IFERROR(__xludf.DUMMYFUNCTION("""COMPUTED_VALUE"""),"")</f>
        <v/>
      </c>
      <c r="B230" s="28"/>
      <c r="C230" s="28"/>
      <c r="D230" s="27"/>
      <c r="E230" s="27"/>
      <c r="F230" s="27"/>
      <c r="G230" s="27"/>
      <c r="H230" s="28"/>
      <c r="I230" s="28"/>
      <c r="J230" s="28"/>
      <c r="K230" s="28"/>
      <c r="L230" s="28"/>
      <c r="M230" s="28"/>
      <c r="N230" s="28"/>
      <c r="O230" s="28"/>
      <c r="R230" s="28" t="str">
        <f t="shared" si="9"/>
        <v/>
      </c>
    </row>
    <row r="231">
      <c r="A231" s="27" t="str">
        <f>IFERROR(__xludf.DUMMYFUNCTION("""COMPUTED_VALUE"""),"")</f>
        <v/>
      </c>
      <c r="B231" s="28"/>
      <c r="C231" s="28"/>
      <c r="D231" s="27"/>
      <c r="E231" s="27"/>
      <c r="F231" s="27"/>
      <c r="G231" s="27"/>
      <c r="H231" s="28"/>
      <c r="I231" s="28"/>
      <c r="J231" s="28"/>
      <c r="K231" s="28"/>
      <c r="L231" s="28"/>
      <c r="M231" s="28"/>
      <c r="N231" s="28"/>
      <c r="O231" s="28"/>
      <c r="R231" s="28" t="str">
        <f t="shared" si="9"/>
        <v/>
      </c>
    </row>
    <row r="232">
      <c r="A232" s="27" t="str">
        <f>IFERROR(__xludf.DUMMYFUNCTION("""COMPUTED_VALUE"""),"")</f>
        <v/>
      </c>
      <c r="B232" s="28"/>
      <c r="C232" s="28"/>
      <c r="D232" s="27"/>
      <c r="E232" s="27"/>
      <c r="F232" s="27"/>
      <c r="G232" s="27"/>
      <c r="H232" s="28"/>
      <c r="I232" s="28"/>
      <c r="J232" s="28"/>
      <c r="K232" s="28"/>
      <c r="L232" s="28"/>
      <c r="M232" s="28"/>
      <c r="N232" s="28"/>
      <c r="O232" s="28"/>
      <c r="R232" s="28" t="str">
        <f t="shared" si="9"/>
        <v/>
      </c>
    </row>
    <row r="233">
      <c r="A233" s="27" t="str">
        <f>IFERROR(__xludf.DUMMYFUNCTION("""COMPUTED_VALUE"""),"")</f>
        <v/>
      </c>
      <c r="B233" s="28"/>
      <c r="C233" s="28"/>
      <c r="D233" s="27"/>
      <c r="E233" s="27"/>
      <c r="F233" s="27"/>
      <c r="G233" s="27"/>
      <c r="H233" s="28"/>
      <c r="I233" s="28"/>
      <c r="J233" s="28"/>
      <c r="K233" s="28"/>
      <c r="L233" s="28"/>
      <c r="M233" s="28"/>
      <c r="N233" s="28"/>
      <c r="O233" s="28"/>
      <c r="R233" s="28" t="str">
        <f t="shared" si="9"/>
        <v/>
      </c>
    </row>
    <row r="234">
      <c r="A234" s="27" t="str">
        <f>IFERROR(__xludf.DUMMYFUNCTION("""COMPUTED_VALUE"""),"")</f>
        <v/>
      </c>
      <c r="B234" s="28"/>
      <c r="C234" s="28"/>
      <c r="D234" s="27"/>
      <c r="E234" s="27"/>
      <c r="F234" s="27"/>
      <c r="G234" s="27"/>
      <c r="H234" s="28"/>
      <c r="I234" s="28"/>
      <c r="J234" s="28"/>
      <c r="K234" s="28"/>
      <c r="L234" s="28"/>
      <c r="M234" s="28"/>
      <c r="N234" s="28"/>
      <c r="O234" s="28"/>
      <c r="R234" s="28" t="str">
        <f t="shared" si="9"/>
        <v/>
      </c>
    </row>
    <row r="235">
      <c r="A235" s="27" t="str">
        <f>IFERROR(__xludf.DUMMYFUNCTION("""COMPUTED_VALUE"""),"")</f>
        <v/>
      </c>
      <c r="B235" s="28"/>
      <c r="C235" s="28"/>
      <c r="D235" s="27"/>
      <c r="E235" s="27"/>
      <c r="F235" s="27"/>
      <c r="G235" s="27"/>
      <c r="H235" s="28"/>
      <c r="I235" s="28"/>
      <c r="J235" s="28"/>
      <c r="K235" s="28"/>
      <c r="L235" s="28"/>
      <c r="M235" s="28"/>
      <c r="N235" s="28"/>
      <c r="O235" s="28"/>
      <c r="R235" s="28" t="str">
        <f t="shared" si="9"/>
        <v/>
      </c>
    </row>
    <row r="236">
      <c r="A236" s="27" t="str">
        <f>IFERROR(__xludf.DUMMYFUNCTION("""COMPUTED_VALUE"""),"")</f>
        <v/>
      </c>
      <c r="B236" s="28"/>
      <c r="C236" s="28"/>
      <c r="D236" s="27"/>
      <c r="E236" s="27"/>
      <c r="F236" s="27"/>
      <c r="G236" s="27"/>
      <c r="H236" s="28"/>
      <c r="I236" s="28"/>
      <c r="J236" s="28"/>
      <c r="K236" s="28"/>
      <c r="L236" s="28"/>
      <c r="M236" s="28"/>
      <c r="N236" s="28"/>
      <c r="O236" s="28"/>
      <c r="R236" s="28" t="str">
        <f t="shared" si="9"/>
        <v/>
      </c>
    </row>
    <row r="237">
      <c r="A237" s="27" t="str">
        <f>IFERROR(__xludf.DUMMYFUNCTION("""COMPUTED_VALUE"""),"")</f>
        <v/>
      </c>
      <c r="B237" s="28"/>
      <c r="C237" s="28"/>
      <c r="D237" s="27"/>
      <c r="E237" s="27"/>
      <c r="F237" s="27"/>
      <c r="G237" s="27"/>
      <c r="H237" s="28"/>
      <c r="I237" s="28"/>
      <c r="J237" s="28"/>
      <c r="K237" s="28"/>
      <c r="L237" s="28"/>
      <c r="M237" s="28"/>
      <c r="N237" s="28"/>
      <c r="O237" s="28"/>
      <c r="R237" s="28" t="str">
        <f t="shared" si="9"/>
        <v/>
      </c>
    </row>
    <row r="238">
      <c r="A238" s="27" t="str">
        <f>IFERROR(__xludf.DUMMYFUNCTION("""COMPUTED_VALUE"""),"")</f>
        <v/>
      </c>
      <c r="B238" s="28"/>
      <c r="C238" s="28"/>
      <c r="D238" s="27"/>
      <c r="E238" s="27"/>
      <c r="F238" s="27"/>
      <c r="G238" s="27"/>
      <c r="H238" s="28"/>
      <c r="I238" s="28"/>
      <c r="J238" s="28"/>
      <c r="K238" s="28"/>
      <c r="L238" s="28"/>
      <c r="M238" s="28"/>
      <c r="N238" s="28"/>
      <c r="O238" s="28"/>
      <c r="R238" s="28" t="str">
        <f t="shared" si="9"/>
        <v/>
      </c>
    </row>
    <row r="239">
      <c r="A239" s="27" t="str">
        <f>IFERROR(__xludf.DUMMYFUNCTION("""COMPUTED_VALUE"""),"")</f>
        <v/>
      </c>
      <c r="B239" s="28"/>
      <c r="C239" s="28"/>
      <c r="D239" s="27"/>
      <c r="E239" s="27"/>
      <c r="F239" s="27"/>
      <c r="G239" s="27"/>
      <c r="H239" s="28"/>
      <c r="I239" s="28"/>
      <c r="J239" s="28"/>
      <c r="K239" s="28"/>
      <c r="L239" s="28"/>
      <c r="M239" s="28"/>
      <c r="N239" s="28"/>
      <c r="O239" s="28"/>
      <c r="R239" s="28" t="str">
        <f t="shared" si="9"/>
        <v/>
      </c>
    </row>
    <row r="240">
      <c r="A240" s="27" t="str">
        <f>IFERROR(__xludf.DUMMYFUNCTION("""COMPUTED_VALUE"""),"")</f>
        <v/>
      </c>
      <c r="B240" s="28"/>
      <c r="C240" s="28"/>
      <c r="D240" s="27"/>
      <c r="E240" s="27"/>
      <c r="F240" s="27"/>
      <c r="G240" s="27"/>
      <c r="H240" s="28"/>
      <c r="I240" s="28"/>
      <c r="J240" s="28"/>
      <c r="K240" s="28"/>
      <c r="L240" s="28"/>
      <c r="M240" s="28"/>
      <c r="N240" s="28"/>
      <c r="O240" s="28"/>
      <c r="R240" s="28" t="str">
        <f t="shared" si="9"/>
        <v/>
      </c>
    </row>
    <row r="241">
      <c r="A241" s="27" t="str">
        <f>IFERROR(__xludf.DUMMYFUNCTION("""COMPUTED_VALUE"""),"")</f>
        <v/>
      </c>
      <c r="B241" s="28"/>
      <c r="C241" s="28"/>
      <c r="D241" s="27"/>
      <c r="E241" s="27"/>
      <c r="F241" s="27"/>
      <c r="G241" s="27"/>
      <c r="H241" s="28"/>
      <c r="I241" s="28"/>
      <c r="J241" s="28"/>
      <c r="K241" s="28"/>
      <c r="L241" s="28"/>
      <c r="M241" s="28"/>
      <c r="N241" s="28"/>
      <c r="O241" s="28"/>
      <c r="R241" s="28" t="str">
        <f t="shared" si="9"/>
        <v/>
      </c>
    </row>
    <row r="242">
      <c r="A242" s="27" t="str">
        <f>IFERROR(__xludf.DUMMYFUNCTION("""COMPUTED_VALUE"""),"")</f>
        <v/>
      </c>
      <c r="B242" s="28"/>
      <c r="C242" s="28"/>
      <c r="D242" s="27"/>
      <c r="E242" s="27"/>
      <c r="F242" s="27"/>
      <c r="G242" s="27"/>
      <c r="H242" s="28"/>
      <c r="I242" s="28"/>
      <c r="J242" s="28"/>
      <c r="K242" s="28"/>
      <c r="L242" s="28"/>
      <c r="M242" s="28"/>
      <c r="N242" s="28"/>
      <c r="O242" s="28"/>
      <c r="R242" s="28" t="str">
        <f t="shared" si="9"/>
        <v/>
      </c>
    </row>
    <row r="243">
      <c r="A243" s="27" t="str">
        <f>IFERROR(__xludf.DUMMYFUNCTION("""COMPUTED_VALUE"""),"")</f>
        <v/>
      </c>
      <c r="B243" s="28"/>
      <c r="C243" s="28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R243" s="28" t="str">
        <f t="shared" si="9"/>
        <v/>
      </c>
    </row>
    <row r="244">
      <c r="A244" s="27" t="str">
        <f>IFERROR(__xludf.DUMMYFUNCTION("""COMPUTED_VALUE"""),"")</f>
        <v/>
      </c>
      <c r="B244" s="28"/>
      <c r="C244" s="28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R244" s="28" t="str">
        <f t="shared" si="9"/>
        <v/>
      </c>
    </row>
    <row r="245">
      <c r="A245" s="27" t="str">
        <f>IFERROR(__xludf.DUMMYFUNCTION("""COMPUTED_VALUE"""),"")</f>
        <v/>
      </c>
      <c r="B245" s="28"/>
      <c r="C245" s="28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R245" s="28" t="str">
        <f t="shared" si="9"/>
        <v/>
      </c>
    </row>
    <row r="246">
      <c r="A246" s="27" t="str">
        <f>IFERROR(__xludf.DUMMYFUNCTION("""COMPUTED_VALUE"""),"")</f>
        <v/>
      </c>
      <c r="B246" s="28"/>
      <c r="C246" s="28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R246" s="28" t="str">
        <f t="shared" si="9"/>
        <v/>
      </c>
    </row>
    <row r="247">
      <c r="A247" s="27" t="str">
        <f>IFERROR(__xludf.DUMMYFUNCTION("""COMPUTED_VALUE"""),"")</f>
        <v/>
      </c>
      <c r="B247" s="28"/>
      <c r="C247" s="28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R247" s="28" t="str">
        <f t="shared" si="9"/>
        <v/>
      </c>
    </row>
    <row r="248">
      <c r="A248" s="27" t="str">
        <f>IFERROR(__xludf.DUMMYFUNCTION("""COMPUTED_VALUE"""),"")</f>
        <v/>
      </c>
      <c r="B248" s="28"/>
      <c r="C248" s="28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R248" s="28" t="str">
        <f t="shared" si="9"/>
        <v/>
      </c>
    </row>
    <row r="249">
      <c r="A249" s="27" t="str">
        <f>IFERROR(__xludf.DUMMYFUNCTION("""COMPUTED_VALUE"""),"")</f>
        <v/>
      </c>
      <c r="B249" s="28"/>
      <c r="C249" s="28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R249" s="28" t="str">
        <f t="shared" si="9"/>
        <v/>
      </c>
    </row>
    <row r="250">
      <c r="A250" s="27" t="str">
        <f>IFERROR(__xludf.DUMMYFUNCTION("""COMPUTED_VALUE"""),"")</f>
        <v/>
      </c>
      <c r="B250" s="28"/>
      <c r="C250" s="28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R250" s="28" t="str">
        <f t="shared" si="9"/>
        <v/>
      </c>
    </row>
    <row r="251">
      <c r="A251" s="27" t="str">
        <f>IFERROR(__xludf.DUMMYFUNCTION("""COMPUTED_VALUE"""),"")</f>
        <v/>
      </c>
      <c r="B251" s="28"/>
      <c r="C251" s="28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R251" s="28" t="str">
        <f t="shared" si="9"/>
        <v/>
      </c>
    </row>
    <row r="252">
      <c r="A252" s="27" t="str">
        <f>IFERROR(__xludf.DUMMYFUNCTION("""COMPUTED_VALUE"""),"")</f>
        <v/>
      </c>
      <c r="B252" s="28"/>
      <c r="C252" s="28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R252" s="28" t="str">
        <f t="shared" si="9"/>
        <v/>
      </c>
    </row>
    <row r="253">
      <c r="A253" s="27" t="str">
        <f>IFERROR(__xludf.DUMMYFUNCTION("""COMPUTED_VALUE"""),"")</f>
        <v/>
      </c>
      <c r="B253" s="28"/>
      <c r="C253" s="28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R253" s="28" t="str">
        <f t="shared" si="9"/>
        <v/>
      </c>
    </row>
    <row r="254">
      <c r="A254" s="27" t="str">
        <f>IFERROR(__xludf.DUMMYFUNCTION("""COMPUTED_VALUE"""),"")</f>
        <v/>
      </c>
      <c r="B254" s="28"/>
      <c r="C254" s="28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R254" s="28" t="str">
        <f t="shared" si="9"/>
        <v/>
      </c>
    </row>
    <row r="255">
      <c r="A255" s="27" t="str">
        <f>IFERROR(__xludf.DUMMYFUNCTION("""COMPUTED_VALUE"""),"")</f>
        <v/>
      </c>
      <c r="B255" s="28"/>
      <c r="C255" s="28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R255" s="28" t="str">
        <f t="shared" si="9"/>
        <v/>
      </c>
    </row>
    <row r="256">
      <c r="A256" s="27" t="str">
        <f>IFERROR(__xludf.DUMMYFUNCTION("""COMPUTED_VALUE"""),"")</f>
        <v/>
      </c>
      <c r="B256" s="28"/>
      <c r="C256" s="28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R256" s="28" t="str">
        <f t="shared" si="9"/>
        <v/>
      </c>
    </row>
    <row r="257">
      <c r="A257" s="27" t="str">
        <f>IFERROR(__xludf.DUMMYFUNCTION("""COMPUTED_VALUE"""),"")</f>
        <v/>
      </c>
      <c r="B257" s="28"/>
      <c r="C257" s="28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R257" s="28" t="str">
        <f t="shared" si="9"/>
        <v/>
      </c>
    </row>
    <row r="258">
      <c r="A258" s="27" t="str">
        <f>IFERROR(__xludf.DUMMYFUNCTION("""COMPUTED_VALUE"""),"")</f>
        <v/>
      </c>
      <c r="B258" s="28"/>
      <c r="C258" s="28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R258" s="28" t="str">
        <f t="shared" si="9"/>
        <v/>
      </c>
    </row>
    <row r="259">
      <c r="A259" s="27" t="str">
        <f>IFERROR(__xludf.DUMMYFUNCTION("""COMPUTED_VALUE"""),"")</f>
        <v/>
      </c>
      <c r="B259" s="28"/>
      <c r="C259" s="28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R259" s="28" t="str">
        <f t="shared" si="9"/>
        <v/>
      </c>
    </row>
    <row r="260">
      <c r="A260" s="27" t="str">
        <f>IFERROR(__xludf.DUMMYFUNCTION("""COMPUTED_VALUE"""),"")</f>
        <v/>
      </c>
      <c r="B260" s="28"/>
      <c r="C260" s="28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R260" s="28" t="str">
        <f t="shared" si="9"/>
        <v/>
      </c>
    </row>
    <row r="261">
      <c r="A261" s="27" t="str">
        <f>IFERROR(__xludf.DUMMYFUNCTION("""COMPUTED_VALUE"""),"")</f>
        <v/>
      </c>
      <c r="B261" s="28"/>
      <c r="C261" s="28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R261" s="28" t="str">
        <f t="shared" si="9"/>
        <v/>
      </c>
    </row>
    <row r="262">
      <c r="A262" s="27" t="str">
        <f>IFERROR(__xludf.DUMMYFUNCTION("""COMPUTED_VALUE"""),"")</f>
        <v/>
      </c>
      <c r="B262" s="28"/>
      <c r="C262" s="28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R262" s="28" t="str">
        <f t="shared" si="9"/>
        <v/>
      </c>
    </row>
    <row r="263">
      <c r="A263" s="27" t="str">
        <f>IFERROR(__xludf.DUMMYFUNCTION("""COMPUTED_VALUE"""),"")</f>
        <v/>
      </c>
      <c r="B263" s="28"/>
      <c r="C263" s="28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R263" s="28" t="str">
        <f t="shared" si="9"/>
        <v/>
      </c>
    </row>
    <row r="264">
      <c r="A264" s="27" t="str">
        <f>IFERROR(__xludf.DUMMYFUNCTION("""COMPUTED_VALUE"""),"")</f>
        <v/>
      </c>
      <c r="B264" s="28"/>
      <c r="C264" s="28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R264" s="28" t="str">
        <f t="shared" si="9"/>
        <v/>
      </c>
    </row>
    <row r="265">
      <c r="A265" s="27" t="str">
        <f>IFERROR(__xludf.DUMMYFUNCTION("""COMPUTED_VALUE"""),"")</f>
        <v/>
      </c>
      <c r="B265" s="28"/>
      <c r="C265" s="28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R265" s="28" t="str">
        <f t="shared" si="9"/>
        <v/>
      </c>
    </row>
    <row r="266">
      <c r="A266" s="27" t="str">
        <f>IFERROR(__xludf.DUMMYFUNCTION("""COMPUTED_VALUE"""),"")</f>
        <v/>
      </c>
      <c r="B266" s="28"/>
      <c r="C266" s="28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R266" s="28" t="str">
        <f t="shared" si="9"/>
        <v/>
      </c>
    </row>
    <row r="267">
      <c r="A267" s="27" t="str">
        <f>IFERROR(__xludf.DUMMYFUNCTION("""COMPUTED_VALUE"""),"")</f>
        <v/>
      </c>
      <c r="B267" s="28"/>
      <c r="C267" s="28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R267" s="28" t="str">
        <f t="shared" si="9"/>
        <v/>
      </c>
    </row>
    <row r="268">
      <c r="A268" s="27" t="str">
        <f>IFERROR(__xludf.DUMMYFUNCTION("""COMPUTED_VALUE"""),"")</f>
        <v/>
      </c>
      <c r="B268" s="28"/>
      <c r="C268" s="28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R268" s="28" t="str">
        <f t="shared" si="9"/>
        <v/>
      </c>
    </row>
    <row r="269">
      <c r="A269" s="27" t="str">
        <f>IFERROR(__xludf.DUMMYFUNCTION("""COMPUTED_VALUE"""),"")</f>
        <v/>
      </c>
      <c r="B269" s="28"/>
      <c r="C269" s="28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R269" s="28" t="str">
        <f t="shared" si="9"/>
        <v/>
      </c>
    </row>
    <row r="270">
      <c r="A270" s="27" t="str">
        <f>IFERROR(__xludf.DUMMYFUNCTION("""COMPUTED_VALUE"""),"")</f>
        <v/>
      </c>
      <c r="B270" s="28"/>
      <c r="C270" s="28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R270" s="28" t="str">
        <f t="shared" si="9"/>
        <v/>
      </c>
    </row>
    <row r="271">
      <c r="A271" s="27" t="str">
        <f>IFERROR(__xludf.DUMMYFUNCTION("""COMPUTED_VALUE"""),"")</f>
        <v/>
      </c>
      <c r="B271" s="28"/>
      <c r="C271" s="28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R271" s="28" t="str">
        <f t="shared" si="9"/>
        <v/>
      </c>
    </row>
    <row r="272">
      <c r="A272" s="27" t="str">
        <f>IFERROR(__xludf.DUMMYFUNCTION("""COMPUTED_VALUE"""),"")</f>
        <v/>
      </c>
      <c r="B272" s="28"/>
      <c r="C272" s="28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R272" s="28" t="str">
        <f t="shared" si="9"/>
        <v/>
      </c>
    </row>
    <row r="273">
      <c r="A273" s="27" t="str">
        <f>IFERROR(__xludf.DUMMYFUNCTION("""COMPUTED_VALUE"""),"")</f>
        <v/>
      </c>
      <c r="B273" s="28"/>
      <c r="C273" s="28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R273" s="28" t="str">
        <f t="shared" si="9"/>
        <v/>
      </c>
    </row>
    <row r="274">
      <c r="A274" s="27" t="str">
        <f>IFERROR(__xludf.DUMMYFUNCTION("""COMPUTED_VALUE"""),"")</f>
        <v/>
      </c>
      <c r="B274" s="28"/>
      <c r="C274" s="28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R274" s="28" t="str">
        <f t="shared" si="9"/>
        <v/>
      </c>
    </row>
    <row r="275">
      <c r="A275" s="27" t="str">
        <f>IFERROR(__xludf.DUMMYFUNCTION("""COMPUTED_VALUE"""),"")</f>
        <v/>
      </c>
      <c r="B275" s="28"/>
      <c r="C275" s="28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R275" s="28" t="str">
        <f t="shared" si="9"/>
        <v/>
      </c>
    </row>
    <row r="276">
      <c r="A276" s="27" t="str">
        <f>IFERROR(__xludf.DUMMYFUNCTION("""COMPUTED_VALUE"""),"")</f>
        <v/>
      </c>
      <c r="B276" s="28"/>
      <c r="C276" s="28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R276" s="28" t="str">
        <f t="shared" si="9"/>
        <v/>
      </c>
    </row>
    <row r="277">
      <c r="A277" s="27" t="str">
        <f>IFERROR(__xludf.DUMMYFUNCTION("""COMPUTED_VALUE"""),"")</f>
        <v/>
      </c>
      <c r="B277" s="28"/>
      <c r="C277" s="28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R277" s="28" t="str">
        <f t="shared" si="9"/>
        <v/>
      </c>
    </row>
    <row r="278">
      <c r="A278" s="27" t="str">
        <f>IFERROR(__xludf.DUMMYFUNCTION("""COMPUTED_VALUE"""),"")</f>
        <v/>
      </c>
      <c r="B278" s="28"/>
      <c r="C278" s="28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R278" s="28" t="str">
        <f t="shared" si="9"/>
        <v/>
      </c>
    </row>
    <row r="279">
      <c r="A279" s="27" t="str">
        <f>IFERROR(__xludf.DUMMYFUNCTION("""COMPUTED_VALUE"""),"")</f>
        <v/>
      </c>
      <c r="B279" s="28"/>
      <c r="C279" s="28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R279" s="28" t="str">
        <f t="shared" si="9"/>
        <v/>
      </c>
    </row>
    <row r="280">
      <c r="A280" s="27" t="str">
        <f>IFERROR(__xludf.DUMMYFUNCTION("""COMPUTED_VALUE"""),"")</f>
        <v/>
      </c>
      <c r="B280" s="28"/>
      <c r="C280" s="28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R280" s="28" t="str">
        <f t="shared" si="9"/>
        <v/>
      </c>
    </row>
    <row r="281">
      <c r="A281" s="27" t="str">
        <f>IFERROR(__xludf.DUMMYFUNCTION("""COMPUTED_VALUE"""),"")</f>
        <v/>
      </c>
      <c r="B281" s="28"/>
      <c r="C281" s="28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R281" s="28" t="str">
        <f t="shared" si="9"/>
        <v/>
      </c>
    </row>
    <row r="282">
      <c r="A282" s="27" t="str">
        <f>IFERROR(__xludf.DUMMYFUNCTION("""COMPUTED_VALUE"""),"")</f>
        <v/>
      </c>
      <c r="B282" s="28"/>
      <c r="C282" s="28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R282" s="28" t="str">
        <f t="shared" si="9"/>
        <v/>
      </c>
    </row>
    <row r="283">
      <c r="A283" s="27" t="str">
        <f>IFERROR(__xludf.DUMMYFUNCTION("""COMPUTED_VALUE"""),"")</f>
        <v/>
      </c>
      <c r="B283" s="28"/>
      <c r="C283" s="28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R283" s="28" t="str">
        <f t="shared" si="9"/>
        <v/>
      </c>
    </row>
    <row r="284">
      <c r="A284" s="27" t="str">
        <f>IFERROR(__xludf.DUMMYFUNCTION("""COMPUTED_VALUE"""),"")</f>
        <v/>
      </c>
      <c r="B284" s="28"/>
      <c r="C284" s="28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R284" s="28" t="str">
        <f t="shared" si="9"/>
        <v/>
      </c>
    </row>
    <row r="285">
      <c r="A285" s="27" t="str">
        <f>IFERROR(__xludf.DUMMYFUNCTION("""COMPUTED_VALUE"""),"")</f>
        <v/>
      </c>
      <c r="B285" s="28"/>
      <c r="C285" s="28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R285" s="28" t="str">
        <f t="shared" si="9"/>
        <v/>
      </c>
    </row>
    <row r="286">
      <c r="A286" s="27" t="str">
        <f>IFERROR(__xludf.DUMMYFUNCTION("""COMPUTED_VALUE"""),"")</f>
        <v/>
      </c>
      <c r="B286" s="28"/>
      <c r="C286" s="28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R286" s="28" t="str">
        <f t="shared" si="9"/>
        <v/>
      </c>
    </row>
    <row r="287">
      <c r="A287" s="27" t="str">
        <f>IFERROR(__xludf.DUMMYFUNCTION("""COMPUTED_VALUE"""),"")</f>
        <v/>
      </c>
      <c r="B287" s="28"/>
      <c r="C287" s="28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R287" s="28" t="str">
        <f t="shared" si="9"/>
        <v/>
      </c>
    </row>
    <row r="288">
      <c r="A288" s="27" t="str">
        <f>IFERROR(__xludf.DUMMYFUNCTION("""COMPUTED_VALUE"""),"")</f>
        <v/>
      </c>
      <c r="B288" s="28"/>
      <c r="C288" s="28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R288" s="28" t="str">
        <f t="shared" si="9"/>
        <v/>
      </c>
    </row>
    <row r="289">
      <c r="A289" s="27" t="str">
        <f>IFERROR(__xludf.DUMMYFUNCTION("""COMPUTED_VALUE"""),"")</f>
        <v/>
      </c>
      <c r="B289" s="28"/>
      <c r="C289" s="28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R289" s="28" t="str">
        <f t="shared" si="9"/>
        <v/>
      </c>
    </row>
    <row r="290">
      <c r="A290" s="27" t="str">
        <f>IFERROR(__xludf.DUMMYFUNCTION("""COMPUTED_VALUE"""),"")</f>
        <v/>
      </c>
      <c r="B290" s="28"/>
      <c r="C290" s="28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R290" s="28" t="str">
        <f t="shared" si="9"/>
        <v/>
      </c>
    </row>
    <row r="291">
      <c r="A291" s="27" t="str">
        <f>IFERROR(__xludf.DUMMYFUNCTION("""COMPUTED_VALUE"""),"")</f>
        <v/>
      </c>
      <c r="B291" s="28"/>
      <c r="C291" s="28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R291" s="28" t="str">
        <f t="shared" si="9"/>
        <v/>
      </c>
    </row>
    <row r="292">
      <c r="A292" s="27" t="str">
        <f>IFERROR(__xludf.DUMMYFUNCTION("""COMPUTED_VALUE"""),"")</f>
        <v/>
      </c>
      <c r="B292" s="28"/>
      <c r="C292" s="28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R292" s="28" t="str">
        <f t="shared" si="9"/>
        <v/>
      </c>
    </row>
    <row r="293">
      <c r="A293" s="27" t="str">
        <f>IFERROR(__xludf.DUMMYFUNCTION("""COMPUTED_VALUE"""),"")</f>
        <v/>
      </c>
      <c r="B293" s="28"/>
      <c r="C293" s="28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R293" s="28" t="str">
        <f t="shared" si="9"/>
        <v/>
      </c>
    </row>
    <row r="294">
      <c r="A294" s="27" t="str">
        <f>IFERROR(__xludf.DUMMYFUNCTION("""COMPUTED_VALUE"""),"")</f>
        <v/>
      </c>
      <c r="B294" s="28"/>
      <c r="C294" s="28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R294" s="28" t="str">
        <f t="shared" si="9"/>
        <v/>
      </c>
    </row>
    <row r="295">
      <c r="A295" s="27" t="str">
        <f>IFERROR(__xludf.DUMMYFUNCTION("""COMPUTED_VALUE"""),"")</f>
        <v/>
      </c>
      <c r="B295" s="28"/>
      <c r="C295" s="28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R295" s="28" t="str">
        <f t="shared" si="9"/>
        <v/>
      </c>
    </row>
    <row r="296">
      <c r="A296" s="27" t="str">
        <f>IFERROR(__xludf.DUMMYFUNCTION("""COMPUTED_VALUE"""),"")</f>
        <v/>
      </c>
      <c r="B296" s="28"/>
      <c r="C296" s="28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R296" s="28" t="str">
        <f t="shared" si="9"/>
        <v/>
      </c>
    </row>
    <row r="297">
      <c r="A297" s="27" t="str">
        <f>IFERROR(__xludf.DUMMYFUNCTION("""COMPUTED_VALUE"""),"")</f>
        <v/>
      </c>
      <c r="B297" s="28"/>
      <c r="C297" s="28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R297" s="28" t="str">
        <f t="shared" si="9"/>
        <v/>
      </c>
    </row>
    <row r="298">
      <c r="A298" s="27" t="str">
        <f>IFERROR(__xludf.DUMMYFUNCTION("""COMPUTED_VALUE"""),"")</f>
        <v/>
      </c>
      <c r="B298" s="28"/>
      <c r="C298" s="28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R298" s="28" t="str">
        <f t="shared" si="9"/>
        <v/>
      </c>
    </row>
    <row r="299">
      <c r="A299" s="27" t="str">
        <f>IFERROR(__xludf.DUMMYFUNCTION("""COMPUTED_VALUE"""),"")</f>
        <v/>
      </c>
      <c r="B299" s="28"/>
      <c r="C299" s="28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R299" s="28" t="str">
        <f t="shared" si="9"/>
        <v/>
      </c>
    </row>
    <row r="300">
      <c r="A300" s="27" t="str">
        <f>IFERROR(__xludf.DUMMYFUNCTION("""COMPUTED_VALUE"""),"")</f>
        <v/>
      </c>
      <c r="B300" s="28"/>
      <c r="C300" s="28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R300" s="28" t="str">
        <f t="shared" si="9"/>
        <v/>
      </c>
    </row>
    <row r="301">
      <c r="A301" s="27" t="str">
        <f>IFERROR(__xludf.DUMMYFUNCTION("""COMPUTED_VALUE"""),"")</f>
        <v/>
      </c>
      <c r="B301" s="28"/>
      <c r="C301" s="28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R301" s="28" t="str">
        <f t="shared" si="9"/>
        <v/>
      </c>
    </row>
    <row r="302">
      <c r="A302" s="27" t="str">
        <f>IFERROR(__xludf.DUMMYFUNCTION("""COMPUTED_VALUE"""),"")</f>
        <v/>
      </c>
      <c r="B302" s="28"/>
      <c r="C302" s="28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R302" s="28" t="str">
        <f t="shared" si="9"/>
        <v/>
      </c>
    </row>
    <row r="303">
      <c r="A303" s="27" t="str">
        <f>IFERROR(__xludf.DUMMYFUNCTION("""COMPUTED_VALUE"""),"")</f>
        <v/>
      </c>
      <c r="B303" s="28"/>
      <c r="C303" s="28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R303" s="28" t="str">
        <f t="shared" si="9"/>
        <v/>
      </c>
    </row>
    <row r="304">
      <c r="A304" s="27" t="str">
        <f>IFERROR(__xludf.DUMMYFUNCTION("""COMPUTED_VALUE"""),"")</f>
        <v/>
      </c>
      <c r="B304" s="28"/>
      <c r="C304" s="28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R304" s="28" t="str">
        <f t="shared" si="9"/>
        <v/>
      </c>
    </row>
    <row r="305">
      <c r="A305" s="27" t="str">
        <f>IFERROR(__xludf.DUMMYFUNCTION("""COMPUTED_VALUE"""),"")</f>
        <v/>
      </c>
      <c r="B305" s="28"/>
      <c r="C305" s="28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R305" s="28" t="str">
        <f t="shared" si="9"/>
        <v/>
      </c>
    </row>
    <row r="306">
      <c r="A306" s="27" t="str">
        <f>IFERROR(__xludf.DUMMYFUNCTION("""COMPUTED_VALUE"""),"")</f>
        <v/>
      </c>
      <c r="B306" s="28"/>
      <c r="C306" s="28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R306" s="28" t="str">
        <f t="shared" si="9"/>
        <v/>
      </c>
    </row>
    <row r="307">
      <c r="A307" s="27" t="str">
        <f>IFERROR(__xludf.DUMMYFUNCTION("""COMPUTED_VALUE"""),"")</f>
        <v/>
      </c>
      <c r="B307" s="28"/>
      <c r="C307" s="28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R307" s="28" t="str">
        <f t="shared" si="9"/>
        <v/>
      </c>
    </row>
    <row r="308">
      <c r="A308" s="27" t="str">
        <f>IFERROR(__xludf.DUMMYFUNCTION("""COMPUTED_VALUE"""),"")</f>
        <v/>
      </c>
      <c r="B308" s="28"/>
      <c r="C308" s="28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R308" s="28" t="str">
        <f t="shared" si="9"/>
        <v/>
      </c>
    </row>
    <row r="309">
      <c r="A309" s="27" t="str">
        <f>IFERROR(__xludf.DUMMYFUNCTION("""COMPUTED_VALUE"""),"")</f>
        <v/>
      </c>
      <c r="B309" s="28"/>
      <c r="C309" s="28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R309" s="28" t="str">
        <f t="shared" si="9"/>
        <v/>
      </c>
    </row>
    <row r="310">
      <c r="A310" s="27" t="str">
        <f>IFERROR(__xludf.DUMMYFUNCTION("""COMPUTED_VALUE"""),"")</f>
        <v/>
      </c>
      <c r="B310" s="28"/>
      <c r="C310" s="28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R310" s="28" t="str">
        <f t="shared" si="9"/>
        <v/>
      </c>
    </row>
    <row r="311">
      <c r="A311" s="27" t="str">
        <f>IFERROR(__xludf.DUMMYFUNCTION("""COMPUTED_VALUE"""),"")</f>
        <v/>
      </c>
      <c r="B311" s="28"/>
      <c r="C311" s="28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R311" s="28" t="str">
        <f t="shared" si="9"/>
        <v/>
      </c>
    </row>
    <row r="312">
      <c r="A312" s="27" t="str">
        <f>IFERROR(__xludf.DUMMYFUNCTION("""COMPUTED_VALUE"""),"")</f>
        <v/>
      </c>
      <c r="B312" s="28"/>
      <c r="C312" s="28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R312" s="28" t="str">
        <f t="shared" si="9"/>
        <v/>
      </c>
    </row>
    <row r="313">
      <c r="A313" s="27" t="str">
        <f>IFERROR(__xludf.DUMMYFUNCTION("""COMPUTED_VALUE"""),"")</f>
        <v/>
      </c>
      <c r="B313" s="28"/>
      <c r="C313" s="28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R313" s="28" t="str">
        <f t="shared" si="9"/>
        <v/>
      </c>
    </row>
    <row r="314">
      <c r="A314" s="27" t="str">
        <f>IFERROR(__xludf.DUMMYFUNCTION("""COMPUTED_VALUE"""),"")</f>
        <v/>
      </c>
      <c r="B314" s="28"/>
      <c r="C314" s="28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R314" s="28" t="str">
        <f t="shared" si="9"/>
        <v/>
      </c>
    </row>
    <row r="315">
      <c r="A315" s="27" t="str">
        <f>IFERROR(__xludf.DUMMYFUNCTION("""COMPUTED_VALUE"""),"")</f>
        <v/>
      </c>
      <c r="B315" s="28"/>
      <c r="C315" s="28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R315" s="28" t="str">
        <f t="shared" si="9"/>
        <v/>
      </c>
    </row>
    <row r="316">
      <c r="A316" s="27" t="str">
        <f>IFERROR(__xludf.DUMMYFUNCTION("""COMPUTED_VALUE"""),"")</f>
        <v/>
      </c>
      <c r="B316" s="28"/>
      <c r="C316" s="28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R316" s="28" t="str">
        <f t="shared" si="9"/>
        <v/>
      </c>
    </row>
    <row r="317">
      <c r="A317" s="27" t="str">
        <f>IFERROR(__xludf.DUMMYFUNCTION("""COMPUTED_VALUE"""),"")</f>
        <v/>
      </c>
      <c r="B317" s="28"/>
      <c r="C317" s="28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R317" s="28" t="str">
        <f t="shared" si="9"/>
        <v/>
      </c>
    </row>
    <row r="318">
      <c r="A318" s="27" t="str">
        <f>IFERROR(__xludf.DUMMYFUNCTION("""COMPUTED_VALUE"""),"")</f>
        <v/>
      </c>
      <c r="B318" s="28"/>
      <c r="C318" s="28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R318" s="28" t="str">
        <f t="shared" si="9"/>
        <v/>
      </c>
    </row>
    <row r="319">
      <c r="A319" s="27" t="str">
        <f>IFERROR(__xludf.DUMMYFUNCTION("""COMPUTED_VALUE"""),"")</f>
        <v/>
      </c>
      <c r="B319" s="28"/>
      <c r="C319" s="28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R319" s="28" t="str">
        <f t="shared" si="9"/>
        <v/>
      </c>
    </row>
    <row r="320">
      <c r="A320" s="27" t="str">
        <f>IFERROR(__xludf.DUMMYFUNCTION("""COMPUTED_VALUE"""),"")</f>
        <v/>
      </c>
      <c r="B320" s="28"/>
      <c r="C320" s="28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R320" s="28" t="str">
        <f t="shared" si="9"/>
        <v/>
      </c>
    </row>
    <row r="321">
      <c r="A321" s="27" t="str">
        <f>IFERROR(__xludf.DUMMYFUNCTION("""COMPUTED_VALUE"""),"")</f>
        <v/>
      </c>
      <c r="B321" s="28"/>
      <c r="C321" s="28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R321" s="28" t="str">
        <f t="shared" si="9"/>
        <v/>
      </c>
    </row>
    <row r="322">
      <c r="A322" s="27" t="str">
        <f>IFERROR(__xludf.DUMMYFUNCTION("""COMPUTED_VALUE"""),"")</f>
        <v/>
      </c>
      <c r="B322" s="28"/>
      <c r="C322" s="28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R322" s="28" t="str">
        <f t="shared" si="9"/>
        <v/>
      </c>
    </row>
    <row r="323">
      <c r="A323" s="27" t="str">
        <f>IFERROR(__xludf.DUMMYFUNCTION("""COMPUTED_VALUE"""),"")</f>
        <v/>
      </c>
      <c r="B323" s="28"/>
      <c r="C323" s="28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R323" s="28" t="str">
        <f t="shared" si="9"/>
        <v/>
      </c>
    </row>
    <row r="324">
      <c r="A324" s="27" t="str">
        <f>IFERROR(__xludf.DUMMYFUNCTION("""COMPUTED_VALUE"""),"")</f>
        <v/>
      </c>
      <c r="B324" s="28"/>
      <c r="C324" s="28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R324" s="28" t="str">
        <f t="shared" si="9"/>
        <v/>
      </c>
    </row>
    <row r="325">
      <c r="A325" s="27" t="str">
        <f>IFERROR(__xludf.DUMMYFUNCTION("""COMPUTED_VALUE"""),"")</f>
        <v/>
      </c>
      <c r="B325" s="28"/>
      <c r="C325" s="28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R325" s="28" t="str">
        <f t="shared" si="9"/>
        <v/>
      </c>
    </row>
    <row r="326">
      <c r="A326" s="27" t="str">
        <f>IFERROR(__xludf.DUMMYFUNCTION("""COMPUTED_VALUE"""),"")</f>
        <v/>
      </c>
      <c r="B326" s="28"/>
      <c r="C326" s="28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R326" s="28" t="str">
        <f t="shared" si="9"/>
        <v/>
      </c>
    </row>
    <row r="327">
      <c r="A327" s="27" t="str">
        <f>IFERROR(__xludf.DUMMYFUNCTION("""COMPUTED_VALUE"""),"")</f>
        <v/>
      </c>
      <c r="B327" s="28"/>
      <c r="C327" s="28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R327" s="28" t="str">
        <f t="shared" si="9"/>
        <v/>
      </c>
    </row>
    <row r="328">
      <c r="A328" s="27" t="str">
        <f>IFERROR(__xludf.DUMMYFUNCTION("""COMPUTED_VALUE"""),"")</f>
        <v/>
      </c>
      <c r="B328" s="28"/>
      <c r="C328" s="28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R328" s="28" t="str">
        <f t="shared" si="9"/>
        <v/>
      </c>
    </row>
    <row r="329">
      <c r="A329" s="27" t="str">
        <f>IFERROR(__xludf.DUMMYFUNCTION("""COMPUTED_VALUE"""),"")</f>
        <v/>
      </c>
      <c r="B329" s="28"/>
      <c r="C329" s="28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R329" s="28" t="str">
        <f t="shared" si="9"/>
        <v/>
      </c>
    </row>
    <row r="330">
      <c r="A330" s="27" t="str">
        <f>IFERROR(__xludf.DUMMYFUNCTION("""COMPUTED_VALUE"""),"")</f>
        <v/>
      </c>
      <c r="B330" s="28"/>
      <c r="C330" s="28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R330" s="28" t="str">
        <f t="shared" si="9"/>
        <v/>
      </c>
    </row>
    <row r="331">
      <c r="A331" s="27" t="str">
        <f>IFERROR(__xludf.DUMMYFUNCTION("""COMPUTED_VALUE"""),"")</f>
        <v/>
      </c>
      <c r="B331" s="28"/>
      <c r="C331" s="28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R331" s="28" t="str">
        <f t="shared" si="9"/>
        <v/>
      </c>
    </row>
    <row r="332">
      <c r="A332" s="27" t="str">
        <f>IFERROR(__xludf.DUMMYFUNCTION("""COMPUTED_VALUE"""),"")</f>
        <v/>
      </c>
      <c r="B332" s="28"/>
      <c r="C332" s="28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R332" s="28" t="str">
        <f t="shared" si="9"/>
        <v/>
      </c>
    </row>
    <row r="333">
      <c r="A333" s="27" t="str">
        <f>IFERROR(__xludf.DUMMYFUNCTION("""COMPUTED_VALUE"""),"")</f>
        <v/>
      </c>
      <c r="B333" s="28"/>
      <c r="C333" s="28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R333" s="28" t="str">
        <f t="shared" si="9"/>
        <v/>
      </c>
    </row>
    <row r="334">
      <c r="A334" s="27" t="str">
        <f>IFERROR(__xludf.DUMMYFUNCTION("""COMPUTED_VALUE"""),"")</f>
        <v/>
      </c>
      <c r="B334" s="28"/>
      <c r="C334" s="28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R334" s="28" t="str">
        <f t="shared" si="9"/>
        <v/>
      </c>
    </row>
    <row r="335">
      <c r="A335" s="27" t="str">
        <f>IFERROR(__xludf.DUMMYFUNCTION("""COMPUTED_VALUE"""),"")</f>
        <v/>
      </c>
      <c r="B335" s="28"/>
      <c r="C335" s="28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R335" s="28" t="str">
        <f t="shared" si="9"/>
        <v/>
      </c>
    </row>
    <row r="336">
      <c r="A336" s="27" t="str">
        <f>IFERROR(__xludf.DUMMYFUNCTION("""COMPUTED_VALUE"""),"")</f>
        <v/>
      </c>
      <c r="B336" s="28"/>
      <c r="C336" s="28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R336" s="28" t="str">
        <f t="shared" si="9"/>
        <v/>
      </c>
    </row>
    <row r="337">
      <c r="A337" s="27" t="str">
        <f>IFERROR(__xludf.DUMMYFUNCTION("""COMPUTED_VALUE"""),"")</f>
        <v/>
      </c>
      <c r="B337" s="28"/>
      <c r="C337" s="28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R337" s="28" t="str">
        <f t="shared" si="9"/>
        <v/>
      </c>
    </row>
    <row r="338">
      <c r="A338" s="27" t="str">
        <f>IFERROR(__xludf.DUMMYFUNCTION("""COMPUTED_VALUE"""),"")</f>
        <v/>
      </c>
      <c r="B338" s="28"/>
      <c r="C338" s="28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R338" s="28" t="str">
        <f t="shared" si="9"/>
        <v/>
      </c>
    </row>
    <row r="339">
      <c r="A339" s="27" t="str">
        <f>IFERROR(__xludf.DUMMYFUNCTION("""COMPUTED_VALUE"""),"")</f>
        <v/>
      </c>
      <c r="B339" s="28"/>
      <c r="C339" s="28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R339" s="28" t="str">
        <f t="shared" si="9"/>
        <v/>
      </c>
    </row>
    <row r="340">
      <c r="A340" s="27" t="str">
        <f>IFERROR(__xludf.DUMMYFUNCTION("""COMPUTED_VALUE"""),"")</f>
        <v/>
      </c>
      <c r="B340" s="28"/>
      <c r="C340" s="28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R340" s="28" t="str">
        <f t="shared" si="9"/>
        <v/>
      </c>
    </row>
    <row r="341">
      <c r="A341" s="27" t="str">
        <f>IFERROR(__xludf.DUMMYFUNCTION("""COMPUTED_VALUE"""),"")</f>
        <v/>
      </c>
      <c r="B341" s="28"/>
      <c r="C341" s="28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R341" s="28" t="str">
        <f t="shared" si="9"/>
        <v/>
      </c>
    </row>
    <row r="342">
      <c r="A342" s="27" t="str">
        <f>IFERROR(__xludf.DUMMYFUNCTION("""COMPUTED_VALUE"""),"")</f>
        <v/>
      </c>
      <c r="B342" s="28"/>
      <c r="C342" s="28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R342" s="28" t="str">
        <f t="shared" si="9"/>
        <v/>
      </c>
    </row>
    <row r="343">
      <c r="A343" s="27" t="str">
        <f>IFERROR(__xludf.DUMMYFUNCTION("""COMPUTED_VALUE"""),"")</f>
        <v/>
      </c>
      <c r="B343" s="28"/>
      <c r="C343" s="28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R343" s="28" t="str">
        <f t="shared" si="9"/>
        <v/>
      </c>
    </row>
    <row r="344">
      <c r="A344" s="27" t="str">
        <f>IFERROR(__xludf.DUMMYFUNCTION("""COMPUTED_VALUE"""),"")</f>
        <v/>
      </c>
      <c r="B344" s="28"/>
      <c r="C344" s="28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R344" s="28" t="str">
        <f t="shared" si="9"/>
        <v/>
      </c>
    </row>
    <row r="345">
      <c r="A345" s="27" t="str">
        <f>IFERROR(__xludf.DUMMYFUNCTION("""COMPUTED_VALUE"""),"")</f>
        <v/>
      </c>
      <c r="B345" s="28"/>
      <c r="C345" s="28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R345" s="28" t="str">
        <f t="shared" si="9"/>
        <v/>
      </c>
    </row>
    <row r="346">
      <c r="A346" s="27" t="str">
        <f>IFERROR(__xludf.DUMMYFUNCTION("""COMPUTED_VALUE"""),"")</f>
        <v/>
      </c>
      <c r="B346" s="28"/>
      <c r="C346" s="28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R346" s="28" t="str">
        <f t="shared" si="9"/>
        <v/>
      </c>
    </row>
    <row r="347">
      <c r="A347" s="27" t="str">
        <f>IFERROR(__xludf.DUMMYFUNCTION("""COMPUTED_VALUE"""),"")</f>
        <v/>
      </c>
      <c r="B347" s="28"/>
      <c r="C347" s="28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R347" s="28" t="str">
        <f t="shared" si="9"/>
        <v/>
      </c>
    </row>
    <row r="348">
      <c r="A348" s="27" t="str">
        <f>IFERROR(__xludf.DUMMYFUNCTION("""COMPUTED_VALUE"""),"")</f>
        <v/>
      </c>
      <c r="B348" s="28"/>
      <c r="C348" s="28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R348" s="28" t="str">
        <f t="shared" si="9"/>
        <v/>
      </c>
    </row>
    <row r="349">
      <c r="A349" s="27" t="str">
        <f>IFERROR(__xludf.DUMMYFUNCTION("""COMPUTED_VALUE"""),"")</f>
        <v/>
      </c>
      <c r="B349" s="28"/>
      <c r="C349" s="28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  <c r="R349" s="28" t="str">
        <f t="shared" si="9"/>
        <v/>
      </c>
    </row>
    <row r="350">
      <c r="A350" s="27" t="str">
        <f>IFERROR(__xludf.DUMMYFUNCTION("""COMPUTED_VALUE"""),"")</f>
        <v/>
      </c>
      <c r="B350" s="28"/>
      <c r="C350" s="28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  <c r="R350" s="28" t="str">
        <f t="shared" si="9"/>
        <v/>
      </c>
    </row>
    <row r="351">
      <c r="A351" s="27" t="str">
        <f>IFERROR(__xludf.DUMMYFUNCTION("""COMPUTED_VALUE"""),"")</f>
        <v/>
      </c>
      <c r="B351" s="28"/>
      <c r="C351" s="28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  <c r="R351" s="28" t="str">
        <f t="shared" si="9"/>
        <v/>
      </c>
    </row>
    <row r="352">
      <c r="A352" s="27" t="str">
        <f>IFERROR(__xludf.DUMMYFUNCTION("""COMPUTED_VALUE"""),"")</f>
        <v/>
      </c>
      <c r="B352" s="28"/>
      <c r="C352" s="28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  <c r="R352" s="28" t="str">
        <f t="shared" si="9"/>
        <v/>
      </c>
    </row>
    <row r="353">
      <c r="A353" s="27" t="str">
        <f>IFERROR(__xludf.DUMMYFUNCTION("""COMPUTED_VALUE"""),"")</f>
        <v/>
      </c>
      <c r="B353" s="28"/>
      <c r="C353" s="28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  <c r="R353" s="28" t="str">
        <f t="shared" si="9"/>
        <v/>
      </c>
    </row>
    <row r="354">
      <c r="A354" s="27" t="str">
        <f>IFERROR(__xludf.DUMMYFUNCTION("""COMPUTED_VALUE"""),"")</f>
        <v/>
      </c>
      <c r="B354" s="28"/>
      <c r="C354" s="28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  <c r="R354" s="28" t="str">
        <f t="shared" si="9"/>
        <v/>
      </c>
    </row>
    <row r="355">
      <c r="A355" s="27" t="str">
        <f>IFERROR(__xludf.DUMMYFUNCTION("""COMPUTED_VALUE"""),"")</f>
        <v/>
      </c>
      <c r="B355" s="28"/>
      <c r="C355" s="28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  <c r="R355" s="28" t="str">
        <f t="shared" si="9"/>
        <v/>
      </c>
    </row>
    <row r="356">
      <c r="A356" s="27" t="str">
        <f>IFERROR(__xludf.DUMMYFUNCTION("""COMPUTED_VALUE"""),"")</f>
        <v/>
      </c>
      <c r="B356" s="28"/>
      <c r="C356" s="28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  <c r="R356" s="28" t="str">
        <f t="shared" si="9"/>
        <v/>
      </c>
    </row>
    <row r="357">
      <c r="A357" s="27" t="str">
        <f>IFERROR(__xludf.DUMMYFUNCTION("""COMPUTED_VALUE"""),"")</f>
        <v/>
      </c>
      <c r="B357" s="28"/>
      <c r="C357" s="28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  <c r="R357" s="28" t="str">
        <f t="shared" si="9"/>
        <v/>
      </c>
    </row>
    <row r="358">
      <c r="A358" s="27" t="str">
        <f>IFERROR(__xludf.DUMMYFUNCTION("""COMPUTED_VALUE"""),"")</f>
        <v/>
      </c>
      <c r="B358" s="28"/>
      <c r="C358" s="28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  <c r="R358" s="28" t="str">
        <f t="shared" si="9"/>
        <v/>
      </c>
    </row>
    <row r="359">
      <c r="A359" s="27" t="str">
        <f>IFERROR(__xludf.DUMMYFUNCTION("""COMPUTED_VALUE"""),"")</f>
        <v/>
      </c>
      <c r="B359" s="28"/>
      <c r="C359" s="28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  <c r="R359" s="28" t="str">
        <f t="shared" si="9"/>
        <v/>
      </c>
    </row>
    <row r="360">
      <c r="A360" s="27" t="str">
        <f>IFERROR(__xludf.DUMMYFUNCTION("""COMPUTED_VALUE"""),"")</f>
        <v/>
      </c>
      <c r="B360" s="28"/>
      <c r="C360" s="28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  <c r="R360" s="28" t="str">
        <f t="shared" si="9"/>
        <v/>
      </c>
    </row>
    <row r="361">
      <c r="A361" s="27" t="str">
        <f>IFERROR(__xludf.DUMMYFUNCTION("""COMPUTED_VALUE"""),"")</f>
        <v/>
      </c>
      <c r="B361" s="28"/>
      <c r="C361" s="28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  <c r="R361" s="28" t="str">
        <f t="shared" si="9"/>
        <v/>
      </c>
    </row>
    <row r="362">
      <c r="A362" s="27" t="str">
        <f>IFERROR(__xludf.DUMMYFUNCTION("""COMPUTED_VALUE"""),"")</f>
        <v/>
      </c>
      <c r="B362" s="28"/>
      <c r="C362" s="28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  <c r="R362" s="28" t="str">
        <f t="shared" si="9"/>
        <v/>
      </c>
    </row>
    <row r="363">
      <c r="A363" s="27" t="str">
        <f>IFERROR(__xludf.DUMMYFUNCTION("""COMPUTED_VALUE"""),"")</f>
        <v/>
      </c>
      <c r="B363" s="28"/>
      <c r="C363" s="28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  <c r="R363" s="28" t="str">
        <f t="shared" si="9"/>
        <v/>
      </c>
    </row>
    <row r="364">
      <c r="A364" s="27" t="str">
        <f>IFERROR(__xludf.DUMMYFUNCTION("""COMPUTED_VALUE"""),"")</f>
        <v/>
      </c>
      <c r="B364" s="28"/>
      <c r="C364" s="28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R364" s="28" t="str">
        <f t="shared" si="9"/>
        <v/>
      </c>
    </row>
    <row r="365">
      <c r="A365" s="27" t="str">
        <f>IFERROR(__xludf.DUMMYFUNCTION("""COMPUTED_VALUE"""),"")</f>
        <v/>
      </c>
      <c r="B365" s="28"/>
      <c r="C365" s="28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R365" s="28" t="str">
        <f t="shared" si="9"/>
        <v/>
      </c>
    </row>
    <row r="366">
      <c r="A366" s="27" t="str">
        <f>IFERROR(__xludf.DUMMYFUNCTION("""COMPUTED_VALUE"""),"")</f>
        <v/>
      </c>
      <c r="B366" s="28"/>
      <c r="C366" s="28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R366" s="28" t="str">
        <f t="shared" si="9"/>
        <v/>
      </c>
    </row>
    <row r="367">
      <c r="A367" s="27" t="str">
        <f>IFERROR(__xludf.DUMMYFUNCTION("""COMPUTED_VALUE"""),"")</f>
        <v/>
      </c>
      <c r="B367" s="28"/>
      <c r="C367" s="28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R367" s="28" t="str">
        <f t="shared" si="9"/>
        <v/>
      </c>
    </row>
    <row r="368">
      <c r="A368" s="27" t="str">
        <f>IFERROR(__xludf.DUMMYFUNCTION("""COMPUTED_VALUE"""),"")</f>
        <v/>
      </c>
      <c r="B368" s="28"/>
      <c r="C368" s="28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R368" s="28" t="str">
        <f t="shared" si="9"/>
        <v/>
      </c>
    </row>
    <row r="369">
      <c r="A369" s="27" t="str">
        <f>IFERROR(__xludf.DUMMYFUNCTION("""COMPUTED_VALUE"""),"")</f>
        <v/>
      </c>
      <c r="B369" s="28"/>
      <c r="C369" s="28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R369" s="28" t="str">
        <f t="shared" si="9"/>
        <v/>
      </c>
    </row>
    <row r="370">
      <c r="A370" s="27" t="str">
        <f>IFERROR(__xludf.DUMMYFUNCTION("""COMPUTED_VALUE"""),"")</f>
        <v/>
      </c>
      <c r="B370" s="28"/>
      <c r="C370" s="28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R370" s="28" t="str">
        <f t="shared" si="9"/>
        <v/>
      </c>
    </row>
    <row r="371">
      <c r="A371" s="27" t="str">
        <f>IFERROR(__xludf.DUMMYFUNCTION("""COMPUTED_VALUE"""),"")</f>
        <v/>
      </c>
      <c r="B371" s="28"/>
      <c r="C371" s="28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R371" s="28" t="str">
        <f t="shared" si="9"/>
        <v/>
      </c>
    </row>
    <row r="372">
      <c r="A372" s="27" t="str">
        <f>IFERROR(__xludf.DUMMYFUNCTION("""COMPUTED_VALUE"""),"")</f>
        <v/>
      </c>
      <c r="B372" s="28"/>
      <c r="C372" s="28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R372" s="28" t="str">
        <f t="shared" si="9"/>
        <v/>
      </c>
    </row>
    <row r="373">
      <c r="A373" s="27" t="str">
        <f>IFERROR(__xludf.DUMMYFUNCTION("""COMPUTED_VALUE"""),"")</f>
        <v/>
      </c>
      <c r="B373" s="28"/>
      <c r="C373" s="28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R373" s="28" t="str">
        <f t="shared" si="9"/>
        <v/>
      </c>
    </row>
    <row r="374">
      <c r="A374" s="27" t="str">
        <f>IFERROR(__xludf.DUMMYFUNCTION("""COMPUTED_VALUE"""),"")</f>
        <v/>
      </c>
      <c r="B374" s="28"/>
      <c r="C374" s="28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R374" s="28" t="str">
        <f t="shared" si="9"/>
        <v/>
      </c>
    </row>
    <row r="375">
      <c r="A375" s="27" t="str">
        <f>IFERROR(__xludf.DUMMYFUNCTION("""COMPUTED_VALUE"""),"")</f>
        <v/>
      </c>
      <c r="B375" s="28"/>
      <c r="C375" s="28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R375" s="28" t="str">
        <f t="shared" si="9"/>
        <v/>
      </c>
    </row>
    <row r="376">
      <c r="A376" s="27" t="str">
        <f>IFERROR(__xludf.DUMMYFUNCTION("""COMPUTED_VALUE"""),"")</f>
        <v/>
      </c>
      <c r="B376" s="28"/>
      <c r="C376" s="28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R376" s="28" t="str">
        <f t="shared" si="9"/>
        <v/>
      </c>
    </row>
    <row r="377">
      <c r="A377" s="27" t="str">
        <f>IFERROR(__xludf.DUMMYFUNCTION("""COMPUTED_VALUE"""),"")</f>
        <v/>
      </c>
      <c r="B377" s="28"/>
      <c r="C377" s="28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R377" s="28" t="str">
        <f t="shared" si="9"/>
        <v/>
      </c>
    </row>
    <row r="378">
      <c r="A378" s="27" t="str">
        <f>IFERROR(__xludf.DUMMYFUNCTION("""COMPUTED_VALUE"""),"")</f>
        <v/>
      </c>
      <c r="B378" s="28"/>
      <c r="C378" s="28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R378" s="28" t="str">
        <f t="shared" si="9"/>
        <v/>
      </c>
    </row>
    <row r="379">
      <c r="A379" s="27" t="str">
        <f>IFERROR(__xludf.DUMMYFUNCTION("""COMPUTED_VALUE"""),"")</f>
        <v/>
      </c>
      <c r="B379" s="28"/>
      <c r="C379" s="28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R379" s="28" t="str">
        <f t="shared" si="9"/>
        <v/>
      </c>
    </row>
    <row r="380">
      <c r="A380" s="27" t="str">
        <f>IFERROR(__xludf.DUMMYFUNCTION("""COMPUTED_VALUE"""),"")</f>
        <v/>
      </c>
      <c r="B380" s="28"/>
      <c r="C380" s="28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R380" s="28" t="str">
        <f t="shared" si="9"/>
        <v/>
      </c>
    </row>
    <row r="381">
      <c r="A381" s="27" t="str">
        <f>IFERROR(__xludf.DUMMYFUNCTION("""COMPUTED_VALUE"""),"")</f>
        <v/>
      </c>
      <c r="B381" s="28"/>
      <c r="C381" s="28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R381" s="28" t="str">
        <f t="shared" si="9"/>
        <v/>
      </c>
    </row>
    <row r="382">
      <c r="A382" s="27" t="str">
        <f>IFERROR(__xludf.DUMMYFUNCTION("""COMPUTED_VALUE"""),"")</f>
        <v/>
      </c>
      <c r="B382" s="28"/>
      <c r="C382" s="28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R382" s="28" t="str">
        <f t="shared" si="9"/>
        <v/>
      </c>
    </row>
    <row r="383">
      <c r="A383" s="27" t="str">
        <f>IFERROR(__xludf.DUMMYFUNCTION("""COMPUTED_VALUE"""),"")</f>
        <v/>
      </c>
      <c r="B383" s="28"/>
      <c r="C383" s="28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R383" s="28" t="str">
        <f t="shared" si="9"/>
        <v/>
      </c>
    </row>
    <row r="384">
      <c r="A384" s="27" t="str">
        <f>IFERROR(__xludf.DUMMYFUNCTION("""COMPUTED_VALUE"""),"")</f>
        <v/>
      </c>
      <c r="B384" s="28"/>
      <c r="C384" s="28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R384" s="28" t="str">
        <f t="shared" si="9"/>
        <v/>
      </c>
    </row>
    <row r="385">
      <c r="A385" s="27" t="str">
        <f>IFERROR(__xludf.DUMMYFUNCTION("""COMPUTED_VALUE"""),"")</f>
        <v/>
      </c>
      <c r="B385" s="28"/>
      <c r="C385" s="28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R385" s="28" t="str">
        <f t="shared" si="9"/>
        <v/>
      </c>
    </row>
    <row r="386">
      <c r="A386" s="27" t="str">
        <f>IFERROR(__xludf.DUMMYFUNCTION("""COMPUTED_VALUE"""),"")</f>
        <v/>
      </c>
      <c r="B386" s="28"/>
      <c r="C386" s="28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R386" s="28" t="str">
        <f t="shared" si="9"/>
        <v/>
      </c>
    </row>
    <row r="387">
      <c r="A387" s="27" t="str">
        <f>IFERROR(__xludf.DUMMYFUNCTION("""COMPUTED_VALUE"""),"")</f>
        <v/>
      </c>
      <c r="B387" s="28"/>
      <c r="C387" s="28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R387" s="28" t="str">
        <f t="shared" si="9"/>
        <v/>
      </c>
    </row>
    <row r="388">
      <c r="A388" s="27" t="str">
        <f>IFERROR(__xludf.DUMMYFUNCTION("""COMPUTED_VALUE"""),"")</f>
        <v/>
      </c>
      <c r="B388" s="28"/>
      <c r="C388" s="28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R388" s="28" t="str">
        <f t="shared" si="9"/>
        <v/>
      </c>
    </row>
    <row r="389">
      <c r="A389" s="27" t="str">
        <f>IFERROR(__xludf.DUMMYFUNCTION("""COMPUTED_VALUE"""),"")</f>
        <v/>
      </c>
      <c r="B389" s="28"/>
      <c r="C389" s="28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R389" s="28" t="str">
        <f t="shared" si="9"/>
        <v/>
      </c>
    </row>
    <row r="390">
      <c r="A390" s="27" t="str">
        <f>IFERROR(__xludf.DUMMYFUNCTION("""COMPUTED_VALUE"""),"")</f>
        <v/>
      </c>
      <c r="B390" s="28"/>
      <c r="C390" s="28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</row>
    <row r="391">
      <c r="A391" s="27" t="str">
        <f>IFERROR(__xludf.DUMMYFUNCTION("""COMPUTED_VALUE"""),"")</f>
        <v/>
      </c>
      <c r="B391" s="28"/>
      <c r="C391" s="28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</row>
    <row r="392">
      <c r="A392" s="27" t="str">
        <f>IFERROR(__xludf.DUMMYFUNCTION("""COMPUTED_VALUE"""),"")</f>
        <v/>
      </c>
      <c r="B392" s="28"/>
      <c r="C392" s="28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</row>
    <row r="393">
      <c r="A393" s="27" t="str">
        <f>IFERROR(__xludf.DUMMYFUNCTION("""COMPUTED_VALUE"""),"")</f>
        <v/>
      </c>
      <c r="B393" s="28"/>
      <c r="C393" s="28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</row>
    <row r="394">
      <c r="A394" s="27" t="str">
        <f>IFERROR(__xludf.DUMMYFUNCTION("""COMPUTED_VALUE"""),"")</f>
        <v/>
      </c>
      <c r="B394" s="28"/>
      <c r="C394" s="28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</row>
    <row r="395">
      <c r="A395" s="27" t="str">
        <f>IFERROR(__xludf.DUMMYFUNCTION("""COMPUTED_VALUE"""),"")</f>
        <v/>
      </c>
      <c r="B395" s="28"/>
      <c r="C395" s="28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</row>
    <row r="396">
      <c r="A396" s="27" t="str">
        <f>IFERROR(__xludf.DUMMYFUNCTION("""COMPUTED_VALUE"""),"")</f>
        <v/>
      </c>
      <c r="B396" s="28"/>
      <c r="C396" s="28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</row>
    <row r="397">
      <c r="A397" s="27" t="str">
        <f>IFERROR(__xludf.DUMMYFUNCTION("""COMPUTED_VALUE"""),"")</f>
        <v/>
      </c>
      <c r="B397" s="28"/>
      <c r="C397" s="28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</row>
    <row r="398">
      <c r="A398" s="27" t="str">
        <f>IFERROR(__xludf.DUMMYFUNCTION("""COMPUTED_VALUE"""),"")</f>
        <v/>
      </c>
      <c r="B398" s="28"/>
      <c r="C398" s="28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</row>
    <row r="399">
      <c r="A399" s="27" t="str">
        <f>IFERROR(__xludf.DUMMYFUNCTION("""COMPUTED_VALUE"""),"")</f>
        <v/>
      </c>
      <c r="B399" s="28"/>
      <c r="C399" s="28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</row>
    <row r="400">
      <c r="A400" s="27" t="str">
        <f>IFERROR(__xludf.DUMMYFUNCTION("""COMPUTED_VALUE"""),"")</f>
        <v/>
      </c>
      <c r="B400" s="28"/>
      <c r="C400" s="28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</row>
    <row r="401">
      <c r="A401" s="27" t="str">
        <f>IFERROR(__xludf.DUMMYFUNCTION("""COMPUTED_VALUE"""),"")</f>
        <v/>
      </c>
      <c r="B401" s="28"/>
      <c r="C401" s="28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</row>
    <row r="402">
      <c r="A402" s="27" t="str">
        <f>IFERROR(__xludf.DUMMYFUNCTION("""COMPUTED_VALUE"""),"")</f>
        <v/>
      </c>
      <c r="B402" s="28"/>
      <c r="C402" s="28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</row>
    <row r="403">
      <c r="A403" s="27"/>
      <c r="B403" s="28"/>
      <c r="C403" s="28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</row>
    <row r="404">
      <c r="A404" s="27"/>
      <c r="B404" s="28"/>
      <c r="C404" s="28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</row>
    <row r="405">
      <c r="A405" s="27"/>
      <c r="B405" s="28"/>
      <c r="C405" s="28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</row>
    <row r="406">
      <c r="A406" s="27"/>
      <c r="B406" s="28"/>
      <c r="C406" s="28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</row>
    <row r="407">
      <c r="A407" s="27"/>
      <c r="B407" s="28"/>
      <c r="C407" s="28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</row>
    <row r="408">
      <c r="A408" s="27"/>
      <c r="B408" s="28"/>
      <c r="C408" s="28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</row>
    <row r="409">
      <c r="A409" s="27"/>
      <c r="B409" s="28"/>
      <c r="C409" s="28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</row>
    <row r="410">
      <c r="A410" s="27"/>
      <c r="B410" s="28"/>
      <c r="C410" s="28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</row>
    <row r="411">
      <c r="A411" s="27"/>
      <c r="B411" s="28"/>
      <c r="C411" s="28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</row>
    <row r="412">
      <c r="A412" s="27"/>
      <c r="B412" s="28"/>
      <c r="C412" s="28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</row>
    <row r="413">
      <c r="A413" s="27"/>
      <c r="B413" s="28"/>
      <c r="C413" s="28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</row>
    <row r="414">
      <c r="A414" s="27"/>
      <c r="B414" s="28"/>
      <c r="C414" s="28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</row>
    <row r="415">
      <c r="A415" s="27"/>
      <c r="B415" s="28"/>
      <c r="C415" s="28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</row>
    <row r="416">
      <c r="A416" s="27"/>
      <c r="B416" s="28"/>
      <c r="C416" s="28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</row>
    <row r="417">
      <c r="A417" s="27"/>
      <c r="B417" s="28"/>
      <c r="C417" s="28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</row>
    <row r="418">
      <c r="A418" s="27"/>
      <c r="B418" s="28"/>
      <c r="C418" s="28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</row>
    <row r="419">
      <c r="A419" s="27"/>
      <c r="B419" s="28"/>
      <c r="C419" s="28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</row>
    <row r="420">
      <c r="A420" s="27"/>
      <c r="B420" s="28"/>
      <c r="C420" s="28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</row>
    <row r="421">
      <c r="A421" s="27"/>
      <c r="B421" s="28"/>
      <c r="C421" s="28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</row>
    <row r="422">
      <c r="A422" s="27"/>
      <c r="B422" s="28"/>
      <c r="C422" s="28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</row>
    <row r="423">
      <c r="A423" s="27"/>
      <c r="B423" s="28"/>
      <c r="C423" s="28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</row>
    <row r="424">
      <c r="A424" s="27"/>
      <c r="B424" s="28"/>
      <c r="C424" s="28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</row>
    <row r="425">
      <c r="A425" s="27"/>
      <c r="B425" s="28"/>
      <c r="C425" s="28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</row>
    <row r="426">
      <c r="A426" s="27"/>
      <c r="B426" s="28"/>
      <c r="C426" s="28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</row>
    <row r="427">
      <c r="A427" s="27"/>
      <c r="B427" s="28"/>
      <c r="C427" s="28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</row>
    <row r="428">
      <c r="A428" s="27"/>
      <c r="B428" s="28"/>
      <c r="C428" s="28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</row>
    <row r="429">
      <c r="A429" s="27"/>
      <c r="B429" s="28"/>
      <c r="C429" s="28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</row>
    <row r="430">
      <c r="A430" s="27"/>
      <c r="B430" s="28"/>
      <c r="C430" s="28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</row>
    <row r="431">
      <c r="A431" s="27"/>
      <c r="B431" s="28"/>
      <c r="C431" s="28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</row>
    <row r="432">
      <c r="A432" s="27"/>
      <c r="B432" s="28"/>
      <c r="C432" s="28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</row>
    <row r="433">
      <c r="A433" s="27"/>
      <c r="B433" s="28"/>
      <c r="C433" s="28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</row>
    <row r="434">
      <c r="A434" s="27"/>
      <c r="B434" s="28"/>
      <c r="C434" s="28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</row>
    <row r="435">
      <c r="A435" s="27"/>
      <c r="B435" s="28"/>
      <c r="C435" s="28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</row>
    <row r="436">
      <c r="A436" s="27"/>
      <c r="B436" s="28"/>
      <c r="C436" s="28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</row>
    <row r="437">
      <c r="A437" s="27"/>
      <c r="B437" s="28"/>
      <c r="C437" s="28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</row>
    <row r="438">
      <c r="A438" s="27"/>
      <c r="B438" s="28"/>
      <c r="C438" s="28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</row>
    <row r="439">
      <c r="A439" s="27"/>
      <c r="B439" s="28"/>
      <c r="C439" s="28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</row>
    <row r="440">
      <c r="A440" s="27"/>
      <c r="B440" s="28"/>
      <c r="C440" s="28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</row>
    <row r="441">
      <c r="A441" s="27"/>
      <c r="B441" s="28"/>
      <c r="C441" s="28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</row>
    <row r="442">
      <c r="A442" s="27"/>
      <c r="B442" s="28"/>
      <c r="C442" s="28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</row>
    <row r="443">
      <c r="A443" s="27"/>
      <c r="B443" s="28"/>
      <c r="C443" s="28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</row>
    <row r="444">
      <c r="A444" s="27"/>
      <c r="B444" s="28"/>
      <c r="C444" s="28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</row>
    <row r="445">
      <c r="A445" s="27"/>
      <c r="B445" s="28"/>
      <c r="C445" s="28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</row>
    <row r="446">
      <c r="A446" s="27"/>
      <c r="B446" s="28"/>
      <c r="C446" s="28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</row>
    <row r="447">
      <c r="A447" s="27"/>
      <c r="B447" s="28"/>
      <c r="C447" s="28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</row>
    <row r="448">
      <c r="A448" s="27"/>
      <c r="B448" s="28"/>
      <c r="C448" s="28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</row>
    <row r="449">
      <c r="A449" s="27"/>
      <c r="B449" s="28"/>
      <c r="C449" s="28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</row>
    <row r="450">
      <c r="A450" s="27"/>
      <c r="B450" s="28"/>
      <c r="C450" s="28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</row>
    <row r="451">
      <c r="A451" s="27"/>
      <c r="B451" s="28"/>
      <c r="C451" s="28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</row>
    <row r="452">
      <c r="A452" s="27"/>
      <c r="B452" s="28"/>
      <c r="C452" s="28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</row>
    <row r="453">
      <c r="A453" s="27"/>
      <c r="B453" s="28"/>
      <c r="C453" s="28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</row>
    <row r="454">
      <c r="A454" s="27"/>
      <c r="B454" s="28"/>
      <c r="C454" s="28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</row>
    <row r="455">
      <c r="A455" s="27"/>
      <c r="B455" s="28"/>
      <c r="C455" s="28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</row>
    <row r="456">
      <c r="A456" s="27"/>
      <c r="B456" s="28"/>
      <c r="C456" s="28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</row>
    <row r="457">
      <c r="A457" s="27"/>
      <c r="B457" s="28"/>
      <c r="C457" s="28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</row>
    <row r="458">
      <c r="A458" s="27"/>
      <c r="B458" s="28"/>
      <c r="C458" s="28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</row>
    <row r="459">
      <c r="A459" s="27"/>
      <c r="B459" s="28"/>
      <c r="C459" s="28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</row>
    <row r="460">
      <c r="A460" s="27"/>
      <c r="B460" s="28"/>
      <c r="C460" s="28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</row>
    <row r="461">
      <c r="A461" s="27"/>
      <c r="B461" s="28"/>
      <c r="C461" s="28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</row>
    <row r="462">
      <c r="A462" s="27"/>
      <c r="B462" s="28"/>
      <c r="C462" s="28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</row>
    <row r="463">
      <c r="A463" s="27"/>
      <c r="B463" s="28"/>
      <c r="C463" s="28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</row>
    <row r="464">
      <c r="A464" s="27"/>
      <c r="B464" s="28"/>
      <c r="C464" s="28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</row>
    <row r="465">
      <c r="A465" s="27"/>
      <c r="B465" s="28"/>
      <c r="C465" s="28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</row>
    <row r="466">
      <c r="A466" s="27"/>
      <c r="B466" s="28"/>
      <c r="C466" s="28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</row>
    <row r="467">
      <c r="A467" s="27"/>
      <c r="B467" s="28"/>
      <c r="C467" s="28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</row>
    <row r="468">
      <c r="A468" s="27"/>
      <c r="B468" s="28"/>
      <c r="C468" s="28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</row>
    <row r="469">
      <c r="A469" s="27"/>
      <c r="B469" s="28"/>
      <c r="C469" s="28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</row>
    <row r="470">
      <c r="A470" s="27"/>
      <c r="B470" s="28"/>
      <c r="C470" s="28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</row>
    <row r="471">
      <c r="A471" s="27"/>
      <c r="B471" s="28"/>
      <c r="C471" s="28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</row>
    <row r="472">
      <c r="A472" s="27"/>
      <c r="B472" s="28"/>
      <c r="C472" s="28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</row>
    <row r="473">
      <c r="A473" s="27"/>
      <c r="B473" s="28"/>
      <c r="C473" s="28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</row>
    <row r="474">
      <c r="A474" s="27"/>
      <c r="B474" s="28"/>
      <c r="C474" s="28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</row>
    <row r="475">
      <c r="A475" s="27"/>
      <c r="B475" s="28"/>
      <c r="C475" s="28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</row>
    <row r="476">
      <c r="A476" s="27"/>
      <c r="B476" s="28"/>
      <c r="C476" s="28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</row>
    <row r="477">
      <c r="A477" s="27"/>
      <c r="B477" s="28"/>
      <c r="C477" s="28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</row>
    <row r="478">
      <c r="A478" s="27"/>
      <c r="B478" s="28"/>
      <c r="C478" s="28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</row>
    <row r="479">
      <c r="A479" s="27"/>
      <c r="B479" s="28"/>
      <c r="C479" s="28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</row>
    <row r="480">
      <c r="A480" s="27"/>
      <c r="B480" s="28"/>
      <c r="C480" s="28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</row>
    <row r="481">
      <c r="A481" s="27"/>
      <c r="B481" s="28"/>
      <c r="C481" s="28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</row>
    <row r="482">
      <c r="A482" s="27"/>
      <c r="B482" s="28"/>
      <c r="C482" s="28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</row>
    <row r="483">
      <c r="A483" s="27"/>
      <c r="B483" s="28"/>
      <c r="C483" s="28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</row>
    <row r="484">
      <c r="A484" s="27"/>
      <c r="B484" s="28"/>
      <c r="C484" s="28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</row>
    <row r="485">
      <c r="A485" s="27"/>
      <c r="B485" s="28"/>
      <c r="C485" s="28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</row>
    <row r="486">
      <c r="A486" s="27"/>
      <c r="B486" s="28"/>
      <c r="C486" s="28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</row>
    <row r="487">
      <c r="A487" s="27"/>
      <c r="B487" s="28"/>
      <c r="C487" s="28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</row>
    <row r="488">
      <c r="A488" s="27"/>
      <c r="B488" s="28"/>
      <c r="C488" s="28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</row>
    <row r="489">
      <c r="A489" s="27"/>
      <c r="B489" s="28"/>
      <c r="C489" s="28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</row>
    <row r="490">
      <c r="A490" s="27"/>
      <c r="B490" s="28"/>
      <c r="C490" s="28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</row>
    <row r="491">
      <c r="A491" s="27"/>
      <c r="B491" s="28"/>
      <c r="C491" s="28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</row>
    <row r="492">
      <c r="A492" s="27"/>
      <c r="B492" s="28"/>
      <c r="C492" s="28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</row>
    <row r="493">
      <c r="A493" s="27"/>
      <c r="B493" s="28"/>
      <c r="C493" s="28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</row>
    <row r="494">
      <c r="A494" s="27"/>
      <c r="B494" s="28"/>
      <c r="C494" s="28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</row>
    <row r="495">
      <c r="A495" s="27"/>
      <c r="B495" s="28"/>
      <c r="C495" s="28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</row>
    <row r="496">
      <c r="A496" s="27"/>
      <c r="B496" s="28"/>
      <c r="C496" s="28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</row>
    <row r="497">
      <c r="A497" s="27"/>
      <c r="B497" s="28"/>
      <c r="C497" s="28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</row>
    <row r="498">
      <c r="A498" s="27"/>
      <c r="B498" s="28"/>
      <c r="C498" s="28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</row>
    <row r="499">
      <c r="A499" s="27"/>
      <c r="B499" s="28"/>
      <c r="C499" s="28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</row>
    <row r="500">
      <c r="A500" s="27"/>
      <c r="B500" s="28"/>
      <c r="C500" s="28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</row>
    <row r="501">
      <c r="A501" s="27"/>
      <c r="B501" s="28"/>
      <c r="C501" s="28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</row>
    <row r="502">
      <c r="A502" s="27"/>
      <c r="B502" s="28"/>
      <c r="C502" s="28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</row>
    <row r="503">
      <c r="A503" s="27"/>
      <c r="B503" s="28"/>
      <c r="C503" s="28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</row>
    <row r="504">
      <c r="A504" s="27"/>
      <c r="B504" s="28"/>
      <c r="C504" s="28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</row>
    <row r="505">
      <c r="A505" s="27"/>
      <c r="B505" s="28"/>
      <c r="C505" s="28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</row>
    <row r="506">
      <c r="A506" s="27"/>
      <c r="B506" s="28"/>
      <c r="C506" s="28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</row>
    <row r="507">
      <c r="A507" s="27"/>
      <c r="B507" s="28"/>
      <c r="C507" s="28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</row>
    <row r="508">
      <c r="A508" s="27"/>
      <c r="B508" s="28"/>
      <c r="C508" s="28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</row>
    <row r="509">
      <c r="A509" s="27"/>
      <c r="B509" s="28"/>
      <c r="C509" s="28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</row>
    <row r="510">
      <c r="A510" s="27"/>
      <c r="B510" s="28"/>
      <c r="C510" s="28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</row>
    <row r="511">
      <c r="A511" s="27"/>
      <c r="B511" s="28"/>
      <c r="C511" s="28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</row>
    <row r="512">
      <c r="A512" s="27"/>
      <c r="B512" s="28"/>
      <c r="C512" s="28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</row>
    <row r="513">
      <c r="A513" s="27"/>
      <c r="B513" s="28"/>
      <c r="C513" s="28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</row>
    <row r="514">
      <c r="A514" s="27"/>
      <c r="B514" s="28"/>
      <c r="C514" s="28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</row>
    <row r="515">
      <c r="A515" s="27"/>
      <c r="B515" s="28"/>
      <c r="C515" s="28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</row>
    <row r="516">
      <c r="A516" s="27"/>
      <c r="B516" s="28"/>
      <c r="C516" s="28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</row>
    <row r="517">
      <c r="A517" s="27"/>
      <c r="B517" s="28"/>
      <c r="C517" s="28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</row>
    <row r="518">
      <c r="A518" s="27"/>
      <c r="B518" s="28"/>
      <c r="C518" s="28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</row>
    <row r="519">
      <c r="A519" s="27"/>
      <c r="B519" s="28"/>
      <c r="C519" s="28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</row>
    <row r="520">
      <c r="A520" s="27"/>
      <c r="B520" s="28"/>
      <c r="C520" s="28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</row>
    <row r="521">
      <c r="A521" s="27"/>
      <c r="B521" s="28"/>
      <c r="C521" s="28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</row>
    <row r="522">
      <c r="A522" s="27"/>
      <c r="B522" s="28"/>
      <c r="C522" s="28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</row>
    <row r="523">
      <c r="A523" s="27"/>
      <c r="B523" s="28"/>
      <c r="C523" s="28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</row>
    <row r="524">
      <c r="A524" s="27"/>
      <c r="B524" s="28"/>
      <c r="C524" s="28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</row>
    <row r="525">
      <c r="A525" s="27"/>
      <c r="B525" s="28"/>
      <c r="C525" s="28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</row>
    <row r="526">
      <c r="A526" s="27"/>
      <c r="B526" s="28"/>
      <c r="C526" s="28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</row>
    <row r="527">
      <c r="A527" s="27"/>
      <c r="B527" s="28"/>
      <c r="C527" s="28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</row>
    <row r="528">
      <c r="A528" s="27"/>
      <c r="B528" s="28"/>
      <c r="C528" s="28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</row>
    <row r="529">
      <c r="A529" s="27"/>
      <c r="B529" s="28"/>
      <c r="C529" s="28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</row>
    <row r="530">
      <c r="A530" s="27"/>
      <c r="B530" s="28"/>
      <c r="C530" s="28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</row>
    <row r="531">
      <c r="A531" s="27"/>
      <c r="B531" s="28"/>
      <c r="C531" s="28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</row>
    <row r="532">
      <c r="A532" s="27"/>
      <c r="B532" s="28"/>
      <c r="C532" s="28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</row>
    <row r="533">
      <c r="A533" s="27"/>
      <c r="B533" s="28"/>
      <c r="C533" s="28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</row>
    <row r="534">
      <c r="A534" s="27"/>
      <c r="B534" s="28"/>
      <c r="C534" s="28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</row>
    <row r="535">
      <c r="A535" s="27"/>
      <c r="B535" s="28"/>
      <c r="C535" s="28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</row>
    <row r="536">
      <c r="A536" s="27"/>
      <c r="B536" s="28"/>
      <c r="C536" s="28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</row>
    <row r="537">
      <c r="A537" s="27"/>
      <c r="B537" s="28"/>
      <c r="C537" s="28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</row>
    <row r="538">
      <c r="A538" s="27"/>
      <c r="B538" s="28"/>
      <c r="C538" s="28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</row>
    <row r="539">
      <c r="A539" s="27"/>
      <c r="B539" s="28"/>
      <c r="C539" s="28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</row>
    <row r="540">
      <c r="A540" s="27"/>
      <c r="B540" s="28"/>
      <c r="C540" s="28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</row>
    <row r="541">
      <c r="A541" s="27"/>
      <c r="B541" s="28"/>
      <c r="C541" s="28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</row>
    <row r="542">
      <c r="A542" s="27"/>
      <c r="B542" s="28"/>
      <c r="C542" s="28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</row>
    <row r="543">
      <c r="A543" s="27"/>
      <c r="B543" s="28"/>
      <c r="C543" s="28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</row>
    <row r="544">
      <c r="A544" s="27"/>
      <c r="B544" s="28"/>
      <c r="C544" s="28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</row>
    <row r="545">
      <c r="A545" s="27"/>
      <c r="B545" s="28"/>
      <c r="C545" s="28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</row>
    <row r="546">
      <c r="A546" s="27"/>
      <c r="B546" s="28"/>
      <c r="C546" s="28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</row>
    <row r="547">
      <c r="A547" s="27"/>
      <c r="B547" s="28"/>
      <c r="C547" s="28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</row>
    <row r="548">
      <c r="A548" s="27"/>
      <c r="B548" s="28"/>
      <c r="C548" s="28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</row>
    <row r="549">
      <c r="A549" s="27"/>
      <c r="B549" s="28"/>
      <c r="C549" s="28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</row>
    <row r="550">
      <c r="A550" s="27"/>
      <c r="B550" s="28"/>
      <c r="C550" s="28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</row>
    <row r="551">
      <c r="A551" s="27"/>
      <c r="B551" s="28"/>
      <c r="C551" s="28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</row>
    <row r="552">
      <c r="A552" s="27"/>
      <c r="B552" s="28"/>
      <c r="C552" s="28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</row>
    <row r="553">
      <c r="A553" s="27"/>
      <c r="B553" s="28"/>
      <c r="C553" s="28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</row>
    <row r="554">
      <c r="A554" s="27"/>
      <c r="B554" s="28"/>
      <c r="C554" s="28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</row>
    <row r="555">
      <c r="A555" s="27"/>
      <c r="B555" s="28"/>
      <c r="C555" s="28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</row>
    <row r="556">
      <c r="A556" s="27"/>
      <c r="B556" s="28"/>
      <c r="C556" s="28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</row>
    <row r="557">
      <c r="A557" s="27"/>
      <c r="B557" s="28"/>
      <c r="C557" s="28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</row>
    <row r="558">
      <c r="A558" s="27"/>
      <c r="B558" s="28"/>
      <c r="C558" s="28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</row>
    <row r="559">
      <c r="A559" s="27"/>
      <c r="B559" s="28"/>
      <c r="C559" s="28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</row>
    <row r="560">
      <c r="A560" s="27"/>
      <c r="B560" s="28"/>
      <c r="C560" s="28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</row>
    <row r="561">
      <c r="A561" s="27"/>
      <c r="B561" s="28"/>
      <c r="C561" s="28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</row>
    <row r="562">
      <c r="A562" s="27"/>
      <c r="B562" s="28"/>
      <c r="C562" s="28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</row>
    <row r="563">
      <c r="A563" s="27"/>
      <c r="B563" s="28"/>
      <c r="C563" s="28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</row>
    <row r="564">
      <c r="A564" s="27"/>
      <c r="B564" s="28"/>
      <c r="C564" s="28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</row>
    <row r="565">
      <c r="A565" s="27"/>
      <c r="B565" s="28"/>
      <c r="C565" s="28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</row>
    <row r="566">
      <c r="A566" s="27"/>
      <c r="B566" s="28"/>
      <c r="C566" s="28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</row>
    <row r="567">
      <c r="A567" s="27"/>
      <c r="B567" s="28"/>
      <c r="C567" s="28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</row>
    <row r="568">
      <c r="A568" s="27"/>
      <c r="B568" s="28"/>
      <c r="C568" s="28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</row>
    <row r="569">
      <c r="A569" s="27"/>
      <c r="B569" s="28"/>
      <c r="C569" s="28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</row>
    <row r="570">
      <c r="A570" s="27"/>
      <c r="B570" s="28"/>
      <c r="C570" s="28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</row>
    <row r="571">
      <c r="A571" s="27"/>
      <c r="B571" s="28"/>
      <c r="C571" s="28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</row>
    <row r="572">
      <c r="A572" s="27"/>
      <c r="B572" s="28"/>
      <c r="C572" s="28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</row>
    <row r="573">
      <c r="A573" s="27"/>
      <c r="B573" s="28"/>
      <c r="C573" s="28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</row>
    <row r="574">
      <c r="A574" s="27"/>
      <c r="B574" s="28"/>
      <c r="C574" s="28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</row>
    <row r="575">
      <c r="A575" s="27"/>
      <c r="B575" s="28"/>
      <c r="C575" s="28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</row>
    <row r="576">
      <c r="A576" s="27"/>
      <c r="B576" s="28"/>
      <c r="C576" s="28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</row>
    <row r="577">
      <c r="A577" s="27"/>
      <c r="B577" s="28"/>
      <c r="C577" s="28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</row>
    <row r="578">
      <c r="A578" s="27"/>
      <c r="B578" s="28"/>
      <c r="C578" s="28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</row>
    <row r="579">
      <c r="A579" s="27"/>
      <c r="B579" s="28"/>
      <c r="C579" s="28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</row>
    <row r="580">
      <c r="A580" s="27"/>
      <c r="B580" s="28"/>
      <c r="C580" s="28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</row>
    <row r="581">
      <c r="A581" s="27"/>
      <c r="B581" s="28"/>
      <c r="C581" s="28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</row>
    <row r="582">
      <c r="A582" s="27"/>
      <c r="B582" s="28"/>
      <c r="C582" s="28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</row>
    <row r="583">
      <c r="A583" s="27"/>
      <c r="B583" s="28"/>
      <c r="C583" s="28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</row>
    <row r="584">
      <c r="A584" s="27"/>
      <c r="B584" s="28"/>
      <c r="C584" s="28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</row>
    <row r="585">
      <c r="A585" s="27"/>
      <c r="B585" s="28"/>
      <c r="C585" s="28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</row>
    <row r="586">
      <c r="A586" s="27"/>
      <c r="B586" s="28"/>
      <c r="C586" s="28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</row>
    <row r="587">
      <c r="A587" s="27"/>
      <c r="B587" s="28"/>
      <c r="C587" s="28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</row>
    <row r="588">
      <c r="A588" s="27"/>
      <c r="B588" s="28"/>
      <c r="C588" s="28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</row>
    <row r="589">
      <c r="A589" s="27"/>
      <c r="B589" s="28"/>
      <c r="C589" s="28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</row>
    <row r="590">
      <c r="A590" s="27"/>
      <c r="B590" s="28"/>
      <c r="C590" s="28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</row>
    <row r="591">
      <c r="A591" s="27"/>
      <c r="B591" s="28"/>
      <c r="C591" s="28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</row>
    <row r="592">
      <c r="A592" s="27"/>
      <c r="B592" s="28"/>
      <c r="C592" s="28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</row>
    <row r="593">
      <c r="A593" s="27"/>
      <c r="B593" s="28"/>
      <c r="C593" s="28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</row>
    <row r="594">
      <c r="A594" s="27"/>
      <c r="B594" s="28"/>
      <c r="C594" s="28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</row>
    <row r="595">
      <c r="A595" s="27"/>
      <c r="B595" s="28"/>
      <c r="C595" s="28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</row>
    <row r="596">
      <c r="A596" s="27"/>
      <c r="B596" s="28"/>
      <c r="C596" s="28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</row>
    <row r="597">
      <c r="A597" s="27"/>
      <c r="B597" s="28"/>
      <c r="C597" s="28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</row>
    <row r="598">
      <c r="A598" s="27"/>
      <c r="B598" s="28"/>
      <c r="C598" s="28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</row>
    <row r="599">
      <c r="A599" s="27"/>
      <c r="B599" s="28"/>
      <c r="C599" s="28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</row>
    <row r="600">
      <c r="A600" s="27"/>
      <c r="B600" s="28"/>
      <c r="C600" s="28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</row>
    <row r="601">
      <c r="A601" s="27"/>
      <c r="B601" s="28"/>
      <c r="C601" s="28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</row>
    <row r="602">
      <c r="A602" s="27"/>
      <c r="B602" s="28"/>
      <c r="C602" s="28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</row>
    <row r="603">
      <c r="A603" s="27"/>
      <c r="B603" s="28"/>
      <c r="C603" s="28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</row>
    <row r="604">
      <c r="A604" s="27"/>
      <c r="B604" s="28"/>
      <c r="C604" s="28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</row>
    <row r="605">
      <c r="A605" s="27"/>
      <c r="B605" s="28"/>
      <c r="C605" s="28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</row>
    <row r="606">
      <c r="A606" s="27"/>
      <c r="B606" s="28"/>
      <c r="C606" s="28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</row>
    <row r="607">
      <c r="A607" s="27"/>
      <c r="B607" s="28"/>
      <c r="C607" s="28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</row>
    <row r="608">
      <c r="A608" s="27"/>
      <c r="B608" s="28"/>
      <c r="C608" s="28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</row>
    <row r="609">
      <c r="A609" s="27"/>
      <c r="B609" s="28"/>
      <c r="C609" s="28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</row>
    <row r="610">
      <c r="A610" s="27"/>
      <c r="B610" s="28"/>
      <c r="C610" s="28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</row>
    <row r="611">
      <c r="A611" s="27"/>
      <c r="B611" s="28"/>
      <c r="C611" s="28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</row>
    <row r="612">
      <c r="A612" s="27"/>
      <c r="B612" s="28"/>
      <c r="C612" s="28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</row>
    <row r="613">
      <c r="A613" s="27"/>
      <c r="B613" s="28"/>
      <c r="C613" s="28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</row>
    <row r="614">
      <c r="A614" s="27"/>
      <c r="B614" s="28"/>
      <c r="C614" s="28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</row>
    <row r="615">
      <c r="A615" s="27"/>
      <c r="B615" s="28"/>
      <c r="C615" s="28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</row>
    <row r="616">
      <c r="A616" s="27"/>
      <c r="B616" s="28"/>
      <c r="C616" s="28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</row>
    <row r="617">
      <c r="A617" s="27"/>
      <c r="B617" s="28"/>
      <c r="C617" s="28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</row>
    <row r="618">
      <c r="A618" s="27"/>
      <c r="B618" s="28"/>
      <c r="C618" s="28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</row>
    <row r="619">
      <c r="A619" s="27"/>
      <c r="B619" s="28"/>
      <c r="C619" s="28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</row>
    <row r="620">
      <c r="A620" s="27"/>
      <c r="B620" s="28"/>
      <c r="C620" s="28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</row>
    <row r="621">
      <c r="A621" s="27"/>
      <c r="B621" s="28"/>
      <c r="C621" s="28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</row>
    <row r="622">
      <c r="A622" s="27"/>
      <c r="B622" s="28"/>
      <c r="C622" s="28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</row>
    <row r="623">
      <c r="A623" s="27"/>
      <c r="B623" s="28"/>
      <c r="C623" s="28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</row>
    <row r="624">
      <c r="A624" s="27"/>
      <c r="B624" s="28"/>
      <c r="C624" s="28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</row>
    <row r="625">
      <c r="A625" s="27"/>
      <c r="B625" s="28"/>
      <c r="C625" s="28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</row>
    <row r="626">
      <c r="A626" s="27"/>
      <c r="B626" s="28"/>
      <c r="C626" s="28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</row>
    <row r="627">
      <c r="A627" s="27"/>
      <c r="B627" s="28"/>
      <c r="C627" s="28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</row>
    <row r="628">
      <c r="A628" s="27"/>
      <c r="B628" s="28"/>
      <c r="C628" s="28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</row>
    <row r="629">
      <c r="A629" s="27"/>
      <c r="B629" s="28"/>
      <c r="C629" s="28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</row>
    <row r="630">
      <c r="A630" s="27"/>
      <c r="B630" s="28"/>
      <c r="C630" s="28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</row>
    <row r="631">
      <c r="A631" s="27"/>
      <c r="B631" s="28"/>
      <c r="C631" s="28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</row>
    <row r="632">
      <c r="A632" s="27"/>
      <c r="B632" s="28"/>
      <c r="C632" s="28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</row>
    <row r="633">
      <c r="A633" s="27"/>
      <c r="B633" s="28"/>
      <c r="C633" s="28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</row>
    <row r="634">
      <c r="A634" s="27"/>
      <c r="B634" s="28"/>
      <c r="C634" s="28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</row>
    <row r="635">
      <c r="A635" s="27"/>
      <c r="B635" s="28"/>
      <c r="C635" s="28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</row>
    <row r="636">
      <c r="A636" s="27"/>
      <c r="B636" s="28"/>
      <c r="C636" s="28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</row>
    <row r="637">
      <c r="A637" s="27"/>
      <c r="B637" s="28"/>
      <c r="C637" s="28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</row>
    <row r="638">
      <c r="A638" s="27"/>
      <c r="B638" s="28"/>
      <c r="C638" s="28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</row>
    <row r="639">
      <c r="A639" s="27"/>
      <c r="B639" s="28"/>
      <c r="C639" s="28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</row>
    <row r="640">
      <c r="A640" s="27"/>
      <c r="B640" s="28"/>
      <c r="C640" s="28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</row>
    <row r="641">
      <c r="A641" s="27"/>
      <c r="B641" s="28"/>
      <c r="C641" s="28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</row>
    <row r="642">
      <c r="A642" s="27"/>
      <c r="B642" s="28"/>
      <c r="C642" s="28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</row>
    <row r="643">
      <c r="A643" s="27"/>
      <c r="B643" s="28"/>
      <c r="C643" s="28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</row>
    <row r="644">
      <c r="A644" s="27"/>
      <c r="B644" s="28"/>
      <c r="C644" s="28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</row>
    <row r="645">
      <c r="A645" s="27"/>
      <c r="B645" s="28"/>
      <c r="C645" s="28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</row>
    <row r="646">
      <c r="A646" s="27"/>
      <c r="B646" s="28"/>
      <c r="C646" s="28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</row>
    <row r="647">
      <c r="A647" s="27"/>
      <c r="B647" s="28"/>
      <c r="C647" s="28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</row>
    <row r="648">
      <c r="A648" s="27"/>
      <c r="B648" s="28"/>
      <c r="C648" s="28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</row>
    <row r="649">
      <c r="A649" s="27"/>
      <c r="B649" s="28"/>
      <c r="C649" s="28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</row>
    <row r="650">
      <c r="A650" s="27"/>
      <c r="B650" s="28"/>
      <c r="C650" s="28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</row>
    <row r="651">
      <c r="A651" s="27"/>
      <c r="B651" s="28"/>
      <c r="C651" s="28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</row>
    <row r="652">
      <c r="A652" s="27"/>
      <c r="B652" s="28"/>
      <c r="C652" s="28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</row>
    <row r="653">
      <c r="A653" s="27"/>
      <c r="B653" s="28"/>
      <c r="C653" s="28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</row>
    <row r="654">
      <c r="A654" s="27"/>
      <c r="B654" s="28"/>
      <c r="C654" s="28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</row>
    <row r="655">
      <c r="A655" s="27"/>
      <c r="B655" s="28"/>
      <c r="C655" s="28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</row>
    <row r="656">
      <c r="A656" s="27"/>
      <c r="B656" s="28"/>
      <c r="C656" s="28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</row>
    <row r="657">
      <c r="A657" s="27"/>
      <c r="B657" s="28"/>
      <c r="C657" s="28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</row>
    <row r="658">
      <c r="A658" s="27"/>
      <c r="B658" s="28"/>
      <c r="C658" s="28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</row>
    <row r="659">
      <c r="A659" s="27"/>
      <c r="B659" s="28"/>
      <c r="C659" s="28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</row>
    <row r="660">
      <c r="A660" s="27"/>
      <c r="B660" s="28"/>
      <c r="C660" s="28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</row>
    <row r="661">
      <c r="A661" s="27"/>
      <c r="B661" s="28"/>
      <c r="C661" s="28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</row>
    <row r="662">
      <c r="A662" s="27"/>
      <c r="B662" s="28"/>
      <c r="C662" s="28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</row>
    <row r="663">
      <c r="A663" s="27"/>
      <c r="B663" s="28"/>
      <c r="C663" s="28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</row>
    <row r="664">
      <c r="A664" s="27"/>
      <c r="B664" s="28"/>
      <c r="C664" s="28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</row>
    <row r="665">
      <c r="A665" s="27"/>
      <c r="B665" s="28"/>
      <c r="C665" s="28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</row>
    <row r="666">
      <c r="A666" s="27"/>
      <c r="B666" s="28"/>
      <c r="C666" s="28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</row>
    <row r="667">
      <c r="A667" s="27"/>
      <c r="B667" s="28"/>
      <c r="C667" s="28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</row>
    <row r="668">
      <c r="A668" s="27"/>
      <c r="B668" s="28"/>
      <c r="C668" s="28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</row>
    <row r="669">
      <c r="A669" s="27"/>
      <c r="B669" s="28"/>
      <c r="C669" s="28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</row>
    <row r="670">
      <c r="A670" s="27"/>
      <c r="B670" s="28"/>
      <c r="C670" s="28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</row>
    <row r="671">
      <c r="A671" s="27"/>
      <c r="B671" s="28"/>
      <c r="C671" s="28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</row>
    <row r="672">
      <c r="A672" s="27"/>
      <c r="B672" s="28"/>
      <c r="C672" s="28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</row>
    <row r="673">
      <c r="A673" s="27"/>
      <c r="B673" s="28"/>
      <c r="C673" s="28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</row>
    <row r="674">
      <c r="A674" s="27"/>
      <c r="B674" s="28"/>
      <c r="C674" s="28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</row>
    <row r="675">
      <c r="A675" s="27"/>
      <c r="B675" s="28"/>
      <c r="C675" s="28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</row>
    <row r="676">
      <c r="A676" s="27"/>
      <c r="B676" s="28"/>
      <c r="C676" s="28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</row>
    <row r="677">
      <c r="A677" s="27"/>
      <c r="B677" s="28"/>
      <c r="C677" s="28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</row>
    <row r="678">
      <c r="A678" s="27"/>
      <c r="B678" s="28"/>
      <c r="C678" s="28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</row>
    <row r="679">
      <c r="A679" s="27"/>
      <c r="B679" s="28"/>
      <c r="C679" s="28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</row>
    <row r="680">
      <c r="A680" s="27"/>
      <c r="B680" s="28"/>
      <c r="C680" s="28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</row>
    <row r="681">
      <c r="A681" s="27"/>
      <c r="B681" s="28"/>
      <c r="C681" s="28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</row>
    <row r="682">
      <c r="A682" s="27"/>
      <c r="B682" s="28"/>
      <c r="C682" s="28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</row>
    <row r="683">
      <c r="A683" s="27"/>
      <c r="B683" s="28"/>
      <c r="C683" s="28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</row>
    <row r="684">
      <c r="A684" s="27"/>
      <c r="B684" s="28"/>
      <c r="C684" s="28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</row>
    <row r="685">
      <c r="A685" s="27"/>
      <c r="B685" s="28"/>
      <c r="C685" s="28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</row>
    <row r="686">
      <c r="A686" s="27"/>
      <c r="B686" s="28"/>
      <c r="C686" s="28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</row>
    <row r="687">
      <c r="A687" s="27"/>
      <c r="B687" s="28"/>
      <c r="C687" s="28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</row>
    <row r="688">
      <c r="A688" s="27"/>
      <c r="B688" s="28"/>
      <c r="C688" s="28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</row>
    <row r="689">
      <c r="A689" s="27"/>
      <c r="B689" s="28"/>
      <c r="C689" s="28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</row>
    <row r="690">
      <c r="A690" s="27"/>
      <c r="B690" s="28"/>
      <c r="C690" s="28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</row>
    <row r="691">
      <c r="A691" s="27"/>
      <c r="B691" s="28"/>
      <c r="C691" s="28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</row>
    <row r="692">
      <c r="A692" s="27"/>
      <c r="B692" s="28"/>
      <c r="C692" s="28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</row>
    <row r="693">
      <c r="A693" s="27"/>
      <c r="B693" s="28"/>
      <c r="C693" s="28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</row>
    <row r="694">
      <c r="A694" s="27"/>
      <c r="B694" s="28"/>
      <c r="C694" s="28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</row>
    <row r="695">
      <c r="A695" s="27"/>
      <c r="B695" s="28"/>
      <c r="C695" s="28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</row>
    <row r="696">
      <c r="A696" s="27"/>
      <c r="B696" s="28"/>
      <c r="C696" s="28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</row>
    <row r="697">
      <c r="A697" s="27"/>
      <c r="B697" s="28"/>
      <c r="C697" s="28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</row>
    <row r="698">
      <c r="A698" s="27"/>
      <c r="B698" s="28"/>
      <c r="C698" s="28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</row>
    <row r="699">
      <c r="A699" s="27"/>
      <c r="B699" s="28"/>
      <c r="C699" s="28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</row>
    <row r="700">
      <c r="A700" s="27"/>
      <c r="B700" s="28"/>
      <c r="C700" s="28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</row>
    <row r="701">
      <c r="A701" s="27"/>
      <c r="B701" s="28"/>
      <c r="C701" s="28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</row>
    <row r="702">
      <c r="A702" s="27"/>
      <c r="B702" s="28"/>
      <c r="C702" s="28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</row>
    <row r="703">
      <c r="A703" s="27"/>
      <c r="B703" s="28"/>
      <c r="C703" s="28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</row>
    <row r="704">
      <c r="A704" s="27"/>
      <c r="B704" s="28"/>
      <c r="C704" s="28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</row>
    <row r="705">
      <c r="A705" s="27"/>
      <c r="B705" s="28"/>
      <c r="C705" s="28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</row>
    <row r="706">
      <c r="A706" s="27"/>
      <c r="B706" s="28"/>
      <c r="C706" s="28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</row>
    <row r="707">
      <c r="A707" s="27"/>
      <c r="B707" s="28"/>
      <c r="C707" s="28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</row>
    <row r="708">
      <c r="A708" s="27"/>
      <c r="B708" s="28"/>
      <c r="C708" s="28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</row>
    <row r="709">
      <c r="A709" s="27"/>
      <c r="B709" s="28"/>
      <c r="C709" s="28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</row>
    <row r="710">
      <c r="A710" s="27"/>
      <c r="B710" s="28"/>
      <c r="C710" s="28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</row>
    <row r="711">
      <c r="A711" s="27"/>
      <c r="B711" s="28"/>
      <c r="C711" s="28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</row>
    <row r="712">
      <c r="A712" s="27"/>
      <c r="B712" s="28"/>
      <c r="C712" s="28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</row>
    <row r="713">
      <c r="A713" s="27"/>
      <c r="B713" s="28"/>
      <c r="C713" s="28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</row>
    <row r="714">
      <c r="A714" s="27"/>
      <c r="B714" s="28"/>
      <c r="C714" s="28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</row>
    <row r="715">
      <c r="A715" s="27"/>
      <c r="B715" s="28"/>
      <c r="C715" s="28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</row>
    <row r="716">
      <c r="A716" s="27"/>
      <c r="B716" s="28"/>
      <c r="C716" s="28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</row>
    <row r="717">
      <c r="A717" s="27"/>
      <c r="B717" s="28"/>
      <c r="C717" s="28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</row>
    <row r="718">
      <c r="A718" s="27"/>
      <c r="B718" s="28"/>
      <c r="C718" s="28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</row>
    <row r="719">
      <c r="A719" s="27"/>
      <c r="B719" s="28"/>
      <c r="C719" s="28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</row>
    <row r="720">
      <c r="A720" s="27"/>
      <c r="B720" s="28"/>
      <c r="C720" s="28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</row>
    <row r="721">
      <c r="A721" s="27"/>
      <c r="B721" s="28"/>
      <c r="C721" s="28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</row>
    <row r="722">
      <c r="A722" s="27"/>
      <c r="B722" s="28"/>
      <c r="C722" s="28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</row>
    <row r="723">
      <c r="A723" s="27"/>
      <c r="B723" s="28"/>
      <c r="C723" s="28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</row>
    <row r="724">
      <c r="A724" s="27"/>
      <c r="B724" s="28"/>
      <c r="C724" s="28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</row>
    <row r="725">
      <c r="A725" s="27"/>
      <c r="B725" s="28"/>
      <c r="C725" s="28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</row>
    <row r="726">
      <c r="A726" s="27"/>
      <c r="B726" s="28"/>
      <c r="C726" s="28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</row>
    <row r="727">
      <c r="A727" s="27"/>
      <c r="B727" s="28"/>
      <c r="C727" s="28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</row>
    <row r="728">
      <c r="A728" s="27"/>
      <c r="B728" s="28"/>
      <c r="C728" s="28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</row>
    <row r="729">
      <c r="A729" s="27"/>
      <c r="B729" s="28"/>
      <c r="C729" s="28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</row>
    <row r="730">
      <c r="A730" s="27"/>
      <c r="B730" s="28"/>
      <c r="C730" s="28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</row>
    <row r="731">
      <c r="A731" s="27"/>
      <c r="B731" s="28"/>
      <c r="C731" s="28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</row>
    <row r="732">
      <c r="A732" s="27"/>
      <c r="B732" s="28"/>
      <c r="C732" s="28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</row>
    <row r="733">
      <c r="A733" s="27"/>
      <c r="B733" s="28"/>
      <c r="C733" s="28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</row>
    <row r="734">
      <c r="A734" s="27"/>
      <c r="B734" s="28"/>
      <c r="C734" s="28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</row>
    <row r="735">
      <c r="A735" s="27"/>
      <c r="B735" s="28"/>
      <c r="C735" s="28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</row>
    <row r="736">
      <c r="A736" s="27"/>
      <c r="B736" s="28"/>
      <c r="C736" s="28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</row>
    <row r="737">
      <c r="A737" s="27"/>
      <c r="B737" s="28"/>
      <c r="C737" s="28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</row>
    <row r="738">
      <c r="A738" s="27"/>
      <c r="B738" s="28"/>
      <c r="C738" s="28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</row>
    <row r="739">
      <c r="A739" s="27"/>
      <c r="B739" s="28"/>
      <c r="C739" s="28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</row>
    <row r="740">
      <c r="A740" s="27"/>
      <c r="B740" s="28"/>
      <c r="C740" s="28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</row>
    <row r="741">
      <c r="A741" s="27"/>
      <c r="B741" s="28"/>
      <c r="C741" s="28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</row>
    <row r="742">
      <c r="A742" s="27"/>
      <c r="B742" s="28"/>
      <c r="C742" s="28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</row>
    <row r="743">
      <c r="A743" s="27"/>
      <c r="B743" s="28"/>
      <c r="C743" s="28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</row>
    <row r="744">
      <c r="A744" s="27"/>
      <c r="B744" s="28"/>
      <c r="C744" s="28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</row>
    <row r="745">
      <c r="A745" s="27"/>
      <c r="B745" s="28"/>
      <c r="C745" s="28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</row>
    <row r="746">
      <c r="A746" s="27"/>
      <c r="B746" s="28"/>
      <c r="C746" s="28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</row>
    <row r="747">
      <c r="A747" s="27"/>
      <c r="B747" s="28"/>
      <c r="C747" s="28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</row>
    <row r="748">
      <c r="A748" s="27"/>
      <c r="B748" s="28"/>
      <c r="C748" s="28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</row>
    <row r="749">
      <c r="A749" s="27"/>
      <c r="B749" s="28"/>
      <c r="C749" s="28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</row>
    <row r="750">
      <c r="A750" s="27"/>
      <c r="B750" s="28"/>
      <c r="C750" s="28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</row>
    <row r="751">
      <c r="A751" s="27"/>
      <c r="B751" s="28"/>
      <c r="C751" s="28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</row>
    <row r="752">
      <c r="A752" s="27"/>
      <c r="B752" s="28"/>
      <c r="C752" s="28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</row>
    <row r="753">
      <c r="A753" s="27"/>
      <c r="B753" s="28"/>
      <c r="C753" s="28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</row>
    <row r="754">
      <c r="A754" s="27"/>
      <c r="B754" s="28"/>
      <c r="C754" s="28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</row>
    <row r="755">
      <c r="A755" s="27"/>
      <c r="B755" s="28"/>
      <c r="C755" s="28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</row>
    <row r="756">
      <c r="A756" s="27"/>
      <c r="B756" s="28"/>
      <c r="C756" s="28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</row>
    <row r="757">
      <c r="A757" s="27"/>
      <c r="B757" s="28"/>
      <c r="C757" s="28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</row>
    <row r="758">
      <c r="A758" s="27"/>
      <c r="B758" s="28"/>
      <c r="C758" s="28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</row>
    <row r="759">
      <c r="A759" s="27"/>
      <c r="B759" s="28"/>
      <c r="C759" s="28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</row>
    <row r="760">
      <c r="A760" s="27"/>
      <c r="B760" s="28"/>
      <c r="C760" s="28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</row>
    <row r="761">
      <c r="A761" s="27"/>
      <c r="B761" s="28"/>
      <c r="C761" s="28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</row>
    <row r="762">
      <c r="A762" s="27"/>
      <c r="B762" s="28"/>
      <c r="C762" s="28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</row>
    <row r="763">
      <c r="A763" s="27"/>
      <c r="B763" s="28"/>
      <c r="C763" s="28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</row>
    <row r="764">
      <c r="A764" s="27"/>
      <c r="B764" s="28"/>
      <c r="C764" s="28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</row>
    <row r="765">
      <c r="A765" s="27"/>
      <c r="B765" s="28"/>
      <c r="C765" s="28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</row>
    <row r="766">
      <c r="A766" s="27"/>
      <c r="B766" s="28"/>
      <c r="C766" s="28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</row>
    <row r="767">
      <c r="A767" s="27"/>
      <c r="B767" s="28"/>
      <c r="C767" s="28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</row>
    <row r="768">
      <c r="A768" s="27"/>
      <c r="B768" s="28"/>
      <c r="C768" s="28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</row>
    <row r="769">
      <c r="A769" s="27"/>
      <c r="B769" s="28"/>
      <c r="C769" s="28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</row>
    <row r="770">
      <c r="A770" s="27"/>
      <c r="B770" s="28"/>
      <c r="C770" s="28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</row>
    <row r="771">
      <c r="A771" s="27"/>
      <c r="B771" s="28"/>
      <c r="C771" s="28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</row>
    <row r="772">
      <c r="A772" s="27"/>
      <c r="B772" s="28"/>
      <c r="C772" s="28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</row>
    <row r="773">
      <c r="A773" s="27"/>
      <c r="B773" s="28"/>
      <c r="C773" s="28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</row>
    <row r="774">
      <c r="A774" s="27"/>
      <c r="B774" s="28"/>
      <c r="C774" s="28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</row>
    <row r="775">
      <c r="A775" s="27"/>
      <c r="B775" s="28"/>
      <c r="C775" s="28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</row>
    <row r="776">
      <c r="A776" s="27"/>
      <c r="B776" s="28"/>
      <c r="C776" s="28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</row>
    <row r="777">
      <c r="A777" s="27"/>
      <c r="B777" s="28"/>
      <c r="C777" s="28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</row>
    <row r="778">
      <c r="A778" s="27"/>
      <c r="B778" s="28"/>
      <c r="C778" s="28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</row>
    <row r="779">
      <c r="A779" s="27"/>
      <c r="B779" s="28"/>
      <c r="C779" s="28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</row>
    <row r="780">
      <c r="A780" s="27"/>
      <c r="B780" s="28"/>
      <c r="C780" s="28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</row>
    <row r="781">
      <c r="A781" s="27"/>
      <c r="B781" s="28"/>
      <c r="C781" s="28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</row>
    <row r="782">
      <c r="A782" s="27"/>
      <c r="B782" s="28"/>
      <c r="C782" s="28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</row>
    <row r="783">
      <c r="A783" s="27"/>
      <c r="B783" s="28"/>
      <c r="C783" s="28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</row>
    <row r="784">
      <c r="A784" s="27"/>
      <c r="B784" s="28"/>
      <c r="C784" s="28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</row>
    <row r="785">
      <c r="A785" s="27"/>
      <c r="B785" s="28"/>
      <c r="C785" s="28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</row>
    <row r="786">
      <c r="A786" s="27"/>
      <c r="B786" s="28"/>
      <c r="C786" s="28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</row>
    <row r="787">
      <c r="A787" s="27"/>
      <c r="B787" s="28"/>
      <c r="C787" s="28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</row>
    <row r="788">
      <c r="A788" s="27"/>
      <c r="B788" s="28"/>
      <c r="C788" s="28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</row>
    <row r="789">
      <c r="A789" s="27"/>
      <c r="B789" s="28"/>
      <c r="C789" s="28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</row>
    <row r="790">
      <c r="A790" s="27"/>
      <c r="B790" s="28"/>
      <c r="C790" s="28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</row>
    <row r="791">
      <c r="A791" s="27"/>
      <c r="B791" s="28"/>
      <c r="C791" s="28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</row>
    <row r="792">
      <c r="A792" s="27"/>
      <c r="B792" s="28"/>
      <c r="C792" s="28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</row>
    <row r="793">
      <c r="A793" s="27"/>
      <c r="B793" s="28"/>
      <c r="C793" s="28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</row>
    <row r="794">
      <c r="A794" s="27"/>
      <c r="B794" s="28"/>
      <c r="C794" s="28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</row>
    <row r="795">
      <c r="A795" s="27"/>
      <c r="B795" s="28"/>
      <c r="C795" s="28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</row>
    <row r="796">
      <c r="A796" s="27"/>
      <c r="B796" s="28"/>
      <c r="C796" s="28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</row>
    <row r="797">
      <c r="A797" s="27"/>
      <c r="B797" s="28"/>
      <c r="C797" s="28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</row>
    <row r="798">
      <c r="A798" s="27"/>
      <c r="B798" s="28"/>
      <c r="C798" s="28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</row>
    <row r="799">
      <c r="A799" s="27"/>
      <c r="B799" s="28"/>
      <c r="C799" s="28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</row>
    <row r="800">
      <c r="A800" s="27"/>
      <c r="B800" s="28"/>
      <c r="C800" s="28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</row>
    <row r="801">
      <c r="A801" s="27"/>
      <c r="B801" s="28"/>
      <c r="C801" s="28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</row>
    <row r="802">
      <c r="A802" s="27"/>
      <c r="B802" s="28"/>
      <c r="C802" s="28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</row>
    <row r="803">
      <c r="A803" s="27"/>
      <c r="B803" s="28"/>
      <c r="C803" s="28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</row>
    <row r="804">
      <c r="A804" s="27"/>
      <c r="B804" s="28"/>
      <c r="C804" s="28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</row>
    <row r="805">
      <c r="A805" s="27"/>
      <c r="B805" s="28"/>
      <c r="C805" s="28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</row>
    <row r="806">
      <c r="A806" s="27"/>
      <c r="B806" s="28"/>
      <c r="C806" s="28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</row>
    <row r="807">
      <c r="A807" s="27"/>
      <c r="B807" s="28"/>
      <c r="C807" s="28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</row>
    <row r="808">
      <c r="A808" s="27"/>
      <c r="B808" s="28"/>
      <c r="C808" s="28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</row>
    <row r="809">
      <c r="A809" s="27"/>
      <c r="B809" s="28"/>
      <c r="C809" s="28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</row>
    <row r="810">
      <c r="A810" s="27"/>
      <c r="B810" s="28"/>
      <c r="C810" s="28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</row>
    <row r="811">
      <c r="A811" s="27"/>
      <c r="B811" s="28"/>
      <c r="C811" s="28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</row>
    <row r="812">
      <c r="A812" s="27"/>
      <c r="B812" s="28"/>
      <c r="C812" s="28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</row>
    <row r="813">
      <c r="A813" s="27"/>
      <c r="B813" s="28"/>
      <c r="C813" s="28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</row>
    <row r="814">
      <c r="A814" s="27"/>
      <c r="B814" s="28"/>
      <c r="C814" s="28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</row>
    <row r="815">
      <c r="A815" s="27"/>
      <c r="B815" s="28"/>
      <c r="C815" s="28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</row>
    <row r="816">
      <c r="A816" s="27"/>
      <c r="B816" s="28"/>
      <c r="C816" s="28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</row>
    <row r="817">
      <c r="A817" s="27"/>
      <c r="B817" s="28"/>
      <c r="C817" s="28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</row>
    <row r="818">
      <c r="A818" s="27"/>
      <c r="B818" s="28"/>
      <c r="C818" s="28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</row>
    <row r="819">
      <c r="A819" s="27"/>
      <c r="B819" s="28"/>
      <c r="C819" s="28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</row>
    <row r="820">
      <c r="A820" s="27"/>
      <c r="B820" s="28"/>
      <c r="C820" s="28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</row>
    <row r="821">
      <c r="A821" s="27"/>
      <c r="B821" s="28"/>
      <c r="C821" s="28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</row>
    <row r="822">
      <c r="A822" s="27"/>
      <c r="B822" s="28"/>
      <c r="C822" s="28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</row>
    <row r="823">
      <c r="A823" s="27"/>
      <c r="B823" s="28"/>
      <c r="C823" s="28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</row>
    <row r="824">
      <c r="A824" s="27"/>
      <c r="B824" s="28"/>
      <c r="C824" s="28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</row>
    <row r="825">
      <c r="A825" s="27"/>
      <c r="B825" s="28"/>
      <c r="C825" s="28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</row>
    <row r="826">
      <c r="A826" s="27"/>
      <c r="B826" s="28"/>
      <c r="C826" s="28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</row>
    <row r="827">
      <c r="A827" s="27"/>
      <c r="B827" s="28"/>
      <c r="C827" s="28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</row>
    <row r="828">
      <c r="A828" s="27"/>
      <c r="B828" s="28"/>
      <c r="C828" s="28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</row>
    <row r="829">
      <c r="A829" s="27"/>
      <c r="B829" s="28"/>
      <c r="C829" s="28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</row>
    <row r="830">
      <c r="A830" s="27"/>
      <c r="B830" s="28"/>
      <c r="C830" s="28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</row>
    <row r="831">
      <c r="A831" s="27"/>
      <c r="B831" s="28"/>
      <c r="C831" s="28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</row>
    <row r="832">
      <c r="A832" s="27"/>
      <c r="B832" s="28"/>
      <c r="C832" s="28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</row>
    <row r="833">
      <c r="A833" s="27"/>
      <c r="B833" s="28"/>
      <c r="C833" s="28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</row>
    <row r="834">
      <c r="A834" s="27"/>
      <c r="B834" s="28"/>
      <c r="C834" s="28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</row>
    <row r="835">
      <c r="A835" s="27"/>
      <c r="B835" s="28"/>
      <c r="C835" s="28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</row>
    <row r="836">
      <c r="A836" s="27"/>
      <c r="B836" s="28"/>
      <c r="C836" s="28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</row>
    <row r="837">
      <c r="A837" s="27"/>
      <c r="B837" s="28"/>
      <c r="C837" s="28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</row>
    <row r="838">
      <c r="A838" s="27"/>
      <c r="B838" s="28"/>
      <c r="C838" s="28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</row>
    <row r="839">
      <c r="A839" s="27"/>
      <c r="B839" s="28"/>
      <c r="C839" s="28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</row>
    <row r="840">
      <c r="A840" s="27"/>
      <c r="B840" s="28"/>
      <c r="C840" s="28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</row>
    <row r="841">
      <c r="A841" s="27"/>
      <c r="B841" s="28"/>
      <c r="C841" s="28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</row>
    <row r="842">
      <c r="A842" s="27"/>
      <c r="B842" s="28"/>
      <c r="C842" s="28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</row>
    <row r="843">
      <c r="A843" s="27"/>
      <c r="B843" s="28"/>
      <c r="C843" s="28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</row>
    <row r="844">
      <c r="A844" s="27"/>
      <c r="B844" s="28"/>
      <c r="C844" s="28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</row>
    <row r="845">
      <c r="A845" s="27"/>
      <c r="B845" s="28"/>
      <c r="C845" s="28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</row>
    <row r="846">
      <c r="A846" s="27"/>
      <c r="B846" s="28"/>
      <c r="C846" s="28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</row>
    <row r="847">
      <c r="A847" s="27"/>
      <c r="B847" s="28"/>
      <c r="C847" s="28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</row>
    <row r="848">
      <c r="A848" s="27"/>
      <c r="B848" s="28"/>
      <c r="C848" s="28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</row>
    <row r="849">
      <c r="A849" s="27"/>
      <c r="B849" s="28"/>
      <c r="C849" s="28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</row>
    <row r="850">
      <c r="A850" s="27"/>
      <c r="B850" s="28"/>
      <c r="C850" s="28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</row>
    <row r="851">
      <c r="A851" s="27"/>
      <c r="B851" s="28"/>
      <c r="C851" s="28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</row>
    <row r="852">
      <c r="A852" s="27"/>
      <c r="B852" s="28"/>
      <c r="C852" s="28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</row>
    <row r="853">
      <c r="A853" s="27"/>
      <c r="B853" s="28"/>
      <c r="C853" s="28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</row>
    <row r="854">
      <c r="A854" s="27"/>
      <c r="B854" s="28"/>
      <c r="C854" s="28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</row>
    <row r="855">
      <c r="A855" s="27"/>
      <c r="B855" s="28"/>
      <c r="C855" s="28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</row>
    <row r="856">
      <c r="A856" s="27"/>
      <c r="B856" s="28"/>
      <c r="C856" s="28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</row>
    <row r="857">
      <c r="A857" s="27"/>
      <c r="B857" s="28"/>
      <c r="C857" s="28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</row>
    <row r="858">
      <c r="A858" s="27"/>
      <c r="B858" s="28"/>
      <c r="C858" s="28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</row>
    <row r="859">
      <c r="A859" s="27"/>
      <c r="B859" s="28"/>
      <c r="C859" s="28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</row>
    <row r="860">
      <c r="A860" s="27"/>
      <c r="B860" s="28"/>
      <c r="C860" s="28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</row>
    <row r="861">
      <c r="A861" s="27"/>
      <c r="B861" s="28"/>
      <c r="C861" s="28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</row>
    <row r="862">
      <c r="A862" s="27"/>
      <c r="B862" s="28"/>
      <c r="C862" s="28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</row>
    <row r="863">
      <c r="A863" s="27"/>
      <c r="B863" s="28"/>
      <c r="C863" s="28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</row>
    <row r="864">
      <c r="A864" s="27"/>
      <c r="B864" s="28"/>
      <c r="C864" s="28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</row>
    <row r="865">
      <c r="A865" s="27"/>
      <c r="B865" s="28"/>
      <c r="C865" s="28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</row>
    <row r="866">
      <c r="A866" s="27"/>
      <c r="B866" s="28"/>
      <c r="C866" s="28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</row>
    <row r="867">
      <c r="A867" s="27"/>
      <c r="B867" s="28"/>
      <c r="C867" s="28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</row>
    <row r="868">
      <c r="A868" s="27"/>
      <c r="B868" s="28"/>
      <c r="C868" s="28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</row>
    <row r="869">
      <c r="A869" s="27"/>
      <c r="B869" s="28"/>
      <c r="C869" s="28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</row>
    <row r="870">
      <c r="A870" s="27"/>
      <c r="B870" s="28"/>
      <c r="C870" s="28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</row>
    <row r="871">
      <c r="A871" s="27"/>
      <c r="B871" s="28"/>
      <c r="C871" s="28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</row>
    <row r="872">
      <c r="A872" s="27"/>
      <c r="B872" s="28"/>
      <c r="C872" s="28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</row>
    <row r="873">
      <c r="A873" s="27"/>
      <c r="B873" s="28"/>
      <c r="C873" s="28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</row>
    <row r="874">
      <c r="A874" s="27"/>
      <c r="B874" s="28"/>
      <c r="C874" s="28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</row>
    <row r="875">
      <c r="A875" s="27"/>
      <c r="B875" s="28"/>
      <c r="C875" s="28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</row>
    <row r="876">
      <c r="A876" s="27"/>
      <c r="B876" s="28"/>
      <c r="C876" s="28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</row>
    <row r="877">
      <c r="A877" s="27"/>
      <c r="B877" s="28"/>
      <c r="C877" s="28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</row>
    <row r="878">
      <c r="A878" s="27"/>
      <c r="B878" s="28"/>
      <c r="C878" s="28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</row>
    <row r="879">
      <c r="A879" s="27"/>
      <c r="B879" s="28"/>
      <c r="C879" s="28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</row>
    <row r="880">
      <c r="A880" s="27"/>
      <c r="B880" s="28"/>
      <c r="C880" s="28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</row>
    <row r="881">
      <c r="A881" s="27"/>
      <c r="B881" s="28"/>
      <c r="C881" s="28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</row>
    <row r="882">
      <c r="A882" s="27"/>
      <c r="B882" s="28"/>
      <c r="C882" s="28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</row>
    <row r="883">
      <c r="A883" s="27"/>
      <c r="B883" s="28"/>
      <c r="C883" s="28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</row>
    <row r="884">
      <c r="A884" s="27"/>
      <c r="B884" s="28"/>
      <c r="C884" s="28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</row>
    <row r="885">
      <c r="A885" s="27"/>
      <c r="B885" s="28"/>
      <c r="C885" s="28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</row>
    <row r="886">
      <c r="A886" s="27"/>
      <c r="B886" s="28"/>
      <c r="C886" s="28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</row>
    <row r="887">
      <c r="A887" s="27"/>
      <c r="B887" s="28"/>
      <c r="C887" s="28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</row>
    <row r="888">
      <c r="A888" s="27"/>
      <c r="B888" s="28"/>
      <c r="C888" s="28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</row>
    <row r="889">
      <c r="A889" s="27"/>
      <c r="B889" s="28"/>
      <c r="C889" s="28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</row>
    <row r="890">
      <c r="A890" s="27"/>
      <c r="B890" s="28"/>
      <c r="C890" s="28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</row>
    <row r="891">
      <c r="A891" s="27"/>
      <c r="B891" s="28"/>
      <c r="C891" s="28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</row>
    <row r="892">
      <c r="A892" s="27"/>
      <c r="B892" s="28"/>
      <c r="C892" s="28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</row>
    <row r="893">
      <c r="A893" s="27"/>
      <c r="B893" s="28"/>
      <c r="C893" s="28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</row>
    <row r="894">
      <c r="A894" s="27"/>
      <c r="B894" s="28"/>
      <c r="C894" s="28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</row>
    <row r="895">
      <c r="A895" s="27"/>
      <c r="B895" s="28"/>
      <c r="C895" s="28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</row>
    <row r="896">
      <c r="A896" s="27"/>
      <c r="B896" s="28"/>
      <c r="C896" s="28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</row>
    <row r="897">
      <c r="A897" s="27"/>
      <c r="B897" s="28"/>
      <c r="C897" s="28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</row>
    <row r="898">
      <c r="A898" s="27"/>
      <c r="B898" s="28"/>
      <c r="C898" s="28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</row>
    <row r="899">
      <c r="A899" s="27"/>
      <c r="B899" s="28"/>
      <c r="C899" s="28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</row>
    <row r="900">
      <c r="A900" s="27"/>
      <c r="B900" s="28"/>
      <c r="C900" s="28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</row>
    <row r="901">
      <c r="A901" s="27"/>
      <c r="B901" s="28"/>
      <c r="C901" s="28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</row>
    <row r="902">
      <c r="A902" s="27"/>
      <c r="B902" s="28"/>
      <c r="C902" s="28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</row>
    <row r="903">
      <c r="A903" s="27"/>
      <c r="B903" s="28"/>
      <c r="C903" s="28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</row>
    <row r="904">
      <c r="A904" s="27"/>
      <c r="B904" s="28"/>
      <c r="C904" s="28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</row>
    <row r="905">
      <c r="A905" s="27"/>
      <c r="B905" s="28"/>
      <c r="C905" s="28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</row>
    <row r="906">
      <c r="A906" s="27"/>
      <c r="B906" s="28"/>
      <c r="C906" s="28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</row>
    <row r="907">
      <c r="A907" s="27"/>
      <c r="B907" s="28"/>
      <c r="C907" s="28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</row>
    <row r="908">
      <c r="A908" s="27"/>
      <c r="B908" s="28"/>
      <c r="C908" s="28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</row>
    <row r="909">
      <c r="A909" s="27"/>
      <c r="B909" s="28"/>
      <c r="C909" s="28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</row>
    <row r="910">
      <c r="A910" s="27"/>
      <c r="B910" s="28"/>
      <c r="C910" s="28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</row>
    <row r="911">
      <c r="A911" s="27"/>
      <c r="B911" s="28"/>
      <c r="C911" s="28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</row>
    <row r="912">
      <c r="A912" s="27"/>
      <c r="B912" s="28"/>
      <c r="C912" s="28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</row>
    <row r="913">
      <c r="A913" s="27"/>
      <c r="B913" s="28"/>
      <c r="C913" s="28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</row>
    <row r="914">
      <c r="A914" s="27"/>
      <c r="B914" s="28"/>
      <c r="C914" s="28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</row>
    <row r="915">
      <c r="A915" s="27"/>
      <c r="B915" s="28"/>
      <c r="C915" s="28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</row>
    <row r="916">
      <c r="A916" s="27"/>
      <c r="B916" s="28"/>
      <c r="C916" s="28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</row>
    <row r="917">
      <c r="A917" s="27"/>
      <c r="B917" s="28"/>
      <c r="C917" s="28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</row>
    <row r="918">
      <c r="A918" s="27"/>
      <c r="B918" s="28"/>
      <c r="C918" s="28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</row>
    <row r="919">
      <c r="A919" s="27"/>
      <c r="B919" s="28"/>
      <c r="C919" s="28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</row>
    <row r="920">
      <c r="A920" s="27"/>
      <c r="B920" s="28"/>
      <c r="C920" s="28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</row>
    <row r="921">
      <c r="A921" s="27"/>
      <c r="B921" s="28"/>
      <c r="C921" s="28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</row>
    <row r="922">
      <c r="A922" s="27"/>
      <c r="B922" s="28"/>
      <c r="C922" s="28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</row>
    <row r="923">
      <c r="A923" s="27"/>
      <c r="B923" s="28"/>
      <c r="C923" s="28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</row>
    <row r="924">
      <c r="A924" s="27"/>
      <c r="B924" s="28"/>
      <c r="C924" s="28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</row>
    <row r="925">
      <c r="A925" s="27"/>
      <c r="B925" s="28"/>
      <c r="C925" s="28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</row>
    <row r="926">
      <c r="A926" s="27"/>
      <c r="B926" s="28"/>
      <c r="C926" s="28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</row>
    <row r="927">
      <c r="A927" s="27"/>
      <c r="B927" s="28"/>
      <c r="C927" s="28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</row>
    <row r="928">
      <c r="A928" s="27"/>
      <c r="B928" s="28"/>
      <c r="C928" s="28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</row>
    <row r="929">
      <c r="A929" s="27"/>
      <c r="B929" s="28"/>
      <c r="C929" s="28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</row>
    <row r="930">
      <c r="A930" s="27"/>
      <c r="B930" s="28"/>
      <c r="C930" s="28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</row>
    <row r="931">
      <c r="A931" s="27"/>
      <c r="B931" s="28"/>
      <c r="C931" s="28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</row>
    <row r="932">
      <c r="A932" s="27"/>
      <c r="B932" s="28"/>
      <c r="C932" s="28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</row>
    <row r="933">
      <c r="A933" s="27"/>
      <c r="B933" s="28"/>
      <c r="C933" s="28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</row>
    <row r="934">
      <c r="A934" s="27"/>
      <c r="B934" s="28"/>
      <c r="C934" s="28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</row>
    <row r="935">
      <c r="A935" s="27"/>
      <c r="B935" s="28"/>
      <c r="C935" s="28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</row>
    <row r="936">
      <c r="A936" s="27"/>
      <c r="B936" s="28"/>
      <c r="C936" s="28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</row>
    <row r="937">
      <c r="A937" s="27"/>
      <c r="B937" s="28"/>
      <c r="C937" s="28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</row>
    <row r="938">
      <c r="A938" s="27"/>
      <c r="B938" s="28"/>
      <c r="C938" s="28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</row>
    <row r="939">
      <c r="A939" s="27"/>
      <c r="B939" s="28"/>
      <c r="C939" s="28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</row>
    <row r="940">
      <c r="A940" s="27"/>
      <c r="B940" s="28"/>
      <c r="C940" s="28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</row>
    <row r="941">
      <c r="A941" s="27"/>
      <c r="B941" s="28"/>
      <c r="C941" s="28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</row>
    <row r="942">
      <c r="A942" s="27"/>
      <c r="B942" s="28"/>
      <c r="C942" s="28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</row>
    <row r="943">
      <c r="A943" s="27"/>
      <c r="B943" s="28"/>
      <c r="C943" s="28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</row>
    <row r="944">
      <c r="A944" s="27"/>
      <c r="B944" s="28"/>
      <c r="C944" s="28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</row>
    <row r="945">
      <c r="A945" s="27"/>
      <c r="B945" s="28"/>
      <c r="C945" s="28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</row>
    <row r="946">
      <c r="A946" s="27"/>
      <c r="B946" s="28"/>
      <c r="C946" s="28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</row>
    <row r="947">
      <c r="A947" s="27"/>
      <c r="B947" s="28"/>
      <c r="C947" s="28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</row>
    <row r="948">
      <c r="A948" s="27"/>
      <c r="B948" s="28"/>
      <c r="C948" s="28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</row>
    <row r="949">
      <c r="A949" s="27"/>
      <c r="B949" s="28"/>
      <c r="C949" s="28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</row>
    <row r="950">
      <c r="A950" s="27"/>
      <c r="B950" s="28"/>
      <c r="C950" s="28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</row>
    <row r="951">
      <c r="A951" s="27"/>
      <c r="B951" s="28"/>
      <c r="C951" s="28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</row>
    <row r="952">
      <c r="A952" s="27"/>
      <c r="B952" s="28"/>
      <c r="C952" s="28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</row>
    <row r="953">
      <c r="A953" s="27"/>
      <c r="B953" s="28"/>
      <c r="C953" s="28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</row>
    <row r="954">
      <c r="A954" s="27"/>
      <c r="B954" s="28"/>
      <c r="C954" s="28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</row>
    <row r="955">
      <c r="A955" s="27"/>
      <c r="B955" s="28"/>
      <c r="C955" s="28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</row>
    <row r="956">
      <c r="A956" s="27"/>
      <c r="B956" s="28"/>
      <c r="C956" s="28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</row>
    <row r="957">
      <c r="A957" s="27"/>
      <c r="B957" s="28"/>
      <c r="C957" s="28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</row>
    <row r="958">
      <c r="A958" s="27"/>
      <c r="B958" s="28"/>
      <c r="C958" s="28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</row>
    <row r="959">
      <c r="A959" s="27"/>
      <c r="B959" s="28"/>
      <c r="C959" s="28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</row>
    <row r="960">
      <c r="A960" s="27"/>
      <c r="B960" s="28"/>
      <c r="C960" s="28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</row>
    <row r="961">
      <c r="A961" s="27"/>
      <c r="B961" s="28"/>
      <c r="C961" s="28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</row>
    <row r="962">
      <c r="A962" s="27"/>
      <c r="B962" s="28"/>
      <c r="C962" s="28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</row>
    <row r="963">
      <c r="A963" s="27"/>
      <c r="B963" s="28"/>
      <c r="C963" s="28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</row>
    <row r="964">
      <c r="A964" s="27"/>
      <c r="B964" s="28"/>
      <c r="C964" s="28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</row>
    <row r="965">
      <c r="A965" s="27"/>
      <c r="B965" s="28"/>
      <c r="C965" s="28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</row>
    <row r="966">
      <c r="A966" s="27"/>
      <c r="B966" s="28"/>
      <c r="C966" s="28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</row>
    <row r="967">
      <c r="A967" s="27"/>
      <c r="B967" s="28"/>
      <c r="C967" s="28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</row>
    <row r="968">
      <c r="A968" s="27"/>
      <c r="B968" s="28"/>
      <c r="C968" s="28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</row>
    <row r="969">
      <c r="A969" s="27"/>
      <c r="B969" s="28"/>
      <c r="C969" s="28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</row>
    <row r="970">
      <c r="A970" s="27"/>
      <c r="B970" s="28"/>
      <c r="C970" s="28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</row>
    <row r="971">
      <c r="A971" s="27"/>
      <c r="B971" s="28"/>
      <c r="C971" s="28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</row>
    <row r="972">
      <c r="A972" s="27"/>
      <c r="B972" s="28"/>
      <c r="C972" s="28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</row>
    <row r="973">
      <c r="A973" s="27"/>
      <c r="B973" s="28"/>
      <c r="C973" s="28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</row>
    <row r="974">
      <c r="A974" s="27"/>
      <c r="B974" s="28"/>
      <c r="C974" s="28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</row>
    <row r="975">
      <c r="A975" s="27"/>
      <c r="B975" s="28"/>
      <c r="C975" s="28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</row>
    <row r="976">
      <c r="A976" s="27"/>
      <c r="B976" s="28"/>
      <c r="C976" s="28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</row>
    <row r="977">
      <c r="A977" s="27"/>
      <c r="B977" s="28"/>
      <c r="C977" s="28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</row>
    <row r="978">
      <c r="A978" s="27"/>
      <c r="B978" s="28"/>
      <c r="C978" s="28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</row>
    <row r="979">
      <c r="A979" s="27"/>
      <c r="B979" s="28"/>
      <c r="C979" s="28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</row>
    <row r="980">
      <c r="A980" s="27"/>
      <c r="B980" s="28"/>
      <c r="C980" s="28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</row>
    <row r="981">
      <c r="A981" s="27"/>
      <c r="B981" s="28"/>
      <c r="C981" s="28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</row>
    <row r="982">
      <c r="A982" s="27"/>
      <c r="B982" s="28"/>
      <c r="C982" s="28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</row>
    <row r="983">
      <c r="A983" s="27"/>
      <c r="B983" s="28"/>
      <c r="C983" s="28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</row>
    <row r="984">
      <c r="A984" s="27"/>
      <c r="B984" s="28"/>
      <c r="C984" s="28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</row>
    <row r="985">
      <c r="A985" s="27"/>
      <c r="B985" s="28"/>
      <c r="C985" s="28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</row>
    <row r="986">
      <c r="A986" s="27"/>
      <c r="B986" s="28"/>
      <c r="C986" s="28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</row>
    <row r="987">
      <c r="A987" s="27"/>
      <c r="B987" s="28"/>
      <c r="C987" s="28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</row>
    <row r="988">
      <c r="A988" s="27"/>
      <c r="B988" s="28"/>
      <c r="C988" s="28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</row>
    <row r="989">
      <c r="A989" s="27"/>
      <c r="B989" s="28"/>
      <c r="C989" s="28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</row>
    <row r="990">
      <c r="A990" s="27"/>
      <c r="B990" s="28"/>
      <c r="C990" s="28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</row>
    <row r="991">
      <c r="A991" s="27"/>
      <c r="B991" s="28"/>
      <c r="C991" s="28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</row>
    <row r="992">
      <c r="A992" s="27"/>
      <c r="B992" s="28"/>
      <c r="C992" s="28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</row>
    <row r="993">
      <c r="A993" s="27"/>
      <c r="B993" s="28"/>
      <c r="C993" s="28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</row>
    <row r="994">
      <c r="A994" s="27"/>
      <c r="B994" s="28"/>
      <c r="C994" s="28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</row>
    <row r="995">
      <c r="A995" s="27"/>
      <c r="B995" s="28"/>
      <c r="C995" s="28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</row>
    <row r="996">
      <c r="A996" s="27"/>
      <c r="B996" s="28"/>
      <c r="C996" s="28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</row>
    <row r="997">
      <c r="A997" s="27"/>
      <c r="B997" s="28"/>
      <c r="C997" s="28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</row>
    <row r="998">
      <c r="A998" s="27"/>
      <c r="B998" s="28"/>
      <c r="C998" s="28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</row>
    <row r="999">
      <c r="A999" s="27"/>
      <c r="B999" s="28"/>
      <c r="C999" s="28"/>
      <c r="D999" s="27"/>
      <c r="E999" s="27"/>
      <c r="F999" s="27"/>
      <c r="G999" s="27"/>
      <c r="H999" s="28"/>
      <c r="I999" s="28"/>
      <c r="J999" s="28"/>
      <c r="K999" s="28"/>
      <c r="L999" s="28"/>
      <c r="M999" s="28"/>
      <c r="N999" s="28"/>
      <c r="O999" s="28"/>
    </row>
    <row r="1000">
      <c r="A1000" s="27"/>
      <c r="B1000" s="28"/>
      <c r="C1000" s="28"/>
      <c r="D1000" s="27"/>
      <c r="E1000" s="27"/>
      <c r="F1000" s="27"/>
      <c r="G1000" s="27"/>
      <c r="H1000" s="28"/>
      <c r="I1000" s="28"/>
      <c r="J1000" s="28"/>
      <c r="K1000" s="28"/>
      <c r="L1000" s="28"/>
      <c r="M1000" s="28"/>
      <c r="N1000" s="28"/>
      <c r="O1000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38.75"/>
    <col customWidth="1" min="3" max="3" width="10.38"/>
    <col customWidth="1" min="4" max="4" width="8.38"/>
    <col customWidth="1" min="5" max="5" width="7.25"/>
    <col customWidth="1" min="6" max="6" width="8.38"/>
    <col customWidth="1" min="7" max="7" width="13.5"/>
    <col customWidth="1" min="8" max="8" width="28.13"/>
    <col customWidth="1" min="9" max="9" width="27.5"/>
    <col customWidth="1" min="10" max="10" width="87.0"/>
    <col customWidth="1" min="11" max="11" width="14.0"/>
    <col customWidth="1" min="12" max="12" width="10.5"/>
    <col customWidth="1" min="13" max="13" width="8.5"/>
    <col customWidth="1" min="14" max="14" width="14.13"/>
    <col customWidth="1" min="15" max="15" width="9.38"/>
    <col customWidth="1" min="16" max="16" width="6.75"/>
    <col customWidth="1" min="17" max="17" width="3.75"/>
    <col customWidth="1" min="18" max="18" width="29.0"/>
    <col customWidth="1" min="19" max="19" width="28.5"/>
    <col customWidth="1" min="20" max="23" width="12.63"/>
    <col customWidth="1" min="24" max="24" width="2.88"/>
    <col customWidth="1" min="25" max="76" width="12.63"/>
  </cols>
  <sheetData>
    <row r="1" ht="54.75" customHeight="1">
      <c r="A1" s="25" t="str">
        <f>IFERROR(__xludf.DUMMYFUNCTION("IMPORTRANGE(""144uclHCnoFWIUrORn8W5m9Ssp3_S-TobeXjaa8Juyx0/edit?gid=1025923927#gid=1025923927"",""C!A1:O1000"")"),"NO")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IFERROR(__xludf.DUMMYFUNCTION("""COMPUTED_VALUE"""),"ASRAMA")</f>
        <v>ASRAMA</v>
      </c>
      <c r="E1" s="25" t="str">
        <f>IFERROR(__xludf.DUMMYFUNCTION("""COMPUTED_VALUE"""),"KAMAR")</f>
        <v>KAMAR</v>
      </c>
      <c r="F1" s="25" t="str">
        <f>IFERROR(__xludf.DUMMYFUNCTION("""COMPUTED_VALUE"""),"TINGKAT")</f>
        <v>TINGKAT</v>
      </c>
      <c r="G1" s="25" t="str">
        <f>IFERROR(__xludf.DUMMYFUNCTION("""COMPUTED_VALUE"""),"MADRASIAH")</f>
        <v>MADRASIAH</v>
      </c>
      <c r="H1" s="25" t="str">
        <f>IFERROR(__xludf.DUMMYFUNCTION("""COMPUTED_VALUE"""),"SEKOLAH")</f>
        <v>SEKOLAH</v>
      </c>
      <c r="I1" s="25" t="str">
        <f>IFERROR(__xludf.DUMMYFUNCTION("""COMPUTED_VALUE"""),"IBU")</f>
        <v>IBU</v>
      </c>
      <c r="J1" s="25" t="str">
        <f>IFERROR(__xludf.DUMMYFUNCTION("""COMPUTED_VALUE"""),"ALAMAT")</f>
        <v>ALAMAT</v>
      </c>
      <c r="K1" s="25" t="str">
        <f>IFERROR(__xludf.DUMMYFUNCTION("""COMPUTED_VALUE"""),"WA")</f>
        <v>WA</v>
      </c>
      <c r="L1" s="25" t="str">
        <f>IFERROR(__xludf.DUMMYFUNCTION("""COMPUTED_VALUE"""),"JUMLAH SYAHRIYAH")</f>
        <v>JUMLAH SYAHRIYAH</v>
      </c>
      <c r="M1" s="25" t="str">
        <f>IFERROR(__xludf.DUMMYFUNCTION("""COMPUTED_VALUE"""),"JUMLAH JARIYAH")</f>
        <v>JUMLAH JARIYAH</v>
      </c>
      <c r="N1" s="25" t="str">
        <f>IFERROR(__xludf.DUMMYFUNCTION("""COMPUTED_VALUE"""),"JUMLAH DAFTAR ULANG")</f>
        <v>JUMLAH DAFTAR ULANG</v>
      </c>
      <c r="O1" s="25" t="str">
        <f>IFERROR(__xludf.DUMMYFUNCTION("""COMPUTED_VALUE"""),"JUMLAH TOTAL TUNGGAKAN")</f>
        <v>JUMLAH TOTAL TUNGGAKAN</v>
      </c>
      <c r="P1" s="30"/>
      <c r="Q1" s="30"/>
      <c r="R1" s="30"/>
      <c r="S1" s="30"/>
      <c r="T1" s="30"/>
      <c r="U1" s="30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</row>
    <row r="2">
      <c r="A2" s="27">
        <f>IFERROR(__xludf.DUMMYFUNCTION("""COMPUTED_VALUE"""),1.0)</f>
        <v>1</v>
      </c>
      <c r="B2" s="28" t="str">
        <f>IFERROR(__xludf.DUMMYFUNCTION("""COMPUTED_VALUE"""),"ALILATUL BARIZA")</f>
        <v>ALILATUL BARIZA</v>
      </c>
      <c r="C2" s="28">
        <f>IFERROR(__xludf.DUMMYFUNCTION("""COMPUTED_VALUE"""),2.025090674E9)</f>
        <v>2025090674</v>
      </c>
      <c r="D2" s="27" t="str">
        <f>IFERROR(__xludf.DUMMYFUNCTION("""COMPUTED_VALUE"""),"C")</f>
        <v>C</v>
      </c>
      <c r="E2" s="27" t="str">
        <f>IFERROR(__xludf.DUMMYFUNCTION("""COMPUTED_VALUE"""),"C-1")</f>
        <v>C-1</v>
      </c>
      <c r="F2" s="31">
        <f>IFERROR(__xludf.DUMMYFUNCTION("""COMPUTED_VALUE"""),2.0)</f>
        <v>2</v>
      </c>
      <c r="G2" s="27" t="str">
        <f>IFERROR(__xludf.DUMMYFUNCTION("""COMPUTED_VALUE"""),"TAHFIDZ")</f>
        <v>TAHFIDZ</v>
      </c>
      <c r="H2" s="28" t="str">
        <f>IFERROR(__xludf.DUMMYFUNCTION("""COMPUTED_VALUE"""),"MA-XI.1")</f>
        <v>MA-XI.1</v>
      </c>
      <c r="I2" s="28" t="str">
        <f>IFERROR(__xludf.DUMMYFUNCTION("""COMPUTED_VALUE"""),"UMI BAROROH")</f>
        <v>UMI BAROROH</v>
      </c>
      <c r="J2" s="28" t="str">
        <f>IFERROR(__xludf.DUMMYFUNCTION("""COMPUTED_VALUE"""),"CUMPLENG BRENGKOK RT 001 RW 012 BRONDONG LAMONGAN")</f>
        <v>CUMPLENG BRENGKOK RT 001 RW 012 BRONDONG LAMONGAN</v>
      </c>
      <c r="K2" s="28" t="str">
        <f>IFERROR(__xludf.DUMMYFUNCTION("""COMPUTED_VALUE"""),"6285731864758")</f>
        <v>6285731864758</v>
      </c>
      <c r="L2" s="22">
        <f>IFERROR(__xludf.DUMMYFUNCTION("""COMPUTED_VALUE"""),0.0)</f>
        <v>0</v>
      </c>
      <c r="M2" s="22">
        <f>IFERROR(__xludf.DUMMYFUNCTION("""COMPUTED_VALUE"""),1000000.0)</f>
        <v>1000000</v>
      </c>
      <c r="N2" s="22">
        <f>IFERROR(__xludf.DUMMYFUNCTION("""COMPUTED_VALUE"""),0.0)</f>
        <v>0</v>
      </c>
      <c r="O2" s="22">
        <f>IFERROR(__xludf.DUMMYFUNCTION("""COMPUTED_VALUE"""),1000000.0)</f>
        <v>1000000</v>
      </c>
      <c r="P2" s="28" t="str">
        <f t="shared" ref="P2:P324" si="1">IF(N2=0,"LUNAS","BELUM")</f>
        <v>LUNAS</v>
      </c>
      <c r="Q2" s="28">
        <f t="shared" ref="Q2:Q324" si="2">_xlfn.RANK.EQ(O2,$O$2:$O$389,0)+COUNTIF($O$2:O2,O2)-1</f>
        <v>51</v>
      </c>
      <c r="R2" s="28" t="str">
        <f t="shared" ref="R2:R389" si="3">B2</f>
        <v>ALILATUL BARIZA</v>
      </c>
      <c r="S2" s="28">
        <f>COUNTA(B2:B450)</f>
        <v>241</v>
      </c>
      <c r="T2" s="32" t="s">
        <v>31</v>
      </c>
    </row>
    <row r="3">
      <c r="A3" s="27">
        <f>IFERROR(__xludf.DUMMYFUNCTION("""COMPUTED_VALUE"""),2.0)</f>
        <v>2</v>
      </c>
      <c r="B3" s="28" t="str">
        <f>IFERROR(__xludf.DUMMYFUNCTION("""COMPUTED_VALUE"""),"NAJWA DURROTUS TSANIA")</f>
        <v>NAJWA DURROTUS TSANIA</v>
      </c>
      <c r="C3" s="28">
        <f>IFERROR(__xludf.DUMMYFUNCTION("""COMPUTED_VALUE"""),2.025070277E9)</f>
        <v>2025070277</v>
      </c>
      <c r="D3" s="27" t="str">
        <f>IFERROR(__xludf.DUMMYFUNCTION("""COMPUTED_VALUE"""),"C")</f>
        <v>C</v>
      </c>
      <c r="E3" s="27" t="str">
        <f>IFERROR(__xludf.DUMMYFUNCTION("""COMPUTED_VALUE"""),"C-1")</f>
        <v>C-1</v>
      </c>
      <c r="F3" s="31">
        <f>IFERROR(__xludf.DUMMYFUNCTION("""COMPUTED_VALUE"""),2.0)</f>
        <v>2</v>
      </c>
      <c r="G3" s="27" t="str">
        <f>IFERROR(__xludf.DUMMYFUNCTION("""COMPUTED_VALUE"""),"2 WUSTHO B PUTRI")</f>
        <v>2 WUSTHO B PUTRI</v>
      </c>
      <c r="H3" s="28" t="str">
        <f>IFERROR(__xludf.DUMMYFUNCTION("""COMPUTED_VALUE"""),"MA-XI.6")</f>
        <v>MA-XI.6</v>
      </c>
      <c r="I3" s="28" t="str">
        <f>IFERROR(__xludf.DUMMYFUNCTION("""COMPUTED_VALUE"""),"MUJAIYAH")</f>
        <v>MUJAIYAH</v>
      </c>
      <c r="J3" s="28" t="str">
        <f>IFERROR(__xludf.DUMMYFUNCTION("""COMPUTED_VALUE"""),"BADU BADURAME RT 001 RW 004 TURI LAMONGAN")</f>
        <v>BADU BADURAME RT 001 RW 004 TURI LAMONGAN</v>
      </c>
      <c r="K3" s="28" t="str">
        <f>IFERROR(__xludf.DUMMYFUNCTION("""COMPUTED_VALUE"""),"6285546050558")</f>
        <v>6285546050558</v>
      </c>
      <c r="L3" s="22">
        <f>IFERROR(__xludf.DUMMYFUNCTION("""COMPUTED_VALUE"""),0.0)</f>
        <v>0</v>
      </c>
      <c r="M3" s="22">
        <f>IFERROR(__xludf.DUMMYFUNCTION("""COMPUTED_VALUE"""),0.0)</f>
        <v>0</v>
      </c>
      <c r="N3" s="22">
        <f>IFERROR(__xludf.DUMMYFUNCTION("""COMPUTED_VALUE"""),0.0)</f>
        <v>0</v>
      </c>
      <c r="O3" s="22">
        <f>IFERROR(__xludf.DUMMYFUNCTION("""COMPUTED_VALUE"""),0.0)</f>
        <v>0</v>
      </c>
      <c r="P3" s="28" t="str">
        <f t="shared" si="1"/>
        <v>LUNAS</v>
      </c>
      <c r="Q3" s="28">
        <f t="shared" si="2"/>
        <v>153</v>
      </c>
      <c r="R3" s="28" t="str">
        <f t="shared" si="3"/>
        <v>NAJWA DURROTUS TSANIA</v>
      </c>
      <c r="S3" s="28">
        <f>COUNTIF(F:F,1)</f>
        <v>0</v>
      </c>
      <c r="T3" s="32" t="s">
        <v>17</v>
      </c>
    </row>
    <row r="4">
      <c r="A4" s="27">
        <f>IFERROR(__xludf.DUMMYFUNCTION("""COMPUTED_VALUE"""),3.0)</f>
        <v>3</v>
      </c>
      <c r="B4" s="28" t="str">
        <f>IFERROR(__xludf.DUMMYFUNCTION("""COMPUTED_VALUE"""),"JAZILATUN NURUN NABILA")</f>
        <v>JAZILATUN NURUN NABILA</v>
      </c>
      <c r="C4" s="28">
        <f>IFERROR(__xludf.DUMMYFUNCTION("""COMPUTED_VALUE"""),2.025110683E9)</f>
        <v>2025110683</v>
      </c>
      <c r="D4" s="27" t="str">
        <f>IFERROR(__xludf.DUMMYFUNCTION("""COMPUTED_VALUE"""),"C")</f>
        <v>C</v>
      </c>
      <c r="E4" s="27" t="str">
        <f>IFERROR(__xludf.DUMMYFUNCTION("""COMPUTED_VALUE"""),"C-1")</f>
        <v>C-1</v>
      </c>
      <c r="F4" s="31">
        <f>IFERROR(__xludf.DUMMYFUNCTION("""COMPUTED_VALUE"""),2.0)</f>
        <v>2</v>
      </c>
      <c r="G4" s="27" t="str">
        <f>IFERROR(__xludf.DUMMYFUNCTION("""COMPUTED_VALUE"""),"2 ULA A PUTRI")</f>
        <v>2 ULA A PUTRI</v>
      </c>
      <c r="H4" s="28" t="str">
        <f>IFERROR(__xludf.DUMMYFUNCTION("""COMPUTED_VALUE"""),"#N/A")</f>
        <v>#N/A</v>
      </c>
      <c r="I4" s="28" t="str">
        <f>IFERROR(__xludf.DUMMYFUNCTION("""COMPUTED_VALUE"""),"NINIM LATHIFAH")</f>
        <v>NINIM LATHIFAH</v>
      </c>
      <c r="J4" s="28" t="str">
        <f>IFERROR(__xludf.DUMMYFUNCTION("""COMPUTED_VALUE"""),"BESUR RT 005 RW 002 SEKARAN LAMONGAN")</f>
        <v>BESUR RT 005 RW 002 SEKARAN LAMONGAN</v>
      </c>
      <c r="K4" s="28" t="str">
        <f>IFERROR(__xludf.DUMMYFUNCTION("""COMPUTED_VALUE"""),"6285746584003")</f>
        <v>6285746584003</v>
      </c>
      <c r="L4" s="22">
        <f>IFERROR(__xludf.DUMMYFUNCTION("""COMPUTED_VALUE"""),2700000.0)</f>
        <v>2700000</v>
      </c>
      <c r="M4" s="22">
        <f>IFERROR(__xludf.DUMMYFUNCTION("""COMPUTED_VALUE"""),0.0)</f>
        <v>0</v>
      </c>
      <c r="N4" s="22">
        <f>IFERROR(__xludf.DUMMYFUNCTION("""COMPUTED_VALUE"""),0.0)</f>
        <v>0</v>
      </c>
      <c r="O4" s="22">
        <f>IFERROR(__xludf.DUMMYFUNCTION("""COMPUTED_VALUE"""),2700000.0)</f>
        <v>2700000</v>
      </c>
      <c r="P4" s="28" t="str">
        <f t="shared" si="1"/>
        <v>LUNAS</v>
      </c>
      <c r="Q4" s="28">
        <f t="shared" si="2"/>
        <v>18</v>
      </c>
      <c r="R4" s="28" t="str">
        <f t="shared" si="3"/>
        <v>JAZILATUN NURUN NABILA</v>
      </c>
      <c r="S4" s="28">
        <f>COUNTIF(F:F,2)</f>
        <v>120</v>
      </c>
      <c r="T4" s="32" t="s">
        <v>18</v>
      </c>
    </row>
    <row r="5">
      <c r="A5" s="27">
        <f>IFERROR(__xludf.DUMMYFUNCTION("""COMPUTED_VALUE"""),4.0)</f>
        <v>4</v>
      </c>
      <c r="B5" s="28" t="str">
        <f>IFERROR(__xludf.DUMMYFUNCTION("""COMPUTED_VALUE"""),"HONEST MAHFUDZOH")</f>
        <v>HONEST MAHFUDZOH</v>
      </c>
      <c r="C5" s="28">
        <f>IFERROR(__xludf.DUMMYFUNCTION("""COMPUTED_VALUE"""),2.026010002E9)</f>
        <v>2026010002</v>
      </c>
      <c r="D5" s="27" t="str">
        <f>IFERROR(__xludf.DUMMYFUNCTION("""COMPUTED_VALUE"""),"C")</f>
        <v>C</v>
      </c>
      <c r="E5" s="27" t="str">
        <f>IFERROR(__xludf.DUMMYFUNCTION("""COMPUTED_VALUE"""),"C-1")</f>
        <v>C-1</v>
      </c>
      <c r="F5" s="31">
        <f>IFERROR(__xludf.DUMMYFUNCTION("""COMPUTED_VALUE"""),2.0)</f>
        <v>2</v>
      </c>
      <c r="G5" s="27"/>
      <c r="H5" s="28" t="str">
        <f>IFERROR(__xludf.DUMMYFUNCTION("""COMPUTED_VALUE"""),"MA-XI.11")</f>
        <v>MA-XI.11</v>
      </c>
      <c r="I5" s="28"/>
      <c r="J5" s="28"/>
      <c r="K5" s="28"/>
      <c r="L5" s="22">
        <f>IFERROR(__xludf.DUMMYFUNCTION("""COMPUTED_VALUE"""),0.0)</f>
        <v>0</v>
      </c>
      <c r="M5" s="22">
        <f>IFERROR(__xludf.DUMMYFUNCTION("""COMPUTED_VALUE"""),0.0)</f>
        <v>0</v>
      </c>
      <c r="N5" s="22">
        <f>IFERROR(__xludf.DUMMYFUNCTION("""COMPUTED_VALUE"""),0.0)</f>
        <v>0</v>
      </c>
      <c r="O5" s="22">
        <f>IFERROR(__xludf.DUMMYFUNCTION("""COMPUTED_VALUE"""),0.0)</f>
        <v>0</v>
      </c>
      <c r="P5" s="28" t="str">
        <f t="shared" si="1"/>
        <v>LUNAS</v>
      </c>
      <c r="Q5" s="28">
        <f t="shared" si="2"/>
        <v>154</v>
      </c>
      <c r="R5" s="28" t="str">
        <f t="shared" si="3"/>
        <v>HONEST MAHFUDZOH</v>
      </c>
      <c r="S5" s="28">
        <f>COUNTIF(F:F,3)</f>
        <v>121</v>
      </c>
      <c r="T5" s="32" t="s">
        <v>19</v>
      </c>
    </row>
    <row r="6">
      <c r="A6" s="27">
        <f>IFERROR(__xludf.DUMMYFUNCTION("""COMPUTED_VALUE"""),5.0)</f>
        <v>5</v>
      </c>
      <c r="B6" s="28" t="str">
        <f>IFERROR(__xludf.DUMMYFUNCTION("""COMPUTED_VALUE"""),"AFIFATUT THOHIRO")</f>
        <v>AFIFATUT THOHIRO</v>
      </c>
      <c r="C6" s="28">
        <f>IFERROR(__xludf.DUMMYFUNCTION("""COMPUTED_VALUE"""),2.0250702E9)</f>
        <v>2025070200</v>
      </c>
      <c r="D6" s="27" t="str">
        <f>IFERROR(__xludf.DUMMYFUNCTION("""COMPUTED_VALUE"""),"C")</f>
        <v>C</v>
      </c>
      <c r="E6" s="27" t="str">
        <f>IFERROR(__xludf.DUMMYFUNCTION("""COMPUTED_VALUE"""),"C-10")</f>
        <v>C-10</v>
      </c>
      <c r="F6" s="31">
        <f>IFERROR(__xludf.DUMMYFUNCTION("""COMPUTED_VALUE"""),2.0)</f>
        <v>2</v>
      </c>
      <c r="G6" s="27" t="str">
        <f>IFERROR(__xludf.DUMMYFUNCTION("""COMPUTED_VALUE"""),"2 WUSTHO D PUTRI")</f>
        <v>2 WUSTHO D PUTRI</v>
      </c>
      <c r="H6" s="28" t="str">
        <f>IFERROR(__xludf.DUMMYFUNCTION("""COMPUTED_VALUE"""),"MA-XI.4")</f>
        <v>MA-XI.4</v>
      </c>
      <c r="I6" s="28" t="str">
        <f>IFERROR(__xludf.DUMMYFUNCTION("""COMPUTED_VALUE"""),"NISWATUL FAIZUN")</f>
        <v>NISWATUL FAIZUN</v>
      </c>
      <c r="J6" s="28" t="str">
        <f>IFERROR(__xludf.DUMMYFUNCTION("""COMPUTED_VALUE"""),"TEBLURU RT 005 RW 001 SOLOKURO LAMONGAN")</f>
        <v>TEBLURU RT 005 RW 001 SOLOKURO LAMONGAN</v>
      </c>
      <c r="K6" s="28" t="str">
        <f>IFERROR(__xludf.DUMMYFUNCTION("""COMPUTED_VALUE"""),"6288973733770")</f>
        <v>6288973733770</v>
      </c>
      <c r="L6" s="22">
        <f>IFERROR(__xludf.DUMMYFUNCTION("""COMPUTED_VALUE"""),0.0)</f>
        <v>0</v>
      </c>
      <c r="M6" s="22">
        <f>IFERROR(__xludf.DUMMYFUNCTION("""COMPUTED_VALUE"""),1000000.0)</f>
        <v>1000000</v>
      </c>
      <c r="N6" s="22">
        <f>IFERROR(__xludf.DUMMYFUNCTION("""COMPUTED_VALUE"""),0.0)</f>
        <v>0</v>
      </c>
      <c r="O6" s="22">
        <f>IFERROR(__xludf.DUMMYFUNCTION("""COMPUTED_VALUE"""),1000000.0)</f>
        <v>1000000</v>
      </c>
      <c r="P6" s="28" t="str">
        <f t="shared" si="1"/>
        <v>LUNAS</v>
      </c>
      <c r="Q6" s="28">
        <f t="shared" si="2"/>
        <v>52</v>
      </c>
      <c r="R6" s="28" t="str">
        <f t="shared" si="3"/>
        <v>AFIFATUT THOHIRO</v>
      </c>
      <c r="S6" s="28">
        <f>COUNTIF(P:P,"LUNAS")</f>
        <v>321</v>
      </c>
      <c r="T6" s="32" t="s">
        <v>20</v>
      </c>
    </row>
    <row r="7">
      <c r="A7" s="27">
        <f>IFERROR(__xludf.DUMMYFUNCTION("""COMPUTED_VALUE"""),6.0)</f>
        <v>6</v>
      </c>
      <c r="B7" s="28" t="str">
        <f>IFERROR(__xludf.DUMMYFUNCTION("""COMPUTED_VALUE"""),"AINUR ZULFA AL-FARIKHAH")</f>
        <v>AINUR ZULFA AL-FARIKHAH</v>
      </c>
      <c r="C7" s="28">
        <f>IFERROR(__xludf.DUMMYFUNCTION("""COMPUTED_VALUE"""),2.025070016E9)</f>
        <v>2025070016</v>
      </c>
      <c r="D7" s="27" t="str">
        <f>IFERROR(__xludf.DUMMYFUNCTION("""COMPUTED_VALUE"""),"C")</f>
        <v>C</v>
      </c>
      <c r="E7" s="27" t="str">
        <f>IFERROR(__xludf.DUMMYFUNCTION("""COMPUTED_VALUE"""),"C-10")</f>
        <v>C-10</v>
      </c>
      <c r="F7" s="31">
        <f>IFERROR(__xludf.DUMMYFUNCTION("""COMPUTED_VALUE"""),2.0)</f>
        <v>2</v>
      </c>
      <c r="G7" s="27" t="str">
        <f>IFERROR(__xludf.DUMMYFUNCTION("""COMPUTED_VALUE"""),"2 WUSTHO B PUTRI")</f>
        <v>2 WUSTHO B PUTRI</v>
      </c>
      <c r="H7" s="28" t="str">
        <f>IFERROR(__xludf.DUMMYFUNCTION("""COMPUTED_VALUE"""),"MA-XI.2")</f>
        <v>MA-XI.2</v>
      </c>
      <c r="I7" s="28" t="str">
        <f>IFERROR(__xludf.DUMMYFUNCTION("""COMPUTED_VALUE"""),"UMIYATI")</f>
        <v>UMIYATI</v>
      </c>
      <c r="J7" s="28" t="str">
        <f>IFERROR(__xludf.DUMMYFUNCTION("""COMPUTED_VALUE"""),"SUGIHAN RT 011 RW 002 SOLOKURO LAMONGAN")</f>
        <v>SUGIHAN RT 011 RW 002 SOLOKURO LAMONGAN</v>
      </c>
      <c r="K7" s="28" t="str">
        <f>IFERROR(__xludf.DUMMYFUNCTION("""COMPUTED_VALUE"""),"6285746835653")</f>
        <v>6285746835653</v>
      </c>
      <c r="L7" s="22">
        <f>IFERROR(__xludf.DUMMYFUNCTION("""COMPUTED_VALUE"""),0.0)</f>
        <v>0</v>
      </c>
      <c r="M7" s="22">
        <f>IFERROR(__xludf.DUMMYFUNCTION("""COMPUTED_VALUE"""),1000000.0)</f>
        <v>1000000</v>
      </c>
      <c r="N7" s="22">
        <f>IFERROR(__xludf.DUMMYFUNCTION("""COMPUTED_VALUE"""),0.0)</f>
        <v>0</v>
      </c>
      <c r="O7" s="22">
        <f>IFERROR(__xludf.DUMMYFUNCTION("""COMPUTED_VALUE"""),1000000.0)</f>
        <v>1000000</v>
      </c>
      <c r="P7" s="28" t="str">
        <f t="shared" si="1"/>
        <v>LUNAS</v>
      </c>
      <c r="Q7" s="28">
        <f t="shared" si="2"/>
        <v>53</v>
      </c>
      <c r="R7" s="28" t="str">
        <f t="shared" si="3"/>
        <v>AINUR ZULFA AL-FARIKHAH</v>
      </c>
      <c r="S7" s="28">
        <f>COUNTIF(P:P,"BELUM")</f>
        <v>2</v>
      </c>
      <c r="T7" s="32" t="s">
        <v>21</v>
      </c>
    </row>
    <row r="8">
      <c r="A8" s="27">
        <f>IFERROR(__xludf.DUMMYFUNCTION("""COMPUTED_VALUE"""),7.0)</f>
        <v>7</v>
      </c>
      <c r="B8" s="28" t="str">
        <f>IFERROR(__xludf.DUMMYFUNCTION("""COMPUTED_VALUE"""),"AISYAH REGINA FAHMI AZ-ZAHRA")</f>
        <v>AISYAH REGINA FAHMI AZ-ZAHRA</v>
      </c>
      <c r="C8" s="28">
        <f>IFERROR(__xludf.DUMMYFUNCTION("""COMPUTED_VALUE"""),2.025070331E9)</f>
        <v>2025070331</v>
      </c>
      <c r="D8" s="27" t="str">
        <f>IFERROR(__xludf.DUMMYFUNCTION("""COMPUTED_VALUE"""),"C")</f>
        <v>C</v>
      </c>
      <c r="E8" s="27" t="str">
        <f>IFERROR(__xludf.DUMMYFUNCTION("""COMPUTED_VALUE"""),"C-10")</f>
        <v>C-10</v>
      </c>
      <c r="F8" s="31">
        <f>IFERROR(__xludf.DUMMYFUNCTION("""COMPUTED_VALUE"""),2.0)</f>
        <v>2</v>
      </c>
      <c r="G8" s="27" t="str">
        <f>IFERROR(__xludf.DUMMYFUNCTION("""COMPUTED_VALUE"""),"2 WUSTHO D PUTRI")</f>
        <v>2 WUSTHO D PUTRI</v>
      </c>
      <c r="H8" s="28" t="str">
        <f>IFERROR(__xludf.DUMMYFUNCTION("""COMPUTED_VALUE"""),"MA-XI.10")</f>
        <v>MA-XI.10</v>
      </c>
      <c r="I8" s="28" t="str">
        <f>IFERROR(__xludf.DUMMYFUNCTION("""COMPUTED_VALUE"""),"MARDLIYAH")</f>
        <v>MARDLIYAH</v>
      </c>
      <c r="J8" s="28" t="str">
        <f>IFERROR(__xludf.DUMMYFUNCTION("""COMPUTED_VALUE"""),"GUNUNG ANYAR TAMBAK RT 001 RW 001 GUNUNG ANYAR SURABAYA")</f>
        <v>GUNUNG ANYAR TAMBAK RT 001 RW 001 GUNUNG ANYAR SURABAYA</v>
      </c>
      <c r="K8" s="28" t="str">
        <f>IFERROR(__xludf.DUMMYFUNCTION("""COMPUTED_VALUE"""),"6281775072287")</f>
        <v>6281775072287</v>
      </c>
      <c r="L8" s="22">
        <f>IFERROR(__xludf.DUMMYFUNCTION("""COMPUTED_VALUE"""),0.0)</f>
        <v>0</v>
      </c>
      <c r="M8" s="22">
        <f>IFERROR(__xludf.DUMMYFUNCTION("""COMPUTED_VALUE"""),0.0)</f>
        <v>0</v>
      </c>
      <c r="N8" s="22">
        <f>IFERROR(__xludf.DUMMYFUNCTION("""COMPUTED_VALUE"""),0.0)</f>
        <v>0</v>
      </c>
      <c r="O8" s="22">
        <f>IFERROR(__xludf.DUMMYFUNCTION("""COMPUTED_VALUE"""),0.0)</f>
        <v>0</v>
      </c>
      <c r="P8" s="28" t="str">
        <f t="shared" si="1"/>
        <v>LUNAS</v>
      </c>
      <c r="Q8" s="28">
        <f t="shared" si="2"/>
        <v>155</v>
      </c>
      <c r="R8" s="28" t="str">
        <f t="shared" si="3"/>
        <v>AISYAH REGINA FAHMI AZ-ZAHRA</v>
      </c>
      <c r="S8" s="22">
        <f>SUM(L2:L450)</f>
        <v>97550000</v>
      </c>
      <c r="T8" s="32" t="s">
        <v>22</v>
      </c>
    </row>
    <row r="9">
      <c r="A9" s="27">
        <f>IFERROR(__xludf.DUMMYFUNCTION("""COMPUTED_VALUE"""),8.0)</f>
        <v>8</v>
      </c>
      <c r="B9" s="28" t="str">
        <f>IFERROR(__xludf.DUMMYFUNCTION("""COMPUTED_VALUE"""),"ALFIYATIN NASHIROH")</f>
        <v>ALFIYATIN NASHIROH</v>
      </c>
      <c r="C9" s="28">
        <f>IFERROR(__xludf.DUMMYFUNCTION("""COMPUTED_VALUE"""),2.025070096E9)</f>
        <v>2025070096</v>
      </c>
      <c r="D9" s="27" t="str">
        <f>IFERROR(__xludf.DUMMYFUNCTION("""COMPUTED_VALUE"""),"C")</f>
        <v>C</v>
      </c>
      <c r="E9" s="27" t="str">
        <f>IFERROR(__xludf.DUMMYFUNCTION("""COMPUTED_VALUE"""),"C-10")</f>
        <v>C-10</v>
      </c>
      <c r="F9" s="31">
        <f>IFERROR(__xludf.DUMMYFUNCTION("""COMPUTED_VALUE"""),2.0)</f>
        <v>2</v>
      </c>
      <c r="G9" s="27" t="str">
        <f>IFERROR(__xludf.DUMMYFUNCTION("""COMPUTED_VALUE"""),"2 WUSTHO C PUTRI")</f>
        <v>2 WUSTHO C PUTRI</v>
      </c>
      <c r="H9" s="28" t="str">
        <f>IFERROR(__xludf.DUMMYFUNCTION("""COMPUTED_VALUE"""),"MA-XI.8")</f>
        <v>MA-XI.8</v>
      </c>
      <c r="I9" s="28" t="str">
        <f>IFERROR(__xludf.DUMMYFUNCTION("""COMPUTED_VALUE"""),"WATIRAH")</f>
        <v>WATIRAH</v>
      </c>
      <c r="J9" s="28" t="str">
        <f>IFERROR(__xludf.DUMMYFUNCTION("""COMPUTED_VALUE"""),"TEBLURU RT 007 RW 002 SOLOKURO LAMONGAN")</f>
        <v>TEBLURU RT 007 RW 002 SOLOKURO LAMONGAN</v>
      </c>
      <c r="K9" s="28" t="str">
        <f>IFERROR(__xludf.DUMMYFUNCTION("""COMPUTED_VALUE"""),"6285655845161")</f>
        <v>6285655845161</v>
      </c>
      <c r="L9" s="22">
        <f>IFERROR(__xludf.DUMMYFUNCTION("""COMPUTED_VALUE"""),0.0)</f>
        <v>0</v>
      </c>
      <c r="M9" s="22">
        <f>IFERROR(__xludf.DUMMYFUNCTION("""COMPUTED_VALUE"""),500000.0)</f>
        <v>500000</v>
      </c>
      <c r="N9" s="22">
        <f>IFERROR(__xludf.DUMMYFUNCTION("""COMPUTED_VALUE"""),0.0)</f>
        <v>0</v>
      </c>
      <c r="O9" s="22">
        <f>IFERROR(__xludf.DUMMYFUNCTION("""COMPUTED_VALUE"""),500000.0)</f>
        <v>500000</v>
      </c>
      <c r="P9" s="28" t="str">
        <f t="shared" si="1"/>
        <v>LUNAS</v>
      </c>
      <c r="Q9" s="28">
        <f t="shared" si="2"/>
        <v>123</v>
      </c>
      <c r="R9" s="28" t="str">
        <f t="shared" si="3"/>
        <v>ALFIYATIN NASHIROH</v>
      </c>
      <c r="S9" s="22">
        <f>SUM(M2:M450)</f>
        <v>121500000</v>
      </c>
      <c r="T9" s="32" t="s">
        <v>23</v>
      </c>
    </row>
    <row r="10">
      <c r="A10" s="27">
        <f>IFERROR(__xludf.DUMMYFUNCTION("""COMPUTED_VALUE"""),9.0)</f>
        <v>9</v>
      </c>
      <c r="B10" s="28" t="str">
        <f>IFERROR(__xludf.DUMMYFUNCTION("""COMPUTED_VALUE"""),"ASMA WAFIYAH")</f>
        <v>ASMA WAFIYAH</v>
      </c>
      <c r="C10" s="28">
        <f>IFERROR(__xludf.DUMMYFUNCTION("""COMPUTED_VALUE"""),2.025070148E9)</f>
        <v>2025070148</v>
      </c>
      <c r="D10" s="27" t="str">
        <f>IFERROR(__xludf.DUMMYFUNCTION("""COMPUTED_VALUE"""),"C")</f>
        <v>C</v>
      </c>
      <c r="E10" s="27" t="str">
        <f>IFERROR(__xludf.DUMMYFUNCTION("""COMPUTED_VALUE"""),"C-10")</f>
        <v>C-10</v>
      </c>
      <c r="F10" s="31">
        <f>IFERROR(__xludf.DUMMYFUNCTION("""COMPUTED_VALUE"""),2.0)</f>
        <v>2</v>
      </c>
      <c r="G10" s="27" t="str">
        <f>IFERROR(__xludf.DUMMYFUNCTION("""COMPUTED_VALUE"""),"2 WUSTHO D PUTRI")</f>
        <v>2 WUSTHO D PUTRI</v>
      </c>
      <c r="H10" s="28" t="str">
        <f>IFERROR(__xludf.DUMMYFUNCTION("""COMPUTED_VALUE"""),"MA-XI.4")</f>
        <v>MA-XI.4</v>
      </c>
      <c r="I10" s="28" t="str">
        <f>IFERROR(__xludf.DUMMYFUNCTION("""COMPUTED_VALUE"""),"KASIYATUN")</f>
        <v>KASIYATUN</v>
      </c>
      <c r="J10" s="28" t="str">
        <f>IFERROR(__xludf.DUMMYFUNCTION("""COMPUTED_VALUE"""),"BESUR RT 005 RW 003 SEKARAN LAMONGAN")</f>
        <v>BESUR RT 005 RW 003 SEKARAN LAMONGAN</v>
      </c>
      <c r="K10" s="28" t="str">
        <f>IFERROR(__xludf.DUMMYFUNCTION("""COMPUTED_VALUE"""),"6285853464204")</f>
        <v>6285853464204</v>
      </c>
      <c r="L10" s="22">
        <f>IFERROR(__xludf.DUMMYFUNCTION("""COMPUTED_VALUE"""),0.0)</f>
        <v>0</v>
      </c>
      <c r="M10" s="22">
        <f>IFERROR(__xludf.DUMMYFUNCTION("""COMPUTED_VALUE"""),1000000.0)</f>
        <v>1000000</v>
      </c>
      <c r="N10" s="22">
        <f>IFERROR(__xludf.DUMMYFUNCTION("""COMPUTED_VALUE"""),0.0)</f>
        <v>0</v>
      </c>
      <c r="O10" s="22">
        <f>IFERROR(__xludf.DUMMYFUNCTION("""COMPUTED_VALUE"""),1000000.0)</f>
        <v>1000000</v>
      </c>
      <c r="P10" s="28" t="str">
        <f t="shared" si="1"/>
        <v>LUNAS</v>
      </c>
      <c r="Q10" s="28">
        <f t="shared" si="2"/>
        <v>54</v>
      </c>
      <c r="R10" s="28" t="str">
        <f t="shared" si="3"/>
        <v>ASMA WAFIYAH</v>
      </c>
      <c r="S10" s="22">
        <f>SUM(N2:N450)</f>
        <v>700000</v>
      </c>
      <c r="T10" s="32" t="s">
        <v>24</v>
      </c>
    </row>
    <row r="11">
      <c r="A11" s="27">
        <f>IFERROR(__xludf.DUMMYFUNCTION("""COMPUTED_VALUE"""),10.0)</f>
        <v>10</v>
      </c>
      <c r="B11" s="28" t="str">
        <f>IFERROR(__xludf.DUMMYFUNCTION("""COMPUTED_VALUE"""),"BISSILMIKAAFA AULIA")</f>
        <v>BISSILMIKAAFA AULIA</v>
      </c>
      <c r="C11" s="28">
        <f>IFERROR(__xludf.DUMMYFUNCTION("""COMPUTED_VALUE"""),2.025070323E9)</f>
        <v>2025070323</v>
      </c>
      <c r="D11" s="27" t="str">
        <f>IFERROR(__xludf.DUMMYFUNCTION("""COMPUTED_VALUE"""),"C")</f>
        <v>C</v>
      </c>
      <c r="E11" s="27" t="str">
        <f>IFERROR(__xludf.DUMMYFUNCTION("""COMPUTED_VALUE"""),"C-10")</f>
        <v>C-10</v>
      </c>
      <c r="F11" s="31">
        <f>IFERROR(__xludf.DUMMYFUNCTION("""COMPUTED_VALUE"""),2.0)</f>
        <v>2</v>
      </c>
      <c r="G11" s="27" t="str">
        <f>IFERROR(__xludf.DUMMYFUNCTION("""COMPUTED_VALUE"""),"2 WUSTHO C PUTRI")</f>
        <v>2 WUSTHO C PUTRI</v>
      </c>
      <c r="H11" s="28" t="str">
        <f>IFERROR(__xludf.DUMMYFUNCTION("""COMPUTED_VALUE"""),"MA-XI.11")</f>
        <v>MA-XI.11</v>
      </c>
      <c r="I11" s="28" t="str">
        <f>IFERROR(__xludf.DUMMYFUNCTION("""COMPUTED_VALUE"""),"NURUL FATMAWATI")</f>
        <v>NURUL FATMAWATI</v>
      </c>
      <c r="J11" s="28" t="str">
        <f>IFERROR(__xludf.DUMMYFUNCTION("""COMPUTED_VALUE"""),"TEBLURU RT 006 RW 001 SOLOKURO LAMONGAN")</f>
        <v>TEBLURU RT 006 RW 001 SOLOKURO LAMONGAN</v>
      </c>
      <c r="K11" s="28" t="str">
        <f>IFERROR(__xludf.DUMMYFUNCTION("""COMPUTED_VALUE"""),"6285706493322")</f>
        <v>6285706493322</v>
      </c>
      <c r="L11" s="22">
        <f>IFERROR(__xludf.DUMMYFUNCTION("""COMPUTED_VALUE"""),0.0)</f>
        <v>0</v>
      </c>
      <c r="M11" s="22">
        <f>IFERROR(__xludf.DUMMYFUNCTION("""COMPUTED_VALUE"""),1000000.0)</f>
        <v>1000000</v>
      </c>
      <c r="N11" s="22">
        <f>IFERROR(__xludf.DUMMYFUNCTION("""COMPUTED_VALUE"""),0.0)</f>
        <v>0</v>
      </c>
      <c r="O11" s="22">
        <f>IFERROR(__xludf.DUMMYFUNCTION("""COMPUTED_VALUE"""),1000000.0)</f>
        <v>1000000</v>
      </c>
      <c r="P11" s="28" t="str">
        <f t="shared" si="1"/>
        <v>LUNAS</v>
      </c>
      <c r="Q11" s="28">
        <f t="shared" si="2"/>
        <v>55</v>
      </c>
      <c r="R11" s="28" t="str">
        <f t="shared" si="3"/>
        <v>BISSILMIKAAFA AULIA</v>
      </c>
      <c r="S11" s="22">
        <f>SUM(O2:O450)</f>
        <v>218750000</v>
      </c>
      <c r="T11" s="32" t="s">
        <v>25</v>
      </c>
    </row>
    <row r="12">
      <c r="A12" s="27">
        <f>IFERROR(__xludf.DUMMYFUNCTION("""COMPUTED_VALUE"""),11.0)</f>
        <v>11</v>
      </c>
      <c r="B12" s="28" t="str">
        <f>IFERROR(__xludf.DUMMYFUNCTION("""COMPUTED_VALUE"""),"CHAVINA MUFIDAH HARIYANTO")</f>
        <v>CHAVINA MUFIDAH HARIYANTO</v>
      </c>
      <c r="C12" s="28">
        <f>IFERROR(__xludf.DUMMYFUNCTION("""COMPUTED_VALUE"""),2.025070113E9)</f>
        <v>2025070113</v>
      </c>
      <c r="D12" s="27" t="str">
        <f>IFERROR(__xludf.DUMMYFUNCTION("""COMPUTED_VALUE"""),"C")</f>
        <v>C</v>
      </c>
      <c r="E12" s="27" t="str">
        <f>IFERROR(__xludf.DUMMYFUNCTION("""COMPUTED_VALUE"""),"C-10")</f>
        <v>C-10</v>
      </c>
      <c r="F12" s="31">
        <f>IFERROR(__xludf.DUMMYFUNCTION("""COMPUTED_VALUE"""),2.0)</f>
        <v>2</v>
      </c>
      <c r="G12" s="27" t="str">
        <f>IFERROR(__xludf.DUMMYFUNCTION("""COMPUTED_VALUE"""),"2 WUSTHO B PUTRI")</f>
        <v>2 WUSTHO B PUTRI</v>
      </c>
      <c r="H12" s="28" t="str">
        <f>IFERROR(__xludf.DUMMYFUNCTION("""COMPUTED_VALUE"""),"MA-XI.11")</f>
        <v>MA-XI.11</v>
      </c>
      <c r="I12" s="28" t="str">
        <f>IFERROR(__xludf.DUMMYFUNCTION("""COMPUTED_VALUE"""),"YULIA MAGHFIROH")</f>
        <v>YULIA MAGHFIROH</v>
      </c>
      <c r="J12" s="28" t="str">
        <f>IFERROR(__xludf.DUMMYFUNCTION("""COMPUTED_VALUE"""),"SEMPU DRADAHBLUMBANG RT 003 RW 010 KEDUNGPRING LAMONGAN")</f>
        <v>SEMPU DRADAHBLUMBANG RT 003 RW 010 KEDUNGPRING LAMONGAN</v>
      </c>
      <c r="K12" s="28" t="str">
        <f>IFERROR(__xludf.DUMMYFUNCTION("""COMPUTED_VALUE"""),"6281235578444")</f>
        <v>6281235578444</v>
      </c>
      <c r="L12" s="22">
        <f>IFERROR(__xludf.DUMMYFUNCTION("""COMPUTED_VALUE"""),0.0)</f>
        <v>0</v>
      </c>
      <c r="M12" s="22">
        <f>IFERROR(__xludf.DUMMYFUNCTION("""COMPUTED_VALUE"""),0.0)</f>
        <v>0</v>
      </c>
      <c r="N12" s="22">
        <f>IFERROR(__xludf.DUMMYFUNCTION("""COMPUTED_VALUE"""),0.0)</f>
        <v>0</v>
      </c>
      <c r="O12" s="22">
        <f>IFERROR(__xludf.DUMMYFUNCTION("""COMPUTED_VALUE"""),0.0)</f>
        <v>0</v>
      </c>
      <c r="P12" s="28" t="str">
        <f t="shared" si="1"/>
        <v>LUNAS</v>
      </c>
      <c r="Q12" s="28">
        <f t="shared" si="2"/>
        <v>156</v>
      </c>
      <c r="R12" s="28" t="str">
        <f t="shared" si="3"/>
        <v>CHAVINA MUFIDAH HARIYANTO</v>
      </c>
      <c r="T12" s="32" t="s">
        <v>26</v>
      </c>
      <c r="U12" s="32" t="s">
        <v>27</v>
      </c>
      <c r="V12" s="32" t="s">
        <v>28</v>
      </c>
      <c r="W12" s="32" t="s">
        <v>29</v>
      </c>
    </row>
    <row r="13">
      <c r="A13" s="27">
        <f>IFERROR(__xludf.DUMMYFUNCTION("""COMPUTED_VALUE"""),12.0)</f>
        <v>12</v>
      </c>
      <c r="B13" s="28" t="str">
        <f>IFERROR(__xludf.DUMMYFUNCTION("""COMPUTED_VALUE"""),"DINA AYU SASTIYA")</f>
        <v>DINA AYU SASTIYA</v>
      </c>
      <c r="C13" s="28">
        <f>IFERROR(__xludf.DUMMYFUNCTION("""COMPUTED_VALUE"""),2.025070158E9)</f>
        <v>2025070158</v>
      </c>
      <c r="D13" s="27" t="str">
        <f>IFERROR(__xludf.DUMMYFUNCTION("""COMPUTED_VALUE"""),"C")</f>
        <v>C</v>
      </c>
      <c r="E13" s="27" t="str">
        <f>IFERROR(__xludf.DUMMYFUNCTION("""COMPUTED_VALUE"""),"C-10")</f>
        <v>C-10</v>
      </c>
      <c r="F13" s="31">
        <f>IFERROR(__xludf.DUMMYFUNCTION("""COMPUTED_VALUE"""),2.0)</f>
        <v>2</v>
      </c>
      <c r="G13" s="27" t="str">
        <f>IFERROR(__xludf.DUMMYFUNCTION("""COMPUTED_VALUE"""),"2 WUSTHO A PUTRI")</f>
        <v>2 WUSTHO A PUTRI</v>
      </c>
      <c r="H13" s="28" t="str">
        <f>IFERROR(__xludf.DUMMYFUNCTION("""COMPUTED_VALUE"""),"MA-XI.5")</f>
        <v>MA-XI.5</v>
      </c>
      <c r="I13" s="28" t="str">
        <f>IFERROR(__xludf.DUMMYFUNCTION("""COMPUTED_VALUE"""),"MALIKAH")</f>
        <v>MALIKAH</v>
      </c>
      <c r="J13" s="28" t="str">
        <f>IFERROR(__xludf.DUMMYFUNCTION("""COMPUTED_VALUE"""),"KEMLAGILOR RT 005 RW 002 TURI LAMONGAN")</f>
        <v>KEMLAGILOR RT 005 RW 002 TURI LAMONGAN</v>
      </c>
      <c r="K13" s="28" t="str">
        <f>IFERROR(__xludf.DUMMYFUNCTION("""COMPUTED_VALUE"""),"6289518431642")</f>
        <v>6289518431642</v>
      </c>
      <c r="L13" s="22">
        <f>IFERROR(__xludf.DUMMYFUNCTION("""COMPUTED_VALUE"""),0.0)</f>
        <v>0</v>
      </c>
      <c r="M13" s="22">
        <f>IFERROR(__xludf.DUMMYFUNCTION("""COMPUTED_VALUE"""),1000000.0)</f>
        <v>1000000</v>
      </c>
      <c r="N13" s="22">
        <f>IFERROR(__xludf.DUMMYFUNCTION("""COMPUTED_VALUE"""),0.0)</f>
        <v>0</v>
      </c>
      <c r="O13" s="22">
        <f>IFERROR(__xludf.DUMMYFUNCTION("""COMPUTED_VALUE"""),1000000.0)</f>
        <v>1000000</v>
      </c>
      <c r="P13" s="28" t="str">
        <f t="shared" si="1"/>
        <v>LUNAS</v>
      </c>
      <c r="Q13" s="28">
        <f t="shared" si="2"/>
        <v>56</v>
      </c>
      <c r="R13" s="28" t="str">
        <f t="shared" si="3"/>
        <v>DINA AYU SASTIYA</v>
      </c>
      <c r="S13" s="28" t="str">
        <f t="shared" ref="S13:S22" si="4">VLOOKUP(X13,$Q$2:$R$399,2,FALSE)</f>
        <v>NIA KRISNAWATI</v>
      </c>
      <c r="T13" s="22">
        <f t="shared" ref="T13:T22" si="5">VLOOKUP(S13,$B$2:$O$450,11,FALSE)</f>
        <v>7650000</v>
      </c>
      <c r="U13" s="22">
        <f t="shared" ref="U13:U22" si="6">VLOOKUP(S13,$B$2:$O$450,12,FALSE)</f>
        <v>1000000</v>
      </c>
      <c r="V13" s="22">
        <f t="shared" ref="V13:V22" si="7">VLOOKUP(S13,$B$2:$O$450,13,FALSE)</f>
        <v>350000</v>
      </c>
      <c r="W13" s="22">
        <f t="shared" ref="W13:W22" si="8">VLOOKUP(S13,$B$2:$O$450,14,FALSE)</f>
        <v>9000000</v>
      </c>
      <c r="X13" s="32">
        <v>1.0</v>
      </c>
    </row>
    <row r="14">
      <c r="A14" s="27">
        <f>IFERROR(__xludf.DUMMYFUNCTION("""COMPUTED_VALUE"""),13.0)</f>
        <v>13</v>
      </c>
      <c r="B14" s="28" t="str">
        <f>IFERROR(__xludf.DUMMYFUNCTION("""COMPUTED_VALUE"""),"ELOK FAIQOH")</f>
        <v>ELOK FAIQOH</v>
      </c>
      <c r="C14" s="28">
        <f>IFERROR(__xludf.DUMMYFUNCTION("""COMPUTED_VALUE"""),2.025070278E9)</f>
        <v>2025070278</v>
      </c>
      <c r="D14" s="27" t="str">
        <f>IFERROR(__xludf.DUMMYFUNCTION("""COMPUTED_VALUE"""),"C")</f>
        <v>C</v>
      </c>
      <c r="E14" s="27" t="str">
        <f>IFERROR(__xludf.DUMMYFUNCTION("""COMPUTED_VALUE"""),"C-10")</f>
        <v>C-10</v>
      </c>
      <c r="F14" s="31">
        <f>IFERROR(__xludf.DUMMYFUNCTION("""COMPUTED_VALUE"""),2.0)</f>
        <v>2</v>
      </c>
      <c r="G14" s="27" t="str">
        <f>IFERROR(__xludf.DUMMYFUNCTION("""COMPUTED_VALUE"""),"2 WUSTHO D PUTRI")</f>
        <v>2 WUSTHO D PUTRI</v>
      </c>
      <c r="H14" s="28" t="str">
        <f>IFERROR(__xludf.DUMMYFUNCTION("""COMPUTED_VALUE"""),"MA-XI.12")</f>
        <v>MA-XI.12</v>
      </c>
      <c r="I14" s="28" t="str">
        <f>IFERROR(__xludf.DUMMYFUNCTION("""COMPUTED_VALUE"""),"ZAHROTUL WARDAH")</f>
        <v>ZAHROTUL WARDAH</v>
      </c>
      <c r="J14" s="28" t="str">
        <f>IFERROR(__xludf.DUMMYFUNCTION("""COMPUTED_VALUE"""),"KARANGREJO RT 008 RW 004 UJUNGPANGKAH GRESIK")</f>
        <v>KARANGREJO RT 008 RW 004 UJUNGPANGKAH GRESIK</v>
      </c>
      <c r="K14" s="28" t="str">
        <f>IFERROR(__xludf.DUMMYFUNCTION("""COMPUTED_VALUE"""),"6282120004936")</f>
        <v>6282120004936</v>
      </c>
      <c r="L14" s="22">
        <f>IFERROR(__xludf.DUMMYFUNCTION("""COMPUTED_VALUE"""),0.0)</f>
        <v>0</v>
      </c>
      <c r="M14" s="22">
        <f>IFERROR(__xludf.DUMMYFUNCTION("""COMPUTED_VALUE"""),1000000.0)</f>
        <v>1000000</v>
      </c>
      <c r="N14" s="22">
        <f>IFERROR(__xludf.DUMMYFUNCTION("""COMPUTED_VALUE"""),0.0)</f>
        <v>0</v>
      </c>
      <c r="O14" s="22">
        <f>IFERROR(__xludf.DUMMYFUNCTION("""COMPUTED_VALUE"""),1000000.0)</f>
        <v>1000000</v>
      </c>
      <c r="P14" s="28" t="str">
        <f t="shared" si="1"/>
        <v>LUNAS</v>
      </c>
      <c r="Q14" s="28">
        <f t="shared" si="2"/>
        <v>57</v>
      </c>
      <c r="R14" s="28" t="str">
        <f t="shared" si="3"/>
        <v>ELOK FAIQOH</v>
      </c>
      <c r="S14" s="28" t="str">
        <f t="shared" si="4"/>
        <v>EKA FADHILATUN NAFSI</v>
      </c>
      <c r="T14" s="22">
        <f t="shared" si="5"/>
        <v>5400000</v>
      </c>
      <c r="U14" s="22">
        <f t="shared" si="6"/>
        <v>1600000</v>
      </c>
      <c r="V14" s="22">
        <f t="shared" si="7"/>
        <v>0</v>
      </c>
      <c r="W14" s="22">
        <f t="shared" si="8"/>
        <v>7000000</v>
      </c>
      <c r="X14" s="32">
        <v>2.0</v>
      </c>
    </row>
    <row r="15">
      <c r="A15" s="27">
        <f>IFERROR(__xludf.DUMMYFUNCTION("""COMPUTED_VALUE"""),14.0)</f>
        <v>14</v>
      </c>
      <c r="B15" s="28" t="str">
        <f>IFERROR(__xludf.DUMMYFUNCTION("""COMPUTED_VALUE"""),"JIHAN APRILIA")</f>
        <v>JIHAN APRILIA</v>
      </c>
      <c r="C15" s="28">
        <f>IFERROR(__xludf.DUMMYFUNCTION("""COMPUTED_VALUE"""),2.025070307E9)</f>
        <v>2025070307</v>
      </c>
      <c r="D15" s="27" t="str">
        <f>IFERROR(__xludf.DUMMYFUNCTION("""COMPUTED_VALUE"""),"C")</f>
        <v>C</v>
      </c>
      <c r="E15" s="27" t="str">
        <f>IFERROR(__xludf.DUMMYFUNCTION("""COMPUTED_VALUE"""),"C-10")</f>
        <v>C-10</v>
      </c>
      <c r="F15" s="31">
        <f>IFERROR(__xludf.DUMMYFUNCTION("""COMPUTED_VALUE"""),2.0)</f>
        <v>2</v>
      </c>
      <c r="G15" s="27" t="str">
        <f>IFERROR(__xludf.DUMMYFUNCTION("""COMPUTED_VALUE"""),"2 WUSTHO C PUTRI")</f>
        <v>2 WUSTHO C PUTRI</v>
      </c>
      <c r="H15" s="28" t="str">
        <f>IFERROR(__xludf.DUMMYFUNCTION("""COMPUTED_VALUE"""),"MA-XI.6")</f>
        <v>MA-XI.6</v>
      </c>
      <c r="I15" s="28" t="str">
        <f>IFERROR(__xludf.DUMMYFUNCTION("""COMPUTED_VALUE"""),"SUDARWATI")</f>
        <v>SUDARWATI</v>
      </c>
      <c r="J15" s="28" t="str">
        <f>IFERROR(__xludf.DUMMYFUNCTION("""COMPUTED_VALUE"""),"TEJOASRI RT 001 RW 003 LAREN LAMONGAN")</f>
        <v>TEJOASRI RT 001 RW 003 LAREN LAMONGAN</v>
      </c>
      <c r="K15" s="28" t="str">
        <f>IFERROR(__xludf.DUMMYFUNCTION("""COMPUTED_VALUE"""),"6282230612891")</f>
        <v>6282230612891</v>
      </c>
      <c r="L15" s="22">
        <f>IFERROR(__xludf.DUMMYFUNCTION("""COMPUTED_VALUE"""),0.0)</f>
        <v>0</v>
      </c>
      <c r="M15" s="22">
        <f>IFERROR(__xludf.DUMMYFUNCTION("""COMPUTED_VALUE"""),1000000.0)</f>
        <v>1000000</v>
      </c>
      <c r="N15" s="22">
        <f>IFERROR(__xludf.DUMMYFUNCTION("""COMPUTED_VALUE"""),0.0)</f>
        <v>0</v>
      </c>
      <c r="O15" s="22">
        <f>IFERROR(__xludf.DUMMYFUNCTION("""COMPUTED_VALUE"""),1000000.0)</f>
        <v>1000000</v>
      </c>
      <c r="P15" s="28" t="str">
        <f t="shared" si="1"/>
        <v>LUNAS</v>
      </c>
      <c r="Q15" s="28">
        <f t="shared" si="2"/>
        <v>58</v>
      </c>
      <c r="R15" s="28" t="str">
        <f t="shared" si="3"/>
        <v>JIHAN APRILIA</v>
      </c>
      <c r="S15" s="28" t="str">
        <f t="shared" si="4"/>
        <v>NEYLA MARITSA AZ ZAHRA</v>
      </c>
      <c r="T15" s="22">
        <f t="shared" si="5"/>
        <v>4500000</v>
      </c>
      <c r="U15" s="22">
        <f t="shared" si="6"/>
        <v>1600000</v>
      </c>
      <c r="V15" s="22">
        <f t="shared" si="7"/>
        <v>0</v>
      </c>
      <c r="W15" s="22">
        <f t="shared" si="8"/>
        <v>6100000</v>
      </c>
      <c r="X15" s="32">
        <v>3.0</v>
      </c>
    </row>
    <row r="16">
      <c r="A16" s="27">
        <f>IFERROR(__xludf.DUMMYFUNCTION("""COMPUTED_VALUE"""),15.0)</f>
        <v>15</v>
      </c>
      <c r="B16" s="28" t="str">
        <f>IFERROR(__xludf.DUMMYFUNCTION("""COMPUTED_VALUE"""),"KAYLA AFRIZA ROHMAH")</f>
        <v>KAYLA AFRIZA ROHMAH</v>
      </c>
      <c r="C16" s="28">
        <f>IFERROR(__xludf.DUMMYFUNCTION("""COMPUTED_VALUE"""),2.025070258E9)</f>
        <v>2025070258</v>
      </c>
      <c r="D16" s="27" t="str">
        <f>IFERROR(__xludf.DUMMYFUNCTION("""COMPUTED_VALUE"""),"C")</f>
        <v>C</v>
      </c>
      <c r="E16" s="27" t="str">
        <f>IFERROR(__xludf.DUMMYFUNCTION("""COMPUTED_VALUE"""),"C-10")</f>
        <v>C-10</v>
      </c>
      <c r="F16" s="31">
        <f>IFERROR(__xludf.DUMMYFUNCTION("""COMPUTED_VALUE"""),2.0)</f>
        <v>2</v>
      </c>
      <c r="G16" s="27" t="str">
        <f>IFERROR(__xludf.DUMMYFUNCTION("""COMPUTED_VALUE"""),"2 WUSTHO B PUTRI")</f>
        <v>2 WUSTHO B PUTRI</v>
      </c>
      <c r="H16" s="28" t="str">
        <f>IFERROR(__xludf.DUMMYFUNCTION("""COMPUTED_VALUE"""),"MA-XI.6")</f>
        <v>MA-XI.6</v>
      </c>
      <c r="I16" s="28" t="str">
        <f>IFERROR(__xludf.DUMMYFUNCTION("""COMPUTED_VALUE"""),"TITIN NUR FARIDAH")</f>
        <v>TITIN NUR FARIDAH</v>
      </c>
      <c r="J16" s="28" t="str">
        <f>IFERROR(__xludf.DUMMYFUNCTION("""COMPUTED_VALUE"""),"JL. TIMOR RAYA NO. 72 PASIR PANJANG RT 007 RW 003 KOTA LAMA KUPANG")</f>
        <v>JL. TIMOR RAYA NO. 72 PASIR PANJANG RT 007 RW 003 KOTA LAMA KUPANG</v>
      </c>
      <c r="K16" s="28" t="str">
        <f>IFERROR(__xludf.DUMMYFUNCTION("""COMPUTED_VALUE"""),"6285829314640")</f>
        <v>6285829314640</v>
      </c>
      <c r="L16" s="22">
        <f>IFERROR(__xludf.DUMMYFUNCTION("""COMPUTED_VALUE"""),0.0)</f>
        <v>0</v>
      </c>
      <c r="M16" s="22">
        <f>IFERROR(__xludf.DUMMYFUNCTION("""COMPUTED_VALUE"""),1000000.0)</f>
        <v>1000000</v>
      </c>
      <c r="N16" s="22">
        <f>IFERROR(__xludf.DUMMYFUNCTION("""COMPUTED_VALUE"""),0.0)</f>
        <v>0</v>
      </c>
      <c r="O16" s="22">
        <f>IFERROR(__xludf.DUMMYFUNCTION("""COMPUTED_VALUE"""),1000000.0)</f>
        <v>1000000</v>
      </c>
      <c r="P16" s="28" t="str">
        <f t="shared" si="1"/>
        <v>LUNAS</v>
      </c>
      <c r="Q16" s="28">
        <f t="shared" si="2"/>
        <v>59</v>
      </c>
      <c r="R16" s="28" t="str">
        <f t="shared" si="3"/>
        <v>KAYLA AFRIZA ROHMAH</v>
      </c>
      <c r="S16" s="28" t="str">
        <f t="shared" si="4"/>
        <v>RAVAUL ZAHIDAH</v>
      </c>
      <c r="T16" s="22">
        <f t="shared" si="5"/>
        <v>4500000</v>
      </c>
      <c r="U16" s="22">
        <f t="shared" si="6"/>
        <v>1000000</v>
      </c>
      <c r="V16" s="22">
        <f t="shared" si="7"/>
        <v>0</v>
      </c>
      <c r="W16" s="22">
        <f t="shared" si="8"/>
        <v>5500000</v>
      </c>
      <c r="X16" s="32">
        <v>4.0</v>
      </c>
    </row>
    <row r="17">
      <c r="A17" s="27">
        <f>IFERROR(__xludf.DUMMYFUNCTION("""COMPUTED_VALUE"""),16.0)</f>
        <v>16</v>
      </c>
      <c r="B17" s="28" t="str">
        <f>IFERROR(__xludf.DUMMYFUNCTION("""COMPUTED_VALUE"""),"LENY ANGGRAINI")</f>
        <v>LENY ANGGRAINI</v>
      </c>
      <c r="C17" s="28">
        <f>IFERROR(__xludf.DUMMYFUNCTION("""COMPUTED_VALUE"""),2.025070245E9)</f>
        <v>2025070245</v>
      </c>
      <c r="D17" s="27" t="str">
        <f>IFERROR(__xludf.DUMMYFUNCTION("""COMPUTED_VALUE"""),"C")</f>
        <v>C</v>
      </c>
      <c r="E17" s="27" t="str">
        <f>IFERROR(__xludf.DUMMYFUNCTION("""COMPUTED_VALUE"""),"C-10")</f>
        <v>C-10</v>
      </c>
      <c r="F17" s="31">
        <f>IFERROR(__xludf.DUMMYFUNCTION("""COMPUTED_VALUE"""),2.0)</f>
        <v>2</v>
      </c>
      <c r="G17" s="27" t="str">
        <f>IFERROR(__xludf.DUMMYFUNCTION("""COMPUTED_VALUE"""),"2 WUSTHO B PUTRI")</f>
        <v>2 WUSTHO B PUTRI</v>
      </c>
      <c r="H17" s="28" t="str">
        <f>IFERROR(__xludf.DUMMYFUNCTION("""COMPUTED_VALUE"""),"MA-XI.10")</f>
        <v>MA-XI.10</v>
      </c>
      <c r="I17" s="28" t="str">
        <f>IFERROR(__xludf.DUMMYFUNCTION("""COMPUTED_VALUE"""),"RIANI")</f>
        <v>RIANI</v>
      </c>
      <c r="J17" s="28" t="str">
        <f>IFERROR(__xludf.DUMMYFUNCTION("""COMPUTED_VALUE"""),"MUNGSU SUGIHWARAS RT 002 RW 004 KALITENGAH LAMONGAN")</f>
        <v>MUNGSU SUGIHWARAS RT 002 RW 004 KALITENGAH LAMONGAN</v>
      </c>
      <c r="K17" s="28" t="str">
        <f>IFERROR(__xludf.DUMMYFUNCTION("""COMPUTED_VALUE"""),"6285815513440")</f>
        <v>6285815513440</v>
      </c>
      <c r="L17" s="22">
        <f>IFERROR(__xludf.DUMMYFUNCTION("""COMPUTED_VALUE"""),450000.0)</f>
        <v>450000</v>
      </c>
      <c r="M17" s="22">
        <f>IFERROR(__xludf.DUMMYFUNCTION("""COMPUTED_VALUE"""),1000000.0)</f>
        <v>1000000</v>
      </c>
      <c r="N17" s="22">
        <f>IFERROR(__xludf.DUMMYFUNCTION("""COMPUTED_VALUE"""),0.0)</f>
        <v>0</v>
      </c>
      <c r="O17" s="22">
        <f>IFERROR(__xludf.DUMMYFUNCTION("""COMPUTED_VALUE"""),1450000.0)</f>
        <v>1450000</v>
      </c>
      <c r="P17" s="28" t="str">
        <f t="shared" si="1"/>
        <v>LUNAS</v>
      </c>
      <c r="Q17" s="28">
        <f t="shared" si="2"/>
        <v>36</v>
      </c>
      <c r="R17" s="28" t="str">
        <f t="shared" si="3"/>
        <v>LENY ANGGRAINI</v>
      </c>
      <c r="S17" s="28" t="str">
        <f t="shared" si="4"/>
        <v>FIRNANDA KHOLAGUL HIDAYATUS MUAWIYAH</v>
      </c>
      <c r="T17" s="22">
        <f t="shared" si="5"/>
        <v>3600000</v>
      </c>
      <c r="U17" s="22">
        <f t="shared" si="6"/>
        <v>1600000</v>
      </c>
      <c r="V17" s="22">
        <f t="shared" si="7"/>
        <v>0</v>
      </c>
      <c r="W17" s="22">
        <f t="shared" si="8"/>
        <v>5200000</v>
      </c>
      <c r="X17" s="32">
        <v>5.0</v>
      </c>
    </row>
    <row r="18">
      <c r="A18" s="27">
        <f>IFERROR(__xludf.DUMMYFUNCTION("""COMPUTED_VALUE"""),17.0)</f>
        <v>17</v>
      </c>
      <c r="B18" s="28" t="str">
        <f>IFERROR(__xludf.DUMMYFUNCTION("""COMPUTED_VALUE"""),"LINTANG RAMADHANI")</f>
        <v>LINTANG RAMADHANI</v>
      </c>
      <c r="C18" s="28">
        <f>IFERROR(__xludf.DUMMYFUNCTION("""COMPUTED_VALUE"""),2.025070179E9)</f>
        <v>2025070179</v>
      </c>
      <c r="D18" s="27" t="str">
        <f>IFERROR(__xludf.DUMMYFUNCTION("""COMPUTED_VALUE"""),"C")</f>
        <v>C</v>
      </c>
      <c r="E18" s="27" t="str">
        <f>IFERROR(__xludf.DUMMYFUNCTION("""COMPUTED_VALUE"""),"C-10")</f>
        <v>C-10</v>
      </c>
      <c r="F18" s="31">
        <f>IFERROR(__xludf.DUMMYFUNCTION("""COMPUTED_VALUE"""),2.0)</f>
        <v>2</v>
      </c>
      <c r="G18" s="27" t="str">
        <f>IFERROR(__xludf.DUMMYFUNCTION("""COMPUTED_VALUE"""),"2 WUSTHO D PUTRI")</f>
        <v>2 WUSTHO D PUTRI</v>
      </c>
      <c r="H18" s="28" t="str">
        <f>IFERROR(__xludf.DUMMYFUNCTION("""COMPUTED_VALUE"""),"MA-XI.2")</f>
        <v>MA-XI.2</v>
      </c>
      <c r="I18" s="28" t="str">
        <f>IFERROR(__xludf.DUMMYFUNCTION("""COMPUTED_VALUE"""),"ANI SAIDAH")</f>
        <v>ANI SAIDAH</v>
      </c>
      <c r="J18" s="28" t="str">
        <f>IFERROR(__xludf.DUMMYFUNCTION("""COMPUTED_VALUE"""),"PACIRAN RT 003 RW 002 PACIRAN LAMONGAN")</f>
        <v>PACIRAN RT 003 RW 002 PACIRAN LAMONGAN</v>
      </c>
      <c r="K18" s="28" t="str">
        <f>IFERROR(__xludf.DUMMYFUNCTION("""COMPUTED_VALUE"""),"6285257577436")</f>
        <v>6285257577436</v>
      </c>
      <c r="L18" s="22">
        <f>IFERROR(__xludf.DUMMYFUNCTION("""COMPUTED_VALUE"""),450000.0)</f>
        <v>450000</v>
      </c>
      <c r="M18" s="22">
        <f>IFERROR(__xludf.DUMMYFUNCTION("""COMPUTED_VALUE"""),0.0)</f>
        <v>0</v>
      </c>
      <c r="N18" s="22">
        <f>IFERROR(__xludf.DUMMYFUNCTION("""COMPUTED_VALUE"""),0.0)</f>
        <v>0</v>
      </c>
      <c r="O18" s="22">
        <f>IFERROR(__xludf.DUMMYFUNCTION("""COMPUTED_VALUE"""),450000.0)</f>
        <v>450000</v>
      </c>
      <c r="P18" s="28" t="str">
        <f t="shared" si="1"/>
        <v>LUNAS</v>
      </c>
      <c r="Q18" s="28">
        <f t="shared" si="2"/>
        <v>143</v>
      </c>
      <c r="R18" s="28" t="str">
        <f t="shared" si="3"/>
        <v>LINTANG RAMADHANI</v>
      </c>
      <c r="S18" s="28" t="str">
        <f t="shared" si="4"/>
        <v>MEISYA JUWITA SARI</v>
      </c>
      <c r="T18" s="22">
        <f t="shared" si="5"/>
        <v>2700000</v>
      </c>
      <c r="U18" s="22">
        <f t="shared" si="6"/>
        <v>1600000</v>
      </c>
      <c r="V18" s="22">
        <f t="shared" si="7"/>
        <v>0</v>
      </c>
      <c r="W18" s="22">
        <f t="shared" si="8"/>
        <v>4300000</v>
      </c>
      <c r="X18" s="32">
        <v>6.0</v>
      </c>
    </row>
    <row r="19">
      <c r="A19" s="27">
        <f>IFERROR(__xludf.DUMMYFUNCTION("""COMPUTED_VALUE"""),18.0)</f>
        <v>18</v>
      </c>
      <c r="B19" s="28" t="str">
        <f>IFERROR(__xludf.DUMMYFUNCTION("""COMPUTED_VALUE"""),"MASTALENA FRADITA")</f>
        <v>MASTALENA FRADITA</v>
      </c>
      <c r="C19" s="28">
        <f>IFERROR(__xludf.DUMMYFUNCTION("""COMPUTED_VALUE"""),2.025070271E9)</f>
        <v>2025070271</v>
      </c>
      <c r="D19" s="27" t="str">
        <f>IFERROR(__xludf.DUMMYFUNCTION("""COMPUTED_VALUE"""),"C")</f>
        <v>C</v>
      </c>
      <c r="E19" s="27" t="str">
        <f>IFERROR(__xludf.DUMMYFUNCTION("""COMPUTED_VALUE"""),"C-10")</f>
        <v>C-10</v>
      </c>
      <c r="F19" s="31">
        <f>IFERROR(__xludf.DUMMYFUNCTION("""COMPUTED_VALUE"""),2.0)</f>
        <v>2</v>
      </c>
      <c r="G19" s="27" t="str">
        <f>IFERROR(__xludf.DUMMYFUNCTION("""COMPUTED_VALUE"""),"2 WUSTHO A PUTRI")</f>
        <v>2 WUSTHO A PUTRI</v>
      </c>
      <c r="H19" s="28" t="str">
        <f>IFERROR(__xludf.DUMMYFUNCTION("""COMPUTED_VALUE"""),"MA-XI.5")</f>
        <v>MA-XI.5</v>
      </c>
      <c r="I19" s="28" t="str">
        <f>IFERROR(__xludf.DUMMYFUNCTION("""COMPUTED_VALUE"""),"ROSWATI")</f>
        <v>ROSWATI</v>
      </c>
      <c r="J19" s="28" t="str">
        <f>IFERROR(__xludf.DUMMYFUNCTION("""COMPUTED_VALUE"""),"GELAP RT 006 RW 002 LAREN LAMONGAN")</f>
        <v>GELAP RT 006 RW 002 LAREN LAMONGAN</v>
      </c>
      <c r="K19" s="28" t="str">
        <f>IFERROR(__xludf.DUMMYFUNCTION("""COMPUTED_VALUE"""),"6285792398015")</f>
        <v>6285792398015</v>
      </c>
      <c r="L19" s="22">
        <f>IFERROR(__xludf.DUMMYFUNCTION("""COMPUTED_VALUE"""),0.0)</f>
        <v>0</v>
      </c>
      <c r="M19" s="22">
        <f>IFERROR(__xludf.DUMMYFUNCTION("""COMPUTED_VALUE"""),1000000.0)</f>
        <v>1000000</v>
      </c>
      <c r="N19" s="22">
        <f>IFERROR(__xludf.DUMMYFUNCTION("""COMPUTED_VALUE"""),0.0)</f>
        <v>0</v>
      </c>
      <c r="O19" s="22">
        <f>IFERROR(__xludf.DUMMYFUNCTION("""COMPUTED_VALUE"""),1000000.0)</f>
        <v>1000000</v>
      </c>
      <c r="P19" s="28" t="str">
        <f t="shared" si="1"/>
        <v>LUNAS</v>
      </c>
      <c r="Q19" s="28">
        <f t="shared" si="2"/>
        <v>60</v>
      </c>
      <c r="R19" s="28" t="str">
        <f t="shared" si="3"/>
        <v>MASTALENA FRADITA</v>
      </c>
      <c r="S19" s="28" t="str">
        <f t="shared" si="4"/>
        <v>SYA`BANIA ROHMA RISQIYAH WULANDARI</v>
      </c>
      <c r="T19" s="22">
        <f t="shared" si="5"/>
        <v>3150000</v>
      </c>
      <c r="U19" s="22">
        <f t="shared" si="6"/>
        <v>1000000</v>
      </c>
      <c r="V19" s="22">
        <f t="shared" si="7"/>
        <v>0</v>
      </c>
      <c r="W19" s="22">
        <f t="shared" si="8"/>
        <v>4150000</v>
      </c>
      <c r="X19" s="32">
        <v>7.0</v>
      </c>
    </row>
    <row r="20">
      <c r="A20" s="27">
        <f>IFERROR(__xludf.DUMMYFUNCTION("""COMPUTED_VALUE"""),19.0)</f>
        <v>19</v>
      </c>
      <c r="B20" s="28" t="str">
        <f>IFERROR(__xludf.DUMMYFUNCTION("""COMPUTED_VALUE"""),"MAYA NUR ANDYNI")</f>
        <v>MAYA NUR ANDYNI</v>
      </c>
      <c r="C20" s="28">
        <f>IFERROR(__xludf.DUMMYFUNCTION("""COMPUTED_VALUE"""),2.025070063E9)</f>
        <v>2025070063</v>
      </c>
      <c r="D20" s="27" t="str">
        <f>IFERROR(__xludf.DUMMYFUNCTION("""COMPUTED_VALUE"""),"C")</f>
        <v>C</v>
      </c>
      <c r="E20" s="27" t="str">
        <f>IFERROR(__xludf.DUMMYFUNCTION("""COMPUTED_VALUE"""),"C-10")</f>
        <v>C-10</v>
      </c>
      <c r="F20" s="31">
        <f>IFERROR(__xludf.DUMMYFUNCTION("""COMPUTED_VALUE"""),2.0)</f>
        <v>2</v>
      </c>
      <c r="G20" s="27" t="str">
        <f>IFERROR(__xludf.DUMMYFUNCTION("""COMPUTED_VALUE"""),"2 WUSTHO A PUTRI")</f>
        <v>2 WUSTHO A PUTRI</v>
      </c>
      <c r="H20" s="28" t="str">
        <f>IFERROR(__xludf.DUMMYFUNCTION("""COMPUTED_VALUE"""),"MA-XI.5")</f>
        <v>MA-XI.5</v>
      </c>
      <c r="I20" s="28" t="str">
        <f>IFERROR(__xludf.DUMMYFUNCTION("""COMPUTED_VALUE"""),"MUBARIROH")</f>
        <v>MUBARIROH</v>
      </c>
      <c r="J20" s="28" t="str">
        <f>IFERROR(__xludf.DUMMYFUNCTION("""COMPUTED_VALUE"""),"BLURI RT 002 RW 003 SOLOKURO LAMONGAN")</f>
        <v>BLURI RT 002 RW 003 SOLOKURO LAMONGAN</v>
      </c>
      <c r="K20" s="28" t="str">
        <f>IFERROR(__xludf.DUMMYFUNCTION("""COMPUTED_VALUE"""),"6285648895170")</f>
        <v>6285648895170</v>
      </c>
      <c r="L20" s="22">
        <f>IFERROR(__xludf.DUMMYFUNCTION("""COMPUTED_VALUE"""),0.0)</f>
        <v>0</v>
      </c>
      <c r="M20" s="22">
        <f>IFERROR(__xludf.DUMMYFUNCTION("""COMPUTED_VALUE"""),1000000.0)</f>
        <v>1000000</v>
      </c>
      <c r="N20" s="22">
        <f>IFERROR(__xludf.DUMMYFUNCTION("""COMPUTED_VALUE"""),0.0)</f>
        <v>0</v>
      </c>
      <c r="O20" s="22">
        <f>IFERROR(__xludf.DUMMYFUNCTION("""COMPUTED_VALUE"""),1000000.0)</f>
        <v>1000000</v>
      </c>
      <c r="P20" s="28" t="str">
        <f t="shared" si="1"/>
        <v>LUNAS</v>
      </c>
      <c r="Q20" s="28">
        <f t="shared" si="2"/>
        <v>61</v>
      </c>
      <c r="R20" s="28" t="str">
        <f t="shared" si="3"/>
        <v>MAYA NUR ANDYNI</v>
      </c>
      <c r="S20" s="28" t="str">
        <f t="shared" si="4"/>
        <v>HIMMATU ZAWA ARRIFA</v>
      </c>
      <c r="T20" s="22">
        <f t="shared" si="5"/>
        <v>3150000</v>
      </c>
      <c r="U20" s="22">
        <f t="shared" si="6"/>
        <v>1000000</v>
      </c>
      <c r="V20" s="22">
        <f t="shared" si="7"/>
        <v>0</v>
      </c>
      <c r="W20" s="22">
        <f t="shared" si="8"/>
        <v>4150000</v>
      </c>
      <c r="X20" s="32">
        <v>8.0</v>
      </c>
    </row>
    <row r="21">
      <c r="A21" s="27">
        <f>IFERROR(__xludf.DUMMYFUNCTION("""COMPUTED_VALUE"""),20.0)</f>
        <v>20</v>
      </c>
      <c r="B21" s="28" t="str">
        <f>IFERROR(__xludf.DUMMYFUNCTION("""COMPUTED_VALUE"""),"NABILAH FAYRUZ ZAHROH")</f>
        <v>NABILAH FAYRUZ ZAHROH</v>
      </c>
      <c r="C21" s="28">
        <f>IFERROR(__xludf.DUMMYFUNCTION("""COMPUTED_VALUE"""),2.025070291E9)</f>
        <v>2025070291</v>
      </c>
      <c r="D21" s="27" t="str">
        <f>IFERROR(__xludf.DUMMYFUNCTION("""COMPUTED_VALUE"""),"C")</f>
        <v>C</v>
      </c>
      <c r="E21" s="27" t="str">
        <f>IFERROR(__xludf.DUMMYFUNCTION("""COMPUTED_VALUE"""),"C-10")</f>
        <v>C-10</v>
      </c>
      <c r="F21" s="31">
        <f>IFERROR(__xludf.DUMMYFUNCTION("""COMPUTED_VALUE"""),2.0)</f>
        <v>2</v>
      </c>
      <c r="G21" s="27" t="str">
        <f>IFERROR(__xludf.DUMMYFUNCTION("""COMPUTED_VALUE"""),"2 WUSTHO B PUTRI")</f>
        <v>2 WUSTHO B PUTRI</v>
      </c>
      <c r="H21" s="28" t="str">
        <f>IFERROR(__xludf.DUMMYFUNCTION("""COMPUTED_VALUE"""),"MA-XI.11")</f>
        <v>MA-XI.11</v>
      </c>
      <c r="I21" s="28" t="str">
        <f>IFERROR(__xludf.DUMMYFUNCTION("""COMPUTED_VALUE"""),"RUSMINI")</f>
        <v>RUSMINI</v>
      </c>
      <c r="J21" s="28" t="str">
        <f>IFERROR(__xludf.DUMMYFUNCTION("""COMPUTED_VALUE"""),"GUNDIK SUKOREJO RT 001 RW 004 KARANGBINANGUN LAMONGAN")</f>
        <v>GUNDIK SUKOREJO RT 001 RW 004 KARANGBINANGUN LAMONGAN</v>
      </c>
      <c r="K21" s="28" t="str">
        <f>IFERROR(__xludf.DUMMYFUNCTION("""COMPUTED_VALUE"""),"6285850710087")</f>
        <v>6285850710087</v>
      </c>
      <c r="L21" s="22">
        <f>IFERROR(__xludf.DUMMYFUNCTION("""COMPUTED_VALUE"""),450000.0)</f>
        <v>450000</v>
      </c>
      <c r="M21" s="22">
        <f>IFERROR(__xludf.DUMMYFUNCTION("""COMPUTED_VALUE"""),1600000.0)</f>
        <v>1600000</v>
      </c>
      <c r="N21" s="22">
        <f>IFERROR(__xludf.DUMMYFUNCTION("""COMPUTED_VALUE"""),0.0)</f>
        <v>0</v>
      </c>
      <c r="O21" s="22">
        <f>IFERROR(__xludf.DUMMYFUNCTION("""COMPUTED_VALUE"""),2050000.0)</f>
        <v>2050000</v>
      </c>
      <c r="P21" s="28" t="str">
        <f t="shared" si="1"/>
        <v>LUNAS</v>
      </c>
      <c r="Q21" s="28">
        <f t="shared" si="2"/>
        <v>26</v>
      </c>
      <c r="R21" s="28" t="str">
        <f t="shared" si="3"/>
        <v>NABILAH FAYRUZ ZAHROH</v>
      </c>
      <c r="S21" s="28" t="str">
        <f t="shared" si="4"/>
        <v>SITI MUZAROTUS SHOBUROH</v>
      </c>
      <c r="T21" s="22">
        <f t="shared" si="5"/>
        <v>2600000</v>
      </c>
      <c r="U21" s="22">
        <f t="shared" si="6"/>
        <v>1000000</v>
      </c>
      <c r="V21" s="22">
        <f t="shared" si="7"/>
        <v>350000</v>
      </c>
      <c r="W21" s="22">
        <f t="shared" si="8"/>
        <v>3950000</v>
      </c>
      <c r="X21" s="32">
        <v>9.0</v>
      </c>
    </row>
    <row r="22">
      <c r="A22" s="27">
        <f>IFERROR(__xludf.DUMMYFUNCTION("""COMPUTED_VALUE"""),21.0)</f>
        <v>21</v>
      </c>
      <c r="B22" s="28" t="str">
        <f>IFERROR(__xludf.DUMMYFUNCTION("""COMPUTED_VALUE"""),"NAILA SHOFWA AMALIAH")</f>
        <v>NAILA SHOFWA AMALIAH</v>
      </c>
      <c r="C22" s="28">
        <f>IFERROR(__xludf.DUMMYFUNCTION("""COMPUTED_VALUE"""),2.025070233E9)</f>
        <v>2025070233</v>
      </c>
      <c r="D22" s="27" t="str">
        <f>IFERROR(__xludf.DUMMYFUNCTION("""COMPUTED_VALUE"""),"C")</f>
        <v>C</v>
      </c>
      <c r="E22" s="27" t="str">
        <f>IFERROR(__xludf.DUMMYFUNCTION("""COMPUTED_VALUE"""),"C-10")</f>
        <v>C-10</v>
      </c>
      <c r="F22" s="31">
        <f>IFERROR(__xludf.DUMMYFUNCTION("""COMPUTED_VALUE"""),2.0)</f>
        <v>2</v>
      </c>
      <c r="G22" s="27" t="str">
        <f>IFERROR(__xludf.DUMMYFUNCTION("""COMPUTED_VALUE"""),"2 WUSTHO A PUTRI")</f>
        <v>2 WUSTHO A PUTRI</v>
      </c>
      <c r="H22" s="28" t="str">
        <f>IFERROR(__xludf.DUMMYFUNCTION("""COMPUTED_VALUE"""),"MA-XI.12")</f>
        <v>MA-XI.12</v>
      </c>
      <c r="I22" s="28" t="str">
        <f>IFERROR(__xludf.DUMMYFUNCTION("""COMPUTED_VALUE"""),"SITI ASTUTIN")</f>
        <v>SITI ASTUTIN</v>
      </c>
      <c r="J22" s="28" t="str">
        <f>IFERROR(__xludf.DUMMYFUNCTION("""COMPUTED_VALUE"""),"DAGAN RT 001 RW 002 SOLOKURO LAMONGAN")</f>
        <v>DAGAN RT 001 RW 002 SOLOKURO LAMONGAN</v>
      </c>
      <c r="K22" s="28" t="str">
        <f>IFERROR(__xludf.DUMMYFUNCTION("""COMPUTED_VALUE"""),"6285785806949")</f>
        <v>6285785806949</v>
      </c>
      <c r="L22" s="22">
        <f>IFERROR(__xludf.DUMMYFUNCTION("""COMPUTED_VALUE"""),0.0)</f>
        <v>0</v>
      </c>
      <c r="M22" s="22">
        <f>IFERROR(__xludf.DUMMYFUNCTION("""COMPUTED_VALUE"""),0.0)</f>
        <v>0</v>
      </c>
      <c r="N22" s="22">
        <f>IFERROR(__xludf.DUMMYFUNCTION("""COMPUTED_VALUE"""),0.0)</f>
        <v>0</v>
      </c>
      <c r="O22" s="22">
        <f>IFERROR(__xludf.DUMMYFUNCTION("""COMPUTED_VALUE"""),0.0)</f>
        <v>0</v>
      </c>
      <c r="P22" s="28" t="str">
        <f t="shared" si="1"/>
        <v>LUNAS</v>
      </c>
      <c r="Q22" s="28">
        <f t="shared" si="2"/>
        <v>157</v>
      </c>
      <c r="R22" s="28" t="str">
        <f t="shared" si="3"/>
        <v>NAILA SHOFWA AMALIAH</v>
      </c>
      <c r="S22" s="28" t="str">
        <f t="shared" si="4"/>
        <v>FARAH ALTHAFUN NISA`</v>
      </c>
      <c r="T22" s="22">
        <f t="shared" si="5"/>
        <v>2250000</v>
      </c>
      <c r="U22" s="22">
        <f t="shared" si="6"/>
        <v>1000000</v>
      </c>
      <c r="V22" s="22">
        <f t="shared" si="7"/>
        <v>0</v>
      </c>
      <c r="W22" s="22">
        <f t="shared" si="8"/>
        <v>3250000</v>
      </c>
      <c r="X22" s="32">
        <v>10.0</v>
      </c>
    </row>
    <row r="23">
      <c r="A23" s="27">
        <f>IFERROR(__xludf.DUMMYFUNCTION("""COMPUTED_VALUE"""),22.0)</f>
        <v>22</v>
      </c>
      <c r="B23" s="28" t="str">
        <f>IFERROR(__xludf.DUMMYFUNCTION("""COMPUTED_VALUE"""),"NAILAH RAHADATUL ASIY ADELIAH")</f>
        <v>NAILAH RAHADATUL ASIY ADELIAH</v>
      </c>
      <c r="C23" s="28">
        <f>IFERROR(__xludf.DUMMYFUNCTION("""COMPUTED_VALUE"""),2.025070078E9)</f>
        <v>2025070078</v>
      </c>
      <c r="D23" s="27" t="str">
        <f>IFERROR(__xludf.DUMMYFUNCTION("""COMPUTED_VALUE"""),"C")</f>
        <v>C</v>
      </c>
      <c r="E23" s="27" t="str">
        <f>IFERROR(__xludf.DUMMYFUNCTION("""COMPUTED_VALUE"""),"C-10")</f>
        <v>C-10</v>
      </c>
      <c r="F23" s="31">
        <f>IFERROR(__xludf.DUMMYFUNCTION("""COMPUTED_VALUE"""),2.0)</f>
        <v>2</v>
      </c>
      <c r="G23" s="27" t="str">
        <f>IFERROR(__xludf.DUMMYFUNCTION("""COMPUTED_VALUE"""),"2 WUSTHO D PUTRI")</f>
        <v>2 WUSTHO D PUTRI</v>
      </c>
      <c r="H23" s="28" t="str">
        <f>IFERROR(__xludf.DUMMYFUNCTION("""COMPUTED_VALUE"""),"MA-XI.5")</f>
        <v>MA-XI.5</v>
      </c>
      <c r="I23" s="28" t="str">
        <f>IFERROR(__xludf.DUMMYFUNCTION("""COMPUTED_VALUE"""),"KHUSNUL SAHADAH")</f>
        <v>KHUSNUL SAHADAH</v>
      </c>
      <c r="J23" s="28" t="str">
        <f>IFERROR(__xludf.DUMMYFUNCTION("""COMPUTED_VALUE"""),"BLURI RT 011 RW 003 SOLOKURO LAMONGAN")</f>
        <v>BLURI RT 011 RW 003 SOLOKURO LAMONGAN</v>
      </c>
      <c r="K23" s="28" t="str">
        <f>IFERROR(__xludf.DUMMYFUNCTION("""COMPUTED_VALUE"""),"6285731461924")</f>
        <v>6285731461924</v>
      </c>
      <c r="L23" s="22">
        <f>IFERROR(__xludf.DUMMYFUNCTION("""COMPUTED_VALUE"""),0.0)</f>
        <v>0</v>
      </c>
      <c r="M23" s="22">
        <f>IFERROR(__xludf.DUMMYFUNCTION("""COMPUTED_VALUE"""),1000000.0)</f>
        <v>1000000</v>
      </c>
      <c r="N23" s="22">
        <f>IFERROR(__xludf.DUMMYFUNCTION("""COMPUTED_VALUE"""),0.0)</f>
        <v>0</v>
      </c>
      <c r="O23" s="22">
        <f>IFERROR(__xludf.DUMMYFUNCTION("""COMPUTED_VALUE"""),1000000.0)</f>
        <v>1000000</v>
      </c>
      <c r="P23" s="28" t="str">
        <f t="shared" si="1"/>
        <v>LUNAS</v>
      </c>
      <c r="Q23" s="28">
        <f t="shared" si="2"/>
        <v>62</v>
      </c>
      <c r="R23" s="28" t="str">
        <f t="shared" si="3"/>
        <v>NAILAH RAHADATUL ASIY ADELIAH</v>
      </c>
    </row>
    <row r="24">
      <c r="A24" s="27">
        <f>IFERROR(__xludf.DUMMYFUNCTION("""COMPUTED_VALUE"""),23.0)</f>
        <v>23</v>
      </c>
      <c r="B24" s="28" t="str">
        <f>IFERROR(__xludf.DUMMYFUNCTION("""COMPUTED_VALUE"""),"NOVI AWWALIYATUS SHOLIHAH")</f>
        <v>NOVI AWWALIYATUS SHOLIHAH</v>
      </c>
      <c r="C24" s="28">
        <f>IFERROR(__xludf.DUMMYFUNCTION("""COMPUTED_VALUE"""),2.0250701E9)</f>
        <v>2025070100</v>
      </c>
      <c r="D24" s="27" t="str">
        <f>IFERROR(__xludf.DUMMYFUNCTION("""COMPUTED_VALUE"""),"C")</f>
        <v>C</v>
      </c>
      <c r="E24" s="27" t="str">
        <f>IFERROR(__xludf.DUMMYFUNCTION("""COMPUTED_VALUE"""),"C-10")</f>
        <v>C-10</v>
      </c>
      <c r="F24" s="31">
        <f>IFERROR(__xludf.DUMMYFUNCTION("""COMPUTED_VALUE"""),2.0)</f>
        <v>2</v>
      </c>
      <c r="G24" s="27" t="str">
        <f>IFERROR(__xludf.DUMMYFUNCTION("""COMPUTED_VALUE"""),"2 WUSTHO B PUTRI")</f>
        <v>2 WUSTHO B PUTRI</v>
      </c>
      <c r="H24" s="28" t="str">
        <f>IFERROR(__xludf.DUMMYFUNCTION("""COMPUTED_VALUE"""),"MA-XI.2")</f>
        <v>MA-XI.2</v>
      </c>
      <c r="I24" s="28" t="str">
        <f>IFERROR(__xludf.DUMMYFUNCTION("""COMPUTED_VALUE"""),"IDA INDA NURHIDAYATI")</f>
        <v>IDA INDA NURHIDAYATI</v>
      </c>
      <c r="J24" s="28" t="str">
        <f>IFERROR(__xludf.DUMMYFUNCTION("""COMPUTED_VALUE"""),"DAGAN RT 001 RW 003 SOLOKURO LAMONGAN")</f>
        <v>DAGAN RT 001 RW 003 SOLOKURO LAMONGAN</v>
      </c>
      <c r="K24" s="28" t="str">
        <f>IFERROR(__xludf.DUMMYFUNCTION("""COMPUTED_VALUE"""),"6285645284852")</f>
        <v>6285645284852</v>
      </c>
      <c r="L24" s="22">
        <f>IFERROR(__xludf.DUMMYFUNCTION("""COMPUTED_VALUE"""),0.0)</f>
        <v>0</v>
      </c>
      <c r="M24" s="22">
        <f>IFERROR(__xludf.DUMMYFUNCTION("""COMPUTED_VALUE"""),1000000.0)</f>
        <v>1000000</v>
      </c>
      <c r="N24" s="22">
        <f>IFERROR(__xludf.DUMMYFUNCTION("""COMPUTED_VALUE"""),0.0)</f>
        <v>0</v>
      </c>
      <c r="O24" s="22">
        <f>IFERROR(__xludf.DUMMYFUNCTION("""COMPUTED_VALUE"""),1000000.0)</f>
        <v>1000000</v>
      </c>
      <c r="P24" s="28" t="str">
        <f t="shared" si="1"/>
        <v>LUNAS</v>
      </c>
      <c r="Q24" s="28">
        <f t="shared" si="2"/>
        <v>63</v>
      </c>
      <c r="R24" s="28" t="str">
        <f t="shared" si="3"/>
        <v>NOVI AWWALIYATUS SHOLIHAH</v>
      </c>
    </row>
    <row r="25">
      <c r="A25" s="27">
        <f>IFERROR(__xludf.DUMMYFUNCTION("""COMPUTED_VALUE"""),24.0)</f>
        <v>24</v>
      </c>
      <c r="B25" s="28" t="str">
        <f>IFERROR(__xludf.DUMMYFUNCTION("""COMPUTED_VALUE"""),"NUR ADILA FITRI")</f>
        <v>NUR ADILA FITRI</v>
      </c>
      <c r="C25" s="28">
        <f>IFERROR(__xludf.DUMMYFUNCTION("""COMPUTED_VALUE"""),2.025070062E9)</f>
        <v>2025070062</v>
      </c>
      <c r="D25" s="27" t="str">
        <f>IFERROR(__xludf.DUMMYFUNCTION("""COMPUTED_VALUE"""),"C")</f>
        <v>C</v>
      </c>
      <c r="E25" s="27" t="str">
        <f>IFERROR(__xludf.DUMMYFUNCTION("""COMPUTED_VALUE"""),"C-10")</f>
        <v>C-10</v>
      </c>
      <c r="F25" s="31">
        <f>IFERROR(__xludf.DUMMYFUNCTION("""COMPUTED_VALUE"""),2.0)</f>
        <v>2</v>
      </c>
      <c r="G25" s="27" t="str">
        <f>IFERROR(__xludf.DUMMYFUNCTION("""COMPUTED_VALUE"""),"2 WUSTHO C PUTRI")</f>
        <v>2 WUSTHO C PUTRI</v>
      </c>
      <c r="H25" s="28" t="str">
        <f>IFERROR(__xludf.DUMMYFUNCTION("""COMPUTED_VALUE"""),"MA-XI.12")</f>
        <v>MA-XI.12</v>
      </c>
      <c r="I25" s="28" t="str">
        <f>IFERROR(__xludf.DUMMYFUNCTION("""COMPUTED_VALUE"""),"MURIYEM")</f>
        <v>MURIYEM</v>
      </c>
      <c r="J25" s="28" t="str">
        <f>IFERROR(__xludf.DUMMYFUNCTION("""COMPUTED_VALUE"""),"BANYUBANG RT 011 RW 003 SOLOKURO LAMONGAN")</f>
        <v>BANYUBANG RT 011 RW 003 SOLOKURO LAMONGAN</v>
      </c>
      <c r="K25" s="28" t="str">
        <f>IFERROR(__xludf.DUMMYFUNCTION("""COMPUTED_VALUE"""),"6285855012085")</f>
        <v>6285855012085</v>
      </c>
      <c r="L25" s="22">
        <f>IFERROR(__xludf.DUMMYFUNCTION("""COMPUTED_VALUE"""),0.0)</f>
        <v>0</v>
      </c>
      <c r="M25" s="22">
        <f>IFERROR(__xludf.DUMMYFUNCTION("""COMPUTED_VALUE"""),1000000.0)</f>
        <v>1000000</v>
      </c>
      <c r="N25" s="22">
        <f>IFERROR(__xludf.DUMMYFUNCTION("""COMPUTED_VALUE"""),0.0)</f>
        <v>0</v>
      </c>
      <c r="O25" s="22">
        <f>IFERROR(__xludf.DUMMYFUNCTION("""COMPUTED_VALUE"""),1000000.0)</f>
        <v>1000000</v>
      </c>
      <c r="P25" s="28" t="str">
        <f t="shared" si="1"/>
        <v>LUNAS</v>
      </c>
      <c r="Q25" s="28">
        <f t="shared" si="2"/>
        <v>64</v>
      </c>
      <c r="R25" s="28" t="str">
        <f t="shared" si="3"/>
        <v>NUR ADILA FITRI</v>
      </c>
    </row>
    <row r="26">
      <c r="A26" s="27">
        <f>IFERROR(__xludf.DUMMYFUNCTION("""COMPUTED_VALUE"""),25.0)</f>
        <v>25</v>
      </c>
      <c r="B26" s="28" t="str">
        <f>IFERROR(__xludf.DUMMYFUNCTION("""COMPUTED_VALUE"""),"NUR QOMARIYAH")</f>
        <v>NUR QOMARIYAH</v>
      </c>
      <c r="C26" s="28">
        <f>IFERROR(__xludf.DUMMYFUNCTION("""COMPUTED_VALUE"""),2.025070347E9)</f>
        <v>2025070347</v>
      </c>
      <c r="D26" s="27" t="str">
        <f>IFERROR(__xludf.DUMMYFUNCTION("""COMPUTED_VALUE"""),"C")</f>
        <v>C</v>
      </c>
      <c r="E26" s="27" t="str">
        <f>IFERROR(__xludf.DUMMYFUNCTION("""COMPUTED_VALUE"""),"C-10")</f>
        <v>C-10</v>
      </c>
      <c r="F26" s="31">
        <f>IFERROR(__xludf.DUMMYFUNCTION("""COMPUTED_VALUE"""),2.0)</f>
        <v>2</v>
      </c>
      <c r="G26" s="27" t="str">
        <f>IFERROR(__xludf.DUMMYFUNCTION("""COMPUTED_VALUE"""),"2 WUSTHO C PUTRI")</f>
        <v>2 WUSTHO C PUTRI</v>
      </c>
      <c r="H26" s="28" t="str">
        <f>IFERROR(__xludf.DUMMYFUNCTION("""COMPUTED_VALUE"""),"MA-XI.6")</f>
        <v>MA-XI.6</v>
      </c>
      <c r="I26" s="28" t="str">
        <f>IFERROR(__xludf.DUMMYFUNCTION("""COMPUTED_VALUE"""),"SUCI SANIA")</f>
        <v>SUCI SANIA</v>
      </c>
      <c r="J26" s="28" t="str">
        <f>IFERROR(__xludf.DUMMYFUNCTION("""COMPUTED_VALUE"""),"PILANG TEJOASRI RT 003 RW 001 LAREN LAMONGAN")</f>
        <v>PILANG TEJOASRI RT 003 RW 001 LAREN LAMONGAN</v>
      </c>
      <c r="K26" s="28" t="str">
        <f>IFERROR(__xludf.DUMMYFUNCTION("""COMPUTED_VALUE"""),"6288991851255")</f>
        <v>6288991851255</v>
      </c>
      <c r="L26" s="22">
        <f>IFERROR(__xludf.DUMMYFUNCTION("""COMPUTED_VALUE"""),450000.0)</f>
        <v>450000</v>
      </c>
      <c r="M26" s="22">
        <f>IFERROR(__xludf.DUMMYFUNCTION("""COMPUTED_VALUE"""),1600000.0)</f>
        <v>1600000</v>
      </c>
      <c r="N26" s="22">
        <f>IFERROR(__xludf.DUMMYFUNCTION("""COMPUTED_VALUE"""),0.0)</f>
        <v>0</v>
      </c>
      <c r="O26" s="22">
        <f>IFERROR(__xludf.DUMMYFUNCTION("""COMPUTED_VALUE"""),2050000.0)</f>
        <v>2050000</v>
      </c>
      <c r="P26" s="28" t="str">
        <f t="shared" si="1"/>
        <v>LUNAS</v>
      </c>
      <c r="Q26" s="28">
        <f t="shared" si="2"/>
        <v>27</v>
      </c>
      <c r="R26" s="28" t="str">
        <f t="shared" si="3"/>
        <v>NUR QOMARIYAH</v>
      </c>
    </row>
    <row r="27">
      <c r="A27" s="27">
        <f>IFERROR(__xludf.DUMMYFUNCTION("""COMPUTED_VALUE"""),26.0)</f>
        <v>26</v>
      </c>
      <c r="B27" s="28" t="str">
        <f>IFERROR(__xludf.DUMMYFUNCTION("""COMPUTED_VALUE"""),"NURUL HAFIZAH")</f>
        <v>NURUL HAFIZAH</v>
      </c>
      <c r="C27" s="28">
        <f>IFERROR(__xludf.DUMMYFUNCTION("""COMPUTED_VALUE"""),2.025070237E9)</f>
        <v>2025070237</v>
      </c>
      <c r="D27" s="27" t="str">
        <f>IFERROR(__xludf.DUMMYFUNCTION("""COMPUTED_VALUE"""),"C")</f>
        <v>C</v>
      </c>
      <c r="E27" s="27" t="str">
        <f>IFERROR(__xludf.DUMMYFUNCTION("""COMPUTED_VALUE"""),"C-10")</f>
        <v>C-10</v>
      </c>
      <c r="F27" s="31">
        <f>IFERROR(__xludf.DUMMYFUNCTION("""COMPUTED_VALUE"""),2.0)</f>
        <v>2</v>
      </c>
      <c r="G27" s="27" t="str">
        <f>IFERROR(__xludf.DUMMYFUNCTION("""COMPUTED_VALUE"""),"2 WUSTHO A PUTRI")</f>
        <v>2 WUSTHO A PUTRI</v>
      </c>
      <c r="H27" s="28" t="str">
        <f>IFERROR(__xludf.DUMMYFUNCTION("""COMPUTED_VALUE"""),"MA-XI.3")</f>
        <v>MA-XI.3</v>
      </c>
      <c r="I27" s="28" t="str">
        <f>IFERROR(__xludf.DUMMYFUNCTION("""COMPUTED_VALUE"""),"SITI THOYYIBATUN NI`MAH")</f>
        <v>SITI THOYYIBATUN NI`MAH</v>
      </c>
      <c r="J27" s="28" t="str">
        <f>IFERROR(__xludf.DUMMYFUNCTION("""COMPUTED_VALUE"""),"DAGAN RT 003 RW 002 SOLOKURO LAMONGAN")</f>
        <v>DAGAN RT 003 RW 002 SOLOKURO LAMONGAN</v>
      </c>
      <c r="K27" s="28" t="str">
        <f>IFERROR(__xludf.DUMMYFUNCTION("""COMPUTED_VALUE"""),"6285648857302")</f>
        <v>6285648857302</v>
      </c>
      <c r="L27" s="22">
        <f>IFERROR(__xludf.DUMMYFUNCTION("""COMPUTED_VALUE"""),0.0)</f>
        <v>0</v>
      </c>
      <c r="M27" s="22">
        <f>IFERROR(__xludf.DUMMYFUNCTION("""COMPUTED_VALUE"""),0.0)</f>
        <v>0</v>
      </c>
      <c r="N27" s="22">
        <f>IFERROR(__xludf.DUMMYFUNCTION("""COMPUTED_VALUE"""),0.0)</f>
        <v>0</v>
      </c>
      <c r="O27" s="22">
        <f>IFERROR(__xludf.DUMMYFUNCTION("""COMPUTED_VALUE"""),0.0)</f>
        <v>0</v>
      </c>
      <c r="P27" s="28" t="str">
        <f t="shared" si="1"/>
        <v>LUNAS</v>
      </c>
      <c r="Q27" s="28">
        <f t="shared" si="2"/>
        <v>158</v>
      </c>
      <c r="R27" s="28" t="str">
        <f t="shared" si="3"/>
        <v>NURUL HAFIZAH</v>
      </c>
    </row>
    <row r="28">
      <c r="A28" s="27">
        <f>IFERROR(__xludf.DUMMYFUNCTION("""COMPUTED_VALUE"""),27.0)</f>
        <v>27</v>
      </c>
      <c r="B28" s="28" t="str">
        <f>IFERROR(__xludf.DUMMYFUNCTION("""COMPUTED_VALUE"""),"REVANA HIKMATUL AULIA")</f>
        <v>REVANA HIKMATUL AULIA</v>
      </c>
      <c r="C28" s="28">
        <f>IFERROR(__xludf.DUMMYFUNCTION("""COMPUTED_VALUE"""),2.025070225E9)</f>
        <v>2025070225</v>
      </c>
      <c r="D28" s="27" t="str">
        <f>IFERROR(__xludf.DUMMYFUNCTION("""COMPUTED_VALUE"""),"C")</f>
        <v>C</v>
      </c>
      <c r="E28" s="27" t="str">
        <f>IFERROR(__xludf.DUMMYFUNCTION("""COMPUTED_VALUE"""),"C-10")</f>
        <v>C-10</v>
      </c>
      <c r="F28" s="31">
        <f>IFERROR(__xludf.DUMMYFUNCTION("""COMPUTED_VALUE"""),2.0)</f>
        <v>2</v>
      </c>
      <c r="G28" s="27" t="str">
        <f>IFERROR(__xludf.DUMMYFUNCTION("""COMPUTED_VALUE"""),"2 WUSTHO A PUTRI")</f>
        <v>2 WUSTHO A PUTRI</v>
      </c>
      <c r="H28" s="28" t="str">
        <f>IFERROR(__xludf.DUMMYFUNCTION("""COMPUTED_VALUE"""),"MA-XI.8")</f>
        <v>MA-XI.8</v>
      </c>
      <c r="I28" s="28" t="str">
        <f>IFERROR(__xludf.DUMMYFUNCTION("""COMPUTED_VALUE"""),"KHUSNUL KHOTIMAH ")</f>
        <v>KHUSNUL KHOTIMAH </v>
      </c>
      <c r="J28" s="28" t="str">
        <f>IFERROR(__xludf.DUMMYFUNCTION("""COMPUTED_VALUE"""),"BLURI RT 012 RW 003 SOLOKURO LAMONGAN")</f>
        <v>BLURI RT 012 RW 003 SOLOKURO LAMONGAN</v>
      </c>
      <c r="K28" s="28" t="str">
        <f>IFERROR(__xludf.DUMMYFUNCTION("""COMPUTED_VALUE"""),"628155162065")</f>
        <v>628155162065</v>
      </c>
      <c r="L28" s="22">
        <f>IFERROR(__xludf.DUMMYFUNCTION("""COMPUTED_VALUE"""),450000.0)</f>
        <v>450000</v>
      </c>
      <c r="M28" s="22">
        <f>IFERROR(__xludf.DUMMYFUNCTION("""COMPUTED_VALUE"""),1000000.0)</f>
        <v>1000000</v>
      </c>
      <c r="N28" s="22">
        <f>IFERROR(__xludf.DUMMYFUNCTION("""COMPUTED_VALUE"""),0.0)</f>
        <v>0</v>
      </c>
      <c r="O28" s="22">
        <f>IFERROR(__xludf.DUMMYFUNCTION("""COMPUTED_VALUE"""),1450000.0)</f>
        <v>1450000</v>
      </c>
      <c r="P28" s="28" t="str">
        <f t="shared" si="1"/>
        <v>LUNAS</v>
      </c>
      <c r="Q28" s="28">
        <f t="shared" si="2"/>
        <v>37</v>
      </c>
      <c r="R28" s="28" t="str">
        <f t="shared" si="3"/>
        <v>REVANA HIKMATUL AULIA</v>
      </c>
    </row>
    <row r="29">
      <c r="A29" s="27">
        <f>IFERROR(__xludf.DUMMYFUNCTION("""COMPUTED_VALUE"""),28.0)</f>
        <v>28</v>
      </c>
      <c r="B29" s="28" t="str">
        <f>IFERROR(__xludf.DUMMYFUNCTION("""COMPUTED_VALUE"""),"SAFNA NUR AULIYA`")</f>
        <v>SAFNA NUR AULIYA`</v>
      </c>
      <c r="C29" s="28">
        <f>IFERROR(__xludf.DUMMYFUNCTION("""COMPUTED_VALUE"""),2.025070153E9)</f>
        <v>2025070153</v>
      </c>
      <c r="D29" s="27" t="str">
        <f>IFERROR(__xludf.DUMMYFUNCTION("""COMPUTED_VALUE"""),"C")</f>
        <v>C</v>
      </c>
      <c r="E29" s="27" t="str">
        <f>IFERROR(__xludf.DUMMYFUNCTION("""COMPUTED_VALUE"""),"C-10")</f>
        <v>C-10</v>
      </c>
      <c r="F29" s="31">
        <f>IFERROR(__xludf.DUMMYFUNCTION("""COMPUTED_VALUE"""),2.0)</f>
        <v>2</v>
      </c>
      <c r="G29" s="27" t="str">
        <f>IFERROR(__xludf.DUMMYFUNCTION("""COMPUTED_VALUE"""),"2 WUSTHO C PUTRI")</f>
        <v>2 WUSTHO C PUTRI</v>
      </c>
      <c r="H29" s="28" t="str">
        <f>IFERROR(__xludf.DUMMYFUNCTION("""COMPUTED_VALUE"""),"MA-XI.4")</f>
        <v>MA-XI.4</v>
      </c>
      <c r="I29" s="28" t="str">
        <f>IFERROR(__xludf.DUMMYFUNCTION("""COMPUTED_VALUE"""),"KHOIROH NISWATIN")</f>
        <v>KHOIROH NISWATIN</v>
      </c>
      <c r="J29" s="28" t="str">
        <f>IFERROR(__xludf.DUMMYFUNCTION("""COMPUTED_VALUE"""),"BESUR RT 005 RW 003 SEKARAN LAMONGAN")</f>
        <v>BESUR RT 005 RW 003 SEKARAN LAMONGAN</v>
      </c>
      <c r="K29" s="28" t="str">
        <f>IFERROR(__xludf.DUMMYFUNCTION("""COMPUTED_VALUE"""),"6282232129390")</f>
        <v>6282232129390</v>
      </c>
      <c r="L29" s="22">
        <f>IFERROR(__xludf.DUMMYFUNCTION("""COMPUTED_VALUE"""),0.0)</f>
        <v>0</v>
      </c>
      <c r="M29" s="22">
        <f>IFERROR(__xludf.DUMMYFUNCTION("""COMPUTED_VALUE"""),1000000.0)</f>
        <v>1000000</v>
      </c>
      <c r="N29" s="22">
        <f>IFERROR(__xludf.DUMMYFUNCTION("""COMPUTED_VALUE"""),0.0)</f>
        <v>0</v>
      </c>
      <c r="O29" s="22">
        <f>IFERROR(__xludf.DUMMYFUNCTION("""COMPUTED_VALUE"""),1000000.0)</f>
        <v>1000000</v>
      </c>
      <c r="P29" s="28" t="str">
        <f t="shared" si="1"/>
        <v>LUNAS</v>
      </c>
      <c r="Q29" s="28">
        <f t="shared" si="2"/>
        <v>65</v>
      </c>
      <c r="R29" s="28" t="str">
        <f t="shared" si="3"/>
        <v>SAFNA NUR AULIYA`</v>
      </c>
    </row>
    <row r="30">
      <c r="A30" s="27">
        <f>IFERROR(__xludf.DUMMYFUNCTION("""COMPUTED_VALUE"""),29.0)</f>
        <v>29</v>
      </c>
      <c r="B30" s="28" t="str">
        <f>IFERROR(__xludf.DUMMYFUNCTION("""COMPUTED_VALUE"""),"SALSA ZANI RAMADINA")</f>
        <v>SALSA ZANI RAMADINA</v>
      </c>
      <c r="C30" s="28">
        <f>IFERROR(__xludf.DUMMYFUNCTION("""COMPUTED_VALUE"""),2.025070011E9)</f>
        <v>2025070011</v>
      </c>
      <c r="D30" s="27" t="str">
        <f>IFERROR(__xludf.DUMMYFUNCTION("""COMPUTED_VALUE"""),"C")</f>
        <v>C</v>
      </c>
      <c r="E30" s="27" t="str">
        <f>IFERROR(__xludf.DUMMYFUNCTION("""COMPUTED_VALUE"""),"C-10")</f>
        <v>C-10</v>
      </c>
      <c r="F30" s="31">
        <f>IFERROR(__xludf.DUMMYFUNCTION("""COMPUTED_VALUE"""),2.0)</f>
        <v>2</v>
      </c>
      <c r="G30" s="27" t="str">
        <f>IFERROR(__xludf.DUMMYFUNCTION("""COMPUTED_VALUE"""),"2 WUSTHO C PUTRI")</f>
        <v>2 WUSTHO C PUTRI</v>
      </c>
      <c r="H30" s="28" t="str">
        <f>IFERROR(__xludf.DUMMYFUNCTION("""COMPUTED_VALUE"""),"MA-XI.12")</f>
        <v>MA-XI.12</v>
      </c>
      <c r="I30" s="28" t="str">
        <f>IFERROR(__xludf.DUMMYFUNCTION("""COMPUTED_VALUE"""),"ALIYA")</f>
        <v>ALIYA</v>
      </c>
      <c r="J30" s="28" t="str">
        <f>IFERROR(__xludf.DUMMYFUNCTION("""COMPUTED_VALUE"""),"SEPAT TAMBAKMENJANGAN RT 001 RW 008 SARIREJO LAMONGAN")</f>
        <v>SEPAT TAMBAKMENJANGAN RT 001 RW 008 SARIREJO LAMONGAN</v>
      </c>
      <c r="K30" s="28" t="str">
        <f>IFERROR(__xludf.DUMMYFUNCTION("""COMPUTED_VALUE"""),"6285136532021")</f>
        <v>6285136532021</v>
      </c>
      <c r="L30" s="22">
        <f>IFERROR(__xludf.DUMMYFUNCTION("""COMPUTED_VALUE"""),0.0)</f>
        <v>0</v>
      </c>
      <c r="M30" s="22">
        <f>IFERROR(__xludf.DUMMYFUNCTION("""COMPUTED_VALUE"""),1000000.0)</f>
        <v>1000000</v>
      </c>
      <c r="N30" s="22">
        <f>IFERROR(__xludf.DUMMYFUNCTION("""COMPUTED_VALUE"""),0.0)</f>
        <v>0</v>
      </c>
      <c r="O30" s="22">
        <f>IFERROR(__xludf.DUMMYFUNCTION("""COMPUTED_VALUE"""),1000000.0)</f>
        <v>1000000</v>
      </c>
      <c r="P30" s="28" t="str">
        <f t="shared" si="1"/>
        <v>LUNAS</v>
      </c>
      <c r="Q30" s="28">
        <f t="shared" si="2"/>
        <v>66</v>
      </c>
      <c r="R30" s="28" t="str">
        <f t="shared" si="3"/>
        <v>SALSA ZANI RAMADINA</v>
      </c>
    </row>
    <row r="31">
      <c r="A31" s="27">
        <f>IFERROR(__xludf.DUMMYFUNCTION("""COMPUTED_VALUE"""),30.0)</f>
        <v>30</v>
      </c>
      <c r="B31" s="28" t="str">
        <f>IFERROR(__xludf.DUMMYFUNCTION("""COMPUTED_VALUE"""),"SAVA NUR ALFIKA")</f>
        <v>SAVA NUR ALFIKA</v>
      </c>
      <c r="C31" s="28">
        <f>IFERROR(__xludf.DUMMYFUNCTION("""COMPUTED_VALUE"""),2.025070067E9)</f>
        <v>2025070067</v>
      </c>
      <c r="D31" s="27" t="str">
        <f>IFERROR(__xludf.DUMMYFUNCTION("""COMPUTED_VALUE"""),"C")</f>
        <v>C</v>
      </c>
      <c r="E31" s="27" t="str">
        <f>IFERROR(__xludf.DUMMYFUNCTION("""COMPUTED_VALUE"""),"C-10")</f>
        <v>C-10</v>
      </c>
      <c r="F31" s="31">
        <f>IFERROR(__xludf.DUMMYFUNCTION("""COMPUTED_VALUE"""),2.0)</f>
        <v>2</v>
      </c>
      <c r="G31" s="27" t="str">
        <f>IFERROR(__xludf.DUMMYFUNCTION("""COMPUTED_VALUE"""),"2 WUSTHO D PUTRI")</f>
        <v>2 WUSTHO D PUTRI</v>
      </c>
      <c r="H31" s="28" t="str">
        <f>IFERROR(__xludf.DUMMYFUNCTION("""COMPUTED_VALUE"""),"MA-XI.5")</f>
        <v>MA-XI.5</v>
      </c>
      <c r="I31" s="28" t="str">
        <f>IFERROR(__xludf.DUMMYFUNCTION("""COMPUTED_VALUE"""),"SITI MUSLIKAH")</f>
        <v>SITI MUSLIKAH</v>
      </c>
      <c r="J31" s="28" t="str">
        <f>IFERROR(__xludf.DUMMYFUNCTION("""COMPUTED_VALUE"""),"JL. PUTRI AYU SIDOMULYO BABAKBAWO RT 011 RW 004 DUKUN GRESIK")</f>
        <v>JL. PUTRI AYU SIDOMULYO BABAKBAWO RT 011 RW 004 DUKUN GRESIK</v>
      </c>
      <c r="K31" s="28" t="str">
        <f>IFERROR(__xludf.DUMMYFUNCTION("""COMPUTED_VALUE"""),"6281515801313")</f>
        <v>6281515801313</v>
      </c>
      <c r="L31" s="22">
        <f>IFERROR(__xludf.DUMMYFUNCTION("""COMPUTED_VALUE"""),450000.0)</f>
        <v>450000</v>
      </c>
      <c r="M31" s="22">
        <f>IFERROR(__xludf.DUMMYFUNCTION("""COMPUTED_VALUE"""),1000000.0)</f>
        <v>1000000</v>
      </c>
      <c r="N31" s="22">
        <f>IFERROR(__xludf.DUMMYFUNCTION("""COMPUTED_VALUE"""),0.0)</f>
        <v>0</v>
      </c>
      <c r="O31" s="22">
        <f>IFERROR(__xludf.DUMMYFUNCTION("""COMPUTED_VALUE"""),1450000.0)</f>
        <v>1450000</v>
      </c>
      <c r="P31" s="28" t="str">
        <f t="shared" si="1"/>
        <v>LUNAS</v>
      </c>
      <c r="Q31" s="28">
        <f t="shared" si="2"/>
        <v>38</v>
      </c>
      <c r="R31" s="28" t="str">
        <f t="shared" si="3"/>
        <v>SAVA NUR ALFIKA</v>
      </c>
    </row>
    <row r="32">
      <c r="A32" s="27">
        <f>IFERROR(__xludf.DUMMYFUNCTION("""COMPUTED_VALUE"""),31.0)</f>
        <v>31</v>
      </c>
      <c r="B32" s="28" t="str">
        <f>IFERROR(__xludf.DUMMYFUNCTION("""COMPUTED_VALUE"""),"SILAH KAMILAH")</f>
        <v>SILAH KAMILAH</v>
      </c>
      <c r="C32" s="28">
        <f>IFERROR(__xludf.DUMMYFUNCTION("""COMPUTED_VALUE"""),2.025070182E9)</f>
        <v>2025070182</v>
      </c>
      <c r="D32" s="27" t="str">
        <f>IFERROR(__xludf.DUMMYFUNCTION("""COMPUTED_VALUE"""),"C")</f>
        <v>C</v>
      </c>
      <c r="E32" s="27" t="str">
        <f>IFERROR(__xludf.DUMMYFUNCTION("""COMPUTED_VALUE"""),"C-10")</f>
        <v>C-10</v>
      </c>
      <c r="F32" s="31">
        <f>IFERROR(__xludf.DUMMYFUNCTION("""COMPUTED_VALUE"""),2.0)</f>
        <v>2</v>
      </c>
      <c r="G32" s="27" t="str">
        <f>IFERROR(__xludf.DUMMYFUNCTION("""COMPUTED_VALUE"""),"2 WUSTHO C PUTRI")</f>
        <v>2 WUSTHO C PUTRI</v>
      </c>
      <c r="H32" s="28" t="str">
        <f>IFERROR(__xludf.DUMMYFUNCTION("""COMPUTED_VALUE"""),"MA-XI.2")</f>
        <v>MA-XI.2</v>
      </c>
      <c r="I32" s="28" t="str">
        <f>IFERROR(__xludf.DUMMYFUNCTION("""COMPUTED_VALUE"""),"ENDANG MUJIATI")</f>
        <v>ENDANG MUJIATI</v>
      </c>
      <c r="J32" s="28" t="str">
        <f>IFERROR(__xludf.DUMMYFUNCTION("""COMPUTED_VALUE"""),"BUGOHARJO RT 003 RW 005 PUCUK LAMONGAN")</f>
        <v>BUGOHARJO RT 003 RW 005 PUCUK LAMONGAN</v>
      </c>
      <c r="K32" s="28" t="str">
        <f>IFERROR(__xludf.DUMMYFUNCTION("""COMPUTED_VALUE"""),"6285230611819")</f>
        <v>6285230611819</v>
      </c>
      <c r="L32" s="22">
        <f>IFERROR(__xludf.DUMMYFUNCTION("""COMPUTED_VALUE"""),0.0)</f>
        <v>0</v>
      </c>
      <c r="M32" s="22">
        <f>IFERROR(__xludf.DUMMYFUNCTION("""COMPUTED_VALUE"""),0.0)</f>
        <v>0</v>
      </c>
      <c r="N32" s="22">
        <f>IFERROR(__xludf.DUMMYFUNCTION("""COMPUTED_VALUE"""),0.0)</f>
        <v>0</v>
      </c>
      <c r="O32" s="22">
        <f>IFERROR(__xludf.DUMMYFUNCTION("""COMPUTED_VALUE"""),0.0)</f>
        <v>0</v>
      </c>
      <c r="P32" s="28" t="str">
        <f t="shared" si="1"/>
        <v>LUNAS</v>
      </c>
      <c r="Q32" s="28">
        <f t="shared" si="2"/>
        <v>159</v>
      </c>
      <c r="R32" s="28" t="str">
        <f t="shared" si="3"/>
        <v>SILAH KAMILAH</v>
      </c>
    </row>
    <row r="33">
      <c r="A33" s="27">
        <f>IFERROR(__xludf.DUMMYFUNCTION("""COMPUTED_VALUE"""),32.0)</f>
        <v>32</v>
      </c>
      <c r="B33" s="28" t="str">
        <f>IFERROR(__xludf.DUMMYFUNCTION("""COMPUTED_VALUE"""),"SINTA ROBBATUL BARIYAH")</f>
        <v>SINTA ROBBATUL BARIYAH</v>
      </c>
      <c r="C33" s="28">
        <f>IFERROR(__xludf.DUMMYFUNCTION("""COMPUTED_VALUE"""),2.025070292E9)</f>
        <v>2025070292</v>
      </c>
      <c r="D33" s="27" t="str">
        <f>IFERROR(__xludf.DUMMYFUNCTION("""COMPUTED_VALUE"""),"C")</f>
        <v>C</v>
      </c>
      <c r="E33" s="27" t="str">
        <f>IFERROR(__xludf.DUMMYFUNCTION("""COMPUTED_VALUE"""),"C-10")</f>
        <v>C-10</v>
      </c>
      <c r="F33" s="31">
        <f>IFERROR(__xludf.DUMMYFUNCTION("""COMPUTED_VALUE"""),2.0)</f>
        <v>2</v>
      </c>
      <c r="G33" s="27" t="str">
        <f>IFERROR(__xludf.DUMMYFUNCTION("""COMPUTED_VALUE"""),"2 WUSTHO A PUTRI")</f>
        <v>2 WUSTHO A PUTRI</v>
      </c>
      <c r="H33" s="28" t="str">
        <f>IFERROR(__xludf.DUMMYFUNCTION("""COMPUTED_VALUE"""),"MA-XI.4")</f>
        <v>MA-XI.4</v>
      </c>
      <c r="I33" s="28" t="str">
        <f>IFERROR(__xludf.DUMMYFUNCTION("""COMPUTED_VALUE"""),"UMI HANIK")</f>
        <v>UMI HANIK</v>
      </c>
      <c r="J33" s="28" t="str">
        <f>IFERROR(__xludf.DUMMYFUNCTION("""COMPUTED_VALUE"""),"GUNDIK SUKOREJO RT 001 RW 004 KARANGBINANGUN LAMONGAN")</f>
        <v>GUNDIK SUKOREJO RT 001 RW 004 KARANGBINANGUN LAMONGAN</v>
      </c>
      <c r="K33" s="28" t="str">
        <f>IFERROR(__xludf.DUMMYFUNCTION("""COMPUTED_VALUE"""),"6285850178252")</f>
        <v>6285850178252</v>
      </c>
      <c r="L33" s="22">
        <f>IFERROR(__xludf.DUMMYFUNCTION("""COMPUTED_VALUE"""),900000.0)</f>
        <v>900000</v>
      </c>
      <c r="M33" s="22">
        <f>IFERROR(__xludf.DUMMYFUNCTION("""COMPUTED_VALUE"""),1600000.0)</f>
        <v>1600000</v>
      </c>
      <c r="N33" s="22">
        <f>IFERROR(__xludf.DUMMYFUNCTION("""COMPUTED_VALUE"""),0.0)</f>
        <v>0</v>
      </c>
      <c r="O33" s="22">
        <f>IFERROR(__xludf.DUMMYFUNCTION("""COMPUTED_VALUE"""),2500000.0)</f>
        <v>2500000</v>
      </c>
      <c r="P33" s="28" t="str">
        <f t="shared" si="1"/>
        <v>LUNAS</v>
      </c>
      <c r="Q33" s="28">
        <f t="shared" si="2"/>
        <v>21</v>
      </c>
      <c r="R33" s="28" t="str">
        <f t="shared" si="3"/>
        <v>SINTA ROBBATUL BARIYAH</v>
      </c>
    </row>
    <row r="34">
      <c r="A34" s="27">
        <f>IFERROR(__xludf.DUMMYFUNCTION("""COMPUTED_VALUE"""),33.0)</f>
        <v>33</v>
      </c>
      <c r="B34" s="28" t="str">
        <f>IFERROR(__xludf.DUMMYFUNCTION("""COMPUTED_VALUE"""),"SYAHIDA MAULA")</f>
        <v>SYAHIDA MAULA</v>
      </c>
      <c r="C34" s="28">
        <f>IFERROR(__xludf.DUMMYFUNCTION("""COMPUTED_VALUE"""),2.025070279E9)</f>
        <v>2025070279</v>
      </c>
      <c r="D34" s="27" t="str">
        <f>IFERROR(__xludf.DUMMYFUNCTION("""COMPUTED_VALUE"""),"C")</f>
        <v>C</v>
      </c>
      <c r="E34" s="27" t="str">
        <f>IFERROR(__xludf.DUMMYFUNCTION("""COMPUTED_VALUE"""),"C-10")</f>
        <v>C-10</v>
      </c>
      <c r="F34" s="31">
        <f>IFERROR(__xludf.DUMMYFUNCTION("""COMPUTED_VALUE"""),2.0)</f>
        <v>2</v>
      </c>
      <c r="G34" s="27" t="str">
        <f>IFERROR(__xludf.DUMMYFUNCTION("""COMPUTED_VALUE"""),"2 WUSTHO A PUTRI")</f>
        <v>2 WUSTHO A PUTRI</v>
      </c>
      <c r="H34" s="28" t="str">
        <f>IFERROR(__xludf.DUMMYFUNCTION("""COMPUTED_VALUE"""),"MA-XI.3")</f>
        <v>MA-XI.3</v>
      </c>
      <c r="I34" s="28" t="str">
        <f>IFERROR(__xludf.DUMMYFUNCTION("""COMPUTED_VALUE"""),"NURUL MAHMUDAH")</f>
        <v>NURUL MAHMUDAH</v>
      </c>
      <c r="J34" s="28" t="str">
        <f>IFERROR(__xludf.DUMMYFUNCTION("""COMPUTED_VALUE"""),"KARANGREJO RT 008 RW 004 UJUNGPANGKAH GRESIK")</f>
        <v>KARANGREJO RT 008 RW 004 UJUNGPANGKAH GRESIK</v>
      </c>
      <c r="K34" s="28" t="str">
        <f>IFERROR(__xludf.DUMMYFUNCTION("""COMPUTED_VALUE"""),"6281515501631")</f>
        <v>6281515501631</v>
      </c>
      <c r="L34" s="22">
        <f>IFERROR(__xludf.DUMMYFUNCTION("""COMPUTED_VALUE"""),450000.0)</f>
        <v>450000</v>
      </c>
      <c r="M34" s="22">
        <f>IFERROR(__xludf.DUMMYFUNCTION("""COMPUTED_VALUE"""),1000000.0)</f>
        <v>1000000</v>
      </c>
      <c r="N34" s="22">
        <f>IFERROR(__xludf.DUMMYFUNCTION("""COMPUTED_VALUE"""),0.0)</f>
        <v>0</v>
      </c>
      <c r="O34" s="22">
        <f>IFERROR(__xludf.DUMMYFUNCTION("""COMPUTED_VALUE"""),1450000.0)</f>
        <v>1450000</v>
      </c>
      <c r="P34" s="28" t="str">
        <f t="shared" si="1"/>
        <v>LUNAS</v>
      </c>
      <c r="Q34" s="28">
        <f t="shared" si="2"/>
        <v>39</v>
      </c>
      <c r="R34" s="28" t="str">
        <f t="shared" si="3"/>
        <v>SYAHIDA MAULA</v>
      </c>
    </row>
    <row r="35">
      <c r="A35" s="27">
        <f>IFERROR(__xludf.DUMMYFUNCTION("""COMPUTED_VALUE"""),34.0)</f>
        <v>34</v>
      </c>
      <c r="B35" s="28" t="str">
        <f>IFERROR(__xludf.DUMMYFUNCTION("""COMPUTED_VALUE"""),"TRI AMALIYAH NABILA")</f>
        <v>TRI AMALIYAH NABILA</v>
      </c>
      <c r="C35" s="28">
        <f>IFERROR(__xludf.DUMMYFUNCTION("""COMPUTED_VALUE"""),2.025070421E9)</f>
        <v>2025070421</v>
      </c>
      <c r="D35" s="27" t="str">
        <f>IFERROR(__xludf.DUMMYFUNCTION("""COMPUTED_VALUE"""),"C")</f>
        <v>C</v>
      </c>
      <c r="E35" s="27" t="str">
        <f>IFERROR(__xludf.DUMMYFUNCTION("""COMPUTED_VALUE"""),"C-10")</f>
        <v>C-10</v>
      </c>
      <c r="F35" s="31">
        <f>IFERROR(__xludf.DUMMYFUNCTION("""COMPUTED_VALUE"""),2.0)</f>
        <v>2</v>
      </c>
      <c r="G35" s="27" t="str">
        <f>IFERROR(__xludf.DUMMYFUNCTION("""COMPUTED_VALUE"""),"2 WUSTHO C PUTRI")</f>
        <v>2 WUSTHO C PUTRI</v>
      </c>
      <c r="H35" s="28" t="str">
        <f>IFERROR(__xludf.DUMMYFUNCTION("""COMPUTED_VALUE"""),"MA-XI.12")</f>
        <v>MA-XI.12</v>
      </c>
      <c r="I35" s="28" t="str">
        <f>IFERROR(__xludf.DUMMYFUNCTION("""COMPUTED_VALUE"""),"HIDAYATUL FITRIYAH")</f>
        <v>HIDAYATUL FITRIYAH</v>
      </c>
      <c r="J35" s="28" t="str">
        <f>IFERROR(__xludf.DUMMYFUNCTION("""COMPUTED_VALUE"""),"BANYUTENGAH RT 001 RW 001 PANCENG GRESIK")</f>
        <v>BANYUTENGAH RT 001 RW 001 PANCENG GRESIK</v>
      </c>
      <c r="K35" s="28" t="str">
        <f>IFERROR(__xludf.DUMMYFUNCTION("""COMPUTED_VALUE"""),"6282132903669")</f>
        <v>6282132903669</v>
      </c>
      <c r="L35" s="22">
        <f>IFERROR(__xludf.DUMMYFUNCTION("""COMPUTED_VALUE"""),0.0)</f>
        <v>0</v>
      </c>
      <c r="M35" s="22">
        <f>IFERROR(__xludf.DUMMYFUNCTION("""COMPUTED_VALUE"""),0.0)</f>
        <v>0</v>
      </c>
      <c r="N35" s="22">
        <f>IFERROR(__xludf.DUMMYFUNCTION("""COMPUTED_VALUE"""),0.0)</f>
        <v>0</v>
      </c>
      <c r="O35" s="22">
        <f>IFERROR(__xludf.DUMMYFUNCTION("""COMPUTED_VALUE"""),0.0)</f>
        <v>0</v>
      </c>
      <c r="P35" s="28" t="str">
        <f t="shared" si="1"/>
        <v>LUNAS</v>
      </c>
      <c r="Q35" s="28">
        <f t="shared" si="2"/>
        <v>160</v>
      </c>
      <c r="R35" s="28" t="str">
        <f t="shared" si="3"/>
        <v>TRI AMALIYAH NABILA</v>
      </c>
    </row>
    <row r="36">
      <c r="A36" s="27">
        <f>IFERROR(__xludf.DUMMYFUNCTION("""COMPUTED_VALUE"""),35.0)</f>
        <v>35</v>
      </c>
      <c r="B36" s="28" t="str">
        <f>IFERROR(__xludf.DUMMYFUNCTION("""COMPUTED_VALUE"""),"WAKHIDATUL AMELIA")</f>
        <v>WAKHIDATUL AMELIA</v>
      </c>
      <c r="C36" s="28">
        <f>IFERROR(__xludf.DUMMYFUNCTION("""COMPUTED_VALUE"""),2.025070246E9)</f>
        <v>2025070246</v>
      </c>
      <c r="D36" s="27" t="str">
        <f>IFERROR(__xludf.DUMMYFUNCTION("""COMPUTED_VALUE"""),"C")</f>
        <v>C</v>
      </c>
      <c r="E36" s="27" t="str">
        <f>IFERROR(__xludf.DUMMYFUNCTION("""COMPUTED_VALUE"""),"C-10")</f>
        <v>C-10</v>
      </c>
      <c r="F36" s="31">
        <f>IFERROR(__xludf.DUMMYFUNCTION("""COMPUTED_VALUE"""),2.0)</f>
        <v>2</v>
      </c>
      <c r="G36" s="27" t="str">
        <f>IFERROR(__xludf.DUMMYFUNCTION("""COMPUTED_VALUE"""),"2 WUSTHO A PUTRI")</f>
        <v>2 WUSTHO A PUTRI</v>
      </c>
      <c r="H36" s="28" t="str">
        <f>IFERROR(__xludf.DUMMYFUNCTION("""COMPUTED_VALUE"""),"MA-XI.4")</f>
        <v>MA-XI.4</v>
      </c>
      <c r="I36" s="28" t="str">
        <f>IFERROR(__xludf.DUMMYFUNCTION("""COMPUTED_VALUE"""),"MAR`ATUS SHOLIHAH")</f>
        <v>MAR`ATUS SHOLIHAH</v>
      </c>
      <c r="J36" s="28" t="str">
        <f>IFERROR(__xludf.DUMMYFUNCTION("""COMPUTED_VALUE"""),"MUNGSU SUGIHWARAS RT 002 RW 004 KALITENGAH LAMONGAN")</f>
        <v>MUNGSU SUGIHWARAS RT 002 RW 004 KALITENGAH LAMONGAN</v>
      </c>
      <c r="K36" s="28" t="str">
        <f>IFERROR(__xludf.DUMMYFUNCTION("""COMPUTED_VALUE"""),"6285856126328")</f>
        <v>6285856126328</v>
      </c>
      <c r="L36" s="22">
        <f>IFERROR(__xludf.DUMMYFUNCTION("""COMPUTED_VALUE"""),0.0)</f>
        <v>0</v>
      </c>
      <c r="M36" s="22">
        <f>IFERROR(__xludf.DUMMYFUNCTION("""COMPUTED_VALUE"""),1000000.0)</f>
        <v>1000000</v>
      </c>
      <c r="N36" s="22">
        <f>IFERROR(__xludf.DUMMYFUNCTION("""COMPUTED_VALUE"""),0.0)</f>
        <v>0</v>
      </c>
      <c r="O36" s="22">
        <f>IFERROR(__xludf.DUMMYFUNCTION("""COMPUTED_VALUE"""),1000000.0)</f>
        <v>1000000</v>
      </c>
      <c r="P36" s="28" t="str">
        <f t="shared" si="1"/>
        <v>LUNAS</v>
      </c>
      <c r="Q36" s="28">
        <f t="shared" si="2"/>
        <v>67</v>
      </c>
      <c r="R36" s="28" t="str">
        <f t="shared" si="3"/>
        <v>WAKHIDATUL AMELIA</v>
      </c>
    </row>
    <row r="37">
      <c r="A37" s="27">
        <f>IFERROR(__xludf.DUMMYFUNCTION("""COMPUTED_VALUE"""),36.0)</f>
        <v>36</v>
      </c>
      <c r="B37" s="28" t="str">
        <f>IFERROR(__xludf.DUMMYFUNCTION("""COMPUTED_VALUE"""),"ZAKIYATUL MAULIDIYAH")</f>
        <v>ZAKIYATUL MAULIDIYAH</v>
      </c>
      <c r="C37" s="28">
        <f>IFERROR(__xludf.DUMMYFUNCTION("""COMPUTED_VALUE"""),2.025070147E9)</f>
        <v>2025070147</v>
      </c>
      <c r="D37" s="27" t="str">
        <f>IFERROR(__xludf.DUMMYFUNCTION("""COMPUTED_VALUE"""),"C")</f>
        <v>C</v>
      </c>
      <c r="E37" s="27" t="str">
        <f>IFERROR(__xludf.DUMMYFUNCTION("""COMPUTED_VALUE"""),"C-10")</f>
        <v>C-10</v>
      </c>
      <c r="F37" s="31">
        <f>IFERROR(__xludf.DUMMYFUNCTION("""COMPUTED_VALUE"""),2.0)</f>
        <v>2</v>
      </c>
      <c r="G37" s="27" t="str">
        <f>IFERROR(__xludf.DUMMYFUNCTION("""COMPUTED_VALUE"""),"WUSTHO")</f>
        <v>WUSTHO</v>
      </c>
      <c r="H37" s="28" t="str">
        <f>IFERROR(__xludf.DUMMYFUNCTION("""COMPUTED_VALUE"""),"MA-XI.4")</f>
        <v>MA-XI.4</v>
      </c>
      <c r="I37" s="28" t="str">
        <f>IFERROR(__xludf.DUMMYFUNCTION("""COMPUTED_VALUE"""),"SUBAIKAH")</f>
        <v>SUBAIKAH</v>
      </c>
      <c r="J37" s="28" t="str">
        <f>IFERROR(__xludf.DUMMYFUNCTION("""COMPUTED_VALUE"""),"BESUR RT 004 RW 002 SEKARAN LAMONGAN")</f>
        <v>BESUR RT 004 RW 002 SEKARAN LAMONGAN</v>
      </c>
      <c r="K37" s="28" t="str">
        <f>IFERROR(__xludf.DUMMYFUNCTION("""COMPUTED_VALUE"""),"6283121371276")</f>
        <v>6283121371276</v>
      </c>
      <c r="L37" s="22">
        <f>IFERROR(__xludf.DUMMYFUNCTION("""COMPUTED_VALUE"""),0.0)</f>
        <v>0</v>
      </c>
      <c r="M37" s="22">
        <f>IFERROR(__xludf.DUMMYFUNCTION("""COMPUTED_VALUE"""),1000000.0)</f>
        <v>1000000</v>
      </c>
      <c r="N37" s="22">
        <f>IFERROR(__xludf.DUMMYFUNCTION("""COMPUTED_VALUE"""),0.0)</f>
        <v>0</v>
      </c>
      <c r="O37" s="22">
        <f>IFERROR(__xludf.DUMMYFUNCTION("""COMPUTED_VALUE"""),1000000.0)</f>
        <v>1000000</v>
      </c>
      <c r="P37" s="28" t="str">
        <f t="shared" si="1"/>
        <v>LUNAS</v>
      </c>
      <c r="Q37" s="28">
        <f t="shared" si="2"/>
        <v>68</v>
      </c>
      <c r="R37" s="28" t="str">
        <f t="shared" si="3"/>
        <v>ZAKIYATUL MAULIDIYAH</v>
      </c>
    </row>
    <row r="38">
      <c r="A38" s="27">
        <f>IFERROR(__xludf.DUMMYFUNCTION("""COMPUTED_VALUE"""),37.0)</f>
        <v>37</v>
      </c>
      <c r="B38" s="28" t="str">
        <f>IFERROR(__xludf.DUMMYFUNCTION("""COMPUTED_VALUE"""),"ZUYIN NISA AL IZZATI")</f>
        <v>ZUYIN NISA AL IZZATI</v>
      </c>
      <c r="C38" s="28">
        <f>IFERROR(__xludf.DUMMYFUNCTION("""COMPUTED_VALUE"""),2.025070259E9)</f>
        <v>2025070259</v>
      </c>
      <c r="D38" s="27" t="str">
        <f>IFERROR(__xludf.DUMMYFUNCTION("""COMPUTED_VALUE"""),"C")</f>
        <v>C</v>
      </c>
      <c r="E38" s="27" t="str">
        <f>IFERROR(__xludf.DUMMYFUNCTION("""COMPUTED_VALUE"""),"C-10")</f>
        <v>C-10</v>
      </c>
      <c r="F38" s="31">
        <f>IFERROR(__xludf.DUMMYFUNCTION("""COMPUTED_VALUE"""),2.0)</f>
        <v>2</v>
      </c>
      <c r="G38" s="27" t="str">
        <f>IFERROR(__xludf.DUMMYFUNCTION("""COMPUTED_VALUE"""),"2 WUSTHO C PUTRI")</f>
        <v>2 WUSTHO C PUTRI</v>
      </c>
      <c r="H38" s="28" t="str">
        <f>IFERROR(__xludf.DUMMYFUNCTION("""COMPUTED_VALUE"""),"MA-XI.12")</f>
        <v>MA-XI.12</v>
      </c>
      <c r="I38" s="28" t="str">
        <f>IFERROR(__xludf.DUMMYFUNCTION("""COMPUTED_VALUE"""),"NINIK ANISA")</f>
        <v>NINIK ANISA</v>
      </c>
      <c r="J38" s="28" t="str">
        <f>IFERROR(__xludf.DUMMYFUNCTION("""COMPUTED_VALUE"""),"KOMPLEKS APO CAMAT BHAYANGKARA RT 005 RW 004 JAYAPURA UTARA JAYAPURA")</f>
        <v>KOMPLEKS APO CAMAT BHAYANGKARA RT 005 RW 004 JAYAPURA UTARA JAYAPURA</v>
      </c>
      <c r="K38" s="28" t="str">
        <f>IFERROR(__xludf.DUMMYFUNCTION("""COMPUTED_VALUE"""),"6281252554677")</f>
        <v>6281252554677</v>
      </c>
      <c r="L38" s="22">
        <f>IFERROR(__xludf.DUMMYFUNCTION("""COMPUTED_VALUE"""),0.0)</f>
        <v>0</v>
      </c>
      <c r="M38" s="22">
        <f>IFERROR(__xludf.DUMMYFUNCTION("""COMPUTED_VALUE"""),1000000.0)</f>
        <v>1000000</v>
      </c>
      <c r="N38" s="22">
        <f>IFERROR(__xludf.DUMMYFUNCTION("""COMPUTED_VALUE"""),0.0)</f>
        <v>0</v>
      </c>
      <c r="O38" s="22">
        <f>IFERROR(__xludf.DUMMYFUNCTION("""COMPUTED_VALUE"""),1000000.0)</f>
        <v>1000000</v>
      </c>
      <c r="P38" s="28" t="str">
        <f t="shared" si="1"/>
        <v>LUNAS</v>
      </c>
      <c r="Q38" s="28">
        <f t="shared" si="2"/>
        <v>69</v>
      </c>
      <c r="R38" s="28" t="str">
        <f t="shared" si="3"/>
        <v>ZUYIN NISA AL IZZATI</v>
      </c>
    </row>
    <row r="39">
      <c r="A39" s="27">
        <f>IFERROR(__xludf.DUMMYFUNCTION("""COMPUTED_VALUE"""),38.0)</f>
        <v>38</v>
      </c>
      <c r="B39" s="28" t="str">
        <f>IFERROR(__xludf.DUMMYFUNCTION("""COMPUTED_VALUE"""),"XENA AMEERA AZZAHRAH")</f>
        <v>XENA AMEERA AZZAHRAH</v>
      </c>
      <c r="C39" s="28">
        <f>IFERROR(__xludf.DUMMYFUNCTION("""COMPUTED_VALUE"""),2.025070109E9)</f>
        <v>2025070109</v>
      </c>
      <c r="D39" s="27" t="str">
        <f>IFERROR(__xludf.DUMMYFUNCTION("""COMPUTED_VALUE"""),"C")</f>
        <v>C</v>
      </c>
      <c r="E39" s="27" t="str">
        <f>IFERROR(__xludf.DUMMYFUNCTION("""COMPUTED_VALUE"""),"C-10")</f>
        <v>C-10</v>
      </c>
      <c r="F39" s="31">
        <f>IFERROR(__xludf.DUMMYFUNCTION("""COMPUTED_VALUE"""),2.0)</f>
        <v>2</v>
      </c>
      <c r="G39" s="27" t="str">
        <f>IFERROR(__xludf.DUMMYFUNCTION("""COMPUTED_VALUE"""),"2 WUSTHO A PUTRI")</f>
        <v>2 WUSTHO A PUTRI</v>
      </c>
      <c r="H39" s="28" t="str">
        <f>IFERROR(__xludf.DUMMYFUNCTION("""COMPUTED_VALUE"""),"MA-XI.10")</f>
        <v>MA-XI.10</v>
      </c>
      <c r="I39" s="28" t="str">
        <f>IFERROR(__xludf.DUMMYFUNCTION("""COMPUTED_VALUE"""),"NUR AZIZAH")</f>
        <v>NUR AZIZAH</v>
      </c>
      <c r="J39" s="28" t="str">
        <f>IFERROR(__xludf.DUMMYFUNCTION("""COMPUTED_VALUE"""),"KALANGANYAR RT 002 RW 001 KARANGGENENG LAMONGAN")</f>
        <v>KALANGANYAR RT 002 RW 001 KARANGGENENG LAMONGAN</v>
      </c>
      <c r="K39" s="28" t="str">
        <f>IFERROR(__xludf.DUMMYFUNCTION("""COMPUTED_VALUE"""),"6281554218940")</f>
        <v>6281554218940</v>
      </c>
      <c r="L39" s="22">
        <f>IFERROR(__xludf.DUMMYFUNCTION("""COMPUTED_VALUE"""),0.0)</f>
        <v>0</v>
      </c>
      <c r="M39" s="22">
        <f>IFERROR(__xludf.DUMMYFUNCTION("""COMPUTED_VALUE"""),0.0)</f>
        <v>0</v>
      </c>
      <c r="N39" s="22">
        <f>IFERROR(__xludf.DUMMYFUNCTION("""COMPUTED_VALUE"""),0.0)</f>
        <v>0</v>
      </c>
      <c r="O39" s="22">
        <f>IFERROR(__xludf.DUMMYFUNCTION("""COMPUTED_VALUE"""),0.0)</f>
        <v>0</v>
      </c>
      <c r="P39" s="28" t="str">
        <f t="shared" si="1"/>
        <v>LUNAS</v>
      </c>
      <c r="Q39" s="28">
        <f t="shared" si="2"/>
        <v>161</v>
      </c>
      <c r="R39" s="28" t="str">
        <f t="shared" si="3"/>
        <v>XENA AMEERA AZZAHRAH</v>
      </c>
    </row>
    <row r="40">
      <c r="A40" s="27">
        <f>IFERROR(__xludf.DUMMYFUNCTION("""COMPUTED_VALUE"""),39.0)</f>
        <v>39</v>
      </c>
      <c r="B40" s="28" t="str">
        <f>IFERROR(__xludf.DUMMYFUNCTION("""COMPUTED_VALUE"""),"MELI NOVITA SARI")</f>
        <v>MELI NOVITA SARI</v>
      </c>
      <c r="C40" s="28">
        <f>IFERROR(__xludf.DUMMYFUNCTION("""COMPUTED_VALUE"""),2.025070139E9)</f>
        <v>2025070139</v>
      </c>
      <c r="D40" s="27" t="str">
        <f>IFERROR(__xludf.DUMMYFUNCTION("""COMPUTED_VALUE"""),"C")</f>
        <v>C</v>
      </c>
      <c r="E40" s="27" t="str">
        <f>IFERROR(__xludf.DUMMYFUNCTION("""COMPUTED_VALUE"""),"C-10")</f>
        <v>C-10</v>
      </c>
      <c r="F40" s="31">
        <f>IFERROR(__xludf.DUMMYFUNCTION("""COMPUTED_VALUE"""),2.0)</f>
        <v>2</v>
      </c>
      <c r="G40" s="27" t="str">
        <f>IFERROR(__xludf.DUMMYFUNCTION("""COMPUTED_VALUE"""),"2 WUSTHO B PUTRI")</f>
        <v>2 WUSTHO B PUTRI</v>
      </c>
      <c r="H40" s="28" t="str">
        <f>IFERROR(__xludf.DUMMYFUNCTION("""COMPUTED_VALUE"""),"MA-XI.8")</f>
        <v>MA-XI.8</v>
      </c>
      <c r="I40" s="28" t="str">
        <f>IFERROR(__xludf.DUMMYFUNCTION("""COMPUTED_VALUE"""),"KUSNIFATUN")</f>
        <v>KUSNIFATUN</v>
      </c>
      <c r="J40" s="28" t="str">
        <f>IFERROR(__xludf.DUMMYFUNCTION("""COMPUTED_VALUE"""),"TEJOASRI RT 003 RW 001 LAREN LAMONGAN")</f>
        <v>TEJOASRI RT 003 RW 001 LAREN LAMONGAN</v>
      </c>
      <c r="K40" s="28" t="str">
        <f>IFERROR(__xludf.DUMMYFUNCTION("""COMPUTED_VALUE"""),"6281248264920")</f>
        <v>6281248264920</v>
      </c>
      <c r="L40" s="22">
        <f>IFERROR(__xludf.DUMMYFUNCTION("""COMPUTED_VALUE"""),0.0)</f>
        <v>0</v>
      </c>
      <c r="M40" s="22">
        <f>IFERROR(__xludf.DUMMYFUNCTION("""COMPUTED_VALUE"""),0.0)</f>
        <v>0</v>
      </c>
      <c r="N40" s="22">
        <f>IFERROR(__xludf.DUMMYFUNCTION("""COMPUTED_VALUE"""),0.0)</f>
        <v>0</v>
      </c>
      <c r="O40" s="22">
        <f>IFERROR(__xludf.DUMMYFUNCTION("""COMPUTED_VALUE"""),0.0)</f>
        <v>0</v>
      </c>
      <c r="P40" s="28" t="str">
        <f t="shared" si="1"/>
        <v>LUNAS</v>
      </c>
      <c r="Q40" s="28">
        <f t="shared" si="2"/>
        <v>162</v>
      </c>
      <c r="R40" s="28" t="str">
        <f t="shared" si="3"/>
        <v>MELI NOVITA SARI</v>
      </c>
    </row>
    <row r="41">
      <c r="A41" s="27">
        <f>IFERROR(__xludf.DUMMYFUNCTION("""COMPUTED_VALUE"""),40.0)</f>
        <v>40</v>
      </c>
      <c r="B41" s="28" t="str">
        <f>IFERROR(__xludf.DUMMYFUNCTION("""COMPUTED_VALUE"""),"MUTIARA A`IZZANA LUBIS")</f>
        <v>MUTIARA A`IZZANA LUBIS</v>
      </c>
      <c r="C41" s="28">
        <f>IFERROR(__xludf.DUMMYFUNCTION("""COMPUTED_VALUE"""),2.025070313E9)</f>
        <v>2025070313</v>
      </c>
      <c r="D41" s="27" t="str">
        <f>IFERROR(__xludf.DUMMYFUNCTION("""COMPUTED_VALUE"""),"C")</f>
        <v>C</v>
      </c>
      <c r="E41" s="27" t="str">
        <f>IFERROR(__xludf.DUMMYFUNCTION("""COMPUTED_VALUE"""),"C-10")</f>
        <v>C-10</v>
      </c>
      <c r="F41" s="31">
        <f>IFERROR(__xludf.DUMMYFUNCTION("""COMPUTED_VALUE"""),2.0)</f>
        <v>2</v>
      </c>
      <c r="G41" s="27" t="str">
        <f>IFERROR(__xludf.DUMMYFUNCTION("""COMPUTED_VALUE"""),"2 WUSTHO D PUTRI")</f>
        <v>2 WUSTHO D PUTRI</v>
      </c>
      <c r="H41" s="28" t="str">
        <f>IFERROR(__xludf.DUMMYFUNCTION("""COMPUTED_VALUE"""),"MA-XI.12")</f>
        <v>MA-XI.12</v>
      </c>
      <c r="I41" s="28" t="str">
        <f>IFERROR(__xludf.DUMMYFUNCTION("""COMPUTED_VALUE"""),"DIMAS NUR JANNAH")</f>
        <v>DIMAS NUR JANNAH</v>
      </c>
      <c r="J41" s="28" t="str">
        <f>IFERROR(__xludf.DUMMYFUNCTION("""COMPUTED_VALUE"""),"TELUK SUNGAI TELUK RT 000 RW 000 SANGKAPURA GRESIK")</f>
        <v>TELUK SUNGAI TELUK RT 000 RW 000 SANGKAPURA GRESIK</v>
      </c>
      <c r="K41" s="28" t="str">
        <f>IFERROR(__xludf.DUMMYFUNCTION("""COMPUTED_VALUE"""),"6282139709144")</f>
        <v>6282139709144</v>
      </c>
      <c r="L41" s="22">
        <f>IFERROR(__xludf.DUMMYFUNCTION("""COMPUTED_VALUE"""),0.0)</f>
        <v>0</v>
      </c>
      <c r="M41" s="22">
        <f>IFERROR(__xludf.DUMMYFUNCTION("""COMPUTED_VALUE"""),0.0)</f>
        <v>0</v>
      </c>
      <c r="N41" s="22">
        <f>IFERROR(__xludf.DUMMYFUNCTION("""COMPUTED_VALUE"""),0.0)</f>
        <v>0</v>
      </c>
      <c r="O41" s="22">
        <f>IFERROR(__xludf.DUMMYFUNCTION("""COMPUTED_VALUE"""),0.0)</f>
        <v>0</v>
      </c>
      <c r="P41" s="28" t="str">
        <f t="shared" si="1"/>
        <v>LUNAS</v>
      </c>
      <c r="Q41" s="28">
        <f t="shared" si="2"/>
        <v>163</v>
      </c>
      <c r="R41" s="28" t="str">
        <f t="shared" si="3"/>
        <v>MUTIARA A`IZZANA LUBIS</v>
      </c>
    </row>
    <row r="42">
      <c r="A42" s="27">
        <f>IFERROR(__xludf.DUMMYFUNCTION("""COMPUTED_VALUE"""),41.0)</f>
        <v>41</v>
      </c>
      <c r="B42" s="28" t="str">
        <f>IFERROR(__xludf.DUMMYFUNCTION("""COMPUTED_VALUE"""),"ARINI DINA AKMALIYAH")</f>
        <v>ARINI DINA AKMALIYAH</v>
      </c>
      <c r="C42" s="28">
        <f>IFERROR(__xludf.DUMMYFUNCTION("""COMPUTED_VALUE"""),2.025070162E9)</f>
        <v>2025070162</v>
      </c>
      <c r="D42" s="27" t="str">
        <f>IFERROR(__xludf.DUMMYFUNCTION("""COMPUTED_VALUE"""),"C")</f>
        <v>C</v>
      </c>
      <c r="E42" s="27" t="str">
        <f>IFERROR(__xludf.DUMMYFUNCTION("""COMPUTED_VALUE"""),"C-10")</f>
        <v>C-10</v>
      </c>
      <c r="F42" s="31">
        <f>IFERROR(__xludf.DUMMYFUNCTION("""COMPUTED_VALUE"""),2.0)</f>
        <v>2</v>
      </c>
      <c r="G42" s="27" t="str">
        <f>IFERROR(__xludf.DUMMYFUNCTION("""COMPUTED_VALUE"""),"2 WUSTHO A PUTRI")</f>
        <v>2 WUSTHO A PUTRI</v>
      </c>
      <c r="H42" s="28" t="str">
        <f>IFERROR(__xludf.DUMMYFUNCTION("""COMPUTED_VALUE"""),"MA-XI.6")</f>
        <v>MA-XI.6</v>
      </c>
      <c r="I42" s="28" t="str">
        <f>IFERROR(__xludf.DUMMYFUNCTION("""COMPUTED_VALUE"""),"NUR `AINIYAH")</f>
        <v>NUR `AINIYAH</v>
      </c>
      <c r="J42" s="28" t="str">
        <f>IFERROR(__xludf.DUMMYFUNCTION("""COMPUTED_VALUE"""),"KEMLAGIGEDE RT 010 RW 002 TURI LAMONGAN")</f>
        <v>KEMLAGIGEDE RT 010 RW 002 TURI LAMONGAN</v>
      </c>
      <c r="K42" s="28" t="str">
        <f>IFERROR(__xludf.DUMMYFUNCTION("""COMPUTED_VALUE"""),"6285730465502")</f>
        <v>6285730465502</v>
      </c>
      <c r="L42" s="22">
        <f>IFERROR(__xludf.DUMMYFUNCTION("""COMPUTED_VALUE"""),450000.0)</f>
        <v>450000</v>
      </c>
      <c r="M42" s="22">
        <f>IFERROR(__xludf.DUMMYFUNCTION("""COMPUTED_VALUE"""),0.0)</f>
        <v>0</v>
      </c>
      <c r="N42" s="22">
        <f>IFERROR(__xludf.DUMMYFUNCTION("""COMPUTED_VALUE"""),0.0)</f>
        <v>0</v>
      </c>
      <c r="O42" s="22">
        <f>IFERROR(__xludf.DUMMYFUNCTION("""COMPUTED_VALUE"""),450000.0)</f>
        <v>450000</v>
      </c>
      <c r="P42" s="28" t="str">
        <f t="shared" si="1"/>
        <v>LUNAS</v>
      </c>
      <c r="Q42" s="28">
        <f t="shared" si="2"/>
        <v>144</v>
      </c>
      <c r="R42" s="28" t="str">
        <f t="shared" si="3"/>
        <v>ARINI DINA AKMALIYAH</v>
      </c>
    </row>
    <row r="43">
      <c r="A43" s="27">
        <f>IFERROR(__xludf.DUMMYFUNCTION("""COMPUTED_VALUE"""),42.0)</f>
        <v>42</v>
      </c>
      <c r="B43" s="28" t="str">
        <f>IFERROR(__xludf.DUMMYFUNCTION("""COMPUTED_VALUE"""),"NAJWA HANUM PUTRI MAHMUDA")</f>
        <v>NAJWA HANUM PUTRI MAHMUDA</v>
      </c>
      <c r="C43" s="28">
        <f>IFERROR(__xludf.DUMMYFUNCTION("""COMPUTED_VALUE"""),2.023080629E9)</f>
        <v>2023080629</v>
      </c>
      <c r="D43" s="27" t="str">
        <f>IFERROR(__xludf.DUMMYFUNCTION("""COMPUTED_VALUE"""),"C")</f>
        <v>C</v>
      </c>
      <c r="E43" s="27" t="str">
        <f>IFERROR(__xludf.DUMMYFUNCTION("""COMPUTED_VALUE"""),"C-10")</f>
        <v>C-10</v>
      </c>
      <c r="F43" s="31">
        <f>IFERROR(__xludf.DUMMYFUNCTION("""COMPUTED_VALUE"""),2.0)</f>
        <v>2</v>
      </c>
      <c r="G43" s="27" t="str">
        <f>IFERROR(__xludf.DUMMYFUNCTION("""COMPUTED_VALUE"""),"2 WUSTHO C PUTRI")</f>
        <v>2 WUSTHO C PUTRI</v>
      </c>
      <c r="H43" s="28" t="str">
        <f>IFERROR(__xludf.DUMMYFUNCTION("""COMPUTED_VALUE"""),"MA-XI.6")</f>
        <v>MA-XI.6</v>
      </c>
      <c r="I43" s="28" t="str">
        <f>IFERROR(__xludf.DUMMYFUNCTION("""COMPUTED_VALUE"""),"SUKARYA NINGSIH")</f>
        <v>SUKARYA NINGSIH</v>
      </c>
      <c r="J43" s="28" t="str">
        <f>IFERROR(__xludf.DUMMYFUNCTION("""COMPUTED_VALUE"""),"JATISARI JATIRENGGO RT 003 RW 001 GLAGAH LAMONGAN")</f>
        <v>JATISARI JATIRENGGO RT 003 RW 001 GLAGAH LAMONGAN</v>
      </c>
      <c r="K43" s="28" t="str">
        <f>IFERROR(__xludf.DUMMYFUNCTION("""COMPUTED_VALUE"""),"6285748610167")</f>
        <v>6285748610167</v>
      </c>
      <c r="L43" s="22">
        <f>IFERROR(__xludf.DUMMYFUNCTION("""COMPUTED_VALUE"""),0.0)</f>
        <v>0</v>
      </c>
      <c r="M43" s="22">
        <f>IFERROR(__xludf.DUMMYFUNCTION("""COMPUTED_VALUE"""),0.0)</f>
        <v>0</v>
      </c>
      <c r="N43" s="22">
        <f>IFERROR(__xludf.DUMMYFUNCTION("""COMPUTED_VALUE"""),0.0)</f>
        <v>0</v>
      </c>
      <c r="O43" s="22">
        <f>IFERROR(__xludf.DUMMYFUNCTION("""COMPUTED_VALUE"""),0.0)</f>
        <v>0</v>
      </c>
      <c r="P43" s="28" t="str">
        <f t="shared" si="1"/>
        <v>LUNAS</v>
      </c>
      <c r="Q43" s="28">
        <f t="shared" si="2"/>
        <v>164</v>
      </c>
      <c r="R43" s="28" t="str">
        <f t="shared" si="3"/>
        <v>NAJWA HANUM PUTRI MAHMUDA</v>
      </c>
    </row>
    <row r="44">
      <c r="A44" s="27">
        <f>IFERROR(__xludf.DUMMYFUNCTION("""COMPUTED_VALUE"""),43.0)</f>
        <v>43</v>
      </c>
      <c r="B44" s="28" t="str">
        <f>IFERROR(__xludf.DUMMYFUNCTION("""COMPUTED_VALUE"""),"AISYA DWI FITRIANI")</f>
        <v>AISYA DWI FITRIANI</v>
      </c>
      <c r="C44" s="28">
        <f>IFERROR(__xludf.DUMMYFUNCTION("""COMPUTED_VALUE"""),2.025070504E9)</f>
        <v>2025070504</v>
      </c>
      <c r="D44" s="27" t="str">
        <f>IFERROR(__xludf.DUMMYFUNCTION("""COMPUTED_VALUE"""),"C")</f>
        <v>C</v>
      </c>
      <c r="E44" s="27" t="str">
        <f>IFERROR(__xludf.DUMMYFUNCTION("""COMPUTED_VALUE"""),"C-12")</f>
        <v>C-12</v>
      </c>
      <c r="F44" s="31">
        <f>IFERROR(__xludf.DUMMYFUNCTION("""COMPUTED_VALUE"""),2.0)</f>
        <v>2</v>
      </c>
      <c r="G44" s="27" t="str">
        <f>IFERROR(__xludf.DUMMYFUNCTION("""COMPUTED_VALUE"""),"2 ULA C PUTRI")</f>
        <v>2 ULA C PUTRI</v>
      </c>
      <c r="H44" s="28" t="str">
        <f>IFERROR(__xludf.DUMMYFUNCTION("""COMPUTED_VALUE"""),"MTS-8 G")</f>
        <v>MTS-8 G</v>
      </c>
      <c r="I44" s="28" t="str">
        <f>IFERROR(__xludf.DUMMYFUNCTION("""COMPUTED_VALUE"""),"MARJINEM")</f>
        <v>MARJINEM</v>
      </c>
      <c r="J44" s="28" t="str">
        <f>IFERROR(__xludf.DUMMYFUNCTION("""COMPUTED_VALUE"""),"GUNUNG LINGKAS TARAKAN TIMUR RT 006 RW 003  ")</f>
        <v>GUNUNG LINGKAS TARAKAN TIMUR RT 006 RW 003  </v>
      </c>
      <c r="K44" s="28" t="str">
        <f>IFERROR(__xludf.DUMMYFUNCTION("""COMPUTED_VALUE"""),"6281273814498")</f>
        <v>6281273814498</v>
      </c>
      <c r="L44" s="22">
        <f>IFERROR(__xludf.DUMMYFUNCTION("""COMPUTED_VALUE"""),0.0)</f>
        <v>0</v>
      </c>
      <c r="M44" s="22">
        <f>IFERROR(__xludf.DUMMYFUNCTION("""COMPUTED_VALUE"""),1000000.0)</f>
        <v>1000000</v>
      </c>
      <c r="N44" s="22">
        <f>IFERROR(__xludf.DUMMYFUNCTION("""COMPUTED_VALUE"""),0.0)</f>
        <v>0</v>
      </c>
      <c r="O44" s="22">
        <f>IFERROR(__xludf.DUMMYFUNCTION("""COMPUTED_VALUE"""),1000000.0)</f>
        <v>1000000</v>
      </c>
      <c r="P44" s="28" t="str">
        <f t="shared" si="1"/>
        <v>LUNAS</v>
      </c>
      <c r="Q44" s="28">
        <f t="shared" si="2"/>
        <v>70</v>
      </c>
      <c r="R44" s="28" t="str">
        <f t="shared" si="3"/>
        <v>AISYA DWI FITRIANI</v>
      </c>
    </row>
    <row r="45">
      <c r="A45" s="27">
        <f>IFERROR(__xludf.DUMMYFUNCTION("""COMPUTED_VALUE"""),44.0)</f>
        <v>44</v>
      </c>
      <c r="B45" s="28" t="str">
        <f>IFERROR(__xludf.DUMMYFUNCTION("""COMPUTED_VALUE"""),"ASYIFAH KAMILATUN NI`AMI")</f>
        <v>ASYIFAH KAMILATUN NI`AMI</v>
      </c>
      <c r="C45" s="28">
        <f>IFERROR(__xludf.DUMMYFUNCTION("""COMPUTED_VALUE"""),2.025070494E9)</f>
        <v>2025070494</v>
      </c>
      <c r="D45" s="27" t="str">
        <f>IFERROR(__xludf.DUMMYFUNCTION("""COMPUTED_VALUE"""),"C")</f>
        <v>C</v>
      </c>
      <c r="E45" s="27" t="str">
        <f>IFERROR(__xludf.DUMMYFUNCTION("""COMPUTED_VALUE"""),"C-12")</f>
        <v>C-12</v>
      </c>
      <c r="F45" s="31">
        <f>IFERROR(__xludf.DUMMYFUNCTION("""COMPUTED_VALUE"""),2.0)</f>
        <v>2</v>
      </c>
      <c r="G45" s="27" t="str">
        <f>IFERROR(__xludf.DUMMYFUNCTION("""COMPUTED_VALUE"""),"2 ULA B PUTRI")</f>
        <v>2 ULA B PUTRI</v>
      </c>
      <c r="H45" s="28" t="str">
        <f>IFERROR(__xludf.DUMMYFUNCTION("""COMPUTED_VALUE"""),"SMP-VIII A")</f>
        <v>SMP-VIII A</v>
      </c>
      <c r="I45" s="28" t="str">
        <f>IFERROR(__xludf.DUMMYFUNCTION("""COMPUTED_VALUE"""),"ERNA EKONAWATI")</f>
        <v>ERNA EKONAWATI</v>
      </c>
      <c r="J45" s="28" t="str">
        <f>IFERROR(__xludf.DUMMYFUNCTION("""COMPUTED_VALUE"""),"DORO KARANGWEDORO RT 007 RW 003 TURI LAMONGAN")</f>
        <v>DORO KARANGWEDORO RT 007 RW 003 TURI LAMONGAN</v>
      </c>
      <c r="K45" s="28" t="str">
        <f>IFERROR(__xludf.DUMMYFUNCTION("""COMPUTED_VALUE"""),"6285812349021")</f>
        <v>6285812349021</v>
      </c>
      <c r="L45" s="22">
        <f>IFERROR(__xludf.DUMMYFUNCTION("""COMPUTED_VALUE"""),0.0)</f>
        <v>0</v>
      </c>
      <c r="M45" s="22">
        <f>IFERROR(__xludf.DUMMYFUNCTION("""COMPUTED_VALUE"""),1000000.0)</f>
        <v>1000000</v>
      </c>
      <c r="N45" s="22">
        <f>IFERROR(__xludf.DUMMYFUNCTION("""COMPUTED_VALUE"""),0.0)</f>
        <v>0</v>
      </c>
      <c r="O45" s="22">
        <f>IFERROR(__xludf.DUMMYFUNCTION("""COMPUTED_VALUE"""),1000000.0)</f>
        <v>1000000</v>
      </c>
      <c r="P45" s="28" t="str">
        <f t="shared" si="1"/>
        <v>LUNAS</v>
      </c>
      <c r="Q45" s="28">
        <f t="shared" si="2"/>
        <v>71</v>
      </c>
      <c r="R45" s="28" t="str">
        <f t="shared" si="3"/>
        <v>ASYIFAH KAMILATUN NI`AMI</v>
      </c>
    </row>
    <row r="46">
      <c r="A46" s="27">
        <f>IFERROR(__xludf.DUMMYFUNCTION("""COMPUTED_VALUE"""),45.0)</f>
        <v>45</v>
      </c>
      <c r="B46" s="28" t="str">
        <f>IFERROR(__xludf.DUMMYFUNCTION("""COMPUTED_VALUE"""),"AULIA SARAH RAHMAWATI")</f>
        <v>AULIA SARAH RAHMAWATI</v>
      </c>
      <c r="C46" s="28">
        <f>IFERROR(__xludf.DUMMYFUNCTION("""COMPUTED_VALUE"""),2.025070561E9)</f>
        <v>2025070561</v>
      </c>
      <c r="D46" s="27" t="str">
        <f>IFERROR(__xludf.DUMMYFUNCTION("""COMPUTED_VALUE"""),"C")</f>
        <v>C</v>
      </c>
      <c r="E46" s="27" t="str">
        <f>IFERROR(__xludf.DUMMYFUNCTION("""COMPUTED_VALUE"""),"C-12")</f>
        <v>C-12</v>
      </c>
      <c r="F46" s="31">
        <f>IFERROR(__xludf.DUMMYFUNCTION("""COMPUTED_VALUE"""),2.0)</f>
        <v>2</v>
      </c>
      <c r="G46" s="27" t="str">
        <f>IFERROR(__xludf.DUMMYFUNCTION("""COMPUTED_VALUE"""),"2 ULA B PUTRI")</f>
        <v>2 ULA B PUTRI</v>
      </c>
      <c r="H46" s="28" t="str">
        <f>IFERROR(__xludf.DUMMYFUNCTION("""COMPUTED_VALUE"""),"MTS-8 G")</f>
        <v>MTS-8 G</v>
      </c>
      <c r="I46" s="28" t="str">
        <f>IFERROR(__xludf.DUMMYFUNCTION("""COMPUTED_VALUE"""),"RUPIATUN")</f>
        <v>RUPIATUN</v>
      </c>
      <c r="J46" s="28" t="str">
        <f>IFERROR(__xludf.DUMMYFUNCTION("""COMPUTED_VALUE"""),"KEDIREN RT 002 RW 001 KALITENGAH LAMONGAN")</f>
        <v>KEDIREN RT 002 RW 001 KALITENGAH LAMONGAN</v>
      </c>
      <c r="K46" s="28" t="str">
        <f>IFERROR(__xludf.DUMMYFUNCTION("""COMPUTED_VALUE"""),"6285804221107")</f>
        <v>6285804221107</v>
      </c>
      <c r="L46" s="22">
        <f>IFERROR(__xludf.DUMMYFUNCTION("""COMPUTED_VALUE"""),0.0)</f>
        <v>0</v>
      </c>
      <c r="M46" s="22">
        <f>IFERROR(__xludf.DUMMYFUNCTION("""COMPUTED_VALUE"""),1000000.0)</f>
        <v>1000000</v>
      </c>
      <c r="N46" s="22">
        <f>IFERROR(__xludf.DUMMYFUNCTION("""COMPUTED_VALUE"""),0.0)</f>
        <v>0</v>
      </c>
      <c r="O46" s="22">
        <f>IFERROR(__xludf.DUMMYFUNCTION("""COMPUTED_VALUE"""),1000000.0)</f>
        <v>1000000</v>
      </c>
      <c r="P46" s="28" t="str">
        <f t="shared" si="1"/>
        <v>LUNAS</v>
      </c>
      <c r="Q46" s="28">
        <f t="shared" si="2"/>
        <v>72</v>
      </c>
      <c r="R46" s="28" t="str">
        <f t="shared" si="3"/>
        <v>AULIA SARAH RAHMAWATI</v>
      </c>
    </row>
    <row r="47">
      <c r="A47" s="27">
        <f>IFERROR(__xludf.DUMMYFUNCTION("""COMPUTED_VALUE"""),46.0)</f>
        <v>46</v>
      </c>
      <c r="B47" s="28" t="str">
        <f>IFERROR(__xludf.DUMMYFUNCTION("""COMPUTED_VALUE"""),"AULIYA QONITA ALMAIRA")</f>
        <v>AULIYA QONITA ALMAIRA</v>
      </c>
      <c r="C47" s="28">
        <f>IFERROR(__xludf.DUMMYFUNCTION("""COMPUTED_VALUE"""),2.025070547E9)</f>
        <v>2025070547</v>
      </c>
      <c r="D47" s="27" t="str">
        <f>IFERROR(__xludf.DUMMYFUNCTION("""COMPUTED_VALUE"""),"C")</f>
        <v>C</v>
      </c>
      <c r="E47" s="27" t="str">
        <f>IFERROR(__xludf.DUMMYFUNCTION("""COMPUTED_VALUE"""),"C-12")</f>
        <v>C-12</v>
      </c>
      <c r="F47" s="31">
        <f>IFERROR(__xludf.DUMMYFUNCTION("""COMPUTED_VALUE"""),2.0)</f>
        <v>2</v>
      </c>
      <c r="G47" s="27" t="str">
        <f>IFERROR(__xludf.DUMMYFUNCTION("""COMPUTED_VALUE"""),"2 ULA B PUTRI")</f>
        <v>2 ULA B PUTRI</v>
      </c>
      <c r="H47" s="28" t="str">
        <f>IFERROR(__xludf.DUMMYFUNCTION("""COMPUTED_VALUE"""),"MTS-8 B")</f>
        <v>MTS-8 B</v>
      </c>
      <c r="I47" s="28" t="str">
        <f>IFERROR(__xludf.DUMMYFUNCTION("""COMPUTED_VALUE"""),"MUSLICHAH")</f>
        <v>MUSLICHAH</v>
      </c>
      <c r="J47" s="28" t="str">
        <f>IFERROR(__xludf.DUMMYFUNCTION("""COMPUTED_VALUE"""),"BADU BADURAME RT 001 RW 004 TURI LAMONGAN")</f>
        <v>BADU BADURAME RT 001 RW 004 TURI LAMONGAN</v>
      </c>
      <c r="K47" s="28" t="str">
        <f>IFERROR(__xludf.DUMMYFUNCTION("""COMPUTED_VALUE"""),"6283870992471")</f>
        <v>6283870992471</v>
      </c>
      <c r="L47" s="22">
        <f>IFERROR(__xludf.DUMMYFUNCTION("""COMPUTED_VALUE"""),450000.0)</f>
        <v>450000</v>
      </c>
      <c r="M47" s="22">
        <f>IFERROR(__xludf.DUMMYFUNCTION("""COMPUTED_VALUE"""),1000000.0)</f>
        <v>1000000</v>
      </c>
      <c r="N47" s="22">
        <f>IFERROR(__xludf.DUMMYFUNCTION("""COMPUTED_VALUE"""),0.0)</f>
        <v>0</v>
      </c>
      <c r="O47" s="22">
        <f>IFERROR(__xludf.DUMMYFUNCTION("""COMPUTED_VALUE"""),1450000.0)</f>
        <v>1450000</v>
      </c>
      <c r="P47" s="28" t="str">
        <f t="shared" si="1"/>
        <v>LUNAS</v>
      </c>
      <c r="Q47" s="28">
        <f t="shared" si="2"/>
        <v>40</v>
      </c>
      <c r="R47" s="28" t="str">
        <f t="shared" si="3"/>
        <v>AULIYA QONITA ALMAIRA</v>
      </c>
    </row>
    <row r="48">
      <c r="A48" s="27">
        <f>IFERROR(__xludf.DUMMYFUNCTION("""COMPUTED_VALUE"""),47.0)</f>
        <v>47</v>
      </c>
      <c r="B48" s="28" t="str">
        <f>IFERROR(__xludf.DUMMYFUNCTION("""COMPUTED_VALUE"""),"AZZA ULFHIEYANNA FATYYN")</f>
        <v>AZZA ULFHIEYANNA FATYYN</v>
      </c>
      <c r="C48" s="28">
        <f>IFERROR(__xludf.DUMMYFUNCTION("""COMPUTED_VALUE"""),2.025070565E9)</f>
        <v>2025070565</v>
      </c>
      <c r="D48" s="27" t="str">
        <f>IFERROR(__xludf.DUMMYFUNCTION("""COMPUTED_VALUE"""),"C")</f>
        <v>C</v>
      </c>
      <c r="E48" s="27" t="str">
        <f>IFERROR(__xludf.DUMMYFUNCTION("""COMPUTED_VALUE"""),"C-12")</f>
        <v>C-12</v>
      </c>
      <c r="F48" s="31">
        <f>IFERROR(__xludf.DUMMYFUNCTION("""COMPUTED_VALUE"""),2.0)</f>
        <v>2</v>
      </c>
      <c r="G48" s="27" t="str">
        <f>IFERROR(__xludf.DUMMYFUNCTION("""COMPUTED_VALUE"""),"2 ULA C PUTRI")</f>
        <v>2 ULA C PUTRI</v>
      </c>
      <c r="H48" s="28" t="str">
        <f>IFERROR(__xludf.DUMMYFUNCTION("""COMPUTED_VALUE"""),"MTS-8 F")</f>
        <v>MTS-8 F</v>
      </c>
      <c r="I48" s="28" t="str">
        <f>IFERROR(__xludf.DUMMYFUNCTION("""COMPUTED_VALUE"""),"KARIYANTI")</f>
        <v>KARIYANTI</v>
      </c>
      <c r="J48" s="28" t="str">
        <f>IFERROR(__xludf.DUMMYFUNCTION("""COMPUTED_VALUE"""),"KEDIREN RT 001 RW 001 KALITENGAH LAMONGAN")</f>
        <v>KEDIREN RT 001 RW 001 KALITENGAH LAMONGAN</v>
      </c>
      <c r="K48" s="28" t="str">
        <f>IFERROR(__xludf.DUMMYFUNCTION("""COMPUTED_VALUE"""),"6285785367894")</f>
        <v>6285785367894</v>
      </c>
      <c r="L48" s="22">
        <f>IFERROR(__xludf.DUMMYFUNCTION("""COMPUTED_VALUE"""),0.0)</f>
        <v>0</v>
      </c>
      <c r="M48" s="22">
        <f>IFERROR(__xludf.DUMMYFUNCTION("""COMPUTED_VALUE"""),0.0)</f>
        <v>0</v>
      </c>
      <c r="N48" s="22">
        <f>IFERROR(__xludf.DUMMYFUNCTION("""COMPUTED_VALUE"""),0.0)</f>
        <v>0</v>
      </c>
      <c r="O48" s="22">
        <f>IFERROR(__xludf.DUMMYFUNCTION("""COMPUTED_VALUE"""),0.0)</f>
        <v>0</v>
      </c>
      <c r="P48" s="28" t="str">
        <f t="shared" si="1"/>
        <v>LUNAS</v>
      </c>
      <c r="Q48" s="28">
        <f t="shared" si="2"/>
        <v>165</v>
      </c>
      <c r="R48" s="28" t="str">
        <f t="shared" si="3"/>
        <v>AZZA ULFHIEYANNA FATYYN</v>
      </c>
    </row>
    <row r="49">
      <c r="A49" s="27">
        <f>IFERROR(__xludf.DUMMYFUNCTION("""COMPUTED_VALUE"""),48.0)</f>
        <v>48</v>
      </c>
      <c r="B49" s="28" t="str">
        <f>IFERROR(__xludf.DUMMYFUNCTION("""COMPUTED_VALUE"""),"BUNGA OKTAVIA SASKIA")</f>
        <v>BUNGA OKTAVIA SASKIA</v>
      </c>
      <c r="C49" s="28">
        <f>IFERROR(__xludf.DUMMYFUNCTION("""COMPUTED_VALUE"""),2.025070622E9)</f>
        <v>2025070622</v>
      </c>
      <c r="D49" s="27" t="str">
        <f>IFERROR(__xludf.DUMMYFUNCTION("""COMPUTED_VALUE"""),"C")</f>
        <v>C</v>
      </c>
      <c r="E49" s="27" t="str">
        <f>IFERROR(__xludf.DUMMYFUNCTION("""COMPUTED_VALUE"""),"C-12")</f>
        <v>C-12</v>
      </c>
      <c r="F49" s="31">
        <f>IFERROR(__xludf.DUMMYFUNCTION("""COMPUTED_VALUE"""),2.0)</f>
        <v>2</v>
      </c>
      <c r="G49" s="27" t="str">
        <f>IFERROR(__xludf.DUMMYFUNCTION("""COMPUTED_VALUE"""),"2 ULA C PUTRI")</f>
        <v>2 ULA C PUTRI</v>
      </c>
      <c r="H49" s="28" t="str">
        <f>IFERROR(__xludf.DUMMYFUNCTION("""COMPUTED_VALUE"""),"MTS-8 D")</f>
        <v>MTS-8 D</v>
      </c>
      <c r="I49" s="28" t="str">
        <f>IFERROR(__xludf.DUMMYFUNCTION("""COMPUTED_VALUE"""),"SITI UMAYAH")</f>
        <v>SITI UMAYAH</v>
      </c>
      <c r="J49" s="28" t="str">
        <f>IFERROR(__xludf.DUMMYFUNCTION("""COMPUTED_VALUE"""),"UJUNG KRAWANG PULO GEBANG RT 009 RW 005 CAKUNG JAKARTA TIMUR")</f>
        <v>UJUNG KRAWANG PULO GEBANG RT 009 RW 005 CAKUNG JAKARTA TIMUR</v>
      </c>
      <c r="K49" s="28" t="str">
        <f>IFERROR(__xludf.DUMMYFUNCTION("""COMPUTED_VALUE"""),"6282334563206")</f>
        <v>6282334563206</v>
      </c>
      <c r="L49" s="22">
        <f>IFERROR(__xludf.DUMMYFUNCTION("""COMPUTED_VALUE"""),450000.0)</f>
        <v>450000</v>
      </c>
      <c r="M49" s="22">
        <f>IFERROR(__xludf.DUMMYFUNCTION("""COMPUTED_VALUE"""),1000000.0)</f>
        <v>1000000</v>
      </c>
      <c r="N49" s="22">
        <f>IFERROR(__xludf.DUMMYFUNCTION("""COMPUTED_VALUE"""),0.0)</f>
        <v>0</v>
      </c>
      <c r="O49" s="22">
        <f>IFERROR(__xludf.DUMMYFUNCTION("""COMPUTED_VALUE"""),1450000.0)</f>
        <v>1450000</v>
      </c>
      <c r="P49" s="28" t="str">
        <f t="shared" si="1"/>
        <v>LUNAS</v>
      </c>
      <c r="Q49" s="28">
        <f t="shared" si="2"/>
        <v>41</v>
      </c>
      <c r="R49" s="28" t="str">
        <f t="shared" si="3"/>
        <v>BUNGA OKTAVIA SASKIA</v>
      </c>
    </row>
    <row r="50">
      <c r="A50" s="27">
        <f>IFERROR(__xludf.DUMMYFUNCTION("""COMPUTED_VALUE"""),49.0)</f>
        <v>49</v>
      </c>
      <c r="B50" s="28" t="str">
        <f>IFERROR(__xludf.DUMMYFUNCTION("""COMPUTED_VALUE"""),"NADIA LATISHA PUTRI JUNAIDI")</f>
        <v>NADIA LATISHA PUTRI JUNAIDI</v>
      </c>
      <c r="C50" s="28">
        <f>IFERROR(__xludf.DUMMYFUNCTION("""COMPUTED_VALUE"""),2.025070562E9)</f>
        <v>2025070562</v>
      </c>
      <c r="D50" s="27" t="str">
        <f>IFERROR(__xludf.DUMMYFUNCTION("""COMPUTED_VALUE"""),"C")</f>
        <v>C</v>
      </c>
      <c r="E50" s="27" t="str">
        <f>IFERROR(__xludf.DUMMYFUNCTION("""COMPUTED_VALUE"""),"C-12")</f>
        <v>C-12</v>
      </c>
      <c r="F50" s="31">
        <f>IFERROR(__xludf.DUMMYFUNCTION("""COMPUTED_VALUE"""),2.0)</f>
        <v>2</v>
      </c>
      <c r="G50" s="27" t="str">
        <f>IFERROR(__xludf.DUMMYFUNCTION("""COMPUTED_VALUE"""),"2 ULA B PUTRI")</f>
        <v>2 ULA B PUTRI</v>
      </c>
      <c r="H50" s="28" t="str">
        <f>IFERROR(__xludf.DUMMYFUNCTION("""COMPUTED_VALUE"""),"MTS-8 E")</f>
        <v>MTS-8 E</v>
      </c>
      <c r="I50" s="28" t="str">
        <f>IFERROR(__xludf.DUMMYFUNCTION("""COMPUTED_VALUE"""),"SUNADA")</f>
        <v>SUNADA</v>
      </c>
      <c r="J50" s="28" t="str">
        <f>IFERROR(__xludf.DUMMYFUNCTION("""COMPUTED_VALUE"""),"KEDIREN RT 002 RW 002 KALITENGAH LAMONGAN")</f>
        <v>KEDIREN RT 002 RW 002 KALITENGAH LAMONGAN</v>
      </c>
      <c r="K50" s="28" t="str">
        <f>IFERROR(__xludf.DUMMYFUNCTION("""COMPUTED_VALUE"""),"6285804145415")</f>
        <v>6285804145415</v>
      </c>
      <c r="L50" s="22">
        <f>IFERROR(__xludf.DUMMYFUNCTION("""COMPUTED_VALUE"""),0.0)</f>
        <v>0</v>
      </c>
      <c r="M50" s="22">
        <f>IFERROR(__xludf.DUMMYFUNCTION("""COMPUTED_VALUE"""),1000000.0)</f>
        <v>1000000</v>
      </c>
      <c r="N50" s="22">
        <f>IFERROR(__xludf.DUMMYFUNCTION("""COMPUTED_VALUE"""),0.0)</f>
        <v>0</v>
      </c>
      <c r="O50" s="22">
        <f>IFERROR(__xludf.DUMMYFUNCTION("""COMPUTED_VALUE"""),1000000.0)</f>
        <v>1000000</v>
      </c>
      <c r="P50" s="28" t="str">
        <f t="shared" si="1"/>
        <v>LUNAS</v>
      </c>
      <c r="Q50" s="28">
        <f t="shared" si="2"/>
        <v>73</v>
      </c>
      <c r="R50" s="28" t="str">
        <f t="shared" si="3"/>
        <v>NADIA LATISHA PUTRI JUNAIDI</v>
      </c>
    </row>
    <row r="51">
      <c r="A51" s="27">
        <f>IFERROR(__xludf.DUMMYFUNCTION("""COMPUTED_VALUE"""),50.0)</f>
        <v>50</v>
      </c>
      <c r="B51" s="28" t="str">
        <f>IFERROR(__xludf.DUMMYFUNCTION("""COMPUTED_VALUE"""),"NAFI`ATUL HAKIMAH")</f>
        <v>NAFI`ATUL HAKIMAH</v>
      </c>
      <c r="C51" s="28">
        <f>IFERROR(__xludf.DUMMYFUNCTION("""COMPUTED_VALUE"""),2.025070495E9)</f>
        <v>2025070495</v>
      </c>
      <c r="D51" s="27" t="str">
        <f>IFERROR(__xludf.DUMMYFUNCTION("""COMPUTED_VALUE"""),"C")</f>
        <v>C</v>
      </c>
      <c r="E51" s="27" t="str">
        <f>IFERROR(__xludf.DUMMYFUNCTION("""COMPUTED_VALUE"""),"C-12")</f>
        <v>C-12</v>
      </c>
      <c r="F51" s="31">
        <f>IFERROR(__xludf.DUMMYFUNCTION("""COMPUTED_VALUE"""),2.0)</f>
        <v>2</v>
      </c>
      <c r="G51" s="27" t="str">
        <f>IFERROR(__xludf.DUMMYFUNCTION("""COMPUTED_VALUE"""),"2 ULA C PUTRI")</f>
        <v>2 ULA C PUTRI</v>
      </c>
      <c r="H51" s="28" t="str">
        <f>IFERROR(__xludf.DUMMYFUNCTION("""COMPUTED_VALUE"""),"SMP-VIII A")</f>
        <v>SMP-VIII A</v>
      </c>
      <c r="I51" s="28" t="str">
        <f>IFERROR(__xludf.DUMMYFUNCTION("""COMPUTED_VALUE"""),"SITI MIFTAHUR ROHMAH")</f>
        <v>SITI MIFTAHUR ROHMAH</v>
      </c>
      <c r="J51" s="28" t="str">
        <f>IFERROR(__xludf.DUMMYFUNCTION("""COMPUTED_VALUE"""),"DORO KARANGWEDORO RT 004 RW 002 TURI LAMONGAN")</f>
        <v>DORO KARANGWEDORO RT 004 RW 002 TURI LAMONGAN</v>
      </c>
      <c r="K51" s="28" t="str">
        <f>IFERROR(__xludf.DUMMYFUNCTION("""COMPUTED_VALUE"""),"6285853062087")</f>
        <v>6285853062087</v>
      </c>
      <c r="L51" s="22">
        <f>IFERROR(__xludf.DUMMYFUNCTION("""COMPUTED_VALUE"""),0.0)</f>
        <v>0</v>
      </c>
      <c r="M51" s="22">
        <f>IFERROR(__xludf.DUMMYFUNCTION("""COMPUTED_VALUE"""),1000000.0)</f>
        <v>1000000</v>
      </c>
      <c r="N51" s="22">
        <f>IFERROR(__xludf.DUMMYFUNCTION("""COMPUTED_VALUE"""),0.0)</f>
        <v>0</v>
      </c>
      <c r="O51" s="22">
        <f>IFERROR(__xludf.DUMMYFUNCTION("""COMPUTED_VALUE"""),1000000.0)</f>
        <v>1000000</v>
      </c>
      <c r="P51" s="28" t="str">
        <f t="shared" si="1"/>
        <v>LUNAS</v>
      </c>
      <c r="Q51" s="28">
        <f t="shared" si="2"/>
        <v>74</v>
      </c>
      <c r="R51" s="28" t="str">
        <f t="shared" si="3"/>
        <v>NAFI`ATUL HAKIMAH</v>
      </c>
    </row>
    <row r="52">
      <c r="A52" s="27">
        <f>IFERROR(__xludf.DUMMYFUNCTION("""COMPUTED_VALUE"""),51.0)</f>
        <v>51</v>
      </c>
      <c r="B52" s="28" t="str">
        <f>IFERROR(__xludf.DUMMYFUNCTION("""COMPUTED_VALUE"""),"TRIAS NABILA ARCHIDEA SYARIFAH")</f>
        <v>TRIAS NABILA ARCHIDEA SYARIFAH</v>
      </c>
      <c r="C52" s="28">
        <f>IFERROR(__xludf.DUMMYFUNCTION("""COMPUTED_VALUE"""),2.02507056E9)</f>
        <v>2025070560</v>
      </c>
      <c r="D52" s="27" t="str">
        <f>IFERROR(__xludf.DUMMYFUNCTION("""COMPUTED_VALUE"""),"C")</f>
        <v>C</v>
      </c>
      <c r="E52" s="27" t="str">
        <f>IFERROR(__xludf.DUMMYFUNCTION("""COMPUTED_VALUE"""),"C-12")</f>
        <v>C-12</v>
      </c>
      <c r="F52" s="31">
        <f>IFERROR(__xludf.DUMMYFUNCTION("""COMPUTED_VALUE"""),2.0)</f>
        <v>2</v>
      </c>
      <c r="G52" s="27" t="str">
        <f>IFERROR(__xludf.DUMMYFUNCTION("""COMPUTED_VALUE"""),"ULA")</f>
        <v>ULA</v>
      </c>
      <c r="H52" s="28" t="str">
        <f>IFERROR(__xludf.DUMMYFUNCTION("""COMPUTED_VALUE"""),"MTS-8 G")</f>
        <v>MTS-8 G</v>
      </c>
      <c r="I52" s="28" t="str">
        <f>IFERROR(__xludf.DUMMYFUNCTION("""COMPUTED_VALUE"""),"ERRY MURNIASIH")</f>
        <v>ERRY MURNIASIH</v>
      </c>
      <c r="J52" s="28" t="str">
        <f>IFERROR(__xludf.DUMMYFUNCTION("""COMPUTED_VALUE"""),"KEDIREN RT 004 RW 001 KALITENGAH LAMONGAN")</f>
        <v>KEDIREN RT 004 RW 001 KALITENGAH LAMONGAN</v>
      </c>
      <c r="K52" s="28" t="str">
        <f>IFERROR(__xludf.DUMMYFUNCTION("""COMPUTED_VALUE"""),"6285731727960")</f>
        <v>6285731727960</v>
      </c>
      <c r="L52" s="22">
        <f>IFERROR(__xludf.DUMMYFUNCTION("""COMPUTED_VALUE"""),0.0)</f>
        <v>0</v>
      </c>
      <c r="M52" s="22">
        <f>IFERROR(__xludf.DUMMYFUNCTION("""COMPUTED_VALUE"""),1000000.0)</f>
        <v>1000000</v>
      </c>
      <c r="N52" s="22">
        <f>IFERROR(__xludf.DUMMYFUNCTION("""COMPUTED_VALUE"""),0.0)</f>
        <v>0</v>
      </c>
      <c r="O52" s="22">
        <f>IFERROR(__xludf.DUMMYFUNCTION("""COMPUTED_VALUE"""),1000000.0)</f>
        <v>1000000</v>
      </c>
      <c r="P52" s="28" t="str">
        <f t="shared" si="1"/>
        <v>LUNAS</v>
      </c>
      <c r="Q52" s="28">
        <f t="shared" si="2"/>
        <v>75</v>
      </c>
      <c r="R52" s="28" t="str">
        <f t="shared" si="3"/>
        <v>TRIAS NABILA ARCHIDEA SYARIFAH</v>
      </c>
    </row>
    <row r="53">
      <c r="A53" s="27">
        <f>IFERROR(__xludf.DUMMYFUNCTION("""COMPUTED_VALUE"""),52.0)</f>
        <v>52</v>
      </c>
      <c r="B53" s="28" t="str">
        <f>IFERROR(__xludf.DUMMYFUNCTION("""COMPUTED_VALUE"""),"RIA RESTY TRI UTAMI")</f>
        <v>RIA RESTY TRI UTAMI</v>
      </c>
      <c r="C53" s="28">
        <f>IFERROR(__xludf.DUMMYFUNCTION("""COMPUTED_VALUE"""),2.025090673E9)</f>
        <v>2025090673</v>
      </c>
      <c r="D53" s="27" t="str">
        <f>IFERROR(__xludf.DUMMYFUNCTION("""COMPUTED_VALUE"""),"C")</f>
        <v>C</v>
      </c>
      <c r="E53" s="27" t="str">
        <f>IFERROR(__xludf.DUMMYFUNCTION("""COMPUTED_VALUE"""),"C-12")</f>
        <v>C-12</v>
      </c>
      <c r="F53" s="31">
        <f>IFERROR(__xludf.DUMMYFUNCTION("""COMPUTED_VALUE"""),2.0)</f>
        <v>2</v>
      </c>
      <c r="G53" s="27" t="str">
        <f>IFERROR(__xludf.DUMMYFUNCTION("""COMPUTED_VALUE"""),"2 ULA B PUTRI")</f>
        <v>2 ULA B PUTRI</v>
      </c>
      <c r="H53" s="28" t="str">
        <f>IFERROR(__xludf.DUMMYFUNCTION("""COMPUTED_VALUE"""),"#N/A")</f>
        <v>#N/A</v>
      </c>
      <c r="I53" s="28" t="str">
        <f>IFERROR(__xludf.DUMMYFUNCTION("""COMPUTED_VALUE"""),"SUBAIAH")</f>
        <v>SUBAIAH</v>
      </c>
      <c r="J53" s="28" t="str">
        <f>IFERROR(__xludf.DUMMYFUNCTION("""COMPUTED_VALUE"""),"KARANGBOYO RT 010 RW 004 KARANGWEDORO TURI LAMONGAN")</f>
        <v>KARANGBOYO RT 010 RW 004 KARANGWEDORO TURI LAMONGAN</v>
      </c>
      <c r="K53" s="28" t="str">
        <f>IFERROR(__xludf.DUMMYFUNCTION("""COMPUTED_VALUE"""),"6285815946929")</f>
        <v>6285815946929</v>
      </c>
      <c r="L53" s="22">
        <f>IFERROR(__xludf.DUMMYFUNCTION("""COMPUTED_VALUE"""),0.0)</f>
        <v>0</v>
      </c>
      <c r="M53" s="22">
        <f>IFERROR(__xludf.DUMMYFUNCTION("""COMPUTED_VALUE"""),500000.0)</f>
        <v>500000</v>
      </c>
      <c r="N53" s="22">
        <f>IFERROR(__xludf.DUMMYFUNCTION("""COMPUTED_VALUE"""),0.0)</f>
        <v>0</v>
      </c>
      <c r="O53" s="22">
        <f>IFERROR(__xludf.DUMMYFUNCTION("""COMPUTED_VALUE"""),500000.0)</f>
        <v>500000</v>
      </c>
      <c r="P53" s="28" t="str">
        <f t="shared" si="1"/>
        <v>LUNAS</v>
      </c>
      <c r="Q53" s="28">
        <f t="shared" si="2"/>
        <v>124</v>
      </c>
      <c r="R53" s="28" t="str">
        <f t="shared" si="3"/>
        <v>RIA RESTY TRI UTAMI</v>
      </c>
    </row>
    <row r="54">
      <c r="A54" s="27">
        <f>IFERROR(__xludf.DUMMYFUNCTION("""COMPUTED_VALUE"""),53.0)</f>
        <v>53</v>
      </c>
      <c r="B54" s="28" t="str">
        <f>IFERROR(__xludf.DUMMYFUNCTION("""COMPUTED_VALUE"""),"ADELIA YULIANTI PUTRI")</f>
        <v>ADELIA YULIANTI PUTRI</v>
      </c>
      <c r="C54" s="28">
        <f>IFERROR(__xludf.DUMMYFUNCTION("""COMPUTED_VALUE"""),2.024070492E9)</f>
        <v>2024070492</v>
      </c>
      <c r="D54" s="27" t="str">
        <f>IFERROR(__xludf.DUMMYFUNCTION("""COMPUTED_VALUE"""),"C")</f>
        <v>C</v>
      </c>
      <c r="E54" s="27" t="str">
        <f>IFERROR(__xludf.DUMMYFUNCTION("""COMPUTED_VALUE"""),"C-12")</f>
        <v>C-12</v>
      </c>
      <c r="F54" s="31">
        <f>IFERROR(__xludf.DUMMYFUNCTION("""COMPUTED_VALUE"""),3.0)</f>
        <v>3</v>
      </c>
      <c r="G54" s="27" t="str">
        <f>IFERROR(__xludf.DUMMYFUNCTION("""COMPUTED_VALUE"""),"3 ULA A PUTRI")</f>
        <v>3 ULA A PUTRI</v>
      </c>
      <c r="H54" s="28" t="str">
        <f>IFERROR(__xludf.DUMMYFUNCTION("""COMPUTED_VALUE"""),"MTS-9 G")</f>
        <v>MTS-9 G</v>
      </c>
      <c r="I54" s="28" t="str">
        <f>IFERROR(__xludf.DUMMYFUNCTION("""COMPUTED_VALUE"""),"ENDANG MAYAWATI")</f>
        <v>ENDANG MAYAWATI</v>
      </c>
      <c r="J54" s="28" t="str">
        <f>IFERROR(__xludf.DUMMYFUNCTION("""COMPUTED_VALUE"""),"ASEMROWO II NO. 19 RT 002 RW 001 ASEM ROWO SURABAYA")</f>
        <v>ASEMROWO II NO. 19 RT 002 RW 001 ASEM ROWO SURABAYA</v>
      </c>
      <c r="K54" s="28" t="str">
        <f>IFERROR(__xludf.DUMMYFUNCTION("""COMPUTED_VALUE"""),"6285808721207")</f>
        <v>6285808721207</v>
      </c>
      <c r="L54" s="22">
        <f>IFERROR(__xludf.DUMMYFUNCTION("""COMPUTED_VALUE"""),1800000.0)</f>
        <v>1800000</v>
      </c>
      <c r="M54" s="22">
        <f>IFERROR(__xludf.DUMMYFUNCTION("""COMPUTED_VALUE"""),1000000.0)</f>
        <v>1000000</v>
      </c>
      <c r="N54" s="22">
        <f>IFERROR(__xludf.DUMMYFUNCTION("""COMPUTED_VALUE"""),0.0)</f>
        <v>0</v>
      </c>
      <c r="O54" s="22">
        <f>IFERROR(__xludf.DUMMYFUNCTION("""COMPUTED_VALUE"""),2800000.0)</f>
        <v>2800000</v>
      </c>
      <c r="P54" s="28" t="str">
        <f t="shared" si="1"/>
        <v>LUNAS</v>
      </c>
      <c r="Q54" s="28">
        <f t="shared" si="2"/>
        <v>13</v>
      </c>
      <c r="R54" s="28" t="str">
        <f t="shared" si="3"/>
        <v>ADELIA YULIANTI PUTRI</v>
      </c>
    </row>
    <row r="55">
      <c r="A55" s="27">
        <f>IFERROR(__xludf.DUMMYFUNCTION("""COMPUTED_VALUE"""),54.0)</f>
        <v>54</v>
      </c>
      <c r="B55" s="28" t="str">
        <f>IFERROR(__xludf.DUMMYFUNCTION("""COMPUTED_VALUE"""),"AIDZILA DHEA ANANTA")</f>
        <v>AIDZILA DHEA ANANTA</v>
      </c>
      <c r="C55" s="28">
        <f>IFERROR(__xludf.DUMMYFUNCTION("""COMPUTED_VALUE"""),2.024070495E9)</f>
        <v>2024070495</v>
      </c>
      <c r="D55" s="27" t="str">
        <f>IFERROR(__xludf.DUMMYFUNCTION("""COMPUTED_VALUE"""),"C")</f>
        <v>C</v>
      </c>
      <c r="E55" s="27" t="str">
        <f>IFERROR(__xludf.DUMMYFUNCTION("""COMPUTED_VALUE"""),"C-12")</f>
        <v>C-12</v>
      </c>
      <c r="F55" s="31">
        <f>IFERROR(__xludf.DUMMYFUNCTION("""COMPUTED_VALUE"""),3.0)</f>
        <v>3</v>
      </c>
      <c r="G55" s="27" t="str">
        <f>IFERROR(__xludf.DUMMYFUNCTION("""COMPUTED_VALUE"""),"3 ULA C PUTRI")</f>
        <v>3 ULA C PUTRI</v>
      </c>
      <c r="H55" s="28" t="str">
        <f>IFERROR(__xludf.DUMMYFUNCTION("""COMPUTED_VALUE"""),"MTS-9 D")</f>
        <v>MTS-9 D</v>
      </c>
      <c r="I55" s="28" t="str">
        <f>IFERROR(__xludf.DUMMYFUNCTION("""COMPUTED_VALUE"""),"MARATUS SHOLICHAH")</f>
        <v>MARATUS SHOLICHAH</v>
      </c>
      <c r="J55" s="28" t="str">
        <f>IFERROR(__xludf.DUMMYFUNCTION("""COMPUTED_VALUE"""),"NGUWOK RT 004 RW 002 MODO LAMONGAN")</f>
        <v>NGUWOK RT 004 RW 002 MODO LAMONGAN</v>
      </c>
      <c r="K55" s="28" t="str">
        <f>IFERROR(__xludf.DUMMYFUNCTION("""COMPUTED_VALUE"""),"6281559586998")</f>
        <v>6281559586998</v>
      </c>
      <c r="L55" s="22">
        <f>IFERROR(__xludf.DUMMYFUNCTION("""COMPUTED_VALUE"""),0.0)</f>
        <v>0</v>
      </c>
      <c r="M55" s="22">
        <f>IFERROR(__xludf.DUMMYFUNCTION("""COMPUTED_VALUE"""),500000.0)</f>
        <v>500000</v>
      </c>
      <c r="N55" s="22">
        <f>IFERROR(__xludf.DUMMYFUNCTION("""COMPUTED_VALUE"""),0.0)</f>
        <v>0</v>
      </c>
      <c r="O55" s="22">
        <f>IFERROR(__xludf.DUMMYFUNCTION("""COMPUTED_VALUE"""),500000.0)</f>
        <v>500000</v>
      </c>
      <c r="P55" s="28" t="str">
        <f t="shared" si="1"/>
        <v>LUNAS</v>
      </c>
      <c r="Q55" s="28">
        <f t="shared" si="2"/>
        <v>125</v>
      </c>
      <c r="R55" s="28" t="str">
        <f t="shared" si="3"/>
        <v>AIDZILA DHEA ANANTA</v>
      </c>
    </row>
    <row r="56">
      <c r="A56" s="27">
        <f>IFERROR(__xludf.DUMMYFUNCTION("""COMPUTED_VALUE"""),55.0)</f>
        <v>55</v>
      </c>
      <c r="B56" s="28" t="str">
        <f>IFERROR(__xludf.DUMMYFUNCTION("""COMPUTED_VALUE"""),"ALIFATUN BINTU KHUMAIROH")</f>
        <v>ALIFATUN BINTU KHUMAIROH</v>
      </c>
      <c r="C56" s="28">
        <f>IFERROR(__xludf.DUMMYFUNCTION("""COMPUTED_VALUE"""),2.024070488E9)</f>
        <v>2024070488</v>
      </c>
      <c r="D56" s="27" t="str">
        <f>IFERROR(__xludf.DUMMYFUNCTION("""COMPUTED_VALUE"""),"C")</f>
        <v>C</v>
      </c>
      <c r="E56" s="27" t="str">
        <f>IFERROR(__xludf.DUMMYFUNCTION("""COMPUTED_VALUE"""),"C-12")</f>
        <v>C-12</v>
      </c>
      <c r="F56" s="31">
        <f>IFERROR(__xludf.DUMMYFUNCTION("""COMPUTED_VALUE"""),3.0)</f>
        <v>3</v>
      </c>
      <c r="G56" s="27" t="str">
        <f>IFERROR(__xludf.DUMMYFUNCTION("""COMPUTED_VALUE"""),"3 ULA B PUTRI")</f>
        <v>3 ULA B PUTRI</v>
      </c>
      <c r="H56" s="28" t="str">
        <f>IFERROR(__xludf.DUMMYFUNCTION("""COMPUTED_VALUE"""),"MTS-9 G")</f>
        <v>MTS-9 G</v>
      </c>
      <c r="I56" s="28" t="str">
        <f>IFERROR(__xludf.DUMMYFUNCTION("""COMPUTED_VALUE"""),"SRI SULISTYANINGSIH")</f>
        <v>SRI SULISTYANINGSIH</v>
      </c>
      <c r="J56" s="28" t="str">
        <f>IFERROR(__xludf.DUMMYFUNCTION("""COMPUTED_VALUE"""),"SIDOBRANTI SIDOMUKTI RT 009 RW 003 KEMBANGBAHU LAMONGAN")</f>
        <v>SIDOBRANTI SIDOMUKTI RT 009 RW 003 KEMBANGBAHU LAMONGAN</v>
      </c>
      <c r="K56" s="28" t="str">
        <f>IFERROR(__xludf.DUMMYFUNCTION("""COMPUTED_VALUE"""),"6285704238402")</f>
        <v>6285704238402</v>
      </c>
      <c r="L56" s="22">
        <f>IFERROR(__xludf.DUMMYFUNCTION("""COMPUTED_VALUE"""),0.0)</f>
        <v>0</v>
      </c>
      <c r="M56" s="22">
        <f>IFERROR(__xludf.DUMMYFUNCTION("""COMPUTED_VALUE"""),0.0)</f>
        <v>0</v>
      </c>
      <c r="N56" s="22">
        <f>IFERROR(__xludf.DUMMYFUNCTION("""COMPUTED_VALUE"""),0.0)</f>
        <v>0</v>
      </c>
      <c r="O56" s="22">
        <f>IFERROR(__xludf.DUMMYFUNCTION("""COMPUTED_VALUE"""),0.0)</f>
        <v>0</v>
      </c>
      <c r="P56" s="28" t="str">
        <f t="shared" si="1"/>
        <v>LUNAS</v>
      </c>
      <c r="Q56" s="28">
        <f t="shared" si="2"/>
        <v>166</v>
      </c>
      <c r="R56" s="28" t="str">
        <f t="shared" si="3"/>
        <v>ALIFATUN BINTU KHUMAIROH</v>
      </c>
    </row>
    <row r="57">
      <c r="A57" s="27">
        <f>IFERROR(__xludf.DUMMYFUNCTION("""COMPUTED_VALUE"""),56.0)</f>
        <v>56</v>
      </c>
      <c r="B57" s="28" t="str">
        <f>IFERROR(__xludf.DUMMYFUNCTION("""COMPUTED_VALUE"""),"ALVELLYTA APRILIA KIRANA")</f>
        <v>ALVELLYTA APRILIA KIRANA</v>
      </c>
      <c r="C57" s="28">
        <f>IFERROR(__xludf.DUMMYFUNCTION("""COMPUTED_VALUE"""),2.024070527E9)</f>
        <v>2024070527</v>
      </c>
      <c r="D57" s="27" t="str">
        <f>IFERROR(__xludf.DUMMYFUNCTION("""COMPUTED_VALUE"""),"C")</f>
        <v>C</v>
      </c>
      <c r="E57" s="27" t="str">
        <f>IFERROR(__xludf.DUMMYFUNCTION("""COMPUTED_VALUE"""),"C-12")</f>
        <v>C-12</v>
      </c>
      <c r="F57" s="31">
        <f>IFERROR(__xludf.DUMMYFUNCTION("""COMPUTED_VALUE"""),3.0)</f>
        <v>3</v>
      </c>
      <c r="G57" s="27"/>
      <c r="H57" s="28" t="str">
        <f>IFERROR(__xludf.DUMMYFUNCTION("""COMPUTED_VALUE"""),"MTS-9 C")</f>
        <v>MTS-9 C</v>
      </c>
      <c r="I57" s="28" t="str">
        <f>IFERROR(__xludf.DUMMYFUNCTION("""COMPUTED_VALUE"""),"ITA NURO")</f>
        <v>ITA NURO</v>
      </c>
      <c r="J57" s="28" t="str">
        <f>IFERROR(__xludf.DUMMYFUNCTION("""COMPUTED_VALUE"""),"KRAJAN SUKOBENDU RT 002 RW 001 MANTUP LAMONGAN")</f>
        <v>KRAJAN SUKOBENDU RT 002 RW 001 MANTUP LAMONGAN</v>
      </c>
      <c r="K57" s="28" t="str">
        <f>IFERROR(__xludf.DUMMYFUNCTION("""COMPUTED_VALUE"""),"6281537636395")</f>
        <v>6281537636395</v>
      </c>
      <c r="L57" s="22">
        <f>IFERROR(__xludf.DUMMYFUNCTION("""COMPUTED_VALUE"""),450000.0)</f>
        <v>450000</v>
      </c>
      <c r="M57" s="22">
        <f>IFERROR(__xludf.DUMMYFUNCTION("""COMPUTED_VALUE"""),500000.0)</f>
        <v>500000</v>
      </c>
      <c r="N57" s="22">
        <f>IFERROR(__xludf.DUMMYFUNCTION("""COMPUTED_VALUE"""),0.0)</f>
        <v>0</v>
      </c>
      <c r="O57" s="22">
        <f>IFERROR(__xludf.DUMMYFUNCTION("""COMPUTED_VALUE"""),950000.0)</f>
        <v>950000</v>
      </c>
      <c r="P57" s="28" t="str">
        <f t="shared" si="1"/>
        <v>LUNAS</v>
      </c>
      <c r="Q57" s="28">
        <f t="shared" si="2"/>
        <v>109</v>
      </c>
      <c r="R57" s="28" t="str">
        <f t="shared" si="3"/>
        <v>ALVELLYTA APRILIA KIRANA</v>
      </c>
    </row>
    <row r="58">
      <c r="A58" s="27">
        <f>IFERROR(__xludf.DUMMYFUNCTION("""COMPUTED_VALUE"""),57.0)</f>
        <v>57</v>
      </c>
      <c r="B58" s="28" t="str">
        <f>IFERROR(__xludf.DUMMYFUNCTION("""COMPUTED_VALUE"""),"AUFARA DHEA TUNGGA DEWI")</f>
        <v>AUFARA DHEA TUNGGA DEWI</v>
      </c>
      <c r="C58" s="28">
        <f>IFERROR(__xludf.DUMMYFUNCTION("""COMPUTED_VALUE"""),2.02407049E9)</f>
        <v>2024070490</v>
      </c>
      <c r="D58" s="27" t="str">
        <f>IFERROR(__xludf.DUMMYFUNCTION("""COMPUTED_VALUE"""),"C")</f>
        <v>C</v>
      </c>
      <c r="E58" s="27" t="str">
        <f>IFERROR(__xludf.DUMMYFUNCTION("""COMPUTED_VALUE"""),"C-12")</f>
        <v>C-12</v>
      </c>
      <c r="F58" s="31">
        <f>IFERROR(__xludf.DUMMYFUNCTION("""COMPUTED_VALUE"""),3.0)</f>
        <v>3</v>
      </c>
      <c r="G58" s="27" t="str">
        <f>IFERROR(__xludf.DUMMYFUNCTION("""COMPUTED_VALUE"""),"3 ULA A PUTRI")</f>
        <v>3 ULA A PUTRI</v>
      </c>
      <c r="H58" s="28" t="str">
        <f>IFERROR(__xludf.DUMMYFUNCTION("""COMPUTED_VALUE"""),"MTS-9 D")</f>
        <v>MTS-9 D</v>
      </c>
      <c r="I58" s="28" t="str">
        <f>IFERROR(__xludf.DUMMYFUNCTION("""COMPUTED_VALUE"""),"DEWI UTARI")</f>
        <v>DEWI UTARI</v>
      </c>
      <c r="J58" s="28" t="str">
        <f>IFERROR(__xludf.DUMMYFUNCTION("""COMPUTED_VALUE"""),"PRIYOSO WETAN PRIYOSO RT 001 RW 001 KARANGBINANGUN LAMONGAN")</f>
        <v>PRIYOSO WETAN PRIYOSO RT 001 RW 001 KARANGBINANGUN LAMONGAN</v>
      </c>
      <c r="K58" s="28" t="str">
        <f>IFERROR(__xludf.DUMMYFUNCTION("""COMPUTED_VALUE"""),"6281334198484")</f>
        <v>6281334198484</v>
      </c>
      <c r="L58" s="22">
        <f>IFERROR(__xludf.DUMMYFUNCTION("""COMPUTED_VALUE"""),0.0)</f>
        <v>0</v>
      </c>
      <c r="M58" s="22">
        <f>IFERROR(__xludf.DUMMYFUNCTION("""COMPUTED_VALUE"""),0.0)</f>
        <v>0</v>
      </c>
      <c r="N58" s="22">
        <f>IFERROR(__xludf.DUMMYFUNCTION("""COMPUTED_VALUE"""),0.0)</f>
        <v>0</v>
      </c>
      <c r="O58" s="22">
        <f>IFERROR(__xludf.DUMMYFUNCTION("""COMPUTED_VALUE"""),0.0)</f>
        <v>0</v>
      </c>
      <c r="P58" s="28" t="str">
        <f t="shared" si="1"/>
        <v>LUNAS</v>
      </c>
      <c r="Q58" s="28">
        <f t="shared" si="2"/>
        <v>167</v>
      </c>
      <c r="R58" s="28" t="str">
        <f t="shared" si="3"/>
        <v>AUFARA DHEA TUNGGA DEWI</v>
      </c>
    </row>
    <row r="59">
      <c r="A59" s="27">
        <f>IFERROR(__xludf.DUMMYFUNCTION("""COMPUTED_VALUE"""),58.0)</f>
        <v>58</v>
      </c>
      <c r="B59" s="28" t="str">
        <f>IFERROR(__xludf.DUMMYFUNCTION("""COMPUTED_VALUE"""),"FARAH ALTHAFUN NISA`")</f>
        <v>FARAH ALTHAFUN NISA`</v>
      </c>
      <c r="C59" s="28">
        <f>IFERROR(__xludf.DUMMYFUNCTION("""COMPUTED_VALUE"""),2.024070633E9)</f>
        <v>2024070633</v>
      </c>
      <c r="D59" s="27" t="str">
        <f>IFERROR(__xludf.DUMMYFUNCTION("""COMPUTED_VALUE"""),"C")</f>
        <v>C</v>
      </c>
      <c r="E59" s="27" t="str">
        <f>IFERROR(__xludf.DUMMYFUNCTION("""COMPUTED_VALUE"""),"C-12")</f>
        <v>C-12</v>
      </c>
      <c r="F59" s="31">
        <f>IFERROR(__xludf.DUMMYFUNCTION("""COMPUTED_VALUE"""),3.0)</f>
        <v>3</v>
      </c>
      <c r="G59" s="27"/>
      <c r="H59" s="28" t="str">
        <f>IFERROR(__xludf.DUMMYFUNCTION("""COMPUTED_VALUE"""),"MTS-9 C")</f>
        <v>MTS-9 C</v>
      </c>
      <c r="I59" s="28" t="str">
        <f>IFERROR(__xludf.DUMMYFUNCTION("""COMPUTED_VALUE"""),"NURUL HIDAYAH")</f>
        <v>NURUL HIDAYAH</v>
      </c>
      <c r="J59" s="28" t="str">
        <f>IFERROR(__xludf.DUMMYFUNCTION("""COMPUTED_VALUE"""),"WONOKERTO RT 012 RW 003 DUKUN GRESIK")</f>
        <v>WONOKERTO RT 012 RW 003 DUKUN GRESIK</v>
      </c>
      <c r="K59" s="28" t="str">
        <f>IFERROR(__xludf.DUMMYFUNCTION("""COMPUTED_VALUE"""),"6281615233482")</f>
        <v>6281615233482</v>
      </c>
      <c r="L59" s="22">
        <f>IFERROR(__xludf.DUMMYFUNCTION("""COMPUTED_VALUE"""),2250000.0)</f>
        <v>2250000</v>
      </c>
      <c r="M59" s="22">
        <f>IFERROR(__xludf.DUMMYFUNCTION("""COMPUTED_VALUE"""),1000000.0)</f>
        <v>1000000</v>
      </c>
      <c r="N59" s="22">
        <f>IFERROR(__xludf.DUMMYFUNCTION("""COMPUTED_VALUE"""),0.0)</f>
        <v>0</v>
      </c>
      <c r="O59" s="22">
        <f>IFERROR(__xludf.DUMMYFUNCTION("""COMPUTED_VALUE"""),3250000.0)</f>
        <v>3250000</v>
      </c>
      <c r="P59" s="28" t="str">
        <f t="shared" si="1"/>
        <v>LUNAS</v>
      </c>
      <c r="Q59" s="28">
        <f t="shared" si="2"/>
        <v>10</v>
      </c>
      <c r="R59" s="28" t="str">
        <f t="shared" si="3"/>
        <v>FARAH ALTHAFUN NISA`</v>
      </c>
    </row>
    <row r="60">
      <c r="A60" s="27">
        <f>IFERROR(__xludf.DUMMYFUNCTION("""COMPUTED_VALUE"""),59.0)</f>
        <v>59</v>
      </c>
      <c r="B60" s="28" t="str">
        <f>IFERROR(__xludf.DUMMYFUNCTION("""COMPUTED_VALUE"""),"FATMA NAJWA ZAHIRA")</f>
        <v>FATMA NAJWA ZAHIRA</v>
      </c>
      <c r="C60" s="28">
        <f>IFERROR(__xludf.DUMMYFUNCTION("""COMPUTED_VALUE"""),2.024070497E9)</f>
        <v>2024070497</v>
      </c>
      <c r="D60" s="27" t="str">
        <f>IFERROR(__xludf.DUMMYFUNCTION("""COMPUTED_VALUE"""),"C")</f>
        <v>C</v>
      </c>
      <c r="E60" s="27" t="str">
        <f>IFERROR(__xludf.DUMMYFUNCTION("""COMPUTED_VALUE"""),"C-12")</f>
        <v>C-12</v>
      </c>
      <c r="F60" s="31">
        <f>IFERROR(__xludf.DUMMYFUNCTION("""COMPUTED_VALUE"""),3.0)</f>
        <v>3</v>
      </c>
      <c r="G60" s="27" t="str">
        <f>IFERROR(__xludf.DUMMYFUNCTION("""COMPUTED_VALUE"""),"3 ULA B PUTRI")</f>
        <v>3 ULA B PUTRI</v>
      </c>
      <c r="H60" s="28" t="str">
        <f>IFERROR(__xludf.DUMMYFUNCTION("""COMPUTED_VALUE"""),"MTS-9 D")</f>
        <v>MTS-9 D</v>
      </c>
      <c r="I60" s="28" t="str">
        <f>IFERROR(__xludf.DUMMYFUNCTION("""COMPUTED_VALUE"""),"SITI NURIYAH")</f>
        <v>SITI NURIYAH</v>
      </c>
      <c r="J60" s="28" t="str">
        <f>IFERROR(__xludf.DUMMYFUNCTION("""COMPUTED_VALUE"""),"NGUWOK RT 004 RW 002 MODO LAMONGAN")</f>
        <v>NGUWOK RT 004 RW 002 MODO LAMONGAN</v>
      </c>
      <c r="K60" s="28" t="str">
        <f>IFERROR(__xludf.DUMMYFUNCTION("""COMPUTED_VALUE"""),"6282337956113")</f>
        <v>6282337956113</v>
      </c>
      <c r="L60" s="22">
        <f>IFERROR(__xludf.DUMMYFUNCTION("""COMPUTED_VALUE"""),450000.0)</f>
        <v>450000</v>
      </c>
      <c r="M60" s="22">
        <f>IFERROR(__xludf.DUMMYFUNCTION("""COMPUTED_VALUE"""),0.0)</f>
        <v>0</v>
      </c>
      <c r="N60" s="22">
        <f>IFERROR(__xludf.DUMMYFUNCTION("""COMPUTED_VALUE"""),0.0)</f>
        <v>0</v>
      </c>
      <c r="O60" s="22">
        <f>IFERROR(__xludf.DUMMYFUNCTION("""COMPUTED_VALUE"""),450000.0)</f>
        <v>450000</v>
      </c>
      <c r="P60" s="28" t="str">
        <f t="shared" si="1"/>
        <v>LUNAS</v>
      </c>
      <c r="Q60" s="28">
        <f t="shared" si="2"/>
        <v>145</v>
      </c>
      <c r="R60" s="28" t="str">
        <f t="shared" si="3"/>
        <v>FATMA NAJWA ZAHIRA</v>
      </c>
    </row>
    <row r="61">
      <c r="A61" s="27">
        <f>IFERROR(__xludf.DUMMYFUNCTION("""COMPUTED_VALUE"""),60.0)</f>
        <v>60</v>
      </c>
      <c r="B61" s="28" t="str">
        <f>IFERROR(__xludf.DUMMYFUNCTION("""COMPUTED_VALUE"""),"GHITA RAINA AZZAHRA PRIYANTO")</f>
        <v>GHITA RAINA AZZAHRA PRIYANTO</v>
      </c>
      <c r="C61" s="28">
        <f>IFERROR(__xludf.DUMMYFUNCTION("""COMPUTED_VALUE"""),2.024070636E9)</f>
        <v>2024070636</v>
      </c>
      <c r="D61" s="27" t="str">
        <f>IFERROR(__xludf.DUMMYFUNCTION("""COMPUTED_VALUE"""),"C")</f>
        <v>C</v>
      </c>
      <c r="E61" s="27" t="str">
        <f>IFERROR(__xludf.DUMMYFUNCTION("""COMPUTED_VALUE"""),"C-12")</f>
        <v>C-12</v>
      </c>
      <c r="F61" s="31">
        <f>IFERROR(__xludf.DUMMYFUNCTION("""COMPUTED_VALUE"""),3.0)</f>
        <v>3</v>
      </c>
      <c r="G61" s="27" t="str">
        <f>IFERROR(__xludf.DUMMYFUNCTION("""COMPUTED_VALUE"""),"3 ULA C PUTRI")</f>
        <v>3 ULA C PUTRI</v>
      </c>
      <c r="H61" s="28" t="str">
        <f>IFERROR(__xludf.DUMMYFUNCTION("""COMPUTED_VALUE"""),"MTS-9 H")</f>
        <v>MTS-9 H</v>
      </c>
      <c r="I61" s="28" t="str">
        <f>IFERROR(__xludf.DUMMYFUNCTION("""COMPUTED_VALUE"""),"ANIS ROHMAWATI")</f>
        <v>ANIS ROHMAWATI</v>
      </c>
      <c r="J61" s="28" t="str">
        <f>IFERROR(__xludf.DUMMYFUNCTION("""COMPUTED_VALUE"""),"TULUNG WANAR RT 004 RW 005 PUCUK LAMONGAN")</f>
        <v>TULUNG WANAR RT 004 RW 005 PUCUK LAMONGAN</v>
      </c>
      <c r="K61" s="28" t="str">
        <f>IFERROR(__xludf.DUMMYFUNCTION("""COMPUTED_VALUE"""),"6281260170147")</f>
        <v>6281260170147</v>
      </c>
      <c r="L61" s="22">
        <f>IFERROR(__xludf.DUMMYFUNCTION("""COMPUTED_VALUE"""),0.0)</f>
        <v>0</v>
      </c>
      <c r="M61" s="22">
        <f>IFERROR(__xludf.DUMMYFUNCTION("""COMPUTED_VALUE"""),500000.0)</f>
        <v>500000</v>
      </c>
      <c r="N61" s="22">
        <f>IFERROR(__xludf.DUMMYFUNCTION("""COMPUTED_VALUE"""),0.0)</f>
        <v>0</v>
      </c>
      <c r="O61" s="22">
        <f>IFERROR(__xludf.DUMMYFUNCTION("""COMPUTED_VALUE"""),500000.0)</f>
        <v>500000</v>
      </c>
      <c r="P61" s="28" t="str">
        <f t="shared" si="1"/>
        <v>LUNAS</v>
      </c>
      <c r="Q61" s="28">
        <f t="shared" si="2"/>
        <v>126</v>
      </c>
      <c r="R61" s="28" t="str">
        <f t="shared" si="3"/>
        <v>GHITA RAINA AZZAHRA PRIYANTO</v>
      </c>
    </row>
    <row r="62">
      <c r="A62" s="27">
        <f>IFERROR(__xludf.DUMMYFUNCTION("""COMPUTED_VALUE"""),61.0)</f>
        <v>61</v>
      </c>
      <c r="B62" s="28" t="str">
        <f>IFERROR(__xludf.DUMMYFUNCTION("""COMPUTED_VALUE"""),"HILDA AFRILLIA SALSA FUNNY")</f>
        <v>HILDA AFRILLIA SALSA FUNNY</v>
      </c>
      <c r="C62" s="28">
        <f>IFERROR(__xludf.DUMMYFUNCTION("""COMPUTED_VALUE"""),2.024070609E9)</f>
        <v>2024070609</v>
      </c>
      <c r="D62" s="27" t="str">
        <f>IFERROR(__xludf.DUMMYFUNCTION("""COMPUTED_VALUE"""),"C")</f>
        <v>C</v>
      </c>
      <c r="E62" s="27" t="str">
        <f>IFERROR(__xludf.DUMMYFUNCTION("""COMPUTED_VALUE"""),"C-12")</f>
        <v>C-12</v>
      </c>
      <c r="F62" s="31">
        <f>IFERROR(__xludf.DUMMYFUNCTION("""COMPUTED_VALUE"""),3.0)</f>
        <v>3</v>
      </c>
      <c r="G62" s="27" t="str">
        <f>IFERROR(__xludf.DUMMYFUNCTION("""COMPUTED_VALUE"""),"3 ULA C PUTRI")</f>
        <v>3 ULA C PUTRI</v>
      </c>
      <c r="H62" s="28" t="str">
        <f>IFERROR(__xludf.DUMMYFUNCTION("""COMPUTED_VALUE"""),"MTS-9 D")</f>
        <v>MTS-9 D</v>
      </c>
      <c r="I62" s="28" t="str">
        <f>IFERROR(__xludf.DUMMYFUNCTION("""COMPUTED_VALUE"""),"SUNTIANAH")</f>
        <v>SUNTIANAH</v>
      </c>
      <c r="J62" s="28" t="str">
        <f>IFERROR(__xludf.DUMMYFUNCTION("""COMPUTED_VALUE"""),"KULURAN RT 004 RW 003 KALITENGAH LAMONGAN")</f>
        <v>KULURAN RT 004 RW 003 KALITENGAH LAMONGAN</v>
      </c>
      <c r="K62" s="28" t="str">
        <f>IFERROR(__xludf.DUMMYFUNCTION("""COMPUTED_VALUE"""),"628570216013")</f>
        <v>628570216013</v>
      </c>
      <c r="L62" s="22">
        <f>IFERROR(__xludf.DUMMYFUNCTION("""COMPUTED_VALUE"""),0.0)</f>
        <v>0</v>
      </c>
      <c r="M62" s="22">
        <f>IFERROR(__xludf.DUMMYFUNCTION("""COMPUTED_VALUE"""),500000.0)</f>
        <v>500000</v>
      </c>
      <c r="N62" s="22">
        <f>IFERROR(__xludf.DUMMYFUNCTION("""COMPUTED_VALUE"""),0.0)</f>
        <v>0</v>
      </c>
      <c r="O62" s="22">
        <f>IFERROR(__xludf.DUMMYFUNCTION("""COMPUTED_VALUE"""),500000.0)</f>
        <v>500000</v>
      </c>
      <c r="P62" s="28" t="str">
        <f t="shared" si="1"/>
        <v>LUNAS</v>
      </c>
      <c r="Q62" s="28">
        <f t="shared" si="2"/>
        <v>127</v>
      </c>
      <c r="R62" s="28" t="str">
        <f t="shared" si="3"/>
        <v>HILDA AFRILLIA SALSA FUNNY</v>
      </c>
    </row>
    <row r="63">
      <c r="A63" s="27">
        <f>IFERROR(__xludf.DUMMYFUNCTION("""COMPUTED_VALUE"""),62.0)</f>
        <v>62</v>
      </c>
      <c r="B63" s="28" t="str">
        <f>IFERROR(__xludf.DUMMYFUNCTION("""COMPUTED_VALUE"""),"NAURAH KHUNI`ATUN MUBAYYINA")</f>
        <v>NAURAH KHUNI`ATUN MUBAYYINA</v>
      </c>
      <c r="C63" s="28">
        <f>IFERROR(__xludf.DUMMYFUNCTION("""COMPUTED_VALUE"""),2.024070623E9)</f>
        <v>2024070623</v>
      </c>
      <c r="D63" s="27" t="str">
        <f>IFERROR(__xludf.DUMMYFUNCTION("""COMPUTED_VALUE"""),"C")</f>
        <v>C</v>
      </c>
      <c r="E63" s="27" t="str">
        <f>IFERROR(__xludf.DUMMYFUNCTION("""COMPUTED_VALUE"""),"C-12")</f>
        <v>C-12</v>
      </c>
      <c r="F63" s="31">
        <f>IFERROR(__xludf.DUMMYFUNCTION("""COMPUTED_VALUE"""),3.0)</f>
        <v>3</v>
      </c>
      <c r="G63" s="27"/>
      <c r="H63" s="28" t="str">
        <f>IFERROR(__xludf.DUMMYFUNCTION("""COMPUTED_VALUE"""),"MTS-9 H")</f>
        <v>MTS-9 H</v>
      </c>
      <c r="I63" s="28" t="str">
        <f>IFERROR(__xludf.DUMMYFUNCTION("""COMPUTED_VALUE"""),"NANIK NURLISAH")</f>
        <v>NANIK NURLISAH</v>
      </c>
      <c r="J63" s="28" t="str">
        <f>IFERROR(__xludf.DUMMYFUNCTION("""COMPUTED_VALUE"""),"KULURAN RT 003 RW 001 KALITENGAH LAMONGAN")</f>
        <v>KULURAN RT 003 RW 001 KALITENGAH LAMONGAN</v>
      </c>
      <c r="K63" s="28" t="str">
        <f>IFERROR(__xludf.DUMMYFUNCTION("""COMPUTED_VALUE"""),"6285608954077")</f>
        <v>6285608954077</v>
      </c>
      <c r="L63" s="22">
        <f>IFERROR(__xludf.DUMMYFUNCTION("""COMPUTED_VALUE"""),0.0)</f>
        <v>0</v>
      </c>
      <c r="M63" s="22">
        <f>IFERROR(__xludf.DUMMYFUNCTION("""COMPUTED_VALUE"""),0.0)</f>
        <v>0</v>
      </c>
      <c r="N63" s="22">
        <f>IFERROR(__xludf.DUMMYFUNCTION("""COMPUTED_VALUE"""),0.0)</f>
        <v>0</v>
      </c>
      <c r="O63" s="22">
        <f>IFERROR(__xludf.DUMMYFUNCTION("""COMPUTED_VALUE"""),0.0)</f>
        <v>0</v>
      </c>
      <c r="P63" s="28" t="str">
        <f t="shared" si="1"/>
        <v>LUNAS</v>
      </c>
      <c r="Q63" s="28">
        <f t="shared" si="2"/>
        <v>168</v>
      </c>
      <c r="R63" s="28" t="str">
        <f t="shared" si="3"/>
        <v>NAURAH KHUNI`ATUN MUBAYYINA</v>
      </c>
    </row>
    <row r="64">
      <c r="A64" s="27">
        <f>IFERROR(__xludf.DUMMYFUNCTION("""COMPUTED_VALUE"""),63.0)</f>
        <v>63</v>
      </c>
      <c r="B64" s="28" t="str">
        <f>IFERROR(__xludf.DUMMYFUNCTION("""COMPUTED_VALUE"""),"NAYLA SALSABILA")</f>
        <v>NAYLA SALSABILA</v>
      </c>
      <c r="C64" s="28">
        <f>IFERROR(__xludf.DUMMYFUNCTION("""COMPUTED_VALUE"""),2.024070608E9)</f>
        <v>2024070608</v>
      </c>
      <c r="D64" s="27" t="str">
        <f>IFERROR(__xludf.DUMMYFUNCTION("""COMPUTED_VALUE"""),"C")</f>
        <v>C</v>
      </c>
      <c r="E64" s="27" t="str">
        <f>IFERROR(__xludf.DUMMYFUNCTION("""COMPUTED_VALUE"""),"C-12")</f>
        <v>C-12</v>
      </c>
      <c r="F64" s="31">
        <f>IFERROR(__xludf.DUMMYFUNCTION("""COMPUTED_VALUE"""),3.0)</f>
        <v>3</v>
      </c>
      <c r="G64" s="27"/>
      <c r="H64" s="28" t="str">
        <f>IFERROR(__xludf.DUMMYFUNCTION("""COMPUTED_VALUE"""),"MTS-9 D")</f>
        <v>MTS-9 D</v>
      </c>
      <c r="I64" s="28" t="str">
        <f>IFERROR(__xludf.DUMMYFUNCTION("""COMPUTED_VALUE"""),"MINTUTIK")</f>
        <v>MINTUTIK</v>
      </c>
      <c r="J64" s="28" t="str">
        <f>IFERROR(__xludf.DUMMYFUNCTION("""COMPUTED_VALUE"""),"KULURAN RT 002 RW 003 KALITENGAH LAMONGAN")</f>
        <v>KULURAN RT 002 RW 003 KALITENGAH LAMONGAN</v>
      </c>
      <c r="K64" s="28" t="str">
        <f>IFERROR(__xludf.DUMMYFUNCTION("""COMPUTED_VALUE"""),"6285755534024")</f>
        <v>6285755534024</v>
      </c>
      <c r="L64" s="22">
        <f>IFERROR(__xludf.DUMMYFUNCTION("""COMPUTED_VALUE"""),0.0)</f>
        <v>0</v>
      </c>
      <c r="M64" s="22">
        <f>IFERROR(__xludf.DUMMYFUNCTION("""COMPUTED_VALUE"""),0.0)</f>
        <v>0</v>
      </c>
      <c r="N64" s="22">
        <f>IFERROR(__xludf.DUMMYFUNCTION("""COMPUTED_VALUE"""),0.0)</f>
        <v>0</v>
      </c>
      <c r="O64" s="22">
        <f>IFERROR(__xludf.DUMMYFUNCTION("""COMPUTED_VALUE"""),0.0)</f>
        <v>0</v>
      </c>
      <c r="P64" s="28" t="str">
        <f t="shared" si="1"/>
        <v>LUNAS</v>
      </c>
      <c r="Q64" s="28">
        <f t="shared" si="2"/>
        <v>169</v>
      </c>
      <c r="R64" s="28" t="str">
        <f t="shared" si="3"/>
        <v>NAYLA SALSABILA</v>
      </c>
    </row>
    <row r="65">
      <c r="A65" s="27">
        <f>IFERROR(__xludf.DUMMYFUNCTION("""COMPUTED_VALUE"""),64.0)</f>
        <v>64</v>
      </c>
      <c r="B65" s="28" t="str">
        <f>IFERROR(__xludf.DUMMYFUNCTION("""COMPUTED_VALUE"""),"NIA KRISNAWATI")</f>
        <v>NIA KRISNAWATI</v>
      </c>
      <c r="C65" s="28">
        <f>IFERROR(__xludf.DUMMYFUNCTION("""COMPUTED_VALUE"""),2.024070528E9)</f>
        <v>2024070528</v>
      </c>
      <c r="D65" s="27" t="str">
        <f>IFERROR(__xludf.DUMMYFUNCTION("""COMPUTED_VALUE"""),"C")</f>
        <v>C</v>
      </c>
      <c r="E65" s="27" t="str">
        <f>IFERROR(__xludf.DUMMYFUNCTION("""COMPUTED_VALUE"""),"C-12")</f>
        <v>C-12</v>
      </c>
      <c r="F65" s="31">
        <f>IFERROR(__xludf.DUMMYFUNCTION("""COMPUTED_VALUE"""),3.0)</f>
        <v>3</v>
      </c>
      <c r="G65" s="27" t="str">
        <f>IFERROR(__xludf.DUMMYFUNCTION("""COMPUTED_VALUE"""),"3 ULA B PUTRI")</f>
        <v>3 ULA B PUTRI</v>
      </c>
      <c r="H65" s="28" t="str">
        <f>IFERROR(__xludf.DUMMYFUNCTION("""COMPUTED_VALUE"""),"MTS-9 C")</f>
        <v>MTS-9 C</v>
      </c>
      <c r="I65" s="28" t="str">
        <f>IFERROR(__xludf.DUMMYFUNCTION("""COMPUTED_VALUE"""),"MAISUN")</f>
        <v>MAISUN</v>
      </c>
      <c r="J65" s="28" t="str">
        <f>IFERROR(__xludf.DUMMYFUNCTION("""COMPUTED_VALUE"""),"GAGAR SUKOBENDU RT 002 RW 001 MANTUP LAMONGAN")</f>
        <v>GAGAR SUKOBENDU RT 002 RW 001 MANTUP LAMONGAN</v>
      </c>
      <c r="K65" s="28" t="str">
        <f>IFERROR(__xludf.DUMMYFUNCTION("""COMPUTED_VALUE"""),"6281999644191")</f>
        <v>6281999644191</v>
      </c>
      <c r="L65" s="22">
        <f>IFERROR(__xludf.DUMMYFUNCTION("""COMPUTED_VALUE"""),7650000.0)</f>
        <v>7650000</v>
      </c>
      <c r="M65" s="22">
        <f>IFERROR(__xludf.DUMMYFUNCTION("""COMPUTED_VALUE"""),1000000.0)</f>
        <v>1000000</v>
      </c>
      <c r="N65" s="22">
        <f>IFERROR(__xludf.DUMMYFUNCTION("""COMPUTED_VALUE"""),350000.0)</f>
        <v>350000</v>
      </c>
      <c r="O65" s="22">
        <f>IFERROR(__xludf.DUMMYFUNCTION("""COMPUTED_VALUE"""),9000000.0)</f>
        <v>9000000</v>
      </c>
      <c r="P65" s="28" t="str">
        <f t="shared" si="1"/>
        <v>BELUM</v>
      </c>
      <c r="Q65" s="28">
        <f t="shared" si="2"/>
        <v>1</v>
      </c>
      <c r="R65" s="28" t="str">
        <f t="shared" si="3"/>
        <v>NIA KRISNAWATI</v>
      </c>
    </row>
    <row r="66">
      <c r="A66" s="27">
        <f>IFERROR(__xludf.DUMMYFUNCTION("""COMPUTED_VALUE"""),65.0)</f>
        <v>65</v>
      </c>
      <c r="B66" s="28" t="str">
        <f>IFERROR(__xludf.DUMMYFUNCTION("""COMPUTED_VALUE"""),"QUEENSHA ALEA ARSYILA")</f>
        <v>QUEENSHA ALEA ARSYILA</v>
      </c>
      <c r="C66" s="28">
        <f>IFERROR(__xludf.DUMMYFUNCTION("""COMPUTED_VALUE"""),2.024070526E9)</f>
        <v>2024070526</v>
      </c>
      <c r="D66" s="27" t="str">
        <f>IFERROR(__xludf.DUMMYFUNCTION("""COMPUTED_VALUE"""),"C")</f>
        <v>C</v>
      </c>
      <c r="E66" s="27" t="str">
        <f>IFERROR(__xludf.DUMMYFUNCTION("""COMPUTED_VALUE"""),"C-12")</f>
        <v>C-12</v>
      </c>
      <c r="F66" s="31">
        <f>IFERROR(__xludf.DUMMYFUNCTION("""COMPUTED_VALUE"""),3.0)</f>
        <v>3</v>
      </c>
      <c r="G66" s="27" t="str">
        <f>IFERROR(__xludf.DUMMYFUNCTION("""COMPUTED_VALUE"""),"3 ULA A PUTRI")</f>
        <v>3 ULA A PUTRI</v>
      </c>
      <c r="H66" s="28" t="str">
        <f>IFERROR(__xludf.DUMMYFUNCTION("""COMPUTED_VALUE"""),"MTS-9 D")</f>
        <v>MTS-9 D</v>
      </c>
      <c r="I66" s="28" t="str">
        <f>IFERROR(__xludf.DUMMYFUNCTION("""COMPUTED_VALUE"""),"TANTI YUNI MUSFITA")</f>
        <v>TANTI YUNI MUSFITA</v>
      </c>
      <c r="J66" s="28" t="str">
        <f>IFERROR(__xludf.DUMMYFUNCTION("""COMPUTED_VALUE"""),"KRAJAN SUKOBENDU RT 003 RW 005 MANTUP LAMONGAN")</f>
        <v>KRAJAN SUKOBENDU RT 003 RW 005 MANTUP LAMONGAN</v>
      </c>
      <c r="K66" s="28" t="str">
        <f>IFERROR(__xludf.DUMMYFUNCTION("""COMPUTED_VALUE"""),"6285732838577")</f>
        <v>6285732838577</v>
      </c>
      <c r="L66" s="22">
        <f>IFERROR(__xludf.DUMMYFUNCTION("""COMPUTED_VALUE"""),0.0)</f>
        <v>0</v>
      </c>
      <c r="M66" s="22">
        <f>IFERROR(__xludf.DUMMYFUNCTION("""COMPUTED_VALUE"""),0.0)</f>
        <v>0</v>
      </c>
      <c r="N66" s="22">
        <f>IFERROR(__xludf.DUMMYFUNCTION("""COMPUTED_VALUE"""),0.0)</f>
        <v>0</v>
      </c>
      <c r="O66" s="22">
        <f>IFERROR(__xludf.DUMMYFUNCTION("""COMPUTED_VALUE"""),0.0)</f>
        <v>0</v>
      </c>
      <c r="P66" s="28" t="str">
        <f t="shared" si="1"/>
        <v>LUNAS</v>
      </c>
      <c r="Q66" s="28">
        <f t="shared" si="2"/>
        <v>170</v>
      </c>
      <c r="R66" s="28" t="str">
        <f t="shared" si="3"/>
        <v>QUEENSHA ALEA ARSYILA</v>
      </c>
    </row>
    <row r="67">
      <c r="A67" s="27">
        <f>IFERROR(__xludf.DUMMYFUNCTION("""COMPUTED_VALUE"""),66.0)</f>
        <v>66</v>
      </c>
      <c r="B67" s="28" t="str">
        <f>IFERROR(__xludf.DUMMYFUNCTION("""COMPUTED_VALUE"""),"SELVIA DEWI ASMAUL KHUSNADA")</f>
        <v>SELVIA DEWI ASMAUL KHUSNADA</v>
      </c>
      <c r="C67" s="28">
        <f>IFERROR(__xludf.DUMMYFUNCTION("""COMPUTED_VALUE"""),2.024070511E9)</f>
        <v>2024070511</v>
      </c>
      <c r="D67" s="27" t="str">
        <f>IFERROR(__xludf.DUMMYFUNCTION("""COMPUTED_VALUE"""),"C")</f>
        <v>C</v>
      </c>
      <c r="E67" s="27" t="str">
        <f>IFERROR(__xludf.DUMMYFUNCTION("""COMPUTED_VALUE"""),"C-12")</f>
        <v>C-12</v>
      </c>
      <c r="F67" s="31">
        <f>IFERROR(__xludf.DUMMYFUNCTION("""COMPUTED_VALUE"""),3.0)</f>
        <v>3</v>
      </c>
      <c r="G67" s="27"/>
      <c r="H67" s="28" t="str">
        <f>IFERROR(__xludf.DUMMYFUNCTION("""COMPUTED_VALUE"""),"MTS-9 G")</f>
        <v>MTS-9 G</v>
      </c>
      <c r="I67" s="28" t="str">
        <f>IFERROR(__xludf.DUMMYFUNCTION("""COMPUTED_VALUE"""),"SUKARSIH")</f>
        <v>SUKARSIH</v>
      </c>
      <c r="J67" s="28" t="str">
        <f>IFERROR(__xludf.DUMMYFUNCTION("""COMPUTED_VALUE"""),"PETIYIN PETIYINTUNGGAL RT 007 RW 003 DUKUN GRESIK")</f>
        <v>PETIYIN PETIYINTUNGGAL RT 007 RW 003 DUKUN GRESIK</v>
      </c>
      <c r="K67" s="28" t="str">
        <f>IFERROR(__xludf.DUMMYFUNCTION("""COMPUTED_VALUE"""),"6281252102661")</f>
        <v>6281252102661</v>
      </c>
      <c r="L67" s="22">
        <f>IFERROR(__xludf.DUMMYFUNCTION("""COMPUTED_VALUE"""),1350000.0)</f>
        <v>1350000</v>
      </c>
      <c r="M67" s="22">
        <f>IFERROR(__xludf.DUMMYFUNCTION("""COMPUTED_VALUE"""),500000.0)</f>
        <v>500000</v>
      </c>
      <c r="N67" s="22">
        <f>IFERROR(__xludf.DUMMYFUNCTION("""COMPUTED_VALUE"""),0.0)</f>
        <v>0</v>
      </c>
      <c r="O67" s="22">
        <f>IFERROR(__xludf.DUMMYFUNCTION("""COMPUTED_VALUE"""),1850000.0)</f>
        <v>1850000</v>
      </c>
      <c r="P67" s="28" t="str">
        <f t="shared" si="1"/>
        <v>LUNAS</v>
      </c>
      <c r="Q67" s="28">
        <f t="shared" si="2"/>
        <v>34</v>
      </c>
      <c r="R67" s="28" t="str">
        <f t="shared" si="3"/>
        <v>SELVIA DEWI ASMAUL KHUSNADA</v>
      </c>
    </row>
    <row r="68">
      <c r="A68" s="27">
        <f>IFERROR(__xludf.DUMMYFUNCTION("""COMPUTED_VALUE"""),67.0)</f>
        <v>67</v>
      </c>
      <c r="B68" s="28" t="str">
        <f>IFERROR(__xludf.DUMMYFUNCTION("""COMPUTED_VALUE"""),"SOFIATUS SYARIFAH")</f>
        <v>SOFIATUS SYARIFAH</v>
      </c>
      <c r="C68" s="28">
        <f>IFERROR(__xludf.DUMMYFUNCTION("""COMPUTED_VALUE"""),2.024070455E9)</f>
        <v>2024070455</v>
      </c>
      <c r="D68" s="27" t="str">
        <f>IFERROR(__xludf.DUMMYFUNCTION("""COMPUTED_VALUE"""),"C")</f>
        <v>C</v>
      </c>
      <c r="E68" s="27" t="str">
        <f>IFERROR(__xludf.DUMMYFUNCTION("""COMPUTED_VALUE"""),"C-12")</f>
        <v>C-12</v>
      </c>
      <c r="F68" s="31">
        <f>IFERROR(__xludf.DUMMYFUNCTION("""COMPUTED_VALUE"""),3.0)</f>
        <v>3</v>
      </c>
      <c r="G68" s="27"/>
      <c r="H68" s="28" t="str">
        <f>IFERROR(__xludf.DUMMYFUNCTION("""COMPUTED_VALUE"""),"MTS-9 H")</f>
        <v>MTS-9 H</v>
      </c>
      <c r="I68" s="28" t="str">
        <f>IFERROR(__xludf.DUMMYFUNCTION("""COMPUTED_VALUE"""),"SRI AGUSTIN")</f>
        <v>SRI AGUSTIN</v>
      </c>
      <c r="J68" s="28" t="str">
        <f>IFERROR(__xludf.DUMMYFUNCTION("""COMPUTED_VALUE"""),"JL. ROGONOTO V/13 PAGENTAN RT 001 RW 001 SINGOSARI MALANG")</f>
        <v>JL. ROGONOTO V/13 PAGENTAN RT 001 RW 001 SINGOSARI MALANG</v>
      </c>
      <c r="K68" s="28" t="str">
        <f>IFERROR(__xludf.DUMMYFUNCTION("""COMPUTED_VALUE"""),"6281230986395")</f>
        <v>6281230986395</v>
      </c>
      <c r="L68" s="22">
        <f>IFERROR(__xludf.DUMMYFUNCTION("""COMPUTED_VALUE"""),0.0)</f>
        <v>0</v>
      </c>
      <c r="M68" s="22">
        <f>IFERROR(__xludf.DUMMYFUNCTION("""COMPUTED_VALUE"""),500000.0)</f>
        <v>500000</v>
      </c>
      <c r="N68" s="22">
        <f>IFERROR(__xludf.DUMMYFUNCTION("""COMPUTED_VALUE"""),0.0)</f>
        <v>0</v>
      </c>
      <c r="O68" s="22">
        <f>IFERROR(__xludf.DUMMYFUNCTION("""COMPUTED_VALUE"""),500000.0)</f>
        <v>500000</v>
      </c>
      <c r="P68" s="28" t="str">
        <f t="shared" si="1"/>
        <v>LUNAS</v>
      </c>
      <c r="Q68" s="28">
        <f t="shared" si="2"/>
        <v>128</v>
      </c>
      <c r="R68" s="28" t="str">
        <f t="shared" si="3"/>
        <v>SOFIATUS SYARIFAH</v>
      </c>
    </row>
    <row r="69">
      <c r="A69" s="27">
        <f>IFERROR(__xludf.DUMMYFUNCTION("""COMPUTED_VALUE"""),68.0)</f>
        <v>68</v>
      </c>
      <c r="B69" s="28" t="str">
        <f>IFERROR(__xludf.DUMMYFUNCTION("""COMPUTED_VALUE"""),"SUCI ABELIA IMROATUS SHOLIHA")</f>
        <v>SUCI ABELIA IMROATUS SHOLIHA</v>
      </c>
      <c r="C69" s="28">
        <f>IFERROR(__xludf.DUMMYFUNCTION("""COMPUTED_VALUE"""),2.02407051E9)</f>
        <v>2024070510</v>
      </c>
      <c r="D69" s="27" t="str">
        <f>IFERROR(__xludf.DUMMYFUNCTION("""COMPUTED_VALUE"""),"C")</f>
        <v>C</v>
      </c>
      <c r="E69" s="27" t="str">
        <f>IFERROR(__xludf.DUMMYFUNCTION("""COMPUTED_VALUE"""),"C-12")</f>
        <v>C-12</v>
      </c>
      <c r="F69" s="31">
        <f>IFERROR(__xludf.DUMMYFUNCTION("""COMPUTED_VALUE"""),3.0)</f>
        <v>3</v>
      </c>
      <c r="G69" s="27"/>
      <c r="H69" s="28" t="str">
        <f>IFERROR(__xludf.DUMMYFUNCTION("""COMPUTED_VALUE"""),"MTS-9 D")</f>
        <v>MTS-9 D</v>
      </c>
      <c r="I69" s="28" t="str">
        <f>IFERROR(__xludf.DUMMYFUNCTION("""COMPUTED_VALUE"""),"NUR HIDAYATI")</f>
        <v>NUR HIDAYATI</v>
      </c>
      <c r="J69" s="28" t="str">
        <f>IFERROR(__xludf.DUMMYFUNCTION("""COMPUTED_VALUE"""),"JETIS PETIYINTUNGGAL RT 006 RW 002 DUKUN GRESIK")</f>
        <v>JETIS PETIYINTUNGGAL RT 006 RW 002 DUKUN GRESIK</v>
      </c>
      <c r="K69" s="28" t="str">
        <f>IFERROR(__xludf.DUMMYFUNCTION("""COMPUTED_VALUE"""),"6285852427521")</f>
        <v>6285852427521</v>
      </c>
      <c r="L69" s="22">
        <f>IFERROR(__xludf.DUMMYFUNCTION("""COMPUTED_VALUE"""),0.0)</f>
        <v>0</v>
      </c>
      <c r="M69" s="22">
        <f>IFERROR(__xludf.DUMMYFUNCTION("""COMPUTED_VALUE"""),500000.0)</f>
        <v>500000</v>
      </c>
      <c r="N69" s="22">
        <f>IFERROR(__xludf.DUMMYFUNCTION("""COMPUTED_VALUE"""),0.0)</f>
        <v>0</v>
      </c>
      <c r="O69" s="22">
        <f>IFERROR(__xludf.DUMMYFUNCTION("""COMPUTED_VALUE"""),500000.0)</f>
        <v>500000</v>
      </c>
      <c r="P69" s="28" t="str">
        <f t="shared" si="1"/>
        <v>LUNAS</v>
      </c>
      <c r="Q69" s="28">
        <f t="shared" si="2"/>
        <v>129</v>
      </c>
      <c r="R69" s="28" t="str">
        <f t="shared" si="3"/>
        <v>SUCI ABELIA IMROATUS SHOLIHA</v>
      </c>
    </row>
    <row r="70">
      <c r="A70" s="27">
        <f>IFERROR(__xludf.DUMMYFUNCTION("""COMPUTED_VALUE"""),69.0)</f>
        <v>69</v>
      </c>
      <c r="B70" s="28" t="str">
        <f>IFERROR(__xludf.DUMMYFUNCTION("""COMPUTED_VALUE"""),"TEVY MAULIDAH AMIN")</f>
        <v>TEVY MAULIDAH AMIN</v>
      </c>
      <c r="C70" s="28">
        <f>IFERROR(__xludf.DUMMYFUNCTION("""COMPUTED_VALUE"""),2.024070607E9)</f>
        <v>2024070607</v>
      </c>
      <c r="D70" s="27" t="str">
        <f>IFERROR(__xludf.DUMMYFUNCTION("""COMPUTED_VALUE"""),"C")</f>
        <v>C</v>
      </c>
      <c r="E70" s="27" t="str">
        <f>IFERROR(__xludf.DUMMYFUNCTION("""COMPUTED_VALUE"""),"C-12")</f>
        <v>C-12</v>
      </c>
      <c r="F70" s="31">
        <f>IFERROR(__xludf.DUMMYFUNCTION("""COMPUTED_VALUE"""),3.0)</f>
        <v>3</v>
      </c>
      <c r="G70" s="27" t="str">
        <f>IFERROR(__xludf.DUMMYFUNCTION("""COMPUTED_VALUE"""),"3 ULA A PUTRI")</f>
        <v>3 ULA A PUTRI</v>
      </c>
      <c r="H70" s="28" t="str">
        <f>IFERROR(__xludf.DUMMYFUNCTION("""COMPUTED_VALUE"""),"MTS-9 B")</f>
        <v>MTS-9 B</v>
      </c>
      <c r="I70" s="28" t="str">
        <f>IFERROR(__xludf.DUMMYFUNCTION("""COMPUTED_VALUE"""),"ASMAUL HUSNA")</f>
        <v>ASMAUL HUSNA</v>
      </c>
      <c r="J70" s="28" t="str">
        <f>IFERROR(__xludf.DUMMYFUNCTION("""COMPUTED_VALUE"""),"PUCANGRO RT 002 RW 001 KALITENGAH LAMONGAN")</f>
        <v>PUCANGRO RT 002 RW 001 KALITENGAH LAMONGAN</v>
      </c>
      <c r="K70" s="28" t="str">
        <f>IFERROR(__xludf.DUMMYFUNCTION("""COMPUTED_VALUE"""),"6285731140388")</f>
        <v>6285731140388</v>
      </c>
      <c r="L70" s="22">
        <f>IFERROR(__xludf.DUMMYFUNCTION("""COMPUTED_VALUE"""),450000.0)</f>
        <v>450000</v>
      </c>
      <c r="M70" s="22">
        <f>IFERROR(__xludf.DUMMYFUNCTION("""COMPUTED_VALUE"""),0.0)</f>
        <v>0</v>
      </c>
      <c r="N70" s="22">
        <f>IFERROR(__xludf.DUMMYFUNCTION("""COMPUTED_VALUE"""),0.0)</f>
        <v>0</v>
      </c>
      <c r="O70" s="22">
        <f>IFERROR(__xludf.DUMMYFUNCTION("""COMPUTED_VALUE"""),450000.0)</f>
        <v>450000</v>
      </c>
      <c r="P70" s="28" t="str">
        <f t="shared" si="1"/>
        <v>LUNAS</v>
      </c>
      <c r="Q70" s="28">
        <f t="shared" si="2"/>
        <v>146</v>
      </c>
      <c r="R70" s="28" t="str">
        <f t="shared" si="3"/>
        <v>TEVY MAULIDAH AMIN</v>
      </c>
    </row>
    <row r="71">
      <c r="A71" s="27">
        <f>IFERROR(__xludf.DUMMYFUNCTION("""COMPUTED_VALUE"""),70.0)</f>
        <v>70</v>
      </c>
      <c r="B71" s="28" t="str">
        <f>IFERROR(__xludf.DUMMYFUNCTION("""COMPUTED_VALUE"""),"VANIA WANGSA SYAH ADAM")</f>
        <v>VANIA WANGSA SYAH ADAM</v>
      </c>
      <c r="C71" s="28">
        <f>IFERROR(__xludf.DUMMYFUNCTION("""COMPUTED_VALUE"""),2.025020002E9)</f>
        <v>2025020002</v>
      </c>
      <c r="D71" s="27" t="str">
        <f>IFERROR(__xludf.DUMMYFUNCTION("""COMPUTED_VALUE"""),"C")</f>
        <v>C</v>
      </c>
      <c r="E71" s="27" t="str">
        <f>IFERROR(__xludf.DUMMYFUNCTION("""COMPUTED_VALUE"""),"C-12")</f>
        <v>C-12</v>
      </c>
      <c r="F71" s="31">
        <f>IFERROR(__xludf.DUMMYFUNCTION("""COMPUTED_VALUE"""),3.0)</f>
        <v>3</v>
      </c>
      <c r="G71" s="27"/>
      <c r="H71" s="28" t="str">
        <f>IFERROR(__xludf.DUMMYFUNCTION("""COMPUTED_VALUE"""),"MTS-9 G")</f>
        <v>MTS-9 G</v>
      </c>
      <c r="I71" s="28" t="str">
        <f>IFERROR(__xludf.DUMMYFUNCTION("""COMPUTED_VALUE"""),"SITI MASITOH AGUSTIANA")</f>
        <v>SITI MASITOH AGUSTIANA</v>
      </c>
      <c r="J71" s="28" t="str">
        <f>IFERROR(__xludf.DUMMYFUNCTION("""COMPUTED_VALUE"""),"SUKOBENDU MANTUP LAMONGAN")</f>
        <v>SUKOBENDU MANTUP LAMONGAN</v>
      </c>
      <c r="K71" s="28" t="str">
        <f>IFERROR(__xludf.DUMMYFUNCTION("""COMPUTED_VALUE"""),"6281216110229")</f>
        <v>6281216110229</v>
      </c>
      <c r="L71" s="22">
        <f>IFERROR(__xludf.DUMMYFUNCTION("""COMPUTED_VALUE"""),450000.0)</f>
        <v>450000</v>
      </c>
      <c r="M71" s="22">
        <f>IFERROR(__xludf.DUMMYFUNCTION("""COMPUTED_VALUE"""),500000.0)</f>
        <v>500000</v>
      </c>
      <c r="N71" s="22">
        <f>IFERROR(__xludf.DUMMYFUNCTION("""COMPUTED_VALUE"""),0.0)</f>
        <v>0</v>
      </c>
      <c r="O71" s="22">
        <f>IFERROR(__xludf.DUMMYFUNCTION("""COMPUTED_VALUE"""),950000.0)</f>
        <v>950000</v>
      </c>
      <c r="P71" s="28" t="str">
        <f t="shared" si="1"/>
        <v>LUNAS</v>
      </c>
      <c r="Q71" s="28">
        <f t="shared" si="2"/>
        <v>110</v>
      </c>
      <c r="R71" s="28" t="str">
        <f t="shared" si="3"/>
        <v>VANIA WANGSA SYAH ADAM</v>
      </c>
    </row>
    <row r="72">
      <c r="A72" s="27">
        <f>IFERROR(__xludf.DUMMYFUNCTION("""COMPUTED_VALUE"""),71.0)</f>
        <v>71</v>
      </c>
      <c r="B72" s="28" t="str">
        <f>IFERROR(__xludf.DUMMYFUNCTION("""COMPUTED_VALUE"""),"ZAHROTUS SYIFA FAIHATUL MAGHFIROH")</f>
        <v>ZAHROTUS SYIFA FAIHATUL MAGHFIROH</v>
      </c>
      <c r="C72" s="28">
        <f>IFERROR(__xludf.DUMMYFUNCTION("""COMPUTED_VALUE"""),2.024070625E9)</f>
        <v>2024070625</v>
      </c>
      <c r="D72" s="27" t="str">
        <f>IFERROR(__xludf.DUMMYFUNCTION("""COMPUTED_VALUE"""),"C")</f>
        <v>C</v>
      </c>
      <c r="E72" s="27" t="str">
        <f>IFERROR(__xludf.DUMMYFUNCTION("""COMPUTED_VALUE"""),"C-12")</f>
        <v>C-12</v>
      </c>
      <c r="F72" s="31">
        <f>IFERROR(__xludf.DUMMYFUNCTION("""COMPUTED_VALUE"""),3.0)</f>
        <v>3</v>
      </c>
      <c r="G72" s="27"/>
      <c r="H72" s="28" t="str">
        <f>IFERROR(__xludf.DUMMYFUNCTION("""COMPUTED_VALUE"""),"MTS-9 B")</f>
        <v>MTS-9 B</v>
      </c>
      <c r="I72" s="28" t="str">
        <f>IFERROR(__xludf.DUMMYFUNCTION("""COMPUTED_VALUE"""),"SITI KHOLIFAH")</f>
        <v>SITI KHOLIFAH</v>
      </c>
      <c r="J72" s="28" t="str">
        <f>IFERROR(__xludf.DUMMYFUNCTION("""COMPUTED_VALUE"""),"BADU BADURAME RT 001 RW 004 TURI LAMONGAN")</f>
        <v>BADU BADURAME RT 001 RW 004 TURI LAMONGAN</v>
      </c>
      <c r="K72" s="28" t="str">
        <f>IFERROR(__xludf.DUMMYFUNCTION("""COMPUTED_VALUE"""),"628585527679")</f>
        <v>628585527679</v>
      </c>
      <c r="L72" s="22">
        <f>IFERROR(__xludf.DUMMYFUNCTION("""COMPUTED_VALUE"""),900000.0)</f>
        <v>900000</v>
      </c>
      <c r="M72" s="22">
        <f>IFERROR(__xludf.DUMMYFUNCTION("""COMPUTED_VALUE"""),1000000.0)</f>
        <v>1000000</v>
      </c>
      <c r="N72" s="22">
        <f>IFERROR(__xludf.DUMMYFUNCTION("""COMPUTED_VALUE"""),0.0)</f>
        <v>0</v>
      </c>
      <c r="O72" s="22">
        <f>IFERROR(__xludf.DUMMYFUNCTION("""COMPUTED_VALUE"""),1900000.0)</f>
        <v>1900000</v>
      </c>
      <c r="P72" s="28" t="str">
        <f t="shared" si="1"/>
        <v>LUNAS</v>
      </c>
      <c r="Q72" s="28">
        <f t="shared" si="2"/>
        <v>29</v>
      </c>
      <c r="R72" s="28" t="str">
        <f t="shared" si="3"/>
        <v>ZAHROTUS SYIFA FAIHATUL MAGHFIROH</v>
      </c>
    </row>
    <row r="73">
      <c r="A73" s="27">
        <f>IFERROR(__xludf.DUMMYFUNCTION("""COMPUTED_VALUE"""),72.0)</f>
        <v>72</v>
      </c>
      <c r="B73" s="28" t="str">
        <f>IFERROR(__xludf.DUMMYFUNCTION("""COMPUTED_VALUE"""),"FILDZAH ALTOFUN NESA")</f>
        <v>FILDZAH ALTOFUN NESA</v>
      </c>
      <c r="C73" s="28">
        <f>IFERROR(__xludf.DUMMYFUNCTION("""COMPUTED_VALUE"""),2.024070549E9)</f>
        <v>2024070549</v>
      </c>
      <c r="D73" s="27" t="str">
        <f>IFERROR(__xludf.DUMMYFUNCTION("""COMPUTED_VALUE"""),"C")</f>
        <v>C</v>
      </c>
      <c r="E73" s="27" t="str">
        <f>IFERROR(__xludf.DUMMYFUNCTION("""COMPUTED_VALUE"""),"C-12")</f>
        <v>C-12</v>
      </c>
      <c r="F73" s="31">
        <f>IFERROR(__xludf.DUMMYFUNCTION("""COMPUTED_VALUE"""),3.0)</f>
        <v>3</v>
      </c>
      <c r="G73" s="27" t="str">
        <f>IFERROR(__xludf.DUMMYFUNCTION("""COMPUTED_VALUE"""),"3 ULA B PUTRI")</f>
        <v>3 ULA B PUTRI</v>
      </c>
      <c r="H73" s="28" t="str">
        <f>IFERROR(__xludf.DUMMYFUNCTION("""COMPUTED_VALUE"""),"MTS-9 G")</f>
        <v>MTS-9 G</v>
      </c>
      <c r="I73" s="28" t="str">
        <f>IFERROR(__xludf.DUMMYFUNCTION("""COMPUTED_VALUE"""),"LUSIANA DWININGTIAS")</f>
        <v>LUSIANA DWININGTIAS</v>
      </c>
      <c r="J73" s="28" t="str">
        <f>IFERROR(__xludf.DUMMYFUNCTION("""COMPUTED_VALUE"""),"NGULEK KALIREJO RT 003 RW 002 DUKUN GRESIK")</f>
        <v>NGULEK KALIREJO RT 003 RW 002 DUKUN GRESIK</v>
      </c>
      <c r="K73" s="28" t="str">
        <f>IFERROR(__xludf.DUMMYFUNCTION("""COMPUTED_VALUE"""),"628121719135")</f>
        <v>628121719135</v>
      </c>
      <c r="L73" s="22">
        <f>IFERROR(__xludf.DUMMYFUNCTION("""COMPUTED_VALUE"""),1350000.0)</f>
        <v>1350000</v>
      </c>
      <c r="M73" s="22">
        <f>IFERROR(__xludf.DUMMYFUNCTION("""COMPUTED_VALUE"""),0.0)</f>
        <v>0</v>
      </c>
      <c r="N73" s="22">
        <f>IFERROR(__xludf.DUMMYFUNCTION("""COMPUTED_VALUE"""),0.0)</f>
        <v>0</v>
      </c>
      <c r="O73" s="22">
        <f>IFERROR(__xludf.DUMMYFUNCTION("""COMPUTED_VALUE"""),1350000.0)</f>
        <v>1350000</v>
      </c>
      <c r="P73" s="28" t="str">
        <f t="shared" si="1"/>
        <v>LUNAS</v>
      </c>
      <c r="Q73" s="28">
        <f t="shared" si="2"/>
        <v>48</v>
      </c>
      <c r="R73" s="28" t="str">
        <f t="shared" si="3"/>
        <v>FILDZAH ALTOFUN NESA</v>
      </c>
    </row>
    <row r="74">
      <c r="A74" s="27">
        <f>IFERROR(__xludf.DUMMYFUNCTION("""COMPUTED_VALUE"""),73.0)</f>
        <v>73</v>
      </c>
      <c r="B74" s="28" t="str">
        <f>IFERROR(__xludf.DUMMYFUNCTION("""COMPUTED_VALUE"""),"KAYLA KHUSUS FATIMATUZZAHRO")</f>
        <v>KAYLA KHUSUS FATIMATUZZAHRO</v>
      </c>
      <c r="C74" s="28">
        <f>IFERROR(__xludf.DUMMYFUNCTION("""COMPUTED_VALUE"""),2.02407057E9)</f>
        <v>2024070570</v>
      </c>
      <c r="D74" s="27" t="str">
        <f>IFERROR(__xludf.DUMMYFUNCTION("""COMPUTED_VALUE"""),"C")</f>
        <v>C</v>
      </c>
      <c r="E74" s="27" t="str">
        <f>IFERROR(__xludf.DUMMYFUNCTION("""COMPUTED_VALUE"""),"C-12")</f>
        <v>C-12</v>
      </c>
      <c r="F74" s="31">
        <f>IFERROR(__xludf.DUMMYFUNCTION("""COMPUTED_VALUE"""),3.0)</f>
        <v>3</v>
      </c>
      <c r="G74" s="27"/>
      <c r="H74" s="28" t="str">
        <f>IFERROR(__xludf.DUMMYFUNCTION("""COMPUTED_VALUE"""),"MTS-9 H")</f>
        <v>MTS-9 H</v>
      </c>
      <c r="I74" s="28" t="str">
        <f>IFERROR(__xludf.DUMMYFUNCTION("""COMPUTED_VALUE"""),"SRI SUSYATI")</f>
        <v>SRI SUSYATI</v>
      </c>
      <c r="J74" s="28" t="str">
        <f>IFERROR(__xludf.DUMMYFUNCTION("""COMPUTED_VALUE"""),"KARANGANOM RT 002 RW 001 KARANGBINANGUN LAMONGAN")</f>
        <v>KARANGANOM RT 002 RW 001 KARANGBINANGUN LAMONGAN</v>
      </c>
      <c r="K74" s="28" t="str">
        <f>IFERROR(__xludf.DUMMYFUNCTION("""COMPUTED_VALUE"""),"6285802507179")</f>
        <v>6285802507179</v>
      </c>
      <c r="L74" s="22">
        <f>IFERROR(__xludf.DUMMYFUNCTION("""COMPUTED_VALUE"""),0.0)</f>
        <v>0</v>
      </c>
      <c r="M74" s="22">
        <f>IFERROR(__xludf.DUMMYFUNCTION("""COMPUTED_VALUE"""),0.0)</f>
        <v>0</v>
      </c>
      <c r="N74" s="22">
        <f>IFERROR(__xludf.DUMMYFUNCTION("""COMPUTED_VALUE"""),0.0)</f>
        <v>0</v>
      </c>
      <c r="O74" s="22">
        <f>IFERROR(__xludf.DUMMYFUNCTION("""COMPUTED_VALUE"""),0.0)</f>
        <v>0</v>
      </c>
      <c r="P74" s="28" t="str">
        <f t="shared" si="1"/>
        <v>LUNAS</v>
      </c>
      <c r="Q74" s="28">
        <f t="shared" si="2"/>
        <v>171</v>
      </c>
      <c r="R74" s="28" t="str">
        <f t="shared" si="3"/>
        <v>KAYLA KHUSUS FATIMATUZZAHRO</v>
      </c>
    </row>
    <row r="75">
      <c r="A75" s="27">
        <f>IFERROR(__xludf.DUMMYFUNCTION("""COMPUTED_VALUE"""),74.0)</f>
        <v>74</v>
      </c>
      <c r="B75" s="28" t="str">
        <f>IFERROR(__xludf.DUMMYFUNCTION("""COMPUTED_VALUE"""),"AISYAH NUR KHOLIFAH")</f>
        <v>AISYAH NUR KHOLIFAH</v>
      </c>
      <c r="C75" s="28">
        <f>IFERROR(__xludf.DUMMYFUNCTION("""COMPUTED_VALUE"""),2.025070509E9)</f>
        <v>2025070509</v>
      </c>
      <c r="D75" s="27" t="str">
        <f>IFERROR(__xludf.DUMMYFUNCTION("""COMPUTED_VALUE"""),"C")</f>
        <v>C</v>
      </c>
      <c r="E75" s="27" t="str">
        <f>IFERROR(__xludf.DUMMYFUNCTION("""COMPUTED_VALUE"""),"C-13")</f>
        <v>C-13</v>
      </c>
      <c r="F75" s="31">
        <f>IFERROR(__xludf.DUMMYFUNCTION("""COMPUTED_VALUE"""),2.0)</f>
        <v>2</v>
      </c>
      <c r="G75" s="27" t="str">
        <f>IFERROR(__xludf.DUMMYFUNCTION("""COMPUTED_VALUE"""),"2 ULA B PUTRI")</f>
        <v>2 ULA B PUTRI</v>
      </c>
      <c r="H75" s="28" t="str">
        <f>IFERROR(__xludf.DUMMYFUNCTION("""COMPUTED_VALUE"""),"MTS-8 C")</f>
        <v>MTS-8 C</v>
      </c>
      <c r="I75" s="28" t="str">
        <f>IFERROR(__xludf.DUMMYFUNCTION("""COMPUTED_VALUE"""),"SRIYATI")</f>
        <v>SRIYATI</v>
      </c>
      <c r="J75" s="28" t="str">
        <f>IFERROR(__xludf.DUMMYFUNCTION("""COMPUTED_VALUE"""),"NGAYUNG RT 009 RW 003 MADURAN LAMONGAN")</f>
        <v>NGAYUNG RT 009 RW 003 MADURAN LAMONGAN</v>
      </c>
      <c r="K75" s="28" t="str">
        <f>IFERROR(__xludf.DUMMYFUNCTION("""COMPUTED_VALUE"""),"6281511152728")</f>
        <v>6281511152728</v>
      </c>
      <c r="L75" s="22">
        <f>IFERROR(__xludf.DUMMYFUNCTION("""COMPUTED_VALUE"""),0.0)</f>
        <v>0</v>
      </c>
      <c r="M75" s="22">
        <f>IFERROR(__xludf.DUMMYFUNCTION("""COMPUTED_VALUE"""),0.0)</f>
        <v>0</v>
      </c>
      <c r="N75" s="22">
        <f>IFERROR(__xludf.DUMMYFUNCTION("""COMPUTED_VALUE"""),0.0)</f>
        <v>0</v>
      </c>
      <c r="O75" s="22">
        <f>IFERROR(__xludf.DUMMYFUNCTION("""COMPUTED_VALUE"""),0.0)</f>
        <v>0</v>
      </c>
      <c r="P75" s="28" t="str">
        <f t="shared" si="1"/>
        <v>LUNAS</v>
      </c>
      <c r="Q75" s="28">
        <f t="shared" si="2"/>
        <v>172</v>
      </c>
      <c r="R75" s="28" t="str">
        <f t="shared" si="3"/>
        <v>AISYAH NUR KHOLIFAH</v>
      </c>
    </row>
    <row r="76">
      <c r="A76" s="27">
        <f>IFERROR(__xludf.DUMMYFUNCTION("""COMPUTED_VALUE"""),75.0)</f>
        <v>75</v>
      </c>
      <c r="B76" s="28" t="str">
        <f>IFERROR(__xludf.DUMMYFUNCTION("""COMPUTED_VALUE"""),"ANDHIRA REGINA PRAMESTI")</f>
        <v>ANDHIRA REGINA PRAMESTI</v>
      </c>
      <c r="C76" s="28">
        <f>IFERROR(__xludf.DUMMYFUNCTION("""COMPUTED_VALUE"""),2.025070559E9)</f>
        <v>2025070559</v>
      </c>
      <c r="D76" s="27" t="str">
        <f>IFERROR(__xludf.DUMMYFUNCTION("""COMPUTED_VALUE"""),"C")</f>
        <v>C</v>
      </c>
      <c r="E76" s="27" t="str">
        <f>IFERROR(__xludf.DUMMYFUNCTION("""COMPUTED_VALUE"""),"C-13")</f>
        <v>C-13</v>
      </c>
      <c r="F76" s="31">
        <f>IFERROR(__xludf.DUMMYFUNCTION("""COMPUTED_VALUE"""),2.0)</f>
        <v>2</v>
      </c>
      <c r="G76" s="27" t="str">
        <f>IFERROR(__xludf.DUMMYFUNCTION("""COMPUTED_VALUE"""),"2 ULA B PUTRI")</f>
        <v>2 ULA B PUTRI</v>
      </c>
      <c r="H76" s="28" t="str">
        <f>IFERROR(__xludf.DUMMYFUNCTION("""COMPUTED_VALUE"""),"MTS-8 D")</f>
        <v>MTS-8 D</v>
      </c>
      <c r="I76" s="28" t="str">
        <f>IFERROR(__xludf.DUMMYFUNCTION("""COMPUTED_VALUE"""),"SUKARTI")</f>
        <v>SUKARTI</v>
      </c>
      <c r="J76" s="28" t="str">
        <f>IFERROR(__xludf.DUMMYFUNCTION("""COMPUTED_VALUE"""),"NGUJUNG NGUJUNGREJO RT 003 RW 002 TURI LAMONGAN")</f>
        <v>NGUJUNG NGUJUNGREJO RT 003 RW 002 TURI LAMONGAN</v>
      </c>
      <c r="K76" s="28" t="str">
        <f>IFERROR(__xludf.DUMMYFUNCTION("""COMPUTED_VALUE"""),"6288804968028")</f>
        <v>6288804968028</v>
      </c>
      <c r="L76" s="22">
        <f>IFERROR(__xludf.DUMMYFUNCTION("""COMPUTED_VALUE"""),1350000.0)</f>
        <v>1350000</v>
      </c>
      <c r="M76" s="22">
        <f>IFERROR(__xludf.DUMMYFUNCTION("""COMPUTED_VALUE"""),1000000.0)</f>
        <v>1000000</v>
      </c>
      <c r="N76" s="22">
        <f>IFERROR(__xludf.DUMMYFUNCTION("""COMPUTED_VALUE"""),0.0)</f>
        <v>0</v>
      </c>
      <c r="O76" s="22">
        <f>IFERROR(__xludf.DUMMYFUNCTION("""COMPUTED_VALUE"""),2350000.0)</f>
        <v>2350000</v>
      </c>
      <c r="P76" s="28" t="str">
        <f t="shared" si="1"/>
        <v>LUNAS</v>
      </c>
      <c r="Q76" s="28">
        <f t="shared" si="2"/>
        <v>22</v>
      </c>
      <c r="R76" s="28" t="str">
        <f t="shared" si="3"/>
        <v>ANDHIRA REGINA PRAMESTI</v>
      </c>
    </row>
    <row r="77">
      <c r="A77" s="27">
        <f>IFERROR(__xludf.DUMMYFUNCTION("""COMPUTED_VALUE"""),76.0)</f>
        <v>76</v>
      </c>
      <c r="B77" s="28" t="str">
        <f>IFERROR(__xludf.DUMMYFUNCTION("""COMPUTED_VALUE"""),"AS SYIFANI NUR KHOLIF")</f>
        <v>AS SYIFANI NUR KHOLIF</v>
      </c>
      <c r="C77" s="28">
        <f>IFERROR(__xludf.DUMMYFUNCTION("""COMPUTED_VALUE"""),2.025070641E9)</f>
        <v>2025070641</v>
      </c>
      <c r="D77" s="27" t="str">
        <f>IFERROR(__xludf.DUMMYFUNCTION("""COMPUTED_VALUE"""),"C")</f>
        <v>C</v>
      </c>
      <c r="E77" s="27" t="str">
        <f>IFERROR(__xludf.DUMMYFUNCTION("""COMPUTED_VALUE"""),"C-13")</f>
        <v>C-13</v>
      </c>
      <c r="F77" s="31">
        <f>IFERROR(__xludf.DUMMYFUNCTION("""COMPUTED_VALUE"""),2.0)</f>
        <v>2</v>
      </c>
      <c r="G77" s="27" t="str">
        <f>IFERROR(__xludf.DUMMYFUNCTION("""COMPUTED_VALUE"""),"2 ULA B PUTRI")</f>
        <v>2 ULA B PUTRI</v>
      </c>
      <c r="H77" s="28" t="str">
        <f>IFERROR(__xludf.DUMMYFUNCTION("""COMPUTED_VALUE"""),"MTS-8 C")</f>
        <v>MTS-8 C</v>
      </c>
      <c r="I77" s="28" t="str">
        <f>IFERROR(__xludf.DUMMYFUNCTION("""COMPUTED_VALUE"""),"SITI MAEMONAH")</f>
        <v>SITI MAEMONAH</v>
      </c>
      <c r="J77" s="28" t="str">
        <f>IFERROR(__xludf.DUMMYFUNCTION("""COMPUTED_VALUE"""),"NGAYUNG RT 008 RW 003 MADURAN LAMONGAN")</f>
        <v>NGAYUNG RT 008 RW 003 MADURAN LAMONGAN</v>
      </c>
      <c r="K77" s="28" t="str">
        <f>IFERROR(__xludf.DUMMYFUNCTION("""COMPUTED_VALUE"""),"6281259603646")</f>
        <v>6281259603646</v>
      </c>
      <c r="L77" s="22">
        <f>IFERROR(__xludf.DUMMYFUNCTION("""COMPUTED_VALUE"""),0.0)</f>
        <v>0</v>
      </c>
      <c r="M77" s="22">
        <f>IFERROR(__xludf.DUMMYFUNCTION("""COMPUTED_VALUE"""),1000000.0)</f>
        <v>1000000</v>
      </c>
      <c r="N77" s="22">
        <f>IFERROR(__xludf.DUMMYFUNCTION("""COMPUTED_VALUE"""),0.0)</f>
        <v>0</v>
      </c>
      <c r="O77" s="22">
        <f>IFERROR(__xludf.DUMMYFUNCTION("""COMPUTED_VALUE"""),1000000.0)</f>
        <v>1000000</v>
      </c>
      <c r="P77" s="28" t="str">
        <f t="shared" si="1"/>
        <v>LUNAS</v>
      </c>
      <c r="Q77" s="28">
        <f t="shared" si="2"/>
        <v>76</v>
      </c>
      <c r="R77" s="28" t="str">
        <f t="shared" si="3"/>
        <v>AS SYIFANI NUR KHOLIF</v>
      </c>
    </row>
    <row r="78">
      <c r="A78" s="27">
        <f>IFERROR(__xludf.DUMMYFUNCTION("""COMPUTED_VALUE"""),77.0)</f>
        <v>77</v>
      </c>
      <c r="B78" s="28" t="str">
        <f>IFERROR(__xludf.DUMMYFUNCTION("""COMPUTED_VALUE"""),"DAFINAH ALISHA BATRISYA HARIANTO")</f>
        <v>DAFINAH ALISHA BATRISYA HARIANTO</v>
      </c>
      <c r="C78" s="28">
        <f>IFERROR(__xludf.DUMMYFUNCTION("""COMPUTED_VALUE"""),2.025070514E9)</f>
        <v>2025070514</v>
      </c>
      <c r="D78" s="27" t="str">
        <f>IFERROR(__xludf.DUMMYFUNCTION("""COMPUTED_VALUE"""),"C")</f>
        <v>C</v>
      </c>
      <c r="E78" s="27" t="str">
        <f>IFERROR(__xludf.DUMMYFUNCTION("""COMPUTED_VALUE"""),"C-13")</f>
        <v>C-13</v>
      </c>
      <c r="F78" s="31">
        <f>IFERROR(__xludf.DUMMYFUNCTION("""COMPUTED_VALUE"""),2.0)</f>
        <v>2</v>
      </c>
      <c r="G78" s="27" t="str">
        <f>IFERROR(__xludf.DUMMYFUNCTION("""COMPUTED_VALUE"""),"2 ULA A PUTRI")</f>
        <v>2 ULA A PUTRI</v>
      </c>
      <c r="H78" s="28" t="str">
        <f>IFERROR(__xludf.DUMMYFUNCTION("""COMPUTED_VALUE"""),"MTS-8 D")</f>
        <v>MTS-8 D</v>
      </c>
      <c r="I78" s="28" t="str">
        <f>IFERROR(__xludf.DUMMYFUNCTION("""COMPUTED_VALUE"""),"SUNARTI")</f>
        <v>SUNARTI</v>
      </c>
      <c r="J78" s="28" t="str">
        <f>IFERROR(__xludf.DUMMYFUNCTION("""COMPUTED_VALUE"""),"CANDIPARI TAMBAKPLOSO RT 003 RW 001 TURI LAMONGAN")</f>
        <v>CANDIPARI TAMBAKPLOSO RT 003 RW 001 TURI LAMONGAN</v>
      </c>
      <c r="K78" s="28" t="str">
        <f>IFERROR(__xludf.DUMMYFUNCTION("""COMPUTED_VALUE"""),"6285733302349")</f>
        <v>6285733302349</v>
      </c>
      <c r="L78" s="22">
        <f>IFERROR(__xludf.DUMMYFUNCTION("""COMPUTED_VALUE"""),0.0)</f>
        <v>0</v>
      </c>
      <c r="M78" s="22">
        <f>IFERROR(__xludf.DUMMYFUNCTION("""COMPUTED_VALUE"""),0.0)</f>
        <v>0</v>
      </c>
      <c r="N78" s="22">
        <f>IFERROR(__xludf.DUMMYFUNCTION("""COMPUTED_VALUE"""),0.0)</f>
        <v>0</v>
      </c>
      <c r="O78" s="22">
        <f>IFERROR(__xludf.DUMMYFUNCTION("""COMPUTED_VALUE"""),0.0)</f>
        <v>0</v>
      </c>
      <c r="P78" s="28" t="str">
        <f t="shared" si="1"/>
        <v>LUNAS</v>
      </c>
      <c r="Q78" s="28">
        <f t="shared" si="2"/>
        <v>173</v>
      </c>
      <c r="R78" s="28" t="str">
        <f t="shared" si="3"/>
        <v>DAFINAH ALISHA BATRISYA HARIANTO</v>
      </c>
    </row>
    <row r="79">
      <c r="A79" s="27">
        <f>IFERROR(__xludf.DUMMYFUNCTION("""COMPUTED_VALUE"""),78.0)</f>
        <v>78</v>
      </c>
      <c r="B79" s="28" t="str">
        <f>IFERROR(__xludf.DUMMYFUNCTION("""COMPUTED_VALUE"""),"DARA AULIA SYAHBAN")</f>
        <v>DARA AULIA SYAHBAN</v>
      </c>
      <c r="C79" s="28">
        <f>IFERROR(__xludf.DUMMYFUNCTION("""COMPUTED_VALUE"""),2.025070516E9)</f>
        <v>2025070516</v>
      </c>
      <c r="D79" s="27" t="str">
        <f>IFERROR(__xludf.DUMMYFUNCTION("""COMPUTED_VALUE"""),"C")</f>
        <v>C</v>
      </c>
      <c r="E79" s="27" t="str">
        <f>IFERROR(__xludf.DUMMYFUNCTION("""COMPUTED_VALUE"""),"C-13")</f>
        <v>C-13</v>
      </c>
      <c r="F79" s="31">
        <f>IFERROR(__xludf.DUMMYFUNCTION("""COMPUTED_VALUE"""),2.0)</f>
        <v>2</v>
      </c>
      <c r="G79" s="27" t="str">
        <f>IFERROR(__xludf.DUMMYFUNCTION("""COMPUTED_VALUE"""),"2 ULA A PUTRI")</f>
        <v>2 ULA A PUTRI</v>
      </c>
      <c r="H79" s="28" t="str">
        <f>IFERROR(__xludf.DUMMYFUNCTION("""COMPUTED_VALUE"""),"MTS-8 E")</f>
        <v>MTS-8 E</v>
      </c>
      <c r="I79" s="28" t="str">
        <f>IFERROR(__xludf.DUMMYFUNCTION("""COMPUTED_VALUE"""),"LIS ERNAWATI")</f>
        <v>LIS ERNAWATI</v>
      </c>
      <c r="J79" s="28" t="str">
        <f>IFERROR(__xludf.DUMMYFUNCTION("""COMPUTED_VALUE"""),"NGAYUNG RT 002 RW 001 MADURAN LAMONGAN")</f>
        <v>NGAYUNG RT 002 RW 001 MADURAN LAMONGAN</v>
      </c>
      <c r="K79" s="28" t="str">
        <f>IFERROR(__xludf.DUMMYFUNCTION("""COMPUTED_VALUE"""),"6282232108268")</f>
        <v>6282232108268</v>
      </c>
      <c r="L79" s="22">
        <f>IFERROR(__xludf.DUMMYFUNCTION("""COMPUTED_VALUE"""),0.0)</f>
        <v>0</v>
      </c>
      <c r="M79" s="22">
        <f>IFERROR(__xludf.DUMMYFUNCTION("""COMPUTED_VALUE"""),1000000.0)</f>
        <v>1000000</v>
      </c>
      <c r="N79" s="22">
        <f>IFERROR(__xludf.DUMMYFUNCTION("""COMPUTED_VALUE"""),0.0)</f>
        <v>0</v>
      </c>
      <c r="O79" s="22">
        <f>IFERROR(__xludf.DUMMYFUNCTION("""COMPUTED_VALUE"""),1000000.0)</f>
        <v>1000000</v>
      </c>
      <c r="P79" s="28" t="str">
        <f t="shared" si="1"/>
        <v>LUNAS</v>
      </c>
      <c r="Q79" s="28">
        <f t="shared" si="2"/>
        <v>77</v>
      </c>
      <c r="R79" s="28" t="str">
        <f t="shared" si="3"/>
        <v>DARA AULIA SYAHBAN</v>
      </c>
    </row>
    <row r="80">
      <c r="A80" s="27">
        <f>IFERROR(__xludf.DUMMYFUNCTION("""COMPUTED_VALUE"""),79.0)</f>
        <v>79</v>
      </c>
      <c r="B80" s="28" t="str">
        <f>IFERROR(__xludf.DUMMYFUNCTION("""COMPUTED_VALUE"""),"FARAH AULIA SYIFA UBAIDILLAH")</f>
        <v>FARAH AULIA SYIFA UBAIDILLAH</v>
      </c>
      <c r="C80" s="28">
        <f>IFERROR(__xludf.DUMMYFUNCTION("""COMPUTED_VALUE"""),2.025070579E9)</f>
        <v>2025070579</v>
      </c>
      <c r="D80" s="27" t="str">
        <f>IFERROR(__xludf.DUMMYFUNCTION("""COMPUTED_VALUE"""),"C")</f>
        <v>C</v>
      </c>
      <c r="E80" s="27" t="str">
        <f>IFERROR(__xludf.DUMMYFUNCTION("""COMPUTED_VALUE"""),"C-13")</f>
        <v>C-13</v>
      </c>
      <c r="F80" s="31">
        <f>IFERROR(__xludf.DUMMYFUNCTION("""COMPUTED_VALUE"""),2.0)</f>
        <v>2</v>
      </c>
      <c r="G80" s="27" t="str">
        <f>IFERROR(__xludf.DUMMYFUNCTION("""COMPUTED_VALUE"""),"2 ULA C PUTRI")</f>
        <v>2 ULA C PUTRI</v>
      </c>
      <c r="H80" s="28" t="str">
        <f>IFERROR(__xludf.DUMMYFUNCTION("""COMPUTED_VALUE"""),"MTS-8 C")</f>
        <v>MTS-8 C</v>
      </c>
      <c r="I80" s="28" t="str">
        <f>IFERROR(__xludf.DUMMYFUNCTION("""COMPUTED_VALUE"""),"SUMARMI")</f>
        <v>SUMARMI</v>
      </c>
      <c r="J80" s="28" t="str">
        <f>IFERROR(__xludf.DUMMYFUNCTION("""COMPUTED_VALUE"""),"WUDI SUKOANYAR RT 001 RW 003 TURI LAMONGAN")</f>
        <v>WUDI SUKOANYAR RT 001 RW 003 TURI LAMONGAN</v>
      </c>
      <c r="K80" s="28" t="str">
        <f>IFERROR(__xludf.DUMMYFUNCTION("""COMPUTED_VALUE"""),"6282231237990")</f>
        <v>6282231237990</v>
      </c>
      <c r="L80" s="22">
        <f>IFERROR(__xludf.DUMMYFUNCTION("""COMPUTED_VALUE"""),0.0)</f>
        <v>0</v>
      </c>
      <c r="M80" s="22">
        <f>IFERROR(__xludf.DUMMYFUNCTION("""COMPUTED_VALUE"""),0.0)</f>
        <v>0</v>
      </c>
      <c r="N80" s="22">
        <f>IFERROR(__xludf.DUMMYFUNCTION("""COMPUTED_VALUE"""),0.0)</f>
        <v>0</v>
      </c>
      <c r="O80" s="22">
        <f>IFERROR(__xludf.DUMMYFUNCTION("""COMPUTED_VALUE"""),0.0)</f>
        <v>0</v>
      </c>
      <c r="P80" s="28" t="str">
        <f t="shared" si="1"/>
        <v>LUNAS</v>
      </c>
      <c r="Q80" s="28">
        <f t="shared" si="2"/>
        <v>174</v>
      </c>
      <c r="R80" s="28" t="str">
        <f t="shared" si="3"/>
        <v>FARAH AULIA SYIFA UBAIDILLAH</v>
      </c>
    </row>
    <row r="81">
      <c r="A81" s="27">
        <f>IFERROR(__xludf.DUMMYFUNCTION("""COMPUTED_VALUE"""),80.0)</f>
        <v>80</v>
      </c>
      <c r="B81" s="28" t="str">
        <f>IFERROR(__xludf.DUMMYFUNCTION("""COMPUTED_VALUE"""),"HANIA SYAKIRA FIRNINA")</f>
        <v>HANIA SYAKIRA FIRNINA</v>
      </c>
      <c r="C81" s="28">
        <f>IFERROR(__xludf.DUMMYFUNCTION("""COMPUTED_VALUE"""),2.0250706E9)</f>
        <v>2025070600</v>
      </c>
      <c r="D81" s="27" t="str">
        <f>IFERROR(__xludf.DUMMYFUNCTION("""COMPUTED_VALUE"""),"C")</f>
        <v>C</v>
      </c>
      <c r="E81" s="27" t="str">
        <f>IFERROR(__xludf.DUMMYFUNCTION("""COMPUTED_VALUE"""),"C-13")</f>
        <v>C-13</v>
      </c>
      <c r="F81" s="31">
        <f>IFERROR(__xludf.DUMMYFUNCTION("""COMPUTED_VALUE"""),2.0)</f>
        <v>2</v>
      </c>
      <c r="G81" s="27" t="str">
        <f>IFERROR(__xludf.DUMMYFUNCTION("""COMPUTED_VALUE"""),"2 ULA B PUTRI")</f>
        <v>2 ULA B PUTRI</v>
      </c>
      <c r="H81" s="28" t="str">
        <f>IFERROR(__xludf.DUMMYFUNCTION("""COMPUTED_VALUE"""),"MTS-8 B")</f>
        <v>MTS-8 B</v>
      </c>
      <c r="I81" s="28" t="str">
        <f>IFERROR(__xludf.DUMMYFUNCTION("""COMPUTED_VALUE"""),"SITI MASULAH")</f>
        <v>SITI MASULAH</v>
      </c>
      <c r="J81" s="28" t="str">
        <f>IFERROR(__xludf.DUMMYFUNCTION("""COMPUTED_VALUE"""),"GETUNG TAWANGREJO RT 001 RW 001 TURI LAMONGAN")</f>
        <v>GETUNG TAWANGREJO RT 001 RW 001 TURI LAMONGAN</v>
      </c>
      <c r="K81" s="28" t="str">
        <f>IFERROR(__xludf.DUMMYFUNCTION("""COMPUTED_VALUE"""),"6285606245524")</f>
        <v>6285606245524</v>
      </c>
      <c r="L81" s="22">
        <f>IFERROR(__xludf.DUMMYFUNCTION("""COMPUTED_VALUE"""),0.0)</f>
        <v>0</v>
      </c>
      <c r="M81" s="22">
        <f>IFERROR(__xludf.DUMMYFUNCTION("""COMPUTED_VALUE"""),0.0)</f>
        <v>0</v>
      </c>
      <c r="N81" s="22">
        <f>IFERROR(__xludf.DUMMYFUNCTION("""COMPUTED_VALUE"""),0.0)</f>
        <v>0</v>
      </c>
      <c r="O81" s="22">
        <f>IFERROR(__xludf.DUMMYFUNCTION("""COMPUTED_VALUE"""),0.0)</f>
        <v>0</v>
      </c>
      <c r="P81" s="28" t="str">
        <f t="shared" si="1"/>
        <v>LUNAS</v>
      </c>
      <c r="Q81" s="28">
        <f t="shared" si="2"/>
        <v>175</v>
      </c>
      <c r="R81" s="28" t="str">
        <f t="shared" si="3"/>
        <v>HANIA SYAKIRA FIRNINA</v>
      </c>
    </row>
    <row r="82">
      <c r="A82" s="27">
        <f>IFERROR(__xludf.DUMMYFUNCTION("""COMPUTED_VALUE"""),81.0)</f>
        <v>81</v>
      </c>
      <c r="B82" s="28" t="str">
        <f>IFERROR(__xludf.DUMMYFUNCTION("""COMPUTED_VALUE"""),"LUTFIYAH FARADELLA")</f>
        <v>LUTFIYAH FARADELLA</v>
      </c>
      <c r="C82" s="28">
        <f>IFERROR(__xludf.DUMMYFUNCTION("""COMPUTED_VALUE"""),2.025070568E9)</f>
        <v>2025070568</v>
      </c>
      <c r="D82" s="27" t="str">
        <f>IFERROR(__xludf.DUMMYFUNCTION("""COMPUTED_VALUE"""),"C")</f>
        <v>C</v>
      </c>
      <c r="E82" s="27" t="str">
        <f>IFERROR(__xludf.DUMMYFUNCTION("""COMPUTED_VALUE"""),"C-13")</f>
        <v>C-13</v>
      </c>
      <c r="F82" s="31">
        <f>IFERROR(__xludf.DUMMYFUNCTION("""COMPUTED_VALUE"""),2.0)</f>
        <v>2</v>
      </c>
      <c r="G82" s="27" t="str">
        <f>IFERROR(__xludf.DUMMYFUNCTION("""COMPUTED_VALUE"""),"2 ULA B PUTRI")</f>
        <v>2 ULA B PUTRI</v>
      </c>
      <c r="H82" s="28" t="str">
        <f>IFERROR(__xludf.DUMMYFUNCTION("""COMPUTED_VALUE"""),"MTS-8 D")</f>
        <v>MTS-8 D</v>
      </c>
      <c r="I82" s="28" t="str">
        <f>IFERROR(__xludf.DUMMYFUNCTION("""COMPUTED_VALUE"""),"RUMAINAH")</f>
        <v>RUMAINAH</v>
      </c>
      <c r="J82" s="28" t="str">
        <f>IFERROR(__xludf.DUMMYFUNCTION("""COMPUTED_VALUE"""),"KEBEN RT 002 RW 001 TURI LAMONGAN")</f>
        <v>KEBEN RT 002 RW 001 TURI LAMONGAN</v>
      </c>
      <c r="K82" s="28" t="str">
        <f>IFERROR(__xludf.DUMMYFUNCTION("""COMPUTED_VALUE"""),"6285731146502")</f>
        <v>6285731146502</v>
      </c>
      <c r="L82" s="22">
        <f>IFERROR(__xludf.DUMMYFUNCTION("""COMPUTED_VALUE"""),0.0)</f>
        <v>0</v>
      </c>
      <c r="M82" s="22">
        <f>IFERROR(__xludf.DUMMYFUNCTION("""COMPUTED_VALUE"""),0.0)</f>
        <v>0</v>
      </c>
      <c r="N82" s="22">
        <f>IFERROR(__xludf.DUMMYFUNCTION("""COMPUTED_VALUE"""),0.0)</f>
        <v>0</v>
      </c>
      <c r="O82" s="22">
        <f>IFERROR(__xludf.DUMMYFUNCTION("""COMPUTED_VALUE"""),0.0)</f>
        <v>0</v>
      </c>
      <c r="P82" s="28" t="str">
        <f t="shared" si="1"/>
        <v>LUNAS</v>
      </c>
      <c r="Q82" s="28">
        <f t="shared" si="2"/>
        <v>176</v>
      </c>
      <c r="R82" s="28" t="str">
        <f t="shared" si="3"/>
        <v>LUTFIYAH FARADELLA</v>
      </c>
    </row>
    <row r="83">
      <c r="A83" s="27">
        <f>IFERROR(__xludf.DUMMYFUNCTION("""COMPUTED_VALUE"""),82.0)</f>
        <v>82</v>
      </c>
      <c r="B83" s="28" t="str">
        <f>IFERROR(__xludf.DUMMYFUNCTION("""COMPUTED_VALUE"""),"NAURA NADHIFA FITRI FAJRIA")</f>
        <v>NAURA NADHIFA FITRI FAJRIA</v>
      </c>
      <c r="C83" s="28">
        <f>IFERROR(__xludf.DUMMYFUNCTION("""COMPUTED_VALUE"""),2.025070569E9)</f>
        <v>2025070569</v>
      </c>
      <c r="D83" s="27" t="str">
        <f>IFERROR(__xludf.DUMMYFUNCTION("""COMPUTED_VALUE"""),"C")</f>
        <v>C</v>
      </c>
      <c r="E83" s="27" t="str">
        <f>IFERROR(__xludf.DUMMYFUNCTION("""COMPUTED_VALUE"""),"C-13")</f>
        <v>C-13</v>
      </c>
      <c r="F83" s="31">
        <f>IFERROR(__xludf.DUMMYFUNCTION("""COMPUTED_VALUE"""),2.0)</f>
        <v>2</v>
      </c>
      <c r="G83" s="27" t="str">
        <f>IFERROR(__xludf.DUMMYFUNCTION("""COMPUTED_VALUE"""),"2 ULA A PUTRI")</f>
        <v>2 ULA A PUTRI</v>
      </c>
      <c r="H83" s="28" t="str">
        <f>IFERROR(__xludf.DUMMYFUNCTION("""COMPUTED_VALUE"""),"MTS-8 D")</f>
        <v>MTS-8 D</v>
      </c>
      <c r="I83" s="28" t="str">
        <f>IFERROR(__xludf.DUMMYFUNCTION("""COMPUTED_VALUE"""),"IDA FITRIYAH")</f>
        <v>IDA FITRIYAH</v>
      </c>
      <c r="J83" s="28" t="str">
        <f>IFERROR(__xludf.DUMMYFUNCTION("""COMPUTED_VALUE"""),"TRACAL RT 001 RW 002 KARANGGENENG LAMONGAN")</f>
        <v>TRACAL RT 001 RW 002 KARANGGENENG LAMONGAN</v>
      </c>
      <c r="K83" s="28" t="str">
        <f>IFERROR(__xludf.DUMMYFUNCTION("""COMPUTED_VALUE"""),"6281350312748")</f>
        <v>6281350312748</v>
      </c>
      <c r="L83" s="22">
        <f>IFERROR(__xludf.DUMMYFUNCTION("""COMPUTED_VALUE"""),0.0)</f>
        <v>0</v>
      </c>
      <c r="M83" s="22">
        <f>IFERROR(__xludf.DUMMYFUNCTION("""COMPUTED_VALUE"""),1000000.0)</f>
        <v>1000000</v>
      </c>
      <c r="N83" s="22">
        <f>IFERROR(__xludf.DUMMYFUNCTION("""COMPUTED_VALUE"""),0.0)</f>
        <v>0</v>
      </c>
      <c r="O83" s="22">
        <f>IFERROR(__xludf.DUMMYFUNCTION("""COMPUTED_VALUE"""),1000000.0)</f>
        <v>1000000</v>
      </c>
      <c r="P83" s="28" t="str">
        <f t="shared" si="1"/>
        <v>LUNAS</v>
      </c>
      <c r="Q83" s="28">
        <f t="shared" si="2"/>
        <v>78</v>
      </c>
      <c r="R83" s="28" t="str">
        <f t="shared" si="3"/>
        <v>NAURA NADHIFA FITRI FAJRIA</v>
      </c>
    </row>
    <row r="84">
      <c r="A84" s="27">
        <f>IFERROR(__xludf.DUMMYFUNCTION("""COMPUTED_VALUE"""),83.0)</f>
        <v>83</v>
      </c>
      <c r="B84" s="28" t="str">
        <f>IFERROR(__xludf.DUMMYFUNCTION("""COMPUTED_VALUE"""),"NAURA NADHIFAH AKMAL")</f>
        <v>NAURA NADHIFAH AKMAL</v>
      </c>
      <c r="C84" s="28">
        <f>IFERROR(__xludf.DUMMYFUNCTION("""COMPUTED_VALUE"""),2.02507058E9)</f>
        <v>2025070580</v>
      </c>
      <c r="D84" s="27" t="str">
        <f>IFERROR(__xludf.DUMMYFUNCTION("""COMPUTED_VALUE"""),"C")</f>
        <v>C</v>
      </c>
      <c r="E84" s="27" t="str">
        <f>IFERROR(__xludf.DUMMYFUNCTION("""COMPUTED_VALUE"""),"C-13")</f>
        <v>C-13</v>
      </c>
      <c r="F84" s="31">
        <f>IFERROR(__xludf.DUMMYFUNCTION("""COMPUTED_VALUE"""),2.0)</f>
        <v>2</v>
      </c>
      <c r="G84" s="27" t="str">
        <f>IFERROR(__xludf.DUMMYFUNCTION("""COMPUTED_VALUE"""),"2 ULA A PUTRI")</f>
        <v>2 ULA A PUTRI</v>
      </c>
      <c r="H84" s="28" t="str">
        <f>IFERROR(__xludf.DUMMYFUNCTION("""COMPUTED_VALUE"""),"MTS-8 C")</f>
        <v>MTS-8 C</v>
      </c>
      <c r="I84" s="28" t="str">
        <f>IFERROR(__xludf.DUMMYFUNCTION("""COMPUTED_VALUE"""),"SITI FATIMATUL MAGHNUNAH")</f>
        <v>SITI FATIMATUL MAGHNUNAH</v>
      </c>
      <c r="J84" s="28" t="str">
        <f>IFERROR(__xludf.DUMMYFUNCTION("""COMPUTED_VALUE"""),"GETUNG TAWANGREJO RT 003 RW 001 TURI LAMONGAN")</f>
        <v>GETUNG TAWANGREJO RT 003 RW 001 TURI LAMONGAN</v>
      </c>
      <c r="K84" s="28" t="str">
        <f>IFERROR(__xludf.DUMMYFUNCTION("""COMPUTED_VALUE"""),"6285745731616")</f>
        <v>6285745731616</v>
      </c>
      <c r="L84" s="22">
        <f>IFERROR(__xludf.DUMMYFUNCTION("""COMPUTED_VALUE"""),0.0)</f>
        <v>0</v>
      </c>
      <c r="M84" s="22">
        <f>IFERROR(__xludf.DUMMYFUNCTION("""COMPUTED_VALUE"""),1000000.0)</f>
        <v>1000000</v>
      </c>
      <c r="N84" s="22">
        <f>IFERROR(__xludf.DUMMYFUNCTION("""COMPUTED_VALUE"""),0.0)</f>
        <v>0</v>
      </c>
      <c r="O84" s="22">
        <f>IFERROR(__xludf.DUMMYFUNCTION("""COMPUTED_VALUE"""),1000000.0)</f>
        <v>1000000</v>
      </c>
      <c r="P84" s="28" t="str">
        <f t="shared" si="1"/>
        <v>LUNAS</v>
      </c>
      <c r="Q84" s="28">
        <f t="shared" si="2"/>
        <v>79</v>
      </c>
      <c r="R84" s="28" t="str">
        <f t="shared" si="3"/>
        <v>NAURA NADHIFAH AKMAL</v>
      </c>
    </row>
    <row r="85">
      <c r="A85" s="27">
        <f>IFERROR(__xludf.DUMMYFUNCTION("""COMPUTED_VALUE"""),84.0)</f>
        <v>84</v>
      </c>
      <c r="B85" s="28" t="str">
        <f>IFERROR(__xludf.DUMMYFUNCTION("""COMPUTED_VALUE"""),"NAYSILLA NAFIZZA OKTAVIA")</f>
        <v>NAYSILLA NAFIZZA OKTAVIA</v>
      </c>
      <c r="C85" s="28">
        <f>IFERROR(__xludf.DUMMYFUNCTION("""COMPUTED_VALUE"""),2.025070522E9)</f>
        <v>2025070522</v>
      </c>
      <c r="D85" s="27" t="str">
        <f>IFERROR(__xludf.DUMMYFUNCTION("""COMPUTED_VALUE"""),"C")</f>
        <v>C</v>
      </c>
      <c r="E85" s="27" t="str">
        <f>IFERROR(__xludf.DUMMYFUNCTION("""COMPUTED_VALUE"""),"C-13")</f>
        <v>C-13</v>
      </c>
      <c r="F85" s="31">
        <f>IFERROR(__xludf.DUMMYFUNCTION("""COMPUTED_VALUE"""),2.0)</f>
        <v>2</v>
      </c>
      <c r="G85" s="27" t="str">
        <f>IFERROR(__xludf.DUMMYFUNCTION("""COMPUTED_VALUE"""),"2 ULA A PUTRI")</f>
        <v>2 ULA A PUTRI</v>
      </c>
      <c r="H85" s="28" t="str">
        <f>IFERROR(__xludf.DUMMYFUNCTION("""COMPUTED_VALUE"""),"MTS-8 C")</f>
        <v>MTS-8 C</v>
      </c>
      <c r="I85" s="28" t="str">
        <f>IFERROR(__xludf.DUMMYFUNCTION("""COMPUTED_VALUE"""),"SUHARIYATI")</f>
        <v>SUHARIYATI</v>
      </c>
      <c r="J85" s="28" t="str">
        <f>IFERROR(__xludf.DUMMYFUNCTION("""COMPUTED_VALUE"""),"NGAYUNG RT 009 RW 003 MADURAN LAMONGAN")</f>
        <v>NGAYUNG RT 009 RW 003 MADURAN LAMONGAN</v>
      </c>
      <c r="K85" s="28" t="str">
        <f>IFERROR(__xludf.DUMMYFUNCTION("""COMPUTED_VALUE"""),"6282257586385")</f>
        <v>6282257586385</v>
      </c>
      <c r="L85" s="22">
        <f>IFERROR(__xludf.DUMMYFUNCTION("""COMPUTED_VALUE"""),0.0)</f>
        <v>0</v>
      </c>
      <c r="M85" s="22">
        <f>IFERROR(__xludf.DUMMYFUNCTION("""COMPUTED_VALUE"""),1000000.0)</f>
        <v>1000000</v>
      </c>
      <c r="N85" s="22">
        <f>IFERROR(__xludf.DUMMYFUNCTION("""COMPUTED_VALUE"""),0.0)</f>
        <v>0</v>
      </c>
      <c r="O85" s="22">
        <f>IFERROR(__xludf.DUMMYFUNCTION("""COMPUTED_VALUE"""),1000000.0)</f>
        <v>1000000</v>
      </c>
      <c r="P85" s="28" t="str">
        <f t="shared" si="1"/>
        <v>LUNAS</v>
      </c>
      <c r="Q85" s="28">
        <f t="shared" si="2"/>
        <v>80</v>
      </c>
      <c r="R85" s="28" t="str">
        <f t="shared" si="3"/>
        <v>NAYSILLA NAFIZZA OKTAVIA</v>
      </c>
    </row>
    <row r="86">
      <c r="A86" s="27">
        <f>IFERROR(__xludf.DUMMYFUNCTION("""COMPUTED_VALUE"""),85.0)</f>
        <v>85</v>
      </c>
      <c r="B86" s="28" t="str">
        <f>IFERROR(__xludf.DUMMYFUNCTION("""COMPUTED_VALUE"""),"NEYLA MARITSA AZ ZAHRA")</f>
        <v>NEYLA MARITSA AZ ZAHRA</v>
      </c>
      <c r="C86" s="28">
        <f>IFERROR(__xludf.DUMMYFUNCTION("""COMPUTED_VALUE"""),2.025070657E9)</f>
        <v>2025070657</v>
      </c>
      <c r="D86" s="27" t="str">
        <f>IFERROR(__xludf.DUMMYFUNCTION("""COMPUTED_VALUE"""),"C")</f>
        <v>C</v>
      </c>
      <c r="E86" s="27" t="str">
        <f>IFERROR(__xludf.DUMMYFUNCTION("""COMPUTED_VALUE"""),"C-13")</f>
        <v>C-13</v>
      </c>
      <c r="F86" s="31">
        <f>IFERROR(__xludf.DUMMYFUNCTION("""COMPUTED_VALUE"""),2.0)</f>
        <v>2</v>
      </c>
      <c r="G86" s="27" t="str">
        <f>IFERROR(__xludf.DUMMYFUNCTION("""COMPUTED_VALUE"""),"ULA")</f>
        <v>ULA</v>
      </c>
      <c r="H86" s="28" t="str">
        <f>IFERROR(__xludf.DUMMYFUNCTION("""COMPUTED_VALUE"""),"MTS-8 D")</f>
        <v>MTS-8 D</v>
      </c>
      <c r="I86" s="28" t="str">
        <f>IFERROR(__xludf.DUMMYFUNCTION("""COMPUTED_VALUE"""),"LAILY KHULAILAH")</f>
        <v>LAILY KHULAILAH</v>
      </c>
      <c r="J86" s="28" t="str">
        <f>IFERROR(__xludf.DUMMYFUNCTION("""COMPUTED_VALUE"""),"SERAH RT 011 RW 005 PANCENG GRESIK")</f>
        <v>SERAH RT 011 RW 005 PANCENG GRESIK</v>
      </c>
      <c r="K86" s="28" t="str">
        <f>IFERROR(__xludf.DUMMYFUNCTION("""COMPUTED_VALUE"""),"628563450049")</f>
        <v>628563450049</v>
      </c>
      <c r="L86" s="22">
        <f>IFERROR(__xludf.DUMMYFUNCTION("""COMPUTED_VALUE"""),4500000.0)</f>
        <v>4500000</v>
      </c>
      <c r="M86" s="22">
        <f>IFERROR(__xludf.DUMMYFUNCTION("""COMPUTED_VALUE"""),1600000.0)</f>
        <v>1600000</v>
      </c>
      <c r="N86" s="22">
        <f>IFERROR(__xludf.DUMMYFUNCTION("""COMPUTED_VALUE"""),0.0)</f>
        <v>0</v>
      </c>
      <c r="O86" s="22">
        <f>IFERROR(__xludf.DUMMYFUNCTION("""COMPUTED_VALUE"""),6100000.0)</f>
        <v>6100000</v>
      </c>
      <c r="P86" s="28" t="str">
        <f t="shared" si="1"/>
        <v>LUNAS</v>
      </c>
      <c r="Q86" s="28">
        <f t="shared" si="2"/>
        <v>3</v>
      </c>
      <c r="R86" s="28" t="str">
        <f t="shared" si="3"/>
        <v>NEYLA MARITSA AZ ZAHRA</v>
      </c>
    </row>
    <row r="87">
      <c r="A87" s="27">
        <f>IFERROR(__xludf.DUMMYFUNCTION("""COMPUTED_VALUE"""),86.0)</f>
        <v>86</v>
      </c>
      <c r="B87" s="28" t="str">
        <f>IFERROR(__xludf.DUMMYFUNCTION("""COMPUTED_VALUE"""),"NURUL AINI LAILIYAH")</f>
        <v>NURUL AINI LAILIYAH</v>
      </c>
      <c r="C87" s="28">
        <f>IFERROR(__xludf.DUMMYFUNCTION("""COMPUTED_VALUE"""),2.025070567E9)</f>
        <v>2025070567</v>
      </c>
      <c r="D87" s="27" t="str">
        <f>IFERROR(__xludf.DUMMYFUNCTION("""COMPUTED_VALUE"""),"C")</f>
        <v>C</v>
      </c>
      <c r="E87" s="27" t="str">
        <f>IFERROR(__xludf.DUMMYFUNCTION("""COMPUTED_VALUE"""),"C-13")</f>
        <v>C-13</v>
      </c>
      <c r="F87" s="31">
        <f>IFERROR(__xludf.DUMMYFUNCTION("""COMPUTED_VALUE"""),2.0)</f>
        <v>2</v>
      </c>
      <c r="G87" s="27" t="str">
        <f>IFERROR(__xludf.DUMMYFUNCTION("""COMPUTED_VALUE"""),"2 ULA B PUTRI")</f>
        <v>2 ULA B PUTRI</v>
      </c>
      <c r="H87" s="28" t="str">
        <f>IFERROR(__xludf.DUMMYFUNCTION("""COMPUTED_VALUE"""),"MTS-8 D")</f>
        <v>MTS-8 D</v>
      </c>
      <c r="I87" s="28" t="str">
        <f>IFERROR(__xludf.DUMMYFUNCTION("""COMPUTED_VALUE"""),"ALIMATUS SHOLIKHAH")</f>
        <v>ALIMATUS SHOLIKHAH</v>
      </c>
      <c r="J87" s="28" t="str">
        <f>IFERROR(__xludf.DUMMYFUNCTION("""COMPUTED_VALUE"""),"KEBEN RT 002 RW 001 TURI LAMONGAN")</f>
        <v>KEBEN RT 002 RW 001 TURI LAMONGAN</v>
      </c>
      <c r="K87" s="28" t="str">
        <f>IFERROR(__xludf.DUMMYFUNCTION("""COMPUTED_VALUE"""),"628121782262")</f>
        <v>628121782262</v>
      </c>
      <c r="L87" s="22">
        <f>IFERROR(__xludf.DUMMYFUNCTION("""COMPUTED_VALUE"""),0.0)</f>
        <v>0</v>
      </c>
      <c r="M87" s="22">
        <f>IFERROR(__xludf.DUMMYFUNCTION("""COMPUTED_VALUE"""),0.0)</f>
        <v>0</v>
      </c>
      <c r="N87" s="22">
        <f>IFERROR(__xludf.DUMMYFUNCTION("""COMPUTED_VALUE"""),0.0)</f>
        <v>0</v>
      </c>
      <c r="O87" s="22">
        <f>IFERROR(__xludf.DUMMYFUNCTION("""COMPUTED_VALUE"""),0.0)</f>
        <v>0</v>
      </c>
      <c r="P87" s="28" t="str">
        <f t="shared" si="1"/>
        <v>LUNAS</v>
      </c>
      <c r="Q87" s="28">
        <f t="shared" si="2"/>
        <v>177</v>
      </c>
      <c r="R87" s="28" t="str">
        <f t="shared" si="3"/>
        <v>NURUL AINI LAILIYAH</v>
      </c>
    </row>
    <row r="88">
      <c r="A88" s="27">
        <f>IFERROR(__xludf.DUMMYFUNCTION("""COMPUTED_VALUE"""),87.0)</f>
        <v>87</v>
      </c>
      <c r="B88" s="28" t="str">
        <f>IFERROR(__xludf.DUMMYFUNCTION("""COMPUTED_VALUE"""),"NUZULUL AINURROHMA")</f>
        <v>NUZULUL AINURROHMA</v>
      </c>
      <c r="C88" s="28">
        <f>IFERROR(__xludf.DUMMYFUNCTION("""COMPUTED_VALUE"""),2.025070584E9)</f>
        <v>2025070584</v>
      </c>
      <c r="D88" s="27" t="str">
        <f>IFERROR(__xludf.DUMMYFUNCTION("""COMPUTED_VALUE"""),"C")</f>
        <v>C</v>
      </c>
      <c r="E88" s="27" t="str">
        <f>IFERROR(__xludf.DUMMYFUNCTION("""COMPUTED_VALUE"""),"C-13")</f>
        <v>C-13</v>
      </c>
      <c r="F88" s="31">
        <f>IFERROR(__xludf.DUMMYFUNCTION("""COMPUTED_VALUE"""),2.0)</f>
        <v>2</v>
      </c>
      <c r="G88" s="27" t="str">
        <f>IFERROR(__xludf.DUMMYFUNCTION("""COMPUTED_VALUE"""),"2 ULA A PUTRI")</f>
        <v>2 ULA A PUTRI</v>
      </c>
      <c r="H88" s="28" t="str">
        <f>IFERROR(__xludf.DUMMYFUNCTION("""COMPUTED_VALUE"""),"MTS-8 C")</f>
        <v>MTS-8 C</v>
      </c>
      <c r="I88" s="28" t="str">
        <f>IFERROR(__xludf.DUMMYFUNCTION("""COMPUTED_VALUE"""),"NUZULATUS SHOIDAH")</f>
        <v>NUZULATUS SHOIDAH</v>
      </c>
      <c r="J88" s="28" t="str">
        <f>IFERROR(__xludf.DUMMYFUNCTION("""COMPUTED_VALUE"""),"SAWO RT 008 RW 004 DUKUN DUKUN")</f>
        <v>SAWO RT 008 RW 004 DUKUN DUKUN</v>
      </c>
      <c r="K88" s="28" t="str">
        <f>IFERROR(__xludf.DUMMYFUNCTION("""COMPUTED_VALUE"""),"6285649304810")</f>
        <v>6285649304810</v>
      </c>
      <c r="L88" s="22">
        <f>IFERROR(__xludf.DUMMYFUNCTION("""COMPUTED_VALUE"""),0.0)</f>
        <v>0</v>
      </c>
      <c r="M88" s="22">
        <f>IFERROR(__xludf.DUMMYFUNCTION("""COMPUTED_VALUE"""),1000000.0)</f>
        <v>1000000</v>
      </c>
      <c r="N88" s="22">
        <f>IFERROR(__xludf.DUMMYFUNCTION("""COMPUTED_VALUE"""),0.0)</f>
        <v>0</v>
      </c>
      <c r="O88" s="22">
        <f>IFERROR(__xludf.DUMMYFUNCTION("""COMPUTED_VALUE"""),1000000.0)</f>
        <v>1000000</v>
      </c>
      <c r="P88" s="28" t="str">
        <f t="shared" si="1"/>
        <v>LUNAS</v>
      </c>
      <c r="Q88" s="28">
        <f t="shared" si="2"/>
        <v>81</v>
      </c>
      <c r="R88" s="28" t="str">
        <f t="shared" si="3"/>
        <v>NUZULUL AINURROHMA</v>
      </c>
    </row>
    <row r="89">
      <c r="A89" s="27">
        <f>IFERROR(__xludf.DUMMYFUNCTION("""COMPUTED_VALUE"""),88.0)</f>
        <v>88</v>
      </c>
      <c r="B89" s="28" t="str">
        <f>IFERROR(__xludf.DUMMYFUNCTION("""COMPUTED_VALUE"""),"VALENCIA MEGA DEALOVA")</f>
        <v>VALENCIA MEGA DEALOVA</v>
      </c>
      <c r="C89" s="28">
        <f>IFERROR(__xludf.DUMMYFUNCTION("""COMPUTED_VALUE"""),2.025070566E9)</f>
        <v>2025070566</v>
      </c>
      <c r="D89" s="27" t="str">
        <f>IFERROR(__xludf.DUMMYFUNCTION("""COMPUTED_VALUE"""),"C")</f>
        <v>C</v>
      </c>
      <c r="E89" s="27" t="str">
        <f>IFERROR(__xludf.DUMMYFUNCTION("""COMPUTED_VALUE"""),"C-13")</f>
        <v>C-13</v>
      </c>
      <c r="F89" s="31">
        <f>IFERROR(__xludf.DUMMYFUNCTION("""COMPUTED_VALUE"""),2.0)</f>
        <v>2</v>
      </c>
      <c r="G89" s="27" t="str">
        <f>IFERROR(__xludf.DUMMYFUNCTION("""COMPUTED_VALUE"""),"2 ULA C PUTRI")</f>
        <v>2 ULA C PUTRI</v>
      </c>
      <c r="H89" s="28" t="str">
        <f>IFERROR(__xludf.DUMMYFUNCTION("""COMPUTED_VALUE"""),"MTS-8 G")</f>
        <v>MTS-8 G</v>
      </c>
      <c r="I89" s="28" t="str">
        <f>IFERROR(__xludf.DUMMYFUNCTION("""COMPUTED_VALUE"""),"SRI LASWIJI")</f>
        <v>SRI LASWIJI</v>
      </c>
      <c r="J89" s="28" t="str">
        <f>IFERROR(__xludf.DUMMYFUNCTION("""COMPUTED_VALUE"""),"WINONG WANGUNREJO RT 001 RW 002 TURI LAMONGAN")</f>
        <v>WINONG WANGUNREJO RT 001 RW 002 TURI LAMONGAN</v>
      </c>
      <c r="K89" s="28" t="str">
        <f>IFERROR(__xludf.DUMMYFUNCTION("""COMPUTED_VALUE"""),"628123276159")</f>
        <v>628123276159</v>
      </c>
      <c r="L89" s="22">
        <f>IFERROR(__xludf.DUMMYFUNCTION("""COMPUTED_VALUE"""),0.0)</f>
        <v>0</v>
      </c>
      <c r="M89" s="22">
        <f>IFERROR(__xludf.DUMMYFUNCTION("""COMPUTED_VALUE"""),0.0)</f>
        <v>0</v>
      </c>
      <c r="N89" s="22">
        <f>IFERROR(__xludf.DUMMYFUNCTION("""COMPUTED_VALUE"""),0.0)</f>
        <v>0</v>
      </c>
      <c r="O89" s="22">
        <f>IFERROR(__xludf.DUMMYFUNCTION("""COMPUTED_VALUE"""),0.0)</f>
        <v>0</v>
      </c>
      <c r="P89" s="28" t="str">
        <f t="shared" si="1"/>
        <v>LUNAS</v>
      </c>
      <c r="Q89" s="28">
        <f t="shared" si="2"/>
        <v>178</v>
      </c>
      <c r="R89" s="28" t="str">
        <f t="shared" si="3"/>
        <v>VALENCIA MEGA DEALOVA</v>
      </c>
    </row>
    <row r="90">
      <c r="A90" s="27">
        <f>IFERROR(__xludf.DUMMYFUNCTION("""COMPUTED_VALUE"""),89.0)</f>
        <v>89</v>
      </c>
      <c r="B90" s="28" t="str">
        <f>IFERROR(__xludf.DUMMYFUNCTION("""COMPUTED_VALUE"""),"YASMIN ELIKA RAMDANI")</f>
        <v>YASMIN ELIKA RAMDANI</v>
      </c>
      <c r="C90" s="28">
        <f>IFERROR(__xludf.DUMMYFUNCTION("""COMPUTED_VALUE"""),2.025070521E9)</f>
        <v>2025070521</v>
      </c>
      <c r="D90" s="27" t="str">
        <f>IFERROR(__xludf.DUMMYFUNCTION("""COMPUTED_VALUE"""),"C")</f>
        <v>C</v>
      </c>
      <c r="E90" s="27" t="str">
        <f>IFERROR(__xludf.DUMMYFUNCTION("""COMPUTED_VALUE"""),"C-13")</f>
        <v>C-13</v>
      </c>
      <c r="F90" s="31">
        <f>IFERROR(__xludf.DUMMYFUNCTION("""COMPUTED_VALUE"""),2.0)</f>
        <v>2</v>
      </c>
      <c r="G90" s="27" t="str">
        <f>IFERROR(__xludf.DUMMYFUNCTION("""COMPUTED_VALUE"""),"2 ULA A PUTRI")</f>
        <v>2 ULA A PUTRI</v>
      </c>
      <c r="H90" s="28" t="str">
        <f>IFERROR(__xludf.DUMMYFUNCTION("""COMPUTED_VALUE"""),"MTS-8 B")</f>
        <v>MTS-8 B</v>
      </c>
      <c r="I90" s="28" t="str">
        <f>IFERROR(__xludf.DUMMYFUNCTION("""COMPUTED_VALUE"""),"SITI AMANAH")</f>
        <v>SITI AMANAH</v>
      </c>
      <c r="J90" s="28" t="str">
        <f>IFERROR(__xludf.DUMMYFUNCTION("""COMPUTED_VALUE"""),"NGAYUNG RT 010 RW 003 MADURAN LAMONGAN")</f>
        <v>NGAYUNG RT 010 RW 003 MADURAN LAMONGAN</v>
      </c>
      <c r="K90" s="28" t="str">
        <f>IFERROR(__xludf.DUMMYFUNCTION("""COMPUTED_VALUE"""),"6288983113464")</f>
        <v>6288983113464</v>
      </c>
      <c r="L90" s="22">
        <f>IFERROR(__xludf.DUMMYFUNCTION("""COMPUTED_VALUE"""),0.0)</f>
        <v>0</v>
      </c>
      <c r="M90" s="22">
        <f>IFERROR(__xludf.DUMMYFUNCTION("""COMPUTED_VALUE"""),1000000.0)</f>
        <v>1000000</v>
      </c>
      <c r="N90" s="22">
        <f>IFERROR(__xludf.DUMMYFUNCTION("""COMPUTED_VALUE"""),0.0)</f>
        <v>0</v>
      </c>
      <c r="O90" s="22">
        <f>IFERROR(__xludf.DUMMYFUNCTION("""COMPUTED_VALUE"""),1000000.0)</f>
        <v>1000000</v>
      </c>
      <c r="P90" s="28" t="str">
        <f t="shared" si="1"/>
        <v>LUNAS</v>
      </c>
      <c r="Q90" s="28">
        <f t="shared" si="2"/>
        <v>82</v>
      </c>
      <c r="R90" s="28" t="str">
        <f t="shared" si="3"/>
        <v>YASMIN ELIKA RAMDANI</v>
      </c>
    </row>
    <row r="91">
      <c r="A91" s="27">
        <f>IFERROR(__xludf.DUMMYFUNCTION("""COMPUTED_VALUE"""),90.0)</f>
        <v>90</v>
      </c>
      <c r="B91" s="28" t="str">
        <f>IFERROR(__xludf.DUMMYFUNCTION("""COMPUTED_VALUE"""),"ZAHRA QURROTA AINI")</f>
        <v>ZAHRA QURROTA AINI</v>
      </c>
      <c r="C91" s="28">
        <f>IFERROR(__xludf.DUMMYFUNCTION("""COMPUTED_VALUE"""),2.025070601E9)</f>
        <v>2025070601</v>
      </c>
      <c r="D91" s="27" t="str">
        <f>IFERROR(__xludf.DUMMYFUNCTION("""COMPUTED_VALUE"""),"C")</f>
        <v>C</v>
      </c>
      <c r="E91" s="27" t="str">
        <f>IFERROR(__xludf.DUMMYFUNCTION("""COMPUTED_VALUE"""),"C-13")</f>
        <v>C-13</v>
      </c>
      <c r="F91" s="31">
        <f>IFERROR(__xludf.DUMMYFUNCTION("""COMPUTED_VALUE"""),2.0)</f>
        <v>2</v>
      </c>
      <c r="G91" s="27" t="str">
        <f>IFERROR(__xludf.DUMMYFUNCTION("""COMPUTED_VALUE"""),"2 ULA C PUTRI")</f>
        <v>2 ULA C PUTRI</v>
      </c>
      <c r="H91" s="28" t="str">
        <f>IFERROR(__xludf.DUMMYFUNCTION("""COMPUTED_VALUE"""),"MTS-8 B")</f>
        <v>MTS-8 B</v>
      </c>
      <c r="I91" s="28" t="str">
        <f>IFERROR(__xludf.DUMMYFUNCTION("""COMPUTED_VALUE"""),"NURROTUL ILMA")</f>
        <v>NURROTUL ILMA</v>
      </c>
      <c r="J91" s="28" t="str">
        <f>IFERROR(__xludf.DUMMYFUNCTION("""COMPUTED_VALUE"""),"KAUMAN TAWANGREJO RT 004 RW 003 TURI LAMONGAN")</f>
        <v>KAUMAN TAWANGREJO RT 004 RW 003 TURI LAMONGAN</v>
      </c>
      <c r="K91" s="28" t="str">
        <f>IFERROR(__xludf.DUMMYFUNCTION("""COMPUTED_VALUE"""),"6285711574550")</f>
        <v>6285711574550</v>
      </c>
      <c r="L91" s="22">
        <f>IFERROR(__xludf.DUMMYFUNCTION("""COMPUTED_VALUE"""),0.0)</f>
        <v>0</v>
      </c>
      <c r="M91" s="22">
        <f>IFERROR(__xludf.DUMMYFUNCTION("""COMPUTED_VALUE"""),0.0)</f>
        <v>0</v>
      </c>
      <c r="N91" s="22">
        <f>IFERROR(__xludf.DUMMYFUNCTION("""COMPUTED_VALUE"""),0.0)</f>
        <v>0</v>
      </c>
      <c r="O91" s="22">
        <f>IFERROR(__xludf.DUMMYFUNCTION("""COMPUTED_VALUE"""),0.0)</f>
        <v>0</v>
      </c>
      <c r="P91" s="28" t="str">
        <f t="shared" si="1"/>
        <v>LUNAS</v>
      </c>
      <c r="Q91" s="28">
        <f t="shared" si="2"/>
        <v>179</v>
      </c>
      <c r="R91" s="28" t="str">
        <f t="shared" si="3"/>
        <v>ZAHRA QURROTA AINI</v>
      </c>
    </row>
    <row r="92">
      <c r="A92" s="27">
        <f>IFERROR(__xludf.DUMMYFUNCTION("""COMPUTED_VALUE"""),91.0)</f>
        <v>91</v>
      </c>
      <c r="B92" s="28" t="str">
        <f>IFERROR(__xludf.DUMMYFUNCTION("""COMPUTED_VALUE"""),"AFANIA AQILATUS SHAFA")</f>
        <v>AFANIA AQILATUS SHAFA</v>
      </c>
      <c r="C92" s="28">
        <f>IFERROR(__xludf.DUMMYFUNCTION("""COMPUTED_VALUE"""),2.02407064E9)</f>
        <v>2024070640</v>
      </c>
      <c r="D92" s="27" t="str">
        <f>IFERROR(__xludf.DUMMYFUNCTION("""COMPUTED_VALUE"""),"C")</f>
        <v>C</v>
      </c>
      <c r="E92" s="27" t="str">
        <f>IFERROR(__xludf.DUMMYFUNCTION("""COMPUTED_VALUE"""),"C-13")</f>
        <v>C-13</v>
      </c>
      <c r="F92" s="31">
        <f>IFERROR(__xludf.DUMMYFUNCTION("""COMPUTED_VALUE"""),3.0)</f>
        <v>3</v>
      </c>
      <c r="G92" s="27" t="str">
        <f>IFERROR(__xludf.DUMMYFUNCTION("""COMPUTED_VALUE"""),"3 ULA C PUTRI")</f>
        <v>3 ULA C PUTRI</v>
      </c>
      <c r="H92" s="28" t="str">
        <f>IFERROR(__xludf.DUMMYFUNCTION("""COMPUTED_VALUE"""),"MTS-9 G")</f>
        <v>MTS-9 G</v>
      </c>
      <c r="I92" s="28" t="str">
        <f>IFERROR(__xludf.DUMMYFUNCTION("""COMPUTED_VALUE"""),"DWI OKTAFIA NINGSIH")</f>
        <v>DWI OKTAFIA NINGSIH</v>
      </c>
      <c r="J92" s="28" t="str">
        <f>IFERROR(__xludf.DUMMYFUNCTION("""COMPUTED_VALUE"""),"PAJANGAN RT 002 RW 002 SUKODADI LAMONGAN")</f>
        <v>PAJANGAN RT 002 RW 002 SUKODADI LAMONGAN</v>
      </c>
      <c r="K92" s="28" t="str">
        <f>IFERROR(__xludf.DUMMYFUNCTION("""COMPUTED_VALUE"""),"6285257103018")</f>
        <v>6285257103018</v>
      </c>
      <c r="L92" s="22">
        <f>IFERROR(__xludf.DUMMYFUNCTION("""COMPUTED_VALUE"""),0.0)</f>
        <v>0</v>
      </c>
      <c r="M92" s="22">
        <f>IFERROR(__xludf.DUMMYFUNCTION("""COMPUTED_VALUE"""),0.0)</f>
        <v>0</v>
      </c>
      <c r="N92" s="22">
        <f>IFERROR(__xludf.DUMMYFUNCTION("""COMPUTED_VALUE"""),0.0)</f>
        <v>0</v>
      </c>
      <c r="O92" s="22">
        <f>IFERROR(__xludf.DUMMYFUNCTION("""COMPUTED_VALUE"""),0.0)</f>
        <v>0</v>
      </c>
      <c r="P92" s="28" t="str">
        <f t="shared" si="1"/>
        <v>LUNAS</v>
      </c>
      <c r="Q92" s="28">
        <f t="shared" si="2"/>
        <v>180</v>
      </c>
      <c r="R92" s="28" t="str">
        <f t="shared" si="3"/>
        <v>AFANIA AQILATUS SHAFA</v>
      </c>
    </row>
    <row r="93">
      <c r="A93" s="27">
        <f>IFERROR(__xludf.DUMMYFUNCTION("""COMPUTED_VALUE"""),92.0)</f>
        <v>92</v>
      </c>
      <c r="B93" s="28" t="str">
        <f>IFERROR(__xludf.DUMMYFUNCTION("""COMPUTED_VALUE"""),"ASYIFATUL LAILI")</f>
        <v>ASYIFATUL LAILI</v>
      </c>
      <c r="C93" s="28">
        <f>IFERROR(__xludf.DUMMYFUNCTION("""COMPUTED_VALUE"""),2.02407052E9)</f>
        <v>2024070520</v>
      </c>
      <c r="D93" s="27" t="str">
        <f>IFERROR(__xludf.DUMMYFUNCTION("""COMPUTED_VALUE"""),"C")</f>
        <v>C</v>
      </c>
      <c r="E93" s="27" t="str">
        <f>IFERROR(__xludf.DUMMYFUNCTION("""COMPUTED_VALUE"""),"C-13")</f>
        <v>C-13</v>
      </c>
      <c r="F93" s="31">
        <f>IFERROR(__xludf.DUMMYFUNCTION("""COMPUTED_VALUE"""),3.0)</f>
        <v>3</v>
      </c>
      <c r="G93" s="27" t="str">
        <f>IFERROR(__xludf.DUMMYFUNCTION("""COMPUTED_VALUE"""),"3 ULA B PUTRI")</f>
        <v>3 ULA B PUTRI</v>
      </c>
      <c r="H93" s="28" t="str">
        <f>IFERROR(__xludf.DUMMYFUNCTION("""COMPUTED_VALUE"""),"MTS-9 C")</f>
        <v>MTS-9 C</v>
      </c>
      <c r="I93" s="28" t="str">
        <f>IFERROR(__xludf.DUMMYFUNCTION("""COMPUTED_VALUE"""),"NUR MARDLIYAH")</f>
        <v>NUR MARDLIYAH</v>
      </c>
      <c r="J93" s="28" t="str">
        <f>IFERROR(__xludf.DUMMYFUNCTION("""COMPUTED_VALUE"""),"KUBANG LABAN PANGGUNG RAWI RT 003 RW 002 JOMBANG CILEGON")</f>
        <v>KUBANG LABAN PANGGUNG RAWI RT 003 RW 002 JOMBANG CILEGON</v>
      </c>
      <c r="K93" s="28" t="str">
        <f>IFERROR(__xludf.DUMMYFUNCTION("""COMPUTED_VALUE"""),"6281946613922")</f>
        <v>6281946613922</v>
      </c>
      <c r="L93" s="22">
        <f>IFERROR(__xludf.DUMMYFUNCTION("""COMPUTED_VALUE"""),0.0)</f>
        <v>0</v>
      </c>
      <c r="M93" s="22">
        <f>IFERROR(__xludf.DUMMYFUNCTION("""COMPUTED_VALUE"""),1000000.0)</f>
        <v>1000000</v>
      </c>
      <c r="N93" s="22">
        <f>IFERROR(__xludf.DUMMYFUNCTION("""COMPUTED_VALUE"""),0.0)</f>
        <v>0</v>
      </c>
      <c r="O93" s="22">
        <f>IFERROR(__xludf.DUMMYFUNCTION("""COMPUTED_VALUE"""),1000000.0)</f>
        <v>1000000</v>
      </c>
      <c r="P93" s="28" t="str">
        <f t="shared" si="1"/>
        <v>LUNAS</v>
      </c>
      <c r="Q93" s="28">
        <f t="shared" si="2"/>
        <v>83</v>
      </c>
      <c r="R93" s="28" t="str">
        <f t="shared" si="3"/>
        <v>ASYIFATUL LAILI</v>
      </c>
    </row>
    <row r="94">
      <c r="A94" s="27">
        <f>IFERROR(__xludf.DUMMYFUNCTION("""COMPUTED_VALUE"""),93.0)</f>
        <v>93</v>
      </c>
      <c r="B94" s="28" t="str">
        <f>IFERROR(__xludf.DUMMYFUNCTION("""COMPUTED_VALUE"""),"CALLYSTA QOWIM AZ-ZAHRA")</f>
        <v>CALLYSTA QOWIM AZ-ZAHRA</v>
      </c>
      <c r="C94" s="28">
        <f>IFERROR(__xludf.DUMMYFUNCTION("""COMPUTED_VALUE"""),2.024070489E9)</f>
        <v>2024070489</v>
      </c>
      <c r="D94" s="27" t="str">
        <f>IFERROR(__xludf.DUMMYFUNCTION("""COMPUTED_VALUE"""),"C")</f>
        <v>C</v>
      </c>
      <c r="E94" s="27" t="str">
        <f>IFERROR(__xludf.DUMMYFUNCTION("""COMPUTED_VALUE"""),"C-13")</f>
        <v>C-13</v>
      </c>
      <c r="F94" s="31">
        <f>IFERROR(__xludf.DUMMYFUNCTION("""COMPUTED_VALUE"""),3.0)</f>
        <v>3</v>
      </c>
      <c r="G94" s="27" t="str">
        <f>IFERROR(__xludf.DUMMYFUNCTION("""COMPUTED_VALUE"""),"3 ULA A PUTRI")</f>
        <v>3 ULA A PUTRI</v>
      </c>
      <c r="H94" s="28" t="str">
        <f>IFERROR(__xludf.DUMMYFUNCTION("""COMPUTED_VALUE"""),"MTS-9 G")</f>
        <v>MTS-9 G</v>
      </c>
      <c r="I94" s="28" t="str">
        <f>IFERROR(__xludf.DUMMYFUNCTION("""COMPUTED_VALUE"""),"NUR HIDAYATI")</f>
        <v>NUR HIDAYATI</v>
      </c>
      <c r="J94" s="28" t="str">
        <f>IFERROR(__xludf.DUMMYFUNCTION("""COMPUTED_VALUE"""),"PAJI RT 002 RW 005 PUCUK LAMONGAN")</f>
        <v>PAJI RT 002 RW 005 PUCUK LAMONGAN</v>
      </c>
      <c r="K94" s="28" t="str">
        <f>IFERROR(__xludf.DUMMYFUNCTION("""COMPUTED_VALUE"""),"2682131710998")</f>
        <v>2682131710998</v>
      </c>
      <c r="L94" s="22">
        <f>IFERROR(__xludf.DUMMYFUNCTION("""COMPUTED_VALUE"""),0.0)</f>
        <v>0</v>
      </c>
      <c r="M94" s="22">
        <f>IFERROR(__xludf.DUMMYFUNCTION("""COMPUTED_VALUE"""),0.0)</f>
        <v>0</v>
      </c>
      <c r="N94" s="22">
        <f>IFERROR(__xludf.DUMMYFUNCTION("""COMPUTED_VALUE"""),0.0)</f>
        <v>0</v>
      </c>
      <c r="O94" s="22">
        <f>IFERROR(__xludf.DUMMYFUNCTION("""COMPUTED_VALUE"""),0.0)</f>
        <v>0</v>
      </c>
      <c r="P94" s="28" t="str">
        <f t="shared" si="1"/>
        <v>LUNAS</v>
      </c>
      <c r="Q94" s="28">
        <f t="shared" si="2"/>
        <v>181</v>
      </c>
      <c r="R94" s="28" t="str">
        <f t="shared" si="3"/>
        <v>CALLYSTA QOWIM AZ-ZAHRA</v>
      </c>
    </row>
    <row r="95">
      <c r="A95" s="27">
        <f>IFERROR(__xludf.DUMMYFUNCTION("""COMPUTED_VALUE"""),94.0)</f>
        <v>94</v>
      </c>
      <c r="B95" s="28" t="str">
        <f>IFERROR(__xludf.DUMMYFUNCTION("""COMPUTED_VALUE"""),"NASYA PUTRI YUNAISYAH")</f>
        <v>NASYA PUTRI YUNAISYAH</v>
      </c>
      <c r="C95" s="28">
        <f>IFERROR(__xludf.DUMMYFUNCTION("""COMPUTED_VALUE"""),2.024070509E9)</f>
        <v>2024070509</v>
      </c>
      <c r="D95" s="27" t="str">
        <f>IFERROR(__xludf.DUMMYFUNCTION("""COMPUTED_VALUE"""),"C")</f>
        <v>C</v>
      </c>
      <c r="E95" s="27" t="str">
        <f>IFERROR(__xludf.DUMMYFUNCTION("""COMPUTED_VALUE"""),"C-13")</f>
        <v>C-13</v>
      </c>
      <c r="F95" s="31">
        <f>IFERROR(__xludf.DUMMYFUNCTION("""COMPUTED_VALUE"""),3.0)</f>
        <v>3</v>
      </c>
      <c r="G95" s="27" t="str">
        <f>IFERROR(__xludf.DUMMYFUNCTION("""COMPUTED_VALUE"""),"3 ULA C PUTRI")</f>
        <v>3 ULA C PUTRI</v>
      </c>
      <c r="H95" s="28" t="str">
        <f>IFERROR(__xludf.DUMMYFUNCTION("""COMPUTED_VALUE"""),"MTS-9 H")</f>
        <v>MTS-9 H</v>
      </c>
      <c r="I95" s="28" t="str">
        <f>IFERROR(__xludf.DUMMYFUNCTION("""COMPUTED_VALUE"""),"FITRIYAH MAGHFIROH")</f>
        <v>FITRIYAH MAGHFIROH</v>
      </c>
      <c r="J95" s="28" t="str">
        <f>IFERROR(__xludf.DUMMYFUNCTION("""COMPUTED_VALUE"""),"BARON RT 008 RW 004 DUKUN GRESIK")</f>
        <v>BARON RT 008 RW 004 DUKUN GRESIK</v>
      </c>
      <c r="K95" s="28" t="str">
        <f>IFERROR(__xludf.DUMMYFUNCTION("""COMPUTED_VALUE"""),"6281331730197")</f>
        <v>6281331730197</v>
      </c>
      <c r="L95" s="22">
        <f>IFERROR(__xludf.DUMMYFUNCTION("""COMPUTED_VALUE"""),0.0)</f>
        <v>0</v>
      </c>
      <c r="M95" s="22">
        <f>IFERROR(__xludf.DUMMYFUNCTION("""COMPUTED_VALUE"""),0.0)</f>
        <v>0</v>
      </c>
      <c r="N95" s="22">
        <f>IFERROR(__xludf.DUMMYFUNCTION("""COMPUTED_VALUE"""),0.0)</f>
        <v>0</v>
      </c>
      <c r="O95" s="22">
        <f>IFERROR(__xludf.DUMMYFUNCTION("""COMPUTED_VALUE"""),0.0)</f>
        <v>0</v>
      </c>
      <c r="P95" s="28" t="str">
        <f t="shared" si="1"/>
        <v>LUNAS</v>
      </c>
      <c r="Q95" s="28">
        <f t="shared" si="2"/>
        <v>182</v>
      </c>
      <c r="R95" s="28" t="str">
        <f t="shared" si="3"/>
        <v>NASYA PUTRI YUNAISYAH</v>
      </c>
    </row>
    <row r="96">
      <c r="A96" s="27">
        <f>IFERROR(__xludf.DUMMYFUNCTION("""COMPUTED_VALUE"""),95.0)</f>
        <v>95</v>
      </c>
      <c r="B96" s="28" t="str">
        <f>IFERROR(__xludf.DUMMYFUNCTION("""COMPUTED_VALUE"""),"PRADIPTA PUTRI ALIFIA")</f>
        <v>PRADIPTA PUTRI ALIFIA</v>
      </c>
      <c r="C96" s="28">
        <f>IFERROR(__xludf.DUMMYFUNCTION("""COMPUTED_VALUE"""),2.024070584E9)</f>
        <v>2024070584</v>
      </c>
      <c r="D96" s="27" t="str">
        <f>IFERROR(__xludf.DUMMYFUNCTION("""COMPUTED_VALUE"""),"C")</f>
        <v>C</v>
      </c>
      <c r="E96" s="27" t="str">
        <f>IFERROR(__xludf.DUMMYFUNCTION("""COMPUTED_VALUE"""),"C-13")</f>
        <v>C-13</v>
      </c>
      <c r="F96" s="31">
        <f>IFERROR(__xludf.DUMMYFUNCTION("""COMPUTED_VALUE"""),3.0)</f>
        <v>3</v>
      </c>
      <c r="G96" s="27" t="str">
        <f>IFERROR(__xludf.DUMMYFUNCTION("""COMPUTED_VALUE"""),"3 ULA A PUTRI")</f>
        <v>3 ULA A PUTRI</v>
      </c>
      <c r="H96" s="28" t="str">
        <f>IFERROR(__xludf.DUMMYFUNCTION("""COMPUTED_VALUE"""),"MTS-9 G")</f>
        <v>MTS-9 G</v>
      </c>
      <c r="I96" s="28" t="str">
        <f>IFERROR(__xludf.DUMMYFUNCTION("""COMPUTED_VALUE"""),"MU`ALIMAH")</f>
        <v>MU`ALIMAH</v>
      </c>
      <c r="J96" s="28" t="str">
        <f>IFERROR(__xludf.DUMMYFUNCTION("""COMPUTED_VALUE"""),"GETUNG TAWANGREJO RT 001 RW 001 TURI LAMONGAN")</f>
        <v>GETUNG TAWANGREJO RT 001 RW 001 TURI LAMONGAN</v>
      </c>
      <c r="K96" s="28" t="str">
        <f>IFERROR(__xludf.DUMMYFUNCTION("""COMPUTED_VALUE"""),"6287815912057")</f>
        <v>6287815912057</v>
      </c>
      <c r="L96" s="22">
        <f>IFERROR(__xludf.DUMMYFUNCTION("""COMPUTED_VALUE"""),0.0)</f>
        <v>0</v>
      </c>
      <c r="M96" s="22">
        <f>IFERROR(__xludf.DUMMYFUNCTION("""COMPUTED_VALUE"""),0.0)</f>
        <v>0</v>
      </c>
      <c r="N96" s="22">
        <f>IFERROR(__xludf.DUMMYFUNCTION("""COMPUTED_VALUE"""),0.0)</f>
        <v>0</v>
      </c>
      <c r="O96" s="22">
        <f>IFERROR(__xludf.DUMMYFUNCTION("""COMPUTED_VALUE"""),0.0)</f>
        <v>0</v>
      </c>
      <c r="P96" s="28" t="str">
        <f t="shared" si="1"/>
        <v>LUNAS</v>
      </c>
      <c r="Q96" s="28">
        <f t="shared" si="2"/>
        <v>183</v>
      </c>
      <c r="R96" s="28" t="str">
        <f t="shared" si="3"/>
        <v>PRADIPTA PUTRI ALIFIA</v>
      </c>
    </row>
    <row r="97">
      <c r="A97" s="27">
        <f>IFERROR(__xludf.DUMMYFUNCTION("""COMPUTED_VALUE"""),96.0)</f>
        <v>96</v>
      </c>
      <c r="B97" s="28" t="str">
        <f>IFERROR(__xludf.DUMMYFUNCTION("""COMPUTED_VALUE"""),"RIZATUL ZAMIRA ATMAJA")</f>
        <v>RIZATUL ZAMIRA ATMAJA</v>
      </c>
      <c r="C97" s="28">
        <f>IFERROR(__xludf.DUMMYFUNCTION("""COMPUTED_VALUE"""),2.024070493E9)</f>
        <v>2024070493</v>
      </c>
      <c r="D97" s="27" t="str">
        <f>IFERROR(__xludf.DUMMYFUNCTION("""COMPUTED_VALUE"""),"C")</f>
        <v>C</v>
      </c>
      <c r="E97" s="27" t="str">
        <f>IFERROR(__xludf.DUMMYFUNCTION("""COMPUTED_VALUE"""),"C-13")</f>
        <v>C-13</v>
      </c>
      <c r="F97" s="31">
        <f>IFERROR(__xludf.DUMMYFUNCTION("""COMPUTED_VALUE"""),3.0)</f>
        <v>3</v>
      </c>
      <c r="G97" s="27" t="str">
        <f>IFERROR(__xludf.DUMMYFUNCTION("""COMPUTED_VALUE"""),"3 ULA C PUTRI")</f>
        <v>3 ULA C PUTRI</v>
      </c>
      <c r="H97" s="28" t="str">
        <f>IFERROR(__xludf.DUMMYFUNCTION("""COMPUTED_VALUE"""),"MTS-9 D")</f>
        <v>MTS-9 D</v>
      </c>
      <c r="I97" s="28" t="str">
        <f>IFERROR(__xludf.DUMMYFUNCTION("""COMPUTED_VALUE"""),"ELI ROCHIANAH")</f>
        <v>ELI ROCHIANAH</v>
      </c>
      <c r="J97" s="28" t="str">
        <f>IFERROR(__xludf.DUMMYFUNCTION("""COMPUTED_VALUE"""),"BANJARMADU RT 001 RW 004 KARANGGENENG LAMONGAN")</f>
        <v>BANJARMADU RT 001 RW 004 KARANGGENENG LAMONGAN</v>
      </c>
      <c r="K97" s="28" t="str">
        <f>IFERROR(__xludf.DUMMYFUNCTION("""COMPUTED_VALUE"""),"6285234346480")</f>
        <v>6285234346480</v>
      </c>
      <c r="L97" s="22">
        <f>IFERROR(__xludf.DUMMYFUNCTION("""COMPUTED_VALUE"""),0.0)</f>
        <v>0</v>
      </c>
      <c r="M97" s="22">
        <f>IFERROR(__xludf.DUMMYFUNCTION("""COMPUTED_VALUE"""),500000.0)</f>
        <v>500000</v>
      </c>
      <c r="N97" s="22">
        <f>IFERROR(__xludf.DUMMYFUNCTION("""COMPUTED_VALUE"""),0.0)</f>
        <v>0</v>
      </c>
      <c r="O97" s="22">
        <f>IFERROR(__xludf.DUMMYFUNCTION("""COMPUTED_VALUE"""),500000.0)</f>
        <v>500000</v>
      </c>
      <c r="P97" s="28" t="str">
        <f t="shared" si="1"/>
        <v>LUNAS</v>
      </c>
      <c r="Q97" s="28">
        <f t="shared" si="2"/>
        <v>130</v>
      </c>
      <c r="R97" s="28" t="str">
        <f t="shared" si="3"/>
        <v>RIZATUL ZAMIRA ATMAJA</v>
      </c>
    </row>
    <row r="98">
      <c r="A98" s="27">
        <f>IFERROR(__xludf.DUMMYFUNCTION("""COMPUTED_VALUE"""),97.0)</f>
        <v>97</v>
      </c>
      <c r="B98" s="28" t="str">
        <f>IFERROR(__xludf.DUMMYFUNCTION("""COMPUTED_VALUE"""),"AFINA AGUSTIN ROMADHONI")</f>
        <v>AFINA AGUSTIN ROMADHONI</v>
      </c>
      <c r="C98" s="28">
        <f>IFERROR(__xludf.DUMMYFUNCTION("""COMPUTED_VALUE"""),2.024070561E9)</f>
        <v>2024070561</v>
      </c>
      <c r="D98" s="27" t="str">
        <f>IFERROR(__xludf.DUMMYFUNCTION("""COMPUTED_VALUE"""),"C")</f>
        <v>C</v>
      </c>
      <c r="E98" s="27" t="str">
        <f>IFERROR(__xludf.DUMMYFUNCTION("""COMPUTED_VALUE"""),"C-13")</f>
        <v>C-13</v>
      </c>
      <c r="F98" s="31">
        <f>IFERROR(__xludf.DUMMYFUNCTION("""COMPUTED_VALUE"""),3.0)</f>
        <v>3</v>
      </c>
      <c r="G98" s="27"/>
      <c r="H98" s="28" t="str">
        <f>IFERROR(__xludf.DUMMYFUNCTION("""COMPUTED_VALUE"""),"MTS-9 G")</f>
        <v>MTS-9 G</v>
      </c>
      <c r="I98" s="28" t="str">
        <f>IFERROR(__xludf.DUMMYFUNCTION("""COMPUTED_VALUE"""),"MAZROATUN")</f>
        <v>MAZROATUN</v>
      </c>
      <c r="J98" s="28" t="str">
        <f>IFERROR(__xludf.DUMMYFUNCTION("""COMPUTED_VALUE"""),"KEBEN RT 004 RW 002 TURI LAMONGAN")</f>
        <v>KEBEN RT 004 RW 002 TURI LAMONGAN</v>
      </c>
      <c r="K98" s="28" t="str">
        <f>IFERROR(__xludf.DUMMYFUNCTION("""COMPUTED_VALUE"""),"6285748099065")</f>
        <v>6285748099065</v>
      </c>
      <c r="L98" s="22">
        <f>IFERROR(__xludf.DUMMYFUNCTION("""COMPUTED_VALUE"""),0.0)</f>
        <v>0</v>
      </c>
      <c r="M98" s="22">
        <f>IFERROR(__xludf.DUMMYFUNCTION("""COMPUTED_VALUE"""),0.0)</f>
        <v>0</v>
      </c>
      <c r="N98" s="22">
        <f>IFERROR(__xludf.DUMMYFUNCTION("""COMPUTED_VALUE"""),0.0)</f>
        <v>0</v>
      </c>
      <c r="O98" s="22">
        <f>IFERROR(__xludf.DUMMYFUNCTION("""COMPUTED_VALUE"""),0.0)</f>
        <v>0</v>
      </c>
      <c r="P98" s="28" t="str">
        <f t="shared" si="1"/>
        <v>LUNAS</v>
      </c>
      <c r="Q98" s="28">
        <f t="shared" si="2"/>
        <v>184</v>
      </c>
      <c r="R98" s="28" t="str">
        <f t="shared" si="3"/>
        <v>AFINA AGUSTIN ROMADHONI</v>
      </c>
    </row>
    <row r="99">
      <c r="A99" s="27">
        <f>IFERROR(__xludf.DUMMYFUNCTION("""COMPUTED_VALUE"""),98.0)</f>
        <v>98</v>
      </c>
      <c r="B99" s="28" t="str">
        <f>IFERROR(__xludf.DUMMYFUNCTION("""COMPUTED_VALUE"""),"MECCA MIKAILA")</f>
        <v>MECCA MIKAILA</v>
      </c>
      <c r="C99" s="28">
        <f>IFERROR(__xludf.DUMMYFUNCTION("""COMPUTED_VALUE"""),2.024070539E9)</f>
        <v>2024070539</v>
      </c>
      <c r="D99" s="27" t="str">
        <f>IFERROR(__xludf.DUMMYFUNCTION("""COMPUTED_VALUE"""),"C")</f>
        <v>C</v>
      </c>
      <c r="E99" s="27" t="str">
        <f>IFERROR(__xludf.DUMMYFUNCTION("""COMPUTED_VALUE"""),"C-13")</f>
        <v>C-13</v>
      </c>
      <c r="F99" s="31">
        <f>IFERROR(__xludf.DUMMYFUNCTION("""COMPUTED_VALUE"""),3.0)</f>
        <v>3</v>
      </c>
      <c r="G99" s="27" t="str">
        <f>IFERROR(__xludf.DUMMYFUNCTION("""COMPUTED_VALUE"""),"3 ULA B PUTRI")</f>
        <v>3 ULA B PUTRI</v>
      </c>
      <c r="H99" s="28" t="str">
        <f>IFERROR(__xludf.DUMMYFUNCTION("""COMPUTED_VALUE"""),"MTS-9 H")</f>
        <v>MTS-9 H</v>
      </c>
      <c r="I99" s="28" t="str">
        <f>IFERROR(__xludf.DUMMYFUNCTION("""COMPUTED_VALUE"""),"SUSIAMI KHOIRUL UYUN")</f>
        <v>SUSIAMI KHOIRUL UYUN</v>
      </c>
      <c r="J99" s="28" t="str">
        <f>IFERROR(__xludf.DUMMYFUNCTION("""COMPUTED_VALUE"""),"KARANGCANGKRING RT 004 RW 002 DUKUN GRESIK")</f>
        <v>KARANGCANGKRING RT 004 RW 002 DUKUN GRESIK</v>
      </c>
      <c r="K99" s="28" t="str">
        <f>IFERROR(__xludf.DUMMYFUNCTION("""COMPUTED_VALUE"""),"6285843253842")</f>
        <v>6285843253842</v>
      </c>
      <c r="L99" s="22">
        <f>IFERROR(__xludf.DUMMYFUNCTION("""COMPUTED_VALUE"""),0.0)</f>
        <v>0</v>
      </c>
      <c r="M99" s="22">
        <f>IFERROR(__xludf.DUMMYFUNCTION("""COMPUTED_VALUE"""),1000000.0)</f>
        <v>1000000</v>
      </c>
      <c r="N99" s="22">
        <f>IFERROR(__xludf.DUMMYFUNCTION("""COMPUTED_VALUE"""),0.0)</f>
        <v>0</v>
      </c>
      <c r="O99" s="22">
        <f>IFERROR(__xludf.DUMMYFUNCTION("""COMPUTED_VALUE"""),1000000.0)</f>
        <v>1000000</v>
      </c>
      <c r="P99" s="28" t="str">
        <f t="shared" si="1"/>
        <v>LUNAS</v>
      </c>
      <c r="Q99" s="28">
        <f t="shared" si="2"/>
        <v>84</v>
      </c>
      <c r="R99" s="28" t="str">
        <f t="shared" si="3"/>
        <v>MECCA MIKAILA</v>
      </c>
    </row>
    <row r="100">
      <c r="A100" s="27">
        <f>IFERROR(__xludf.DUMMYFUNCTION("""COMPUTED_VALUE"""),99.0)</f>
        <v>99</v>
      </c>
      <c r="B100" s="28" t="str">
        <f>IFERROR(__xludf.DUMMYFUNCTION("""COMPUTED_VALUE"""),"SYASYA ATHIQAH FARAH FATHINAH")</f>
        <v>SYASYA ATHIQAH FARAH FATHINAH</v>
      </c>
      <c r="C100" s="28">
        <f>IFERROR(__xludf.DUMMYFUNCTION("""COMPUTED_VALUE"""),2.024070555E9)</f>
        <v>2024070555</v>
      </c>
      <c r="D100" s="27" t="str">
        <f>IFERROR(__xludf.DUMMYFUNCTION("""COMPUTED_VALUE"""),"C")</f>
        <v>C</v>
      </c>
      <c r="E100" s="27" t="str">
        <f>IFERROR(__xludf.DUMMYFUNCTION("""COMPUTED_VALUE"""),"C-13")</f>
        <v>C-13</v>
      </c>
      <c r="F100" s="31">
        <f>IFERROR(__xludf.DUMMYFUNCTION("""COMPUTED_VALUE"""),3.0)</f>
        <v>3</v>
      </c>
      <c r="G100" s="27"/>
      <c r="H100" s="28" t="str">
        <f>IFERROR(__xludf.DUMMYFUNCTION("""COMPUTED_VALUE"""),"MTS-9 C")</f>
        <v>MTS-9 C</v>
      </c>
      <c r="I100" s="28" t="str">
        <f>IFERROR(__xludf.DUMMYFUNCTION("""COMPUTED_VALUE"""),"KAFIATUN")</f>
        <v>KAFIATUN</v>
      </c>
      <c r="J100" s="28" t="str">
        <f>IFERROR(__xludf.DUMMYFUNCTION("""COMPUTED_VALUE"""),"BANJARANYAR BANJAREJO RT 001 RW 004 KARANGBINANGUN LAMONGAN")</f>
        <v>BANJARANYAR BANJAREJO RT 001 RW 004 KARANGBINANGUN LAMONGAN</v>
      </c>
      <c r="K100" s="28" t="str">
        <f>IFERROR(__xludf.DUMMYFUNCTION("""COMPUTED_VALUE"""),"6281233456585")</f>
        <v>6281233456585</v>
      </c>
      <c r="L100" s="22">
        <f>IFERROR(__xludf.DUMMYFUNCTION("""COMPUTED_VALUE"""),0.0)</f>
        <v>0</v>
      </c>
      <c r="M100" s="22">
        <f>IFERROR(__xludf.DUMMYFUNCTION("""COMPUTED_VALUE"""),1000000.0)</f>
        <v>1000000</v>
      </c>
      <c r="N100" s="22">
        <f>IFERROR(__xludf.DUMMYFUNCTION("""COMPUTED_VALUE"""),0.0)</f>
        <v>0</v>
      </c>
      <c r="O100" s="22">
        <f>IFERROR(__xludf.DUMMYFUNCTION("""COMPUTED_VALUE"""),1000000.0)</f>
        <v>1000000</v>
      </c>
      <c r="P100" s="28" t="str">
        <f t="shared" si="1"/>
        <v>LUNAS</v>
      </c>
      <c r="Q100" s="28">
        <f t="shared" si="2"/>
        <v>85</v>
      </c>
      <c r="R100" s="28" t="str">
        <f t="shared" si="3"/>
        <v>SYASYA ATHIQAH FARAH FATHINAH</v>
      </c>
    </row>
    <row r="101">
      <c r="A101" s="27">
        <f>IFERROR(__xludf.DUMMYFUNCTION("""COMPUTED_VALUE"""),100.0)</f>
        <v>100</v>
      </c>
      <c r="B101" s="28" t="str">
        <f>IFERROR(__xludf.DUMMYFUNCTION("""COMPUTED_VALUE"""),"ZARIFAH VERINA MEISYURAH")</f>
        <v>ZARIFAH VERINA MEISYURAH</v>
      </c>
      <c r="C101" s="28">
        <f>IFERROR(__xludf.DUMMYFUNCTION("""COMPUTED_VALUE"""),2.02407054E9)</f>
        <v>2024070540</v>
      </c>
      <c r="D101" s="27" t="str">
        <f>IFERROR(__xludf.DUMMYFUNCTION("""COMPUTED_VALUE"""),"C")</f>
        <v>C</v>
      </c>
      <c r="E101" s="27" t="str">
        <f>IFERROR(__xludf.DUMMYFUNCTION("""COMPUTED_VALUE"""),"C-13")</f>
        <v>C-13</v>
      </c>
      <c r="F101" s="31">
        <f>IFERROR(__xludf.DUMMYFUNCTION("""COMPUTED_VALUE"""),3.0)</f>
        <v>3</v>
      </c>
      <c r="G101" s="27" t="str">
        <f>IFERROR(__xludf.DUMMYFUNCTION("""COMPUTED_VALUE"""),"3 ULA C PUTRI")</f>
        <v>3 ULA C PUTRI</v>
      </c>
      <c r="H101" s="28" t="str">
        <f>IFERROR(__xludf.DUMMYFUNCTION("""COMPUTED_VALUE"""),"MTS-9 G")</f>
        <v>MTS-9 G</v>
      </c>
      <c r="I101" s="28" t="str">
        <f>IFERROR(__xludf.DUMMYFUNCTION("""COMPUTED_VALUE"""),"SHOHIFAH")</f>
        <v>SHOHIFAH</v>
      </c>
      <c r="J101" s="28" t="str">
        <f>IFERROR(__xludf.DUMMYFUNCTION("""COMPUTED_VALUE"""),"KARANGCANGKRING RT 006 RW 003 DUKUN GRESIK")</f>
        <v>KARANGCANGKRING RT 006 RW 003 DUKUN GRESIK</v>
      </c>
      <c r="K101" s="28" t="str">
        <f>IFERROR(__xludf.DUMMYFUNCTION("""COMPUTED_VALUE"""),"6285733140898")</f>
        <v>6285733140898</v>
      </c>
      <c r="L101" s="22">
        <f>IFERROR(__xludf.DUMMYFUNCTION("""COMPUTED_VALUE"""),1350000.0)</f>
        <v>1350000</v>
      </c>
      <c r="M101" s="22">
        <f>IFERROR(__xludf.DUMMYFUNCTION("""COMPUTED_VALUE"""),0.0)</f>
        <v>0</v>
      </c>
      <c r="N101" s="22">
        <f>IFERROR(__xludf.DUMMYFUNCTION("""COMPUTED_VALUE"""),0.0)</f>
        <v>0</v>
      </c>
      <c r="O101" s="22">
        <f>IFERROR(__xludf.DUMMYFUNCTION("""COMPUTED_VALUE"""),1350000.0)</f>
        <v>1350000</v>
      </c>
      <c r="P101" s="28" t="str">
        <f t="shared" si="1"/>
        <v>LUNAS</v>
      </c>
      <c r="Q101" s="28">
        <f t="shared" si="2"/>
        <v>49</v>
      </c>
      <c r="R101" s="28" t="str">
        <f t="shared" si="3"/>
        <v>ZARIFAH VERINA MEISYURAH</v>
      </c>
    </row>
    <row r="102">
      <c r="A102" s="27">
        <f>IFERROR(__xludf.DUMMYFUNCTION("""COMPUTED_VALUE"""),101.0)</f>
        <v>101</v>
      </c>
      <c r="B102" s="28" t="str">
        <f>IFERROR(__xludf.DUMMYFUNCTION("""COMPUTED_VALUE"""),"DILLA AGUSTIAWATI PUTRI")</f>
        <v>DILLA AGUSTIAWATI PUTRI</v>
      </c>
      <c r="C102" s="28">
        <f>IFERROR(__xludf.DUMMYFUNCTION("""COMPUTED_VALUE"""),2.024070532E9)</f>
        <v>2024070532</v>
      </c>
      <c r="D102" s="27" t="str">
        <f>IFERROR(__xludf.DUMMYFUNCTION("""COMPUTED_VALUE"""),"C")</f>
        <v>C</v>
      </c>
      <c r="E102" s="27" t="str">
        <f>IFERROR(__xludf.DUMMYFUNCTION("""COMPUTED_VALUE"""),"C-13")</f>
        <v>C-13</v>
      </c>
      <c r="F102" s="31">
        <f>IFERROR(__xludf.DUMMYFUNCTION("""COMPUTED_VALUE"""),3.0)</f>
        <v>3</v>
      </c>
      <c r="G102" s="27" t="str">
        <f>IFERROR(__xludf.DUMMYFUNCTION("""COMPUTED_VALUE"""),"3 ULA C PUTRI")</f>
        <v>3 ULA C PUTRI</v>
      </c>
      <c r="H102" s="28" t="str">
        <f>IFERROR(__xludf.DUMMYFUNCTION("""COMPUTED_VALUE"""),"MTS-9 D")</f>
        <v>MTS-9 D</v>
      </c>
      <c r="I102" s="28" t="str">
        <f>IFERROR(__xludf.DUMMYFUNCTION("""COMPUTED_VALUE"""),"IRA RAHMATUS SAADA")</f>
        <v>IRA RAHMATUS SAADA</v>
      </c>
      <c r="J102" s="28" t="str">
        <f>IFERROR(__xludf.DUMMYFUNCTION("""COMPUTED_VALUE"""),"SEPAT TAMBAKMENJANGAN RT 001 RW 007 SARIREJO LAMONGAN")</f>
        <v>SEPAT TAMBAKMENJANGAN RT 001 RW 007 SARIREJO LAMONGAN</v>
      </c>
      <c r="K102" s="28" t="str">
        <f>IFERROR(__xludf.DUMMYFUNCTION("""COMPUTED_VALUE"""),"6285808407652")</f>
        <v>6285808407652</v>
      </c>
      <c r="L102" s="22">
        <f>IFERROR(__xludf.DUMMYFUNCTION("""COMPUTED_VALUE"""),450000.0)</f>
        <v>450000</v>
      </c>
      <c r="M102" s="22">
        <f>IFERROR(__xludf.DUMMYFUNCTION("""COMPUTED_VALUE"""),0.0)</f>
        <v>0</v>
      </c>
      <c r="N102" s="22">
        <f>IFERROR(__xludf.DUMMYFUNCTION("""COMPUTED_VALUE"""),0.0)</f>
        <v>0</v>
      </c>
      <c r="O102" s="22">
        <f>IFERROR(__xludf.DUMMYFUNCTION("""COMPUTED_VALUE"""),450000.0)</f>
        <v>450000</v>
      </c>
      <c r="P102" s="28" t="str">
        <f t="shared" si="1"/>
        <v>LUNAS</v>
      </c>
      <c r="Q102" s="28">
        <f t="shared" si="2"/>
        <v>147</v>
      </c>
      <c r="R102" s="28" t="str">
        <f t="shared" si="3"/>
        <v>DILLA AGUSTIAWATI PUTRI</v>
      </c>
    </row>
    <row r="103">
      <c r="A103" s="27">
        <f>IFERROR(__xludf.DUMMYFUNCTION("""COMPUTED_VALUE"""),102.0)</f>
        <v>102</v>
      </c>
      <c r="B103" s="28" t="str">
        <f>IFERROR(__xludf.DUMMYFUNCTION("""COMPUTED_VALUE"""),"HANIK FARKHATUS SHOLIKHAH")</f>
        <v>HANIK FARKHATUS SHOLIKHAH</v>
      </c>
      <c r="C103" s="28">
        <f>IFERROR(__xludf.DUMMYFUNCTION("""COMPUTED_VALUE"""),2.024070547E9)</f>
        <v>2024070547</v>
      </c>
      <c r="D103" s="27" t="str">
        <f>IFERROR(__xludf.DUMMYFUNCTION("""COMPUTED_VALUE"""),"C")</f>
        <v>C</v>
      </c>
      <c r="E103" s="27" t="str">
        <f>IFERROR(__xludf.DUMMYFUNCTION("""COMPUTED_VALUE"""),"C-13")</f>
        <v>C-13</v>
      </c>
      <c r="F103" s="31">
        <f>IFERROR(__xludf.DUMMYFUNCTION("""COMPUTED_VALUE"""),3.0)</f>
        <v>3</v>
      </c>
      <c r="G103" s="27" t="str">
        <f>IFERROR(__xludf.DUMMYFUNCTION("""COMPUTED_VALUE"""),"3 ULA B PUTRI")</f>
        <v>3 ULA B PUTRI</v>
      </c>
      <c r="H103" s="28" t="str">
        <f>IFERROR(__xludf.DUMMYFUNCTION("""COMPUTED_VALUE"""),"MTS-9 D")</f>
        <v>MTS-9 D</v>
      </c>
      <c r="I103" s="28" t="str">
        <f>IFERROR(__xludf.DUMMYFUNCTION("""COMPUTED_VALUE"""),"WIWIT")</f>
        <v>WIWIT</v>
      </c>
      <c r="J103" s="28" t="str">
        <f>IFERROR(__xludf.DUMMYFUNCTION("""COMPUTED_VALUE"""),"KARANGCANGKRING RT 006 RW 003 DUKUN GRESIK")</f>
        <v>KARANGCANGKRING RT 006 RW 003 DUKUN GRESIK</v>
      </c>
      <c r="K103" s="28" t="str">
        <f>IFERROR(__xludf.DUMMYFUNCTION("""COMPUTED_VALUE"""),"6285731327129")</f>
        <v>6285731327129</v>
      </c>
      <c r="L103" s="22">
        <f>IFERROR(__xludf.DUMMYFUNCTION("""COMPUTED_VALUE"""),1800000.0)</f>
        <v>1800000</v>
      </c>
      <c r="M103" s="22">
        <f>IFERROR(__xludf.DUMMYFUNCTION("""COMPUTED_VALUE"""),1000000.0)</f>
        <v>1000000</v>
      </c>
      <c r="N103" s="22">
        <f>IFERROR(__xludf.DUMMYFUNCTION("""COMPUTED_VALUE"""),0.0)</f>
        <v>0</v>
      </c>
      <c r="O103" s="22">
        <f>IFERROR(__xludf.DUMMYFUNCTION("""COMPUTED_VALUE"""),2800000.0)</f>
        <v>2800000</v>
      </c>
      <c r="P103" s="28" t="str">
        <f t="shared" si="1"/>
        <v>LUNAS</v>
      </c>
      <c r="Q103" s="28">
        <f t="shared" si="2"/>
        <v>14</v>
      </c>
      <c r="R103" s="28" t="str">
        <f t="shared" si="3"/>
        <v>HANIK FARKHATUS SHOLIKHAH</v>
      </c>
    </row>
    <row r="104">
      <c r="A104" s="27">
        <f>IFERROR(__xludf.DUMMYFUNCTION("""COMPUTED_VALUE"""),103.0)</f>
        <v>103</v>
      </c>
      <c r="B104" s="28" t="str">
        <f>IFERROR(__xludf.DUMMYFUNCTION("""COMPUTED_VALUE"""),"ASTNA ANIS ADUBA")</f>
        <v>ASTNA ANIS ADUBA</v>
      </c>
      <c r="C104" s="28">
        <f>IFERROR(__xludf.DUMMYFUNCTION("""COMPUTED_VALUE"""),2.024070003E9)</f>
        <v>2024070003</v>
      </c>
      <c r="D104" s="27" t="str">
        <f>IFERROR(__xludf.DUMMYFUNCTION("""COMPUTED_VALUE"""),"C")</f>
        <v>C</v>
      </c>
      <c r="E104" s="27" t="str">
        <f>IFERROR(__xludf.DUMMYFUNCTION("""COMPUTED_VALUE"""),"C-2")</f>
        <v>C-2</v>
      </c>
      <c r="F104" s="31">
        <f>IFERROR(__xludf.DUMMYFUNCTION("""COMPUTED_VALUE"""),3.0)</f>
        <v>3</v>
      </c>
      <c r="G104" s="27"/>
      <c r="H104" s="28" t="str">
        <f>IFERROR(__xludf.DUMMYFUNCTION("""COMPUTED_VALUE"""),"MA-XII.1")</f>
        <v>MA-XII.1</v>
      </c>
      <c r="I104" s="28" t="str">
        <f>IFERROR(__xludf.DUMMYFUNCTION("""COMPUTED_VALUE"""),"ZUMROHAH")</f>
        <v>ZUMROHAH</v>
      </c>
      <c r="J104" s="28" t="str">
        <f>IFERROR(__xludf.DUMMYFUNCTION("""COMPUTED_VALUE"""),"TAKERHARJO RT 004 RW 002 SOLOKURO LAMONGAN")</f>
        <v>TAKERHARJO RT 004 RW 002 SOLOKURO LAMONGAN</v>
      </c>
      <c r="K104" s="28" t="str">
        <f>IFERROR(__xludf.DUMMYFUNCTION("""COMPUTED_VALUE"""),"6285790863008")</f>
        <v>6285790863008</v>
      </c>
      <c r="L104" s="22">
        <f>IFERROR(__xludf.DUMMYFUNCTION("""COMPUTED_VALUE"""),0.0)</f>
        <v>0</v>
      </c>
      <c r="M104" s="22">
        <f>IFERROR(__xludf.DUMMYFUNCTION("""COMPUTED_VALUE"""),0.0)</f>
        <v>0</v>
      </c>
      <c r="N104" s="22">
        <f>IFERROR(__xludf.DUMMYFUNCTION("""COMPUTED_VALUE"""),0.0)</f>
        <v>0</v>
      </c>
      <c r="O104" s="22">
        <f>IFERROR(__xludf.DUMMYFUNCTION("""COMPUTED_VALUE"""),0.0)</f>
        <v>0</v>
      </c>
      <c r="P104" s="28" t="str">
        <f t="shared" si="1"/>
        <v>LUNAS</v>
      </c>
      <c r="Q104" s="28">
        <f t="shared" si="2"/>
        <v>185</v>
      </c>
      <c r="R104" s="28" t="str">
        <f t="shared" si="3"/>
        <v>ASTNA ANIS ADUBA</v>
      </c>
    </row>
    <row r="105">
      <c r="A105" s="27">
        <f>IFERROR(__xludf.DUMMYFUNCTION("""COMPUTED_VALUE"""),104.0)</f>
        <v>104</v>
      </c>
      <c r="B105" s="28" t="str">
        <f>IFERROR(__xludf.DUMMYFUNCTION("""COMPUTED_VALUE"""),"DIVA EKA LESTARI")</f>
        <v>DIVA EKA LESTARI</v>
      </c>
      <c r="C105" s="28">
        <f>IFERROR(__xludf.DUMMYFUNCTION("""COMPUTED_VALUE"""),2.024070006E9)</f>
        <v>2024070006</v>
      </c>
      <c r="D105" s="27" t="str">
        <f>IFERROR(__xludf.DUMMYFUNCTION("""COMPUTED_VALUE"""),"C")</f>
        <v>C</v>
      </c>
      <c r="E105" s="27" t="str">
        <f>IFERROR(__xludf.DUMMYFUNCTION("""COMPUTED_VALUE"""),"C-2")</f>
        <v>C-2</v>
      </c>
      <c r="F105" s="31">
        <f>IFERROR(__xludf.DUMMYFUNCTION("""COMPUTED_VALUE"""),3.0)</f>
        <v>3</v>
      </c>
      <c r="G105" s="27"/>
      <c r="H105" s="28" t="str">
        <f>IFERROR(__xludf.DUMMYFUNCTION("""COMPUTED_VALUE"""),"MA-XII.1")</f>
        <v>MA-XII.1</v>
      </c>
      <c r="I105" s="28" t="str">
        <f>IFERROR(__xludf.DUMMYFUNCTION("""COMPUTED_VALUE"""),"NING MINARSIH")</f>
        <v>NING MINARSIH</v>
      </c>
      <c r="J105" s="28" t="str">
        <f>IFERROR(__xludf.DUMMYFUNCTION("""COMPUTED_VALUE"""),"P. TENDEAN 24 KULURAN RT 004 RW 004 KALITENGAH LAMONGAN")</f>
        <v>P. TENDEAN 24 KULURAN RT 004 RW 004 KALITENGAH LAMONGAN</v>
      </c>
      <c r="K105" s="28" t="str">
        <f>IFERROR(__xludf.DUMMYFUNCTION("""COMPUTED_VALUE"""),"6285755339391")</f>
        <v>6285755339391</v>
      </c>
      <c r="L105" s="22">
        <f>IFERROR(__xludf.DUMMYFUNCTION("""COMPUTED_VALUE"""),0.0)</f>
        <v>0</v>
      </c>
      <c r="M105" s="22">
        <f>IFERROR(__xludf.DUMMYFUNCTION("""COMPUTED_VALUE"""),1000000.0)</f>
        <v>1000000</v>
      </c>
      <c r="N105" s="22">
        <f>IFERROR(__xludf.DUMMYFUNCTION("""COMPUTED_VALUE"""),0.0)</f>
        <v>0</v>
      </c>
      <c r="O105" s="22">
        <f>IFERROR(__xludf.DUMMYFUNCTION("""COMPUTED_VALUE"""),1000000.0)</f>
        <v>1000000</v>
      </c>
      <c r="P105" s="28" t="str">
        <f t="shared" si="1"/>
        <v>LUNAS</v>
      </c>
      <c r="Q105" s="28">
        <f t="shared" si="2"/>
        <v>86</v>
      </c>
      <c r="R105" s="28" t="str">
        <f t="shared" si="3"/>
        <v>DIVA EKA LESTARI</v>
      </c>
    </row>
    <row r="106">
      <c r="A106" s="27">
        <f>IFERROR(__xludf.DUMMYFUNCTION("""COMPUTED_VALUE"""),105.0)</f>
        <v>105</v>
      </c>
      <c r="B106" s="28" t="str">
        <f>IFERROR(__xludf.DUMMYFUNCTION("""COMPUTED_VALUE"""),"FITA ARUMNI SEPTHIANY")</f>
        <v>FITA ARUMNI SEPTHIANY</v>
      </c>
      <c r="C106" s="28">
        <f>IFERROR(__xludf.DUMMYFUNCTION("""COMPUTED_VALUE"""),2.024070008E9)</f>
        <v>2024070008</v>
      </c>
      <c r="D106" s="27" t="str">
        <f>IFERROR(__xludf.DUMMYFUNCTION("""COMPUTED_VALUE"""),"C")</f>
        <v>C</v>
      </c>
      <c r="E106" s="27" t="str">
        <f>IFERROR(__xludf.DUMMYFUNCTION("""COMPUTED_VALUE"""),"C-2")</f>
        <v>C-2</v>
      </c>
      <c r="F106" s="31">
        <f>IFERROR(__xludf.DUMMYFUNCTION("""COMPUTED_VALUE"""),3.0)</f>
        <v>3</v>
      </c>
      <c r="G106" s="27"/>
      <c r="H106" s="28" t="str">
        <f>IFERROR(__xludf.DUMMYFUNCTION("""COMPUTED_VALUE"""),"MA-XII.1")</f>
        <v>MA-XII.1</v>
      </c>
      <c r="I106" s="28" t="str">
        <f>IFERROR(__xludf.DUMMYFUNCTION("""COMPUTED_VALUE"""),"KASTILAH")</f>
        <v>KASTILAH</v>
      </c>
      <c r="J106" s="28" t="str">
        <f>IFERROR(__xludf.DUMMYFUNCTION("""COMPUTED_VALUE"""),"KULURAN RT 4 RW 4 KALITENGAH LAMONGAN")</f>
        <v>KULURAN RT 4 RW 4 KALITENGAH LAMONGAN</v>
      </c>
      <c r="K106" s="28" t="str">
        <f>IFERROR(__xludf.DUMMYFUNCTION("""COMPUTED_VALUE"""),"6285707808910")</f>
        <v>6285707808910</v>
      </c>
      <c r="L106" s="22">
        <f>IFERROR(__xludf.DUMMYFUNCTION("""COMPUTED_VALUE"""),900000.0)</f>
        <v>900000</v>
      </c>
      <c r="M106" s="22">
        <f>IFERROR(__xludf.DUMMYFUNCTION("""COMPUTED_VALUE"""),1000000.0)</f>
        <v>1000000</v>
      </c>
      <c r="N106" s="22">
        <f>IFERROR(__xludf.DUMMYFUNCTION("""COMPUTED_VALUE"""),0.0)</f>
        <v>0</v>
      </c>
      <c r="O106" s="22">
        <f>IFERROR(__xludf.DUMMYFUNCTION("""COMPUTED_VALUE"""),1900000.0)</f>
        <v>1900000</v>
      </c>
      <c r="P106" s="28" t="str">
        <f t="shared" si="1"/>
        <v>LUNAS</v>
      </c>
      <c r="Q106" s="28">
        <f t="shared" si="2"/>
        <v>30</v>
      </c>
      <c r="R106" s="28" t="str">
        <f t="shared" si="3"/>
        <v>FITA ARUMNI SEPTHIANY</v>
      </c>
    </row>
    <row r="107">
      <c r="A107" s="27">
        <f>IFERROR(__xludf.DUMMYFUNCTION("""COMPUTED_VALUE"""),106.0)</f>
        <v>106</v>
      </c>
      <c r="B107" s="28" t="str">
        <f>IFERROR(__xludf.DUMMYFUNCTION("""COMPUTED_VALUE"""),"HUMAIRA AISH FAIHA")</f>
        <v>HUMAIRA AISH FAIHA</v>
      </c>
      <c r="C107" s="28">
        <f>IFERROR(__xludf.DUMMYFUNCTION("""COMPUTED_VALUE"""),2.024070009E9)</f>
        <v>2024070009</v>
      </c>
      <c r="D107" s="27" t="str">
        <f>IFERROR(__xludf.DUMMYFUNCTION("""COMPUTED_VALUE"""),"C")</f>
        <v>C</v>
      </c>
      <c r="E107" s="27" t="str">
        <f>IFERROR(__xludf.DUMMYFUNCTION("""COMPUTED_VALUE"""),"C-2")</f>
        <v>C-2</v>
      </c>
      <c r="F107" s="31">
        <f>IFERROR(__xludf.DUMMYFUNCTION("""COMPUTED_VALUE"""),3.0)</f>
        <v>3</v>
      </c>
      <c r="G107" s="27"/>
      <c r="H107" s="28" t="str">
        <f>IFERROR(__xludf.DUMMYFUNCTION("""COMPUTED_VALUE"""),"MA-XII.1")</f>
        <v>MA-XII.1</v>
      </c>
      <c r="I107" s="28" t="str">
        <f>IFERROR(__xludf.DUMMYFUNCTION("""COMPUTED_VALUE"""),"SITI MUTIAH")</f>
        <v>SITI MUTIAH</v>
      </c>
      <c r="J107" s="28" t="str">
        <f>IFERROR(__xludf.DUMMYFUNCTION("""COMPUTED_VALUE"""),"GLATIK RT 010 RW 003 UJUNGPANGKAH GRESIK")</f>
        <v>GLATIK RT 010 RW 003 UJUNGPANGKAH GRESIK</v>
      </c>
      <c r="K107" s="28" t="str">
        <f>IFERROR(__xludf.DUMMYFUNCTION("""COMPUTED_VALUE"""),"62859185949449")</f>
        <v>62859185949449</v>
      </c>
      <c r="L107" s="22">
        <f>IFERROR(__xludf.DUMMYFUNCTION("""COMPUTED_VALUE"""),0.0)</f>
        <v>0</v>
      </c>
      <c r="M107" s="22">
        <f>IFERROR(__xludf.DUMMYFUNCTION("""COMPUTED_VALUE"""),0.0)</f>
        <v>0</v>
      </c>
      <c r="N107" s="22">
        <f>IFERROR(__xludf.DUMMYFUNCTION("""COMPUTED_VALUE"""),0.0)</f>
        <v>0</v>
      </c>
      <c r="O107" s="22">
        <f>IFERROR(__xludf.DUMMYFUNCTION("""COMPUTED_VALUE"""),0.0)</f>
        <v>0</v>
      </c>
      <c r="P107" s="28" t="str">
        <f t="shared" si="1"/>
        <v>LUNAS</v>
      </c>
      <c r="Q107" s="28">
        <f t="shared" si="2"/>
        <v>186</v>
      </c>
      <c r="R107" s="28" t="str">
        <f t="shared" si="3"/>
        <v>HUMAIRA AISH FAIHA</v>
      </c>
    </row>
    <row r="108">
      <c r="A108" s="27">
        <f>IFERROR(__xludf.DUMMYFUNCTION("""COMPUTED_VALUE"""),107.0)</f>
        <v>107</v>
      </c>
      <c r="B108" s="28" t="str">
        <f>IFERROR(__xludf.DUMMYFUNCTION("""COMPUTED_VALUE"""),"INTAN FAZIRAWATI")</f>
        <v>INTAN FAZIRAWATI</v>
      </c>
      <c r="C108" s="28">
        <f>IFERROR(__xludf.DUMMYFUNCTION("""COMPUTED_VALUE"""),2.02407001E9)</f>
        <v>2024070010</v>
      </c>
      <c r="D108" s="27" t="str">
        <f>IFERROR(__xludf.DUMMYFUNCTION("""COMPUTED_VALUE"""),"C")</f>
        <v>C</v>
      </c>
      <c r="E108" s="27" t="str">
        <f>IFERROR(__xludf.DUMMYFUNCTION("""COMPUTED_VALUE"""),"C-2")</f>
        <v>C-2</v>
      </c>
      <c r="F108" s="31">
        <f>IFERROR(__xludf.DUMMYFUNCTION("""COMPUTED_VALUE"""),3.0)</f>
        <v>3</v>
      </c>
      <c r="G108" s="27"/>
      <c r="H108" s="28" t="str">
        <f>IFERROR(__xludf.DUMMYFUNCTION("""COMPUTED_VALUE"""),"MA-XII.1")</f>
        <v>MA-XII.1</v>
      </c>
      <c r="I108" s="28" t="str">
        <f>IFERROR(__xludf.DUMMYFUNCTION("""COMPUTED_VALUE"""),"SUDARWATI")</f>
        <v>SUDARWATI</v>
      </c>
      <c r="J108" s="28" t="str">
        <f>IFERROR(__xludf.DUMMYFUNCTION("""COMPUTED_VALUE"""),"GEDONGOMBO RT 4 RW 12 SEMANDING TUBAN")</f>
        <v>GEDONGOMBO RT 4 RW 12 SEMANDING TUBAN</v>
      </c>
      <c r="K108" s="28" t="str">
        <f>IFERROR(__xludf.DUMMYFUNCTION("""COMPUTED_VALUE"""),"6285607770247")</f>
        <v>6285607770247</v>
      </c>
      <c r="L108" s="22">
        <f>IFERROR(__xludf.DUMMYFUNCTION("""COMPUTED_VALUE"""),0.0)</f>
        <v>0</v>
      </c>
      <c r="M108" s="22">
        <f>IFERROR(__xludf.DUMMYFUNCTION("""COMPUTED_VALUE"""),0.0)</f>
        <v>0</v>
      </c>
      <c r="N108" s="22">
        <f>IFERROR(__xludf.DUMMYFUNCTION("""COMPUTED_VALUE"""),0.0)</f>
        <v>0</v>
      </c>
      <c r="O108" s="22">
        <f>IFERROR(__xludf.DUMMYFUNCTION("""COMPUTED_VALUE"""),0.0)</f>
        <v>0</v>
      </c>
      <c r="P108" s="28" t="str">
        <f t="shared" si="1"/>
        <v>LUNAS</v>
      </c>
      <c r="Q108" s="28">
        <f t="shared" si="2"/>
        <v>187</v>
      </c>
      <c r="R108" s="28" t="str">
        <f t="shared" si="3"/>
        <v>INTAN FAZIRAWATI</v>
      </c>
    </row>
    <row r="109">
      <c r="A109" s="27">
        <f>IFERROR(__xludf.DUMMYFUNCTION("""COMPUTED_VALUE"""),108.0)</f>
        <v>108</v>
      </c>
      <c r="B109" s="28" t="str">
        <f>IFERROR(__xludf.DUMMYFUNCTION("""COMPUTED_VALUE"""),"KANZA DINA AQWIYA")</f>
        <v>KANZA DINA AQWIYA</v>
      </c>
      <c r="C109" s="28">
        <f>IFERROR(__xludf.DUMMYFUNCTION("""COMPUTED_VALUE"""),2.024070012E9)</f>
        <v>2024070012</v>
      </c>
      <c r="D109" s="27" t="str">
        <f>IFERROR(__xludf.DUMMYFUNCTION("""COMPUTED_VALUE"""),"C")</f>
        <v>C</v>
      </c>
      <c r="E109" s="27" t="str">
        <f>IFERROR(__xludf.DUMMYFUNCTION("""COMPUTED_VALUE"""),"C-2")</f>
        <v>C-2</v>
      </c>
      <c r="F109" s="31">
        <f>IFERROR(__xludf.DUMMYFUNCTION("""COMPUTED_VALUE"""),3.0)</f>
        <v>3</v>
      </c>
      <c r="G109" s="27"/>
      <c r="H109" s="28" t="str">
        <f>IFERROR(__xludf.DUMMYFUNCTION("""COMPUTED_VALUE"""),"MA-XII.1")</f>
        <v>MA-XII.1</v>
      </c>
      <c r="I109" s="28" t="str">
        <f>IFERROR(__xludf.DUMMYFUNCTION("""COMPUTED_VALUE"""),"ZAMALIYAH")</f>
        <v>ZAMALIYAH</v>
      </c>
      <c r="J109" s="28" t="str">
        <f>IFERROR(__xludf.DUMMYFUNCTION("""COMPUTED_VALUE"""),"SIDOMULYO RT 1 RW 1 SIDAYU GRESIK")</f>
        <v>SIDOMULYO RT 1 RW 1 SIDAYU GRESIK</v>
      </c>
      <c r="K109" s="28" t="str">
        <f>IFERROR(__xludf.DUMMYFUNCTION("""COMPUTED_VALUE"""),"6285100650399")</f>
        <v>6285100650399</v>
      </c>
      <c r="L109" s="22">
        <f>IFERROR(__xludf.DUMMYFUNCTION("""COMPUTED_VALUE"""),0.0)</f>
        <v>0</v>
      </c>
      <c r="M109" s="22">
        <f>IFERROR(__xludf.DUMMYFUNCTION("""COMPUTED_VALUE"""),0.0)</f>
        <v>0</v>
      </c>
      <c r="N109" s="22">
        <f>IFERROR(__xludf.DUMMYFUNCTION("""COMPUTED_VALUE"""),0.0)</f>
        <v>0</v>
      </c>
      <c r="O109" s="22">
        <f>IFERROR(__xludf.DUMMYFUNCTION("""COMPUTED_VALUE"""),0.0)</f>
        <v>0</v>
      </c>
      <c r="P109" s="28" t="str">
        <f t="shared" si="1"/>
        <v>LUNAS</v>
      </c>
      <c r="Q109" s="28">
        <f t="shared" si="2"/>
        <v>188</v>
      </c>
      <c r="R109" s="28" t="str">
        <f t="shared" si="3"/>
        <v>KANZA DINA AQWIYA</v>
      </c>
    </row>
    <row r="110">
      <c r="A110" s="27">
        <f>IFERROR(__xludf.DUMMYFUNCTION("""COMPUTED_VALUE"""),109.0)</f>
        <v>109</v>
      </c>
      <c r="B110" s="28" t="str">
        <f>IFERROR(__xludf.DUMMYFUNCTION("""COMPUTED_VALUE"""),"KHAIRANI PUTRI ANGGRAINI")</f>
        <v>KHAIRANI PUTRI ANGGRAINI</v>
      </c>
      <c r="C110" s="28">
        <f>IFERROR(__xludf.DUMMYFUNCTION("""COMPUTED_VALUE"""),2.024070013E9)</f>
        <v>2024070013</v>
      </c>
      <c r="D110" s="27" t="str">
        <f>IFERROR(__xludf.DUMMYFUNCTION("""COMPUTED_VALUE"""),"C")</f>
        <v>C</v>
      </c>
      <c r="E110" s="27" t="str">
        <f>IFERROR(__xludf.DUMMYFUNCTION("""COMPUTED_VALUE"""),"C-2")</f>
        <v>C-2</v>
      </c>
      <c r="F110" s="31">
        <f>IFERROR(__xludf.DUMMYFUNCTION("""COMPUTED_VALUE"""),3.0)</f>
        <v>3</v>
      </c>
      <c r="G110" s="27"/>
      <c r="H110" s="28" t="str">
        <f>IFERROR(__xludf.DUMMYFUNCTION("""COMPUTED_VALUE"""),"MA-XII.1")</f>
        <v>MA-XII.1</v>
      </c>
      <c r="I110" s="28" t="str">
        <f>IFERROR(__xludf.DUMMYFUNCTION("""COMPUTED_VALUE"""),"MUSYARROFAH")</f>
        <v>MUSYARROFAH</v>
      </c>
      <c r="J110" s="28" t="str">
        <f>IFERROR(__xludf.DUMMYFUNCTION("""COMPUTED_VALUE"""),"KEDANYANG RT 4 RW 15 KEBOMAS GRESIK")</f>
        <v>KEDANYANG RT 4 RW 15 KEBOMAS GRESIK</v>
      </c>
      <c r="K110" s="28" t="str">
        <f>IFERROR(__xludf.DUMMYFUNCTION("""COMPUTED_VALUE"""),"6282131012610")</f>
        <v>6282131012610</v>
      </c>
      <c r="L110" s="22">
        <f>IFERROR(__xludf.DUMMYFUNCTION("""COMPUTED_VALUE"""),0.0)</f>
        <v>0</v>
      </c>
      <c r="M110" s="22">
        <f>IFERROR(__xludf.DUMMYFUNCTION("""COMPUTED_VALUE"""),0.0)</f>
        <v>0</v>
      </c>
      <c r="N110" s="22">
        <f>IFERROR(__xludf.DUMMYFUNCTION("""COMPUTED_VALUE"""),0.0)</f>
        <v>0</v>
      </c>
      <c r="O110" s="22">
        <f>IFERROR(__xludf.DUMMYFUNCTION("""COMPUTED_VALUE"""),0.0)</f>
        <v>0</v>
      </c>
      <c r="P110" s="28" t="str">
        <f t="shared" si="1"/>
        <v>LUNAS</v>
      </c>
      <c r="Q110" s="28">
        <f t="shared" si="2"/>
        <v>189</v>
      </c>
      <c r="R110" s="28" t="str">
        <f t="shared" si="3"/>
        <v>KHAIRANI PUTRI ANGGRAINI</v>
      </c>
    </row>
    <row r="111">
      <c r="A111" s="27">
        <f>IFERROR(__xludf.DUMMYFUNCTION("""COMPUTED_VALUE"""),110.0)</f>
        <v>110</v>
      </c>
      <c r="B111" s="28" t="str">
        <f>IFERROR(__xludf.DUMMYFUNCTION("""COMPUTED_VALUE"""),"LELYANA DWI ROHMAWATIN")</f>
        <v>LELYANA DWI ROHMAWATIN</v>
      </c>
      <c r="C111" s="28">
        <f>IFERROR(__xludf.DUMMYFUNCTION("""COMPUTED_VALUE"""),2.024070014E9)</f>
        <v>2024070014</v>
      </c>
      <c r="D111" s="27" t="str">
        <f>IFERROR(__xludf.DUMMYFUNCTION("""COMPUTED_VALUE"""),"C")</f>
        <v>C</v>
      </c>
      <c r="E111" s="27" t="str">
        <f>IFERROR(__xludf.DUMMYFUNCTION("""COMPUTED_VALUE"""),"C-2")</f>
        <v>C-2</v>
      </c>
      <c r="F111" s="31">
        <f>IFERROR(__xludf.DUMMYFUNCTION("""COMPUTED_VALUE"""),3.0)</f>
        <v>3</v>
      </c>
      <c r="G111" s="27"/>
      <c r="H111" s="28" t="str">
        <f>IFERROR(__xludf.DUMMYFUNCTION("""COMPUTED_VALUE"""),"MA-XII.1")</f>
        <v>MA-XII.1</v>
      </c>
      <c r="I111" s="28" t="str">
        <f>IFERROR(__xludf.DUMMYFUNCTION("""COMPUTED_VALUE"""),"SAMINING")</f>
        <v>SAMINING</v>
      </c>
      <c r="J111" s="28" t="str">
        <f>IFERROR(__xludf.DUMMYFUNCTION("""COMPUTED_VALUE"""),"KARANGWUNGU RT 005 RW 001 KARANGGENENG LAMONGAN")</f>
        <v>KARANGWUNGU RT 005 RW 001 KARANGGENENG LAMONGAN</v>
      </c>
      <c r="K111" s="28" t="str">
        <f>IFERROR(__xludf.DUMMYFUNCTION("""COMPUTED_VALUE"""),"6285735756658")</f>
        <v>6285735756658</v>
      </c>
      <c r="L111" s="22">
        <f>IFERROR(__xludf.DUMMYFUNCTION("""COMPUTED_VALUE"""),900000.0)</f>
        <v>900000</v>
      </c>
      <c r="M111" s="22">
        <f>IFERROR(__xludf.DUMMYFUNCTION("""COMPUTED_VALUE"""),500000.0)</f>
        <v>500000</v>
      </c>
      <c r="N111" s="22">
        <f>IFERROR(__xludf.DUMMYFUNCTION("""COMPUTED_VALUE"""),0.0)</f>
        <v>0</v>
      </c>
      <c r="O111" s="22">
        <f>IFERROR(__xludf.DUMMYFUNCTION("""COMPUTED_VALUE"""),1400000.0)</f>
        <v>1400000</v>
      </c>
      <c r="P111" s="28" t="str">
        <f t="shared" si="1"/>
        <v>LUNAS</v>
      </c>
      <c r="Q111" s="28">
        <f t="shared" si="2"/>
        <v>47</v>
      </c>
      <c r="R111" s="28" t="str">
        <f t="shared" si="3"/>
        <v>LELYANA DWI ROHMAWATIN</v>
      </c>
    </row>
    <row r="112">
      <c r="A112" s="27">
        <f>IFERROR(__xludf.DUMMYFUNCTION("""COMPUTED_VALUE"""),111.0)</f>
        <v>111</v>
      </c>
      <c r="B112" s="28" t="str">
        <f>IFERROR(__xludf.DUMMYFUNCTION("""COMPUTED_VALUE"""),"MEILANI PUTRI ARINIL WAFA`")</f>
        <v>MEILANI PUTRI ARINIL WAFA`</v>
      </c>
      <c r="C112" s="28">
        <f>IFERROR(__xludf.DUMMYFUNCTION("""COMPUTED_VALUE"""),2.024070015E9)</f>
        <v>2024070015</v>
      </c>
      <c r="D112" s="27" t="str">
        <f>IFERROR(__xludf.DUMMYFUNCTION("""COMPUTED_VALUE"""),"C")</f>
        <v>C</v>
      </c>
      <c r="E112" s="27" t="str">
        <f>IFERROR(__xludf.DUMMYFUNCTION("""COMPUTED_VALUE"""),"C-2")</f>
        <v>C-2</v>
      </c>
      <c r="F112" s="31">
        <f>IFERROR(__xludf.DUMMYFUNCTION("""COMPUTED_VALUE"""),3.0)</f>
        <v>3</v>
      </c>
      <c r="G112" s="27"/>
      <c r="H112" s="28" t="str">
        <f>IFERROR(__xludf.DUMMYFUNCTION("""COMPUTED_VALUE"""),"MA-XII.1")</f>
        <v>MA-XII.1</v>
      </c>
      <c r="I112" s="28" t="str">
        <f>IFERROR(__xludf.DUMMYFUNCTION("""COMPUTED_VALUE"""),"NURASIATIN")</f>
        <v>NURASIATIN</v>
      </c>
      <c r="J112" s="28" t="str">
        <f>IFERROR(__xludf.DUMMYFUNCTION("""COMPUTED_VALUE"""),"KENDALKEMLAGI RT 002 RW 005 KARANGGENENG LAMONGAN")</f>
        <v>KENDALKEMLAGI RT 002 RW 005 KARANGGENENG LAMONGAN</v>
      </c>
      <c r="K112" s="28" t="str">
        <f>IFERROR(__xludf.DUMMYFUNCTION("""COMPUTED_VALUE"""),"6285733138071")</f>
        <v>6285733138071</v>
      </c>
      <c r="L112" s="22">
        <f>IFERROR(__xludf.DUMMYFUNCTION("""COMPUTED_VALUE"""),450000.0)</f>
        <v>450000</v>
      </c>
      <c r="M112" s="22">
        <f>IFERROR(__xludf.DUMMYFUNCTION("""COMPUTED_VALUE"""),500000.0)</f>
        <v>500000</v>
      </c>
      <c r="N112" s="22">
        <f>IFERROR(__xludf.DUMMYFUNCTION("""COMPUTED_VALUE"""),0.0)</f>
        <v>0</v>
      </c>
      <c r="O112" s="22">
        <f>IFERROR(__xludf.DUMMYFUNCTION("""COMPUTED_VALUE"""),950000.0)</f>
        <v>950000</v>
      </c>
      <c r="P112" s="28" t="str">
        <f t="shared" si="1"/>
        <v>LUNAS</v>
      </c>
      <c r="Q112" s="28">
        <f t="shared" si="2"/>
        <v>111</v>
      </c>
      <c r="R112" s="28" t="str">
        <f t="shared" si="3"/>
        <v>MEILANI PUTRI ARINIL WAFA`</v>
      </c>
    </row>
    <row r="113">
      <c r="A113" s="27">
        <f>IFERROR(__xludf.DUMMYFUNCTION("""COMPUTED_VALUE"""),112.0)</f>
        <v>112</v>
      </c>
      <c r="B113" s="28" t="str">
        <f>IFERROR(__xludf.DUMMYFUNCTION("""COMPUTED_VALUE"""),"NADIYATAN NAQI`")</f>
        <v>NADIYATAN NAQI`</v>
      </c>
      <c r="C113" s="28">
        <f>IFERROR(__xludf.DUMMYFUNCTION("""COMPUTED_VALUE"""),2.024070017E9)</f>
        <v>2024070017</v>
      </c>
      <c r="D113" s="27" t="str">
        <f>IFERROR(__xludf.DUMMYFUNCTION("""COMPUTED_VALUE"""),"C")</f>
        <v>C</v>
      </c>
      <c r="E113" s="27" t="str">
        <f>IFERROR(__xludf.DUMMYFUNCTION("""COMPUTED_VALUE"""),"C-2")</f>
        <v>C-2</v>
      </c>
      <c r="F113" s="31">
        <f>IFERROR(__xludf.DUMMYFUNCTION("""COMPUTED_VALUE"""),3.0)</f>
        <v>3</v>
      </c>
      <c r="G113" s="27"/>
      <c r="H113" s="28" t="str">
        <f>IFERROR(__xludf.DUMMYFUNCTION("""COMPUTED_VALUE"""),"MA-XII.1")</f>
        <v>MA-XII.1</v>
      </c>
      <c r="I113" s="28" t="str">
        <f>IFERROR(__xludf.DUMMYFUNCTION("""COMPUTED_VALUE"""),"YAYUK WAHIBAH")</f>
        <v>YAYUK WAHIBAH</v>
      </c>
      <c r="J113" s="28" t="str">
        <f>IFERROR(__xludf.DUMMYFUNCTION("""COMPUTED_VALUE"""),"JL. KH. WAHID HASYIM 12 KULURAN RT 001 RW 001 KALITENGAH LAMONGAN")</f>
        <v>JL. KH. WAHID HASYIM 12 KULURAN RT 001 RW 001 KALITENGAH LAMONGAN</v>
      </c>
      <c r="K113" s="28" t="str">
        <f>IFERROR(__xludf.DUMMYFUNCTION("""COMPUTED_VALUE"""),"6281331944544")</f>
        <v>6281331944544</v>
      </c>
      <c r="L113" s="22">
        <f>IFERROR(__xludf.DUMMYFUNCTION("""COMPUTED_VALUE"""),0.0)</f>
        <v>0</v>
      </c>
      <c r="M113" s="22">
        <f>IFERROR(__xludf.DUMMYFUNCTION("""COMPUTED_VALUE"""),500000.0)</f>
        <v>500000</v>
      </c>
      <c r="N113" s="22">
        <f>IFERROR(__xludf.DUMMYFUNCTION("""COMPUTED_VALUE"""),0.0)</f>
        <v>0</v>
      </c>
      <c r="O113" s="22">
        <f>IFERROR(__xludf.DUMMYFUNCTION("""COMPUTED_VALUE"""),500000.0)</f>
        <v>500000</v>
      </c>
      <c r="P113" s="28" t="str">
        <f t="shared" si="1"/>
        <v>LUNAS</v>
      </c>
      <c r="Q113" s="28">
        <f t="shared" si="2"/>
        <v>131</v>
      </c>
      <c r="R113" s="28" t="str">
        <f t="shared" si="3"/>
        <v>NADIYATAN NAQI`</v>
      </c>
    </row>
    <row r="114">
      <c r="A114" s="27">
        <f>IFERROR(__xludf.DUMMYFUNCTION("""COMPUTED_VALUE"""),113.0)</f>
        <v>113</v>
      </c>
      <c r="B114" s="28" t="str">
        <f>IFERROR(__xludf.DUMMYFUNCTION("""COMPUTED_VALUE"""),"NAFISA BARROTUS TSANIAH")</f>
        <v>NAFISA BARROTUS TSANIAH</v>
      </c>
      <c r="C114" s="28">
        <f>IFERROR(__xludf.DUMMYFUNCTION("""COMPUTED_VALUE"""),2.024070018E9)</f>
        <v>2024070018</v>
      </c>
      <c r="D114" s="27" t="str">
        <f>IFERROR(__xludf.DUMMYFUNCTION("""COMPUTED_VALUE"""),"C")</f>
        <v>C</v>
      </c>
      <c r="E114" s="27" t="str">
        <f>IFERROR(__xludf.DUMMYFUNCTION("""COMPUTED_VALUE"""),"C-2")</f>
        <v>C-2</v>
      </c>
      <c r="F114" s="31">
        <f>IFERROR(__xludf.DUMMYFUNCTION("""COMPUTED_VALUE"""),3.0)</f>
        <v>3</v>
      </c>
      <c r="G114" s="27"/>
      <c r="H114" s="28" t="str">
        <f>IFERROR(__xludf.DUMMYFUNCTION("""COMPUTED_VALUE"""),"MA-XII.1")</f>
        <v>MA-XII.1</v>
      </c>
      <c r="I114" s="28" t="str">
        <f>IFERROR(__xludf.DUMMYFUNCTION("""COMPUTED_VALUE"""),"NASRI'AH")</f>
        <v>NASRI'AH</v>
      </c>
      <c r="J114" s="28" t="str">
        <f>IFERROR(__xludf.DUMMYFUNCTION("""COMPUTED_VALUE"""),"KEMLAGIGEDE RT 12 RW 2 TURI LAMONGAN")</f>
        <v>KEMLAGIGEDE RT 12 RW 2 TURI LAMONGAN</v>
      </c>
      <c r="K114" s="28" t="str">
        <f>IFERROR(__xludf.DUMMYFUNCTION("""COMPUTED_VALUE"""),"62881036103894")</f>
        <v>62881036103894</v>
      </c>
      <c r="L114" s="22">
        <f>IFERROR(__xludf.DUMMYFUNCTION("""COMPUTED_VALUE"""),0.0)</f>
        <v>0</v>
      </c>
      <c r="M114" s="22">
        <f>IFERROR(__xludf.DUMMYFUNCTION("""COMPUTED_VALUE"""),0.0)</f>
        <v>0</v>
      </c>
      <c r="N114" s="22">
        <f>IFERROR(__xludf.DUMMYFUNCTION("""COMPUTED_VALUE"""),0.0)</f>
        <v>0</v>
      </c>
      <c r="O114" s="22">
        <f>IFERROR(__xludf.DUMMYFUNCTION("""COMPUTED_VALUE"""),0.0)</f>
        <v>0</v>
      </c>
      <c r="P114" s="28" t="str">
        <f t="shared" si="1"/>
        <v>LUNAS</v>
      </c>
      <c r="Q114" s="28">
        <f t="shared" si="2"/>
        <v>190</v>
      </c>
      <c r="R114" s="28" t="str">
        <f t="shared" si="3"/>
        <v>NAFISA BARROTUS TSANIAH</v>
      </c>
    </row>
    <row r="115">
      <c r="A115" s="27">
        <f>IFERROR(__xludf.DUMMYFUNCTION("""COMPUTED_VALUE"""),114.0)</f>
        <v>114</v>
      </c>
      <c r="B115" s="28" t="str">
        <f>IFERROR(__xludf.DUMMYFUNCTION("""COMPUTED_VALUE"""),"NAJWA ANAYA PUTRI FATIHAH")</f>
        <v>NAJWA ANAYA PUTRI FATIHAH</v>
      </c>
      <c r="C115" s="28">
        <f>IFERROR(__xludf.DUMMYFUNCTION("""COMPUTED_VALUE"""),2.024070019E9)</f>
        <v>2024070019</v>
      </c>
      <c r="D115" s="27" t="str">
        <f>IFERROR(__xludf.DUMMYFUNCTION("""COMPUTED_VALUE"""),"C")</f>
        <v>C</v>
      </c>
      <c r="E115" s="27" t="str">
        <f>IFERROR(__xludf.DUMMYFUNCTION("""COMPUTED_VALUE"""),"C-2")</f>
        <v>C-2</v>
      </c>
      <c r="F115" s="31">
        <f>IFERROR(__xludf.DUMMYFUNCTION("""COMPUTED_VALUE"""),3.0)</f>
        <v>3</v>
      </c>
      <c r="G115" s="27"/>
      <c r="H115" s="28" t="str">
        <f>IFERROR(__xludf.DUMMYFUNCTION("""COMPUTED_VALUE"""),"MA-XII.1")</f>
        <v>MA-XII.1</v>
      </c>
      <c r="I115" s="28" t="str">
        <f>IFERROR(__xludf.DUMMYFUNCTION("""COMPUTED_VALUE"""),"ILMIYAH FADLOL")</f>
        <v>ILMIYAH FADLOL</v>
      </c>
      <c r="J115" s="28" t="str">
        <f>IFERROR(__xludf.DUMMYFUNCTION("""COMPUTED_VALUE"""),"KARANGREJO RT 005 RW 003 UJUNGPANGKAH GRESIK")</f>
        <v>KARANGREJO RT 005 RW 003 UJUNGPANGKAH GRESIK</v>
      </c>
      <c r="K115" s="28" t="str">
        <f>IFERROR(__xludf.DUMMYFUNCTION("""COMPUTED_VALUE"""),"6281232654948")</f>
        <v>6281232654948</v>
      </c>
      <c r="L115" s="22">
        <f>IFERROR(__xludf.DUMMYFUNCTION("""COMPUTED_VALUE"""),0.0)</f>
        <v>0</v>
      </c>
      <c r="M115" s="22">
        <f>IFERROR(__xludf.DUMMYFUNCTION("""COMPUTED_VALUE"""),0.0)</f>
        <v>0</v>
      </c>
      <c r="N115" s="22">
        <f>IFERROR(__xludf.DUMMYFUNCTION("""COMPUTED_VALUE"""),0.0)</f>
        <v>0</v>
      </c>
      <c r="O115" s="22">
        <f>IFERROR(__xludf.DUMMYFUNCTION("""COMPUTED_VALUE"""),0.0)</f>
        <v>0</v>
      </c>
      <c r="P115" s="28" t="str">
        <f t="shared" si="1"/>
        <v>LUNAS</v>
      </c>
      <c r="Q115" s="28">
        <f t="shared" si="2"/>
        <v>191</v>
      </c>
      <c r="R115" s="28" t="str">
        <f t="shared" si="3"/>
        <v>NAJWA ANAYA PUTRI FATIHAH</v>
      </c>
    </row>
    <row r="116">
      <c r="A116" s="27">
        <f>IFERROR(__xludf.DUMMYFUNCTION("""COMPUTED_VALUE"""),115.0)</f>
        <v>115</v>
      </c>
      <c r="B116" s="28" t="str">
        <f>IFERROR(__xludf.DUMMYFUNCTION("""COMPUTED_VALUE"""),"NOOR SHANIA RAHMAWATI")</f>
        <v>NOOR SHANIA RAHMAWATI</v>
      </c>
      <c r="C116" s="28">
        <f>IFERROR(__xludf.DUMMYFUNCTION("""COMPUTED_VALUE"""),2.024070021E9)</f>
        <v>2024070021</v>
      </c>
      <c r="D116" s="27" t="str">
        <f>IFERROR(__xludf.DUMMYFUNCTION("""COMPUTED_VALUE"""),"C")</f>
        <v>C</v>
      </c>
      <c r="E116" s="27" t="str">
        <f>IFERROR(__xludf.DUMMYFUNCTION("""COMPUTED_VALUE"""),"C-2")</f>
        <v>C-2</v>
      </c>
      <c r="F116" s="31">
        <f>IFERROR(__xludf.DUMMYFUNCTION("""COMPUTED_VALUE"""),3.0)</f>
        <v>3</v>
      </c>
      <c r="G116" s="27"/>
      <c r="H116" s="28" t="str">
        <f>IFERROR(__xludf.DUMMYFUNCTION("""COMPUTED_VALUE"""),"MA-XII.1")</f>
        <v>MA-XII.1</v>
      </c>
      <c r="I116" s="28" t="str">
        <f>IFERROR(__xludf.DUMMYFUNCTION("""COMPUTED_VALUE"""),"ISMAWATUR ROHMAH")</f>
        <v>ISMAWATUR ROHMAH</v>
      </c>
      <c r="J116" s="28" t="str">
        <f>IFERROR(__xludf.DUMMYFUNCTION("""COMPUTED_VALUE"""),"GLATIK RT 009 RW 003 UJUNGPANGKAH GRESIK")</f>
        <v>GLATIK RT 009 RW 003 UJUNGPANGKAH GRESIK</v>
      </c>
      <c r="K116" s="28" t="str">
        <f>IFERROR(__xludf.DUMMYFUNCTION("""COMPUTED_VALUE"""),"62895385546488")</f>
        <v>62895385546488</v>
      </c>
      <c r="L116" s="22">
        <f>IFERROR(__xludf.DUMMYFUNCTION("""COMPUTED_VALUE"""),0.0)</f>
        <v>0</v>
      </c>
      <c r="M116" s="22">
        <f>IFERROR(__xludf.DUMMYFUNCTION("""COMPUTED_VALUE"""),0.0)</f>
        <v>0</v>
      </c>
      <c r="N116" s="22">
        <f>IFERROR(__xludf.DUMMYFUNCTION("""COMPUTED_VALUE"""),0.0)</f>
        <v>0</v>
      </c>
      <c r="O116" s="22">
        <f>IFERROR(__xludf.DUMMYFUNCTION("""COMPUTED_VALUE"""),0.0)</f>
        <v>0</v>
      </c>
      <c r="P116" s="28" t="str">
        <f t="shared" si="1"/>
        <v>LUNAS</v>
      </c>
      <c r="Q116" s="28">
        <f t="shared" si="2"/>
        <v>192</v>
      </c>
      <c r="R116" s="28" t="str">
        <f t="shared" si="3"/>
        <v>NOOR SHANIA RAHMAWATI</v>
      </c>
    </row>
    <row r="117">
      <c r="A117" s="27">
        <f>IFERROR(__xludf.DUMMYFUNCTION("""COMPUTED_VALUE"""),116.0)</f>
        <v>116</v>
      </c>
      <c r="B117" s="28" t="str">
        <f>IFERROR(__xludf.DUMMYFUNCTION("""COMPUTED_VALUE"""),"SHIELLAH ALFI ALKARIMAH YUSUF")</f>
        <v>SHIELLAH ALFI ALKARIMAH YUSUF</v>
      </c>
      <c r="C117" s="28">
        <f>IFERROR(__xludf.DUMMYFUNCTION("""COMPUTED_VALUE"""),2.024070023E9)</f>
        <v>2024070023</v>
      </c>
      <c r="D117" s="27" t="str">
        <f>IFERROR(__xludf.DUMMYFUNCTION("""COMPUTED_VALUE"""),"C")</f>
        <v>C</v>
      </c>
      <c r="E117" s="27" t="str">
        <f>IFERROR(__xludf.DUMMYFUNCTION("""COMPUTED_VALUE"""),"C-2")</f>
        <v>C-2</v>
      </c>
      <c r="F117" s="31">
        <f>IFERROR(__xludf.DUMMYFUNCTION("""COMPUTED_VALUE"""),3.0)</f>
        <v>3</v>
      </c>
      <c r="G117" s="27"/>
      <c r="H117" s="28" t="str">
        <f>IFERROR(__xludf.DUMMYFUNCTION("""COMPUTED_VALUE"""),"MA-XII.1")</f>
        <v>MA-XII.1</v>
      </c>
      <c r="I117" s="28" t="str">
        <f>IFERROR(__xludf.DUMMYFUNCTION("""COMPUTED_VALUE"""),"ZULFATUM MA'KIFAH")</f>
        <v>ZULFATUM MA'KIFAH</v>
      </c>
      <c r="J117" s="28" t="str">
        <f>IFERROR(__xludf.DUMMYFUNCTION("""COMPUTED_VALUE"""),"TURI RT 9 RW 2 TURI LAMONGAN")</f>
        <v>TURI RT 9 RW 2 TURI LAMONGAN</v>
      </c>
      <c r="K117" s="28" t="str">
        <f>IFERROR(__xludf.DUMMYFUNCTION("""COMPUTED_VALUE"""),"6285730526524")</f>
        <v>6285730526524</v>
      </c>
      <c r="L117" s="22">
        <f>IFERROR(__xludf.DUMMYFUNCTION("""COMPUTED_VALUE"""),0.0)</f>
        <v>0</v>
      </c>
      <c r="M117" s="22">
        <f>IFERROR(__xludf.DUMMYFUNCTION("""COMPUTED_VALUE"""),0.0)</f>
        <v>0</v>
      </c>
      <c r="N117" s="22">
        <f>IFERROR(__xludf.DUMMYFUNCTION("""COMPUTED_VALUE"""),0.0)</f>
        <v>0</v>
      </c>
      <c r="O117" s="22">
        <f>IFERROR(__xludf.DUMMYFUNCTION("""COMPUTED_VALUE"""),0.0)</f>
        <v>0</v>
      </c>
      <c r="P117" s="28" t="str">
        <f t="shared" si="1"/>
        <v>LUNAS</v>
      </c>
      <c r="Q117" s="28">
        <f t="shared" si="2"/>
        <v>193</v>
      </c>
      <c r="R117" s="28" t="str">
        <f t="shared" si="3"/>
        <v>SHIELLAH ALFI ALKARIMAH YUSUF</v>
      </c>
    </row>
    <row r="118">
      <c r="A118" s="27">
        <f>IFERROR(__xludf.DUMMYFUNCTION("""COMPUTED_VALUE"""),117.0)</f>
        <v>117</v>
      </c>
      <c r="B118" s="28" t="str">
        <f>IFERROR(__xludf.DUMMYFUNCTION("""COMPUTED_VALUE"""),"SHOFWATUL WIDAD")</f>
        <v>SHOFWATUL WIDAD</v>
      </c>
      <c r="C118" s="28">
        <f>IFERROR(__xludf.DUMMYFUNCTION("""COMPUTED_VALUE"""),2.024070024E9)</f>
        <v>2024070024</v>
      </c>
      <c r="D118" s="27" t="str">
        <f>IFERROR(__xludf.DUMMYFUNCTION("""COMPUTED_VALUE"""),"C")</f>
        <v>C</v>
      </c>
      <c r="E118" s="27" t="str">
        <f>IFERROR(__xludf.DUMMYFUNCTION("""COMPUTED_VALUE"""),"C-2")</f>
        <v>C-2</v>
      </c>
      <c r="F118" s="31">
        <f>IFERROR(__xludf.DUMMYFUNCTION("""COMPUTED_VALUE"""),3.0)</f>
        <v>3</v>
      </c>
      <c r="G118" s="27"/>
      <c r="H118" s="28" t="str">
        <f>IFERROR(__xludf.DUMMYFUNCTION("""COMPUTED_VALUE"""),"MA-XII.1")</f>
        <v>MA-XII.1</v>
      </c>
      <c r="I118" s="28" t="str">
        <f>IFERROR(__xludf.DUMMYFUNCTION("""COMPUTED_VALUE"""),"BADROTUL LAILI")</f>
        <v>BADROTUL LAILI</v>
      </c>
      <c r="J118" s="28" t="str">
        <f>IFERROR(__xludf.DUMMYFUNCTION("""COMPUTED_VALUE"""),"WEDORO RT 3 RW 1 GLAGAH LAMONGAN")</f>
        <v>WEDORO RT 3 RW 1 GLAGAH LAMONGAN</v>
      </c>
      <c r="K118" s="28" t="str">
        <f>IFERROR(__xludf.DUMMYFUNCTION("""COMPUTED_VALUE"""),"6281334126096")</f>
        <v>6281334126096</v>
      </c>
      <c r="L118" s="22">
        <f>IFERROR(__xludf.DUMMYFUNCTION("""COMPUTED_VALUE"""),0.0)</f>
        <v>0</v>
      </c>
      <c r="M118" s="22">
        <f>IFERROR(__xludf.DUMMYFUNCTION("""COMPUTED_VALUE"""),0.0)</f>
        <v>0</v>
      </c>
      <c r="N118" s="22">
        <f>IFERROR(__xludf.DUMMYFUNCTION("""COMPUTED_VALUE"""),0.0)</f>
        <v>0</v>
      </c>
      <c r="O118" s="22">
        <f>IFERROR(__xludf.DUMMYFUNCTION("""COMPUTED_VALUE"""),0.0)</f>
        <v>0</v>
      </c>
      <c r="P118" s="28" t="str">
        <f t="shared" si="1"/>
        <v>LUNAS</v>
      </c>
      <c r="Q118" s="28">
        <f t="shared" si="2"/>
        <v>194</v>
      </c>
      <c r="R118" s="28" t="str">
        <f t="shared" si="3"/>
        <v>SHOFWATUL WIDAD</v>
      </c>
    </row>
    <row r="119">
      <c r="A119" s="27">
        <f>IFERROR(__xludf.DUMMYFUNCTION("""COMPUTED_VALUE"""),118.0)</f>
        <v>118</v>
      </c>
      <c r="B119" s="28" t="str">
        <f>IFERROR(__xludf.DUMMYFUNCTION("""COMPUTED_VALUE"""),"SILVIANA NUR MAULIDIYA")</f>
        <v>SILVIANA NUR MAULIDIYA</v>
      </c>
      <c r="C119" s="28">
        <f>IFERROR(__xludf.DUMMYFUNCTION("""COMPUTED_VALUE"""),2.024070025E9)</f>
        <v>2024070025</v>
      </c>
      <c r="D119" s="27" t="str">
        <f>IFERROR(__xludf.DUMMYFUNCTION("""COMPUTED_VALUE"""),"C")</f>
        <v>C</v>
      </c>
      <c r="E119" s="27" t="str">
        <f>IFERROR(__xludf.DUMMYFUNCTION("""COMPUTED_VALUE"""),"C-2")</f>
        <v>C-2</v>
      </c>
      <c r="F119" s="31">
        <f>IFERROR(__xludf.DUMMYFUNCTION("""COMPUTED_VALUE"""),3.0)</f>
        <v>3</v>
      </c>
      <c r="G119" s="27"/>
      <c r="H119" s="28" t="str">
        <f>IFERROR(__xludf.DUMMYFUNCTION("""COMPUTED_VALUE"""),"MA-XII.1")</f>
        <v>MA-XII.1</v>
      </c>
      <c r="I119" s="28" t="str">
        <f>IFERROR(__xludf.DUMMYFUNCTION("""COMPUTED_VALUE"""),"INDARWATI")</f>
        <v>INDARWATI</v>
      </c>
      <c r="J119" s="28" t="str">
        <f>IFERROR(__xludf.DUMMYFUNCTION("""COMPUTED_VALUE"""),"TURI RT 006 RW 001 TURI LAMONGAN")</f>
        <v>TURI RT 006 RW 001 TURI LAMONGAN</v>
      </c>
      <c r="K119" s="28" t="str">
        <f>IFERROR(__xludf.DUMMYFUNCTION("""COMPUTED_VALUE"""),"6285784942924")</f>
        <v>6285784942924</v>
      </c>
      <c r="L119" s="22">
        <f>IFERROR(__xludf.DUMMYFUNCTION("""COMPUTED_VALUE"""),0.0)</f>
        <v>0</v>
      </c>
      <c r="M119" s="22">
        <f>IFERROR(__xludf.DUMMYFUNCTION("""COMPUTED_VALUE"""),0.0)</f>
        <v>0</v>
      </c>
      <c r="N119" s="22">
        <f>IFERROR(__xludf.DUMMYFUNCTION("""COMPUTED_VALUE"""),0.0)</f>
        <v>0</v>
      </c>
      <c r="O119" s="22">
        <f>IFERROR(__xludf.DUMMYFUNCTION("""COMPUTED_VALUE"""),0.0)</f>
        <v>0</v>
      </c>
      <c r="P119" s="28" t="str">
        <f t="shared" si="1"/>
        <v>LUNAS</v>
      </c>
      <c r="Q119" s="28">
        <f t="shared" si="2"/>
        <v>195</v>
      </c>
      <c r="R119" s="28" t="str">
        <f t="shared" si="3"/>
        <v>SILVIANA NUR MAULIDIYA</v>
      </c>
    </row>
    <row r="120">
      <c r="A120" s="27">
        <f>IFERROR(__xludf.DUMMYFUNCTION("""COMPUTED_VALUE"""),119.0)</f>
        <v>119</v>
      </c>
      <c r="B120" s="28" t="str">
        <f>IFERROR(__xludf.DUMMYFUNCTION("""COMPUTED_VALUE"""),"SYARIFATUL JAMILAH")</f>
        <v>SYARIFATUL JAMILAH</v>
      </c>
      <c r="C120" s="28">
        <f>IFERROR(__xludf.DUMMYFUNCTION("""COMPUTED_VALUE"""),2.024070026E9)</f>
        <v>2024070026</v>
      </c>
      <c r="D120" s="27" t="str">
        <f>IFERROR(__xludf.DUMMYFUNCTION("""COMPUTED_VALUE"""),"C")</f>
        <v>C</v>
      </c>
      <c r="E120" s="27" t="str">
        <f>IFERROR(__xludf.DUMMYFUNCTION("""COMPUTED_VALUE"""),"C-2")</f>
        <v>C-2</v>
      </c>
      <c r="F120" s="31">
        <f>IFERROR(__xludf.DUMMYFUNCTION("""COMPUTED_VALUE"""),3.0)</f>
        <v>3</v>
      </c>
      <c r="G120" s="27"/>
      <c r="H120" s="28" t="str">
        <f>IFERROR(__xludf.DUMMYFUNCTION("""COMPUTED_VALUE"""),"MA-XII.1")</f>
        <v>MA-XII.1</v>
      </c>
      <c r="I120" s="28" t="str">
        <f>IFERROR(__xludf.DUMMYFUNCTION("""COMPUTED_VALUE"""),"FITRIA")</f>
        <v>FITRIA</v>
      </c>
      <c r="J120" s="28" t="str">
        <f>IFERROR(__xludf.DUMMYFUNCTION("""COMPUTED_VALUE"""),"TANGAR KEDUNGHARJO RT 007 RW 002 WIDANG TUBAN")</f>
        <v>TANGAR KEDUNGHARJO RT 007 RW 002 WIDANG TUBAN</v>
      </c>
      <c r="K120" s="28" t="str">
        <f>IFERROR(__xludf.DUMMYFUNCTION("""COMPUTED_VALUE"""),"6285854926859")</f>
        <v>6285854926859</v>
      </c>
      <c r="L120" s="22">
        <f>IFERROR(__xludf.DUMMYFUNCTION("""COMPUTED_VALUE"""),0.0)</f>
        <v>0</v>
      </c>
      <c r="M120" s="22">
        <f>IFERROR(__xludf.DUMMYFUNCTION("""COMPUTED_VALUE"""),0.0)</f>
        <v>0</v>
      </c>
      <c r="N120" s="22">
        <f>IFERROR(__xludf.DUMMYFUNCTION("""COMPUTED_VALUE"""),0.0)</f>
        <v>0</v>
      </c>
      <c r="O120" s="22">
        <f>IFERROR(__xludf.DUMMYFUNCTION("""COMPUTED_VALUE"""),0.0)</f>
        <v>0</v>
      </c>
      <c r="P120" s="28" t="str">
        <f t="shared" si="1"/>
        <v>LUNAS</v>
      </c>
      <c r="Q120" s="28">
        <f t="shared" si="2"/>
        <v>196</v>
      </c>
      <c r="R120" s="28" t="str">
        <f t="shared" si="3"/>
        <v>SYARIFATUL JAMILAH</v>
      </c>
    </row>
    <row r="121">
      <c r="A121" s="27">
        <f>IFERROR(__xludf.DUMMYFUNCTION("""COMPUTED_VALUE"""),120.0)</f>
        <v>120</v>
      </c>
      <c r="B121" s="28" t="str">
        <f>IFERROR(__xludf.DUMMYFUNCTION("""COMPUTED_VALUE"""),"SYIFA AINUL HAYAT")</f>
        <v>SYIFA AINUL HAYAT</v>
      </c>
      <c r="C121" s="28">
        <f>IFERROR(__xludf.DUMMYFUNCTION("""COMPUTED_VALUE"""),2.024070027E9)</f>
        <v>2024070027</v>
      </c>
      <c r="D121" s="27" t="str">
        <f>IFERROR(__xludf.DUMMYFUNCTION("""COMPUTED_VALUE"""),"C")</f>
        <v>C</v>
      </c>
      <c r="E121" s="27" t="str">
        <f>IFERROR(__xludf.DUMMYFUNCTION("""COMPUTED_VALUE"""),"C-2")</f>
        <v>C-2</v>
      </c>
      <c r="F121" s="31">
        <f>IFERROR(__xludf.DUMMYFUNCTION("""COMPUTED_VALUE"""),3.0)</f>
        <v>3</v>
      </c>
      <c r="G121" s="27"/>
      <c r="H121" s="28" t="str">
        <f>IFERROR(__xludf.DUMMYFUNCTION("""COMPUTED_VALUE"""),"MA-XII.1")</f>
        <v>MA-XII.1</v>
      </c>
      <c r="I121" s="28" t="str">
        <f>IFERROR(__xludf.DUMMYFUNCTION("""COMPUTED_VALUE"""),"MARJUNI")</f>
        <v>MARJUNI</v>
      </c>
      <c r="J121" s="28" t="str">
        <f>IFERROR(__xludf.DUMMYFUNCTION("""COMPUTED_VALUE"""),"PRIJEK PRIJEKNGABLAK RT 001 RW 003 KARANGGENENG LAMONGAN")</f>
        <v>PRIJEK PRIJEKNGABLAK RT 001 RW 003 KARANGGENENG LAMONGAN</v>
      </c>
      <c r="K121" s="28" t="str">
        <f>IFERROR(__xludf.DUMMYFUNCTION("""COMPUTED_VALUE"""),"628523019040")</f>
        <v>628523019040</v>
      </c>
      <c r="L121" s="22">
        <f>IFERROR(__xludf.DUMMYFUNCTION("""COMPUTED_VALUE"""),0.0)</f>
        <v>0</v>
      </c>
      <c r="M121" s="22">
        <f>IFERROR(__xludf.DUMMYFUNCTION("""COMPUTED_VALUE"""),0.0)</f>
        <v>0</v>
      </c>
      <c r="N121" s="22">
        <f>IFERROR(__xludf.DUMMYFUNCTION("""COMPUTED_VALUE"""),0.0)</f>
        <v>0</v>
      </c>
      <c r="O121" s="22">
        <f>IFERROR(__xludf.DUMMYFUNCTION("""COMPUTED_VALUE"""),0.0)</f>
        <v>0</v>
      </c>
      <c r="P121" s="28" t="str">
        <f t="shared" si="1"/>
        <v>LUNAS</v>
      </c>
      <c r="Q121" s="28">
        <f t="shared" si="2"/>
        <v>197</v>
      </c>
      <c r="R121" s="28" t="str">
        <f t="shared" si="3"/>
        <v>SYIFA AINUL HAYAT</v>
      </c>
    </row>
    <row r="122">
      <c r="A122" s="27">
        <f>IFERROR(__xludf.DUMMYFUNCTION("""COMPUTED_VALUE"""),121.0)</f>
        <v>121</v>
      </c>
      <c r="B122" s="28" t="str">
        <f>IFERROR(__xludf.DUMMYFUNCTION("""COMPUTED_VALUE"""),"TISYA NIDA`UL HAQQIYAH")</f>
        <v>TISYA NIDA`UL HAQQIYAH</v>
      </c>
      <c r="C122" s="28">
        <f>IFERROR(__xludf.DUMMYFUNCTION("""COMPUTED_VALUE"""),2.024070028E9)</f>
        <v>2024070028</v>
      </c>
      <c r="D122" s="27" t="str">
        <f>IFERROR(__xludf.DUMMYFUNCTION("""COMPUTED_VALUE"""),"C")</f>
        <v>C</v>
      </c>
      <c r="E122" s="27" t="str">
        <f>IFERROR(__xludf.DUMMYFUNCTION("""COMPUTED_VALUE"""),"C-2")</f>
        <v>C-2</v>
      </c>
      <c r="F122" s="31">
        <f>IFERROR(__xludf.DUMMYFUNCTION("""COMPUTED_VALUE"""),3.0)</f>
        <v>3</v>
      </c>
      <c r="G122" s="27"/>
      <c r="H122" s="28" t="str">
        <f>IFERROR(__xludf.DUMMYFUNCTION("""COMPUTED_VALUE"""),"MA-XII.1")</f>
        <v>MA-XII.1</v>
      </c>
      <c r="I122" s="28" t="str">
        <f>IFERROR(__xludf.DUMMYFUNCTION("""COMPUTED_VALUE"""),"JAZILAH")</f>
        <v>JAZILAH</v>
      </c>
      <c r="J122" s="28" t="str">
        <f>IFERROR(__xludf.DUMMYFUNCTION("""COMPUTED_VALUE"""),"IMAAN RT 006 RW 003 DUKUN GRESIK")</f>
        <v>IMAAN RT 006 RW 003 DUKUN GRESIK</v>
      </c>
      <c r="K122" s="28" t="str">
        <f>IFERROR(__xludf.DUMMYFUNCTION("""COMPUTED_VALUE"""),"6285732735045")</f>
        <v>6285732735045</v>
      </c>
      <c r="L122" s="22">
        <f>IFERROR(__xludf.DUMMYFUNCTION("""COMPUTED_VALUE"""),0.0)</f>
        <v>0</v>
      </c>
      <c r="M122" s="22">
        <f>IFERROR(__xludf.DUMMYFUNCTION("""COMPUTED_VALUE"""),0.0)</f>
        <v>0</v>
      </c>
      <c r="N122" s="22">
        <f>IFERROR(__xludf.DUMMYFUNCTION("""COMPUTED_VALUE"""),0.0)</f>
        <v>0</v>
      </c>
      <c r="O122" s="22">
        <f>IFERROR(__xludf.DUMMYFUNCTION("""COMPUTED_VALUE"""),0.0)</f>
        <v>0</v>
      </c>
      <c r="P122" s="28" t="str">
        <f t="shared" si="1"/>
        <v>LUNAS</v>
      </c>
      <c r="Q122" s="28">
        <f t="shared" si="2"/>
        <v>198</v>
      </c>
      <c r="R122" s="28" t="str">
        <f t="shared" si="3"/>
        <v>TISYA NIDA`UL HAQQIYAH</v>
      </c>
    </row>
    <row r="123">
      <c r="A123" s="27">
        <f>IFERROR(__xludf.DUMMYFUNCTION("""COMPUTED_VALUE"""),122.0)</f>
        <v>122</v>
      </c>
      <c r="B123" s="28" t="str">
        <f>IFERROR(__xludf.DUMMYFUNCTION("""COMPUTED_VALUE"""),"ALFA FALAJ SALSABILA")</f>
        <v>ALFA FALAJ SALSABILA</v>
      </c>
      <c r="C123" s="28">
        <f>IFERROR(__xludf.DUMMYFUNCTION("""COMPUTED_VALUE"""),2.024070611E9)</f>
        <v>2024070611</v>
      </c>
      <c r="D123" s="27" t="str">
        <f>IFERROR(__xludf.DUMMYFUNCTION("""COMPUTED_VALUE"""),"C")</f>
        <v>C</v>
      </c>
      <c r="E123" s="27" t="str">
        <f>IFERROR(__xludf.DUMMYFUNCTION("""COMPUTED_VALUE"""),"C-3")</f>
        <v>C-3</v>
      </c>
      <c r="F123" s="31">
        <f>IFERROR(__xludf.DUMMYFUNCTION("""COMPUTED_VALUE"""),3.0)</f>
        <v>3</v>
      </c>
      <c r="G123" s="27" t="str">
        <f>IFERROR(__xludf.DUMMYFUNCTION("""COMPUTED_VALUE"""),"3 ULA C PUTRI")</f>
        <v>3 ULA C PUTRI</v>
      </c>
      <c r="H123" s="28" t="str">
        <f>IFERROR(__xludf.DUMMYFUNCTION("""COMPUTED_VALUE"""),"MTS-9 A")</f>
        <v>MTS-9 A</v>
      </c>
      <c r="I123" s="28" t="str">
        <f>IFERROR(__xludf.DUMMYFUNCTION("""COMPUTED_VALUE"""),"SUMIANAH")</f>
        <v>SUMIANAH</v>
      </c>
      <c r="J123" s="28" t="str">
        <f>IFERROR(__xludf.DUMMYFUNCTION("""COMPUTED_VALUE"""),"KULURAN RT 005 RW 001 KALITENGAH LAMONGAN")</f>
        <v>KULURAN RT 005 RW 001 KALITENGAH LAMONGAN</v>
      </c>
      <c r="K123" s="28" t="str">
        <f>IFERROR(__xludf.DUMMYFUNCTION("""COMPUTED_VALUE"""),"6285859539394")</f>
        <v>6285859539394</v>
      </c>
      <c r="L123" s="22">
        <f>IFERROR(__xludf.DUMMYFUNCTION("""COMPUTED_VALUE"""),450000.0)</f>
        <v>450000</v>
      </c>
      <c r="M123" s="22">
        <f>IFERROR(__xludf.DUMMYFUNCTION("""COMPUTED_VALUE"""),0.0)</f>
        <v>0</v>
      </c>
      <c r="N123" s="22">
        <f>IFERROR(__xludf.DUMMYFUNCTION("""COMPUTED_VALUE"""),0.0)</f>
        <v>0</v>
      </c>
      <c r="O123" s="22">
        <f>IFERROR(__xludf.DUMMYFUNCTION("""COMPUTED_VALUE"""),450000.0)</f>
        <v>450000</v>
      </c>
      <c r="P123" s="28" t="str">
        <f t="shared" si="1"/>
        <v>LUNAS</v>
      </c>
      <c r="Q123" s="28">
        <f t="shared" si="2"/>
        <v>148</v>
      </c>
      <c r="R123" s="28" t="str">
        <f t="shared" si="3"/>
        <v>ALFA FALAJ SALSABILA</v>
      </c>
    </row>
    <row r="124">
      <c r="A124" s="27">
        <f>IFERROR(__xludf.DUMMYFUNCTION("""COMPUTED_VALUE"""),123.0)</f>
        <v>123</v>
      </c>
      <c r="B124" s="28" t="str">
        <f>IFERROR(__xludf.DUMMYFUNCTION("""COMPUTED_VALUE"""),"ATHIIYAH AULIYA`UL MUSHOFAROH")</f>
        <v>ATHIIYAH AULIYA`UL MUSHOFAROH</v>
      </c>
      <c r="C124" s="28">
        <f>IFERROR(__xludf.DUMMYFUNCTION("""COMPUTED_VALUE"""),2.024070631E9)</f>
        <v>2024070631</v>
      </c>
      <c r="D124" s="27" t="str">
        <f>IFERROR(__xludf.DUMMYFUNCTION("""COMPUTED_VALUE"""),"C")</f>
        <v>C</v>
      </c>
      <c r="E124" s="27" t="str">
        <f>IFERROR(__xludf.DUMMYFUNCTION("""COMPUTED_VALUE"""),"C-3")</f>
        <v>C-3</v>
      </c>
      <c r="F124" s="31">
        <f>IFERROR(__xludf.DUMMYFUNCTION("""COMPUTED_VALUE"""),3.0)</f>
        <v>3</v>
      </c>
      <c r="G124" s="27"/>
      <c r="H124" s="28" t="str">
        <f>IFERROR(__xludf.DUMMYFUNCTION("""COMPUTED_VALUE"""),"MTS-9 A")</f>
        <v>MTS-9 A</v>
      </c>
      <c r="I124" s="28" t="str">
        <f>IFERROR(__xludf.DUMMYFUNCTION("""COMPUTED_VALUE"""),"NUR KHOMSATUN FINARIYAH")</f>
        <v>NUR KHOMSATUN FINARIYAH</v>
      </c>
      <c r="J124" s="28" t="str">
        <f>IFERROR(__xludf.DUMMYFUNCTION("""COMPUTED_VALUE"""),"KEDIREN RT 003 RW 001 KALITENGAH LAMONGAN")</f>
        <v>KEDIREN RT 003 RW 001 KALITENGAH LAMONGAN</v>
      </c>
      <c r="K124" s="28" t="str">
        <f>IFERROR(__xludf.DUMMYFUNCTION("""COMPUTED_VALUE"""),"6285731317533")</f>
        <v>6285731317533</v>
      </c>
      <c r="L124" s="22">
        <f>IFERROR(__xludf.DUMMYFUNCTION("""COMPUTED_VALUE"""),0.0)</f>
        <v>0</v>
      </c>
      <c r="M124" s="22">
        <f>IFERROR(__xludf.DUMMYFUNCTION("""COMPUTED_VALUE"""),500000.0)</f>
        <v>500000</v>
      </c>
      <c r="N124" s="22">
        <f>IFERROR(__xludf.DUMMYFUNCTION("""COMPUTED_VALUE"""),0.0)</f>
        <v>0</v>
      </c>
      <c r="O124" s="22">
        <f>IFERROR(__xludf.DUMMYFUNCTION("""COMPUTED_VALUE"""),500000.0)</f>
        <v>500000</v>
      </c>
      <c r="P124" s="28" t="str">
        <f t="shared" si="1"/>
        <v>LUNAS</v>
      </c>
      <c r="Q124" s="28">
        <f t="shared" si="2"/>
        <v>132</v>
      </c>
      <c r="R124" s="28" t="str">
        <f t="shared" si="3"/>
        <v>ATHIIYAH AULIYA`UL MUSHOFAROH</v>
      </c>
    </row>
    <row r="125">
      <c r="A125" s="27">
        <f>IFERROR(__xludf.DUMMYFUNCTION("""COMPUTED_VALUE"""),124.0)</f>
        <v>124</v>
      </c>
      <c r="B125" s="28" t="str">
        <f>IFERROR(__xludf.DUMMYFUNCTION("""COMPUTED_VALUE"""),"AUFA NUR LAILI FADHILAH")</f>
        <v>AUFA NUR LAILI FADHILAH</v>
      </c>
      <c r="C125" s="28">
        <f>IFERROR(__xludf.DUMMYFUNCTION("""COMPUTED_VALUE"""),2.024070605E9)</f>
        <v>2024070605</v>
      </c>
      <c r="D125" s="27" t="str">
        <f>IFERROR(__xludf.DUMMYFUNCTION("""COMPUTED_VALUE"""),"C")</f>
        <v>C</v>
      </c>
      <c r="E125" s="27" t="str">
        <f>IFERROR(__xludf.DUMMYFUNCTION("""COMPUTED_VALUE"""),"C-3")</f>
        <v>C-3</v>
      </c>
      <c r="F125" s="31">
        <f>IFERROR(__xludf.DUMMYFUNCTION("""COMPUTED_VALUE"""),3.0)</f>
        <v>3</v>
      </c>
      <c r="G125" s="27" t="str">
        <f>IFERROR(__xludf.DUMMYFUNCTION("""COMPUTED_VALUE"""),"3 ULA A PUTRI")</f>
        <v>3 ULA A PUTRI</v>
      </c>
      <c r="H125" s="28" t="str">
        <f>IFERROR(__xludf.DUMMYFUNCTION("""COMPUTED_VALUE"""),"MTS-9 B")</f>
        <v>MTS-9 B</v>
      </c>
      <c r="I125" s="28" t="str">
        <f>IFERROR(__xludf.DUMMYFUNCTION("""COMPUTED_VALUE"""),"KUNARTIN")</f>
        <v>KUNARTIN</v>
      </c>
      <c r="J125" s="28" t="str">
        <f>IFERROR(__xludf.DUMMYFUNCTION("""COMPUTED_VALUE"""),"CANDITUNGGAL RT 003 RW 002 KALITENGAH LAMONGAN")</f>
        <v>CANDITUNGGAL RT 003 RW 002 KALITENGAH LAMONGAN</v>
      </c>
      <c r="K125" s="28" t="str">
        <f>IFERROR(__xludf.DUMMYFUNCTION("""COMPUTED_VALUE"""),"6285815665883")</f>
        <v>6285815665883</v>
      </c>
      <c r="L125" s="22">
        <f>IFERROR(__xludf.DUMMYFUNCTION("""COMPUTED_VALUE"""),0.0)</f>
        <v>0</v>
      </c>
      <c r="M125" s="22">
        <f>IFERROR(__xludf.DUMMYFUNCTION("""COMPUTED_VALUE"""),0.0)</f>
        <v>0</v>
      </c>
      <c r="N125" s="22">
        <f>IFERROR(__xludf.DUMMYFUNCTION("""COMPUTED_VALUE"""),0.0)</f>
        <v>0</v>
      </c>
      <c r="O125" s="22">
        <f>IFERROR(__xludf.DUMMYFUNCTION("""COMPUTED_VALUE"""),0.0)</f>
        <v>0</v>
      </c>
      <c r="P125" s="28" t="str">
        <f t="shared" si="1"/>
        <v>LUNAS</v>
      </c>
      <c r="Q125" s="28">
        <f t="shared" si="2"/>
        <v>199</v>
      </c>
      <c r="R125" s="28" t="str">
        <f t="shared" si="3"/>
        <v>AUFA NUR LAILI FADHILAH</v>
      </c>
    </row>
    <row r="126">
      <c r="A126" s="27">
        <f>IFERROR(__xludf.DUMMYFUNCTION("""COMPUTED_VALUE"""),125.0)</f>
        <v>125</v>
      </c>
      <c r="B126" s="28" t="str">
        <f>IFERROR(__xludf.DUMMYFUNCTION("""COMPUTED_VALUE"""),"ISYTI DZIL KARIMAH")</f>
        <v>ISYTI DZIL KARIMAH</v>
      </c>
      <c r="C126" s="28">
        <f>IFERROR(__xludf.DUMMYFUNCTION("""COMPUTED_VALUE"""),2.024070465E9)</f>
        <v>2024070465</v>
      </c>
      <c r="D126" s="27" t="str">
        <f>IFERROR(__xludf.DUMMYFUNCTION("""COMPUTED_VALUE"""),"C")</f>
        <v>C</v>
      </c>
      <c r="E126" s="27" t="str">
        <f>IFERROR(__xludf.DUMMYFUNCTION("""COMPUTED_VALUE"""),"C-3")</f>
        <v>C-3</v>
      </c>
      <c r="F126" s="31">
        <f>IFERROR(__xludf.DUMMYFUNCTION("""COMPUTED_VALUE"""),3.0)</f>
        <v>3</v>
      </c>
      <c r="G126" s="27" t="str">
        <f>IFERROR(__xludf.DUMMYFUNCTION("""COMPUTED_VALUE"""),"3 ULA C PUTRI")</f>
        <v>3 ULA C PUTRI</v>
      </c>
      <c r="H126" s="28" t="str">
        <f>IFERROR(__xludf.DUMMYFUNCTION("""COMPUTED_VALUE"""),"MTS-9 D")</f>
        <v>MTS-9 D</v>
      </c>
      <c r="I126" s="28" t="str">
        <f>IFERROR(__xludf.DUMMYFUNCTION("""COMPUTED_VALUE"""),"NURUL FAIZAH")</f>
        <v>NURUL FAIZAH</v>
      </c>
      <c r="J126" s="28" t="str">
        <f>IFERROR(__xludf.DUMMYFUNCTION("""COMPUTED_VALUE"""),"BUCULOR RAYUNGGUMUK RT 001 RW 001 GLAGAH LAMONGAN")</f>
        <v>BUCULOR RAYUNGGUMUK RT 001 RW 001 GLAGAH LAMONGAN</v>
      </c>
      <c r="K126" s="28" t="str">
        <f>IFERROR(__xludf.DUMMYFUNCTION("""COMPUTED_VALUE"""),"6285850796841")</f>
        <v>6285850796841</v>
      </c>
      <c r="L126" s="22">
        <f>IFERROR(__xludf.DUMMYFUNCTION("""COMPUTED_VALUE"""),0.0)</f>
        <v>0</v>
      </c>
      <c r="M126" s="22">
        <f>IFERROR(__xludf.DUMMYFUNCTION("""COMPUTED_VALUE"""),0.0)</f>
        <v>0</v>
      </c>
      <c r="N126" s="22">
        <f>IFERROR(__xludf.DUMMYFUNCTION("""COMPUTED_VALUE"""),0.0)</f>
        <v>0</v>
      </c>
      <c r="O126" s="22">
        <f>IFERROR(__xludf.DUMMYFUNCTION("""COMPUTED_VALUE"""),0.0)</f>
        <v>0</v>
      </c>
      <c r="P126" s="28" t="str">
        <f t="shared" si="1"/>
        <v>LUNAS</v>
      </c>
      <c r="Q126" s="28">
        <f t="shared" si="2"/>
        <v>200</v>
      </c>
      <c r="R126" s="28" t="str">
        <f t="shared" si="3"/>
        <v>ISYTI DZIL KARIMAH</v>
      </c>
    </row>
    <row r="127">
      <c r="A127" s="27">
        <f>IFERROR(__xludf.DUMMYFUNCTION("""COMPUTED_VALUE"""),126.0)</f>
        <v>126</v>
      </c>
      <c r="B127" s="28" t="str">
        <f>IFERROR(__xludf.DUMMYFUNCTION("""COMPUTED_VALUE"""),"MEIRZA TRISNA DWI ANDINI")</f>
        <v>MEIRZA TRISNA DWI ANDINI</v>
      </c>
      <c r="C127" s="28">
        <f>IFERROR(__xludf.DUMMYFUNCTION("""COMPUTED_VALUE"""),2.024070732E9)</f>
        <v>2024070732</v>
      </c>
      <c r="D127" s="27" t="str">
        <f>IFERROR(__xludf.DUMMYFUNCTION("""COMPUTED_VALUE"""),"C")</f>
        <v>C</v>
      </c>
      <c r="E127" s="27" t="str">
        <f>IFERROR(__xludf.DUMMYFUNCTION("""COMPUTED_VALUE"""),"C-3")</f>
        <v>C-3</v>
      </c>
      <c r="F127" s="31">
        <f>IFERROR(__xludf.DUMMYFUNCTION("""COMPUTED_VALUE"""),3.0)</f>
        <v>3</v>
      </c>
      <c r="G127" s="27" t="str">
        <f>IFERROR(__xludf.DUMMYFUNCTION("""COMPUTED_VALUE"""),"3 ULA C PUTRI")</f>
        <v>3 ULA C PUTRI</v>
      </c>
      <c r="H127" s="28" t="str">
        <f>IFERROR(__xludf.DUMMYFUNCTION("""COMPUTED_VALUE"""),"SMP-IX C")</f>
        <v>SMP-IX C</v>
      </c>
      <c r="I127" s="28" t="str">
        <f>IFERROR(__xludf.DUMMYFUNCTION("""COMPUTED_VALUE"""),"NUR HIDAYATI")</f>
        <v>NUR HIDAYATI</v>
      </c>
      <c r="J127" s="28" t="str">
        <f>IFERROR(__xludf.DUMMYFUNCTION("""COMPUTED_VALUE"""),"KEDIREN RT 001 RW 002 KALITENGAH LAMONGAN")</f>
        <v>KEDIREN RT 001 RW 002 KALITENGAH LAMONGAN</v>
      </c>
      <c r="K127" s="28" t="str">
        <f>IFERROR(__xludf.DUMMYFUNCTION("""COMPUTED_VALUE"""),"6285815031286")</f>
        <v>6285815031286</v>
      </c>
      <c r="L127" s="22">
        <f>IFERROR(__xludf.DUMMYFUNCTION("""COMPUTED_VALUE"""),900000.0)</f>
        <v>900000</v>
      </c>
      <c r="M127" s="22">
        <f>IFERROR(__xludf.DUMMYFUNCTION("""COMPUTED_VALUE"""),0.0)</f>
        <v>0</v>
      </c>
      <c r="N127" s="22">
        <f>IFERROR(__xludf.DUMMYFUNCTION("""COMPUTED_VALUE"""),0.0)</f>
        <v>0</v>
      </c>
      <c r="O127" s="22">
        <f>IFERROR(__xludf.DUMMYFUNCTION("""COMPUTED_VALUE"""),900000.0)</f>
        <v>900000</v>
      </c>
      <c r="P127" s="28" t="str">
        <f t="shared" si="1"/>
        <v>LUNAS</v>
      </c>
      <c r="Q127" s="28">
        <f t="shared" si="2"/>
        <v>117</v>
      </c>
      <c r="R127" s="28" t="str">
        <f t="shared" si="3"/>
        <v>MEIRZA TRISNA DWI ANDINI</v>
      </c>
    </row>
    <row r="128">
      <c r="A128" s="27">
        <f>IFERROR(__xludf.DUMMYFUNCTION("""COMPUTED_VALUE"""),127.0)</f>
        <v>127</v>
      </c>
      <c r="B128" s="28" t="str">
        <f>IFERROR(__xludf.DUMMYFUNCTION("""COMPUTED_VALUE"""),"RAVAUL ZAHIDAH")</f>
        <v>RAVAUL ZAHIDAH</v>
      </c>
      <c r="C128" s="28">
        <f>IFERROR(__xludf.DUMMYFUNCTION("""COMPUTED_VALUE"""),2.02407058E9)</f>
        <v>2024070580</v>
      </c>
      <c r="D128" s="27" t="str">
        <f>IFERROR(__xludf.DUMMYFUNCTION("""COMPUTED_VALUE"""),"C")</f>
        <v>C</v>
      </c>
      <c r="E128" s="27" t="str">
        <f>IFERROR(__xludf.DUMMYFUNCTION("""COMPUTED_VALUE"""),"C-3")</f>
        <v>C-3</v>
      </c>
      <c r="F128" s="31">
        <f>IFERROR(__xludf.DUMMYFUNCTION("""COMPUTED_VALUE"""),3.0)</f>
        <v>3</v>
      </c>
      <c r="G128" s="27" t="str">
        <f>IFERROR(__xludf.DUMMYFUNCTION("""COMPUTED_VALUE"""),"3 ULA B PUTRI")</f>
        <v>3 ULA B PUTRI</v>
      </c>
      <c r="H128" s="28" t="str">
        <f>IFERROR(__xludf.DUMMYFUNCTION("""COMPUTED_VALUE"""),"MTS-9 A")</f>
        <v>MTS-9 A</v>
      </c>
      <c r="I128" s="28" t="str">
        <f>IFERROR(__xludf.DUMMYFUNCTION("""COMPUTED_VALUE"""),"ULIN NI`MAH")</f>
        <v>ULIN NI`MAH</v>
      </c>
      <c r="J128" s="28" t="str">
        <f>IFERROR(__xludf.DUMMYFUNCTION("""COMPUTED_VALUE"""),"PENCARAN BLAWI RT 002 RW 005 KARANGBINANGUN LAMONGAN")</f>
        <v>PENCARAN BLAWI RT 002 RW 005 KARANGBINANGUN LAMONGAN</v>
      </c>
      <c r="K128" s="28" t="str">
        <f>IFERROR(__xludf.DUMMYFUNCTION("""COMPUTED_VALUE"""),"6282231516103")</f>
        <v>6282231516103</v>
      </c>
      <c r="L128" s="22">
        <f>IFERROR(__xludf.DUMMYFUNCTION("""COMPUTED_VALUE"""),4500000.0)</f>
        <v>4500000</v>
      </c>
      <c r="M128" s="22">
        <f>IFERROR(__xludf.DUMMYFUNCTION("""COMPUTED_VALUE"""),1000000.0)</f>
        <v>1000000</v>
      </c>
      <c r="N128" s="22">
        <f>IFERROR(__xludf.DUMMYFUNCTION("""COMPUTED_VALUE"""),0.0)</f>
        <v>0</v>
      </c>
      <c r="O128" s="22">
        <f>IFERROR(__xludf.DUMMYFUNCTION("""COMPUTED_VALUE"""),5500000.0)</f>
        <v>5500000</v>
      </c>
      <c r="P128" s="28" t="str">
        <f t="shared" si="1"/>
        <v>LUNAS</v>
      </c>
      <c r="Q128" s="28">
        <f t="shared" si="2"/>
        <v>4</v>
      </c>
      <c r="R128" s="28" t="str">
        <f t="shared" si="3"/>
        <v>RAVAUL ZAHIDAH</v>
      </c>
    </row>
    <row r="129">
      <c r="A129" s="27">
        <f>IFERROR(__xludf.DUMMYFUNCTION("""COMPUTED_VALUE"""),128.0)</f>
        <v>128</v>
      </c>
      <c r="B129" s="28" t="str">
        <f>IFERROR(__xludf.DUMMYFUNCTION("""COMPUTED_VALUE"""),"SAFIRA FIDIYASARI")</f>
        <v>SAFIRA FIDIYASARI</v>
      </c>
      <c r="C129" s="28">
        <f>IFERROR(__xludf.DUMMYFUNCTION("""COMPUTED_VALUE"""),2.024070632E9)</f>
        <v>2024070632</v>
      </c>
      <c r="D129" s="27" t="str">
        <f>IFERROR(__xludf.DUMMYFUNCTION("""COMPUTED_VALUE"""),"C")</f>
        <v>C</v>
      </c>
      <c r="E129" s="27" t="str">
        <f>IFERROR(__xludf.DUMMYFUNCTION("""COMPUTED_VALUE"""),"C-3")</f>
        <v>C-3</v>
      </c>
      <c r="F129" s="31">
        <f>IFERROR(__xludf.DUMMYFUNCTION("""COMPUTED_VALUE"""),3.0)</f>
        <v>3</v>
      </c>
      <c r="G129" s="27"/>
      <c r="H129" s="28" t="str">
        <f>IFERROR(__xludf.DUMMYFUNCTION("""COMPUTED_VALUE"""),"MTS-9 H")</f>
        <v>MTS-9 H</v>
      </c>
      <c r="I129" s="28" t="str">
        <f>IFERROR(__xludf.DUMMYFUNCTION("""COMPUTED_VALUE"""),"SOFIYA WIDIYAWATI")</f>
        <v>SOFIYA WIDIYAWATI</v>
      </c>
      <c r="J129" s="28" t="str">
        <f>IFERROR(__xludf.DUMMYFUNCTION("""COMPUTED_VALUE"""),"KULURAN RT 004 RW 003 KALITENGAH LAMONGAN")</f>
        <v>KULURAN RT 004 RW 003 KALITENGAH LAMONGAN</v>
      </c>
      <c r="K129" s="28" t="str">
        <f>IFERROR(__xludf.DUMMYFUNCTION("""COMPUTED_VALUE"""),"6285732998926")</f>
        <v>6285732998926</v>
      </c>
      <c r="L129" s="22">
        <f>IFERROR(__xludf.DUMMYFUNCTION("""COMPUTED_VALUE"""),1800000.0)</f>
        <v>1800000</v>
      </c>
      <c r="M129" s="22">
        <f>IFERROR(__xludf.DUMMYFUNCTION("""COMPUTED_VALUE"""),500000.0)</f>
        <v>500000</v>
      </c>
      <c r="N129" s="22">
        <f>IFERROR(__xludf.DUMMYFUNCTION("""COMPUTED_VALUE"""),0.0)</f>
        <v>0</v>
      </c>
      <c r="O129" s="22">
        <f>IFERROR(__xludf.DUMMYFUNCTION("""COMPUTED_VALUE"""),2300000.0)</f>
        <v>2300000</v>
      </c>
      <c r="P129" s="28" t="str">
        <f t="shared" si="1"/>
        <v>LUNAS</v>
      </c>
      <c r="Q129" s="28">
        <f t="shared" si="2"/>
        <v>25</v>
      </c>
      <c r="R129" s="28" t="str">
        <f t="shared" si="3"/>
        <v>SAFIRA FIDIYASARI</v>
      </c>
    </row>
    <row r="130">
      <c r="A130" s="27">
        <f>IFERROR(__xludf.DUMMYFUNCTION("""COMPUTED_VALUE"""),129.0)</f>
        <v>129</v>
      </c>
      <c r="B130" s="28" t="str">
        <f>IFERROR(__xludf.DUMMYFUNCTION("""COMPUTED_VALUE"""),"WAHYUNI SUCI RAHMADANI")</f>
        <v>WAHYUNI SUCI RAHMADANI</v>
      </c>
      <c r="C130" s="28">
        <f>IFERROR(__xludf.DUMMYFUNCTION("""COMPUTED_VALUE"""),2.024070731E9)</f>
        <v>2024070731</v>
      </c>
      <c r="D130" s="27" t="str">
        <f>IFERROR(__xludf.DUMMYFUNCTION("""COMPUTED_VALUE"""),"C")</f>
        <v>C</v>
      </c>
      <c r="E130" s="27" t="str">
        <f>IFERROR(__xludf.DUMMYFUNCTION("""COMPUTED_VALUE"""),"C-3")</f>
        <v>C-3</v>
      </c>
      <c r="F130" s="31">
        <f>IFERROR(__xludf.DUMMYFUNCTION("""COMPUTED_VALUE"""),3.0)</f>
        <v>3</v>
      </c>
      <c r="G130" s="27"/>
      <c r="H130" s="28" t="str">
        <f>IFERROR(__xludf.DUMMYFUNCTION("""COMPUTED_VALUE"""),"SMP-IX C")</f>
        <v>SMP-IX C</v>
      </c>
      <c r="I130" s="28" t="str">
        <f>IFERROR(__xludf.DUMMYFUNCTION("""COMPUTED_VALUE"""),"MARIA ULFA")</f>
        <v>MARIA ULFA</v>
      </c>
      <c r="J130" s="28" t="str">
        <f>IFERROR(__xludf.DUMMYFUNCTION("""COMPUTED_VALUE"""),"KEDIREN RT 001 RW 002 KALITENGAH LAMONGAN")</f>
        <v>KEDIREN RT 001 RW 002 KALITENGAH LAMONGAN</v>
      </c>
      <c r="K130" s="28" t="str">
        <f>IFERROR(__xludf.DUMMYFUNCTION("""COMPUTED_VALUE"""),"6281527879085")</f>
        <v>6281527879085</v>
      </c>
      <c r="L130" s="22">
        <f>IFERROR(__xludf.DUMMYFUNCTION("""COMPUTED_VALUE"""),450000.0)</f>
        <v>450000</v>
      </c>
      <c r="M130" s="22">
        <f>IFERROR(__xludf.DUMMYFUNCTION("""COMPUTED_VALUE"""),0.0)</f>
        <v>0</v>
      </c>
      <c r="N130" s="22">
        <f>IFERROR(__xludf.DUMMYFUNCTION("""COMPUTED_VALUE"""),0.0)</f>
        <v>0</v>
      </c>
      <c r="O130" s="22">
        <f>IFERROR(__xludf.DUMMYFUNCTION("""COMPUTED_VALUE"""),450000.0)</f>
        <v>450000</v>
      </c>
      <c r="P130" s="28" t="str">
        <f t="shared" si="1"/>
        <v>LUNAS</v>
      </c>
      <c r="Q130" s="28">
        <f t="shared" si="2"/>
        <v>149</v>
      </c>
      <c r="R130" s="28" t="str">
        <f t="shared" si="3"/>
        <v>WAHYUNI SUCI RAHMADANI</v>
      </c>
    </row>
    <row r="131">
      <c r="A131" s="27">
        <f>IFERROR(__xludf.DUMMYFUNCTION("""COMPUTED_VALUE"""),130.0)</f>
        <v>130</v>
      </c>
      <c r="B131" s="28" t="str">
        <f>IFERROR(__xludf.DUMMYFUNCTION("""COMPUTED_VALUE"""),"ZAHRA RISKI ALFIANA")</f>
        <v>ZAHRA RISKI ALFIANA</v>
      </c>
      <c r="C131" s="28">
        <f>IFERROR(__xludf.DUMMYFUNCTION("""COMPUTED_VALUE"""),2.024070733E9)</f>
        <v>2024070733</v>
      </c>
      <c r="D131" s="27" t="str">
        <f>IFERROR(__xludf.DUMMYFUNCTION("""COMPUTED_VALUE"""),"C")</f>
        <v>C</v>
      </c>
      <c r="E131" s="27" t="str">
        <f>IFERROR(__xludf.DUMMYFUNCTION("""COMPUTED_VALUE"""),"C-3")</f>
        <v>C-3</v>
      </c>
      <c r="F131" s="31">
        <f>IFERROR(__xludf.DUMMYFUNCTION("""COMPUTED_VALUE"""),3.0)</f>
        <v>3</v>
      </c>
      <c r="G131" s="27" t="str">
        <f>IFERROR(__xludf.DUMMYFUNCTION("""COMPUTED_VALUE"""),"3 ULA B PUTRI")</f>
        <v>3 ULA B PUTRI</v>
      </c>
      <c r="H131" s="28" t="str">
        <f>IFERROR(__xludf.DUMMYFUNCTION("""COMPUTED_VALUE"""),"SMP-IX C")</f>
        <v>SMP-IX C</v>
      </c>
      <c r="I131" s="28" t="str">
        <f>IFERROR(__xludf.DUMMYFUNCTION("""COMPUTED_VALUE"""),"YULIANI")</f>
        <v>YULIANI</v>
      </c>
      <c r="J131" s="28" t="str">
        <f>IFERROR(__xludf.DUMMYFUNCTION("""COMPUTED_VALUE"""),"SUMBERARUM RT 027 RW 009 DANDER BOJONEGORO")</f>
        <v>SUMBERARUM RT 027 RW 009 DANDER BOJONEGORO</v>
      </c>
      <c r="K131" s="28" t="str">
        <f>IFERROR(__xludf.DUMMYFUNCTION("""COMPUTED_VALUE"""),"6285604387587")</f>
        <v>6285604387587</v>
      </c>
      <c r="L131" s="22">
        <f>IFERROR(__xludf.DUMMYFUNCTION("""COMPUTED_VALUE"""),900000.0)</f>
        <v>900000</v>
      </c>
      <c r="M131" s="22">
        <f>IFERROR(__xludf.DUMMYFUNCTION("""COMPUTED_VALUE"""),0.0)</f>
        <v>0</v>
      </c>
      <c r="N131" s="22">
        <f>IFERROR(__xludf.DUMMYFUNCTION("""COMPUTED_VALUE"""),0.0)</f>
        <v>0</v>
      </c>
      <c r="O131" s="22">
        <f>IFERROR(__xludf.DUMMYFUNCTION("""COMPUTED_VALUE"""),900000.0)</f>
        <v>900000</v>
      </c>
      <c r="P131" s="28" t="str">
        <f t="shared" si="1"/>
        <v>LUNAS</v>
      </c>
      <c r="Q131" s="28">
        <f t="shared" si="2"/>
        <v>118</v>
      </c>
      <c r="R131" s="28" t="str">
        <f t="shared" si="3"/>
        <v>ZAHRA RISKI ALFIANA</v>
      </c>
    </row>
    <row r="132">
      <c r="A132" s="27">
        <f>IFERROR(__xludf.DUMMYFUNCTION("""COMPUTED_VALUE"""),131.0)</f>
        <v>131</v>
      </c>
      <c r="B132" s="28" t="str">
        <f>IFERROR(__xludf.DUMMYFUNCTION("""COMPUTED_VALUE"""),"ZIYADAH WAHYU NINGSIH")</f>
        <v>ZIYADAH WAHYU NINGSIH</v>
      </c>
      <c r="C132" s="28">
        <f>IFERROR(__xludf.DUMMYFUNCTION("""COMPUTED_VALUE"""),2.024070484E9)</f>
        <v>2024070484</v>
      </c>
      <c r="D132" s="27" t="str">
        <f>IFERROR(__xludf.DUMMYFUNCTION("""COMPUTED_VALUE"""),"C")</f>
        <v>C</v>
      </c>
      <c r="E132" s="27" t="str">
        <f>IFERROR(__xludf.DUMMYFUNCTION("""COMPUTED_VALUE"""),"C-3")</f>
        <v>C-3</v>
      </c>
      <c r="F132" s="31">
        <f>IFERROR(__xludf.DUMMYFUNCTION("""COMPUTED_VALUE"""),3.0)</f>
        <v>3</v>
      </c>
      <c r="G132" s="27" t="str">
        <f>IFERROR(__xludf.DUMMYFUNCTION("""COMPUTED_VALUE"""),"3 ULA B PUTRI")</f>
        <v>3 ULA B PUTRI</v>
      </c>
      <c r="H132" s="28" t="str">
        <f>IFERROR(__xludf.DUMMYFUNCTION("""COMPUTED_VALUE"""),"MTS-9 G")</f>
        <v>MTS-9 G</v>
      </c>
      <c r="I132" s="28" t="str">
        <f>IFERROR(__xludf.DUMMYFUNCTION("""COMPUTED_VALUE"""),"LATHIFAH")</f>
        <v>LATHIFAH</v>
      </c>
      <c r="J132" s="28" t="str">
        <f>IFERROR(__xludf.DUMMYFUNCTION("""COMPUTED_VALUE"""),"KALIREJO RT 006 RW 004 DUKUN GRESIK")</f>
        <v>KALIREJO RT 006 RW 004 DUKUN GRESIK</v>
      </c>
      <c r="K132" s="28" t="str">
        <f>IFERROR(__xludf.DUMMYFUNCTION("""COMPUTED_VALUE"""),"628564090893")</f>
        <v>628564090893</v>
      </c>
      <c r="L132" s="22">
        <f>IFERROR(__xludf.DUMMYFUNCTION("""COMPUTED_VALUE"""),0.0)</f>
        <v>0</v>
      </c>
      <c r="M132" s="22">
        <f>IFERROR(__xludf.DUMMYFUNCTION("""COMPUTED_VALUE"""),0.0)</f>
        <v>0</v>
      </c>
      <c r="N132" s="22">
        <f>IFERROR(__xludf.DUMMYFUNCTION("""COMPUTED_VALUE"""),0.0)</f>
        <v>0</v>
      </c>
      <c r="O132" s="22">
        <f>IFERROR(__xludf.DUMMYFUNCTION("""COMPUTED_VALUE"""),0.0)</f>
        <v>0</v>
      </c>
      <c r="P132" s="28" t="str">
        <f t="shared" si="1"/>
        <v>LUNAS</v>
      </c>
      <c r="Q132" s="28">
        <f t="shared" si="2"/>
        <v>201</v>
      </c>
      <c r="R132" s="28" t="str">
        <f t="shared" si="3"/>
        <v>ZIYADAH WAHYU NINGSIH</v>
      </c>
    </row>
    <row r="133">
      <c r="A133" s="27">
        <f>IFERROR(__xludf.DUMMYFUNCTION("""COMPUTED_VALUE"""),132.0)</f>
        <v>132</v>
      </c>
      <c r="B133" s="28" t="str">
        <f>IFERROR(__xludf.DUMMYFUNCTION("""COMPUTED_VALUE"""),"ATIQAH FAIRUZAH")</f>
        <v>ATIQAH FAIRUZAH</v>
      </c>
      <c r="C133" s="28">
        <f>IFERROR(__xludf.DUMMYFUNCTION("""COMPUTED_VALUE"""),2.024070544E9)</f>
        <v>2024070544</v>
      </c>
      <c r="D133" s="27" t="str">
        <f>IFERROR(__xludf.DUMMYFUNCTION("""COMPUTED_VALUE"""),"C")</f>
        <v>C</v>
      </c>
      <c r="E133" s="27" t="str">
        <f>IFERROR(__xludf.DUMMYFUNCTION("""COMPUTED_VALUE"""),"C-3")</f>
        <v>C-3</v>
      </c>
      <c r="F133" s="31">
        <f>IFERROR(__xludf.DUMMYFUNCTION("""COMPUTED_VALUE"""),3.0)</f>
        <v>3</v>
      </c>
      <c r="G133" s="27" t="str">
        <f>IFERROR(__xludf.DUMMYFUNCTION("""COMPUTED_VALUE"""),"3 ULA A PUTRI")</f>
        <v>3 ULA A PUTRI</v>
      </c>
      <c r="H133" s="28" t="str">
        <f>IFERROR(__xludf.DUMMYFUNCTION("""COMPUTED_VALUE"""),"MTS-9 G")</f>
        <v>MTS-9 G</v>
      </c>
      <c r="I133" s="28" t="str">
        <f>IFERROR(__xludf.DUMMYFUNCTION("""COMPUTED_VALUE"""),"TISATUL AQOBAH")</f>
        <v>TISATUL AQOBAH</v>
      </c>
      <c r="J133" s="28" t="str">
        <f>IFERROR(__xludf.DUMMYFUNCTION("""COMPUTED_VALUE"""),"SEMBUNGAN KIDUL RT 003 RW 002 DUKUN GRESIK")</f>
        <v>SEMBUNGAN KIDUL RT 003 RW 002 DUKUN GRESIK</v>
      </c>
      <c r="K133" s="28" t="str">
        <f>IFERROR(__xludf.DUMMYFUNCTION("""COMPUTED_VALUE"""),"6285731022920")</f>
        <v>6285731022920</v>
      </c>
      <c r="L133" s="22">
        <f>IFERROR(__xludf.DUMMYFUNCTION("""COMPUTED_VALUE"""),1800000.0)</f>
        <v>1800000</v>
      </c>
      <c r="M133" s="22">
        <f>IFERROR(__xludf.DUMMYFUNCTION("""COMPUTED_VALUE"""),1000000.0)</f>
        <v>1000000</v>
      </c>
      <c r="N133" s="22">
        <f>IFERROR(__xludf.DUMMYFUNCTION("""COMPUTED_VALUE"""),0.0)</f>
        <v>0</v>
      </c>
      <c r="O133" s="22">
        <f>IFERROR(__xludf.DUMMYFUNCTION("""COMPUTED_VALUE"""),2800000.0)</f>
        <v>2800000</v>
      </c>
      <c r="P133" s="28" t="str">
        <f t="shared" si="1"/>
        <v>LUNAS</v>
      </c>
      <c r="Q133" s="28">
        <f t="shared" si="2"/>
        <v>15</v>
      </c>
      <c r="R133" s="28" t="str">
        <f t="shared" si="3"/>
        <v>ATIQAH FAIRUZAH</v>
      </c>
    </row>
    <row r="134">
      <c r="A134" s="27">
        <f>IFERROR(__xludf.DUMMYFUNCTION("""COMPUTED_VALUE"""),133.0)</f>
        <v>133</v>
      </c>
      <c r="B134" s="28" t="str">
        <f>IFERROR(__xludf.DUMMYFUNCTION("""COMPUTED_VALUE"""),"HARITSATUN NAJWA ABIDAH ALBANAN")</f>
        <v>HARITSATUN NAJWA ABIDAH ALBANAN</v>
      </c>
      <c r="C134" s="28">
        <f>IFERROR(__xludf.DUMMYFUNCTION("""COMPUTED_VALUE"""),2.024070569E9)</f>
        <v>2024070569</v>
      </c>
      <c r="D134" s="27" t="str">
        <f>IFERROR(__xludf.DUMMYFUNCTION("""COMPUTED_VALUE"""),"C")</f>
        <v>C</v>
      </c>
      <c r="E134" s="27" t="str">
        <f>IFERROR(__xludf.DUMMYFUNCTION("""COMPUTED_VALUE"""),"C-3")</f>
        <v>C-3</v>
      </c>
      <c r="F134" s="31">
        <f>IFERROR(__xludf.DUMMYFUNCTION("""COMPUTED_VALUE"""),3.0)</f>
        <v>3</v>
      </c>
      <c r="G134" s="27"/>
      <c r="H134" s="28" t="str">
        <f>IFERROR(__xludf.DUMMYFUNCTION("""COMPUTED_VALUE"""),"MTS-9 C")</f>
        <v>MTS-9 C</v>
      </c>
      <c r="I134" s="28" t="str">
        <f>IFERROR(__xludf.DUMMYFUNCTION("""COMPUTED_VALUE"""),"HIDAYATUL ABIDAH")</f>
        <v>HIDAYATUL ABIDAH</v>
      </c>
      <c r="J134" s="28" t="str">
        <f>IFERROR(__xludf.DUMMYFUNCTION("""COMPUTED_VALUE"""),"JANGGAN POMAHANJANGGAN RT 007 RW 003 TURI LAMONGAN")</f>
        <v>JANGGAN POMAHANJANGGAN RT 007 RW 003 TURI LAMONGAN</v>
      </c>
      <c r="K134" s="28" t="str">
        <f>IFERROR(__xludf.DUMMYFUNCTION("""COMPUTED_VALUE"""),"6285655438946")</f>
        <v>6285655438946</v>
      </c>
      <c r="L134" s="22">
        <f>IFERROR(__xludf.DUMMYFUNCTION("""COMPUTED_VALUE"""),2700000.0)</f>
        <v>2700000</v>
      </c>
      <c r="M134" s="22">
        <f>IFERROR(__xludf.DUMMYFUNCTION("""COMPUTED_VALUE"""),0.0)</f>
        <v>0</v>
      </c>
      <c r="N134" s="22">
        <f>IFERROR(__xludf.DUMMYFUNCTION("""COMPUTED_VALUE"""),0.0)</f>
        <v>0</v>
      </c>
      <c r="O134" s="22">
        <f>IFERROR(__xludf.DUMMYFUNCTION("""COMPUTED_VALUE"""),2700000.0)</f>
        <v>2700000</v>
      </c>
      <c r="P134" s="28" t="str">
        <f t="shared" si="1"/>
        <v>LUNAS</v>
      </c>
      <c r="Q134" s="28">
        <f t="shared" si="2"/>
        <v>19</v>
      </c>
      <c r="R134" s="28" t="str">
        <f t="shared" si="3"/>
        <v>HARITSATUN NAJWA ABIDAH ALBANAN</v>
      </c>
    </row>
    <row r="135">
      <c r="A135" s="27">
        <f>IFERROR(__xludf.DUMMYFUNCTION("""COMPUTED_VALUE"""),134.0)</f>
        <v>134</v>
      </c>
      <c r="B135" s="28" t="str">
        <f>IFERROR(__xludf.DUMMYFUNCTION("""COMPUTED_VALUE"""),"KHANSA LABIBAH")</f>
        <v>KHANSA LABIBAH</v>
      </c>
      <c r="C135" s="28">
        <f>IFERROR(__xludf.DUMMYFUNCTION("""COMPUTED_VALUE"""),2.024070543E9)</f>
        <v>2024070543</v>
      </c>
      <c r="D135" s="27" t="str">
        <f>IFERROR(__xludf.DUMMYFUNCTION("""COMPUTED_VALUE"""),"C")</f>
        <v>C</v>
      </c>
      <c r="E135" s="27" t="str">
        <f>IFERROR(__xludf.DUMMYFUNCTION("""COMPUTED_VALUE"""),"C-3")</f>
        <v>C-3</v>
      </c>
      <c r="F135" s="31">
        <f>IFERROR(__xludf.DUMMYFUNCTION("""COMPUTED_VALUE"""),3.0)</f>
        <v>3</v>
      </c>
      <c r="G135" s="27" t="str">
        <f>IFERROR(__xludf.DUMMYFUNCTION("""COMPUTED_VALUE"""),"3 ULA A PUTRI")</f>
        <v>3 ULA A PUTRI</v>
      </c>
      <c r="H135" s="28" t="str">
        <f>IFERROR(__xludf.DUMMYFUNCTION("""COMPUTED_VALUE"""),"MTS-9 G")</f>
        <v>MTS-9 G</v>
      </c>
      <c r="I135" s="28" t="str">
        <f>IFERROR(__xludf.DUMMYFUNCTION("""COMPUTED_VALUE"""),"MAZIDHATUL CHUSNIYA")</f>
        <v>MAZIDHATUL CHUSNIYA</v>
      </c>
      <c r="J135" s="28" t="str">
        <f>IFERROR(__xludf.DUMMYFUNCTION("""COMPUTED_VALUE"""),"SEMBUNGAN KIDUL RT 003 RW 002 DUKUN GRESIK")</f>
        <v>SEMBUNGAN KIDUL RT 003 RW 002 DUKUN GRESIK</v>
      </c>
      <c r="K135" s="28" t="str">
        <f>IFERROR(__xludf.DUMMYFUNCTION("""COMPUTED_VALUE"""),"6285895280860")</f>
        <v>6285895280860</v>
      </c>
      <c r="L135" s="22">
        <f>IFERROR(__xludf.DUMMYFUNCTION("""COMPUTED_VALUE"""),0.0)</f>
        <v>0</v>
      </c>
      <c r="M135" s="22">
        <f>IFERROR(__xludf.DUMMYFUNCTION("""COMPUTED_VALUE"""),0.0)</f>
        <v>0</v>
      </c>
      <c r="N135" s="22">
        <f>IFERROR(__xludf.DUMMYFUNCTION("""COMPUTED_VALUE"""),0.0)</f>
        <v>0</v>
      </c>
      <c r="O135" s="22">
        <f>IFERROR(__xludf.DUMMYFUNCTION("""COMPUTED_VALUE"""),0.0)</f>
        <v>0</v>
      </c>
      <c r="P135" s="28" t="str">
        <f t="shared" si="1"/>
        <v>LUNAS</v>
      </c>
      <c r="Q135" s="28">
        <f t="shared" si="2"/>
        <v>202</v>
      </c>
      <c r="R135" s="28" t="str">
        <f t="shared" si="3"/>
        <v>KHANSA LABIBAH</v>
      </c>
    </row>
    <row r="136">
      <c r="A136" s="27">
        <f>IFERROR(__xludf.DUMMYFUNCTION("""COMPUTED_VALUE"""),135.0)</f>
        <v>135</v>
      </c>
      <c r="B136" s="28" t="str">
        <f>IFERROR(__xludf.DUMMYFUNCTION("""COMPUTED_VALUE"""),"MUTIARA AZZAHRA")</f>
        <v>MUTIARA AZZAHRA</v>
      </c>
      <c r="C136" s="28">
        <f>IFERROR(__xludf.DUMMYFUNCTION("""COMPUTED_VALUE"""),2.024070562E9)</f>
        <v>2024070562</v>
      </c>
      <c r="D136" s="27" t="str">
        <f>IFERROR(__xludf.DUMMYFUNCTION("""COMPUTED_VALUE"""),"C")</f>
        <v>C</v>
      </c>
      <c r="E136" s="27" t="str">
        <f>IFERROR(__xludf.DUMMYFUNCTION("""COMPUTED_VALUE"""),"C-3")</f>
        <v>C-3</v>
      </c>
      <c r="F136" s="31">
        <f>IFERROR(__xludf.DUMMYFUNCTION("""COMPUTED_VALUE"""),3.0)</f>
        <v>3</v>
      </c>
      <c r="G136" s="27" t="str">
        <f>IFERROR(__xludf.DUMMYFUNCTION("""COMPUTED_VALUE"""),"3 ULA A PUTRI")</f>
        <v>3 ULA A PUTRI</v>
      </c>
      <c r="H136" s="28" t="str">
        <f>IFERROR(__xludf.DUMMYFUNCTION("""COMPUTED_VALUE"""),"MTS-9 D")</f>
        <v>MTS-9 D</v>
      </c>
      <c r="I136" s="28" t="str">
        <f>IFERROR(__xludf.DUMMYFUNCTION("""COMPUTED_VALUE"""),"YATIKAH")</f>
        <v>YATIKAH</v>
      </c>
      <c r="J136" s="28" t="str">
        <f>IFERROR(__xludf.DUMMYFUNCTION("""COMPUTED_VALUE"""),"DADAPAN RT 004 RW 001 SOLOKURO LAMONGAN")</f>
        <v>DADAPAN RT 004 RW 001 SOLOKURO LAMONGAN</v>
      </c>
      <c r="K136" s="28" t="str">
        <f>IFERROR(__xludf.DUMMYFUNCTION("""COMPUTED_VALUE"""),"6285852265482")</f>
        <v>6285852265482</v>
      </c>
      <c r="L136" s="22">
        <f>IFERROR(__xludf.DUMMYFUNCTION("""COMPUTED_VALUE"""),0.0)</f>
        <v>0</v>
      </c>
      <c r="M136" s="22">
        <f>IFERROR(__xludf.DUMMYFUNCTION("""COMPUTED_VALUE"""),0.0)</f>
        <v>0</v>
      </c>
      <c r="N136" s="22">
        <f>IFERROR(__xludf.DUMMYFUNCTION("""COMPUTED_VALUE"""),0.0)</f>
        <v>0</v>
      </c>
      <c r="O136" s="22">
        <f>IFERROR(__xludf.DUMMYFUNCTION("""COMPUTED_VALUE"""),0.0)</f>
        <v>0</v>
      </c>
      <c r="P136" s="28" t="str">
        <f t="shared" si="1"/>
        <v>LUNAS</v>
      </c>
      <c r="Q136" s="28">
        <f t="shared" si="2"/>
        <v>203</v>
      </c>
      <c r="R136" s="28" t="str">
        <f t="shared" si="3"/>
        <v>MUTIARA AZZAHRA</v>
      </c>
    </row>
    <row r="137">
      <c r="A137" s="27">
        <f>IFERROR(__xludf.DUMMYFUNCTION("""COMPUTED_VALUE"""),136.0)</f>
        <v>136</v>
      </c>
      <c r="B137" s="28" t="str">
        <f>IFERROR(__xludf.DUMMYFUNCTION("""COMPUTED_VALUE"""),"PUTRI SALSABILA RAHMA NOVALITA")</f>
        <v>PUTRI SALSABILA RAHMA NOVALITA</v>
      </c>
      <c r="C137" s="28">
        <f>IFERROR(__xludf.DUMMYFUNCTION("""COMPUTED_VALUE"""),2.024070545E9)</f>
        <v>2024070545</v>
      </c>
      <c r="D137" s="27" t="str">
        <f>IFERROR(__xludf.DUMMYFUNCTION("""COMPUTED_VALUE"""),"C")</f>
        <v>C</v>
      </c>
      <c r="E137" s="27" t="str">
        <f>IFERROR(__xludf.DUMMYFUNCTION("""COMPUTED_VALUE"""),"C-3")</f>
        <v>C-3</v>
      </c>
      <c r="F137" s="31">
        <f>IFERROR(__xludf.DUMMYFUNCTION("""COMPUTED_VALUE"""),3.0)</f>
        <v>3</v>
      </c>
      <c r="G137" s="27"/>
      <c r="H137" s="28" t="str">
        <f>IFERROR(__xludf.DUMMYFUNCTION("""COMPUTED_VALUE"""),"MTS-9 G")</f>
        <v>MTS-9 G</v>
      </c>
      <c r="I137" s="28" t="str">
        <f>IFERROR(__xludf.DUMMYFUNCTION("""COMPUTED_VALUE"""),"NUR HASANAH")</f>
        <v>NUR HASANAH</v>
      </c>
      <c r="J137" s="28" t="str">
        <f>IFERROR(__xludf.DUMMYFUNCTION("""COMPUTED_VALUE"""),"SEMBUNGAN KIDUL RT 004 RW 002 DUKUN GRESIK")</f>
        <v>SEMBUNGAN KIDUL RT 004 RW 002 DUKUN GRESIK</v>
      </c>
      <c r="K137" s="28" t="str">
        <f>IFERROR(__xludf.DUMMYFUNCTION("""COMPUTED_VALUE"""),"6285755578060")</f>
        <v>6285755578060</v>
      </c>
      <c r="L137" s="22">
        <f>IFERROR(__xludf.DUMMYFUNCTION("""COMPUTED_VALUE"""),900000.0)</f>
        <v>900000</v>
      </c>
      <c r="M137" s="22">
        <f>IFERROR(__xludf.DUMMYFUNCTION("""COMPUTED_VALUE"""),1000000.0)</f>
        <v>1000000</v>
      </c>
      <c r="N137" s="22">
        <f>IFERROR(__xludf.DUMMYFUNCTION("""COMPUTED_VALUE"""),0.0)</f>
        <v>0</v>
      </c>
      <c r="O137" s="22">
        <f>IFERROR(__xludf.DUMMYFUNCTION("""COMPUTED_VALUE"""),1900000.0)</f>
        <v>1900000</v>
      </c>
      <c r="P137" s="28" t="str">
        <f t="shared" si="1"/>
        <v>LUNAS</v>
      </c>
      <c r="Q137" s="28">
        <f t="shared" si="2"/>
        <v>31</v>
      </c>
      <c r="R137" s="28" t="str">
        <f t="shared" si="3"/>
        <v>PUTRI SALSABILA RAHMA NOVALITA</v>
      </c>
    </row>
    <row r="138">
      <c r="A138" s="27">
        <f>IFERROR(__xludf.DUMMYFUNCTION("""COMPUTED_VALUE"""),137.0)</f>
        <v>137</v>
      </c>
      <c r="B138" s="28" t="str">
        <f>IFERROR(__xludf.DUMMYFUNCTION("""COMPUTED_VALUE"""),"FARIKHA AULIA SALSABILLAH")</f>
        <v>FARIKHA AULIA SALSABILLAH</v>
      </c>
      <c r="C138" s="28">
        <f>IFERROR(__xludf.DUMMYFUNCTION("""COMPUTED_VALUE"""),2.024070074E9)</f>
        <v>2024070074</v>
      </c>
      <c r="D138" s="27" t="str">
        <f>IFERROR(__xludf.DUMMYFUNCTION("""COMPUTED_VALUE"""),"C")</f>
        <v>C</v>
      </c>
      <c r="E138" s="27" t="str">
        <f>IFERROR(__xludf.DUMMYFUNCTION("""COMPUTED_VALUE"""),"C-4")</f>
        <v>C-4</v>
      </c>
      <c r="F138" s="31">
        <f>IFERROR(__xludf.DUMMYFUNCTION("""COMPUTED_VALUE"""),3.0)</f>
        <v>3</v>
      </c>
      <c r="G138" s="27" t="str">
        <f>IFERROR(__xludf.DUMMYFUNCTION("""COMPUTED_VALUE"""),"3 WUSTHO B PUTRI")</f>
        <v>3 WUSTHO B PUTRI</v>
      </c>
      <c r="H138" s="28" t="str">
        <f>IFERROR(__xludf.DUMMYFUNCTION("""COMPUTED_VALUE"""),"MA-XII.3")</f>
        <v>MA-XII.3</v>
      </c>
      <c r="I138" s="28" t="str">
        <f>IFERROR(__xludf.DUMMYFUNCTION("""COMPUTED_VALUE"""),"SUNARTI")</f>
        <v>SUNARTI</v>
      </c>
      <c r="J138" s="28" t="str">
        <f>IFERROR(__xludf.DUMMYFUNCTION("""COMPUTED_VALUE"""),"WEDENG SUKOREJO RT 001 RW 003 KARANGBINANGUN LAMONGAN")</f>
        <v>WEDENG SUKOREJO RT 001 RW 003 KARANGBINANGUN LAMONGAN</v>
      </c>
      <c r="K138" s="28" t="str">
        <f>IFERROR(__xludf.DUMMYFUNCTION("""COMPUTED_VALUE"""),"6285645468404")</f>
        <v>6285645468404</v>
      </c>
      <c r="L138" s="22">
        <f>IFERROR(__xludf.DUMMYFUNCTION("""COMPUTED_VALUE"""),0.0)</f>
        <v>0</v>
      </c>
      <c r="M138" s="22">
        <f>IFERROR(__xludf.DUMMYFUNCTION("""COMPUTED_VALUE"""),500000.0)</f>
        <v>500000</v>
      </c>
      <c r="N138" s="22">
        <f>IFERROR(__xludf.DUMMYFUNCTION("""COMPUTED_VALUE"""),0.0)</f>
        <v>0</v>
      </c>
      <c r="O138" s="22">
        <f>IFERROR(__xludf.DUMMYFUNCTION("""COMPUTED_VALUE"""),500000.0)</f>
        <v>500000</v>
      </c>
      <c r="P138" s="28" t="str">
        <f t="shared" si="1"/>
        <v>LUNAS</v>
      </c>
      <c r="Q138" s="28">
        <f t="shared" si="2"/>
        <v>133</v>
      </c>
      <c r="R138" s="28" t="str">
        <f t="shared" si="3"/>
        <v>FARIKHA AULIA SALSABILLAH</v>
      </c>
    </row>
    <row r="139">
      <c r="A139" s="27">
        <f>IFERROR(__xludf.DUMMYFUNCTION("""COMPUTED_VALUE"""),138.0)</f>
        <v>138</v>
      </c>
      <c r="B139" s="28" t="str">
        <f>IFERROR(__xludf.DUMMYFUNCTION("""COMPUTED_VALUE"""),"BALQIS FITHROTUN NUFUS")</f>
        <v>BALQIS FITHROTUN NUFUS</v>
      </c>
      <c r="C139" s="28">
        <f>IFERROR(__xludf.DUMMYFUNCTION("""COMPUTED_VALUE"""),2.024070703E9)</f>
        <v>2024070703</v>
      </c>
      <c r="D139" s="27" t="str">
        <f>IFERROR(__xludf.DUMMYFUNCTION("""COMPUTED_VALUE"""),"C")</f>
        <v>C</v>
      </c>
      <c r="E139" s="27" t="str">
        <f>IFERROR(__xludf.DUMMYFUNCTION("""COMPUTED_VALUE"""),"C-4")</f>
        <v>C-4</v>
      </c>
      <c r="F139" s="31">
        <f>IFERROR(__xludf.DUMMYFUNCTION("""COMPUTED_VALUE"""),3.0)</f>
        <v>3</v>
      </c>
      <c r="G139" s="27"/>
      <c r="H139" s="28" t="str">
        <f>IFERROR(__xludf.DUMMYFUNCTION("""COMPUTED_VALUE"""),"SMK-XII DKV")</f>
        <v>SMK-XII DKV</v>
      </c>
      <c r="I139" s="28" t="str">
        <f>IFERROR(__xludf.DUMMYFUNCTION("""COMPUTED_VALUE"""),"SU`IMAH")</f>
        <v>SU`IMAH</v>
      </c>
      <c r="J139" s="28" t="str">
        <f>IFERROR(__xludf.DUMMYFUNCTION("""COMPUTED_VALUE"""),"BARON RT 003 RW 002 DUKUN GRESIK")</f>
        <v>BARON RT 003 RW 002 DUKUN GRESIK</v>
      </c>
      <c r="K139" s="28" t="str">
        <f>IFERROR(__xludf.DUMMYFUNCTION("""COMPUTED_VALUE"""),"6281357024383")</f>
        <v>6281357024383</v>
      </c>
      <c r="L139" s="22">
        <f>IFERROR(__xludf.DUMMYFUNCTION("""COMPUTED_VALUE"""),450000.0)</f>
        <v>450000</v>
      </c>
      <c r="M139" s="22">
        <f>IFERROR(__xludf.DUMMYFUNCTION("""COMPUTED_VALUE"""),1000000.0)</f>
        <v>1000000</v>
      </c>
      <c r="N139" s="22">
        <f>IFERROR(__xludf.DUMMYFUNCTION("""COMPUTED_VALUE"""),0.0)</f>
        <v>0</v>
      </c>
      <c r="O139" s="22">
        <f>IFERROR(__xludf.DUMMYFUNCTION("""COMPUTED_VALUE"""),1450000.0)</f>
        <v>1450000</v>
      </c>
      <c r="P139" s="28" t="str">
        <f t="shared" si="1"/>
        <v>LUNAS</v>
      </c>
      <c r="Q139" s="28">
        <f t="shared" si="2"/>
        <v>42</v>
      </c>
      <c r="R139" s="28" t="str">
        <f t="shared" si="3"/>
        <v>BALQIS FITHROTUN NUFUS</v>
      </c>
    </row>
    <row r="140">
      <c r="A140" s="27">
        <f>IFERROR(__xludf.DUMMYFUNCTION("""COMPUTED_VALUE"""),139.0)</f>
        <v>139</v>
      </c>
      <c r="B140" s="28" t="str">
        <f>IFERROR(__xludf.DUMMYFUNCTION("""COMPUTED_VALUE"""),"NADIA ZAHROTUSYTA")</f>
        <v>NADIA ZAHROTUSYTA</v>
      </c>
      <c r="C140" s="28">
        <f>IFERROR(__xludf.DUMMYFUNCTION("""COMPUTED_VALUE"""),2.024070693E9)</f>
        <v>2024070693</v>
      </c>
      <c r="D140" s="27" t="str">
        <f>IFERROR(__xludf.DUMMYFUNCTION("""COMPUTED_VALUE"""),"C")</f>
        <v>C</v>
      </c>
      <c r="E140" s="27" t="str">
        <f>IFERROR(__xludf.DUMMYFUNCTION("""COMPUTED_VALUE"""),"C-4")</f>
        <v>C-4</v>
      </c>
      <c r="F140" s="31">
        <f>IFERROR(__xludf.DUMMYFUNCTION("""COMPUTED_VALUE"""),3.0)</f>
        <v>3</v>
      </c>
      <c r="G140" s="27" t="str">
        <f>IFERROR(__xludf.DUMMYFUNCTION("""COMPUTED_VALUE"""),"3 WUSTHO B PUTRI")</f>
        <v>3 WUSTHO B PUTRI</v>
      </c>
      <c r="H140" s="28" t="str">
        <f>IFERROR(__xludf.DUMMYFUNCTION("""COMPUTED_VALUE"""),"SMK-XII LPb")</f>
        <v>SMK-XII LPb</v>
      </c>
      <c r="I140" s="28" t="str">
        <f>IFERROR(__xludf.DUMMYFUNCTION("""COMPUTED_VALUE"""),"SITI KHODIJAH")</f>
        <v>SITI KHODIJAH</v>
      </c>
      <c r="J140" s="28" t="str">
        <f>IFERROR(__xludf.DUMMYFUNCTION("""COMPUTED_VALUE"""),"KP SINDANGASIH BANJARWARINGIN RT 005 RW 001 SALOPA TASIKMALAYA")</f>
        <v>KP SINDANGASIH BANJARWARINGIN RT 005 RW 001 SALOPA TASIKMALAYA</v>
      </c>
      <c r="K140" s="28" t="str">
        <f>IFERROR(__xludf.DUMMYFUNCTION("""COMPUTED_VALUE"""),"6282120539883")</f>
        <v>6282120539883</v>
      </c>
      <c r="L140" s="22">
        <f>IFERROR(__xludf.DUMMYFUNCTION("""COMPUTED_VALUE"""),0.0)</f>
        <v>0</v>
      </c>
      <c r="M140" s="22">
        <f>IFERROR(__xludf.DUMMYFUNCTION("""COMPUTED_VALUE"""),0.0)</f>
        <v>0</v>
      </c>
      <c r="N140" s="22">
        <f>IFERROR(__xludf.DUMMYFUNCTION("""COMPUTED_VALUE"""),0.0)</f>
        <v>0</v>
      </c>
      <c r="O140" s="22">
        <f>IFERROR(__xludf.DUMMYFUNCTION("""COMPUTED_VALUE"""),0.0)</f>
        <v>0</v>
      </c>
      <c r="P140" s="28" t="str">
        <f t="shared" si="1"/>
        <v>LUNAS</v>
      </c>
      <c r="Q140" s="28">
        <f t="shared" si="2"/>
        <v>204</v>
      </c>
      <c r="R140" s="28" t="str">
        <f t="shared" si="3"/>
        <v>NADIA ZAHROTUSYTA</v>
      </c>
    </row>
    <row r="141">
      <c r="A141" s="27">
        <f>IFERROR(__xludf.DUMMYFUNCTION("""COMPUTED_VALUE"""),140.0)</f>
        <v>140</v>
      </c>
      <c r="B141" s="28" t="str">
        <f>IFERROR(__xludf.DUMMYFUNCTION("""COMPUTED_VALUE"""),"ZAHRA NUR AZLINA")</f>
        <v>ZAHRA NUR AZLINA</v>
      </c>
      <c r="C141" s="28">
        <f>IFERROR(__xludf.DUMMYFUNCTION("""COMPUTED_VALUE"""),2.024071521E9)</f>
        <v>2024071521</v>
      </c>
      <c r="D141" s="27" t="str">
        <f>IFERROR(__xludf.DUMMYFUNCTION("""COMPUTED_VALUE"""),"C")</f>
        <v>C</v>
      </c>
      <c r="E141" s="27" t="str">
        <f>IFERROR(__xludf.DUMMYFUNCTION("""COMPUTED_VALUE"""),"C-4")</f>
        <v>C-4</v>
      </c>
      <c r="F141" s="31">
        <f>IFERROR(__xludf.DUMMYFUNCTION("""COMPUTED_VALUE"""),3.0)</f>
        <v>3</v>
      </c>
      <c r="G141" s="27"/>
      <c r="H141" s="28" t="str">
        <f>IFERROR(__xludf.DUMMYFUNCTION("""COMPUTED_VALUE"""),"MA-XIII.9")</f>
        <v>MA-XIII.9</v>
      </c>
      <c r="I141" s="28" t="str">
        <f>IFERROR(__xludf.DUMMYFUNCTION("""COMPUTED_VALUE"""),"SARWIYATI")</f>
        <v>SARWIYATI</v>
      </c>
      <c r="J141" s="28" t="str">
        <f>IFERROR(__xludf.DUMMYFUNCTION("""COMPUTED_VALUE"""),"IMAAN RT 005 RW 003 DUKUN GRESIK")</f>
        <v>IMAAN RT 005 RW 003 DUKUN GRESIK</v>
      </c>
      <c r="K141" s="28" t="str">
        <f>IFERROR(__xludf.DUMMYFUNCTION("""COMPUTED_VALUE"""),"6285785345122")</f>
        <v>6285785345122</v>
      </c>
      <c r="L141" s="22">
        <f>IFERROR(__xludf.DUMMYFUNCTION("""COMPUTED_VALUE"""),0.0)</f>
        <v>0</v>
      </c>
      <c r="M141" s="22">
        <f>IFERROR(__xludf.DUMMYFUNCTION("""COMPUTED_VALUE"""),0.0)</f>
        <v>0</v>
      </c>
      <c r="N141" s="22">
        <f>IFERROR(__xludf.DUMMYFUNCTION("""COMPUTED_VALUE"""),0.0)</f>
        <v>0</v>
      </c>
      <c r="O141" s="22">
        <f>IFERROR(__xludf.DUMMYFUNCTION("""COMPUTED_VALUE"""),0.0)</f>
        <v>0</v>
      </c>
      <c r="P141" s="28" t="str">
        <f t="shared" si="1"/>
        <v>LUNAS</v>
      </c>
      <c r="Q141" s="28">
        <f t="shared" si="2"/>
        <v>205</v>
      </c>
      <c r="R141" s="28" t="str">
        <f t="shared" si="3"/>
        <v>ZAHRA NUR AZLINA</v>
      </c>
    </row>
    <row r="142">
      <c r="A142" s="27">
        <f>IFERROR(__xludf.DUMMYFUNCTION("""COMPUTED_VALUE"""),141.0)</f>
        <v>141</v>
      </c>
      <c r="B142" s="28" t="str">
        <f>IFERROR(__xludf.DUMMYFUNCTION("""COMPUTED_VALUE"""),"ALINDIKA AYU FAHRABI")</f>
        <v>ALINDIKA AYU FAHRABI</v>
      </c>
      <c r="C142" s="28">
        <f>IFERROR(__xludf.DUMMYFUNCTION("""COMPUTED_VALUE"""),2.025070507E9)</f>
        <v>2025070507</v>
      </c>
      <c r="D142" s="27" t="str">
        <f>IFERROR(__xludf.DUMMYFUNCTION("""COMPUTED_VALUE"""),"C")</f>
        <v>C</v>
      </c>
      <c r="E142" s="27" t="str">
        <f>IFERROR(__xludf.DUMMYFUNCTION("""COMPUTED_VALUE"""),"C-5")</f>
        <v>C-5</v>
      </c>
      <c r="F142" s="31">
        <f>IFERROR(__xludf.DUMMYFUNCTION("""COMPUTED_VALUE"""),2.0)</f>
        <v>2</v>
      </c>
      <c r="G142" s="27" t="str">
        <f>IFERROR(__xludf.DUMMYFUNCTION("""COMPUTED_VALUE"""),"2 ULA A PUTRI")</f>
        <v>2 ULA A PUTRI</v>
      </c>
      <c r="H142" s="28" t="str">
        <f>IFERROR(__xludf.DUMMYFUNCTION("""COMPUTED_VALUE"""),"MTS-8 B")</f>
        <v>MTS-8 B</v>
      </c>
      <c r="I142" s="28" t="str">
        <f>IFERROR(__xludf.DUMMYFUNCTION("""COMPUTED_VALUE"""),"MUFLIHAH")</f>
        <v>MUFLIHAH</v>
      </c>
      <c r="J142" s="28" t="str">
        <f>IFERROR(__xludf.DUMMYFUNCTION("""COMPUTED_VALUE"""),"KEBALANPELANG RT 002 RW 002 BABAT LAMONGAN")</f>
        <v>KEBALANPELANG RT 002 RW 002 BABAT LAMONGAN</v>
      </c>
      <c r="K142" s="28" t="str">
        <f>IFERROR(__xludf.DUMMYFUNCTION("""COMPUTED_VALUE"""),"6281336343938")</f>
        <v>6281336343938</v>
      </c>
      <c r="L142" s="22">
        <f>IFERROR(__xludf.DUMMYFUNCTION("""COMPUTED_VALUE"""),0.0)</f>
        <v>0</v>
      </c>
      <c r="M142" s="22">
        <f>IFERROR(__xludf.DUMMYFUNCTION("""COMPUTED_VALUE"""),1000000.0)</f>
        <v>1000000</v>
      </c>
      <c r="N142" s="22">
        <f>IFERROR(__xludf.DUMMYFUNCTION("""COMPUTED_VALUE"""),0.0)</f>
        <v>0</v>
      </c>
      <c r="O142" s="22">
        <f>IFERROR(__xludf.DUMMYFUNCTION("""COMPUTED_VALUE"""),1000000.0)</f>
        <v>1000000</v>
      </c>
      <c r="P142" s="28" t="str">
        <f t="shared" si="1"/>
        <v>LUNAS</v>
      </c>
      <c r="Q142" s="28">
        <f t="shared" si="2"/>
        <v>87</v>
      </c>
      <c r="R142" s="28" t="str">
        <f t="shared" si="3"/>
        <v>ALINDIKA AYU FAHRABI</v>
      </c>
    </row>
    <row r="143">
      <c r="A143" s="27">
        <f>IFERROR(__xludf.DUMMYFUNCTION("""COMPUTED_VALUE"""),142.0)</f>
        <v>142</v>
      </c>
      <c r="B143" s="28" t="str">
        <f>IFERROR(__xludf.DUMMYFUNCTION("""COMPUTED_VALUE"""),"ALYA WAHIDAH DIVA ADINATA")</f>
        <v>ALYA WAHIDAH DIVA ADINATA</v>
      </c>
      <c r="C143" s="28">
        <f>IFERROR(__xludf.DUMMYFUNCTION("""COMPUTED_VALUE"""),2.025070006E9)</f>
        <v>2025070006</v>
      </c>
      <c r="D143" s="27" t="str">
        <f>IFERROR(__xludf.DUMMYFUNCTION("""COMPUTED_VALUE"""),"C")</f>
        <v>C</v>
      </c>
      <c r="E143" s="27" t="str">
        <f>IFERROR(__xludf.DUMMYFUNCTION("""COMPUTED_VALUE"""),"C-5")</f>
        <v>C-5</v>
      </c>
      <c r="F143" s="31">
        <f>IFERROR(__xludf.DUMMYFUNCTION("""COMPUTED_VALUE"""),2.0)</f>
        <v>2</v>
      </c>
      <c r="G143" s="27" t="str">
        <f>IFERROR(__xludf.DUMMYFUNCTION("""COMPUTED_VALUE"""),"2 WUSTHO D PUTRI")</f>
        <v>2 WUSTHO D PUTRI</v>
      </c>
      <c r="H143" s="28" t="str">
        <f>IFERROR(__xludf.DUMMYFUNCTION("""COMPUTED_VALUE"""),"MA-XI.5")</f>
        <v>MA-XI.5</v>
      </c>
      <c r="I143" s="28" t="str">
        <f>IFERROR(__xludf.DUMMYFUNCTION("""COMPUTED_VALUE"""),"IVA CHUSUMAWATI")</f>
        <v>IVA CHUSUMAWATI</v>
      </c>
      <c r="J143" s="28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K143" s="28" t="str">
        <f>IFERROR(__xludf.DUMMYFUNCTION("""COMPUTED_VALUE"""),"6282334095226")</f>
        <v>6282334095226</v>
      </c>
      <c r="L143" s="22">
        <f>IFERROR(__xludf.DUMMYFUNCTION("""COMPUTED_VALUE"""),0.0)</f>
        <v>0</v>
      </c>
      <c r="M143" s="22">
        <f>IFERROR(__xludf.DUMMYFUNCTION("""COMPUTED_VALUE"""),1000000.0)</f>
        <v>1000000</v>
      </c>
      <c r="N143" s="22">
        <f>IFERROR(__xludf.DUMMYFUNCTION("""COMPUTED_VALUE"""),0.0)</f>
        <v>0</v>
      </c>
      <c r="O143" s="22">
        <f>IFERROR(__xludf.DUMMYFUNCTION("""COMPUTED_VALUE"""),1000000.0)</f>
        <v>1000000</v>
      </c>
      <c r="P143" s="28" t="str">
        <f t="shared" si="1"/>
        <v>LUNAS</v>
      </c>
      <c r="Q143" s="28">
        <f t="shared" si="2"/>
        <v>88</v>
      </c>
      <c r="R143" s="28" t="str">
        <f t="shared" si="3"/>
        <v>ALYA WAHIDAH DIVA ADINATA</v>
      </c>
    </row>
    <row r="144">
      <c r="A144" s="27">
        <f>IFERROR(__xludf.DUMMYFUNCTION("""COMPUTED_VALUE"""),143.0)</f>
        <v>143</v>
      </c>
      <c r="B144" s="28" t="str">
        <f>IFERROR(__xludf.DUMMYFUNCTION("""COMPUTED_VALUE"""),"ARINAH DINA DHABITAH")</f>
        <v>ARINAH DINA DHABITAH</v>
      </c>
      <c r="C144" s="28">
        <f>IFERROR(__xludf.DUMMYFUNCTION("""COMPUTED_VALUE"""),2.025070108E9)</f>
        <v>2025070108</v>
      </c>
      <c r="D144" s="27" t="str">
        <f>IFERROR(__xludf.DUMMYFUNCTION("""COMPUTED_VALUE"""),"C")</f>
        <v>C</v>
      </c>
      <c r="E144" s="27" t="str">
        <f>IFERROR(__xludf.DUMMYFUNCTION("""COMPUTED_VALUE"""),"C-5")</f>
        <v>C-5</v>
      </c>
      <c r="F144" s="31">
        <f>IFERROR(__xludf.DUMMYFUNCTION("""COMPUTED_VALUE"""),2.0)</f>
        <v>2</v>
      </c>
      <c r="G144" s="27" t="str">
        <f>IFERROR(__xludf.DUMMYFUNCTION("""COMPUTED_VALUE"""),"2 WUSTHO B PUTRI")</f>
        <v>2 WUSTHO B PUTRI</v>
      </c>
      <c r="H144" s="28" t="str">
        <f>IFERROR(__xludf.DUMMYFUNCTION("""COMPUTED_VALUE"""),"MA-XI.10")</f>
        <v>MA-XI.10</v>
      </c>
      <c r="I144" s="28" t="str">
        <f>IFERROR(__xludf.DUMMYFUNCTION("""COMPUTED_VALUE"""),"ERLI NUR INDA SARI")</f>
        <v>ERLI NUR INDA SARI</v>
      </c>
      <c r="J144" s="28" t="str">
        <f>IFERROR(__xludf.DUMMYFUNCTION("""COMPUTED_VALUE"""),"TAKERHARJO RT 004 RW 002 SOLOKURO LAMONGAN")</f>
        <v>TAKERHARJO RT 004 RW 002 SOLOKURO LAMONGAN</v>
      </c>
      <c r="K144" s="28" t="str">
        <f>IFERROR(__xludf.DUMMYFUNCTION("""COMPUTED_VALUE"""),"6285732236800")</f>
        <v>6285732236800</v>
      </c>
      <c r="L144" s="22">
        <f>IFERROR(__xludf.DUMMYFUNCTION("""COMPUTED_VALUE"""),0.0)</f>
        <v>0</v>
      </c>
      <c r="M144" s="22">
        <f>IFERROR(__xludf.DUMMYFUNCTION("""COMPUTED_VALUE"""),1000000.0)</f>
        <v>1000000</v>
      </c>
      <c r="N144" s="22">
        <f>IFERROR(__xludf.DUMMYFUNCTION("""COMPUTED_VALUE"""),0.0)</f>
        <v>0</v>
      </c>
      <c r="O144" s="22">
        <f>IFERROR(__xludf.DUMMYFUNCTION("""COMPUTED_VALUE"""),1000000.0)</f>
        <v>1000000</v>
      </c>
      <c r="P144" s="28" t="str">
        <f t="shared" si="1"/>
        <v>LUNAS</v>
      </c>
      <c r="Q144" s="28">
        <f t="shared" si="2"/>
        <v>89</v>
      </c>
      <c r="R144" s="28" t="str">
        <f t="shared" si="3"/>
        <v>ARINAH DINA DHABITAH</v>
      </c>
    </row>
    <row r="145">
      <c r="A145" s="27">
        <f>IFERROR(__xludf.DUMMYFUNCTION("""COMPUTED_VALUE"""),144.0)</f>
        <v>144</v>
      </c>
      <c r="B145" s="28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45" s="28">
        <f>IFERROR(__xludf.DUMMYFUNCTION("""COMPUTED_VALUE"""),2.025070015E9)</f>
        <v>2025070015</v>
      </c>
      <c r="D145" s="27" t="str">
        <f>IFERROR(__xludf.DUMMYFUNCTION("""COMPUTED_VALUE"""),"C")</f>
        <v>C</v>
      </c>
      <c r="E145" s="27" t="str">
        <f>IFERROR(__xludf.DUMMYFUNCTION("""COMPUTED_VALUE"""),"C-5")</f>
        <v>C-5</v>
      </c>
      <c r="F145" s="31">
        <f>IFERROR(__xludf.DUMMYFUNCTION("""COMPUTED_VALUE"""),2.0)</f>
        <v>2</v>
      </c>
      <c r="G145" s="27" t="str">
        <f>IFERROR(__xludf.DUMMYFUNCTION("""COMPUTED_VALUE"""),"2 WUSTHO A PUTRI")</f>
        <v>2 WUSTHO A PUTRI</v>
      </c>
      <c r="H145" s="28" t="str">
        <f>IFERROR(__xludf.DUMMYFUNCTION("""COMPUTED_VALUE"""),"MA-XI.3")</f>
        <v>MA-XI.3</v>
      </c>
      <c r="I145" s="28" t="str">
        <f>IFERROR(__xludf.DUMMYFUNCTION("""COMPUTED_VALUE"""),"YENI MUFTARO")</f>
        <v>YENI MUFTARO</v>
      </c>
      <c r="J145" s="28" t="str">
        <f>IFERROR(__xludf.DUMMYFUNCTION("""COMPUTED_VALUE"""),"LEMBOR RT 007 RW 002 BRONDONG LAMONGAN")</f>
        <v>LEMBOR RT 007 RW 002 BRONDONG LAMONGAN</v>
      </c>
      <c r="K145" s="28" t="str">
        <f>IFERROR(__xludf.DUMMYFUNCTION("""COMPUTED_VALUE"""),"6281554408544")</f>
        <v>6281554408544</v>
      </c>
      <c r="L145" s="22">
        <f>IFERROR(__xludf.DUMMYFUNCTION("""COMPUTED_VALUE"""),0.0)</f>
        <v>0</v>
      </c>
      <c r="M145" s="22">
        <f>IFERROR(__xludf.DUMMYFUNCTION("""COMPUTED_VALUE"""),1000000.0)</f>
        <v>1000000</v>
      </c>
      <c r="N145" s="22">
        <f>IFERROR(__xludf.DUMMYFUNCTION("""COMPUTED_VALUE"""),0.0)</f>
        <v>0</v>
      </c>
      <c r="O145" s="22">
        <f>IFERROR(__xludf.DUMMYFUNCTION("""COMPUTED_VALUE"""),1000000.0)</f>
        <v>1000000</v>
      </c>
      <c r="P145" s="28" t="str">
        <f t="shared" si="1"/>
        <v>LUNAS</v>
      </c>
      <c r="Q145" s="28">
        <f t="shared" si="2"/>
        <v>90</v>
      </c>
      <c r="R145" s="28" t="str">
        <f t="shared" si="3"/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">
      <c r="A146" s="27">
        <f>IFERROR(__xludf.DUMMYFUNCTION("""COMPUTED_VALUE"""),145.0)</f>
        <v>145</v>
      </c>
      <c r="B146" s="28" t="str">
        <f>IFERROR(__xludf.DUMMYFUNCTION("""COMPUTED_VALUE"""),"EKA MEISHA AS SYIFAH")</f>
        <v>EKA MEISHA AS SYIFAH</v>
      </c>
      <c r="C146" s="28">
        <f>IFERROR(__xludf.DUMMYFUNCTION("""COMPUTED_VALUE"""),2.025070531E9)</f>
        <v>2025070531</v>
      </c>
      <c r="D146" s="27" t="str">
        <f>IFERROR(__xludf.DUMMYFUNCTION("""COMPUTED_VALUE"""),"C")</f>
        <v>C</v>
      </c>
      <c r="E146" s="27" t="str">
        <f>IFERROR(__xludf.DUMMYFUNCTION("""COMPUTED_VALUE"""),"C-5")</f>
        <v>C-5</v>
      </c>
      <c r="F146" s="31">
        <f>IFERROR(__xludf.DUMMYFUNCTION("""COMPUTED_VALUE"""),2.0)</f>
        <v>2</v>
      </c>
      <c r="G146" s="27" t="str">
        <f>IFERROR(__xludf.DUMMYFUNCTION("""COMPUTED_VALUE"""),"2 ULA B PUTRI")</f>
        <v>2 ULA B PUTRI</v>
      </c>
      <c r="H146" s="28" t="str">
        <f>IFERROR(__xludf.DUMMYFUNCTION("""COMPUTED_VALUE"""),"MTS-8 B")</f>
        <v>MTS-8 B</v>
      </c>
      <c r="I146" s="28" t="str">
        <f>IFERROR(__xludf.DUMMYFUNCTION("""COMPUTED_VALUE"""),"LATIFATUL MA`RIFAH")</f>
        <v>LATIFATUL MA`RIFAH</v>
      </c>
      <c r="J146" s="28" t="str">
        <f>IFERROR(__xludf.DUMMYFUNCTION("""COMPUTED_VALUE"""),"TLANAK SUKOBENDU RT 001 RW 001 MANTUP LAMONGAN")</f>
        <v>TLANAK SUKOBENDU RT 001 RW 001 MANTUP LAMONGAN</v>
      </c>
      <c r="K146" s="28" t="str">
        <f>IFERROR(__xludf.DUMMYFUNCTION("""COMPUTED_VALUE"""),"6281353064791")</f>
        <v>6281353064791</v>
      </c>
      <c r="L146" s="22">
        <f>IFERROR(__xludf.DUMMYFUNCTION("""COMPUTED_VALUE"""),1800000.0)</f>
        <v>1800000</v>
      </c>
      <c r="M146" s="22">
        <f>IFERROR(__xludf.DUMMYFUNCTION("""COMPUTED_VALUE"""),1000000.0)</f>
        <v>1000000</v>
      </c>
      <c r="N146" s="22">
        <f>IFERROR(__xludf.DUMMYFUNCTION("""COMPUTED_VALUE"""),0.0)</f>
        <v>0</v>
      </c>
      <c r="O146" s="22">
        <f>IFERROR(__xludf.DUMMYFUNCTION("""COMPUTED_VALUE"""),2800000.0)</f>
        <v>2800000</v>
      </c>
      <c r="P146" s="28" t="str">
        <f t="shared" si="1"/>
        <v>LUNAS</v>
      </c>
      <c r="Q146" s="28">
        <f t="shared" si="2"/>
        <v>16</v>
      </c>
      <c r="R146" s="28" t="str">
        <f t="shared" si="3"/>
        <v>EKA MEISHA AS SYIFAH</v>
      </c>
    </row>
    <row r="147">
      <c r="A147" s="27">
        <f>IFERROR(__xludf.DUMMYFUNCTION("""COMPUTED_VALUE"""),146.0)</f>
        <v>146</v>
      </c>
      <c r="B147" s="28" t="str">
        <f>IFERROR(__xludf.DUMMYFUNCTION("""COMPUTED_VALUE"""),"KAMILA RENATA NABILA RIVANZHA")</f>
        <v>KAMILA RENATA NABILA RIVANZHA</v>
      </c>
      <c r="C147" s="28">
        <f>IFERROR(__xludf.DUMMYFUNCTION("""COMPUTED_VALUE"""),2.025070635E9)</f>
        <v>2025070635</v>
      </c>
      <c r="D147" s="27" t="str">
        <f>IFERROR(__xludf.DUMMYFUNCTION("""COMPUTED_VALUE"""),"C")</f>
        <v>C</v>
      </c>
      <c r="E147" s="27" t="str">
        <f>IFERROR(__xludf.DUMMYFUNCTION("""COMPUTED_VALUE"""),"C-5")</f>
        <v>C-5</v>
      </c>
      <c r="F147" s="31">
        <f>IFERROR(__xludf.DUMMYFUNCTION("""COMPUTED_VALUE"""),2.0)</f>
        <v>2</v>
      </c>
      <c r="G147" s="27" t="str">
        <f>IFERROR(__xludf.DUMMYFUNCTION("""COMPUTED_VALUE"""),"2 ULA C PUTRI")</f>
        <v>2 ULA C PUTRI</v>
      </c>
      <c r="H147" s="28" t="str">
        <f>IFERROR(__xludf.DUMMYFUNCTION("""COMPUTED_VALUE"""),"MTS-8 B")</f>
        <v>MTS-8 B</v>
      </c>
      <c r="I147" s="28" t="str">
        <f>IFERROR(__xludf.DUMMYFUNCTION("""COMPUTED_VALUE"""),"ZARA")</f>
        <v>ZARA</v>
      </c>
      <c r="J147" s="28" t="str">
        <f>IFERROR(__xludf.DUMMYFUNCTION("""COMPUTED_VALUE"""),"DEKET KULON RT 003 RW 001 DEKET LAMONGAN")</f>
        <v>DEKET KULON RT 003 RW 001 DEKET LAMONGAN</v>
      </c>
      <c r="K147" s="28" t="str">
        <f>IFERROR(__xludf.DUMMYFUNCTION("""COMPUTED_VALUE"""),"BOYONG SEMENTARA")</f>
        <v>BOYONG SEMENTARA</v>
      </c>
      <c r="L147" s="22">
        <f>IFERROR(__xludf.DUMMYFUNCTION("""COMPUTED_VALUE"""),1800000.0)</f>
        <v>1800000</v>
      </c>
      <c r="M147" s="22">
        <f>IFERROR(__xludf.DUMMYFUNCTION("""COMPUTED_VALUE"""),1000000.0)</f>
        <v>1000000</v>
      </c>
      <c r="N147" s="22">
        <f>IFERROR(__xludf.DUMMYFUNCTION("""COMPUTED_VALUE"""),0.0)</f>
        <v>0</v>
      </c>
      <c r="O147" s="22">
        <f>IFERROR(__xludf.DUMMYFUNCTION("""COMPUTED_VALUE"""),2800000.0)</f>
        <v>2800000</v>
      </c>
      <c r="P147" s="28" t="str">
        <f t="shared" si="1"/>
        <v>LUNAS</v>
      </c>
      <c r="Q147" s="28">
        <f t="shared" si="2"/>
        <v>17</v>
      </c>
      <c r="R147" s="28" t="str">
        <f t="shared" si="3"/>
        <v>KAMILA RENATA NABILA RIVANZHA</v>
      </c>
    </row>
    <row r="148">
      <c r="A148" s="27">
        <f>IFERROR(__xludf.DUMMYFUNCTION("""COMPUTED_VALUE"""),147.0)</f>
        <v>147</v>
      </c>
      <c r="B148" s="28" t="str">
        <f>IFERROR(__xludf.DUMMYFUNCTION("""COMPUTED_VALUE"""),"KIRANI AHMADA SALSABILA")</f>
        <v>KIRANI AHMADA SALSABILA</v>
      </c>
      <c r="C148" s="28">
        <f>IFERROR(__xludf.DUMMYFUNCTION("""COMPUTED_VALUE"""),2.025070075E9)</f>
        <v>2025070075</v>
      </c>
      <c r="D148" s="27" t="str">
        <f>IFERROR(__xludf.DUMMYFUNCTION("""COMPUTED_VALUE"""),"C")</f>
        <v>C</v>
      </c>
      <c r="E148" s="27" t="str">
        <f>IFERROR(__xludf.DUMMYFUNCTION("""COMPUTED_VALUE"""),"C-5")</f>
        <v>C-5</v>
      </c>
      <c r="F148" s="31">
        <f>IFERROR(__xludf.DUMMYFUNCTION("""COMPUTED_VALUE"""),2.0)</f>
        <v>2</v>
      </c>
      <c r="G148" s="27" t="str">
        <f>IFERROR(__xludf.DUMMYFUNCTION("""COMPUTED_VALUE"""),"2 WUSTHO B PUTRI")</f>
        <v>2 WUSTHO B PUTRI</v>
      </c>
      <c r="H148" s="28" t="str">
        <f>IFERROR(__xludf.DUMMYFUNCTION("""COMPUTED_VALUE"""),"MA-XI.4")</f>
        <v>MA-XI.4</v>
      </c>
      <c r="I148" s="28" t="str">
        <f>IFERROR(__xludf.DUMMYFUNCTION("""COMPUTED_VALUE"""),"NINIK SUDARWATI")</f>
        <v>NINIK SUDARWATI</v>
      </c>
      <c r="J148" s="28" t="str">
        <f>IFERROR(__xludf.DUMMYFUNCTION("""COMPUTED_VALUE"""),"JL. MBAH RANGGON WIDE SENDANGHARJO RT 012 RW 001 BRONDONG LAMONGAN")</f>
        <v>JL. MBAH RANGGON WIDE SENDANGHARJO RT 012 RW 001 BRONDONG LAMONGAN</v>
      </c>
      <c r="K148" s="28" t="str">
        <f>IFERROR(__xludf.DUMMYFUNCTION("""COMPUTED_VALUE"""),"6285706529314")</f>
        <v>6285706529314</v>
      </c>
      <c r="L148" s="22">
        <f>IFERROR(__xludf.DUMMYFUNCTION("""COMPUTED_VALUE"""),0.0)</f>
        <v>0</v>
      </c>
      <c r="M148" s="22">
        <f>IFERROR(__xludf.DUMMYFUNCTION("""COMPUTED_VALUE"""),1000000.0)</f>
        <v>1000000</v>
      </c>
      <c r="N148" s="22">
        <f>IFERROR(__xludf.DUMMYFUNCTION("""COMPUTED_VALUE"""),0.0)</f>
        <v>0</v>
      </c>
      <c r="O148" s="22">
        <f>IFERROR(__xludf.DUMMYFUNCTION("""COMPUTED_VALUE"""),1000000.0)</f>
        <v>1000000</v>
      </c>
      <c r="P148" s="28" t="str">
        <f t="shared" si="1"/>
        <v>LUNAS</v>
      </c>
      <c r="Q148" s="28">
        <f t="shared" si="2"/>
        <v>91</v>
      </c>
      <c r="R148" s="28" t="str">
        <f t="shared" si="3"/>
        <v>KIRANI AHMADA SALSABILA</v>
      </c>
    </row>
    <row r="149">
      <c r="A149" s="27">
        <f>IFERROR(__xludf.DUMMYFUNCTION("""COMPUTED_VALUE"""),148.0)</f>
        <v>148</v>
      </c>
      <c r="B149" s="28" t="str">
        <f>IFERROR(__xludf.DUMMYFUNCTION("""COMPUTED_VALUE"""),"LAILATUL KHUSNA")</f>
        <v>LAILATUL KHUSNA</v>
      </c>
      <c r="C149" s="28">
        <f>IFERROR(__xludf.DUMMYFUNCTION("""COMPUTED_VALUE"""),2.025070356E9)</f>
        <v>2025070356</v>
      </c>
      <c r="D149" s="27" t="str">
        <f>IFERROR(__xludf.DUMMYFUNCTION("""COMPUTED_VALUE"""),"C")</f>
        <v>C</v>
      </c>
      <c r="E149" s="27" t="str">
        <f>IFERROR(__xludf.DUMMYFUNCTION("""COMPUTED_VALUE"""),"C-5")</f>
        <v>C-5</v>
      </c>
      <c r="F149" s="31">
        <f>IFERROR(__xludf.DUMMYFUNCTION("""COMPUTED_VALUE"""),2.0)</f>
        <v>2</v>
      </c>
      <c r="G149" s="27" t="str">
        <f>IFERROR(__xludf.DUMMYFUNCTION("""COMPUTED_VALUE"""),"2 WUSTHO A PUTRI")</f>
        <v>2 WUSTHO A PUTRI</v>
      </c>
      <c r="H149" s="28" t="str">
        <f>IFERROR(__xludf.DUMMYFUNCTION("""COMPUTED_VALUE"""),"MA-XI.11")</f>
        <v>MA-XI.11</v>
      </c>
      <c r="I149" s="28" t="str">
        <f>IFERROR(__xludf.DUMMYFUNCTION("""COMPUTED_VALUE"""),"MAYA DEVI KARTIKA")</f>
        <v>MAYA DEVI KARTIKA</v>
      </c>
      <c r="J149" s="28" t="str">
        <f>IFERROR(__xludf.DUMMYFUNCTION("""COMPUTED_VALUE"""),"SEMANDING TIMUR RT 002 RW 006 SEMANDING TUBAN")</f>
        <v>SEMANDING TIMUR RT 002 RW 006 SEMANDING TUBAN</v>
      </c>
      <c r="K149" s="28" t="str">
        <f>IFERROR(__xludf.DUMMYFUNCTION("""COMPUTED_VALUE"""),"6285706850696")</f>
        <v>6285706850696</v>
      </c>
      <c r="L149" s="22">
        <f>IFERROR(__xludf.DUMMYFUNCTION("""COMPUTED_VALUE"""),0.0)</f>
        <v>0</v>
      </c>
      <c r="M149" s="22">
        <f>IFERROR(__xludf.DUMMYFUNCTION("""COMPUTED_VALUE"""),1000000.0)</f>
        <v>1000000</v>
      </c>
      <c r="N149" s="22">
        <f>IFERROR(__xludf.DUMMYFUNCTION("""COMPUTED_VALUE"""),0.0)</f>
        <v>0</v>
      </c>
      <c r="O149" s="22">
        <f>IFERROR(__xludf.DUMMYFUNCTION("""COMPUTED_VALUE"""),1000000.0)</f>
        <v>1000000</v>
      </c>
      <c r="P149" s="28" t="str">
        <f t="shared" si="1"/>
        <v>LUNAS</v>
      </c>
      <c r="Q149" s="28">
        <f t="shared" si="2"/>
        <v>92</v>
      </c>
      <c r="R149" s="28" t="str">
        <f t="shared" si="3"/>
        <v>LAILATUL KHUSNA</v>
      </c>
    </row>
    <row r="150">
      <c r="A150" s="27">
        <f>IFERROR(__xludf.DUMMYFUNCTION("""COMPUTED_VALUE"""),149.0)</f>
        <v>149</v>
      </c>
      <c r="B150" s="28" t="str">
        <f>IFERROR(__xludf.DUMMYFUNCTION("""COMPUTED_VALUE"""),"NAZWA ZAHROTUL RAMADHANI")</f>
        <v>NAZWA ZAHROTUL RAMADHANI</v>
      </c>
      <c r="C150" s="28">
        <f>IFERROR(__xludf.DUMMYFUNCTION("""COMPUTED_VALUE"""),2.025070575E9)</f>
        <v>2025070575</v>
      </c>
      <c r="D150" s="27" t="str">
        <f>IFERROR(__xludf.DUMMYFUNCTION("""COMPUTED_VALUE"""),"C")</f>
        <v>C</v>
      </c>
      <c r="E150" s="27" t="str">
        <f>IFERROR(__xludf.DUMMYFUNCTION("""COMPUTED_VALUE"""),"C-5")</f>
        <v>C-5</v>
      </c>
      <c r="F150" s="31">
        <f>IFERROR(__xludf.DUMMYFUNCTION("""COMPUTED_VALUE"""),2.0)</f>
        <v>2</v>
      </c>
      <c r="G150" s="27" t="str">
        <f>IFERROR(__xludf.DUMMYFUNCTION("""COMPUTED_VALUE"""),"2 ULA A PUTRI")</f>
        <v>2 ULA A PUTRI</v>
      </c>
      <c r="H150" s="28" t="str">
        <f>IFERROR(__xludf.DUMMYFUNCTION("""COMPUTED_VALUE"""),"MTS-8 B")</f>
        <v>MTS-8 B</v>
      </c>
      <c r="I150" s="28" t="str">
        <f>IFERROR(__xludf.DUMMYFUNCTION("""COMPUTED_VALUE"""),"SRIFATUN")</f>
        <v>SRIFATUN</v>
      </c>
      <c r="J150" s="28" t="str">
        <f>IFERROR(__xludf.DUMMYFUNCTION("""COMPUTED_VALUE"""),"DAGAN RT 003 RW 001 SOLOKURO LAMONGAN")</f>
        <v>DAGAN RT 003 RW 001 SOLOKURO LAMONGAN</v>
      </c>
      <c r="K150" s="28" t="str">
        <f>IFERROR(__xludf.DUMMYFUNCTION("""COMPUTED_VALUE"""),"6285850263622")</f>
        <v>6285850263622</v>
      </c>
      <c r="L150" s="22">
        <f>IFERROR(__xludf.DUMMYFUNCTION("""COMPUTED_VALUE"""),0.0)</f>
        <v>0</v>
      </c>
      <c r="M150" s="22">
        <f>IFERROR(__xludf.DUMMYFUNCTION("""COMPUTED_VALUE"""),0.0)</f>
        <v>0</v>
      </c>
      <c r="N150" s="22">
        <f>IFERROR(__xludf.DUMMYFUNCTION("""COMPUTED_VALUE"""),0.0)</f>
        <v>0</v>
      </c>
      <c r="O150" s="22">
        <f>IFERROR(__xludf.DUMMYFUNCTION("""COMPUTED_VALUE"""),0.0)</f>
        <v>0</v>
      </c>
      <c r="P150" s="28" t="str">
        <f t="shared" si="1"/>
        <v>LUNAS</v>
      </c>
      <c r="Q150" s="28">
        <f t="shared" si="2"/>
        <v>206</v>
      </c>
      <c r="R150" s="28" t="str">
        <f t="shared" si="3"/>
        <v>NAZWA ZAHROTUL RAMADHANI</v>
      </c>
    </row>
    <row r="151">
      <c r="A151" s="27">
        <f>IFERROR(__xludf.DUMMYFUNCTION("""COMPUTED_VALUE"""),150.0)</f>
        <v>150</v>
      </c>
      <c r="B151" s="28" t="str">
        <f>IFERROR(__xludf.DUMMYFUNCTION("""COMPUTED_VALUE"""),"NIDAUL KHOFIYAH")</f>
        <v>NIDAUL KHOFIYAH</v>
      </c>
      <c r="C151" s="28">
        <f>IFERROR(__xludf.DUMMYFUNCTION("""COMPUTED_VALUE"""),2.025070535E9)</f>
        <v>2025070535</v>
      </c>
      <c r="D151" s="27" t="str">
        <f>IFERROR(__xludf.DUMMYFUNCTION("""COMPUTED_VALUE"""),"C")</f>
        <v>C</v>
      </c>
      <c r="E151" s="27" t="str">
        <f>IFERROR(__xludf.DUMMYFUNCTION("""COMPUTED_VALUE"""),"C-5")</f>
        <v>C-5</v>
      </c>
      <c r="F151" s="31">
        <f>IFERROR(__xludf.DUMMYFUNCTION("""COMPUTED_VALUE"""),2.0)</f>
        <v>2</v>
      </c>
      <c r="G151" s="27" t="str">
        <f>IFERROR(__xludf.DUMMYFUNCTION("""COMPUTED_VALUE"""),"2 ULA A PUTRI")</f>
        <v>2 ULA A PUTRI</v>
      </c>
      <c r="H151" s="28" t="str">
        <f>IFERROR(__xludf.DUMMYFUNCTION("""COMPUTED_VALUE"""),"MTS-8 C")</f>
        <v>MTS-8 C</v>
      </c>
      <c r="I151" s="28" t="str">
        <f>IFERROR(__xludf.DUMMYFUNCTION("""COMPUTED_VALUE"""),"MAFTUHATUL A`YUN")</f>
        <v>MAFTUHATUL A`YUN</v>
      </c>
      <c r="J151" s="28" t="str">
        <f>IFERROR(__xludf.DUMMYFUNCTION("""COMPUTED_VALUE"""),"DAGAN RT 003 RW 004 SOLOKURO LAMONGAN")</f>
        <v>DAGAN RT 003 RW 004 SOLOKURO LAMONGAN</v>
      </c>
      <c r="K151" s="28" t="str">
        <f>IFERROR(__xludf.DUMMYFUNCTION("""COMPUTED_VALUE"""),"6285649695274")</f>
        <v>6285649695274</v>
      </c>
      <c r="L151" s="22">
        <f>IFERROR(__xludf.DUMMYFUNCTION("""COMPUTED_VALUE"""),0.0)</f>
        <v>0</v>
      </c>
      <c r="M151" s="22">
        <f>IFERROR(__xludf.DUMMYFUNCTION("""COMPUTED_VALUE"""),1000000.0)</f>
        <v>1000000</v>
      </c>
      <c r="N151" s="22">
        <f>IFERROR(__xludf.DUMMYFUNCTION("""COMPUTED_VALUE"""),0.0)</f>
        <v>0</v>
      </c>
      <c r="O151" s="22">
        <f>IFERROR(__xludf.DUMMYFUNCTION("""COMPUTED_VALUE"""),1000000.0)</f>
        <v>1000000</v>
      </c>
      <c r="P151" s="28" t="str">
        <f t="shared" si="1"/>
        <v>LUNAS</v>
      </c>
      <c r="Q151" s="28">
        <f t="shared" si="2"/>
        <v>93</v>
      </c>
      <c r="R151" s="28" t="str">
        <f t="shared" si="3"/>
        <v>NIDAUL KHOFIYAH</v>
      </c>
    </row>
    <row r="152">
      <c r="A152" s="27">
        <f>IFERROR(__xludf.DUMMYFUNCTION("""COMPUTED_VALUE"""),151.0)</f>
        <v>151</v>
      </c>
      <c r="B152" s="28" t="str">
        <f>IFERROR(__xludf.DUMMYFUNCTION("""COMPUTED_VALUE"""),"SHOFIYATUL AWWALIYYAH")</f>
        <v>SHOFIYATUL AWWALIYYAH</v>
      </c>
      <c r="C152" s="28">
        <f>IFERROR(__xludf.DUMMYFUNCTION("""COMPUTED_VALUE"""),2.025070255E9)</f>
        <v>2025070255</v>
      </c>
      <c r="D152" s="27" t="str">
        <f>IFERROR(__xludf.DUMMYFUNCTION("""COMPUTED_VALUE"""),"C")</f>
        <v>C</v>
      </c>
      <c r="E152" s="27" t="str">
        <f>IFERROR(__xludf.DUMMYFUNCTION("""COMPUTED_VALUE"""),"C-5")</f>
        <v>C-5</v>
      </c>
      <c r="F152" s="31">
        <f>IFERROR(__xludf.DUMMYFUNCTION("""COMPUTED_VALUE"""),2.0)</f>
        <v>2</v>
      </c>
      <c r="G152" s="27" t="str">
        <f>IFERROR(__xludf.DUMMYFUNCTION("""COMPUTED_VALUE"""),"2 WUSTHO A PUTRI")</f>
        <v>2 WUSTHO A PUTRI</v>
      </c>
      <c r="H152" s="28" t="str">
        <f>IFERROR(__xludf.DUMMYFUNCTION("""COMPUTED_VALUE"""),"MA-XI.3")</f>
        <v>MA-XI.3</v>
      </c>
      <c r="I152" s="28" t="str">
        <f>IFERROR(__xludf.DUMMYFUNCTION("""COMPUTED_VALUE"""),"QOMARIYATUL HIDAYAH")</f>
        <v>QOMARIYATUL HIDAYAH</v>
      </c>
      <c r="J152" s="28" t="str">
        <f>IFERROR(__xludf.DUMMYFUNCTION("""COMPUTED_VALUE"""),"GAYAM PAYAMAN RT 004 RW 009 SOLOKURO LAMONGAN")</f>
        <v>GAYAM PAYAMAN RT 004 RW 009 SOLOKURO LAMONGAN</v>
      </c>
      <c r="K152" s="28" t="str">
        <f>IFERROR(__xludf.DUMMYFUNCTION("""COMPUTED_VALUE"""),"6285746894245")</f>
        <v>6285746894245</v>
      </c>
      <c r="L152" s="22">
        <f>IFERROR(__xludf.DUMMYFUNCTION("""COMPUTED_VALUE"""),0.0)</f>
        <v>0</v>
      </c>
      <c r="M152" s="22">
        <f>IFERROR(__xludf.DUMMYFUNCTION("""COMPUTED_VALUE"""),0.0)</f>
        <v>0</v>
      </c>
      <c r="N152" s="22">
        <f>IFERROR(__xludf.DUMMYFUNCTION("""COMPUTED_VALUE"""),0.0)</f>
        <v>0</v>
      </c>
      <c r="O152" s="22">
        <f>IFERROR(__xludf.DUMMYFUNCTION("""COMPUTED_VALUE"""),0.0)</f>
        <v>0</v>
      </c>
      <c r="P152" s="28" t="str">
        <f t="shared" si="1"/>
        <v>LUNAS</v>
      </c>
      <c r="Q152" s="28">
        <f t="shared" si="2"/>
        <v>207</v>
      </c>
      <c r="R152" s="28" t="str">
        <f t="shared" si="3"/>
        <v>SHOFIYATUL AWWALIYYAH</v>
      </c>
    </row>
    <row r="153">
      <c r="A153" s="27">
        <f>IFERROR(__xludf.DUMMYFUNCTION("""COMPUTED_VALUE"""),152.0)</f>
        <v>152</v>
      </c>
      <c r="B153" s="28" t="str">
        <f>IFERROR(__xludf.DUMMYFUNCTION("""COMPUTED_VALUE"""),"VANESYA OKTAVIDIA AULIA BALQIS")</f>
        <v>VANESYA OKTAVIDIA AULIA BALQIS</v>
      </c>
      <c r="C153" s="28">
        <f>IFERROR(__xludf.DUMMYFUNCTION("""COMPUTED_VALUE"""),2.025070007E9)</f>
        <v>2025070007</v>
      </c>
      <c r="D153" s="27" t="str">
        <f>IFERROR(__xludf.DUMMYFUNCTION("""COMPUTED_VALUE"""),"C")</f>
        <v>C</v>
      </c>
      <c r="E153" s="27" t="str">
        <f>IFERROR(__xludf.DUMMYFUNCTION("""COMPUTED_VALUE"""),"C-5")</f>
        <v>C-5</v>
      </c>
      <c r="F153" s="31">
        <f>IFERROR(__xludf.DUMMYFUNCTION("""COMPUTED_VALUE"""),2.0)</f>
        <v>2</v>
      </c>
      <c r="G153" s="27" t="str">
        <f>IFERROR(__xludf.DUMMYFUNCTION("""COMPUTED_VALUE"""),"2 WUSTHO C PUTRI")</f>
        <v>2 WUSTHO C PUTRI</v>
      </c>
      <c r="H153" s="28" t="str">
        <f>IFERROR(__xludf.DUMMYFUNCTION("""COMPUTED_VALUE"""),"MA-XI.12")</f>
        <v>MA-XI.12</v>
      </c>
      <c r="I153" s="28" t="str">
        <f>IFERROR(__xludf.DUMMYFUNCTION("""COMPUTED_VALUE"""),"IKA VITA NUR DIANA")</f>
        <v>IKA VITA NUR DIANA</v>
      </c>
      <c r="J153" s="28" t="str">
        <f>IFERROR(__xludf.DUMMYFUNCTION("""COMPUTED_VALUE"""),"LEMBOR RT 005 RW 002 BRONDONG LAMONGAN")</f>
        <v>LEMBOR RT 005 RW 002 BRONDONG LAMONGAN</v>
      </c>
      <c r="K153" s="28" t="str">
        <f>IFERROR(__xludf.DUMMYFUNCTION("""COMPUTED_VALUE"""),"6285251555052")</f>
        <v>6285251555052</v>
      </c>
      <c r="L153" s="22">
        <f>IFERROR(__xludf.DUMMYFUNCTION("""COMPUTED_VALUE"""),0.0)</f>
        <v>0</v>
      </c>
      <c r="M153" s="22">
        <f>IFERROR(__xludf.DUMMYFUNCTION("""COMPUTED_VALUE"""),500000.0)</f>
        <v>500000</v>
      </c>
      <c r="N153" s="22">
        <f>IFERROR(__xludf.DUMMYFUNCTION("""COMPUTED_VALUE"""),0.0)</f>
        <v>0</v>
      </c>
      <c r="O153" s="22">
        <f>IFERROR(__xludf.DUMMYFUNCTION("""COMPUTED_VALUE"""),500000.0)</f>
        <v>500000</v>
      </c>
      <c r="P153" s="28" t="str">
        <f t="shared" si="1"/>
        <v>LUNAS</v>
      </c>
      <c r="Q153" s="28">
        <f t="shared" si="2"/>
        <v>134</v>
      </c>
      <c r="R153" s="28" t="str">
        <f t="shared" si="3"/>
        <v>VANESYA OKTAVIDIA AULIA BALQIS</v>
      </c>
    </row>
    <row r="154">
      <c r="A154" s="27">
        <f>IFERROR(__xludf.DUMMYFUNCTION("""COMPUTED_VALUE"""),153.0)</f>
        <v>153</v>
      </c>
      <c r="B154" s="28" t="str">
        <f>IFERROR(__xludf.DUMMYFUNCTION("""COMPUTED_VALUE"""),"ZETTY FITRIANI AFIDAH")</f>
        <v>ZETTY FITRIANI AFIDAH</v>
      </c>
      <c r="C154" s="28">
        <f>IFERROR(__xludf.DUMMYFUNCTION("""COMPUTED_VALUE"""),2.025070508E9)</f>
        <v>2025070508</v>
      </c>
      <c r="D154" s="27" t="str">
        <f>IFERROR(__xludf.DUMMYFUNCTION("""COMPUTED_VALUE"""),"C")</f>
        <v>C</v>
      </c>
      <c r="E154" s="27" t="str">
        <f>IFERROR(__xludf.DUMMYFUNCTION("""COMPUTED_VALUE"""),"C-5")</f>
        <v>C-5</v>
      </c>
      <c r="F154" s="31">
        <f>IFERROR(__xludf.DUMMYFUNCTION("""COMPUTED_VALUE"""),2.0)</f>
        <v>2</v>
      </c>
      <c r="G154" s="27" t="str">
        <f>IFERROR(__xludf.DUMMYFUNCTION("""COMPUTED_VALUE"""),"2 ULA A PUTRI")</f>
        <v>2 ULA A PUTRI</v>
      </c>
      <c r="H154" s="28" t="str">
        <f>IFERROR(__xludf.DUMMYFUNCTION("""COMPUTED_VALUE"""),"MTS-8 C")</f>
        <v>MTS-8 C</v>
      </c>
      <c r="I154" s="28" t="str">
        <f>IFERROR(__xludf.DUMMYFUNCTION("""COMPUTED_VALUE"""),"MUJAYANAH")</f>
        <v>MUJAYANAH</v>
      </c>
      <c r="J154" s="28" t="str">
        <f>IFERROR(__xludf.DUMMYFUNCTION("""COMPUTED_VALUE"""),"KEBALANPELANG RT 002 RW 003 BABAT LAMONGAN")</f>
        <v>KEBALANPELANG RT 002 RW 003 BABAT LAMONGAN</v>
      </c>
      <c r="K154" s="28" t="str">
        <f>IFERROR(__xludf.DUMMYFUNCTION("""COMPUTED_VALUE"""),"6285739223308")</f>
        <v>6285739223308</v>
      </c>
      <c r="L154" s="22">
        <f>IFERROR(__xludf.DUMMYFUNCTION("""COMPUTED_VALUE"""),900000.0)</f>
        <v>900000</v>
      </c>
      <c r="M154" s="22">
        <f>IFERROR(__xludf.DUMMYFUNCTION("""COMPUTED_VALUE"""),1000000.0)</f>
        <v>1000000</v>
      </c>
      <c r="N154" s="22">
        <f>IFERROR(__xludf.DUMMYFUNCTION("""COMPUTED_VALUE"""),0.0)</f>
        <v>0</v>
      </c>
      <c r="O154" s="22">
        <f>IFERROR(__xludf.DUMMYFUNCTION("""COMPUTED_VALUE"""),1900000.0)</f>
        <v>1900000</v>
      </c>
      <c r="P154" s="28" t="str">
        <f t="shared" si="1"/>
        <v>LUNAS</v>
      </c>
      <c r="Q154" s="28">
        <f t="shared" si="2"/>
        <v>32</v>
      </c>
      <c r="R154" s="28" t="str">
        <f t="shared" si="3"/>
        <v>ZETTY FITRIANI AFIDAH</v>
      </c>
    </row>
    <row r="155">
      <c r="A155" s="27">
        <f>IFERROR(__xludf.DUMMYFUNCTION("""COMPUTED_VALUE"""),154.0)</f>
        <v>154</v>
      </c>
      <c r="B155" s="28" t="str">
        <f>IFERROR(__xludf.DUMMYFUNCTION("""COMPUTED_VALUE"""),"ABNA NADHROH KAMALA FEBRIANI")</f>
        <v>ABNA NADHROH KAMALA FEBRIANI</v>
      </c>
      <c r="C155" s="28">
        <f>IFERROR(__xludf.DUMMYFUNCTION("""COMPUTED_VALUE"""),2.02507064E9)</f>
        <v>2025070640</v>
      </c>
      <c r="D155" s="27" t="str">
        <f>IFERROR(__xludf.DUMMYFUNCTION("""COMPUTED_VALUE"""),"C")</f>
        <v>C</v>
      </c>
      <c r="E155" s="27" t="str">
        <f>IFERROR(__xludf.DUMMYFUNCTION("""COMPUTED_VALUE"""),"C-6")</f>
        <v>C-6</v>
      </c>
      <c r="F155" s="31">
        <f>IFERROR(__xludf.DUMMYFUNCTION("""COMPUTED_VALUE"""),2.0)</f>
        <v>2</v>
      </c>
      <c r="G155" s="27" t="str">
        <f>IFERROR(__xludf.DUMMYFUNCTION("""COMPUTED_VALUE"""),"2 ULA B PUTRI")</f>
        <v>2 ULA B PUTRI</v>
      </c>
      <c r="H155" s="28" t="str">
        <f>IFERROR(__xludf.DUMMYFUNCTION("""COMPUTED_VALUE"""),"MTS-8 G")</f>
        <v>MTS-8 G</v>
      </c>
      <c r="I155" s="28" t="str">
        <f>IFERROR(__xludf.DUMMYFUNCTION("""COMPUTED_VALUE"""),"NUR AFIFAH")</f>
        <v>NUR AFIFAH</v>
      </c>
      <c r="J155" s="28" t="str">
        <f>IFERROR(__xludf.DUMMYFUNCTION("""COMPUTED_VALUE"""),"SUGIHWARAS RT 002 RW 002 DEKET LAMONGAN")</f>
        <v>SUGIHWARAS RT 002 RW 002 DEKET LAMONGAN</v>
      </c>
      <c r="K155" s="28" t="str">
        <f>IFERROR(__xludf.DUMMYFUNCTION("""COMPUTED_VALUE"""),"6289530455442")</f>
        <v>6289530455442</v>
      </c>
      <c r="L155" s="22">
        <f>IFERROR(__xludf.DUMMYFUNCTION("""COMPUTED_VALUE"""),0.0)</f>
        <v>0</v>
      </c>
      <c r="M155" s="22">
        <f>IFERROR(__xludf.DUMMYFUNCTION("""COMPUTED_VALUE"""),1000000.0)</f>
        <v>1000000</v>
      </c>
      <c r="N155" s="22">
        <f>IFERROR(__xludf.DUMMYFUNCTION("""COMPUTED_VALUE"""),0.0)</f>
        <v>0</v>
      </c>
      <c r="O155" s="22">
        <f>IFERROR(__xludf.DUMMYFUNCTION("""COMPUTED_VALUE"""),1000000.0)</f>
        <v>1000000</v>
      </c>
      <c r="P155" s="28" t="str">
        <f t="shared" si="1"/>
        <v>LUNAS</v>
      </c>
      <c r="Q155" s="28">
        <f t="shared" si="2"/>
        <v>94</v>
      </c>
      <c r="R155" s="28" t="str">
        <f t="shared" si="3"/>
        <v>ABNA NADHROH KAMALA FEBRIANI</v>
      </c>
    </row>
    <row r="156">
      <c r="A156" s="27">
        <f>IFERROR(__xludf.DUMMYFUNCTION("""COMPUTED_VALUE"""),155.0)</f>
        <v>155</v>
      </c>
      <c r="B156" s="28" t="str">
        <f>IFERROR(__xludf.DUMMYFUNCTION("""COMPUTED_VALUE"""),"AISYAH INDAH FARAWANSYAH")</f>
        <v>AISYAH INDAH FARAWANSYAH</v>
      </c>
      <c r="C156" s="28">
        <f>IFERROR(__xludf.DUMMYFUNCTION("""COMPUTED_VALUE"""),2.02507002E9)</f>
        <v>2025070020</v>
      </c>
      <c r="D156" s="27" t="str">
        <f>IFERROR(__xludf.DUMMYFUNCTION("""COMPUTED_VALUE"""),"C")</f>
        <v>C</v>
      </c>
      <c r="E156" s="27" t="str">
        <f>IFERROR(__xludf.DUMMYFUNCTION("""COMPUTED_VALUE"""),"C-6")</f>
        <v>C-6</v>
      </c>
      <c r="F156" s="31">
        <f>IFERROR(__xludf.DUMMYFUNCTION("""COMPUTED_VALUE"""),2.0)</f>
        <v>2</v>
      </c>
      <c r="G156" s="27" t="str">
        <f>IFERROR(__xludf.DUMMYFUNCTION("""COMPUTED_VALUE"""),"TAHFIDZ")</f>
        <v>TAHFIDZ</v>
      </c>
      <c r="H156" s="28" t="str">
        <f>IFERROR(__xludf.DUMMYFUNCTION("""COMPUTED_VALUE"""),"MA-XI.1")</f>
        <v>MA-XI.1</v>
      </c>
      <c r="I156" s="28" t="str">
        <f>IFERROR(__xludf.DUMMYFUNCTION("""COMPUTED_VALUE"""),"UMI MUDHOLIFAH")</f>
        <v>UMI MUDHOLIFAH</v>
      </c>
      <c r="J156" s="28" t="str">
        <f>IFERROR(__xludf.DUMMYFUNCTION("""COMPUTED_VALUE"""),"SETRO BARU UTARA 10/113 DUKUH SETRO RT 008 RW 004 TAMBAKSARI SURABAYA")</f>
        <v>SETRO BARU UTARA 10/113 DUKUH SETRO RT 008 RW 004 TAMBAKSARI SURABAYA</v>
      </c>
      <c r="K156" s="28" t="str">
        <f>IFERROR(__xludf.DUMMYFUNCTION("""COMPUTED_VALUE"""),"6281330346915")</f>
        <v>6281330346915</v>
      </c>
      <c r="L156" s="22">
        <f>IFERROR(__xludf.DUMMYFUNCTION("""COMPUTED_VALUE"""),0.0)</f>
        <v>0</v>
      </c>
      <c r="M156" s="22">
        <f>IFERROR(__xludf.DUMMYFUNCTION("""COMPUTED_VALUE"""),1000000.0)</f>
        <v>1000000</v>
      </c>
      <c r="N156" s="22">
        <f>IFERROR(__xludf.DUMMYFUNCTION("""COMPUTED_VALUE"""),0.0)</f>
        <v>0</v>
      </c>
      <c r="O156" s="22">
        <f>IFERROR(__xludf.DUMMYFUNCTION("""COMPUTED_VALUE"""),1000000.0)</f>
        <v>1000000</v>
      </c>
      <c r="P156" s="28" t="str">
        <f t="shared" si="1"/>
        <v>LUNAS</v>
      </c>
      <c r="Q156" s="28">
        <f t="shared" si="2"/>
        <v>95</v>
      </c>
      <c r="R156" s="28" t="str">
        <f t="shared" si="3"/>
        <v>AISYAH INDAH FARAWANSYAH</v>
      </c>
    </row>
    <row r="157">
      <c r="A157" s="27">
        <f>IFERROR(__xludf.DUMMYFUNCTION("""COMPUTED_VALUE"""),156.0)</f>
        <v>156</v>
      </c>
      <c r="B157" s="28" t="str">
        <f>IFERROR(__xludf.DUMMYFUNCTION("""COMPUTED_VALUE"""),"ALESSIA SYIFA RAMADHANI")</f>
        <v>ALESSIA SYIFA RAMADHANI</v>
      </c>
      <c r="C157" s="28">
        <f>IFERROR(__xludf.DUMMYFUNCTION("""COMPUTED_VALUE"""),2.025070055E9)</f>
        <v>2025070055</v>
      </c>
      <c r="D157" s="27" t="str">
        <f>IFERROR(__xludf.DUMMYFUNCTION("""COMPUTED_VALUE"""),"C")</f>
        <v>C</v>
      </c>
      <c r="E157" s="27" t="str">
        <f>IFERROR(__xludf.DUMMYFUNCTION("""COMPUTED_VALUE"""),"C-6")</f>
        <v>C-6</v>
      </c>
      <c r="F157" s="31">
        <f>IFERROR(__xludf.DUMMYFUNCTION("""COMPUTED_VALUE"""),2.0)</f>
        <v>2</v>
      </c>
      <c r="G157" s="27" t="str">
        <f>IFERROR(__xludf.DUMMYFUNCTION("""COMPUTED_VALUE"""),"TAHFIDZ")</f>
        <v>TAHFIDZ</v>
      </c>
      <c r="H157" s="28" t="str">
        <f>IFERROR(__xludf.DUMMYFUNCTION("""COMPUTED_VALUE"""),"MA-XI.1")</f>
        <v>MA-XI.1</v>
      </c>
      <c r="I157" s="28" t="str">
        <f>IFERROR(__xludf.DUMMYFUNCTION("""COMPUTED_VALUE"""),"ANIK TRI HANDAYANI")</f>
        <v>ANIK TRI HANDAYANI</v>
      </c>
      <c r="J157" s="28" t="str">
        <f>IFERROR(__xludf.DUMMYFUNCTION("""COMPUTED_VALUE"""),"GLOGOK SUMBERWUDI RT 002 RW 001 KARANGGENENG LAMONGAN")</f>
        <v>GLOGOK SUMBERWUDI RT 002 RW 001 KARANGGENENG LAMONGAN</v>
      </c>
      <c r="K157" s="28" t="str">
        <f>IFERROR(__xludf.DUMMYFUNCTION("""COMPUTED_VALUE"""),"6285812350778")</f>
        <v>6285812350778</v>
      </c>
      <c r="L157" s="22">
        <f>IFERROR(__xludf.DUMMYFUNCTION("""COMPUTED_VALUE"""),450000.0)</f>
        <v>450000</v>
      </c>
      <c r="M157" s="22">
        <f>IFERROR(__xludf.DUMMYFUNCTION("""COMPUTED_VALUE"""),1600000.0)</f>
        <v>1600000</v>
      </c>
      <c r="N157" s="22">
        <f>IFERROR(__xludf.DUMMYFUNCTION("""COMPUTED_VALUE"""),0.0)</f>
        <v>0</v>
      </c>
      <c r="O157" s="22">
        <f>IFERROR(__xludf.DUMMYFUNCTION("""COMPUTED_VALUE"""),2050000.0)</f>
        <v>2050000</v>
      </c>
      <c r="P157" s="28" t="str">
        <f t="shared" si="1"/>
        <v>LUNAS</v>
      </c>
      <c r="Q157" s="28">
        <f t="shared" si="2"/>
        <v>28</v>
      </c>
      <c r="R157" s="28" t="str">
        <f t="shared" si="3"/>
        <v>ALESSIA SYIFA RAMADHANI</v>
      </c>
    </row>
    <row r="158">
      <c r="A158" s="27">
        <f>IFERROR(__xludf.DUMMYFUNCTION("""COMPUTED_VALUE"""),157.0)</f>
        <v>157</v>
      </c>
      <c r="B158" s="28" t="str">
        <f>IFERROR(__xludf.DUMMYFUNCTION("""COMPUTED_VALUE"""),"ALICYA RAHMADITA")</f>
        <v>ALICYA RAHMADITA</v>
      </c>
      <c r="C158" s="28">
        <f>IFERROR(__xludf.DUMMYFUNCTION("""COMPUTED_VALUE"""),2.025070525E9)</f>
        <v>2025070525</v>
      </c>
      <c r="D158" s="27" t="str">
        <f>IFERROR(__xludf.DUMMYFUNCTION("""COMPUTED_VALUE"""),"C")</f>
        <v>C</v>
      </c>
      <c r="E158" s="27" t="str">
        <f>IFERROR(__xludf.DUMMYFUNCTION("""COMPUTED_VALUE"""),"C-6")</f>
        <v>C-6</v>
      </c>
      <c r="F158" s="31">
        <f>IFERROR(__xludf.DUMMYFUNCTION("""COMPUTED_VALUE"""),2.0)</f>
        <v>2</v>
      </c>
      <c r="G158" s="27" t="str">
        <f>IFERROR(__xludf.DUMMYFUNCTION("""COMPUTED_VALUE"""),"2 ULA A PUTRI")</f>
        <v>2 ULA A PUTRI</v>
      </c>
      <c r="H158" s="28" t="str">
        <f>IFERROR(__xludf.DUMMYFUNCTION("""COMPUTED_VALUE"""),"MTS-8 D")</f>
        <v>MTS-8 D</v>
      </c>
      <c r="I158" s="28" t="str">
        <f>IFERROR(__xludf.DUMMYFUNCTION("""COMPUTED_VALUE"""),"ASTUTIK")</f>
        <v>ASTUTIK</v>
      </c>
      <c r="J158" s="28" t="str">
        <f>IFERROR(__xludf.DUMMYFUNCTION("""COMPUTED_VALUE"""),"BABATKULON BABATAGUNG RT 002 RW 003 DEKET LAMONGAN")</f>
        <v>BABATKULON BABATAGUNG RT 002 RW 003 DEKET LAMONGAN</v>
      </c>
      <c r="K158" s="28" t="str">
        <f>IFERROR(__xludf.DUMMYFUNCTION("""COMPUTED_VALUE"""),"6285877753654")</f>
        <v>6285877753654</v>
      </c>
      <c r="L158" s="22">
        <f>IFERROR(__xludf.DUMMYFUNCTION("""COMPUTED_VALUE"""),2250000.0)</f>
        <v>2250000</v>
      </c>
      <c r="M158" s="22">
        <f>IFERROR(__xludf.DUMMYFUNCTION("""COMPUTED_VALUE"""),1000000.0)</f>
        <v>1000000</v>
      </c>
      <c r="N158" s="22">
        <f>IFERROR(__xludf.DUMMYFUNCTION("""COMPUTED_VALUE"""),0.0)</f>
        <v>0</v>
      </c>
      <c r="O158" s="22">
        <f>IFERROR(__xludf.DUMMYFUNCTION("""COMPUTED_VALUE"""),3250000.0)</f>
        <v>3250000</v>
      </c>
      <c r="P158" s="28" t="str">
        <f t="shared" si="1"/>
        <v>LUNAS</v>
      </c>
      <c r="Q158" s="28">
        <f t="shared" si="2"/>
        <v>11</v>
      </c>
      <c r="R158" s="28" t="str">
        <f t="shared" si="3"/>
        <v>ALICYA RAHMADITA</v>
      </c>
    </row>
    <row r="159">
      <c r="A159" s="27">
        <f>IFERROR(__xludf.DUMMYFUNCTION("""COMPUTED_VALUE"""),158.0)</f>
        <v>158</v>
      </c>
      <c r="B159" s="28" t="str">
        <f>IFERROR(__xludf.DUMMYFUNCTION("""COMPUTED_VALUE"""),"ARINA NIDA AL QUDSIYAH")</f>
        <v>ARINA NIDA AL QUDSIYAH</v>
      </c>
      <c r="C159" s="28">
        <f>IFERROR(__xludf.DUMMYFUNCTION("""COMPUTED_VALUE"""),2.025070052E9)</f>
        <v>2025070052</v>
      </c>
      <c r="D159" s="27" t="str">
        <f>IFERROR(__xludf.DUMMYFUNCTION("""COMPUTED_VALUE"""),"C")</f>
        <v>C</v>
      </c>
      <c r="E159" s="27" t="str">
        <f>IFERROR(__xludf.DUMMYFUNCTION("""COMPUTED_VALUE"""),"C-6")</f>
        <v>C-6</v>
      </c>
      <c r="F159" s="31">
        <f>IFERROR(__xludf.DUMMYFUNCTION("""COMPUTED_VALUE"""),2.0)</f>
        <v>2</v>
      </c>
      <c r="G159" s="27" t="str">
        <f>IFERROR(__xludf.DUMMYFUNCTION("""COMPUTED_VALUE"""),"TAHFIDZ")</f>
        <v>TAHFIDZ</v>
      </c>
      <c r="H159" s="28" t="str">
        <f>IFERROR(__xludf.DUMMYFUNCTION("""COMPUTED_VALUE"""),"MA-XI.1")</f>
        <v>MA-XI.1</v>
      </c>
      <c r="I159" s="28" t="str">
        <f>IFERROR(__xludf.DUMMYFUNCTION("""COMPUTED_VALUE"""),"IFADAH")</f>
        <v>IFADAH</v>
      </c>
      <c r="J159" s="28" t="str">
        <f>IFERROR(__xludf.DUMMYFUNCTION("""COMPUTED_VALUE"""),"JL. KARANG ASEM DRAJAT RT 001 RW 003 PACIRAN LAMONGAN")</f>
        <v>JL. KARANG ASEM DRAJAT RT 001 RW 003 PACIRAN LAMONGAN</v>
      </c>
      <c r="K159" s="28" t="str">
        <f>IFERROR(__xludf.DUMMYFUNCTION("""COMPUTED_VALUE"""),"6285872618634")</f>
        <v>6285872618634</v>
      </c>
      <c r="L159" s="22">
        <f>IFERROR(__xludf.DUMMYFUNCTION("""COMPUTED_VALUE"""),0.0)</f>
        <v>0</v>
      </c>
      <c r="M159" s="22">
        <f>IFERROR(__xludf.DUMMYFUNCTION("""COMPUTED_VALUE"""),0.0)</f>
        <v>0</v>
      </c>
      <c r="N159" s="22">
        <f>IFERROR(__xludf.DUMMYFUNCTION("""COMPUTED_VALUE"""),0.0)</f>
        <v>0</v>
      </c>
      <c r="O159" s="22">
        <f>IFERROR(__xludf.DUMMYFUNCTION("""COMPUTED_VALUE"""),0.0)</f>
        <v>0</v>
      </c>
      <c r="P159" s="28" t="str">
        <f t="shared" si="1"/>
        <v>LUNAS</v>
      </c>
      <c r="Q159" s="28">
        <f t="shared" si="2"/>
        <v>208</v>
      </c>
      <c r="R159" s="28" t="str">
        <f t="shared" si="3"/>
        <v>ARINA NIDA AL QUDSIYAH</v>
      </c>
    </row>
    <row r="160">
      <c r="A160" s="27">
        <f>IFERROR(__xludf.DUMMYFUNCTION("""COMPUTED_VALUE"""),159.0)</f>
        <v>159</v>
      </c>
      <c r="B160" s="28" t="str">
        <f>IFERROR(__xludf.DUMMYFUNCTION("""COMPUTED_VALUE"""),"ATIKA NIDYA SHOFWA")</f>
        <v>ATIKA NIDYA SHOFWA</v>
      </c>
      <c r="C160" s="28">
        <f>IFERROR(__xludf.DUMMYFUNCTION("""COMPUTED_VALUE"""),2.025070275E9)</f>
        <v>2025070275</v>
      </c>
      <c r="D160" s="27" t="str">
        <f>IFERROR(__xludf.DUMMYFUNCTION("""COMPUTED_VALUE"""),"C")</f>
        <v>C</v>
      </c>
      <c r="E160" s="27" t="str">
        <f>IFERROR(__xludf.DUMMYFUNCTION("""COMPUTED_VALUE"""),"C-6")</f>
        <v>C-6</v>
      </c>
      <c r="F160" s="31">
        <f>IFERROR(__xludf.DUMMYFUNCTION("""COMPUTED_VALUE"""),2.0)</f>
        <v>2</v>
      </c>
      <c r="G160" s="27" t="str">
        <f>IFERROR(__xludf.DUMMYFUNCTION("""COMPUTED_VALUE"""),"TAHFIDZ")</f>
        <v>TAHFIDZ</v>
      </c>
      <c r="H160" s="28" t="str">
        <f>IFERROR(__xludf.DUMMYFUNCTION("""COMPUTED_VALUE"""),"MA-XI.1")</f>
        <v>MA-XI.1</v>
      </c>
      <c r="I160" s="28" t="str">
        <f>IFERROR(__xludf.DUMMYFUNCTION("""COMPUTED_VALUE"""),"SUMARNI")</f>
        <v>SUMARNI</v>
      </c>
      <c r="J160" s="28" t="str">
        <f>IFERROR(__xludf.DUMMYFUNCTION("""COMPUTED_VALUE"""),"WOTAN RT 009 RW 003 PANCENG GRESIK")</f>
        <v>WOTAN RT 009 RW 003 PANCENG GRESIK</v>
      </c>
      <c r="K160" s="28" t="str">
        <f>IFERROR(__xludf.DUMMYFUNCTION("""COMPUTED_VALUE"""),"6282140161650")</f>
        <v>6282140161650</v>
      </c>
      <c r="L160" s="22">
        <f>IFERROR(__xludf.DUMMYFUNCTION("""COMPUTED_VALUE"""),0.0)</f>
        <v>0</v>
      </c>
      <c r="M160" s="22">
        <f>IFERROR(__xludf.DUMMYFUNCTION("""COMPUTED_VALUE"""),1000000.0)</f>
        <v>1000000</v>
      </c>
      <c r="N160" s="28"/>
      <c r="O160" s="28"/>
      <c r="P160" s="28" t="str">
        <f t="shared" si="1"/>
        <v>LUNAS</v>
      </c>
      <c r="Q160" s="28">
        <f t="shared" si="2"/>
        <v>152</v>
      </c>
      <c r="R160" s="28" t="str">
        <f t="shared" si="3"/>
        <v>ATIKA NIDYA SHOFWA</v>
      </c>
    </row>
    <row r="161">
      <c r="A161" s="27">
        <f>IFERROR(__xludf.DUMMYFUNCTION("""COMPUTED_VALUE"""),160.0)</f>
        <v>160</v>
      </c>
      <c r="B161" s="28" t="str">
        <f>IFERROR(__xludf.DUMMYFUNCTION("""COMPUTED_VALUE"""),"CIKA YULISTINA ADILATUZ ZAFIRAH LI`IZZATI")</f>
        <v>CIKA YULISTINA ADILATUZ ZAFIRAH LI`IZZATI</v>
      </c>
      <c r="C161" s="28">
        <f>IFERROR(__xludf.DUMMYFUNCTION("""COMPUTED_VALUE"""),2.025070214E9)</f>
        <v>2025070214</v>
      </c>
      <c r="D161" s="27" t="str">
        <f>IFERROR(__xludf.DUMMYFUNCTION("""COMPUTED_VALUE"""),"C")</f>
        <v>C</v>
      </c>
      <c r="E161" s="27" t="str">
        <f>IFERROR(__xludf.DUMMYFUNCTION("""COMPUTED_VALUE"""),"C-6")</f>
        <v>C-6</v>
      </c>
      <c r="F161" s="31">
        <f>IFERROR(__xludf.DUMMYFUNCTION("""COMPUTED_VALUE"""),2.0)</f>
        <v>2</v>
      </c>
      <c r="G161" s="27" t="str">
        <f>IFERROR(__xludf.DUMMYFUNCTION("""COMPUTED_VALUE"""),"2 WUSTHO B PUTRI")</f>
        <v>2 WUSTHO B PUTRI</v>
      </c>
      <c r="H161" s="28" t="str">
        <f>IFERROR(__xludf.DUMMYFUNCTION("""COMPUTED_VALUE"""),"MA-XI.2")</f>
        <v>MA-XI.2</v>
      </c>
      <c r="I161" s="28" t="str">
        <f>IFERROR(__xludf.DUMMYFUNCTION("""COMPUTED_VALUE"""),"QONI`AH")</f>
        <v>QONI`AH</v>
      </c>
      <c r="J161" s="28" t="str">
        <f>IFERROR(__xludf.DUMMYFUNCTION("""COMPUTED_VALUE"""),"WONOKERTO RT 012 RW 003 DUKUN GRESIK")</f>
        <v>WONOKERTO RT 012 RW 003 DUKUN GRESIK</v>
      </c>
      <c r="K161" s="28" t="str">
        <f>IFERROR(__xludf.DUMMYFUNCTION("""COMPUTED_VALUE"""),"6285732533877")</f>
        <v>6285732533877</v>
      </c>
      <c r="L161" s="22">
        <f>IFERROR(__xludf.DUMMYFUNCTION("""COMPUTED_VALUE"""),0.0)</f>
        <v>0</v>
      </c>
      <c r="M161" s="22">
        <f>IFERROR(__xludf.DUMMYFUNCTION("""COMPUTED_VALUE"""),1000000.0)</f>
        <v>1000000</v>
      </c>
      <c r="N161" s="22">
        <f>IFERROR(__xludf.DUMMYFUNCTION("""COMPUTED_VALUE"""),0.0)</f>
        <v>0</v>
      </c>
      <c r="O161" s="22">
        <f>IFERROR(__xludf.DUMMYFUNCTION("""COMPUTED_VALUE"""),1000000.0)</f>
        <v>1000000</v>
      </c>
      <c r="P161" s="28" t="str">
        <f t="shared" si="1"/>
        <v>LUNAS</v>
      </c>
      <c r="Q161" s="28">
        <f t="shared" si="2"/>
        <v>96</v>
      </c>
      <c r="R161" s="28" t="str">
        <f t="shared" si="3"/>
        <v>CIKA YULISTINA ADILATUZ ZAFIRAH LI`IZZATI</v>
      </c>
    </row>
    <row r="162">
      <c r="A162" s="27">
        <f>IFERROR(__xludf.DUMMYFUNCTION("""COMPUTED_VALUE"""),161.0)</f>
        <v>161</v>
      </c>
      <c r="B162" s="28" t="str">
        <f>IFERROR(__xludf.DUMMYFUNCTION("""COMPUTED_VALUE"""),"DAMARA NAJWA CARISSA")</f>
        <v>DAMARA NAJWA CARISSA</v>
      </c>
      <c r="C162" s="28">
        <f>IFERROR(__xludf.DUMMYFUNCTION("""COMPUTED_VALUE"""),2.025070268E9)</f>
        <v>2025070268</v>
      </c>
      <c r="D162" s="27" t="str">
        <f>IFERROR(__xludf.DUMMYFUNCTION("""COMPUTED_VALUE"""),"C")</f>
        <v>C</v>
      </c>
      <c r="E162" s="27" t="str">
        <f>IFERROR(__xludf.DUMMYFUNCTION("""COMPUTED_VALUE"""),"C-6")</f>
        <v>C-6</v>
      </c>
      <c r="F162" s="31">
        <f>IFERROR(__xludf.DUMMYFUNCTION("""COMPUTED_VALUE"""),2.0)</f>
        <v>2</v>
      </c>
      <c r="G162" s="27" t="str">
        <f>IFERROR(__xludf.DUMMYFUNCTION("""COMPUTED_VALUE"""),"TAHFIDZ")</f>
        <v>TAHFIDZ</v>
      </c>
      <c r="H162" s="28" t="str">
        <f>IFERROR(__xludf.DUMMYFUNCTION("""COMPUTED_VALUE"""),"MA-XI.1")</f>
        <v>MA-XI.1</v>
      </c>
      <c r="I162" s="28" t="str">
        <f>IFERROR(__xludf.DUMMYFUNCTION("""COMPUTED_VALUE"""),"ITA AISAROH")</f>
        <v>ITA AISAROH</v>
      </c>
      <c r="J162" s="28" t="str">
        <f>IFERROR(__xludf.DUMMYFUNCTION("""COMPUTED_VALUE"""),"KULURAN RT 004 RW 004 KALITENGAH LAMONGAN")</f>
        <v>KULURAN RT 004 RW 004 KALITENGAH LAMONGAN</v>
      </c>
      <c r="K162" s="28" t="str">
        <f>IFERROR(__xludf.DUMMYFUNCTION("""COMPUTED_VALUE"""),"6285745102590")</f>
        <v>6285745102590</v>
      </c>
      <c r="L162" s="22">
        <f>IFERROR(__xludf.DUMMYFUNCTION("""COMPUTED_VALUE"""),1350000.0)</f>
        <v>1350000</v>
      </c>
      <c r="M162" s="22">
        <f>IFERROR(__xludf.DUMMYFUNCTION("""COMPUTED_VALUE"""),1600000.0)</f>
        <v>1600000</v>
      </c>
      <c r="N162" s="22">
        <f>IFERROR(__xludf.DUMMYFUNCTION("""COMPUTED_VALUE"""),0.0)</f>
        <v>0</v>
      </c>
      <c r="O162" s="22">
        <f>IFERROR(__xludf.DUMMYFUNCTION("""COMPUTED_VALUE"""),2950000.0)</f>
        <v>2950000</v>
      </c>
      <c r="P162" s="28" t="str">
        <f t="shared" si="1"/>
        <v>LUNAS</v>
      </c>
      <c r="Q162" s="28">
        <f t="shared" si="2"/>
        <v>12</v>
      </c>
      <c r="R162" s="28" t="str">
        <f t="shared" si="3"/>
        <v>DAMARA NAJWA CARISSA</v>
      </c>
    </row>
    <row r="163">
      <c r="A163" s="27">
        <f>IFERROR(__xludf.DUMMYFUNCTION("""COMPUTED_VALUE"""),162.0)</f>
        <v>162</v>
      </c>
      <c r="B163" s="28" t="str">
        <f>IFERROR(__xludf.DUMMYFUNCTION("""COMPUTED_VALUE"""),"EKA BERLIANA AISYAH MAHARANI")</f>
        <v>EKA BERLIANA AISYAH MAHARANI</v>
      </c>
      <c r="C163" s="28">
        <f>IFERROR(__xludf.DUMMYFUNCTION("""COMPUTED_VALUE"""),2.025070026E9)</f>
        <v>2025070026</v>
      </c>
      <c r="D163" s="27" t="str">
        <f>IFERROR(__xludf.DUMMYFUNCTION("""COMPUTED_VALUE"""),"C")</f>
        <v>C</v>
      </c>
      <c r="E163" s="27" t="str">
        <f>IFERROR(__xludf.DUMMYFUNCTION("""COMPUTED_VALUE"""),"C-6")</f>
        <v>C-6</v>
      </c>
      <c r="F163" s="31">
        <f>IFERROR(__xludf.DUMMYFUNCTION("""COMPUTED_VALUE"""),2.0)</f>
        <v>2</v>
      </c>
      <c r="G163" s="27" t="str">
        <f>IFERROR(__xludf.DUMMYFUNCTION("""COMPUTED_VALUE"""),"2 WUSTHO A PUTRI")</f>
        <v>2 WUSTHO A PUTRI</v>
      </c>
      <c r="H163" s="28" t="str">
        <f>IFERROR(__xludf.DUMMYFUNCTION("""COMPUTED_VALUE"""),"MA-XI.3")</f>
        <v>MA-XI.3</v>
      </c>
      <c r="I163" s="28" t="str">
        <f>IFERROR(__xludf.DUMMYFUNCTION("""COMPUTED_VALUE"""),"KHOIROH")</f>
        <v>KHOIROH</v>
      </c>
      <c r="J163" s="28" t="str">
        <f>IFERROR(__xludf.DUMMYFUNCTION("""COMPUTED_VALUE"""),"MENTARAS RT 015 RW 006 DUKUN GRESIK")</f>
        <v>MENTARAS RT 015 RW 006 DUKUN GRESIK</v>
      </c>
      <c r="K163" s="28" t="str">
        <f>IFERROR(__xludf.DUMMYFUNCTION("""COMPUTED_VALUE"""),"6281232076074")</f>
        <v>6281232076074</v>
      </c>
      <c r="L163" s="22">
        <f>IFERROR(__xludf.DUMMYFUNCTION("""COMPUTED_VALUE"""),0.0)</f>
        <v>0</v>
      </c>
      <c r="M163" s="22">
        <f>IFERROR(__xludf.DUMMYFUNCTION("""COMPUTED_VALUE"""),1000000.0)</f>
        <v>1000000</v>
      </c>
      <c r="N163" s="22">
        <f>IFERROR(__xludf.DUMMYFUNCTION("""COMPUTED_VALUE"""),0.0)</f>
        <v>0</v>
      </c>
      <c r="O163" s="22">
        <f>IFERROR(__xludf.DUMMYFUNCTION("""COMPUTED_VALUE"""),1000000.0)</f>
        <v>1000000</v>
      </c>
      <c r="P163" s="28" t="str">
        <f t="shared" si="1"/>
        <v>LUNAS</v>
      </c>
      <c r="Q163" s="28">
        <f t="shared" si="2"/>
        <v>97</v>
      </c>
      <c r="R163" s="28" t="str">
        <f t="shared" si="3"/>
        <v>EKA BERLIANA AISYAH MAHARANI</v>
      </c>
    </row>
    <row r="164">
      <c r="A164" s="27">
        <f>IFERROR(__xludf.DUMMYFUNCTION("""COMPUTED_VALUE"""),163.0)</f>
        <v>163</v>
      </c>
      <c r="B164" s="28" t="str">
        <f>IFERROR(__xludf.DUMMYFUNCTION("""COMPUTED_VALUE"""),"GITA TSANIA ASY SYIFA KHOLIK")</f>
        <v>GITA TSANIA ASY SYIFA KHOLIK</v>
      </c>
      <c r="C164" s="28">
        <f>IFERROR(__xludf.DUMMYFUNCTION("""COMPUTED_VALUE"""),2.025070644E9)</f>
        <v>2025070644</v>
      </c>
      <c r="D164" s="27" t="str">
        <f>IFERROR(__xludf.DUMMYFUNCTION("""COMPUTED_VALUE"""),"C")</f>
        <v>C</v>
      </c>
      <c r="E164" s="27" t="str">
        <f>IFERROR(__xludf.DUMMYFUNCTION("""COMPUTED_VALUE"""),"C-6")</f>
        <v>C-6</v>
      </c>
      <c r="F164" s="31">
        <f>IFERROR(__xludf.DUMMYFUNCTION("""COMPUTED_VALUE"""),2.0)</f>
        <v>2</v>
      </c>
      <c r="G164" s="27" t="str">
        <f>IFERROR(__xludf.DUMMYFUNCTION("""COMPUTED_VALUE"""),"2 ULA A PUTRI")</f>
        <v>2 ULA A PUTRI</v>
      </c>
      <c r="H164" s="28" t="str">
        <f>IFERROR(__xludf.DUMMYFUNCTION("""COMPUTED_VALUE"""),"MTS-8 C")</f>
        <v>MTS-8 C</v>
      </c>
      <c r="I164" s="28" t="str">
        <f>IFERROR(__xludf.DUMMYFUNCTION("""COMPUTED_VALUE"""),"NIKMATUL KHUSNAH")</f>
        <v>NIKMATUL KHUSNAH</v>
      </c>
      <c r="J164" s="28" t="str">
        <f>IFERROR(__xludf.DUMMYFUNCTION("""COMPUTED_VALUE"""),"JL. AIS NASUTION NO 16 KULURAN RT 005 RW 001 KALITENGAH LAMONGAN")</f>
        <v>JL. AIS NASUTION NO 16 KULURAN RT 005 RW 001 KALITENGAH LAMONGAN</v>
      </c>
      <c r="K164" s="28" t="str">
        <f>IFERROR(__xludf.DUMMYFUNCTION("""COMPUTED_VALUE"""),"6285708607686")</f>
        <v>6285708607686</v>
      </c>
      <c r="L164" s="22">
        <f>IFERROR(__xludf.DUMMYFUNCTION("""COMPUTED_VALUE"""),1350000.0)</f>
        <v>1350000</v>
      </c>
      <c r="M164" s="22">
        <f>IFERROR(__xludf.DUMMYFUNCTION("""COMPUTED_VALUE"""),0.0)</f>
        <v>0</v>
      </c>
      <c r="N164" s="22">
        <f>IFERROR(__xludf.DUMMYFUNCTION("""COMPUTED_VALUE"""),0.0)</f>
        <v>0</v>
      </c>
      <c r="O164" s="22">
        <f>IFERROR(__xludf.DUMMYFUNCTION("""COMPUTED_VALUE"""),1350000.0)</f>
        <v>1350000</v>
      </c>
      <c r="P164" s="28" t="str">
        <f t="shared" si="1"/>
        <v>LUNAS</v>
      </c>
      <c r="Q164" s="28">
        <f t="shared" si="2"/>
        <v>50</v>
      </c>
      <c r="R164" s="28" t="str">
        <f t="shared" si="3"/>
        <v>GITA TSANIA ASY SYIFA KHOLIK</v>
      </c>
    </row>
    <row r="165">
      <c r="A165" s="27">
        <f>IFERROR(__xludf.DUMMYFUNCTION("""COMPUTED_VALUE"""),164.0)</f>
        <v>164</v>
      </c>
      <c r="B165" s="28" t="str">
        <f>IFERROR(__xludf.DUMMYFUNCTION("""COMPUTED_VALUE"""),"JESSICA MAHARANI KURNIA")</f>
        <v>JESSICA MAHARANI KURNIA</v>
      </c>
      <c r="C165" s="28">
        <f>IFERROR(__xludf.DUMMYFUNCTION("""COMPUTED_VALUE"""),2.025070606E9)</f>
        <v>2025070606</v>
      </c>
      <c r="D165" s="27" t="str">
        <f>IFERROR(__xludf.DUMMYFUNCTION("""COMPUTED_VALUE"""),"C")</f>
        <v>C</v>
      </c>
      <c r="E165" s="27" t="str">
        <f>IFERROR(__xludf.DUMMYFUNCTION("""COMPUTED_VALUE"""),"C-6")</f>
        <v>C-6</v>
      </c>
      <c r="F165" s="31">
        <f>IFERROR(__xludf.DUMMYFUNCTION("""COMPUTED_VALUE"""),2.0)</f>
        <v>2</v>
      </c>
      <c r="G165" s="27" t="str">
        <f>IFERROR(__xludf.DUMMYFUNCTION("""COMPUTED_VALUE"""),"2 ULA B PUTRI")</f>
        <v>2 ULA B PUTRI</v>
      </c>
      <c r="H165" s="28" t="str">
        <f>IFERROR(__xludf.DUMMYFUNCTION("""COMPUTED_VALUE"""),"MTS-8 D")</f>
        <v>MTS-8 D</v>
      </c>
      <c r="I165" s="28" t="str">
        <f>IFERROR(__xludf.DUMMYFUNCTION("""COMPUTED_VALUE"""),"IIS NUR ROHAYATI")</f>
        <v>IIS NUR ROHAYATI</v>
      </c>
      <c r="J165" s="28" t="str">
        <f>IFERROR(__xludf.DUMMYFUNCTION("""COMPUTED_VALUE"""),"KH. AGUS SALIM KULURAN RT 001 RW 003 KALITENGAH LAMONGAN")</f>
        <v>KH. AGUS SALIM KULURAN RT 001 RW 003 KALITENGAH LAMONGAN</v>
      </c>
      <c r="K165" s="28" t="str">
        <f>IFERROR(__xludf.DUMMYFUNCTION("""COMPUTED_VALUE"""),"6282332616386")</f>
        <v>6282332616386</v>
      </c>
      <c r="L165" s="22">
        <f>IFERROR(__xludf.DUMMYFUNCTION("""COMPUTED_VALUE"""),1350000.0)</f>
        <v>1350000</v>
      </c>
      <c r="M165" s="22">
        <f>IFERROR(__xludf.DUMMYFUNCTION("""COMPUTED_VALUE"""),1000000.0)</f>
        <v>1000000</v>
      </c>
      <c r="N165" s="22">
        <f>IFERROR(__xludf.DUMMYFUNCTION("""COMPUTED_VALUE"""),0.0)</f>
        <v>0</v>
      </c>
      <c r="O165" s="22">
        <f>IFERROR(__xludf.DUMMYFUNCTION("""COMPUTED_VALUE"""),2350000.0)</f>
        <v>2350000</v>
      </c>
      <c r="P165" s="28" t="str">
        <f t="shared" si="1"/>
        <v>LUNAS</v>
      </c>
      <c r="Q165" s="28">
        <f t="shared" si="2"/>
        <v>23</v>
      </c>
      <c r="R165" s="28" t="str">
        <f t="shared" si="3"/>
        <v>JESSICA MAHARANI KURNIA</v>
      </c>
    </row>
    <row r="166">
      <c r="A166" s="27">
        <f>IFERROR(__xludf.DUMMYFUNCTION("""COMPUTED_VALUE"""),165.0)</f>
        <v>165</v>
      </c>
      <c r="B166" s="28" t="str">
        <f>IFERROR(__xludf.DUMMYFUNCTION("""COMPUTED_VALUE"""),"MAZIYAH SARIROH")</f>
        <v>MAZIYAH SARIROH</v>
      </c>
      <c r="C166" s="28">
        <f>IFERROR(__xludf.DUMMYFUNCTION("""COMPUTED_VALUE"""),2.025070384E9)</f>
        <v>2025070384</v>
      </c>
      <c r="D166" s="27" t="str">
        <f>IFERROR(__xludf.DUMMYFUNCTION("""COMPUTED_VALUE"""),"C")</f>
        <v>C</v>
      </c>
      <c r="E166" s="27" t="str">
        <f>IFERROR(__xludf.DUMMYFUNCTION("""COMPUTED_VALUE"""),"C-6")</f>
        <v>C-6</v>
      </c>
      <c r="F166" s="31">
        <f>IFERROR(__xludf.DUMMYFUNCTION("""COMPUTED_VALUE"""),2.0)</f>
        <v>2</v>
      </c>
      <c r="G166" s="27" t="str">
        <f>IFERROR(__xludf.DUMMYFUNCTION("""COMPUTED_VALUE"""),"TAHFIDZ")</f>
        <v>TAHFIDZ</v>
      </c>
      <c r="H166" s="28" t="str">
        <f>IFERROR(__xludf.DUMMYFUNCTION("""COMPUTED_VALUE"""),"MA-XI.1")</f>
        <v>MA-XI.1</v>
      </c>
      <c r="I166" s="28" t="str">
        <f>IFERROR(__xludf.DUMMYFUNCTION("""COMPUTED_VALUE"""),"SHOLIHATIN")</f>
        <v>SHOLIHATIN</v>
      </c>
      <c r="J166" s="28" t="str">
        <f>IFERROR(__xludf.DUMMYFUNCTION("""COMPUTED_VALUE"""),"DEPEK SUGIHWARAS RT 001 RW 001 KALITENGAH LAMONGAN")</f>
        <v>DEPEK SUGIHWARAS RT 001 RW 001 KALITENGAH LAMONGAN</v>
      </c>
      <c r="K166" s="28" t="str">
        <f>IFERROR(__xludf.DUMMYFUNCTION("""COMPUTED_VALUE"""),"6281554466483")</f>
        <v>6281554466483</v>
      </c>
      <c r="L166" s="22">
        <f>IFERROR(__xludf.DUMMYFUNCTION("""COMPUTED_VALUE"""),450000.0)</f>
        <v>450000</v>
      </c>
      <c r="M166" s="22">
        <f>IFERROR(__xludf.DUMMYFUNCTION("""COMPUTED_VALUE"""),500000.0)</f>
        <v>500000</v>
      </c>
      <c r="N166" s="22">
        <f>IFERROR(__xludf.DUMMYFUNCTION("""COMPUTED_VALUE"""),0.0)</f>
        <v>0</v>
      </c>
      <c r="O166" s="22">
        <f>IFERROR(__xludf.DUMMYFUNCTION("""COMPUTED_VALUE"""),950000.0)</f>
        <v>950000</v>
      </c>
      <c r="P166" s="28" t="str">
        <f t="shared" si="1"/>
        <v>LUNAS</v>
      </c>
      <c r="Q166" s="28">
        <f t="shared" si="2"/>
        <v>112</v>
      </c>
      <c r="R166" s="28" t="str">
        <f t="shared" si="3"/>
        <v>MAZIYAH SARIROH</v>
      </c>
    </row>
    <row r="167">
      <c r="A167" s="27">
        <f>IFERROR(__xludf.DUMMYFUNCTION("""COMPUTED_VALUE"""),166.0)</f>
        <v>166</v>
      </c>
      <c r="B167" s="28" t="str">
        <f>IFERROR(__xludf.DUMMYFUNCTION("""COMPUTED_VALUE"""),"MEISYA JUWITA SARI")</f>
        <v>MEISYA JUWITA SARI</v>
      </c>
      <c r="C167" s="28">
        <f>IFERROR(__xludf.DUMMYFUNCTION("""COMPUTED_VALUE"""),2.025070526E9)</f>
        <v>2025070526</v>
      </c>
      <c r="D167" s="27" t="str">
        <f>IFERROR(__xludf.DUMMYFUNCTION("""COMPUTED_VALUE"""),"C")</f>
        <v>C</v>
      </c>
      <c r="E167" s="27" t="str">
        <f>IFERROR(__xludf.DUMMYFUNCTION("""COMPUTED_VALUE"""),"C-6")</f>
        <v>C-6</v>
      </c>
      <c r="F167" s="31">
        <f>IFERROR(__xludf.DUMMYFUNCTION("""COMPUTED_VALUE"""),2.0)</f>
        <v>2</v>
      </c>
      <c r="G167" s="27" t="str">
        <f>IFERROR(__xludf.DUMMYFUNCTION("""COMPUTED_VALUE"""),"2 ULA C PUTRI")</f>
        <v>2 ULA C PUTRI</v>
      </c>
      <c r="H167" s="28" t="str">
        <f>IFERROR(__xludf.DUMMYFUNCTION("""COMPUTED_VALUE"""),"MTS-8 D")</f>
        <v>MTS-8 D</v>
      </c>
      <c r="I167" s="28" t="str">
        <f>IFERROR(__xludf.DUMMYFUNCTION("""COMPUTED_VALUE"""),"DJUWARNI")</f>
        <v>DJUWARNI</v>
      </c>
      <c r="J167" s="28" t="str">
        <f>IFERROR(__xludf.DUMMYFUNCTION("""COMPUTED_VALUE"""),"JL. DURIAN KETAJEN RT 001 RW 004 GEDANGAN SIDOARJO")</f>
        <v>JL. DURIAN KETAJEN RT 001 RW 004 GEDANGAN SIDOARJO</v>
      </c>
      <c r="K167" s="28" t="str">
        <f>IFERROR(__xludf.DUMMYFUNCTION("""COMPUTED_VALUE"""),"6285648971522")</f>
        <v>6285648971522</v>
      </c>
      <c r="L167" s="22">
        <f>IFERROR(__xludf.DUMMYFUNCTION("""COMPUTED_VALUE"""),2700000.0)</f>
        <v>2700000</v>
      </c>
      <c r="M167" s="22">
        <f>IFERROR(__xludf.DUMMYFUNCTION("""COMPUTED_VALUE"""),1600000.0)</f>
        <v>1600000</v>
      </c>
      <c r="N167" s="22">
        <f>IFERROR(__xludf.DUMMYFUNCTION("""COMPUTED_VALUE"""),0.0)</f>
        <v>0</v>
      </c>
      <c r="O167" s="22">
        <f>IFERROR(__xludf.DUMMYFUNCTION("""COMPUTED_VALUE"""),4300000.0)</f>
        <v>4300000</v>
      </c>
      <c r="P167" s="28" t="str">
        <f t="shared" si="1"/>
        <v>LUNAS</v>
      </c>
      <c r="Q167" s="28">
        <f t="shared" si="2"/>
        <v>6</v>
      </c>
      <c r="R167" s="28" t="str">
        <f t="shared" si="3"/>
        <v>MEISYA JUWITA SARI</v>
      </c>
    </row>
    <row r="168">
      <c r="A168" s="27">
        <f>IFERROR(__xludf.DUMMYFUNCTION("""COMPUTED_VALUE"""),167.0)</f>
        <v>167</v>
      </c>
      <c r="B168" s="28" t="str">
        <f>IFERROR(__xludf.DUMMYFUNCTION("""COMPUTED_VALUE"""),"NABILLAH DWI SISILIA")</f>
        <v>NABILLAH DWI SISILIA</v>
      </c>
      <c r="C168" s="28">
        <f>IFERROR(__xludf.DUMMYFUNCTION("""COMPUTED_VALUE"""),2.025070021E9)</f>
        <v>2025070021</v>
      </c>
      <c r="D168" s="27" t="str">
        <f>IFERROR(__xludf.DUMMYFUNCTION("""COMPUTED_VALUE"""),"C")</f>
        <v>C</v>
      </c>
      <c r="E168" s="27" t="str">
        <f>IFERROR(__xludf.DUMMYFUNCTION("""COMPUTED_VALUE"""),"C-6")</f>
        <v>C-6</v>
      </c>
      <c r="F168" s="31">
        <f>IFERROR(__xludf.DUMMYFUNCTION("""COMPUTED_VALUE"""),2.0)</f>
        <v>2</v>
      </c>
      <c r="G168" s="27" t="str">
        <f>IFERROR(__xludf.DUMMYFUNCTION("""COMPUTED_VALUE"""),"2 WUSTHO D PUTRI")</f>
        <v>2 WUSTHO D PUTRI</v>
      </c>
      <c r="H168" s="28" t="str">
        <f>IFERROR(__xludf.DUMMYFUNCTION("""COMPUTED_VALUE"""),"MA-XI.10")</f>
        <v>MA-XI.10</v>
      </c>
      <c r="I168" s="28" t="str">
        <f>IFERROR(__xludf.DUMMYFUNCTION("""COMPUTED_VALUE"""),"KASMULIATIN")</f>
        <v>KASMULIATIN</v>
      </c>
      <c r="J168" s="28" t="str">
        <f>IFERROR(__xludf.DUMMYFUNCTION("""COMPUTED_VALUE"""),"JL. PENDIDIKAN TANAH MERAH RT 005 RW 000 TANA LIA TANA TIDUNG")</f>
        <v>JL. PENDIDIKAN TANAH MERAH RT 005 RW 000 TANA LIA TANA TIDUNG</v>
      </c>
      <c r="K168" s="28" t="str">
        <f>IFERROR(__xludf.DUMMYFUNCTION("""COMPUTED_VALUE"""),"6285349502674")</f>
        <v>6285349502674</v>
      </c>
      <c r="L168" s="22">
        <f>IFERROR(__xludf.DUMMYFUNCTION("""COMPUTED_VALUE"""),0.0)</f>
        <v>0</v>
      </c>
      <c r="M168" s="22">
        <f>IFERROR(__xludf.DUMMYFUNCTION("""COMPUTED_VALUE"""),0.0)</f>
        <v>0</v>
      </c>
      <c r="N168" s="22">
        <f>IFERROR(__xludf.DUMMYFUNCTION("""COMPUTED_VALUE"""),0.0)</f>
        <v>0</v>
      </c>
      <c r="O168" s="22">
        <f>IFERROR(__xludf.DUMMYFUNCTION("""COMPUTED_VALUE"""),0.0)</f>
        <v>0</v>
      </c>
      <c r="P168" s="28" t="str">
        <f t="shared" si="1"/>
        <v>LUNAS</v>
      </c>
      <c r="Q168" s="28">
        <f t="shared" si="2"/>
        <v>209</v>
      </c>
      <c r="R168" s="28" t="str">
        <f t="shared" si="3"/>
        <v>NABILLAH DWI SISILIA</v>
      </c>
    </row>
    <row r="169">
      <c r="A169" s="27">
        <f>IFERROR(__xludf.DUMMYFUNCTION("""COMPUTED_VALUE"""),168.0)</f>
        <v>168</v>
      </c>
      <c r="B169" s="28" t="str">
        <f>IFERROR(__xludf.DUMMYFUNCTION("""COMPUTED_VALUE"""),"NATASYA ZUHROTUL ULA")</f>
        <v>NATASYA ZUHROTUL ULA</v>
      </c>
      <c r="C169" s="28">
        <f>IFERROR(__xludf.DUMMYFUNCTION("""COMPUTED_VALUE"""),2.025070137E9)</f>
        <v>2025070137</v>
      </c>
      <c r="D169" s="27" t="str">
        <f>IFERROR(__xludf.DUMMYFUNCTION("""COMPUTED_VALUE"""),"C")</f>
        <v>C</v>
      </c>
      <c r="E169" s="27" t="str">
        <f>IFERROR(__xludf.DUMMYFUNCTION("""COMPUTED_VALUE"""),"C-6")</f>
        <v>C-6</v>
      </c>
      <c r="F169" s="31">
        <f>IFERROR(__xludf.DUMMYFUNCTION("""COMPUTED_VALUE"""),2.0)</f>
        <v>2</v>
      </c>
      <c r="G169" s="27" t="str">
        <f>IFERROR(__xludf.DUMMYFUNCTION("""COMPUTED_VALUE"""),"2 WUSTHO A PUTRI")</f>
        <v>2 WUSTHO A PUTRI</v>
      </c>
      <c r="H169" s="28" t="str">
        <f>IFERROR(__xludf.DUMMYFUNCTION("""COMPUTED_VALUE"""),"MA-XI.2")</f>
        <v>MA-XI.2</v>
      </c>
      <c r="I169" s="28" t="str">
        <f>IFERROR(__xludf.DUMMYFUNCTION("""COMPUTED_VALUE"""),"SITI ZAINATUL HABIBAH")</f>
        <v>SITI ZAINATUL HABIBAH</v>
      </c>
      <c r="J169" s="28" t="str">
        <f>IFERROR(__xludf.DUMMYFUNCTION("""COMPUTED_VALUE"""),"KULURAN RT 004 RW 003 KALITENGAH LAMONGAN")</f>
        <v>KULURAN RT 004 RW 003 KALITENGAH LAMONGAN</v>
      </c>
      <c r="K169" s="28" t="str">
        <f>IFERROR(__xludf.DUMMYFUNCTION("""COMPUTED_VALUE"""),"6281556649032")</f>
        <v>6281556649032</v>
      </c>
      <c r="L169" s="22">
        <f>IFERROR(__xludf.DUMMYFUNCTION("""COMPUTED_VALUE"""),0.0)</f>
        <v>0</v>
      </c>
      <c r="M169" s="22">
        <f>IFERROR(__xludf.DUMMYFUNCTION("""COMPUTED_VALUE"""),1000000.0)</f>
        <v>1000000</v>
      </c>
      <c r="N169" s="22">
        <f>IFERROR(__xludf.DUMMYFUNCTION("""COMPUTED_VALUE"""),0.0)</f>
        <v>0</v>
      </c>
      <c r="O169" s="22">
        <f>IFERROR(__xludf.DUMMYFUNCTION("""COMPUTED_VALUE"""),1000000.0)</f>
        <v>1000000</v>
      </c>
      <c r="P169" s="28" t="str">
        <f t="shared" si="1"/>
        <v>LUNAS</v>
      </c>
      <c r="Q169" s="28">
        <f t="shared" si="2"/>
        <v>98</v>
      </c>
      <c r="R169" s="28" t="str">
        <f t="shared" si="3"/>
        <v>NATASYA ZUHROTUL ULA</v>
      </c>
    </row>
    <row r="170">
      <c r="A170" s="27">
        <f>IFERROR(__xludf.DUMMYFUNCTION("""COMPUTED_VALUE"""),169.0)</f>
        <v>169</v>
      </c>
      <c r="B170" s="28" t="str">
        <f>IFERROR(__xludf.DUMMYFUNCTION("""COMPUTED_VALUE"""),"NIKITA KHAHECA GISELLA")</f>
        <v>NIKITA KHAHECA GISELLA</v>
      </c>
      <c r="C170" s="28">
        <f>IFERROR(__xludf.DUMMYFUNCTION("""COMPUTED_VALUE"""),2.02507036E9)</f>
        <v>2025070360</v>
      </c>
      <c r="D170" s="27" t="str">
        <f>IFERROR(__xludf.DUMMYFUNCTION("""COMPUTED_VALUE"""),"C")</f>
        <v>C</v>
      </c>
      <c r="E170" s="27" t="str">
        <f>IFERROR(__xludf.DUMMYFUNCTION("""COMPUTED_VALUE"""),"C-6")</f>
        <v>C-6</v>
      </c>
      <c r="F170" s="31">
        <f>IFERROR(__xludf.DUMMYFUNCTION("""COMPUTED_VALUE"""),2.0)</f>
        <v>2</v>
      </c>
      <c r="G170" s="27" t="str">
        <f>IFERROR(__xludf.DUMMYFUNCTION("""COMPUTED_VALUE"""),"TAHFIDZ")</f>
        <v>TAHFIDZ</v>
      </c>
      <c r="H170" s="28" t="str">
        <f>IFERROR(__xludf.DUMMYFUNCTION("""COMPUTED_VALUE"""),"MA-XI.1")</f>
        <v>MA-XI.1</v>
      </c>
      <c r="I170" s="28" t="str">
        <f>IFERROR(__xludf.DUMMYFUNCTION("""COMPUTED_VALUE"""),"LILIK KUMIATI")</f>
        <v>LILIK KUMIATI</v>
      </c>
      <c r="J170" s="28" t="str">
        <f>IFERROR(__xludf.DUMMYFUNCTION("""COMPUTED_VALUE"""),"LOWAYU RT 001 RW 001 DUKUN GRESIK")</f>
        <v>LOWAYU RT 001 RW 001 DUKUN GRESIK</v>
      </c>
      <c r="K170" s="28" t="str">
        <f>IFERROR(__xludf.DUMMYFUNCTION("""COMPUTED_VALUE"""),"6285853013489")</f>
        <v>6285853013489</v>
      </c>
      <c r="L170" s="22">
        <f>IFERROR(__xludf.DUMMYFUNCTION("""COMPUTED_VALUE"""),0.0)</f>
        <v>0</v>
      </c>
      <c r="M170" s="22">
        <f>IFERROR(__xludf.DUMMYFUNCTION("""COMPUTED_VALUE"""),0.0)</f>
        <v>0</v>
      </c>
      <c r="N170" s="22">
        <f>IFERROR(__xludf.DUMMYFUNCTION("""COMPUTED_VALUE"""),0.0)</f>
        <v>0</v>
      </c>
      <c r="O170" s="22">
        <f>IFERROR(__xludf.DUMMYFUNCTION("""COMPUTED_VALUE"""),0.0)</f>
        <v>0</v>
      </c>
      <c r="P170" s="28" t="str">
        <f t="shared" si="1"/>
        <v>LUNAS</v>
      </c>
      <c r="Q170" s="28">
        <f t="shared" si="2"/>
        <v>210</v>
      </c>
      <c r="R170" s="28" t="str">
        <f t="shared" si="3"/>
        <v>NIKITA KHAHECA GISELLA</v>
      </c>
    </row>
    <row r="171">
      <c r="A171" s="27">
        <f>IFERROR(__xludf.DUMMYFUNCTION("""COMPUTED_VALUE"""),170.0)</f>
        <v>170</v>
      </c>
      <c r="B171" s="28" t="str">
        <f>IFERROR(__xludf.DUMMYFUNCTION("""COMPUTED_VALUE"""),"PUTRI DEWI SEKAR SARI")</f>
        <v>PUTRI DEWI SEKAR SARI</v>
      </c>
      <c r="C171" s="28">
        <f>IFERROR(__xludf.DUMMYFUNCTION("""COMPUTED_VALUE"""),2.025070247E9)</f>
        <v>2025070247</v>
      </c>
      <c r="D171" s="27" t="str">
        <f>IFERROR(__xludf.DUMMYFUNCTION("""COMPUTED_VALUE"""),"C")</f>
        <v>C</v>
      </c>
      <c r="E171" s="27" t="str">
        <f>IFERROR(__xludf.DUMMYFUNCTION("""COMPUTED_VALUE"""),"C-6")</f>
        <v>C-6</v>
      </c>
      <c r="F171" s="31">
        <f>IFERROR(__xludf.DUMMYFUNCTION("""COMPUTED_VALUE"""),2.0)</f>
        <v>2</v>
      </c>
      <c r="G171" s="27" t="str">
        <f>IFERROR(__xludf.DUMMYFUNCTION("""COMPUTED_VALUE"""),"TAHFIDZ")</f>
        <v>TAHFIDZ</v>
      </c>
      <c r="H171" s="28" t="str">
        <f>IFERROR(__xludf.DUMMYFUNCTION("""COMPUTED_VALUE"""),"MA-XI.1")</f>
        <v>MA-XI.1</v>
      </c>
      <c r="I171" s="28" t="str">
        <f>IFERROR(__xludf.DUMMYFUNCTION("""COMPUTED_VALUE"""),"SUSILOWATI")</f>
        <v>SUSILOWATI</v>
      </c>
      <c r="J171" s="28" t="str">
        <f>IFERROR(__xludf.DUMMYFUNCTION("""COMPUTED_VALUE"""),"GUCI RT 003 RW 001 KARANGGENENG LAMONGAN")</f>
        <v>GUCI RT 003 RW 001 KARANGGENENG LAMONGAN</v>
      </c>
      <c r="K171" s="28" t="str">
        <f>IFERROR(__xludf.DUMMYFUNCTION("""COMPUTED_VALUE"""),"6285852532735")</f>
        <v>6285852532735</v>
      </c>
      <c r="L171" s="22">
        <f>IFERROR(__xludf.DUMMYFUNCTION("""COMPUTED_VALUE"""),0.0)</f>
        <v>0</v>
      </c>
      <c r="M171" s="22">
        <f>IFERROR(__xludf.DUMMYFUNCTION("""COMPUTED_VALUE"""),1000000.0)</f>
        <v>1000000</v>
      </c>
      <c r="N171" s="22">
        <f>IFERROR(__xludf.DUMMYFUNCTION("""COMPUTED_VALUE"""),0.0)</f>
        <v>0</v>
      </c>
      <c r="O171" s="22">
        <f>IFERROR(__xludf.DUMMYFUNCTION("""COMPUTED_VALUE"""),1000000.0)</f>
        <v>1000000</v>
      </c>
      <c r="P171" s="28" t="str">
        <f t="shared" si="1"/>
        <v>LUNAS</v>
      </c>
      <c r="Q171" s="28">
        <f t="shared" si="2"/>
        <v>99</v>
      </c>
      <c r="R171" s="28" t="str">
        <f t="shared" si="3"/>
        <v>PUTRI DEWI SEKAR SARI</v>
      </c>
    </row>
    <row r="172">
      <c r="A172" s="27">
        <f>IFERROR(__xludf.DUMMYFUNCTION("""COMPUTED_VALUE"""),171.0)</f>
        <v>171</v>
      </c>
      <c r="B172" s="28" t="str">
        <f>IFERROR(__xludf.DUMMYFUNCTION("""COMPUTED_VALUE"""),"SALWA SHOFIYANA ATIQOH")</f>
        <v>SALWA SHOFIYANA ATIQOH</v>
      </c>
      <c r="C172" s="28">
        <f>IFERROR(__xludf.DUMMYFUNCTION("""COMPUTED_VALUE"""),2.025070183E9)</f>
        <v>2025070183</v>
      </c>
      <c r="D172" s="27" t="str">
        <f>IFERROR(__xludf.DUMMYFUNCTION("""COMPUTED_VALUE"""),"C")</f>
        <v>C</v>
      </c>
      <c r="E172" s="27" t="str">
        <f>IFERROR(__xludf.DUMMYFUNCTION("""COMPUTED_VALUE"""),"C-6")</f>
        <v>C-6</v>
      </c>
      <c r="F172" s="31">
        <f>IFERROR(__xludf.DUMMYFUNCTION("""COMPUTED_VALUE"""),2.0)</f>
        <v>2</v>
      </c>
      <c r="G172" s="27" t="str">
        <f>IFERROR(__xludf.DUMMYFUNCTION("""COMPUTED_VALUE"""),"TAHFIDZ")</f>
        <v>TAHFIDZ</v>
      </c>
      <c r="H172" s="28" t="str">
        <f>IFERROR(__xludf.DUMMYFUNCTION("""COMPUTED_VALUE"""),"MA-XI.1")</f>
        <v>MA-XI.1</v>
      </c>
      <c r="I172" s="28" t="str">
        <f>IFERROR(__xludf.DUMMYFUNCTION("""COMPUTED_VALUE"""),"IIS IZZATUL LUTHFIYAH")</f>
        <v>IIS IZZATUL LUTHFIYAH</v>
      </c>
      <c r="J172" s="28" t="str">
        <f>IFERROR(__xludf.DUMMYFUNCTION("""COMPUTED_VALUE"""),"BANGERAN RT 003 RW 002 DUKUN GRESIK")</f>
        <v>BANGERAN RT 003 RW 002 DUKUN GRESIK</v>
      </c>
      <c r="K172" s="28" t="str">
        <f>IFERROR(__xludf.DUMMYFUNCTION("""COMPUTED_VALUE"""),"6285829454955")</f>
        <v>6285829454955</v>
      </c>
      <c r="L172" s="22">
        <f>IFERROR(__xludf.DUMMYFUNCTION("""COMPUTED_VALUE"""),0.0)</f>
        <v>0</v>
      </c>
      <c r="M172" s="22">
        <f>IFERROR(__xludf.DUMMYFUNCTION("""COMPUTED_VALUE"""),0.0)</f>
        <v>0</v>
      </c>
      <c r="N172" s="22">
        <f>IFERROR(__xludf.DUMMYFUNCTION("""COMPUTED_VALUE"""),0.0)</f>
        <v>0</v>
      </c>
      <c r="O172" s="22">
        <f>IFERROR(__xludf.DUMMYFUNCTION("""COMPUTED_VALUE"""),0.0)</f>
        <v>0</v>
      </c>
      <c r="P172" s="28" t="str">
        <f t="shared" si="1"/>
        <v>LUNAS</v>
      </c>
      <c r="Q172" s="28">
        <f t="shared" si="2"/>
        <v>211</v>
      </c>
      <c r="R172" s="28" t="str">
        <f t="shared" si="3"/>
        <v>SALWA SHOFIYANA ATIQOH</v>
      </c>
    </row>
    <row r="173">
      <c r="A173" s="27">
        <f>IFERROR(__xludf.DUMMYFUNCTION("""COMPUTED_VALUE"""),172.0)</f>
        <v>172</v>
      </c>
      <c r="B173" s="28" t="str">
        <f>IFERROR(__xludf.DUMMYFUNCTION("""COMPUTED_VALUE"""),"SYA`BANIA ROHMA RISQIYAH WULANDARI")</f>
        <v>SYA`BANIA ROHMA RISQIYAH WULANDARI</v>
      </c>
      <c r="C173" s="28">
        <f>IFERROR(__xludf.DUMMYFUNCTION("""COMPUTED_VALUE"""),2.025070527E9)</f>
        <v>2025070527</v>
      </c>
      <c r="D173" s="27" t="str">
        <f>IFERROR(__xludf.DUMMYFUNCTION("""COMPUTED_VALUE"""),"C")</f>
        <v>C</v>
      </c>
      <c r="E173" s="27" t="str">
        <f>IFERROR(__xludf.DUMMYFUNCTION("""COMPUTED_VALUE"""),"C-6")</f>
        <v>C-6</v>
      </c>
      <c r="F173" s="31">
        <f>IFERROR(__xludf.DUMMYFUNCTION("""COMPUTED_VALUE"""),2.0)</f>
        <v>2</v>
      </c>
      <c r="G173" s="27" t="str">
        <f>IFERROR(__xludf.DUMMYFUNCTION("""COMPUTED_VALUE"""),"2 ULA C PUTRI")</f>
        <v>2 ULA C PUTRI</v>
      </c>
      <c r="H173" s="28" t="str">
        <f>IFERROR(__xludf.DUMMYFUNCTION("""COMPUTED_VALUE"""),"MTS-8 A")</f>
        <v>MTS-8 A</v>
      </c>
      <c r="I173" s="28" t="str">
        <f>IFERROR(__xludf.DUMMYFUNCTION("""COMPUTED_VALUE"""),"KUSNAH")</f>
        <v>KUSNAH</v>
      </c>
      <c r="J173" s="28" t="str">
        <f>IFERROR(__xludf.DUMMYFUNCTION("""COMPUTED_VALUE"""),"SARIREJO SUKOREJO RT 003 RW 003 LAMONGAN LAMONGAN")</f>
        <v>SARIREJO SUKOREJO RT 003 RW 003 LAMONGAN LAMONGAN</v>
      </c>
      <c r="K173" s="28" t="str">
        <f>IFERROR(__xludf.DUMMYFUNCTION("""COMPUTED_VALUE"""),"6285796171854")</f>
        <v>6285796171854</v>
      </c>
      <c r="L173" s="22">
        <f>IFERROR(__xludf.DUMMYFUNCTION("""COMPUTED_VALUE"""),3150000.0)</f>
        <v>3150000</v>
      </c>
      <c r="M173" s="22">
        <f>IFERROR(__xludf.DUMMYFUNCTION("""COMPUTED_VALUE"""),1000000.0)</f>
        <v>1000000</v>
      </c>
      <c r="N173" s="22">
        <f>IFERROR(__xludf.DUMMYFUNCTION("""COMPUTED_VALUE"""),0.0)</f>
        <v>0</v>
      </c>
      <c r="O173" s="22">
        <f>IFERROR(__xludf.DUMMYFUNCTION("""COMPUTED_VALUE"""),4150000.0)</f>
        <v>4150000</v>
      </c>
      <c r="P173" s="28" t="str">
        <f t="shared" si="1"/>
        <v>LUNAS</v>
      </c>
      <c r="Q173" s="28">
        <f t="shared" si="2"/>
        <v>7</v>
      </c>
      <c r="R173" s="28" t="str">
        <f t="shared" si="3"/>
        <v>SYA`BANIA ROHMA RISQIYAH WULANDARI</v>
      </c>
    </row>
    <row r="174">
      <c r="A174" s="27">
        <f>IFERROR(__xludf.DUMMYFUNCTION("""COMPUTED_VALUE"""),173.0)</f>
        <v>173</v>
      </c>
      <c r="B174" s="28" t="str">
        <f>IFERROR(__xludf.DUMMYFUNCTION("""COMPUTED_VALUE"""),"ZAHWA AULIA SYAHIRAH")</f>
        <v>ZAHWA AULIA SYAHIRAH</v>
      </c>
      <c r="C174" s="28">
        <f>IFERROR(__xludf.DUMMYFUNCTION("""COMPUTED_VALUE"""),2.025070025E9)</f>
        <v>2025070025</v>
      </c>
      <c r="D174" s="27" t="str">
        <f>IFERROR(__xludf.DUMMYFUNCTION("""COMPUTED_VALUE"""),"C")</f>
        <v>C</v>
      </c>
      <c r="E174" s="27" t="str">
        <f>IFERROR(__xludf.DUMMYFUNCTION("""COMPUTED_VALUE"""),"C-6")</f>
        <v>C-6</v>
      </c>
      <c r="F174" s="31">
        <f>IFERROR(__xludf.DUMMYFUNCTION("""COMPUTED_VALUE"""),2.0)</f>
        <v>2</v>
      </c>
      <c r="G174" s="27" t="str">
        <f>IFERROR(__xludf.DUMMYFUNCTION("""COMPUTED_VALUE"""),"2 WUSTHO A PUTRI")</f>
        <v>2 WUSTHO A PUTRI</v>
      </c>
      <c r="H174" s="28" t="str">
        <f>IFERROR(__xludf.DUMMYFUNCTION("""COMPUTED_VALUE"""),"MA-XI.3")</f>
        <v>MA-XI.3</v>
      </c>
      <c r="I174" s="28" t="str">
        <f>IFERROR(__xludf.DUMMYFUNCTION("""COMPUTED_VALUE"""),"NUR IZZATIN")</f>
        <v>NUR IZZATIN</v>
      </c>
      <c r="J174" s="28" t="str">
        <f>IFERROR(__xludf.DUMMYFUNCTION("""COMPUTED_VALUE"""),"MENTARAS RT 012 RW 005 DUKUN GRESIK")</f>
        <v>MENTARAS RT 012 RW 005 DUKUN GRESIK</v>
      </c>
      <c r="K174" s="28" t="str">
        <f>IFERROR(__xludf.DUMMYFUNCTION("""COMPUTED_VALUE"""),"6281332084557")</f>
        <v>6281332084557</v>
      </c>
      <c r="L174" s="22">
        <f>IFERROR(__xludf.DUMMYFUNCTION("""COMPUTED_VALUE"""),0.0)</f>
        <v>0</v>
      </c>
      <c r="M174" s="22">
        <f>IFERROR(__xludf.DUMMYFUNCTION("""COMPUTED_VALUE"""),1000000.0)</f>
        <v>1000000</v>
      </c>
      <c r="N174" s="22">
        <f>IFERROR(__xludf.DUMMYFUNCTION("""COMPUTED_VALUE"""),0.0)</f>
        <v>0</v>
      </c>
      <c r="O174" s="22">
        <f>IFERROR(__xludf.DUMMYFUNCTION("""COMPUTED_VALUE"""),1000000.0)</f>
        <v>1000000</v>
      </c>
      <c r="P174" s="28" t="str">
        <f t="shared" si="1"/>
        <v>LUNAS</v>
      </c>
      <c r="Q174" s="28">
        <f t="shared" si="2"/>
        <v>100</v>
      </c>
      <c r="R174" s="28" t="str">
        <f t="shared" si="3"/>
        <v>ZAHWA AULIA SYAHIRAH</v>
      </c>
    </row>
    <row r="175">
      <c r="A175" s="27">
        <f>IFERROR(__xludf.DUMMYFUNCTION("""COMPUTED_VALUE"""),174.0)</f>
        <v>174</v>
      </c>
      <c r="B175" s="28" t="str">
        <f>IFERROR(__xludf.DUMMYFUNCTION("""COMPUTED_VALUE"""),"ZAKIA AULIA RUSTIC")</f>
        <v>ZAKIA AULIA RUSTIC</v>
      </c>
      <c r="C175" s="28">
        <f>IFERROR(__xludf.DUMMYFUNCTION("""COMPUTED_VALUE"""),2.025070573E9)</f>
        <v>2025070573</v>
      </c>
      <c r="D175" s="27" t="str">
        <f>IFERROR(__xludf.DUMMYFUNCTION("""COMPUTED_VALUE"""),"C")</f>
        <v>C</v>
      </c>
      <c r="E175" s="27" t="str">
        <f>IFERROR(__xludf.DUMMYFUNCTION("""COMPUTED_VALUE"""),"C-6")</f>
        <v>C-6</v>
      </c>
      <c r="F175" s="31">
        <f>IFERROR(__xludf.DUMMYFUNCTION("""COMPUTED_VALUE"""),2.0)</f>
        <v>2</v>
      </c>
      <c r="G175" s="27" t="str">
        <f>IFERROR(__xludf.DUMMYFUNCTION("""COMPUTED_VALUE"""),"2 ULA A PUTRI")</f>
        <v>2 ULA A PUTRI</v>
      </c>
      <c r="H175" s="28" t="str">
        <f>IFERROR(__xludf.DUMMYFUNCTION("""COMPUTED_VALUE"""),"MTS-8 A")</f>
        <v>MTS-8 A</v>
      </c>
      <c r="I175" s="28" t="str">
        <f>IFERROR(__xludf.DUMMYFUNCTION("""COMPUTED_VALUE"""),"MUALIMAH")</f>
        <v>MUALIMAH</v>
      </c>
      <c r="J175" s="28" t="str">
        <f>IFERROR(__xludf.DUMMYFUNCTION("""COMPUTED_VALUE"""),"BONTEN BRUMBUN RT 003 RW 003 MADURAN LAMONGAN")</f>
        <v>BONTEN BRUMBUN RT 003 RW 003 MADURAN LAMONGAN</v>
      </c>
      <c r="K175" s="28" t="str">
        <f>IFERROR(__xludf.DUMMYFUNCTION("""COMPUTED_VALUE"""),"6285258943334")</f>
        <v>6285258943334</v>
      </c>
      <c r="L175" s="22">
        <f>IFERROR(__xludf.DUMMYFUNCTION("""COMPUTED_VALUE"""),0.0)</f>
        <v>0</v>
      </c>
      <c r="M175" s="22">
        <f>IFERROR(__xludf.DUMMYFUNCTION("""COMPUTED_VALUE"""),0.0)</f>
        <v>0</v>
      </c>
      <c r="N175" s="22">
        <f>IFERROR(__xludf.DUMMYFUNCTION("""COMPUTED_VALUE"""),0.0)</f>
        <v>0</v>
      </c>
      <c r="O175" s="22">
        <f>IFERROR(__xludf.DUMMYFUNCTION("""COMPUTED_VALUE"""),0.0)</f>
        <v>0</v>
      </c>
      <c r="P175" s="28" t="str">
        <f t="shared" si="1"/>
        <v>LUNAS</v>
      </c>
      <c r="Q175" s="28">
        <f t="shared" si="2"/>
        <v>212</v>
      </c>
      <c r="R175" s="28" t="str">
        <f t="shared" si="3"/>
        <v>ZAKIA AULIA RUSTIC</v>
      </c>
    </row>
    <row r="176">
      <c r="A176" s="27">
        <f>IFERROR(__xludf.DUMMYFUNCTION("""COMPUTED_VALUE"""),175.0)</f>
        <v>175</v>
      </c>
      <c r="B176" s="28" t="str">
        <f>IFERROR(__xludf.DUMMYFUNCTION("""COMPUTED_VALUE"""),"ZANNUBA ARIFAH HAFSHO")</f>
        <v>ZANNUBA ARIFAH HAFSHO</v>
      </c>
      <c r="C176" s="28">
        <f>IFERROR(__xludf.DUMMYFUNCTION("""COMPUTED_VALUE"""),2.025070208E9)</f>
        <v>2025070208</v>
      </c>
      <c r="D176" s="27" t="str">
        <f>IFERROR(__xludf.DUMMYFUNCTION("""COMPUTED_VALUE"""),"C")</f>
        <v>C</v>
      </c>
      <c r="E176" s="27" t="str">
        <f>IFERROR(__xludf.DUMMYFUNCTION("""COMPUTED_VALUE"""),"C-6")</f>
        <v>C-6</v>
      </c>
      <c r="F176" s="31">
        <f>IFERROR(__xludf.DUMMYFUNCTION("""COMPUTED_VALUE"""),2.0)</f>
        <v>2</v>
      </c>
      <c r="G176" s="27" t="str">
        <f>IFERROR(__xludf.DUMMYFUNCTION("""COMPUTED_VALUE"""),"2 WUSTHO A PUTRI")</f>
        <v>2 WUSTHO A PUTRI</v>
      </c>
      <c r="H176" s="28" t="str">
        <f>IFERROR(__xludf.DUMMYFUNCTION("""COMPUTED_VALUE"""),"MA-XI.12")</f>
        <v>MA-XI.12</v>
      </c>
      <c r="I176" s="28" t="str">
        <f>IFERROR(__xludf.DUMMYFUNCTION("""COMPUTED_VALUE"""),"MUSTIKA SARI")</f>
        <v>MUSTIKA SARI</v>
      </c>
      <c r="J176" s="28" t="str">
        <f>IFERROR(__xludf.DUMMYFUNCTION("""COMPUTED_VALUE"""),"KARANGASEM KARANGSAMBIGALIH RT 003 RW 004 SUGIO LAMONGAN")</f>
        <v>KARANGASEM KARANGSAMBIGALIH RT 003 RW 004 SUGIO LAMONGAN</v>
      </c>
      <c r="K176" s="28" t="str">
        <f>IFERROR(__xludf.DUMMYFUNCTION("""COMPUTED_VALUE"""),"6281231204455")</f>
        <v>6281231204455</v>
      </c>
      <c r="L176" s="22">
        <f>IFERROR(__xludf.DUMMYFUNCTION("""COMPUTED_VALUE"""),0.0)</f>
        <v>0</v>
      </c>
      <c r="M176" s="22">
        <f>IFERROR(__xludf.DUMMYFUNCTION("""COMPUTED_VALUE"""),0.0)</f>
        <v>0</v>
      </c>
      <c r="N176" s="22">
        <f>IFERROR(__xludf.DUMMYFUNCTION("""COMPUTED_VALUE"""),0.0)</f>
        <v>0</v>
      </c>
      <c r="O176" s="22">
        <f>IFERROR(__xludf.DUMMYFUNCTION("""COMPUTED_VALUE"""),0.0)</f>
        <v>0</v>
      </c>
      <c r="P176" s="28" t="str">
        <f t="shared" si="1"/>
        <v>LUNAS</v>
      </c>
      <c r="Q176" s="28">
        <f t="shared" si="2"/>
        <v>213</v>
      </c>
      <c r="R176" s="28" t="str">
        <f t="shared" si="3"/>
        <v>ZANNUBA ARIFAH HAFSHO</v>
      </c>
    </row>
    <row r="177">
      <c r="A177" s="27">
        <f>IFERROR(__xludf.DUMMYFUNCTION("""COMPUTED_VALUE"""),176.0)</f>
        <v>176</v>
      </c>
      <c r="B177" s="28" t="str">
        <f>IFERROR(__xludf.DUMMYFUNCTION("""COMPUTED_VALUE"""),"ZANNUBA ARIFFAH CHOFSOH")</f>
        <v>ZANNUBA ARIFFAH CHOFSOH</v>
      </c>
      <c r="C177" s="28">
        <f>IFERROR(__xludf.DUMMYFUNCTION("""COMPUTED_VALUE"""),2.02502041E9)</f>
        <v>2025020410</v>
      </c>
      <c r="D177" s="27" t="str">
        <f>IFERROR(__xludf.DUMMYFUNCTION("""COMPUTED_VALUE"""),"C")</f>
        <v>C</v>
      </c>
      <c r="E177" s="27" t="str">
        <f>IFERROR(__xludf.DUMMYFUNCTION("""COMPUTED_VALUE"""),"C-6")</f>
        <v>C-6</v>
      </c>
      <c r="F177" s="31">
        <f>IFERROR(__xludf.DUMMYFUNCTION("""COMPUTED_VALUE"""),2.0)</f>
        <v>2</v>
      </c>
      <c r="G177" s="27" t="str">
        <f>IFERROR(__xludf.DUMMYFUNCTION("""COMPUTED_VALUE"""),"TAHFIDZ")</f>
        <v>TAHFIDZ</v>
      </c>
      <c r="H177" s="28" t="str">
        <f>IFERROR(__xludf.DUMMYFUNCTION("""COMPUTED_VALUE"""),"MA-XI.1")</f>
        <v>MA-XI.1</v>
      </c>
      <c r="I177" s="28" t="str">
        <f>IFERROR(__xludf.DUMMYFUNCTION("""COMPUTED_VALUE"""),"CHOIRUL AMALIYAH")</f>
        <v>CHOIRUL AMALIYAH</v>
      </c>
      <c r="J177" s="28" t="str">
        <f>IFERROR(__xludf.DUMMYFUNCTION("""COMPUTED_VALUE"""),"BANTENGPUTIH RT 002 RW 002 KARANGGENENG LAMONGAN")</f>
        <v>BANTENGPUTIH RT 002 RW 002 KARANGGENENG LAMONGAN</v>
      </c>
      <c r="K177" s="28" t="str">
        <f>IFERROR(__xludf.DUMMYFUNCTION("""COMPUTED_VALUE"""),"6282142912003")</f>
        <v>6282142912003</v>
      </c>
      <c r="L177" s="22">
        <f>IFERROR(__xludf.DUMMYFUNCTION("""COMPUTED_VALUE"""),0.0)</f>
        <v>0</v>
      </c>
      <c r="M177" s="22">
        <f>IFERROR(__xludf.DUMMYFUNCTION("""COMPUTED_VALUE"""),0.0)</f>
        <v>0</v>
      </c>
      <c r="N177" s="22">
        <f>IFERROR(__xludf.DUMMYFUNCTION("""COMPUTED_VALUE"""),0.0)</f>
        <v>0</v>
      </c>
      <c r="O177" s="22">
        <f>IFERROR(__xludf.DUMMYFUNCTION("""COMPUTED_VALUE"""),0.0)</f>
        <v>0</v>
      </c>
      <c r="P177" s="28" t="str">
        <f t="shared" si="1"/>
        <v>LUNAS</v>
      </c>
      <c r="Q177" s="28">
        <f t="shared" si="2"/>
        <v>214</v>
      </c>
      <c r="R177" s="28" t="str">
        <f t="shared" si="3"/>
        <v>ZANNUBA ARIFFAH CHOFSOH</v>
      </c>
    </row>
    <row r="178">
      <c r="A178" s="27">
        <f>IFERROR(__xludf.DUMMYFUNCTION("""COMPUTED_VALUE"""),177.0)</f>
        <v>177</v>
      </c>
      <c r="B178" s="28" t="str">
        <f>IFERROR(__xludf.DUMMYFUNCTION("""COMPUTED_VALUE"""),"ZULIANA HIDAYATUZZAHRAH")</f>
        <v>ZULIANA HIDAYATUZZAHRAH</v>
      </c>
      <c r="C178" s="28">
        <f>IFERROR(__xludf.DUMMYFUNCTION("""COMPUTED_VALUE"""),2.025070287E9)</f>
        <v>2025070287</v>
      </c>
      <c r="D178" s="27" t="str">
        <f>IFERROR(__xludf.DUMMYFUNCTION("""COMPUTED_VALUE"""),"C")</f>
        <v>C</v>
      </c>
      <c r="E178" s="27" t="str">
        <f>IFERROR(__xludf.DUMMYFUNCTION("""COMPUTED_VALUE"""),"C-6")</f>
        <v>C-6</v>
      </c>
      <c r="F178" s="31">
        <f>IFERROR(__xludf.DUMMYFUNCTION("""COMPUTED_VALUE"""),2.0)</f>
        <v>2</v>
      </c>
      <c r="G178" s="27" t="str">
        <f>IFERROR(__xludf.DUMMYFUNCTION("""COMPUTED_VALUE"""),"TAHFIDZ")</f>
        <v>TAHFIDZ</v>
      </c>
      <c r="H178" s="28" t="str">
        <f>IFERROR(__xludf.DUMMYFUNCTION("""COMPUTED_VALUE"""),"MA-XI.1")</f>
        <v>MA-XI.1</v>
      </c>
      <c r="I178" s="28" t="str">
        <f>IFERROR(__xludf.DUMMYFUNCTION("""COMPUTED_VALUE"""),"SUKARTI")</f>
        <v>SUKARTI</v>
      </c>
      <c r="J178" s="28" t="str">
        <f>IFERROR(__xludf.DUMMYFUNCTION("""COMPUTED_VALUE"""),"KARYA BINANGUN MADURAN RT 001 RW 002 MADURAN LAMONGAN")</f>
        <v>KARYA BINANGUN MADURAN RT 001 RW 002 MADURAN LAMONGAN</v>
      </c>
      <c r="K178" s="28" t="str">
        <f>IFERROR(__xludf.DUMMYFUNCTION("""COMPUTED_VALUE"""),"6285714806167")</f>
        <v>6285714806167</v>
      </c>
      <c r="L178" s="22">
        <f>IFERROR(__xludf.DUMMYFUNCTION("""COMPUTED_VALUE"""),450000.0)</f>
        <v>450000</v>
      </c>
      <c r="M178" s="22">
        <f>IFERROR(__xludf.DUMMYFUNCTION("""COMPUTED_VALUE"""),1000000.0)</f>
        <v>1000000</v>
      </c>
      <c r="N178" s="22">
        <f>IFERROR(__xludf.DUMMYFUNCTION("""COMPUTED_VALUE"""),0.0)</f>
        <v>0</v>
      </c>
      <c r="O178" s="22">
        <f>IFERROR(__xludf.DUMMYFUNCTION("""COMPUTED_VALUE"""),1450000.0)</f>
        <v>1450000</v>
      </c>
      <c r="P178" s="28" t="str">
        <f t="shared" si="1"/>
        <v>LUNAS</v>
      </c>
      <c r="Q178" s="28">
        <f t="shared" si="2"/>
        <v>43</v>
      </c>
      <c r="R178" s="28" t="str">
        <f t="shared" si="3"/>
        <v>ZULIANA HIDAYATUZZAHRAH</v>
      </c>
    </row>
    <row r="179">
      <c r="A179" s="27">
        <f>IFERROR(__xludf.DUMMYFUNCTION("""COMPUTED_VALUE"""),178.0)</f>
        <v>178</v>
      </c>
      <c r="B179" s="28" t="str">
        <f>IFERROR(__xludf.DUMMYFUNCTION("""COMPUTED_VALUE"""),"EMILDA KRISTIANA DWI RAMADHANI")</f>
        <v>EMILDA KRISTIANA DWI RAMADHANI</v>
      </c>
      <c r="C179" s="28">
        <f>IFERROR(__xludf.DUMMYFUNCTION("""COMPUTED_VALUE"""),2.025070231E9)</f>
        <v>2025070231</v>
      </c>
      <c r="D179" s="27" t="str">
        <f>IFERROR(__xludf.DUMMYFUNCTION("""COMPUTED_VALUE"""),"C")</f>
        <v>C</v>
      </c>
      <c r="E179" s="27" t="str">
        <f>IFERROR(__xludf.DUMMYFUNCTION("""COMPUTED_VALUE"""),"C-6")</f>
        <v>C-6</v>
      </c>
      <c r="F179" s="31">
        <f>IFERROR(__xludf.DUMMYFUNCTION("""COMPUTED_VALUE"""),2.0)</f>
        <v>2</v>
      </c>
      <c r="G179" s="27" t="str">
        <f>IFERROR(__xludf.DUMMYFUNCTION("""COMPUTED_VALUE"""),"2 WUSTHO D PUTRI")</f>
        <v>2 WUSTHO D PUTRI</v>
      </c>
      <c r="H179" s="28" t="str">
        <f>IFERROR(__xludf.DUMMYFUNCTION("""COMPUTED_VALUE"""),"MA-XI.12")</f>
        <v>MA-XI.12</v>
      </c>
      <c r="I179" s="28" t="str">
        <f>IFERROR(__xludf.DUMMYFUNCTION("""COMPUTED_VALUE"""),"ASMAIYA")</f>
        <v>ASMAIYA</v>
      </c>
      <c r="J179" s="28" t="str">
        <f>IFERROR(__xludf.DUMMYFUNCTION("""COMPUTED_VALUE"""),"TURI RT 011 RW 001 TURI LAMONGAN")</f>
        <v>TURI RT 011 RW 001 TURI LAMONGAN</v>
      </c>
      <c r="K179" s="28" t="str">
        <f>IFERROR(__xludf.DUMMYFUNCTION("""COMPUTED_VALUE"""),"6281239188019")</f>
        <v>6281239188019</v>
      </c>
      <c r="L179" s="22">
        <f>IFERROR(__xludf.DUMMYFUNCTION("""COMPUTED_VALUE"""),900000.0)</f>
        <v>900000</v>
      </c>
      <c r="M179" s="22">
        <f>IFERROR(__xludf.DUMMYFUNCTION("""COMPUTED_VALUE"""),0.0)</f>
        <v>0</v>
      </c>
      <c r="N179" s="22">
        <f>IFERROR(__xludf.DUMMYFUNCTION("""COMPUTED_VALUE"""),0.0)</f>
        <v>0</v>
      </c>
      <c r="O179" s="22">
        <f>IFERROR(__xludf.DUMMYFUNCTION("""COMPUTED_VALUE"""),900000.0)</f>
        <v>900000</v>
      </c>
      <c r="P179" s="28" t="str">
        <f t="shared" si="1"/>
        <v>LUNAS</v>
      </c>
      <c r="Q179" s="28">
        <f t="shared" si="2"/>
        <v>119</v>
      </c>
      <c r="R179" s="28" t="str">
        <f t="shared" si="3"/>
        <v>EMILDA KRISTIANA DWI RAMADHANI</v>
      </c>
    </row>
    <row r="180">
      <c r="A180" s="27">
        <f>IFERROR(__xludf.DUMMYFUNCTION("""COMPUTED_VALUE"""),179.0)</f>
        <v>179</v>
      </c>
      <c r="B180" s="28" t="str">
        <f>IFERROR(__xludf.DUMMYFUNCTION("""COMPUTED_VALUE"""),"ZAHROTUS SHOFA SYAWALIYAH")</f>
        <v>ZAHROTUS SHOFA SYAWALIYAH</v>
      </c>
      <c r="C180" s="28">
        <f>IFERROR(__xludf.DUMMYFUNCTION("""COMPUTED_VALUE"""),2.025070373E9)</f>
        <v>2025070373</v>
      </c>
      <c r="D180" s="27" t="str">
        <f>IFERROR(__xludf.DUMMYFUNCTION("""COMPUTED_VALUE"""),"C")</f>
        <v>C</v>
      </c>
      <c r="E180" s="27" t="str">
        <f>IFERROR(__xludf.DUMMYFUNCTION("""COMPUTED_VALUE"""),"C-6")</f>
        <v>C-6</v>
      </c>
      <c r="F180" s="31">
        <f>IFERROR(__xludf.DUMMYFUNCTION("""COMPUTED_VALUE"""),2.0)</f>
        <v>2</v>
      </c>
      <c r="G180" s="27" t="str">
        <f>IFERROR(__xludf.DUMMYFUNCTION("""COMPUTED_VALUE"""),"2 WUSTHO C PUTRI")</f>
        <v>2 WUSTHO C PUTRI</v>
      </c>
      <c r="H180" s="28" t="str">
        <f>IFERROR(__xludf.DUMMYFUNCTION("""COMPUTED_VALUE"""),"MA-XI.6")</f>
        <v>MA-XI.6</v>
      </c>
      <c r="I180" s="28" t="str">
        <f>IFERROR(__xludf.DUMMYFUNCTION("""COMPUTED_VALUE"""),"NUR SA`IDAH")</f>
        <v>NUR SA`IDAH</v>
      </c>
      <c r="J180" s="28" t="str">
        <f>IFERROR(__xludf.DUMMYFUNCTION("""COMPUTED_VALUE"""),"KEMLAGIGEDE RT 001 RW 001 TURI LAMONGAN")</f>
        <v>KEMLAGIGEDE RT 001 RW 001 TURI LAMONGAN</v>
      </c>
      <c r="K180" s="28" t="str">
        <f>IFERROR(__xludf.DUMMYFUNCTION("""COMPUTED_VALUE"""),"6281357323465")</f>
        <v>6281357323465</v>
      </c>
      <c r="L180" s="22">
        <f>IFERROR(__xludf.DUMMYFUNCTION("""COMPUTED_VALUE"""),900000.0)</f>
        <v>900000</v>
      </c>
      <c r="M180" s="22">
        <f>IFERROR(__xludf.DUMMYFUNCTION("""COMPUTED_VALUE"""),0.0)</f>
        <v>0</v>
      </c>
      <c r="N180" s="22">
        <f>IFERROR(__xludf.DUMMYFUNCTION("""COMPUTED_VALUE"""),0.0)</f>
        <v>0</v>
      </c>
      <c r="O180" s="22">
        <f>IFERROR(__xludf.DUMMYFUNCTION("""COMPUTED_VALUE"""),900000.0)</f>
        <v>900000</v>
      </c>
      <c r="P180" s="28" t="str">
        <f t="shared" si="1"/>
        <v>LUNAS</v>
      </c>
      <c r="Q180" s="28">
        <f t="shared" si="2"/>
        <v>120</v>
      </c>
      <c r="R180" s="28" t="str">
        <f t="shared" si="3"/>
        <v>ZAHROTUS SHOFA SYAWALIYAH</v>
      </c>
    </row>
    <row r="181">
      <c r="A181" s="27">
        <f>IFERROR(__xludf.DUMMYFUNCTION("""COMPUTED_VALUE"""),180.0)</f>
        <v>180</v>
      </c>
      <c r="B181" s="28" t="str">
        <f>IFERROR(__xludf.DUMMYFUNCTION("""COMPUTED_VALUE"""),"WASILATUL HUSNA ABIDAH AL BANAN")</f>
        <v>WASILATUL HUSNA ABIDAH AL BANAN</v>
      </c>
      <c r="C181" s="28">
        <f>IFERROR(__xludf.DUMMYFUNCTION("""COMPUTED_VALUE"""),2.025070385E9)</f>
        <v>2025070385</v>
      </c>
      <c r="D181" s="27" t="str">
        <f>IFERROR(__xludf.DUMMYFUNCTION("""COMPUTED_VALUE"""),"C")</f>
        <v>C</v>
      </c>
      <c r="E181" s="27" t="str">
        <f>IFERROR(__xludf.DUMMYFUNCTION("""COMPUTED_VALUE"""),"C-6")</f>
        <v>C-6</v>
      </c>
      <c r="F181" s="31">
        <f>IFERROR(__xludf.DUMMYFUNCTION("""COMPUTED_VALUE"""),2.0)</f>
        <v>2</v>
      </c>
      <c r="G181" s="27" t="str">
        <f>IFERROR(__xludf.DUMMYFUNCTION("""COMPUTED_VALUE"""),"2 WUSTHO A PUTRI")</f>
        <v>2 WUSTHO A PUTRI</v>
      </c>
      <c r="H181" s="28" t="str">
        <f>IFERROR(__xludf.DUMMYFUNCTION("""COMPUTED_VALUE"""),"MA-XI.3")</f>
        <v>MA-XI.3</v>
      </c>
      <c r="I181" s="28" t="str">
        <f>IFERROR(__xludf.DUMMYFUNCTION("""COMPUTED_VALUE"""),"HIDAYATUL ABIDAH")</f>
        <v>HIDAYATUL ABIDAH</v>
      </c>
      <c r="J181" s="28" t="str">
        <f>IFERROR(__xludf.DUMMYFUNCTION("""COMPUTED_VALUE"""),"JANGGAN POMAHAN JANGGAN RT 007 RW 003 TURI LAMONGAN")</f>
        <v>JANGGAN POMAHAN JANGGAN RT 007 RW 003 TURI LAMONGAN</v>
      </c>
      <c r="K181" s="28" t="str">
        <f>IFERROR(__xludf.DUMMYFUNCTION("""COMPUTED_VALUE"""),"6285655438946")</f>
        <v>6285655438946</v>
      </c>
      <c r="L181" s="22">
        <f>IFERROR(__xludf.DUMMYFUNCTION("""COMPUTED_VALUE"""),0.0)</f>
        <v>0</v>
      </c>
      <c r="M181" s="22">
        <f>IFERROR(__xludf.DUMMYFUNCTION("""COMPUTED_VALUE"""),0.0)</f>
        <v>0</v>
      </c>
      <c r="N181" s="22">
        <f>IFERROR(__xludf.DUMMYFUNCTION("""COMPUTED_VALUE"""),0.0)</f>
        <v>0</v>
      </c>
      <c r="O181" s="22">
        <f>IFERROR(__xludf.DUMMYFUNCTION("""COMPUTED_VALUE"""),0.0)</f>
        <v>0</v>
      </c>
      <c r="P181" s="28" t="str">
        <f t="shared" si="1"/>
        <v>LUNAS</v>
      </c>
      <c r="Q181" s="28">
        <f t="shared" si="2"/>
        <v>215</v>
      </c>
      <c r="R181" s="28" t="str">
        <f t="shared" si="3"/>
        <v>WASILATUL HUSNA ABIDAH AL BANAN</v>
      </c>
    </row>
    <row r="182">
      <c r="A182" s="27">
        <f>IFERROR(__xludf.DUMMYFUNCTION("""COMPUTED_VALUE"""),181.0)</f>
        <v>181</v>
      </c>
      <c r="B182" s="28" t="str">
        <f>IFERROR(__xludf.DUMMYFUNCTION("""COMPUTED_VALUE"""),"DZAKIYAH TALITA SAKHI")</f>
        <v>DZAKIYAH TALITA SAKHI</v>
      </c>
      <c r="C182" s="28">
        <f>IFERROR(__xludf.DUMMYFUNCTION("""COMPUTED_VALUE"""),2.025070252E9)</f>
        <v>2025070252</v>
      </c>
      <c r="D182" s="27" t="str">
        <f>IFERROR(__xludf.DUMMYFUNCTION("""COMPUTED_VALUE"""),"C")</f>
        <v>C</v>
      </c>
      <c r="E182" s="27" t="str">
        <f>IFERROR(__xludf.DUMMYFUNCTION("""COMPUTED_VALUE"""),"C-7")</f>
        <v>C-7</v>
      </c>
      <c r="F182" s="31">
        <f>IFERROR(__xludf.DUMMYFUNCTION("""COMPUTED_VALUE"""),2.0)</f>
        <v>2</v>
      </c>
      <c r="G182" s="27" t="str">
        <f>IFERROR(__xludf.DUMMYFUNCTION("""COMPUTED_VALUE"""),"2 MAK PUTRI")</f>
        <v>2 MAK PUTRI</v>
      </c>
      <c r="H182" s="28" t="str">
        <f>IFERROR(__xludf.DUMMYFUNCTION("""COMPUTED_VALUE"""),"MA-XI.13")</f>
        <v>MA-XI.13</v>
      </c>
      <c r="I182" s="28" t="str">
        <f>IFERROR(__xludf.DUMMYFUNCTION("""COMPUTED_VALUE"""),"WINDASARI")</f>
        <v>WINDASARI</v>
      </c>
      <c r="J182" s="28" t="str">
        <f>IFERROR(__xludf.DUMMYFUNCTION("""COMPUTED_VALUE"""),"BANYUURIP RT 001 RW 003 UJUNGPANGKAH GRESIK")</f>
        <v>BANYUURIP RT 001 RW 003 UJUNGPANGKAH GRESIK</v>
      </c>
      <c r="K182" s="28" t="str">
        <f>IFERROR(__xludf.DUMMYFUNCTION("""COMPUTED_VALUE"""),"6285934330538")</f>
        <v>6285934330538</v>
      </c>
      <c r="L182" s="22">
        <f>IFERROR(__xludf.DUMMYFUNCTION("""COMPUTED_VALUE"""),0.0)</f>
        <v>0</v>
      </c>
      <c r="M182" s="22">
        <f>IFERROR(__xludf.DUMMYFUNCTION("""COMPUTED_VALUE"""),0.0)</f>
        <v>0</v>
      </c>
      <c r="N182" s="22">
        <f>IFERROR(__xludf.DUMMYFUNCTION("""COMPUTED_VALUE"""),0.0)</f>
        <v>0</v>
      </c>
      <c r="O182" s="22">
        <f>IFERROR(__xludf.DUMMYFUNCTION("""COMPUTED_VALUE"""),0.0)</f>
        <v>0</v>
      </c>
      <c r="P182" s="28" t="str">
        <f t="shared" si="1"/>
        <v>LUNAS</v>
      </c>
      <c r="Q182" s="28">
        <f t="shared" si="2"/>
        <v>216</v>
      </c>
      <c r="R182" s="28" t="str">
        <f t="shared" si="3"/>
        <v>DZAKIYAH TALITA SAKHI</v>
      </c>
    </row>
    <row r="183">
      <c r="A183" s="27">
        <f>IFERROR(__xludf.DUMMYFUNCTION("""COMPUTED_VALUE"""),182.0)</f>
        <v>182</v>
      </c>
      <c r="B183" s="28" t="str">
        <f>IFERROR(__xludf.DUMMYFUNCTION("""COMPUTED_VALUE"""),"IFFAT TABRIZ NIHAYAH")</f>
        <v>IFFAT TABRIZ NIHAYAH</v>
      </c>
      <c r="C183" s="28">
        <f>IFERROR(__xludf.DUMMYFUNCTION("""COMPUTED_VALUE"""),2.025070303E9)</f>
        <v>2025070303</v>
      </c>
      <c r="D183" s="27" t="str">
        <f>IFERROR(__xludf.DUMMYFUNCTION("""COMPUTED_VALUE"""),"C")</f>
        <v>C</v>
      </c>
      <c r="E183" s="27" t="str">
        <f>IFERROR(__xludf.DUMMYFUNCTION("""COMPUTED_VALUE"""),"C-7")</f>
        <v>C-7</v>
      </c>
      <c r="F183" s="31">
        <f>IFERROR(__xludf.DUMMYFUNCTION("""COMPUTED_VALUE"""),2.0)</f>
        <v>2</v>
      </c>
      <c r="G183" s="27" t="str">
        <f>IFERROR(__xludf.DUMMYFUNCTION("""COMPUTED_VALUE"""),"2 MAK PUTRI")</f>
        <v>2 MAK PUTRI</v>
      </c>
      <c r="H183" s="28" t="str">
        <f>IFERROR(__xludf.DUMMYFUNCTION("""COMPUTED_VALUE"""),"MA-XI.13")</f>
        <v>MA-XI.13</v>
      </c>
      <c r="I183" s="28" t="str">
        <f>IFERROR(__xludf.DUMMYFUNCTION("""COMPUTED_VALUE"""),"TITIK HARIANI")</f>
        <v>TITIK HARIANI</v>
      </c>
      <c r="J183" s="28" t="str">
        <f>IFERROR(__xludf.DUMMYFUNCTION("""COMPUTED_VALUE"""),"MENGAI SUKOREJO RT 001 RW 006 KARANGBINANGUN LAMONGAN")</f>
        <v>MENGAI SUKOREJO RT 001 RW 006 KARANGBINANGUN LAMONGAN</v>
      </c>
      <c r="K183" s="28" t="str">
        <f>IFERROR(__xludf.DUMMYFUNCTION("""COMPUTED_VALUE"""),"6285714309498")</f>
        <v>6285714309498</v>
      </c>
      <c r="L183" s="22">
        <f>IFERROR(__xludf.DUMMYFUNCTION("""COMPUTED_VALUE"""),0.0)</f>
        <v>0</v>
      </c>
      <c r="M183" s="22">
        <f>IFERROR(__xludf.DUMMYFUNCTION("""COMPUTED_VALUE"""),1000000.0)</f>
        <v>1000000</v>
      </c>
      <c r="N183" s="22">
        <f>IFERROR(__xludf.DUMMYFUNCTION("""COMPUTED_VALUE"""),0.0)</f>
        <v>0</v>
      </c>
      <c r="O183" s="22">
        <f>IFERROR(__xludf.DUMMYFUNCTION("""COMPUTED_VALUE"""),1000000.0)</f>
        <v>1000000</v>
      </c>
      <c r="P183" s="28" t="str">
        <f t="shared" si="1"/>
        <v>LUNAS</v>
      </c>
      <c r="Q183" s="28">
        <f t="shared" si="2"/>
        <v>101</v>
      </c>
      <c r="R183" s="28" t="str">
        <f t="shared" si="3"/>
        <v>IFFAT TABRIZ NIHAYAH</v>
      </c>
    </row>
    <row r="184">
      <c r="A184" s="27">
        <f>IFERROR(__xludf.DUMMYFUNCTION("""COMPUTED_VALUE"""),183.0)</f>
        <v>183</v>
      </c>
      <c r="B184" s="28" t="str">
        <f>IFERROR(__xludf.DUMMYFUNCTION("""COMPUTED_VALUE"""),"JOVANKA ALIFFATUZ ZAM-ZAMI")</f>
        <v>JOVANKA ALIFFATUZ ZAM-ZAMI</v>
      </c>
      <c r="C184" s="28">
        <f>IFERROR(__xludf.DUMMYFUNCTION("""COMPUTED_VALUE"""),2.025070267E9)</f>
        <v>2025070267</v>
      </c>
      <c r="D184" s="27" t="str">
        <f>IFERROR(__xludf.DUMMYFUNCTION("""COMPUTED_VALUE"""),"C")</f>
        <v>C</v>
      </c>
      <c r="E184" s="27" t="str">
        <f>IFERROR(__xludf.DUMMYFUNCTION("""COMPUTED_VALUE"""),"C-7")</f>
        <v>C-7</v>
      </c>
      <c r="F184" s="31">
        <f>IFERROR(__xludf.DUMMYFUNCTION("""COMPUTED_VALUE"""),2.0)</f>
        <v>2</v>
      </c>
      <c r="G184" s="27" t="str">
        <f>IFERROR(__xludf.DUMMYFUNCTION("""COMPUTED_VALUE"""),"2 MAK PUTRI")</f>
        <v>2 MAK PUTRI</v>
      </c>
      <c r="H184" s="28" t="str">
        <f>IFERROR(__xludf.DUMMYFUNCTION("""COMPUTED_VALUE"""),"MA-XI.13")</f>
        <v>MA-XI.13</v>
      </c>
      <c r="I184" s="28" t="str">
        <f>IFERROR(__xludf.DUMMYFUNCTION("""COMPUTED_VALUE"""),"IVA KUMALA")</f>
        <v>IVA KUMALA</v>
      </c>
      <c r="J184" s="28" t="str">
        <f>IFERROR(__xludf.DUMMYFUNCTION("""COMPUTED_VALUE"""),"KULURAN RT 001 RW 001 KALITENGAH LAMONGAN")</f>
        <v>KULURAN RT 001 RW 001 KALITENGAH LAMONGAN</v>
      </c>
      <c r="K184" s="28" t="str">
        <f>IFERROR(__xludf.DUMMYFUNCTION("""COMPUTED_VALUE"""),"6281559767628")</f>
        <v>6281559767628</v>
      </c>
      <c r="L184" s="22">
        <f>IFERROR(__xludf.DUMMYFUNCTION("""COMPUTED_VALUE"""),450000.0)</f>
        <v>450000</v>
      </c>
      <c r="M184" s="22">
        <f>IFERROR(__xludf.DUMMYFUNCTION("""COMPUTED_VALUE"""),1000000.0)</f>
        <v>1000000</v>
      </c>
      <c r="N184" s="22">
        <f>IFERROR(__xludf.DUMMYFUNCTION("""COMPUTED_VALUE"""),0.0)</f>
        <v>0</v>
      </c>
      <c r="O184" s="22">
        <f>IFERROR(__xludf.DUMMYFUNCTION("""COMPUTED_VALUE"""),1450000.0)</f>
        <v>1450000</v>
      </c>
      <c r="P184" s="28" t="str">
        <f t="shared" si="1"/>
        <v>LUNAS</v>
      </c>
      <c r="Q184" s="28">
        <f t="shared" si="2"/>
        <v>44</v>
      </c>
      <c r="R184" s="28" t="str">
        <f t="shared" si="3"/>
        <v>JOVANKA ALIFFATUZ ZAM-ZAMI</v>
      </c>
    </row>
    <row r="185">
      <c r="A185" s="27">
        <f>IFERROR(__xludf.DUMMYFUNCTION("""COMPUTED_VALUE"""),184.0)</f>
        <v>184</v>
      </c>
      <c r="B185" s="28" t="str">
        <f>IFERROR(__xludf.DUMMYFUNCTION("""COMPUTED_VALUE"""),"PUTRI NOVIANA")</f>
        <v>PUTRI NOVIANA</v>
      </c>
      <c r="C185" s="28">
        <f>IFERROR(__xludf.DUMMYFUNCTION("""COMPUTED_VALUE"""),2.025070391E9)</f>
        <v>2025070391</v>
      </c>
      <c r="D185" s="27" t="str">
        <f>IFERROR(__xludf.DUMMYFUNCTION("""COMPUTED_VALUE"""),"C")</f>
        <v>C</v>
      </c>
      <c r="E185" s="27" t="str">
        <f>IFERROR(__xludf.DUMMYFUNCTION("""COMPUTED_VALUE"""),"C-7")</f>
        <v>C-7</v>
      </c>
      <c r="F185" s="31">
        <f>IFERROR(__xludf.DUMMYFUNCTION("""COMPUTED_VALUE"""),2.0)</f>
        <v>2</v>
      </c>
      <c r="G185" s="27" t="str">
        <f>IFERROR(__xludf.DUMMYFUNCTION("""COMPUTED_VALUE"""),"2 MAK PUTRI")</f>
        <v>2 MAK PUTRI</v>
      </c>
      <c r="H185" s="28" t="str">
        <f>IFERROR(__xludf.DUMMYFUNCTION("""COMPUTED_VALUE"""),"MA-XI.13")</f>
        <v>MA-XI.13</v>
      </c>
      <c r="I185" s="28" t="str">
        <f>IFERROR(__xludf.DUMMYFUNCTION("""COMPUTED_VALUE"""),"SIFAURROHMAH")</f>
        <v>SIFAURROHMAH</v>
      </c>
      <c r="J185" s="28" t="str">
        <f>IFERROR(__xludf.DUMMYFUNCTION("""COMPUTED_VALUE"""),"DARINGAN MAESAN RT 001 RW 008 MOJO KEDIRI")</f>
        <v>DARINGAN MAESAN RT 001 RW 008 MOJO KEDIRI</v>
      </c>
      <c r="K185" s="28" t="str">
        <f>IFERROR(__xludf.DUMMYFUNCTION("""COMPUTED_VALUE"""),"6285707375910")</f>
        <v>6285707375910</v>
      </c>
      <c r="L185" s="22">
        <f>IFERROR(__xludf.DUMMYFUNCTION("""COMPUTED_VALUE"""),0.0)</f>
        <v>0</v>
      </c>
      <c r="M185" s="22">
        <f>IFERROR(__xludf.DUMMYFUNCTION("""COMPUTED_VALUE"""),1000000.0)</f>
        <v>1000000</v>
      </c>
      <c r="N185" s="22">
        <f>IFERROR(__xludf.DUMMYFUNCTION("""COMPUTED_VALUE"""),0.0)</f>
        <v>0</v>
      </c>
      <c r="O185" s="22">
        <f>IFERROR(__xludf.DUMMYFUNCTION("""COMPUTED_VALUE"""),1000000.0)</f>
        <v>1000000</v>
      </c>
      <c r="P185" s="28" t="str">
        <f t="shared" si="1"/>
        <v>LUNAS</v>
      </c>
      <c r="Q185" s="28">
        <f t="shared" si="2"/>
        <v>102</v>
      </c>
      <c r="R185" s="28" t="str">
        <f t="shared" si="3"/>
        <v>PUTRI NOVIANA</v>
      </c>
    </row>
    <row r="186">
      <c r="A186" s="27">
        <f>IFERROR(__xludf.DUMMYFUNCTION("""COMPUTED_VALUE"""),185.0)</f>
        <v>185</v>
      </c>
      <c r="B186" s="28" t="str">
        <f>IFERROR(__xludf.DUMMYFUNCTION("""COMPUTED_VALUE"""),"RARA CINDRA NATASYA")</f>
        <v>RARA CINDRA NATASYA</v>
      </c>
      <c r="C186" s="28">
        <f>IFERROR(__xludf.DUMMYFUNCTION("""COMPUTED_VALUE"""),2.025070387E9)</f>
        <v>2025070387</v>
      </c>
      <c r="D186" s="27" t="str">
        <f>IFERROR(__xludf.DUMMYFUNCTION("""COMPUTED_VALUE"""),"C")</f>
        <v>C</v>
      </c>
      <c r="E186" s="27" t="str">
        <f>IFERROR(__xludf.DUMMYFUNCTION("""COMPUTED_VALUE"""),"C-7")</f>
        <v>C-7</v>
      </c>
      <c r="F186" s="31">
        <f>IFERROR(__xludf.DUMMYFUNCTION("""COMPUTED_VALUE"""),2.0)</f>
        <v>2</v>
      </c>
      <c r="G186" s="27" t="str">
        <f>IFERROR(__xludf.DUMMYFUNCTION("""COMPUTED_VALUE"""),"2 MAK PUTRI")</f>
        <v>2 MAK PUTRI</v>
      </c>
      <c r="H186" s="28" t="str">
        <f>IFERROR(__xludf.DUMMYFUNCTION("""COMPUTED_VALUE"""),"MA-XI.13")</f>
        <v>MA-XI.13</v>
      </c>
      <c r="I186" s="28" t="str">
        <f>IFERROR(__xludf.DUMMYFUNCTION("""COMPUTED_VALUE"""),"HARTIK")</f>
        <v>HARTIK</v>
      </c>
      <c r="J186" s="28" t="str">
        <f>IFERROR(__xludf.DUMMYFUNCTION("""COMPUTED_VALUE"""),"TAMAN PRIJEK TAMANPRIJEG RT 002 RW 001 LAREN LAMONGAN")</f>
        <v>TAMAN PRIJEK TAMANPRIJEG RT 002 RW 001 LAREN LAMONGAN</v>
      </c>
      <c r="K186" s="28" t="str">
        <f>IFERROR(__xludf.DUMMYFUNCTION("""COMPUTED_VALUE"""),"6285707136264")</f>
        <v>6285707136264</v>
      </c>
      <c r="L186" s="22">
        <f>IFERROR(__xludf.DUMMYFUNCTION("""COMPUTED_VALUE"""),0.0)</f>
        <v>0</v>
      </c>
      <c r="M186" s="22">
        <f>IFERROR(__xludf.DUMMYFUNCTION("""COMPUTED_VALUE"""),1000000.0)</f>
        <v>1000000</v>
      </c>
      <c r="N186" s="22">
        <f>IFERROR(__xludf.DUMMYFUNCTION("""COMPUTED_VALUE"""),0.0)</f>
        <v>0</v>
      </c>
      <c r="O186" s="22">
        <f>IFERROR(__xludf.DUMMYFUNCTION("""COMPUTED_VALUE"""),1000000.0)</f>
        <v>1000000</v>
      </c>
      <c r="P186" s="28" t="str">
        <f t="shared" si="1"/>
        <v>LUNAS</v>
      </c>
      <c r="Q186" s="28">
        <f t="shared" si="2"/>
        <v>103</v>
      </c>
      <c r="R186" s="28" t="str">
        <f t="shared" si="3"/>
        <v>RARA CINDRA NATASYA</v>
      </c>
    </row>
    <row r="187">
      <c r="A187" s="27">
        <f>IFERROR(__xludf.DUMMYFUNCTION("""COMPUTED_VALUE"""),186.0)</f>
        <v>186</v>
      </c>
      <c r="B187" s="28" t="str">
        <f>IFERROR(__xludf.DUMMYFUNCTION("""COMPUTED_VALUE"""),"REVANI PUTRI ANGGRAENI")</f>
        <v>REVANI PUTRI ANGGRAENI</v>
      </c>
      <c r="C187" s="28">
        <f>IFERROR(__xludf.DUMMYFUNCTION("""COMPUTED_VALUE"""),2.025070128E9)</f>
        <v>2025070128</v>
      </c>
      <c r="D187" s="27" t="str">
        <f>IFERROR(__xludf.DUMMYFUNCTION("""COMPUTED_VALUE"""),"C")</f>
        <v>C</v>
      </c>
      <c r="E187" s="27" t="str">
        <f>IFERROR(__xludf.DUMMYFUNCTION("""COMPUTED_VALUE"""),"C-7")</f>
        <v>C-7</v>
      </c>
      <c r="F187" s="31">
        <f>IFERROR(__xludf.DUMMYFUNCTION("""COMPUTED_VALUE"""),2.0)</f>
        <v>2</v>
      </c>
      <c r="G187" s="27" t="str">
        <f>IFERROR(__xludf.DUMMYFUNCTION("""COMPUTED_VALUE"""),"2 MAK PUTRI")</f>
        <v>2 MAK PUTRI</v>
      </c>
      <c r="H187" s="28" t="str">
        <f>IFERROR(__xludf.DUMMYFUNCTION("""COMPUTED_VALUE"""),"MA-XI.13")</f>
        <v>MA-XI.13</v>
      </c>
      <c r="I187" s="28" t="str">
        <f>IFERROR(__xludf.DUMMYFUNCTION("""COMPUTED_VALUE"""),"SELVIA ANGGRAENI")</f>
        <v>SELVIA ANGGRAENI</v>
      </c>
      <c r="J187" s="28" t="str">
        <f>IFERROR(__xludf.DUMMYFUNCTION("""COMPUTED_VALUE"""),"PADENGANPLOSO RT 011 RW 001 PUCUK LAMONGAN")</f>
        <v>PADENGANPLOSO RT 011 RW 001 PUCUK LAMONGAN</v>
      </c>
      <c r="K187" s="28" t="str">
        <f>IFERROR(__xludf.DUMMYFUNCTION("""COMPUTED_VALUE"""),"6285785848825")</f>
        <v>6285785848825</v>
      </c>
      <c r="L187" s="22">
        <f>IFERROR(__xludf.DUMMYFUNCTION("""COMPUTED_VALUE"""),0.0)</f>
        <v>0</v>
      </c>
      <c r="M187" s="22">
        <f>IFERROR(__xludf.DUMMYFUNCTION("""COMPUTED_VALUE"""),1000000.0)</f>
        <v>1000000</v>
      </c>
      <c r="N187" s="22">
        <f>IFERROR(__xludf.DUMMYFUNCTION("""COMPUTED_VALUE"""),0.0)</f>
        <v>0</v>
      </c>
      <c r="O187" s="22">
        <f>IFERROR(__xludf.DUMMYFUNCTION("""COMPUTED_VALUE"""),1000000.0)</f>
        <v>1000000</v>
      </c>
      <c r="P187" s="28" t="str">
        <f t="shared" si="1"/>
        <v>LUNAS</v>
      </c>
      <c r="Q187" s="28">
        <f t="shared" si="2"/>
        <v>104</v>
      </c>
      <c r="R187" s="28" t="str">
        <f t="shared" si="3"/>
        <v>REVANI PUTRI ANGGRAENI</v>
      </c>
    </row>
    <row r="188">
      <c r="A188" s="27">
        <f>IFERROR(__xludf.DUMMYFUNCTION("""COMPUTED_VALUE"""),187.0)</f>
        <v>187</v>
      </c>
      <c r="B188" s="28" t="str">
        <f>IFERROR(__xludf.DUMMYFUNCTION("""COMPUTED_VALUE"""),"SALWA `ALINA ROSYADA")</f>
        <v>SALWA `ALINA ROSYADA</v>
      </c>
      <c r="C188" s="28">
        <f>IFERROR(__xludf.DUMMYFUNCTION("""COMPUTED_VALUE"""),2.025070064E9)</f>
        <v>2025070064</v>
      </c>
      <c r="D188" s="27" t="str">
        <f>IFERROR(__xludf.DUMMYFUNCTION("""COMPUTED_VALUE"""),"C")</f>
        <v>C</v>
      </c>
      <c r="E188" s="27" t="str">
        <f>IFERROR(__xludf.DUMMYFUNCTION("""COMPUTED_VALUE"""),"C-7")</f>
        <v>C-7</v>
      </c>
      <c r="F188" s="31">
        <f>IFERROR(__xludf.DUMMYFUNCTION("""COMPUTED_VALUE"""),2.0)</f>
        <v>2</v>
      </c>
      <c r="G188" s="27" t="str">
        <f>IFERROR(__xludf.DUMMYFUNCTION("""COMPUTED_VALUE"""),"2 MAK PUTRI")</f>
        <v>2 MAK PUTRI</v>
      </c>
      <c r="H188" s="28" t="str">
        <f>IFERROR(__xludf.DUMMYFUNCTION("""COMPUTED_VALUE"""),"MA-XI.13")</f>
        <v>MA-XI.13</v>
      </c>
      <c r="I188" s="28" t="str">
        <f>IFERROR(__xludf.DUMMYFUNCTION("""COMPUTED_VALUE"""),"ALFATUN NIKMAH")</f>
        <v>ALFATUN NIKMAH</v>
      </c>
      <c r="J188" s="28" t="str">
        <f>IFERROR(__xludf.DUMMYFUNCTION("""COMPUTED_VALUE"""),"BLURI RT 001 RW 001 SOLOKURO LAMONGAN")</f>
        <v>BLURI RT 001 RW 001 SOLOKURO LAMONGAN</v>
      </c>
      <c r="K188" s="28" t="str">
        <f>IFERROR(__xludf.DUMMYFUNCTION("""COMPUTED_VALUE"""),"6285731139975")</f>
        <v>6285731139975</v>
      </c>
      <c r="L188" s="22">
        <f>IFERROR(__xludf.DUMMYFUNCTION("""COMPUTED_VALUE"""),0.0)</f>
        <v>0</v>
      </c>
      <c r="M188" s="22">
        <f>IFERROR(__xludf.DUMMYFUNCTION("""COMPUTED_VALUE"""),1000000.0)</f>
        <v>1000000</v>
      </c>
      <c r="N188" s="22">
        <f>IFERROR(__xludf.DUMMYFUNCTION("""COMPUTED_VALUE"""),0.0)</f>
        <v>0</v>
      </c>
      <c r="O188" s="22">
        <f>IFERROR(__xludf.DUMMYFUNCTION("""COMPUTED_VALUE"""),1000000.0)</f>
        <v>1000000</v>
      </c>
      <c r="P188" s="28" t="str">
        <f t="shared" si="1"/>
        <v>LUNAS</v>
      </c>
      <c r="Q188" s="28">
        <f t="shared" si="2"/>
        <v>105</v>
      </c>
      <c r="R188" s="28" t="str">
        <f t="shared" si="3"/>
        <v>SALWA `ALINA ROSYADA</v>
      </c>
    </row>
    <row r="189">
      <c r="A189" s="27">
        <f>IFERROR(__xludf.DUMMYFUNCTION("""COMPUTED_VALUE"""),188.0)</f>
        <v>188</v>
      </c>
      <c r="B189" s="28" t="str">
        <f>IFERROR(__xludf.DUMMYFUNCTION("""COMPUTED_VALUE"""),"SINTYA AYU RAMADHONI")</f>
        <v>SINTYA AYU RAMADHONI</v>
      </c>
      <c r="C189" s="28">
        <f>IFERROR(__xludf.DUMMYFUNCTION("""COMPUTED_VALUE"""),2.025070288E9)</f>
        <v>2025070288</v>
      </c>
      <c r="D189" s="27" t="str">
        <f>IFERROR(__xludf.DUMMYFUNCTION("""COMPUTED_VALUE"""),"C")</f>
        <v>C</v>
      </c>
      <c r="E189" s="27" t="str">
        <f>IFERROR(__xludf.DUMMYFUNCTION("""COMPUTED_VALUE"""),"C-7")</f>
        <v>C-7</v>
      </c>
      <c r="F189" s="31">
        <f>IFERROR(__xludf.DUMMYFUNCTION("""COMPUTED_VALUE"""),2.0)</f>
        <v>2</v>
      </c>
      <c r="G189" s="27" t="str">
        <f>IFERROR(__xludf.DUMMYFUNCTION("""COMPUTED_VALUE"""),"2 MAK PUTRI")</f>
        <v>2 MAK PUTRI</v>
      </c>
      <c r="H189" s="28" t="str">
        <f>IFERROR(__xludf.DUMMYFUNCTION("""COMPUTED_VALUE"""),"MA-XI.13")</f>
        <v>MA-XI.13</v>
      </c>
      <c r="I189" s="28" t="str">
        <f>IFERROR(__xludf.DUMMYFUNCTION("""COMPUTED_VALUE"""),"SRI RAHAYU")</f>
        <v>SRI RAHAYU</v>
      </c>
      <c r="J189" s="28" t="str">
        <f>IFERROR(__xludf.DUMMYFUNCTION("""COMPUTED_VALUE"""),"SANUR JOTOSANUR RT 001 RW 004 TIKUNG LAMONGAN")</f>
        <v>SANUR JOTOSANUR RT 001 RW 004 TIKUNG LAMONGAN</v>
      </c>
      <c r="K189" s="28" t="str">
        <f>IFERROR(__xludf.DUMMYFUNCTION("""COMPUTED_VALUE"""),"6285730288055")</f>
        <v>6285730288055</v>
      </c>
      <c r="L189" s="22">
        <f>IFERROR(__xludf.DUMMYFUNCTION("""COMPUTED_VALUE"""),0.0)</f>
        <v>0</v>
      </c>
      <c r="M189" s="22">
        <f>IFERROR(__xludf.DUMMYFUNCTION("""COMPUTED_VALUE"""),1600000.0)</f>
        <v>1600000</v>
      </c>
      <c r="N189" s="22">
        <f>IFERROR(__xludf.DUMMYFUNCTION("""COMPUTED_VALUE"""),0.0)</f>
        <v>0</v>
      </c>
      <c r="O189" s="22">
        <f>IFERROR(__xludf.DUMMYFUNCTION("""COMPUTED_VALUE"""),1600000.0)</f>
        <v>1600000</v>
      </c>
      <c r="P189" s="28" t="str">
        <f t="shared" si="1"/>
        <v>LUNAS</v>
      </c>
      <c r="Q189" s="28">
        <f t="shared" si="2"/>
        <v>35</v>
      </c>
      <c r="R189" s="28" t="str">
        <f t="shared" si="3"/>
        <v>SINTYA AYU RAMADHONI</v>
      </c>
    </row>
    <row r="190">
      <c r="A190" s="27">
        <f>IFERROR(__xludf.DUMMYFUNCTION("""COMPUTED_VALUE"""),189.0)</f>
        <v>189</v>
      </c>
      <c r="B190" s="28" t="str">
        <f>IFERROR(__xludf.DUMMYFUNCTION("""COMPUTED_VALUE"""),"VIYA DIWANI AUDI")</f>
        <v>VIYA DIWANI AUDI</v>
      </c>
      <c r="C190" s="28">
        <f>IFERROR(__xludf.DUMMYFUNCTION("""COMPUTED_VALUE"""),2.025070293E9)</f>
        <v>2025070293</v>
      </c>
      <c r="D190" s="27" t="str">
        <f>IFERROR(__xludf.DUMMYFUNCTION("""COMPUTED_VALUE"""),"C")</f>
        <v>C</v>
      </c>
      <c r="E190" s="27" t="str">
        <f>IFERROR(__xludf.DUMMYFUNCTION("""COMPUTED_VALUE"""),"C-7")</f>
        <v>C-7</v>
      </c>
      <c r="F190" s="31">
        <f>IFERROR(__xludf.DUMMYFUNCTION("""COMPUTED_VALUE"""),2.0)</f>
        <v>2</v>
      </c>
      <c r="G190" s="27" t="str">
        <f>IFERROR(__xludf.DUMMYFUNCTION("""COMPUTED_VALUE"""),"2 MAK PUTRI")</f>
        <v>2 MAK PUTRI</v>
      </c>
      <c r="H190" s="28" t="str">
        <f>IFERROR(__xludf.DUMMYFUNCTION("""COMPUTED_VALUE"""),"MA-XI.13")</f>
        <v>MA-XI.13</v>
      </c>
      <c r="I190" s="28" t="str">
        <f>IFERROR(__xludf.DUMMYFUNCTION("""COMPUTED_VALUE"""),"MUTMA`INAH")</f>
        <v>MUTMA`INAH</v>
      </c>
      <c r="J190" s="28" t="str">
        <f>IFERROR(__xludf.DUMMYFUNCTION("""COMPUTED_VALUE"""),"BABAT WETAN BABATAGUNG RT 002 RW 001 DEKET LAMONGAN")</f>
        <v>BABAT WETAN BABATAGUNG RT 002 RW 001 DEKET LAMONGAN</v>
      </c>
      <c r="K190" s="28" t="str">
        <f>IFERROR(__xludf.DUMMYFUNCTION("""COMPUTED_VALUE"""),"6285730240542")</f>
        <v>6285730240542</v>
      </c>
      <c r="L190" s="22">
        <f>IFERROR(__xludf.DUMMYFUNCTION("""COMPUTED_VALUE"""),450000.0)</f>
        <v>450000</v>
      </c>
      <c r="M190" s="22">
        <f>IFERROR(__xludf.DUMMYFUNCTION("""COMPUTED_VALUE"""),0.0)</f>
        <v>0</v>
      </c>
      <c r="N190" s="22">
        <f>IFERROR(__xludf.DUMMYFUNCTION("""COMPUTED_VALUE"""),0.0)</f>
        <v>0</v>
      </c>
      <c r="O190" s="22">
        <f>IFERROR(__xludf.DUMMYFUNCTION("""COMPUTED_VALUE"""),450000.0)</f>
        <v>450000</v>
      </c>
      <c r="P190" s="28" t="str">
        <f t="shared" si="1"/>
        <v>LUNAS</v>
      </c>
      <c r="Q190" s="28">
        <f t="shared" si="2"/>
        <v>150</v>
      </c>
      <c r="R190" s="28" t="str">
        <f t="shared" si="3"/>
        <v>VIYA DIWANI AUDI</v>
      </c>
    </row>
    <row r="191">
      <c r="A191" s="27">
        <f>IFERROR(__xludf.DUMMYFUNCTION("""COMPUTED_VALUE"""),190.0)</f>
        <v>190</v>
      </c>
      <c r="B191" s="28" t="str">
        <f>IFERROR(__xludf.DUMMYFUNCTION("""COMPUTED_VALUE"""),"AUVA HILYA LUBABAH")</f>
        <v>AUVA HILYA LUBABAH</v>
      </c>
      <c r="C191" s="28">
        <f>IFERROR(__xludf.DUMMYFUNCTION("""COMPUTED_VALUE"""),2.024070414E9)</f>
        <v>2024070414</v>
      </c>
      <c r="D191" s="27" t="str">
        <f>IFERROR(__xludf.DUMMYFUNCTION("""COMPUTED_VALUE"""),"C")</f>
        <v>C</v>
      </c>
      <c r="E191" s="27" t="str">
        <f>IFERROR(__xludf.DUMMYFUNCTION("""COMPUTED_VALUE"""),"C-7")</f>
        <v>C-7</v>
      </c>
      <c r="F191" s="31">
        <f>IFERROR(__xludf.DUMMYFUNCTION("""COMPUTED_VALUE"""),3.0)</f>
        <v>3</v>
      </c>
      <c r="G191" s="27" t="str">
        <f>IFERROR(__xludf.DUMMYFUNCTION("""COMPUTED_VALUE"""),"3 MAK PUTRI")</f>
        <v>3 MAK PUTRI</v>
      </c>
      <c r="H191" s="28" t="str">
        <f>IFERROR(__xludf.DUMMYFUNCTION("""COMPUTED_VALUE"""),"MA-XII.13")</f>
        <v>MA-XII.13</v>
      </c>
      <c r="I191" s="28" t="str">
        <f>IFERROR(__xludf.DUMMYFUNCTION("""COMPUTED_VALUE"""),"RODHIATUN")</f>
        <v>RODHIATUN</v>
      </c>
      <c r="J191" s="28" t="str">
        <f>IFERROR(__xludf.DUMMYFUNCTION("""COMPUTED_VALUE"""),"GEDONG GEDONGBOYOUNTUNG RT 001 RW 001 TURI LAMONGAN")</f>
        <v>GEDONG GEDONGBOYOUNTUNG RT 001 RW 001 TURI LAMONGAN</v>
      </c>
      <c r="K191" s="28" t="str">
        <f>IFERROR(__xludf.DUMMYFUNCTION("""COMPUTED_VALUE"""),"6285608051421")</f>
        <v>6285608051421</v>
      </c>
      <c r="L191" s="22">
        <f>IFERROR(__xludf.DUMMYFUNCTION("""COMPUTED_VALUE"""),0.0)</f>
        <v>0</v>
      </c>
      <c r="M191" s="22">
        <f>IFERROR(__xludf.DUMMYFUNCTION("""COMPUTED_VALUE"""),0.0)</f>
        <v>0</v>
      </c>
      <c r="N191" s="22">
        <f>IFERROR(__xludf.DUMMYFUNCTION("""COMPUTED_VALUE"""),0.0)</f>
        <v>0</v>
      </c>
      <c r="O191" s="22">
        <f>IFERROR(__xludf.DUMMYFUNCTION("""COMPUTED_VALUE"""),0.0)</f>
        <v>0</v>
      </c>
      <c r="P191" s="28" t="str">
        <f t="shared" si="1"/>
        <v>LUNAS</v>
      </c>
      <c r="Q191" s="28">
        <f t="shared" si="2"/>
        <v>217</v>
      </c>
      <c r="R191" s="28" t="str">
        <f t="shared" si="3"/>
        <v>AUVA HILYA LUBABAH</v>
      </c>
    </row>
    <row r="192">
      <c r="A192" s="27">
        <f>IFERROR(__xludf.DUMMYFUNCTION("""COMPUTED_VALUE"""),191.0)</f>
        <v>191</v>
      </c>
      <c r="B192" s="28" t="str">
        <f>IFERROR(__xludf.DUMMYFUNCTION("""COMPUTED_VALUE"""),"BUNGA SALSABILA RAHMAH")</f>
        <v>BUNGA SALSABILA RAHMAH</v>
      </c>
      <c r="C192" s="28">
        <f>IFERROR(__xludf.DUMMYFUNCTION("""COMPUTED_VALUE"""),2.02407152E9)</f>
        <v>2024071520</v>
      </c>
      <c r="D192" s="27" t="str">
        <f>IFERROR(__xludf.DUMMYFUNCTION("""COMPUTED_VALUE"""),"C")</f>
        <v>C</v>
      </c>
      <c r="E192" s="27" t="str">
        <f>IFERROR(__xludf.DUMMYFUNCTION("""COMPUTED_VALUE"""),"C-7")</f>
        <v>C-7</v>
      </c>
      <c r="F192" s="31">
        <f>IFERROR(__xludf.DUMMYFUNCTION("""COMPUTED_VALUE"""),3.0)</f>
        <v>3</v>
      </c>
      <c r="G192" s="27"/>
      <c r="H192" s="28" t="str">
        <f>IFERROR(__xludf.DUMMYFUNCTION("""COMPUTED_VALUE"""),"MA-XIII.13")</f>
        <v>MA-XIII.13</v>
      </c>
      <c r="I192" s="28" t="str">
        <f>IFERROR(__xludf.DUMMYFUNCTION("""COMPUTED_VALUE"""),"USWATUN HASANAH")</f>
        <v>USWATUN HASANAH</v>
      </c>
      <c r="J192" s="28" t="str">
        <f>IFERROR(__xludf.DUMMYFUNCTION("""COMPUTED_VALUE"""),"SEMEMI JAYA 10 LANGGAR NO. 21 RT 005 RW 001 BENOWO SURABAYA")</f>
        <v>SEMEMI JAYA 10 LANGGAR NO. 21 RT 005 RW 001 BENOWO SURABAYA</v>
      </c>
      <c r="K192" s="28" t="str">
        <f>IFERROR(__xludf.DUMMYFUNCTION("""COMPUTED_VALUE"""),"6285102700597")</f>
        <v>6285102700597</v>
      </c>
      <c r="L192" s="22">
        <f>IFERROR(__xludf.DUMMYFUNCTION("""COMPUTED_VALUE"""),1350000.0)</f>
        <v>1350000</v>
      </c>
      <c r="M192" s="22">
        <f>IFERROR(__xludf.DUMMYFUNCTION("""COMPUTED_VALUE"""),1000000.0)</f>
        <v>1000000</v>
      </c>
      <c r="N192" s="22">
        <f>IFERROR(__xludf.DUMMYFUNCTION("""COMPUTED_VALUE"""),0.0)</f>
        <v>0</v>
      </c>
      <c r="O192" s="22">
        <f>IFERROR(__xludf.DUMMYFUNCTION("""COMPUTED_VALUE"""),2350000.0)</f>
        <v>2350000</v>
      </c>
      <c r="P192" s="28" t="str">
        <f t="shared" si="1"/>
        <v>LUNAS</v>
      </c>
      <c r="Q192" s="28">
        <f t="shared" si="2"/>
        <v>24</v>
      </c>
      <c r="R192" s="28" t="str">
        <f t="shared" si="3"/>
        <v>BUNGA SALSABILA RAHMAH</v>
      </c>
    </row>
    <row r="193">
      <c r="A193" s="27">
        <f>IFERROR(__xludf.DUMMYFUNCTION("""COMPUTED_VALUE"""),192.0)</f>
        <v>192</v>
      </c>
      <c r="B193" s="28" t="str">
        <f>IFERROR(__xludf.DUMMYFUNCTION("""COMPUTED_VALUE"""),"FARIKHATUL ISTIMAROH")</f>
        <v>FARIKHATUL ISTIMAROH</v>
      </c>
      <c r="C193" s="28">
        <f>IFERROR(__xludf.DUMMYFUNCTION("""COMPUTED_VALUE"""),2.024070419E9)</f>
        <v>2024070419</v>
      </c>
      <c r="D193" s="27" t="str">
        <f>IFERROR(__xludf.DUMMYFUNCTION("""COMPUTED_VALUE"""),"C")</f>
        <v>C</v>
      </c>
      <c r="E193" s="27" t="str">
        <f>IFERROR(__xludf.DUMMYFUNCTION("""COMPUTED_VALUE"""),"C-7")</f>
        <v>C-7</v>
      </c>
      <c r="F193" s="31">
        <f>IFERROR(__xludf.DUMMYFUNCTION("""COMPUTED_VALUE"""),3.0)</f>
        <v>3</v>
      </c>
      <c r="G193" s="27" t="str">
        <f>IFERROR(__xludf.DUMMYFUNCTION("""COMPUTED_VALUE"""),"3 MAK PUTRI")</f>
        <v>3 MAK PUTRI</v>
      </c>
      <c r="H193" s="28" t="str">
        <f>IFERROR(__xludf.DUMMYFUNCTION("""COMPUTED_VALUE"""),"MA-XII.13")</f>
        <v>MA-XII.13</v>
      </c>
      <c r="I193" s="28" t="str">
        <f>IFERROR(__xludf.DUMMYFUNCTION("""COMPUTED_VALUE"""),"MURNI")</f>
        <v>MURNI</v>
      </c>
      <c r="J193" s="28" t="str">
        <f>IFERROR(__xludf.DUMMYFUNCTION("""COMPUTED_VALUE"""),"MOROGO PUTATKUMPUL RT 003 RW 005 TURI LAMONGAN")</f>
        <v>MOROGO PUTATKUMPUL RT 003 RW 005 TURI LAMONGAN</v>
      </c>
      <c r="K193" s="28" t="str">
        <f>IFERROR(__xludf.DUMMYFUNCTION("""COMPUTED_VALUE"""),"6285648855706")</f>
        <v>6285648855706</v>
      </c>
      <c r="L193" s="22">
        <f>IFERROR(__xludf.DUMMYFUNCTION("""COMPUTED_VALUE"""),900000.0)</f>
        <v>900000</v>
      </c>
      <c r="M193" s="22">
        <f>IFERROR(__xludf.DUMMYFUNCTION("""COMPUTED_VALUE"""),1000000.0)</f>
        <v>1000000</v>
      </c>
      <c r="N193" s="22">
        <f>IFERROR(__xludf.DUMMYFUNCTION("""COMPUTED_VALUE"""),0.0)</f>
        <v>0</v>
      </c>
      <c r="O193" s="22">
        <f>IFERROR(__xludf.DUMMYFUNCTION("""COMPUTED_VALUE"""),1900000.0)</f>
        <v>1900000</v>
      </c>
      <c r="P193" s="28" t="str">
        <f t="shared" si="1"/>
        <v>LUNAS</v>
      </c>
      <c r="Q193" s="28">
        <f t="shared" si="2"/>
        <v>33</v>
      </c>
      <c r="R193" s="28" t="str">
        <f t="shared" si="3"/>
        <v>FARIKHATUL ISTIMAROH</v>
      </c>
    </row>
    <row r="194">
      <c r="A194" s="27">
        <f>IFERROR(__xludf.DUMMYFUNCTION("""COMPUTED_VALUE"""),193.0)</f>
        <v>193</v>
      </c>
      <c r="B194" s="28" t="str">
        <f>IFERROR(__xludf.DUMMYFUNCTION("""COMPUTED_VALUE"""),"FATHIMAH ANNAJWA")</f>
        <v>FATHIMAH ANNAJWA</v>
      </c>
      <c r="C194" s="28">
        <f>IFERROR(__xludf.DUMMYFUNCTION("""COMPUTED_VALUE"""),2.02407042E9)</f>
        <v>2024070420</v>
      </c>
      <c r="D194" s="27" t="str">
        <f>IFERROR(__xludf.DUMMYFUNCTION("""COMPUTED_VALUE"""),"C")</f>
        <v>C</v>
      </c>
      <c r="E194" s="27" t="str">
        <f>IFERROR(__xludf.DUMMYFUNCTION("""COMPUTED_VALUE"""),"C-7")</f>
        <v>C-7</v>
      </c>
      <c r="F194" s="31">
        <f>IFERROR(__xludf.DUMMYFUNCTION("""COMPUTED_VALUE"""),3.0)</f>
        <v>3</v>
      </c>
      <c r="G194" s="27" t="str">
        <f>IFERROR(__xludf.DUMMYFUNCTION("""COMPUTED_VALUE"""),"3 MAK PUTRI")</f>
        <v>3 MAK PUTRI</v>
      </c>
      <c r="H194" s="28" t="str">
        <f>IFERROR(__xludf.DUMMYFUNCTION("""COMPUTED_VALUE"""),"MA-XII.13")</f>
        <v>MA-XII.13</v>
      </c>
      <c r="I194" s="28" t="str">
        <f>IFERROR(__xludf.DUMMYFUNCTION("""COMPUTED_VALUE"""),"MARIYATUL QIBTIYAH")</f>
        <v>MARIYATUL QIBTIYAH</v>
      </c>
      <c r="J194" s="28" t="str">
        <f>IFERROR(__xludf.DUMMYFUNCTION("""COMPUTED_VALUE"""),"TAMBAKREJO RT 005 RW 001 DUDUK SAMPEYAN GRESIK")</f>
        <v>TAMBAKREJO RT 005 RW 001 DUDUK SAMPEYAN GRESIK</v>
      </c>
      <c r="K194" s="28" t="str">
        <f>IFERROR(__xludf.DUMMYFUNCTION("""COMPUTED_VALUE"""),"6282132397918")</f>
        <v>6282132397918</v>
      </c>
      <c r="L194" s="22">
        <f>IFERROR(__xludf.DUMMYFUNCTION("""COMPUTED_VALUE"""),0.0)</f>
        <v>0</v>
      </c>
      <c r="M194" s="22">
        <f>IFERROR(__xludf.DUMMYFUNCTION("""COMPUTED_VALUE"""),0.0)</f>
        <v>0</v>
      </c>
      <c r="N194" s="22">
        <f>IFERROR(__xludf.DUMMYFUNCTION("""COMPUTED_VALUE"""),0.0)</f>
        <v>0</v>
      </c>
      <c r="O194" s="22">
        <f>IFERROR(__xludf.DUMMYFUNCTION("""COMPUTED_VALUE"""),0.0)</f>
        <v>0</v>
      </c>
      <c r="P194" s="28" t="str">
        <f t="shared" si="1"/>
        <v>LUNAS</v>
      </c>
      <c r="Q194" s="28">
        <f t="shared" si="2"/>
        <v>218</v>
      </c>
      <c r="R194" s="28" t="str">
        <f t="shared" si="3"/>
        <v>FATHIMAH ANNAJWA</v>
      </c>
    </row>
    <row r="195">
      <c r="A195" s="27">
        <f>IFERROR(__xludf.DUMMYFUNCTION("""COMPUTED_VALUE"""),194.0)</f>
        <v>194</v>
      </c>
      <c r="B195" s="28" t="str">
        <f>IFERROR(__xludf.DUMMYFUNCTION("""COMPUTED_VALUE"""),"FIRNANDA KHOLAGUL HIDAYATUS MUAWIYAH")</f>
        <v>FIRNANDA KHOLAGUL HIDAYATUS MUAWIYAH</v>
      </c>
      <c r="C195" s="28">
        <f>IFERROR(__xludf.DUMMYFUNCTION("""COMPUTED_VALUE"""),2.024070421E9)</f>
        <v>2024070421</v>
      </c>
      <c r="D195" s="27" t="str">
        <f>IFERROR(__xludf.DUMMYFUNCTION("""COMPUTED_VALUE"""),"C")</f>
        <v>C</v>
      </c>
      <c r="E195" s="27" t="str">
        <f>IFERROR(__xludf.DUMMYFUNCTION("""COMPUTED_VALUE"""),"C-7")</f>
        <v>C-7</v>
      </c>
      <c r="F195" s="31">
        <f>IFERROR(__xludf.DUMMYFUNCTION("""COMPUTED_VALUE"""),3.0)</f>
        <v>3</v>
      </c>
      <c r="G195" s="27"/>
      <c r="H195" s="28" t="str">
        <f>IFERROR(__xludf.DUMMYFUNCTION("""COMPUTED_VALUE"""),"MA-XII.13")</f>
        <v>MA-XII.13</v>
      </c>
      <c r="I195" s="28" t="str">
        <f>IFERROR(__xludf.DUMMYFUNCTION("""COMPUTED_VALUE"""),"MU'INAH")</f>
        <v>MU'INAH</v>
      </c>
      <c r="J195" s="28" t="str">
        <f>IFERROR(__xludf.DUMMYFUNCTION("""COMPUTED_VALUE"""),"WEDENG SUKOREJO RT 001 RW 001 KARANGBINANGUN LAMONGAN")</f>
        <v>WEDENG SUKOREJO RT 001 RW 001 KARANGBINANGUN LAMONGAN</v>
      </c>
      <c r="K195" s="28" t="str">
        <f>IFERROR(__xludf.DUMMYFUNCTION("""COMPUTED_VALUE"""),"628564085976")</f>
        <v>628564085976</v>
      </c>
      <c r="L195" s="22">
        <f>IFERROR(__xludf.DUMMYFUNCTION("""COMPUTED_VALUE"""),3600000.0)</f>
        <v>3600000</v>
      </c>
      <c r="M195" s="22">
        <f>IFERROR(__xludf.DUMMYFUNCTION("""COMPUTED_VALUE"""),1600000.0)</f>
        <v>1600000</v>
      </c>
      <c r="N195" s="22">
        <f>IFERROR(__xludf.DUMMYFUNCTION("""COMPUTED_VALUE"""),0.0)</f>
        <v>0</v>
      </c>
      <c r="O195" s="22">
        <f>IFERROR(__xludf.DUMMYFUNCTION("""COMPUTED_VALUE"""),5200000.0)</f>
        <v>5200000</v>
      </c>
      <c r="P195" s="28" t="str">
        <f t="shared" si="1"/>
        <v>LUNAS</v>
      </c>
      <c r="Q195" s="28">
        <f t="shared" si="2"/>
        <v>5</v>
      </c>
      <c r="R195" s="28" t="str">
        <f t="shared" si="3"/>
        <v>FIRNANDA KHOLAGUL HIDAYATUS MUAWIYAH</v>
      </c>
    </row>
    <row r="196">
      <c r="A196" s="27">
        <f>IFERROR(__xludf.DUMMYFUNCTION("""COMPUTED_VALUE"""),195.0)</f>
        <v>195</v>
      </c>
      <c r="B196" s="28" t="str">
        <f>IFERROR(__xludf.DUMMYFUNCTION("""COMPUTED_VALUE"""),"FLORETA NAFISHA PUTRI")</f>
        <v>FLORETA NAFISHA PUTRI</v>
      </c>
      <c r="C196" s="28">
        <f>IFERROR(__xludf.DUMMYFUNCTION("""COMPUTED_VALUE"""),2.024070422E9)</f>
        <v>2024070422</v>
      </c>
      <c r="D196" s="27" t="str">
        <f>IFERROR(__xludf.DUMMYFUNCTION("""COMPUTED_VALUE"""),"C")</f>
        <v>C</v>
      </c>
      <c r="E196" s="27" t="str">
        <f>IFERROR(__xludf.DUMMYFUNCTION("""COMPUTED_VALUE"""),"C-7")</f>
        <v>C-7</v>
      </c>
      <c r="F196" s="31">
        <f>IFERROR(__xludf.DUMMYFUNCTION("""COMPUTED_VALUE"""),3.0)</f>
        <v>3</v>
      </c>
      <c r="G196" s="27" t="str">
        <f>IFERROR(__xludf.DUMMYFUNCTION("""COMPUTED_VALUE"""),"3 MAK PUTRI")</f>
        <v>3 MAK PUTRI</v>
      </c>
      <c r="H196" s="28" t="str">
        <f>IFERROR(__xludf.DUMMYFUNCTION("""COMPUTED_VALUE"""),"MA-XII.13")</f>
        <v>MA-XII.13</v>
      </c>
      <c r="I196" s="28" t="str">
        <f>IFERROR(__xludf.DUMMYFUNCTION("""COMPUTED_VALUE"""),"PUTRI NINGSIH")</f>
        <v>PUTRI NINGSIH</v>
      </c>
      <c r="J196" s="28" t="str">
        <f>IFERROR(__xludf.DUMMYFUNCTION("""COMPUTED_VALUE"""),"JL. MAWAR NO. 047 SIMBATAN RT 001 RW 001 SARIREJO LAMONGAN")</f>
        <v>JL. MAWAR NO. 047 SIMBATAN RT 001 RW 001 SARIREJO LAMONGAN</v>
      </c>
      <c r="K196" s="28" t="str">
        <f>IFERROR(__xludf.DUMMYFUNCTION("""COMPUTED_VALUE"""),"6281559946320")</f>
        <v>6281559946320</v>
      </c>
      <c r="L196" s="22">
        <f>IFERROR(__xludf.DUMMYFUNCTION("""COMPUTED_VALUE"""),0.0)</f>
        <v>0</v>
      </c>
      <c r="M196" s="22">
        <f>IFERROR(__xludf.DUMMYFUNCTION("""COMPUTED_VALUE"""),1000000.0)</f>
        <v>1000000</v>
      </c>
      <c r="N196" s="22">
        <f>IFERROR(__xludf.DUMMYFUNCTION("""COMPUTED_VALUE"""),0.0)</f>
        <v>0</v>
      </c>
      <c r="O196" s="22">
        <f>IFERROR(__xludf.DUMMYFUNCTION("""COMPUTED_VALUE"""),1000000.0)</f>
        <v>1000000</v>
      </c>
      <c r="P196" s="28" t="str">
        <f t="shared" si="1"/>
        <v>LUNAS</v>
      </c>
      <c r="Q196" s="28">
        <f t="shared" si="2"/>
        <v>106</v>
      </c>
      <c r="R196" s="28" t="str">
        <f t="shared" si="3"/>
        <v>FLORETA NAFISHA PUTRI</v>
      </c>
    </row>
    <row r="197">
      <c r="A197" s="27">
        <f>IFERROR(__xludf.DUMMYFUNCTION("""COMPUTED_VALUE"""),196.0)</f>
        <v>196</v>
      </c>
      <c r="B197" s="28" t="str">
        <f>IFERROR(__xludf.DUMMYFUNCTION("""COMPUTED_VALUE"""),"HANUM CHARISSA AZZAHRA")</f>
        <v>HANUM CHARISSA AZZAHRA</v>
      </c>
      <c r="C197" s="28">
        <f>IFERROR(__xludf.DUMMYFUNCTION("""COMPUTED_VALUE"""),2.024070423E9)</f>
        <v>2024070423</v>
      </c>
      <c r="D197" s="27" t="str">
        <f>IFERROR(__xludf.DUMMYFUNCTION("""COMPUTED_VALUE"""),"C")</f>
        <v>C</v>
      </c>
      <c r="E197" s="27" t="str">
        <f>IFERROR(__xludf.DUMMYFUNCTION("""COMPUTED_VALUE"""),"C-7")</f>
        <v>C-7</v>
      </c>
      <c r="F197" s="31">
        <f>IFERROR(__xludf.DUMMYFUNCTION("""COMPUTED_VALUE"""),3.0)</f>
        <v>3</v>
      </c>
      <c r="G197" s="27" t="str">
        <f>IFERROR(__xludf.DUMMYFUNCTION("""COMPUTED_VALUE"""),"3 MAK PUTRI")</f>
        <v>3 MAK PUTRI</v>
      </c>
      <c r="H197" s="28" t="str">
        <f>IFERROR(__xludf.DUMMYFUNCTION("""COMPUTED_VALUE"""),"MA-XII.13")</f>
        <v>MA-XII.13</v>
      </c>
      <c r="I197" s="28" t="str">
        <f>IFERROR(__xludf.DUMMYFUNCTION("""COMPUTED_VALUE"""),"AMILLATUL AZIZAH")</f>
        <v>AMILLATUL AZIZAH</v>
      </c>
      <c r="J197" s="28" t="str">
        <f>IFERROR(__xludf.DUMMYFUNCTION("""COMPUTED_VALUE"""),"KACANGAN RT 003 RW 001 MODO LAMONGAN")</f>
        <v>KACANGAN RT 003 RW 001 MODO LAMONGAN</v>
      </c>
      <c r="K197" s="28" t="str">
        <f>IFERROR(__xludf.DUMMYFUNCTION("""COMPUTED_VALUE"""),"6285708040713")</f>
        <v>6285708040713</v>
      </c>
      <c r="L197" s="22">
        <f>IFERROR(__xludf.DUMMYFUNCTION("""COMPUTED_VALUE"""),0.0)</f>
        <v>0</v>
      </c>
      <c r="M197" s="22">
        <f>IFERROR(__xludf.DUMMYFUNCTION("""COMPUTED_VALUE"""),0.0)</f>
        <v>0</v>
      </c>
      <c r="N197" s="22">
        <f>IFERROR(__xludf.DUMMYFUNCTION("""COMPUTED_VALUE"""),0.0)</f>
        <v>0</v>
      </c>
      <c r="O197" s="22">
        <f>IFERROR(__xludf.DUMMYFUNCTION("""COMPUTED_VALUE"""),0.0)</f>
        <v>0</v>
      </c>
      <c r="P197" s="28" t="str">
        <f t="shared" si="1"/>
        <v>LUNAS</v>
      </c>
      <c r="Q197" s="28">
        <f t="shared" si="2"/>
        <v>219</v>
      </c>
      <c r="R197" s="28" t="str">
        <f t="shared" si="3"/>
        <v>HANUM CHARISSA AZZAHRA</v>
      </c>
    </row>
    <row r="198">
      <c r="A198" s="27">
        <f>IFERROR(__xludf.DUMMYFUNCTION("""COMPUTED_VALUE"""),197.0)</f>
        <v>197</v>
      </c>
      <c r="B198" s="28" t="str">
        <f>IFERROR(__xludf.DUMMYFUNCTION("""COMPUTED_VALUE"""),"IKROMAH DZATIS SAKINAH")</f>
        <v>IKROMAH DZATIS SAKINAH</v>
      </c>
      <c r="C198" s="28">
        <f>IFERROR(__xludf.DUMMYFUNCTION("""COMPUTED_VALUE"""),2.024070424E9)</f>
        <v>2024070424</v>
      </c>
      <c r="D198" s="27" t="str">
        <f>IFERROR(__xludf.DUMMYFUNCTION("""COMPUTED_VALUE"""),"C")</f>
        <v>C</v>
      </c>
      <c r="E198" s="27" t="str">
        <f>IFERROR(__xludf.DUMMYFUNCTION("""COMPUTED_VALUE"""),"C-7")</f>
        <v>C-7</v>
      </c>
      <c r="F198" s="31">
        <f>IFERROR(__xludf.DUMMYFUNCTION("""COMPUTED_VALUE"""),3.0)</f>
        <v>3</v>
      </c>
      <c r="G198" s="27" t="str">
        <f>IFERROR(__xludf.DUMMYFUNCTION("""COMPUTED_VALUE"""),"3 MAK PUTRI")</f>
        <v>3 MAK PUTRI</v>
      </c>
      <c r="H198" s="28" t="str">
        <f>IFERROR(__xludf.DUMMYFUNCTION("""COMPUTED_VALUE"""),"MA-XII.13")</f>
        <v>MA-XII.13</v>
      </c>
      <c r="I198" s="28" t="str">
        <f>IFERROR(__xludf.DUMMYFUNCTION("""COMPUTED_VALUE"""),"SULASTRI")</f>
        <v>SULASTRI</v>
      </c>
      <c r="J198" s="28" t="str">
        <f>IFERROR(__xludf.DUMMYFUNCTION("""COMPUTED_VALUE"""),"PUTATREJO PUTATBANGAH RT 002 RW 003 KARANGBINANGUN LAMONGAN")</f>
        <v>PUTATREJO PUTATBANGAH RT 002 RW 003 KARANGBINANGUN LAMONGAN</v>
      </c>
      <c r="K198" s="28" t="str">
        <f>IFERROR(__xludf.DUMMYFUNCTION("""COMPUTED_VALUE"""),"628554660287")</f>
        <v>628554660287</v>
      </c>
      <c r="L198" s="22">
        <f>IFERROR(__xludf.DUMMYFUNCTION("""COMPUTED_VALUE"""),0.0)</f>
        <v>0</v>
      </c>
      <c r="M198" s="22">
        <f>IFERROR(__xludf.DUMMYFUNCTION("""COMPUTED_VALUE"""),0.0)</f>
        <v>0</v>
      </c>
      <c r="N198" s="22">
        <f>IFERROR(__xludf.DUMMYFUNCTION("""COMPUTED_VALUE"""),0.0)</f>
        <v>0</v>
      </c>
      <c r="O198" s="22">
        <f>IFERROR(__xludf.DUMMYFUNCTION("""COMPUTED_VALUE"""),0.0)</f>
        <v>0</v>
      </c>
      <c r="P198" s="28" t="str">
        <f t="shared" si="1"/>
        <v>LUNAS</v>
      </c>
      <c r="Q198" s="28">
        <f t="shared" si="2"/>
        <v>220</v>
      </c>
      <c r="R198" s="28" t="str">
        <f t="shared" si="3"/>
        <v>IKROMAH DZATIS SAKINAH</v>
      </c>
    </row>
    <row r="199">
      <c r="A199" s="27">
        <f>IFERROR(__xludf.DUMMYFUNCTION("""COMPUTED_VALUE"""),198.0)</f>
        <v>198</v>
      </c>
      <c r="B199" s="28" t="str">
        <f>IFERROR(__xludf.DUMMYFUNCTION("""COMPUTED_VALUE"""),"MITA NUR FAIZATUN NISA`")</f>
        <v>MITA NUR FAIZATUN NISA`</v>
      </c>
      <c r="C199" s="28">
        <f>IFERROR(__xludf.DUMMYFUNCTION("""COMPUTED_VALUE"""),2.024070429E9)</f>
        <v>2024070429</v>
      </c>
      <c r="D199" s="27" t="str">
        <f>IFERROR(__xludf.DUMMYFUNCTION("""COMPUTED_VALUE"""),"C")</f>
        <v>C</v>
      </c>
      <c r="E199" s="27" t="str">
        <f>IFERROR(__xludf.DUMMYFUNCTION("""COMPUTED_VALUE"""),"C-7")</f>
        <v>C-7</v>
      </c>
      <c r="F199" s="31">
        <f>IFERROR(__xludf.DUMMYFUNCTION("""COMPUTED_VALUE"""),3.0)</f>
        <v>3</v>
      </c>
      <c r="G199" s="27"/>
      <c r="H199" s="28" t="str">
        <f>IFERROR(__xludf.DUMMYFUNCTION("""COMPUTED_VALUE"""),"MA-XII.13")</f>
        <v>MA-XII.13</v>
      </c>
      <c r="I199" s="28" t="str">
        <f>IFERROR(__xludf.DUMMYFUNCTION("""COMPUTED_VALUE"""),"PURYAMI")</f>
        <v>PURYAMI</v>
      </c>
      <c r="J199" s="28" t="str">
        <f>IFERROR(__xludf.DUMMYFUNCTION("""COMPUTED_VALUE"""),"PENCOL WIDANG RT 005 RW 005 WIDANG TUBAN")</f>
        <v>PENCOL WIDANG RT 005 RW 005 WIDANG TUBAN</v>
      </c>
      <c r="K199" s="28" t="str">
        <f>IFERROR(__xludf.DUMMYFUNCTION("""COMPUTED_VALUE"""),"6281332935951")</f>
        <v>6281332935951</v>
      </c>
      <c r="L199" s="22">
        <f>IFERROR(__xludf.DUMMYFUNCTION("""COMPUTED_VALUE"""),0.0)</f>
        <v>0</v>
      </c>
      <c r="M199" s="22">
        <f>IFERROR(__xludf.DUMMYFUNCTION("""COMPUTED_VALUE"""),0.0)</f>
        <v>0</v>
      </c>
      <c r="N199" s="22">
        <f>IFERROR(__xludf.DUMMYFUNCTION("""COMPUTED_VALUE"""),0.0)</f>
        <v>0</v>
      </c>
      <c r="O199" s="22">
        <f>IFERROR(__xludf.DUMMYFUNCTION("""COMPUTED_VALUE"""),0.0)</f>
        <v>0</v>
      </c>
      <c r="P199" s="28" t="str">
        <f t="shared" si="1"/>
        <v>LUNAS</v>
      </c>
      <c r="Q199" s="28">
        <f t="shared" si="2"/>
        <v>221</v>
      </c>
      <c r="R199" s="28" t="str">
        <f t="shared" si="3"/>
        <v>MITA NUR FAIZATUN NISA`</v>
      </c>
    </row>
    <row r="200">
      <c r="A200" s="27">
        <f>IFERROR(__xludf.DUMMYFUNCTION("""COMPUTED_VALUE"""),199.0)</f>
        <v>199</v>
      </c>
      <c r="B200" s="28" t="str">
        <f>IFERROR(__xludf.DUMMYFUNCTION("""COMPUTED_VALUE"""),"NAILIS SA`ADAH ALFIYANAH")</f>
        <v>NAILIS SA`ADAH ALFIYANAH</v>
      </c>
      <c r="C200" s="28">
        <f>IFERROR(__xludf.DUMMYFUNCTION("""COMPUTED_VALUE"""),2.024070431E9)</f>
        <v>2024070431</v>
      </c>
      <c r="D200" s="27" t="str">
        <f>IFERROR(__xludf.DUMMYFUNCTION("""COMPUTED_VALUE"""),"C")</f>
        <v>C</v>
      </c>
      <c r="E200" s="27" t="str">
        <f>IFERROR(__xludf.DUMMYFUNCTION("""COMPUTED_VALUE"""),"C-7")</f>
        <v>C-7</v>
      </c>
      <c r="F200" s="31">
        <f>IFERROR(__xludf.DUMMYFUNCTION("""COMPUTED_VALUE"""),3.0)</f>
        <v>3</v>
      </c>
      <c r="G200" s="27"/>
      <c r="H200" s="28" t="str">
        <f>IFERROR(__xludf.DUMMYFUNCTION("""COMPUTED_VALUE"""),"MA-XII.13")</f>
        <v>MA-XII.13</v>
      </c>
      <c r="I200" s="28" t="str">
        <f>IFERROR(__xludf.DUMMYFUNCTION("""COMPUTED_VALUE"""),"SITI KHOZANAH")</f>
        <v>SITI KHOZANAH</v>
      </c>
      <c r="J200" s="28" t="str">
        <f>IFERROR(__xludf.DUMMYFUNCTION("""COMPUTED_VALUE"""),"CABEAN NGEMBOH RT 001 RW 006 UJUNGPANGKAH GRESIK")</f>
        <v>CABEAN NGEMBOH RT 001 RW 006 UJUNGPANGKAH GRESIK</v>
      </c>
      <c r="K200" s="28" t="str">
        <f>IFERROR(__xludf.DUMMYFUNCTION("""COMPUTED_VALUE"""),"6285330164564")</f>
        <v>6285330164564</v>
      </c>
      <c r="L200" s="22">
        <f>IFERROR(__xludf.DUMMYFUNCTION("""COMPUTED_VALUE"""),0.0)</f>
        <v>0</v>
      </c>
      <c r="M200" s="22">
        <f>IFERROR(__xludf.DUMMYFUNCTION("""COMPUTED_VALUE"""),0.0)</f>
        <v>0</v>
      </c>
      <c r="N200" s="22">
        <f>IFERROR(__xludf.DUMMYFUNCTION("""COMPUTED_VALUE"""),0.0)</f>
        <v>0</v>
      </c>
      <c r="O200" s="22">
        <f>IFERROR(__xludf.DUMMYFUNCTION("""COMPUTED_VALUE"""),0.0)</f>
        <v>0</v>
      </c>
      <c r="P200" s="28" t="str">
        <f t="shared" si="1"/>
        <v>LUNAS</v>
      </c>
      <c r="Q200" s="28">
        <f t="shared" si="2"/>
        <v>222</v>
      </c>
      <c r="R200" s="28" t="str">
        <f t="shared" si="3"/>
        <v>NAILIS SA`ADAH ALFIYANAH</v>
      </c>
    </row>
    <row r="201">
      <c r="A201" s="27">
        <f>IFERROR(__xludf.DUMMYFUNCTION("""COMPUTED_VALUE"""),200.0)</f>
        <v>200</v>
      </c>
      <c r="B201" s="28" t="str">
        <f>IFERROR(__xludf.DUMMYFUNCTION("""COMPUTED_VALUE"""),"NINDY AULIA PUTRI")</f>
        <v>NINDY AULIA PUTRI</v>
      </c>
      <c r="C201" s="28">
        <f>IFERROR(__xludf.DUMMYFUNCTION("""COMPUTED_VALUE"""),2.024070434E9)</f>
        <v>2024070434</v>
      </c>
      <c r="D201" s="27" t="str">
        <f>IFERROR(__xludf.DUMMYFUNCTION("""COMPUTED_VALUE"""),"C")</f>
        <v>C</v>
      </c>
      <c r="E201" s="27" t="str">
        <f>IFERROR(__xludf.DUMMYFUNCTION("""COMPUTED_VALUE"""),"C-7")</f>
        <v>C-7</v>
      </c>
      <c r="F201" s="31">
        <f>IFERROR(__xludf.DUMMYFUNCTION("""COMPUTED_VALUE"""),3.0)</f>
        <v>3</v>
      </c>
      <c r="G201" s="27" t="str">
        <f>IFERROR(__xludf.DUMMYFUNCTION("""COMPUTED_VALUE"""),"3 MAK PUTRI")</f>
        <v>3 MAK PUTRI</v>
      </c>
      <c r="H201" s="28" t="str">
        <f>IFERROR(__xludf.DUMMYFUNCTION("""COMPUTED_VALUE"""),"MA-XII.13")</f>
        <v>MA-XII.13</v>
      </c>
      <c r="I201" s="28" t="str">
        <f>IFERROR(__xludf.DUMMYFUNCTION("""COMPUTED_VALUE"""),"SRI ANITA")</f>
        <v>SRI ANITA</v>
      </c>
      <c r="J201" s="28" t="str">
        <f>IFERROR(__xludf.DUMMYFUNCTION("""COMPUTED_VALUE"""),"MOROGO PUTATKUMPUL RT 003 RW 005 TURI LAMONGAN")</f>
        <v>MOROGO PUTATKUMPUL RT 003 RW 005 TURI LAMONGAN</v>
      </c>
      <c r="K201" s="28" t="str">
        <f>IFERROR(__xludf.DUMMYFUNCTION("""COMPUTED_VALUE"""),"6285732999616")</f>
        <v>6285732999616</v>
      </c>
      <c r="L201" s="22">
        <f>IFERROR(__xludf.DUMMYFUNCTION("""COMPUTED_VALUE"""),0.0)</f>
        <v>0</v>
      </c>
      <c r="M201" s="22">
        <f>IFERROR(__xludf.DUMMYFUNCTION("""COMPUTED_VALUE"""),500000.0)</f>
        <v>500000</v>
      </c>
      <c r="N201" s="22">
        <f>IFERROR(__xludf.DUMMYFUNCTION("""COMPUTED_VALUE"""),0.0)</f>
        <v>0</v>
      </c>
      <c r="O201" s="22">
        <f>IFERROR(__xludf.DUMMYFUNCTION("""COMPUTED_VALUE"""),500000.0)</f>
        <v>500000</v>
      </c>
      <c r="P201" s="28" t="str">
        <f t="shared" si="1"/>
        <v>LUNAS</v>
      </c>
      <c r="Q201" s="28">
        <f t="shared" si="2"/>
        <v>135</v>
      </c>
      <c r="R201" s="28" t="str">
        <f t="shared" si="3"/>
        <v>NINDY AULIA PUTRI</v>
      </c>
    </row>
    <row r="202">
      <c r="A202" s="27">
        <f>IFERROR(__xludf.DUMMYFUNCTION("""COMPUTED_VALUE"""),201.0)</f>
        <v>201</v>
      </c>
      <c r="B202" s="28" t="str">
        <f>IFERROR(__xludf.DUMMYFUNCTION("""COMPUTED_VALUE"""),"NISAUL MAGHFIROH")</f>
        <v>NISAUL MAGHFIROH</v>
      </c>
      <c r="C202" s="28">
        <f>IFERROR(__xludf.DUMMYFUNCTION("""COMPUTED_VALUE"""),2.024070435E9)</f>
        <v>2024070435</v>
      </c>
      <c r="D202" s="27" t="str">
        <f>IFERROR(__xludf.DUMMYFUNCTION("""COMPUTED_VALUE"""),"C")</f>
        <v>C</v>
      </c>
      <c r="E202" s="27" t="str">
        <f>IFERROR(__xludf.DUMMYFUNCTION("""COMPUTED_VALUE"""),"C-7")</f>
        <v>C-7</v>
      </c>
      <c r="F202" s="31">
        <f>IFERROR(__xludf.DUMMYFUNCTION("""COMPUTED_VALUE"""),3.0)</f>
        <v>3</v>
      </c>
      <c r="G202" s="27" t="str">
        <f>IFERROR(__xludf.DUMMYFUNCTION("""COMPUTED_VALUE"""),"3 MAK PUTRI")</f>
        <v>3 MAK PUTRI</v>
      </c>
      <c r="H202" s="28" t="str">
        <f>IFERROR(__xludf.DUMMYFUNCTION("""COMPUTED_VALUE"""),"MA-XII.13")</f>
        <v>MA-XII.13</v>
      </c>
      <c r="I202" s="28" t="str">
        <f>IFERROR(__xludf.DUMMYFUNCTION("""COMPUTED_VALUE"""),"FATIMAH")</f>
        <v>FATIMAH</v>
      </c>
      <c r="J202" s="28" t="str">
        <f>IFERROR(__xludf.DUMMYFUNCTION("""COMPUTED_VALUE"""),"GILIG SUGIHREJO RT 001 RW 004 SUKODADI LAMONGAN")</f>
        <v>GILIG SUGIHREJO RT 001 RW 004 SUKODADI LAMONGAN</v>
      </c>
      <c r="K202" s="28" t="str">
        <f>IFERROR(__xludf.DUMMYFUNCTION("""COMPUTED_VALUE"""),"6285732899224")</f>
        <v>6285732899224</v>
      </c>
      <c r="L202" s="22">
        <f>IFERROR(__xludf.DUMMYFUNCTION("""COMPUTED_VALUE"""),0.0)</f>
        <v>0</v>
      </c>
      <c r="M202" s="22">
        <f>IFERROR(__xludf.DUMMYFUNCTION("""COMPUTED_VALUE"""),0.0)</f>
        <v>0</v>
      </c>
      <c r="N202" s="22">
        <f>IFERROR(__xludf.DUMMYFUNCTION("""COMPUTED_VALUE"""),0.0)</f>
        <v>0</v>
      </c>
      <c r="O202" s="22">
        <f>IFERROR(__xludf.DUMMYFUNCTION("""COMPUTED_VALUE"""),0.0)</f>
        <v>0</v>
      </c>
      <c r="P202" s="28" t="str">
        <f t="shared" si="1"/>
        <v>LUNAS</v>
      </c>
      <c r="Q202" s="28">
        <f t="shared" si="2"/>
        <v>223</v>
      </c>
      <c r="R202" s="28" t="str">
        <f t="shared" si="3"/>
        <v>NISAUL MAGHFIROH</v>
      </c>
    </row>
    <row r="203">
      <c r="A203" s="27">
        <f>IFERROR(__xludf.DUMMYFUNCTION("""COMPUTED_VALUE"""),202.0)</f>
        <v>202</v>
      </c>
      <c r="B203" s="28" t="str">
        <f>IFERROR(__xludf.DUMMYFUNCTION("""COMPUTED_VALUE"""),"SHAFA ELMATALIA GHAZALI")</f>
        <v>SHAFA ELMATALIA GHAZALI</v>
      </c>
      <c r="C203" s="28">
        <f>IFERROR(__xludf.DUMMYFUNCTION("""COMPUTED_VALUE"""),2.024070437E9)</f>
        <v>2024070437</v>
      </c>
      <c r="D203" s="27" t="str">
        <f>IFERROR(__xludf.DUMMYFUNCTION("""COMPUTED_VALUE"""),"C")</f>
        <v>C</v>
      </c>
      <c r="E203" s="27" t="str">
        <f>IFERROR(__xludf.DUMMYFUNCTION("""COMPUTED_VALUE"""),"C-7")</f>
        <v>C-7</v>
      </c>
      <c r="F203" s="31">
        <f>IFERROR(__xludf.DUMMYFUNCTION("""COMPUTED_VALUE"""),3.0)</f>
        <v>3</v>
      </c>
      <c r="G203" s="27" t="str">
        <f>IFERROR(__xludf.DUMMYFUNCTION("""COMPUTED_VALUE"""),"3 MAK PUTRI")</f>
        <v>3 MAK PUTRI</v>
      </c>
      <c r="H203" s="28" t="str">
        <f>IFERROR(__xludf.DUMMYFUNCTION("""COMPUTED_VALUE"""),"MA-XII.13")</f>
        <v>MA-XII.13</v>
      </c>
      <c r="I203" s="28" t="str">
        <f>IFERROR(__xludf.DUMMYFUNCTION("""COMPUTED_VALUE"""),"SSITI MAFTUCHAH")</f>
        <v>SSITI MAFTUCHAH</v>
      </c>
      <c r="J203" s="28" t="str">
        <f>IFERROR(__xludf.DUMMYFUNCTION("""COMPUTED_VALUE"""),"PETIYIN TAKERHARJO RT 001 RW 005 SOLOKURO LAMONGAN")</f>
        <v>PETIYIN TAKERHARJO RT 001 RW 005 SOLOKURO LAMONGAN</v>
      </c>
      <c r="K203" s="28" t="str">
        <f>IFERROR(__xludf.DUMMYFUNCTION("""COMPUTED_VALUE"""),"6285817250698")</f>
        <v>6285817250698</v>
      </c>
      <c r="L203" s="22">
        <f>IFERROR(__xludf.DUMMYFUNCTION("""COMPUTED_VALUE"""),450000.0)</f>
        <v>450000</v>
      </c>
      <c r="M203" s="22">
        <f>IFERROR(__xludf.DUMMYFUNCTION("""COMPUTED_VALUE"""),1000000.0)</f>
        <v>1000000</v>
      </c>
      <c r="N203" s="22">
        <f>IFERROR(__xludf.DUMMYFUNCTION("""COMPUTED_VALUE"""),0.0)</f>
        <v>0</v>
      </c>
      <c r="O203" s="22">
        <f>IFERROR(__xludf.DUMMYFUNCTION("""COMPUTED_VALUE"""),1450000.0)</f>
        <v>1450000</v>
      </c>
      <c r="P203" s="28" t="str">
        <f t="shared" si="1"/>
        <v>LUNAS</v>
      </c>
      <c r="Q203" s="28">
        <f t="shared" si="2"/>
        <v>45</v>
      </c>
      <c r="R203" s="28" t="str">
        <f t="shared" si="3"/>
        <v>SHAFA ELMATALIA GHAZALI</v>
      </c>
    </row>
    <row r="204">
      <c r="A204" s="27">
        <f>IFERROR(__xludf.DUMMYFUNCTION("""COMPUTED_VALUE"""),203.0)</f>
        <v>203</v>
      </c>
      <c r="B204" s="28" t="str">
        <f>IFERROR(__xludf.DUMMYFUNCTION("""COMPUTED_VALUE"""),"SIFAAUR ROSYIDAH")</f>
        <v>SIFAAUR ROSYIDAH</v>
      </c>
      <c r="C204" s="28">
        <f>IFERROR(__xludf.DUMMYFUNCTION("""COMPUTED_VALUE"""),2.024070439E9)</f>
        <v>2024070439</v>
      </c>
      <c r="D204" s="27" t="str">
        <f>IFERROR(__xludf.DUMMYFUNCTION("""COMPUTED_VALUE"""),"C")</f>
        <v>C</v>
      </c>
      <c r="E204" s="27" t="str">
        <f>IFERROR(__xludf.DUMMYFUNCTION("""COMPUTED_VALUE"""),"C-7")</f>
        <v>C-7</v>
      </c>
      <c r="F204" s="31">
        <f>IFERROR(__xludf.DUMMYFUNCTION("""COMPUTED_VALUE"""),3.0)</f>
        <v>3</v>
      </c>
      <c r="G204" s="27" t="str">
        <f>IFERROR(__xludf.DUMMYFUNCTION("""COMPUTED_VALUE"""),"3 MAK PUTRI")</f>
        <v>3 MAK PUTRI</v>
      </c>
      <c r="H204" s="28" t="str">
        <f>IFERROR(__xludf.DUMMYFUNCTION("""COMPUTED_VALUE"""),"MA-XII.13")</f>
        <v>MA-XII.13</v>
      </c>
      <c r="I204" s="28" t="str">
        <f>IFERROR(__xludf.DUMMYFUNCTION("""COMPUTED_VALUE"""),"MASRUROH")</f>
        <v>MASRUROH</v>
      </c>
      <c r="J204" s="28" t="str">
        <f>IFERROR(__xludf.DUMMYFUNCTION("""COMPUTED_VALUE"""),"KEMLAGILOR RT 2 RW 2 TURI LAMONGAN")</f>
        <v>KEMLAGILOR RT 2 RW 2 TURI LAMONGAN</v>
      </c>
      <c r="K204" s="28" t="str">
        <f>IFERROR(__xludf.DUMMYFUNCTION("""COMPUTED_VALUE"""),"6285773511334")</f>
        <v>6285773511334</v>
      </c>
      <c r="L204" s="22">
        <f>IFERROR(__xludf.DUMMYFUNCTION("""COMPUTED_VALUE"""),450000.0)</f>
        <v>450000</v>
      </c>
      <c r="M204" s="22">
        <f>IFERROR(__xludf.DUMMYFUNCTION("""COMPUTED_VALUE"""),0.0)</f>
        <v>0</v>
      </c>
      <c r="N204" s="22">
        <f>IFERROR(__xludf.DUMMYFUNCTION("""COMPUTED_VALUE"""),0.0)</f>
        <v>0</v>
      </c>
      <c r="O204" s="22">
        <f>IFERROR(__xludf.DUMMYFUNCTION("""COMPUTED_VALUE"""),450000.0)</f>
        <v>450000</v>
      </c>
      <c r="P204" s="28" t="str">
        <f t="shared" si="1"/>
        <v>LUNAS</v>
      </c>
      <c r="Q204" s="28">
        <f t="shared" si="2"/>
        <v>151</v>
      </c>
      <c r="R204" s="28" t="str">
        <f t="shared" si="3"/>
        <v>SIFAAUR ROSYIDAH</v>
      </c>
    </row>
    <row r="205">
      <c r="A205" s="27">
        <f>IFERROR(__xludf.DUMMYFUNCTION("""COMPUTED_VALUE"""),204.0)</f>
        <v>204</v>
      </c>
      <c r="B205" s="28" t="str">
        <f>IFERROR(__xludf.DUMMYFUNCTION("""COMPUTED_VALUE"""),"AININ QORIROH UMMU SALWA")</f>
        <v>AININ QORIROH UMMU SALWA</v>
      </c>
      <c r="C205" s="28">
        <f>IFERROR(__xludf.DUMMYFUNCTION("""COMPUTED_VALUE"""),2.024070338E9)</f>
        <v>2024070338</v>
      </c>
      <c r="D205" s="27" t="str">
        <f>IFERROR(__xludf.DUMMYFUNCTION("""COMPUTED_VALUE"""),"C")</f>
        <v>C</v>
      </c>
      <c r="E205" s="27" t="str">
        <f>IFERROR(__xludf.DUMMYFUNCTION("""COMPUTED_VALUE"""),"C-8")</f>
        <v>C-8</v>
      </c>
      <c r="F205" s="31">
        <f>IFERROR(__xludf.DUMMYFUNCTION("""COMPUTED_VALUE"""),3.0)</f>
        <v>3</v>
      </c>
      <c r="G205" s="27" t="str">
        <f>IFERROR(__xludf.DUMMYFUNCTION("""COMPUTED_VALUE"""),"3 WUSTHO C PUTRI")</f>
        <v>3 WUSTHO C PUTRI</v>
      </c>
      <c r="H205" s="28" t="str">
        <f>IFERROR(__xludf.DUMMYFUNCTION("""COMPUTED_VALUE"""),"MA-XII.11")</f>
        <v>MA-XII.11</v>
      </c>
      <c r="I205" s="28" t="str">
        <f>IFERROR(__xludf.DUMMYFUNCTION("""COMPUTED_VALUE"""),"NUR JANNAH")</f>
        <v>NUR JANNAH</v>
      </c>
      <c r="J205" s="28" t="str">
        <f>IFERROR(__xludf.DUMMYFUNCTION("""COMPUTED_VALUE"""),"PLOSO BUDEN RT 003 RW 003 DEKET LAMONGAN")</f>
        <v>PLOSO BUDEN RT 003 RW 003 DEKET LAMONGAN</v>
      </c>
      <c r="K205" s="28" t="str">
        <f>IFERROR(__xludf.DUMMYFUNCTION("""COMPUTED_VALUE"""),"6287844690419")</f>
        <v>6287844690419</v>
      </c>
      <c r="L205" s="22">
        <f>IFERROR(__xludf.DUMMYFUNCTION("""COMPUTED_VALUE"""),450000.0)</f>
        <v>450000</v>
      </c>
      <c r="M205" s="22">
        <f>IFERROR(__xludf.DUMMYFUNCTION("""COMPUTED_VALUE"""),500000.0)</f>
        <v>500000</v>
      </c>
      <c r="N205" s="22">
        <f>IFERROR(__xludf.DUMMYFUNCTION("""COMPUTED_VALUE"""),0.0)</f>
        <v>0</v>
      </c>
      <c r="O205" s="22">
        <f>IFERROR(__xludf.DUMMYFUNCTION("""COMPUTED_VALUE"""),950000.0)</f>
        <v>950000</v>
      </c>
      <c r="P205" s="28" t="str">
        <f t="shared" si="1"/>
        <v>LUNAS</v>
      </c>
      <c r="Q205" s="28">
        <f t="shared" si="2"/>
        <v>113</v>
      </c>
      <c r="R205" s="28" t="str">
        <f t="shared" si="3"/>
        <v>AININ QORIROH UMMU SALWA</v>
      </c>
    </row>
    <row r="206">
      <c r="A206" s="27">
        <f>IFERROR(__xludf.DUMMYFUNCTION("""COMPUTED_VALUE"""),205.0)</f>
        <v>205</v>
      </c>
      <c r="B206" s="28" t="str">
        <f>IFERROR(__xludf.DUMMYFUNCTION("""COMPUTED_VALUE"""),"AYU YOVA NAYLA FAZA")</f>
        <v>AYU YOVA NAYLA FAZA</v>
      </c>
      <c r="C206" s="28">
        <f>IFERROR(__xludf.DUMMYFUNCTION("""COMPUTED_VALUE"""),2.024070039E9)</f>
        <v>2024070039</v>
      </c>
      <c r="D206" s="27" t="str">
        <f>IFERROR(__xludf.DUMMYFUNCTION("""COMPUTED_VALUE"""),"C")</f>
        <v>C</v>
      </c>
      <c r="E206" s="27" t="str">
        <f>IFERROR(__xludf.DUMMYFUNCTION("""COMPUTED_VALUE"""),"C-8")</f>
        <v>C-8</v>
      </c>
      <c r="F206" s="31">
        <f>IFERROR(__xludf.DUMMYFUNCTION("""COMPUTED_VALUE"""),3.0)</f>
        <v>3</v>
      </c>
      <c r="G206" s="27" t="str">
        <f>IFERROR(__xludf.DUMMYFUNCTION("""COMPUTED_VALUE"""),"3 WUSTHO A PUTRI")</f>
        <v>3 WUSTHO A PUTRI</v>
      </c>
      <c r="H206" s="28" t="str">
        <f>IFERROR(__xludf.DUMMYFUNCTION("""COMPUTED_VALUE"""),"MA-XII.2")</f>
        <v>MA-XII.2</v>
      </c>
      <c r="I206" s="28" t="str">
        <f>IFERROR(__xludf.DUMMYFUNCTION("""COMPUTED_VALUE"""),"HANIK ASYRIFAH")</f>
        <v>HANIK ASYRIFAH</v>
      </c>
      <c r="J206" s="28" t="str">
        <f>IFERROR(__xludf.DUMMYFUNCTION("""COMPUTED_VALUE"""),"DAGAN RT 002 RW 003 SOLOKURO LAMONGAN")</f>
        <v>DAGAN RT 002 RW 003 SOLOKURO LAMONGAN</v>
      </c>
      <c r="K206" s="28" t="str">
        <f>IFERROR(__xludf.DUMMYFUNCTION("""COMPUTED_VALUE"""),"6285856022187")</f>
        <v>6285856022187</v>
      </c>
      <c r="L206" s="22">
        <f>IFERROR(__xludf.DUMMYFUNCTION("""COMPUTED_VALUE"""),0.0)</f>
        <v>0</v>
      </c>
      <c r="M206" s="22">
        <f>IFERROR(__xludf.DUMMYFUNCTION("""COMPUTED_VALUE"""),0.0)</f>
        <v>0</v>
      </c>
      <c r="N206" s="22">
        <f>IFERROR(__xludf.DUMMYFUNCTION("""COMPUTED_VALUE"""),0.0)</f>
        <v>0</v>
      </c>
      <c r="O206" s="22">
        <f>IFERROR(__xludf.DUMMYFUNCTION("""COMPUTED_VALUE"""),0.0)</f>
        <v>0</v>
      </c>
      <c r="P206" s="28" t="str">
        <f t="shared" si="1"/>
        <v>LUNAS</v>
      </c>
      <c r="Q206" s="28">
        <f t="shared" si="2"/>
        <v>224</v>
      </c>
      <c r="R206" s="28" t="str">
        <f t="shared" si="3"/>
        <v>AYU YOVA NAYLA FAZA</v>
      </c>
    </row>
    <row r="207">
      <c r="A207" s="27">
        <f>IFERROR(__xludf.DUMMYFUNCTION("""COMPUTED_VALUE"""),206.0)</f>
        <v>206</v>
      </c>
      <c r="B207" s="28" t="str">
        <f>IFERROR(__xludf.DUMMYFUNCTION("""COMPUTED_VALUE"""),"DIVA APRILIA SHOLIKHA")</f>
        <v>DIVA APRILIA SHOLIKHA</v>
      </c>
      <c r="C207" s="28">
        <f>IFERROR(__xludf.DUMMYFUNCTION("""COMPUTED_VALUE"""),2.024070223E9)</f>
        <v>2024070223</v>
      </c>
      <c r="D207" s="27" t="str">
        <f>IFERROR(__xludf.DUMMYFUNCTION("""COMPUTED_VALUE"""),"C")</f>
        <v>C</v>
      </c>
      <c r="E207" s="27" t="str">
        <f>IFERROR(__xludf.DUMMYFUNCTION("""COMPUTED_VALUE"""),"C-8")</f>
        <v>C-8</v>
      </c>
      <c r="F207" s="31">
        <f>IFERROR(__xludf.DUMMYFUNCTION("""COMPUTED_VALUE"""),3.0)</f>
        <v>3</v>
      </c>
      <c r="G207" s="27" t="str">
        <f>IFERROR(__xludf.DUMMYFUNCTION("""COMPUTED_VALUE"""),"3 WUSTHO A PUTRI")</f>
        <v>3 WUSTHO A PUTRI</v>
      </c>
      <c r="H207" s="28" t="str">
        <f>IFERROR(__xludf.DUMMYFUNCTION("""COMPUTED_VALUE"""),"MA-XII.6")</f>
        <v>MA-XII.6</v>
      </c>
      <c r="I207" s="28" t="str">
        <f>IFERROR(__xludf.DUMMYFUNCTION("""COMPUTED_VALUE"""),"KHOTIM SUNARIYAH")</f>
        <v>KHOTIM SUNARIYAH</v>
      </c>
      <c r="J207" s="28" t="str">
        <f>IFERROR(__xludf.DUMMYFUNCTION("""COMPUTED_VALUE"""),"KARANGCANGKRING RT 7 RW 3 DUKUN GRESIK")</f>
        <v>KARANGCANGKRING RT 7 RW 3 DUKUN GRESIK</v>
      </c>
      <c r="K207" s="28" t="str">
        <f>IFERROR(__xludf.DUMMYFUNCTION("""COMPUTED_VALUE"""),"6281553483950")</f>
        <v>6281553483950</v>
      </c>
      <c r="L207" s="22">
        <f>IFERROR(__xludf.DUMMYFUNCTION("""COMPUTED_VALUE"""),0.0)</f>
        <v>0</v>
      </c>
      <c r="M207" s="22">
        <f>IFERROR(__xludf.DUMMYFUNCTION("""COMPUTED_VALUE"""),500000.0)</f>
        <v>500000</v>
      </c>
      <c r="N207" s="22">
        <f>IFERROR(__xludf.DUMMYFUNCTION("""COMPUTED_VALUE"""),0.0)</f>
        <v>0</v>
      </c>
      <c r="O207" s="22">
        <f>IFERROR(__xludf.DUMMYFUNCTION("""COMPUTED_VALUE"""),500000.0)</f>
        <v>500000</v>
      </c>
      <c r="P207" s="28" t="str">
        <f t="shared" si="1"/>
        <v>LUNAS</v>
      </c>
      <c r="Q207" s="28">
        <f t="shared" si="2"/>
        <v>136</v>
      </c>
      <c r="R207" s="28" t="str">
        <f t="shared" si="3"/>
        <v>DIVA APRILIA SHOLIKHA</v>
      </c>
    </row>
    <row r="208">
      <c r="A208" s="27">
        <f>IFERROR(__xludf.DUMMYFUNCTION("""COMPUTED_VALUE"""),207.0)</f>
        <v>207</v>
      </c>
      <c r="B208" s="28" t="str">
        <f>IFERROR(__xludf.DUMMYFUNCTION("""COMPUTED_VALUE"""),"FARIKHTA RAMADHANI RIDWAN")</f>
        <v>FARIKHTA RAMADHANI RIDWAN</v>
      </c>
      <c r="C208" s="28">
        <f>IFERROR(__xludf.DUMMYFUNCTION("""COMPUTED_VALUE"""),2.024070043E9)</f>
        <v>2024070043</v>
      </c>
      <c r="D208" s="27" t="str">
        <f>IFERROR(__xludf.DUMMYFUNCTION("""COMPUTED_VALUE"""),"C")</f>
        <v>C</v>
      </c>
      <c r="E208" s="27" t="str">
        <f>IFERROR(__xludf.DUMMYFUNCTION("""COMPUTED_VALUE"""),"C-8")</f>
        <v>C-8</v>
      </c>
      <c r="F208" s="31">
        <f>IFERROR(__xludf.DUMMYFUNCTION("""COMPUTED_VALUE"""),3.0)</f>
        <v>3</v>
      </c>
      <c r="G208" s="27"/>
      <c r="H208" s="28" t="str">
        <f>IFERROR(__xludf.DUMMYFUNCTION("""COMPUTED_VALUE"""),"MA-XII.2")</f>
        <v>MA-XII.2</v>
      </c>
      <c r="I208" s="28" t="str">
        <f>IFERROR(__xludf.DUMMYFUNCTION("""COMPUTED_VALUE"""),"YENI KHUSNIYAH")</f>
        <v>YENI KHUSNIYAH</v>
      </c>
      <c r="J208" s="28" t="str">
        <f>IFERROR(__xludf.DUMMYFUNCTION("""COMPUTED_VALUE"""),"PEGANDEN PALACE PEGANDEN RT 3 RW 7 MANYAR GRESIK")</f>
        <v>PEGANDEN PALACE PEGANDEN RT 3 RW 7 MANYAR GRESIK</v>
      </c>
      <c r="K208" s="28" t="str">
        <f>IFERROR(__xludf.DUMMYFUNCTION("""COMPUTED_VALUE"""),"6283856686322")</f>
        <v>6283856686322</v>
      </c>
      <c r="L208" s="22">
        <f>IFERROR(__xludf.DUMMYFUNCTION("""COMPUTED_VALUE"""),0.0)</f>
        <v>0</v>
      </c>
      <c r="M208" s="22">
        <f>IFERROR(__xludf.DUMMYFUNCTION("""COMPUTED_VALUE"""),0.0)</f>
        <v>0</v>
      </c>
      <c r="N208" s="22">
        <f>IFERROR(__xludf.DUMMYFUNCTION("""COMPUTED_VALUE"""),0.0)</f>
        <v>0</v>
      </c>
      <c r="O208" s="22">
        <f>IFERROR(__xludf.DUMMYFUNCTION("""COMPUTED_VALUE"""),0.0)</f>
        <v>0</v>
      </c>
      <c r="P208" s="28" t="str">
        <f t="shared" si="1"/>
        <v>LUNAS</v>
      </c>
      <c r="Q208" s="28">
        <f t="shared" si="2"/>
        <v>225</v>
      </c>
      <c r="R208" s="28" t="str">
        <f t="shared" si="3"/>
        <v>FARIKHTA RAMADHANI RIDWAN</v>
      </c>
    </row>
    <row r="209">
      <c r="A209" s="27">
        <f>IFERROR(__xludf.DUMMYFUNCTION("""COMPUTED_VALUE"""),208.0)</f>
        <v>208</v>
      </c>
      <c r="B209" s="28" t="str">
        <f>IFERROR(__xludf.DUMMYFUNCTION("""COMPUTED_VALUE"""),"HIMMATU ZAWA ARRIFA")</f>
        <v>HIMMATU ZAWA ARRIFA</v>
      </c>
      <c r="C209" s="28">
        <f>IFERROR(__xludf.DUMMYFUNCTION("""COMPUTED_VALUE"""),2.024070076E9)</f>
        <v>2024070076</v>
      </c>
      <c r="D209" s="27" t="str">
        <f>IFERROR(__xludf.DUMMYFUNCTION("""COMPUTED_VALUE"""),"C")</f>
        <v>C</v>
      </c>
      <c r="E209" s="27" t="str">
        <f>IFERROR(__xludf.DUMMYFUNCTION("""COMPUTED_VALUE"""),"C-8")</f>
        <v>C-8</v>
      </c>
      <c r="F209" s="31">
        <f>IFERROR(__xludf.DUMMYFUNCTION("""COMPUTED_VALUE"""),3.0)</f>
        <v>3</v>
      </c>
      <c r="G209" s="27" t="str">
        <f>IFERROR(__xludf.DUMMYFUNCTION("""COMPUTED_VALUE"""),"3 WUSTHO B PUTRI")</f>
        <v>3 WUSTHO B PUTRI</v>
      </c>
      <c r="H209" s="28" t="str">
        <f>IFERROR(__xludf.DUMMYFUNCTION("""COMPUTED_VALUE"""),"MA-XII.3")</f>
        <v>MA-XII.3</v>
      </c>
      <c r="I209" s="28" t="str">
        <f>IFERROR(__xludf.DUMMYFUNCTION("""COMPUTED_VALUE"""),"SITI HALIMAH")</f>
        <v>SITI HALIMAH</v>
      </c>
      <c r="J209" s="28" t="str">
        <f>IFERROR(__xludf.DUMMYFUNCTION("""COMPUTED_VALUE"""),"SIDOMULYO RT 003 RW 003 DEKET LAMONGAN")</f>
        <v>SIDOMULYO RT 003 RW 003 DEKET LAMONGAN</v>
      </c>
      <c r="K209" s="28" t="str">
        <f>IFERROR(__xludf.DUMMYFUNCTION("""COMPUTED_VALUE"""),"6285748986490")</f>
        <v>6285748986490</v>
      </c>
      <c r="L209" s="22">
        <f>IFERROR(__xludf.DUMMYFUNCTION("""COMPUTED_VALUE"""),3150000.0)</f>
        <v>3150000</v>
      </c>
      <c r="M209" s="22">
        <f>IFERROR(__xludf.DUMMYFUNCTION("""COMPUTED_VALUE"""),1000000.0)</f>
        <v>1000000</v>
      </c>
      <c r="N209" s="22">
        <f>IFERROR(__xludf.DUMMYFUNCTION("""COMPUTED_VALUE"""),0.0)</f>
        <v>0</v>
      </c>
      <c r="O209" s="22">
        <f>IFERROR(__xludf.DUMMYFUNCTION("""COMPUTED_VALUE"""),4150000.0)</f>
        <v>4150000</v>
      </c>
      <c r="P209" s="28" t="str">
        <f t="shared" si="1"/>
        <v>LUNAS</v>
      </c>
      <c r="Q209" s="28">
        <f t="shared" si="2"/>
        <v>8</v>
      </c>
      <c r="R209" s="28" t="str">
        <f t="shared" si="3"/>
        <v>HIMMATU ZAWA ARRIFA</v>
      </c>
    </row>
    <row r="210">
      <c r="A210" s="27">
        <f>IFERROR(__xludf.DUMMYFUNCTION("""COMPUTED_VALUE"""),209.0)</f>
        <v>209</v>
      </c>
      <c r="B210" s="28" t="str">
        <f>IFERROR(__xludf.DUMMYFUNCTION("""COMPUTED_VALUE"""),"ISMAUL HUSNAH")</f>
        <v>ISMAUL HUSNAH</v>
      </c>
      <c r="C210" s="28">
        <f>IFERROR(__xludf.DUMMYFUNCTION("""COMPUTED_VALUE"""),2.024070704E9)</f>
        <v>2024070704</v>
      </c>
      <c r="D210" s="27" t="str">
        <f>IFERROR(__xludf.DUMMYFUNCTION("""COMPUTED_VALUE"""),"C")</f>
        <v>C</v>
      </c>
      <c r="E210" s="27" t="str">
        <f>IFERROR(__xludf.DUMMYFUNCTION("""COMPUTED_VALUE"""),"C-8")</f>
        <v>C-8</v>
      </c>
      <c r="F210" s="31">
        <f>IFERROR(__xludf.DUMMYFUNCTION("""COMPUTED_VALUE"""),3.0)</f>
        <v>3</v>
      </c>
      <c r="G210" s="27" t="str">
        <f>IFERROR(__xludf.DUMMYFUNCTION("""COMPUTED_VALUE"""),"3 WUSTHO A PUTRI")</f>
        <v>3 WUSTHO A PUTRI</v>
      </c>
      <c r="H210" s="28" t="str">
        <f>IFERROR(__xludf.DUMMYFUNCTION("""COMPUTED_VALUE"""),"SMK-XII LPb")</f>
        <v>SMK-XII LPb</v>
      </c>
      <c r="I210" s="28" t="str">
        <f>IFERROR(__xludf.DUMMYFUNCTION("""COMPUTED_VALUE"""),"AMINAH")</f>
        <v>AMINAH</v>
      </c>
      <c r="J210" s="28" t="str">
        <f>IFERROR(__xludf.DUMMYFUNCTION("""COMPUTED_VALUE"""),"KLATING TAKERANKLATING RT 002 RW 001 TIKUNG LAMONGAN")</f>
        <v>KLATING TAKERANKLATING RT 002 RW 001 TIKUNG LAMONGAN</v>
      </c>
      <c r="K210" s="28" t="str">
        <f>IFERROR(__xludf.DUMMYFUNCTION("""COMPUTED_VALUE"""),"6285604656734")</f>
        <v>6285604656734</v>
      </c>
      <c r="L210" s="22">
        <f>IFERROR(__xludf.DUMMYFUNCTION("""COMPUTED_VALUE"""),900000.0)</f>
        <v>900000</v>
      </c>
      <c r="M210" s="22">
        <f>IFERROR(__xludf.DUMMYFUNCTION("""COMPUTED_VALUE"""),0.0)</f>
        <v>0</v>
      </c>
      <c r="N210" s="22">
        <f>IFERROR(__xludf.DUMMYFUNCTION("""COMPUTED_VALUE"""),0.0)</f>
        <v>0</v>
      </c>
      <c r="O210" s="22">
        <f>IFERROR(__xludf.DUMMYFUNCTION("""COMPUTED_VALUE"""),900000.0)</f>
        <v>900000</v>
      </c>
      <c r="P210" s="28" t="str">
        <f t="shared" si="1"/>
        <v>LUNAS</v>
      </c>
      <c r="Q210" s="28">
        <f t="shared" si="2"/>
        <v>121</v>
      </c>
      <c r="R210" s="28" t="str">
        <f t="shared" si="3"/>
        <v>ISMAUL HUSNAH</v>
      </c>
    </row>
    <row r="211">
      <c r="A211" s="27">
        <f>IFERROR(__xludf.DUMMYFUNCTION("""COMPUTED_VALUE"""),210.0)</f>
        <v>210</v>
      </c>
      <c r="B211" s="28" t="str">
        <f>IFERROR(__xludf.DUMMYFUNCTION("""COMPUTED_VALUE"""),"MAULIDINNA BASKORO INDAH KIRANNI")</f>
        <v>MAULIDINNA BASKORO INDAH KIRANNI</v>
      </c>
      <c r="C211" s="28">
        <f>IFERROR(__xludf.DUMMYFUNCTION("""COMPUTED_VALUE"""),2.024070079E9)</f>
        <v>2024070079</v>
      </c>
      <c r="D211" s="27" t="str">
        <f>IFERROR(__xludf.DUMMYFUNCTION("""COMPUTED_VALUE"""),"C")</f>
        <v>C</v>
      </c>
      <c r="E211" s="27" t="str">
        <f>IFERROR(__xludf.DUMMYFUNCTION("""COMPUTED_VALUE"""),"C-8")</f>
        <v>C-8</v>
      </c>
      <c r="F211" s="31">
        <f>IFERROR(__xludf.DUMMYFUNCTION("""COMPUTED_VALUE"""),3.0)</f>
        <v>3</v>
      </c>
      <c r="G211" s="27"/>
      <c r="H211" s="28" t="str">
        <f>IFERROR(__xludf.DUMMYFUNCTION("""COMPUTED_VALUE"""),"MA-XII.3")</f>
        <v>MA-XII.3</v>
      </c>
      <c r="I211" s="28" t="str">
        <f>IFERROR(__xludf.DUMMYFUNCTION("""COMPUTED_VALUE"""),"LAILATUL FAIZAH")</f>
        <v>LAILATUL FAIZAH</v>
      </c>
      <c r="J211" s="28" t="str">
        <f>IFERROR(__xludf.DUMMYFUNCTION("""COMPUTED_VALUE"""),"LEMBOR RT 001 RW 001 BRONDONG LAMONGAN")</f>
        <v>LEMBOR RT 001 RW 001 BRONDONG LAMONGAN</v>
      </c>
      <c r="K211" s="28" t="str">
        <f>IFERROR(__xludf.DUMMYFUNCTION("""COMPUTED_VALUE"""),"6285646714671")</f>
        <v>6285646714671</v>
      </c>
      <c r="L211" s="22">
        <f>IFERROR(__xludf.DUMMYFUNCTION("""COMPUTED_VALUE"""),0.0)</f>
        <v>0</v>
      </c>
      <c r="M211" s="22">
        <f>IFERROR(__xludf.DUMMYFUNCTION("""COMPUTED_VALUE"""),0.0)</f>
        <v>0</v>
      </c>
      <c r="N211" s="22">
        <f>IFERROR(__xludf.DUMMYFUNCTION("""COMPUTED_VALUE"""),0.0)</f>
        <v>0</v>
      </c>
      <c r="O211" s="22">
        <f>IFERROR(__xludf.DUMMYFUNCTION("""COMPUTED_VALUE"""),0.0)</f>
        <v>0</v>
      </c>
      <c r="P211" s="28" t="str">
        <f t="shared" si="1"/>
        <v>LUNAS</v>
      </c>
      <c r="Q211" s="28">
        <f t="shared" si="2"/>
        <v>226</v>
      </c>
      <c r="R211" s="28" t="str">
        <f t="shared" si="3"/>
        <v>MAULIDINNA BASKORO INDAH KIRANNI</v>
      </c>
    </row>
    <row r="212">
      <c r="A212" s="27">
        <f>IFERROR(__xludf.DUMMYFUNCTION("""COMPUTED_VALUE"""),211.0)</f>
        <v>211</v>
      </c>
      <c r="B212" s="28" t="str">
        <f>IFERROR(__xludf.DUMMYFUNCTION("""COMPUTED_VALUE"""),"NAYLATUL MAWADDAH")</f>
        <v>NAYLATUL MAWADDAH</v>
      </c>
      <c r="C212" s="28">
        <f>IFERROR(__xludf.DUMMYFUNCTION("""COMPUTED_VALUE"""),2.024070682E9)</f>
        <v>2024070682</v>
      </c>
      <c r="D212" s="27" t="str">
        <f>IFERROR(__xludf.DUMMYFUNCTION("""COMPUTED_VALUE"""),"C")</f>
        <v>C</v>
      </c>
      <c r="E212" s="27" t="str">
        <f>IFERROR(__xludf.DUMMYFUNCTION("""COMPUTED_VALUE"""),"C-8")</f>
        <v>C-8</v>
      </c>
      <c r="F212" s="31">
        <f>IFERROR(__xludf.DUMMYFUNCTION("""COMPUTED_VALUE"""),3.0)</f>
        <v>3</v>
      </c>
      <c r="G212" s="27" t="str">
        <f>IFERROR(__xludf.DUMMYFUNCTION("""COMPUTED_VALUE"""),"3 WUSTHO C PUTRI")</f>
        <v>3 WUSTHO C PUTRI</v>
      </c>
      <c r="H212" s="28" t="str">
        <f>IFERROR(__xludf.DUMMYFUNCTION("""COMPUTED_VALUE"""),"SMK-XII DKV")</f>
        <v>SMK-XII DKV</v>
      </c>
      <c r="I212" s="28" t="str">
        <f>IFERROR(__xludf.DUMMYFUNCTION("""COMPUTED_VALUE"""),"ZULIYATIN")</f>
        <v>ZULIYATIN</v>
      </c>
      <c r="J212" s="28" t="str">
        <f>IFERROR(__xludf.DUMMYFUNCTION("""COMPUTED_VALUE"""),"BANGERAN RT 006 RW 003 DUKUN GRESIK")</f>
        <v>BANGERAN RT 006 RW 003 DUKUN GRESIK</v>
      </c>
      <c r="K212" s="28" t="str">
        <f>IFERROR(__xludf.DUMMYFUNCTION("""COMPUTED_VALUE"""),"6285608738797")</f>
        <v>6285608738797</v>
      </c>
      <c r="L212" s="22">
        <f>IFERROR(__xludf.DUMMYFUNCTION("""COMPUTED_VALUE"""),450000.0)</f>
        <v>450000</v>
      </c>
      <c r="M212" s="22">
        <f>IFERROR(__xludf.DUMMYFUNCTION("""COMPUTED_VALUE"""),500000.0)</f>
        <v>500000</v>
      </c>
      <c r="N212" s="22">
        <f>IFERROR(__xludf.DUMMYFUNCTION("""COMPUTED_VALUE"""),0.0)</f>
        <v>0</v>
      </c>
      <c r="O212" s="22">
        <f>IFERROR(__xludf.DUMMYFUNCTION("""COMPUTED_VALUE"""),950000.0)</f>
        <v>950000</v>
      </c>
      <c r="P212" s="28" t="str">
        <f t="shared" si="1"/>
        <v>LUNAS</v>
      </c>
      <c r="Q212" s="28">
        <f t="shared" si="2"/>
        <v>114</v>
      </c>
      <c r="R212" s="28" t="str">
        <f t="shared" si="3"/>
        <v>NAYLATUL MAWADDAH</v>
      </c>
    </row>
    <row r="213">
      <c r="A213" s="27">
        <f>IFERROR(__xludf.DUMMYFUNCTION("""COMPUTED_VALUE"""),212.0)</f>
        <v>212</v>
      </c>
      <c r="B213" s="28" t="str">
        <f>IFERROR(__xludf.DUMMYFUNCTION("""COMPUTED_VALUE"""),"NURFUIMA LINDA HIDAYATI")</f>
        <v>NURFUIMA LINDA HIDAYATI</v>
      </c>
      <c r="C213" s="28">
        <f>IFERROR(__xludf.DUMMYFUNCTION("""COMPUTED_VALUE"""),2.024070357E9)</f>
        <v>2024070357</v>
      </c>
      <c r="D213" s="27" t="str">
        <f>IFERROR(__xludf.DUMMYFUNCTION("""COMPUTED_VALUE"""),"C")</f>
        <v>C</v>
      </c>
      <c r="E213" s="27" t="str">
        <f>IFERROR(__xludf.DUMMYFUNCTION("""COMPUTED_VALUE"""),"C-8")</f>
        <v>C-8</v>
      </c>
      <c r="F213" s="31">
        <f>IFERROR(__xludf.DUMMYFUNCTION("""COMPUTED_VALUE"""),3.0)</f>
        <v>3</v>
      </c>
      <c r="G213" s="27"/>
      <c r="H213" s="28" t="str">
        <f>IFERROR(__xludf.DUMMYFUNCTION("""COMPUTED_VALUE"""),"MA-XII.11")</f>
        <v>MA-XII.11</v>
      </c>
      <c r="I213" s="28" t="str">
        <f>IFERROR(__xludf.DUMMYFUNCTION("""COMPUTED_VALUE"""),"UMAIPAH")</f>
        <v>UMAIPAH</v>
      </c>
      <c r="J213" s="28" t="str">
        <f>IFERROR(__xludf.DUMMYFUNCTION("""COMPUTED_VALUE"""),"SAWO RT 009 RW 005 DUKUN GRESIK")</f>
        <v>SAWO RT 009 RW 005 DUKUN GRESIK</v>
      </c>
      <c r="K213" s="28" t="str">
        <f>IFERROR(__xludf.DUMMYFUNCTION("""COMPUTED_VALUE"""),"6285606170861")</f>
        <v>6285606170861</v>
      </c>
      <c r="L213" s="22">
        <f>IFERROR(__xludf.DUMMYFUNCTION("""COMPUTED_VALUE"""),450000.0)</f>
        <v>450000</v>
      </c>
      <c r="M213" s="22">
        <f>IFERROR(__xludf.DUMMYFUNCTION("""COMPUTED_VALUE"""),500000.0)</f>
        <v>500000</v>
      </c>
      <c r="N213" s="22">
        <f>IFERROR(__xludf.DUMMYFUNCTION("""COMPUTED_VALUE"""),0.0)</f>
        <v>0</v>
      </c>
      <c r="O213" s="22">
        <f>IFERROR(__xludf.DUMMYFUNCTION("""COMPUTED_VALUE"""),950000.0)</f>
        <v>950000</v>
      </c>
      <c r="P213" s="28" t="str">
        <f t="shared" si="1"/>
        <v>LUNAS</v>
      </c>
      <c r="Q213" s="28">
        <f t="shared" si="2"/>
        <v>115</v>
      </c>
      <c r="R213" s="28" t="str">
        <f t="shared" si="3"/>
        <v>NURFUIMA LINDA HIDAYATI</v>
      </c>
    </row>
    <row r="214">
      <c r="A214" s="27">
        <f>IFERROR(__xludf.DUMMYFUNCTION("""COMPUTED_VALUE"""),213.0)</f>
        <v>213</v>
      </c>
      <c r="B214" s="28" t="str">
        <f>IFERROR(__xludf.DUMMYFUNCTION("""COMPUTED_VALUE"""),"NURUL SYARIFAH AMALIA")</f>
        <v>NURUL SYARIFAH AMALIA</v>
      </c>
      <c r="C214" s="28">
        <f>IFERROR(__xludf.DUMMYFUNCTION("""COMPUTED_VALUE"""),2.02407005E9)</f>
        <v>2024070050</v>
      </c>
      <c r="D214" s="27" t="str">
        <f>IFERROR(__xludf.DUMMYFUNCTION("""COMPUTED_VALUE"""),"C")</f>
        <v>C</v>
      </c>
      <c r="E214" s="27" t="str">
        <f>IFERROR(__xludf.DUMMYFUNCTION("""COMPUTED_VALUE"""),"C-8")</f>
        <v>C-8</v>
      </c>
      <c r="F214" s="31">
        <f>IFERROR(__xludf.DUMMYFUNCTION("""COMPUTED_VALUE"""),3.0)</f>
        <v>3</v>
      </c>
      <c r="G214" s="27"/>
      <c r="H214" s="28" t="str">
        <f>IFERROR(__xludf.DUMMYFUNCTION("""COMPUTED_VALUE"""),"MA-XII.2")</f>
        <v>MA-XII.2</v>
      </c>
      <c r="I214" s="28" t="str">
        <f>IFERROR(__xludf.DUMMYFUNCTION("""COMPUTED_VALUE"""),"MUSLIHATUN")</f>
        <v>MUSLIHATUN</v>
      </c>
      <c r="J214" s="28" t="str">
        <f>IFERROR(__xludf.DUMMYFUNCTION("""COMPUTED_VALUE"""),"SAWO RT 009 RW 005 DUKUN GRESIK")</f>
        <v>SAWO RT 009 RW 005 DUKUN GRESIK</v>
      </c>
      <c r="K214" s="28" t="str">
        <f>IFERROR(__xludf.DUMMYFUNCTION("""COMPUTED_VALUE"""),"6281554030081")</f>
        <v>6281554030081</v>
      </c>
      <c r="L214" s="22">
        <f>IFERROR(__xludf.DUMMYFUNCTION("""COMPUTED_VALUE"""),0.0)</f>
        <v>0</v>
      </c>
      <c r="M214" s="22">
        <f>IFERROR(__xludf.DUMMYFUNCTION("""COMPUTED_VALUE"""),0.0)</f>
        <v>0</v>
      </c>
      <c r="N214" s="22">
        <f>IFERROR(__xludf.DUMMYFUNCTION("""COMPUTED_VALUE"""),0.0)</f>
        <v>0</v>
      </c>
      <c r="O214" s="22">
        <f>IFERROR(__xludf.DUMMYFUNCTION("""COMPUTED_VALUE"""),0.0)</f>
        <v>0</v>
      </c>
      <c r="P214" s="28" t="str">
        <f t="shared" si="1"/>
        <v>LUNAS</v>
      </c>
      <c r="Q214" s="28">
        <f t="shared" si="2"/>
        <v>227</v>
      </c>
      <c r="R214" s="28" t="str">
        <f t="shared" si="3"/>
        <v>NURUL SYARIFAH AMALIA</v>
      </c>
    </row>
    <row r="215">
      <c r="A215" s="27">
        <f>IFERROR(__xludf.DUMMYFUNCTION("""COMPUTED_VALUE"""),214.0)</f>
        <v>214</v>
      </c>
      <c r="B215" s="28" t="str">
        <f>IFERROR(__xludf.DUMMYFUNCTION("""COMPUTED_VALUE"""),"NURUN NAJWA ARROHMANIYAH")</f>
        <v>NURUN NAJWA ARROHMANIYAH</v>
      </c>
      <c r="C215" s="28">
        <f>IFERROR(__xludf.DUMMYFUNCTION("""COMPUTED_VALUE"""),2.024070119E9)</f>
        <v>2024070119</v>
      </c>
      <c r="D215" s="27" t="str">
        <f>IFERROR(__xludf.DUMMYFUNCTION("""COMPUTED_VALUE"""),"C")</f>
        <v>C</v>
      </c>
      <c r="E215" s="27" t="str">
        <f>IFERROR(__xludf.DUMMYFUNCTION("""COMPUTED_VALUE"""),"C-8")</f>
        <v>C-8</v>
      </c>
      <c r="F215" s="31">
        <f>IFERROR(__xludf.DUMMYFUNCTION("""COMPUTED_VALUE"""),3.0)</f>
        <v>3</v>
      </c>
      <c r="G215" s="27"/>
      <c r="H215" s="28" t="str">
        <f>IFERROR(__xludf.DUMMYFUNCTION("""COMPUTED_VALUE"""),"MA-XII.4")</f>
        <v>MA-XII.4</v>
      </c>
      <c r="I215" s="28" t="str">
        <f>IFERROR(__xludf.DUMMYFUNCTION("""COMPUTED_VALUE"""),"ZUBAIDAH")</f>
        <v>ZUBAIDAH</v>
      </c>
      <c r="J215" s="28" t="str">
        <f>IFERROR(__xludf.DUMMYFUNCTION("""COMPUTED_VALUE"""),"TRACAL RT 003 RW 002 KARANGGENENG LAMONGAN")</f>
        <v>TRACAL RT 003 RW 002 KARANGGENENG LAMONGAN</v>
      </c>
      <c r="K215" s="28" t="str">
        <f>IFERROR(__xludf.DUMMYFUNCTION("""COMPUTED_VALUE"""),"6285731338909")</f>
        <v>6285731338909</v>
      </c>
      <c r="L215" s="22">
        <f>IFERROR(__xludf.DUMMYFUNCTION("""COMPUTED_VALUE"""),0.0)</f>
        <v>0</v>
      </c>
      <c r="M215" s="22">
        <f>IFERROR(__xludf.DUMMYFUNCTION("""COMPUTED_VALUE"""),500000.0)</f>
        <v>500000</v>
      </c>
      <c r="N215" s="22">
        <f>IFERROR(__xludf.DUMMYFUNCTION("""COMPUTED_VALUE"""),0.0)</f>
        <v>0</v>
      </c>
      <c r="O215" s="22">
        <f>IFERROR(__xludf.DUMMYFUNCTION("""COMPUTED_VALUE"""),500000.0)</f>
        <v>500000</v>
      </c>
      <c r="P215" s="28" t="str">
        <f t="shared" si="1"/>
        <v>LUNAS</v>
      </c>
      <c r="Q215" s="28">
        <f t="shared" si="2"/>
        <v>137</v>
      </c>
      <c r="R215" s="28" t="str">
        <f t="shared" si="3"/>
        <v>NURUN NAJWA ARROHMANIYAH</v>
      </c>
    </row>
    <row r="216">
      <c r="A216" s="27">
        <f>IFERROR(__xludf.DUMMYFUNCTION("""COMPUTED_VALUE"""),215.0)</f>
        <v>215</v>
      </c>
      <c r="B216" s="28" t="str">
        <f>IFERROR(__xludf.DUMMYFUNCTION("""COMPUTED_VALUE"""),"SEPTIA ERRA RAMADHANI")</f>
        <v>SEPTIA ERRA RAMADHANI</v>
      </c>
      <c r="C216" s="28">
        <f>IFERROR(__xludf.DUMMYFUNCTION("""COMPUTED_VALUE"""),2.024070364E9)</f>
        <v>2024070364</v>
      </c>
      <c r="D216" s="27" t="str">
        <f>IFERROR(__xludf.DUMMYFUNCTION("""COMPUTED_VALUE"""),"C")</f>
        <v>C</v>
      </c>
      <c r="E216" s="27" t="str">
        <f>IFERROR(__xludf.DUMMYFUNCTION("""COMPUTED_VALUE"""),"C-8")</f>
        <v>C-8</v>
      </c>
      <c r="F216" s="31">
        <f>IFERROR(__xludf.DUMMYFUNCTION("""COMPUTED_VALUE"""),3.0)</f>
        <v>3</v>
      </c>
      <c r="G216" s="27" t="str">
        <f>IFERROR(__xludf.DUMMYFUNCTION("""COMPUTED_VALUE"""),"3 WUSTHO B PUTRI")</f>
        <v>3 WUSTHO B PUTRI</v>
      </c>
      <c r="H216" s="28" t="str">
        <f>IFERROR(__xludf.DUMMYFUNCTION("""COMPUTED_VALUE"""),"MA-XII.11")</f>
        <v>MA-XII.11</v>
      </c>
      <c r="I216" s="28" t="str">
        <f>IFERROR(__xludf.DUMMYFUNCTION("""COMPUTED_VALUE"""),"RINI SETYOWATI")</f>
        <v>RINI SETYOWATI</v>
      </c>
      <c r="J216" s="28" t="str">
        <f>IFERROR(__xludf.DUMMYFUNCTION("""COMPUTED_VALUE"""),"BAKALAN BANYUURIP RT 001 RW 003 KARANGBINANGUN LAMONGAN")</f>
        <v>BAKALAN BANYUURIP RT 001 RW 003 KARANGBINANGUN LAMONGAN</v>
      </c>
      <c r="K216" s="28" t="str">
        <f>IFERROR(__xludf.DUMMYFUNCTION("""COMPUTED_VALUE"""),"6285803383706")</f>
        <v>6285803383706</v>
      </c>
      <c r="L216" s="22">
        <f>IFERROR(__xludf.DUMMYFUNCTION("""COMPUTED_VALUE"""),0.0)</f>
        <v>0</v>
      </c>
      <c r="M216" s="22">
        <f>IFERROR(__xludf.DUMMYFUNCTION("""COMPUTED_VALUE"""),0.0)</f>
        <v>0</v>
      </c>
      <c r="N216" s="22">
        <f>IFERROR(__xludf.DUMMYFUNCTION("""COMPUTED_VALUE"""),0.0)</f>
        <v>0</v>
      </c>
      <c r="O216" s="22">
        <f>IFERROR(__xludf.DUMMYFUNCTION("""COMPUTED_VALUE"""),0.0)</f>
        <v>0</v>
      </c>
      <c r="P216" s="28" t="str">
        <f t="shared" si="1"/>
        <v>LUNAS</v>
      </c>
      <c r="Q216" s="28">
        <f t="shared" si="2"/>
        <v>228</v>
      </c>
      <c r="R216" s="28" t="str">
        <f t="shared" si="3"/>
        <v>SEPTIA ERRA RAMADHANI</v>
      </c>
    </row>
    <row r="217">
      <c r="A217" s="27">
        <f>IFERROR(__xludf.DUMMYFUNCTION("""COMPUTED_VALUE"""),216.0)</f>
        <v>216</v>
      </c>
      <c r="B217" s="28" t="str">
        <f>IFERROR(__xludf.DUMMYFUNCTION("""COMPUTED_VALUE"""),"SITI MUZAROTUS SHOBUROH")</f>
        <v>SITI MUZAROTUS SHOBUROH</v>
      </c>
      <c r="C217" s="28">
        <f>IFERROR(__xludf.DUMMYFUNCTION("""COMPUTED_VALUE"""),2.024070365E9)</f>
        <v>2024070365</v>
      </c>
      <c r="D217" s="27" t="str">
        <f>IFERROR(__xludf.DUMMYFUNCTION("""COMPUTED_VALUE"""),"C")</f>
        <v>C</v>
      </c>
      <c r="E217" s="27" t="str">
        <f>IFERROR(__xludf.DUMMYFUNCTION("""COMPUTED_VALUE"""),"C-8")</f>
        <v>C-8</v>
      </c>
      <c r="F217" s="31">
        <f>IFERROR(__xludf.DUMMYFUNCTION("""COMPUTED_VALUE"""),3.0)</f>
        <v>3</v>
      </c>
      <c r="G217" s="27" t="str">
        <f>IFERROR(__xludf.DUMMYFUNCTION("""COMPUTED_VALUE"""),"3 WUSTHO B PUTRI")</f>
        <v>3 WUSTHO B PUTRI</v>
      </c>
      <c r="H217" s="28" t="str">
        <f>IFERROR(__xludf.DUMMYFUNCTION("""COMPUTED_VALUE"""),"MA-XII.11")</f>
        <v>MA-XII.11</v>
      </c>
      <c r="I217" s="28" t="str">
        <f>IFERROR(__xludf.DUMMYFUNCTION("""COMPUTED_VALUE"""),"MUSA`ADAH")</f>
        <v>MUSA`ADAH</v>
      </c>
      <c r="J217" s="28" t="str">
        <f>IFERROR(__xludf.DUMMYFUNCTION("""COMPUTED_VALUE"""),"BAMBANG RT 004 RW 001 TURI LAMONGAN")</f>
        <v>BAMBANG RT 004 RW 001 TURI LAMONGAN</v>
      </c>
      <c r="K217" s="28" t="str">
        <f>IFERROR(__xludf.DUMMYFUNCTION("""COMPUTED_VALUE"""),"6285648285552")</f>
        <v>6285648285552</v>
      </c>
      <c r="L217" s="22">
        <f>IFERROR(__xludf.DUMMYFUNCTION("""COMPUTED_VALUE"""),2600000.0)</f>
        <v>2600000</v>
      </c>
      <c r="M217" s="22">
        <f>IFERROR(__xludf.DUMMYFUNCTION("""COMPUTED_VALUE"""),1000000.0)</f>
        <v>1000000</v>
      </c>
      <c r="N217" s="22">
        <f>IFERROR(__xludf.DUMMYFUNCTION("""COMPUTED_VALUE"""),350000.0)</f>
        <v>350000</v>
      </c>
      <c r="O217" s="22">
        <f>IFERROR(__xludf.DUMMYFUNCTION("""COMPUTED_VALUE"""),3950000.0)</f>
        <v>3950000</v>
      </c>
      <c r="P217" s="28" t="str">
        <f t="shared" si="1"/>
        <v>BELUM</v>
      </c>
      <c r="Q217" s="28">
        <f t="shared" si="2"/>
        <v>9</v>
      </c>
      <c r="R217" s="28" t="str">
        <f t="shared" si="3"/>
        <v>SITI MUZAROTUS SHOBUROH</v>
      </c>
    </row>
    <row r="218">
      <c r="A218" s="27">
        <f>IFERROR(__xludf.DUMMYFUNCTION("""COMPUTED_VALUE"""),217.0)</f>
        <v>217</v>
      </c>
      <c r="B218" s="28" t="str">
        <f>IFERROR(__xludf.DUMMYFUNCTION("""COMPUTED_VALUE"""),"SYIFAUS SAUQIYATUS SHOLIKHA")</f>
        <v>SYIFAUS SAUQIYATUS SHOLIKHA</v>
      </c>
      <c r="C218" s="28">
        <f>IFERROR(__xludf.DUMMYFUNCTION("""COMPUTED_VALUE"""),2.024070366E9)</f>
        <v>2024070366</v>
      </c>
      <c r="D218" s="27" t="str">
        <f>IFERROR(__xludf.DUMMYFUNCTION("""COMPUTED_VALUE"""),"C")</f>
        <v>C</v>
      </c>
      <c r="E218" s="27" t="str">
        <f>IFERROR(__xludf.DUMMYFUNCTION("""COMPUTED_VALUE"""),"C-8")</f>
        <v>C-8</v>
      </c>
      <c r="F218" s="31">
        <f>IFERROR(__xludf.DUMMYFUNCTION("""COMPUTED_VALUE"""),3.0)</f>
        <v>3</v>
      </c>
      <c r="G218" s="27" t="str">
        <f>IFERROR(__xludf.DUMMYFUNCTION("""COMPUTED_VALUE"""),"3 WUSTHO B PUTRI")</f>
        <v>3 WUSTHO B PUTRI</v>
      </c>
      <c r="H218" s="28" t="str">
        <f>IFERROR(__xludf.DUMMYFUNCTION("""COMPUTED_VALUE"""),"MA-XII.11")</f>
        <v>MA-XII.11</v>
      </c>
      <c r="I218" s="28" t="str">
        <f>IFERROR(__xludf.DUMMYFUNCTION("""COMPUTED_VALUE"""),"JUMI JABANIYA")</f>
        <v>JUMI JABANIYA</v>
      </c>
      <c r="J218" s="28" t="str">
        <f>IFERROR(__xludf.DUMMYFUNCTION("""COMPUTED_VALUE"""),"KENDUNG SEMEMI RT 1 RW 3 BENOWO SURABAYA")</f>
        <v>KENDUNG SEMEMI RT 1 RW 3 BENOWO SURABAYA</v>
      </c>
      <c r="K218" s="28" t="str">
        <f>IFERROR(__xludf.DUMMYFUNCTION("""COMPUTED_VALUE"""),"6285755519719")</f>
        <v>6285755519719</v>
      </c>
      <c r="L218" s="22">
        <f>IFERROR(__xludf.DUMMYFUNCTION("""COMPUTED_VALUE"""),0.0)</f>
        <v>0</v>
      </c>
      <c r="M218" s="22">
        <f>IFERROR(__xludf.DUMMYFUNCTION("""COMPUTED_VALUE"""),0.0)</f>
        <v>0</v>
      </c>
      <c r="N218" s="22">
        <f>IFERROR(__xludf.DUMMYFUNCTION("""COMPUTED_VALUE"""),0.0)</f>
        <v>0</v>
      </c>
      <c r="O218" s="22">
        <f>IFERROR(__xludf.DUMMYFUNCTION("""COMPUTED_VALUE"""),0.0)</f>
        <v>0</v>
      </c>
      <c r="P218" s="28" t="str">
        <f t="shared" si="1"/>
        <v>LUNAS</v>
      </c>
      <c r="Q218" s="28">
        <f t="shared" si="2"/>
        <v>229</v>
      </c>
      <c r="R218" s="28" t="str">
        <f t="shared" si="3"/>
        <v>SYIFAUS SAUQIYATUS SHOLIKHA</v>
      </c>
    </row>
    <row r="219">
      <c r="A219" s="27">
        <f>IFERROR(__xludf.DUMMYFUNCTION("""COMPUTED_VALUE"""),218.0)</f>
        <v>218</v>
      </c>
      <c r="B219" s="28" t="str">
        <f>IFERROR(__xludf.DUMMYFUNCTION("""COMPUTED_VALUE"""),"TALITHA NURUL QOLBI")</f>
        <v>TALITHA NURUL QOLBI</v>
      </c>
      <c r="C219" s="28">
        <f>IFERROR(__xludf.DUMMYFUNCTION("""COMPUTED_VALUE"""),2.024070056E9)</f>
        <v>2024070056</v>
      </c>
      <c r="D219" s="27" t="str">
        <f>IFERROR(__xludf.DUMMYFUNCTION("""COMPUTED_VALUE"""),"C")</f>
        <v>C</v>
      </c>
      <c r="E219" s="27" t="str">
        <f>IFERROR(__xludf.DUMMYFUNCTION("""COMPUTED_VALUE"""),"C-8")</f>
        <v>C-8</v>
      </c>
      <c r="F219" s="31">
        <f>IFERROR(__xludf.DUMMYFUNCTION("""COMPUTED_VALUE"""),3.0)</f>
        <v>3</v>
      </c>
      <c r="G219" s="27" t="str">
        <f>IFERROR(__xludf.DUMMYFUNCTION("""COMPUTED_VALUE"""),"3 WUSTHO A PUTRI")</f>
        <v>3 WUSTHO A PUTRI</v>
      </c>
      <c r="H219" s="28" t="str">
        <f>IFERROR(__xludf.DUMMYFUNCTION("""COMPUTED_VALUE"""),"MA-XII.2")</f>
        <v>MA-XII.2</v>
      </c>
      <c r="I219" s="28" t="str">
        <f>IFERROR(__xludf.DUMMYFUNCTION("""COMPUTED_VALUE"""),"SITI YATMIATUN NAFISAH")</f>
        <v>SITI YATMIATUN NAFISAH</v>
      </c>
      <c r="J219" s="28" t="str">
        <f>IFERROR(__xludf.DUMMYFUNCTION("""COMPUTED_VALUE"""),"SAWO RT 004 RW 002 DUKUN GRESIK")</f>
        <v>SAWO RT 004 RW 002 DUKUN GRESIK</v>
      </c>
      <c r="K219" s="28" t="str">
        <f>IFERROR(__xludf.DUMMYFUNCTION("""COMPUTED_VALUE"""),"6285851810683")</f>
        <v>6285851810683</v>
      </c>
      <c r="L219" s="22">
        <f>IFERROR(__xludf.DUMMYFUNCTION("""COMPUTED_VALUE"""),0.0)</f>
        <v>0</v>
      </c>
      <c r="M219" s="22">
        <f>IFERROR(__xludf.DUMMYFUNCTION("""COMPUTED_VALUE"""),0.0)</f>
        <v>0</v>
      </c>
      <c r="N219" s="22">
        <f>IFERROR(__xludf.DUMMYFUNCTION("""COMPUTED_VALUE"""),0.0)</f>
        <v>0</v>
      </c>
      <c r="O219" s="22">
        <f>IFERROR(__xludf.DUMMYFUNCTION("""COMPUTED_VALUE"""),0.0)</f>
        <v>0</v>
      </c>
      <c r="P219" s="28" t="str">
        <f t="shared" si="1"/>
        <v>LUNAS</v>
      </c>
      <c r="Q219" s="28">
        <f t="shared" si="2"/>
        <v>230</v>
      </c>
      <c r="R219" s="28" t="str">
        <f t="shared" si="3"/>
        <v>TALITHA NURUL QOLBI</v>
      </c>
    </row>
    <row r="220">
      <c r="A220" s="27">
        <f>IFERROR(__xludf.DUMMYFUNCTION("""COMPUTED_VALUE"""),219.0)</f>
        <v>219</v>
      </c>
      <c r="B220" s="28" t="str">
        <f>IFERROR(__xludf.DUMMYFUNCTION("""COMPUTED_VALUE"""),"YAYUK NISAUS SHOLAHIYYAH")</f>
        <v>YAYUK NISAUS SHOLAHIYYAH</v>
      </c>
      <c r="C220" s="28">
        <f>IFERROR(__xludf.DUMMYFUNCTION("""COMPUTED_VALUE"""),2.024070058E9)</f>
        <v>2024070058</v>
      </c>
      <c r="D220" s="27" t="str">
        <f>IFERROR(__xludf.DUMMYFUNCTION("""COMPUTED_VALUE"""),"C")</f>
        <v>C</v>
      </c>
      <c r="E220" s="27" t="str">
        <f>IFERROR(__xludf.DUMMYFUNCTION("""COMPUTED_VALUE"""),"C-8")</f>
        <v>C-8</v>
      </c>
      <c r="F220" s="31">
        <f>IFERROR(__xludf.DUMMYFUNCTION("""COMPUTED_VALUE"""),3.0)</f>
        <v>3</v>
      </c>
      <c r="G220" s="27" t="str">
        <f>IFERROR(__xludf.DUMMYFUNCTION("""COMPUTED_VALUE"""),"3 WUSTHO A PUTRI")</f>
        <v>3 WUSTHO A PUTRI</v>
      </c>
      <c r="H220" s="28" t="str">
        <f>IFERROR(__xludf.DUMMYFUNCTION("""COMPUTED_VALUE"""),"MA-XII.2")</f>
        <v>MA-XII.2</v>
      </c>
      <c r="I220" s="28" t="str">
        <f>IFERROR(__xludf.DUMMYFUNCTION("""COMPUTED_VALUE"""),"MUSAADAH")</f>
        <v>MUSAADAH</v>
      </c>
      <c r="J220" s="28" t="str">
        <f>IFERROR(__xludf.DUMMYFUNCTION("""COMPUTED_VALUE"""),"SAWO RT 002 RW 001 DUKUN GRESIK")</f>
        <v>SAWO RT 002 RW 001 DUKUN GRESIK</v>
      </c>
      <c r="K220" s="28" t="str">
        <f>IFERROR(__xludf.DUMMYFUNCTION("""COMPUTED_VALUE"""),"6285843745307")</f>
        <v>6285843745307</v>
      </c>
      <c r="L220" s="22">
        <f>IFERROR(__xludf.DUMMYFUNCTION("""COMPUTED_VALUE"""),0.0)</f>
        <v>0</v>
      </c>
      <c r="M220" s="22">
        <f>IFERROR(__xludf.DUMMYFUNCTION("""COMPUTED_VALUE"""),0.0)</f>
        <v>0</v>
      </c>
      <c r="N220" s="22">
        <f>IFERROR(__xludf.DUMMYFUNCTION("""COMPUTED_VALUE"""),0.0)</f>
        <v>0</v>
      </c>
      <c r="O220" s="22">
        <f>IFERROR(__xludf.DUMMYFUNCTION("""COMPUTED_VALUE"""),0.0)</f>
        <v>0</v>
      </c>
      <c r="P220" s="28" t="str">
        <f t="shared" si="1"/>
        <v>LUNAS</v>
      </c>
      <c r="Q220" s="28">
        <f t="shared" si="2"/>
        <v>231</v>
      </c>
      <c r="R220" s="28" t="str">
        <f t="shared" si="3"/>
        <v>YAYUK NISAUS SHOLAHIYYAH</v>
      </c>
    </row>
    <row r="221">
      <c r="A221" s="27">
        <f>IFERROR(__xludf.DUMMYFUNCTION("""COMPUTED_VALUE"""),220.0)</f>
        <v>220</v>
      </c>
      <c r="B221" s="28" t="str">
        <f>IFERROR(__xludf.DUMMYFUNCTION("""COMPUTED_VALUE"""),"ZAHWA LABIBA")</f>
        <v>ZAHWA LABIBA</v>
      </c>
      <c r="C221" s="28">
        <f>IFERROR(__xludf.DUMMYFUNCTION("""COMPUTED_VALUE"""),2.024070677E9)</f>
        <v>2024070677</v>
      </c>
      <c r="D221" s="27" t="str">
        <f>IFERROR(__xludf.DUMMYFUNCTION("""COMPUTED_VALUE"""),"C")</f>
        <v>C</v>
      </c>
      <c r="E221" s="27" t="str">
        <f>IFERROR(__xludf.DUMMYFUNCTION("""COMPUTED_VALUE"""),"C-8")</f>
        <v>C-8</v>
      </c>
      <c r="F221" s="31">
        <f>IFERROR(__xludf.DUMMYFUNCTION("""COMPUTED_VALUE"""),3.0)</f>
        <v>3</v>
      </c>
      <c r="G221" s="27" t="str">
        <f>IFERROR(__xludf.DUMMYFUNCTION("""COMPUTED_VALUE"""),"3 WUSTHO B PUTRI")</f>
        <v>3 WUSTHO B PUTRI</v>
      </c>
      <c r="H221" s="28" t="str">
        <f>IFERROR(__xludf.DUMMYFUNCTION("""COMPUTED_VALUE"""),"SMK-XII Ak")</f>
        <v>SMK-XII Ak</v>
      </c>
      <c r="I221" s="28" t="str">
        <f>IFERROR(__xludf.DUMMYFUNCTION("""COMPUTED_VALUE"""),"SITI KHOIRIYAH")</f>
        <v>SITI KHOIRIYAH</v>
      </c>
      <c r="J221" s="28" t="str">
        <f>IFERROR(__xludf.DUMMYFUNCTION("""COMPUTED_VALUE"""),"BANYUBANG RT 011 RW 003 SOLOKURO LAMONGAN")</f>
        <v>BANYUBANG RT 011 RW 003 SOLOKURO LAMONGAN</v>
      </c>
      <c r="K221" s="28" t="str">
        <f>IFERROR(__xludf.DUMMYFUNCTION("""COMPUTED_VALUE"""),"6285606127935")</f>
        <v>6285606127935</v>
      </c>
      <c r="L221" s="22">
        <f>IFERROR(__xludf.DUMMYFUNCTION("""COMPUTED_VALUE"""),0.0)</f>
        <v>0</v>
      </c>
      <c r="M221" s="22">
        <f>IFERROR(__xludf.DUMMYFUNCTION("""COMPUTED_VALUE"""),500000.0)</f>
        <v>500000</v>
      </c>
      <c r="N221" s="22">
        <f>IFERROR(__xludf.DUMMYFUNCTION("""COMPUTED_VALUE"""),0.0)</f>
        <v>0</v>
      </c>
      <c r="O221" s="22">
        <f>IFERROR(__xludf.DUMMYFUNCTION("""COMPUTED_VALUE"""),500000.0)</f>
        <v>500000</v>
      </c>
      <c r="P221" s="28" t="str">
        <f t="shared" si="1"/>
        <v>LUNAS</v>
      </c>
      <c r="Q221" s="28">
        <f t="shared" si="2"/>
        <v>138</v>
      </c>
      <c r="R221" s="28" t="str">
        <f t="shared" si="3"/>
        <v>ZAHWA LABIBA</v>
      </c>
    </row>
    <row r="222">
      <c r="A222" s="27">
        <f>IFERROR(__xludf.DUMMYFUNCTION("""COMPUTED_VALUE"""),221.0)</f>
        <v>221</v>
      </c>
      <c r="B222" s="28" t="str">
        <f>IFERROR(__xludf.DUMMYFUNCTION("""COMPUTED_VALUE"""),"ZAIDATUL ILMIYAH FIBRIANI")</f>
        <v>ZAIDATUL ILMIYAH FIBRIANI</v>
      </c>
      <c r="C222" s="28">
        <f>IFERROR(__xludf.DUMMYFUNCTION("""COMPUTED_VALUE"""),2.024070239E9)</f>
        <v>2024070239</v>
      </c>
      <c r="D222" s="27" t="str">
        <f>IFERROR(__xludf.DUMMYFUNCTION("""COMPUTED_VALUE"""),"C")</f>
        <v>C</v>
      </c>
      <c r="E222" s="27" t="str">
        <f>IFERROR(__xludf.DUMMYFUNCTION("""COMPUTED_VALUE"""),"C-8")</f>
        <v>C-8</v>
      </c>
      <c r="F222" s="31">
        <f>IFERROR(__xludf.DUMMYFUNCTION("""COMPUTED_VALUE"""),3.0)</f>
        <v>3</v>
      </c>
      <c r="G222" s="27"/>
      <c r="H222" s="28" t="str">
        <f>IFERROR(__xludf.DUMMYFUNCTION("""COMPUTED_VALUE"""),"MA-XII.6")</f>
        <v>MA-XII.6</v>
      </c>
      <c r="I222" s="28" t="str">
        <f>IFERROR(__xludf.DUMMYFUNCTION("""COMPUTED_VALUE"""),"HANIFAH")</f>
        <v>HANIFAH</v>
      </c>
      <c r="J222" s="28" t="str">
        <f>IFERROR(__xludf.DUMMYFUNCTION("""COMPUTED_VALUE"""),"BAMBANG RT 6 RW 2 TURI LAMONGAN")</f>
        <v>BAMBANG RT 6 RW 2 TURI LAMONGAN</v>
      </c>
      <c r="K222" s="28" t="str">
        <f>IFERROR(__xludf.DUMMYFUNCTION("""COMPUTED_VALUE"""),"6282333897800")</f>
        <v>6282333897800</v>
      </c>
      <c r="L222" s="22">
        <f>IFERROR(__xludf.DUMMYFUNCTION("""COMPUTED_VALUE"""),0.0)</f>
        <v>0</v>
      </c>
      <c r="M222" s="22">
        <f>IFERROR(__xludf.DUMMYFUNCTION("""COMPUTED_VALUE"""),0.0)</f>
        <v>0</v>
      </c>
      <c r="N222" s="22">
        <f>IFERROR(__xludf.DUMMYFUNCTION("""COMPUTED_VALUE"""),0.0)</f>
        <v>0</v>
      </c>
      <c r="O222" s="22">
        <f>IFERROR(__xludf.DUMMYFUNCTION("""COMPUTED_VALUE"""),0.0)</f>
        <v>0</v>
      </c>
      <c r="P222" s="28" t="str">
        <f t="shared" si="1"/>
        <v>LUNAS</v>
      </c>
      <c r="Q222" s="28">
        <f t="shared" si="2"/>
        <v>232</v>
      </c>
      <c r="R222" s="28" t="str">
        <f t="shared" si="3"/>
        <v>ZAIDATUL ILMIYAH FIBRIANI</v>
      </c>
    </row>
    <row r="223">
      <c r="A223" s="27">
        <f>IFERROR(__xludf.DUMMYFUNCTION("""COMPUTED_VALUE"""),222.0)</f>
        <v>222</v>
      </c>
      <c r="B223" s="28" t="str">
        <f>IFERROR(__xludf.DUMMYFUNCTION("""COMPUTED_VALUE"""),"ABIDAH OKTA SALSABILA")</f>
        <v>ABIDAH OKTA SALSABILA</v>
      </c>
      <c r="C223" s="28">
        <f>IFERROR(__xludf.DUMMYFUNCTION("""COMPUTED_VALUE"""),2.024070146E9)</f>
        <v>2024070146</v>
      </c>
      <c r="D223" s="27" t="str">
        <f>IFERROR(__xludf.DUMMYFUNCTION("""COMPUTED_VALUE"""),"C")</f>
        <v>C</v>
      </c>
      <c r="E223" s="27" t="str">
        <f>IFERROR(__xludf.DUMMYFUNCTION("""COMPUTED_VALUE"""),"C-9")</f>
        <v>C-9</v>
      </c>
      <c r="F223" s="31">
        <f>IFERROR(__xludf.DUMMYFUNCTION("""COMPUTED_VALUE"""),3.0)</f>
        <v>3</v>
      </c>
      <c r="G223" s="27" t="str">
        <f>IFERROR(__xludf.DUMMYFUNCTION("""COMPUTED_VALUE"""),"3 WUSTHO B PUTRI")</f>
        <v>3 WUSTHO B PUTRI</v>
      </c>
      <c r="H223" s="28" t="str">
        <f>IFERROR(__xludf.DUMMYFUNCTION("""COMPUTED_VALUE"""),"MA-XII.5")</f>
        <v>MA-XII.5</v>
      </c>
      <c r="I223" s="28" t="str">
        <f>IFERROR(__xludf.DUMMYFUNCTION("""COMPUTED_VALUE"""),"CICIK LUTFIANAH")</f>
        <v>CICIK LUTFIANAH</v>
      </c>
      <c r="J223" s="28" t="str">
        <f>IFERROR(__xludf.DUMMYFUNCTION("""COMPUTED_VALUE"""),"RANDEKAN RT 001 RW 001 KEMBANGBAHU LAMONGAN")</f>
        <v>RANDEKAN RT 001 RW 001 KEMBANGBAHU LAMONGAN</v>
      </c>
      <c r="K223" s="28" t="str">
        <f>IFERROR(__xludf.DUMMYFUNCTION("""COMPUTED_VALUE"""),"6285649525237")</f>
        <v>6285649525237</v>
      </c>
      <c r="L223" s="22">
        <f>IFERROR(__xludf.DUMMYFUNCTION("""COMPUTED_VALUE"""),450000.0)</f>
        <v>450000</v>
      </c>
      <c r="M223" s="22">
        <f>IFERROR(__xludf.DUMMYFUNCTION("""COMPUTED_VALUE"""),0.0)</f>
        <v>0</v>
      </c>
      <c r="N223" s="22">
        <f>IFERROR(__xludf.DUMMYFUNCTION("""COMPUTED_VALUE"""),0.0)</f>
        <v>0</v>
      </c>
      <c r="O223" s="22">
        <f>IFERROR(__xludf.DUMMYFUNCTION("""COMPUTED_VALUE"""),450000.0)</f>
        <v>450000</v>
      </c>
      <c r="P223" s="28" t="str">
        <f t="shared" si="1"/>
        <v>LUNAS</v>
      </c>
      <c r="Q223" s="28">
        <f t="shared" si="2"/>
        <v>152</v>
      </c>
      <c r="R223" s="28" t="str">
        <f t="shared" si="3"/>
        <v>ABIDAH OKTA SALSABILA</v>
      </c>
    </row>
    <row r="224">
      <c r="A224" s="27">
        <f>IFERROR(__xludf.DUMMYFUNCTION("""COMPUTED_VALUE"""),223.0)</f>
        <v>223</v>
      </c>
      <c r="B224" s="28" t="str">
        <f>IFERROR(__xludf.DUMMYFUNCTION("""COMPUTED_VALUE"""),"AHDA KAISYA BADAATIL MUFIDAH")</f>
        <v>AHDA KAISYA BADAATIL MUFIDAH</v>
      </c>
      <c r="C224" s="28">
        <f>IFERROR(__xludf.DUMMYFUNCTION("""COMPUTED_VALUE"""),2.024070322E9)</f>
        <v>2024070322</v>
      </c>
      <c r="D224" s="27" t="str">
        <f>IFERROR(__xludf.DUMMYFUNCTION("""COMPUTED_VALUE"""),"C")</f>
        <v>C</v>
      </c>
      <c r="E224" s="27" t="str">
        <f>IFERROR(__xludf.DUMMYFUNCTION("""COMPUTED_VALUE"""),"C-9")</f>
        <v>C-9</v>
      </c>
      <c r="F224" s="31">
        <f>IFERROR(__xludf.DUMMYFUNCTION("""COMPUTED_VALUE"""),3.0)</f>
        <v>3</v>
      </c>
      <c r="G224" s="27"/>
      <c r="H224" s="28" t="str">
        <f>IFERROR(__xludf.DUMMYFUNCTION("""COMPUTED_VALUE"""),"MA-XII.10")</f>
        <v>MA-XII.10</v>
      </c>
      <c r="I224" s="28" t="str">
        <f>IFERROR(__xludf.DUMMYFUNCTION("""COMPUTED_VALUE"""),"INAYATUL KARIMAH")</f>
        <v>INAYATUL KARIMAH</v>
      </c>
      <c r="J224" s="28" t="str">
        <f>IFERROR(__xludf.DUMMYFUNCTION("""COMPUTED_VALUE"""),"KEBET RT 008 RW 002 LAMONGAN LAMONGAN")</f>
        <v>KEBET RT 008 RW 002 LAMONGAN LAMONGAN</v>
      </c>
      <c r="K224" s="28" t="str">
        <f>IFERROR(__xludf.DUMMYFUNCTION("""COMPUTED_VALUE"""),"6285895759423")</f>
        <v>6285895759423</v>
      </c>
      <c r="L224" s="22">
        <f>IFERROR(__xludf.DUMMYFUNCTION("""COMPUTED_VALUE"""),0.0)</f>
        <v>0</v>
      </c>
      <c r="M224" s="22">
        <f>IFERROR(__xludf.DUMMYFUNCTION("""COMPUTED_VALUE"""),0.0)</f>
        <v>0</v>
      </c>
      <c r="N224" s="22">
        <f>IFERROR(__xludf.DUMMYFUNCTION("""COMPUTED_VALUE"""),0.0)</f>
        <v>0</v>
      </c>
      <c r="O224" s="22">
        <f>IFERROR(__xludf.DUMMYFUNCTION("""COMPUTED_VALUE"""),0.0)</f>
        <v>0</v>
      </c>
      <c r="P224" s="28" t="str">
        <f t="shared" si="1"/>
        <v>LUNAS</v>
      </c>
      <c r="Q224" s="28">
        <f t="shared" si="2"/>
        <v>233</v>
      </c>
      <c r="R224" s="28" t="str">
        <f t="shared" si="3"/>
        <v>AHDA KAISYA BADAATIL MUFIDAH</v>
      </c>
    </row>
    <row r="225">
      <c r="A225" s="27">
        <f>IFERROR(__xludf.DUMMYFUNCTION("""COMPUTED_VALUE"""),224.0)</f>
        <v>224</v>
      </c>
      <c r="B225" s="28" t="str">
        <f>IFERROR(__xludf.DUMMYFUNCTION("""COMPUTED_VALUE"""),"CERLITA VANIA NUGRAHENI")</f>
        <v>CERLITA VANIA NUGRAHENI</v>
      </c>
      <c r="C225" s="28">
        <f>IFERROR(__xludf.DUMMYFUNCTION("""COMPUTED_VALUE"""),2.024070107E9)</f>
        <v>2024070107</v>
      </c>
      <c r="D225" s="27" t="str">
        <f>IFERROR(__xludf.DUMMYFUNCTION("""COMPUTED_VALUE"""),"C")</f>
        <v>C</v>
      </c>
      <c r="E225" s="27" t="str">
        <f>IFERROR(__xludf.DUMMYFUNCTION("""COMPUTED_VALUE"""),"C-9")</f>
        <v>C-9</v>
      </c>
      <c r="F225" s="31">
        <f>IFERROR(__xludf.DUMMYFUNCTION("""COMPUTED_VALUE"""),3.0)</f>
        <v>3</v>
      </c>
      <c r="G225" s="27"/>
      <c r="H225" s="28" t="str">
        <f>IFERROR(__xludf.DUMMYFUNCTION("""COMPUTED_VALUE"""),"MA-XII.4")</f>
        <v>MA-XII.4</v>
      </c>
      <c r="I225" s="28" t="str">
        <f>IFERROR(__xludf.DUMMYFUNCTION("""COMPUTED_VALUE"""),"LILIS SUJIATI")</f>
        <v>LILIS SUJIATI</v>
      </c>
      <c r="J225" s="28" t="str">
        <f>IFERROR(__xludf.DUMMYFUNCTION("""COMPUTED_VALUE"""),"KULURAN RT 004 RW 002 KALITENGAH LAMONGAN")</f>
        <v>KULURAN RT 004 RW 002 KALITENGAH LAMONGAN</v>
      </c>
      <c r="K225" s="28" t="str">
        <f>IFERROR(__xludf.DUMMYFUNCTION("""COMPUTED_VALUE"""),"628563025554")</f>
        <v>628563025554</v>
      </c>
      <c r="L225" s="22">
        <f>IFERROR(__xludf.DUMMYFUNCTION("""COMPUTED_VALUE"""),0.0)</f>
        <v>0</v>
      </c>
      <c r="M225" s="22">
        <f>IFERROR(__xludf.DUMMYFUNCTION("""COMPUTED_VALUE"""),0.0)</f>
        <v>0</v>
      </c>
      <c r="N225" s="22">
        <f>IFERROR(__xludf.DUMMYFUNCTION("""COMPUTED_VALUE"""),0.0)</f>
        <v>0</v>
      </c>
      <c r="O225" s="22">
        <f>IFERROR(__xludf.DUMMYFUNCTION("""COMPUTED_VALUE"""),0.0)</f>
        <v>0</v>
      </c>
      <c r="P225" s="28" t="str">
        <f t="shared" si="1"/>
        <v>LUNAS</v>
      </c>
      <c r="Q225" s="28">
        <f t="shared" si="2"/>
        <v>234</v>
      </c>
      <c r="R225" s="28" t="str">
        <f t="shared" si="3"/>
        <v>CERLITA VANIA NUGRAHENI</v>
      </c>
    </row>
    <row r="226">
      <c r="A226" s="27">
        <f>IFERROR(__xludf.DUMMYFUNCTION("""COMPUTED_VALUE"""),225.0)</f>
        <v>225</v>
      </c>
      <c r="B226" s="28" t="str">
        <f>IFERROR(__xludf.DUMMYFUNCTION("""COMPUTED_VALUE"""),"DEWI LAILA ANISAH SHOFIYAH")</f>
        <v>DEWI LAILA ANISAH SHOFIYAH</v>
      </c>
      <c r="C226" s="28">
        <f>IFERROR(__xludf.DUMMYFUNCTION("""COMPUTED_VALUE"""),2.024070373E9)</f>
        <v>2024070373</v>
      </c>
      <c r="D226" s="27" t="str">
        <f>IFERROR(__xludf.DUMMYFUNCTION("""COMPUTED_VALUE"""),"C")</f>
        <v>C</v>
      </c>
      <c r="E226" s="27" t="str">
        <f>IFERROR(__xludf.DUMMYFUNCTION("""COMPUTED_VALUE"""),"C-9")</f>
        <v>C-9</v>
      </c>
      <c r="F226" s="31">
        <f>IFERROR(__xludf.DUMMYFUNCTION("""COMPUTED_VALUE"""),3.0)</f>
        <v>3</v>
      </c>
      <c r="G226" s="27" t="str">
        <f>IFERROR(__xludf.DUMMYFUNCTION("""COMPUTED_VALUE"""),"3 WUSTHO A PUTRI")</f>
        <v>3 WUSTHO A PUTRI</v>
      </c>
      <c r="H226" s="28" t="str">
        <f>IFERROR(__xludf.DUMMYFUNCTION("""COMPUTED_VALUE"""),"MA-XII.12")</f>
        <v>MA-XII.12</v>
      </c>
      <c r="I226" s="28" t="str">
        <f>IFERROR(__xludf.DUMMYFUNCTION("""COMPUTED_VALUE"""),"SITI ROKANI")</f>
        <v>SITI ROKANI</v>
      </c>
      <c r="J226" s="28" t="str">
        <f>IFERROR(__xludf.DUMMYFUNCTION("""COMPUTED_VALUE"""),"KADUNG KADUNGREMBUG RT 001 RW 005 SUKODADI LAMONGAN")</f>
        <v>KADUNG KADUNGREMBUG RT 001 RW 005 SUKODADI LAMONGAN</v>
      </c>
      <c r="K226" s="28" t="str">
        <f>IFERROR(__xludf.DUMMYFUNCTION("""COMPUTED_VALUE"""),"6285748023154")</f>
        <v>6285748023154</v>
      </c>
      <c r="L226" s="22">
        <f>IFERROR(__xludf.DUMMYFUNCTION("""COMPUTED_VALUE"""),0.0)</f>
        <v>0</v>
      </c>
      <c r="M226" s="22">
        <f>IFERROR(__xludf.DUMMYFUNCTION("""COMPUTED_VALUE"""),500000.0)</f>
        <v>500000</v>
      </c>
      <c r="N226" s="22">
        <f>IFERROR(__xludf.DUMMYFUNCTION("""COMPUTED_VALUE"""),0.0)</f>
        <v>0</v>
      </c>
      <c r="O226" s="22">
        <f>IFERROR(__xludf.DUMMYFUNCTION("""COMPUTED_VALUE"""),500000.0)</f>
        <v>500000</v>
      </c>
      <c r="P226" s="28" t="str">
        <f t="shared" si="1"/>
        <v>LUNAS</v>
      </c>
      <c r="Q226" s="28">
        <f t="shared" si="2"/>
        <v>139</v>
      </c>
      <c r="R226" s="28" t="str">
        <f t="shared" si="3"/>
        <v>DEWI LAILA ANISAH SHOFIYAH</v>
      </c>
    </row>
    <row r="227">
      <c r="A227" s="27">
        <f>IFERROR(__xludf.DUMMYFUNCTION("""COMPUTED_VALUE"""),226.0)</f>
        <v>226</v>
      </c>
      <c r="B227" s="28" t="str">
        <f>IFERROR(__xludf.DUMMYFUNCTION("""COMPUTED_VALUE"""),"EIRMA NAFISYAH ADILLAH")</f>
        <v>EIRMA NAFISYAH ADILLAH</v>
      </c>
      <c r="C227" s="28">
        <f>IFERROR(__xludf.DUMMYFUNCTION("""COMPUTED_VALUE"""),2.02407019E9)</f>
        <v>2024070190</v>
      </c>
      <c r="D227" s="27" t="str">
        <f>IFERROR(__xludf.DUMMYFUNCTION("""COMPUTED_VALUE"""),"C")</f>
        <v>C</v>
      </c>
      <c r="E227" s="27" t="str">
        <f>IFERROR(__xludf.DUMMYFUNCTION("""COMPUTED_VALUE"""),"C-9")</f>
        <v>C-9</v>
      </c>
      <c r="F227" s="31">
        <f>IFERROR(__xludf.DUMMYFUNCTION("""COMPUTED_VALUE"""),3.0)</f>
        <v>3</v>
      </c>
      <c r="G227" s="27" t="str">
        <f>IFERROR(__xludf.DUMMYFUNCTION("""COMPUTED_VALUE"""),"3 WUSTHO B PUTRI")</f>
        <v>3 WUSTHO B PUTRI</v>
      </c>
      <c r="H227" s="28" t="str">
        <f>IFERROR(__xludf.DUMMYFUNCTION("""COMPUTED_VALUE"""),"MA-XII.7")</f>
        <v>MA-XII.7</v>
      </c>
      <c r="I227" s="28" t="str">
        <f>IFERROR(__xludf.DUMMYFUNCTION("""COMPUTED_VALUE"""),"ENDANG SUGIARTI")</f>
        <v>ENDANG SUGIARTI</v>
      </c>
      <c r="J227" s="28" t="str">
        <f>IFERROR(__xludf.DUMMYFUNCTION("""COMPUTED_VALUE"""),"SHOBEROH DALEGAN RT 003 RW 009 PANCENG GRESIK")</f>
        <v>SHOBEROH DALEGAN RT 003 RW 009 PANCENG GRESIK</v>
      </c>
      <c r="K227" s="28" t="str">
        <f>IFERROR(__xludf.DUMMYFUNCTION("""COMPUTED_VALUE"""),"601163973701")</f>
        <v>601163973701</v>
      </c>
      <c r="L227" s="22">
        <f>IFERROR(__xludf.DUMMYFUNCTION("""COMPUTED_VALUE"""),2700000.0)</f>
        <v>2700000</v>
      </c>
      <c r="M227" s="22">
        <f>IFERROR(__xludf.DUMMYFUNCTION("""COMPUTED_VALUE"""),0.0)</f>
        <v>0</v>
      </c>
      <c r="N227" s="22">
        <f>IFERROR(__xludf.DUMMYFUNCTION("""COMPUTED_VALUE"""),0.0)</f>
        <v>0</v>
      </c>
      <c r="O227" s="22">
        <f>IFERROR(__xludf.DUMMYFUNCTION("""COMPUTED_VALUE"""),2700000.0)</f>
        <v>2700000</v>
      </c>
      <c r="P227" s="28" t="str">
        <f t="shared" si="1"/>
        <v>LUNAS</v>
      </c>
      <c r="Q227" s="28">
        <f t="shared" si="2"/>
        <v>20</v>
      </c>
      <c r="R227" s="28" t="str">
        <f t="shared" si="3"/>
        <v>EIRMA NAFISYAH ADILLAH</v>
      </c>
    </row>
    <row r="228">
      <c r="A228" s="27">
        <f>IFERROR(__xludf.DUMMYFUNCTION("""COMPUTED_VALUE"""),227.0)</f>
        <v>227</v>
      </c>
      <c r="B228" s="28" t="str">
        <f>IFERROR(__xludf.DUMMYFUNCTION("""COMPUTED_VALUE"""),"ELSA LAILATUN NIHAYAH")</f>
        <v>ELSA LAILATUN NIHAYAH</v>
      </c>
      <c r="C228" s="28">
        <f>IFERROR(__xludf.DUMMYFUNCTION("""COMPUTED_VALUE"""),2.024070112E9)</f>
        <v>2024070112</v>
      </c>
      <c r="D228" s="27" t="str">
        <f>IFERROR(__xludf.DUMMYFUNCTION("""COMPUTED_VALUE"""),"C")</f>
        <v>C</v>
      </c>
      <c r="E228" s="27" t="str">
        <f>IFERROR(__xludf.DUMMYFUNCTION("""COMPUTED_VALUE"""),"C-9")</f>
        <v>C-9</v>
      </c>
      <c r="F228" s="31">
        <f>IFERROR(__xludf.DUMMYFUNCTION("""COMPUTED_VALUE"""),3.0)</f>
        <v>3</v>
      </c>
      <c r="G228" s="27" t="str">
        <f>IFERROR(__xludf.DUMMYFUNCTION("""COMPUTED_VALUE"""),"3 WUSTHO B PUTRI")</f>
        <v>3 WUSTHO B PUTRI</v>
      </c>
      <c r="H228" s="28" t="str">
        <f>IFERROR(__xludf.DUMMYFUNCTION("""COMPUTED_VALUE"""),"MA-XII.4")</f>
        <v>MA-XII.4</v>
      </c>
      <c r="I228" s="28" t="str">
        <f>IFERROR(__xludf.DUMMYFUNCTION("""COMPUTED_VALUE"""),"KARMU")</f>
        <v>KARMU</v>
      </c>
      <c r="J228" s="28" t="str">
        <f>IFERROR(__xludf.DUMMYFUNCTION("""COMPUTED_VALUE"""),"CLURING RT 002 RW 002 KALITENGAH LAMONGAN")</f>
        <v>CLURING RT 002 RW 002 KALITENGAH LAMONGAN</v>
      </c>
      <c r="K228" s="28" t="str">
        <f>IFERROR(__xludf.DUMMYFUNCTION("""COMPUTED_VALUE"""),"6287794103025")</f>
        <v>6287794103025</v>
      </c>
      <c r="L228" s="22">
        <f>IFERROR(__xludf.DUMMYFUNCTION("""COMPUTED_VALUE"""),0.0)</f>
        <v>0</v>
      </c>
      <c r="M228" s="22">
        <f>IFERROR(__xludf.DUMMYFUNCTION("""COMPUTED_VALUE"""),500000.0)</f>
        <v>500000</v>
      </c>
      <c r="N228" s="22">
        <f>IFERROR(__xludf.DUMMYFUNCTION("""COMPUTED_VALUE"""),0.0)</f>
        <v>0</v>
      </c>
      <c r="O228" s="22">
        <f>IFERROR(__xludf.DUMMYFUNCTION("""COMPUTED_VALUE"""),500000.0)</f>
        <v>500000</v>
      </c>
      <c r="P228" s="28" t="str">
        <f t="shared" si="1"/>
        <v>LUNAS</v>
      </c>
      <c r="Q228" s="28">
        <f t="shared" si="2"/>
        <v>140</v>
      </c>
      <c r="R228" s="28" t="str">
        <f t="shared" si="3"/>
        <v>ELSA LAILATUN NIHAYAH</v>
      </c>
    </row>
    <row r="229">
      <c r="A229" s="27">
        <f>IFERROR(__xludf.DUMMYFUNCTION("""COMPUTED_VALUE"""),228.0)</f>
        <v>228</v>
      </c>
      <c r="B229" s="28" t="str">
        <f>IFERROR(__xludf.DUMMYFUNCTION("""COMPUTED_VALUE"""),"FAIQOTU NABILA")</f>
        <v>FAIQOTU NABILA</v>
      </c>
      <c r="C229" s="28">
        <f>IFERROR(__xludf.DUMMYFUNCTION("""COMPUTED_VALUE"""),2.024070346E9)</f>
        <v>2024070346</v>
      </c>
      <c r="D229" s="27" t="str">
        <f>IFERROR(__xludf.DUMMYFUNCTION("""COMPUTED_VALUE"""),"C")</f>
        <v>C</v>
      </c>
      <c r="E229" s="27" t="str">
        <f>IFERROR(__xludf.DUMMYFUNCTION("""COMPUTED_VALUE"""),"C-9")</f>
        <v>C-9</v>
      </c>
      <c r="F229" s="31">
        <f>IFERROR(__xludf.DUMMYFUNCTION("""COMPUTED_VALUE"""),3.0)</f>
        <v>3</v>
      </c>
      <c r="G229" s="27"/>
      <c r="H229" s="28" t="str">
        <f>IFERROR(__xludf.DUMMYFUNCTION("""COMPUTED_VALUE"""),"MA-XII.11")</f>
        <v>MA-XII.11</v>
      </c>
      <c r="I229" s="28" t="str">
        <f>IFERROR(__xludf.DUMMYFUNCTION("""COMPUTED_VALUE"""),"KASMUDAH")</f>
        <v>KASMUDAH</v>
      </c>
      <c r="J229" s="28" t="str">
        <f>IFERROR(__xludf.DUMMYFUNCTION("""COMPUTED_VALUE"""),"WEDENG SUKOREJO RT 001 RW 003 KARANGBINANGUNG LAMONGAN")</f>
        <v>WEDENG SUKOREJO RT 001 RW 003 KARANGBINANGUNG LAMONGAN</v>
      </c>
      <c r="K229" s="28" t="str">
        <f>IFERROR(__xludf.DUMMYFUNCTION("""COMPUTED_VALUE"""),"6285791219990")</f>
        <v>6285791219990</v>
      </c>
      <c r="L229" s="22">
        <f>IFERROR(__xludf.DUMMYFUNCTION("""COMPUTED_VALUE"""),900000.0)</f>
        <v>900000</v>
      </c>
      <c r="M229" s="22">
        <f>IFERROR(__xludf.DUMMYFUNCTION("""COMPUTED_VALUE"""),0.0)</f>
        <v>0</v>
      </c>
      <c r="N229" s="22">
        <f>IFERROR(__xludf.DUMMYFUNCTION("""COMPUTED_VALUE"""),0.0)</f>
        <v>0</v>
      </c>
      <c r="O229" s="22">
        <f>IFERROR(__xludf.DUMMYFUNCTION("""COMPUTED_VALUE"""),900000.0)</f>
        <v>900000</v>
      </c>
      <c r="P229" s="28" t="str">
        <f t="shared" si="1"/>
        <v>LUNAS</v>
      </c>
      <c r="Q229" s="28">
        <f t="shared" si="2"/>
        <v>122</v>
      </c>
      <c r="R229" s="28" t="str">
        <f t="shared" si="3"/>
        <v>FAIQOTU NABILA</v>
      </c>
    </row>
    <row r="230">
      <c r="A230" s="27">
        <f>IFERROR(__xludf.DUMMYFUNCTION("""COMPUTED_VALUE"""),229.0)</f>
        <v>229</v>
      </c>
      <c r="B230" s="28" t="str">
        <f>IFERROR(__xludf.DUMMYFUNCTION("""COMPUTED_VALUE"""),"FARADIVA AQILLA ELFARIANI")</f>
        <v>FARADIVA AQILLA ELFARIANI</v>
      </c>
      <c r="C230" s="28">
        <f>IFERROR(__xludf.DUMMYFUNCTION("""COMPUTED_VALUE"""),2.024070073E9)</f>
        <v>2024070073</v>
      </c>
      <c r="D230" s="27" t="str">
        <f>IFERROR(__xludf.DUMMYFUNCTION("""COMPUTED_VALUE"""),"C")</f>
        <v>C</v>
      </c>
      <c r="E230" s="27" t="str">
        <f>IFERROR(__xludf.DUMMYFUNCTION("""COMPUTED_VALUE"""),"C-9")</f>
        <v>C-9</v>
      </c>
      <c r="F230" s="31">
        <f>IFERROR(__xludf.DUMMYFUNCTION("""COMPUTED_VALUE"""),3.0)</f>
        <v>3</v>
      </c>
      <c r="G230" s="27" t="str">
        <f>IFERROR(__xludf.DUMMYFUNCTION("""COMPUTED_VALUE"""),"3 WUSTHO A PUTRI")</f>
        <v>3 WUSTHO A PUTRI</v>
      </c>
      <c r="H230" s="28" t="str">
        <f>IFERROR(__xludf.DUMMYFUNCTION("""COMPUTED_VALUE"""),"MA-XII.3")</f>
        <v>MA-XII.3</v>
      </c>
      <c r="I230" s="28" t="str">
        <f>IFERROR(__xludf.DUMMYFUNCTION("""COMPUTED_VALUE"""),"SRI PURWANI")</f>
        <v>SRI PURWANI</v>
      </c>
      <c r="J230" s="28" t="str">
        <f>IFERROR(__xludf.DUMMYFUNCTION("""COMPUTED_VALUE"""),"KAWISTOLEGI RT 002 RW 001 KARANGGENENG LAMONGAN")</f>
        <v>KAWISTOLEGI RT 002 RW 001 KARANGGENENG LAMONGAN</v>
      </c>
      <c r="K230" s="28" t="str">
        <f>IFERROR(__xludf.DUMMYFUNCTION("""COMPUTED_VALUE"""),"6285648727712")</f>
        <v>6285648727712</v>
      </c>
      <c r="L230" s="22">
        <f>IFERROR(__xludf.DUMMYFUNCTION("""COMPUTED_VALUE"""),450000.0)</f>
        <v>450000</v>
      </c>
      <c r="M230" s="22">
        <f>IFERROR(__xludf.DUMMYFUNCTION("""COMPUTED_VALUE"""),1000000.0)</f>
        <v>1000000</v>
      </c>
      <c r="N230" s="22">
        <f>IFERROR(__xludf.DUMMYFUNCTION("""COMPUTED_VALUE"""),0.0)</f>
        <v>0</v>
      </c>
      <c r="O230" s="22">
        <f>IFERROR(__xludf.DUMMYFUNCTION("""COMPUTED_VALUE"""),1450000.0)</f>
        <v>1450000</v>
      </c>
      <c r="P230" s="28" t="str">
        <f t="shared" si="1"/>
        <v>LUNAS</v>
      </c>
      <c r="Q230" s="28">
        <f t="shared" si="2"/>
        <v>46</v>
      </c>
      <c r="R230" s="28" t="str">
        <f t="shared" si="3"/>
        <v>FARADIVA AQILLA ELFARIANI</v>
      </c>
    </row>
    <row r="231">
      <c r="A231" s="27">
        <f>IFERROR(__xludf.DUMMYFUNCTION("""COMPUTED_VALUE"""),230.0)</f>
        <v>230</v>
      </c>
      <c r="B231" s="28" t="str">
        <f>IFERROR(__xludf.DUMMYFUNCTION("""COMPUTED_VALUE"""),"FATIMATUZZAHROH MUSOFFA")</f>
        <v>FATIMATUZZAHROH MUSOFFA</v>
      </c>
      <c r="C231" s="28">
        <f>IFERROR(__xludf.DUMMYFUNCTION("""COMPUTED_VALUE"""),2.024070045E9)</f>
        <v>2024070045</v>
      </c>
      <c r="D231" s="27" t="str">
        <f>IFERROR(__xludf.DUMMYFUNCTION("""COMPUTED_VALUE"""),"C")</f>
        <v>C</v>
      </c>
      <c r="E231" s="27" t="str">
        <f>IFERROR(__xludf.DUMMYFUNCTION("""COMPUTED_VALUE"""),"C-9")</f>
        <v>C-9</v>
      </c>
      <c r="F231" s="31">
        <f>IFERROR(__xludf.DUMMYFUNCTION("""COMPUTED_VALUE"""),3.0)</f>
        <v>3</v>
      </c>
      <c r="G231" s="27"/>
      <c r="H231" s="28" t="str">
        <f>IFERROR(__xludf.DUMMYFUNCTION("""COMPUTED_VALUE"""),"MA-XII.2")</f>
        <v>MA-XII.2</v>
      </c>
      <c r="I231" s="28" t="str">
        <f>IFERROR(__xludf.DUMMYFUNCTION("""COMPUTED_VALUE"""),"MUSLIMAH")</f>
        <v>MUSLIMAH</v>
      </c>
      <c r="J231" s="28" t="str">
        <f>IFERROR(__xludf.DUMMYFUNCTION("""COMPUTED_VALUE"""),"WEDENG SUKOREJO RT 002 RW 003 KARANGBINANGUN LAMONGAN")</f>
        <v>WEDENG SUKOREJO RT 002 RW 003 KARANGBINANGUN LAMONGAN</v>
      </c>
      <c r="K231" s="28" t="str">
        <f>IFERROR(__xludf.DUMMYFUNCTION("""COMPUTED_VALUE"""),"6285893727203")</f>
        <v>6285893727203</v>
      </c>
      <c r="L231" s="22">
        <f>IFERROR(__xludf.DUMMYFUNCTION("""COMPUTED_VALUE"""),0.0)</f>
        <v>0</v>
      </c>
      <c r="M231" s="22">
        <f>IFERROR(__xludf.DUMMYFUNCTION("""COMPUTED_VALUE"""),1000000.0)</f>
        <v>1000000</v>
      </c>
      <c r="N231" s="22">
        <f>IFERROR(__xludf.DUMMYFUNCTION("""COMPUTED_VALUE"""),0.0)</f>
        <v>0</v>
      </c>
      <c r="O231" s="22">
        <f>IFERROR(__xludf.DUMMYFUNCTION("""COMPUTED_VALUE"""),1000000.0)</f>
        <v>1000000</v>
      </c>
      <c r="P231" s="28" t="str">
        <f t="shared" si="1"/>
        <v>LUNAS</v>
      </c>
      <c r="Q231" s="28">
        <f t="shared" si="2"/>
        <v>107</v>
      </c>
      <c r="R231" s="28" t="str">
        <f t="shared" si="3"/>
        <v>FATIMATUZZAHROH MUSOFFA</v>
      </c>
    </row>
    <row r="232">
      <c r="A232" s="27">
        <f>IFERROR(__xludf.DUMMYFUNCTION("""COMPUTED_VALUE"""),231.0)</f>
        <v>231</v>
      </c>
      <c r="B232" s="28" t="str">
        <f>IFERROR(__xludf.DUMMYFUNCTION("""COMPUTED_VALUE"""),"HERAWATI ANGGRAINI")</f>
        <v>HERAWATI ANGGRAINI</v>
      </c>
      <c r="C232" s="28">
        <f>IFERROR(__xludf.DUMMYFUNCTION("""COMPUTED_VALUE"""),2.024070228E9)</f>
        <v>2024070228</v>
      </c>
      <c r="D232" s="27" t="str">
        <f>IFERROR(__xludf.DUMMYFUNCTION("""COMPUTED_VALUE"""),"C")</f>
        <v>C</v>
      </c>
      <c r="E232" s="27" t="str">
        <f>IFERROR(__xludf.DUMMYFUNCTION("""COMPUTED_VALUE"""),"C-9")</f>
        <v>C-9</v>
      </c>
      <c r="F232" s="31">
        <f>IFERROR(__xludf.DUMMYFUNCTION("""COMPUTED_VALUE"""),3.0)</f>
        <v>3</v>
      </c>
      <c r="G232" s="27" t="str">
        <f>IFERROR(__xludf.DUMMYFUNCTION("""COMPUTED_VALUE"""),"3 WUSTHO C PUTRI")</f>
        <v>3 WUSTHO C PUTRI</v>
      </c>
      <c r="H232" s="28" t="str">
        <f>IFERROR(__xludf.DUMMYFUNCTION("""COMPUTED_VALUE"""),"MA-XII.6")</f>
        <v>MA-XII.6</v>
      </c>
      <c r="I232" s="28" t="str">
        <f>IFERROR(__xludf.DUMMYFUNCTION("""COMPUTED_VALUE"""),"ZUNI INDRIANA")</f>
        <v>ZUNI INDRIANA</v>
      </c>
      <c r="J232" s="28" t="str">
        <f>IFERROR(__xludf.DUMMYFUNCTION("""COMPUTED_VALUE"""),"KADUNG KADUNGREMBUG RT 001 RW 003 SUKODADI LAMONGAN")</f>
        <v>KADUNG KADUNGREMBUG RT 001 RW 003 SUKODADI LAMONGAN</v>
      </c>
      <c r="K232" s="28" t="str">
        <f>IFERROR(__xludf.DUMMYFUNCTION("""COMPUTED_VALUE"""),"6285708807835")</f>
        <v>6285708807835</v>
      </c>
      <c r="L232" s="22">
        <f>IFERROR(__xludf.DUMMYFUNCTION("""COMPUTED_VALUE"""),0.0)</f>
        <v>0</v>
      </c>
      <c r="M232" s="22">
        <f>IFERROR(__xludf.DUMMYFUNCTION("""COMPUTED_VALUE"""),0.0)</f>
        <v>0</v>
      </c>
      <c r="N232" s="22">
        <f>IFERROR(__xludf.DUMMYFUNCTION("""COMPUTED_VALUE"""),0.0)</f>
        <v>0</v>
      </c>
      <c r="O232" s="22">
        <f>IFERROR(__xludf.DUMMYFUNCTION("""COMPUTED_VALUE"""),0.0)</f>
        <v>0</v>
      </c>
      <c r="P232" s="28" t="str">
        <f t="shared" si="1"/>
        <v>LUNAS</v>
      </c>
      <c r="Q232" s="28">
        <f t="shared" si="2"/>
        <v>235</v>
      </c>
      <c r="R232" s="28" t="str">
        <f t="shared" si="3"/>
        <v>HERAWATI ANGGRAINI</v>
      </c>
    </row>
    <row r="233">
      <c r="A233" s="27">
        <f>IFERROR(__xludf.DUMMYFUNCTION("""COMPUTED_VALUE"""),232.0)</f>
        <v>232</v>
      </c>
      <c r="B233" s="28" t="str">
        <f>IFERROR(__xludf.DUMMYFUNCTION("""COMPUTED_VALUE"""),"KHILDAH KHOIRINA")</f>
        <v>KHILDAH KHOIRINA</v>
      </c>
      <c r="C233" s="28">
        <f>IFERROR(__xludf.DUMMYFUNCTION("""COMPUTED_VALUE"""),2.024070078E9)</f>
        <v>2024070078</v>
      </c>
      <c r="D233" s="27" t="str">
        <f>IFERROR(__xludf.DUMMYFUNCTION("""COMPUTED_VALUE"""),"C")</f>
        <v>C</v>
      </c>
      <c r="E233" s="27" t="str">
        <f>IFERROR(__xludf.DUMMYFUNCTION("""COMPUTED_VALUE"""),"C-9")</f>
        <v>C-9</v>
      </c>
      <c r="F233" s="31">
        <f>IFERROR(__xludf.DUMMYFUNCTION("""COMPUTED_VALUE"""),3.0)</f>
        <v>3</v>
      </c>
      <c r="G233" s="27" t="str">
        <f>IFERROR(__xludf.DUMMYFUNCTION("""COMPUTED_VALUE"""),"3 WUSTHO A PUTRI")</f>
        <v>3 WUSTHO A PUTRI</v>
      </c>
      <c r="H233" s="28" t="str">
        <f>IFERROR(__xludf.DUMMYFUNCTION("""COMPUTED_VALUE"""),"MA-XII.3")</f>
        <v>MA-XII.3</v>
      </c>
      <c r="I233" s="28" t="str">
        <f>IFERROR(__xludf.DUMMYFUNCTION("""COMPUTED_VALUE"""),"AFWAH")</f>
        <v>AFWAH</v>
      </c>
      <c r="J233" s="28" t="str">
        <f>IFERROR(__xludf.DUMMYFUNCTION("""COMPUTED_VALUE"""),"IMAAN RT 002 RW 001 DUKUN GRESIK")</f>
        <v>IMAAN RT 002 RW 001 DUKUN GRESIK</v>
      </c>
      <c r="K233" s="28" t="str">
        <f>IFERROR(__xludf.DUMMYFUNCTION("""COMPUTED_VALUE"""),"628585908377")</f>
        <v>628585908377</v>
      </c>
      <c r="L233" s="22">
        <f>IFERROR(__xludf.DUMMYFUNCTION("""COMPUTED_VALUE"""),0.0)</f>
        <v>0</v>
      </c>
      <c r="M233" s="22">
        <f>IFERROR(__xludf.DUMMYFUNCTION("""COMPUTED_VALUE"""),0.0)</f>
        <v>0</v>
      </c>
      <c r="N233" s="22">
        <f>IFERROR(__xludf.DUMMYFUNCTION("""COMPUTED_VALUE"""),0.0)</f>
        <v>0</v>
      </c>
      <c r="O233" s="22">
        <f>IFERROR(__xludf.DUMMYFUNCTION("""COMPUTED_VALUE"""),0.0)</f>
        <v>0</v>
      </c>
      <c r="P233" s="28" t="str">
        <f t="shared" si="1"/>
        <v>LUNAS</v>
      </c>
      <c r="Q233" s="28">
        <f t="shared" si="2"/>
        <v>236</v>
      </c>
      <c r="R233" s="28" t="str">
        <f t="shared" si="3"/>
        <v>KHILDAH KHOIRINA</v>
      </c>
    </row>
    <row r="234">
      <c r="A234" s="27">
        <f>IFERROR(__xludf.DUMMYFUNCTION("""COMPUTED_VALUE"""),233.0)</f>
        <v>233</v>
      </c>
      <c r="B234" s="28" t="str">
        <f>IFERROR(__xludf.DUMMYFUNCTION("""COMPUTED_VALUE"""),"MALICHAH KAMILA ARIANI")</f>
        <v>MALICHAH KAMILA ARIANI</v>
      </c>
      <c r="C234" s="28">
        <f>IFERROR(__xludf.DUMMYFUNCTION("""COMPUTED_VALUE"""),2.024070331E9)</f>
        <v>2024070331</v>
      </c>
      <c r="D234" s="27" t="str">
        <f>IFERROR(__xludf.DUMMYFUNCTION("""COMPUTED_VALUE"""),"C")</f>
        <v>C</v>
      </c>
      <c r="E234" s="27" t="str">
        <f>IFERROR(__xludf.DUMMYFUNCTION("""COMPUTED_VALUE"""),"C-9")</f>
        <v>C-9</v>
      </c>
      <c r="F234" s="31">
        <f>IFERROR(__xludf.DUMMYFUNCTION("""COMPUTED_VALUE"""),3.0)</f>
        <v>3</v>
      </c>
      <c r="G234" s="27"/>
      <c r="H234" s="28" t="str">
        <f>IFERROR(__xludf.DUMMYFUNCTION("""COMPUTED_VALUE"""),"MA-XII.10")</f>
        <v>MA-XII.10</v>
      </c>
      <c r="I234" s="28" t="str">
        <f>IFERROR(__xludf.DUMMYFUNCTION("""COMPUTED_VALUE"""),"MACHMUDATUN NI`MAH")</f>
        <v>MACHMUDATUN NI`MAH</v>
      </c>
      <c r="J234" s="28" t="str">
        <f>IFERROR(__xludf.DUMMYFUNCTION("""COMPUTED_VALUE"""),"WONOKERTO RT 002 RW 001 DUKUN GRESIK")</f>
        <v>WONOKERTO RT 002 RW 001 DUKUN GRESIK</v>
      </c>
      <c r="K234" s="28" t="str">
        <f>IFERROR(__xludf.DUMMYFUNCTION("""COMPUTED_VALUE"""),"6285859618682")</f>
        <v>6285859618682</v>
      </c>
      <c r="L234" s="22">
        <f>IFERROR(__xludf.DUMMYFUNCTION("""COMPUTED_VALUE"""),0.0)</f>
        <v>0</v>
      </c>
      <c r="M234" s="22">
        <f>IFERROR(__xludf.DUMMYFUNCTION("""COMPUTED_VALUE"""),500000.0)</f>
        <v>500000</v>
      </c>
      <c r="N234" s="22">
        <f>IFERROR(__xludf.DUMMYFUNCTION("""COMPUTED_VALUE"""),0.0)</f>
        <v>0</v>
      </c>
      <c r="O234" s="22">
        <f>IFERROR(__xludf.DUMMYFUNCTION("""COMPUTED_VALUE"""),500000.0)</f>
        <v>500000</v>
      </c>
      <c r="P234" s="28" t="str">
        <f t="shared" si="1"/>
        <v>LUNAS</v>
      </c>
      <c r="Q234" s="28">
        <f t="shared" si="2"/>
        <v>141</v>
      </c>
      <c r="R234" s="28" t="str">
        <f t="shared" si="3"/>
        <v>MALICHAH KAMILA ARIANI</v>
      </c>
    </row>
    <row r="235">
      <c r="A235" s="27">
        <f>IFERROR(__xludf.DUMMYFUNCTION("""COMPUTED_VALUE"""),234.0)</f>
        <v>234</v>
      </c>
      <c r="B235" s="28" t="str">
        <f>IFERROR(__xludf.DUMMYFUNCTION("""COMPUTED_VALUE"""),"NUR IZZAH SYAFIRAH")</f>
        <v>NUR IZZAH SYAFIRAH</v>
      </c>
      <c r="C235" s="28">
        <f>IFERROR(__xludf.DUMMYFUNCTION("""COMPUTED_VALUE"""),2.024070234E9)</f>
        <v>2024070234</v>
      </c>
      <c r="D235" s="27" t="str">
        <f>IFERROR(__xludf.DUMMYFUNCTION("""COMPUTED_VALUE"""),"C")</f>
        <v>C</v>
      </c>
      <c r="E235" s="27" t="str">
        <f>IFERROR(__xludf.DUMMYFUNCTION("""COMPUTED_VALUE"""),"C-9")</f>
        <v>C-9</v>
      </c>
      <c r="F235" s="31">
        <f>IFERROR(__xludf.DUMMYFUNCTION("""COMPUTED_VALUE"""),3.0)</f>
        <v>3</v>
      </c>
      <c r="G235" s="27" t="str">
        <f>IFERROR(__xludf.DUMMYFUNCTION("""COMPUTED_VALUE"""),"3 WUSTHO B PUTRI")</f>
        <v>3 WUSTHO B PUTRI</v>
      </c>
      <c r="H235" s="28" t="str">
        <f>IFERROR(__xludf.DUMMYFUNCTION("""COMPUTED_VALUE"""),"MA-XII.6")</f>
        <v>MA-XII.6</v>
      </c>
      <c r="I235" s="28" t="str">
        <f>IFERROR(__xludf.DUMMYFUNCTION("""COMPUTED_VALUE"""),"UMU SAADAH")</f>
        <v>UMU SAADAH</v>
      </c>
      <c r="J235" s="28" t="str">
        <f>IFERROR(__xludf.DUMMYFUNCTION("""COMPUTED_VALUE"""),"KARANGCANGKRING RT 1 RW 1 DUKUN GRESIK")</f>
        <v>KARANGCANGKRING RT 1 RW 1 DUKUN GRESIK</v>
      </c>
      <c r="K235" s="28" t="str">
        <f>IFERROR(__xludf.DUMMYFUNCTION("""COMPUTED_VALUE"""),"6288235840830")</f>
        <v>6288235840830</v>
      </c>
      <c r="L235" s="22">
        <f>IFERROR(__xludf.DUMMYFUNCTION("""COMPUTED_VALUE"""),0.0)</f>
        <v>0</v>
      </c>
      <c r="M235" s="22">
        <f>IFERROR(__xludf.DUMMYFUNCTION("""COMPUTED_VALUE"""),500000.0)</f>
        <v>500000</v>
      </c>
      <c r="N235" s="22">
        <f>IFERROR(__xludf.DUMMYFUNCTION("""COMPUTED_VALUE"""),0.0)</f>
        <v>0</v>
      </c>
      <c r="O235" s="22">
        <f>IFERROR(__xludf.DUMMYFUNCTION("""COMPUTED_VALUE"""),500000.0)</f>
        <v>500000</v>
      </c>
      <c r="P235" s="28" t="str">
        <f t="shared" si="1"/>
        <v>LUNAS</v>
      </c>
      <c r="Q235" s="28">
        <f t="shared" si="2"/>
        <v>142</v>
      </c>
      <c r="R235" s="28" t="str">
        <f t="shared" si="3"/>
        <v>NUR IZZAH SYAFIRAH</v>
      </c>
    </row>
    <row r="236">
      <c r="A236" s="27">
        <f>IFERROR(__xludf.DUMMYFUNCTION("""COMPUTED_VALUE"""),235.0)</f>
        <v>235</v>
      </c>
      <c r="B236" s="28" t="str">
        <f>IFERROR(__xludf.DUMMYFUNCTION("""COMPUTED_VALUE"""),"SILVIA NUR FAIZAH")</f>
        <v>SILVIA NUR FAIZAH</v>
      </c>
      <c r="C236" s="28">
        <f>IFERROR(__xludf.DUMMYFUNCTION("""COMPUTED_VALUE"""),2.024070236E9)</f>
        <v>2024070236</v>
      </c>
      <c r="D236" s="27" t="str">
        <f>IFERROR(__xludf.DUMMYFUNCTION("""COMPUTED_VALUE"""),"C")</f>
        <v>C</v>
      </c>
      <c r="E236" s="27" t="str">
        <f>IFERROR(__xludf.DUMMYFUNCTION("""COMPUTED_VALUE"""),"C-9")</f>
        <v>C-9</v>
      </c>
      <c r="F236" s="31">
        <f>IFERROR(__xludf.DUMMYFUNCTION("""COMPUTED_VALUE"""),3.0)</f>
        <v>3</v>
      </c>
      <c r="G236" s="27" t="str">
        <f>IFERROR(__xludf.DUMMYFUNCTION("""COMPUTED_VALUE"""),"3 WUSTHO A PUTRI")</f>
        <v>3 WUSTHO A PUTRI</v>
      </c>
      <c r="H236" s="28" t="str">
        <f>IFERROR(__xludf.DUMMYFUNCTION("""COMPUTED_VALUE"""),"MA-XII.6")</f>
        <v>MA-XII.6</v>
      </c>
      <c r="I236" s="28" t="str">
        <f>IFERROR(__xludf.DUMMYFUNCTION("""COMPUTED_VALUE"""),"NURUL HIDAYATI")</f>
        <v>NURUL HIDAYATI</v>
      </c>
      <c r="J236" s="28" t="str">
        <f>IFERROR(__xludf.DUMMYFUNCTION("""COMPUTED_VALUE"""),"BALAN BANJAREJO RT 004 RW 006 SUKODADI LAMONGAN")</f>
        <v>BALAN BANJAREJO RT 004 RW 006 SUKODADI LAMONGAN</v>
      </c>
      <c r="K236" s="28" t="str">
        <f>IFERROR(__xludf.DUMMYFUNCTION("""COMPUTED_VALUE"""),"6285816435650")</f>
        <v>6285816435650</v>
      </c>
      <c r="L236" s="22">
        <f>IFERROR(__xludf.DUMMYFUNCTION("""COMPUTED_VALUE"""),0.0)</f>
        <v>0</v>
      </c>
      <c r="M236" s="22">
        <f>IFERROR(__xludf.DUMMYFUNCTION("""COMPUTED_VALUE"""),0.0)</f>
        <v>0</v>
      </c>
      <c r="N236" s="22">
        <f>IFERROR(__xludf.DUMMYFUNCTION("""COMPUTED_VALUE"""),0.0)</f>
        <v>0</v>
      </c>
      <c r="O236" s="22">
        <f>IFERROR(__xludf.DUMMYFUNCTION("""COMPUTED_VALUE"""),0.0)</f>
        <v>0</v>
      </c>
      <c r="P236" s="28" t="str">
        <f t="shared" si="1"/>
        <v>LUNAS</v>
      </c>
      <c r="Q236" s="28">
        <f t="shared" si="2"/>
        <v>237</v>
      </c>
      <c r="R236" s="28" t="str">
        <f t="shared" si="3"/>
        <v>SILVIA NUR FAIZAH</v>
      </c>
    </row>
    <row r="237">
      <c r="A237" s="27">
        <f>IFERROR(__xludf.DUMMYFUNCTION("""COMPUTED_VALUE"""),236.0)</f>
        <v>236</v>
      </c>
      <c r="B237" s="28" t="str">
        <f>IFERROR(__xludf.DUMMYFUNCTION("""COMPUTED_VALUE"""),"SITI FAIZATUDDAAROINI")</f>
        <v>SITI FAIZATUDDAAROINI</v>
      </c>
      <c r="C237" s="28">
        <f>IFERROR(__xludf.DUMMYFUNCTION("""COMPUTED_VALUE"""),2.024070164E9)</f>
        <v>2024070164</v>
      </c>
      <c r="D237" s="27" t="str">
        <f>IFERROR(__xludf.DUMMYFUNCTION("""COMPUTED_VALUE"""),"C")</f>
        <v>C</v>
      </c>
      <c r="E237" s="27" t="str">
        <f>IFERROR(__xludf.DUMMYFUNCTION("""COMPUTED_VALUE"""),"C-9")</f>
        <v>C-9</v>
      </c>
      <c r="F237" s="31">
        <f>IFERROR(__xludf.DUMMYFUNCTION("""COMPUTED_VALUE"""),3.0)</f>
        <v>3</v>
      </c>
      <c r="G237" s="27"/>
      <c r="H237" s="28" t="str">
        <f>IFERROR(__xludf.DUMMYFUNCTION("""COMPUTED_VALUE"""),"MA-XII.5")</f>
        <v>MA-XII.5</v>
      </c>
      <c r="I237" s="28" t="str">
        <f>IFERROR(__xludf.DUMMYFUNCTION("""COMPUTED_VALUE"""),"YUNY NOVIA ROHMAYANTI")</f>
        <v>YUNY NOVIA ROHMAYANTI</v>
      </c>
      <c r="J237" s="28" t="str">
        <f>IFERROR(__xludf.DUMMYFUNCTION("""COMPUTED_VALUE"""),"DRAJAT RT 002 RW 003 PACIRAN LAMONGAN")</f>
        <v>DRAJAT RT 002 RW 003 PACIRAN LAMONGAN</v>
      </c>
      <c r="K237" s="28" t="str">
        <f>IFERROR(__xludf.DUMMYFUNCTION("""COMPUTED_VALUE"""),"6289652609312")</f>
        <v>6289652609312</v>
      </c>
      <c r="L237" s="22">
        <f>IFERROR(__xludf.DUMMYFUNCTION("""COMPUTED_VALUE"""),0.0)</f>
        <v>0</v>
      </c>
      <c r="M237" s="22">
        <f>IFERROR(__xludf.DUMMYFUNCTION("""COMPUTED_VALUE"""),0.0)</f>
        <v>0</v>
      </c>
      <c r="N237" s="22">
        <f>IFERROR(__xludf.DUMMYFUNCTION("""COMPUTED_VALUE"""),0.0)</f>
        <v>0</v>
      </c>
      <c r="O237" s="22">
        <f>IFERROR(__xludf.DUMMYFUNCTION("""COMPUTED_VALUE"""),0.0)</f>
        <v>0</v>
      </c>
      <c r="P237" s="28" t="str">
        <f t="shared" si="1"/>
        <v>LUNAS</v>
      </c>
      <c r="Q237" s="28">
        <f t="shared" si="2"/>
        <v>238</v>
      </c>
      <c r="R237" s="28" t="str">
        <f t="shared" si="3"/>
        <v>SITI FAIZATUDDAAROINI</v>
      </c>
    </row>
    <row r="238">
      <c r="A238" s="27">
        <f>IFERROR(__xludf.DUMMYFUNCTION("""COMPUTED_VALUE"""),237.0)</f>
        <v>237</v>
      </c>
      <c r="B238" s="28" t="str">
        <f>IFERROR(__xludf.DUMMYFUNCTION("""COMPUTED_VALUE"""),"TALITA SHAFA AZALIA SALSABILA")</f>
        <v>TALITA SHAFA AZALIA SALSABILA</v>
      </c>
      <c r="C238" s="28">
        <f>IFERROR(__xludf.DUMMYFUNCTION("""COMPUTED_VALUE"""),2.024070126E9)</f>
        <v>2024070126</v>
      </c>
      <c r="D238" s="27" t="str">
        <f>IFERROR(__xludf.DUMMYFUNCTION("""COMPUTED_VALUE"""),"C")</f>
        <v>C</v>
      </c>
      <c r="E238" s="27" t="str">
        <f>IFERROR(__xludf.DUMMYFUNCTION("""COMPUTED_VALUE"""),"C-9")</f>
        <v>C-9</v>
      </c>
      <c r="F238" s="31">
        <f>IFERROR(__xludf.DUMMYFUNCTION("""COMPUTED_VALUE"""),3.0)</f>
        <v>3</v>
      </c>
      <c r="G238" s="27" t="str">
        <f>IFERROR(__xludf.DUMMYFUNCTION("""COMPUTED_VALUE"""),"3 WUSTHO B PUTRI")</f>
        <v>3 WUSTHO B PUTRI</v>
      </c>
      <c r="H238" s="28" t="str">
        <f>IFERROR(__xludf.DUMMYFUNCTION("""COMPUTED_VALUE"""),"MA-XII.4")</f>
        <v>MA-XII.4</v>
      </c>
      <c r="I238" s="28" t="str">
        <f>IFERROR(__xludf.DUMMYFUNCTION("""COMPUTED_VALUE"""),"SOFIA HERLINA")</f>
        <v>SOFIA HERLINA</v>
      </c>
      <c r="J238" s="28" t="str">
        <f>IFERROR(__xludf.DUMMYFUNCTION("""COMPUTED_VALUE"""),"BULUBRANGSI RT 002 RW 004 LAREN LAMONGAN")</f>
        <v>BULUBRANGSI RT 002 RW 004 LAREN LAMONGAN</v>
      </c>
      <c r="K238" s="28" t="str">
        <f>IFERROR(__xludf.DUMMYFUNCTION("""COMPUTED_VALUE"""),"6281654921035")</f>
        <v>6281654921035</v>
      </c>
      <c r="L238" s="22">
        <f>IFERROR(__xludf.DUMMYFUNCTION("""COMPUTED_VALUE"""),0.0)</f>
        <v>0</v>
      </c>
      <c r="M238" s="22">
        <f>IFERROR(__xludf.DUMMYFUNCTION("""COMPUTED_VALUE"""),0.0)</f>
        <v>0</v>
      </c>
      <c r="N238" s="22">
        <f>IFERROR(__xludf.DUMMYFUNCTION("""COMPUTED_VALUE"""),0.0)</f>
        <v>0</v>
      </c>
      <c r="O238" s="22">
        <f>IFERROR(__xludf.DUMMYFUNCTION("""COMPUTED_VALUE"""),0.0)</f>
        <v>0</v>
      </c>
      <c r="P238" s="28" t="str">
        <f t="shared" si="1"/>
        <v>LUNAS</v>
      </c>
      <c r="Q238" s="28">
        <f t="shared" si="2"/>
        <v>239</v>
      </c>
      <c r="R238" s="28" t="str">
        <f t="shared" si="3"/>
        <v>TALITA SHAFA AZALIA SALSABILA</v>
      </c>
    </row>
    <row r="239">
      <c r="A239" s="27">
        <f>IFERROR(__xludf.DUMMYFUNCTION("""COMPUTED_VALUE"""),238.0)</f>
        <v>238</v>
      </c>
      <c r="B239" s="28" t="str">
        <f>IFERROR(__xludf.DUMMYFUNCTION("""COMPUTED_VALUE"""),"YENI TRI KHUMAYROH")</f>
        <v>YENI TRI KHUMAYROH</v>
      </c>
      <c r="C239" s="28">
        <f>IFERROR(__xludf.DUMMYFUNCTION("""COMPUTED_VALUE"""),2.024070128E9)</f>
        <v>2024070128</v>
      </c>
      <c r="D239" s="27" t="str">
        <f>IFERROR(__xludf.DUMMYFUNCTION("""COMPUTED_VALUE"""),"C")</f>
        <v>C</v>
      </c>
      <c r="E239" s="27" t="str">
        <f>IFERROR(__xludf.DUMMYFUNCTION("""COMPUTED_VALUE"""),"C-9")</f>
        <v>C-9</v>
      </c>
      <c r="F239" s="31">
        <f>IFERROR(__xludf.DUMMYFUNCTION("""COMPUTED_VALUE"""),3.0)</f>
        <v>3</v>
      </c>
      <c r="G239" s="27"/>
      <c r="H239" s="28" t="str">
        <f>IFERROR(__xludf.DUMMYFUNCTION("""COMPUTED_VALUE"""),"MA-XII.4")</f>
        <v>MA-XII.4</v>
      </c>
      <c r="I239" s="28" t="str">
        <f>IFERROR(__xludf.DUMMYFUNCTION("""COMPUTED_VALUE"""),"SUNINGSIH")</f>
        <v>SUNINGSIH</v>
      </c>
      <c r="J239" s="28" t="str">
        <f>IFERROR(__xludf.DUMMYFUNCTION("""COMPUTED_VALUE"""),"NGIPRAK BUTUNGAN RT 002 RW 002 KALITENGAH LAMONGAN")</f>
        <v>NGIPRAK BUTUNGAN RT 002 RW 002 KALITENGAH LAMONGAN</v>
      </c>
      <c r="K239" s="28" t="str">
        <f>IFERROR(__xludf.DUMMYFUNCTION("""COMPUTED_VALUE"""),"6281249886881")</f>
        <v>6281249886881</v>
      </c>
      <c r="L239" s="22">
        <f>IFERROR(__xludf.DUMMYFUNCTION("""COMPUTED_VALUE"""),450000.0)</f>
        <v>450000</v>
      </c>
      <c r="M239" s="22">
        <f>IFERROR(__xludf.DUMMYFUNCTION("""COMPUTED_VALUE"""),500000.0)</f>
        <v>500000</v>
      </c>
      <c r="N239" s="22">
        <f>IFERROR(__xludf.DUMMYFUNCTION("""COMPUTED_VALUE"""),0.0)</f>
        <v>0</v>
      </c>
      <c r="O239" s="22">
        <f>IFERROR(__xludf.DUMMYFUNCTION("""COMPUTED_VALUE"""),950000.0)</f>
        <v>950000</v>
      </c>
      <c r="P239" s="28" t="str">
        <f t="shared" si="1"/>
        <v>LUNAS</v>
      </c>
      <c r="Q239" s="28">
        <f t="shared" si="2"/>
        <v>116</v>
      </c>
      <c r="R239" s="28" t="str">
        <f t="shared" si="3"/>
        <v>YENI TRI KHUMAYROH</v>
      </c>
    </row>
    <row r="240">
      <c r="A240" s="27">
        <f>IFERROR(__xludf.DUMMYFUNCTION("""COMPUTED_VALUE"""),239.0)</f>
        <v>239</v>
      </c>
      <c r="B240" s="28" t="str">
        <f>IFERROR(__xludf.DUMMYFUNCTION("""COMPUTED_VALUE"""),"ZAHROTUL FARIHAH")</f>
        <v>ZAHROTUL FARIHAH</v>
      </c>
      <c r="C240" s="28">
        <f>IFERROR(__xludf.DUMMYFUNCTION("""COMPUTED_VALUE"""),2.024070203E9)</f>
        <v>2024070203</v>
      </c>
      <c r="D240" s="27" t="str">
        <f>IFERROR(__xludf.DUMMYFUNCTION("""COMPUTED_VALUE"""),"C")</f>
        <v>C</v>
      </c>
      <c r="E240" s="27" t="str">
        <f>IFERROR(__xludf.DUMMYFUNCTION("""COMPUTED_VALUE"""),"C-9")</f>
        <v>C-9</v>
      </c>
      <c r="F240" s="31">
        <f>IFERROR(__xludf.DUMMYFUNCTION("""COMPUTED_VALUE"""),3.0)</f>
        <v>3</v>
      </c>
      <c r="G240" s="27" t="str">
        <f>IFERROR(__xludf.DUMMYFUNCTION("""COMPUTED_VALUE"""),"3 WUSTHO B PUTRI")</f>
        <v>3 WUSTHO B PUTRI</v>
      </c>
      <c r="H240" s="28" t="str">
        <f>IFERROR(__xludf.DUMMYFUNCTION("""COMPUTED_VALUE"""),"MA-XII.5")</f>
        <v>MA-XII.5</v>
      </c>
      <c r="I240" s="28" t="str">
        <f>IFERROR(__xludf.DUMMYFUNCTION("""COMPUTED_VALUE"""),"ILHASHOTUL ILMIYAH")</f>
        <v>ILHASHOTUL ILMIYAH</v>
      </c>
      <c r="J240" s="28" t="str">
        <f>IFERROR(__xludf.DUMMYFUNCTION("""COMPUTED_VALUE"""),"TEBLURU RT 008 RW 002 SOLOKURO LAMONGAN")</f>
        <v>TEBLURU RT 008 RW 002 SOLOKURO LAMONGAN</v>
      </c>
      <c r="K240" s="28" t="str">
        <f>IFERROR(__xludf.DUMMYFUNCTION("""COMPUTED_VALUE"""),"6281252470588")</f>
        <v>6281252470588</v>
      </c>
      <c r="L240" s="22">
        <f>IFERROR(__xludf.DUMMYFUNCTION("""COMPUTED_VALUE"""),0.0)</f>
        <v>0</v>
      </c>
      <c r="M240" s="22">
        <f>IFERROR(__xludf.DUMMYFUNCTION("""COMPUTED_VALUE"""),0.0)</f>
        <v>0</v>
      </c>
      <c r="N240" s="22">
        <f>IFERROR(__xludf.DUMMYFUNCTION("""COMPUTED_VALUE"""),0.0)</f>
        <v>0</v>
      </c>
      <c r="O240" s="22">
        <f>IFERROR(__xludf.DUMMYFUNCTION("""COMPUTED_VALUE"""),0.0)</f>
        <v>0</v>
      </c>
      <c r="P240" s="28" t="str">
        <f t="shared" si="1"/>
        <v>LUNAS</v>
      </c>
      <c r="Q240" s="28">
        <f t="shared" si="2"/>
        <v>240</v>
      </c>
      <c r="R240" s="28" t="str">
        <f t="shared" si="3"/>
        <v>ZAHROTUL FARIHAH</v>
      </c>
    </row>
    <row r="241">
      <c r="A241" s="27">
        <f>IFERROR(__xludf.DUMMYFUNCTION("""COMPUTED_VALUE"""),240.0)</f>
        <v>240</v>
      </c>
      <c r="B241" s="28" t="str">
        <f>IFERROR(__xludf.DUMMYFUNCTION("""COMPUTED_VALUE"""),"ARIS TANIA PUTRI")</f>
        <v>ARIS TANIA PUTRI</v>
      </c>
      <c r="C241" s="28">
        <f>IFERROR(__xludf.DUMMYFUNCTION("""COMPUTED_VALUE"""),2.025070346E9)</f>
        <v>2025070346</v>
      </c>
      <c r="D241" s="27" t="str">
        <f>IFERROR(__xludf.DUMMYFUNCTION("""COMPUTED_VALUE"""),"C")</f>
        <v>C</v>
      </c>
      <c r="E241" s="27"/>
      <c r="F241" s="31">
        <f>IFERROR(__xludf.DUMMYFUNCTION("""COMPUTED_VALUE"""),2.0)</f>
        <v>2</v>
      </c>
      <c r="G241" s="27" t="str">
        <f>IFERROR(__xludf.DUMMYFUNCTION("""COMPUTED_VALUE"""),"2 WUSTHO B PUTRI")</f>
        <v>2 WUSTHO B PUTRI</v>
      </c>
      <c r="H241" s="28" t="str">
        <f>IFERROR(__xludf.DUMMYFUNCTION("""COMPUTED_VALUE"""),"MA-XI.10")</f>
        <v>MA-XI.10</v>
      </c>
      <c r="I241" s="28" t="str">
        <f>IFERROR(__xludf.DUMMYFUNCTION("""COMPUTED_VALUE"""),"UMI SUNZAITIN")</f>
        <v>UMI SUNZAITIN</v>
      </c>
      <c r="J241" s="28" t="str">
        <f>IFERROR(__xludf.DUMMYFUNCTION("""COMPUTED_VALUE"""),"SUGIHAN RT 007 RW 002 SOLOKURO LAMONGAN")</f>
        <v>SUGIHAN RT 007 RW 002 SOLOKURO LAMONGAN</v>
      </c>
      <c r="K241" s="28" t="str">
        <f>IFERROR(__xludf.DUMMYFUNCTION("""COMPUTED_VALUE"""),"6285730004247")</f>
        <v>6285730004247</v>
      </c>
      <c r="L241" s="22">
        <f>IFERROR(__xludf.DUMMYFUNCTION("""COMPUTED_VALUE"""),0.0)</f>
        <v>0</v>
      </c>
      <c r="M241" s="22">
        <f>IFERROR(__xludf.DUMMYFUNCTION("""COMPUTED_VALUE"""),1000000.0)</f>
        <v>1000000</v>
      </c>
      <c r="N241" s="22">
        <f>IFERROR(__xludf.DUMMYFUNCTION("""COMPUTED_VALUE"""),0.0)</f>
        <v>0</v>
      </c>
      <c r="O241" s="22">
        <f>IFERROR(__xludf.DUMMYFUNCTION("""COMPUTED_VALUE"""),1000000.0)</f>
        <v>1000000</v>
      </c>
      <c r="P241" s="28" t="str">
        <f t="shared" si="1"/>
        <v>LUNAS</v>
      </c>
      <c r="Q241" s="28">
        <f t="shared" si="2"/>
        <v>108</v>
      </c>
      <c r="R241" s="28" t="str">
        <f t="shared" si="3"/>
        <v>ARIS TANIA PUTRI</v>
      </c>
    </row>
    <row r="242">
      <c r="A242" s="27">
        <f>IFERROR(__xludf.DUMMYFUNCTION("""COMPUTED_VALUE"""),241.0)</f>
        <v>241</v>
      </c>
      <c r="B242" s="28" t="str">
        <f>IFERROR(__xludf.DUMMYFUNCTION("""COMPUTED_VALUE"""),"EKA FADHILATUN NAFSI")</f>
        <v>EKA FADHILATUN NAFSI</v>
      </c>
      <c r="C242" s="28">
        <f>IFERROR(__xludf.DUMMYFUNCTION("""COMPUTED_VALUE"""),2.025070448E9)</f>
        <v>2025070448</v>
      </c>
      <c r="D242" s="27" t="str">
        <f>IFERROR(__xludf.DUMMYFUNCTION("""COMPUTED_VALUE"""),"C")</f>
        <v>C</v>
      </c>
      <c r="E242" s="27"/>
      <c r="F242" s="31">
        <f>IFERROR(__xludf.DUMMYFUNCTION("""COMPUTED_VALUE"""),2.0)</f>
        <v>2</v>
      </c>
      <c r="G242" s="27" t="str">
        <f>IFERROR(__xludf.DUMMYFUNCTION("""COMPUTED_VALUE"""),"WUSTHO")</f>
        <v>WUSTHO</v>
      </c>
      <c r="H242" s="28" t="str">
        <f>IFERROR(__xludf.DUMMYFUNCTION("""COMPUTED_VALUE"""),"#N/A")</f>
        <v>#N/A</v>
      </c>
      <c r="I242" s="28" t="str">
        <f>IFERROR(__xludf.DUMMYFUNCTION("""COMPUTED_VALUE"""),"SISWATI")</f>
        <v>SISWATI</v>
      </c>
      <c r="J242" s="28" t="str">
        <f>IFERROR(__xludf.DUMMYFUNCTION("""COMPUTED_VALUE"""),"GEDONDONG RT 001 RW 003 SARIREJO LAMONGAN")</f>
        <v>GEDONDONG RT 001 RW 003 SARIREJO LAMONGAN</v>
      </c>
      <c r="K242" s="28" t="str">
        <f>IFERROR(__xludf.DUMMYFUNCTION("""COMPUTED_VALUE"""),"6285964364794")</f>
        <v>6285964364794</v>
      </c>
      <c r="L242" s="22">
        <f>IFERROR(__xludf.DUMMYFUNCTION("""COMPUTED_VALUE"""),5400000.0)</f>
        <v>5400000</v>
      </c>
      <c r="M242" s="22">
        <f>IFERROR(__xludf.DUMMYFUNCTION("""COMPUTED_VALUE"""),1600000.0)</f>
        <v>1600000</v>
      </c>
      <c r="N242" s="22">
        <f>IFERROR(__xludf.DUMMYFUNCTION("""COMPUTED_VALUE"""),0.0)</f>
        <v>0</v>
      </c>
      <c r="O242" s="22">
        <f>IFERROR(__xludf.DUMMYFUNCTION("""COMPUTED_VALUE"""),7000000.0)</f>
        <v>7000000</v>
      </c>
      <c r="P242" s="28" t="str">
        <f t="shared" si="1"/>
        <v>LUNAS</v>
      </c>
      <c r="Q242" s="28">
        <f t="shared" si="2"/>
        <v>2</v>
      </c>
      <c r="R242" s="28" t="str">
        <f t="shared" si="3"/>
        <v>EKA FADHILATUN NAFSI</v>
      </c>
    </row>
    <row r="243">
      <c r="A243" s="27" t="str">
        <f>IFERROR(__xludf.DUMMYFUNCTION("""COMPUTED_VALUE"""),"")</f>
        <v/>
      </c>
      <c r="B243" s="28"/>
      <c r="C243" s="28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P243" s="28" t="str">
        <f t="shared" si="1"/>
        <v>LUNAS</v>
      </c>
      <c r="Q243" s="28">
        <f t="shared" si="2"/>
        <v>152</v>
      </c>
      <c r="R243" s="28" t="str">
        <f t="shared" si="3"/>
        <v/>
      </c>
    </row>
    <row r="244">
      <c r="A244" s="27" t="str">
        <f>IFERROR(__xludf.DUMMYFUNCTION("""COMPUTED_VALUE"""),"")</f>
        <v/>
      </c>
      <c r="B244" s="28"/>
      <c r="C244" s="28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P244" s="28" t="str">
        <f t="shared" si="1"/>
        <v>LUNAS</v>
      </c>
      <c r="Q244" s="28">
        <f t="shared" si="2"/>
        <v>152</v>
      </c>
      <c r="R244" s="28" t="str">
        <f t="shared" si="3"/>
        <v/>
      </c>
    </row>
    <row r="245">
      <c r="A245" s="27" t="str">
        <f>IFERROR(__xludf.DUMMYFUNCTION("""COMPUTED_VALUE"""),"")</f>
        <v/>
      </c>
      <c r="B245" s="28"/>
      <c r="C245" s="28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P245" s="28" t="str">
        <f t="shared" si="1"/>
        <v>LUNAS</v>
      </c>
      <c r="Q245" s="28">
        <f t="shared" si="2"/>
        <v>152</v>
      </c>
      <c r="R245" s="28" t="str">
        <f t="shared" si="3"/>
        <v/>
      </c>
    </row>
    <row r="246">
      <c r="A246" s="27" t="str">
        <f>IFERROR(__xludf.DUMMYFUNCTION("""COMPUTED_VALUE"""),"")</f>
        <v/>
      </c>
      <c r="B246" s="28"/>
      <c r="C246" s="28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P246" s="28" t="str">
        <f t="shared" si="1"/>
        <v>LUNAS</v>
      </c>
      <c r="Q246" s="28">
        <f t="shared" si="2"/>
        <v>152</v>
      </c>
      <c r="R246" s="28" t="str">
        <f t="shared" si="3"/>
        <v/>
      </c>
    </row>
    <row r="247">
      <c r="A247" s="27" t="str">
        <f>IFERROR(__xludf.DUMMYFUNCTION("""COMPUTED_VALUE"""),"")</f>
        <v/>
      </c>
      <c r="B247" s="28"/>
      <c r="C247" s="28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P247" s="28" t="str">
        <f t="shared" si="1"/>
        <v>LUNAS</v>
      </c>
      <c r="Q247" s="28">
        <f t="shared" si="2"/>
        <v>152</v>
      </c>
      <c r="R247" s="28" t="str">
        <f t="shared" si="3"/>
        <v/>
      </c>
    </row>
    <row r="248">
      <c r="A248" s="27" t="str">
        <f>IFERROR(__xludf.DUMMYFUNCTION("""COMPUTED_VALUE"""),"")</f>
        <v/>
      </c>
      <c r="B248" s="28"/>
      <c r="C248" s="28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P248" s="28" t="str">
        <f t="shared" si="1"/>
        <v>LUNAS</v>
      </c>
      <c r="Q248" s="28">
        <f t="shared" si="2"/>
        <v>152</v>
      </c>
      <c r="R248" s="28" t="str">
        <f t="shared" si="3"/>
        <v/>
      </c>
    </row>
    <row r="249">
      <c r="A249" s="27" t="str">
        <f>IFERROR(__xludf.DUMMYFUNCTION("""COMPUTED_VALUE"""),"")</f>
        <v/>
      </c>
      <c r="B249" s="28"/>
      <c r="C249" s="28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P249" s="28" t="str">
        <f t="shared" si="1"/>
        <v>LUNAS</v>
      </c>
      <c r="Q249" s="28">
        <f t="shared" si="2"/>
        <v>152</v>
      </c>
      <c r="R249" s="28" t="str">
        <f t="shared" si="3"/>
        <v/>
      </c>
    </row>
    <row r="250">
      <c r="A250" s="27" t="str">
        <f>IFERROR(__xludf.DUMMYFUNCTION("""COMPUTED_VALUE"""),"")</f>
        <v/>
      </c>
      <c r="B250" s="28"/>
      <c r="C250" s="28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P250" s="28" t="str">
        <f t="shared" si="1"/>
        <v>LUNAS</v>
      </c>
      <c r="Q250" s="28">
        <f t="shared" si="2"/>
        <v>152</v>
      </c>
      <c r="R250" s="28" t="str">
        <f t="shared" si="3"/>
        <v/>
      </c>
    </row>
    <row r="251">
      <c r="A251" s="27" t="str">
        <f>IFERROR(__xludf.DUMMYFUNCTION("""COMPUTED_VALUE"""),"")</f>
        <v/>
      </c>
      <c r="B251" s="28"/>
      <c r="C251" s="28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P251" s="28" t="str">
        <f t="shared" si="1"/>
        <v>LUNAS</v>
      </c>
      <c r="Q251" s="28">
        <f t="shared" si="2"/>
        <v>152</v>
      </c>
      <c r="R251" s="28" t="str">
        <f t="shared" si="3"/>
        <v/>
      </c>
    </row>
    <row r="252">
      <c r="A252" s="27" t="str">
        <f>IFERROR(__xludf.DUMMYFUNCTION("""COMPUTED_VALUE"""),"")</f>
        <v/>
      </c>
      <c r="B252" s="28"/>
      <c r="C252" s="28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P252" s="28" t="str">
        <f t="shared" si="1"/>
        <v>LUNAS</v>
      </c>
      <c r="Q252" s="28">
        <f t="shared" si="2"/>
        <v>152</v>
      </c>
      <c r="R252" s="28" t="str">
        <f t="shared" si="3"/>
        <v/>
      </c>
    </row>
    <row r="253">
      <c r="A253" s="27" t="str">
        <f>IFERROR(__xludf.DUMMYFUNCTION("""COMPUTED_VALUE"""),"")</f>
        <v/>
      </c>
      <c r="B253" s="28"/>
      <c r="C253" s="28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P253" s="28" t="str">
        <f t="shared" si="1"/>
        <v>LUNAS</v>
      </c>
      <c r="Q253" s="28">
        <f t="shared" si="2"/>
        <v>152</v>
      </c>
      <c r="R253" s="28" t="str">
        <f t="shared" si="3"/>
        <v/>
      </c>
    </row>
    <row r="254">
      <c r="A254" s="27" t="str">
        <f>IFERROR(__xludf.DUMMYFUNCTION("""COMPUTED_VALUE"""),"")</f>
        <v/>
      </c>
      <c r="B254" s="28"/>
      <c r="C254" s="28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P254" s="28" t="str">
        <f t="shared" si="1"/>
        <v>LUNAS</v>
      </c>
      <c r="Q254" s="28">
        <f t="shared" si="2"/>
        <v>152</v>
      </c>
      <c r="R254" s="28" t="str">
        <f t="shared" si="3"/>
        <v/>
      </c>
    </row>
    <row r="255">
      <c r="A255" s="27" t="str">
        <f>IFERROR(__xludf.DUMMYFUNCTION("""COMPUTED_VALUE"""),"")</f>
        <v/>
      </c>
      <c r="B255" s="28"/>
      <c r="C255" s="28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P255" s="28" t="str">
        <f t="shared" si="1"/>
        <v>LUNAS</v>
      </c>
      <c r="Q255" s="28">
        <f t="shared" si="2"/>
        <v>152</v>
      </c>
      <c r="R255" s="28" t="str">
        <f t="shared" si="3"/>
        <v/>
      </c>
    </row>
    <row r="256">
      <c r="A256" s="27" t="str">
        <f>IFERROR(__xludf.DUMMYFUNCTION("""COMPUTED_VALUE"""),"")</f>
        <v/>
      </c>
      <c r="B256" s="28"/>
      <c r="C256" s="28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P256" s="28" t="str">
        <f t="shared" si="1"/>
        <v>LUNAS</v>
      </c>
      <c r="Q256" s="28">
        <f t="shared" si="2"/>
        <v>152</v>
      </c>
      <c r="R256" s="28" t="str">
        <f t="shared" si="3"/>
        <v/>
      </c>
    </row>
    <row r="257">
      <c r="A257" s="27" t="str">
        <f>IFERROR(__xludf.DUMMYFUNCTION("""COMPUTED_VALUE"""),"")</f>
        <v/>
      </c>
      <c r="B257" s="28"/>
      <c r="C257" s="28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P257" s="28" t="str">
        <f t="shared" si="1"/>
        <v>LUNAS</v>
      </c>
      <c r="Q257" s="28">
        <f t="shared" si="2"/>
        <v>152</v>
      </c>
      <c r="R257" s="28" t="str">
        <f t="shared" si="3"/>
        <v/>
      </c>
    </row>
    <row r="258">
      <c r="A258" s="27" t="str">
        <f>IFERROR(__xludf.DUMMYFUNCTION("""COMPUTED_VALUE"""),"")</f>
        <v/>
      </c>
      <c r="B258" s="28"/>
      <c r="C258" s="28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P258" s="28" t="str">
        <f t="shared" si="1"/>
        <v>LUNAS</v>
      </c>
      <c r="Q258" s="28">
        <f t="shared" si="2"/>
        <v>152</v>
      </c>
      <c r="R258" s="28" t="str">
        <f t="shared" si="3"/>
        <v/>
      </c>
    </row>
    <row r="259">
      <c r="A259" s="27" t="str">
        <f>IFERROR(__xludf.DUMMYFUNCTION("""COMPUTED_VALUE"""),"")</f>
        <v/>
      </c>
      <c r="B259" s="28"/>
      <c r="C259" s="28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P259" s="28" t="str">
        <f t="shared" si="1"/>
        <v>LUNAS</v>
      </c>
      <c r="Q259" s="28">
        <f t="shared" si="2"/>
        <v>152</v>
      </c>
      <c r="R259" s="28" t="str">
        <f t="shared" si="3"/>
        <v/>
      </c>
    </row>
    <row r="260">
      <c r="A260" s="27" t="str">
        <f>IFERROR(__xludf.DUMMYFUNCTION("""COMPUTED_VALUE"""),"")</f>
        <v/>
      </c>
      <c r="B260" s="28"/>
      <c r="C260" s="28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P260" s="28" t="str">
        <f t="shared" si="1"/>
        <v>LUNAS</v>
      </c>
      <c r="Q260" s="28">
        <f t="shared" si="2"/>
        <v>152</v>
      </c>
      <c r="R260" s="28" t="str">
        <f t="shared" si="3"/>
        <v/>
      </c>
    </row>
    <row r="261">
      <c r="A261" s="27" t="str">
        <f>IFERROR(__xludf.DUMMYFUNCTION("""COMPUTED_VALUE"""),"")</f>
        <v/>
      </c>
      <c r="B261" s="28"/>
      <c r="C261" s="28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P261" s="28" t="str">
        <f t="shared" si="1"/>
        <v>LUNAS</v>
      </c>
      <c r="Q261" s="28">
        <f t="shared" si="2"/>
        <v>152</v>
      </c>
      <c r="R261" s="28" t="str">
        <f t="shared" si="3"/>
        <v/>
      </c>
    </row>
    <row r="262">
      <c r="A262" s="27" t="str">
        <f>IFERROR(__xludf.DUMMYFUNCTION("""COMPUTED_VALUE"""),"")</f>
        <v/>
      </c>
      <c r="B262" s="28"/>
      <c r="C262" s="28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P262" s="28" t="str">
        <f t="shared" si="1"/>
        <v>LUNAS</v>
      </c>
      <c r="Q262" s="28">
        <f t="shared" si="2"/>
        <v>152</v>
      </c>
      <c r="R262" s="28" t="str">
        <f t="shared" si="3"/>
        <v/>
      </c>
    </row>
    <row r="263">
      <c r="A263" s="27" t="str">
        <f>IFERROR(__xludf.DUMMYFUNCTION("""COMPUTED_VALUE"""),"")</f>
        <v/>
      </c>
      <c r="B263" s="28"/>
      <c r="C263" s="28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P263" s="28" t="str">
        <f t="shared" si="1"/>
        <v>LUNAS</v>
      </c>
      <c r="Q263" s="28">
        <f t="shared" si="2"/>
        <v>152</v>
      </c>
      <c r="R263" s="28" t="str">
        <f t="shared" si="3"/>
        <v/>
      </c>
    </row>
    <row r="264">
      <c r="A264" s="27" t="str">
        <f>IFERROR(__xludf.DUMMYFUNCTION("""COMPUTED_VALUE"""),"")</f>
        <v/>
      </c>
      <c r="B264" s="28"/>
      <c r="C264" s="28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P264" s="28" t="str">
        <f t="shared" si="1"/>
        <v>LUNAS</v>
      </c>
      <c r="Q264" s="28">
        <f t="shared" si="2"/>
        <v>152</v>
      </c>
      <c r="R264" s="28" t="str">
        <f t="shared" si="3"/>
        <v/>
      </c>
    </row>
    <row r="265">
      <c r="A265" s="27" t="str">
        <f>IFERROR(__xludf.DUMMYFUNCTION("""COMPUTED_VALUE"""),"")</f>
        <v/>
      </c>
      <c r="B265" s="28"/>
      <c r="C265" s="28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P265" s="28" t="str">
        <f t="shared" si="1"/>
        <v>LUNAS</v>
      </c>
      <c r="Q265" s="28">
        <f t="shared" si="2"/>
        <v>152</v>
      </c>
      <c r="R265" s="28" t="str">
        <f t="shared" si="3"/>
        <v/>
      </c>
    </row>
    <row r="266">
      <c r="A266" s="27" t="str">
        <f>IFERROR(__xludf.DUMMYFUNCTION("""COMPUTED_VALUE"""),"")</f>
        <v/>
      </c>
      <c r="B266" s="28"/>
      <c r="C266" s="28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P266" s="28" t="str">
        <f t="shared" si="1"/>
        <v>LUNAS</v>
      </c>
      <c r="Q266" s="28">
        <f t="shared" si="2"/>
        <v>152</v>
      </c>
      <c r="R266" s="28" t="str">
        <f t="shared" si="3"/>
        <v/>
      </c>
    </row>
    <row r="267">
      <c r="A267" s="27" t="str">
        <f>IFERROR(__xludf.DUMMYFUNCTION("""COMPUTED_VALUE"""),"")</f>
        <v/>
      </c>
      <c r="B267" s="28"/>
      <c r="C267" s="28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P267" s="28" t="str">
        <f t="shared" si="1"/>
        <v>LUNAS</v>
      </c>
      <c r="Q267" s="28">
        <f t="shared" si="2"/>
        <v>152</v>
      </c>
      <c r="R267" s="28" t="str">
        <f t="shared" si="3"/>
        <v/>
      </c>
    </row>
    <row r="268">
      <c r="A268" s="27" t="str">
        <f>IFERROR(__xludf.DUMMYFUNCTION("""COMPUTED_VALUE"""),"")</f>
        <v/>
      </c>
      <c r="B268" s="28"/>
      <c r="C268" s="28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P268" s="28" t="str">
        <f t="shared" si="1"/>
        <v>LUNAS</v>
      </c>
      <c r="Q268" s="28">
        <f t="shared" si="2"/>
        <v>152</v>
      </c>
      <c r="R268" s="28" t="str">
        <f t="shared" si="3"/>
        <v/>
      </c>
    </row>
    <row r="269">
      <c r="A269" s="27" t="str">
        <f>IFERROR(__xludf.DUMMYFUNCTION("""COMPUTED_VALUE"""),"")</f>
        <v/>
      </c>
      <c r="B269" s="28"/>
      <c r="C269" s="28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P269" s="28" t="str">
        <f t="shared" si="1"/>
        <v>LUNAS</v>
      </c>
      <c r="Q269" s="28">
        <f t="shared" si="2"/>
        <v>152</v>
      </c>
      <c r="R269" s="28" t="str">
        <f t="shared" si="3"/>
        <v/>
      </c>
    </row>
    <row r="270">
      <c r="A270" s="27" t="str">
        <f>IFERROR(__xludf.DUMMYFUNCTION("""COMPUTED_VALUE"""),"")</f>
        <v/>
      </c>
      <c r="B270" s="28"/>
      <c r="C270" s="28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P270" s="28" t="str">
        <f t="shared" si="1"/>
        <v>LUNAS</v>
      </c>
      <c r="Q270" s="28">
        <f t="shared" si="2"/>
        <v>152</v>
      </c>
      <c r="R270" s="28" t="str">
        <f t="shared" si="3"/>
        <v/>
      </c>
    </row>
    <row r="271">
      <c r="A271" s="27" t="str">
        <f>IFERROR(__xludf.DUMMYFUNCTION("""COMPUTED_VALUE"""),"")</f>
        <v/>
      </c>
      <c r="B271" s="28"/>
      <c r="C271" s="28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P271" s="28" t="str">
        <f t="shared" si="1"/>
        <v>LUNAS</v>
      </c>
      <c r="Q271" s="28">
        <f t="shared" si="2"/>
        <v>152</v>
      </c>
      <c r="R271" s="28" t="str">
        <f t="shared" si="3"/>
        <v/>
      </c>
    </row>
    <row r="272">
      <c r="A272" s="27" t="str">
        <f>IFERROR(__xludf.DUMMYFUNCTION("""COMPUTED_VALUE"""),"")</f>
        <v/>
      </c>
      <c r="B272" s="28"/>
      <c r="C272" s="28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P272" s="28" t="str">
        <f t="shared" si="1"/>
        <v>LUNAS</v>
      </c>
      <c r="Q272" s="28">
        <f t="shared" si="2"/>
        <v>152</v>
      </c>
      <c r="R272" s="28" t="str">
        <f t="shared" si="3"/>
        <v/>
      </c>
    </row>
    <row r="273">
      <c r="A273" s="27" t="str">
        <f>IFERROR(__xludf.DUMMYFUNCTION("""COMPUTED_VALUE"""),"")</f>
        <v/>
      </c>
      <c r="B273" s="28"/>
      <c r="C273" s="28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P273" s="28" t="str">
        <f t="shared" si="1"/>
        <v>LUNAS</v>
      </c>
      <c r="Q273" s="28">
        <f t="shared" si="2"/>
        <v>152</v>
      </c>
      <c r="R273" s="28" t="str">
        <f t="shared" si="3"/>
        <v/>
      </c>
    </row>
    <row r="274">
      <c r="A274" s="27" t="str">
        <f>IFERROR(__xludf.DUMMYFUNCTION("""COMPUTED_VALUE"""),"")</f>
        <v/>
      </c>
      <c r="B274" s="28"/>
      <c r="C274" s="28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P274" s="28" t="str">
        <f t="shared" si="1"/>
        <v>LUNAS</v>
      </c>
      <c r="Q274" s="28">
        <f t="shared" si="2"/>
        <v>152</v>
      </c>
      <c r="R274" s="28" t="str">
        <f t="shared" si="3"/>
        <v/>
      </c>
    </row>
    <row r="275">
      <c r="A275" s="27" t="str">
        <f>IFERROR(__xludf.DUMMYFUNCTION("""COMPUTED_VALUE"""),"")</f>
        <v/>
      </c>
      <c r="B275" s="28"/>
      <c r="C275" s="28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P275" s="28" t="str">
        <f t="shared" si="1"/>
        <v>LUNAS</v>
      </c>
      <c r="Q275" s="28">
        <f t="shared" si="2"/>
        <v>152</v>
      </c>
      <c r="R275" s="28" t="str">
        <f t="shared" si="3"/>
        <v/>
      </c>
    </row>
    <row r="276">
      <c r="A276" s="27" t="str">
        <f>IFERROR(__xludf.DUMMYFUNCTION("""COMPUTED_VALUE"""),"")</f>
        <v/>
      </c>
      <c r="B276" s="28"/>
      <c r="C276" s="28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P276" s="28" t="str">
        <f t="shared" si="1"/>
        <v>LUNAS</v>
      </c>
      <c r="Q276" s="28">
        <f t="shared" si="2"/>
        <v>152</v>
      </c>
      <c r="R276" s="28" t="str">
        <f t="shared" si="3"/>
        <v/>
      </c>
    </row>
    <row r="277">
      <c r="A277" s="27" t="str">
        <f>IFERROR(__xludf.DUMMYFUNCTION("""COMPUTED_VALUE"""),"")</f>
        <v/>
      </c>
      <c r="B277" s="28"/>
      <c r="C277" s="28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P277" s="28" t="str">
        <f t="shared" si="1"/>
        <v>LUNAS</v>
      </c>
      <c r="Q277" s="28">
        <f t="shared" si="2"/>
        <v>152</v>
      </c>
      <c r="R277" s="28" t="str">
        <f t="shared" si="3"/>
        <v/>
      </c>
    </row>
    <row r="278">
      <c r="A278" s="27" t="str">
        <f>IFERROR(__xludf.DUMMYFUNCTION("""COMPUTED_VALUE"""),"")</f>
        <v/>
      </c>
      <c r="B278" s="28"/>
      <c r="C278" s="28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P278" s="28" t="str">
        <f t="shared" si="1"/>
        <v>LUNAS</v>
      </c>
      <c r="Q278" s="28">
        <f t="shared" si="2"/>
        <v>152</v>
      </c>
      <c r="R278" s="28" t="str">
        <f t="shared" si="3"/>
        <v/>
      </c>
    </row>
    <row r="279">
      <c r="A279" s="27" t="str">
        <f>IFERROR(__xludf.DUMMYFUNCTION("""COMPUTED_VALUE"""),"")</f>
        <v/>
      </c>
      <c r="B279" s="28"/>
      <c r="C279" s="28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P279" s="28" t="str">
        <f t="shared" si="1"/>
        <v>LUNAS</v>
      </c>
      <c r="Q279" s="28">
        <f t="shared" si="2"/>
        <v>152</v>
      </c>
      <c r="R279" s="28" t="str">
        <f t="shared" si="3"/>
        <v/>
      </c>
    </row>
    <row r="280">
      <c r="A280" s="27" t="str">
        <f>IFERROR(__xludf.DUMMYFUNCTION("""COMPUTED_VALUE"""),"")</f>
        <v/>
      </c>
      <c r="B280" s="28"/>
      <c r="C280" s="28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P280" s="28" t="str">
        <f t="shared" si="1"/>
        <v>LUNAS</v>
      </c>
      <c r="Q280" s="28">
        <f t="shared" si="2"/>
        <v>152</v>
      </c>
      <c r="R280" s="28" t="str">
        <f t="shared" si="3"/>
        <v/>
      </c>
    </row>
    <row r="281">
      <c r="A281" s="27" t="str">
        <f>IFERROR(__xludf.DUMMYFUNCTION("""COMPUTED_VALUE"""),"")</f>
        <v/>
      </c>
      <c r="B281" s="28"/>
      <c r="C281" s="28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P281" s="28" t="str">
        <f t="shared" si="1"/>
        <v>LUNAS</v>
      </c>
      <c r="Q281" s="28">
        <f t="shared" si="2"/>
        <v>152</v>
      </c>
      <c r="R281" s="28" t="str">
        <f t="shared" si="3"/>
        <v/>
      </c>
    </row>
    <row r="282">
      <c r="A282" s="27" t="str">
        <f>IFERROR(__xludf.DUMMYFUNCTION("""COMPUTED_VALUE"""),"")</f>
        <v/>
      </c>
      <c r="B282" s="28"/>
      <c r="C282" s="28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P282" s="28" t="str">
        <f t="shared" si="1"/>
        <v>LUNAS</v>
      </c>
      <c r="Q282" s="28">
        <f t="shared" si="2"/>
        <v>152</v>
      </c>
      <c r="R282" s="28" t="str">
        <f t="shared" si="3"/>
        <v/>
      </c>
    </row>
    <row r="283">
      <c r="A283" s="27" t="str">
        <f>IFERROR(__xludf.DUMMYFUNCTION("""COMPUTED_VALUE"""),"")</f>
        <v/>
      </c>
      <c r="B283" s="28"/>
      <c r="C283" s="28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P283" s="28" t="str">
        <f t="shared" si="1"/>
        <v>LUNAS</v>
      </c>
      <c r="Q283" s="28">
        <f t="shared" si="2"/>
        <v>152</v>
      </c>
      <c r="R283" s="28" t="str">
        <f t="shared" si="3"/>
        <v/>
      </c>
    </row>
    <row r="284">
      <c r="A284" s="27" t="str">
        <f>IFERROR(__xludf.DUMMYFUNCTION("""COMPUTED_VALUE"""),"")</f>
        <v/>
      </c>
      <c r="B284" s="28"/>
      <c r="C284" s="28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P284" s="28" t="str">
        <f t="shared" si="1"/>
        <v>LUNAS</v>
      </c>
      <c r="Q284" s="28">
        <f t="shared" si="2"/>
        <v>152</v>
      </c>
      <c r="R284" s="28" t="str">
        <f t="shared" si="3"/>
        <v/>
      </c>
    </row>
    <row r="285">
      <c r="A285" s="27" t="str">
        <f>IFERROR(__xludf.DUMMYFUNCTION("""COMPUTED_VALUE"""),"")</f>
        <v/>
      </c>
      <c r="B285" s="28"/>
      <c r="C285" s="28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P285" s="28" t="str">
        <f t="shared" si="1"/>
        <v>LUNAS</v>
      </c>
      <c r="Q285" s="28">
        <f t="shared" si="2"/>
        <v>152</v>
      </c>
      <c r="R285" s="28" t="str">
        <f t="shared" si="3"/>
        <v/>
      </c>
    </row>
    <row r="286">
      <c r="A286" s="27" t="str">
        <f>IFERROR(__xludf.DUMMYFUNCTION("""COMPUTED_VALUE"""),"")</f>
        <v/>
      </c>
      <c r="B286" s="28"/>
      <c r="C286" s="28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P286" s="28" t="str">
        <f t="shared" si="1"/>
        <v>LUNAS</v>
      </c>
      <c r="Q286" s="28">
        <f t="shared" si="2"/>
        <v>152</v>
      </c>
      <c r="R286" s="28" t="str">
        <f t="shared" si="3"/>
        <v/>
      </c>
    </row>
    <row r="287">
      <c r="A287" s="27" t="str">
        <f>IFERROR(__xludf.DUMMYFUNCTION("""COMPUTED_VALUE"""),"")</f>
        <v/>
      </c>
      <c r="B287" s="28"/>
      <c r="C287" s="28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P287" s="28" t="str">
        <f t="shared" si="1"/>
        <v>LUNAS</v>
      </c>
      <c r="Q287" s="28">
        <f t="shared" si="2"/>
        <v>152</v>
      </c>
      <c r="R287" s="28" t="str">
        <f t="shared" si="3"/>
        <v/>
      </c>
    </row>
    <row r="288">
      <c r="A288" s="27" t="str">
        <f>IFERROR(__xludf.DUMMYFUNCTION("""COMPUTED_VALUE"""),"")</f>
        <v/>
      </c>
      <c r="B288" s="28"/>
      <c r="C288" s="28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P288" s="28" t="str">
        <f t="shared" si="1"/>
        <v>LUNAS</v>
      </c>
      <c r="Q288" s="28">
        <f t="shared" si="2"/>
        <v>152</v>
      </c>
      <c r="R288" s="28" t="str">
        <f t="shared" si="3"/>
        <v/>
      </c>
    </row>
    <row r="289">
      <c r="A289" s="27" t="str">
        <f>IFERROR(__xludf.DUMMYFUNCTION("""COMPUTED_VALUE"""),"")</f>
        <v/>
      </c>
      <c r="B289" s="28"/>
      <c r="C289" s="28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P289" s="28" t="str">
        <f t="shared" si="1"/>
        <v>LUNAS</v>
      </c>
      <c r="Q289" s="28">
        <f t="shared" si="2"/>
        <v>152</v>
      </c>
      <c r="R289" s="28" t="str">
        <f t="shared" si="3"/>
        <v/>
      </c>
    </row>
    <row r="290">
      <c r="A290" s="27" t="str">
        <f>IFERROR(__xludf.DUMMYFUNCTION("""COMPUTED_VALUE"""),"")</f>
        <v/>
      </c>
      <c r="B290" s="28"/>
      <c r="C290" s="28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P290" s="28" t="str">
        <f t="shared" si="1"/>
        <v>LUNAS</v>
      </c>
      <c r="Q290" s="28">
        <f t="shared" si="2"/>
        <v>152</v>
      </c>
      <c r="R290" s="28" t="str">
        <f t="shared" si="3"/>
        <v/>
      </c>
    </row>
    <row r="291">
      <c r="A291" s="27" t="str">
        <f>IFERROR(__xludf.DUMMYFUNCTION("""COMPUTED_VALUE"""),"")</f>
        <v/>
      </c>
      <c r="B291" s="28"/>
      <c r="C291" s="28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P291" s="28" t="str">
        <f t="shared" si="1"/>
        <v>LUNAS</v>
      </c>
      <c r="Q291" s="28">
        <f t="shared" si="2"/>
        <v>152</v>
      </c>
      <c r="R291" s="28" t="str">
        <f t="shared" si="3"/>
        <v/>
      </c>
    </row>
    <row r="292">
      <c r="A292" s="27" t="str">
        <f>IFERROR(__xludf.DUMMYFUNCTION("""COMPUTED_VALUE"""),"")</f>
        <v/>
      </c>
      <c r="B292" s="28"/>
      <c r="C292" s="28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P292" s="28" t="str">
        <f t="shared" si="1"/>
        <v>LUNAS</v>
      </c>
      <c r="Q292" s="28">
        <f t="shared" si="2"/>
        <v>152</v>
      </c>
      <c r="R292" s="28" t="str">
        <f t="shared" si="3"/>
        <v/>
      </c>
    </row>
    <row r="293">
      <c r="A293" s="27" t="str">
        <f>IFERROR(__xludf.DUMMYFUNCTION("""COMPUTED_VALUE"""),"")</f>
        <v/>
      </c>
      <c r="B293" s="28"/>
      <c r="C293" s="28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P293" s="28" t="str">
        <f t="shared" si="1"/>
        <v>LUNAS</v>
      </c>
      <c r="Q293" s="28">
        <f t="shared" si="2"/>
        <v>152</v>
      </c>
      <c r="R293" s="28" t="str">
        <f t="shared" si="3"/>
        <v/>
      </c>
    </row>
    <row r="294">
      <c r="A294" s="27" t="str">
        <f>IFERROR(__xludf.DUMMYFUNCTION("""COMPUTED_VALUE"""),"")</f>
        <v/>
      </c>
      <c r="B294" s="28"/>
      <c r="C294" s="28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P294" s="28" t="str">
        <f t="shared" si="1"/>
        <v>LUNAS</v>
      </c>
      <c r="Q294" s="28">
        <f t="shared" si="2"/>
        <v>152</v>
      </c>
      <c r="R294" s="28" t="str">
        <f t="shared" si="3"/>
        <v/>
      </c>
    </row>
    <row r="295">
      <c r="A295" s="27" t="str">
        <f>IFERROR(__xludf.DUMMYFUNCTION("""COMPUTED_VALUE"""),"")</f>
        <v/>
      </c>
      <c r="B295" s="28"/>
      <c r="C295" s="28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P295" s="28" t="str">
        <f t="shared" si="1"/>
        <v>LUNAS</v>
      </c>
      <c r="Q295" s="28">
        <f t="shared" si="2"/>
        <v>152</v>
      </c>
      <c r="R295" s="28" t="str">
        <f t="shared" si="3"/>
        <v/>
      </c>
    </row>
    <row r="296">
      <c r="A296" s="27" t="str">
        <f>IFERROR(__xludf.DUMMYFUNCTION("""COMPUTED_VALUE"""),"")</f>
        <v/>
      </c>
      <c r="B296" s="28"/>
      <c r="C296" s="28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P296" s="28" t="str">
        <f t="shared" si="1"/>
        <v>LUNAS</v>
      </c>
      <c r="Q296" s="28">
        <f t="shared" si="2"/>
        <v>152</v>
      </c>
      <c r="R296" s="28" t="str">
        <f t="shared" si="3"/>
        <v/>
      </c>
    </row>
    <row r="297">
      <c r="A297" s="27" t="str">
        <f>IFERROR(__xludf.DUMMYFUNCTION("""COMPUTED_VALUE"""),"")</f>
        <v/>
      </c>
      <c r="B297" s="28"/>
      <c r="C297" s="28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P297" s="28" t="str">
        <f t="shared" si="1"/>
        <v>LUNAS</v>
      </c>
      <c r="Q297" s="28">
        <f t="shared" si="2"/>
        <v>152</v>
      </c>
      <c r="R297" s="28" t="str">
        <f t="shared" si="3"/>
        <v/>
      </c>
    </row>
    <row r="298">
      <c r="A298" s="27" t="str">
        <f>IFERROR(__xludf.DUMMYFUNCTION("""COMPUTED_VALUE"""),"")</f>
        <v/>
      </c>
      <c r="B298" s="28"/>
      <c r="C298" s="28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P298" s="28" t="str">
        <f t="shared" si="1"/>
        <v>LUNAS</v>
      </c>
      <c r="Q298" s="28">
        <f t="shared" si="2"/>
        <v>152</v>
      </c>
      <c r="R298" s="28" t="str">
        <f t="shared" si="3"/>
        <v/>
      </c>
    </row>
    <row r="299">
      <c r="A299" s="27" t="str">
        <f>IFERROR(__xludf.DUMMYFUNCTION("""COMPUTED_VALUE"""),"")</f>
        <v/>
      </c>
      <c r="B299" s="28"/>
      <c r="C299" s="28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P299" s="28" t="str">
        <f t="shared" si="1"/>
        <v>LUNAS</v>
      </c>
      <c r="Q299" s="28">
        <f t="shared" si="2"/>
        <v>152</v>
      </c>
      <c r="R299" s="28" t="str">
        <f t="shared" si="3"/>
        <v/>
      </c>
    </row>
    <row r="300">
      <c r="A300" s="27" t="str">
        <f>IFERROR(__xludf.DUMMYFUNCTION("""COMPUTED_VALUE"""),"")</f>
        <v/>
      </c>
      <c r="B300" s="28"/>
      <c r="C300" s="28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P300" s="28" t="str">
        <f t="shared" si="1"/>
        <v>LUNAS</v>
      </c>
      <c r="Q300" s="28">
        <f t="shared" si="2"/>
        <v>152</v>
      </c>
      <c r="R300" s="28" t="str">
        <f t="shared" si="3"/>
        <v/>
      </c>
    </row>
    <row r="301">
      <c r="A301" s="27" t="str">
        <f>IFERROR(__xludf.DUMMYFUNCTION("""COMPUTED_VALUE"""),"")</f>
        <v/>
      </c>
      <c r="B301" s="28"/>
      <c r="C301" s="28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P301" s="28" t="str">
        <f t="shared" si="1"/>
        <v>LUNAS</v>
      </c>
      <c r="Q301" s="28">
        <f t="shared" si="2"/>
        <v>152</v>
      </c>
      <c r="R301" s="28" t="str">
        <f t="shared" si="3"/>
        <v/>
      </c>
    </row>
    <row r="302">
      <c r="A302" s="27" t="str">
        <f>IFERROR(__xludf.DUMMYFUNCTION("""COMPUTED_VALUE"""),"")</f>
        <v/>
      </c>
      <c r="B302" s="28"/>
      <c r="C302" s="28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P302" s="28" t="str">
        <f t="shared" si="1"/>
        <v>LUNAS</v>
      </c>
      <c r="Q302" s="28">
        <f t="shared" si="2"/>
        <v>152</v>
      </c>
      <c r="R302" s="28" t="str">
        <f t="shared" si="3"/>
        <v/>
      </c>
    </row>
    <row r="303">
      <c r="A303" s="27" t="str">
        <f>IFERROR(__xludf.DUMMYFUNCTION("""COMPUTED_VALUE"""),"")</f>
        <v/>
      </c>
      <c r="B303" s="28"/>
      <c r="C303" s="28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P303" s="28" t="str">
        <f t="shared" si="1"/>
        <v>LUNAS</v>
      </c>
      <c r="Q303" s="28">
        <f t="shared" si="2"/>
        <v>152</v>
      </c>
      <c r="R303" s="28" t="str">
        <f t="shared" si="3"/>
        <v/>
      </c>
    </row>
    <row r="304">
      <c r="A304" s="27" t="str">
        <f>IFERROR(__xludf.DUMMYFUNCTION("""COMPUTED_VALUE"""),"")</f>
        <v/>
      </c>
      <c r="B304" s="28"/>
      <c r="C304" s="28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P304" s="28" t="str">
        <f t="shared" si="1"/>
        <v>LUNAS</v>
      </c>
      <c r="Q304" s="28">
        <f t="shared" si="2"/>
        <v>152</v>
      </c>
      <c r="R304" s="28" t="str">
        <f t="shared" si="3"/>
        <v/>
      </c>
    </row>
    <row r="305">
      <c r="A305" s="27" t="str">
        <f>IFERROR(__xludf.DUMMYFUNCTION("""COMPUTED_VALUE"""),"")</f>
        <v/>
      </c>
      <c r="B305" s="28"/>
      <c r="C305" s="28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P305" s="28" t="str">
        <f t="shared" si="1"/>
        <v>LUNAS</v>
      </c>
      <c r="Q305" s="28">
        <f t="shared" si="2"/>
        <v>152</v>
      </c>
      <c r="R305" s="28" t="str">
        <f t="shared" si="3"/>
        <v/>
      </c>
    </row>
    <row r="306">
      <c r="A306" s="27" t="str">
        <f>IFERROR(__xludf.DUMMYFUNCTION("""COMPUTED_VALUE"""),"")</f>
        <v/>
      </c>
      <c r="B306" s="28"/>
      <c r="C306" s="28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P306" s="28" t="str">
        <f t="shared" si="1"/>
        <v>LUNAS</v>
      </c>
      <c r="Q306" s="28">
        <f t="shared" si="2"/>
        <v>152</v>
      </c>
      <c r="R306" s="28" t="str">
        <f t="shared" si="3"/>
        <v/>
      </c>
    </row>
    <row r="307">
      <c r="A307" s="27" t="str">
        <f>IFERROR(__xludf.DUMMYFUNCTION("""COMPUTED_VALUE"""),"")</f>
        <v/>
      </c>
      <c r="B307" s="28"/>
      <c r="C307" s="28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P307" s="28" t="str">
        <f t="shared" si="1"/>
        <v>LUNAS</v>
      </c>
      <c r="Q307" s="28">
        <f t="shared" si="2"/>
        <v>152</v>
      </c>
      <c r="R307" s="28" t="str">
        <f t="shared" si="3"/>
        <v/>
      </c>
    </row>
    <row r="308">
      <c r="A308" s="27" t="str">
        <f>IFERROR(__xludf.DUMMYFUNCTION("""COMPUTED_VALUE"""),"")</f>
        <v/>
      </c>
      <c r="B308" s="28"/>
      <c r="C308" s="28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P308" s="28" t="str">
        <f t="shared" si="1"/>
        <v>LUNAS</v>
      </c>
      <c r="Q308" s="28">
        <f t="shared" si="2"/>
        <v>152</v>
      </c>
      <c r="R308" s="28" t="str">
        <f t="shared" si="3"/>
        <v/>
      </c>
    </row>
    <row r="309">
      <c r="A309" s="27" t="str">
        <f>IFERROR(__xludf.DUMMYFUNCTION("""COMPUTED_VALUE"""),"")</f>
        <v/>
      </c>
      <c r="B309" s="28"/>
      <c r="C309" s="28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P309" s="28" t="str">
        <f t="shared" si="1"/>
        <v>LUNAS</v>
      </c>
      <c r="Q309" s="28">
        <f t="shared" si="2"/>
        <v>152</v>
      </c>
      <c r="R309" s="28" t="str">
        <f t="shared" si="3"/>
        <v/>
      </c>
    </row>
    <row r="310">
      <c r="A310" s="27" t="str">
        <f>IFERROR(__xludf.DUMMYFUNCTION("""COMPUTED_VALUE"""),"")</f>
        <v/>
      </c>
      <c r="B310" s="28"/>
      <c r="C310" s="28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P310" s="28" t="str">
        <f t="shared" si="1"/>
        <v>LUNAS</v>
      </c>
      <c r="Q310" s="28">
        <f t="shared" si="2"/>
        <v>152</v>
      </c>
      <c r="R310" s="28" t="str">
        <f t="shared" si="3"/>
        <v/>
      </c>
    </row>
    <row r="311">
      <c r="A311" s="27" t="str">
        <f>IFERROR(__xludf.DUMMYFUNCTION("""COMPUTED_VALUE"""),"")</f>
        <v/>
      </c>
      <c r="B311" s="28"/>
      <c r="C311" s="28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P311" s="28" t="str">
        <f t="shared" si="1"/>
        <v>LUNAS</v>
      </c>
      <c r="Q311" s="28">
        <f t="shared" si="2"/>
        <v>152</v>
      </c>
      <c r="R311" s="28" t="str">
        <f t="shared" si="3"/>
        <v/>
      </c>
    </row>
    <row r="312">
      <c r="A312" s="27" t="str">
        <f>IFERROR(__xludf.DUMMYFUNCTION("""COMPUTED_VALUE"""),"")</f>
        <v/>
      </c>
      <c r="B312" s="28"/>
      <c r="C312" s="28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P312" s="28" t="str">
        <f t="shared" si="1"/>
        <v>LUNAS</v>
      </c>
      <c r="Q312" s="28">
        <f t="shared" si="2"/>
        <v>152</v>
      </c>
      <c r="R312" s="28" t="str">
        <f t="shared" si="3"/>
        <v/>
      </c>
    </row>
    <row r="313">
      <c r="A313" s="27" t="str">
        <f>IFERROR(__xludf.DUMMYFUNCTION("""COMPUTED_VALUE"""),"")</f>
        <v/>
      </c>
      <c r="B313" s="28"/>
      <c r="C313" s="28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P313" s="28" t="str">
        <f t="shared" si="1"/>
        <v>LUNAS</v>
      </c>
      <c r="Q313" s="28">
        <f t="shared" si="2"/>
        <v>152</v>
      </c>
      <c r="R313" s="28" t="str">
        <f t="shared" si="3"/>
        <v/>
      </c>
    </row>
    <row r="314">
      <c r="A314" s="27" t="str">
        <f>IFERROR(__xludf.DUMMYFUNCTION("""COMPUTED_VALUE"""),"")</f>
        <v/>
      </c>
      <c r="B314" s="28"/>
      <c r="C314" s="28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P314" s="28" t="str">
        <f t="shared" si="1"/>
        <v>LUNAS</v>
      </c>
      <c r="Q314" s="28">
        <f t="shared" si="2"/>
        <v>152</v>
      </c>
      <c r="R314" s="28" t="str">
        <f t="shared" si="3"/>
        <v/>
      </c>
    </row>
    <row r="315">
      <c r="A315" s="27" t="str">
        <f>IFERROR(__xludf.DUMMYFUNCTION("""COMPUTED_VALUE"""),"")</f>
        <v/>
      </c>
      <c r="B315" s="28"/>
      <c r="C315" s="28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P315" s="28" t="str">
        <f t="shared" si="1"/>
        <v>LUNAS</v>
      </c>
      <c r="Q315" s="28">
        <f t="shared" si="2"/>
        <v>152</v>
      </c>
      <c r="R315" s="28" t="str">
        <f t="shared" si="3"/>
        <v/>
      </c>
    </row>
    <row r="316">
      <c r="A316" s="27" t="str">
        <f>IFERROR(__xludf.DUMMYFUNCTION("""COMPUTED_VALUE"""),"")</f>
        <v/>
      </c>
      <c r="B316" s="28"/>
      <c r="C316" s="28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P316" s="28" t="str">
        <f t="shared" si="1"/>
        <v>LUNAS</v>
      </c>
      <c r="Q316" s="28">
        <f t="shared" si="2"/>
        <v>152</v>
      </c>
      <c r="R316" s="28" t="str">
        <f t="shared" si="3"/>
        <v/>
      </c>
    </row>
    <row r="317">
      <c r="A317" s="27" t="str">
        <f>IFERROR(__xludf.DUMMYFUNCTION("""COMPUTED_VALUE"""),"")</f>
        <v/>
      </c>
      <c r="B317" s="28"/>
      <c r="C317" s="28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P317" s="28" t="str">
        <f t="shared" si="1"/>
        <v>LUNAS</v>
      </c>
      <c r="Q317" s="28">
        <f t="shared" si="2"/>
        <v>152</v>
      </c>
      <c r="R317" s="28" t="str">
        <f t="shared" si="3"/>
        <v/>
      </c>
    </row>
    <row r="318">
      <c r="A318" s="27" t="str">
        <f>IFERROR(__xludf.DUMMYFUNCTION("""COMPUTED_VALUE"""),"")</f>
        <v/>
      </c>
      <c r="B318" s="28"/>
      <c r="C318" s="28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P318" s="28" t="str">
        <f t="shared" si="1"/>
        <v>LUNAS</v>
      </c>
      <c r="Q318" s="28">
        <f t="shared" si="2"/>
        <v>152</v>
      </c>
      <c r="R318" s="28" t="str">
        <f t="shared" si="3"/>
        <v/>
      </c>
    </row>
    <row r="319">
      <c r="A319" s="27" t="str">
        <f>IFERROR(__xludf.DUMMYFUNCTION("""COMPUTED_VALUE"""),"")</f>
        <v/>
      </c>
      <c r="B319" s="28"/>
      <c r="C319" s="28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P319" s="28" t="str">
        <f t="shared" si="1"/>
        <v>LUNAS</v>
      </c>
      <c r="Q319" s="28">
        <f t="shared" si="2"/>
        <v>152</v>
      </c>
      <c r="R319" s="28" t="str">
        <f t="shared" si="3"/>
        <v/>
      </c>
    </row>
    <row r="320">
      <c r="A320" s="27" t="str">
        <f>IFERROR(__xludf.DUMMYFUNCTION("""COMPUTED_VALUE"""),"")</f>
        <v/>
      </c>
      <c r="B320" s="28"/>
      <c r="C320" s="28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P320" s="28" t="str">
        <f t="shared" si="1"/>
        <v>LUNAS</v>
      </c>
      <c r="Q320" s="28">
        <f t="shared" si="2"/>
        <v>152</v>
      </c>
      <c r="R320" s="28" t="str">
        <f t="shared" si="3"/>
        <v/>
      </c>
    </row>
    <row r="321">
      <c r="A321" s="27" t="str">
        <f>IFERROR(__xludf.DUMMYFUNCTION("""COMPUTED_VALUE"""),"")</f>
        <v/>
      </c>
      <c r="B321" s="28"/>
      <c r="C321" s="28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P321" s="28" t="str">
        <f t="shared" si="1"/>
        <v>LUNAS</v>
      </c>
      <c r="Q321" s="28">
        <f t="shared" si="2"/>
        <v>152</v>
      </c>
      <c r="R321" s="28" t="str">
        <f t="shared" si="3"/>
        <v/>
      </c>
    </row>
    <row r="322">
      <c r="A322" s="27" t="str">
        <f>IFERROR(__xludf.DUMMYFUNCTION("""COMPUTED_VALUE"""),"")</f>
        <v/>
      </c>
      <c r="B322" s="28"/>
      <c r="C322" s="28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P322" s="28" t="str">
        <f t="shared" si="1"/>
        <v>LUNAS</v>
      </c>
      <c r="Q322" s="28">
        <f t="shared" si="2"/>
        <v>152</v>
      </c>
      <c r="R322" s="28" t="str">
        <f t="shared" si="3"/>
        <v/>
      </c>
    </row>
    <row r="323">
      <c r="A323" s="27" t="str">
        <f>IFERROR(__xludf.DUMMYFUNCTION("""COMPUTED_VALUE"""),"")</f>
        <v/>
      </c>
      <c r="B323" s="28"/>
      <c r="C323" s="28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P323" s="28" t="str">
        <f t="shared" si="1"/>
        <v>LUNAS</v>
      </c>
      <c r="Q323" s="28">
        <f t="shared" si="2"/>
        <v>152</v>
      </c>
      <c r="R323" s="28" t="str">
        <f t="shared" si="3"/>
        <v/>
      </c>
    </row>
    <row r="324">
      <c r="A324" s="27" t="str">
        <f>IFERROR(__xludf.DUMMYFUNCTION("""COMPUTED_VALUE"""),"")</f>
        <v/>
      </c>
      <c r="B324" s="28"/>
      <c r="C324" s="28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P324" s="28" t="str">
        <f t="shared" si="1"/>
        <v>LUNAS</v>
      </c>
      <c r="Q324" s="28">
        <f t="shared" si="2"/>
        <v>152</v>
      </c>
      <c r="R324" s="28" t="str">
        <f t="shared" si="3"/>
        <v/>
      </c>
    </row>
    <row r="325">
      <c r="A325" s="27" t="str">
        <f>IFERROR(__xludf.DUMMYFUNCTION("""COMPUTED_VALUE"""),"")</f>
        <v/>
      </c>
      <c r="B325" s="28"/>
      <c r="C325" s="28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R325" s="28" t="str">
        <f t="shared" si="3"/>
        <v/>
      </c>
    </row>
    <row r="326">
      <c r="A326" s="27" t="str">
        <f>IFERROR(__xludf.DUMMYFUNCTION("""COMPUTED_VALUE"""),"")</f>
        <v/>
      </c>
      <c r="B326" s="28"/>
      <c r="C326" s="28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R326" s="28" t="str">
        <f t="shared" si="3"/>
        <v/>
      </c>
    </row>
    <row r="327">
      <c r="A327" s="27" t="str">
        <f>IFERROR(__xludf.DUMMYFUNCTION("""COMPUTED_VALUE"""),"")</f>
        <v/>
      </c>
      <c r="B327" s="28"/>
      <c r="C327" s="28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R327" s="28" t="str">
        <f t="shared" si="3"/>
        <v/>
      </c>
    </row>
    <row r="328">
      <c r="A328" s="27" t="str">
        <f>IFERROR(__xludf.DUMMYFUNCTION("""COMPUTED_VALUE"""),"")</f>
        <v/>
      </c>
      <c r="B328" s="28"/>
      <c r="C328" s="28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R328" s="28" t="str">
        <f t="shared" si="3"/>
        <v/>
      </c>
    </row>
    <row r="329">
      <c r="A329" s="27" t="str">
        <f>IFERROR(__xludf.DUMMYFUNCTION("""COMPUTED_VALUE"""),"")</f>
        <v/>
      </c>
      <c r="B329" s="28"/>
      <c r="C329" s="28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R329" s="28" t="str">
        <f t="shared" si="3"/>
        <v/>
      </c>
    </row>
    <row r="330">
      <c r="A330" s="27" t="str">
        <f>IFERROR(__xludf.DUMMYFUNCTION("""COMPUTED_VALUE"""),"")</f>
        <v/>
      </c>
      <c r="B330" s="28"/>
      <c r="C330" s="28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R330" s="28" t="str">
        <f t="shared" si="3"/>
        <v/>
      </c>
    </row>
    <row r="331">
      <c r="A331" s="27" t="str">
        <f>IFERROR(__xludf.DUMMYFUNCTION("""COMPUTED_VALUE"""),"")</f>
        <v/>
      </c>
      <c r="B331" s="28"/>
      <c r="C331" s="28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R331" s="28" t="str">
        <f t="shared" si="3"/>
        <v/>
      </c>
    </row>
    <row r="332">
      <c r="A332" s="27" t="str">
        <f>IFERROR(__xludf.DUMMYFUNCTION("""COMPUTED_VALUE"""),"")</f>
        <v/>
      </c>
      <c r="B332" s="28"/>
      <c r="C332" s="28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R332" s="28" t="str">
        <f t="shared" si="3"/>
        <v/>
      </c>
    </row>
    <row r="333">
      <c r="A333" s="27" t="str">
        <f>IFERROR(__xludf.DUMMYFUNCTION("""COMPUTED_VALUE"""),"")</f>
        <v/>
      </c>
      <c r="B333" s="28"/>
      <c r="C333" s="28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R333" s="28" t="str">
        <f t="shared" si="3"/>
        <v/>
      </c>
    </row>
    <row r="334">
      <c r="A334" s="27" t="str">
        <f>IFERROR(__xludf.DUMMYFUNCTION("""COMPUTED_VALUE"""),"")</f>
        <v/>
      </c>
      <c r="B334" s="28"/>
      <c r="C334" s="28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R334" s="28" t="str">
        <f t="shared" si="3"/>
        <v/>
      </c>
    </row>
    <row r="335">
      <c r="A335" s="27" t="str">
        <f>IFERROR(__xludf.DUMMYFUNCTION("""COMPUTED_VALUE"""),"")</f>
        <v/>
      </c>
      <c r="B335" s="28"/>
      <c r="C335" s="28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R335" s="28" t="str">
        <f t="shared" si="3"/>
        <v/>
      </c>
    </row>
    <row r="336">
      <c r="A336" s="27" t="str">
        <f>IFERROR(__xludf.DUMMYFUNCTION("""COMPUTED_VALUE"""),"")</f>
        <v/>
      </c>
      <c r="B336" s="28"/>
      <c r="C336" s="28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R336" s="28" t="str">
        <f t="shared" si="3"/>
        <v/>
      </c>
    </row>
    <row r="337">
      <c r="A337" s="27" t="str">
        <f>IFERROR(__xludf.DUMMYFUNCTION("""COMPUTED_VALUE"""),"")</f>
        <v/>
      </c>
      <c r="B337" s="28"/>
      <c r="C337" s="28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R337" s="28" t="str">
        <f t="shared" si="3"/>
        <v/>
      </c>
    </row>
    <row r="338">
      <c r="A338" s="27" t="str">
        <f>IFERROR(__xludf.DUMMYFUNCTION("""COMPUTED_VALUE"""),"")</f>
        <v/>
      </c>
      <c r="B338" s="28"/>
      <c r="C338" s="28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R338" s="28" t="str">
        <f t="shared" si="3"/>
        <v/>
      </c>
    </row>
    <row r="339">
      <c r="A339" s="27" t="str">
        <f>IFERROR(__xludf.DUMMYFUNCTION("""COMPUTED_VALUE"""),"")</f>
        <v/>
      </c>
      <c r="B339" s="28"/>
      <c r="C339" s="28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R339" s="28" t="str">
        <f t="shared" si="3"/>
        <v/>
      </c>
    </row>
    <row r="340">
      <c r="A340" s="27" t="str">
        <f>IFERROR(__xludf.DUMMYFUNCTION("""COMPUTED_VALUE"""),"")</f>
        <v/>
      </c>
      <c r="B340" s="28"/>
      <c r="C340" s="28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R340" s="28" t="str">
        <f t="shared" si="3"/>
        <v/>
      </c>
    </row>
    <row r="341">
      <c r="A341" s="27" t="str">
        <f>IFERROR(__xludf.DUMMYFUNCTION("""COMPUTED_VALUE"""),"")</f>
        <v/>
      </c>
      <c r="B341" s="28"/>
      <c r="C341" s="28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R341" s="28" t="str">
        <f t="shared" si="3"/>
        <v/>
      </c>
    </row>
    <row r="342">
      <c r="A342" s="27" t="str">
        <f>IFERROR(__xludf.DUMMYFUNCTION("""COMPUTED_VALUE"""),"")</f>
        <v/>
      </c>
      <c r="B342" s="28"/>
      <c r="C342" s="28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R342" s="28" t="str">
        <f t="shared" si="3"/>
        <v/>
      </c>
    </row>
    <row r="343">
      <c r="A343" s="27" t="str">
        <f>IFERROR(__xludf.DUMMYFUNCTION("""COMPUTED_VALUE"""),"")</f>
        <v/>
      </c>
      <c r="B343" s="28"/>
      <c r="C343" s="28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R343" s="28" t="str">
        <f t="shared" si="3"/>
        <v/>
      </c>
    </row>
    <row r="344">
      <c r="A344" s="27" t="str">
        <f>IFERROR(__xludf.DUMMYFUNCTION("""COMPUTED_VALUE"""),"")</f>
        <v/>
      </c>
      <c r="B344" s="28"/>
      <c r="C344" s="28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R344" s="28" t="str">
        <f t="shared" si="3"/>
        <v/>
      </c>
    </row>
    <row r="345">
      <c r="A345" s="27" t="str">
        <f>IFERROR(__xludf.DUMMYFUNCTION("""COMPUTED_VALUE"""),"")</f>
        <v/>
      </c>
      <c r="B345" s="28"/>
      <c r="C345" s="28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R345" s="28" t="str">
        <f t="shared" si="3"/>
        <v/>
      </c>
    </row>
    <row r="346">
      <c r="A346" s="27" t="str">
        <f>IFERROR(__xludf.DUMMYFUNCTION("""COMPUTED_VALUE"""),"")</f>
        <v/>
      </c>
      <c r="B346" s="28"/>
      <c r="C346" s="28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R346" s="28" t="str">
        <f t="shared" si="3"/>
        <v/>
      </c>
    </row>
    <row r="347">
      <c r="A347" s="27" t="str">
        <f>IFERROR(__xludf.DUMMYFUNCTION("""COMPUTED_VALUE"""),"")</f>
        <v/>
      </c>
      <c r="B347" s="28"/>
      <c r="C347" s="28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R347" s="28" t="str">
        <f t="shared" si="3"/>
        <v/>
      </c>
    </row>
    <row r="348">
      <c r="A348" s="27" t="str">
        <f>IFERROR(__xludf.DUMMYFUNCTION("""COMPUTED_VALUE"""),"")</f>
        <v/>
      </c>
      <c r="B348" s="28"/>
      <c r="C348" s="28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R348" s="28" t="str">
        <f t="shared" si="3"/>
        <v/>
      </c>
    </row>
    <row r="349">
      <c r="A349" s="27" t="str">
        <f>IFERROR(__xludf.DUMMYFUNCTION("""COMPUTED_VALUE"""),"")</f>
        <v/>
      </c>
      <c r="B349" s="28"/>
      <c r="C349" s="28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  <c r="R349" s="28" t="str">
        <f t="shared" si="3"/>
        <v/>
      </c>
    </row>
    <row r="350">
      <c r="A350" s="27" t="str">
        <f>IFERROR(__xludf.DUMMYFUNCTION("""COMPUTED_VALUE"""),"")</f>
        <v/>
      </c>
      <c r="B350" s="28"/>
      <c r="C350" s="28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  <c r="R350" s="28" t="str">
        <f t="shared" si="3"/>
        <v/>
      </c>
    </row>
    <row r="351">
      <c r="A351" s="27" t="str">
        <f>IFERROR(__xludf.DUMMYFUNCTION("""COMPUTED_VALUE"""),"")</f>
        <v/>
      </c>
      <c r="B351" s="28"/>
      <c r="C351" s="28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  <c r="R351" s="28" t="str">
        <f t="shared" si="3"/>
        <v/>
      </c>
    </row>
    <row r="352">
      <c r="A352" s="27" t="str">
        <f>IFERROR(__xludf.DUMMYFUNCTION("""COMPUTED_VALUE"""),"")</f>
        <v/>
      </c>
      <c r="B352" s="28"/>
      <c r="C352" s="28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  <c r="R352" s="28" t="str">
        <f t="shared" si="3"/>
        <v/>
      </c>
    </row>
    <row r="353">
      <c r="A353" s="27" t="str">
        <f>IFERROR(__xludf.DUMMYFUNCTION("""COMPUTED_VALUE"""),"")</f>
        <v/>
      </c>
      <c r="B353" s="28"/>
      <c r="C353" s="28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  <c r="R353" s="28" t="str">
        <f t="shared" si="3"/>
        <v/>
      </c>
    </row>
    <row r="354">
      <c r="A354" s="27" t="str">
        <f>IFERROR(__xludf.DUMMYFUNCTION("""COMPUTED_VALUE"""),"")</f>
        <v/>
      </c>
      <c r="B354" s="28"/>
      <c r="C354" s="28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  <c r="R354" s="28" t="str">
        <f t="shared" si="3"/>
        <v/>
      </c>
    </row>
    <row r="355">
      <c r="A355" s="27" t="str">
        <f>IFERROR(__xludf.DUMMYFUNCTION("""COMPUTED_VALUE"""),"")</f>
        <v/>
      </c>
      <c r="B355" s="28"/>
      <c r="C355" s="28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  <c r="R355" s="28" t="str">
        <f t="shared" si="3"/>
        <v/>
      </c>
    </row>
    <row r="356">
      <c r="A356" s="27" t="str">
        <f>IFERROR(__xludf.DUMMYFUNCTION("""COMPUTED_VALUE"""),"")</f>
        <v/>
      </c>
      <c r="B356" s="28"/>
      <c r="C356" s="28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  <c r="R356" s="28" t="str">
        <f t="shared" si="3"/>
        <v/>
      </c>
    </row>
    <row r="357">
      <c r="A357" s="27" t="str">
        <f>IFERROR(__xludf.DUMMYFUNCTION("""COMPUTED_VALUE"""),"")</f>
        <v/>
      </c>
      <c r="B357" s="28"/>
      <c r="C357" s="28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  <c r="R357" s="28" t="str">
        <f t="shared" si="3"/>
        <v/>
      </c>
    </row>
    <row r="358">
      <c r="A358" s="27" t="str">
        <f>IFERROR(__xludf.DUMMYFUNCTION("""COMPUTED_VALUE"""),"")</f>
        <v/>
      </c>
      <c r="B358" s="28"/>
      <c r="C358" s="28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  <c r="R358" s="28" t="str">
        <f t="shared" si="3"/>
        <v/>
      </c>
    </row>
    <row r="359">
      <c r="A359" s="27" t="str">
        <f>IFERROR(__xludf.DUMMYFUNCTION("""COMPUTED_VALUE"""),"")</f>
        <v/>
      </c>
      <c r="B359" s="28"/>
      <c r="C359" s="28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  <c r="R359" s="28" t="str">
        <f t="shared" si="3"/>
        <v/>
      </c>
    </row>
    <row r="360">
      <c r="A360" s="27" t="str">
        <f>IFERROR(__xludf.DUMMYFUNCTION("""COMPUTED_VALUE"""),"")</f>
        <v/>
      </c>
      <c r="B360" s="28"/>
      <c r="C360" s="28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  <c r="R360" s="28" t="str">
        <f t="shared" si="3"/>
        <v/>
      </c>
    </row>
    <row r="361">
      <c r="A361" s="27" t="str">
        <f>IFERROR(__xludf.DUMMYFUNCTION("""COMPUTED_VALUE"""),"")</f>
        <v/>
      </c>
      <c r="B361" s="28"/>
      <c r="C361" s="28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  <c r="R361" s="28" t="str">
        <f t="shared" si="3"/>
        <v/>
      </c>
    </row>
    <row r="362">
      <c r="A362" s="27" t="str">
        <f>IFERROR(__xludf.DUMMYFUNCTION("""COMPUTED_VALUE"""),"")</f>
        <v/>
      </c>
      <c r="B362" s="28"/>
      <c r="C362" s="28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  <c r="R362" s="28" t="str">
        <f t="shared" si="3"/>
        <v/>
      </c>
    </row>
    <row r="363">
      <c r="A363" s="27" t="str">
        <f>IFERROR(__xludf.DUMMYFUNCTION("""COMPUTED_VALUE"""),"")</f>
        <v/>
      </c>
      <c r="B363" s="28"/>
      <c r="C363" s="28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  <c r="R363" s="28" t="str">
        <f t="shared" si="3"/>
        <v/>
      </c>
    </row>
    <row r="364">
      <c r="A364" s="27" t="str">
        <f>IFERROR(__xludf.DUMMYFUNCTION("""COMPUTED_VALUE"""),"")</f>
        <v/>
      </c>
      <c r="B364" s="28"/>
      <c r="C364" s="28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R364" s="28" t="str">
        <f t="shared" si="3"/>
        <v/>
      </c>
    </row>
    <row r="365">
      <c r="A365" s="27" t="str">
        <f>IFERROR(__xludf.DUMMYFUNCTION("""COMPUTED_VALUE"""),"")</f>
        <v/>
      </c>
      <c r="B365" s="28"/>
      <c r="C365" s="28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R365" s="28" t="str">
        <f t="shared" si="3"/>
        <v/>
      </c>
    </row>
    <row r="366">
      <c r="A366" s="27" t="str">
        <f>IFERROR(__xludf.DUMMYFUNCTION("""COMPUTED_VALUE"""),"")</f>
        <v/>
      </c>
      <c r="B366" s="28"/>
      <c r="C366" s="28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R366" s="28" t="str">
        <f t="shared" si="3"/>
        <v/>
      </c>
    </row>
    <row r="367">
      <c r="A367" s="27" t="str">
        <f>IFERROR(__xludf.DUMMYFUNCTION("""COMPUTED_VALUE"""),"")</f>
        <v/>
      </c>
      <c r="B367" s="28"/>
      <c r="C367" s="28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R367" s="28" t="str">
        <f t="shared" si="3"/>
        <v/>
      </c>
    </row>
    <row r="368">
      <c r="A368" s="27" t="str">
        <f>IFERROR(__xludf.DUMMYFUNCTION("""COMPUTED_VALUE"""),"")</f>
        <v/>
      </c>
      <c r="B368" s="28"/>
      <c r="C368" s="28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R368" s="28" t="str">
        <f t="shared" si="3"/>
        <v/>
      </c>
    </row>
    <row r="369">
      <c r="A369" s="27" t="str">
        <f>IFERROR(__xludf.DUMMYFUNCTION("""COMPUTED_VALUE"""),"")</f>
        <v/>
      </c>
      <c r="B369" s="28"/>
      <c r="C369" s="28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R369" s="28" t="str">
        <f t="shared" si="3"/>
        <v/>
      </c>
    </row>
    <row r="370">
      <c r="A370" s="27" t="str">
        <f>IFERROR(__xludf.DUMMYFUNCTION("""COMPUTED_VALUE"""),"")</f>
        <v/>
      </c>
      <c r="B370" s="28"/>
      <c r="C370" s="28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R370" s="28" t="str">
        <f t="shared" si="3"/>
        <v/>
      </c>
    </row>
    <row r="371">
      <c r="A371" s="27" t="str">
        <f>IFERROR(__xludf.DUMMYFUNCTION("""COMPUTED_VALUE"""),"")</f>
        <v/>
      </c>
      <c r="B371" s="28"/>
      <c r="C371" s="28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R371" s="28" t="str">
        <f t="shared" si="3"/>
        <v/>
      </c>
    </row>
    <row r="372">
      <c r="A372" s="27" t="str">
        <f>IFERROR(__xludf.DUMMYFUNCTION("""COMPUTED_VALUE"""),"")</f>
        <v/>
      </c>
      <c r="B372" s="28"/>
      <c r="C372" s="28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R372" s="28" t="str">
        <f t="shared" si="3"/>
        <v/>
      </c>
    </row>
    <row r="373">
      <c r="A373" s="27" t="str">
        <f>IFERROR(__xludf.DUMMYFUNCTION("""COMPUTED_VALUE"""),"")</f>
        <v/>
      </c>
      <c r="B373" s="28"/>
      <c r="C373" s="28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R373" s="28" t="str">
        <f t="shared" si="3"/>
        <v/>
      </c>
    </row>
    <row r="374">
      <c r="A374" s="27" t="str">
        <f>IFERROR(__xludf.DUMMYFUNCTION("""COMPUTED_VALUE"""),"")</f>
        <v/>
      </c>
      <c r="B374" s="28"/>
      <c r="C374" s="28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R374" s="28" t="str">
        <f t="shared" si="3"/>
        <v/>
      </c>
    </row>
    <row r="375">
      <c r="A375" s="27" t="str">
        <f>IFERROR(__xludf.DUMMYFUNCTION("""COMPUTED_VALUE"""),"")</f>
        <v/>
      </c>
      <c r="B375" s="28"/>
      <c r="C375" s="28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R375" s="28" t="str">
        <f t="shared" si="3"/>
        <v/>
      </c>
    </row>
    <row r="376">
      <c r="A376" s="27" t="str">
        <f>IFERROR(__xludf.DUMMYFUNCTION("""COMPUTED_VALUE"""),"")</f>
        <v/>
      </c>
      <c r="B376" s="28"/>
      <c r="C376" s="28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R376" s="28" t="str">
        <f t="shared" si="3"/>
        <v/>
      </c>
    </row>
    <row r="377">
      <c r="A377" s="27" t="str">
        <f>IFERROR(__xludf.DUMMYFUNCTION("""COMPUTED_VALUE"""),"")</f>
        <v/>
      </c>
      <c r="B377" s="28"/>
      <c r="C377" s="28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R377" s="28" t="str">
        <f t="shared" si="3"/>
        <v/>
      </c>
    </row>
    <row r="378">
      <c r="A378" s="27" t="str">
        <f>IFERROR(__xludf.DUMMYFUNCTION("""COMPUTED_VALUE"""),"")</f>
        <v/>
      </c>
      <c r="B378" s="28"/>
      <c r="C378" s="28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R378" s="28" t="str">
        <f t="shared" si="3"/>
        <v/>
      </c>
    </row>
    <row r="379">
      <c r="A379" s="27" t="str">
        <f>IFERROR(__xludf.DUMMYFUNCTION("""COMPUTED_VALUE"""),"")</f>
        <v/>
      </c>
      <c r="B379" s="28"/>
      <c r="C379" s="28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R379" s="28" t="str">
        <f t="shared" si="3"/>
        <v/>
      </c>
    </row>
    <row r="380">
      <c r="A380" s="27" t="str">
        <f>IFERROR(__xludf.DUMMYFUNCTION("""COMPUTED_VALUE"""),"")</f>
        <v/>
      </c>
      <c r="B380" s="28"/>
      <c r="C380" s="28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R380" s="28" t="str">
        <f t="shared" si="3"/>
        <v/>
      </c>
    </row>
    <row r="381">
      <c r="A381" s="27"/>
      <c r="B381" s="28"/>
      <c r="C381" s="28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R381" s="28" t="str">
        <f t="shared" si="3"/>
        <v/>
      </c>
    </row>
    <row r="382">
      <c r="A382" s="27"/>
      <c r="B382" s="28"/>
      <c r="C382" s="28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R382" s="28" t="str">
        <f t="shared" si="3"/>
        <v/>
      </c>
    </row>
    <row r="383">
      <c r="A383" s="27"/>
      <c r="B383" s="28"/>
      <c r="C383" s="28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R383" s="28" t="str">
        <f t="shared" si="3"/>
        <v/>
      </c>
    </row>
    <row r="384">
      <c r="A384" s="27"/>
      <c r="B384" s="28"/>
      <c r="C384" s="28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R384" s="28" t="str">
        <f t="shared" si="3"/>
        <v/>
      </c>
    </row>
    <row r="385">
      <c r="A385" s="27"/>
      <c r="B385" s="28"/>
      <c r="C385" s="28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R385" s="28" t="str">
        <f t="shared" si="3"/>
        <v/>
      </c>
    </row>
    <row r="386">
      <c r="A386" s="27"/>
      <c r="B386" s="28"/>
      <c r="C386" s="28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R386" s="28" t="str">
        <f t="shared" si="3"/>
        <v/>
      </c>
    </row>
    <row r="387">
      <c r="A387" s="27"/>
      <c r="B387" s="28"/>
      <c r="C387" s="28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R387" s="28" t="str">
        <f t="shared" si="3"/>
        <v/>
      </c>
    </row>
    <row r="388">
      <c r="A388" s="27"/>
      <c r="B388" s="28"/>
      <c r="C388" s="28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R388" s="28" t="str">
        <f t="shared" si="3"/>
        <v/>
      </c>
    </row>
    <row r="389">
      <c r="A389" s="27"/>
      <c r="B389" s="28"/>
      <c r="C389" s="28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R389" s="28" t="str">
        <f t="shared" si="3"/>
        <v/>
      </c>
    </row>
    <row r="390">
      <c r="A390" s="27"/>
      <c r="B390" s="28"/>
      <c r="C390" s="28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</row>
    <row r="391">
      <c r="A391" s="27"/>
      <c r="B391" s="28"/>
      <c r="C391" s="28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</row>
    <row r="392">
      <c r="A392" s="27"/>
      <c r="B392" s="28"/>
      <c r="C392" s="28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</row>
    <row r="393">
      <c r="A393" s="27"/>
      <c r="B393" s="28"/>
      <c r="C393" s="28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</row>
    <row r="394">
      <c r="A394" s="27"/>
      <c r="B394" s="28"/>
      <c r="C394" s="28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</row>
    <row r="395">
      <c r="A395" s="27"/>
      <c r="B395" s="28"/>
      <c r="C395" s="28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</row>
    <row r="396">
      <c r="A396" s="27"/>
      <c r="B396" s="28"/>
      <c r="C396" s="28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</row>
    <row r="397">
      <c r="A397" s="27"/>
      <c r="B397" s="28"/>
      <c r="C397" s="28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</row>
    <row r="398">
      <c r="A398" s="27"/>
      <c r="B398" s="28"/>
      <c r="C398" s="28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</row>
    <row r="399">
      <c r="A399" s="27"/>
      <c r="B399" s="28"/>
      <c r="C399" s="28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</row>
    <row r="400">
      <c r="A400" s="27"/>
      <c r="B400" s="28"/>
      <c r="C400" s="28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</row>
    <row r="401">
      <c r="A401" s="27"/>
      <c r="B401" s="28"/>
      <c r="C401" s="28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</row>
    <row r="402">
      <c r="A402" s="27"/>
      <c r="B402" s="28"/>
      <c r="C402" s="28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</row>
    <row r="403">
      <c r="A403" s="27"/>
      <c r="B403" s="28"/>
      <c r="C403" s="28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</row>
    <row r="404">
      <c r="A404" s="27"/>
      <c r="B404" s="28"/>
      <c r="C404" s="28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</row>
    <row r="405">
      <c r="A405" s="27"/>
      <c r="B405" s="28"/>
      <c r="C405" s="28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</row>
    <row r="406">
      <c r="A406" s="27"/>
      <c r="B406" s="28"/>
      <c r="C406" s="28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</row>
    <row r="407">
      <c r="A407" s="27"/>
      <c r="B407" s="28"/>
      <c r="C407" s="28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</row>
    <row r="408">
      <c r="A408" s="27"/>
      <c r="B408" s="28"/>
      <c r="C408" s="28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</row>
    <row r="409">
      <c r="A409" s="27"/>
      <c r="B409" s="28"/>
      <c r="C409" s="28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</row>
    <row r="410">
      <c r="A410" s="27"/>
      <c r="B410" s="28"/>
      <c r="C410" s="28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</row>
    <row r="411">
      <c r="A411" s="27"/>
      <c r="B411" s="28"/>
      <c r="C411" s="28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</row>
    <row r="412">
      <c r="A412" s="27"/>
      <c r="B412" s="28"/>
      <c r="C412" s="28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</row>
    <row r="413">
      <c r="A413" s="27"/>
      <c r="B413" s="28"/>
      <c r="C413" s="28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</row>
    <row r="414">
      <c r="A414" s="27"/>
      <c r="B414" s="28"/>
      <c r="C414" s="28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</row>
    <row r="415">
      <c r="A415" s="27"/>
      <c r="B415" s="28"/>
      <c r="C415" s="28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</row>
    <row r="416">
      <c r="A416" s="27"/>
      <c r="B416" s="28"/>
      <c r="C416" s="28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</row>
    <row r="417">
      <c r="A417" s="27"/>
      <c r="B417" s="28"/>
      <c r="C417" s="28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</row>
    <row r="418">
      <c r="A418" s="27"/>
      <c r="B418" s="28"/>
      <c r="C418" s="28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</row>
    <row r="419">
      <c r="A419" s="27"/>
      <c r="B419" s="28"/>
      <c r="C419" s="28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</row>
    <row r="420">
      <c r="A420" s="27"/>
      <c r="B420" s="28"/>
      <c r="C420" s="28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</row>
    <row r="421">
      <c r="A421" s="27"/>
      <c r="B421" s="28"/>
      <c r="C421" s="28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</row>
    <row r="422">
      <c r="A422" s="27"/>
      <c r="B422" s="28"/>
      <c r="C422" s="28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</row>
    <row r="423">
      <c r="A423" s="27"/>
      <c r="B423" s="28"/>
      <c r="C423" s="28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</row>
    <row r="424">
      <c r="A424" s="27"/>
      <c r="B424" s="28"/>
      <c r="C424" s="28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</row>
    <row r="425">
      <c r="A425" s="27"/>
      <c r="B425" s="28"/>
      <c r="C425" s="28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</row>
    <row r="426">
      <c r="A426" s="27"/>
      <c r="B426" s="28"/>
      <c r="C426" s="28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</row>
    <row r="427">
      <c r="A427" s="27"/>
      <c r="B427" s="28"/>
      <c r="C427" s="28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</row>
    <row r="428">
      <c r="A428" s="27"/>
      <c r="B428" s="28"/>
      <c r="C428" s="28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</row>
    <row r="429">
      <c r="A429" s="27"/>
      <c r="B429" s="28"/>
      <c r="C429" s="28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</row>
    <row r="430">
      <c r="A430" s="27"/>
      <c r="B430" s="28"/>
      <c r="C430" s="28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</row>
    <row r="431">
      <c r="A431" s="27"/>
      <c r="B431" s="28"/>
      <c r="C431" s="28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</row>
    <row r="432">
      <c r="A432" s="27"/>
      <c r="B432" s="28"/>
      <c r="C432" s="28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</row>
    <row r="433">
      <c r="A433" s="27"/>
      <c r="B433" s="28"/>
      <c r="C433" s="28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</row>
    <row r="434">
      <c r="A434" s="27"/>
      <c r="B434" s="28"/>
      <c r="C434" s="28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</row>
    <row r="435">
      <c r="A435" s="27"/>
      <c r="B435" s="28"/>
      <c r="C435" s="28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</row>
    <row r="436">
      <c r="A436" s="27"/>
      <c r="B436" s="28"/>
      <c r="C436" s="28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</row>
    <row r="437">
      <c r="A437" s="27"/>
      <c r="B437" s="28"/>
      <c r="C437" s="28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</row>
    <row r="438">
      <c r="A438" s="27"/>
      <c r="B438" s="28"/>
      <c r="C438" s="28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</row>
    <row r="439">
      <c r="A439" s="27"/>
      <c r="B439" s="28"/>
      <c r="C439" s="28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</row>
    <row r="440">
      <c r="A440" s="27"/>
      <c r="B440" s="28"/>
      <c r="C440" s="28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</row>
    <row r="441">
      <c r="A441" s="27"/>
      <c r="B441" s="28"/>
      <c r="C441" s="28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</row>
    <row r="442">
      <c r="A442" s="27"/>
      <c r="B442" s="28"/>
      <c r="C442" s="28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</row>
    <row r="443">
      <c r="A443" s="27"/>
      <c r="B443" s="28"/>
      <c r="C443" s="28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</row>
    <row r="444">
      <c r="A444" s="27"/>
      <c r="B444" s="28"/>
      <c r="C444" s="28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</row>
    <row r="445">
      <c r="A445" s="27"/>
      <c r="B445" s="28"/>
      <c r="C445" s="28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</row>
    <row r="446">
      <c r="A446" s="27"/>
      <c r="B446" s="28"/>
      <c r="C446" s="28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</row>
    <row r="447">
      <c r="A447" s="27"/>
      <c r="B447" s="28"/>
      <c r="C447" s="28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</row>
    <row r="448">
      <c r="A448" s="27"/>
      <c r="B448" s="28"/>
      <c r="C448" s="28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</row>
    <row r="449">
      <c r="A449" s="27"/>
      <c r="B449" s="28"/>
      <c r="C449" s="28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</row>
    <row r="450">
      <c r="A450" s="27"/>
      <c r="B450" s="28"/>
      <c r="C450" s="28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</row>
    <row r="451">
      <c r="A451" s="27"/>
      <c r="B451" s="28"/>
      <c r="C451" s="28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</row>
    <row r="452">
      <c r="A452" s="27"/>
      <c r="B452" s="28"/>
      <c r="C452" s="28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</row>
    <row r="453">
      <c r="A453" s="27"/>
      <c r="B453" s="28"/>
      <c r="C453" s="28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</row>
    <row r="454">
      <c r="A454" s="27"/>
      <c r="B454" s="28"/>
      <c r="C454" s="28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</row>
    <row r="455">
      <c r="A455" s="27"/>
      <c r="B455" s="28"/>
      <c r="C455" s="28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</row>
    <row r="456">
      <c r="A456" s="27"/>
      <c r="B456" s="28"/>
      <c r="C456" s="28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</row>
    <row r="457">
      <c r="A457" s="27"/>
      <c r="B457" s="28"/>
      <c r="C457" s="28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</row>
    <row r="458">
      <c r="A458" s="27"/>
      <c r="B458" s="28"/>
      <c r="C458" s="28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</row>
    <row r="459">
      <c r="A459" s="27"/>
      <c r="B459" s="28"/>
      <c r="C459" s="28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</row>
    <row r="460">
      <c r="A460" s="27"/>
      <c r="B460" s="28"/>
      <c r="C460" s="28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</row>
    <row r="461">
      <c r="A461" s="27"/>
      <c r="B461" s="28"/>
      <c r="C461" s="28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</row>
    <row r="462">
      <c r="A462" s="27"/>
      <c r="B462" s="28"/>
      <c r="C462" s="28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</row>
    <row r="463">
      <c r="A463" s="27"/>
      <c r="B463" s="28"/>
      <c r="C463" s="28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</row>
    <row r="464">
      <c r="A464" s="27"/>
      <c r="B464" s="28"/>
      <c r="C464" s="28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</row>
    <row r="465">
      <c r="A465" s="27"/>
      <c r="B465" s="28"/>
      <c r="C465" s="28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</row>
    <row r="466">
      <c r="A466" s="27"/>
      <c r="B466" s="28"/>
      <c r="C466" s="28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</row>
    <row r="467">
      <c r="A467" s="27"/>
      <c r="B467" s="28"/>
      <c r="C467" s="28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</row>
    <row r="468">
      <c r="A468" s="27"/>
      <c r="B468" s="28"/>
      <c r="C468" s="28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</row>
    <row r="469">
      <c r="A469" s="27"/>
      <c r="B469" s="28"/>
      <c r="C469" s="28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</row>
    <row r="470">
      <c r="A470" s="27"/>
      <c r="B470" s="28"/>
      <c r="C470" s="28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</row>
    <row r="471">
      <c r="A471" s="27"/>
      <c r="B471" s="28"/>
      <c r="C471" s="28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</row>
    <row r="472">
      <c r="A472" s="27"/>
      <c r="B472" s="28"/>
      <c r="C472" s="28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</row>
    <row r="473">
      <c r="A473" s="27"/>
      <c r="B473" s="28"/>
      <c r="C473" s="28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</row>
    <row r="474">
      <c r="A474" s="27"/>
      <c r="B474" s="28"/>
      <c r="C474" s="28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</row>
    <row r="475">
      <c r="A475" s="27"/>
      <c r="B475" s="28"/>
      <c r="C475" s="28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</row>
    <row r="476">
      <c r="A476" s="27"/>
      <c r="B476" s="28"/>
      <c r="C476" s="28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</row>
    <row r="477">
      <c r="A477" s="27"/>
      <c r="B477" s="28"/>
      <c r="C477" s="28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</row>
    <row r="478">
      <c r="A478" s="27"/>
      <c r="B478" s="28"/>
      <c r="C478" s="28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</row>
    <row r="479">
      <c r="A479" s="27"/>
      <c r="B479" s="28"/>
      <c r="C479" s="28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</row>
    <row r="480">
      <c r="A480" s="27"/>
      <c r="B480" s="28"/>
      <c r="C480" s="28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</row>
    <row r="481">
      <c r="A481" s="27"/>
      <c r="B481" s="28"/>
      <c r="C481" s="28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</row>
    <row r="482">
      <c r="A482" s="27"/>
      <c r="B482" s="28"/>
      <c r="C482" s="28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</row>
    <row r="483">
      <c r="A483" s="27"/>
      <c r="B483" s="28"/>
      <c r="C483" s="28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</row>
    <row r="484">
      <c r="A484" s="27"/>
      <c r="B484" s="28"/>
      <c r="C484" s="28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</row>
    <row r="485">
      <c r="A485" s="27"/>
      <c r="B485" s="28"/>
      <c r="C485" s="28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</row>
    <row r="486">
      <c r="A486" s="27"/>
      <c r="B486" s="28"/>
      <c r="C486" s="28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</row>
    <row r="487">
      <c r="A487" s="27"/>
      <c r="B487" s="28"/>
      <c r="C487" s="28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</row>
    <row r="488">
      <c r="A488" s="27"/>
      <c r="B488" s="28"/>
      <c r="C488" s="28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</row>
    <row r="489">
      <c r="A489" s="27"/>
      <c r="B489" s="28"/>
      <c r="C489" s="28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</row>
    <row r="490">
      <c r="A490" s="27"/>
      <c r="B490" s="28"/>
      <c r="C490" s="28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</row>
    <row r="491">
      <c r="A491" s="27"/>
      <c r="B491" s="28"/>
      <c r="C491" s="28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</row>
    <row r="492">
      <c r="A492" s="27"/>
      <c r="B492" s="28"/>
      <c r="C492" s="28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</row>
    <row r="493">
      <c r="A493" s="27"/>
      <c r="B493" s="28"/>
      <c r="C493" s="28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</row>
    <row r="494">
      <c r="A494" s="27"/>
      <c r="B494" s="28"/>
      <c r="C494" s="28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</row>
    <row r="495">
      <c r="A495" s="27"/>
      <c r="B495" s="28"/>
      <c r="C495" s="28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</row>
    <row r="496">
      <c r="A496" s="27"/>
      <c r="B496" s="28"/>
      <c r="C496" s="28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</row>
    <row r="497">
      <c r="A497" s="27"/>
      <c r="B497" s="28"/>
      <c r="C497" s="28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</row>
    <row r="498">
      <c r="A498" s="27"/>
      <c r="B498" s="28"/>
      <c r="C498" s="28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</row>
    <row r="499">
      <c r="A499" s="27"/>
      <c r="B499" s="28"/>
      <c r="C499" s="28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</row>
    <row r="500">
      <c r="A500" s="27"/>
      <c r="B500" s="28"/>
      <c r="C500" s="28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</row>
    <row r="501">
      <c r="A501" s="27"/>
      <c r="B501" s="28"/>
      <c r="C501" s="28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</row>
    <row r="502">
      <c r="A502" s="27"/>
      <c r="B502" s="28"/>
      <c r="C502" s="28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</row>
    <row r="503">
      <c r="A503" s="27"/>
      <c r="B503" s="28"/>
      <c r="C503" s="28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</row>
    <row r="504">
      <c r="A504" s="27"/>
      <c r="B504" s="28"/>
      <c r="C504" s="28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</row>
    <row r="505">
      <c r="A505" s="27"/>
      <c r="B505" s="28"/>
      <c r="C505" s="28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</row>
    <row r="506">
      <c r="A506" s="27"/>
      <c r="B506" s="28"/>
      <c r="C506" s="28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</row>
    <row r="507">
      <c r="A507" s="27"/>
      <c r="B507" s="28"/>
      <c r="C507" s="28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</row>
    <row r="508">
      <c r="A508" s="27"/>
      <c r="B508" s="28"/>
      <c r="C508" s="28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</row>
    <row r="509">
      <c r="A509" s="27"/>
      <c r="B509" s="28"/>
      <c r="C509" s="28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</row>
    <row r="510">
      <c r="A510" s="27"/>
      <c r="B510" s="28"/>
      <c r="C510" s="28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</row>
    <row r="511">
      <c r="A511" s="27"/>
      <c r="B511" s="28"/>
      <c r="C511" s="28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</row>
    <row r="512">
      <c r="A512" s="27"/>
      <c r="B512" s="28"/>
      <c r="C512" s="28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</row>
    <row r="513">
      <c r="A513" s="27"/>
      <c r="B513" s="28"/>
      <c r="C513" s="28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</row>
    <row r="514">
      <c r="A514" s="27"/>
      <c r="B514" s="28"/>
      <c r="C514" s="28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</row>
    <row r="515">
      <c r="A515" s="27"/>
      <c r="B515" s="28"/>
      <c r="C515" s="28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</row>
    <row r="516">
      <c r="A516" s="27"/>
      <c r="B516" s="28"/>
      <c r="C516" s="28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</row>
    <row r="517">
      <c r="A517" s="27"/>
      <c r="B517" s="28"/>
      <c r="C517" s="28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</row>
    <row r="518">
      <c r="A518" s="27"/>
      <c r="B518" s="28"/>
      <c r="C518" s="28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</row>
    <row r="519">
      <c r="A519" s="27"/>
      <c r="B519" s="28"/>
      <c r="C519" s="28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</row>
    <row r="520">
      <c r="A520" s="27"/>
      <c r="B520" s="28"/>
      <c r="C520" s="28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</row>
    <row r="521">
      <c r="A521" s="27"/>
      <c r="B521" s="28"/>
      <c r="C521" s="28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</row>
    <row r="522">
      <c r="A522" s="27"/>
      <c r="B522" s="28"/>
      <c r="C522" s="28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</row>
    <row r="523">
      <c r="A523" s="27"/>
      <c r="B523" s="28"/>
      <c r="C523" s="28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</row>
    <row r="524">
      <c r="A524" s="27"/>
      <c r="B524" s="28"/>
      <c r="C524" s="28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</row>
    <row r="525">
      <c r="A525" s="27"/>
      <c r="B525" s="28"/>
      <c r="C525" s="28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</row>
    <row r="526">
      <c r="A526" s="27"/>
      <c r="B526" s="28"/>
      <c r="C526" s="28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</row>
    <row r="527">
      <c r="A527" s="27"/>
      <c r="B527" s="28"/>
      <c r="C527" s="28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</row>
    <row r="528">
      <c r="A528" s="27"/>
      <c r="B528" s="28"/>
      <c r="C528" s="28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</row>
    <row r="529">
      <c r="A529" s="27"/>
      <c r="B529" s="28"/>
      <c r="C529" s="28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</row>
    <row r="530">
      <c r="A530" s="27"/>
      <c r="B530" s="28"/>
      <c r="C530" s="28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</row>
    <row r="531">
      <c r="A531" s="27"/>
      <c r="B531" s="28"/>
      <c r="C531" s="28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</row>
    <row r="532">
      <c r="A532" s="27"/>
      <c r="B532" s="28"/>
      <c r="C532" s="28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</row>
    <row r="533">
      <c r="A533" s="27"/>
      <c r="B533" s="28"/>
      <c r="C533" s="28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</row>
    <row r="534">
      <c r="A534" s="27"/>
      <c r="B534" s="28"/>
      <c r="C534" s="28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</row>
    <row r="535">
      <c r="A535" s="27"/>
      <c r="B535" s="28"/>
      <c r="C535" s="28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</row>
    <row r="536">
      <c r="A536" s="27"/>
      <c r="B536" s="28"/>
      <c r="C536" s="28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</row>
    <row r="537">
      <c r="A537" s="27"/>
      <c r="B537" s="28"/>
      <c r="C537" s="28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</row>
    <row r="538">
      <c r="A538" s="27"/>
      <c r="B538" s="28"/>
      <c r="C538" s="28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</row>
    <row r="539">
      <c r="A539" s="27"/>
      <c r="B539" s="28"/>
      <c r="C539" s="28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</row>
    <row r="540">
      <c r="A540" s="27"/>
      <c r="B540" s="28"/>
      <c r="C540" s="28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</row>
    <row r="541">
      <c r="A541" s="27"/>
      <c r="B541" s="28"/>
      <c r="C541" s="28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</row>
    <row r="542">
      <c r="A542" s="27"/>
      <c r="B542" s="28"/>
      <c r="C542" s="28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</row>
    <row r="543">
      <c r="A543" s="27"/>
      <c r="B543" s="28"/>
      <c r="C543" s="28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</row>
    <row r="544">
      <c r="A544" s="27"/>
      <c r="B544" s="28"/>
      <c r="C544" s="28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</row>
    <row r="545">
      <c r="A545" s="27"/>
      <c r="B545" s="28"/>
      <c r="C545" s="28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</row>
    <row r="546">
      <c r="A546" s="27"/>
      <c r="B546" s="28"/>
      <c r="C546" s="28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</row>
    <row r="547">
      <c r="A547" s="27"/>
      <c r="B547" s="28"/>
      <c r="C547" s="28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</row>
    <row r="548">
      <c r="A548" s="27"/>
      <c r="B548" s="28"/>
      <c r="C548" s="28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</row>
    <row r="549">
      <c r="A549" s="27"/>
      <c r="B549" s="28"/>
      <c r="C549" s="28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</row>
    <row r="550">
      <c r="A550" s="27"/>
      <c r="B550" s="28"/>
      <c r="C550" s="28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</row>
    <row r="551">
      <c r="A551" s="27"/>
      <c r="B551" s="28"/>
      <c r="C551" s="28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</row>
    <row r="552">
      <c r="A552" s="27"/>
      <c r="B552" s="28"/>
      <c r="C552" s="28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</row>
    <row r="553">
      <c r="A553" s="27"/>
      <c r="B553" s="28"/>
      <c r="C553" s="28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</row>
    <row r="554">
      <c r="A554" s="27"/>
      <c r="B554" s="28"/>
      <c r="C554" s="28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</row>
    <row r="555">
      <c r="A555" s="27"/>
      <c r="B555" s="28"/>
      <c r="C555" s="28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</row>
    <row r="556">
      <c r="A556" s="27"/>
      <c r="B556" s="28"/>
      <c r="C556" s="28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</row>
    <row r="557">
      <c r="A557" s="27"/>
      <c r="B557" s="28"/>
      <c r="C557" s="28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</row>
    <row r="558">
      <c r="A558" s="27"/>
      <c r="B558" s="28"/>
      <c r="C558" s="28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</row>
    <row r="559">
      <c r="A559" s="27"/>
      <c r="B559" s="28"/>
      <c r="C559" s="28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</row>
    <row r="560">
      <c r="A560" s="27"/>
      <c r="B560" s="28"/>
      <c r="C560" s="28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</row>
    <row r="561">
      <c r="A561" s="27"/>
      <c r="B561" s="28"/>
      <c r="C561" s="28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</row>
    <row r="562">
      <c r="A562" s="27"/>
      <c r="B562" s="28"/>
      <c r="C562" s="28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</row>
    <row r="563">
      <c r="A563" s="27"/>
      <c r="B563" s="28"/>
      <c r="C563" s="28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</row>
    <row r="564">
      <c r="A564" s="27"/>
      <c r="B564" s="28"/>
      <c r="C564" s="28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</row>
    <row r="565">
      <c r="A565" s="27"/>
      <c r="B565" s="28"/>
      <c r="C565" s="28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</row>
    <row r="566">
      <c r="A566" s="27"/>
      <c r="B566" s="28"/>
      <c r="C566" s="28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</row>
    <row r="567">
      <c r="A567" s="27"/>
      <c r="B567" s="28"/>
      <c r="C567" s="28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</row>
    <row r="568">
      <c r="A568" s="27"/>
      <c r="B568" s="28"/>
      <c r="C568" s="28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</row>
    <row r="569">
      <c r="A569" s="27"/>
      <c r="B569" s="28"/>
      <c r="C569" s="28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</row>
    <row r="570">
      <c r="A570" s="27"/>
      <c r="B570" s="28"/>
      <c r="C570" s="28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</row>
    <row r="571">
      <c r="A571" s="27"/>
      <c r="B571" s="28"/>
      <c r="C571" s="28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</row>
    <row r="572">
      <c r="A572" s="27"/>
      <c r="B572" s="28"/>
      <c r="C572" s="28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</row>
    <row r="573">
      <c r="A573" s="27"/>
      <c r="B573" s="28"/>
      <c r="C573" s="28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</row>
    <row r="574">
      <c r="A574" s="27"/>
      <c r="B574" s="28"/>
      <c r="C574" s="28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</row>
    <row r="575">
      <c r="A575" s="27"/>
      <c r="B575" s="28"/>
      <c r="C575" s="28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</row>
    <row r="576">
      <c r="A576" s="27"/>
      <c r="B576" s="28"/>
      <c r="C576" s="28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</row>
    <row r="577">
      <c r="A577" s="27"/>
      <c r="B577" s="28"/>
      <c r="C577" s="28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</row>
    <row r="578">
      <c r="A578" s="27"/>
      <c r="B578" s="28"/>
      <c r="C578" s="28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</row>
    <row r="579">
      <c r="A579" s="27"/>
      <c r="B579" s="28"/>
      <c r="C579" s="28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</row>
    <row r="580">
      <c r="A580" s="27"/>
      <c r="B580" s="28"/>
      <c r="C580" s="28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</row>
    <row r="581">
      <c r="A581" s="27"/>
      <c r="B581" s="28"/>
      <c r="C581" s="28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</row>
    <row r="582">
      <c r="A582" s="27"/>
      <c r="B582" s="28"/>
      <c r="C582" s="28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</row>
    <row r="583">
      <c r="A583" s="27"/>
      <c r="B583" s="28"/>
      <c r="C583" s="28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</row>
    <row r="584">
      <c r="A584" s="27"/>
      <c r="B584" s="28"/>
      <c r="C584" s="28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</row>
    <row r="585">
      <c r="A585" s="27"/>
      <c r="B585" s="28"/>
      <c r="C585" s="28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</row>
    <row r="586">
      <c r="A586" s="27"/>
      <c r="B586" s="28"/>
      <c r="C586" s="28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</row>
    <row r="587">
      <c r="A587" s="27"/>
      <c r="B587" s="28"/>
      <c r="C587" s="28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</row>
    <row r="588">
      <c r="A588" s="27"/>
      <c r="B588" s="28"/>
      <c r="C588" s="28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</row>
    <row r="589">
      <c r="A589" s="27"/>
      <c r="B589" s="28"/>
      <c r="C589" s="28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</row>
    <row r="590">
      <c r="A590" s="27"/>
      <c r="B590" s="28"/>
      <c r="C590" s="28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</row>
    <row r="591">
      <c r="A591" s="27"/>
      <c r="B591" s="28"/>
      <c r="C591" s="28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</row>
    <row r="592">
      <c r="A592" s="27"/>
      <c r="B592" s="28"/>
      <c r="C592" s="28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</row>
    <row r="593">
      <c r="A593" s="27"/>
      <c r="B593" s="28"/>
      <c r="C593" s="28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</row>
    <row r="594">
      <c r="A594" s="27"/>
      <c r="B594" s="28"/>
      <c r="C594" s="28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</row>
    <row r="595">
      <c r="A595" s="27"/>
      <c r="B595" s="28"/>
      <c r="C595" s="28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</row>
    <row r="596">
      <c r="A596" s="27"/>
      <c r="B596" s="28"/>
      <c r="C596" s="28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</row>
    <row r="597">
      <c r="A597" s="27"/>
      <c r="B597" s="28"/>
      <c r="C597" s="28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</row>
    <row r="598">
      <c r="A598" s="27"/>
      <c r="B598" s="28"/>
      <c r="C598" s="28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</row>
    <row r="599">
      <c r="A599" s="27"/>
      <c r="B599" s="28"/>
      <c r="C599" s="28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</row>
    <row r="600">
      <c r="A600" s="27"/>
      <c r="B600" s="28"/>
      <c r="C600" s="28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</row>
    <row r="601">
      <c r="A601" s="27"/>
      <c r="B601" s="28"/>
      <c r="C601" s="28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</row>
    <row r="602">
      <c r="A602" s="27"/>
      <c r="B602" s="28"/>
      <c r="C602" s="28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</row>
    <row r="603">
      <c r="A603" s="27"/>
      <c r="B603" s="28"/>
      <c r="C603" s="28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</row>
    <row r="604">
      <c r="A604" s="27"/>
      <c r="B604" s="28"/>
      <c r="C604" s="28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</row>
    <row r="605">
      <c r="A605" s="27"/>
      <c r="B605" s="28"/>
      <c r="C605" s="28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</row>
    <row r="606">
      <c r="A606" s="27"/>
      <c r="B606" s="28"/>
      <c r="C606" s="28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</row>
    <row r="607">
      <c r="A607" s="27"/>
      <c r="B607" s="28"/>
      <c r="C607" s="28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</row>
    <row r="608">
      <c r="A608" s="27"/>
      <c r="B608" s="28"/>
      <c r="C608" s="28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</row>
    <row r="609">
      <c r="A609" s="27"/>
      <c r="B609" s="28"/>
      <c r="C609" s="28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</row>
    <row r="610">
      <c r="A610" s="27"/>
      <c r="B610" s="28"/>
      <c r="C610" s="28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</row>
    <row r="611">
      <c r="A611" s="27"/>
      <c r="B611" s="28"/>
      <c r="C611" s="28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</row>
    <row r="612">
      <c r="A612" s="27"/>
      <c r="B612" s="28"/>
      <c r="C612" s="28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</row>
    <row r="613">
      <c r="A613" s="27"/>
      <c r="B613" s="28"/>
      <c r="C613" s="28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</row>
    <row r="614">
      <c r="A614" s="27"/>
      <c r="B614" s="28"/>
      <c r="C614" s="28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</row>
    <row r="615">
      <c r="A615" s="27"/>
      <c r="B615" s="28"/>
      <c r="C615" s="28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</row>
    <row r="616">
      <c r="A616" s="27"/>
      <c r="B616" s="28"/>
      <c r="C616" s="28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</row>
    <row r="617">
      <c r="A617" s="27"/>
      <c r="B617" s="28"/>
      <c r="C617" s="28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</row>
    <row r="618">
      <c r="A618" s="27"/>
      <c r="B618" s="28"/>
      <c r="C618" s="28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</row>
    <row r="619">
      <c r="A619" s="27"/>
      <c r="B619" s="28"/>
      <c r="C619" s="28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</row>
    <row r="620">
      <c r="A620" s="27"/>
      <c r="B620" s="28"/>
      <c r="C620" s="28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</row>
    <row r="621">
      <c r="A621" s="27"/>
      <c r="B621" s="28"/>
      <c r="C621" s="28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</row>
    <row r="622">
      <c r="A622" s="27"/>
      <c r="B622" s="28"/>
      <c r="C622" s="28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</row>
    <row r="623">
      <c r="A623" s="27"/>
      <c r="B623" s="28"/>
      <c r="C623" s="28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</row>
    <row r="624">
      <c r="A624" s="27"/>
      <c r="B624" s="28"/>
      <c r="C624" s="28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</row>
    <row r="625">
      <c r="A625" s="27"/>
      <c r="B625" s="28"/>
      <c r="C625" s="28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</row>
    <row r="626">
      <c r="A626" s="27"/>
      <c r="B626" s="28"/>
      <c r="C626" s="28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</row>
    <row r="627">
      <c r="A627" s="27"/>
      <c r="B627" s="28"/>
      <c r="C627" s="28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</row>
    <row r="628">
      <c r="A628" s="27"/>
      <c r="B628" s="28"/>
      <c r="C628" s="28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</row>
    <row r="629">
      <c r="A629" s="27"/>
      <c r="B629" s="28"/>
      <c r="C629" s="28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</row>
    <row r="630">
      <c r="A630" s="27"/>
      <c r="B630" s="28"/>
      <c r="C630" s="28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</row>
    <row r="631">
      <c r="A631" s="27"/>
      <c r="B631" s="28"/>
      <c r="C631" s="28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</row>
    <row r="632">
      <c r="A632" s="27"/>
      <c r="B632" s="28"/>
      <c r="C632" s="28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</row>
    <row r="633">
      <c r="A633" s="27"/>
      <c r="B633" s="28"/>
      <c r="C633" s="28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</row>
    <row r="634">
      <c r="A634" s="27"/>
      <c r="B634" s="28"/>
      <c r="C634" s="28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</row>
    <row r="635">
      <c r="A635" s="27"/>
      <c r="B635" s="28"/>
      <c r="C635" s="28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</row>
    <row r="636">
      <c r="A636" s="27"/>
      <c r="B636" s="28"/>
      <c r="C636" s="28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</row>
    <row r="637">
      <c r="A637" s="27"/>
      <c r="B637" s="28"/>
      <c r="C637" s="28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</row>
    <row r="638">
      <c r="A638" s="27"/>
      <c r="B638" s="28"/>
      <c r="C638" s="28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</row>
    <row r="639">
      <c r="A639" s="27"/>
      <c r="B639" s="28"/>
      <c r="C639" s="28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</row>
    <row r="640">
      <c r="A640" s="27"/>
      <c r="B640" s="28"/>
      <c r="C640" s="28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</row>
    <row r="641">
      <c r="A641" s="27"/>
      <c r="B641" s="28"/>
      <c r="C641" s="28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</row>
    <row r="642">
      <c r="A642" s="27"/>
      <c r="B642" s="28"/>
      <c r="C642" s="28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</row>
    <row r="643">
      <c r="A643" s="27"/>
      <c r="B643" s="28"/>
      <c r="C643" s="28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</row>
    <row r="644">
      <c r="A644" s="27"/>
      <c r="B644" s="28"/>
      <c r="C644" s="28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</row>
    <row r="645">
      <c r="A645" s="27"/>
      <c r="B645" s="28"/>
      <c r="C645" s="28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</row>
    <row r="646">
      <c r="A646" s="27"/>
      <c r="B646" s="28"/>
      <c r="C646" s="28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</row>
    <row r="647">
      <c r="A647" s="27"/>
      <c r="B647" s="28"/>
      <c r="C647" s="28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</row>
    <row r="648">
      <c r="A648" s="27"/>
      <c r="B648" s="28"/>
      <c r="C648" s="28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</row>
    <row r="649">
      <c r="A649" s="27"/>
      <c r="B649" s="28"/>
      <c r="C649" s="28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</row>
    <row r="650">
      <c r="A650" s="27"/>
      <c r="B650" s="28"/>
      <c r="C650" s="28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</row>
    <row r="651">
      <c r="A651" s="27"/>
      <c r="B651" s="28"/>
      <c r="C651" s="28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</row>
    <row r="652">
      <c r="A652" s="27"/>
      <c r="B652" s="28"/>
      <c r="C652" s="28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</row>
    <row r="653">
      <c r="A653" s="27"/>
      <c r="B653" s="28"/>
      <c r="C653" s="28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</row>
    <row r="654">
      <c r="A654" s="27"/>
      <c r="B654" s="28"/>
      <c r="C654" s="28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</row>
    <row r="655">
      <c r="A655" s="27"/>
      <c r="B655" s="28"/>
      <c r="C655" s="28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</row>
    <row r="656">
      <c r="A656" s="27"/>
      <c r="B656" s="28"/>
      <c r="C656" s="28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</row>
    <row r="657">
      <c r="A657" s="27"/>
      <c r="B657" s="28"/>
      <c r="C657" s="28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</row>
    <row r="658">
      <c r="A658" s="27"/>
      <c r="B658" s="28"/>
      <c r="C658" s="28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</row>
    <row r="659">
      <c r="A659" s="27"/>
      <c r="B659" s="28"/>
      <c r="C659" s="28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</row>
    <row r="660">
      <c r="A660" s="27"/>
      <c r="B660" s="28"/>
      <c r="C660" s="28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</row>
    <row r="661">
      <c r="A661" s="27"/>
      <c r="B661" s="28"/>
      <c r="C661" s="28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</row>
    <row r="662">
      <c r="A662" s="27"/>
      <c r="B662" s="28"/>
      <c r="C662" s="28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</row>
    <row r="663">
      <c r="A663" s="27"/>
      <c r="B663" s="28"/>
      <c r="C663" s="28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</row>
    <row r="664">
      <c r="A664" s="27"/>
      <c r="B664" s="28"/>
      <c r="C664" s="28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</row>
    <row r="665">
      <c r="A665" s="27"/>
      <c r="B665" s="28"/>
      <c r="C665" s="28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</row>
    <row r="666">
      <c r="A666" s="27"/>
      <c r="B666" s="28"/>
      <c r="C666" s="28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</row>
    <row r="667">
      <c r="A667" s="27"/>
      <c r="B667" s="28"/>
      <c r="C667" s="28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</row>
    <row r="668">
      <c r="A668" s="27"/>
      <c r="B668" s="28"/>
      <c r="C668" s="28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</row>
    <row r="669">
      <c r="A669" s="27"/>
      <c r="B669" s="28"/>
      <c r="C669" s="28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</row>
    <row r="670">
      <c r="A670" s="27"/>
      <c r="B670" s="28"/>
      <c r="C670" s="28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</row>
    <row r="671">
      <c r="A671" s="27"/>
      <c r="B671" s="28"/>
      <c r="C671" s="28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</row>
    <row r="672">
      <c r="A672" s="27"/>
      <c r="B672" s="28"/>
      <c r="C672" s="28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</row>
    <row r="673">
      <c r="A673" s="27"/>
      <c r="B673" s="28"/>
      <c r="C673" s="28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</row>
    <row r="674">
      <c r="A674" s="27"/>
      <c r="B674" s="28"/>
      <c r="C674" s="28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</row>
    <row r="675">
      <c r="A675" s="27"/>
      <c r="B675" s="28"/>
      <c r="C675" s="28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</row>
    <row r="676">
      <c r="A676" s="27"/>
      <c r="B676" s="28"/>
      <c r="C676" s="28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</row>
    <row r="677">
      <c r="A677" s="27"/>
      <c r="B677" s="28"/>
      <c r="C677" s="28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</row>
    <row r="678">
      <c r="A678" s="27"/>
      <c r="B678" s="28"/>
      <c r="C678" s="28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</row>
    <row r="679">
      <c r="A679" s="27"/>
      <c r="B679" s="28"/>
      <c r="C679" s="28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</row>
    <row r="680">
      <c r="A680" s="27"/>
      <c r="B680" s="28"/>
      <c r="C680" s="28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</row>
    <row r="681">
      <c r="A681" s="27"/>
      <c r="B681" s="28"/>
      <c r="C681" s="28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</row>
    <row r="682">
      <c r="A682" s="27"/>
      <c r="B682" s="28"/>
      <c r="C682" s="28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</row>
    <row r="683">
      <c r="A683" s="27"/>
      <c r="B683" s="28"/>
      <c r="C683" s="28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</row>
    <row r="684">
      <c r="A684" s="27"/>
      <c r="B684" s="28"/>
      <c r="C684" s="28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</row>
    <row r="685">
      <c r="A685" s="27"/>
      <c r="B685" s="28"/>
      <c r="C685" s="28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</row>
    <row r="686">
      <c r="A686" s="27"/>
      <c r="B686" s="28"/>
      <c r="C686" s="28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</row>
    <row r="687">
      <c r="A687" s="27"/>
      <c r="B687" s="28"/>
      <c r="C687" s="28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</row>
    <row r="688">
      <c r="A688" s="27"/>
      <c r="B688" s="28"/>
      <c r="C688" s="28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</row>
    <row r="689">
      <c r="A689" s="27"/>
      <c r="B689" s="28"/>
      <c r="C689" s="28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</row>
    <row r="690">
      <c r="A690" s="27"/>
      <c r="B690" s="28"/>
      <c r="C690" s="28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</row>
    <row r="691">
      <c r="A691" s="27"/>
      <c r="B691" s="28"/>
      <c r="C691" s="28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</row>
    <row r="692">
      <c r="A692" s="27"/>
      <c r="B692" s="28"/>
      <c r="C692" s="28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</row>
    <row r="693">
      <c r="A693" s="27"/>
      <c r="B693" s="28"/>
      <c r="C693" s="28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</row>
    <row r="694">
      <c r="A694" s="27"/>
      <c r="B694" s="28"/>
      <c r="C694" s="28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</row>
    <row r="695">
      <c r="A695" s="27"/>
      <c r="B695" s="28"/>
      <c r="C695" s="28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</row>
    <row r="696">
      <c r="A696" s="27"/>
      <c r="B696" s="28"/>
      <c r="C696" s="28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</row>
    <row r="697">
      <c r="A697" s="27"/>
      <c r="B697" s="28"/>
      <c r="C697" s="28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</row>
    <row r="698">
      <c r="A698" s="27"/>
      <c r="B698" s="28"/>
      <c r="C698" s="28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</row>
    <row r="699">
      <c r="A699" s="27"/>
      <c r="B699" s="28"/>
      <c r="C699" s="28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</row>
    <row r="700">
      <c r="A700" s="27"/>
      <c r="B700" s="28"/>
      <c r="C700" s="28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</row>
    <row r="701">
      <c r="A701" s="27"/>
      <c r="B701" s="28"/>
      <c r="C701" s="28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</row>
    <row r="702">
      <c r="A702" s="27"/>
      <c r="B702" s="28"/>
      <c r="C702" s="28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</row>
    <row r="703">
      <c r="A703" s="27"/>
      <c r="B703" s="28"/>
      <c r="C703" s="28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</row>
    <row r="704">
      <c r="A704" s="27"/>
      <c r="B704" s="28"/>
      <c r="C704" s="28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</row>
    <row r="705">
      <c r="A705" s="27"/>
      <c r="B705" s="28"/>
      <c r="C705" s="28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</row>
    <row r="706">
      <c r="A706" s="27"/>
      <c r="B706" s="28"/>
      <c r="C706" s="28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</row>
    <row r="707">
      <c r="A707" s="27"/>
      <c r="B707" s="28"/>
      <c r="C707" s="28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</row>
    <row r="708">
      <c r="A708" s="27"/>
      <c r="B708" s="28"/>
      <c r="C708" s="28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</row>
    <row r="709">
      <c r="A709" s="27"/>
      <c r="B709" s="28"/>
      <c r="C709" s="28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</row>
    <row r="710">
      <c r="A710" s="27"/>
      <c r="B710" s="28"/>
      <c r="C710" s="28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</row>
    <row r="711">
      <c r="A711" s="27"/>
      <c r="B711" s="28"/>
      <c r="C711" s="28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</row>
    <row r="712">
      <c r="A712" s="27"/>
      <c r="B712" s="28"/>
      <c r="C712" s="28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</row>
    <row r="713">
      <c r="A713" s="27"/>
      <c r="B713" s="28"/>
      <c r="C713" s="28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</row>
    <row r="714">
      <c r="A714" s="27"/>
      <c r="B714" s="28"/>
      <c r="C714" s="28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</row>
    <row r="715">
      <c r="A715" s="27"/>
      <c r="B715" s="28"/>
      <c r="C715" s="28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</row>
    <row r="716">
      <c r="A716" s="27"/>
      <c r="B716" s="28"/>
      <c r="C716" s="28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</row>
    <row r="717">
      <c r="A717" s="27"/>
      <c r="B717" s="28"/>
      <c r="C717" s="28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</row>
    <row r="718">
      <c r="A718" s="27"/>
      <c r="B718" s="28"/>
      <c r="C718" s="28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</row>
    <row r="719">
      <c r="A719" s="27"/>
      <c r="B719" s="28"/>
      <c r="C719" s="28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</row>
    <row r="720">
      <c r="A720" s="27"/>
      <c r="B720" s="28"/>
      <c r="C720" s="28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</row>
    <row r="721">
      <c r="A721" s="27"/>
      <c r="B721" s="28"/>
      <c r="C721" s="28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</row>
    <row r="722">
      <c r="A722" s="27"/>
      <c r="B722" s="28"/>
      <c r="C722" s="28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</row>
    <row r="723">
      <c r="A723" s="27"/>
      <c r="B723" s="28"/>
      <c r="C723" s="28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</row>
    <row r="724">
      <c r="A724" s="27"/>
      <c r="B724" s="28"/>
      <c r="C724" s="28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</row>
    <row r="725">
      <c r="A725" s="27"/>
      <c r="B725" s="28"/>
      <c r="C725" s="28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</row>
    <row r="726">
      <c r="A726" s="27"/>
      <c r="B726" s="28"/>
      <c r="C726" s="28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</row>
    <row r="727">
      <c r="A727" s="27"/>
      <c r="B727" s="28"/>
      <c r="C727" s="28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</row>
    <row r="728">
      <c r="A728" s="27"/>
      <c r="B728" s="28"/>
      <c r="C728" s="28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</row>
    <row r="729">
      <c r="A729" s="27"/>
      <c r="B729" s="28"/>
      <c r="C729" s="28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</row>
    <row r="730">
      <c r="A730" s="27"/>
      <c r="B730" s="28"/>
      <c r="C730" s="28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</row>
    <row r="731">
      <c r="A731" s="27"/>
      <c r="B731" s="28"/>
      <c r="C731" s="28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</row>
    <row r="732">
      <c r="A732" s="27"/>
      <c r="B732" s="28"/>
      <c r="C732" s="28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</row>
    <row r="733">
      <c r="A733" s="27"/>
      <c r="B733" s="28"/>
      <c r="C733" s="28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</row>
    <row r="734">
      <c r="A734" s="27"/>
      <c r="B734" s="28"/>
      <c r="C734" s="28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</row>
    <row r="735">
      <c r="A735" s="27"/>
      <c r="B735" s="28"/>
      <c r="C735" s="28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</row>
    <row r="736">
      <c r="A736" s="27"/>
      <c r="B736" s="28"/>
      <c r="C736" s="28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</row>
    <row r="737">
      <c r="A737" s="27"/>
      <c r="B737" s="28"/>
      <c r="C737" s="28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</row>
    <row r="738">
      <c r="A738" s="27"/>
      <c r="B738" s="28"/>
      <c r="C738" s="28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</row>
    <row r="739">
      <c r="A739" s="27"/>
      <c r="B739" s="28"/>
      <c r="C739" s="28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</row>
    <row r="740">
      <c r="A740" s="27"/>
      <c r="B740" s="28"/>
      <c r="C740" s="28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</row>
    <row r="741">
      <c r="A741" s="27"/>
      <c r="B741" s="28"/>
      <c r="C741" s="28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</row>
    <row r="742">
      <c r="A742" s="27"/>
      <c r="B742" s="28"/>
      <c r="C742" s="28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</row>
    <row r="743">
      <c r="A743" s="27"/>
      <c r="B743" s="28"/>
      <c r="C743" s="28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</row>
    <row r="744">
      <c r="A744" s="27"/>
      <c r="B744" s="28"/>
      <c r="C744" s="28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</row>
    <row r="745">
      <c r="A745" s="27"/>
      <c r="B745" s="28"/>
      <c r="C745" s="28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</row>
    <row r="746">
      <c r="A746" s="27"/>
      <c r="B746" s="28"/>
      <c r="C746" s="28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</row>
    <row r="747">
      <c r="A747" s="27"/>
      <c r="B747" s="28"/>
      <c r="C747" s="28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</row>
    <row r="748">
      <c r="A748" s="27"/>
      <c r="B748" s="28"/>
      <c r="C748" s="28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</row>
    <row r="749">
      <c r="A749" s="27"/>
      <c r="B749" s="28"/>
      <c r="C749" s="28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</row>
    <row r="750">
      <c r="A750" s="27"/>
      <c r="B750" s="28"/>
      <c r="C750" s="28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</row>
    <row r="751">
      <c r="A751" s="27"/>
      <c r="B751" s="28"/>
      <c r="C751" s="28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</row>
    <row r="752">
      <c r="A752" s="27"/>
      <c r="B752" s="28"/>
      <c r="C752" s="28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</row>
    <row r="753">
      <c r="A753" s="27"/>
      <c r="B753" s="28"/>
      <c r="C753" s="28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</row>
    <row r="754">
      <c r="A754" s="27"/>
      <c r="B754" s="28"/>
      <c r="C754" s="28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</row>
    <row r="755">
      <c r="A755" s="27"/>
      <c r="B755" s="28"/>
      <c r="C755" s="28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</row>
    <row r="756">
      <c r="A756" s="27"/>
      <c r="B756" s="28"/>
      <c r="C756" s="28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</row>
    <row r="757">
      <c r="A757" s="27"/>
      <c r="B757" s="28"/>
      <c r="C757" s="28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</row>
    <row r="758">
      <c r="A758" s="27"/>
      <c r="B758" s="28"/>
      <c r="C758" s="28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</row>
    <row r="759">
      <c r="A759" s="27"/>
      <c r="B759" s="28"/>
      <c r="C759" s="28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</row>
    <row r="760">
      <c r="A760" s="27"/>
      <c r="B760" s="28"/>
      <c r="C760" s="28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</row>
    <row r="761">
      <c r="A761" s="27"/>
      <c r="B761" s="28"/>
      <c r="C761" s="28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</row>
    <row r="762">
      <c r="A762" s="27"/>
      <c r="B762" s="28"/>
      <c r="C762" s="28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</row>
    <row r="763">
      <c r="A763" s="27"/>
      <c r="B763" s="28"/>
      <c r="C763" s="28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</row>
    <row r="764">
      <c r="A764" s="27"/>
      <c r="B764" s="28"/>
      <c r="C764" s="28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</row>
    <row r="765">
      <c r="A765" s="27"/>
      <c r="B765" s="28"/>
      <c r="C765" s="28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</row>
    <row r="766">
      <c r="A766" s="27"/>
      <c r="B766" s="28"/>
      <c r="C766" s="28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</row>
    <row r="767">
      <c r="A767" s="27"/>
      <c r="B767" s="28"/>
      <c r="C767" s="28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</row>
    <row r="768">
      <c r="A768" s="27"/>
      <c r="B768" s="28"/>
      <c r="C768" s="28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</row>
    <row r="769">
      <c r="A769" s="27"/>
      <c r="B769" s="28"/>
      <c r="C769" s="28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</row>
    <row r="770">
      <c r="A770" s="27"/>
      <c r="B770" s="28"/>
      <c r="C770" s="28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</row>
    <row r="771">
      <c r="A771" s="27"/>
      <c r="B771" s="28"/>
      <c r="C771" s="28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</row>
    <row r="772">
      <c r="A772" s="27"/>
      <c r="B772" s="28"/>
      <c r="C772" s="28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</row>
    <row r="773">
      <c r="A773" s="27"/>
      <c r="B773" s="28"/>
      <c r="C773" s="28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</row>
    <row r="774">
      <c r="A774" s="27"/>
      <c r="B774" s="28"/>
      <c r="C774" s="28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</row>
    <row r="775">
      <c r="A775" s="27"/>
      <c r="B775" s="28"/>
      <c r="C775" s="28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</row>
    <row r="776">
      <c r="A776" s="27"/>
      <c r="B776" s="28"/>
      <c r="C776" s="28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</row>
    <row r="777">
      <c r="A777" s="27"/>
      <c r="B777" s="28"/>
      <c r="C777" s="28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</row>
    <row r="778">
      <c r="A778" s="27"/>
      <c r="B778" s="28"/>
      <c r="C778" s="28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</row>
    <row r="779">
      <c r="A779" s="27"/>
      <c r="B779" s="28"/>
      <c r="C779" s="28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</row>
    <row r="780">
      <c r="A780" s="27"/>
      <c r="B780" s="28"/>
      <c r="C780" s="28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</row>
    <row r="781">
      <c r="A781" s="27"/>
      <c r="B781" s="28"/>
      <c r="C781" s="28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</row>
    <row r="782">
      <c r="A782" s="27"/>
      <c r="B782" s="28"/>
      <c r="C782" s="28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</row>
    <row r="783">
      <c r="A783" s="27"/>
      <c r="B783" s="28"/>
      <c r="C783" s="28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</row>
    <row r="784">
      <c r="A784" s="27"/>
      <c r="B784" s="28"/>
      <c r="C784" s="28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</row>
    <row r="785">
      <c r="A785" s="27"/>
      <c r="B785" s="28"/>
      <c r="C785" s="28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</row>
    <row r="786">
      <c r="A786" s="27"/>
      <c r="B786" s="28"/>
      <c r="C786" s="28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</row>
    <row r="787">
      <c r="A787" s="27"/>
      <c r="B787" s="28"/>
      <c r="C787" s="28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</row>
    <row r="788">
      <c r="A788" s="27"/>
      <c r="B788" s="28"/>
      <c r="C788" s="28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</row>
    <row r="789">
      <c r="A789" s="27"/>
      <c r="B789" s="28"/>
      <c r="C789" s="28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</row>
    <row r="790">
      <c r="A790" s="27"/>
      <c r="B790" s="28"/>
      <c r="C790" s="28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</row>
    <row r="791">
      <c r="A791" s="27"/>
      <c r="B791" s="28"/>
      <c r="C791" s="28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</row>
    <row r="792">
      <c r="A792" s="27"/>
      <c r="B792" s="28"/>
      <c r="C792" s="28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</row>
    <row r="793">
      <c r="A793" s="27"/>
      <c r="B793" s="28"/>
      <c r="C793" s="28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</row>
    <row r="794">
      <c r="A794" s="27"/>
      <c r="B794" s="28"/>
      <c r="C794" s="28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</row>
    <row r="795">
      <c r="A795" s="27"/>
      <c r="B795" s="28"/>
      <c r="C795" s="28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</row>
    <row r="796">
      <c r="A796" s="27"/>
      <c r="B796" s="28"/>
      <c r="C796" s="28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</row>
    <row r="797">
      <c r="A797" s="27"/>
      <c r="B797" s="28"/>
      <c r="C797" s="28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</row>
    <row r="798">
      <c r="A798" s="27"/>
      <c r="B798" s="28"/>
      <c r="C798" s="28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</row>
    <row r="799">
      <c r="A799" s="27"/>
      <c r="B799" s="28"/>
      <c r="C799" s="28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</row>
    <row r="800">
      <c r="A800" s="27"/>
      <c r="B800" s="28"/>
      <c r="C800" s="28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</row>
    <row r="801">
      <c r="A801" s="27"/>
      <c r="B801" s="28"/>
      <c r="C801" s="28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</row>
    <row r="802">
      <c r="A802" s="27"/>
      <c r="B802" s="28"/>
      <c r="C802" s="28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</row>
    <row r="803">
      <c r="A803" s="27"/>
      <c r="B803" s="28"/>
      <c r="C803" s="28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</row>
    <row r="804">
      <c r="A804" s="27"/>
      <c r="B804" s="28"/>
      <c r="C804" s="28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</row>
    <row r="805">
      <c r="A805" s="27"/>
      <c r="B805" s="28"/>
      <c r="C805" s="28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</row>
    <row r="806">
      <c r="A806" s="27"/>
      <c r="B806" s="28"/>
      <c r="C806" s="28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</row>
    <row r="807">
      <c r="A807" s="27"/>
      <c r="B807" s="28"/>
      <c r="C807" s="28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</row>
    <row r="808">
      <c r="A808" s="27"/>
      <c r="B808" s="28"/>
      <c r="C808" s="28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</row>
    <row r="809">
      <c r="A809" s="27"/>
      <c r="B809" s="28"/>
      <c r="C809" s="28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</row>
    <row r="810">
      <c r="A810" s="27"/>
      <c r="B810" s="28"/>
      <c r="C810" s="28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</row>
    <row r="811">
      <c r="A811" s="27"/>
      <c r="B811" s="28"/>
      <c r="C811" s="28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</row>
    <row r="812">
      <c r="A812" s="27"/>
      <c r="B812" s="28"/>
      <c r="C812" s="28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</row>
    <row r="813">
      <c r="A813" s="27"/>
      <c r="B813" s="28"/>
      <c r="C813" s="28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</row>
    <row r="814">
      <c r="A814" s="27"/>
      <c r="B814" s="28"/>
      <c r="C814" s="28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</row>
    <row r="815">
      <c r="A815" s="27"/>
      <c r="B815" s="28"/>
      <c r="C815" s="28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</row>
    <row r="816">
      <c r="A816" s="27"/>
      <c r="B816" s="28"/>
      <c r="C816" s="28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</row>
    <row r="817">
      <c r="A817" s="27"/>
      <c r="B817" s="28"/>
      <c r="C817" s="28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</row>
    <row r="818">
      <c r="A818" s="27"/>
      <c r="B818" s="28"/>
      <c r="C818" s="28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</row>
    <row r="819">
      <c r="A819" s="27"/>
      <c r="B819" s="28"/>
      <c r="C819" s="28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</row>
    <row r="820">
      <c r="A820" s="27"/>
      <c r="B820" s="28"/>
      <c r="C820" s="28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</row>
    <row r="821">
      <c r="A821" s="27"/>
      <c r="B821" s="28"/>
      <c r="C821" s="28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</row>
    <row r="822">
      <c r="A822" s="27"/>
      <c r="B822" s="28"/>
      <c r="C822" s="28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</row>
    <row r="823">
      <c r="A823" s="27"/>
      <c r="B823" s="28"/>
      <c r="C823" s="28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</row>
    <row r="824">
      <c r="A824" s="27"/>
      <c r="B824" s="28"/>
      <c r="C824" s="28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</row>
    <row r="825">
      <c r="A825" s="27"/>
      <c r="B825" s="28"/>
      <c r="C825" s="28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</row>
    <row r="826">
      <c r="A826" s="27"/>
      <c r="B826" s="28"/>
      <c r="C826" s="28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</row>
    <row r="827">
      <c r="A827" s="27"/>
      <c r="B827" s="28"/>
      <c r="C827" s="28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</row>
    <row r="828">
      <c r="A828" s="27"/>
      <c r="B828" s="28"/>
      <c r="C828" s="28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</row>
    <row r="829">
      <c r="A829" s="27"/>
      <c r="B829" s="28"/>
      <c r="C829" s="28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</row>
    <row r="830">
      <c r="A830" s="27"/>
      <c r="B830" s="28"/>
      <c r="C830" s="28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</row>
    <row r="831">
      <c r="A831" s="27"/>
      <c r="B831" s="28"/>
      <c r="C831" s="28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</row>
    <row r="832">
      <c r="A832" s="27"/>
      <c r="B832" s="28"/>
      <c r="C832" s="28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</row>
    <row r="833">
      <c r="A833" s="27"/>
      <c r="B833" s="28"/>
      <c r="C833" s="28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</row>
    <row r="834">
      <c r="A834" s="27"/>
      <c r="B834" s="28"/>
      <c r="C834" s="28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</row>
    <row r="835">
      <c r="A835" s="27"/>
      <c r="B835" s="28"/>
      <c r="C835" s="28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</row>
    <row r="836">
      <c r="A836" s="27"/>
      <c r="B836" s="28"/>
      <c r="C836" s="28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</row>
    <row r="837">
      <c r="A837" s="27"/>
      <c r="B837" s="28"/>
      <c r="C837" s="28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</row>
    <row r="838">
      <c r="A838" s="27"/>
      <c r="B838" s="28"/>
      <c r="C838" s="28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</row>
    <row r="839">
      <c r="A839" s="27"/>
      <c r="B839" s="28"/>
      <c r="C839" s="28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</row>
    <row r="840">
      <c r="A840" s="27"/>
      <c r="B840" s="28"/>
      <c r="C840" s="28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</row>
    <row r="841">
      <c r="A841" s="27"/>
      <c r="B841" s="28"/>
      <c r="C841" s="28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</row>
    <row r="842">
      <c r="A842" s="27"/>
      <c r="B842" s="28"/>
      <c r="C842" s="28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</row>
    <row r="843">
      <c r="A843" s="27"/>
      <c r="B843" s="28"/>
      <c r="C843" s="28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</row>
    <row r="844">
      <c r="A844" s="27"/>
      <c r="B844" s="28"/>
      <c r="C844" s="28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</row>
    <row r="845">
      <c r="A845" s="27"/>
      <c r="B845" s="28"/>
      <c r="C845" s="28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</row>
    <row r="846">
      <c r="A846" s="27"/>
      <c r="B846" s="28"/>
      <c r="C846" s="28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</row>
    <row r="847">
      <c r="A847" s="27"/>
      <c r="B847" s="28"/>
      <c r="C847" s="28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</row>
    <row r="848">
      <c r="A848" s="27"/>
      <c r="B848" s="28"/>
      <c r="C848" s="28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</row>
    <row r="849">
      <c r="A849" s="27"/>
      <c r="B849" s="28"/>
      <c r="C849" s="28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</row>
    <row r="850">
      <c r="A850" s="27"/>
      <c r="B850" s="28"/>
      <c r="C850" s="28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</row>
    <row r="851">
      <c r="A851" s="27"/>
      <c r="B851" s="28"/>
      <c r="C851" s="28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</row>
    <row r="852">
      <c r="A852" s="27"/>
      <c r="B852" s="28"/>
      <c r="C852" s="28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</row>
    <row r="853">
      <c r="A853" s="27"/>
      <c r="B853" s="28"/>
      <c r="C853" s="28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</row>
    <row r="854">
      <c r="A854" s="27"/>
      <c r="B854" s="28"/>
      <c r="C854" s="28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</row>
    <row r="855">
      <c r="A855" s="27"/>
      <c r="B855" s="28"/>
      <c r="C855" s="28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</row>
    <row r="856">
      <c r="A856" s="27"/>
      <c r="B856" s="28"/>
      <c r="C856" s="28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</row>
    <row r="857">
      <c r="A857" s="27"/>
      <c r="B857" s="28"/>
      <c r="C857" s="28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</row>
    <row r="858">
      <c r="A858" s="27"/>
      <c r="B858" s="28"/>
      <c r="C858" s="28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</row>
    <row r="859">
      <c r="A859" s="27"/>
      <c r="B859" s="28"/>
      <c r="C859" s="28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</row>
    <row r="860">
      <c r="A860" s="27"/>
      <c r="B860" s="28"/>
      <c r="C860" s="28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</row>
    <row r="861">
      <c r="A861" s="27"/>
      <c r="B861" s="28"/>
      <c r="C861" s="28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</row>
    <row r="862">
      <c r="A862" s="27"/>
      <c r="B862" s="28"/>
      <c r="C862" s="28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</row>
    <row r="863">
      <c r="A863" s="27"/>
      <c r="B863" s="28"/>
      <c r="C863" s="28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</row>
    <row r="864">
      <c r="A864" s="27"/>
      <c r="B864" s="28"/>
      <c r="C864" s="28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</row>
    <row r="865">
      <c r="A865" s="27"/>
      <c r="B865" s="28"/>
      <c r="C865" s="28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</row>
    <row r="866">
      <c r="A866" s="27"/>
      <c r="B866" s="28"/>
      <c r="C866" s="28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</row>
    <row r="867">
      <c r="A867" s="27"/>
      <c r="B867" s="28"/>
      <c r="C867" s="28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</row>
    <row r="868">
      <c r="A868" s="27"/>
      <c r="B868" s="28"/>
      <c r="C868" s="28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</row>
    <row r="869">
      <c r="A869" s="27"/>
      <c r="B869" s="28"/>
      <c r="C869" s="28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</row>
    <row r="870">
      <c r="A870" s="27"/>
      <c r="B870" s="28"/>
      <c r="C870" s="28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</row>
    <row r="871">
      <c r="A871" s="27"/>
      <c r="B871" s="28"/>
      <c r="C871" s="28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</row>
    <row r="872">
      <c r="A872" s="27"/>
      <c r="B872" s="28"/>
      <c r="C872" s="28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</row>
    <row r="873">
      <c r="A873" s="27"/>
      <c r="B873" s="28"/>
      <c r="C873" s="28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</row>
    <row r="874">
      <c r="A874" s="27"/>
      <c r="B874" s="28"/>
      <c r="C874" s="28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</row>
    <row r="875">
      <c r="A875" s="27"/>
      <c r="B875" s="28"/>
      <c r="C875" s="28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</row>
    <row r="876">
      <c r="A876" s="27"/>
      <c r="B876" s="28"/>
      <c r="C876" s="28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</row>
    <row r="877">
      <c r="A877" s="27"/>
      <c r="B877" s="28"/>
      <c r="C877" s="28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</row>
    <row r="878">
      <c r="A878" s="27"/>
      <c r="B878" s="28"/>
      <c r="C878" s="28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</row>
    <row r="879">
      <c r="A879" s="27"/>
      <c r="B879" s="28"/>
      <c r="C879" s="28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</row>
    <row r="880">
      <c r="A880" s="27"/>
      <c r="B880" s="28"/>
      <c r="C880" s="28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</row>
    <row r="881">
      <c r="A881" s="27"/>
      <c r="B881" s="28"/>
      <c r="C881" s="28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</row>
    <row r="882">
      <c r="A882" s="27"/>
      <c r="B882" s="28"/>
      <c r="C882" s="28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</row>
    <row r="883">
      <c r="A883" s="27"/>
      <c r="B883" s="28"/>
      <c r="C883" s="28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</row>
    <row r="884">
      <c r="A884" s="27"/>
      <c r="B884" s="28"/>
      <c r="C884" s="28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</row>
    <row r="885">
      <c r="A885" s="27"/>
      <c r="B885" s="28"/>
      <c r="C885" s="28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</row>
    <row r="886">
      <c r="A886" s="27"/>
      <c r="B886" s="28"/>
      <c r="C886" s="28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</row>
    <row r="887">
      <c r="A887" s="27"/>
      <c r="B887" s="28"/>
      <c r="C887" s="28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</row>
    <row r="888">
      <c r="A888" s="27"/>
      <c r="B888" s="28"/>
      <c r="C888" s="28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</row>
    <row r="889">
      <c r="A889" s="27"/>
      <c r="B889" s="28"/>
      <c r="C889" s="28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</row>
    <row r="890">
      <c r="A890" s="27"/>
      <c r="B890" s="28"/>
      <c r="C890" s="28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</row>
    <row r="891">
      <c r="A891" s="27"/>
      <c r="B891" s="28"/>
      <c r="C891" s="28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</row>
    <row r="892">
      <c r="A892" s="27"/>
      <c r="B892" s="28"/>
      <c r="C892" s="28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</row>
    <row r="893">
      <c r="A893" s="27"/>
      <c r="B893" s="28"/>
      <c r="C893" s="28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</row>
    <row r="894">
      <c r="A894" s="27"/>
      <c r="B894" s="28"/>
      <c r="C894" s="28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</row>
    <row r="895">
      <c r="A895" s="27"/>
      <c r="B895" s="28"/>
      <c r="C895" s="28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</row>
    <row r="896">
      <c r="A896" s="27"/>
      <c r="B896" s="28"/>
      <c r="C896" s="28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</row>
    <row r="897">
      <c r="A897" s="27"/>
      <c r="B897" s="28"/>
      <c r="C897" s="28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</row>
    <row r="898">
      <c r="A898" s="27"/>
      <c r="B898" s="28"/>
      <c r="C898" s="28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</row>
    <row r="899">
      <c r="A899" s="27"/>
      <c r="B899" s="28"/>
      <c r="C899" s="28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</row>
    <row r="900">
      <c r="A900" s="27"/>
      <c r="B900" s="28"/>
      <c r="C900" s="28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</row>
    <row r="901">
      <c r="A901" s="27"/>
      <c r="B901" s="28"/>
      <c r="C901" s="28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</row>
    <row r="902">
      <c r="A902" s="27"/>
      <c r="B902" s="28"/>
      <c r="C902" s="28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</row>
    <row r="903">
      <c r="A903" s="27"/>
      <c r="B903" s="28"/>
      <c r="C903" s="28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</row>
    <row r="904">
      <c r="A904" s="27"/>
      <c r="B904" s="28"/>
      <c r="C904" s="28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</row>
    <row r="905">
      <c r="A905" s="27"/>
      <c r="B905" s="28"/>
      <c r="C905" s="28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</row>
    <row r="906">
      <c r="A906" s="27"/>
      <c r="B906" s="28"/>
      <c r="C906" s="28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</row>
    <row r="907">
      <c r="A907" s="27"/>
      <c r="B907" s="28"/>
      <c r="C907" s="28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</row>
    <row r="908">
      <c r="A908" s="27"/>
      <c r="B908" s="28"/>
      <c r="C908" s="28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</row>
    <row r="909">
      <c r="A909" s="27"/>
      <c r="B909" s="28"/>
      <c r="C909" s="28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</row>
    <row r="910">
      <c r="A910" s="27"/>
      <c r="B910" s="28"/>
      <c r="C910" s="28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</row>
    <row r="911">
      <c r="A911" s="27"/>
      <c r="B911" s="28"/>
      <c r="C911" s="28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</row>
    <row r="912">
      <c r="A912" s="27"/>
      <c r="B912" s="28"/>
      <c r="C912" s="28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</row>
    <row r="913">
      <c r="A913" s="27"/>
      <c r="B913" s="28"/>
      <c r="C913" s="28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</row>
    <row r="914">
      <c r="A914" s="27"/>
      <c r="B914" s="28"/>
      <c r="C914" s="28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</row>
    <row r="915">
      <c r="A915" s="27"/>
      <c r="B915" s="28"/>
      <c r="C915" s="28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</row>
    <row r="916">
      <c r="A916" s="27"/>
      <c r="B916" s="28"/>
      <c r="C916" s="28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</row>
    <row r="917">
      <c r="A917" s="27"/>
      <c r="B917" s="28"/>
      <c r="C917" s="28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</row>
    <row r="918">
      <c r="A918" s="27"/>
      <c r="B918" s="28"/>
      <c r="C918" s="28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</row>
    <row r="919">
      <c r="A919" s="27"/>
      <c r="B919" s="28"/>
      <c r="C919" s="28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</row>
    <row r="920">
      <c r="A920" s="27"/>
      <c r="B920" s="28"/>
      <c r="C920" s="28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</row>
    <row r="921">
      <c r="A921" s="27"/>
      <c r="B921" s="28"/>
      <c r="C921" s="28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</row>
    <row r="922">
      <c r="A922" s="27"/>
      <c r="B922" s="28"/>
      <c r="C922" s="28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</row>
    <row r="923">
      <c r="A923" s="27"/>
      <c r="B923" s="28"/>
      <c r="C923" s="28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</row>
    <row r="924">
      <c r="A924" s="27"/>
      <c r="B924" s="28"/>
      <c r="C924" s="28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</row>
    <row r="925">
      <c r="A925" s="27"/>
      <c r="B925" s="28"/>
      <c r="C925" s="28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</row>
    <row r="926">
      <c r="A926" s="27"/>
      <c r="B926" s="28"/>
      <c r="C926" s="28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</row>
    <row r="927">
      <c r="A927" s="27"/>
      <c r="B927" s="28"/>
      <c r="C927" s="28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</row>
    <row r="928">
      <c r="A928" s="27"/>
      <c r="B928" s="28"/>
      <c r="C928" s="28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</row>
    <row r="929">
      <c r="A929" s="27"/>
      <c r="B929" s="28"/>
      <c r="C929" s="28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</row>
    <row r="930">
      <c r="A930" s="27"/>
      <c r="B930" s="28"/>
      <c r="C930" s="28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</row>
    <row r="931">
      <c r="A931" s="27"/>
      <c r="B931" s="28"/>
      <c r="C931" s="28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</row>
    <row r="932">
      <c r="A932" s="27"/>
      <c r="B932" s="28"/>
      <c r="C932" s="28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</row>
    <row r="933">
      <c r="A933" s="27"/>
      <c r="B933" s="28"/>
      <c r="C933" s="28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</row>
    <row r="934">
      <c r="A934" s="27"/>
      <c r="B934" s="28"/>
      <c r="C934" s="28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</row>
    <row r="935">
      <c r="A935" s="27"/>
      <c r="B935" s="28"/>
      <c r="C935" s="28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</row>
    <row r="936">
      <c r="A936" s="27"/>
      <c r="B936" s="28"/>
      <c r="C936" s="28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</row>
    <row r="937">
      <c r="A937" s="27"/>
      <c r="B937" s="28"/>
      <c r="C937" s="28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</row>
    <row r="938">
      <c r="A938" s="27"/>
      <c r="B938" s="28"/>
      <c r="C938" s="28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</row>
    <row r="939">
      <c r="A939" s="27"/>
      <c r="B939" s="28"/>
      <c r="C939" s="28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</row>
    <row r="940">
      <c r="A940" s="27"/>
      <c r="B940" s="28"/>
      <c r="C940" s="28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</row>
    <row r="941">
      <c r="A941" s="27"/>
      <c r="B941" s="28"/>
      <c r="C941" s="28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</row>
    <row r="942">
      <c r="A942" s="27"/>
      <c r="B942" s="28"/>
      <c r="C942" s="28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</row>
    <row r="943">
      <c r="A943" s="27"/>
      <c r="B943" s="28"/>
      <c r="C943" s="28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</row>
    <row r="944">
      <c r="A944" s="27"/>
      <c r="B944" s="28"/>
      <c r="C944" s="28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</row>
    <row r="945">
      <c r="A945" s="27"/>
      <c r="B945" s="28"/>
      <c r="C945" s="28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</row>
    <row r="946">
      <c r="A946" s="27"/>
      <c r="B946" s="28"/>
      <c r="C946" s="28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</row>
    <row r="947">
      <c r="A947" s="27"/>
      <c r="B947" s="28"/>
      <c r="C947" s="28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</row>
    <row r="948">
      <c r="A948" s="27"/>
      <c r="B948" s="28"/>
      <c r="C948" s="28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</row>
    <row r="949">
      <c r="A949" s="27"/>
      <c r="B949" s="28"/>
      <c r="C949" s="28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</row>
    <row r="950">
      <c r="A950" s="27"/>
      <c r="B950" s="28"/>
      <c r="C950" s="28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</row>
    <row r="951">
      <c r="A951" s="27"/>
      <c r="B951" s="28"/>
      <c r="C951" s="28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</row>
    <row r="952">
      <c r="A952" s="27"/>
      <c r="B952" s="28"/>
      <c r="C952" s="28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</row>
    <row r="953">
      <c r="A953" s="27"/>
      <c r="B953" s="28"/>
      <c r="C953" s="28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</row>
    <row r="954">
      <c r="A954" s="27"/>
      <c r="B954" s="28"/>
      <c r="C954" s="28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</row>
    <row r="955">
      <c r="A955" s="27"/>
      <c r="B955" s="28"/>
      <c r="C955" s="28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</row>
    <row r="956">
      <c r="A956" s="27"/>
      <c r="B956" s="28"/>
      <c r="C956" s="28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</row>
    <row r="957">
      <c r="A957" s="27"/>
      <c r="B957" s="28"/>
      <c r="C957" s="28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</row>
    <row r="958">
      <c r="A958" s="27"/>
      <c r="B958" s="28"/>
      <c r="C958" s="28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</row>
    <row r="959">
      <c r="A959" s="27"/>
      <c r="B959" s="28"/>
      <c r="C959" s="28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</row>
    <row r="960">
      <c r="A960" s="27"/>
      <c r="B960" s="28"/>
      <c r="C960" s="28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</row>
    <row r="961">
      <c r="A961" s="27"/>
      <c r="B961" s="28"/>
      <c r="C961" s="28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</row>
    <row r="962">
      <c r="A962" s="27"/>
      <c r="B962" s="28"/>
      <c r="C962" s="28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</row>
    <row r="963">
      <c r="A963" s="27"/>
      <c r="B963" s="28"/>
      <c r="C963" s="28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</row>
    <row r="964">
      <c r="A964" s="27"/>
      <c r="B964" s="28"/>
      <c r="C964" s="28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</row>
    <row r="965">
      <c r="A965" s="27"/>
      <c r="B965" s="28"/>
      <c r="C965" s="28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</row>
    <row r="966">
      <c r="A966" s="27"/>
      <c r="B966" s="28"/>
      <c r="C966" s="28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</row>
    <row r="967">
      <c r="A967" s="27"/>
      <c r="B967" s="28"/>
      <c r="C967" s="28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</row>
    <row r="968">
      <c r="A968" s="27"/>
      <c r="B968" s="28"/>
      <c r="C968" s="28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</row>
    <row r="969">
      <c r="A969" s="27"/>
      <c r="B969" s="28"/>
      <c r="C969" s="28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</row>
    <row r="970">
      <c r="A970" s="27"/>
      <c r="B970" s="28"/>
      <c r="C970" s="28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</row>
    <row r="971">
      <c r="A971" s="27"/>
      <c r="B971" s="28"/>
      <c r="C971" s="28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</row>
    <row r="972">
      <c r="A972" s="27"/>
      <c r="B972" s="28"/>
      <c r="C972" s="28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</row>
    <row r="973">
      <c r="A973" s="27"/>
      <c r="B973" s="28"/>
      <c r="C973" s="28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</row>
    <row r="974">
      <c r="A974" s="27"/>
      <c r="B974" s="28"/>
      <c r="C974" s="28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</row>
    <row r="975">
      <c r="A975" s="27"/>
      <c r="B975" s="28"/>
      <c r="C975" s="28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</row>
    <row r="976">
      <c r="A976" s="27"/>
      <c r="B976" s="28"/>
      <c r="C976" s="28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</row>
    <row r="977">
      <c r="A977" s="27"/>
      <c r="B977" s="28"/>
      <c r="C977" s="28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</row>
    <row r="978">
      <c r="A978" s="27"/>
      <c r="B978" s="28"/>
      <c r="C978" s="28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</row>
    <row r="979">
      <c r="A979" s="27"/>
      <c r="B979" s="28"/>
      <c r="C979" s="28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</row>
    <row r="980">
      <c r="A980" s="27"/>
      <c r="B980" s="28"/>
      <c r="C980" s="28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</row>
    <row r="981">
      <c r="A981" s="27"/>
      <c r="B981" s="28"/>
      <c r="C981" s="28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</row>
    <row r="982">
      <c r="A982" s="27"/>
      <c r="B982" s="28"/>
      <c r="C982" s="28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</row>
    <row r="983">
      <c r="A983" s="27"/>
      <c r="B983" s="28"/>
      <c r="C983" s="28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</row>
    <row r="984">
      <c r="A984" s="27"/>
      <c r="B984" s="28"/>
      <c r="C984" s="28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</row>
    <row r="985">
      <c r="A985" s="27"/>
      <c r="B985" s="28"/>
      <c r="C985" s="28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</row>
    <row r="986">
      <c r="A986" s="27"/>
      <c r="B986" s="28"/>
      <c r="C986" s="28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</row>
    <row r="987">
      <c r="A987" s="27"/>
      <c r="B987" s="28"/>
      <c r="C987" s="28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</row>
    <row r="988">
      <c r="A988" s="27"/>
      <c r="B988" s="28"/>
      <c r="C988" s="28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</row>
    <row r="989">
      <c r="A989" s="27"/>
      <c r="B989" s="28"/>
      <c r="C989" s="28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</row>
    <row r="990">
      <c r="A990" s="27"/>
      <c r="B990" s="28"/>
      <c r="C990" s="28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</row>
    <row r="991">
      <c r="A991" s="27"/>
      <c r="B991" s="28"/>
      <c r="C991" s="28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</row>
    <row r="992">
      <c r="A992" s="27"/>
      <c r="B992" s="28"/>
      <c r="C992" s="28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</row>
    <row r="993">
      <c r="A993" s="27"/>
      <c r="B993" s="28"/>
      <c r="C993" s="28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</row>
    <row r="994">
      <c r="A994" s="27"/>
      <c r="B994" s="28"/>
      <c r="C994" s="28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</row>
    <row r="995">
      <c r="A995" s="27"/>
      <c r="B995" s="28"/>
      <c r="C995" s="28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</row>
    <row r="996">
      <c r="A996" s="27"/>
      <c r="B996" s="28"/>
      <c r="C996" s="28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</row>
    <row r="997">
      <c r="A997" s="27"/>
      <c r="B997" s="28"/>
      <c r="C997" s="28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</row>
    <row r="998">
      <c r="A998" s="27"/>
      <c r="B998" s="28"/>
      <c r="C998" s="28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</row>
    <row r="999">
      <c r="A999" s="27"/>
      <c r="B999" s="28"/>
      <c r="C999" s="28"/>
      <c r="D999" s="27"/>
      <c r="E999" s="27"/>
      <c r="F999" s="27"/>
      <c r="G999" s="27"/>
      <c r="H999" s="28"/>
      <c r="I999" s="28"/>
      <c r="J999" s="28"/>
      <c r="K999" s="28"/>
      <c r="L999" s="28"/>
      <c r="M999" s="28"/>
      <c r="N999" s="28"/>
      <c r="O999" s="28"/>
    </row>
    <row r="1000">
      <c r="A1000" s="27"/>
      <c r="D1000" s="27"/>
      <c r="E1000" s="27"/>
      <c r="F1000" s="27"/>
      <c r="G1000" s="2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38.75"/>
    <col customWidth="1" min="3" max="3" width="10.38"/>
    <col customWidth="1" min="4" max="4" width="8.38"/>
    <col customWidth="1" min="5" max="5" width="7.25"/>
    <col customWidth="1" min="6" max="6" width="8.38"/>
    <col customWidth="1" min="7" max="7" width="13.5"/>
    <col customWidth="1" min="8" max="8" width="28.13"/>
    <col customWidth="1" min="9" max="9" width="27.5"/>
    <col customWidth="1" min="10" max="10" width="87.0"/>
    <col customWidth="1" min="11" max="11" width="14.0"/>
    <col customWidth="1" min="12" max="12" width="10.5"/>
    <col customWidth="1" min="13" max="13" width="8.5"/>
    <col customWidth="1" min="14" max="14" width="14.13"/>
    <col customWidth="1" min="15" max="15" width="9.38"/>
    <col customWidth="1" min="16" max="16" width="10.25"/>
    <col customWidth="1" min="17" max="17" width="3.75"/>
    <col customWidth="1" min="18" max="18" width="36.25"/>
    <col customWidth="1" min="19" max="19" width="24.5"/>
    <col customWidth="1" min="20" max="20" width="10.38"/>
    <col customWidth="1" min="21" max="21" width="8.5"/>
    <col customWidth="1" min="22" max="22" width="13.75"/>
    <col customWidth="1" min="23" max="23" width="9.38"/>
    <col customWidth="1" min="24" max="24" width="2.88"/>
    <col customWidth="1" min="25" max="28" width="1.88"/>
    <col customWidth="1" min="29" max="29" width="21.0"/>
    <col customWidth="1" min="30" max="30" width="9.38"/>
    <col customWidth="1" min="31" max="33" width="1.88"/>
    <col customWidth="1" min="34" max="34" width="2.88"/>
    <col customWidth="1" min="35" max="35" width="2.75"/>
    <col customWidth="1" min="36" max="36" width="2.88"/>
    <col customWidth="1" min="37" max="42" width="1.88"/>
    <col customWidth="1" min="43" max="43" width="21.5"/>
    <col customWidth="1" min="44" max="44" width="9.75"/>
    <col customWidth="1" min="45" max="47" width="1.88"/>
    <col customWidth="1" min="48" max="48" width="2.88"/>
    <col customWidth="1" min="49" max="49" width="2.75"/>
    <col customWidth="1" min="50" max="50" width="2.88"/>
    <col customWidth="1" min="51" max="56" width="1.88"/>
    <col customWidth="1" min="57" max="57" width="17.63"/>
    <col customWidth="1" min="58" max="58" width="15.13"/>
    <col customWidth="1" min="59" max="59" width="21.0"/>
    <col customWidth="1" min="60" max="60" width="24.5"/>
    <col customWidth="1" min="61" max="61" width="17.75"/>
    <col customWidth="1" min="62" max="62" width="15.25"/>
    <col customWidth="1" min="63" max="63" width="21.13"/>
    <col customWidth="1" min="64" max="64" width="8.13"/>
    <col customWidth="1" min="65" max="65" width="7.0"/>
    <col customWidth="1" min="66" max="66" width="15.5"/>
  </cols>
  <sheetData>
    <row r="1" ht="54.75" customHeight="1">
      <c r="A1" s="25" t="str">
        <f>IFERROR(__xludf.DUMMYFUNCTION("IMPORTRANGE(""15CuzP4iLkVJifoCYg0Y0BK1lYtzocqnZ9xzVzUyUP8k/edit?gid=651441010#gid=651441010"",""D!A1:O1000"")"),"NO")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IFERROR(__xludf.DUMMYFUNCTION("""COMPUTED_VALUE"""),"ASRAMA")</f>
        <v>ASRAMA</v>
      </c>
      <c r="E1" s="25" t="str">
        <f>IFERROR(__xludf.DUMMYFUNCTION("""COMPUTED_VALUE"""),"KAMAR")</f>
        <v>KAMAR</v>
      </c>
      <c r="F1" s="25" t="str">
        <f>IFERROR(__xludf.DUMMYFUNCTION("""COMPUTED_VALUE"""),"TINGKAT")</f>
        <v>TINGKAT</v>
      </c>
      <c r="G1" s="25" t="str">
        <f>IFERROR(__xludf.DUMMYFUNCTION("""COMPUTED_VALUE"""),"MADRASIAH")</f>
        <v>MADRASIAH</v>
      </c>
      <c r="H1" s="25" t="str">
        <f>IFERROR(__xludf.DUMMYFUNCTION("""COMPUTED_VALUE"""),"AYAH")</f>
        <v>AYAH</v>
      </c>
      <c r="I1" s="25" t="str">
        <f>IFERROR(__xludf.DUMMYFUNCTION("""COMPUTED_VALUE"""),"IBU")</f>
        <v>IBU</v>
      </c>
      <c r="J1" s="25" t="str">
        <f>IFERROR(__xludf.DUMMYFUNCTION("""COMPUTED_VALUE"""),"ALAMAT")</f>
        <v>ALAMAT</v>
      </c>
      <c r="K1" s="26" t="str">
        <f>IFERROR(__xludf.DUMMYFUNCTION("""COMPUTED_VALUE"""),"WA")</f>
        <v>WA</v>
      </c>
      <c r="L1" s="25" t="str">
        <f>IFERROR(__xludf.DUMMYFUNCTION("""COMPUTED_VALUE"""),"JUMLAH SYAHRIYAH")</f>
        <v>JUMLAH SYAHRIYAH</v>
      </c>
      <c r="M1" s="25" t="str">
        <f>IFERROR(__xludf.DUMMYFUNCTION("""COMPUTED_VALUE"""),"JUMLAH JARIYAH")</f>
        <v>JUMLAH JARIYAH</v>
      </c>
      <c r="N1" s="25" t="str">
        <f>IFERROR(__xludf.DUMMYFUNCTION("""COMPUTED_VALUE"""),"JUMLAH DAFTAR ULANG")</f>
        <v>JUMLAH DAFTAR ULANG</v>
      </c>
      <c r="O1" s="25" t="str">
        <f>IFERROR(__xludf.DUMMYFUNCTION("""COMPUTED_VALUE"""),"JUMLAH TOTAL TUNGGAKAN")</f>
        <v>JUMLAH TOTAL TUNGGAKAN</v>
      </c>
      <c r="P1" s="30"/>
      <c r="Q1" s="30"/>
      <c r="R1" s="30"/>
      <c r="S1" s="30"/>
      <c r="T1" s="30"/>
      <c r="U1" s="30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</row>
    <row r="2">
      <c r="A2" s="27">
        <f>IFERROR(__xludf.DUMMYFUNCTION("""COMPUTED_VALUE"""),1.0)</f>
        <v>1</v>
      </c>
      <c r="B2" s="28" t="str">
        <f>IFERROR(__xludf.DUMMYFUNCTION("""COMPUTED_VALUE"""),"ALYA KHAIRANI MAHFUDZ")</f>
        <v>ALYA KHAIRANI MAHFUDZ</v>
      </c>
      <c r="C2" s="28">
        <f>IFERROR(__xludf.DUMMYFUNCTION("""COMPUTED_VALUE"""),2.02507063E9)</f>
        <v>2025070630</v>
      </c>
      <c r="D2" s="27" t="str">
        <f>IFERROR(__xludf.DUMMYFUNCTION("""COMPUTED_VALUE"""),"D")</f>
        <v>D</v>
      </c>
      <c r="E2" s="27" t="str">
        <f>IFERROR(__xludf.DUMMYFUNCTION("""COMPUTED_VALUE"""),"D-2")</f>
        <v>D-2</v>
      </c>
      <c r="F2" s="31">
        <f>IFERROR(__xludf.DUMMYFUNCTION("""COMPUTED_VALUE"""),2.0)</f>
        <v>2</v>
      </c>
      <c r="G2" s="27" t="str">
        <f>IFERROR(__xludf.DUMMYFUNCTION("""COMPUTED_VALUE"""),"2 ULA B PUTRI")</f>
        <v>2 ULA B PUTRI</v>
      </c>
      <c r="H2" s="28" t="str">
        <f>IFERROR(__xludf.DUMMYFUNCTION("""COMPUTED_VALUE"""),"MUKIYANTO")</f>
        <v>MUKIYANTO</v>
      </c>
      <c r="I2" s="28" t="str">
        <f>IFERROR(__xludf.DUMMYFUNCTION("""COMPUTED_VALUE"""),"RIF`ATUL AZIZAH")</f>
        <v>RIF`ATUL AZIZAH</v>
      </c>
      <c r="J2" s="28" t="str">
        <f>IFERROR(__xludf.DUMMYFUNCTION("""COMPUTED_VALUE"""),"SUNGELEBAK RT 007 RW 002 KARANGGENENG LAMONGAN")</f>
        <v>SUNGELEBAK RT 007 RW 002 KARANGGENENG LAMONGAN</v>
      </c>
      <c r="K2" s="29" t="str">
        <f>IFERROR(__xludf.DUMMYFUNCTION("""COMPUTED_VALUE"""),"6281331482101")</f>
        <v>6281331482101</v>
      </c>
      <c r="L2" s="22">
        <f>IFERROR(__xludf.DUMMYFUNCTION("""COMPUTED_VALUE"""),0.0)</f>
        <v>0</v>
      </c>
      <c r="M2" s="22">
        <f>IFERROR(__xludf.DUMMYFUNCTION("""COMPUTED_VALUE"""),1000000.0)</f>
        <v>1000000</v>
      </c>
      <c r="N2" s="22">
        <f>IFERROR(__xludf.DUMMYFUNCTION("""COMPUTED_VALUE"""),0.0)</f>
        <v>0</v>
      </c>
      <c r="O2" s="22">
        <f>IFERROR(__xludf.DUMMYFUNCTION("""COMPUTED_VALUE"""),1000000.0)</f>
        <v>1000000</v>
      </c>
      <c r="P2" s="28" t="str">
        <f t="shared" ref="P2:P111" si="1">IF(N2=0,"LUNAS","BELUM")</f>
        <v>LUNAS</v>
      </c>
      <c r="Q2" s="28">
        <f t="shared" ref="Q2:Q111" si="2">_xlfn.RANK.EQ(O2,$O$2:$O$389,0)+COUNTIF($O$2:O2,O2)-1</f>
        <v>27</v>
      </c>
      <c r="R2" s="28" t="str">
        <f t="shared" ref="R2:R112" si="3">B2</f>
        <v>ALYA KHAIRANI MAHFUDZ</v>
      </c>
      <c r="S2" s="28">
        <f>COUNTA(B2:B450)</f>
        <v>78</v>
      </c>
      <c r="T2" s="32" t="s">
        <v>32</v>
      </c>
    </row>
    <row r="3">
      <c r="A3" s="27">
        <f>IFERROR(__xludf.DUMMYFUNCTION("""COMPUTED_VALUE"""),2.0)</f>
        <v>2</v>
      </c>
      <c r="B3" s="28" t="str">
        <f>IFERROR(__xludf.DUMMYFUNCTION("""COMPUTED_VALUE"""),"AZKIYATUL MISKIYAH")</f>
        <v>AZKIYATUL MISKIYAH</v>
      </c>
      <c r="C3" s="28">
        <f>IFERROR(__xludf.DUMMYFUNCTION("""COMPUTED_VALUE"""),2.02507059E9)</f>
        <v>2025070590</v>
      </c>
      <c r="D3" s="27" t="str">
        <f>IFERROR(__xludf.DUMMYFUNCTION("""COMPUTED_VALUE"""),"D")</f>
        <v>D</v>
      </c>
      <c r="E3" s="27" t="str">
        <f>IFERROR(__xludf.DUMMYFUNCTION("""COMPUTED_VALUE"""),"D-2")</f>
        <v>D-2</v>
      </c>
      <c r="F3" s="31">
        <f>IFERROR(__xludf.DUMMYFUNCTION("""COMPUTED_VALUE"""),2.0)</f>
        <v>2</v>
      </c>
      <c r="G3" s="27" t="str">
        <f>IFERROR(__xludf.DUMMYFUNCTION("""COMPUTED_VALUE"""),"2 ULA C PUTRI")</f>
        <v>2 ULA C PUTRI</v>
      </c>
      <c r="H3" s="28" t="str">
        <f>IFERROR(__xludf.DUMMYFUNCTION("""COMPUTED_VALUE"""),"AHMAD ARIFIN")</f>
        <v>AHMAD ARIFIN</v>
      </c>
      <c r="I3" s="28" t="str">
        <f>IFERROR(__xludf.DUMMYFUNCTION("""COMPUTED_VALUE"""),"MISDAROYAH")</f>
        <v>MISDAROYAH</v>
      </c>
      <c r="J3" s="28" t="str">
        <f>IFERROR(__xludf.DUMMYFUNCTION("""COMPUTED_VALUE"""),"GEGER RT 001 RW 003 TURI LAMONGAN")</f>
        <v>GEGER RT 001 RW 003 TURI LAMONGAN</v>
      </c>
      <c r="K3" s="29" t="str">
        <f>IFERROR(__xludf.DUMMYFUNCTION("""COMPUTED_VALUE"""),"6285731466168")</f>
        <v>6285731466168</v>
      </c>
      <c r="L3" s="22">
        <f>IFERROR(__xludf.DUMMYFUNCTION("""COMPUTED_VALUE"""),0.0)</f>
        <v>0</v>
      </c>
      <c r="M3" s="22">
        <f>IFERROR(__xludf.DUMMYFUNCTION("""COMPUTED_VALUE"""),1600000.0)</f>
        <v>1600000</v>
      </c>
      <c r="N3" s="22">
        <f>IFERROR(__xludf.DUMMYFUNCTION("""COMPUTED_VALUE"""),0.0)</f>
        <v>0</v>
      </c>
      <c r="O3" s="22">
        <f>IFERROR(__xludf.DUMMYFUNCTION("""COMPUTED_VALUE"""),1600000.0)</f>
        <v>1600000</v>
      </c>
      <c r="P3" s="28" t="str">
        <f t="shared" si="1"/>
        <v>LUNAS</v>
      </c>
      <c r="Q3" s="28">
        <f t="shared" si="2"/>
        <v>23</v>
      </c>
      <c r="R3" s="28" t="str">
        <f t="shared" si="3"/>
        <v>AZKIYATUL MISKIYAH</v>
      </c>
      <c r="S3" s="28">
        <f>COUNTIF(F:F,1)</f>
        <v>0</v>
      </c>
      <c r="T3" s="32" t="s">
        <v>17</v>
      </c>
    </row>
    <row r="4">
      <c r="A4" s="27">
        <f>IFERROR(__xludf.DUMMYFUNCTION("""COMPUTED_VALUE"""),3.0)</f>
        <v>3</v>
      </c>
      <c r="B4" s="28" t="str">
        <f>IFERROR(__xludf.DUMMYFUNCTION("""COMPUTED_VALUE"""),"DEWI AZKIYAH RIZQI ALFIAN ULYA")</f>
        <v>DEWI AZKIYAH RIZQI ALFIAN ULYA</v>
      </c>
      <c r="C4" s="28">
        <f>IFERROR(__xludf.DUMMYFUNCTION("""COMPUTED_VALUE"""),2.025070634E9)</f>
        <v>2025070634</v>
      </c>
      <c r="D4" s="27" t="str">
        <f>IFERROR(__xludf.DUMMYFUNCTION("""COMPUTED_VALUE"""),"D")</f>
        <v>D</v>
      </c>
      <c r="E4" s="27" t="str">
        <f>IFERROR(__xludf.DUMMYFUNCTION("""COMPUTED_VALUE"""),"D-2")</f>
        <v>D-2</v>
      </c>
      <c r="F4" s="31">
        <f>IFERROR(__xludf.DUMMYFUNCTION("""COMPUTED_VALUE"""),2.0)</f>
        <v>2</v>
      </c>
      <c r="G4" s="27" t="str">
        <f>IFERROR(__xludf.DUMMYFUNCTION("""COMPUTED_VALUE"""),"ULA")</f>
        <v>ULA</v>
      </c>
      <c r="H4" s="28" t="str">
        <f>IFERROR(__xludf.DUMMYFUNCTION("""COMPUTED_VALUE"""),"AINUL YAKIN")</f>
        <v>AINUL YAKIN</v>
      </c>
      <c r="I4" s="28" t="str">
        <f>IFERROR(__xludf.DUMMYFUNCTION("""COMPUTED_VALUE"""),"ULIK MALIKATUS SOLIKAH")</f>
        <v>ULIK MALIKATUS SOLIKAH</v>
      </c>
      <c r="J4" s="28" t="str">
        <f>IFERROR(__xludf.DUMMYFUNCTION("""COMPUTED_VALUE"""),"SUNGELEBAK RT 016 RW 005 KARANGGENENG LAMONGAN")</f>
        <v>SUNGELEBAK RT 016 RW 005 KARANGGENENG LAMONGAN</v>
      </c>
      <c r="K4" s="29" t="str">
        <f>IFERROR(__xludf.DUMMYFUNCTION("""COMPUTED_VALUE"""),"6281249883082")</f>
        <v>6281249883082</v>
      </c>
      <c r="L4" s="22">
        <f>IFERROR(__xludf.DUMMYFUNCTION("""COMPUTED_VALUE"""),900000.0)</f>
        <v>900000</v>
      </c>
      <c r="M4" s="22">
        <f>IFERROR(__xludf.DUMMYFUNCTION("""COMPUTED_VALUE"""),1000000.0)</f>
        <v>1000000</v>
      </c>
      <c r="N4" s="22">
        <f>IFERROR(__xludf.DUMMYFUNCTION("""COMPUTED_VALUE"""),0.0)</f>
        <v>0</v>
      </c>
      <c r="O4" s="22">
        <f>IFERROR(__xludf.DUMMYFUNCTION("""COMPUTED_VALUE"""),1900000.0)</f>
        <v>1900000</v>
      </c>
      <c r="P4" s="28" t="str">
        <f t="shared" si="1"/>
        <v>LUNAS</v>
      </c>
      <c r="Q4" s="28">
        <f t="shared" si="2"/>
        <v>20</v>
      </c>
      <c r="R4" s="28" t="str">
        <f t="shared" si="3"/>
        <v>DEWI AZKIYAH RIZQI ALFIAN ULYA</v>
      </c>
      <c r="S4" s="28">
        <f>COUNTIF(F:F,2)</f>
        <v>29</v>
      </c>
      <c r="T4" s="32" t="s">
        <v>18</v>
      </c>
    </row>
    <row r="5">
      <c r="A5" s="27">
        <f>IFERROR(__xludf.DUMMYFUNCTION("""COMPUTED_VALUE"""),4.0)</f>
        <v>4</v>
      </c>
      <c r="B5" s="28" t="str">
        <f>IFERROR(__xludf.DUMMYFUNCTION("""COMPUTED_VALUE"""),"DZAKIRA TALITA ZAHRA")</f>
        <v>DZAKIRA TALITA ZAHRA</v>
      </c>
      <c r="C5" s="28">
        <f>IFERROR(__xludf.DUMMYFUNCTION("""COMPUTED_VALUE"""),2.0250705E9)</f>
        <v>2025070500</v>
      </c>
      <c r="D5" s="27" t="str">
        <f>IFERROR(__xludf.DUMMYFUNCTION("""COMPUTED_VALUE"""),"D")</f>
        <v>D</v>
      </c>
      <c r="E5" s="27" t="str">
        <f>IFERROR(__xludf.DUMMYFUNCTION("""COMPUTED_VALUE"""),"D-2")</f>
        <v>D-2</v>
      </c>
      <c r="F5" s="31">
        <f>IFERROR(__xludf.DUMMYFUNCTION("""COMPUTED_VALUE"""),2.0)</f>
        <v>2</v>
      </c>
      <c r="G5" s="27" t="str">
        <f>IFERROR(__xludf.DUMMYFUNCTION("""COMPUTED_VALUE"""),"2 ULA B PUTRI")</f>
        <v>2 ULA B PUTRI</v>
      </c>
      <c r="H5" s="28" t="str">
        <f>IFERROR(__xludf.DUMMYFUNCTION("""COMPUTED_VALUE"""),"SUWANTO")</f>
        <v>SUWANTO</v>
      </c>
      <c r="I5" s="28" t="str">
        <f>IFERROR(__xludf.DUMMYFUNCTION("""COMPUTED_VALUE"""),"YAYUK")</f>
        <v>YAYUK</v>
      </c>
      <c r="J5" s="28" t="str">
        <f>IFERROR(__xludf.DUMMYFUNCTION("""COMPUTED_VALUE"""),"BALI PLUMPANG RT 002 RW 004 SUKODADI LAMONGAN")</f>
        <v>BALI PLUMPANG RT 002 RW 004 SUKODADI LAMONGAN</v>
      </c>
      <c r="K5" s="29" t="str">
        <f>IFERROR(__xludf.DUMMYFUNCTION("""COMPUTED_VALUE"""),"6285706513453")</f>
        <v>6285706513453</v>
      </c>
      <c r="L5" s="22">
        <f>IFERROR(__xludf.DUMMYFUNCTION("""COMPUTED_VALUE"""),0.0)</f>
        <v>0</v>
      </c>
      <c r="M5" s="22">
        <f>IFERROR(__xludf.DUMMYFUNCTION("""COMPUTED_VALUE"""),1000000.0)</f>
        <v>1000000</v>
      </c>
      <c r="N5" s="22">
        <f>IFERROR(__xludf.DUMMYFUNCTION("""COMPUTED_VALUE"""),0.0)</f>
        <v>0</v>
      </c>
      <c r="O5" s="22">
        <f>IFERROR(__xludf.DUMMYFUNCTION("""COMPUTED_VALUE"""),1000000.0)</f>
        <v>1000000</v>
      </c>
      <c r="P5" s="28" t="str">
        <f t="shared" si="1"/>
        <v>LUNAS</v>
      </c>
      <c r="Q5" s="28">
        <f t="shared" si="2"/>
        <v>28</v>
      </c>
      <c r="R5" s="28" t="str">
        <f t="shared" si="3"/>
        <v>DZAKIRA TALITA ZAHRA</v>
      </c>
      <c r="S5" s="28">
        <f>COUNTIF(F:F,3)</f>
        <v>49</v>
      </c>
      <c r="T5" s="32" t="s">
        <v>19</v>
      </c>
    </row>
    <row r="6">
      <c r="A6" s="27">
        <f>IFERROR(__xludf.DUMMYFUNCTION("""COMPUTED_VALUE"""),5.0)</f>
        <v>5</v>
      </c>
      <c r="B6" s="28" t="str">
        <f>IFERROR(__xludf.DUMMYFUNCTION("""COMPUTED_VALUE"""),"ELSA MARSHA ANDITA")</f>
        <v>ELSA MARSHA ANDITA</v>
      </c>
      <c r="C6" s="28">
        <f>IFERROR(__xludf.DUMMYFUNCTION("""COMPUTED_VALUE"""),2.025070627E9)</f>
        <v>2025070627</v>
      </c>
      <c r="D6" s="27" t="str">
        <f>IFERROR(__xludf.DUMMYFUNCTION("""COMPUTED_VALUE"""),"D")</f>
        <v>D</v>
      </c>
      <c r="E6" s="27" t="str">
        <f>IFERROR(__xludf.DUMMYFUNCTION("""COMPUTED_VALUE"""),"D-2")</f>
        <v>D-2</v>
      </c>
      <c r="F6" s="31">
        <f>IFERROR(__xludf.DUMMYFUNCTION("""COMPUTED_VALUE"""),2.0)</f>
        <v>2</v>
      </c>
      <c r="G6" s="27" t="str">
        <f>IFERROR(__xludf.DUMMYFUNCTION("""COMPUTED_VALUE"""),"2 ULA C PUTRI")</f>
        <v>2 ULA C PUTRI</v>
      </c>
      <c r="H6" s="28" t="str">
        <f>IFERROR(__xludf.DUMMYFUNCTION("""COMPUTED_VALUE"""),"SURATNO")</f>
        <v>SURATNO</v>
      </c>
      <c r="I6" s="28" t="str">
        <f>IFERROR(__xludf.DUMMYFUNCTION("""COMPUTED_VALUE"""),"PUTRI INDAH LESTARI")</f>
        <v>PUTRI INDAH LESTARI</v>
      </c>
      <c r="J6" s="28" t="str">
        <f>IFERROR(__xludf.DUMMYFUNCTION("""COMPUTED_VALUE"""),"PERUM NAJWA ASRI BLUNGKAN SENDANGREJO RT 007 RW 003 LAMONGAN LAMONGAN")</f>
        <v>PERUM NAJWA ASRI BLUNGKAN SENDANGREJO RT 007 RW 003 LAMONGAN LAMONGAN</v>
      </c>
      <c r="K6" s="29" t="str">
        <f>IFERROR(__xludf.DUMMYFUNCTION("""COMPUTED_VALUE"""),"6285704642352")</f>
        <v>6285704642352</v>
      </c>
      <c r="L6" s="22">
        <f>IFERROR(__xludf.DUMMYFUNCTION("""COMPUTED_VALUE"""),0.0)</f>
        <v>0</v>
      </c>
      <c r="M6" s="22">
        <f>IFERROR(__xludf.DUMMYFUNCTION("""COMPUTED_VALUE"""),0.0)</f>
        <v>0</v>
      </c>
      <c r="N6" s="22">
        <f>IFERROR(__xludf.DUMMYFUNCTION("""COMPUTED_VALUE"""),0.0)</f>
        <v>0</v>
      </c>
      <c r="O6" s="22">
        <f>IFERROR(__xludf.DUMMYFUNCTION("""COMPUTED_VALUE"""),0.0)</f>
        <v>0</v>
      </c>
      <c r="P6" s="28" t="str">
        <f t="shared" si="1"/>
        <v>LUNAS</v>
      </c>
      <c r="Q6" s="28">
        <f t="shared" si="2"/>
        <v>47</v>
      </c>
      <c r="R6" s="28" t="str">
        <f t="shared" si="3"/>
        <v>ELSA MARSHA ANDITA</v>
      </c>
      <c r="S6" s="28">
        <f>COUNTIF(P:P,"LUNAS")</f>
        <v>107</v>
      </c>
      <c r="T6" s="32" t="s">
        <v>20</v>
      </c>
    </row>
    <row r="7">
      <c r="A7" s="27">
        <f>IFERROR(__xludf.DUMMYFUNCTION("""COMPUTED_VALUE"""),6.0)</f>
        <v>6</v>
      </c>
      <c r="B7" s="28" t="str">
        <f>IFERROR(__xludf.DUMMYFUNCTION("""COMPUTED_VALUE"""),"FARAH ADIBAH")</f>
        <v>FARAH ADIBAH</v>
      </c>
      <c r="C7" s="28">
        <f>IFERROR(__xludf.DUMMYFUNCTION("""COMPUTED_VALUE"""),2.025070633E9)</f>
        <v>2025070633</v>
      </c>
      <c r="D7" s="27" t="str">
        <f>IFERROR(__xludf.DUMMYFUNCTION("""COMPUTED_VALUE"""),"D")</f>
        <v>D</v>
      </c>
      <c r="E7" s="27" t="str">
        <f>IFERROR(__xludf.DUMMYFUNCTION("""COMPUTED_VALUE"""),"D-2")</f>
        <v>D-2</v>
      </c>
      <c r="F7" s="31">
        <f>IFERROR(__xludf.DUMMYFUNCTION("""COMPUTED_VALUE"""),2.0)</f>
        <v>2</v>
      </c>
      <c r="G7" s="27" t="str">
        <f>IFERROR(__xludf.DUMMYFUNCTION("""COMPUTED_VALUE"""),"2 ULA C PUTRI")</f>
        <v>2 ULA C PUTRI</v>
      </c>
      <c r="H7" s="28" t="str">
        <f>IFERROR(__xludf.DUMMYFUNCTION("""COMPUTED_VALUE"""),"AHMAD KHOLIQ")</f>
        <v>AHMAD KHOLIQ</v>
      </c>
      <c r="I7" s="28" t="str">
        <f>IFERROR(__xludf.DUMMYFUNCTION("""COMPUTED_VALUE"""),"FADILAH")</f>
        <v>FADILAH</v>
      </c>
      <c r="J7" s="28" t="str">
        <f>IFERROR(__xludf.DUMMYFUNCTION("""COMPUTED_VALUE"""),"SUNGELEBAK RT 015 RW 005 KARANGGENENG LAMONGAN")</f>
        <v>SUNGELEBAK RT 015 RW 005 KARANGGENENG LAMONGAN</v>
      </c>
      <c r="K7" s="29" t="str">
        <f>IFERROR(__xludf.DUMMYFUNCTION("""COMPUTED_VALUE"""),"6282142187105")</f>
        <v>6282142187105</v>
      </c>
      <c r="L7" s="22">
        <f>IFERROR(__xludf.DUMMYFUNCTION("""COMPUTED_VALUE"""),0.0)</f>
        <v>0</v>
      </c>
      <c r="M7" s="22">
        <f>IFERROR(__xludf.DUMMYFUNCTION("""COMPUTED_VALUE"""),1000000.0)</f>
        <v>1000000</v>
      </c>
      <c r="N7" s="22">
        <f>IFERROR(__xludf.DUMMYFUNCTION("""COMPUTED_VALUE"""),0.0)</f>
        <v>0</v>
      </c>
      <c r="O7" s="22">
        <f>IFERROR(__xludf.DUMMYFUNCTION("""COMPUTED_VALUE"""),1000000.0)</f>
        <v>1000000</v>
      </c>
      <c r="P7" s="28" t="str">
        <f t="shared" si="1"/>
        <v>LUNAS</v>
      </c>
      <c r="Q7" s="28">
        <f t="shared" si="2"/>
        <v>29</v>
      </c>
      <c r="R7" s="28" t="str">
        <f t="shared" si="3"/>
        <v>FARAH ADIBAH</v>
      </c>
      <c r="S7" s="28">
        <f>COUNTIF(P:P,"BELUM")</f>
        <v>3</v>
      </c>
      <c r="T7" s="32" t="s">
        <v>21</v>
      </c>
    </row>
    <row r="8">
      <c r="A8" s="27">
        <f>IFERROR(__xludf.DUMMYFUNCTION("""COMPUTED_VALUE"""),7.0)</f>
        <v>7</v>
      </c>
      <c r="B8" s="28" t="str">
        <f>IFERROR(__xludf.DUMMYFUNCTION("""COMPUTED_VALUE"""),"HILDA ABIDAH ANJANI")</f>
        <v>HILDA ABIDAH ANJANI</v>
      </c>
      <c r="C8" s="28">
        <f>IFERROR(__xludf.DUMMYFUNCTION("""COMPUTED_VALUE"""),2.025070524E9)</f>
        <v>2025070524</v>
      </c>
      <c r="D8" s="27" t="str">
        <f>IFERROR(__xludf.DUMMYFUNCTION("""COMPUTED_VALUE"""),"D")</f>
        <v>D</v>
      </c>
      <c r="E8" s="27" t="str">
        <f>IFERROR(__xludf.DUMMYFUNCTION("""COMPUTED_VALUE"""),"D-2")</f>
        <v>D-2</v>
      </c>
      <c r="F8" s="31">
        <f>IFERROR(__xludf.DUMMYFUNCTION("""COMPUTED_VALUE"""),2.0)</f>
        <v>2</v>
      </c>
      <c r="G8" s="27" t="str">
        <f>IFERROR(__xludf.DUMMYFUNCTION("""COMPUTED_VALUE"""),"2 ULA A PUTRI")</f>
        <v>2 ULA A PUTRI</v>
      </c>
      <c r="H8" s="28" t="str">
        <f>IFERROR(__xludf.DUMMYFUNCTION("""COMPUTED_VALUE"""),"HANAFI")</f>
        <v>HANAFI</v>
      </c>
      <c r="I8" s="28" t="str">
        <f>IFERROR(__xludf.DUMMYFUNCTION("""COMPUTED_VALUE"""),"SITI MUNAWAROH")</f>
        <v>SITI MUNAWAROH</v>
      </c>
      <c r="J8" s="28" t="str">
        <f>IFERROR(__xludf.DUMMYFUNCTION("""COMPUTED_VALUE"""),"GOWAH POMAHANJANGGAN RT 002 RW 001 TURI LAMONGAN")</f>
        <v>GOWAH POMAHANJANGGAN RT 002 RW 001 TURI LAMONGAN</v>
      </c>
      <c r="K8" s="29" t="str">
        <f>IFERROR(__xludf.DUMMYFUNCTION("""COMPUTED_VALUE"""),"6285707652707")</f>
        <v>6285707652707</v>
      </c>
      <c r="L8" s="22">
        <f>IFERROR(__xludf.DUMMYFUNCTION("""COMPUTED_VALUE"""),900000.0)</f>
        <v>900000</v>
      </c>
      <c r="M8" s="22">
        <f>IFERROR(__xludf.DUMMYFUNCTION("""COMPUTED_VALUE"""),0.0)</f>
        <v>0</v>
      </c>
      <c r="N8" s="22">
        <f>IFERROR(__xludf.DUMMYFUNCTION("""COMPUTED_VALUE"""),0.0)</f>
        <v>0</v>
      </c>
      <c r="O8" s="22">
        <f>IFERROR(__xludf.DUMMYFUNCTION("""COMPUTED_VALUE"""),900000.0)</f>
        <v>900000</v>
      </c>
      <c r="P8" s="28" t="str">
        <f t="shared" si="1"/>
        <v>LUNAS</v>
      </c>
      <c r="Q8" s="28">
        <f t="shared" si="2"/>
        <v>42</v>
      </c>
      <c r="R8" s="28" t="str">
        <f t="shared" si="3"/>
        <v>HILDA ABIDAH ANJANI</v>
      </c>
      <c r="S8" s="22">
        <f>SUM(L2:L450)</f>
        <v>98550000</v>
      </c>
      <c r="T8" s="32" t="s">
        <v>22</v>
      </c>
    </row>
    <row r="9">
      <c r="A9" s="27">
        <f>IFERROR(__xludf.DUMMYFUNCTION("""COMPUTED_VALUE"""),8.0)</f>
        <v>8</v>
      </c>
      <c r="B9" s="28" t="str">
        <f>IFERROR(__xludf.DUMMYFUNCTION("""COMPUTED_VALUE"""),"LUTHFIYAH AHSANAL HURI")</f>
        <v>LUTHFIYAH AHSANAL HURI</v>
      </c>
      <c r="C9" s="28">
        <f>IFERROR(__xludf.DUMMYFUNCTION("""COMPUTED_VALUE"""),2.025070557E9)</f>
        <v>2025070557</v>
      </c>
      <c r="D9" s="27" t="str">
        <f>IFERROR(__xludf.DUMMYFUNCTION("""COMPUTED_VALUE"""),"D")</f>
        <v>D</v>
      </c>
      <c r="E9" s="27" t="str">
        <f>IFERROR(__xludf.DUMMYFUNCTION("""COMPUTED_VALUE"""),"D-2")</f>
        <v>D-2</v>
      </c>
      <c r="F9" s="31">
        <f>IFERROR(__xludf.DUMMYFUNCTION("""COMPUTED_VALUE"""),2.0)</f>
        <v>2</v>
      </c>
      <c r="G9" s="27" t="str">
        <f>IFERROR(__xludf.DUMMYFUNCTION("""COMPUTED_VALUE"""),"2 ULA B PUTRI")</f>
        <v>2 ULA B PUTRI</v>
      </c>
      <c r="H9" s="28" t="str">
        <f>IFERROR(__xludf.DUMMYFUNCTION("""COMPUTED_VALUE"""),"MUHAMMAD AHSIN HUDA")</f>
        <v>MUHAMMAD AHSIN HUDA</v>
      </c>
      <c r="I9" s="28" t="str">
        <f>IFERROR(__xludf.DUMMYFUNCTION("""COMPUTED_VALUE"""),"MU`AWANAH")</f>
        <v>MU`AWANAH</v>
      </c>
      <c r="J9" s="28" t="str">
        <f>IFERROR(__xludf.DUMMYFUNCTION("""COMPUTED_VALUE"""),"PARENGAN RT 002 RW 004 MADURAN LAMONGAN")</f>
        <v>PARENGAN RT 002 RW 004 MADURAN LAMONGAN</v>
      </c>
      <c r="K9" s="29" t="str">
        <f>IFERROR(__xludf.DUMMYFUNCTION("""COMPUTED_VALUE"""),"6285735201839")</f>
        <v>6285735201839</v>
      </c>
      <c r="L9" s="22">
        <f>IFERROR(__xludf.DUMMYFUNCTION("""COMPUTED_VALUE"""),0.0)</f>
        <v>0</v>
      </c>
      <c r="M9" s="22">
        <f>IFERROR(__xludf.DUMMYFUNCTION("""COMPUTED_VALUE"""),1000000.0)</f>
        <v>1000000</v>
      </c>
      <c r="N9" s="22">
        <f>IFERROR(__xludf.DUMMYFUNCTION("""COMPUTED_VALUE"""),0.0)</f>
        <v>0</v>
      </c>
      <c r="O9" s="22">
        <f>IFERROR(__xludf.DUMMYFUNCTION("""COMPUTED_VALUE"""),1000000.0)</f>
        <v>1000000</v>
      </c>
      <c r="P9" s="28" t="str">
        <f t="shared" si="1"/>
        <v>LUNAS</v>
      </c>
      <c r="Q9" s="28">
        <f t="shared" si="2"/>
        <v>30</v>
      </c>
      <c r="R9" s="28" t="str">
        <f t="shared" si="3"/>
        <v>LUTHFIYAH AHSANAL HURI</v>
      </c>
      <c r="S9" s="22">
        <f>SUM(M2:M450)</f>
        <v>34200000</v>
      </c>
      <c r="T9" s="32" t="s">
        <v>23</v>
      </c>
    </row>
    <row r="10">
      <c r="A10" s="27">
        <f>IFERROR(__xludf.DUMMYFUNCTION("""COMPUTED_VALUE"""),9.0)</f>
        <v>9</v>
      </c>
      <c r="B10" s="28" t="str">
        <f>IFERROR(__xludf.DUMMYFUNCTION("""COMPUTED_VALUE"""),"NURUSSHAFIYAH RAHMANI")</f>
        <v>NURUSSHAFIYAH RAHMANI</v>
      </c>
      <c r="C10" s="28">
        <f>IFERROR(__xludf.DUMMYFUNCTION("""COMPUTED_VALUE"""),2.025070585E9)</f>
        <v>2025070585</v>
      </c>
      <c r="D10" s="27" t="str">
        <f>IFERROR(__xludf.DUMMYFUNCTION("""COMPUTED_VALUE"""),"D")</f>
        <v>D</v>
      </c>
      <c r="E10" s="27" t="str">
        <f>IFERROR(__xludf.DUMMYFUNCTION("""COMPUTED_VALUE"""),"D-2")</f>
        <v>D-2</v>
      </c>
      <c r="F10" s="31">
        <f>IFERROR(__xludf.DUMMYFUNCTION("""COMPUTED_VALUE"""),2.0)</f>
        <v>2</v>
      </c>
      <c r="G10" s="27" t="str">
        <f>IFERROR(__xludf.DUMMYFUNCTION("""COMPUTED_VALUE"""),"2 ULA B PUTRI")</f>
        <v>2 ULA B PUTRI</v>
      </c>
      <c r="H10" s="28" t="str">
        <f>IFERROR(__xludf.DUMMYFUNCTION("""COMPUTED_VALUE"""),"WOLIANTO")</f>
        <v>WOLIANTO</v>
      </c>
      <c r="I10" s="28" t="str">
        <f>IFERROR(__xludf.DUMMYFUNCTION("""COMPUTED_VALUE"""),"ENDANG SULISTIYOWATI")</f>
        <v>ENDANG SULISTIYOWATI</v>
      </c>
      <c r="J10" s="28" t="str">
        <f>IFERROR(__xludf.DUMMYFUNCTION("""COMPUTED_VALUE"""),"KARANGWUNGULOR RT 001 RW 001 LAREN LAMONGAN")</f>
        <v>KARANGWUNGULOR RT 001 RW 001 LAREN LAMONGAN</v>
      </c>
      <c r="K10" s="29" t="str">
        <f>IFERROR(__xludf.DUMMYFUNCTION("""COMPUTED_VALUE"""),"6285852886928")</f>
        <v>6285852886928</v>
      </c>
      <c r="L10" s="22">
        <f>IFERROR(__xludf.DUMMYFUNCTION("""COMPUTED_VALUE"""),0.0)</f>
        <v>0</v>
      </c>
      <c r="M10" s="22">
        <f>IFERROR(__xludf.DUMMYFUNCTION("""COMPUTED_VALUE"""),0.0)</f>
        <v>0</v>
      </c>
      <c r="N10" s="22">
        <f>IFERROR(__xludf.DUMMYFUNCTION("""COMPUTED_VALUE"""),0.0)</f>
        <v>0</v>
      </c>
      <c r="O10" s="22">
        <f>IFERROR(__xludf.DUMMYFUNCTION("""COMPUTED_VALUE"""),0.0)</f>
        <v>0</v>
      </c>
      <c r="P10" s="28" t="str">
        <f t="shared" si="1"/>
        <v>LUNAS</v>
      </c>
      <c r="Q10" s="28">
        <f t="shared" si="2"/>
        <v>48</v>
      </c>
      <c r="R10" s="28" t="str">
        <f t="shared" si="3"/>
        <v>NURUSSHAFIYAH RAHMANI</v>
      </c>
      <c r="S10" s="22">
        <f>SUM(N2:N450)</f>
        <v>1050000</v>
      </c>
      <c r="T10" s="32" t="s">
        <v>24</v>
      </c>
    </row>
    <row r="11">
      <c r="A11" s="27">
        <f>IFERROR(__xludf.DUMMYFUNCTION("""COMPUTED_VALUE"""),10.0)</f>
        <v>10</v>
      </c>
      <c r="B11" s="28" t="str">
        <f>IFERROR(__xludf.DUMMYFUNCTION("""COMPUTED_VALUE"""),"OKTAVIA NUR ASTI WULANDARI")</f>
        <v>OKTAVIA NUR ASTI WULANDARI</v>
      </c>
      <c r="C11" s="28">
        <f>IFERROR(__xludf.DUMMYFUNCTION("""COMPUTED_VALUE"""),2.025070637E9)</f>
        <v>2025070637</v>
      </c>
      <c r="D11" s="27" t="str">
        <f>IFERROR(__xludf.DUMMYFUNCTION("""COMPUTED_VALUE"""),"D")</f>
        <v>D</v>
      </c>
      <c r="E11" s="27" t="str">
        <f>IFERROR(__xludf.DUMMYFUNCTION("""COMPUTED_VALUE"""),"D-2")</f>
        <v>D-2</v>
      </c>
      <c r="F11" s="31">
        <f>IFERROR(__xludf.DUMMYFUNCTION("""COMPUTED_VALUE"""),2.0)</f>
        <v>2</v>
      </c>
      <c r="G11" s="27" t="str">
        <f>IFERROR(__xludf.DUMMYFUNCTION("""COMPUTED_VALUE"""),"2 ULA C PUTRI")</f>
        <v>2 ULA C PUTRI</v>
      </c>
      <c r="H11" s="28" t="str">
        <f>IFERROR(__xludf.DUMMYFUNCTION("""COMPUTED_VALUE"""),"SUNARIAJI")</f>
        <v>SUNARIAJI</v>
      </c>
      <c r="I11" s="28" t="str">
        <f>IFERROR(__xludf.DUMMYFUNCTION("""COMPUTED_VALUE"""),"ASIYAH")</f>
        <v>ASIYAH</v>
      </c>
      <c r="J11" s="28" t="str">
        <f>IFERROR(__xludf.DUMMYFUNCTION("""COMPUTED_VALUE"""),"GLUMO JELAKCATUR RT 001 RW 005 KALITENGAH LAMONGAN")</f>
        <v>GLUMO JELAKCATUR RT 001 RW 005 KALITENGAH LAMONGAN</v>
      </c>
      <c r="K11" s="29" t="str">
        <f>IFERROR(__xludf.DUMMYFUNCTION("""COMPUTED_VALUE"""),"6285794636195")</f>
        <v>6285794636195</v>
      </c>
      <c r="L11" s="22">
        <f>IFERROR(__xludf.DUMMYFUNCTION("""COMPUTED_VALUE"""),0.0)</f>
        <v>0</v>
      </c>
      <c r="M11" s="22">
        <f>IFERROR(__xludf.DUMMYFUNCTION("""COMPUTED_VALUE"""),1000000.0)</f>
        <v>1000000</v>
      </c>
      <c r="N11" s="22">
        <f>IFERROR(__xludf.DUMMYFUNCTION("""COMPUTED_VALUE"""),0.0)</f>
        <v>0</v>
      </c>
      <c r="O11" s="22">
        <f>IFERROR(__xludf.DUMMYFUNCTION("""COMPUTED_VALUE"""),1000000.0)</f>
        <v>1000000</v>
      </c>
      <c r="P11" s="28" t="str">
        <f t="shared" si="1"/>
        <v>LUNAS</v>
      </c>
      <c r="Q11" s="28">
        <f t="shared" si="2"/>
        <v>31</v>
      </c>
      <c r="R11" s="28" t="str">
        <f t="shared" si="3"/>
        <v>OKTAVIA NUR ASTI WULANDARI</v>
      </c>
      <c r="S11" s="22">
        <f>SUM(O2:O450)</f>
        <v>133800000</v>
      </c>
      <c r="T11" s="32" t="s">
        <v>25</v>
      </c>
    </row>
    <row r="12">
      <c r="A12" s="27">
        <f>IFERROR(__xludf.DUMMYFUNCTION("""COMPUTED_VALUE"""),11.0)</f>
        <v>11</v>
      </c>
      <c r="B12" s="28" t="str">
        <f>IFERROR(__xludf.DUMMYFUNCTION("""COMPUTED_VALUE"""),"RANA FALIHATUL FARHAH")</f>
        <v>RANA FALIHATUL FARHAH</v>
      </c>
      <c r="C12" s="28">
        <f>IFERROR(__xludf.DUMMYFUNCTION("""COMPUTED_VALUE"""),2.025070479E9)</f>
        <v>2025070479</v>
      </c>
      <c r="D12" s="27" t="str">
        <f>IFERROR(__xludf.DUMMYFUNCTION("""COMPUTED_VALUE"""),"D")</f>
        <v>D</v>
      </c>
      <c r="E12" s="27" t="str">
        <f>IFERROR(__xludf.DUMMYFUNCTION("""COMPUTED_VALUE"""),"D-2")</f>
        <v>D-2</v>
      </c>
      <c r="F12" s="31">
        <f>IFERROR(__xludf.DUMMYFUNCTION("""COMPUTED_VALUE"""),2.0)</f>
        <v>2</v>
      </c>
      <c r="G12" s="27" t="str">
        <f>IFERROR(__xludf.DUMMYFUNCTION("""COMPUTED_VALUE"""),"2 ULA C PUTRI")</f>
        <v>2 ULA C PUTRI</v>
      </c>
      <c r="H12" s="28" t="str">
        <f>IFERROR(__xludf.DUMMYFUNCTION("""COMPUTED_VALUE"""),"NUR HASAN")</f>
        <v>NUR HASAN</v>
      </c>
      <c r="I12" s="28" t="str">
        <f>IFERROR(__xludf.DUMMYFUNCTION("""COMPUTED_VALUE"""),"ROHATIN")</f>
        <v>ROHATIN</v>
      </c>
      <c r="J12" s="28" t="str">
        <f>IFERROR(__xludf.DUMMYFUNCTION("""COMPUTED_VALUE"""),"BANYUBANG RT 002 RW 001 SOLOKURO LAMONGAN")</f>
        <v>BANYUBANG RT 002 RW 001 SOLOKURO LAMONGAN</v>
      </c>
      <c r="K12" s="29" t="str">
        <f>IFERROR(__xludf.DUMMYFUNCTION("""COMPUTED_VALUE"""),"6285646637564")</f>
        <v>6285646637564</v>
      </c>
      <c r="L12" s="22">
        <f>IFERROR(__xludf.DUMMYFUNCTION("""COMPUTED_VALUE"""),0.0)</f>
        <v>0</v>
      </c>
      <c r="M12" s="22">
        <f>IFERROR(__xludf.DUMMYFUNCTION("""COMPUTED_VALUE"""),1000000.0)</f>
        <v>1000000</v>
      </c>
      <c r="N12" s="22">
        <f>IFERROR(__xludf.DUMMYFUNCTION("""COMPUTED_VALUE"""),0.0)</f>
        <v>0</v>
      </c>
      <c r="O12" s="22">
        <f>IFERROR(__xludf.DUMMYFUNCTION("""COMPUTED_VALUE"""),1000000.0)</f>
        <v>1000000</v>
      </c>
      <c r="P12" s="28" t="str">
        <f t="shared" si="1"/>
        <v>LUNAS</v>
      </c>
      <c r="Q12" s="28">
        <f t="shared" si="2"/>
        <v>32</v>
      </c>
      <c r="R12" s="28" t="str">
        <f t="shared" si="3"/>
        <v>RANA FALIHATUL FARHAH</v>
      </c>
      <c r="T12" s="32" t="s">
        <v>26</v>
      </c>
      <c r="U12" s="32" t="s">
        <v>27</v>
      </c>
      <c r="V12" s="32" t="s">
        <v>28</v>
      </c>
      <c r="W12" s="32" t="s">
        <v>29</v>
      </c>
    </row>
    <row r="13">
      <c r="A13" s="27">
        <f>IFERROR(__xludf.DUMMYFUNCTION("""COMPUTED_VALUE"""),12.0)</f>
        <v>12</v>
      </c>
      <c r="B13" s="28" t="str">
        <f>IFERROR(__xludf.DUMMYFUNCTION("""COMPUTED_VALUE"""),"SALWA WAFIIA ANNISA`")</f>
        <v>SALWA WAFIIA ANNISA`</v>
      </c>
      <c r="C13" s="28">
        <f>IFERROR(__xludf.DUMMYFUNCTION("""COMPUTED_VALUE"""),2.025070591E9)</f>
        <v>2025070591</v>
      </c>
      <c r="D13" s="27" t="str">
        <f>IFERROR(__xludf.DUMMYFUNCTION("""COMPUTED_VALUE"""),"D")</f>
        <v>D</v>
      </c>
      <c r="E13" s="27" t="str">
        <f>IFERROR(__xludf.DUMMYFUNCTION("""COMPUTED_VALUE"""),"D-2")</f>
        <v>D-2</v>
      </c>
      <c r="F13" s="31">
        <f>IFERROR(__xludf.DUMMYFUNCTION("""COMPUTED_VALUE"""),2.0)</f>
        <v>2</v>
      </c>
      <c r="G13" s="27" t="str">
        <f>IFERROR(__xludf.DUMMYFUNCTION("""COMPUTED_VALUE"""),"2 ULA C PUTRI")</f>
        <v>2 ULA C PUTRI</v>
      </c>
      <c r="H13" s="28" t="str">
        <f>IFERROR(__xludf.DUMMYFUNCTION("""COMPUTED_VALUE"""),"HARTONO")</f>
        <v>HARTONO</v>
      </c>
      <c r="I13" s="28" t="str">
        <f>IFERROR(__xludf.DUMMYFUNCTION("""COMPUTED_VALUE"""),"MAZIDATUL FAIZAH")</f>
        <v>MAZIDATUL FAIZAH</v>
      </c>
      <c r="J13" s="28" t="str">
        <f>IFERROR(__xludf.DUMMYFUNCTION("""COMPUTED_VALUE"""),"GEGER RT 001 RW 003 TURI LAMONGAN")</f>
        <v>GEGER RT 001 RW 003 TURI LAMONGAN</v>
      </c>
      <c r="K13" s="29" t="str">
        <f>IFERROR(__xludf.DUMMYFUNCTION("""COMPUTED_VALUE"""),"6285731619846")</f>
        <v>6285731619846</v>
      </c>
      <c r="L13" s="22">
        <f>IFERROR(__xludf.DUMMYFUNCTION("""COMPUTED_VALUE"""),0.0)</f>
        <v>0</v>
      </c>
      <c r="M13" s="22">
        <f>IFERROR(__xludf.DUMMYFUNCTION("""COMPUTED_VALUE"""),0.0)</f>
        <v>0</v>
      </c>
      <c r="N13" s="22">
        <f>IFERROR(__xludf.DUMMYFUNCTION("""COMPUTED_VALUE"""),0.0)</f>
        <v>0</v>
      </c>
      <c r="O13" s="22">
        <f>IFERROR(__xludf.DUMMYFUNCTION("""COMPUTED_VALUE"""),0.0)</f>
        <v>0</v>
      </c>
      <c r="P13" s="28" t="str">
        <f t="shared" si="1"/>
        <v>LUNAS</v>
      </c>
      <c r="Q13" s="28">
        <f t="shared" si="2"/>
        <v>49</v>
      </c>
      <c r="R13" s="28" t="str">
        <f t="shared" si="3"/>
        <v>SALWA WAFIIA ANNISA`</v>
      </c>
      <c r="S13" s="28" t="str">
        <f t="shared" ref="S13:S22" si="4">VLOOKUP(X13,$Q$2:$R$399,2,FALSE)</f>
        <v>FIKA ANJANI CAMELIA AL AJEMAIN</v>
      </c>
      <c r="T13" s="22">
        <f t="shared" ref="T13:T22" si="5">VLOOKUP(S13,$B$2:$O$450,11,FALSE)</f>
        <v>10800000</v>
      </c>
      <c r="U13" s="22">
        <f t="shared" ref="U13:U22" si="6">VLOOKUP(S13,$B$2:$O$450,12,FALSE)</f>
        <v>1600000</v>
      </c>
      <c r="V13" s="22">
        <f t="shared" ref="V13:V22" si="7">VLOOKUP(S13,$B$2:$O$450,13,FALSE)</f>
        <v>0</v>
      </c>
      <c r="W13" s="22">
        <f t="shared" ref="W13:W22" si="8">VLOOKUP(S13,$B$2:$O$450,14,FALSE)</f>
        <v>12400000</v>
      </c>
      <c r="X13" s="32">
        <v>1.0</v>
      </c>
    </row>
    <row r="14">
      <c r="A14" s="27">
        <f>IFERROR(__xludf.DUMMYFUNCTION("""COMPUTED_VALUE"""),13.0)</f>
        <v>13</v>
      </c>
      <c r="B14" s="28" t="str">
        <f>IFERROR(__xludf.DUMMYFUNCTION("""COMPUTED_VALUE"""),"SELENA SHERIN MARGARET")</f>
        <v>SELENA SHERIN MARGARET</v>
      </c>
      <c r="C14" s="28">
        <f>IFERROR(__xludf.DUMMYFUNCTION("""COMPUTED_VALUE"""),2.025070589E9)</f>
        <v>2025070589</v>
      </c>
      <c r="D14" s="27" t="str">
        <f>IFERROR(__xludf.DUMMYFUNCTION("""COMPUTED_VALUE"""),"D")</f>
        <v>D</v>
      </c>
      <c r="E14" s="27" t="str">
        <f>IFERROR(__xludf.DUMMYFUNCTION("""COMPUTED_VALUE"""),"D-2")</f>
        <v>D-2</v>
      </c>
      <c r="F14" s="31">
        <f>IFERROR(__xludf.DUMMYFUNCTION("""COMPUTED_VALUE"""),2.0)</f>
        <v>2</v>
      </c>
      <c r="G14" s="27" t="str">
        <f>IFERROR(__xludf.DUMMYFUNCTION("""COMPUTED_VALUE"""),"2 ULA C PUTRI")</f>
        <v>2 ULA C PUTRI</v>
      </c>
      <c r="H14" s="28" t="str">
        <f>IFERROR(__xludf.DUMMYFUNCTION("""COMPUTED_VALUE"""),"BAMBANG HERMANTO")</f>
        <v>BAMBANG HERMANTO</v>
      </c>
      <c r="I14" s="28" t="str">
        <f>IFERROR(__xludf.DUMMYFUNCTION("""COMPUTED_VALUE"""),"IMAYATUS SA`ADAH")</f>
        <v>IMAYATUS SA`ADAH</v>
      </c>
      <c r="J14" s="28" t="str">
        <f>IFERROR(__xludf.DUMMYFUNCTION("""COMPUTED_VALUE"""),"GEGER RT 003 RW 002 TURI LAMONGAN")</f>
        <v>GEGER RT 003 RW 002 TURI LAMONGAN</v>
      </c>
      <c r="K14" s="29" t="str">
        <f>IFERROR(__xludf.DUMMYFUNCTION("""COMPUTED_VALUE"""),"6285732432857")</f>
        <v>6285732432857</v>
      </c>
      <c r="L14" s="22">
        <f>IFERROR(__xludf.DUMMYFUNCTION("""COMPUTED_VALUE"""),3150000.0)</f>
        <v>3150000</v>
      </c>
      <c r="M14" s="22">
        <f>IFERROR(__xludf.DUMMYFUNCTION("""COMPUTED_VALUE"""),1600000.0)</f>
        <v>1600000</v>
      </c>
      <c r="N14" s="22">
        <f>IFERROR(__xludf.DUMMYFUNCTION("""COMPUTED_VALUE"""),0.0)</f>
        <v>0</v>
      </c>
      <c r="O14" s="22">
        <f>IFERROR(__xludf.DUMMYFUNCTION("""COMPUTED_VALUE"""),4750000.0)</f>
        <v>4750000</v>
      </c>
      <c r="P14" s="28" t="str">
        <f t="shared" si="1"/>
        <v>LUNAS</v>
      </c>
      <c r="Q14" s="28">
        <f t="shared" si="2"/>
        <v>9</v>
      </c>
      <c r="R14" s="28" t="str">
        <f t="shared" si="3"/>
        <v>SELENA SHERIN MARGARET</v>
      </c>
      <c r="S14" s="28" t="str">
        <f t="shared" si="4"/>
        <v>ANGEL CYNTYA DEWI MAULIDAH</v>
      </c>
      <c r="T14" s="22">
        <f t="shared" si="5"/>
        <v>9900000</v>
      </c>
      <c r="U14" s="22">
        <f t="shared" si="6"/>
        <v>1600000</v>
      </c>
      <c r="V14" s="22">
        <f t="shared" si="7"/>
        <v>0</v>
      </c>
      <c r="W14" s="22">
        <f t="shared" si="8"/>
        <v>11500000</v>
      </c>
      <c r="X14" s="32">
        <v>2.0</v>
      </c>
    </row>
    <row r="15">
      <c r="A15" s="27">
        <f>IFERROR(__xludf.DUMMYFUNCTION("""COMPUTED_VALUE"""),14.0)</f>
        <v>14</v>
      </c>
      <c r="B15" s="28" t="str">
        <f>IFERROR(__xludf.DUMMYFUNCTION("""COMPUTED_VALUE"""),"SHEILA MARSHA ANDITA")</f>
        <v>SHEILA MARSHA ANDITA</v>
      </c>
      <c r="C15" s="28">
        <f>IFERROR(__xludf.DUMMYFUNCTION("""COMPUTED_VALUE"""),2.025070628E9)</f>
        <v>2025070628</v>
      </c>
      <c r="D15" s="27" t="str">
        <f>IFERROR(__xludf.DUMMYFUNCTION("""COMPUTED_VALUE"""),"D")</f>
        <v>D</v>
      </c>
      <c r="E15" s="27" t="str">
        <f>IFERROR(__xludf.DUMMYFUNCTION("""COMPUTED_VALUE"""),"D-2")</f>
        <v>D-2</v>
      </c>
      <c r="F15" s="31">
        <f>IFERROR(__xludf.DUMMYFUNCTION("""COMPUTED_VALUE"""),3.0)</f>
        <v>3</v>
      </c>
      <c r="G15" s="27" t="str">
        <f>IFERROR(__xludf.DUMMYFUNCTION("""COMPUTED_VALUE"""),"3 ULA C PUTRI")</f>
        <v>3 ULA C PUTRI</v>
      </c>
      <c r="H15" s="28" t="str">
        <f>IFERROR(__xludf.DUMMYFUNCTION("""COMPUTED_VALUE"""),"SURATNO")</f>
        <v>SURATNO</v>
      </c>
      <c r="I15" s="28" t="str">
        <f>IFERROR(__xludf.DUMMYFUNCTION("""COMPUTED_VALUE"""),"PUTRI INDAH LESTARI")</f>
        <v>PUTRI INDAH LESTARI</v>
      </c>
      <c r="J15" s="28" t="str">
        <f>IFERROR(__xludf.DUMMYFUNCTION("""COMPUTED_VALUE"""),"PERUM NAJWA ASRI BLUNGKAN SENDANGREJO RT 007 RW 003 LAMONGAN LAMONGAN")</f>
        <v>PERUM NAJWA ASRI BLUNGKAN SENDANGREJO RT 007 RW 003 LAMONGAN LAMONGAN</v>
      </c>
      <c r="K15" s="29" t="str">
        <f>IFERROR(__xludf.DUMMYFUNCTION("""COMPUTED_VALUE"""),"6285704642352")</f>
        <v>6285704642352</v>
      </c>
      <c r="L15" s="22">
        <f>IFERROR(__xludf.DUMMYFUNCTION("""COMPUTED_VALUE"""),0.0)</f>
        <v>0</v>
      </c>
      <c r="M15" s="22">
        <f>IFERROR(__xludf.DUMMYFUNCTION("""COMPUTED_VALUE"""),0.0)</f>
        <v>0</v>
      </c>
      <c r="N15" s="22">
        <f>IFERROR(__xludf.DUMMYFUNCTION("""COMPUTED_VALUE"""),0.0)</f>
        <v>0</v>
      </c>
      <c r="O15" s="22">
        <f>IFERROR(__xludf.DUMMYFUNCTION("""COMPUTED_VALUE"""),0.0)</f>
        <v>0</v>
      </c>
      <c r="P15" s="28" t="str">
        <f t="shared" si="1"/>
        <v>LUNAS</v>
      </c>
      <c r="Q15" s="28">
        <f t="shared" si="2"/>
        <v>50</v>
      </c>
      <c r="R15" s="28" t="str">
        <f t="shared" si="3"/>
        <v>SHEILA MARSHA ANDITA</v>
      </c>
      <c r="S15" s="28" t="str">
        <f t="shared" si="4"/>
        <v>ISTHOFI NADA MILLAH</v>
      </c>
      <c r="T15" s="22">
        <f t="shared" si="5"/>
        <v>10800000</v>
      </c>
      <c r="U15" s="22">
        <f t="shared" si="6"/>
        <v>0</v>
      </c>
      <c r="V15" s="22">
        <f t="shared" si="7"/>
        <v>350000</v>
      </c>
      <c r="W15" s="22">
        <f t="shared" si="8"/>
        <v>11150000</v>
      </c>
      <c r="X15" s="32">
        <v>3.0</v>
      </c>
    </row>
    <row r="16">
      <c r="A16" s="27">
        <f>IFERROR(__xludf.DUMMYFUNCTION("""COMPUTED_VALUE"""),15.0)</f>
        <v>15</v>
      </c>
      <c r="B16" s="28" t="str">
        <f>IFERROR(__xludf.DUMMYFUNCTION("""COMPUTED_VALUE"""),"AUREL NUR HABIBATUL LATHIFAH")</f>
        <v>AUREL NUR HABIBATUL LATHIFAH</v>
      </c>
      <c r="C16" s="28">
        <f>IFERROR(__xludf.DUMMYFUNCTION("""COMPUTED_VALUE"""),2.024070498E9)</f>
        <v>2024070498</v>
      </c>
      <c r="D16" s="27" t="str">
        <f>IFERROR(__xludf.DUMMYFUNCTION("""COMPUTED_VALUE"""),"D")</f>
        <v>D</v>
      </c>
      <c r="E16" s="27" t="str">
        <f>IFERROR(__xludf.DUMMYFUNCTION("""COMPUTED_VALUE"""),"D-4")</f>
        <v>D-4</v>
      </c>
      <c r="F16" s="31">
        <f>IFERROR(__xludf.DUMMYFUNCTION("""COMPUTED_VALUE"""),3.0)</f>
        <v>3</v>
      </c>
      <c r="G16" s="27"/>
      <c r="H16" s="28" t="str">
        <f>IFERROR(__xludf.DUMMYFUNCTION("""COMPUTED_VALUE"""),"MOH. SUGIANTO")</f>
        <v>MOH. SUGIANTO</v>
      </c>
      <c r="I16" s="28" t="str">
        <f>IFERROR(__xludf.DUMMYFUNCTION("""COMPUTED_VALUE"""),"IMROATUL KHASANAH")</f>
        <v>IMROATUL KHASANAH</v>
      </c>
      <c r="J16" s="28" t="str">
        <f>IFERROR(__xludf.DUMMYFUNCTION("""COMPUTED_VALUE"""),"BANJARMADU RT 001 RW 003 KARANGGENENG LAMONGAN")</f>
        <v>BANJARMADU RT 001 RW 003 KARANGGENENG LAMONGAN</v>
      </c>
      <c r="K16" s="29" t="str">
        <f>IFERROR(__xludf.DUMMYFUNCTION("""COMPUTED_VALUE"""),"6281226713566")</f>
        <v>6281226713566</v>
      </c>
      <c r="L16" s="22">
        <f>IFERROR(__xludf.DUMMYFUNCTION("""COMPUTED_VALUE"""),0.0)</f>
        <v>0</v>
      </c>
      <c r="M16" s="22">
        <f>IFERROR(__xludf.DUMMYFUNCTION("""COMPUTED_VALUE"""),0.0)</f>
        <v>0</v>
      </c>
      <c r="N16" s="22">
        <f>IFERROR(__xludf.DUMMYFUNCTION("""COMPUTED_VALUE"""),0.0)</f>
        <v>0</v>
      </c>
      <c r="O16" s="22">
        <f>IFERROR(__xludf.DUMMYFUNCTION("""COMPUTED_VALUE"""),0.0)</f>
        <v>0</v>
      </c>
      <c r="P16" s="28" t="str">
        <f t="shared" si="1"/>
        <v>LUNAS</v>
      </c>
      <c r="Q16" s="28">
        <f t="shared" si="2"/>
        <v>51</v>
      </c>
      <c r="R16" s="28" t="str">
        <f t="shared" si="3"/>
        <v>AUREL NUR HABIBATUL LATHIFAH</v>
      </c>
      <c r="S16" s="28" t="str">
        <f t="shared" si="4"/>
        <v>DEWI ZAIDATUL RAHMA</v>
      </c>
      <c r="T16" s="22">
        <f t="shared" si="5"/>
        <v>8100000</v>
      </c>
      <c r="U16" s="22">
        <f t="shared" si="6"/>
        <v>0</v>
      </c>
      <c r="V16" s="22">
        <f t="shared" si="7"/>
        <v>350000</v>
      </c>
      <c r="W16" s="22">
        <f t="shared" si="8"/>
        <v>8450000</v>
      </c>
      <c r="X16" s="32">
        <v>4.0</v>
      </c>
    </row>
    <row r="17">
      <c r="A17" s="27">
        <f>IFERROR(__xludf.DUMMYFUNCTION("""COMPUTED_VALUE"""),16.0)</f>
        <v>16</v>
      </c>
      <c r="B17" s="28" t="str">
        <f>IFERROR(__xludf.DUMMYFUNCTION("""COMPUTED_VALUE"""),"BELLA KAMALIA AISYI")</f>
        <v>BELLA KAMALIA AISYI</v>
      </c>
      <c r="C17" s="28">
        <f>IFERROR(__xludf.DUMMYFUNCTION("""COMPUTED_VALUE"""),2.024070595E9)</f>
        <v>2024070595</v>
      </c>
      <c r="D17" s="27" t="str">
        <f>IFERROR(__xludf.DUMMYFUNCTION("""COMPUTED_VALUE"""),"D")</f>
        <v>D</v>
      </c>
      <c r="E17" s="27" t="str">
        <f>IFERROR(__xludf.DUMMYFUNCTION("""COMPUTED_VALUE"""),"D-4")</f>
        <v>D-4</v>
      </c>
      <c r="F17" s="31">
        <f>IFERROR(__xludf.DUMMYFUNCTION("""COMPUTED_VALUE"""),3.0)</f>
        <v>3</v>
      </c>
      <c r="G17" s="27" t="str">
        <f>IFERROR(__xludf.DUMMYFUNCTION("""COMPUTED_VALUE"""),"3 ULA A PUTRI")</f>
        <v>3 ULA A PUTRI</v>
      </c>
      <c r="H17" s="28" t="str">
        <f>IFERROR(__xludf.DUMMYFUNCTION("""COMPUTED_VALUE"""),"AINUR ROFIQ")</f>
        <v>AINUR ROFIQ</v>
      </c>
      <c r="I17" s="28" t="str">
        <f>IFERROR(__xludf.DUMMYFUNCTION("""COMPUTED_VALUE"""),"ITA DESI HERFIANA")</f>
        <v>ITA DESI HERFIANA</v>
      </c>
      <c r="J17" s="28" t="str">
        <f>IFERROR(__xludf.DUMMYFUNCTION("""COMPUTED_VALUE"""),"BANYUBANG RT 002 RW 001 SOLOKURO LAMONGAN")</f>
        <v>BANYUBANG RT 002 RW 001 SOLOKURO LAMONGAN</v>
      </c>
      <c r="K17" s="29" t="str">
        <f>IFERROR(__xludf.DUMMYFUNCTION("""COMPUTED_VALUE"""),"6281555999169")</f>
        <v>6281555999169</v>
      </c>
      <c r="L17" s="22">
        <f>IFERROR(__xludf.DUMMYFUNCTION("""COMPUTED_VALUE"""),900000.0)</f>
        <v>900000</v>
      </c>
      <c r="M17" s="22">
        <f>IFERROR(__xludf.DUMMYFUNCTION("""COMPUTED_VALUE"""),0.0)</f>
        <v>0</v>
      </c>
      <c r="N17" s="22">
        <f>IFERROR(__xludf.DUMMYFUNCTION("""COMPUTED_VALUE"""),0.0)</f>
        <v>0</v>
      </c>
      <c r="O17" s="22">
        <f>IFERROR(__xludf.DUMMYFUNCTION("""COMPUTED_VALUE"""),900000.0)</f>
        <v>900000</v>
      </c>
      <c r="P17" s="28" t="str">
        <f t="shared" si="1"/>
        <v>LUNAS</v>
      </c>
      <c r="Q17" s="28">
        <f t="shared" si="2"/>
        <v>43</v>
      </c>
      <c r="R17" s="28" t="str">
        <f t="shared" si="3"/>
        <v>BELLA KAMALIA AISYI</v>
      </c>
      <c r="S17" s="28" t="str">
        <f t="shared" si="4"/>
        <v>KAYLA SABRINA ANGGRAINI</v>
      </c>
      <c r="T17" s="22">
        <f t="shared" si="5"/>
        <v>6750000</v>
      </c>
      <c r="U17" s="22">
        <f t="shared" si="6"/>
        <v>1600000</v>
      </c>
      <c r="V17" s="22">
        <f t="shared" si="7"/>
        <v>0</v>
      </c>
      <c r="W17" s="22">
        <f t="shared" si="8"/>
        <v>8350000</v>
      </c>
      <c r="X17" s="32">
        <v>5.0</v>
      </c>
    </row>
    <row r="18">
      <c r="A18" s="27">
        <f>IFERROR(__xludf.DUMMYFUNCTION("""COMPUTED_VALUE"""),17.0)</f>
        <v>17</v>
      </c>
      <c r="B18" s="28" t="str">
        <f>IFERROR(__xludf.DUMMYFUNCTION("""COMPUTED_VALUE"""),"CELENA FEBRIANA")</f>
        <v>CELENA FEBRIANA</v>
      </c>
      <c r="C18" s="28">
        <f>IFERROR(__xludf.DUMMYFUNCTION("""COMPUTED_VALUE"""),2.024070471E9)</f>
        <v>2024070471</v>
      </c>
      <c r="D18" s="27" t="str">
        <f>IFERROR(__xludf.DUMMYFUNCTION("""COMPUTED_VALUE"""),"D")</f>
        <v>D</v>
      </c>
      <c r="E18" s="27" t="str">
        <f>IFERROR(__xludf.DUMMYFUNCTION("""COMPUTED_VALUE"""),"D-4")</f>
        <v>D-4</v>
      </c>
      <c r="F18" s="31">
        <f>IFERROR(__xludf.DUMMYFUNCTION("""COMPUTED_VALUE"""),3.0)</f>
        <v>3</v>
      </c>
      <c r="G18" s="27" t="str">
        <f>IFERROR(__xludf.DUMMYFUNCTION("""COMPUTED_VALUE"""),"3 ULA A PUTRI")</f>
        <v>3 ULA A PUTRI</v>
      </c>
      <c r="H18" s="28" t="str">
        <f>IFERROR(__xludf.DUMMYFUNCTION("""COMPUTED_VALUE"""),"WAHYU PUTRO ROMADHONA")</f>
        <v>WAHYU PUTRO ROMADHONA</v>
      </c>
      <c r="I18" s="28" t="str">
        <f>IFERROR(__xludf.DUMMYFUNCTION("""COMPUTED_VALUE"""),"EKA FITRIANA")</f>
        <v>EKA FITRIANA</v>
      </c>
      <c r="J18" s="28" t="str">
        <f>IFERROR(__xludf.DUMMYFUNCTION("""COMPUTED_VALUE"""),"KEBUN MANGGA TANGGUNGAN RT 003 RW 006 PUCUK LAMONGAN")</f>
        <v>KEBUN MANGGA TANGGUNGAN RT 003 RW 006 PUCUK LAMONGAN</v>
      </c>
      <c r="K18" s="29" t="str">
        <f>IFERROR(__xludf.DUMMYFUNCTION("""COMPUTED_VALUE"""),"6285843744198")</f>
        <v>6285843744198</v>
      </c>
      <c r="L18" s="22">
        <f>IFERROR(__xludf.DUMMYFUNCTION("""COMPUTED_VALUE"""),0.0)</f>
        <v>0</v>
      </c>
      <c r="M18" s="22">
        <f>IFERROR(__xludf.DUMMYFUNCTION("""COMPUTED_VALUE"""),0.0)</f>
        <v>0</v>
      </c>
      <c r="N18" s="22">
        <f>IFERROR(__xludf.DUMMYFUNCTION("""COMPUTED_VALUE"""),0.0)</f>
        <v>0</v>
      </c>
      <c r="O18" s="22">
        <f>IFERROR(__xludf.DUMMYFUNCTION("""COMPUTED_VALUE"""),0.0)</f>
        <v>0</v>
      </c>
      <c r="P18" s="28" t="str">
        <f t="shared" si="1"/>
        <v>LUNAS</v>
      </c>
      <c r="Q18" s="28">
        <f t="shared" si="2"/>
        <v>52</v>
      </c>
      <c r="R18" s="28" t="str">
        <f t="shared" si="3"/>
        <v>CELENA FEBRIANA</v>
      </c>
      <c r="S18" s="28" t="str">
        <f t="shared" si="4"/>
        <v>DZAKIRAH THALITA ZAHRA</v>
      </c>
      <c r="T18" s="22">
        <f t="shared" si="5"/>
        <v>6300000</v>
      </c>
      <c r="U18" s="22">
        <f t="shared" si="6"/>
        <v>1000000</v>
      </c>
      <c r="V18" s="22">
        <f t="shared" si="7"/>
        <v>350000</v>
      </c>
      <c r="W18" s="22">
        <f t="shared" si="8"/>
        <v>7650000</v>
      </c>
      <c r="X18" s="32">
        <v>6.0</v>
      </c>
    </row>
    <row r="19">
      <c r="A19" s="27">
        <f>IFERROR(__xludf.DUMMYFUNCTION("""COMPUTED_VALUE"""),18.0)</f>
        <v>18</v>
      </c>
      <c r="B19" s="28" t="str">
        <f>IFERROR(__xludf.DUMMYFUNCTION("""COMPUTED_VALUE"""),"JANEETA EMIRA SHABRIYA")</f>
        <v>JANEETA EMIRA SHABRIYA</v>
      </c>
      <c r="C19" s="28">
        <f>IFERROR(__xludf.DUMMYFUNCTION("""COMPUTED_VALUE"""),2.024070521E9)</f>
        <v>2024070521</v>
      </c>
      <c r="D19" s="27" t="str">
        <f>IFERROR(__xludf.DUMMYFUNCTION("""COMPUTED_VALUE"""),"D")</f>
        <v>D</v>
      </c>
      <c r="E19" s="27" t="str">
        <f>IFERROR(__xludf.DUMMYFUNCTION("""COMPUTED_VALUE"""),"D-4")</f>
        <v>D-4</v>
      </c>
      <c r="F19" s="31">
        <f>IFERROR(__xludf.DUMMYFUNCTION("""COMPUTED_VALUE"""),3.0)</f>
        <v>3</v>
      </c>
      <c r="G19" s="27" t="str">
        <f>IFERROR(__xludf.DUMMYFUNCTION("""COMPUTED_VALUE"""),"3 ULA B PUTRI")</f>
        <v>3 ULA B PUTRI</v>
      </c>
      <c r="H19" s="28" t="str">
        <f>IFERROR(__xludf.DUMMYFUNCTION("""COMPUTED_VALUE"""),"FAUZAN FATHURROSYID")</f>
        <v>FAUZAN FATHURROSYID</v>
      </c>
      <c r="I19" s="28" t="str">
        <f>IFERROR(__xludf.DUMMYFUNCTION("""COMPUTED_VALUE"""),"AINI ZAHIDAH")</f>
        <v>AINI ZAHIDAH</v>
      </c>
      <c r="J19" s="28" t="str">
        <f>IFERROR(__xludf.DUMMYFUNCTION("""COMPUTED_VALUE"""),"SUMURBER RT 010 RW 003 PANCENG GRESIK")</f>
        <v>SUMURBER RT 010 RW 003 PANCENG GRESIK</v>
      </c>
      <c r="K19" s="29" t="str">
        <f>IFERROR(__xludf.DUMMYFUNCTION("""COMPUTED_VALUE"""),"628563173399")</f>
        <v>628563173399</v>
      </c>
      <c r="L19" s="22">
        <f>IFERROR(__xludf.DUMMYFUNCTION("""COMPUTED_VALUE"""),450000.0)</f>
        <v>450000</v>
      </c>
      <c r="M19" s="22">
        <f>IFERROR(__xludf.DUMMYFUNCTION("""COMPUTED_VALUE"""),500000.0)</f>
        <v>500000</v>
      </c>
      <c r="N19" s="22">
        <f>IFERROR(__xludf.DUMMYFUNCTION("""COMPUTED_VALUE"""),0.0)</f>
        <v>0</v>
      </c>
      <c r="O19" s="22">
        <f>IFERROR(__xludf.DUMMYFUNCTION("""COMPUTED_VALUE"""),950000.0)</f>
        <v>950000</v>
      </c>
      <c r="P19" s="28" t="str">
        <f t="shared" si="1"/>
        <v>LUNAS</v>
      </c>
      <c r="Q19" s="28">
        <f t="shared" si="2"/>
        <v>40</v>
      </c>
      <c r="R19" s="28" t="str">
        <f t="shared" si="3"/>
        <v>JANEETA EMIRA SHABRIYA</v>
      </c>
      <c r="S19" s="28" t="str">
        <f t="shared" si="4"/>
        <v>HALIMATUS SA`DIYYAH</v>
      </c>
      <c r="T19" s="22">
        <f t="shared" si="5"/>
        <v>5400000</v>
      </c>
      <c r="U19" s="22">
        <f t="shared" si="6"/>
        <v>0</v>
      </c>
      <c r="V19" s="22">
        <f t="shared" si="7"/>
        <v>0</v>
      </c>
      <c r="W19" s="22">
        <f t="shared" si="8"/>
        <v>5400000</v>
      </c>
      <c r="X19" s="32">
        <v>7.0</v>
      </c>
    </row>
    <row r="20">
      <c r="A20" s="27">
        <f>IFERROR(__xludf.DUMMYFUNCTION("""COMPUTED_VALUE"""),19.0)</f>
        <v>19</v>
      </c>
      <c r="B20" s="28" t="str">
        <f>IFERROR(__xludf.DUMMYFUNCTION("""COMPUTED_VALUE"""),"KAYLA SABRINA ANGGRAINI")</f>
        <v>KAYLA SABRINA ANGGRAINI</v>
      </c>
      <c r="C20" s="28">
        <f>IFERROR(__xludf.DUMMYFUNCTION("""COMPUTED_VALUE"""),2.024070661E9)</f>
        <v>2024070661</v>
      </c>
      <c r="D20" s="27" t="str">
        <f>IFERROR(__xludf.DUMMYFUNCTION("""COMPUTED_VALUE"""),"D")</f>
        <v>D</v>
      </c>
      <c r="E20" s="27" t="str">
        <f>IFERROR(__xludf.DUMMYFUNCTION("""COMPUTED_VALUE"""),"D-4")</f>
        <v>D-4</v>
      </c>
      <c r="F20" s="31">
        <f>IFERROR(__xludf.DUMMYFUNCTION("""COMPUTED_VALUE"""),3.0)</f>
        <v>3</v>
      </c>
      <c r="G20" s="27" t="str">
        <f>IFERROR(__xludf.DUMMYFUNCTION("""COMPUTED_VALUE"""),"3 ULA B PUTRI")</f>
        <v>3 ULA B PUTRI</v>
      </c>
      <c r="H20" s="28" t="str">
        <f>IFERROR(__xludf.DUMMYFUNCTION("""COMPUTED_VALUE"""),"SISWANDI")</f>
        <v>SISWANDI</v>
      </c>
      <c r="I20" s="28" t="str">
        <f>IFERROR(__xludf.DUMMYFUNCTION("""COMPUTED_VALUE"""),"RENNY PONCO PRASETYO WATIE")</f>
        <v>RENNY PONCO PRASETYO WATIE</v>
      </c>
      <c r="J20" s="28" t="str">
        <f>IFERROR(__xludf.DUMMYFUNCTION("""COMPUTED_VALUE"""),"BANJARWATI RT 001 RW 002 PACIRAN LAMONGAN")</f>
        <v>BANJARWATI RT 001 RW 002 PACIRAN LAMONGAN</v>
      </c>
      <c r="K20" s="29" t="str">
        <f>IFERROR(__xludf.DUMMYFUNCTION("""COMPUTED_VALUE"""),"6285608656615")</f>
        <v>6285608656615</v>
      </c>
      <c r="L20" s="22">
        <f>IFERROR(__xludf.DUMMYFUNCTION("""COMPUTED_VALUE"""),6750000.0)</f>
        <v>6750000</v>
      </c>
      <c r="M20" s="22">
        <f>IFERROR(__xludf.DUMMYFUNCTION("""COMPUTED_VALUE"""),1600000.0)</f>
        <v>1600000</v>
      </c>
      <c r="N20" s="22">
        <f>IFERROR(__xludf.DUMMYFUNCTION("""COMPUTED_VALUE"""),0.0)</f>
        <v>0</v>
      </c>
      <c r="O20" s="22">
        <f>IFERROR(__xludf.DUMMYFUNCTION("""COMPUTED_VALUE"""),8350000.0)</f>
        <v>8350000</v>
      </c>
      <c r="P20" s="28" t="str">
        <f t="shared" si="1"/>
        <v>LUNAS</v>
      </c>
      <c r="Q20" s="28">
        <f t="shared" si="2"/>
        <v>5</v>
      </c>
      <c r="R20" s="28" t="str">
        <f t="shared" si="3"/>
        <v>KAYLA SABRINA ANGGRAINI</v>
      </c>
      <c r="S20" s="28" t="str">
        <f t="shared" si="4"/>
        <v>SHOHIFAH</v>
      </c>
      <c r="T20" s="22">
        <f t="shared" si="5"/>
        <v>3600000</v>
      </c>
      <c r="U20" s="22">
        <f t="shared" si="6"/>
        <v>1600000</v>
      </c>
      <c r="V20" s="22">
        <f t="shared" si="7"/>
        <v>0</v>
      </c>
      <c r="W20" s="22">
        <f t="shared" si="8"/>
        <v>5200000</v>
      </c>
      <c r="X20" s="32">
        <v>8.0</v>
      </c>
    </row>
    <row r="21">
      <c r="A21" s="27">
        <f>IFERROR(__xludf.DUMMYFUNCTION("""COMPUTED_VALUE"""),20.0)</f>
        <v>20</v>
      </c>
      <c r="B21" s="28" t="str">
        <f>IFERROR(__xludf.DUMMYFUNCTION("""COMPUTED_VALUE"""),"MILLATUN NASYIFAH")</f>
        <v>MILLATUN NASYIFAH</v>
      </c>
      <c r="C21" s="28">
        <f>IFERROR(__xludf.DUMMYFUNCTION("""COMPUTED_VALUE"""),2.024070645E9)</f>
        <v>2024070645</v>
      </c>
      <c r="D21" s="27" t="str">
        <f>IFERROR(__xludf.DUMMYFUNCTION("""COMPUTED_VALUE"""),"D")</f>
        <v>D</v>
      </c>
      <c r="E21" s="27" t="str">
        <f>IFERROR(__xludf.DUMMYFUNCTION("""COMPUTED_VALUE"""),"D-4")</f>
        <v>D-4</v>
      </c>
      <c r="F21" s="31">
        <f>IFERROR(__xludf.DUMMYFUNCTION("""COMPUTED_VALUE"""),3.0)</f>
        <v>3</v>
      </c>
      <c r="G21" s="27" t="str">
        <f>IFERROR(__xludf.DUMMYFUNCTION("""COMPUTED_VALUE"""),"3 ULA C PUTRI")</f>
        <v>3 ULA C PUTRI</v>
      </c>
      <c r="H21" s="28" t="str">
        <f>IFERROR(__xludf.DUMMYFUNCTION("""COMPUTED_VALUE"""),"SURUJI")</f>
        <v>SURUJI</v>
      </c>
      <c r="I21" s="28" t="str">
        <f>IFERROR(__xludf.DUMMYFUNCTION("""COMPUTED_VALUE"""),"NURMA HAYATI")</f>
        <v>NURMA HAYATI</v>
      </c>
      <c r="J21" s="28" t="str">
        <f>IFERROR(__xludf.DUMMYFUNCTION("""COMPUTED_VALUE"""),"PJINGGAHAN TANJUNGORI RT - RW - TAMBAK GRESIK")</f>
        <v>PJINGGAHAN TANJUNGORI RT - RW - TAMBAK GRESIK</v>
      </c>
      <c r="K21" s="29" t="str">
        <f>IFERROR(__xludf.DUMMYFUNCTION("""COMPUTED_VALUE"""),"626012046383")</f>
        <v>626012046383</v>
      </c>
      <c r="L21" s="22">
        <f>IFERROR(__xludf.DUMMYFUNCTION("""COMPUTED_VALUE"""),0.0)</f>
        <v>0</v>
      </c>
      <c r="M21" s="22">
        <f>IFERROR(__xludf.DUMMYFUNCTION("""COMPUTED_VALUE"""),0.0)</f>
        <v>0</v>
      </c>
      <c r="N21" s="22">
        <f>IFERROR(__xludf.DUMMYFUNCTION("""COMPUTED_VALUE"""),0.0)</f>
        <v>0</v>
      </c>
      <c r="O21" s="22">
        <f>IFERROR(__xludf.DUMMYFUNCTION("""COMPUTED_VALUE"""),0.0)</f>
        <v>0</v>
      </c>
      <c r="P21" s="28" t="str">
        <f t="shared" si="1"/>
        <v>LUNAS</v>
      </c>
      <c r="Q21" s="28">
        <f t="shared" si="2"/>
        <v>53</v>
      </c>
      <c r="R21" s="28" t="str">
        <f t="shared" si="3"/>
        <v>MILLATUN NASYIFAH</v>
      </c>
      <c r="S21" s="28" t="str">
        <f t="shared" si="4"/>
        <v>SELENA SHERIN MARGARET</v>
      </c>
      <c r="T21" s="22">
        <f t="shared" si="5"/>
        <v>3150000</v>
      </c>
      <c r="U21" s="22">
        <f t="shared" si="6"/>
        <v>1600000</v>
      </c>
      <c r="V21" s="22">
        <f t="shared" si="7"/>
        <v>0</v>
      </c>
      <c r="W21" s="22">
        <f t="shared" si="8"/>
        <v>4750000</v>
      </c>
      <c r="X21" s="32">
        <v>9.0</v>
      </c>
    </row>
    <row r="22">
      <c r="A22" s="27">
        <f>IFERROR(__xludf.DUMMYFUNCTION("""COMPUTED_VALUE"""),21.0)</f>
        <v>21</v>
      </c>
      <c r="B22" s="28" t="str">
        <f>IFERROR(__xludf.DUMMYFUNCTION("""COMPUTED_VALUE"""),"NALA RAHMAH RAMADHANI")</f>
        <v>NALA RAHMAH RAMADHANI</v>
      </c>
      <c r="C22" s="28">
        <f>IFERROR(__xludf.DUMMYFUNCTION("""COMPUTED_VALUE"""),2.024070599E9)</f>
        <v>2024070599</v>
      </c>
      <c r="D22" s="27" t="str">
        <f>IFERROR(__xludf.DUMMYFUNCTION("""COMPUTED_VALUE"""),"D")</f>
        <v>D</v>
      </c>
      <c r="E22" s="27" t="str">
        <f>IFERROR(__xludf.DUMMYFUNCTION("""COMPUTED_VALUE"""),"D-4")</f>
        <v>D-4</v>
      </c>
      <c r="F22" s="31">
        <f>IFERROR(__xludf.DUMMYFUNCTION("""COMPUTED_VALUE"""),3.0)</f>
        <v>3</v>
      </c>
      <c r="G22" s="27" t="str">
        <f>IFERROR(__xludf.DUMMYFUNCTION("""COMPUTED_VALUE"""),"3 ULA C PUTRI")</f>
        <v>3 ULA C PUTRI</v>
      </c>
      <c r="H22" s="28" t="str">
        <f>IFERROR(__xludf.DUMMYFUNCTION("""COMPUTED_VALUE"""),"MUDZAKIR, DRS")</f>
        <v>MUDZAKIR, DRS</v>
      </c>
      <c r="I22" s="28" t="str">
        <f>IFERROR(__xludf.DUMMYFUNCTION("""COMPUTED_VALUE"""),"MAFTUHAH")</f>
        <v>MAFTUHAH</v>
      </c>
      <c r="J22" s="28" t="str">
        <f>IFERROR(__xludf.DUMMYFUNCTION("""COMPUTED_VALUE"""),"SUMURBER RT 016 RW 005 PANCENG GRESIK")</f>
        <v>SUMURBER RT 016 RW 005 PANCENG GRESIK</v>
      </c>
      <c r="K22" s="29" t="str">
        <f>IFERROR(__xludf.DUMMYFUNCTION("""COMPUTED_VALUE"""),"6285648197578")</f>
        <v>6285648197578</v>
      </c>
      <c r="L22" s="22">
        <f>IFERROR(__xludf.DUMMYFUNCTION("""COMPUTED_VALUE"""),0.0)</f>
        <v>0</v>
      </c>
      <c r="M22" s="22">
        <f>IFERROR(__xludf.DUMMYFUNCTION("""COMPUTED_VALUE"""),0.0)</f>
        <v>0</v>
      </c>
      <c r="N22" s="22">
        <f>IFERROR(__xludf.DUMMYFUNCTION("""COMPUTED_VALUE"""),0.0)</f>
        <v>0</v>
      </c>
      <c r="O22" s="22">
        <f>IFERROR(__xludf.DUMMYFUNCTION("""COMPUTED_VALUE"""),0.0)</f>
        <v>0</v>
      </c>
      <c r="P22" s="28" t="str">
        <f t="shared" si="1"/>
        <v>LUNAS</v>
      </c>
      <c r="Q22" s="28">
        <f t="shared" si="2"/>
        <v>54</v>
      </c>
      <c r="R22" s="28" t="str">
        <f t="shared" si="3"/>
        <v>NALA RAHMAH RAMADHANI</v>
      </c>
      <c r="S22" s="28" t="str">
        <f t="shared" si="4"/>
        <v>LATHIFATUL FATIHAH ALMASYRIFAH</v>
      </c>
      <c r="T22" s="22">
        <f t="shared" si="5"/>
        <v>4500000</v>
      </c>
      <c r="U22" s="22">
        <f t="shared" si="6"/>
        <v>0</v>
      </c>
      <c r="V22" s="22">
        <f t="shared" si="7"/>
        <v>0</v>
      </c>
      <c r="W22" s="22">
        <f t="shared" si="8"/>
        <v>4500000</v>
      </c>
      <c r="X22" s="32">
        <v>10.0</v>
      </c>
    </row>
    <row r="23">
      <c r="A23" s="27">
        <f>IFERROR(__xludf.DUMMYFUNCTION("""COMPUTED_VALUE"""),22.0)</f>
        <v>22</v>
      </c>
      <c r="B23" s="28" t="str">
        <f>IFERROR(__xludf.DUMMYFUNCTION("""COMPUTED_VALUE"""),"NANDA ZAHRUNI SAFILLIA")</f>
        <v>NANDA ZAHRUNI SAFILLIA</v>
      </c>
      <c r="C23" s="28">
        <f>IFERROR(__xludf.DUMMYFUNCTION("""COMPUTED_VALUE"""),2.02407061E9)</f>
        <v>2024070610</v>
      </c>
      <c r="D23" s="27" t="str">
        <f>IFERROR(__xludf.DUMMYFUNCTION("""COMPUTED_VALUE"""),"D")</f>
        <v>D</v>
      </c>
      <c r="E23" s="27" t="str">
        <f>IFERROR(__xludf.DUMMYFUNCTION("""COMPUTED_VALUE"""),"D-4")</f>
        <v>D-4</v>
      </c>
      <c r="F23" s="31">
        <f>IFERROR(__xludf.DUMMYFUNCTION("""COMPUTED_VALUE"""),3.0)</f>
        <v>3</v>
      </c>
      <c r="G23" s="27"/>
      <c r="H23" s="28" t="str">
        <f>IFERROR(__xludf.DUMMYFUNCTION("""COMPUTED_VALUE"""),"IMAM UDDIN")</f>
        <v>IMAM UDDIN</v>
      </c>
      <c r="I23" s="28" t="str">
        <f>IFERROR(__xludf.DUMMYFUNCTION("""COMPUTED_VALUE"""),"WIWIN WINARTIN")</f>
        <v>WIWIN WINARTIN</v>
      </c>
      <c r="J23" s="28" t="str">
        <f>IFERROR(__xludf.DUMMYFUNCTION("""COMPUTED_VALUE"""),"SUNGELEBAK RT 005 RW 002 KARANGGENENG LAMONGAN")</f>
        <v>SUNGELEBAK RT 005 RW 002 KARANGGENENG LAMONGAN</v>
      </c>
      <c r="K23" s="29" t="str">
        <f>IFERROR(__xludf.DUMMYFUNCTION("""COMPUTED_VALUE"""),"628563468694")</f>
        <v>628563468694</v>
      </c>
      <c r="L23" s="22">
        <f>IFERROR(__xludf.DUMMYFUNCTION("""COMPUTED_VALUE"""),0.0)</f>
        <v>0</v>
      </c>
      <c r="M23" s="22">
        <f>IFERROR(__xludf.DUMMYFUNCTION("""COMPUTED_VALUE"""),0.0)</f>
        <v>0</v>
      </c>
      <c r="N23" s="22">
        <f>IFERROR(__xludf.DUMMYFUNCTION("""COMPUTED_VALUE"""),0.0)</f>
        <v>0</v>
      </c>
      <c r="O23" s="22">
        <f>IFERROR(__xludf.DUMMYFUNCTION("""COMPUTED_VALUE"""),0.0)</f>
        <v>0</v>
      </c>
      <c r="P23" s="28" t="str">
        <f t="shared" si="1"/>
        <v>LUNAS</v>
      </c>
      <c r="Q23" s="28">
        <f t="shared" si="2"/>
        <v>55</v>
      </c>
      <c r="R23" s="28" t="str">
        <f t="shared" si="3"/>
        <v>NANDA ZAHRUNI SAFILLIA</v>
      </c>
    </row>
    <row r="24">
      <c r="A24" s="27">
        <f>IFERROR(__xludf.DUMMYFUNCTION("""COMPUTED_VALUE"""),23.0)</f>
        <v>23</v>
      </c>
      <c r="B24" s="28" t="str">
        <f>IFERROR(__xludf.DUMMYFUNCTION("""COMPUTED_VALUE"""),"NATASYA ANGELINA AMANDA FERDIANA")</f>
        <v>NATASYA ANGELINA AMANDA FERDIANA</v>
      </c>
      <c r="C24" s="28">
        <f>IFERROR(__xludf.DUMMYFUNCTION("""COMPUTED_VALUE"""),2.024070523E9)</f>
        <v>2024070523</v>
      </c>
      <c r="D24" s="27" t="str">
        <f>IFERROR(__xludf.DUMMYFUNCTION("""COMPUTED_VALUE"""),"D")</f>
        <v>D</v>
      </c>
      <c r="E24" s="27" t="str">
        <f>IFERROR(__xludf.DUMMYFUNCTION("""COMPUTED_VALUE"""),"D-4")</f>
        <v>D-4</v>
      </c>
      <c r="F24" s="31">
        <f>IFERROR(__xludf.DUMMYFUNCTION("""COMPUTED_VALUE"""),3.0)</f>
        <v>3</v>
      </c>
      <c r="G24" s="27"/>
      <c r="H24" s="28" t="str">
        <f>IFERROR(__xludf.DUMMYFUNCTION("""COMPUTED_VALUE"""),"DARMAJI")</f>
        <v>DARMAJI</v>
      </c>
      <c r="I24" s="28" t="str">
        <f>IFERROR(__xludf.DUMMYFUNCTION("""COMPUTED_VALUE"""),"SITI NURDIANA")</f>
        <v>SITI NURDIANA</v>
      </c>
      <c r="J24" s="28" t="str">
        <f>IFERROR(__xludf.DUMMYFUNCTION("""COMPUTED_VALUE"""),"PUTATLOR PUTATKUMPUL RT 002 RW 003 TURI LAMONGAN")</f>
        <v>PUTATLOR PUTATKUMPUL RT 002 RW 003 TURI LAMONGAN</v>
      </c>
      <c r="K24" s="29" t="str">
        <f>IFERROR(__xludf.DUMMYFUNCTION("""COMPUTED_VALUE"""),"6282199589884")</f>
        <v>6282199589884</v>
      </c>
      <c r="L24" s="22">
        <f>IFERROR(__xludf.DUMMYFUNCTION("""COMPUTED_VALUE"""),0.0)</f>
        <v>0</v>
      </c>
      <c r="M24" s="22">
        <f>IFERROR(__xludf.DUMMYFUNCTION("""COMPUTED_VALUE"""),0.0)</f>
        <v>0</v>
      </c>
      <c r="N24" s="22">
        <f>IFERROR(__xludf.DUMMYFUNCTION("""COMPUTED_VALUE"""),0.0)</f>
        <v>0</v>
      </c>
      <c r="O24" s="22">
        <f>IFERROR(__xludf.DUMMYFUNCTION("""COMPUTED_VALUE"""),0.0)</f>
        <v>0</v>
      </c>
      <c r="P24" s="28" t="str">
        <f t="shared" si="1"/>
        <v>LUNAS</v>
      </c>
      <c r="Q24" s="28">
        <f t="shared" si="2"/>
        <v>56</v>
      </c>
      <c r="R24" s="28" t="str">
        <f t="shared" si="3"/>
        <v>NATASYA ANGELINA AMANDA FERDIANA</v>
      </c>
    </row>
    <row r="25">
      <c r="A25" s="27">
        <f>IFERROR(__xludf.DUMMYFUNCTION("""COMPUTED_VALUE"""),24.0)</f>
        <v>24</v>
      </c>
      <c r="B25" s="28" t="str">
        <f>IFERROR(__xludf.DUMMYFUNCTION("""COMPUTED_VALUE"""),"NESYA AURA BUNGA")</f>
        <v>NESYA AURA BUNGA</v>
      </c>
      <c r="C25" s="28">
        <f>IFERROR(__xludf.DUMMYFUNCTION("""COMPUTED_VALUE"""),2.024070659E9)</f>
        <v>2024070659</v>
      </c>
      <c r="D25" s="27" t="str">
        <f>IFERROR(__xludf.DUMMYFUNCTION("""COMPUTED_VALUE"""),"D")</f>
        <v>D</v>
      </c>
      <c r="E25" s="27" t="str">
        <f>IFERROR(__xludf.DUMMYFUNCTION("""COMPUTED_VALUE"""),"D-4")</f>
        <v>D-4</v>
      </c>
      <c r="F25" s="31">
        <f>IFERROR(__xludf.DUMMYFUNCTION("""COMPUTED_VALUE"""),3.0)</f>
        <v>3</v>
      </c>
      <c r="G25" s="27" t="str">
        <f>IFERROR(__xludf.DUMMYFUNCTION("""COMPUTED_VALUE"""),"3 ULA C PUTRI")</f>
        <v>3 ULA C PUTRI</v>
      </c>
      <c r="H25" s="28" t="str">
        <f>IFERROR(__xludf.DUMMYFUNCTION("""COMPUTED_VALUE"""),"MOH. AINUR ROFIQ")</f>
        <v>MOH. AINUR ROFIQ</v>
      </c>
      <c r="I25" s="28" t="str">
        <f>IFERROR(__xludf.DUMMYFUNCTION("""COMPUTED_VALUE"""),"SITI NAILUL ROFIQ")</f>
        <v>SITI NAILUL ROFIQ</v>
      </c>
      <c r="J25" s="28" t="str">
        <f>IFERROR(__xludf.DUMMYFUNCTION("""COMPUTED_VALUE"""),"GEGER RT 002 RW 003 TURI LAMONGAN")</f>
        <v>GEGER RT 002 RW 003 TURI LAMONGAN</v>
      </c>
      <c r="K25" s="29" t="str">
        <f>IFERROR(__xludf.DUMMYFUNCTION("""COMPUTED_VALUE"""),"6285852070153")</f>
        <v>6285852070153</v>
      </c>
      <c r="L25" s="22">
        <f>IFERROR(__xludf.DUMMYFUNCTION("""COMPUTED_VALUE"""),450000.0)</f>
        <v>450000</v>
      </c>
      <c r="M25" s="22">
        <f>IFERROR(__xludf.DUMMYFUNCTION("""COMPUTED_VALUE"""),500000.0)</f>
        <v>500000</v>
      </c>
      <c r="N25" s="22">
        <f>IFERROR(__xludf.DUMMYFUNCTION("""COMPUTED_VALUE"""),0.0)</f>
        <v>0</v>
      </c>
      <c r="O25" s="22">
        <f>IFERROR(__xludf.DUMMYFUNCTION("""COMPUTED_VALUE"""),950000.0)</f>
        <v>950000</v>
      </c>
      <c r="P25" s="28" t="str">
        <f t="shared" si="1"/>
        <v>LUNAS</v>
      </c>
      <c r="Q25" s="28">
        <f t="shared" si="2"/>
        <v>41</v>
      </c>
      <c r="R25" s="28" t="str">
        <f t="shared" si="3"/>
        <v>NESYA AURA BUNGA</v>
      </c>
    </row>
    <row r="26">
      <c r="A26" s="27">
        <f>IFERROR(__xludf.DUMMYFUNCTION("""COMPUTED_VALUE"""),25.0)</f>
        <v>25</v>
      </c>
      <c r="B26" s="28" t="str">
        <f>IFERROR(__xludf.DUMMYFUNCTION("""COMPUTED_VALUE"""),"RIZQINA AYU CAHYA KAMILA")</f>
        <v>RIZQINA AYU CAHYA KAMILA</v>
      </c>
      <c r="C26" s="28">
        <f>IFERROR(__xludf.DUMMYFUNCTION("""COMPUTED_VALUE"""),2.024070594E9)</f>
        <v>2024070594</v>
      </c>
      <c r="D26" s="27" t="str">
        <f>IFERROR(__xludf.DUMMYFUNCTION("""COMPUTED_VALUE"""),"D")</f>
        <v>D</v>
      </c>
      <c r="E26" s="27" t="str">
        <f>IFERROR(__xludf.DUMMYFUNCTION("""COMPUTED_VALUE"""),"D-4")</f>
        <v>D-4</v>
      </c>
      <c r="F26" s="31">
        <f>IFERROR(__xludf.DUMMYFUNCTION("""COMPUTED_VALUE"""),3.0)</f>
        <v>3</v>
      </c>
      <c r="G26" s="27" t="str">
        <f>IFERROR(__xludf.DUMMYFUNCTION("""COMPUTED_VALUE"""),"3 ULA A PUTRI")</f>
        <v>3 ULA A PUTRI</v>
      </c>
      <c r="H26" s="28" t="str">
        <f>IFERROR(__xludf.DUMMYFUNCTION("""COMPUTED_VALUE"""),"SUJONO")</f>
        <v>SUJONO</v>
      </c>
      <c r="I26" s="28" t="str">
        <f>IFERROR(__xludf.DUMMYFUNCTION("""COMPUTED_VALUE"""),"MUHAIMINAH")</f>
        <v>MUHAIMINAH</v>
      </c>
      <c r="J26" s="28" t="str">
        <f>IFERROR(__xludf.DUMMYFUNCTION("""COMPUTED_VALUE"""),"GLUMO JELAKCATUR RT 002 RW 005 KALITENGAH LAMONGAN")</f>
        <v>GLUMO JELAKCATUR RT 002 RW 005 KALITENGAH LAMONGAN</v>
      </c>
      <c r="K26" s="29" t="str">
        <f>IFERROR(__xludf.DUMMYFUNCTION("""COMPUTED_VALUE"""),"6285746855951")</f>
        <v>6285746855951</v>
      </c>
      <c r="L26" s="22">
        <f>IFERROR(__xludf.DUMMYFUNCTION("""COMPUTED_VALUE"""),0.0)</f>
        <v>0</v>
      </c>
      <c r="M26" s="22">
        <f>IFERROR(__xludf.DUMMYFUNCTION("""COMPUTED_VALUE"""),0.0)</f>
        <v>0</v>
      </c>
      <c r="N26" s="22">
        <f>IFERROR(__xludf.DUMMYFUNCTION("""COMPUTED_VALUE"""),0.0)</f>
        <v>0</v>
      </c>
      <c r="O26" s="22">
        <f>IFERROR(__xludf.DUMMYFUNCTION("""COMPUTED_VALUE"""),0.0)</f>
        <v>0</v>
      </c>
      <c r="P26" s="28" t="str">
        <f t="shared" si="1"/>
        <v>LUNAS</v>
      </c>
      <c r="Q26" s="28">
        <f t="shared" si="2"/>
        <v>57</v>
      </c>
      <c r="R26" s="28" t="str">
        <f t="shared" si="3"/>
        <v>RIZQINA AYU CAHYA KAMILA</v>
      </c>
    </row>
    <row r="27">
      <c r="A27" s="27">
        <f>IFERROR(__xludf.DUMMYFUNCTION("""COMPUTED_VALUE"""),26.0)</f>
        <v>26</v>
      </c>
      <c r="B27" s="28" t="str">
        <f>IFERROR(__xludf.DUMMYFUNCTION("""COMPUTED_VALUE"""),"SALSABILLA DWI APRILLIA")</f>
        <v>SALSABILLA DWI APRILLIA</v>
      </c>
      <c r="C27" s="28">
        <f>IFERROR(__xludf.DUMMYFUNCTION("""COMPUTED_VALUE"""),2.024090774E9)</f>
        <v>2024090774</v>
      </c>
      <c r="D27" s="27" t="str">
        <f>IFERROR(__xludf.DUMMYFUNCTION("""COMPUTED_VALUE"""),"D")</f>
        <v>D</v>
      </c>
      <c r="E27" s="27" t="str">
        <f>IFERROR(__xludf.DUMMYFUNCTION("""COMPUTED_VALUE"""),"D-4")</f>
        <v>D-4</v>
      </c>
      <c r="F27" s="31">
        <f>IFERROR(__xludf.DUMMYFUNCTION("""COMPUTED_VALUE"""),3.0)</f>
        <v>3</v>
      </c>
      <c r="G27" s="27"/>
      <c r="H27" s="28" t="str">
        <f>IFERROR(__xludf.DUMMYFUNCTION("""COMPUTED_VALUE"""),"BAMBANG BUDIONO")</f>
        <v>BAMBANG BUDIONO</v>
      </c>
      <c r="I27" s="28" t="str">
        <f>IFERROR(__xludf.DUMMYFUNCTION("""COMPUTED_VALUE"""),"ERNA WATI")</f>
        <v>ERNA WATI</v>
      </c>
      <c r="J27" s="28" t="str">
        <f>IFERROR(__xludf.DUMMYFUNCTION("""COMPUTED_VALUE"""),"DORO KARANGWEDORO RT 006 RW 004 TURI LAMONGAN")</f>
        <v>DORO KARANGWEDORO RT 006 RW 004 TURI LAMONGAN</v>
      </c>
      <c r="K27" s="29" t="str">
        <f>IFERROR(__xludf.DUMMYFUNCTION("""COMPUTED_VALUE"""),"6285648660015")</f>
        <v>6285648660015</v>
      </c>
      <c r="L27" s="22">
        <f>IFERROR(__xludf.DUMMYFUNCTION("""COMPUTED_VALUE"""),0.0)</f>
        <v>0</v>
      </c>
      <c r="M27" s="22">
        <f>IFERROR(__xludf.DUMMYFUNCTION("""COMPUTED_VALUE"""),1000000.0)</f>
        <v>1000000</v>
      </c>
      <c r="N27" s="22">
        <f>IFERROR(__xludf.DUMMYFUNCTION("""COMPUTED_VALUE"""),0.0)</f>
        <v>0</v>
      </c>
      <c r="O27" s="22">
        <f>IFERROR(__xludf.DUMMYFUNCTION("""COMPUTED_VALUE"""),1000000.0)</f>
        <v>1000000</v>
      </c>
      <c r="P27" s="28" t="str">
        <f t="shared" si="1"/>
        <v>LUNAS</v>
      </c>
      <c r="Q27" s="28">
        <f t="shared" si="2"/>
        <v>33</v>
      </c>
      <c r="R27" s="28" t="str">
        <f t="shared" si="3"/>
        <v>SALSABILLA DWI APRILLIA</v>
      </c>
    </row>
    <row r="28">
      <c r="A28" s="27">
        <f>IFERROR(__xludf.DUMMYFUNCTION("""COMPUTED_VALUE"""),27.0)</f>
        <v>27</v>
      </c>
      <c r="B28" s="28" t="str">
        <f>IFERROR(__xludf.DUMMYFUNCTION("""COMPUTED_VALUE"""),"ADELIA ZAHRA ROSYIDAH")</f>
        <v>ADELIA ZAHRA ROSYIDAH</v>
      </c>
      <c r="C28" s="28">
        <f>IFERROR(__xludf.DUMMYFUNCTION("""COMPUTED_VALUE"""),2.024070565E9)</f>
        <v>2024070565</v>
      </c>
      <c r="D28" s="27" t="str">
        <f>IFERROR(__xludf.DUMMYFUNCTION("""COMPUTED_VALUE"""),"D")</f>
        <v>D</v>
      </c>
      <c r="E28" s="27" t="str">
        <f>IFERROR(__xludf.DUMMYFUNCTION("""COMPUTED_VALUE"""),"D-4")</f>
        <v>D-4</v>
      </c>
      <c r="F28" s="31">
        <f>IFERROR(__xludf.DUMMYFUNCTION("""COMPUTED_VALUE"""),3.0)</f>
        <v>3</v>
      </c>
      <c r="G28" s="27" t="str">
        <f>IFERROR(__xludf.DUMMYFUNCTION("""COMPUTED_VALUE"""),"3 ULA A PUTRI")</f>
        <v>3 ULA A PUTRI</v>
      </c>
      <c r="H28" s="28" t="str">
        <f>IFERROR(__xludf.DUMMYFUNCTION("""COMPUTED_VALUE"""),"SUWOTO")</f>
        <v>SUWOTO</v>
      </c>
      <c r="I28" s="28" t="str">
        <f>IFERROR(__xludf.DUMMYFUNCTION("""COMPUTED_VALUE"""),"SUJIATI")</f>
        <v>SUJIATI</v>
      </c>
      <c r="J28" s="28" t="str">
        <f>IFERROR(__xludf.DUMMYFUNCTION("""COMPUTED_VALUE"""),"PINGGIRAN SUMBERAGUNG RT 002 RW 003 SUKODADI LAMONGAN")</f>
        <v>PINGGIRAN SUMBERAGUNG RT 002 RW 003 SUKODADI LAMONGAN</v>
      </c>
      <c r="K28" s="29" t="str">
        <f>IFERROR(__xludf.DUMMYFUNCTION("""COMPUTED_VALUE"""),"6285733130659")</f>
        <v>6285733130659</v>
      </c>
      <c r="L28" s="22">
        <f>IFERROR(__xludf.DUMMYFUNCTION("""COMPUTED_VALUE"""),0.0)</f>
        <v>0</v>
      </c>
      <c r="M28" s="22">
        <f>IFERROR(__xludf.DUMMYFUNCTION("""COMPUTED_VALUE"""),0.0)</f>
        <v>0</v>
      </c>
      <c r="N28" s="22">
        <f>IFERROR(__xludf.DUMMYFUNCTION("""COMPUTED_VALUE"""),0.0)</f>
        <v>0</v>
      </c>
      <c r="O28" s="22">
        <f>IFERROR(__xludf.DUMMYFUNCTION("""COMPUTED_VALUE"""),0.0)</f>
        <v>0</v>
      </c>
      <c r="P28" s="28" t="str">
        <f t="shared" si="1"/>
        <v>LUNAS</v>
      </c>
      <c r="Q28" s="28">
        <f t="shared" si="2"/>
        <v>58</v>
      </c>
      <c r="R28" s="28" t="str">
        <f t="shared" si="3"/>
        <v>ADELIA ZAHRA ROSYIDAH</v>
      </c>
    </row>
    <row r="29">
      <c r="A29" s="27">
        <f>IFERROR(__xludf.DUMMYFUNCTION("""COMPUTED_VALUE"""),28.0)</f>
        <v>28</v>
      </c>
      <c r="B29" s="28" t="str">
        <f>IFERROR(__xludf.DUMMYFUNCTION("""COMPUTED_VALUE"""),"KAYLA ALIFIA ZAFARANI")</f>
        <v>KAYLA ALIFIA ZAFARANI</v>
      </c>
      <c r="C29" s="28">
        <f>IFERROR(__xludf.DUMMYFUNCTION("""COMPUTED_VALUE"""),2.024070553E9)</f>
        <v>2024070553</v>
      </c>
      <c r="D29" s="27" t="str">
        <f>IFERROR(__xludf.DUMMYFUNCTION("""COMPUTED_VALUE"""),"D")</f>
        <v>D</v>
      </c>
      <c r="E29" s="27" t="str">
        <f>IFERROR(__xludf.DUMMYFUNCTION("""COMPUTED_VALUE"""),"D-4")</f>
        <v>D-4</v>
      </c>
      <c r="F29" s="31">
        <f>IFERROR(__xludf.DUMMYFUNCTION("""COMPUTED_VALUE"""),3.0)</f>
        <v>3</v>
      </c>
      <c r="G29" s="27" t="str">
        <f>IFERROR(__xludf.DUMMYFUNCTION("""COMPUTED_VALUE"""),"3 ULA A PUTRI")</f>
        <v>3 ULA A PUTRI</v>
      </c>
      <c r="H29" s="28" t="str">
        <f>IFERROR(__xludf.DUMMYFUNCTION("""COMPUTED_VALUE"""),"KHOIRIL ANWAR")</f>
        <v>KHOIRIL ANWAR</v>
      </c>
      <c r="I29" s="28" t="str">
        <f>IFERROR(__xludf.DUMMYFUNCTION("""COMPUTED_VALUE"""),"SITI NUR AISYAH")</f>
        <v>SITI NUR AISYAH</v>
      </c>
      <c r="J29" s="28" t="str">
        <f>IFERROR(__xludf.DUMMYFUNCTION("""COMPUTED_VALUE"""),"LEMAHIRENG KETANEN RT 010 RW 005 PANCENG GRESIK")</f>
        <v>LEMAHIRENG KETANEN RT 010 RW 005 PANCENG GRESIK</v>
      </c>
      <c r="K29" s="29" t="str">
        <f>IFERROR(__xludf.DUMMYFUNCTION("""COMPUTED_VALUE"""),"6281230671437")</f>
        <v>6281230671437</v>
      </c>
      <c r="L29" s="22">
        <f>IFERROR(__xludf.DUMMYFUNCTION("""COMPUTED_VALUE"""),0.0)</f>
        <v>0</v>
      </c>
      <c r="M29" s="22">
        <f>IFERROR(__xludf.DUMMYFUNCTION("""COMPUTED_VALUE"""),0.0)</f>
        <v>0</v>
      </c>
      <c r="N29" s="22">
        <f>IFERROR(__xludf.DUMMYFUNCTION("""COMPUTED_VALUE"""),0.0)</f>
        <v>0</v>
      </c>
      <c r="O29" s="22">
        <f>IFERROR(__xludf.DUMMYFUNCTION("""COMPUTED_VALUE"""),0.0)</f>
        <v>0</v>
      </c>
      <c r="P29" s="28" t="str">
        <f t="shared" si="1"/>
        <v>LUNAS</v>
      </c>
      <c r="Q29" s="28">
        <f t="shared" si="2"/>
        <v>59</v>
      </c>
      <c r="R29" s="28" t="str">
        <f t="shared" si="3"/>
        <v>KAYLA ALIFIA ZAFARANI</v>
      </c>
    </row>
    <row r="30">
      <c r="A30" s="27">
        <f>IFERROR(__xludf.DUMMYFUNCTION("""COMPUTED_VALUE"""),29.0)</f>
        <v>29</v>
      </c>
      <c r="B30" s="28" t="str">
        <f>IFERROR(__xludf.DUMMYFUNCTION("""COMPUTED_VALUE"""),"NANDA RAGIL DAVINA BATRISYA")</f>
        <v>NANDA RAGIL DAVINA BATRISYA</v>
      </c>
      <c r="C30" s="28">
        <f>IFERROR(__xludf.DUMMYFUNCTION("""COMPUTED_VALUE"""),2.024070531E9)</f>
        <v>2024070531</v>
      </c>
      <c r="D30" s="27" t="str">
        <f>IFERROR(__xludf.DUMMYFUNCTION("""COMPUTED_VALUE"""),"D")</f>
        <v>D</v>
      </c>
      <c r="E30" s="27" t="str">
        <f>IFERROR(__xludf.DUMMYFUNCTION("""COMPUTED_VALUE"""),"D-4")</f>
        <v>D-4</v>
      </c>
      <c r="F30" s="31">
        <f>IFERROR(__xludf.DUMMYFUNCTION("""COMPUTED_VALUE"""),3.0)</f>
        <v>3</v>
      </c>
      <c r="G30" s="27" t="str">
        <f>IFERROR(__xludf.DUMMYFUNCTION("""COMPUTED_VALUE"""),"3 ULA A PUTRI")</f>
        <v>3 ULA A PUTRI</v>
      </c>
      <c r="H30" s="28" t="str">
        <f>IFERROR(__xludf.DUMMYFUNCTION("""COMPUTED_VALUE"""),"SIGIT SUWITO")</f>
        <v>SIGIT SUWITO</v>
      </c>
      <c r="I30" s="28" t="str">
        <f>IFERROR(__xludf.DUMMYFUNCTION("""COMPUTED_VALUE"""),"NURBANI PRASETYAWATI")</f>
        <v>NURBANI PRASETYAWATI</v>
      </c>
      <c r="J30" s="28" t="str">
        <f>IFERROR(__xludf.DUMMYFUNCTION("""COMPUTED_VALUE"""),"GOWAH POMAHANJANGGAN RT 003 RW 001 TURI LAMONGAN")</f>
        <v>GOWAH POMAHANJANGGAN RT 003 RW 001 TURI LAMONGAN</v>
      </c>
      <c r="K30" s="29" t="str">
        <f>IFERROR(__xludf.DUMMYFUNCTION("""COMPUTED_VALUE"""),"6285730766563")</f>
        <v>6285730766563</v>
      </c>
      <c r="L30" s="22">
        <f>IFERROR(__xludf.DUMMYFUNCTION("""COMPUTED_VALUE"""),0.0)</f>
        <v>0</v>
      </c>
      <c r="M30" s="22">
        <f>IFERROR(__xludf.DUMMYFUNCTION("""COMPUTED_VALUE"""),0.0)</f>
        <v>0</v>
      </c>
      <c r="N30" s="22">
        <f>IFERROR(__xludf.DUMMYFUNCTION("""COMPUTED_VALUE"""),0.0)</f>
        <v>0</v>
      </c>
      <c r="O30" s="22">
        <f>IFERROR(__xludf.DUMMYFUNCTION("""COMPUTED_VALUE"""),0.0)</f>
        <v>0</v>
      </c>
      <c r="P30" s="28" t="str">
        <f t="shared" si="1"/>
        <v>LUNAS</v>
      </c>
      <c r="Q30" s="28">
        <f t="shared" si="2"/>
        <v>60</v>
      </c>
      <c r="R30" s="28" t="str">
        <f t="shared" si="3"/>
        <v>NANDA RAGIL DAVINA BATRISYA</v>
      </c>
    </row>
    <row r="31">
      <c r="A31" s="27">
        <f>IFERROR(__xludf.DUMMYFUNCTION("""COMPUTED_VALUE"""),30.0)</f>
        <v>30</v>
      </c>
      <c r="B31" s="28" t="str">
        <f>IFERROR(__xludf.DUMMYFUNCTION("""COMPUTED_VALUE"""),"AMINATUS SALMA")</f>
        <v>AMINATUS SALMA</v>
      </c>
      <c r="C31" s="28">
        <f>IFERROR(__xludf.DUMMYFUNCTION("""COMPUTED_VALUE"""),2.024070186E9)</f>
        <v>2024070186</v>
      </c>
      <c r="D31" s="27" t="str">
        <f>IFERROR(__xludf.DUMMYFUNCTION("""COMPUTED_VALUE"""),"D")</f>
        <v>D</v>
      </c>
      <c r="E31" s="27" t="str">
        <f>IFERROR(__xludf.DUMMYFUNCTION("""COMPUTED_VALUE"""),"D-6")</f>
        <v>D-6</v>
      </c>
      <c r="F31" s="31">
        <f>IFERROR(__xludf.DUMMYFUNCTION("""COMPUTED_VALUE"""),3.0)</f>
        <v>3</v>
      </c>
      <c r="G31" s="27" t="str">
        <f>IFERROR(__xludf.DUMMYFUNCTION("""COMPUTED_VALUE"""),"3 WUSTHO C PUTRI")</f>
        <v>3 WUSTHO C PUTRI</v>
      </c>
      <c r="H31" s="28" t="str">
        <f>IFERROR(__xludf.DUMMYFUNCTION("""COMPUTED_VALUE"""),"SUDARMAJI")</f>
        <v>SUDARMAJI</v>
      </c>
      <c r="I31" s="28" t="str">
        <f>IFERROR(__xludf.DUMMYFUNCTION("""COMPUTED_VALUE"""),"SYAMSIAMAH")</f>
        <v>SYAMSIAMAH</v>
      </c>
      <c r="J31" s="28" t="str">
        <f>IFERROR(__xludf.DUMMYFUNCTION("""COMPUTED_VALUE"""),"KEBONSARI PALANGAN RT 2 RW 1 KARANGBINANGUN LAMONGAN")</f>
        <v>KEBONSARI PALANGAN RT 2 RW 1 KARANGBINANGUN LAMONGAN</v>
      </c>
      <c r="K31" s="29" t="str">
        <f>IFERROR(__xludf.DUMMYFUNCTION("""COMPUTED_VALUE"""),"6285608570934")</f>
        <v>6285608570934</v>
      </c>
      <c r="L31" s="22">
        <f>IFERROR(__xludf.DUMMYFUNCTION("""COMPUTED_VALUE"""),1350000.0)</f>
        <v>1350000</v>
      </c>
      <c r="M31" s="22">
        <f>IFERROR(__xludf.DUMMYFUNCTION("""COMPUTED_VALUE"""),1000000.0)</f>
        <v>1000000</v>
      </c>
      <c r="N31" s="22">
        <f>IFERROR(__xludf.DUMMYFUNCTION("""COMPUTED_VALUE"""),0.0)</f>
        <v>0</v>
      </c>
      <c r="O31" s="22">
        <f>IFERROR(__xludf.DUMMYFUNCTION("""COMPUTED_VALUE"""),2350000.0)</f>
        <v>2350000</v>
      </c>
      <c r="P31" s="28" t="str">
        <f t="shared" si="1"/>
        <v>LUNAS</v>
      </c>
      <c r="Q31" s="28">
        <f t="shared" si="2"/>
        <v>16</v>
      </c>
      <c r="R31" s="28" t="str">
        <f t="shared" si="3"/>
        <v>AMINATUS SALMA</v>
      </c>
    </row>
    <row r="32">
      <c r="A32" s="27">
        <f>IFERROR(__xludf.DUMMYFUNCTION("""COMPUTED_VALUE"""),31.0)</f>
        <v>31</v>
      </c>
      <c r="B32" s="28" t="str">
        <f>IFERROR(__xludf.DUMMYFUNCTION("""COMPUTED_VALUE"""),"A`ISY SANIYA AZZAM")</f>
        <v>A`ISY SANIYA AZZAM</v>
      </c>
      <c r="C32" s="28">
        <f>IFERROR(__xludf.DUMMYFUNCTION("""COMPUTED_VALUE"""),2.02407037E9)</f>
        <v>2024070370</v>
      </c>
      <c r="D32" s="27" t="str">
        <f>IFERROR(__xludf.DUMMYFUNCTION("""COMPUTED_VALUE"""),"D")</f>
        <v>D</v>
      </c>
      <c r="E32" s="27" t="str">
        <f>IFERROR(__xludf.DUMMYFUNCTION("""COMPUTED_VALUE"""),"D-6")</f>
        <v>D-6</v>
      </c>
      <c r="F32" s="31">
        <f>IFERROR(__xludf.DUMMYFUNCTION("""COMPUTED_VALUE"""),3.0)</f>
        <v>3</v>
      </c>
      <c r="G32" s="27"/>
      <c r="H32" s="28" t="str">
        <f>IFERROR(__xludf.DUMMYFUNCTION("""COMPUTED_VALUE"""),"SAIIN")</f>
        <v>SAIIN</v>
      </c>
      <c r="I32" s="28" t="str">
        <f>IFERROR(__xludf.DUMMYFUNCTION("""COMPUTED_VALUE"""),"ANISWATUL HASANAH")</f>
        <v>ANISWATUL HASANAH</v>
      </c>
      <c r="J32" s="28" t="str">
        <f>IFERROR(__xludf.DUMMYFUNCTION("""COMPUTED_VALUE"""),"BALAN BANJAREJO RT 4 RW 6 SUKODADI LAMONGAN")</f>
        <v>BALAN BANJAREJO RT 4 RW 6 SUKODADI LAMONGAN</v>
      </c>
      <c r="K32" s="29" t="str">
        <f>IFERROR(__xludf.DUMMYFUNCTION("""COMPUTED_VALUE"""),"6285645020382")</f>
        <v>6285645020382</v>
      </c>
      <c r="L32" s="22">
        <f>IFERROR(__xludf.DUMMYFUNCTION("""COMPUTED_VALUE"""),1350000.0)</f>
        <v>1350000</v>
      </c>
      <c r="M32" s="22">
        <f>IFERROR(__xludf.DUMMYFUNCTION("""COMPUTED_VALUE"""),0.0)</f>
        <v>0</v>
      </c>
      <c r="N32" s="22">
        <f>IFERROR(__xludf.DUMMYFUNCTION("""COMPUTED_VALUE"""),0.0)</f>
        <v>0</v>
      </c>
      <c r="O32" s="22">
        <f>IFERROR(__xludf.DUMMYFUNCTION("""COMPUTED_VALUE"""),1350000.0)</f>
        <v>1350000</v>
      </c>
      <c r="P32" s="28" t="str">
        <f t="shared" si="1"/>
        <v>LUNAS</v>
      </c>
      <c r="Q32" s="28">
        <f t="shared" si="2"/>
        <v>25</v>
      </c>
      <c r="R32" s="28" t="str">
        <f t="shared" si="3"/>
        <v>A`ISY SANIYA AZZAM</v>
      </c>
    </row>
    <row r="33">
      <c r="A33" s="27">
        <f>IFERROR(__xludf.DUMMYFUNCTION("""COMPUTED_VALUE"""),32.0)</f>
        <v>32</v>
      </c>
      <c r="B33" s="28" t="str">
        <f>IFERROR(__xludf.DUMMYFUNCTION("""COMPUTED_VALUE"""),"ADINDA KHOIRUN NISWAH")</f>
        <v>ADINDA KHOIRUN NISWAH</v>
      </c>
      <c r="C33" s="28">
        <f>IFERROR(__xludf.DUMMYFUNCTION("""COMPUTED_VALUE"""),2.024070336E9)</f>
        <v>2024070336</v>
      </c>
      <c r="D33" s="27" t="str">
        <f>IFERROR(__xludf.DUMMYFUNCTION("""COMPUTED_VALUE"""),"D")</f>
        <v>D</v>
      </c>
      <c r="E33" s="27" t="str">
        <f>IFERROR(__xludf.DUMMYFUNCTION("""COMPUTED_VALUE"""),"D-6")</f>
        <v>D-6</v>
      </c>
      <c r="F33" s="31">
        <f>IFERROR(__xludf.DUMMYFUNCTION("""COMPUTED_VALUE"""),3.0)</f>
        <v>3</v>
      </c>
      <c r="G33" s="27" t="str">
        <f>IFERROR(__xludf.DUMMYFUNCTION("""COMPUTED_VALUE"""),"3 WUSTHO C PUTRI")</f>
        <v>3 WUSTHO C PUTRI</v>
      </c>
      <c r="H33" s="28" t="str">
        <f>IFERROR(__xludf.DUMMYFUNCTION("""COMPUTED_VALUE"""),"RUDI ANAM")</f>
        <v>RUDI ANAM</v>
      </c>
      <c r="I33" s="28" t="str">
        <f>IFERROR(__xludf.DUMMYFUNCTION("""COMPUTED_VALUE"""),"ANI ROKHMATIN")</f>
        <v>ANI ROKHMATIN</v>
      </c>
      <c r="J33" s="28" t="str">
        <f>IFERROR(__xludf.DUMMYFUNCTION("""COMPUTED_VALUE"""),"GRIGIS SUMBERJO RT 3 RW 5 SARIREJO LAMONGAN")</f>
        <v>GRIGIS SUMBERJO RT 3 RW 5 SARIREJO LAMONGAN</v>
      </c>
      <c r="K33" s="29" t="str">
        <f>IFERROR(__xludf.DUMMYFUNCTION("""COMPUTED_VALUE"""),"6283833507477")</f>
        <v>6283833507477</v>
      </c>
      <c r="L33" s="22">
        <f>IFERROR(__xludf.DUMMYFUNCTION("""COMPUTED_VALUE"""),0.0)</f>
        <v>0</v>
      </c>
      <c r="M33" s="22">
        <f>IFERROR(__xludf.DUMMYFUNCTION("""COMPUTED_VALUE"""),0.0)</f>
        <v>0</v>
      </c>
      <c r="N33" s="22">
        <f>IFERROR(__xludf.DUMMYFUNCTION("""COMPUTED_VALUE"""),0.0)</f>
        <v>0</v>
      </c>
      <c r="O33" s="22">
        <f>IFERROR(__xludf.DUMMYFUNCTION("""COMPUTED_VALUE"""),0.0)</f>
        <v>0</v>
      </c>
      <c r="P33" s="28" t="str">
        <f t="shared" si="1"/>
        <v>LUNAS</v>
      </c>
      <c r="Q33" s="28">
        <f t="shared" si="2"/>
        <v>61</v>
      </c>
      <c r="R33" s="28" t="str">
        <f t="shared" si="3"/>
        <v>ADINDA KHOIRUN NISWAH</v>
      </c>
    </row>
    <row r="34">
      <c r="A34" s="27">
        <f>IFERROR(__xludf.DUMMYFUNCTION("""COMPUTED_VALUE"""),33.0)</f>
        <v>33</v>
      </c>
      <c r="B34" s="28" t="str">
        <f>IFERROR(__xludf.DUMMYFUNCTION("""COMPUTED_VALUE"""),"CANTIKA ASSYARIFIYAH")</f>
        <v>CANTIKA ASSYARIFIYAH</v>
      </c>
      <c r="C34" s="28">
        <f>IFERROR(__xludf.DUMMYFUNCTION("""COMPUTED_VALUE"""),2.024070069E9)</f>
        <v>2024070069</v>
      </c>
      <c r="D34" s="27" t="str">
        <f>IFERROR(__xludf.DUMMYFUNCTION("""COMPUTED_VALUE"""),"D")</f>
        <v>D</v>
      </c>
      <c r="E34" s="27" t="str">
        <f>IFERROR(__xludf.DUMMYFUNCTION("""COMPUTED_VALUE"""),"D-6")</f>
        <v>D-6</v>
      </c>
      <c r="F34" s="31">
        <f>IFERROR(__xludf.DUMMYFUNCTION("""COMPUTED_VALUE"""),3.0)</f>
        <v>3</v>
      </c>
      <c r="G34" s="27" t="str">
        <f>IFERROR(__xludf.DUMMYFUNCTION("""COMPUTED_VALUE"""),"3 WUSTHO C PUTRI")</f>
        <v>3 WUSTHO C PUTRI</v>
      </c>
      <c r="H34" s="28" t="str">
        <f>IFERROR(__xludf.DUMMYFUNCTION("""COMPUTED_VALUE"""),"SUKO WIYONO")</f>
        <v>SUKO WIYONO</v>
      </c>
      <c r="I34" s="28" t="str">
        <f>IFERROR(__xludf.DUMMYFUNCTION("""COMPUTED_VALUE"""),"SITI MARWIYA")</f>
        <v>SITI MARWIYA</v>
      </c>
      <c r="J34" s="28" t="str">
        <f>IFERROR(__xludf.DUMMYFUNCTION("""COMPUTED_VALUE"""),"NGAMBEG RT 1 RW 1 PUCUK LAMONGAN")</f>
        <v>NGAMBEG RT 1 RW 1 PUCUK LAMONGAN</v>
      </c>
      <c r="K34" s="29" t="str">
        <f>IFERROR(__xludf.DUMMYFUNCTION("""COMPUTED_VALUE"""),"6285706485182")</f>
        <v>6285706485182</v>
      </c>
      <c r="L34" s="22">
        <f>IFERROR(__xludf.DUMMYFUNCTION("""COMPUTED_VALUE"""),0.0)</f>
        <v>0</v>
      </c>
      <c r="M34" s="22">
        <f>IFERROR(__xludf.DUMMYFUNCTION("""COMPUTED_VALUE"""),0.0)</f>
        <v>0</v>
      </c>
      <c r="N34" s="22">
        <f>IFERROR(__xludf.DUMMYFUNCTION("""COMPUTED_VALUE"""),0.0)</f>
        <v>0</v>
      </c>
      <c r="O34" s="22">
        <f>IFERROR(__xludf.DUMMYFUNCTION("""COMPUTED_VALUE"""),0.0)</f>
        <v>0</v>
      </c>
      <c r="P34" s="28" t="str">
        <f t="shared" si="1"/>
        <v>LUNAS</v>
      </c>
      <c r="Q34" s="28">
        <f t="shared" si="2"/>
        <v>62</v>
      </c>
      <c r="R34" s="28" t="str">
        <f t="shared" si="3"/>
        <v>CANTIKA ASSYARIFIYAH</v>
      </c>
    </row>
    <row r="35">
      <c r="A35" s="27">
        <f>IFERROR(__xludf.DUMMYFUNCTION("""COMPUTED_VALUE"""),34.0)</f>
        <v>34</v>
      </c>
      <c r="B35" s="28" t="str">
        <f>IFERROR(__xludf.DUMMYFUNCTION("""COMPUTED_VALUE"""),"DEWI ZAIDATUL RAHMA")</f>
        <v>DEWI ZAIDATUL RAHMA</v>
      </c>
      <c r="C35" s="28">
        <f>IFERROR(__xludf.DUMMYFUNCTION("""COMPUTED_VALUE"""),2.024070417E9)</f>
        <v>2024070417</v>
      </c>
      <c r="D35" s="27" t="str">
        <f>IFERROR(__xludf.DUMMYFUNCTION("""COMPUTED_VALUE"""),"D")</f>
        <v>D</v>
      </c>
      <c r="E35" s="27" t="str">
        <f>IFERROR(__xludf.DUMMYFUNCTION("""COMPUTED_VALUE"""),"D-6")</f>
        <v>D-6</v>
      </c>
      <c r="F35" s="31">
        <f>IFERROR(__xludf.DUMMYFUNCTION("""COMPUTED_VALUE"""),3.0)</f>
        <v>3</v>
      </c>
      <c r="G35" s="27" t="str">
        <f>IFERROR(__xludf.DUMMYFUNCTION("""COMPUTED_VALUE"""),"3 MAK PUTRI")</f>
        <v>3 MAK PUTRI</v>
      </c>
      <c r="H35" s="28" t="str">
        <f>IFERROR(__xludf.DUMMYFUNCTION("""COMPUTED_VALUE"""),"ABU SUHARTONO")</f>
        <v>ABU SUHARTONO</v>
      </c>
      <c r="I35" s="28" t="str">
        <f>IFERROR(__xludf.DUMMYFUNCTION("""COMPUTED_VALUE"""),"SITI NUR KHOLIFAH")</f>
        <v>SITI NUR KHOLIFAH</v>
      </c>
      <c r="J35" s="28" t="str">
        <f>IFERROR(__xludf.DUMMYFUNCTION("""COMPUTED_VALUE"""),"BANJARSARI RT 001 RW 006 BANJARMADU KARANGGENENG LAMONGAN")</f>
        <v>BANJARSARI RT 001 RW 006 BANJARMADU KARANGGENENG LAMONGAN</v>
      </c>
      <c r="K35" s="29" t="str">
        <f>IFERROR(__xludf.DUMMYFUNCTION("""COMPUTED_VALUE"""),"6283856332218")</f>
        <v>6283856332218</v>
      </c>
      <c r="L35" s="22">
        <f>IFERROR(__xludf.DUMMYFUNCTION("""COMPUTED_VALUE"""),8100000.0)</f>
        <v>8100000</v>
      </c>
      <c r="M35" s="22">
        <f>IFERROR(__xludf.DUMMYFUNCTION("""COMPUTED_VALUE"""),0.0)</f>
        <v>0</v>
      </c>
      <c r="N35" s="22">
        <f>IFERROR(__xludf.DUMMYFUNCTION("""COMPUTED_VALUE"""),350000.0)</f>
        <v>350000</v>
      </c>
      <c r="O35" s="22">
        <f>IFERROR(__xludf.DUMMYFUNCTION("""COMPUTED_VALUE"""),8450000.0)</f>
        <v>8450000</v>
      </c>
      <c r="P35" s="28" t="str">
        <f t="shared" si="1"/>
        <v>BELUM</v>
      </c>
      <c r="Q35" s="28">
        <f t="shared" si="2"/>
        <v>4</v>
      </c>
      <c r="R35" s="28" t="str">
        <f t="shared" si="3"/>
        <v>DEWI ZAIDATUL RAHMA</v>
      </c>
    </row>
    <row r="36">
      <c r="A36" s="27">
        <f>IFERROR(__xludf.DUMMYFUNCTION("""COMPUTED_VALUE"""),35.0)</f>
        <v>35</v>
      </c>
      <c r="B36" s="28" t="str">
        <f>IFERROR(__xludf.DUMMYFUNCTION("""COMPUTED_VALUE"""),"HUSNADYAH FATMAHWATI")</f>
        <v>HUSNADYAH FATMAHWATI</v>
      </c>
      <c r="C36" s="28">
        <f>IFERROR(__xludf.DUMMYFUNCTION("""COMPUTED_VALUE"""),2.024070115E9)</f>
        <v>2024070115</v>
      </c>
      <c r="D36" s="27" t="str">
        <f>IFERROR(__xludf.DUMMYFUNCTION("""COMPUTED_VALUE"""),"D")</f>
        <v>D</v>
      </c>
      <c r="E36" s="27" t="str">
        <f>IFERROR(__xludf.DUMMYFUNCTION("""COMPUTED_VALUE"""),"D-6")</f>
        <v>D-6</v>
      </c>
      <c r="F36" s="31">
        <f>IFERROR(__xludf.DUMMYFUNCTION("""COMPUTED_VALUE"""),3.0)</f>
        <v>3</v>
      </c>
      <c r="G36" s="27" t="str">
        <f>IFERROR(__xludf.DUMMYFUNCTION("""COMPUTED_VALUE"""),"3 WUSTHO C PUTRI")</f>
        <v>3 WUSTHO C PUTRI</v>
      </c>
      <c r="H36" s="28" t="str">
        <f>IFERROR(__xludf.DUMMYFUNCTION("""COMPUTED_VALUE"""),"HUSNUL HULUQ")</f>
        <v>HUSNUL HULUQ</v>
      </c>
      <c r="I36" s="28" t="str">
        <f>IFERROR(__xludf.DUMMYFUNCTION("""COMPUTED_VALUE"""),"KURNIA NIKDA RETNANI")</f>
        <v>KURNIA NIKDA RETNANI</v>
      </c>
      <c r="J36" s="28" t="str">
        <f>IFERROR(__xludf.DUMMYFUNCTION("""COMPUTED_VALUE"""),"LUMBANGAN PENDOWOLIMO RT 3 RW 1 KARANGBINANGUN LAMONGAN")</f>
        <v>LUMBANGAN PENDOWOLIMO RT 3 RW 1 KARANGBINANGUN LAMONGAN</v>
      </c>
      <c r="K36" s="29" t="str">
        <f>IFERROR(__xludf.DUMMYFUNCTION("""COMPUTED_VALUE"""),"6285731755110")</f>
        <v>6285731755110</v>
      </c>
      <c r="L36" s="22">
        <f>IFERROR(__xludf.DUMMYFUNCTION("""COMPUTED_VALUE"""),2250000.0)</f>
        <v>2250000</v>
      </c>
      <c r="M36" s="22">
        <f>IFERROR(__xludf.DUMMYFUNCTION("""COMPUTED_VALUE"""),0.0)</f>
        <v>0</v>
      </c>
      <c r="N36" s="22">
        <f>IFERROR(__xludf.DUMMYFUNCTION("""COMPUTED_VALUE"""),0.0)</f>
        <v>0</v>
      </c>
      <c r="O36" s="22">
        <f>IFERROR(__xludf.DUMMYFUNCTION("""COMPUTED_VALUE"""),2250000.0)</f>
        <v>2250000</v>
      </c>
      <c r="P36" s="28" t="str">
        <f t="shared" si="1"/>
        <v>LUNAS</v>
      </c>
      <c r="Q36" s="28">
        <f t="shared" si="2"/>
        <v>19</v>
      </c>
      <c r="R36" s="28" t="str">
        <f t="shared" si="3"/>
        <v>HUSNADYAH FATMAHWATI</v>
      </c>
    </row>
    <row r="37">
      <c r="A37" s="27">
        <f>IFERROR(__xludf.DUMMYFUNCTION("""COMPUTED_VALUE"""),36.0)</f>
        <v>36</v>
      </c>
      <c r="B37" s="28" t="str">
        <f>IFERROR(__xludf.DUMMYFUNCTION("""COMPUTED_VALUE"""),"IFTITAHUR ROHMANIYAH")</f>
        <v>IFTITAHUR ROHMANIYAH</v>
      </c>
      <c r="C37" s="28">
        <f>IFERROR(__xludf.DUMMYFUNCTION("""COMPUTED_VALUE"""),2.024070375E9)</f>
        <v>2024070375</v>
      </c>
      <c r="D37" s="27" t="str">
        <f>IFERROR(__xludf.DUMMYFUNCTION("""COMPUTED_VALUE"""),"D")</f>
        <v>D</v>
      </c>
      <c r="E37" s="27" t="str">
        <f>IFERROR(__xludf.DUMMYFUNCTION("""COMPUTED_VALUE"""),"D-6")</f>
        <v>D-6</v>
      </c>
      <c r="F37" s="31">
        <f>IFERROR(__xludf.DUMMYFUNCTION("""COMPUTED_VALUE"""),3.0)</f>
        <v>3</v>
      </c>
      <c r="G37" s="27" t="str">
        <f>IFERROR(__xludf.DUMMYFUNCTION("""COMPUTED_VALUE"""),"3 WUSTHO C PUTRI")</f>
        <v>3 WUSTHO C PUTRI</v>
      </c>
      <c r="H37" s="28" t="str">
        <f>IFERROR(__xludf.DUMMYFUNCTION("""COMPUTED_VALUE"""),"MOH HANIF ASYHAR")</f>
        <v>MOH HANIF ASYHAR</v>
      </c>
      <c r="I37" s="28" t="str">
        <f>IFERROR(__xludf.DUMMYFUNCTION("""COMPUTED_VALUE"""),"MASLIHATINA")</f>
        <v>MASLIHATINA</v>
      </c>
      <c r="J37" s="28" t="str">
        <f>IFERROR(__xludf.DUMMYFUNCTION("""COMPUTED_VALUE"""),"SUMURBER RT 8 RW 3 PANCENG GRESIK")</f>
        <v>SUMURBER RT 8 RW 3 PANCENG GRESIK</v>
      </c>
      <c r="K37" s="29" t="str">
        <f>IFERROR(__xludf.DUMMYFUNCTION("""COMPUTED_VALUE"""),"628157146323")</f>
        <v>628157146323</v>
      </c>
      <c r="L37" s="22">
        <f>IFERROR(__xludf.DUMMYFUNCTION("""COMPUTED_VALUE"""),0.0)</f>
        <v>0</v>
      </c>
      <c r="M37" s="22">
        <f>IFERROR(__xludf.DUMMYFUNCTION("""COMPUTED_VALUE"""),0.0)</f>
        <v>0</v>
      </c>
      <c r="N37" s="22">
        <f>IFERROR(__xludf.DUMMYFUNCTION("""COMPUTED_VALUE"""),0.0)</f>
        <v>0</v>
      </c>
      <c r="O37" s="22">
        <f>IFERROR(__xludf.DUMMYFUNCTION("""COMPUTED_VALUE"""),0.0)</f>
        <v>0</v>
      </c>
      <c r="P37" s="28" t="str">
        <f t="shared" si="1"/>
        <v>LUNAS</v>
      </c>
      <c r="Q37" s="28">
        <f t="shared" si="2"/>
        <v>63</v>
      </c>
      <c r="R37" s="28" t="str">
        <f t="shared" si="3"/>
        <v>IFTITAHUR ROHMANIYAH</v>
      </c>
    </row>
    <row r="38">
      <c r="A38" s="27">
        <f>IFERROR(__xludf.DUMMYFUNCTION("""COMPUTED_VALUE"""),37.0)</f>
        <v>37</v>
      </c>
      <c r="B38" s="28" t="str">
        <f>IFERROR(__xludf.DUMMYFUNCTION("""COMPUTED_VALUE"""),"NABELLA ARDELIYAH")</f>
        <v>NABELLA ARDELIYAH</v>
      </c>
      <c r="C38" s="28">
        <f>IFERROR(__xludf.DUMMYFUNCTION("""COMPUTED_VALUE"""),2.024070381E9)</f>
        <v>2024070381</v>
      </c>
      <c r="D38" s="27" t="str">
        <f>IFERROR(__xludf.DUMMYFUNCTION("""COMPUTED_VALUE"""),"D")</f>
        <v>D</v>
      </c>
      <c r="E38" s="27" t="str">
        <f>IFERROR(__xludf.DUMMYFUNCTION("""COMPUTED_VALUE"""),"D-6")</f>
        <v>D-6</v>
      </c>
      <c r="F38" s="31">
        <f>IFERROR(__xludf.DUMMYFUNCTION("""COMPUTED_VALUE"""),3.0)</f>
        <v>3</v>
      </c>
      <c r="G38" s="27" t="str">
        <f>IFERROR(__xludf.DUMMYFUNCTION("""COMPUTED_VALUE"""),"3 WUSTHO C PUTRI")</f>
        <v>3 WUSTHO C PUTRI</v>
      </c>
      <c r="H38" s="28" t="str">
        <f>IFERROR(__xludf.DUMMYFUNCTION("""COMPUTED_VALUE"""),"RUDI KUSWANTO")</f>
        <v>RUDI KUSWANTO</v>
      </c>
      <c r="I38" s="28" t="str">
        <f>IFERROR(__xludf.DUMMYFUNCTION("""COMPUTED_VALUE"""),"NIMATUL KHOIRIYAH")</f>
        <v>NIMATUL KHOIRIYAH</v>
      </c>
      <c r="J38" s="28" t="str">
        <f>IFERROR(__xludf.DUMMYFUNCTION("""COMPUTED_VALUE"""),"KEDUNGMEGARIH RT 020 RW 005 KEMBANGBAHU LAMONGAN")</f>
        <v>KEDUNGMEGARIH RT 020 RW 005 KEMBANGBAHU LAMONGAN</v>
      </c>
      <c r="K38" s="29" t="str">
        <f>IFERROR(__xludf.DUMMYFUNCTION("""COMPUTED_VALUE"""),"6285815119048")</f>
        <v>6285815119048</v>
      </c>
      <c r="L38" s="22">
        <f>IFERROR(__xludf.DUMMYFUNCTION("""COMPUTED_VALUE"""),0.0)</f>
        <v>0</v>
      </c>
      <c r="M38" s="22">
        <f>IFERROR(__xludf.DUMMYFUNCTION("""COMPUTED_VALUE"""),0.0)</f>
        <v>0</v>
      </c>
      <c r="N38" s="22">
        <f>IFERROR(__xludf.DUMMYFUNCTION("""COMPUTED_VALUE"""),0.0)</f>
        <v>0</v>
      </c>
      <c r="O38" s="22">
        <f>IFERROR(__xludf.DUMMYFUNCTION("""COMPUTED_VALUE"""),0.0)</f>
        <v>0</v>
      </c>
      <c r="P38" s="28" t="str">
        <f t="shared" si="1"/>
        <v>LUNAS</v>
      </c>
      <c r="Q38" s="28">
        <f t="shared" si="2"/>
        <v>64</v>
      </c>
      <c r="R38" s="28" t="str">
        <f t="shared" si="3"/>
        <v>NABELLA ARDELIYAH</v>
      </c>
    </row>
    <row r="39">
      <c r="A39" s="27">
        <f>IFERROR(__xludf.DUMMYFUNCTION("""COMPUTED_VALUE"""),38.0)</f>
        <v>38</v>
      </c>
      <c r="B39" s="28" t="str">
        <f>IFERROR(__xludf.DUMMYFUNCTION("""COMPUTED_VALUE"""),"NIKMAH PUTRI ISMAWATI")</f>
        <v>NIKMAH PUTRI ISMAWATI</v>
      </c>
      <c r="C39" s="28">
        <f>IFERROR(__xludf.DUMMYFUNCTION("""COMPUTED_VALUE"""),2.024070432E9)</f>
        <v>2024070432</v>
      </c>
      <c r="D39" s="27" t="str">
        <f>IFERROR(__xludf.DUMMYFUNCTION("""COMPUTED_VALUE"""),"D")</f>
        <v>D</v>
      </c>
      <c r="E39" s="27" t="str">
        <f>IFERROR(__xludf.DUMMYFUNCTION("""COMPUTED_VALUE"""),"D-6")</f>
        <v>D-6</v>
      </c>
      <c r="F39" s="31">
        <f>IFERROR(__xludf.DUMMYFUNCTION("""COMPUTED_VALUE"""),3.0)</f>
        <v>3</v>
      </c>
      <c r="G39" s="27" t="str">
        <f>IFERROR(__xludf.DUMMYFUNCTION("""COMPUTED_VALUE"""),"3 MAK PUTRI")</f>
        <v>3 MAK PUTRI</v>
      </c>
      <c r="H39" s="28" t="str">
        <f>IFERROR(__xludf.DUMMYFUNCTION("""COMPUTED_VALUE"""),"NGATMAJI")</f>
        <v>NGATMAJI</v>
      </c>
      <c r="I39" s="28" t="str">
        <f>IFERROR(__xludf.DUMMYFUNCTION("""COMPUTED_VALUE"""),"RUKIYATI")</f>
        <v>RUKIYATI</v>
      </c>
      <c r="J39" s="28" t="str">
        <f>IFERROR(__xludf.DUMMYFUNCTION("""COMPUTED_VALUE"""),"TAMAN TAMANPRIJEG RT 003 RW 001 LAREN LAMONGAN")</f>
        <v>TAMAN TAMANPRIJEG RT 003 RW 001 LAREN LAMONGAN</v>
      </c>
      <c r="K39" s="29" t="str">
        <f>IFERROR(__xludf.DUMMYFUNCTION("""COMPUTED_VALUE"""),"6281455138598")</f>
        <v>6281455138598</v>
      </c>
      <c r="L39" s="22">
        <f>IFERROR(__xludf.DUMMYFUNCTION("""COMPUTED_VALUE"""),0.0)</f>
        <v>0</v>
      </c>
      <c r="M39" s="22">
        <f>IFERROR(__xludf.DUMMYFUNCTION("""COMPUTED_VALUE"""),500000.0)</f>
        <v>500000</v>
      </c>
      <c r="N39" s="22">
        <f>IFERROR(__xludf.DUMMYFUNCTION("""COMPUTED_VALUE"""),0.0)</f>
        <v>0</v>
      </c>
      <c r="O39" s="22">
        <f>IFERROR(__xludf.DUMMYFUNCTION("""COMPUTED_VALUE"""),500000.0)</f>
        <v>500000</v>
      </c>
      <c r="P39" s="28" t="str">
        <f t="shared" si="1"/>
        <v>LUNAS</v>
      </c>
      <c r="Q39" s="28">
        <f t="shared" si="2"/>
        <v>44</v>
      </c>
      <c r="R39" s="28" t="str">
        <f t="shared" si="3"/>
        <v>NIKMAH PUTRI ISMAWATI</v>
      </c>
    </row>
    <row r="40">
      <c r="A40" s="27">
        <f>IFERROR(__xludf.DUMMYFUNCTION("""COMPUTED_VALUE"""),39.0)</f>
        <v>39</v>
      </c>
      <c r="B40" s="28" t="str">
        <f>IFERROR(__xludf.DUMMYFUNCTION("""COMPUTED_VALUE"""),"PRITA DEWI PUSPITA")</f>
        <v>PRITA DEWI PUSPITA</v>
      </c>
      <c r="C40" s="28">
        <f>IFERROR(__xludf.DUMMYFUNCTION("""COMPUTED_VALUE"""),2.024070358E9)</f>
        <v>2024070358</v>
      </c>
      <c r="D40" s="27" t="str">
        <f>IFERROR(__xludf.DUMMYFUNCTION("""COMPUTED_VALUE"""),"D")</f>
        <v>D</v>
      </c>
      <c r="E40" s="27" t="str">
        <f>IFERROR(__xludf.DUMMYFUNCTION("""COMPUTED_VALUE"""),"D-6")</f>
        <v>D-6</v>
      </c>
      <c r="F40" s="31">
        <f>IFERROR(__xludf.DUMMYFUNCTION("""COMPUTED_VALUE"""),3.0)</f>
        <v>3</v>
      </c>
      <c r="G40" s="27" t="str">
        <f>IFERROR(__xludf.DUMMYFUNCTION("""COMPUTED_VALUE"""),"3 WUSTHO C PUTRI")</f>
        <v>3 WUSTHO C PUTRI</v>
      </c>
      <c r="H40" s="28" t="str">
        <f>IFERROR(__xludf.DUMMYFUNCTION("""COMPUTED_VALUE"""),"ARIEF RUSLAN")</f>
        <v>ARIEF RUSLAN</v>
      </c>
      <c r="I40" s="28" t="str">
        <f>IFERROR(__xludf.DUMMYFUNCTION("""COMPUTED_VALUE"""),"SHOLIKHAH")</f>
        <v>SHOLIKHAH</v>
      </c>
      <c r="J40" s="28" t="str">
        <f>IFERROR(__xludf.DUMMYFUNCTION("""COMPUTED_VALUE"""),"KEDUNGKLANTING KEDUNGMEGARIH RT 017 RW 005 KEMBANGBAHU LAMONGAN")</f>
        <v>KEDUNGKLANTING KEDUNGMEGARIH RT 017 RW 005 KEMBANGBAHU LAMONGAN</v>
      </c>
      <c r="K40" s="29" t="str">
        <f>IFERROR(__xludf.DUMMYFUNCTION("""COMPUTED_VALUE"""),"6285785355522")</f>
        <v>6285785355522</v>
      </c>
      <c r="L40" s="22">
        <f>IFERROR(__xludf.DUMMYFUNCTION("""COMPUTED_VALUE"""),0.0)</f>
        <v>0</v>
      </c>
      <c r="M40" s="22">
        <f>IFERROR(__xludf.DUMMYFUNCTION("""COMPUTED_VALUE"""),0.0)</f>
        <v>0</v>
      </c>
      <c r="N40" s="22">
        <f>IFERROR(__xludf.DUMMYFUNCTION("""COMPUTED_VALUE"""),0.0)</f>
        <v>0</v>
      </c>
      <c r="O40" s="22">
        <f>IFERROR(__xludf.DUMMYFUNCTION("""COMPUTED_VALUE"""),0.0)</f>
        <v>0</v>
      </c>
      <c r="P40" s="28" t="str">
        <f t="shared" si="1"/>
        <v>LUNAS</v>
      </c>
      <c r="Q40" s="28">
        <f t="shared" si="2"/>
        <v>65</v>
      </c>
      <c r="R40" s="28" t="str">
        <f t="shared" si="3"/>
        <v>PRITA DEWI PUSPITA</v>
      </c>
    </row>
    <row r="41">
      <c r="A41" s="27">
        <f>IFERROR(__xludf.DUMMYFUNCTION("""COMPUTED_VALUE"""),40.0)</f>
        <v>40</v>
      </c>
      <c r="B41" s="28" t="str">
        <f>IFERROR(__xludf.DUMMYFUNCTION("""COMPUTED_VALUE"""),"PUTRI AYU RAMADHANI")</f>
        <v>PUTRI AYU RAMADHANI</v>
      </c>
      <c r="C41" s="28">
        <f>IFERROR(__xludf.DUMMYFUNCTION("""COMPUTED_VALUE"""),2.024070359E9)</f>
        <v>2024070359</v>
      </c>
      <c r="D41" s="27" t="str">
        <f>IFERROR(__xludf.DUMMYFUNCTION("""COMPUTED_VALUE"""),"D")</f>
        <v>D</v>
      </c>
      <c r="E41" s="27" t="str">
        <f>IFERROR(__xludf.DUMMYFUNCTION("""COMPUTED_VALUE"""),"D-6")</f>
        <v>D-6</v>
      </c>
      <c r="F41" s="31">
        <f>IFERROR(__xludf.DUMMYFUNCTION("""COMPUTED_VALUE"""),3.0)</f>
        <v>3</v>
      </c>
      <c r="G41" s="27" t="str">
        <f>IFERROR(__xludf.DUMMYFUNCTION("""COMPUTED_VALUE"""),"3 WUSTHO C PUTRI")</f>
        <v>3 WUSTHO C PUTRI</v>
      </c>
      <c r="H41" s="28" t="str">
        <f>IFERROR(__xludf.DUMMYFUNCTION("""COMPUTED_VALUE"""),"SARPAN")</f>
        <v>SARPAN</v>
      </c>
      <c r="I41" s="28" t="str">
        <f>IFERROR(__xludf.DUMMYFUNCTION("""COMPUTED_VALUE"""),"ROHAH")</f>
        <v>ROHAH</v>
      </c>
      <c r="J41" s="28" t="str">
        <f>IFERROR(__xludf.DUMMYFUNCTION("""COMPUTED_VALUE"""),"KEDUNGGLONGGONG SIDOMUKTI RT 003 RW 001 KEMBANGBAHU LAMONGAN")</f>
        <v>KEDUNGGLONGGONG SIDOMUKTI RT 003 RW 001 KEMBANGBAHU LAMONGAN</v>
      </c>
      <c r="K41" s="29" t="str">
        <f>IFERROR(__xludf.DUMMYFUNCTION("""COMPUTED_VALUE"""),"6285706372425")</f>
        <v>6285706372425</v>
      </c>
      <c r="L41" s="22">
        <f>IFERROR(__xludf.DUMMYFUNCTION("""COMPUTED_VALUE"""),0.0)</f>
        <v>0</v>
      </c>
      <c r="M41" s="22">
        <f>IFERROR(__xludf.DUMMYFUNCTION("""COMPUTED_VALUE"""),0.0)</f>
        <v>0</v>
      </c>
      <c r="N41" s="22">
        <f>IFERROR(__xludf.DUMMYFUNCTION("""COMPUTED_VALUE"""),0.0)</f>
        <v>0</v>
      </c>
      <c r="O41" s="22">
        <f>IFERROR(__xludf.DUMMYFUNCTION("""COMPUTED_VALUE"""),0.0)</f>
        <v>0</v>
      </c>
      <c r="P41" s="28" t="str">
        <f t="shared" si="1"/>
        <v>LUNAS</v>
      </c>
      <c r="Q41" s="28">
        <f t="shared" si="2"/>
        <v>66</v>
      </c>
      <c r="R41" s="28" t="str">
        <f t="shared" si="3"/>
        <v>PUTRI AYU RAMADHANI</v>
      </c>
    </row>
    <row r="42">
      <c r="A42" s="27">
        <f>IFERROR(__xludf.DUMMYFUNCTION("""COMPUTED_VALUE"""),41.0)</f>
        <v>41</v>
      </c>
      <c r="B42" s="28" t="str">
        <f>IFERROR(__xludf.DUMMYFUNCTION("""COMPUTED_VALUE"""),"SUKMA RIZKI AMALIA")</f>
        <v>SUKMA RIZKI AMALIA</v>
      </c>
      <c r="C42" s="28">
        <f>IFERROR(__xludf.DUMMYFUNCTION("""COMPUTED_VALUE"""),2.024070201E9)</f>
        <v>2024070201</v>
      </c>
      <c r="D42" s="27" t="str">
        <f>IFERROR(__xludf.DUMMYFUNCTION("""COMPUTED_VALUE"""),"D")</f>
        <v>D</v>
      </c>
      <c r="E42" s="27" t="str">
        <f>IFERROR(__xludf.DUMMYFUNCTION("""COMPUTED_VALUE"""),"D-6")</f>
        <v>D-6</v>
      </c>
      <c r="F42" s="31">
        <f>IFERROR(__xludf.DUMMYFUNCTION("""COMPUTED_VALUE"""),3.0)</f>
        <v>3</v>
      </c>
      <c r="G42" s="27" t="str">
        <f>IFERROR(__xludf.DUMMYFUNCTION("""COMPUTED_VALUE"""),"3 WUSTHO C PUTRI")</f>
        <v>3 WUSTHO C PUTRI</v>
      </c>
      <c r="H42" s="28" t="str">
        <f>IFERROR(__xludf.DUMMYFUNCTION("""COMPUTED_VALUE"""),"SUWITO")</f>
        <v>SUWITO</v>
      </c>
      <c r="I42" s="28" t="str">
        <f>IFERROR(__xludf.DUMMYFUNCTION("""COMPUTED_VALUE"""),"UMAROH NATASARI")</f>
        <v>UMAROH NATASARI</v>
      </c>
      <c r="J42" s="28" t="str">
        <f>IFERROR(__xludf.DUMMYFUNCTION("""COMPUTED_VALUE"""),"PLOSOKUNING RT 004 RW 002 PADENGANPLOSO PUCUK LAMONGAN")</f>
        <v>PLOSOKUNING RT 004 RW 002 PADENGANPLOSO PUCUK LAMONGAN</v>
      </c>
      <c r="K42" s="29" t="str">
        <f>IFERROR(__xludf.DUMMYFUNCTION("""COMPUTED_VALUE"""),"628123082773")</f>
        <v>628123082773</v>
      </c>
      <c r="L42" s="22">
        <f>IFERROR(__xludf.DUMMYFUNCTION("""COMPUTED_VALUE"""),0.0)</f>
        <v>0</v>
      </c>
      <c r="M42" s="22">
        <f>IFERROR(__xludf.DUMMYFUNCTION("""COMPUTED_VALUE"""),0.0)</f>
        <v>0</v>
      </c>
      <c r="N42" s="22">
        <f>IFERROR(__xludf.DUMMYFUNCTION("""COMPUTED_VALUE"""),0.0)</f>
        <v>0</v>
      </c>
      <c r="O42" s="22">
        <f>IFERROR(__xludf.DUMMYFUNCTION("""COMPUTED_VALUE"""),0.0)</f>
        <v>0</v>
      </c>
      <c r="P42" s="28" t="str">
        <f t="shared" si="1"/>
        <v>LUNAS</v>
      </c>
      <c r="Q42" s="28">
        <f t="shared" si="2"/>
        <v>67</v>
      </c>
      <c r="R42" s="28" t="str">
        <f t="shared" si="3"/>
        <v>SUKMA RIZKI AMALIA</v>
      </c>
    </row>
    <row r="43">
      <c r="A43" s="27">
        <f>IFERROR(__xludf.DUMMYFUNCTION("""COMPUTED_VALUE"""),42.0)</f>
        <v>42</v>
      </c>
      <c r="B43" s="28" t="str">
        <f>IFERROR(__xludf.DUMMYFUNCTION("""COMPUTED_VALUE"""),"LALUNA NAYRA KAMILA")</f>
        <v>LALUNA NAYRA KAMILA</v>
      </c>
      <c r="C43" s="28">
        <f>IFERROR(__xludf.DUMMYFUNCTION("""COMPUTED_VALUE"""),2.025070425E9)</f>
        <v>2025070425</v>
      </c>
      <c r="D43" s="27" t="str">
        <f>IFERROR(__xludf.DUMMYFUNCTION("""COMPUTED_VALUE"""),"D")</f>
        <v>D</v>
      </c>
      <c r="E43" s="27" t="str">
        <f>IFERROR(__xludf.DUMMYFUNCTION("""COMPUTED_VALUE"""),"D-6")</f>
        <v>D-6</v>
      </c>
      <c r="F43" s="31">
        <f>IFERROR(__xludf.DUMMYFUNCTION("""COMPUTED_VALUE"""),3.0)</f>
        <v>3</v>
      </c>
      <c r="G43" s="27" t="str">
        <f>IFERROR(__xludf.DUMMYFUNCTION("""COMPUTED_VALUE"""),"3 WUSTHO C PUTRI")</f>
        <v>3 WUSTHO C PUTRI</v>
      </c>
      <c r="H43" s="28" t="str">
        <f>IFERROR(__xludf.DUMMYFUNCTION("""COMPUTED_VALUE"""),"ANAS MA'SHUM")</f>
        <v>ANAS MA'SHUM</v>
      </c>
      <c r="I43" s="28" t="str">
        <f>IFERROR(__xludf.DUMMYFUNCTION("""COMPUTED_VALUE"""),"ISTIADATUR RIZA")</f>
        <v>ISTIADATUR RIZA</v>
      </c>
      <c r="J43" s="28" t="str">
        <f>IFERROR(__xludf.DUMMYFUNCTION("""COMPUTED_VALUE"""),"NGILANG RT 002 RW 001 KALEN KEDUNGPRING LAMONGAN")</f>
        <v>NGILANG RT 002 RW 001 KALEN KEDUNGPRING LAMONGAN</v>
      </c>
      <c r="K43" s="29" t="str">
        <f>IFERROR(__xludf.DUMMYFUNCTION("""COMPUTED_VALUE"""),"6281331012600")</f>
        <v>6281331012600</v>
      </c>
      <c r="L43" s="22">
        <f>IFERROR(__xludf.DUMMYFUNCTION("""COMPUTED_VALUE"""),0.0)</f>
        <v>0</v>
      </c>
      <c r="M43" s="22">
        <f>IFERROR(__xludf.DUMMYFUNCTION("""COMPUTED_VALUE"""),500000.0)</f>
        <v>500000</v>
      </c>
      <c r="N43" s="22">
        <f>IFERROR(__xludf.DUMMYFUNCTION("""COMPUTED_VALUE"""),0.0)</f>
        <v>0</v>
      </c>
      <c r="O43" s="22">
        <f>IFERROR(__xludf.DUMMYFUNCTION("""COMPUTED_VALUE"""),500000.0)</f>
        <v>500000</v>
      </c>
      <c r="P43" s="28" t="str">
        <f t="shared" si="1"/>
        <v>LUNAS</v>
      </c>
      <c r="Q43" s="28">
        <f t="shared" si="2"/>
        <v>45</v>
      </c>
      <c r="R43" s="28" t="str">
        <f t="shared" si="3"/>
        <v>LALUNA NAYRA KAMILA</v>
      </c>
    </row>
    <row r="44">
      <c r="A44" s="27">
        <f>IFERROR(__xludf.DUMMYFUNCTION("""COMPUTED_VALUE"""),43.0)</f>
        <v>43</v>
      </c>
      <c r="B44" s="28" t="str">
        <f>IFERROR(__xludf.DUMMYFUNCTION("""COMPUTED_VALUE"""),"DEWI SHOFIYAH NUR HIMMATUSSALAFIYA")</f>
        <v>DEWI SHOFIYAH NUR HIMMATUSSALAFIYA</v>
      </c>
      <c r="C44" s="28">
        <f>IFERROR(__xludf.DUMMYFUNCTION("""COMPUTED_VALUE"""),2.024070416E9)</f>
        <v>2024070416</v>
      </c>
      <c r="D44" s="27" t="str">
        <f>IFERROR(__xludf.DUMMYFUNCTION("""COMPUTED_VALUE"""),"D")</f>
        <v>D</v>
      </c>
      <c r="E44" s="27" t="str">
        <f>IFERROR(__xludf.DUMMYFUNCTION("""COMPUTED_VALUE"""),"D-6")</f>
        <v>D-6</v>
      </c>
      <c r="F44" s="31">
        <f>IFERROR(__xludf.DUMMYFUNCTION("""COMPUTED_VALUE"""),3.0)</f>
        <v>3</v>
      </c>
      <c r="G44" s="27" t="str">
        <f>IFERROR(__xludf.DUMMYFUNCTION("""COMPUTED_VALUE"""),"3 MAK PUTRI")</f>
        <v>3 MAK PUTRI</v>
      </c>
      <c r="H44" s="28" t="str">
        <f>IFERROR(__xludf.DUMMYFUNCTION("""COMPUTED_VALUE"""),"SAMSURI")</f>
        <v>SAMSURI</v>
      </c>
      <c r="I44" s="28" t="str">
        <f>IFERROR(__xludf.DUMMYFUNCTION("""COMPUTED_VALUE"""),"SUMIYAH")</f>
        <v>SUMIYAH</v>
      </c>
      <c r="J44" s="28" t="str">
        <f>IFERROR(__xludf.DUMMYFUNCTION("""COMPUTED_VALUE"""),"GLUMO RT 005 RW 001 JELAKCATUR KALITENGAH LAMONGAN")</f>
        <v>GLUMO RT 005 RW 001 JELAKCATUR KALITENGAH LAMONGAN</v>
      </c>
      <c r="K44" s="29" t="str">
        <f>IFERROR(__xludf.DUMMYFUNCTION("""COMPUTED_VALUE"""),"6285792978952")</f>
        <v>6285792978952</v>
      </c>
      <c r="L44" s="22">
        <f>IFERROR(__xludf.DUMMYFUNCTION("""COMPUTED_VALUE"""),2700000.0)</f>
        <v>2700000</v>
      </c>
      <c r="M44" s="22">
        <f>IFERROR(__xludf.DUMMYFUNCTION("""COMPUTED_VALUE"""),0.0)</f>
        <v>0</v>
      </c>
      <c r="N44" s="22">
        <f>IFERROR(__xludf.DUMMYFUNCTION("""COMPUTED_VALUE"""),0.0)</f>
        <v>0</v>
      </c>
      <c r="O44" s="22">
        <f>IFERROR(__xludf.DUMMYFUNCTION("""COMPUTED_VALUE"""),2700000.0)</f>
        <v>2700000</v>
      </c>
      <c r="P44" s="28" t="str">
        <f t="shared" si="1"/>
        <v>LUNAS</v>
      </c>
      <c r="Q44" s="28">
        <f t="shared" si="2"/>
        <v>14</v>
      </c>
      <c r="R44" s="28" t="str">
        <f t="shared" si="3"/>
        <v>DEWI SHOFIYAH NUR HIMMATUSSALAFIYA</v>
      </c>
    </row>
    <row r="45">
      <c r="A45" s="27">
        <f>IFERROR(__xludf.DUMMYFUNCTION("""COMPUTED_VALUE"""),44.0)</f>
        <v>44</v>
      </c>
      <c r="B45" s="28" t="str">
        <f>IFERROR(__xludf.DUMMYFUNCTION("""COMPUTED_VALUE"""),"ALLANA PUTRI CALYSTA")</f>
        <v>ALLANA PUTRI CALYSTA</v>
      </c>
      <c r="C45" s="28">
        <f>IFERROR(__xludf.DUMMYFUNCTION("""COMPUTED_VALUE"""),2.025070395E9)</f>
        <v>2025070395</v>
      </c>
      <c r="D45" s="27" t="str">
        <f>IFERROR(__xludf.DUMMYFUNCTION("""COMPUTED_VALUE"""),"D")</f>
        <v>D</v>
      </c>
      <c r="E45" s="27" t="str">
        <f>IFERROR(__xludf.DUMMYFUNCTION("""COMPUTED_VALUE"""),"D-7")</f>
        <v>D-7</v>
      </c>
      <c r="F45" s="31">
        <f>IFERROR(__xludf.DUMMYFUNCTION("""COMPUTED_VALUE"""),2.0)</f>
        <v>2</v>
      </c>
      <c r="G45" s="27" t="str">
        <f>IFERROR(__xludf.DUMMYFUNCTION("""COMPUTED_VALUE"""),"2 WUSTHO D PUTRI")</f>
        <v>2 WUSTHO D PUTRI</v>
      </c>
      <c r="H45" s="28" t="str">
        <f>IFERROR(__xludf.DUMMYFUNCTION("""COMPUTED_VALUE"""),"NAIMIN HARIANTO")</f>
        <v>NAIMIN HARIANTO</v>
      </c>
      <c r="I45" s="28" t="str">
        <f>IFERROR(__xludf.DUMMYFUNCTION("""COMPUTED_VALUE"""),"MARATUS SHOLIHAH")</f>
        <v>MARATUS SHOLIHAH</v>
      </c>
      <c r="J45" s="28" t="str">
        <f>IFERROR(__xludf.DUMMYFUNCTION("""COMPUTED_VALUE"""),"KARTINI RT 002 RW 004 SOLOKURO LAMONGAN")</f>
        <v>KARTINI RT 002 RW 004 SOLOKURO LAMONGAN</v>
      </c>
      <c r="K45" s="29" t="str">
        <f>IFERROR(__xludf.DUMMYFUNCTION("""COMPUTED_VALUE"""),"6281230760242")</f>
        <v>6281230760242</v>
      </c>
      <c r="L45" s="22">
        <f>IFERROR(__xludf.DUMMYFUNCTION("""COMPUTED_VALUE"""),0.0)</f>
        <v>0</v>
      </c>
      <c r="M45" s="22">
        <f>IFERROR(__xludf.DUMMYFUNCTION("""COMPUTED_VALUE"""),0.0)</f>
        <v>0</v>
      </c>
      <c r="N45" s="22">
        <f>IFERROR(__xludf.DUMMYFUNCTION("""COMPUTED_VALUE"""),0.0)</f>
        <v>0</v>
      </c>
      <c r="O45" s="22">
        <f>IFERROR(__xludf.DUMMYFUNCTION("""COMPUTED_VALUE"""),0.0)</f>
        <v>0</v>
      </c>
      <c r="P45" s="28" t="str">
        <f t="shared" si="1"/>
        <v>LUNAS</v>
      </c>
      <c r="Q45" s="28">
        <f t="shared" si="2"/>
        <v>68</v>
      </c>
      <c r="R45" s="28" t="str">
        <f t="shared" si="3"/>
        <v>ALLANA PUTRI CALYSTA</v>
      </c>
    </row>
    <row r="46">
      <c r="A46" s="27">
        <f>IFERROR(__xludf.DUMMYFUNCTION("""COMPUTED_VALUE"""),45.0)</f>
        <v>45</v>
      </c>
      <c r="B46" s="28" t="str">
        <f>IFERROR(__xludf.DUMMYFUNCTION("""COMPUTED_VALUE"""),"LATHIFATUL FATIHAH ALMASYRIFAH")</f>
        <v>LATHIFATUL FATIHAH ALMASYRIFAH</v>
      </c>
      <c r="C46" s="28">
        <f>IFERROR(__xludf.DUMMYFUNCTION("""COMPUTED_VALUE"""),2.025070663E9)</f>
        <v>2025070663</v>
      </c>
      <c r="D46" s="27" t="str">
        <f>IFERROR(__xludf.DUMMYFUNCTION("""COMPUTED_VALUE"""),"D")</f>
        <v>D</v>
      </c>
      <c r="E46" s="27" t="str">
        <f>IFERROR(__xludf.DUMMYFUNCTION("""COMPUTED_VALUE"""),"D-7")</f>
        <v>D-7</v>
      </c>
      <c r="F46" s="31">
        <f>IFERROR(__xludf.DUMMYFUNCTION("""COMPUTED_VALUE"""),2.0)</f>
        <v>2</v>
      </c>
      <c r="G46" s="27" t="str">
        <f>IFERROR(__xludf.DUMMYFUNCTION("""COMPUTED_VALUE"""),"2 WUSTHO A PUTRI")</f>
        <v>2 WUSTHO A PUTRI</v>
      </c>
      <c r="H46" s="28" t="str">
        <f>IFERROR(__xludf.DUMMYFUNCTION("""COMPUTED_VALUE"""),"AHMAD MUJIB")</f>
        <v>AHMAD MUJIB</v>
      </c>
      <c r="I46" s="28" t="str">
        <f>IFERROR(__xludf.DUMMYFUNCTION("""COMPUTED_VALUE"""),"ROHMATUL ARIFAH")</f>
        <v>ROHMATUL ARIFAH</v>
      </c>
      <c r="J46" s="28" t="str">
        <f>IFERROR(__xludf.DUMMYFUNCTION("""COMPUTED_VALUE"""),"KH. FAQIH UTSMAN KARANGTAWAR RT 001 RW 002 LAREN LAMONGAN")</f>
        <v>KH. FAQIH UTSMAN KARANGTAWAR RT 001 RW 002 LAREN LAMONGAN</v>
      </c>
      <c r="K46" s="29" t="str">
        <f>IFERROR(__xludf.DUMMYFUNCTION("""COMPUTED_VALUE"""),"6285700800189")</f>
        <v>6285700800189</v>
      </c>
      <c r="L46" s="22">
        <f>IFERROR(__xludf.DUMMYFUNCTION("""COMPUTED_VALUE"""),4500000.0)</f>
        <v>4500000</v>
      </c>
      <c r="M46" s="22">
        <f>IFERROR(__xludf.DUMMYFUNCTION("""COMPUTED_VALUE"""),0.0)</f>
        <v>0</v>
      </c>
      <c r="N46" s="22">
        <f>IFERROR(__xludf.DUMMYFUNCTION("""COMPUTED_VALUE"""),0.0)</f>
        <v>0</v>
      </c>
      <c r="O46" s="22">
        <f>IFERROR(__xludf.DUMMYFUNCTION("""COMPUTED_VALUE"""),4500000.0)</f>
        <v>4500000</v>
      </c>
      <c r="P46" s="28" t="str">
        <f t="shared" si="1"/>
        <v>LUNAS</v>
      </c>
      <c r="Q46" s="28">
        <f t="shared" si="2"/>
        <v>10</v>
      </c>
      <c r="R46" s="28" t="str">
        <f t="shared" si="3"/>
        <v>LATHIFATUL FATIHAH ALMASYRIFAH</v>
      </c>
    </row>
    <row r="47">
      <c r="A47" s="27">
        <f>IFERROR(__xludf.DUMMYFUNCTION("""COMPUTED_VALUE"""),46.0)</f>
        <v>46</v>
      </c>
      <c r="B47" s="28" t="str">
        <f>IFERROR(__xludf.DUMMYFUNCTION("""COMPUTED_VALUE"""),"REZA FARAH DILLA")</f>
        <v>REZA FARAH DILLA</v>
      </c>
      <c r="C47" s="28">
        <f>IFERROR(__xludf.DUMMYFUNCTION("""COMPUTED_VALUE"""),2.025070439E9)</f>
        <v>2025070439</v>
      </c>
      <c r="D47" s="27" t="str">
        <f>IFERROR(__xludf.DUMMYFUNCTION("""COMPUTED_VALUE"""),"D")</f>
        <v>D</v>
      </c>
      <c r="E47" s="27" t="str">
        <f>IFERROR(__xludf.DUMMYFUNCTION("""COMPUTED_VALUE"""),"D-7")</f>
        <v>D-7</v>
      </c>
      <c r="F47" s="31">
        <f>IFERROR(__xludf.DUMMYFUNCTION("""COMPUTED_VALUE"""),2.0)</f>
        <v>2</v>
      </c>
      <c r="G47" s="27" t="str">
        <f>IFERROR(__xludf.DUMMYFUNCTION("""COMPUTED_VALUE"""),"2 WUSTHO A PUTRI")</f>
        <v>2 WUSTHO A PUTRI</v>
      </c>
      <c r="H47" s="28" t="str">
        <f>IFERROR(__xludf.DUMMYFUNCTION("""COMPUTED_VALUE"""),"MUHAMMAD SU'UDI")</f>
        <v>MUHAMMAD SU'UDI</v>
      </c>
      <c r="I47" s="28" t="str">
        <f>IFERROR(__xludf.DUMMYFUNCTION("""COMPUTED_VALUE"""),"MUYASAROH")</f>
        <v>MUYASAROH</v>
      </c>
      <c r="J47" s="28" t="str">
        <f>IFERROR(__xludf.DUMMYFUNCTION("""COMPUTED_VALUE"""),"PINGGIRAN SUMBERAGUNG RT 001 RW 003 SUKODADI KALITENGAH")</f>
        <v>PINGGIRAN SUMBERAGUNG RT 001 RW 003 SUKODADI KALITENGAH</v>
      </c>
      <c r="K47" s="29" t="str">
        <f>IFERROR(__xludf.DUMMYFUNCTION("""COMPUTED_VALUE"""),"6285856200276")</f>
        <v>6285856200276</v>
      </c>
      <c r="L47" s="22">
        <f>IFERROR(__xludf.DUMMYFUNCTION("""COMPUTED_VALUE"""),0.0)</f>
        <v>0</v>
      </c>
      <c r="M47" s="22">
        <f>IFERROR(__xludf.DUMMYFUNCTION("""COMPUTED_VALUE"""),0.0)</f>
        <v>0</v>
      </c>
      <c r="N47" s="22">
        <f>IFERROR(__xludf.DUMMYFUNCTION("""COMPUTED_VALUE"""),0.0)</f>
        <v>0</v>
      </c>
      <c r="O47" s="22">
        <f>IFERROR(__xludf.DUMMYFUNCTION("""COMPUTED_VALUE"""),0.0)</f>
        <v>0</v>
      </c>
      <c r="P47" s="28" t="str">
        <f t="shared" si="1"/>
        <v>LUNAS</v>
      </c>
      <c r="Q47" s="28">
        <f t="shared" si="2"/>
        <v>69</v>
      </c>
      <c r="R47" s="28" t="str">
        <f t="shared" si="3"/>
        <v>REZA FARAH DILLA</v>
      </c>
    </row>
    <row r="48">
      <c r="A48" s="27">
        <f>IFERROR(__xludf.DUMMYFUNCTION("""COMPUTED_VALUE"""),47.0)</f>
        <v>47</v>
      </c>
      <c r="B48" s="28" t="str">
        <f>IFERROR(__xludf.DUMMYFUNCTION("""COMPUTED_VALUE"""),"SYAFA`ATUL INAYAH")</f>
        <v>SYAFA`ATUL INAYAH</v>
      </c>
      <c r="C48" s="28">
        <f>IFERROR(__xludf.DUMMYFUNCTION("""COMPUTED_VALUE"""),2.025070405E9)</f>
        <v>2025070405</v>
      </c>
      <c r="D48" s="27" t="str">
        <f>IFERROR(__xludf.DUMMYFUNCTION("""COMPUTED_VALUE"""),"D")</f>
        <v>D</v>
      </c>
      <c r="E48" s="27" t="str">
        <f>IFERROR(__xludf.DUMMYFUNCTION("""COMPUTED_VALUE"""),"D-7")</f>
        <v>D-7</v>
      </c>
      <c r="F48" s="31">
        <f>IFERROR(__xludf.DUMMYFUNCTION("""COMPUTED_VALUE"""),2.0)</f>
        <v>2</v>
      </c>
      <c r="G48" s="27" t="str">
        <f>IFERROR(__xludf.DUMMYFUNCTION("""COMPUTED_VALUE"""),"TAHFIDZ")</f>
        <v>TAHFIDZ</v>
      </c>
      <c r="H48" s="28" t="str">
        <f>IFERROR(__xludf.DUMMYFUNCTION("""COMPUTED_VALUE"""),"SHODIQIN")</f>
        <v>SHODIQIN</v>
      </c>
      <c r="I48" s="28" t="str">
        <f>IFERROR(__xludf.DUMMYFUNCTION("""COMPUTED_VALUE"""),"AFIFAH")</f>
        <v>AFIFAH</v>
      </c>
      <c r="J48" s="28" t="str">
        <f>IFERROR(__xludf.DUMMYFUNCTION("""COMPUTED_VALUE"""),"GOWAH POMAHANJANGGAN RT 001 RW 001 TURI LAMONGAN")</f>
        <v>GOWAH POMAHANJANGGAN RT 001 RW 001 TURI LAMONGAN</v>
      </c>
      <c r="K48" s="29" t="str">
        <f>IFERROR(__xludf.DUMMYFUNCTION("""COMPUTED_VALUE"""),"6285759178949")</f>
        <v>6285759178949</v>
      </c>
      <c r="L48" s="22">
        <f>IFERROR(__xludf.DUMMYFUNCTION("""COMPUTED_VALUE"""),0.0)</f>
        <v>0</v>
      </c>
      <c r="M48" s="22">
        <f>IFERROR(__xludf.DUMMYFUNCTION("""COMPUTED_VALUE"""),0.0)</f>
        <v>0</v>
      </c>
      <c r="N48" s="22">
        <f>IFERROR(__xludf.DUMMYFUNCTION("""COMPUTED_VALUE"""),0.0)</f>
        <v>0</v>
      </c>
      <c r="O48" s="22">
        <f>IFERROR(__xludf.DUMMYFUNCTION("""COMPUTED_VALUE"""),0.0)</f>
        <v>0</v>
      </c>
      <c r="P48" s="28" t="str">
        <f t="shared" si="1"/>
        <v>LUNAS</v>
      </c>
      <c r="Q48" s="28">
        <f t="shared" si="2"/>
        <v>70</v>
      </c>
      <c r="R48" s="28" t="str">
        <f t="shared" si="3"/>
        <v>SYAFA`ATUL INAYAH</v>
      </c>
    </row>
    <row r="49">
      <c r="A49" s="27">
        <f>IFERROR(__xludf.DUMMYFUNCTION("""COMPUTED_VALUE"""),48.0)</f>
        <v>48</v>
      </c>
      <c r="B49" s="28" t="str">
        <f>IFERROR(__xludf.DUMMYFUNCTION("""COMPUTED_VALUE"""),"VELANI MAKHSUFI AZZARETHA")</f>
        <v>VELANI MAKHSUFI AZZARETHA</v>
      </c>
      <c r="C49" s="28">
        <f>IFERROR(__xludf.DUMMYFUNCTION("""COMPUTED_VALUE"""),2.025070171E9)</f>
        <v>2025070171</v>
      </c>
      <c r="D49" s="27" t="str">
        <f>IFERROR(__xludf.DUMMYFUNCTION("""COMPUTED_VALUE"""),"D")</f>
        <v>D</v>
      </c>
      <c r="E49" s="27" t="str">
        <f>IFERROR(__xludf.DUMMYFUNCTION("""COMPUTED_VALUE"""),"D-7")</f>
        <v>D-7</v>
      </c>
      <c r="F49" s="31">
        <f>IFERROR(__xludf.DUMMYFUNCTION("""COMPUTED_VALUE"""),2.0)</f>
        <v>2</v>
      </c>
      <c r="G49" s="27" t="str">
        <f>IFERROR(__xludf.DUMMYFUNCTION("""COMPUTED_VALUE"""),"2 MAK PUTRI")</f>
        <v>2 MAK PUTRI</v>
      </c>
      <c r="H49" s="28" t="str">
        <f>IFERROR(__xludf.DUMMYFUNCTION("""COMPUTED_VALUE"""),"SHODIKIN")</f>
        <v>SHODIKIN</v>
      </c>
      <c r="I49" s="28" t="str">
        <f>IFERROR(__xludf.DUMMYFUNCTION("""COMPUTED_VALUE"""),"YENI WIDIAWATI")</f>
        <v>YENI WIDIAWATI</v>
      </c>
      <c r="J49" s="28" t="str">
        <f>IFERROR(__xludf.DUMMYFUNCTION("""COMPUTED_VALUE"""),"BANJARMADU RT 002 RW 002 KARANGGENENG LAMONGAN")</f>
        <v>BANJARMADU RT 002 RW 002 KARANGGENENG LAMONGAN</v>
      </c>
      <c r="K49" s="29" t="str">
        <f>IFERROR(__xludf.DUMMYFUNCTION("""COMPUTED_VALUE"""),"6285748191884")</f>
        <v>6285748191884</v>
      </c>
      <c r="L49" s="22">
        <f>IFERROR(__xludf.DUMMYFUNCTION("""COMPUTED_VALUE"""),3150000.0)</f>
        <v>3150000</v>
      </c>
      <c r="M49" s="22">
        <f>IFERROR(__xludf.DUMMYFUNCTION("""COMPUTED_VALUE"""),0.0)</f>
        <v>0</v>
      </c>
      <c r="N49" s="22">
        <f>IFERROR(__xludf.DUMMYFUNCTION("""COMPUTED_VALUE"""),0.0)</f>
        <v>0</v>
      </c>
      <c r="O49" s="22">
        <f>IFERROR(__xludf.DUMMYFUNCTION("""COMPUTED_VALUE"""),3150000.0)</f>
        <v>3150000</v>
      </c>
      <c r="P49" s="28" t="str">
        <f t="shared" si="1"/>
        <v>LUNAS</v>
      </c>
      <c r="Q49" s="28">
        <f t="shared" si="2"/>
        <v>12</v>
      </c>
      <c r="R49" s="28" t="str">
        <f t="shared" si="3"/>
        <v>VELANI MAKHSUFI AZZARETHA</v>
      </c>
    </row>
    <row r="50">
      <c r="A50" s="27">
        <f>IFERROR(__xludf.DUMMYFUNCTION("""COMPUTED_VALUE"""),49.0)</f>
        <v>49</v>
      </c>
      <c r="B50" s="28" t="str">
        <f>IFERROR(__xludf.DUMMYFUNCTION("""COMPUTED_VALUE"""),"DIAH MAHARANI ARDININGRUM")</f>
        <v>DIAH MAHARANI ARDININGRUM</v>
      </c>
      <c r="C50" s="28">
        <f>IFERROR(__xludf.DUMMYFUNCTION("""COMPUTED_VALUE"""),2.024080767E9)</f>
        <v>2024080767</v>
      </c>
      <c r="D50" s="27" t="str">
        <f>IFERROR(__xludf.DUMMYFUNCTION("""COMPUTED_VALUE"""),"D")</f>
        <v>D</v>
      </c>
      <c r="E50" s="27" t="str">
        <f>IFERROR(__xludf.DUMMYFUNCTION("""COMPUTED_VALUE"""),"D-7")</f>
        <v>D-7</v>
      </c>
      <c r="F50" s="31">
        <f>IFERROR(__xludf.DUMMYFUNCTION("""COMPUTED_VALUE"""),3.0)</f>
        <v>3</v>
      </c>
      <c r="G50" s="27" t="str">
        <f>IFERROR(__xludf.DUMMYFUNCTION("""COMPUTED_VALUE"""),"3 ULA B PUTRI")</f>
        <v>3 ULA B PUTRI</v>
      </c>
      <c r="H50" s="28" t="str">
        <f>IFERROR(__xludf.DUMMYFUNCTION("""COMPUTED_VALUE"""),"HIZBULLAH HUDA")</f>
        <v>HIZBULLAH HUDA</v>
      </c>
      <c r="I50" s="28" t="str">
        <f>IFERROR(__xludf.DUMMYFUNCTION("""COMPUTED_VALUE"""),"KHUSNUL KHOTIMAH")</f>
        <v>KHUSNUL KHOTIMAH</v>
      </c>
      <c r="J50" s="28" t="str">
        <f>IFERROR(__xludf.DUMMYFUNCTION("""COMPUTED_VALUE"""),"PRAMBON PUCANGTELU RT 005 RW 002 KALITENGAH LAMONGAN")</f>
        <v>PRAMBON PUCANGTELU RT 005 RW 002 KALITENGAH LAMONGAN</v>
      </c>
      <c r="K50" s="29" t="str">
        <f>IFERROR(__xludf.DUMMYFUNCTION("""COMPUTED_VALUE"""),"62881217430350")</f>
        <v>62881217430350</v>
      </c>
      <c r="L50" s="22">
        <f>IFERROR(__xludf.DUMMYFUNCTION("""COMPUTED_VALUE"""),1350000.0)</f>
        <v>1350000</v>
      </c>
      <c r="M50" s="22">
        <f>IFERROR(__xludf.DUMMYFUNCTION("""COMPUTED_VALUE"""),0.0)</f>
        <v>0</v>
      </c>
      <c r="N50" s="22">
        <f>IFERROR(__xludf.DUMMYFUNCTION("""COMPUTED_VALUE"""),0.0)</f>
        <v>0</v>
      </c>
      <c r="O50" s="22">
        <f>IFERROR(__xludf.DUMMYFUNCTION("""COMPUTED_VALUE"""),1350000.0)</f>
        <v>1350000</v>
      </c>
      <c r="P50" s="28" t="str">
        <f t="shared" si="1"/>
        <v>LUNAS</v>
      </c>
      <c r="Q50" s="28">
        <f t="shared" si="2"/>
        <v>26</v>
      </c>
      <c r="R50" s="28" t="str">
        <f t="shared" si="3"/>
        <v>DIAH MAHARANI ARDININGRUM</v>
      </c>
    </row>
    <row r="51">
      <c r="A51" s="27">
        <f>IFERROR(__xludf.DUMMYFUNCTION("""COMPUTED_VALUE"""),50.0)</f>
        <v>50</v>
      </c>
      <c r="B51" s="28" t="str">
        <f>IFERROR(__xludf.DUMMYFUNCTION("""COMPUTED_VALUE"""),"ELZA AMELIA FIRDA")</f>
        <v>ELZA AMELIA FIRDA</v>
      </c>
      <c r="C51" s="28">
        <f>IFERROR(__xludf.DUMMYFUNCTION("""COMPUTED_VALUE"""),2.024071523E9)</f>
        <v>2024071523</v>
      </c>
      <c r="D51" s="27" t="str">
        <f>IFERROR(__xludf.DUMMYFUNCTION("""COMPUTED_VALUE"""),"D")</f>
        <v>D</v>
      </c>
      <c r="E51" s="27" t="str">
        <f>IFERROR(__xludf.DUMMYFUNCTION("""COMPUTED_VALUE"""),"D-7")</f>
        <v>D-7</v>
      </c>
      <c r="F51" s="31">
        <f>IFERROR(__xludf.DUMMYFUNCTION("""COMPUTED_VALUE"""),3.0)</f>
        <v>3</v>
      </c>
      <c r="G51" s="27" t="str">
        <f>IFERROR(__xludf.DUMMYFUNCTION("""COMPUTED_VALUE"""),"3 ULA C PUTRI")</f>
        <v>3 ULA C PUTRI</v>
      </c>
      <c r="H51" s="28" t="str">
        <f>IFERROR(__xludf.DUMMYFUNCTION("""COMPUTED_VALUE"""),"AH. ZAINUL ARIFUN")</f>
        <v>AH. ZAINUL ARIFUN</v>
      </c>
      <c r="I51" s="28" t="str">
        <f>IFERROR(__xludf.DUMMYFUNCTION("""COMPUTED_VALUE"""),"RUKAMAH")</f>
        <v>RUKAMAH</v>
      </c>
      <c r="J51" s="28" t="str">
        <f>IFERROR(__xludf.DUMMYFUNCTION("""COMPUTED_VALUE"""),"SUNGELEBAK RT 014 RW 004 KARANGGENENG LAMONGAN")</f>
        <v>SUNGELEBAK RT 014 RW 004 KARANGGENENG LAMONGAN</v>
      </c>
      <c r="K51" s="29" t="str">
        <f>IFERROR(__xludf.DUMMYFUNCTION("""COMPUTED_VALUE"""),"6285749766177")</f>
        <v>6285749766177</v>
      </c>
      <c r="L51" s="22">
        <f>IFERROR(__xludf.DUMMYFUNCTION("""COMPUTED_VALUE"""),0.0)</f>
        <v>0</v>
      </c>
      <c r="M51" s="22">
        <f>IFERROR(__xludf.DUMMYFUNCTION("""COMPUTED_VALUE"""),0.0)</f>
        <v>0</v>
      </c>
      <c r="N51" s="22">
        <f>IFERROR(__xludf.DUMMYFUNCTION("""COMPUTED_VALUE"""),0.0)</f>
        <v>0</v>
      </c>
      <c r="O51" s="22">
        <f>IFERROR(__xludf.DUMMYFUNCTION("""COMPUTED_VALUE"""),0.0)</f>
        <v>0</v>
      </c>
      <c r="P51" s="28" t="str">
        <f t="shared" si="1"/>
        <v>LUNAS</v>
      </c>
      <c r="Q51" s="28">
        <f t="shared" si="2"/>
        <v>71</v>
      </c>
      <c r="R51" s="28" t="str">
        <f t="shared" si="3"/>
        <v>ELZA AMELIA FIRDA</v>
      </c>
    </row>
    <row r="52">
      <c r="A52" s="27">
        <f>IFERROR(__xludf.DUMMYFUNCTION("""COMPUTED_VALUE"""),51.0)</f>
        <v>51</v>
      </c>
      <c r="B52" s="28" t="str">
        <f>IFERROR(__xludf.DUMMYFUNCTION("""COMPUTED_VALUE"""),"ICHDA MAYLA ACHSANI")</f>
        <v>ICHDA MAYLA ACHSANI</v>
      </c>
      <c r="C52" s="28">
        <f>IFERROR(__xludf.DUMMYFUNCTION("""COMPUTED_VALUE"""),2.02407053E9)</f>
        <v>2024070530</v>
      </c>
      <c r="D52" s="27" t="str">
        <f>IFERROR(__xludf.DUMMYFUNCTION("""COMPUTED_VALUE"""),"D")</f>
        <v>D</v>
      </c>
      <c r="E52" s="27" t="str">
        <f>IFERROR(__xludf.DUMMYFUNCTION("""COMPUTED_VALUE"""),"D-7")</f>
        <v>D-7</v>
      </c>
      <c r="F52" s="31">
        <f>IFERROR(__xludf.DUMMYFUNCTION("""COMPUTED_VALUE"""),3.0)</f>
        <v>3</v>
      </c>
      <c r="G52" s="27" t="str">
        <f>IFERROR(__xludf.DUMMYFUNCTION("""COMPUTED_VALUE"""),"3 ULA B PUTRI")</f>
        <v>3 ULA B PUTRI</v>
      </c>
      <c r="H52" s="28" t="str">
        <f>IFERROR(__xludf.DUMMYFUNCTION("""COMPUTED_VALUE"""),"SONI")</f>
        <v>SONI</v>
      </c>
      <c r="I52" s="28" t="str">
        <f>IFERROR(__xludf.DUMMYFUNCTION("""COMPUTED_VALUE"""),"KHOMSATUN")</f>
        <v>KHOMSATUN</v>
      </c>
      <c r="J52" s="28" t="str">
        <f>IFERROR(__xludf.DUMMYFUNCTION("""COMPUTED_VALUE"""),"KARANGCANGKRING RT 006 RW 003 DUKUN GRESIK")</f>
        <v>KARANGCANGKRING RT 006 RW 003 DUKUN GRESIK</v>
      </c>
      <c r="K52" s="29" t="str">
        <f>IFERROR(__xludf.DUMMYFUNCTION("""COMPUTED_VALUE"""),"6285704365797")</f>
        <v>6285704365797</v>
      </c>
      <c r="L52" s="22">
        <f>IFERROR(__xludf.DUMMYFUNCTION("""COMPUTED_VALUE"""),0.0)</f>
        <v>0</v>
      </c>
      <c r="M52" s="22">
        <f>IFERROR(__xludf.DUMMYFUNCTION("""COMPUTED_VALUE"""),0.0)</f>
        <v>0</v>
      </c>
      <c r="N52" s="22">
        <f>IFERROR(__xludf.DUMMYFUNCTION("""COMPUTED_VALUE"""),0.0)</f>
        <v>0</v>
      </c>
      <c r="O52" s="22">
        <f>IFERROR(__xludf.DUMMYFUNCTION("""COMPUTED_VALUE"""),0.0)</f>
        <v>0</v>
      </c>
      <c r="P52" s="28" t="str">
        <f t="shared" si="1"/>
        <v>LUNAS</v>
      </c>
      <c r="Q52" s="28">
        <f t="shared" si="2"/>
        <v>72</v>
      </c>
      <c r="R52" s="28" t="str">
        <f t="shared" si="3"/>
        <v>ICHDA MAYLA ACHSANI</v>
      </c>
    </row>
    <row r="53">
      <c r="A53" s="27">
        <f>IFERROR(__xludf.DUMMYFUNCTION("""COMPUTED_VALUE"""),52.0)</f>
        <v>52</v>
      </c>
      <c r="B53" s="28" t="str">
        <f>IFERROR(__xludf.DUMMYFUNCTION("""COMPUTED_VALUE"""),"LAILA AININ NAF`AH")</f>
        <v>LAILA AININ NAF`AH</v>
      </c>
      <c r="C53" s="28">
        <f>IFERROR(__xludf.DUMMYFUNCTION("""COMPUTED_VALUE"""),2.024080769E9)</f>
        <v>2024080769</v>
      </c>
      <c r="D53" s="27" t="str">
        <f>IFERROR(__xludf.DUMMYFUNCTION("""COMPUTED_VALUE"""),"D")</f>
        <v>D</v>
      </c>
      <c r="E53" s="27" t="str">
        <f>IFERROR(__xludf.DUMMYFUNCTION("""COMPUTED_VALUE"""),"D-7")</f>
        <v>D-7</v>
      </c>
      <c r="F53" s="31">
        <f>IFERROR(__xludf.DUMMYFUNCTION("""COMPUTED_VALUE"""),3.0)</f>
        <v>3</v>
      </c>
      <c r="G53" s="27"/>
      <c r="H53" s="28" t="str">
        <f>IFERROR(__xludf.DUMMYFUNCTION("""COMPUTED_VALUE"""),"HIDAYATUL MUKMININ")</f>
        <v>HIDAYATUL MUKMININ</v>
      </c>
      <c r="I53" s="28" t="str">
        <f>IFERROR(__xludf.DUMMYFUNCTION("""COMPUTED_VALUE"""),"IFATUL AINIYAH")</f>
        <v>IFATUL AINIYAH</v>
      </c>
      <c r="J53" s="28" t="str">
        <f>IFERROR(__xludf.DUMMYFUNCTION("""COMPUTED_VALUE"""),"SUNGELEBAK RT 013 RW 004 KARANGGENENG LAMONGAN")</f>
        <v>SUNGELEBAK RT 013 RW 004 KARANGGENENG LAMONGAN</v>
      </c>
      <c r="K53" s="29" t="str">
        <f>IFERROR(__xludf.DUMMYFUNCTION("""COMPUTED_VALUE"""),"6289636729723")</f>
        <v>6289636729723</v>
      </c>
      <c r="L53" s="22">
        <f>IFERROR(__xludf.DUMMYFUNCTION("""COMPUTED_VALUE"""),0.0)</f>
        <v>0</v>
      </c>
      <c r="M53" s="22">
        <f>IFERROR(__xludf.DUMMYFUNCTION("""COMPUTED_VALUE"""),1000000.0)</f>
        <v>1000000</v>
      </c>
      <c r="N53" s="22">
        <f>IFERROR(__xludf.DUMMYFUNCTION("""COMPUTED_VALUE"""),0.0)</f>
        <v>0</v>
      </c>
      <c r="O53" s="22">
        <f>IFERROR(__xludf.DUMMYFUNCTION("""COMPUTED_VALUE"""),1000000.0)</f>
        <v>1000000</v>
      </c>
      <c r="P53" s="28" t="str">
        <f t="shared" si="1"/>
        <v>LUNAS</v>
      </c>
      <c r="Q53" s="28">
        <f t="shared" si="2"/>
        <v>34</v>
      </c>
      <c r="R53" s="28" t="str">
        <f t="shared" si="3"/>
        <v>LAILA AININ NAF`AH</v>
      </c>
    </row>
    <row r="54">
      <c r="A54" s="27">
        <f>IFERROR(__xludf.DUMMYFUNCTION("""COMPUTED_VALUE"""),53.0)</f>
        <v>53</v>
      </c>
      <c r="B54" s="28" t="str">
        <f>IFERROR(__xludf.DUMMYFUNCTION("""COMPUTED_VALUE"""),"NUR IFATURAHMAH")</f>
        <v>NUR IFATURAHMAH</v>
      </c>
      <c r="C54" s="28">
        <f>IFERROR(__xludf.DUMMYFUNCTION("""COMPUTED_VALUE"""),2.024070505E9)</f>
        <v>2024070505</v>
      </c>
      <c r="D54" s="27" t="str">
        <f>IFERROR(__xludf.DUMMYFUNCTION("""COMPUTED_VALUE"""),"D")</f>
        <v>D</v>
      </c>
      <c r="E54" s="27" t="str">
        <f>IFERROR(__xludf.DUMMYFUNCTION("""COMPUTED_VALUE"""),"D-7")</f>
        <v>D-7</v>
      </c>
      <c r="F54" s="31">
        <f>IFERROR(__xludf.DUMMYFUNCTION("""COMPUTED_VALUE"""),3.0)</f>
        <v>3</v>
      </c>
      <c r="G54" s="27" t="str">
        <f>IFERROR(__xludf.DUMMYFUNCTION("""COMPUTED_VALUE"""),"3 ULA B PUTRI")</f>
        <v>3 ULA B PUTRI</v>
      </c>
      <c r="H54" s="28" t="str">
        <f>IFERROR(__xludf.DUMMYFUNCTION("""COMPUTED_VALUE"""),"A. SYARONI")</f>
        <v>A. SYARONI</v>
      </c>
      <c r="I54" s="28" t="str">
        <f>IFERROR(__xludf.DUMMYFUNCTION("""COMPUTED_VALUE"""),"EKA RAKHMAWATI")</f>
        <v>EKA RAKHMAWATI</v>
      </c>
      <c r="J54" s="28" t="str">
        <f>IFERROR(__xludf.DUMMYFUNCTION("""COMPUTED_VALUE"""),"BESUSUL SUMBERAJI RT 002 RW 003 SUKODADI LAMONGAN")</f>
        <v>BESUSUL SUMBERAJI RT 002 RW 003 SUKODADI LAMONGAN</v>
      </c>
      <c r="K54" s="29" t="str">
        <f>IFERROR(__xludf.DUMMYFUNCTION("""COMPUTED_VALUE"""),"6285648312663")</f>
        <v>6285648312663</v>
      </c>
      <c r="L54" s="22">
        <f>IFERROR(__xludf.DUMMYFUNCTION("""COMPUTED_VALUE"""),2700000.0)</f>
        <v>2700000</v>
      </c>
      <c r="M54" s="22">
        <f>IFERROR(__xludf.DUMMYFUNCTION("""COMPUTED_VALUE"""),0.0)</f>
        <v>0</v>
      </c>
      <c r="N54" s="22">
        <f>IFERROR(__xludf.DUMMYFUNCTION("""COMPUTED_VALUE"""),0.0)</f>
        <v>0</v>
      </c>
      <c r="O54" s="22">
        <f>IFERROR(__xludf.DUMMYFUNCTION("""COMPUTED_VALUE"""),2700000.0)</f>
        <v>2700000</v>
      </c>
      <c r="P54" s="28" t="str">
        <f t="shared" si="1"/>
        <v>LUNAS</v>
      </c>
      <c r="Q54" s="28">
        <f t="shared" si="2"/>
        <v>15</v>
      </c>
      <c r="R54" s="28" t="str">
        <f t="shared" si="3"/>
        <v>NUR IFATURAHMAH</v>
      </c>
    </row>
    <row r="55">
      <c r="A55" s="27">
        <f>IFERROR(__xludf.DUMMYFUNCTION("""COMPUTED_VALUE"""),54.0)</f>
        <v>54</v>
      </c>
      <c r="B55" s="28" t="str">
        <f>IFERROR(__xludf.DUMMYFUNCTION("""COMPUTED_VALUE"""),"SYAFAAH LAILATIL FITRI")</f>
        <v>SYAFAAH LAILATIL FITRI</v>
      </c>
      <c r="C55" s="28">
        <f>IFERROR(__xludf.DUMMYFUNCTION("""COMPUTED_VALUE"""),2.024070548E9)</f>
        <v>2024070548</v>
      </c>
      <c r="D55" s="27" t="str">
        <f>IFERROR(__xludf.DUMMYFUNCTION("""COMPUTED_VALUE"""),"D")</f>
        <v>D</v>
      </c>
      <c r="E55" s="27" t="str">
        <f>IFERROR(__xludf.DUMMYFUNCTION("""COMPUTED_VALUE"""),"D-7")</f>
        <v>D-7</v>
      </c>
      <c r="F55" s="31">
        <f>IFERROR(__xludf.DUMMYFUNCTION("""COMPUTED_VALUE"""),3.0)</f>
        <v>3</v>
      </c>
      <c r="G55" s="27"/>
      <c r="H55" s="28" t="str">
        <f>IFERROR(__xludf.DUMMYFUNCTION("""COMPUTED_VALUE"""),"SYARONI")</f>
        <v>SYARONI</v>
      </c>
      <c r="I55" s="28" t="str">
        <f>IFERROR(__xludf.DUMMYFUNCTION("""COMPUTED_VALUE"""),"DEWI HARTINI")</f>
        <v>DEWI HARTINI</v>
      </c>
      <c r="J55" s="28" t="str">
        <f>IFERROR(__xludf.DUMMYFUNCTION("""COMPUTED_VALUE"""),"SUMBERWUDI RT 001 RW 002 KARANGGENENG LAMONGAN")</f>
        <v>SUMBERWUDI RT 001 RW 002 KARANGGENENG LAMONGAN</v>
      </c>
      <c r="K55" s="29" t="str">
        <f>IFERROR(__xludf.DUMMYFUNCTION("""COMPUTED_VALUE"""),"6285648218063")</f>
        <v>6285648218063</v>
      </c>
      <c r="L55" s="22">
        <f>IFERROR(__xludf.DUMMYFUNCTION("""COMPUTED_VALUE"""),0.0)</f>
        <v>0</v>
      </c>
      <c r="M55" s="22">
        <f>IFERROR(__xludf.DUMMYFUNCTION("""COMPUTED_VALUE"""),0.0)</f>
        <v>0</v>
      </c>
      <c r="N55" s="22">
        <f>IFERROR(__xludf.DUMMYFUNCTION("""COMPUTED_VALUE"""),0.0)</f>
        <v>0</v>
      </c>
      <c r="O55" s="22">
        <f>IFERROR(__xludf.DUMMYFUNCTION("""COMPUTED_VALUE"""),0.0)</f>
        <v>0</v>
      </c>
      <c r="P55" s="28" t="str">
        <f t="shared" si="1"/>
        <v>LUNAS</v>
      </c>
      <c r="Q55" s="28">
        <f t="shared" si="2"/>
        <v>73</v>
      </c>
      <c r="R55" s="28" t="str">
        <f t="shared" si="3"/>
        <v>SYAFAAH LAILATIL FITRI</v>
      </c>
    </row>
    <row r="56">
      <c r="A56" s="27">
        <f>IFERROR(__xludf.DUMMYFUNCTION("""COMPUTED_VALUE"""),55.0)</f>
        <v>55</v>
      </c>
      <c r="B56" s="28" t="str">
        <f>IFERROR(__xludf.DUMMYFUNCTION("""COMPUTED_VALUE"""),"ANGEL CYNTYA DEWI MAULIDAH")</f>
        <v>ANGEL CYNTYA DEWI MAULIDAH</v>
      </c>
      <c r="C56" s="28">
        <f>IFERROR(__xludf.DUMMYFUNCTION("""COMPUTED_VALUE"""),2.024070002E9)</f>
        <v>2024070002</v>
      </c>
      <c r="D56" s="27" t="str">
        <f>IFERROR(__xludf.DUMMYFUNCTION("""COMPUTED_VALUE"""),"D")</f>
        <v>D</v>
      </c>
      <c r="E56" s="27" t="str">
        <f>IFERROR(__xludf.DUMMYFUNCTION("""COMPUTED_VALUE"""),"D-7")</f>
        <v>D-7</v>
      </c>
      <c r="F56" s="31">
        <f>IFERROR(__xludf.DUMMYFUNCTION("""COMPUTED_VALUE"""),3.0)</f>
        <v>3</v>
      </c>
      <c r="G56" s="27"/>
      <c r="H56" s="28" t="str">
        <f>IFERROR(__xludf.DUMMYFUNCTION("""COMPUTED_VALUE"""),"NOVAN SISWANTO")</f>
        <v>NOVAN SISWANTO</v>
      </c>
      <c r="I56" s="28" t="str">
        <f>IFERROR(__xludf.DUMMYFUNCTION("""COMPUTED_VALUE"""),"NUR AFIFAH")</f>
        <v>NUR AFIFAH</v>
      </c>
      <c r="J56" s="28" t="str">
        <f>IFERROR(__xludf.DUMMYFUNCTION("""COMPUTED_VALUE"""),"PESAPEN I/27 KREMBANGAN UTARA RT 005 RW 001 PABEAN CANTIAN SURABAYA")</f>
        <v>PESAPEN I/27 KREMBANGAN UTARA RT 005 RW 001 PABEAN CANTIAN SURABAYA</v>
      </c>
      <c r="K56" s="29" t="str">
        <f>IFERROR(__xludf.DUMMYFUNCTION("""COMPUTED_VALUE"""),"6282140638884")</f>
        <v>6282140638884</v>
      </c>
      <c r="L56" s="22">
        <f>IFERROR(__xludf.DUMMYFUNCTION("""COMPUTED_VALUE"""),9900000.0)</f>
        <v>9900000</v>
      </c>
      <c r="M56" s="22">
        <f>IFERROR(__xludf.DUMMYFUNCTION("""COMPUTED_VALUE"""),1600000.0)</f>
        <v>1600000</v>
      </c>
      <c r="N56" s="22">
        <f>IFERROR(__xludf.DUMMYFUNCTION("""COMPUTED_VALUE"""),0.0)</f>
        <v>0</v>
      </c>
      <c r="O56" s="22">
        <f>IFERROR(__xludf.DUMMYFUNCTION("""COMPUTED_VALUE"""),1.15E7)</f>
        <v>11500000</v>
      </c>
      <c r="P56" s="28" t="str">
        <f t="shared" si="1"/>
        <v>LUNAS</v>
      </c>
      <c r="Q56" s="28">
        <f t="shared" si="2"/>
        <v>2</v>
      </c>
      <c r="R56" s="28" t="str">
        <f t="shared" si="3"/>
        <v>ANGEL CYNTYA DEWI MAULIDAH</v>
      </c>
    </row>
    <row r="57">
      <c r="A57" s="27">
        <f>IFERROR(__xludf.DUMMYFUNCTION("""COMPUTED_VALUE"""),56.0)</f>
        <v>56</v>
      </c>
      <c r="B57" s="28" t="str">
        <f>IFERROR(__xludf.DUMMYFUNCTION("""COMPUTED_VALUE"""),"DILLA ADHATUL FITRI")</f>
        <v>DILLA ADHATUL FITRI</v>
      </c>
      <c r="C57" s="28">
        <f>IFERROR(__xludf.DUMMYFUNCTION("""COMPUTED_VALUE"""),2.024070004E9)</f>
        <v>2024070004</v>
      </c>
      <c r="D57" s="27" t="str">
        <f>IFERROR(__xludf.DUMMYFUNCTION("""COMPUTED_VALUE"""),"D")</f>
        <v>D</v>
      </c>
      <c r="E57" s="27" t="str">
        <f>IFERROR(__xludf.DUMMYFUNCTION("""COMPUTED_VALUE"""),"D-7")</f>
        <v>D-7</v>
      </c>
      <c r="F57" s="31">
        <f>IFERROR(__xludf.DUMMYFUNCTION("""COMPUTED_VALUE"""),3.0)</f>
        <v>3</v>
      </c>
      <c r="G57" s="27"/>
      <c r="H57" s="28" t="str">
        <f>IFERROR(__xludf.DUMMYFUNCTION("""COMPUTED_VALUE"""),"NASIKHIH")</f>
        <v>NASIKHIH</v>
      </c>
      <c r="I57" s="28" t="str">
        <f>IFERROR(__xludf.DUMMYFUNCTION("""COMPUTED_VALUE"""),"MUKHOLISUN")</f>
        <v>MUKHOLISUN</v>
      </c>
      <c r="J57" s="28" t="str">
        <f>IFERROR(__xludf.DUMMYFUNCTION("""COMPUTED_VALUE"""),"PILANG TEJOASRI RT 1 RW 2 LAREN LAMONGAN")</f>
        <v>PILANG TEJOASRI RT 1 RW 2 LAREN LAMONGAN</v>
      </c>
      <c r="K57" s="29" t="str">
        <f>IFERROR(__xludf.DUMMYFUNCTION("""COMPUTED_VALUE"""),"6282198021057")</f>
        <v>6282198021057</v>
      </c>
      <c r="L57" s="22">
        <f>IFERROR(__xludf.DUMMYFUNCTION("""COMPUTED_VALUE"""),0.0)</f>
        <v>0</v>
      </c>
      <c r="M57" s="22">
        <f>IFERROR(__xludf.DUMMYFUNCTION("""COMPUTED_VALUE"""),1600000.0)</f>
        <v>1600000</v>
      </c>
      <c r="N57" s="22">
        <f>IFERROR(__xludf.DUMMYFUNCTION("""COMPUTED_VALUE"""),0.0)</f>
        <v>0</v>
      </c>
      <c r="O57" s="22">
        <f>IFERROR(__xludf.DUMMYFUNCTION("""COMPUTED_VALUE"""),1600000.0)</f>
        <v>1600000</v>
      </c>
      <c r="P57" s="28" t="str">
        <f t="shared" si="1"/>
        <v>LUNAS</v>
      </c>
      <c r="Q57" s="28">
        <f t="shared" si="2"/>
        <v>24</v>
      </c>
      <c r="R57" s="28" t="str">
        <f t="shared" si="3"/>
        <v>DILLA ADHATUL FITRI</v>
      </c>
    </row>
    <row r="58">
      <c r="A58" s="27">
        <f>IFERROR(__xludf.DUMMYFUNCTION("""COMPUTED_VALUE"""),57.0)</f>
        <v>57</v>
      </c>
      <c r="B58" s="28" t="str">
        <f>IFERROR(__xludf.DUMMYFUNCTION("""COMPUTED_VALUE"""),"DINDA FAIZIRAH ZAHROTUS SITA")</f>
        <v>DINDA FAIZIRAH ZAHROTUS SITA</v>
      </c>
      <c r="C58" s="28">
        <f>IFERROR(__xludf.DUMMYFUNCTION("""COMPUTED_VALUE"""),2.024070005E9)</f>
        <v>2024070005</v>
      </c>
      <c r="D58" s="27" t="str">
        <f>IFERROR(__xludf.DUMMYFUNCTION("""COMPUTED_VALUE"""),"D")</f>
        <v>D</v>
      </c>
      <c r="E58" s="27" t="str">
        <f>IFERROR(__xludf.DUMMYFUNCTION("""COMPUTED_VALUE"""),"D-7")</f>
        <v>D-7</v>
      </c>
      <c r="F58" s="31">
        <f>IFERROR(__xludf.DUMMYFUNCTION("""COMPUTED_VALUE"""),3.0)</f>
        <v>3</v>
      </c>
      <c r="G58" s="27"/>
      <c r="H58" s="28" t="str">
        <f>IFERROR(__xludf.DUMMYFUNCTION("""COMPUTED_VALUE"""),"IMAM UDDIN")</f>
        <v>IMAM UDDIN</v>
      </c>
      <c r="I58" s="28" t="str">
        <f>IFERROR(__xludf.DUMMYFUNCTION("""COMPUTED_VALUE"""),"WIWIN WINARTIN")</f>
        <v>WIWIN WINARTIN</v>
      </c>
      <c r="J58" s="28" t="str">
        <f>IFERROR(__xludf.DUMMYFUNCTION("""COMPUTED_VALUE"""),"SUNGELEBAK RT 5 RW 2 KARANGGENENG LAMONGAN")</f>
        <v>SUNGELEBAK RT 5 RW 2 KARANGGENENG LAMONGAN</v>
      </c>
      <c r="K58" s="29" t="str">
        <f>IFERROR(__xludf.DUMMYFUNCTION("""COMPUTED_VALUE"""),"628563468694")</f>
        <v>628563468694</v>
      </c>
      <c r="L58" s="22">
        <f>IFERROR(__xludf.DUMMYFUNCTION("""COMPUTED_VALUE"""),0.0)</f>
        <v>0</v>
      </c>
      <c r="M58" s="22">
        <f>IFERROR(__xludf.DUMMYFUNCTION("""COMPUTED_VALUE"""),0.0)</f>
        <v>0</v>
      </c>
      <c r="N58" s="22">
        <f>IFERROR(__xludf.DUMMYFUNCTION("""COMPUTED_VALUE"""),0.0)</f>
        <v>0</v>
      </c>
      <c r="O58" s="22">
        <f>IFERROR(__xludf.DUMMYFUNCTION("""COMPUTED_VALUE"""),0.0)</f>
        <v>0</v>
      </c>
      <c r="P58" s="28" t="str">
        <f t="shared" si="1"/>
        <v>LUNAS</v>
      </c>
      <c r="Q58" s="28">
        <f t="shared" si="2"/>
        <v>74</v>
      </c>
      <c r="R58" s="28" t="str">
        <f t="shared" si="3"/>
        <v>DINDA FAIZIRAH ZAHROTUS SITA</v>
      </c>
    </row>
    <row r="59">
      <c r="A59" s="27">
        <f>IFERROR(__xludf.DUMMYFUNCTION("""COMPUTED_VALUE"""),58.0)</f>
        <v>58</v>
      </c>
      <c r="B59" s="28" t="str">
        <f>IFERROR(__xludf.DUMMYFUNCTION("""COMPUTED_VALUE"""),"DZAKIRAH THALITA ZAHRA")</f>
        <v>DZAKIRAH THALITA ZAHRA</v>
      </c>
      <c r="C59" s="28">
        <f>IFERROR(__xludf.DUMMYFUNCTION("""COMPUTED_VALUE"""),2.024070374E9)</f>
        <v>2024070374</v>
      </c>
      <c r="D59" s="27" t="str">
        <f>IFERROR(__xludf.DUMMYFUNCTION("""COMPUTED_VALUE"""),"D")</f>
        <v>D</v>
      </c>
      <c r="E59" s="27" t="str">
        <f>IFERROR(__xludf.DUMMYFUNCTION("""COMPUTED_VALUE"""),"D-7")</f>
        <v>D-7</v>
      </c>
      <c r="F59" s="31">
        <f>IFERROR(__xludf.DUMMYFUNCTION("""COMPUTED_VALUE"""),3.0)</f>
        <v>3</v>
      </c>
      <c r="G59" s="27"/>
      <c r="H59" s="28" t="str">
        <f>IFERROR(__xludf.DUMMYFUNCTION("""COMPUTED_VALUE"""),"AHMAD ROHIM")</f>
        <v>AHMAD ROHIM</v>
      </c>
      <c r="I59" s="28" t="str">
        <f>IFERROR(__xludf.DUMMYFUNCTION("""COMPUTED_VALUE"""),"ZAHROTUN NISA'")</f>
        <v>ZAHROTUN NISA'</v>
      </c>
      <c r="J59" s="28" t="str">
        <f>IFERROR(__xludf.DUMMYFUNCTION("""COMPUTED_VALUE"""),"KARANGTAWAR RT 1 RW 1 LAREN LAMONGAN")</f>
        <v>KARANGTAWAR RT 1 RW 1 LAREN LAMONGAN</v>
      </c>
      <c r="K59" s="29" t="str">
        <f>IFERROR(__xludf.DUMMYFUNCTION("""COMPUTED_VALUE"""),"6285856033004")</f>
        <v>6285856033004</v>
      </c>
      <c r="L59" s="22">
        <f>IFERROR(__xludf.DUMMYFUNCTION("""COMPUTED_VALUE"""),6300000.0)</f>
        <v>6300000</v>
      </c>
      <c r="M59" s="22">
        <f>IFERROR(__xludf.DUMMYFUNCTION("""COMPUTED_VALUE"""),1000000.0)</f>
        <v>1000000</v>
      </c>
      <c r="N59" s="22">
        <f>IFERROR(__xludf.DUMMYFUNCTION("""COMPUTED_VALUE"""),350000.0)</f>
        <v>350000</v>
      </c>
      <c r="O59" s="22">
        <f>IFERROR(__xludf.DUMMYFUNCTION("""COMPUTED_VALUE"""),7650000.0)</f>
        <v>7650000</v>
      </c>
      <c r="P59" s="28" t="str">
        <f t="shared" si="1"/>
        <v>BELUM</v>
      </c>
      <c r="Q59" s="28">
        <f t="shared" si="2"/>
        <v>6</v>
      </c>
      <c r="R59" s="28" t="str">
        <f t="shared" si="3"/>
        <v>DZAKIRAH THALITA ZAHRA</v>
      </c>
    </row>
    <row r="60">
      <c r="A60" s="27">
        <f>IFERROR(__xludf.DUMMYFUNCTION("""COMPUTED_VALUE"""),59.0)</f>
        <v>59</v>
      </c>
      <c r="B60" s="28" t="str">
        <f>IFERROR(__xludf.DUMMYFUNCTION("""COMPUTED_VALUE"""),"FIKA ANJANI CAMELIA AL AJEMAIN")</f>
        <v>FIKA ANJANI CAMELIA AL AJEMAIN</v>
      </c>
      <c r="C60" s="28">
        <f>IFERROR(__xludf.DUMMYFUNCTION("""COMPUTED_VALUE"""),2.024070007E9)</f>
        <v>2024070007</v>
      </c>
      <c r="D60" s="27" t="str">
        <f>IFERROR(__xludf.DUMMYFUNCTION("""COMPUTED_VALUE"""),"D")</f>
        <v>D</v>
      </c>
      <c r="E60" s="27" t="str">
        <f>IFERROR(__xludf.DUMMYFUNCTION("""COMPUTED_VALUE"""),"D-7")</f>
        <v>D-7</v>
      </c>
      <c r="F60" s="31">
        <f>IFERROR(__xludf.DUMMYFUNCTION("""COMPUTED_VALUE"""),3.0)</f>
        <v>3</v>
      </c>
      <c r="G60" s="27"/>
      <c r="H60" s="28" t="str">
        <f>IFERROR(__xludf.DUMMYFUNCTION("""COMPUTED_VALUE"""),"AJEMAIN")</f>
        <v>AJEMAIN</v>
      </c>
      <c r="I60" s="28" t="str">
        <f>IFERROR(__xludf.DUMMYFUNCTION("""COMPUTED_VALUE"""),"WIWIK MUHIDAYATI")</f>
        <v>WIWIK MUHIDAYATI</v>
      </c>
      <c r="J60" s="28" t="str">
        <f>IFERROR(__xludf.DUMMYFUNCTION("""COMPUTED_VALUE"""),"PELANGWOT RT 1 RW 6 LAREN LAMONGAN")</f>
        <v>PELANGWOT RT 1 RW 6 LAREN LAMONGAN</v>
      </c>
      <c r="K60" s="29" t="str">
        <f>IFERROR(__xludf.DUMMYFUNCTION("""COMPUTED_VALUE"""),"6281330367368")</f>
        <v>6281330367368</v>
      </c>
      <c r="L60" s="22">
        <f>IFERROR(__xludf.DUMMYFUNCTION("""COMPUTED_VALUE"""),1.08E7)</f>
        <v>10800000</v>
      </c>
      <c r="M60" s="22">
        <f>IFERROR(__xludf.DUMMYFUNCTION("""COMPUTED_VALUE"""),1600000.0)</f>
        <v>1600000</v>
      </c>
      <c r="N60" s="22">
        <f>IFERROR(__xludf.DUMMYFUNCTION("""COMPUTED_VALUE"""),0.0)</f>
        <v>0</v>
      </c>
      <c r="O60" s="22">
        <f>IFERROR(__xludf.DUMMYFUNCTION("""COMPUTED_VALUE"""),1.24E7)</f>
        <v>12400000</v>
      </c>
      <c r="P60" s="28" t="str">
        <f t="shared" si="1"/>
        <v>LUNAS</v>
      </c>
      <c r="Q60" s="28">
        <f t="shared" si="2"/>
        <v>1</v>
      </c>
      <c r="R60" s="28" t="str">
        <f t="shared" si="3"/>
        <v>FIKA ANJANI CAMELIA AL AJEMAIN</v>
      </c>
    </row>
    <row r="61">
      <c r="A61" s="27">
        <f>IFERROR(__xludf.DUMMYFUNCTION("""COMPUTED_VALUE"""),60.0)</f>
        <v>60</v>
      </c>
      <c r="B61" s="28" t="str">
        <f>IFERROR(__xludf.DUMMYFUNCTION("""COMPUTED_VALUE"""),"HARISATUL MAWADDAH")</f>
        <v>HARISATUL MAWADDAH</v>
      </c>
      <c r="C61" s="28">
        <f>IFERROR(__xludf.DUMMYFUNCTION("""COMPUTED_VALUE"""),2.024070155E9)</f>
        <v>2024070155</v>
      </c>
      <c r="D61" s="27" t="str">
        <f>IFERROR(__xludf.DUMMYFUNCTION("""COMPUTED_VALUE"""),"D")</f>
        <v>D</v>
      </c>
      <c r="E61" s="27" t="str">
        <f>IFERROR(__xludf.DUMMYFUNCTION("""COMPUTED_VALUE"""),"D-7")</f>
        <v>D-7</v>
      </c>
      <c r="F61" s="31">
        <f>IFERROR(__xludf.DUMMYFUNCTION("""COMPUTED_VALUE"""),3.0)</f>
        <v>3</v>
      </c>
      <c r="G61" s="27" t="str">
        <f>IFERROR(__xludf.DUMMYFUNCTION("""COMPUTED_VALUE"""),"3 WUSTHO C PUTRI")</f>
        <v>3 WUSTHO C PUTRI</v>
      </c>
      <c r="H61" s="28" t="str">
        <f>IFERROR(__xludf.DUMMYFUNCTION("""COMPUTED_VALUE"""),"MOH. MUJIK")</f>
        <v>MOH. MUJIK</v>
      </c>
      <c r="I61" s="28" t="str">
        <f>IFERROR(__xludf.DUMMYFUNCTION("""COMPUTED_VALUE"""),"KISWATI")</f>
        <v>KISWATI</v>
      </c>
      <c r="J61" s="28" t="str">
        <f>IFERROR(__xludf.DUMMYFUNCTION("""COMPUTED_VALUE"""),"KARANGTAWAR RT 3 RW 2 LAREN LAMONGAN")</f>
        <v>KARANGTAWAR RT 3 RW 2 LAREN LAMONGAN</v>
      </c>
      <c r="K61" s="29" t="str">
        <f>IFERROR(__xludf.DUMMYFUNCTION("""COMPUTED_VALUE"""),"62857784061518")</f>
        <v>62857784061518</v>
      </c>
      <c r="L61" s="22">
        <f>IFERROR(__xludf.DUMMYFUNCTION("""COMPUTED_VALUE"""),0.0)</f>
        <v>0</v>
      </c>
      <c r="M61" s="22">
        <f>IFERROR(__xludf.DUMMYFUNCTION("""COMPUTED_VALUE"""),0.0)</f>
        <v>0</v>
      </c>
      <c r="N61" s="22">
        <f>IFERROR(__xludf.DUMMYFUNCTION("""COMPUTED_VALUE"""),0.0)</f>
        <v>0</v>
      </c>
      <c r="O61" s="22">
        <f>IFERROR(__xludf.DUMMYFUNCTION("""COMPUTED_VALUE"""),0.0)</f>
        <v>0</v>
      </c>
      <c r="P61" s="28" t="str">
        <f t="shared" si="1"/>
        <v>LUNAS</v>
      </c>
      <c r="Q61" s="28">
        <f t="shared" si="2"/>
        <v>75</v>
      </c>
      <c r="R61" s="28" t="str">
        <f t="shared" si="3"/>
        <v>HARISATUL MAWADDAH</v>
      </c>
    </row>
    <row r="62">
      <c r="A62" s="27">
        <f>IFERROR(__xludf.DUMMYFUNCTION("""COMPUTED_VALUE"""),61.0)</f>
        <v>61</v>
      </c>
      <c r="B62" s="28" t="str">
        <f>IFERROR(__xludf.DUMMYFUNCTION("""COMPUTED_VALUE"""),"ISTHOFI NADA MILLAH")</f>
        <v>ISTHOFI NADA MILLAH</v>
      </c>
      <c r="C62" s="28">
        <f>IFERROR(__xludf.DUMMYFUNCTION("""COMPUTED_VALUE"""),2.024070011E9)</f>
        <v>2024070011</v>
      </c>
      <c r="D62" s="27" t="str">
        <f>IFERROR(__xludf.DUMMYFUNCTION("""COMPUTED_VALUE"""),"D")</f>
        <v>D</v>
      </c>
      <c r="E62" s="27" t="str">
        <f>IFERROR(__xludf.DUMMYFUNCTION("""COMPUTED_VALUE"""),"D-7")</f>
        <v>D-7</v>
      </c>
      <c r="F62" s="31">
        <f>IFERROR(__xludf.DUMMYFUNCTION("""COMPUTED_VALUE"""),3.0)</f>
        <v>3</v>
      </c>
      <c r="G62" s="27"/>
      <c r="H62" s="28" t="str">
        <f>IFERROR(__xludf.DUMMYFUNCTION("""COMPUTED_VALUE"""),"ALAMIL HUDA")</f>
        <v>ALAMIL HUDA</v>
      </c>
      <c r="I62" s="28" t="str">
        <f>IFERROR(__xludf.DUMMYFUNCTION("""COMPUTED_VALUE"""),"LILIS FAIZAH")</f>
        <v>LILIS FAIZAH</v>
      </c>
      <c r="J62" s="28" t="str">
        <f>IFERROR(__xludf.DUMMYFUNCTION("""COMPUTED_VALUE"""),"GAGAR TENGAH SUKOBENDU RT 3 RW 2 MANTUP LAMONGAN")</f>
        <v>GAGAR TENGAH SUKOBENDU RT 3 RW 2 MANTUP LAMONGAN</v>
      </c>
      <c r="K62" s="29" t="str">
        <f>IFERROR(__xludf.DUMMYFUNCTION("""COMPUTED_VALUE"""),"6285604642145")</f>
        <v>6285604642145</v>
      </c>
      <c r="L62" s="22">
        <f>IFERROR(__xludf.DUMMYFUNCTION("""COMPUTED_VALUE"""),1.08E7)</f>
        <v>10800000</v>
      </c>
      <c r="M62" s="22">
        <f>IFERROR(__xludf.DUMMYFUNCTION("""COMPUTED_VALUE"""),0.0)</f>
        <v>0</v>
      </c>
      <c r="N62" s="22">
        <f>IFERROR(__xludf.DUMMYFUNCTION("""COMPUTED_VALUE"""),350000.0)</f>
        <v>350000</v>
      </c>
      <c r="O62" s="22">
        <f>IFERROR(__xludf.DUMMYFUNCTION("""COMPUTED_VALUE"""),1.115E7)</f>
        <v>11150000</v>
      </c>
      <c r="P62" s="28" t="str">
        <f t="shared" si="1"/>
        <v>BELUM</v>
      </c>
      <c r="Q62" s="28">
        <f t="shared" si="2"/>
        <v>3</v>
      </c>
      <c r="R62" s="28" t="str">
        <f t="shared" si="3"/>
        <v>ISTHOFI NADA MILLAH</v>
      </c>
    </row>
    <row r="63">
      <c r="A63" s="27">
        <f>IFERROR(__xludf.DUMMYFUNCTION("""COMPUTED_VALUE"""),62.0)</f>
        <v>62</v>
      </c>
      <c r="B63" s="28" t="str">
        <f>IFERROR(__xludf.DUMMYFUNCTION("""COMPUTED_VALUE"""),"MARCELIA CRENATA SHINTA DEWI")</f>
        <v>MARCELIA CRENATA SHINTA DEWI</v>
      </c>
      <c r="C63" s="28">
        <f>IFERROR(__xludf.DUMMYFUNCTION("""COMPUTED_VALUE"""),2.024070426E9)</f>
        <v>2024070426</v>
      </c>
      <c r="D63" s="27" t="str">
        <f>IFERROR(__xludf.DUMMYFUNCTION("""COMPUTED_VALUE"""),"D")</f>
        <v>D</v>
      </c>
      <c r="E63" s="27" t="str">
        <f>IFERROR(__xludf.DUMMYFUNCTION("""COMPUTED_VALUE"""),"D-7")</f>
        <v>D-7</v>
      </c>
      <c r="F63" s="31">
        <f>IFERROR(__xludf.DUMMYFUNCTION("""COMPUTED_VALUE"""),3.0)</f>
        <v>3</v>
      </c>
      <c r="G63" s="27" t="str">
        <f>IFERROR(__xludf.DUMMYFUNCTION("""COMPUTED_VALUE"""),"3 MAK PUTRI")</f>
        <v>3 MAK PUTRI</v>
      </c>
      <c r="H63" s="28" t="str">
        <f>IFERROR(__xludf.DUMMYFUNCTION("""COMPUTED_VALUE"""),"AHMAD ZUNAEDI")</f>
        <v>AHMAD ZUNAEDI</v>
      </c>
      <c r="I63" s="28" t="str">
        <f>IFERROR(__xludf.DUMMYFUNCTION("""COMPUTED_VALUE"""),"YULIATI")</f>
        <v>YULIATI</v>
      </c>
      <c r="J63" s="28" t="str">
        <f>IFERROR(__xludf.DUMMYFUNCTION("""COMPUTED_VALUE"""),"GEDANGAN RT 004 RW 003 GEDANGAN SIDOARJO")</f>
        <v>GEDANGAN RT 004 RW 003 GEDANGAN SIDOARJO</v>
      </c>
      <c r="K63" s="29" t="str">
        <f>IFERROR(__xludf.DUMMYFUNCTION("""COMPUTED_VALUE"""),"6281312701983")</f>
        <v>6281312701983</v>
      </c>
      <c r="L63" s="22">
        <f>IFERROR(__xludf.DUMMYFUNCTION("""COMPUTED_VALUE"""),0.0)</f>
        <v>0</v>
      </c>
      <c r="M63" s="22">
        <f>IFERROR(__xludf.DUMMYFUNCTION("""COMPUTED_VALUE"""),1000000.0)</f>
        <v>1000000</v>
      </c>
      <c r="N63" s="22">
        <f>IFERROR(__xludf.DUMMYFUNCTION("""COMPUTED_VALUE"""),0.0)</f>
        <v>0</v>
      </c>
      <c r="O63" s="22">
        <f>IFERROR(__xludf.DUMMYFUNCTION("""COMPUTED_VALUE"""),1000000.0)</f>
        <v>1000000</v>
      </c>
      <c r="P63" s="28" t="str">
        <f t="shared" si="1"/>
        <v>LUNAS</v>
      </c>
      <c r="Q63" s="28">
        <f t="shared" si="2"/>
        <v>35</v>
      </c>
      <c r="R63" s="28" t="str">
        <f t="shared" si="3"/>
        <v>MARCELIA CRENATA SHINTA DEWI</v>
      </c>
    </row>
    <row r="64">
      <c r="A64" s="27">
        <f>IFERROR(__xludf.DUMMYFUNCTION("""COMPUTED_VALUE"""),63.0)</f>
        <v>63</v>
      </c>
      <c r="B64" s="28" t="str">
        <f>IFERROR(__xludf.DUMMYFUNCTION("""COMPUTED_VALUE"""),"MAZIDATUL ILMI OKTARISA DINI")</f>
        <v>MAZIDATUL ILMI OKTARISA DINI</v>
      </c>
      <c r="C64" s="28">
        <f>IFERROR(__xludf.DUMMYFUNCTION("""COMPUTED_VALUE"""),2.024070427E9)</f>
        <v>2024070427</v>
      </c>
      <c r="D64" s="27" t="str">
        <f>IFERROR(__xludf.DUMMYFUNCTION("""COMPUTED_VALUE"""),"D")</f>
        <v>D</v>
      </c>
      <c r="E64" s="27" t="str">
        <f>IFERROR(__xludf.DUMMYFUNCTION("""COMPUTED_VALUE"""),"D-7")</f>
        <v>D-7</v>
      </c>
      <c r="F64" s="31">
        <f>IFERROR(__xludf.DUMMYFUNCTION("""COMPUTED_VALUE"""),3.0)</f>
        <v>3</v>
      </c>
      <c r="G64" s="27" t="str">
        <f>IFERROR(__xludf.DUMMYFUNCTION("""COMPUTED_VALUE"""),"3 MAK PUTRI")</f>
        <v>3 MAK PUTRI</v>
      </c>
      <c r="H64" s="28" t="str">
        <f>IFERROR(__xludf.DUMMYFUNCTION("""COMPUTED_VALUE"""),"SHODIKIN")</f>
        <v>SHODIKIN</v>
      </c>
      <c r="I64" s="28" t="str">
        <f>IFERROR(__xludf.DUMMYFUNCTION("""COMPUTED_VALUE"""),"YENI VIDIAWATI")</f>
        <v>YENI VIDIAWATI</v>
      </c>
      <c r="J64" s="28" t="str">
        <f>IFERROR(__xludf.DUMMYFUNCTION("""COMPUTED_VALUE"""),"BANJARMADU BANJARMADU RT 2 RW 2 KARANGGENENG LAMONGAN")</f>
        <v>BANJARMADU BANJARMADU RT 2 RW 2 KARANGGENENG LAMONGAN</v>
      </c>
      <c r="K64" s="29" t="str">
        <f>IFERROR(__xludf.DUMMYFUNCTION("""COMPUTED_VALUE"""),"6285748191884")</f>
        <v>6285748191884</v>
      </c>
      <c r="L64" s="22">
        <f>IFERROR(__xludf.DUMMYFUNCTION("""COMPUTED_VALUE"""),3150000.0)</f>
        <v>3150000</v>
      </c>
      <c r="M64" s="22">
        <f>IFERROR(__xludf.DUMMYFUNCTION("""COMPUTED_VALUE"""),0.0)</f>
        <v>0</v>
      </c>
      <c r="N64" s="22">
        <f>IFERROR(__xludf.DUMMYFUNCTION("""COMPUTED_VALUE"""),0.0)</f>
        <v>0</v>
      </c>
      <c r="O64" s="22">
        <f>IFERROR(__xludf.DUMMYFUNCTION("""COMPUTED_VALUE"""),3150000.0)</f>
        <v>3150000</v>
      </c>
      <c r="P64" s="28" t="str">
        <f t="shared" si="1"/>
        <v>LUNAS</v>
      </c>
      <c r="Q64" s="28">
        <f t="shared" si="2"/>
        <v>13</v>
      </c>
      <c r="R64" s="28" t="str">
        <f t="shared" si="3"/>
        <v>MAZIDATUL ILMI OKTARISA DINI</v>
      </c>
    </row>
    <row r="65">
      <c r="A65" s="27">
        <f>IFERROR(__xludf.DUMMYFUNCTION("""COMPUTED_VALUE"""),64.0)</f>
        <v>64</v>
      </c>
      <c r="B65" s="28" t="str">
        <f>IFERROR(__xludf.DUMMYFUNCTION("""COMPUTED_VALUE"""),"MELYSA NUR KHASANAH")</f>
        <v>MELYSA NUR KHASANAH</v>
      </c>
      <c r="C65" s="28">
        <f>IFERROR(__xludf.DUMMYFUNCTION("""COMPUTED_VALUE"""),2.024070016E9)</f>
        <v>2024070016</v>
      </c>
      <c r="D65" s="27" t="str">
        <f>IFERROR(__xludf.DUMMYFUNCTION("""COMPUTED_VALUE"""),"D")</f>
        <v>D</v>
      </c>
      <c r="E65" s="27" t="str">
        <f>IFERROR(__xludf.DUMMYFUNCTION("""COMPUTED_VALUE"""),"D-7")</f>
        <v>D-7</v>
      </c>
      <c r="F65" s="31">
        <f>IFERROR(__xludf.DUMMYFUNCTION("""COMPUTED_VALUE"""),3.0)</f>
        <v>3</v>
      </c>
      <c r="G65" s="27"/>
      <c r="H65" s="28" t="str">
        <f>IFERROR(__xludf.DUMMYFUNCTION("""COMPUTED_VALUE"""),"SYAIFUL BARRI")</f>
        <v>SYAIFUL BARRI</v>
      </c>
      <c r="I65" s="28" t="str">
        <f>IFERROR(__xludf.DUMMYFUNCTION("""COMPUTED_VALUE"""),"ERLIN NUR AIZAH")</f>
        <v>ERLIN NUR AIZAH</v>
      </c>
      <c r="J65" s="28" t="str">
        <f>IFERROR(__xludf.DUMMYFUNCTION("""COMPUTED_VALUE"""),"KRAJAN SUKOBENDU RT 002 RW 003 MANTUP LAMONGAN")</f>
        <v>KRAJAN SUKOBENDU RT 002 RW 003 MANTUP LAMONGAN</v>
      </c>
      <c r="K65" s="29" t="str">
        <f>IFERROR(__xludf.DUMMYFUNCTION("""COMPUTED_VALUE"""),"6281515680644")</f>
        <v>6281515680644</v>
      </c>
      <c r="L65" s="22">
        <f>IFERROR(__xludf.DUMMYFUNCTION("""COMPUTED_VALUE"""),0.0)</f>
        <v>0</v>
      </c>
      <c r="M65" s="22">
        <f>IFERROR(__xludf.DUMMYFUNCTION("""COMPUTED_VALUE"""),0.0)</f>
        <v>0</v>
      </c>
      <c r="N65" s="22">
        <f>IFERROR(__xludf.DUMMYFUNCTION("""COMPUTED_VALUE"""),0.0)</f>
        <v>0</v>
      </c>
      <c r="O65" s="22">
        <f>IFERROR(__xludf.DUMMYFUNCTION("""COMPUTED_VALUE"""),0.0)</f>
        <v>0</v>
      </c>
      <c r="P65" s="28" t="str">
        <f t="shared" si="1"/>
        <v>LUNAS</v>
      </c>
      <c r="Q65" s="28">
        <f t="shared" si="2"/>
        <v>76</v>
      </c>
      <c r="R65" s="28" t="str">
        <f t="shared" si="3"/>
        <v>MELYSA NUR KHASANAH</v>
      </c>
    </row>
    <row r="66">
      <c r="A66" s="27">
        <f>IFERROR(__xludf.DUMMYFUNCTION("""COMPUTED_VALUE"""),65.0)</f>
        <v>65</v>
      </c>
      <c r="B66" s="28" t="str">
        <f>IFERROR(__xludf.DUMMYFUNCTION("""COMPUTED_VALUE"""),"NAJWA ERILAH")</f>
        <v>NAJWA ERILAH</v>
      </c>
      <c r="C66" s="28">
        <f>IFERROR(__xludf.DUMMYFUNCTION("""COMPUTED_VALUE"""),2.02407002E9)</f>
        <v>2024070020</v>
      </c>
      <c r="D66" s="27" t="str">
        <f>IFERROR(__xludf.DUMMYFUNCTION("""COMPUTED_VALUE"""),"D")</f>
        <v>D</v>
      </c>
      <c r="E66" s="27" t="str">
        <f>IFERROR(__xludf.DUMMYFUNCTION("""COMPUTED_VALUE"""),"D-7")</f>
        <v>D-7</v>
      </c>
      <c r="F66" s="31">
        <f>IFERROR(__xludf.DUMMYFUNCTION("""COMPUTED_VALUE"""),3.0)</f>
        <v>3</v>
      </c>
      <c r="G66" s="27"/>
      <c r="H66" s="28" t="str">
        <f>IFERROR(__xludf.DUMMYFUNCTION("""COMPUTED_VALUE"""),"SUKAERI")</f>
        <v>SUKAERI</v>
      </c>
      <c r="I66" s="28" t="str">
        <f>IFERROR(__xludf.DUMMYFUNCTION("""COMPUTED_VALUE"""),"MUNZILAH")</f>
        <v>MUNZILAH</v>
      </c>
      <c r="J66" s="28" t="str">
        <f>IFERROR(__xludf.DUMMYFUNCTION("""COMPUTED_VALUE"""),"PETIYIN TAKERHARJO RT 1 RW 5 SOLOKURO LAMONGAN")</f>
        <v>PETIYIN TAKERHARJO RT 1 RW 5 SOLOKURO LAMONGAN</v>
      </c>
      <c r="K66" s="29" t="str">
        <f>IFERROR(__xludf.DUMMYFUNCTION("""COMPUTED_VALUE"""),"6285736463854")</f>
        <v>6285736463854</v>
      </c>
      <c r="L66" s="22">
        <f>IFERROR(__xludf.DUMMYFUNCTION("""COMPUTED_VALUE"""),1350000.0)</f>
        <v>1350000</v>
      </c>
      <c r="M66" s="22">
        <f>IFERROR(__xludf.DUMMYFUNCTION("""COMPUTED_VALUE"""),1000000.0)</f>
        <v>1000000</v>
      </c>
      <c r="N66" s="22">
        <f>IFERROR(__xludf.DUMMYFUNCTION("""COMPUTED_VALUE"""),0.0)</f>
        <v>0</v>
      </c>
      <c r="O66" s="22">
        <f>IFERROR(__xludf.DUMMYFUNCTION("""COMPUTED_VALUE"""),2350000.0)</f>
        <v>2350000</v>
      </c>
      <c r="P66" s="28" t="str">
        <f t="shared" si="1"/>
        <v>LUNAS</v>
      </c>
      <c r="Q66" s="28">
        <f t="shared" si="2"/>
        <v>17</v>
      </c>
      <c r="R66" s="28" t="str">
        <f t="shared" si="3"/>
        <v>NAJWA ERILAH</v>
      </c>
    </row>
    <row r="67">
      <c r="A67" s="27">
        <f>IFERROR(__xludf.DUMMYFUNCTION("""COMPUTED_VALUE"""),66.0)</f>
        <v>66</v>
      </c>
      <c r="B67" s="28" t="str">
        <f>IFERROR(__xludf.DUMMYFUNCTION("""COMPUTED_VALUE"""),"NIMAS AMINAH AZ-ZAHRAH")</f>
        <v>NIMAS AMINAH AZ-ZAHRAH</v>
      </c>
      <c r="C67" s="28">
        <f>IFERROR(__xludf.DUMMYFUNCTION("""COMPUTED_VALUE"""),2.024070433E9)</f>
        <v>2024070433</v>
      </c>
      <c r="D67" s="27" t="str">
        <f>IFERROR(__xludf.DUMMYFUNCTION("""COMPUTED_VALUE"""),"D")</f>
        <v>D</v>
      </c>
      <c r="E67" s="27" t="str">
        <f>IFERROR(__xludf.DUMMYFUNCTION("""COMPUTED_VALUE"""),"D-7")</f>
        <v>D-7</v>
      </c>
      <c r="F67" s="31">
        <f>IFERROR(__xludf.DUMMYFUNCTION("""COMPUTED_VALUE"""),3.0)</f>
        <v>3</v>
      </c>
      <c r="G67" s="27" t="str">
        <f>IFERROR(__xludf.DUMMYFUNCTION("""COMPUTED_VALUE"""),"3 MAK PUTRI")</f>
        <v>3 MAK PUTRI</v>
      </c>
      <c r="H67" s="28" t="str">
        <f>IFERROR(__xludf.DUMMYFUNCTION("""COMPUTED_VALUE"""),"ABD. MUGHNI")</f>
        <v>ABD. MUGHNI</v>
      </c>
      <c r="I67" s="28" t="str">
        <f>IFERROR(__xludf.DUMMYFUNCTION("""COMPUTED_VALUE"""),"ZIYADATUR RIF`AH")</f>
        <v>ZIYADATUR RIF`AH</v>
      </c>
      <c r="J67" s="28" t="str">
        <f>IFERROR(__xludf.DUMMYFUNCTION("""COMPUTED_VALUE"""),"BUNGAH RT 17 RW 6 BUNGAH GRESIK")</f>
        <v>BUNGAH RT 17 RW 6 BUNGAH GRESIK</v>
      </c>
      <c r="K67" s="29" t="str">
        <f>IFERROR(__xludf.DUMMYFUNCTION("""COMPUTED_VALUE"""),"6285731322231")</f>
        <v>6285731322231</v>
      </c>
      <c r="L67" s="22">
        <f>IFERROR(__xludf.DUMMYFUNCTION("""COMPUTED_VALUE"""),0.0)</f>
        <v>0</v>
      </c>
      <c r="M67" s="22">
        <f>IFERROR(__xludf.DUMMYFUNCTION("""COMPUTED_VALUE"""),0.0)</f>
        <v>0</v>
      </c>
      <c r="N67" s="22">
        <f>IFERROR(__xludf.DUMMYFUNCTION("""COMPUTED_VALUE"""),0.0)</f>
        <v>0</v>
      </c>
      <c r="O67" s="22">
        <f>IFERROR(__xludf.DUMMYFUNCTION("""COMPUTED_VALUE"""),0.0)</f>
        <v>0</v>
      </c>
      <c r="P67" s="28" t="str">
        <f t="shared" si="1"/>
        <v>LUNAS</v>
      </c>
      <c r="Q67" s="28">
        <f t="shared" si="2"/>
        <v>77</v>
      </c>
      <c r="R67" s="28" t="str">
        <f t="shared" si="3"/>
        <v>NIMAS AMINAH AZ-ZAHRAH</v>
      </c>
    </row>
    <row r="68">
      <c r="A68" s="27">
        <f>IFERROR(__xludf.DUMMYFUNCTION("""COMPUTED_VALUE"""),67.0)</f>
        <v>67</v>
      </c>
      <c r="B68" s="28" t="str">
        <f>IFERROR(__xludf.DUMMYFUNCTION("""COMPUTED_VALUE"""),"ROBI`AH AL-ADHAWIYAH")</f>
        <v>ROBI`AH AL-ADHAWIYAH</v>
      </c>
      <c r="C68" s="28">
        <f>IFERROR(__xludf.DUMMYFUNCTION("""COMPUTED_VALUE"""),2.024070022E9)</f>
        <v>2024070022</v>
      </c>
      <c r="D68" s="27" t="str">
        <f>IFERROR(__xludf.DUMMYFUNCTION("""COMPUTED_VALUE"""),"D")</f>
        <v>D</v>
      </c>
      <c r="E68" s="27" t="str">
        <f>IFERROR(__xludf.DUMMYFUNCTION("""COMPUTED_VALUE"""),"D-7")</f>
        <v>D-7</v>
      </c>
      <c r="F68" s="31">
        <f>IFERROR(__xludf.DUMMYFUNCTION("""COMPUTED_VALUE"""),3.0)</f>
        <v>3</v>
      </c>
      <c r="G68" s="27"/>
      <c r="H68" s="28" t="str">
        <f>IFERROR(__xludf.DUMMYFUNCTION("""COMPUTED_VALUE"""),"SUNYOTO")</f>
        <v>SUNYOTO</v>
      </c>
      <c r="I68" s="28" t="str">
        <f>IFERROR(__xludf.DUMMYFUNCTION("""COMPUTED_VALUE"""),"SURATI")</f>
        <v>SURATI</v>
      </c>
      <c r="J68" s="28" t="str">
        <f>IFERROR(__xludf.DUMMYFUNCTION("""COMPUTED_VALUE"""),"KRAJAN 1 SUKOBENDU RT 1 RW 2 MANTUP LAMONGAN")</f>
        <v>KRAJAN 1 SUKOBENDU RT 1 RW 2 MANTUP LAMONGAN</v>
      </c>
      <c r="K68" s="29" t="str">
        <f>IFERROR(__xludf.DUMMYFUNCTION("""COMPUTED_VALUE"""),"6285133823392")</f>
        <v>6285133823392</v>
      </c>
      <c r="L68" s="22">
        <f>IFERROR(__xludf.DUMMYFUNCTION("""COMPUTED_VALUE"""),2700000.0)</f>
        <v>2700000</v>
      </c>
      <c r="M68" s="22">
        <f>IFERROR(__xludf.DUMMYFUNCTION("""COMPUTED_VALUE"""),1000000.0)</f>
        <v>1000000</v>
      </c>
      <c r="N68" s="22">
        <f>IFERROR(__xludf.DUMMYFUNCTION("""COMPUTED_VALUE"""),0.0)</f>
        <v>0</v>
      </c>
      <c r="O68" s="22">
        <f>IFERROR(__xludf.DUMMYFUNCTION("""COMPUTED_VALUE"""),3700000.0)</f>
        <v>3700000</v>
      </c>
      <c r="P68" s="28" t="str">
        <f t="shared" si="1"/>
        <v>LUNAS</v>
      </c>
      <c r="Q68" s="28">
        <f t="shared" si="2"/>
        <v>11</v>
      </c>
      <c r="R68" s="28" t="str">
        <f t="shared" si="3"/>
        <v>ROBI`AH AL-ADHAWIYAH</v>
      </c>
    </row>
    <row r="69">
      <c r="A69" s="27">
        <f>IFERROR(__xludf.DUMMYFUNCTION("""COMPUTED_VALUE"""),68.0)</f>
        <v>68</v>
      </c>
      <c r="B69" s="28" t="str">
        <f>IFERROR(__xludf.DUMMYFUNCTION("""COMPUTED_VALUE"""),"ARISTA WIDYA SALSABILA")</f>
        <v>ARISTA WIDYA SALSABILA</v>
      </c>
      <c r="C69" s="28">
        <f>IFERROR(__xludf.DUMMYFUNCTION("""COMPUTED_VALUE"""),2.025070324E9)</f>
        <v>2025070324</v>
      </c>
      <c r="D69" s="27" t="str">
        <f>IFERROR(__xludf.DUMMYFUNCTION("""COMPUTED_VALUE"""),"D")</f>
        <v>D</v>
      </c>
      <c r="E69" s="27" t="str">
        <f>IFERROR(__xludf.DUMMYFUNCTION("""COMPUTED_VALUE"""),"D-8")</f>
        <v>D-8</v>
      </c>
      <c r="F69" s="31">
        <f>IFERROR(__xludf.DUMMYFUNCTION("""COMPUTED_VALUE"""),2.0)</f>
        <v>2</v>
      </c>
      <c r="G69" s="27" t="str">
        <f>IFERROR(__xludf.DUMMYFUNCTION("""COMPUTED_VALUE"""),"2 WUSTHO D PUTRI")</f>
        <v>2 WUSTHO D PUTRI</v>
      </c>
      <c r="H69" s="28" t="str">
        <f>IFERROR(__xludf.DUMMYFUNCTION("""COMPUTED_VALUE"""),"DJUMAIN")</f>
        <v>DJUMAIN</v>
      </c>
      <c r="I69" s="28" t="str">
        <f>IFERROR(__xludf.DUMMYFUNCTION("""COMPUTED_VALUE"""),"SITI ZAINAB")</f>
        <v>SITI ZAINAB</v>
      </c>
      <c r="J69" s="28" t="str">
        <f>IFERROR(__xludf.DUMMYFUNCTION("""COMPUTED_VALUE"""),"KARANGANOM KULON KARANGANOM RT 001 RW 001 KARANGBINANGUN LAMONGAN")</f>
        <v>KARANGANOM KULON KARANGANOM RT 001 RW 001 KARANGBINANGUN LAMONGAN</v>
      </c>
      <c r="K69" s="29" t="str">
        <f>IFERROR(__xludf.DUMMYFUNCTION("""COMPUTED_VALUE"""),"6285707536170")</f>
        <v>6285707536170</v>
      </c>
      <c r="L69" s="22">
        <f>IFERROR(__xludf.DUMMYFUNCTION("""COMPUTED_VALUE"""),0.0)</f>
        <v>0</v>
      </c>
      <c r="M69" s="22">
        <f>IFERROR(__xludf.DUMMYFUNCTION("""COMPUTED_VALUE"""),1000000.0)</f>
        <v>1000000</v>
      </c>
      <c r="N69" s="22">
        <f>IFERROR(__xludf.DUMMYFUNCTION("""COMPUTED_VALUE"""),0.0)</f>
        <v>0</v>
      </c>
      <c r="O69" s="22">
        <f>IFERROR(__xludf.DUMMYFUNCTION("""COMPUTED_VALUE"""),1000000.0)</f>
        <v>1000000</v>
      </c>
      <c r="P69" s="28" t="str">
        <f t="shared" si="1"/>
        <v>LUNAS</v>
      </c>
      <c r="Q69" s="28">
        <f t="shared" si="2"/>
        <v>36</v>
      </c>
      <c r="R69" s="28" t="str">
        <f t="shared" si="3"/>
        <v>ARISTA WIDYA SALSABILA</v>
      </c>
    </row>
    <row r="70">
      <c r="A70" s="27">
        <f>IFERROR(__xludf.DUMMYFUNCTION("""COMPUTED_VALUE"""),69.0)</f>
        <v>69</v>
      </c>
      <c r="B70" s="28" t="str">
        <f>IFERROR(__xludf.DUMMYFUNCTION("""COMPUTED_VALUE"""),"HALIMATUS SA`DIYYAH")</f>
        <v>HALIMATUS SA`DIYYAH</v>
      </c>
      <c r="C70" s="28">
        <f>IFERROR(__xludf.DUMMYFUNCTION("""COMPUTED_VALUE"""),2.025070335E9)</f>
        <v>2025070335</v>
      </c>
      <c r="D70" s="27" t="str">
        <f>IFERROR(__xludf.DUMMYFUNCTION("""COMPUTED_VALUE"""),"D")</f>
        <v>D</v>
      </c>
      <c r="E70" s="27" t="str">
        <f>IFERROR(__xludf.DUMMYFUNCTION("""COMPUTED_VALUE"""),"D-8")</f>
        <v>D-8</v>
      </c>
      <c r="F70" s="31">
        <f>IFERROR(__xludf.DUMMYFUNCTION("""COMPUTED_VALUE"""),2.0)</f>
        <v>2</v>
      </c>
      <c r="G70" s="27" t="str">
        <f>IFERROR(__xludf.DUMMYFUNCTION("""COMPUTED_VALUE"""),"2 WUSTHO A PUTRI")</f>
        <v>2 WUSTHO A PUTRI</v>
      </c>
      <c r="H70" s="28" t="str">
        <f>IFERROR(__xludf.DUMMYFUNCTION("""COMPUTED_VALUE"""),"H. MUKHLISIN")</f>
        <v>H. MUKHLISIN</v>
      </c>
      <c r="I70" s="28" t="str">
        <f>IFERROR(__xludf.DUMMYFUNCTION("""COMPUTED_VALUE"""),"HJ. ISTIANAH")</f>
        <v>HJ. ISTIANAH</v>
      </c>
      <c r="J70" s="28" t="str">
        <f>IFERROR(__xludf.DUMMYFUNCTION("""COMPUTED_VALUE"""),"SUNGELEBAK RT 013 RW 004 KARANGGENENG LAMONGAN")</f>
        <v>SUNGELEBAK RT 013 RW 004 KARANGGENENG LAMONGAN</v>
      </c>
      <c r="K70" s="29" t="str">
        <f>IFERROR(__xludf.DUMMYFUNCTION("""COMPUTED_VALUE"""),"6281332519614")</f>
        <v>6281332519614</v>
      </c>
      <c r="L70" s="22">
        <f>IFERROR(__xludf.DUMMYFUNCTION("""COMPUTED_VALUE"""),5400000.0)</f>
        <v>5400000</v>
      </c>
      <c r="M70" s="22">
        <f>IFERROR(__xludf.DUMMYFUNCTION("""COMPUTED_VALUE"""),0.0)</f>
        <v>0</v>
      </c>
      <c r="N70" s="22">
        <f>IFERROR(__xludf.DUMMYFUNCTION("""COMPUTED_VALUE"""),0.0)</f>
        <v>0</v>
      </c>
      <c r="O70" s="22">
        <f>IFERROR(__xludf.DUMMYFUNCTION("""COMPUTED_VALUE"""),5400000.0)</f>
        <v>5400000</v>
      </c>
      <c r="P70" s="28" t="str">
        <f t="shared" si="1"/>
        <v>LUNAS</v>
      </c>
      <c r="Q70" s="28">
        <f t="shared" si="2"/>
        <v>7</v>
      </c>
      <c r="R70" s="28" t="str">
        <f t="shared" si="3"/>
        <v>HALIMATUS SA`DIYYAH</v>
      </c>
    </row>
    <row r="71">
      <c r="A71" s="27">
        <f>IFERROR(__xludf.DUMMYFUNCTION("""COMPUTED_VALUE"""),70.0)</f>
        <v>70</v>
      </c>
      <c r="B71" s="28" t="str">
        <f>IFERROR(__xludf.DUMMYFUNCTION("""COMPUTED_VALUE"""),"KHOSIATUL NUR KARIMAH")</f>
        <v>KHOSIATUL NUR KARIMAH</v>
      </c>
      <c r="C71" s="28">
        <f>IFERROR(__xludf.DUMMYFUNCTION("""COMPUTED_VALUE"""),2.025070129E9)</f>
        <v>2025070129</v>
      </c>
      <c r="D71" s="27" t="str">
        <f>IFERROR(__xludf.DUMMYFUNCTION("""COMPUTED_VALUE"""),"D")</f>
        <v>D</v>
      </c>
      <c r="E71" s="27" t="str">
        <f>IFERROR(__xludf.DUMMYFUNCTION("""COMPUTED_VALUE"""),"D-8")</f>
        <v>D-8</v>
      </c>
      <c r="F71" s="31">
        <f>IFERROR(__xludf.DUMMYFUNCTION("""COMPUTED_VALUE"""),2.0)</f>
        <v>2</v>
      </c>
      <c r="G71" s="27" t="str">
        <f>IFERROR(__xludf.DUMMYFUNCTION("""COMPUTED_VALUE"""),"2 MAK PUTRI")</f>
        <v>2 MAK PUTRI</v>
      </c>
      <c r="H71" s="28" t="str">
        <f>IFERROR(__xludf.DUMMYFUNCTION("""COMPUTED_VALUE"""),"SAMIN")</f>
        <v>SAMIN</v>
      </c>
      <c r="I71" s="28" t="str">
        <f>IFERROR(__xludf.DUMMYFUNCTION("""COMPUTED_VALUE"""),"SHOLIKHAH")</f>
        <v>SHOLIKHAH</v>
      </c>
      <c r="J71" s="28" t="str">
        <f>IFERROR(__xludf.DUMMYFUNCTION("""COMPUTED_VALUE"""),"PADENGANPLOSO RT 008 RW 001 PUCUK LAMONGAN")</f>
        <v>PADENGANPLOSO RT 008 RW 001 PUCUK LAMONGAN</v>
      </c>
      <c r="K71" s="29" t="str">
        <f>IFERROR(__xludf.DUMMYFUNCTION("""COMPUTED_VALUE"""),"6285732185674")</f>
        <v>6285732185674</v>
      </c>
      <c r="L71" s="22">
        <f>IFERROR(__xludf.DUMMYFUNCTION("""COMPUTED_VALUE"""),0.0)</f>
        <v>0</v>
      </c>
      <c r="M71" s="22">
        <f>IFERROR(__xludf.DUMMYFUNCTION("""COMPUTED_VALUE"""),1000000.0)</f>
        <v>1000000</v>
      </c>
      <c r="N71" s="22">
        <f>IFERROR(__xludf.DUMMYFUNCTION("""COMPUTED_VALUE"""),0.0)</f>
        <v>0</v>
      </c>
      <c r="O71" s="22">
        <f>IFERROR(__xludf.DUMMYFUNCTION("""COMPUTED_VALUE"""),1000000.0)</f>
        <v>1000000</v>
      </c>
      <c r="P71" s="28" t="str">
        <f t="shared" si="1"/>
        <v>LUNAS</v>
      </c>
      <c r="Q71" s="28">
        <f t="shared" si="2"/>
        <v>37</v>
      </c>
      <c r="R71" s="28" t="str">
        <f t="shared" si="3"/>
        <v>KHOSIATUL NUR KARIMAH</v>
      </c>
    </row>
    <row r="72">
      <c r="A72" s="27">
        <f>IFERROR(__xludf.DUMMYFUNCTION("""COMPUTED_VALUE"""),71.0)</f>
        <v>71</v>
      </c>
      <c r="B72" s="28" t="str">
        <f>IFERROR(__xludf.DUMMYFUNCTION("""COMPUTED_VALUE"""),"NUR SAFIRA ALFA NIKMAH")</f>
        <v>NUR SAFIRA ALFA NIKMAH</v>
      </c>
      <c r="C72" s="28">
        <f>IFERROR(__xludf.DUMMYFUNCTION("""COMPUTED_VALUE"""),2.025070392E9)</f>
        <v>2025070392</v>
      </c>
      <c r="D72" s="27" t="str">
        <f>IFERROR(__xludf.DUMMYFUNCTION("""COMPUTED_VALUE"""),"D")</f>
        <v>D</v>
      </c>
      <c r="E72" s="27" t="str">
        <f>IFERROR(__xludf.DUMMYFUNCTION("""COMPUTED_VALUE"""),"D-8")</f>
        <v>D-8</v>
      </c>
      <c r="F72" s="31">
        <f>IFERROR(__xludf.DUMMYFUNCTION("""COMPUTED_VALUE"""),2.0)</f>
        <v>2</v>
      </c>
      <c r="G72" s="27" t="str">
        <f>IFERROR(__xludf.DUMMYFUNCTION("""COMPUTED_VALUE"""),"2 WUSTHO D PUTRI")</f>
        <v>2 WUSTHO D PUTRI</v>
      </c>
      <c r="H72" s="28" t="str">
        <f>IFERROR(__xludf.DUMMYFUNCTION("""COMPUTED_VALUE"""),"MUSTOHA")</f>
        <v>MUSTOHA</v>
      </c>
      <c r="I72" s="28" t="str">
        <f>IFERROR(__xludf.DUMMYFUNCTION("""COMPUTED_VALUE"""),"ALIYAH")</f>
        <v>ALIYAH</v>
      </c>
      <c r="J72" s="28" t="str">
        <f>IFERROR(__xludf.DUMMYFUNCTION("""COMPUTED_VALUE"""),"DAMPIT GEMPOLTUKMLOKO RT 001 RW 001 SARIREJO LAMONGAN")</f>
        <v>DAMPIT GEMPOLTUKMLOKO RT 001 RW 001 SARIREJO LAMONGAN</v>
      </c>
      <c r="K72" s="29" t="str">
        <f>IFERROR(__xludf.DUMMYFUNCTION("""COMPUTED_VALUE"""),"6285782663806")</f>
        <v>6285782663806</v>
      </c>
      <c r="L72" s="22">
        <f>IFERROR(__xludf.DUMMYFUNCTION("""COMPUTED_VALUE"""),900000.0)</f>
        <v>900000</v>
      </c>
      <c r="M72" s="22">
        <f>IFERROR(__xludf.DUMMYFUNCTION("""COMPUTED_VALUE"""),1000000.0)</f>
        <v>1000000</v>
      </c>
      <c r="N72" s="22">
        <f>IFERROR(__xludf.DUMMYFUNCTION("""COMPUTED_VALUE"""),0.0)</f>
        <v>0</v>
      </c>
      <c r="O72" s="22">
        <f>IFERROR(__xludf.DUMMYFUNCTION("""COMPUTED_VALUE"""),1900000.0)</f>
        <v>1900000</v>
      </c>
      <c r="P72" s="28" t="str">
        <f t="shared" si="1"/>
        <v>LUNAS</v>
      </c>
      <c r="Q72" s="28">
        <f t="shared" si="2"/>
        <v>21</v>
      </c>
      <c r="R72" s="28" t="str">
        <f t="shared" si="3"/>
        <v>NUR SAFIRA ALFA NIKMAH</v>
      </c>
    </row>
    <row r="73">
      <c r="A73" s="27">
        <f>IFERROR(__xludf.DUMMYFUNCTION("""COMPUTED_VALUE"""),72.0)</f>
        <v>72</v>
      </c>
      <c r="B73" s="28" t="str">
        <f>IFERROR(__xludf.DUMMYFUNCTION("""COMPUTED_VALUE"""),"RICHANAH NADWA")</f>
        <v>RICHANAH NADWA</v>
      </c>
      <c r="C73" s="28">
        <f>IFERROR(__xludf.DUMMYFUNCTION("""COMPUTED_VALUE"""),2.025070325E9)</f>
        <v>2025070325</v>
      </c>
      <c r="D73" s="27" t="str">
        <f>IFERROR(__xludf.DUMMYFUNCTION("""COMPUTED_VALUE"""),"D")</f>
        <v>D</v>
      </c>
      <c r="E73" s="27" t="str">
        <f>IFERROR(__xludf.DUMMYFUNCTION("""COMPUTED_VALUE"""),"D-8")</f>
        <v>D-8</v>
      </c>
      <c r="F73" s="31">
        <f>IFERROR(__xludf.DUMMYFUNCTION("""COMPUTED_VALUE"""),2.0)</f>
        <v>2</v>
      </c>
      <c r="G73" s="27" t="str">
        <f>IFERROR(__xludf.DUMMYFUNCTION("""COMPUTED_VALUE"""),"2 WUSTHO D PUTRI")</f>
        <v>2 WUSTHO D PUTRI</v>
      </c>
      <c r="H73" s="28" t="str">
        <f>IFERROR(__xludf.DUMMYFUNCTION("""COMPUTED_VALUE"""),"MOHAMMAD HASAN")</f>
        <v>MOHAMMAD HASAN</v>
      </c>
      <c r="I73" s="28" t="str">
        <f>IFERROR(__xludf.DUMMYFUNCTION("""COMPUTED_VALUE"""),"MUKARROMAH")</f>
        <v>MUKARROMAH</v>
      </c>
      <c r="J73" s="28" t="str">
        <f>IFERROR(__xludf.DUMMYFUNCTION("""COMPUTED_VALUE"""),"KARANGANOM KULON KARANGANOM RT 002 RW 001 KARANGBINANGUN LAMONGAN")</f>
        <v>KARANGANOM KULON KARANGANOM RT 002 RW 001 KARANGBINANGUN LAMONGAN</v>
      </c>
      <c r="K73" s="29" t="str">
        <f>IFERROR(__xludf.DUMMYFUNCTION("""COMPUTED_VALUE"""),"6281246891846")</f>
        <v>6281246891846</v>
      </c>
      <c r="L73" s="22">
        <f>IFERROR(__xludf.DUMMYFUNCTION("""COMPUTED_VALUE"""),0.0)</f>
        <v>0</v>
      </c>
      <c r="M73" s="22">
        <f>IFERROR(__xludf.DUMMYFUNCTION("""COMPUTED_VALUE"""),1000000.0)</f>
        <v>1000000</v>
      </c>
      <c r="N73" s="22">
        <f>IFERROR(__xludf.DUMMYFUNCTION("""COMPUTED_VALUE"""),0.0)</f>
        <v>0</v>
      </c>
      <c r="O73" s="22">
        <f>IFERROR(__xludf.DUMMYFUNCTION("""COMPUTED_VALUE"""),1000000.0)</f>
        <v>1000000</v>
      </c>
      <c r="P73" s="28" t="str">
        <f t="shared" si="1"/>
        <v>LUNAS</v>
      </c>
      <c r="Q73" s="28">
        <f t="shared" si="2"/>
        <v>38</v>
      </c>
      <c r="R73" s="28" t="str">
        <f t="shared" si="3"/>
        <v>RICHANAH NADWA</v>
      </c>
    </row>
    <row r="74">
      <c r="A74" s="27">
        <f>IFERROR(__xludf.DUMMYFUNCTION("""COMPUTED_VALUE"""),73.0)</f>
        <v>73</v>
      </c>
      <c r="B74" s="28" t="str">
        <f>IFERROR(__xludf.DUMMYFUNCTION("""COMPUTED_VALUE"""),"SARIFATUL HIDAYAH")</f>
        <v>SARIFATUL HIDAYAH</v>
      </c>
      <c r="C74" s="28">
        <f>IFERROR(__xludf.DUMMYFUNCTION("""COMPUTED_VALUE"""),2.025070433E9)</f>
        <v>2025070433</v>
      </c>
      <c r="D74" s="27" t="str">
        <f>IFERROR(__xludf.DUMMYFUNCTION("""COMPUTED_VALUE"""),"D")</f>
        <v>D</v>
      </c>
      <c r="E74" s="27" t="str">
        <f>IFERROR(__xludf.DUMMYFUNCTION("""COMPUTED_VALUE"""),"D-8")</f>
        <v>D-8</v>
      </c>
      <c r="F74" s="31">
        <f>IFERROR(__xludf.DUMMYFUNCTION("""COMPUTED_VALUE"""),2.0)</f>
        <v>2</v>
      </c>
      <c r="G74" s="27" t="str">
        <f>IFERROR(__xludf.DUMMYFUNCTION("""COMPUTED_VALUE"""),"2 WUSTHO A PUTRI")</f>
        <v>2 WUSTHO A PUTRI</v>
      </c>
      <c r="H74" s="28" t="str">
        <f>IFERROR(__xludf.DUMMYFUNCTION("""COMPUTED_VALUE"""),"SUPRIYADI")</f>
        <v>SUPRIYADI</v>
      </c>
      <c r="I74" s="28" t="str">
        <f>IFERROR(__xludf.DUMMYFUNCTION("""COMPUTED_VALUE"""),"MAZRO`ATUL HASANAH")</f>
        <v>MAZRO`ATUL HASANAH</v>
      </c>
      <c r="J74" s="28" t="str">
        <f>IFERROR(__xludf.DUMMYFUNCTION("""COMPUTED_VALUE"""),"LUMBANGAN PENDOWOLIMO RT 003 RW 001 KARANGBINANGUN LAMONGAN")</f>
        <v>LUMBANGAN PENDOWOLIMO RT 003 RW 001 KARANGBINANGUN LAMONGAN</v>
      </c>
      <c r="K74" s="29" t="str">
        <f>IFERROR(__xludf.DUMMYFUNCTION("""COMPUTED_VALUE"""),"6285791612961")</f>
        <v>6285791612961</v>
      </c>
      <c r="L74" s="22">
        <f>IFERROR(__xludf.DUMMYFUNCTION("""COMPUTED_VALUE"""),450000.0)</f>
        <v>450000</v>
      </c>
      <c r="M74" s="22">
        <f>IFERROR(__xludf.DUMMYFUNCTION("""COMPUTED_VALUE"""),0.0)</f>
        <v>0</v>
      </c>
      <c r="N74" s="22">
        <f>IFERROR(__xludf.DUMMYFUNCTION("""COMPUTED_VALUE"""),0.0)</f>
        <v>0</v>
      </c>
      <c r="O74" s="22">
        <f>IFERROR(__xludf.DUMMYFUNCTION("""COMPUTED_VALUE"""),450000.0)</f>
        <v>450000</v>
      </c>
      <c r="P74" s="28" t="str">
        <f t="shared" si="1"/>
        <v>LUNAS</v>
      </c>
      <c r="Q74" s="28">
        <f t="shared" si="2"/>
        <v>46</v>
      </c>
      <c r="R74" s="28" t="str">
        <f t="shared" si="3"/>
        <v>SARIFATUL HIDAYAH</v>
      </c>
    </row>
    <row r="75">
      <c r="A75" s="27">
        <f>IFERROR(__xludf.DUMMYFUNCTION("""COMPUTED_VALUE"""),74.0)</f>
        <v>74</v>
      </c>
      <c r="B75" s="28" t="str">
        <f>IFERROR(__xludf.DUMMYFUNCTION("""COMPUTED_VALUE"""),"SYARIFATUL ULEM AZ ZUMY")</f>
        <v>SYARIFATUL ULEM AZ ZUMY</v>
      </c>
      <c r="C75" s="28">
        <f>IFERROR(__xludf.DUMMYFUNCTION("""COMPUTED_VALUE"""),2.025070361E9)</f>
        <v>2025070361</v>
      </c>
      <c r="D75" s="27" t="str">
        <f>IFERROR(__xludf.DUMMYFUNCTION("""COMPUTED_VALUE"""),"D")</f>
        <v>D</v>
      </c>
      <c r="E75" s="27" t="str">
        <f>IFERROR(__xludf.DUMMYFUNCTION("""COMPUTED_VALUE"""),"D-8")</f>
        <v>D-8</v>
      </c>
      <c r="F75" s="31">
        <f>IFERROR(__xludf.DUMMYFUNCTION("""COMPUTED_VALUE"""),2.0)</f>
        <v>2</v>
      </c>
      <c r="G75" s="27" t="str">
        <f>IFERROR(__xludf.DUMMYFUNCTION("""COMPUTED_VALUE"""),"2 WUSTHO A PUTRI")</f>
        <v>2 WUSTHO A PUTRI</v>
      </c>
      <c r="H75" s="28" t="str">
        <f>IFERROR(__xludf.DUMMYFUNCTION("""COMPUTED_VALUE"""),"MATUHUM")</f>
        <v>MATUHUM</v>
      </c>
      <c r="I75" s="28" t="str">
        <f>IFERROR(__xludf.DUMMYFUNCTION("""COMPUTED_VALUE"""),"SITI HABIBAH")</f>
        <v>SITI HABIBAH</v>
      </c>
      <c r="J75" s="28" t="str">
        <f>IFERROR(__xludf.DUMMYFUNCTION("""COMPUTED_VALUE"""),"KEPUDIWETAN KEPUDIBENER RT 001 RW 002 TURI LAMONGAN")</f>
        <v>KEPUDIWETAN KEPUDIBENER RT 001 RW 002 TURI LAMONGAN</v>
      </c>
      <c r="K75" s="29" t="str">
        <f>IFERROR(__xludf.DUMMYFUNCTION("""COMPUTED_VALUE"""),"6281515883545")</f>
        <v>6281515883545</v>
      </c>
      <c r="L75" s="22">
        <f>IFERROR(__xludf.DUMMYFUNCTION("""COMPUTED_VALUE"""),900000.0)</f>
        <v>900000</v>
      </c>
      <c r="M75" s="22">
        <f>IFERROR(__xludf.DUMMYFUNCTION("""COMPUTED_VALUE"""),1000000.0)</f>
        <v>1000000</v>
      </c>
      <c r="N75" s="22">
        <f>IFERROR(__xludf.DUMMYFUNCTION("""COMPUTED_VALUE"""),0.0)</f>
        <v>0</v>
      </c>
      <c r="O75" s="22">
        <f>IFERROR(__xludf.DUMMYFUNCTION("""COMPUTED_VALUE"""),1900000.0)</f>
        <v>1900000</v>
      </c>
      <c r="P75" s="28" t="str">
        <f t="shared" si="1"/>
        <v>LUNAS</v>
      </c>
      <c r="Q75" s="28">
        <f t="shared" si="2"/>
        <v>22</v>
      </c>
      <c r="R75" s="28" t="str">
        <f t="shared" si="3"/>
        <v>SYARIFATUL ULEM AZ ZUMY</v>
      </c>
    </row>
    <row r="76">
      <c r="A76" s="27">
        <f>IFERROR(__xludf.DUMMYFUNCTION("""COMPUTED_VALUE"""),75.0)</f>
        <v>75</v>
      </c>
      <c r="B76" s="28" t="str">
        <f>IFERROR(__xludf.DUMMYFUNCTION("""COMPUTED_VALUE"""),"VANESA MAURA AS SHAFANIA")</f>
        <v>VANESA MAURA AS SHAFANIA</v>
      </c>
      <c r="C76" s="28">
        <f>IFERROR(__xludf.DUMMYFUNCTION("""COMPUTED_VALUE"""),2.02507025E9)</f>
        <v>2025070250</v>
      </c>
      <c r="D76" s="27" t="str">
        <f>IFERROR(__xludf.DUMMYFUNCTION("""COMPUTED_VALUE"""),"D")</f>
        <v>D</v>
      </c>
      <c r="E76" s="27" t="str">
        <f>IFERROR(__xludf.DUMMYFUNCTION("""COMPUTED_VALUE"""),"D-8")</f>
        <v>D-8</v>
      </c>
      <c r="F76" s="31">
        <f>IFERROR(__xludf.DUMMYFUNCTION("""COMPUTED_VALUE"""),2.0)</f>
        <v>2</v>
      </c>
      <c r="G76" s="27" t="str">
        <f>IFERROR(__xludf.DUMMYFUNCTION("""COMPUTED_VALUE"""),"2 WUSTHO A PUTRI")</f>
        <v>2 WUSTHO A PUTRI</v>
      </c>
      <c r="H76" s="28" t="str">
        <f>IFERROR(__xludf.DUMMYFUNCTION("""COMPUTED_VALUE"""),"SUMARTONO")</f>
        <v>SUMARTONO</v>
      </c>
      <c r="I76" s="28" t="str">
        <f>IFERROR(__xludf.DUMMYFUNCTION("""COMPUTED_VALUE"""),"NI'AM AL ULYA")</f>
        <v>NI'AM AL ULYA</v>
      </c>
      <c r="J76" s="28" t="str">
        <f>IFERROR(__xludf.DUMMYFUNCTION("""COMPUTED_VALUE"""),"KARANGTAWAR RT 003 RW 001 LAREN LAMONGAN")</f>
        <v>KARANGTAWAR RT 003 RW 001 LAREN LAMONGAN</v>
      </c>
      <c r="K76" s="29" t="str">
        <f>IFERROR(__xludf.DUMMYFUNCTION("""COMPUTED_VALUE"""),"6285648260302")</f>
        <v>6285648260302</v>
      </c>
      <c r="L76" s="22">
        <f>IFERROR(__xludf.DUMMYFUNCTION("""COMPUTED_VALUE"""),0.0)</f>
        <v>0</v>
      </c>
      <c r="M76" s="22">
        <f>IFERROR(__xludf.DUMMYFUNCTION("""COMPUTED_VALUE"""),0.0)</f>
        <v>0</v>
      </c>
      <c r="N76" s="22">
        <f>IFERROR(__xludf.DUMMYFUNCTION("""COMPUTED_VALUE"""),0.0)</f>
        <v>0</v>
      </c>
      <c r="O76" s="22">
        <f>IFERROR(__xludf.DUMMYFUNCTION("""COMPUTED_VALUE"""),0.0)</f>
        <v>0</v>
      </c>
      <c r="P76" s="28" t="str">
        <f t="shared" si="1"/>
        <v>LUNAS</v>
      </c>
      <c r="Q76" s="28">
        <f t="shared" si="2"/>
        <v>78</v>
      </c>
      <c r="R76" s="28" t="str">
        <f t="shared" si="3"/>
        <v>VANESA MAURA AS SHAFANIA</v>
      </c>
    </row>
    <row r="77">
      <c r="A77" s="27">
        <f>IFERROR(__xludf.DUMMYFUNCTION("""COMPUTED_VALUE"""),76.0)</f>
        <v>76</v>
      </c>
      <c r="B77" s="28" t="str">
        <f>IFERROR(__xludf.DUMMYFUNCTION("""COMPUTED_VALUE"""),"ZUMLATIN AZFIRUH RIZFAH")</f>
        <v>ZUMLATIN AZFIRUH RIZFAH</v>
      </c>
      <c r="C77" s="28">
        <f>IFERROR(__xludf.DUMMYFUNCTION("""COMPUTED_VALUE"""),2.025070383E9)</f>
        <v>2025070383</v>
      </c>
      <c r="D77" s="27" t="str">
        <f>IFERROR(__xludf.DUMMYFUNCTION("""COMPUTED_VALUE"""),"D")</f>
        <v>D</v>
      </c>
      <c r="E77" s="27" t="str">
        <f>IFERROR(__xludf.DUMMYFUNCTION("""COMPUTED_VALUE"""),"D-8")</f>
        <v>D-8</v>
      </c>
      <c r="F77" s="31">
        <f>IFERROR(__xludf.DUMMYFUNCTION("""COMPUTED_VALUE"""),2.0)</f>
        <v>2</v>
      </c>
      <c r="G77" s="27" t="str">
        <f>IFERROR(__xludf.DUMMYFUNCTION("""COMPUTED_VALUE"""),"2 WUSTHO A PUTRI")</f>
        <v>2 WUSTHO A PUTRI</v>
      </c>
      <c r="H77" s="28" t="str">
        <f>IFERROR(__xludf.DUMMYFUNCTION("""COMPUTED_VALUE"""),"AKHMAD JAIS")</f>
        <v>AKHMAD JAIS</v>
      </c>
      <c r="I77" s="28" t="str">
        <f>IFERROR(__xludf.DUMMYFUNCTION("""COMPUTED_VALUE"""),"SURI`AH")</f>
        <v>SURI`AH</v>
      </c>
      <c r="J77" s="28" t="str">
        <f>IFERROR(__xludf.DUMMYFUNCTION("""COMPUTED_VALUE"""),"NGUJUNG NGUJUNGREJO RT 005 RW 002 TURI LAMONGAN")</f>
        <v>NGUJUNG NGUJUNGREJO RT 005 RW 002 TURI LAMONGAN</v>
      </c>
      <c r="K77" s="29" t="str">
        <f>IFERROR(__xludf.DUMMYFUNCTION("""COMPUTED_VALUE"""),"6282331336664")</f>
        <v>6282331336664</v>
      </c>
      <c r="L77" s="22">
        <f>IFERROR(__xludf.DUMMYFUNCTION("""COMPUTED_VALUE"""),0.0)</f>
        <v>0</v>
      </c>
      <c r="M77" s="22">
        <f>IFERROR(__xludf.DUMMYFUNCTION("""COMPUTED_VALUE"""),1000000.0)</f>
        <v>1000000</v>
      </c>
      <c r="N77" s="22">
        <f>IFERROR(__xludf.DUMMYFUNCTION("""COMPUTED_VALUE"""),0.0)</f>
        <v>0</v>
      </c>
      <c r="O77" s="22">
        <f>IFERROR(__xludf.DUMMYFUNCTION("""COMPUTED_VALUE"""),1000000.0)</f>
        <v>1000000</v>
      </c>
      <c r="P77" s="28" t="str">
        <f t="shared" si="1"/>
        <v>LUNAS</v>
      </c>
      <c r="Q77" s="28">
        <f t="shared" si="2"/>
        <v>39</v>
      </c>
      <c r="R77" s="28" t="str">
        <f t="shared" si="3"/>
        <v>ZUMLATIN AZFIRUH RIZFAH</v>
      </c>
    </row>
    <row r="78">
      <c r="A78" s="27">
        <f>IFERROR(__xludf.DUMMYFUNCTION("""COMPUTED_VALUE"""),77.0)</f>
        <v>77</v>
      </c>
      <c r="B78" s="28" t="str">
        <f>IFERROR(__xludf.DUMMYFUNCTION("""COMPUTED_VALUE"""),"AQILAH AULIYA` AL FATHONY")</f>
        <v>AQILAH AULIYA` AL FATHONY</v>
      </c>
      <c r="C78" s="28">
        <f>IFERROR(__xludf.DUMMYFUNCTION("""COMPUTED_VALUE"""),2.025070451E9)</f>
        <v>2025070451</v>
      </c>
      <c r="D78" s="27" t="str">
        <f>IFERROR(__xludf.DUMMYFUNCTION("""COMPUTED_VALUE"""),"D")</f>
        <v>D</v>
      </c>
      <c r="E78" s="27" t="str">
        <f>IFERROR(__xludf.DUMMYFUNCTION("""COMPUTED_VALUE"""),"D-8")</f>
        <v>D-8</v>
      </c>
      <c r="F78" s="31">
        <f>IFERROR(__xludf.DUMMYFUNCTION("""COMPUTED_VALUE"""),2.0)</f>
        <v>2</v>
      </c>
      <c r="G78" s="27" t="str">
        <f>IFERROR(__xludf.DUMMYFUNCTION("""COMPUTED_VALUE"""),"2 WUSTHO A PUTRI")</f>
        <v>2 WUSTHO A PUTRI</v>
      </c>
      <c r="H78" s="28" t="str">
        <f>IFERROR(__xludf.DUMMYFUNCTION("""COMPUTED_VALUE"""),"WAHIB FATHONY")</f>
        <v>WAHIB FATHONY</v>
      </c>
      <c r="I78" s="28" t="str">
        <f>IFERROR(__xludf.DUMMYFUNCTION("""COMPUTED_VALUE"""),"MUDAWAMAH")</f>
        <v>MUDAWAMAH</v>
      </c>
      <c r="J78" s="28" t="str">
        <f>IFERROR(__xludf.DUMMYFUNCTION("""COMPUTED_VALUE"""),"PALOH RT 005 RW 003 PACIRAN LAMONGAN")</f>
        <v>PALOH RT 005 RW 003 PACIRAN LAMONGAN</v>
      </c>
      <c r="K78" s="29" t="str">
        <f>IFERROR(__xludf.DUMMYFUNCTION("""COMPUTED_VALUE"""),"6285855737597")</f>
        <v>6285855737597</v>
      </c>
      <c r="L78" s="22">
        <f>IFERROR(__xludf.DUMMYFUNCTION("""COMPUTED_VALUE"""),1350000.0)</f>
        <v>1350000</v>
      </c>
      <c r="M78" s="22">
        <f>IFERROR(__xludf.DUMMYFUNCTION("""COMPUTED_VALUE"""),1000000.0)</f>
        <v>1000000</v>
      </c>
      <c r="N78" s="22">
        <f>IFERROR(__xludf.DUMMYFUNCTION("""COMPUTED_VALUE"""),0.0)</f>
        <v>0</v>
      </c>
      <c r="O78" s="22">
        <f>IFERROR(__xludf.DUMMYFUNCTION("""COMPUTED_VALUE"""),2350000.0)</f>
        <v>2350000</v>
      </c>
      <c r="P78" s="28" t="str">
        <f t="shared" si="1"/>
        <v>LUNAS</v>
      </c>
      <c r="Q78" s="28">
        <f t="shared" si="2"/>
        <v>18</v>
      </c>
      <c r="R78" s="28" t="str">
        <f t="shared" si="3"/>
        <v>AQILAH AULIYA` AL FATHONY</v>
      </c>
    </row>
    <row r="79">
      <c r="A79" s="27">
        <f>IFERROR(__xludf.DUMMYFUNCTION("""COMPUTED_VALUE"""),78.0)</f>
        <v>78</v>
      </c>
      <c r="B79" s="28" t="str">
        <f>IFERROR(__xludf.DUMMYFUNCTION("""COMPUTED_VALUE"""),"SHOHIFAH")</f>
        <v>SHOHIFAH</v>
      </c>
      <c r="C79" s="28">
        <f>IFERROR(__xludf.DUMMYFUNCTION("""COMPUTED_VALUE"""),2.02507042E9)</f>
        <v>2025070420</v>
      </c>
      <c r="D79" s="27" t="str">
        <f>IFERROR(__xludf.DUMMYFUNCTION("""COMPUTED_VALUE"""),"D")</f>
        <v>D</v>
      </c>
      <c r="E79" s="27" t="str">
        <f>IFERROR(__xludf.DUMMYFUNCTION("""COMPUTED_VALUE"""),"D-8")</f>
        <v>D-8</v>
      </c>
      <c r="F79" s="31">
        <f>IFERROR(__xludf.DUMMYFUNCTION("""COMPUTED_VALUE"""),2.0)</f>
        <v>2</v>
      </c>
      <c r="G79" s="27" t="str">
        <f>IFERROR(__xludf.DUMMYFUNCTION("""COMPUTED_VALUE"""),"2 WUSTHO D PUTRI")</f>
        <v>2 WUSTHO D PUTRI</v>
      </c>
      <c r="H79" s="28" t="str">
        <f>IFERROR(__xludf.DUMMYFUNCTION("""COMPUTED_VALUE"""),"MUDLOFIR")</f>
        <v>MUDLOFIR</v>
      </c>
      <c r="I79" s="28" t="str">
        <f>IFERROR(__xludf.DUMMYFUNCTION("""COMPUTED_VALUE"""),"ZAIDAH")</f>
        <v>ZAIDAH</v>
      </c>
      <c r="J79" s="28" t="str">
        <f>IFERROR(__xludf.DUMMYFUNCTION("""COMPUTED_VALUE"""),"POMAHANJANGGAN RT 007 RW 003 TURI LAMONGAN")</f>
        <v>POMAHANJANGGAN RT 007 RW 003 TURI LAMONGAN</v>
      </c>
      <c r="K79" s="29" t="str">
        <f>IFERROR(__xludf.DUMMYFUNCTION("""COMPUTED_VALUE"""),"628139398016")</f>
        <v>628139398016</v>
      </c>
      <c r="L79" s="22">
        <f>IFERROR(__xludf.DUMMYFUNCTION("""COMPUTED_VALUE"""),3600000.0)</f>
        <v>3600000</v>
      </c>
      <c r="M79" s="22">
        <f>IFERROR(__xludf.DUMMYFUNCTION("""COMPUTED_VALUE"""),1600000.0)</f>
        <v>1600000</v>
      </c>
      <c r="N79" s="22">
        <f>IFERROR(__xludf.DUMMYFUNCTION("""COMPUTED_VALUE"""),0.0)</f>
        <v>0</v>
      </c>
      <c r="O79" s="22">
        <f>IFERROR(__xludf.DUMMYFUNCTION("""COMPUTED_VALUE"""),5200000.0)</f>
        <v>5200000</v>
      </c>
      <c r="P79" s="28" t="str">
        <f t="shared" si="1"/>
        <v>LUNAS</v>
      </c>
      <c r="Q79" s="28">
        <f t="shared" si="2"/>
        <v>8</v>
      </c>
      <c r="R79" s="28" t="str">
        <f t="shared" si="3"/>
        <v>SHOHIFAH</v>
      </c>
    </row>
    <row r="80">
      <c r="A80" s="27" t="str">
        <f>IFERROR(__xludf.DUMMYFUNCTION("""COMPUTED_VALUE"""),"")</f>
        <v/>
      </c>
      <c r="B80" s="28"/>
      <c r="C80" s="28"/>
      <c r="D80" s="27"/>
      <c r="E80" s="27"/>
      <c r="F80" s="27"/>
      <c r="G80" s="27"/>
      <c r="H80" s="28"/>
      <c r="I80" s="28"/>
      <c r="J80" s="28"/>
      <c r="K80" s="28"/>
      <c r="L80" s="28"/>
      <c r="M80" s="28"/>
      <c r="N80" s="28"/>
      <c r="O80" s="28"/>
      <c r="P80" s="28" t="str">
        <f t="shared" si="1"/>
        <v>LUNAS</v>
      </c>
      <c r="Q80" s="28">
        <f t="shared" si="2"/>
        <v>46</v>
      </c>
      <c r="R80" s="28" t="str">
        <f t="shared" si="3"/>
        <v/>
      </c>
    </row>
    <row r="81">
      <c r="A81" s="27" t="str">
        <f>IFERROR(__xludf.DUMMYFUNCTION("""COMPUTED_VALUE"""),"")</f>
        <v/>
      </c>
      <c r="B81" s="28"/>
      <c r="C81" s="28"/>
      <c r="D81" s="27"/>
      <c r="E81" s="27"/>
      <c r="F81" s="27"/>
      <c r="G81" s="27"/>
      <c r="H81" s="28"/>
      <c r="I81" s="28"/>
      <c r="J81" s="28"/>
      <c r="K81" s="28"/>
      <c r="L81" s="28"/>
      <c r="M81" s="28"/>
      <c r="N81" s="28"/>
      <c r="O81" s="28"/>
      <c r="P81" s="28" t="str">
        <f t="shared" si="1"/>
        <v>LUNAS</v>
      </c>
      <c r="Q81" s="28">
        <f t="shared" si="2"/>
        <v>46</v>
      </c>
      <c r="R81" s="28" t="str">
        <f t="shared" si="3"/>
        <v/>
      </c>
    </row>
    <row r="82">
      <c r="A82" s="27" t="str">
        <f>IFERROR(__xludf.DUMMYFUNCTION("""COMPUTED_VALUE"""),"")</f>
        <v/>
      </c>
      <c r="B82" s="28"/>
      <c r="C82" s="28"/>
      <c r="D82" s="27"/>
      <c r="E82" s="27"/>
      <c r="F82" s="27"/>
      <c r="G82" s="27"/>
      <c r="H82" s="28"/>
      <c r="I82" s="28"/>
      <c r="J82" s="28"/>
      <c r="K82" s="28"/>
      <c r="L82" s="28"/>
      <c r="M82" s="28"/>
      <c r="N82" s="28"/>
      <c r="O82" s="28"/>
      <c r="P82" s="28" t="str">
        <f t="shared" si="1"/>
        <v>LUNAS</v>
      </c>
      <c r="Q82" s="28">
        <f t="shared" si="2"/>
        <v>46</v>
      </c>
      <c r="R82" s="28" t="str">
        <f t="shared" si="3"/>
        <v/>
      </c>
    </row>
    <row r="83">
      <c r="A83" s="27" t="str">
        <f>IFERROR(__xludf.DUMMYFUNCTION("""COMPUTED_VALUE"""),"")</f>
        <v/>
      </c>
      <c r="B83" s="28"/>
      <c r="C83" s="28"/>
      <c r="D83" s="27"/>
      <c r="E83" s="27"/>
      <c r="F83" s="27"/>
      <c r="G83" s="27"/>
      <c r="H83" s="28"/>
      <c r="I83" s="28"/>
      <c r="J83" s="28"/>
      <c r="K83" s="28"/>
      <c r="L83" s="28"/>
      <c r="M83" s="28"/>
      <c r="N83" s="28"/>
      <c r="O83" s="28"/>
      <c r="P83" s="28" t="str">
        <f t="shared" si="1"/>
        <v>LUNAS</v>
      </c>
      <c r="Q83" s="28">
        <f t="shared" si="2"/>
        <v>46</v>
      </c>
      <c r="R83" s="28" t="str">
        <f t="shared" si="3"/>
        <v/>
      </c>
    </row>
    <row r="84">
      <c r="A84" s="27" t="str">
        <f>IFERROR(__xludf.DUMMYFUNCTION("""COMPUTED_VALUE"""),"")</f>
        <v/>
      </c>
      <c r="B84" s="28"/>
      <c r="C84" s="28"/>
      <c r="D84" s="27"/>
      <c r="E84" s="27"/>
      <c r="F84" s="27"/>
      <c r="G84" s="27"/>
      <c r="H84" s="28"/>
      <c r="I84" s="28"/>
      <c r="J84" s="28"/>
      <c r="K84" s="28"/>
      <c r="L84" s="28"/>
      <c r="M84" s="28"/>
      <c r="N84" s="28"/>
      <c r="O84" s="28"/>
      <c r="P84" s="28" t="str">
        <f t="shared" si="1"/>
        <v>LUNAS</v>
      </c>
      <c r="Q84" s="28">
        <f t="shared" si="2"/>
        <v>46</v>
      </c>
      <c r="R84" s="28" t="str">
        <f t="shared" si="3"/>
        <v/>
      </c>
    </row>
    <row r="85">
      <c r="A85" s="27" t="str">
        <f>IFERROR(__xludf.DUMMYFUNCTION("""COMPUTED_VALUE"""),"")</f>
        <v/>
      </c>
      <c r="B85" s="28"/>
      <c r="C85" s="28"/>
      <c r="D85" s="27"/>
      <c r="E85" s="27"/>
      <c r="F85" s="27"/>
      <c r="G85" s="27"/>
      <c r="H85" s="28"/>
      <c r="I85" s="28"/>
      <c r="J85" s="28"/>
      <c r="K85" s="28"/>
      <c r="L85" s="28"/>
      <c r="M85" s="28"/>
      <c r="N85" s="28"/>
      <c r="O85" s="28"/>
      <c r="P85" s="28" t="str">
        <f t="shared" si="1"/>
        <v>LUNAS</v>
      </c>
      <c r="Q85" s="28">
        <f t="shared" si="2"/>
        <v>46</v>
      </c>
      <c r="R85" s="28" t="str">
        <f t="shared" si="3"/>
        <v/>
      </c>
    </row>
    <row r="86">
      <c r="A86" s="27" t="str">
        <f>IFERROR(__xludf.DUMMYFUNCTION("""COMPUTED_VALUE"""),"")</f>
        <v/>
      </c>
      <c r="B86" s="28"/>
      <c r="C86" s="28"/>
      <c r="D86" s="27"/>
      <c r="E86" s="27"/>
      <c r="F86" s="27"/>
      <c r="G86" s="27"/>
      <c r="H86" s="28"/>
      <c r="I86" s="28"/>
      <c r="J86" s="28"/>
      <c r="K86" s="28"/>
      <c r="L86" s="28"/>
      <c r="M86" s="28"/>
      <c r="N86" s="28"/>
      <c r="O86" s="28"/>
      <c r="P86" s="28" t="str">
        <f t="shared" si="1"/>
        <v>LUNAS</v>
      </c>
      <c r="Q86" s="28">
        <f t="shared" si="2"/>
        <v>46</v>
      </c>
      <c r="R86" s="28" t="str">
        <f t="shared" si="3"/>
        <v/>
      </c>
    </row>
    <row r="87">
      <c r="A87" s="27" t="str">
        <f>IFERROR(__xludf.DUMMYFUNCTION("""COMPUTED_VALUE"""),"")</f>
        <v/>
      </c>
      <c r="B87" s="28"/>
      <c r="C87" s="28"/>
      <c r="D87" s="27"/>
      <c r="E87" s="27"/>
      <c r="F87" s="27"/>
      <c r="G87" s="27"/>
      <c r="H87" s="28"/>
      <c r="I87" s="28"/>
      <c r="J87" s="28"/>
      <c r="K87" s="28"/>
      <c r="L87" s="28"/>
      <c r="M87" s="28"/>
      <c r="N87" s="28"/>
      <c r="O87" s="28"/>
      <c r="P87" s="28" t="str">
        <f t="shared" si="1"/>
        <v>LUNAS</v>
      </c>
      <c r="Q87" s="28">
        <f t="shared" si="2"/>
        <v>46</v>
      </c>
      <c r="R87" s="28" t="str">
        <f t="shared" si="3"/>
        <v/>
      </c>
    </row>
    <row r="88">
      <c r="A88" s="27" t="str">
        <f>IFERROR(__xludf.DUMMYFUNCTION("""COMPUTED_VALUE"""),"")</f>
        <v/>
      </c>
      <c r="B88" s="28"/>
      <c r="C88" s="28"/>
      <c r="D88" s="27"/>
      <c r="E88" s="27"/>
      <c r="F88" s="27"/>
      <c r="G88" s="27"/>
      <c r="H88" s="28"/>
      <c r="I88" s="28"/>
      <c r="J88" s="28"/>
      <c r="K88" s="28"/>
      <c r="L88" s="28"/>
      <c r="M88" s="28"/>
      <c r="N88" s="28"/>
      <c r="O88" s="28"/>
      <c r="P88" s="28" t="str">
        <f t="shared" si="1"/>
        <v>LUNAS</v>
      </c>
      <c r="Q88" s="28">
        <f t="shared" si="2"/>
        <v>46</v>
      </c>
      <c r="R88" s="28" t="str">
        <f t="shared" si="3"/>
        <v/>
      </c>
    </row>
    <row r="89">
      <c r="A89" s="27" t="str">
        <f>IFERROR(__xludf.DUMMYFUNCTION("""COMPUTED_VALUE"""),"")</f>
        <v/>
      </c>
      <c r="B89" s="28"/>
      <c r="C89" s="28"/>
      <c r="D89" s="27"/>
      <c r="E89" s="27"/>
      <c r="F89" s="27"/>
      <c r="G89" s="27"/>
      <c r="H89" s="28"/>
      <c r="I89" s="28"/>
      <c r="J89" s="28"/>
      <c r="K89" s="28"/>
      <c r="L89" s="28"/>
      <c r="M89" s="28"/>
      <c r="N89" s="28"/>
      <c r="O89" s="28"/>
      <c r="P89" s="28" t="str">
        <f t="shared" si="1"/>
        <v>LUNAS</v>
      </c>
      <c r="Q89" s="28">
        <f t="shared" si="2"/>
        <v>46</v>
      </c>
      <c r="R89" s="28" t="str">
        <f t="shared" si="3"/>
        <v/>
      </c>
    </row>
    <row r="90">
      <c r="A90" s="27" t="str">
        <f>IFERROR(__xludf.DUMMYFUNCTION("""COMPUTED_VALUE"""),"")</f>
        <v/>
      </c>
      <c r="B90" s="28"/>
      <c r="C90" s="28"/>
      <c r="D90" s="27"/>
      <c r="E90" s="27"/>
      <c r="F90" s="27"/>
      <c r="G90" s="27"/>
      <c r="H90" s="28"/>
      <c r="I90" s="28"/>
      <c r="J90" s="28"/>
      <c r="K90" s="28"/>
      <c r="L90" s="28"/>
      <c r="M90" s="28"/>
      <c r="N90" s="28"/>
      <c r="O90" s="28"/>
      <c r="P90" s="28" t="str">
        <f t="shared" si="1"/>
        <v>LUNAS</v>
      </c>
      <c r="Q90" s="28">
        <f t="shared" si="2"/>
        <v>46</v>
      </c>
      <c r="R90" s="28" t="str">
        <f t="shared" si="3"/>
        <v/>
      </c>
    </row>
    <row r="91">
      <c r="A91" s="27" t="str">
        <f>IFERROR(__xludf.DUMMYFUNCTION("""COMPUTED_VALUE"""),"")</f>
        <v/>
      </c>
      <c r="B91" s="28"/>
      <c r="C91" s="28"/>
      <c r="D91" s="27"/>
      <c r="E91" s="27"/>
      <c r="F91" s="27"/>
      <c r="G91" s="27"/>
      <c r="H91" s="28"/>
      <c r="I91" s="28"/>
      <c r="J91" s="28"/>
      <c r="K91" s="28"/>
      <c r="L91" s="28"/>
      <c r="M91" s="28"/>
      <c r="N91" s="28"/>
      <c r="O91" s="28"/>
      <c r="P91" s="28" t="str">
        <f t="shared" si="1"/>
        <v>LUNAS</v>
      </c>
      <c r="Q91" s="28">
        <f t="shared" si="2"/>
        <v>46</v>
      </c>
      <c r="R91" s="28" t="str">
        <f t="shared" si="3"/>
        <v/>
      </c>
    </row>
    <row r="92">
      <c r="A92" s="27" t="str">
        <f>IFERROR(__xludf.DUMMYFUNCTION("""COMPUTED_VALUE"""),"")</f>
        <v/>
      </c>
      <c r="B92" s="28"/>
      <c r="C92" s="28"/>
      <c r="D92" s="27"/>
      <c r="E92" s="27"/>
      <c r="F92" s="27"/>
      <c r="G92" s="27"/>
      <c r="H92" s="28"/>
      <c r="I92" s="28"/>
      <c r="J92" s="28"/>
      <c r="K92" s="28"/>
      <c r="L92" s="28"/>
      <c r="M92" s="28"/>
      <c r="N92" s="28"/>
      <c r="O92" s="28"/>
      <c r="P92" s="28" t="str">
        <f t="shared" si="1"/>
        <v>LUNAS</v>
      </c>
      <c r="Q92" s="28">
        <f t="shared" si="2"/>
        <v>46</v>
      </c>
      <c r="R92" s="28" t="str">
        <f t="shared" si="3"/>
        <v/>
      </c>
    </row>
    <row r="93">
      <c r="A93" s="27" t="str">
        <f>IFERROR(__xludf.DUMMYFUNCTION("""COMPUTED_VALUE"""),"")</f>
        <v/>
      </c>
      <c r="B93" s="28"/>
      <c r="C93" s="28"/>
      <c r="D93" s="27"/>
      <c r="E93" s="27"/>
      <c r="F93" s="27"/>
      <c r="G93" s="27"/>
      <c r="H93" s="28"/>
      <c r="I93" s="28"/>
      <c r="J93" s="28"/>
      <c r="K93" s="28"/>
      <c r="L93" s="28"/>
      <c r="M93" s="28"/>
      <c r="N93" s="28"/>
      <c r="O93" s="28"/>
      <c r="P93" s="28" t="str">
        <f t="shared" si="1"/>
        <v>LUNAS</v>
      </c>
      <c r="Q93" s="28">
        <f t="shared" si="2"/>
        <v>46</v>
      </c>
      <c r="R93" s="28" t="str">
        <f t="shared" si="3"/>
        <v/>
      </c>
    </row>
    <row r="94">
      <c r="A94" s="27" t="str">
        <f>IFERROR(__xludf.DUMMYFUNCTION("""COMPUTED_VALUE"""),"")</f>
        <v/>
      </c>
      <c r="B94" s="28"/>
      <c r="C94" s="28"/>
      <c r="D94" s="27"/>
      <c r="E94" s="27"/>
      <c r="F94" s="27"/>
      <c r="G94" s="27"/>
      <c r="H94" s="28"/>
      <c r="I94" s="28"/>
      <c r="J94" s="28"/>
      <c r="K94" s="28"/>
      <c r="L94" s="28"/>
      <c r="M94" s="28"/>
      <c r="N94" s="28"/>
      <c r="O94" s="28"/>
      <c r="P94" s="28" t="str">
        <f t="shared" si="1"/>
        <v>LUNAS</v>
      </c>
      <c r="Q94" s="28">
        <f t="shared" si="2"/>
        <v>46</v>
      </c>
      <c r="R94" s="28" t="str">
        <f t="shared" si="3"/>
        <v/>
      </c>
    </row>
    <row r="95">
      <c r="A95" s="27" t="str">
        <f>IFERROR(__xludf.DUMMYFUNCTION("""COMPUTED_VALUE"""),"")</f>
        <v/>
      </c>
      <c r="B95" s="28"/>
      <c r="C95" s="28"/>
      <c r="D95" s="27"/>
      <c r="E95" s="27"/>
      <c r="F95" s="27"/>
      <c r="G95" s="27"/>
      <c r="H95" s="28"/>
      <c r="I95" s="28"/>
      <c r="J95" s="28"/>
      <c r="K95" s="28"/>
      <c r="L95" s="28"/>
      <c r="M95" s="28"/>
      <c r="N95" s="28"/>
      <c r="O95" s="28"/>
      <c r="P95" s="28" t="str">
        <f t="shared" si="1"/>
        <v>LUNAS</v>
      </c>
      <c r="Q95" s="28">
        <f t="shared" si="2"/>
        <v>46</v>
      </c>
      <c r="R95" s="28" t="str">
        <f t="shared" si="3"/>
        <v/>
      </c>
    </row>
    <row r="96">
      <c r="A96" s="27" t="str">
        <f>IFERROR(__xludf.DUMMYFUNCTION("""COMPUTED_VALUE"""),"")</f>
        <v/>
      </c>
      <c r="B96" s="28"/>
      <c r="C96" s="28"/>
      <c r="D96" s="27"/>
      <c r="E96" s="27"/>
      <c r="F96" s="27"/>
      <c r="G96" s="27"/>
      <c r="H96" s="28"/>
      <c r="I96" s="28"/>
      <c r="J96" s="28"/>
      <c r="K96" s="28"/>
      <c r="L96" s="28"/>
      <c r="M96" s="28"/>
      <c r="N96" s="28"/>
      <c r="O96" s="28"/>
      <c r="P96" s="28" t="str">
        <f t="shared" si="1"/>
        <v>LUNAS</v>
      </c>
      <c r="Q96" s="28">
        <f t="shared" si="2"/>
        <v>46</v>
      </c>
      <c r="R96" s="28" t="str">
        <f t="shared" si="3"/>
        <v/>
      </c>
    </row>
    <row r="97">
      <c r="A97" s="27" t="str">
        <f>IFERROR(__xludf.DUMMYFUNCTION("""COMPUTED_VALUE"""),"")</f>
        <v/>
      </c>
      <c r="B97" s="28"/>
      <c r="C97" s="28"/>
      <c r="D97" s="27"/>
      <c r="E97" s="27"/>
      <c r="F97" s="27"/>
      <c r="G97" s="27"/>
      <c r="H97" s="28"/>
      <c r="I97" s="28"/>
      <c r="J97" s="28"/>
      <c r="K97" s="28"/>
      <c r="L97" s="28"/>
      <c r="M97" s="28"/>
      <c r="N97" s="28"/>
      <c r="O97" s="28"/>
      <c r="P97" s="28" t="str">
        <f t="shared" si="1"/>
        <v>LUNAS</v>
      </c>
      <c r="Q97" s="28">
        <f t="shared" si="2"/>
        <v>46</v>
      </c>
      <c r="R97" s="28" t="str">
        <f t="shared" si="3"/>
        <v/>
      </c>
    </row>
    <row r="98">
      <c r="A98" s="27" t="str">
        <f>IFERROR(__xludf.DUMMYFUNCTION("""COMPUTED_VALUE"""),"")</f>
        <v/>
      </c>
      <c r="B98" s="28"/>
      <c r="C98" s="28"/>
      <c r="D98" s="27"/>
      <c r="E98" s="27"/>
      <c r="F98" s="27"/>
      <c r="G98" s="27"/>
      <c r="H98" s="28"/>
      <c r="I98" s="28"/>
      <c r="J98" s="28"/>
      <c r="K98" s="28"/>
      <c r="L98" s="28"/>
      <c r="M98" s="28"/>
      <c r="N98" s="28"/>
      <c r="O98" s="28"/>
      <c r="P98" s="28" t="str">
        <f t="shared" si="1"/>
        <v>LUNAS</v>
      </c>
      <c r="Q98" s="28">
        <f t="shared" si="2"/>
        <v>46</v>
      </c>
      <c r="R98" s="28" t="str">
        <f t="shared" si="3"/>
        <v/>
      </c>
    </row>
    <row r="99">
      <c r="A99" s="27" t="str">
        <f>IFERROR(__xludf.DUMMYFUNCTION("""COMPUTED_VALUE"""),"")</f>
        <v/>
      </c>
      <c r="B99" s="28"/>
      <c r="C99" s="28"/>
      <c r="D99" s="27"/>
      <c r="E99" s="27"/>
      <c r="F99" s="27"/>
      <c r="G99" s="27"/>
      <c r="H99" s="28"/>
      <c r="I99" s="28"/>
      <c r="J99" s="28"/>
      <c r="K99" s="28"/>
      <c r="L99" s="28"/>
      <c r="M99" s="28"/>
      <c r="N99" s="28"/>
      <c r="O99" s="28"/>
      <c r="P99" s="28" t="str">
        <f t="shared" si="1"/>
        <v>LUNAS</v>
      </c>
      <c r="Q99" s="28">
        <f t="shared" si="2"/>
        <v>46</v>
      </c>
      <c r="R99" s="28" t="str">
        <f t="shared" si="3"/>
        <v/>
      </c>
    </row>
    <row r="100">
      <c r="A100" s="27" t="str">
        <f>IFERROR(__xludf.DUMMYFUNCTION("""COMPUTED_VALUE"""),"")</f>
        <v/>
      </c>
      <c r="B100" s="28"/>
      <c r="C100" s="28"/>
      <c r="D100" s="27"/>
      <c r="E100" s="27"/>
      <c r="F100" s="27"/>
      <c r="G100" s="27"/>
      <c r="H100" s="28"/>
      <c r="I100" s="28"/>
      <c r="J100" s="28"/>
      <c r="K100" s="28"/>
      <c r="L100" s="28"/>
      <c r="M100" s="28"/>
      <c r="N100" s="28"/>
      <c r="O100" s="28"/>
      <c r="P100" s="28" t="str">
        <f t="shared" si="1"/>
        <v>LUNAS</v>
      </c>
      <c r="Q100" s="28">
        <f t="shared" si="2"/>
        <v>46</v>
      </c>
      <c r="R100" s="28" t="str">
        <f t="shared" si="3"/>
        <v/>
      </c>
    </row>
    <row r="101">
      <c r="A101" s="27" t="str">
        <f>IFERROR(__xludf.DUMMYFUNCTION("""COMPUTED_VALUE"""),"")</f>
        <v/>
      </c>
      <c r="B101" s="28"/>
      <c r="C101" s="28"/>
      <c r="D101" s="27"/>
      <c r="E101" s="27"/>
      <c r="F101" s="27"/>
      <c r="G101" s="27"/>
      <c r="H101" s="28"/>
      <c r="I101" s="28"/>
      <c r="J101" s="28"/>
      <c r="K101" s="28"/>
      <c r="L101" s="28"/>
      <c r="M101" s="28"/>
      <c r="N101" s="28"/>
      <c r="O101" s="28"/>
      <c r="P101" s="28" t="str">
        <f t="shared" si="1"/>
        <v>LUNAS</v>
      </c>
      <c r="Q101" s="28">
        <f t="shared" si="2"/>
        <v>46</v>
      </c>
      <c r="R101" s="28" t="str">
        <f t="shared" si="3"/>
        <v/>
      </c>
    </row>
    <row r="102">
      <c r="A102" s="27" t="str">
        <f>IFERROR(__xludf.DUMMYFUNCTION("""COMPUTED_VALUE"""),"")</f>
        <v/>
      </c>
      <c r="B102" s="28"/>
      <c r="C102" s="28"/>
      <c r="D102" s="27"/>
      <c r="E102" s="27"/>
      <c r="F102" s="27"/>
      <c r="G102" s="27"/>
      <c r="H102" s="28"/>
      <c r="I102" s="28"/>
      <c r="J102" s="28"/>
      <c r="K102" s="28"/>
      <c r="L102" s="28"/>
      <c r="M102" s="28"/>
      <c r="N102" s="28"/>
      <c r="O102" s="28"/>
      <c r="P102" s="28" t="str">
        <f t="shared" si="1"/>
        <v>LUNAS</v>
      </c>
      <c r="Q102" s="28">
        <f t="shared" si="2"/>
        <v>46</v>
      </c>
      <c r="R102" s="28" t="str">
        <f t="shared" si="3"/>
        <v/>
      </c>
    </row>
    <row r="103">
      <c r="A103" s="27" t="str">
        <f>IFERROR(__xludf.DUMMYFUNCTION("""COMPUTED_VALUE"""),"")</f>
        <v/>
      </c>
      <c r="B103" s="28"/>
      <c r="C103" s="28"/>
      <c r="D103" s="27"/>
      <c r="E103" s="27"/>
      <c r="F103" s="27"/>
      <c r="G103" s="27"/>
      <c r="H103" s="28"/>
      <c r="I103" s="28"/>
      <c r="J103" s="28"/>
      <c r="K103" s="28"/>
      <c r="L103" s="28"/>
      <c r="M103" s="28"/>
      <c r="N103" s="28"/>
      <c r="O103" s="28"/>
      <c r="P103" s="28" t="str">
        <f t="shared" si="1"/>
        <v>LUNAS</v>
      </c>
      <c r="Q103" s="28">
        <f t="shared" si="2"/>
        <v>46</v>
      </c>
      <c r="R103" s="28" t="str">
        <f t="shared" si="3"/>
        <v/>
      </c>
    </row>
    <row r="104">
      <c r="A104" s="27" t="str">
        <f>IFERROR(__xludf.DUMMYFUNCTION("""COMPUTED_VALUE"""),"")</f>
        <v/>
      </c>
      <c r="B104" s="28"/>
      <c r="C104" s="28"/>
      <c r="D104" s="27"/>
      <c r="E104" s="27"/>
      <c r="F104" s="27"/>
      <c r="G104" s="27"/>
      <c r="H104" s="28"/>
      <c r="I104" s="28"/>
      <c r="J104" s="28"/>
      <c r="K104" s="28"/>
      <c r="L104" s="28"/>
      <c r="M104" s="28"/>
      <c r="N104" s="28"/>
      <c r="O104" s="28"/>
      <c r="P104" s="28" t="str">
        <f t="shared" si="1"/>
        <v>LUNAS</v>
      </c>
      <c r="Q104" s="28">
        <f t="shared" si="2"/>
        <v>46</v>
      </c>
      <c r="R104" s="28" t="str">
        <f t="shared" si="3"/>
        <v/>
      </c>
    </row>
    <row r="105">
      <c r="A105" s="27" t="str">
        <f>IFERROR(__xludf.DUMMYFUNCTION("""COMPUTED_VALUE"""),"")</f>
        <v/>
      </c>
      <c r="B105" s="28"/>
      <c r="C105" s="28"/>
      <c r="D105" s="27"/>
      <c r="E105" s="27"/>
      <c r="F105" s="27"/>
      <c r="G105" s="27"/>
      <c r="H105" s="28"/>
      <c r="I105" s="28"/>
      <c r="J105" s="28"/>
      <c r="K105" s="28"/>
      <c r="L105" s="28"/>
      <c r="M105" s="28"/>
      <c r="N105" s="28"/>
      <c r="O105" s="28"/>
      <c r="P105" s="28" t="str">
        <f t="shared" si="1"/>
        <v>LUNAS</v>
      </c>
      <c r="Q105" s="28">
        <f t="shared" si="2"/>
        <v>46</v>
      </c>
      <c r="R105" s="28" t="str">
        <f t="shared" si="3"/>
        <v/>
      </c>
    </row>
    <row r="106">
      <c r="A106" s="27" t="str">
        <f>IFERROR(__xludf.DUMMYFUNCTION("""COMPUTED_VALUE"""),"")</f>
        <v/>
      </c>
      <c r="B106" s="28"/>
      <c r="C106" s="28"/>
      <c r="D106" s="27"/>
      <c r="E106" s="27"/>
      <c r="F106" s="27"/>
      <c r="G106" s="27"/>
      <c r="H106" s="28"/>
      <c r="I106" s="28"/>
      <c r="J106" s="28"/>
      <c r="K106" s="28"/>
      <c r="L106" s="28"/>
      <c r="M106" s="28"/>
      <c r="N106" s="28"/>
      <c r="O106" s="28"/>
      <c r="P106" s="28" t="str">
        <f t="shared" si="1"/>
        <v>LUNAS</v>
      </c>
      <c r="Q106" s="28">
        <f t="shared" si="2"/>
        <v>46</v>
      </c>
      <c r="R106" s="28" t="str">
        <f t="shared" si="3"/>
        <v/>
      </c>
    </row>
    <row r="107">
      <c r="A107" s="27" t="str">
        <f>IFERROR(__xludf.DUMMYFUNCTION("""COMPUTED_VALUE"""),"")</f>
        <v/>
      </c>
      <c r="B107" s="28"/>
      <c r="C107" s="28"/>
      <c r="D107" s="27"/>
      <c r="E107" s="27"/>
      <c r="F107" s="27"/>
      <c r="G107" s="27"/>
      <c r="H107" s="28"/>
      <c r="I107" s="28"/>
      <c r="J107" s="28"/>
      <c r="K107" s="28"/>
      <c r="L107" s="28"/>
      <c r="M107" s="28"/>
      <c r="N107" s="28"/>
      <c r="O107" s="28"/>
      <c r="P107" s="28" t="str">
        <f t="shared" si="1"/>
        <v>LUNAS</v>
      </c>
      <c r="Q107" s="28">
        <f t="shared" si="2"/>
        <v>46</v>
      </c>
      <c r="R107" s="28" t="str">
        <f t="shared" si="3"/>
        <v/>
      </c>
    </row>
    <row r="108">
      <c r="A108" s="27" t="str">
        <f>IFERROR(__xludf.DUMMYFUNCTION("""COMPUTED_VALUE"""),"")</f>
        <v/>
      </c>
      <c r="B108" s="28"/>
      <c r="C108" s="28"/>
      <c r="D108" s="27"/>
      <c r="E108" s="27"/>
      <c r="F108" s="27"/>
      <c r="G108" s="27"/>
      <c r="H108" s="28"/>
      <c r="I108" s="28"/>
      <c r="J108" s="28"/>
      <c r="K108" s="28"/>
      <c r="L108" s="28"/>
      <c r="M108" s="28"/>
      <c r="N108" s="28"/>
      <c r="O108" s="28"/>
      <c r="P108" s="28" t="str">
        <f t="shared" si="1"/>
        <v>LUNAS</v>
      </c>
      <c r="Q108" s="28">
        <f t="shared" si="2"/>
        <v>46</v>
      </c>
      <c r="R108" s="28" t="str">
        <f t="shared" si="3"/>
        <v/>
      </c>
    </row>
    <row r="109">
      <c r="A109" s="27" t="str">
        <f>IFERROR(__xludf.DUMMYFUNCTION("""COMPUTED_VALUE"""),"")</f>
        <v/>
      </c>
      <c r="B109" s="28"/>
      <c r="C109" s="28"/>
      <c r="D109" s="27"/>
      <c r="E109" s="27"/>
      <c r="F109" s="27"/>
      <c r="G109" s="27"/>
      <c r="H109" s="28"/>
      <c r="I109" s="28"/>
      <c r="J109" s="28"/>
      <c r="K109" s="28"/>
      <c r="L109" s="28"/>
      <c r="M109" s="28"/>
      <c r="N109" s="28"/>
      <c r="O109" s="28"/>
      <c r="P109" s="28" t="str">
        <f t="shared" si="1"/>
        <v>LUNAS</v>
      </c>
      <c r="Q109" s="28">
        <f t="shared" si="2"/>
        <v>46</v>
      </c>
      <c r="R109" s="28" t="str">
        <f t="shared" si="3"/>
        <v/>
      </c>
    </row>
    <row r="110">
      <c r="A110" s="27" t="str">
        <f>IFERROR(__xludf.DUMMYFUNCTION("""COMPUTED_VALUE"""),"")</f>
        <v/>
      </c>
      <c r="B110" s="28"/>
      <c r="C110" s="28"/>
      <c r="D110" s="27"/>
      <c r="E110" s="27"/>
      <c r="F110" s="27"/>
      <c r="G110" s="27"/>
      <c r="H110" s="28"/>
      <c r="I110" s="28"/>
      <c r="J110" s="28"/>
      <c r="K110" s="28"/>
      <c r="L110" s="28"/>
      <c r="M110" s="28"/>
      <c r="N110" s="28"/>
      <c r="O110" s="28"/>
      <c r="P110" s="28" t="str">
        <f t="shared" si="1"/>
        <v>LUNAS</v>
      </c>
      <c r="Q110" s="28">
        <f t="shared" si="2"/>
        <v>46</v>
      </c>
      <c r="R110" s="28" t="str">
        <f t="shared" si="3"/>
        <v/>
      </c>
    </row>
    <row r="111">
      <c r="A111" s="27" t="str">
        <f>IFERROR(__xludf.DUMMYFUNCTION("""COMPUTED_VALUE"""),"")</f>
        <v/>
      </c>
      <c r="B111" s="28"/>
      <c r="C111" s="28"/>
      <c r="D111" s="27"/>
      <c r="E111" s="27"/>
      <c r="F111" s="27"/>
      <c r="G111" s="27"/>
      <c r="H111" s="28"/>
      <c r="I111" s="28"/>
      <c r="J111" s="28"/>
      <c r="K111" s="28"/>
      <c r="L111" s="28"/>
      <c r="M111" s="28"/>
      <c r="N111" s="28"/>
      <c r="O111" s="28"/>
      <c r="P111" s="28" t="str">
        <f t="shared" si="1"/>
        <v>LUNAS</v>
      </c>
      <c r="Q111" s="28">
        <f t="shared" si="2"/>
        <v>46</v>
      </c>
      <c r="R111" s="28" t="str">
        <f t="shared" si="3"/>
        <v/>
      </c>
    </row>
    <row r="112">
      <c r="A112" s="27" t="str">
        <f>IFERROR(__xludf.DUMMYFUNCTION("""COMPUTED_VALUE"""),"")</f>
        <v/>
      </c>
      <c r="B112" s="28"/>
      <c r="C112" s="28"/>
      <c r="D112" s="27"/>
      <c r="E112" s="27"/>
      <c r="F112" s="27"/>
      <c r="G112" s="27"/>
      <c r="H112" s="28"/>
      <c r="I112" s="28"/>
      <c r="J112" s="28"/>
      <c r="K112" s="28"/>
      <c r="L112" s="28"/>
      <c r="M112" s="28"/>
      <c r="N112" s="28"/>
      <c r="O112" s="28"/>
      <c r="R112" s="28" t="str">
        <f t="shared" si="3"/>
        <v/>
      </c>
    </row>
    <row r="113">
      <c r="A113" s="27" t="str">
        <f>IFERROR(__xludf.DUMMYFUNCTION("""COMPUTED_VALUE"""),"")</f>
        <v/>
      </c>
      <c r="B113" s="28"/>
      <c r="C113" s="28"/>
      <c r="D113" s="27"/>
      <c r="E113" s="27"/>
      <c r="F113" s="27"/>
      <c r="G113" s="27"/>
      <c r="H113" s="28"/>
      <c r="I113" s="28"/>
      <c r="J113" s="28"/>
      <c r="K113" s="28"/>
      <c r="L113" s="28"/>
      <c r="M113" s="28"/>
      <c r="N113" s="28"/>
      <c r="O113" s="28"/>
    </row>
    <row r="114">
      <c r="A114" s="27" t="str">
        <f>IFERROR(__xludf.DUMMYFUNCTION("""COMPUTED_VALUE"""),"")</f>
        <v/>
      </c>
      <c r="B114" s="28"/>
      <c r="C114" s="28"/>
      <c r="D114" s="27"/>
      <c r="E114" s="27"/>
      <c r="F114" s="27"/>
      <c r="G114" s="27"/>
      <c r="H114" s="28"/>
      <c r="I114" s="28"/>
      <c r="J114" s="28"/>
      <c r="K114" s="28"/>
      <c r="L114" s="28"/>
      <c r="M114" s="28"/>
      <c r="N114" s="28"/>
      <c r="O114" s="28"/>
    </row>
    <row r="115">
      <c r="A115" s="27" t="str">
        <f>IFERROR(__xludf.DUMMYFUNCTION("""COMPUTED_VALUE"""),"")</f>
        <v/>
      </c>
      <c r="B115" s="28"/>
      <c r="C115" s="28"/>
      <c r="D115" s="27"/>
      <c r="E115" s="27"/>
      <c r="F115" s="27"/>
      <c r="G115" s="27"/>
      <c r="H115" s="28"/>
      <c r="I115" s="28"/>
      <c r="J115" s="28"/>
      <c r="K115" s="28"/>
      <c r="L115" s="28"/>
      <c r="M115" s="28"/>
      <c r="N115" s="28"/>
      <c r="O115" s="28"/>
    </row>
    <row r="116">
      <c r="A116" s="27" t="str">
        <f>IFERROR(__xludf.DUMMYFUNCTION("""COMPUTED_VALUE"""),"")</f>
        <v/>
      </c>
      <c r="B116" s="28"/>
      <c r="C116" s="28"/>
      <c r="D116" s="27"/>
      <c r="E116" s="27"/>
      <c r="F116" s="27"/>
      <c r="G116" s="27"/>
      <c r="H116" s="28"/>
      <c r="I116" s="28"/>
      <c r="J116" s="28"/>
      <c r="K116" s="28"/>
      <c r="L116" s="28"/>
      <c r="M116" s="28"/>
      <c r="N116" s="28"/>
      <c r="O116" s="28"/>
    </row>
    <row r="117">
      <c r="A117" s="27" t="str">
        <f>IFERROR(__xludf.DUMMYFUNCTION("""COMPUTED_VALUE"""),"")</f>
        <v/>
      </c>
      <c r="B117" s="28"/>
      <c r="C117" s="28"/>
      <c r="D117" s="27"/>
      <c r="E117" s="27"/>
      <c r="F117" s="27"/>
      <c r="G117" s="27"/>
      <c r="H117" s="28"/>
      <c r="I117" s="28"/>
      <c r="J117" s="28"/>
      <c r="K117" s="28"/>
      <c r="L117" s="28"/>
      <c r="M117" s="28"/>
      <c r="N117" s="28"/>
      <c r="O117" s="28"/>
    </row>
    <row r="118">
      <c r="A118" s="27" t="str">
        <f>IFERROR(__xludf.DUMMYFUNCTION("""COMPUTED_VALUE"""),"")</f>
        <v/>
      </c>
      <c r="B118" s="28"/>
      <c r="C118" s="28"/>
      <c r="D118" s="27"/>
      <c r="E118" s="27"/>
      <c r="F118" s="27"/>
      <c r="G118" s="27"/>
      <c r="H118" s="28"/>
      <c r="I118" s="28"/>
      <c r="J118" s="28"/>
      <c r="K118" s="28"/>
      <c r="L118" s="28"/>
      <c r="M118" s="28"/>
      <c r="N118" s="28"/>
      <c r="O118" s="28"/>
    </row>
    <row r="119">
      <c r="A119" s="27" t="str">
        <f>IFERROR(__xludf.DUMMYFUNCTION("""COMPUTED_VALUE"""),"")</f>
        <v/>
      </c>
      <c r="B119" s="28"/>
      <c r="C119" s="28"/>
      <c r="D119" s="27"/>
      <c r="E119" s="27"/>
      <c r="F119" s="27"/>
      <c r="G119" s="27"/>
      <c r="H119" s="28"/>
      <c r="I119" s="28"/>
      <c r="J119" s="28"/>
      <c r="K119" s="28"/>
      <c r="L119" s="28"/>
      <c r="M119" s="28"/>
      <c r="N119" s="28"/>
      <c r="O119" s="28"/>
    </row>
    <row r="120">
      <c r="A120" s="27" t="str">
        <f>IFERROR(__xludf.DUMMYFUNCTION("""COMPUTED_VALUE"""),"")</f>
        <v/>
      </c>
      <c r="B120" s="28"/>
      <c r="C120" s="28"/>
      <c r="D120" s="27"/>
      <c r="E120" s="27"/>
      <c r="F120" s="27"/>
      <c r="G120" s="27"/>
      <c r="H120" s="28"/>
      <c r="I120" s="28"/>
      <c r="J120" s="28"/>
      <c r="K120" s="28"/>
      <c r="L120" s="28"/>
      <c r="M120" s="28"/>
      <c r="N120" s="28"/>
      <c r="O120" s="28"/>
    </row>
    <row r="121">
      <c r="A121" s="27" t="str">
        <f>IFERROR(__xludf.DUMMYFUNCTION("""COMPUTED_VALUE"""),"")</f>
        <v/>
      </c>
      <c r="B121" s="28"/>
      <c r="C121" s="28"/>
      <c r="D121" s="27"/>
      <c r="E121" s="27"/>
      <c r="F121" s="27"/>
      <c r="G121" s="27"/>
      <c r="H121" s="28"/>
      <c r="I121" s="28"/>
      <c r="J121" s="28"/>
      <c r="K121" s="28"/>
      <c r="L121" s="28"/>
      <c r="M121" s="28"/>
      <c r="N121" s="28"/>
      <c r="O121" s="28"/>
      <c r="R121" s="28" t="str">
        <f t="shared" ref="R121:R389" si="9">B121</f>
        <v/>
      </c>
    </row>
    <row r="122">
      <c r="A122" s="27" t="str">
        <f>IFERROR(__xludf.DUMMYFUNCTION("""COMPUTED_VALUE"""),"")</f>
        <v/>
      </c>
      <c r="B122" s="28"/>
      <c r="C122" s="28"/>
      <c r="D122" s="27"/>
      <c r="E122" s="27"/>
      <c r="F122" s="27"/>
      <c r="G122" s="27"/>
      <c r="H122" s="28"/>
      <c r="I122" s="28"/>
      <c r="J122" s="28"/>
      <c r="K122" s="28"/>
      <c r="L122" s="28"/>
      <c r="M122" s="28"/>
      <c r="N122" s="28"/>
      <c r="O122" s="28"/>
      <c r="R122" s="28" t="str">
        <f t="shared" si="9"/>
        <v/>
      </c>
    </row>
    <row r="123">
      <c r="A123" s="27" t="str">
        <f>IFERROR(__xludf.DUMMYFUNCTION("""COMPUTED_VALUE"""),"")</f>
        <v/>
      </c>
      <c r="B123" s="28"/>
      <c r="C123" s="28"/>
      <c r="D123" s="27"/>
      <c r="E123" s="27"/>
      <c r="F123" s="27"/>
      <c r="G123" s="27"/>
      <c r="H123" s="28"/>
      <c r="I123" s="28"/>
      <c r="J123" s="28"/>
      <c r="K123" s="28"/>
      <c r="L123" s="28"/>
      <c r="M123" s="28"/>
      <c r="N123" s="28"/>
      <c r="O123" s="28"/>
      <c r="R123" s="28" t="str">
        <f t="shared" si="9"/>
        <v/>
      </c>
    </row>
    <row r="124">
      <c r="A124" s="27" t="str">
        <f>IFERROR(__xludf.DUMMYFUNCTION("""COMPUTED_VALUE"""),"")</f>
        <v/>
      </c>
      <c r="B124" s="28"/>
      <c r="C124" s="28"/>
      <c r="D124" s="27"/>
      <c r="E124" s="27"/>
      <c r="F124" s="27"/>
      <c r="G124" s="27"/>
      <c r="H124" s="28"/>
      <c r="I124" s="28"/>
      <c r="J124" s="28"/>
      <c r="K124" s="28"/>
      <c r="L124" s="28"/>
      <c r="M124" s="28"/>
      <c r="N124" s="28"/>
      <c r="O124" s="28"/>
      <c r="R124" s="28" t="str">
        <f t="shared" si="9"/>
        <v/>
      </c>
    </row>
    <row r="125">
      <c r="A125" s="27" t="str">
        <f>IFERROR(__xludf.DUMMYFUNCTION("""COMPUTED_VALUE"""),"")</f>
        <v/>
      </c>
      <c r="B125" s="28"/>
      <c r="C125" s="28"/>
      <c r="D125" s="27"/>
      <c r="E125" s="27"/>
      <c r="F125" s="27"/>
      <c r="G125" s="27"/>
      <c r="H125" s="28"/>
      <c r="I125" s="28"/>
      <c r="J125" s="28"/>
      <c r="K125" s="28"/>
      <c r="L125" s="28"/>
      <c r="M125" s="28"/>
      <c r="N125" s="28"/>
      <c r="O125" s="28"/>
      <c r="R125" s="28" t="str">
        <f t="shared" si="9"/>
        <v/>
      </c>
    </row>
    <row r="126">
      <c r="A126" s="27" t="str">
        <f>IFERROR(__xludf.DUMMYFUNCTION("""COMPUTED_VALUE"""),"")</f>
        <v/>
      </c>
      <c r="B126" s="28"/>
      <c r="C126" s="28"/>
      <c r="D126" s="27"/>
      <c r="E126" s="27"/>
      <c r="F126" s="27"/>
      <c r="G126" s="27"/>
      <c r="H126" s="28"/>
      <c r="I126" s="28"/>
      <c r="J126" s="28"/>
      <c r="K126" s="28"/>
      <c r="L126" s="28"/>
      <c r="M126" s="28"/>
      <c r="N126" s="28"/>
      <c r="O126" s="28"/>
      <c r="R126" s="28" t="str">
        <f t="shared" si="9"/>
        <v/>
      </c>
    </row>
    <row r="127">
      <c r="A127" s="27" t="str">
        <f>IFERROR(__xludf.DUMMYFUNCTION("""COMPUTED_VALUE"""),"")</f>
        <v/>
      </c>
      <c r="B127" s="28"/>
      <c r="C127" s="28"/>
      <c r="D127" s="27"/>
      <c r="E127" s="27"/>
      <c r="F127" s="27"/>
      <c r="G127" s="27"/>
      <c r="H127" s="28"/>
      <c r="I127" s="28"/>
      <c r="J127" s="28"/>
      <c r="K127" s="28"/>
      <c r="L127" s="28"/>
      <c r="M127" s="28"/>
      <c r="N127" s="28"/>
      <c r="O127" s="28"/>
      <c r="R127" s="28" t="str">
        <f t="shared" si="9"/>
        <v/>
      </c>
    </row>
    <row r="128">
      <c r="A128" s="27" t="str">
        <f>IFERROR(__xludf.DUMMYFUNCTION("""COMPUTED_VALUE"""),"")</f>
        <v/>
      </c>
      <c r="B128" s="28"/>
      <c r="C128" s="28"/>
      <c r="D128" s="27"/>
      <c r="E128" s="27"/>
      <c r="F128" s="27"/>
      <c r="G128" s="27"/>
      <c r="H128" s="28"/>
      <c r="I128" s="28"/>
      <c r="J128" s="28"/>
      <c r="K128" s="28"/>
      <c r="L128" s="28"/>
      <c r="M128" s="28"/>
      <c r="N128" s="28"/>
      <c r="O128" s="28"/>
      <c r="R128" s="28" t="str">
        <f t="shared" si="9"/>
        <v/>
      </c>
    </row>
    <row r="129">
      <c r="A129" s="27" t="str">
        <f>IFERROR(__xludf.DUMMYFUNCTION("""COMPUTED_VALUE"""),"")</f>
        <v/>
      </c>
      <c r="B129" s="28"/>
      <c r="C129" s="28"/>
      <c r="D129" s="27"/>
      <c r="E129" s="27"/>
      <c r="F129" s="27"/>
      <c r="G129" s="27"/>
      <c r="H129" s="28"/>
      <c r="I129" s="28"/>
      <c r="J129" s="28"/>
      <c r="K129" s="28"/>
      <c r="L129" s="28"/>
      <c r="M129" s="28"/>
      <c r="N129" s="28"/>
      <c r="O129" s="28"/>
      <c r="R129" s="28" t="str">
        <f t="shared" si="9"/>
        <v/>
      </c>
    </row>
    <row r="130">
      <c r="A130" s="27" t="str">
        <f>IFERROR(__xludf.DUMMYFUNCTION("""COMPUTED_VALUE"""),"")</f>
        <v/>
      </c>
      <c r="B130" s="28"/>
      <c r="C130" s="28"/>
      <c r="D130" s="27"/>
      <c r="E130" s="27"/>
      <c r="F130" s="27"/>
      <c r="G130" s="27"/>
      <c r="H130" s="28"/>
      <c r="I130" s="28"/>
      <c r="J130" s="28"/>
      <c r="K130" s="28"/>
      <c r="L130" s="28"/>
      <c r="M130" s="28"/>
      <c r="N130" s="28"/>
      <c r="O130" s="28"/>
      <c r="R130" s="28" t="str">
        <f t="shared" si="9"/>
        <v/>
      </c>
    </row>
    <row r="131">
      <c r="A131" s="27" t="str">
        <f>IFERROR(__xludf.DUMMYFUNCTION("""COMPUTED_VALUE"""),"")</f>
        <v/>
      </c>
      <c r="B131" s="28"/>
      <c r="C131" s="28"/>
      <c r="D131" s="27"/>
      <c r="E131" s="27"/>
      <c r="F131" s="27"/>
      <c r="G131" s="27"/>
      <c r="H131" s="28"/>
      <c r="I131" s="28"/>
      <c r="J131" s="28"/>
      <c r="K131" s="28"/>
      <c r="L131" s="28"/>
      <c r="M131" s="28"/>
      <c r="N131" s="28"/>
      <c r="O131" s="28"/>
      <c r="R131" s="28" t="str">
        <f t="shared" si="9"/>
        <v/>
      </c>
    </row>
    <row r="132">
      <c r="A132" s="27" t="str">
        <f>IFERROR(__xludf.DUMMYFUNCTION("""COMPUTED_VALUE"""),"")</f>
        <v/>
      </c>
      <c r="B132" s="28"/>
      <c r="C132" s="28"/>
      <c r="D132" s="27"/>
      <c r="E132" s="27"/>
      <c r="F132" s="27"/>
      <c r="G132" s="27"/>
      <c r="H132" s="28"/>
      <c r="I132" s="28"/>
      <c r="J132" s="28"/>
      <c r="K132" s="28"/>
      <c r="L132" s="28"/>
      <c r="M132" s="28"/>
      <c r="N132" s="28"/>
      <c r="O132" s="28"/>
      <c r="R132" s="28" t="str">
        <f t="shared" si="9"/>
        <v/>
      </c>
    </row>
    <row r="133">
      <c r="A133" s="27" t="str">
        <f>IFERROR(__xludf.DUMMYFUNCTION("""COMPUTED_VALUE"""),"")</f>
        <v/>
      </c>
      <c r="B133" s="28"/>
      <c r="C133" s="28"/>
      <c r="D133" s="27"/>
      <c r="E133" s="27"/>
      <c r="F133" s="27"/>
      <c r="G133" s="27"/>
      <c r="H133" s="28"/>
      <c r="I133" s="28"/>
      <c r="J133" s="28"/>
      <c r="K133" s="28"/>
      <c r="L133" s="28"/>
      <c r="M133" s="28"/>
      <c r="N133" s="28"/>
      <c r="O133" s="28"/>
      <c r="R133" s="28" t="str">
        <f t="shared" si="9"/>
        <v/>
      </c>
    </row>
    <row r="134">
      <c r="A134" s="27" t="str">
        <f>IFERROR(__xludf.DUMMYFUNCTION("""COMPUTED_VALUE"""),"")</f>
        <v/>
      </c>
      <c r="B134" s="28"/>
      <c r="C134" s="28"/>
      <c r="D134" s="27"/>
      <c r="E134" s="27"/>
      <c r="F134" s="27"/>
      <c r="G134" s="27"/>
      <c r="H134" s="28"/>
      <c r="I134" s="28"/>
      <c r="J134" s="28"/>
      <c r="K134" s="28"/>
      <c r="L134" s="28"/>
      <c r="M134" s="28"/>
      <c r="N134" s="28"/>
      <c r="O134" s="28"/>
      <c r="R134" s="28" t="str">
        <f t="shared" si="9"/>
        <v/>
      </c>
    </row>
    <row r="135">
      <c r="A135" s="27" t="str">
        <f>IFERROR(__xludf.DUMMYFUNCTION("""COMPUTED_VALUE"""),"")</f>
        <v/>
      </c>
      <c r="B135" s="28"/>
      <c r="C135" s="28"/>
      <c r="D135" s="27"/>
      <c r="E135" s="27"/>
      <c r="F135" s="27"/>
      <c r="G135" s="27"/>
      <c r="H135" s="28"/>
      <c r="I135" s="28"/>
      <c r="J135" s="28"/>
      <c r="K135" s="28"/>
      <c r="L135" s="28"/>
      <c r="M135" s="28"/>
      <c r="N135" s="28"/>
      <c r="O135" s="28"/>
      <c r="R135" s="28" t="str">
        <f t="shared" si="9"/>
        <v/>
      </c>
    </row>
    <row r="136">
      <c r="A136" s="27" t="str">
        <f>IFERROR(__xludf.DUMMYFUNCTION("""COMPUTED_VALUE"""),"")</f>
        <v/>
      </c>
      <c r="B136" s="28"/>
      <c r="C136" s="28"/>
      <c r="D136" s="27"/>
      <c r="E136" s="27"/>
      <c r="F136" s="27"/>
      <c r="G136" s="27"/>
      <c r="H136" s="28"/>
      <c r="I136" s="28"/>
      <c r="J136" s="28"/>
      <c r="K136" s="28"/>
      <c r="L136" s="28"/>
      <c r="M136" s="28"/>
      <c r="N136" s="28"/>
      <c r="O136" s="28"/>
      <c r="R136" s="28" t="str">
        <f t="shared" si="9"/>
        <v/>
      </c>
    </row>
    <row r="137">
      <c r="A137" s="27" t="str">
        <f>IFERROR(__xludf.DUMMYFUNCTION("""COMPUTED_VALUE"""),"")</f>
        <v/>
      </c>
      <c r="B137" s="28"/>
      <c r="C137" s="28"/>
      <c r="D137" s="27"/>
      <c r="E137" s="27"/>
      <c r="F137" s="27"/>
      <c r="G137" s="27"/>
      <c r="H137" s="28"/>
      <c r="I137" s="28"/>
      <c r="J137" s="28"/>
      <c r="K137" s="28"/>
      <c r="L137" s="28"/>
      <c r="M137" s="28"/>
      <c r="N137" s="28"/>
      <c r="O137" s="28"/>
      <c r="R137" s="28" t="str">
        <f t="shared" si="9"/>
        <v/>
      </c>
    </row>
    <row r="138">
      <c r="A138" s="27" t="str">
        <f>IFERROR(__xludf.DUMMYFUNCTION("""COMPUTED_VALUE"""),"")</f>
        <v/>
      </c>
      <c r="B138" s="28"/>
      <c r="C138" s="28"/>
      <c r="D138" s="27"/>
      <c r="E138" s="27"/>
      <c r="F138" s="27"/>
      <c r="G138" s="27"/>
      <c r="H138" s="28"/>
      <c r="I138" s="28"/>
      <c r="J138" s="28"/>
      <c r="K138" s="28"/>
      <c r="L138" s="28"/>
      <c r="M138" s="28"/>
      <c r="N138" s="28"/>
      <c r="O138" s="28"/>
      <c r="R138" s="28" t="str">
        <f t="shared" si="9"/>
        <v/>
      </c>
    </row>
    <row r="139">
      <c r="A139" s="27" t="str">
        <f>IFERROR(__xludf.DUMMYFUNCTION("""COMPUTED_VALUE"""),"")</f>
        <v/>
      </c>
      <c r="B139" s="28"/>
      <c r="C139" s="28"/>
      <c r="D139" s="27"/>
      <c r="E139" s="27"/>
      <c r="F139" s="27"/>
      <c r="G139" s="27"/>
      <c r="H139" s="28"/>
      <c r="I139" s="28"/>
      <c r="J139" s="28"/>
      <c r="K139" s="28"/>
      <c r="L139" s="28"/>
      <c r="M139" s="28"/>
      <c r="N139" s="28"/>
      <c r="O139" s="28"/>
      <c r="R139" s="28" t="str">
        <f t="shared" si="9"/>
        <v/>
      </c>
    </row>
    <row r="140">
      <c r="A140" s="27" t="str">
        <f>IFERROR(__xludf.DUMMYFUNCTION("""COMPUTED_VALUE"""),"")</f>
        <v/>
      </c>
      <c r="B140" s="28"/>
      <c r="C140" s="28"/>
      <c r="D140" s="27"/>
      <c r="E140" s="27"/>
      <c r="F140" s="27"/>
      <c r="G140" s="27"/>
      <c r="H140" s="28"/>
      <c r="I140" s="28"/>
      <c r="J140" s="28"/>
      <c r="K140" s="28"/>
      <c r="L140" s="28"/>
      <c r="M140" s="28"/>
      <c r="N140" s="28"/>
      <c r="O140" s="28"/>
      <c r="R140" s="28" t="str">
        <f t="shared" si="9"/>
        <v/>
      </c>
    </row>
    <row r="141">
      <c r="A141" s="27" t="str">
        <f>IFERROR(__xludf.DUMMYFUNCTION("""COMPUTED_VALUE"""),"")</f>
        <v/>
      </c>
      <c r="B141" s="28"/>
      <c r="C141" s="28"/>
      <c r="D141" s="27"/>
      <c r="E141" s="27"/>
      <c r="F141" s="27"/>
      <c r="G141" s="27"/>
      <c r="H141" s="28"/>
      <c r="I141" s="28"/>
      <c r="J141" s="28"/>
      <c r="K141" s="28"/>
      <c r="L141" s="28"/>
      <c r="M141" s="28"/>
      <c r="N141" s="28"/>
      <c r="O141" s="28"/>
      <c r="R141" s="28" t="str">
        <f t="shared" si="9"/>
        <v/>
      </c>
    </row>
    <row r="142">
      <c r="A142" s="27" t="str">
        <f>IFERROR(__xludf.DUMMYFUNCTION("""COMPUTED_VALUE"""),"")</f>
        <v/>
      </c>
      <c r="B142" s="28"/>
      <c r="C142" s="28"/>
      <c r="D142" s="27"/>
      <c r="E142" s="27"/>
      <c r="F142" s="27"/>
      <c r="G142" s="27"/>
      <c r="H142" s="28"/>
      <c r="I142" s="28"/>
      <c r="J142" s="28"/>
      <c r="K142" s="28"/>
      <c r="L142" s="28"/>
      <c r="M142" s="28"/>
      <c r="N142" s="28"/>
      <c r="O142" s="28"/>
      <c r="R142" s="28" t="str">
        <f t="shared" si="9"/>
        <v/>
      </c>
    </row>
    <row r="143">
      <c r="A143" s="27" t="str">
        <f>IFERROR(__xludf.DUMMYFUNCTION("""COMPUTED_VALUE"""),"")</f>
        <v/>
      </c>
      <c r="B143" s="28"/>
      <c r="C143" s="28"/>
      <c r="D143" s="27"/>
      <c r="E143" s="27"/>
      <c r="F143" s="27"/>
      <c r="G143" s="27"/>
      <c r="H143" s="28"/>
      <c r="I143" s="28"/>
      <c r="J143" s="28"/>
      <c r="K143" s="28"/>
      <c r="L143" s="28"/>
      <c r="M143" s="28"/>
      <c r="N143" s="28"/>
      <c r="O143" s="28"/>
      <c r="R143" s="28" t="str">
        <f t="shared" si="9"/>
        <v/>
      </c>
    </row>
    <row r="144">
      <c r="A144" s="27" t="str">
        <f>IFERROR(__xludf.DUMMYFUNCTION("""COMPUTED_VALUE"""),"")</f>
        <v/>
      </c>
      <c r="B144" s="28"/>
      <c r="C144" s="28"/>
      <c r="D144" s="27"/>
      <c r="E144" s="27"/>
      <c r="F144" s="27"/>
      <c r="G144" s="27"/>
      <c r="H144" s="28"/>
      <c r="I144" s="28"/>
      <c r="J144" s="28"/>
      <c r="K144" s="28"/>
      <c r="L144" s="28"/>
      <c r="M144" s="28"/>
      <c r="N144" s="28"/>
      <c r="O144" s="28"/>
      <c r="R144" s="28" t="str">
        <f t="shared" si="9"/>
        <v/>
      </c>
    </row>
    <row r="145">
      <c r="A145" s="27" t="str">
        <f>IFERROR(__xludf.DUMMYFUNCTION("""COMPUTED_VALUE"""),"")</f>
        <v/>
      </c>
      <c r="B145" s="28"/>
      <c r="C145" s="28"/>
      <c r="D145" s="27"/>
      <c r="E145" s="27"/>
      <c r="F145" s="27"/>
      <c r="G145" s="27"/>
      <c r="H145" s="28"/>
      <c r="I145" s="28"/>
      <c r="J145" s="28"/>
      <c r="K145" s="28"/>
      <c r="L145" s="28"/>
      <c r="M145" s="28"/>
      <c r="N145" s="28"/>
      <c r="O145" s="28"/>
      <c r="R145" s="28" t="str">
        <f t="shared" si="9"/>
        <v/>
      </c>
    </row>
    <row r="146">
      <c r="A146" s="27" t="str">
        <f>IFERROR(__xludf.DUMMYFUNCTION("""COMPUTED_VALUE"""),"")</f>
        <v/>
      </c>
      <c r="B146" s="28"/>
      <c r="C146" s="28"/>
      <c r="D146" s="27"/>
      <c r="E146" s="27"/>
      <c r="F146" s="27"/>
      <c r="G146" s="27"/>
      <c r="H146" s="28"/>
      <c r="I146" s="28"/>
      <c r="J146" s="28"/>
      <c r="K146" s="28"/>
      <c r="L146" s="28"/>
      <c r="M146" s="28"/>
      <c r="N146" s="28"/>
      <c r="O146" s="28"/>
      <c r="R146" s="28" t="str">
        <f t="shared" si="9"/>
        <v/>
      </c>
    </row>
    <row r="147">
      <c r="A147" s="27" t="str">
        <f>IFERROR(__xludf.DUMMYFUNCTION("""COMPUTED_VALUE"""),"")</f>
        <v/>
      </c>
      <c r="B147" s="28"/>
      <c r="C147" s="28"/>
      <c r="D147" s="27"/>
      <c r="E147" s="27"/>
      <c r="F147" s="27"/>
      <c r="G147" s="27"/>
      <c r="H147" s="28"/>
      <c r="I147" s="28"/>
      <c r="J147" s="28"/>
      <c r="K147" s="28"/>
      <c r="L147" s="28"/>
      <c r="M147" s="28"/>
      <c r="N147" s="28"/>
      <c r="O147" s="28"/>
      <c r="R147" s="28" t="str">
        <f t="shared" si="9"/>
        <v/>
      </c>
    </row>
    <row r="148">
      <c r="A148" s="27" t="str">
        <f>IFERROR(__xludf.DUMMYFUNCTION("""COMPUTED_VALUE"""),"")</f>
        <v/>
      </c>
      <c r="B148" s="28"/>
      <c r="C148" s="28"/>
      <c r="D148" s="27"/>
      <c r="E148" s="27"/>
      <c r="F148" s="27"/>
      <c r="G148" s="27"/>
      <c r="H148" s="28"/>
      <c r="I148" s="28"/>
      <c r="J148" s="28"/>
      <c r="K148" s="28"/>
      <c r="L148" s="28"/>
      <c r="M148" s="28"/>
      <c r="N148" s="28"/>
      <c r="O148" s="28"/>
      <c r="R148" s="28" t="str">
        <f t="shared" si="9"/>
        <v/>
      </c>
    </row>
    <row r="149">
      <c r="A149" s="27" t="str">
        <f>IFERROR(__xludf.DUMMYFUNCTION("""COMPUTED_VALUE"""),"")</f>
        <v/>
      </c>
      <c r="B149" s="28"/>
      <c r="C149" s="28"/>
      <c r="D149" s="27"/>
      <c r="E149" s="27"/>
      <c r="F149" s="27"/>
      <c r="G149" s="27"/>
      <c r="H149" s="28"/>
      <c r="I149" s="28"/>
      <c r="J149" s="28"/>
      <c r="K149" s="28"/>
      <c r="L149" s="28"/>
      <c r="M149" s="28"/>
      <c r="N149" s="28"/>
      <c r="O149" s="28"/>
      <c r="R149" s="28" t="str">
        <f t="shared" si="9"/>
        <v/>
      </c>
    </row>
    <row r="150">
      <c r="A150" s="27" t="str">
        <f>IFERROR(__xludf.DUMMYFUNCTION("""COMPUTED_VALUE"""),"")</f>
        <v/>
      </c>
      <c r="B150" s="28"/>
      <c r="C150" s="28"/>
      <c r="D150" s="27"/>
      <c r="E150" s="27"/>
      <c r="F150" s="27"/>
      <c r="G150" s="27"/>
      <c r="H150" s="28"/>
      <c r="I150" s="28"/>
      <c r="J150" s="28"/>
      <c r="K150" s="28"/>
      <c r="L150" s="28"/>
      <c r="M150" s="28"/>
      <c r="N150" s="28"/>
      <c r="O150" s="28"/>
      <c r="R150" s="28" t="str">
        <f t="shared" si="9"/>
        <v/>
      </c>
    </row>
    <row r="151">
      <c r="A151" s="27" t="str">
        <f>IFERROR(__xludf.DUMMYFUNCTION("""COMPUTED_VALUE"""),"")</f>
        <v/>
      </c>
      <c r="B151" s="28"/>
      <c r="C151" s="28"/>
      <c r="D151" s="27"/>
      <c r="E151" s="27"/>
      <c r="F151" s="27"/>
      <c r="G151" s="27"/>
      <c r="H151" s="28"/>
      <c r="I151" s="28"/>
      <c r="J151" s="28"/>
      <c r="K151" s="28"/>
      <c r="L151" s="28"/>
      <c r="M151" s="28"/>
      <c r="N151" s="28"/>
      <c r="O151" s="28"/>
      <c r="R151" s="28" t="str">
        <f t="shared" si="9"/>
        <v/>
      </c>
    </row>
    <row r="152">
      <c r="A152" s="27" t="str">
        <f>IFERROR(__xludf.DUMMYFUNCTION("""COMPUTED_VALUE"""),"")</f>
        <v/>
      </c>
      <c r="B152" s="28"/>
      <c r="C152" s="28"/>
      <c r="D152" s="27"/>
      <c r="E152" s="27"/>
      <c r="F152" s="27"/>
      <c r="G152" s="27"/>
      <c r="H152" s="28"/>
      <c r="I152" s="28"/>
      <c r="J152" s="28"/>
      <c r="K152" s="28"/>
      <c r="L152" s="28"/>
      <c r="M152" s="28"/>
      <c r="N152" s="28"/>
      <c r="O152" s="28"/>
      <c r="R152" s="28" t="str">
        <f t="shared" si="9"/>
        <v/>
      </c>
    </row>
    <row r="153">
      <c r="A153" s="27" t="str">
        <f>IFERROR(__xludf.DUMMYFUNCTION("""COMPUTED_VALUE"""),"")</f>
        <v/>
      </c>
      <c r="B153" s="28"/>
      <c r="C153" s="28"/>
      <c r="D153" s="27"/>
      <c r="E153" s="27"/>
      <c r="F153" s="27"/>
      <c r="G153" s="27"/>
      <c r="H153" s="28"/>
      <c r="I153" s="28"/>
      <c r="J153" s="28"/>
      <c r="K153" s="28"/>
      <c r="L153" s="28"/>
      <c r="M153" s="28"/>
      <c r="N153" s="28"/>
      <c r="O153" s="28"/>
      <c r="R153" s="28" t="str">
        <f t="shared" si="9"/>
        <v/>
      </c>
    </row>
    <row r="154">
      <c r="A154" s="27" t="str">
        <f>IFERROR(__xludf.DUMMYFUNCTION("""COMPUTED_VALUE"""),"")</f>
        <v/>
      </c>
      <c r="B154" s="28"/>
      <c r="C154" s="28"/>
      <c r="D154" s="27"/>
      <c r="E154" s="27"/>
      <c r="F154" s="27"/>
      <c r="G154" s="27"/>
      <c r="H154" s="28"/>
      <c r="I154" s="28"/>
      <c r="J154" s="28"/>
      <c r="K154" s="28"/>
      <c r="L154" s="28"/>
      <c r="M154" s="28"/>
      <c r="N154" s="28"/>
      <c r="O154" s="28"/>
      <c r="R154" s="28" t="str">
        <f t="shared" si="9"/>
        <v/>
      </c>
    </row>
    <row r="155">
      <c r="A155" s="27" t="str">
        <f>IFERROR(__xludf.DUMMYFUNCTION("""COMPUTED_VALUE"""),"")</f>
        <v/>
      </c>
      <c r="B155" s="28"/>
      <c r="C155" s="28"/>
      <c r="D155" s="27"/>
      <c r="E155" s="27"/>
      <c r="F155" s="27"/>
      <c r="G155" s="27"/>
      <c r="H155" s="28"/>
      <c r="I155" s="28"/>
      <c r="J155" s="28"/>
      <c r="K155" s="28"/>
      <c r="L155" s="28"/>
      <c r="M155" s="28"/>
      <c r="N155" s="28"/>
      <c r="O155" s="28"/>
      <c r="R155" s="28" t="str">
        <f t="shared" si="9"/>
        <v/>
      </c>
    </row>
    <row r="156">
      <c r="A156" s="27" t="str">
        <f>IFERROR(__xludf.DUMMYFUNCTION("""COMPUTED_VALUE"""),"")</f>
        <v/>
      </c>
      <c r="B156" s="28"/>
      <c r="C156" s="28"/>
      <c r="D156" s="27"/>
      <c r="E156" s="27"/>
      <c r="F156" s="27"/>
      <c r="G156" s="27"/>
      <c r="H156" s="28"/>
      <c r="I156" s="28"/>
      <c r="J156" s="28"/>
      <c r="K156" s="28"/>
      <c r="L156" s="28"/>
      <c r="M156" s="28"/>
      <c r="N156" s="28"/>
      <c r="O156" s="28"/>
      <c r="R156" s="28" t="str">
        <f t="shared" si="9"/>
        <v/>
      </c>
    </row>
    <row r="157">
      <c r="A157" s="27" t="str">
        <f>IFERROR(__xludf.DUMMYFUNCTION("""COMPUTED_VALUE"""),"")</f>
        <v/>
      </c>
      <c r="B157" s="28"/>
      <c r="C157" s="28"/>
      <c r="D157" s="27"/>
      <c r="E157" s="27"/>
      <c r="F157" s="27"/>
      <c r="G157" s="27"/>
      <c r="H157" s="28"/>
      <c r="I157" s="28"/>
      <c r="J157" s="28"/>
      <c r="K157" s="28"/>
      <c r="L157" s="28"/>
      <c r="M157" s="28"/>
      <c r="N157" s="28"/>
      <c r="O157" s="28"/>
      <c r="R157" s="28" t="str">
        <f t="shared" si="9"/>
        <v/>
      </c>
    </row>
    <row r="158">
      <c r="A158" s="27" t="str">
        <f>IFERROR(__xludf.DUMMYFUNCTION("""COMPUTED_VALUE"""),"")</f>
        <v/>
      </c>
      <c r="B158" s="28"/>
      <c r="C158" s="28"/>
      <c r="D158" s="27"/>
      <c r="E158" s="27"/>
      <c r="F158" s="27"/>
      <c r="G158" s="27"/>
      <c r="H158" s="28"/>
      <c r="I158" s="28"/>
      <c r="J158" s="28"/>
      <c r="K158" s="28"/>
      <c r="L158" s="28"/>
      <c r="M158" s="28"/>
      <c r="N158" s="28"/>
      <c r="O158" s="28"/>
      <c r="R158" s="28" t="str">
        <f t="shared" si="9"/>
        <v/>
      </c>
    </row>
    <row r="159">
      <c r="A159" s="27" t="str">
        <f>IFERROR(__xludf.DUMMYFUNCTION("""COMPUTED_VALUE"""),"")</f>
        <v/>
      </c>
      <c r="B159" s="28"/>
      <c r="C159" s="28"/>
      <c r="D159" s="27"/>
      <c r="E159" s="27"/>
      <c r="F159" s="27"/>
      <c r="G159" s="27"/>
      <c r="H159" s="28"/>
      <c r="I159" s="28"/>
      <c r="J159" s="28"/>
      <c r="K159" s="28"/>
      <c r="L159" s="28"/>
      <c r="M159" s="28"/>
      <c r="N159" s="28"/>
      <c r="O159" s="28"/>
      <c r="R159" s="28" t="str">
        <f t="shared" si="9"/>
        <v/>
      </c>
    </row>
    <row r="160">
      <c r="A160" s="27" t="str">
        <f>IFERROR(__xludf.DUMMYFUNCTION("""COMPUTED_VALUE"""),"")</f>
        <v/>
      </c>
      <c r="B160" s="28"/>
      <c r="C160" s="28"/>
      <c r="D160" s="27"/>
      <c r="E160" s="27"/>
      <c r="F160" s="27"/>
      <c r="G160" s="27"/>
      <c r="H160" s="28"/>
      <c r="I160" s="28"/>
      <c r="J160" s="28"/>
      <c r="K160" s="28"/>
      <c r="L160" s="28"/>
      <c r="M160" s="28"/>
      <c r="N160" s="28"/>
      <c r="O160" s="28"/>
      <c r="R160" s="28" t="str">
        <f t="shared" si="9"/>
        <v/>
      </c>
    </row>
    <row r="161">
      <c r="A161" s="27" t="str">
        <f>IFERROR(__xludf.DUMMYFUNCTION("""COMPUTED_VALUE"""),"")</f>
        <v/>
      </c>
      <c r="B161" s="28"/>
      <c r="C161" s="28"/>
      <c r="D161" s="27"/>
      <c r="E161" s="27"/>
      <c r="F161" s="27"/>
      <c r="G161" s="27"/>
      <c r="H161" s="28"/>
      <c r="I161" s="28"/>
      <c r="J161" s="28"/>
      <c r="K161" s="28"/>
      <c r="L161" s="28"/>
      <c r="M161" s="28"/>
      <c r="N161" s="28"/>
      <c r="O161" s="28"/>
      <c r="R161" s="28" t="str">
        <f t="shared" si="9"/>
        <v/>
      </c>
    </row>
    <row r="162">
      <c r="A162" s="27" t="str">
        <f>IFERROR(__xludf.DUMMYFUNCTION("""COMPUTED_VALUE"""),"")</f>
        <v/>
      </c>
      <c r="B162" s="28"/>
      <c r="C162" s="28"/>
      <c r="D162" s="27"/>
      <c r="E162" s="27"/>
      <c r="F162" s="27"/>
      <c r="G162" s="27"/>
      <c r="H162" s="28"/>
      <c r="I162" s="28"/>
      <c r="J162" s="28"/>
      <c r="K162" s="28"/>
      <c r="L162" s="28"/>
      <c r="M162" s="28"/>
      <c r="N162" s="28"/>
      <c r="O162" s="28"/>
      <c r="R162" s="28" t="str">
        <f t="shared" si="9"/>
        <v/>
      </c>
    </row>
    <row r="163">
      <c r="A163" s="27" t="str">
        <f>IFERROR(__xludf.DUMMYFUNCTION("""COMPUTED_VALUE"""),"")</f>
        <v/>
      </c>
      <c r="B163" s="28"/>
      <c r="C163" s="28"/>
      <c r="D163" s="27"/>
      <c r="E163" s="27"/>
      <c r="F163" s="27"/>
      <c r="G163" s="27"/>
      <c r="H163" s="28"/>
      <c r="I163" s="28"/>
      <c r="J163" s="28"/>
      <c r="K163" s="28"/>
      <c r="L163" s="28"/>
      <c r="M163" s="28"/>
      <c r="N163" s="28"/>
      <c r="O163" s="28"/>
      <c r="R163" s="28" t="str">
        <f t="shared" si="9"/>
        <v/>
      </c>
    </row>
    <row r="164">
      <c r="A164" s="27" t="str">
        <f>IFERROR(__xludf.DUMMYFUNCTION("""COMPUTED_VALUE"""),"")</f>
        <v/>
      </c>
      <c r="B164" s="28"/>
      <c r="C164" s="28"/>
      <c r="D164" s="27"/>
      <c r="E164" s="27"/>
      <c r="F164" s="27"/>
      <c r="G164" s="27"/>
      <c r="H164" s="28"/>
      <c r="I164" s="28"/>
      <c r="J164" s="28"/>
      <c r="K164" s="28"/>
      <c r="L164" s="28"/>
      <c r="M164" s="28"/>
      <c r="N164" s="28"/>
      <c r="O164" s="28"/>
      <c r="R164" s="28" t="str">
        <f t="shared" si="9"/>
        <v/>
      </c>
    </row>
    <row r="165">
      <c r="A165" s="27" t="str">
        <f>IFERROR(__xludf.DUMMYFUNCTION("""COMPUTED_VALUE"""),"")</f>
        <v/>
      </c>
      <c r="B165" s="28"/>
      <c r="C165" s="28"/>
      <c r="D165" s="27"/>
      <c r="E165" s="27"/>
      <c r="F165" s="27"/>
      <c r="G165" s="27"/>
      <c r="H165" s="28"/>
      <c r="I165" s="28"/>
      <c r="J165" s="28"/>
      <c r="K165" s="28"/>
      <c r="L165" s="28"/>
      <c r="M165" s="28"/>
      <c r="N165" s="28"/>
      <c r="O165" s="28"/>
      <c r="R165" s="28" t="str">
        <f t="shared" si="9"/>
        <v/>
      </c>
    </row>
    <row r="166">
      <c r="A166" s="27" t="str">
        <f>IFERROR(__xludf.DUMMYFUNCTION("""COMPUTED_VALUE"""),"")</f>
        <v/>
      </c>
      <c r="B166" s="28"/>
      <c r="C166" s="28"/>
      <c r="D166" s="27"/>
      <c r="E166" s="27"/>
      <c r="F166" s="27"/>
      <c r="G166" s="27"/>
      <c r="H166" s="28"/>
      <c r="I166" s="28"/>
      <c r="J166" s="28"/>
      <c r="K166" s="28"/>
      <c r="L166" s="28"/>
      <c r="M166" s="28"/>
      <c r="N166" s="28"/>
      <c r="O166" s="28"/>
      <c r="R166" s="28" t="str">
        <f t="shared" si="9"/>
        <v/>
      </c>
    </row>
    <row r="167">
      <c r="A167" s="27" t="str">
        <f>IFERROR(__xludf.DUMMYFUNCTION("""COMPUTED_VALUE"""),"")</f>
        <v/>
      </c>
      <c r="B167" s="28"/>
      <c r="C167" s="28"/>
      <c r="D167" s="27"/>
      <c r="E167" s="27"/>
      <c r="F167" s="27"/>
      <c r="G167" s="27"/>
      <c r="H167" s="28"/>
      <c r="I167" s="28"/>
      <c r="J167" s="28"/>
      <c r="K167" s="28"/>
      <c r="L167" s="28"/>
      <c r="M167" s="28"/>
      <c r="N167" s="28"/>
      <c r="O167" s="28"/>
      <c r="R167" s="28" t="str">
        <f t="shared" si="9"/>
        <v/>
      </c>
    </row>
    <row r="168">
      <c r="A168" s="27" t="str">
        <f>IFERROR(__xludf.DUMMYFUNCTION("""COMPUTED_VALUE"""),"")</f>
        <v/>
      </c>
      <c r="B168" s="28"/>
      <c r="C168" s="28"/>
      <c r="D168" s="27"/>
      <c r="E168" s="27"/>
      <c r="F168" s="27"/>
      <c r="G168" s="27"/>
      <c r="H168" s="28"/>
      <c r="I168" s="28"/>
      <c r="J168" s="28"/>
      <c r="K168" s="28"/>
      <c r="L168" s="28"/>
      <c r="M168" s="28"/>
      <c r="N168" s="28"/>
      <c r="O168" s="28"/>
      <c r="R168" s="28" t="str">
        <f t="shared" si="9"/>
        <v/>
      </c>
    </row>
    <row r="169">
      <c r="A169" s="27" t="str">
        <f>IFERROR(__xludf.DUMMYFUNCTION("""COMPUTED_VALUE"""),"")</f>
        <v/>
      </c>
      <c r="B169" s="28"/>
      <c r="C169" s="28"/>
      <c r="D169" s="27"/>
      <c r="E169" s="27"/>
      <c r="F169" s="27"/>
      <c r="G169" s="27"/>
      <c r="H169" s="28"/>
      <c r="I169" s="28"/>
      <c r="J169" s="28"/>
      <c r="K169" s="28"/>
      <c r="L169" s="28"/>
      <c r="M169" s="28"/>
      <c r="N169" s="28"/>
      <c r="O169" s="28"/>
      <c r="R169" s="28" t="str">
        <f t="shared" si="9"/>
        <v/>
      </c>
    </row>
    <row r="170">
      <c r="A170" s="27" t="str">
        <f>IFERROR(__xludf.DUMMYFUNCTION("""COMPUTED_VALUE"""),"")</f>
        <v/>
      </c>
      <c r="B170" s="28"/>
      <c r="C170" s="28"/>
      <c r="D170" s="27"/>
      <c r="E170" s="27"/>
      <c r="F170" s="27"/>
      <c r="G170" s="27"/>
      <c r="H170" s="28"/>
      <c r="I170" s="28"/>
      <c r="J170" s="28"/>
      <c r="K170" s="28"/>
      <c r="L170" s="28"/>
      <c r="M170" s="28"/>
      <c r="N170" s="28"/>
      <c r="O170" s="28"/>
      <c r="R170" s="28" t="str">
        <f t="shared" si="9"/>
        <v/>
      </c>
    </row>
    <row r="171">
      <c r="A171" s="27" t="str">
        <f>IFERROR(__xludf.DUMMYFUNCTION("""COMPUTED_VALUE"""),"")</f>
        <v/>
      </c>
      <c r="B171" s="28"/>
      <c r="C171" s="28"/>
      <c r="D171" s="27"/>
      <c r="E171" s="27"/>
      <c r="F171" s="27"/>
      <c r="G171" s="27"/>
      <c r="H171" s="28"/>
      <c r="I171" s="28"/>
      <c r="J171" s="28"/>
      <c r="K171" s="28"/>
      <c r="L171" s="28"/>
      <c r="M171" s="28"/>
      <c r="N171" s="28"/>
      <c r="O171" s="28"/>
      <c r="R171" s="28" t="str">
        <f t="shared" si="9"/>
        <v/>
      </c>
    </row>
    <row r="172">
      <c r="A172" s="27" t="str">
        <f>IFERROR(__xludf.DUMMYFUNCTION("""COMPUTED_VALUE"""),"")</f>
        <v/>
      </c>
      <c r="B172" s="28"/>
      <c r="C172" s="28"/>
      <c r="D172" s="27"/>
      <c r="E172" s="27"/>
      <c r="F172" s="27"/>
      <c r="G172" s="27"/>
      <c r="H172" s="28"/>
      <c r="I172" s="28"/>
      <c r="J172" s="28"/>
      <c r="K172" s="28"/>
      <c r="L172" s="28"/>
      <c r="M172" s="28"/>
      <c r="N172" s="28"/>
      <c r="O172" s="28"/>
      <c r="R172" s="28" t="str">
        <f t="shared" si="9"/>
        <v/>
      </c>
    </row>
    <row r="173">
      <c r="A173" s="27" t="str">
        <f>IFERROR(__xludf.DUMMYFUNCTION("""COMPUTED_VALUE"""),"")</f>
        <v/>
      </c>
      <c r="B173" s="28"/>
      <c r="C173" s="28"/>
      <c r="D173" s="27"/>
      <c r="E173" s="27"/>
      <c r="F173" s="27"/>
      <c r="G173" s="27"/>
      <c r="H173" s="28"/>
      <c r="I173" s="28"/>
      <c r="J173" s="28"/>
      <c r="K173" s="28"/>
      <c r="L173" s="28"/>
      <c r="M173" s="28"/>
      <c r="N173" s="28"/>
      <c r="O173" s="28"/>
      <c r="R173" s="28" t="str">
        <f t="shared" si="9"/>
        <v/>
      </c>
    </row>
    <row r="174">
      <c r="A174" s="27" t="str">
        <f>IFERROR(__xludf.DUMMYFUNCTION("""COMPUTED_VALUE"""),"")</f>
        <v/>
      </c>
      <c r="B174" s="28"/>
      <c r="C174" s="28"/>
      <c r="D174" s="27"/>
      <c r="E174" s="27"/>
      <c r="F174" s="27"/>
      <c r="G174" s="27"/>
      <c r="H174" s="28"/>
      <c r="I174" s="28"/>
      <c r="J174" s="28"/>
      <c r="K174" s="28"/>
      <c r="L174" s="28"/>
      <c r="M174" s="28"/>
      <c r="N174" s="28"/>
      <c r="O174" s="28"/>
      <c r="R174" s="28" t="str">
        <f t="shared" si="9"/>
        <v/>
      </c>
    </row>
    <row r="175">
      <c r="A175" s="27" t="str">
        <f>IFERROR(__xludf.DUMMYFUNCTION("""COMPUTED_VALUE"""),"")</f>
        <v/>
      </c>
      <c r="B175" s="28"/>
      <c r="C175" s="28"/>
      <c r="D175" s="27"/>
      <c r="E175" s="27"/>
      <c r="F175" s="27"/>
      <c r="G175" s="27"/>
      <c r="H175" s="28"/>
      <c r="I175" s="28"/>
      <c r="J175" s="28"/>
      <c r="K175" s="28"/>
      <c r="L175" s="28"/>
      <c r="M175" s="28"/>
      <c r="N175" s="28"/>
      <c r="O175" s="28"/>
      <c r="R175" s="28" t="str">
        <f t="shared" si="9"/>
        <v/>
      </c>
    </row>
    <row r="176">
      <c r="A176" s="27" t="str">
        <f>IFERROR(__xludf.DUMMYFUNCTION("""COMPUTED_VALUE"""),"")</f>
        <v/>
      </c>
      <c r="B176" s="28"/>
      <c r="C176" s="28"/>
      <c r="D176" s="27"/>
      <c r="E176" s="27"/>
      <c r="F176" s="27"/>
      <c r="G176" s="27"/>
      <c r="H176" s="28"/>
      <c r="I176" s="28"/>
      <c r="J176" s="28"/>
      <c r="K176" s="28"/>
      <c r="L176" s="28"/>
      <c r="M176" s="28"/>
      <c r="N176" s="28"/>
      <c r="O176" s="28"/>
      <c r="R176" s="28" t="str">
        <f t="shared" si="9"/>
        <v/>
      </c>
    </row>
    <row r="177">
      <c r="A177" s="27" t="str">
        <f>IFERROR(__xludf.DUMMYFUNCTION("""COMPUTED_VALUE"""),"")</f>
        <v/>
      </c>
      <c r="B177" s="28"/>
      <c r="C177" s="28"/>
      <c r="D177" s="27"/>
      <c r="E177" s="27"/>
      <c r="F177" s="27"/>
      <c r="G177" s="27"/>
      <c r="H177" s="28"/>
      <c r="I177" s="28"/>
      <c r="J177" s="28"/>
      <c r="K177" s="28"/>
      <c r="L177" s="28"/>
      <c r="M177" s="28"/>
      <c r="N177" s="28"/>
      <c r="O177" s="28"/>
      <c r="R177" s="28" t="str">
        <f t="shared" si="9"/>
        <v/>
      </c>
    </row>
    <row r="178">
      <c r="A178" s="27" t="str">
        <f>IFERROR(__xludf.DUMMYFUNCTION("""COMPUTED_VALUE"""),"")</f>
        <v/>
      </c>
      <c r="B178" s="28"/>
      <c r="C178" s="28"/>
      <c r="D178" s="27"/>
      <c r="E178" s="27"/>
      <c r="F178" s="27"/>
      <c r="G178" s="27"/>
      <c r="H178" s="28"/>
      <c r="I178" s="28"/>
      <c r="J178" s="28"/>
      <c r="K178" s="28"/>
      <c r="L178" s="28"/>
      <c r="M178" s="28"/>
      <c r="N178" s="28"/>
      <c r="O178" s="28"/>
      <c r="R178" s="28" t="str">
        <f t="shared" si="9"/>
        <v/>
      </c>
    </row>
    <row r="179">
      <c r="A179" s="27" t="str">
        <f>IFERROR(__xludf.DUMMYFUNCTION("""COMPUTED_VALUE"""),"")</f>
        <v/>
      </c>
      <c r="B179" s="28"/>
      <c r="C179" s="28"/>
      <c r="D179" s="27"/>
      <c r="E179" s="27"/>
      <c r="F179" s="27"/>
      <c r="G179" s="27"/>
      <c r="H179" s="28"/>
      <c r="I179" s="28"/>
      <c r="J179" s="28"/>
      <c r="K179" s="28"/>
      <c r="L179" s="28"/>
      <c r="M179" s="28"/>
      <c r="N179" s="28"/>
      <c r="O179" s="28"/>
      <c r="R179" s="28" t="str">
        <f t="shared" si="9"/>
        <v/>
      </c>
    </row>
    <row r="180">
      <c r="A180" s="27" t="str">
        <f>IFERROR(__xludf.DUMMYFUNCTION("""COMPUTED_VALUE"""),"")</f>
        <v/>
      </c>
      <c r="B180" s="28"/>
      <c r="C180" s="28"/>
      <c r="D180" s="27"/>
      <c r="E180" s="27"/>
      <c r="F180" s="27"/>
      <c r="G180" s="27"/>
      <c r="H180" s="28"/>
      <c r="I180" s="28"/>
      <c r="J180" s="28"/>
      <c r="K180" s="28"/>
      <c r="L180" s="28"/>
      <c r="M180" s="28"/>
      <c r="N180" s="28"/>
      <c r="O180" s="28"/>
      <c r="R180" s="28" t="str">
        <f t="shared" si="9"/>
        <v/>
      </c>
    </row>
    <row r="181">
      <c r="A181" s="27" t="str">
        <f>IFERROR(__xludf.DUMMYFUNCTION("""COMPUTED_VALUE"""),"")</f>
        <v/>
      </c>
      <c r="B181" s="28"/>
      <c r="C181" s="28"/>
      <c r="D181" s="27"/>
      <c r="E181" s="27"/>
      <c r="F181" s="27"/>
      <c r="G181" s="27"/>
      <c r="H181" s="28"/>
      <c r="I181" s="28"/>
      <c r="J181" s="28"/>
      <c r="K181" s="28"/>
      <c r="L181" s="28"/>
      <c r="M181" s="28"/>
      <c r="N181" s="28"/>
      <c r="O181" s="28"/>
      <c r="R181" s="28" t="str">
        <f t="shared" si="9"/>
        <v/>
      </c>
    </row>
    <row r="182">
      <c r="A182" s="27" t="str">
        <f>IFERROR(__xludf.DUMMYFUNCTION("""COMPUTED_VALUE"""),"")</f>
        <v/>
      </c>
      <c r="B182" s="28"/>
      <c r="C182" s="28"/>
      <c r="D182" s="27"/>
      <c r="E182" s="27"/>
      <c r="F182" s="27"/>
      <c r="G182" s="27"/>
      <c r="H182" s="28"/>
      <c r="I182" s="28"/>
      <c r="J182" s="28"/>
      <c r="K182" s="28"/>
      <c r="L182" s="28"/>
      <c r="M182" s="28"/>
      <c r="N182" s="28"/>
      <c r="O182" s="28"/>
      <c r="R182" s="28" t="str">
        <f t="shared" si="9"/>
        <v/>
      </c>
    </row>
    <row r="183">
      <c r="A183" s="27" t="str">
        <f>IFERROR(__xludf.DUMMYFUNCTION("""COMPUTED_VALUE"""),"")</f>
        <v/>
      </c>
      <c r="B183" s="28"/>
      <c r="C183" s="28"/>
      <c r="D183" s="27"/>
      <c r="E183" s="27"/>
      <c r="F183" s="27"/>
      <c r="G183" s="27"/>
      <c r="H183" s="28"/>
      <c r="I183" s="28"/>
      <c r="J183" s="28"/>
      <c r="K183" s="28"/>
      <c r="L183" s="28"/>
      <c r="M183" s="28"/>
      <c r="N183" s="28"/>
      <c r="O183" s="28"/>
      <c r="R183" s="28" t="str">
        <f t="shared" si="9"/>
        <v/>
      </c>
    </row>
    <row r="184">
      <c r="A184" s="27" t="str">
        <f>IFERROR(__xludf.DUMMYFUNCTION("""COMPUTED_VALUE"""),"")</f>
        <v/>
      </c>
      <c r="B184" s="28"/>
      <c r="C184" s="28"/>
      <c r="D184" s="27"/>
      <c r="E184" s="27"/>
      <c r="F184" s="27"/>
      <c r="G184" s="27"/>
      <c r="H184" s="28"/>
      <c r="I184" s="28"/>
      <c r="J184" s="28"/>
      <c r="K184" s="28"/>
      <c r="L184" s="28"/>
      <c r="M184" s="28"/>
      <c r="N184" s="28"/>
      <c r="O184" s="28"/>
      <c r="R184" s="28" t="str">
        <f t="shared" si="9"/>
        <v/>
      </c>
    </row>
    <row r="185">
      <c r="A185" s="27" t="str">
        <f>IFERROR(__xludf.DUMMYFUNCTION("""COMPUTED_VALUE"""),"")</f>
        <v/>
      </c>
      <c r="B185" s="28"/>
      <c r="C185" s="28"/>
      <c r="D185" s="27"/>
      <c r="E185" s="27"/>
      <c r="F185" s="27"/>
      <c r="G185" s="27"/>
      <c r="H185" s="28"/>
      <c r="I185" s="28"/>
      <c r="J185" s="28"/>
      <c r="K185" s="28"/>
      <c r="L185" s="28"/>
      <c r="M185" s="28"/>
      <c r="N185" s="28"/>
      <c r="O185" s="28"/>
      <c r="R185" s="28" t="str">
        <f t="shared" si="9"/>
        <v/>
      </c>
    </row>
    <row r="186">
      <c r="A186" s="27" t="str">
        <f>IFERROR(__xludf.DUMMYFUNCTION("""COMPUTED_VALUE"""),"")</f>
        <v/>
      </c>
      <c r="B186" s="28"/>
      <c r="C186" s="28"/>
      <c r="D186" s="27"/>
      <c r="E186" s="27"/>
      <c r="F186" s="27"/>
      <c r="G186" s="27"/>
      <c r="H186" s="28"/>
      <c r="I186" s="28"/>
      <c r="J186" s="28"/>
      <c r="K186" s="28"/>
      <c r="L186" s="28"/>
      <c r="M186" s="28"/>
      <c r="N186" s="28"/>
      <c r="O186" s="28"/>
      <c r="R186" s="28" t="str">
        <f t="shared" si="9"/>
        <v/>
      </c>
    </row>
    <row r="187">
      <c r="A187" s="27" t="str">
        <f>IFERROR(__xludf.DUMMYFUNCTION("""COMPUTED_VALUE"""),"")</f>
        <v/>
      </c>
      <c r="B187" s="28"/>
      <c r="C187" s="28"/>
      <c r="D187" s="27"/>
      <c r="E187" s="27"/>
      <c r="F187" s="27"/>
      <c r="G187" s="27"/>
      <c r="H187" s="28"/>
      <c r="I187" s="28"/>
      <c r="J187" s="28"/>
      <c r="K187" s="28"/>
      <c r="L187" s="28"/>
      <c r="M187" s="28"/>
      <c r="N187" s="28"/>
      <c r="O187" s="28"/>
      <c r="R187" s="28" t="str">
        <f t="shared" si="9"/>
        <v/>
      </c>
    </row>
    <row r="188">
      <c r="A188" s="27" t="str">
        <f>IFERROR(__xludf.DUMMYFUNCTION("""COMPUTED_VALUE"""),"")</f>
        <v/>
      </c>
      <c r="B188" s="28"/>
      <c r="C188" s="28"/>
      <c r="D188" s="27"/>
      <c r="E188" s="27"/>
      <c r="F188" s="27"/>
      <c r="G188" s="27"/>
      <c r="H188" s="28"/>
      <c r="I188" s="28"/>
      <c r="J188" s="28"/>
      <c r="K188" s="28"/>
      <c r="L188" s="28"/>
      <c r="M188" s="28"/>
      <c r="N188" s="28"/>
      <c r="O188" s="28"/>
      <c r="R188" s="28" t="str">
        <f t="shared" si="9"/>
        <v/>
      </c>
    </row>
    <row r="189">
      <c r="A189" s="27" t="str">
        <f>IFERROR(__xludf.DUMMYFUNCTION("""COMPUTED_VALUE"""),"")</f>
        <v/>
      </c>
      <c r="B189" s="28"/>
      <c r="C189" s="28"/>
      <c r="D189" s="27"/>
      <c r="E189" s="27"/>
      <c r="F189" s="27"/>
      <c r="G189" s="27"/>
      <c r="H189" s="28"/>
      <c r="I189" s="28"/>
      <c r="J189" s="28"/>
      <c r="K189" s="28"/>
      <c r="L189" s="28"/>
      <c r="M189" s="28"/>
      <c r="N189" s="28"/>
      <c r="O189" s="28"/>
      <c r="R189" s="28" t="str">
        <f t="shared" si="9"/>
        <v/>
      </c>
    </row>
    <row r="190">
      <c r="A190" s="27" t="str">
        <f>IFERROR(__xludf.DUMMYFUNCTION("""COMPUTED_VALUE"""),"")</f>
        <v/>
      </c>
      <c r="B190" s="28"/>
      <c r="C190" s="28"/>
      <c r="D190" s="27"/>
      <c r="E190" s="27"/>
      <c r="F190" s="27"/>
      <c r="G190" s="27"/>
      <c r="H190" s="28"/>
      <c r="I190" s="28"/>
      <c r="J190" s="28"/>
      <c r="K190" s="28"/>
      <c r="L190" s="28"/>
      <c r="M190" s="28"/>
      <c r="N190" s="28"/>
      <c r="O190" s="28"/>
      <c r="R190" s="28" t="str">
        <f t="shared" si="9"/>
        <v/>
      </c>
    </row>
    <row r="191">
      <c r="A191" s="27" t="str">
        <f>IFERROR(__xludf.DUMMYFUNCTION("""COMPUTED_VALUE"""),"")</f>
        <v/>
      </c>
      <c r="B191" s="28"/>
      <c r="C191" s="28"/>
      <c r="D191" s="27"/>
      <c r="E191" s="27"/>
      <c r="F191" s="27"/>
      <c r="G191" s="27"/>
      <c r="H191" s="28"/>
      <c r="I191" s="28"/>
      <c r="J191" s="28"/>
      <c r="K191" s="28"/>
      <c r="L191" s="28"/>
      <c r="M191" s="28"/>
      <c r="N191" s="28"/>
      <c r="O191" s="28"/>
      <c r="R191" s="28" t="str">
        <f t="shared" si="9"/>
        <v/>
      </c>
    </row>
    <row r="192">
      <c r="A192" s="27" t="str">
        <f>IFERROR(__xludf.DUMMYFUNCTION("""COMPUTED_VALUE"""),"")</f>
        <v/>
      </c>
      <c r="B192" s="28"/>
      <c r="C192" s="28"/>
      <c r="D192" s="27"/>
      <c r="E192" s="27"/>
      <c r="F192" s="27"/>
      <c r="G192" s="27"/>
      <c r="H192" s="28"/>
      <c r="I192" s="28"/>
      <c r="J192" s="28"/>
      <c r="K192" s="28"/>
      <c r="L192" s="28"/>
      <c r="M192" s="28"/>
      <c r="N192" s="28"/>
      <c r="O192" s="28"/>
      <c r="R192" s="28" t="str">
        <f t="shared" si="9"/>
        <v/>
      </c>
    </row>
    <row r="193">
      <c r="A193" s="27" t="str">
        <f>IFERROR(__xludf.DUMMYFUNCTION("""COMPUTED_VALUE"""),"")</f>
        <v/>
      </c>
      <c r="B193" s="28"/>
      <c r="C193" s="28"/>
      <c r="D193" s="27"/>
      <c r="E193" s="27"/>
      <c r="F193" s="27"/>
      <c r="G193" s="27"/>
      <c r="H193" s="28"/>
      <c r="I193" s="28"/>
      <c r="J193" s="28"/>
      <c r="K193" s="28"/>
      <c r="L193" s="28"/>
      <c r="M193" s="28"/>
      <c r="N193" s="28"/>
      <c r="O193" s="28"/>
      <c r="R193" s="28" t="str">
        <f t="shared" si="9"/>
        <v/>
      </c>
    </row>
    <row r="194">
      <c r="A194" s="27" t="str">
        <f>IFERROR(__xludf.DUMMYFUNCTION("""COMPUTED_VALUE"""),"")</f>
        <v/>
      </c>
      <c r="B194" s="28"/>
      <c r="C194" s="28"/>
      <c r="D194" s="27"/>
      <c r="E194" s="27"/>
      <c r="F194" s="27"/>
      <c r="G194" s="27"/>
      <c r="H194" s="28"/>
      <c r="I194" s="28"/>
      <c r="J194" s="28"/>
      <c r="K194" s="28"/>
      <c r="L194" s="28"/>
      <c r="M194" s="28"/>
      <c r="N194" s="28"/>
      <c r="O194" s="28"/>
      <c r="R194" s="28" t="str">
        <f t="shared" si="9"/>
        <v/>
      </c>
    </row>
    <row r="195">
      <c r="A195" s="27" t="str">
        <f>IFERROR(__xludf.DUMMYFUNCTION("""COMPUTED_VALUE"""),"")</f>
        <v/>
      </c>
      <c r="B195" s="28"/>
      <c r="C195" s="28"/>
      <c r="D195" s="27"/>
      <c r="E195" s="27"/>
      <c r="F195" s="27"/>
      <c r="G195" s="27"/>
      <c r="H195" s="28"/>
      <c r="I195" s="28"/>
      <c r="J195" s="28"/>
      <c r="K195" s="28"/>
      <c r="L195" s="28"/>
      <c r="M195" s="28"/>
      <c r="N195" s="28"/>
      <c r="O195" s="28"/>
      <c r="R195" s="28" t="str">
        <f t="shared" si="9"/>
        <v/>
      </c>
    </row>
    <row r="196">
      <c r="A196" s="27" t="str">
        <f>IFERROR(__xludf.DUMMYFUNCTION("""COMPUTED_VALUE"""),"")</f>
        <v/>
      </c>
      <c r="B196" s="28"/>
      <c r="C196" s="28"/>
      <c r="D196" s="27"/>
      <c r="E196" s="27"/>
      <c r="F196" s="27"/>
      <c r="G196" s="27"/>
      <c r="H196" s="28"/>
      <c r="I196" s="28"/>
      <c r="J196" s="28"/>
      <c r="K196" s="28"/>
      <c r="L196" s="28"/>
      <c r="M196" s="28"/>
      <c r="N196" s="28"/>
      <c r="O196" s="28"/>
      <c r="R196" s="28" t="str">
        <f t="shared" si="9"/>
        <v/>
      </c>
    </row>
    <row r="197">
      <c r="A197" s="27" t="str">
        <f>IFERROR(__xludf.DUMMYFUNCTION("""COMPUTED_VALUE"""),"")</f>
        <v/>
      </c>
      <c r="B197" s="28"/>
      <c r="C197" s="28"/>
      <c r="D197" s="27"/>
      <c r="E197" s="27"/>
      <c r="F197" s="27"/>
      <c r="G197" s="27"/>
      <c r="H197" s="28"/>
      <c r="I197" s="28"/>
      <c r="J197" s="28"/>
      <c r="K197" s="28"/>
      <c r="L197" s="28"/>
      <c r="M197" s="28"/>
      <c r="N197" s="28"/>
      <c r="O197" s="28"/>
      <c r="R197" s="28" t="str">
        <f t="shared" si="9"/>
        <v/>
      </c>
    </row>
    <row r="198">
      <c r="A198" s="27" t="str">
        <f>IFERROR(__xludf.DUMMYFUNCTION("""COMPUTED_VALUE"""),"")</f>
        <v/>
      </c>
      <c r="B198" s="28"/>
      <c r="C198" s="28"/>
      <c r="D198" s="27"/>
      <c r="E198" s="27"/>
      <c r="F198" s="27"/>
      <c r="G198" s="27"/>
      <c r="H198" s="28"/>
      <c r="I198" s="28"/>
      <c r="J198" s="28"/>
      <c r="K198" s="28"/>
      <c r="L198" s="28"/>
      <c r="M198" s="28"/>
      <c r="N198" s="28"/>
      <c r="O198" s="28"/>
      <c r="R198" s="28" t="str">
        <f t="shared" si="9"/>
        <v/>
      </c>
    </row>
    <row r="199">
      <c r="A199" s="27" t="str">
        <f>IFERROR(__xludf.DUMMYFUNCTION("""COMPUTED_VALUE"""),"")</f>
        <v/>
      </c>
      <c r="B199" s="28"/>
      <c r="C199" s="28"/>
      <c r="D199" s="27"/>
      <c r="E199" s="27"/>
      <c r="F199" s="27"/>
      <c r="G199" s="27"/>
      <c r="H199" s="28"/>
      <c r="I199" s="28"/>
      <c r="J199" s="28"/>
      <c r="K199" s="28"/>
      <c r="L199" s="28"/>
      <c r="M199" s="28"/>
      <c r="N199" s="28"/>
      <c r="O199" s="28"/>
      <c r="R199" s="28" t="str">
        <f t="shared" si="9"/>
        <v/>
      </c>
    </row>
    <row r="200">
      <c r="A200" s="27" t="str">
        <f>IFERROR(__xludf.DUMMYFUNCTION("""COMPUTED_VALUE"""),"")</f>
        <v/>
      </c>
      <c r="B200" s="28"/>
      <c r="C200" s="28"/>
      <c r="D200" s="27"/>
      <c r="E200" s="27"/>
      <c r="F200" s="27"/>
      <c r="G200" s="27"/>
      <c r="H200" s="28"/>
      <c r="I200" s="28"/>
      <c r="J200" s="28"/>
      <c r="K200" s="28"/>
      <c r="L200" s="28"/>
      <c r="M200" s="28"/>
      <c r="N200" s="28"/>
      <c r="O200" s="28"/>
      <c r="R200" s="28" t="str">
        <f t="shared" si="9"/>
        <v/>
      </c>
    </row>
    <row r="201">
      <c r="A201" s="27" t="str">
        <f>IFERROR(__xludf.DUMMYFUNCTION("""COMPUTED_VALUE"""),"")</f>
        <v/>
      </c>
      <c r="B201" s="28"/>
      <c r="C201" s="28"/>
      <c r="D201" s="27"/>
      <c r="E201" s="27"/>
      <c r="F201" s="27"/>
      <c r="G201" s="27"/>
      <c r="H201" s="28"/>
      <c r="I201" s="28"/>
      <c r="J201" s="28"/>
      <c r="K201" s="28"/>
      <c r="L201" s="28"/>
      <c r="M201" s="28"/>
      <c r="N201" s="28"/>
      <c r="O201" s="28"/>
      <c r="R201" s="28" t="str">
        <f t="shared" si="9"/>
        <v/>
      </c>
    </row>
    <row r="202">
      <c r="A202" s="27" t="str">
        <f>IFERROR(__xludf.DUMMYFUNCTION("""COMPUTED_VALUE"""),"")</f>
        <v/>
      </c>
      <c r="B202" s="28"/>
      <c r="C202" s="28"/>
      <c r="D202" s="27"/>
      <c r="E202" s="27"/>
      <c r="F202" s="27"/>
      <c r="G202" s="27"/>
      <c r="H202" s="28"/>
      <c r="I202" s="28"/>
      <c r="J202" s="28"/>
      <c r="K202" s="28"/>
      <c r="L202" s="28"/>
      <c r="M202" s="28"/>
      <c r="N202" s="28"/>
      <c r="O202" s="28"/>
      <c r="R202" s="28" t="str">
        <f t="shared" si="9"/>
        <v/>
      </c>
    </row>
    <row r="203">
      <c r="A203" s="27" t="str">
        <f>IFERROR(__xludf.DUMMYFUNCTION("""COMPUTED_VALUE"""),"")</f>
        <v/>
      </c>
      <c r="B203" s="28"/>
      <c r="C203" s="28"/>
      <c r="D203" s="27"/>
      <c r="E203" s="27"/>
      <c r="F203" s="27"/>
      <c r="G203" s="27"/>
      <c r="H203" s="28"/>
      <c r="I203" s="28"/>
      <c r="J203" s="28"/>
      <c r="K203" s="28"/>
      <c r="L203" s="28"/>
      <c r="M203" s="28"/>
      <c r="N203" s="28"/>
      <c r="O203" s="28"/>
      <c r="R203" s="28" t="str">
        <f t="shared" si="9"/>
        <v/>
      </c>
    </row>
    <row r="204">
      <c r="A204" s="27" t="str">
        <f>IFERROR(__xludf.DUMMYFUNCTION("""COMPUTED_VALUE"""),"")</f>
        <v/>
      </c>
      <c r="B204" s="28"/>
      <c r="C204" s="28"/>
      <c r="D204" s="27"/>
      <c r="E204" s="27"/>
      <c r="F204" s="27"/>
      <c r="G204" s="27"/>
      <c r="H204" s="28"/>
      <c r="I204" s="28"/>
      <c r="J204" s="28"/>
      <c r="K204" s="28"/>
      <c r="L204" s="28"/>
      <c r="M204" s="28"/>
      <c r="N204" s="28"/>
      <c r="O204" s="28"/>
      <c r="R204" s="28" t="str">
        <f t="shared" si="9"/>
        <v/>
      </c>
    </row>
    <row r="205">
      <c r="A205" s="27" t="str">
        <f>IFERROR(__xludf.DUMMYFUNCTION("""COMPUTED_VALUE"""),"")</f>
        <v/>
      </c>
      <c r="B205" s="28"/>
      <c r="C205" s="28"/>
      <c r="D205" s="27"/>
      <c r="E205" s="27"/>
      <c r="F205" s="27"/>
      <c r="G205" s="27"/>
      <c r="H205" s="28"/>
      <c r="I205" s="28"/>
      <c r="J205" s="28"/>
      <c r="K205" s="28"/>
      <c r="L205" s="28"/>
      <c r="M205" s="28"/>
      <c r="N205" s="28"/>
      <c r="O205" s="28"/>
      <c r="R205" s="28" t="str">
        <f t="shared" si="9"/>
        <v/>
      </c>
    </row>
    <row r="206">
      <c r="A206" s="27" t="str">
        <f>IFERROR(__xludf.DUMMYFUNCTION("""COMPUTED_VALUE"""),"")</f>
        <v/>
      </c>
      <c r="B206" s="28"/>
      <c r="C206" s="28"/>
      <c r="D206" s="27"/>
      <c r="E206" s="27"/>
      <c r="F206" s="27"/>
      <c r="G206" s="27"/>
      <c r="H206" s="28"/>
      <c r="I206" s="28"/>
      <c r="J206" s="28"/>
      <c r="K206" s="28"/>
      <c r="L206" s="28"/>
      <c r="M206" s="28"/>
      <c r="N206" s="28"/>
      <c r="O206" s="28"/>
      <c r="R206" s="28" t="str">
        <f t="shared" si="9"/>
        <v/>
      </c>
    </row>
    <row r="207">
      <c r="A207" s="27" t="str">
        <f>IFERROR(__xludf.DUMMYFUNCTION("""COMPUTED_VALUE"""),"")</f>
        <v/>
      </c>
      <c r="B207" s="28"/>
      <c r="C207" s="28"/>
      <c r="D207" s="27"/>
      <c r="E207" s="27"/>
      <c r="F207" s="27"/>
      <c r="G207" s="27"/>
      <c r="H207" s="28"/>
      <c r="I207" s="28"/>
      <c r="J207" s="28"/>
      <c r="K207" s="28"/>
      <c r="L207" s="28"/>
      <c r="M207" s="28"/>
      <c r="N207" s="28"/>
      <c r="O207" s="28"/>
      <c r="R207" s="28" t="str">
        <f t="shared" si="9"/>
        <v/>
      </c>
    </row>
    <row r="208">
      <c r="A208" s="27" t="str">
        <f>IFERROR(__xludf.DUMMYFUNCTION("""COMPUTED_VALUE"""),"")</f>
        <v/>
      </c>
      <c r="B208" s="28"/>
      <c r="C208" s="28"/>
      <c r="D208" s="27"/>
      <c r="E208" s="27"/>
      <c r="F208" s="27"/>
      <c r="G208" s="27"/>
      <c r="H208" s="28"/>
      <c r="I208" s="28"/>
      <c r="J208" s="28"/>
      <c r="K208" s="28"/>
      <c r="L208" s="28"/>
      <c r="M208" s="28"/>
      <c r="N208" s="28"/>
      <c r="O208" s="28"/>
      <c r="R208" s="28" t="str">
        <f t="shared" si="9"/>
        <v/>
      </c>
    </row>
    <row r="209">
      <c r="A209" s="27" t="str">
        <f>IFERROR(__xludf.DUMMYFUNCTION("""COMPUTED_VALUE"""),"")</f>
        <v/>
      </c>
      <c r="B209" s="28"/>
      <c r="C209" s="28"/>
      <c r="D209" s="27"/>
      <c r="E209" s="27"/>
      <c r="F209" s="27"/>
      <c r="G209" s="27"/>
      <c r="H209" s="28"/>
      <c r="I209" s="28"/>
      <c r="J209" s="28"/>
      <c r="K209" s="28"/>
      <c r="L209" s="28"/>
      <c r="M209" s="28"/>
      <c r="N209" s="28"/>
      <c r="O209" s="28"/>
      <c r="R209" s="28" t="str">
        <f t="shared" si="9"/>
        <v/>
      </c>
    </row>
    <row r="210">
      <c r="A210" s="27" t="str">
        <f>IFERROR(__xludf.DUMMYFUNCTION("""COMPUTED_VALUE"""),"")</f>
        <v/>
      </c>
      <c r="B210" s="28"/>
      <c r="C210" s="28"/>
      <c r="D210" s="27"/>
      <c r="E210" s="27"/>
      <c r="F210" s="27"/>
      <c r="G210" s="27"/>
      <c r="H210" s="28"/>
      <c r="I210" s="28"/>
      <c r="J210" s="28"/>
      <c r="K210" s="28"/>
      <c r="L210" s="28"/>
      <c r="M210" s="28"/>
      <c r="N210" s="28"/>
      <c r="O210" s="28"/>
      <c r="R210" s="28" t="str">
        <f t="shared" si="9"/>
        <v/>
      </c>
    </row>
    <row r="211">
      <c r="A211" s="27" t="str">
        <f>IFERROR(__xludf.DUMMYFUNCTION("""COMPUTED_VALUE"""),"")</f>
        <v/>
      </c>
      <c r="B211" s="28"/>
      <c r="C211" s="28"/>
      <c r="D211" s="27"/>
      <c r="E211" s="27"/>
      <c r="F211" s="27"/>
      <c r="G211" s="27"/>
      <c r="H211" s="28"/>
      <c r="I211" s="28"/>
      <c r="J211" s="28"/>
      <c r="K211" s="28"/>
      <c r="L211" s="28"/>
      <c r="M211" s="28"/>
      <c r="N211" s="28"/>
      <c r="O211" s="28"/>
      <c r="R211" s="28" t="str">
        <f t="shared" si="9"/>
        <v/>
      </c>
    </row>
    <row r="212">
      <c r="A212" s="27" t="str">
        <f>IFERROR(__xludf.DUMMYFUNCTION("""COMPUTED_VALUE"""),"")</f>
        <v/>
      </c>
      <c r="B212" s="28"/>
      <c r="C212" s="28"/>
      <c r="D212" s="27"/>
      <c r="E212" s="27"/>
      <c r="F212" s="27"/>
      <c r="G212" s="27"/>
      <c r="H212" s="28"/>
      <c r="I212" s="28"/>
      <c r="J212" s="28"/>
      <c r="K212" s="28"/>
      <c r="L212" s="28"/>
      <c r="M212" s="28"/>
      <c r="N212" s="28"/>
      <c r="O212" s="28"/>
      <c r="R212" s="28" t="str">
        <f t="shared" si="9"/>
        <v/>
      </c>
    </row>
    <row r="213">
      <c r="A213" s="27" t="str">
        <f>IFERROR(__xludf.DUMMYFUNCTION("""COMPUTED_VALUE"""),"")</f>
        <v/>
      </c>
      <c r="B213" s="28"/>
      <c r="C213" s="28"/>
      <c r="D213" s="27"/>
      <c r="E213" s="27"/>
      <c r="F213" s="27"/>
      <c r="G213" s="27"/>
      <c r="H213" s="28"/>
      <c r="I213" s="28"/>
      <c r="J213" s="28"/>
      <c r="K213" s="28"/>
      <c r="L213" s="28"/>
      <c r="M213" s="28"/>
      <c r="N213" s="28"/>
      <c r="O213" s="28"/>
      <c r="R213" s="28" t="str">
        <f t="shared" si="9"/>
        <v/>
      </c>
    </row>
    <row r="214">
      <c r="A214" s="27" t="str">
        <f>IFERROR(__xludf.DUMMYFUNCTION("""COMPUTED_VALUE"""),"")</f>
        <v/>
      </c>
      <c r="B214" s="28"/>
      <c r="C214" s="28"/>
      <c r="D214" s="27"/>
      <c r="E214" s="27"/>
      <c r="F214" s="27"/>
      <c r="G214" s="27"/>
      <c r="H214" s="28"/>
      <c r="I214" s="28"/>
      <c r="J214" s="28"/>
      <c r="K214" s="28"/>
      <c r="L214" s="28"/>
      <c r="M214" s="28"/>
      <c r="N214" s="28"/>
      <c r="O214" s="28"/>
      <c r="R214" s="28" t="str">
        <f t="shared" si="9"/>
        <v/>
      </c>
    </row>
    <row r="215">
      <c r="A215" s="27" t="str">
        <f>IFERROR(__xludf.DUMMYFUNCTION("""COMPUTED_VALUE"""),"")</f>
        <v/>
      </c>
      <c r="B215" s="28"/>
      <c r="C215" s="28"/>
      <c r="D215" s="27"/>
      <c r="E215" s="27"/>
      <c r="F215" s="27"/>
      <c r="G215" s="27"/>
      <c r="H215" s="28"/>
      <c r="I215" s="28"/>
      <c r="J215" s="28"/>
      <c r="K215" s="28"/>
      <c r="L215" s="28"/>
      <c r="M215" s="28"/>
      <c r="N215" s="28"/>
      <c r="O215" s="28"/>
      <c r="R215" s="28" t="str">
        <f t="shared" si="9"/>
        <v/>
      </c>
    </row>
    <row r="216">
      <c r="A216" s="27" t="str">
        <f>IFERROR(__xludf.DUMMYFUNCTION("""COMPUTED_VALUE"""),"")</f>
        <v/>
      </c>
      <c r="B216" s="28"/>
      <c r="C216" s="28"/>
      <c r="D216" s="27"/>
      <c r="E216" s="27"/>
      <c r="F216" s="27"/>
      <c r="G216" s="27"/>
      <c r="H216" s="28"/>
      <c r="I216" s="28"/>
      <c r="J216" s="28"/>
      <c r="K216" s="28"/>
      <c r="L216" s="28"/>
      <c r="M216" s="28"/>
      <c r="N216" s="28"/>
      <c r="O216" s="28"/>
      <c r="R216" s="28" t="str">
        <f t="shared" si="9"/>
        <v/>
      </c>
    </row>
    <row r="217">
      <c r="A217" s="27" t="str">
        <f>IFERROR(__xludf.DUMMYFUNCTION("""COMPUTED_VALUE"""),"")</f>
        <v/>
      </c>
      <c r="B217" s="28"/>
      <c r="C217" s="28"/>
      <c r="D217" s="27"/>
      <c r="E217" s="27"/>
      <c r="F217" s="27"/>
      <c r="G217" s="27"/>
      <c r="H217" s="28"/>
      <c r="I217" s="28"/>
      <c r="J217" s="28"/>
      <c r="K217" s="28"/>
      <c r="L217" s="28"/>
      <c r="M217" s="28"/>
      <c r="N217" s="28"/>
      <c r="O217" s="28"/>
      <c r="R217" s="28" t="str">
        <f t="shared" si="9"/>
        <v/>
      </c>
    </row>
    <row r="218">
      <c r="A218" s="27" t="str">
        <f>IFERROR(__xludf.DUMMYFUNCTION("""COMPUTED_VALUE"""),"")</f>
        <v/>
      </c>
      <c r="B218" s="28"/>
      <c r="C218" s="28"/>
      <c r="D218" s="27"/>
      <c r="E218" s="27"/>
      <c r="F218" s="27"/>
      <c r="G218" s="27"/>
      <c r="H218" s="28"/>
      <c r="I218" s="28"/>
      <c r="J218" s="28"/>
      <c r="K218" s="28"/>
      <c r="L218" s="28"/>
      <c r="M218" s="28"/>
      <c r="N218" s="28"/>
      <c r="O218" s="28"/>
      <c r="R218" s="28" t="str">
        <f t="shared" si="9"/>
        <v/>
      </c>
    </row>
    <row r="219">
      <c r="A219" s="27" t="str">
        <f>IFERROR(__xludf.DUMMYFUNCTION("""COMPUTED_VALUE"""),"")</f>
        <v/>
      </c>
      <c r="B219" s="28"/>
      <c r="C219" s="28"/>
      <c r="D219" s="27"/>
      <c r="E219" s="27"/>
      <c r="F219" s="27"/>
      <c r="G219" s="27"/>
      <c r="H219" s="28"/>
      <c r="I219" s="28"/>
      <c r="J219" s="28"/>
      <c r="K219" s="28"/>
      <c r="L219" s="28"/>
      <c r="M219" s="28"/>
      <c r="N219" s="28"/>
      <c r="O219" s="28"/>
      <c r="R219" s="28" t="str">
        <f t="shared" si="9"/>
        <v/>
      </c>
    </row>
    <row r="220">
      <c r="A220" s="27" t="str">
        <f>IFERROR(__xludf.DUMMYFUNCTION("""COMPUTED_VALUE"""),"")</f>
        <v/>
      </c>
      <c r="B220" s="28"/>
      <c r="C220" s="28"/>
      <c r="D220" s="27"/>
      <c r="E220" s="27"/>
      <c r="F220" s="27"/>
      <c r="G220" s="27"/>
      <c r="H220" s="28"/>
      <c r="I220" s="28"/>
      <c r="J220" s="28"/>
      <c r="K220" s="28"/>
      <c r="L220" s="28"/>
      <c r="M220" s="28"/>
      <c r="N220" s="28"/>
      <c r="O220" s="28"/>
      <c r="R220" s="28" t="str">
        <f t="shared" si="9"/>
        <v/>
      </c>
    </row>
    <row r="221">
      <c r="A221" s="27" t="str">
        <f>IFERROR(__xludf.DUMMYFUNCTION("""COMPUTED_VALUE"""),"")</f>
        <v/>
      </c>
      <c r="B221" s="28"/>
      <c r="C221" s="28"/>
      <c r="D221" s="27"/>
      <c r="E221" s="27"/>
      <c r="F221" s="27"/>
      <c r="G221" s="27"/>
      <c r="H221" s="28"/>
      <c r="I221" s="28"/>
      <c r="J221" s="28"/>
      <c r="K221" s="28"/>
      <c r="L221" s="28"/>
      <c r="M221" s="28"/>
      <c r="N221" s="28"/>
      <c r="O221" s="28"/>
      <c r="R221" s="28" t="str">
        <f t="shared" si="9"/>
        <v/>
      </c>
    </row>
    <row r="222">
      <c r="A222" s="27" t="str">
        <f>IFERROR(__xludf.DUMMYFUNCTION("""COMPUTED_VALUE"""),"")</f>
        <v/>
      </c>
      <c r="B222" s="28"/>
      <c r="C222" s="28"/>
      <c r="D222" s="27"/>
      <c r="E222" s="27"/>
      <c r="F222" s="27"/>
      <c r="G222" s="27"/>
      <c r="H222" s="28"/>
      <c r="I222" s="28"/>
      <c r="J222" s="28"/>
      <c r="K222" s="28"/>
      <c r="L222" s="28"/>
      <c r="M222" s="28"/>
      <c r="N222" s="28"/>
      <c r="O222" s="28"/>
      <c r="R222" s="28" t="str">
        <f t="shared" si="9"/>
        <v/>
      </c>
    </row>
    <row r="223">
      <c r="A223" s="27" t="str">
        <f>IFERROR(__xludf.DUMMYFUNCTION("""COMPUTED_VALUE"""),"")</f>
        <v/>
      </c>
      <c r="B223" s="28"/>
      <c r="C223" s="28"/>
      <c r="D223" s="27"/>
      <c r="E223" s="27"/>
      <c r="F223" s="27"/>
      <c r="G223" s="27"/>
      <c r="H223" s="28"/>
      <c r="I223" s="28"/>
      <c r="J223" s="28"/>
      <c r="K223" s="28"/>
      <c r="L223" s="28"/>
      <c r="M223" s="28"/>
      <c r="N223" s="28"/>
      <c r="O223" s="28"/>
      <c r="R223" s="28" t="str">
        <f t="shared" si="9"/>
        <v/>
      </c>
    </row>
    <row r="224">
      <c r="A224" s="27" t="str">
        <f>IFERROR(__xludf.DUMMYFUNCTION("""COMPUTED_VALUE"""),"")</f>
        <v/>
      </c>
      <c r="B224" s="28"/>
      <c r="C224" s="28"/>
      <c r="D224" s="27"/>
      <c r="E224" s="27"/>
      <c r="F224" s="27"/>
      <c r="G224" s="27"/>
      <c r="H224" s="28"/>
      <c r="I224" s="28"/>
      <c r="J224" s="28"/>
      <c r="K224" s="28"/>
      <c r="L224" s="28"/>
      <c r="M224" s="28"/>
      <c r="N224" s="28"/>
      <c r="O224" s="28"/>
      <c r="R224" s="28" t="str">
        <f t="shared" si="9"/>
        <v/>
      </c>
    </row>
    <row r="225">
      <c r="A225" s="27" t="str">
        <f>IFERROR(__xludf.DUMMYFUNCTION("""COMPUTED_VALUE"""),"")</f>
        <v/>
      </c>
      <c r="B225" s="28"/>
      <c r="C225" s="28"/>
      <c r="D225" s="27"/>
      <c r="E225" s="27"/>
      <c r="F225" s="27"/>
      <c r="G225" s="27"/>
      <c r="H225" s="28"/>
      <c r="I225" s="28"/>
      <c r="J225" s="28"/>
      <c r="K225" s="28"/>
      <c r="L225" s="28"/>
      <c r="M225" s="28"/>
      <c r="N225" s="28"/>
      <c r="O225" s="28"/>
      <c r="R225" s="28" t="str">
        <f t="shared" si="9"/>
        <v/>
      </c>
    </row>
    <row r="226">
      <c r="A226" s="27" t="str">
        <f>IFERROR(__xludf.DUMMYFUNCTION("""COMPUTED_VALUE"""),"")</f>
        <v/>
      </c>
      <c r="B226" s="28"/>
      <c r="C226" s="28"/>
      <c r="D226" s="27"/>
      <c r="E226" s="27"/>
      <c r="F226" s="27"/>
      <c r="G226" s="27"/>
      <c r="H226" s="28"/>
      <c r="I226" s="28"/>
      <c r="J226" s="28"/>
      <c r="K226" s="28"/>
      <c r="L226" s="28"/>
      <c r="M226" s="28"/>
      <c r="N226" s="28"/>
      <c r="O226" s="28"/>
      <c r="R226" s="28" t="str">
        <f t="shared" si="9"/>
        <v/>
      </c>
    </row>
    <row r="227">
      <c r="A227" s="27" t="str">
        <f>IFERROR(__xludf.DUMMYFUNCTION("""COMPUTED_VALUE"""),"")</f>
        <v/>
      </c>
      <c r="B227" s="28"/>
      <c r="C227" s="28"/>
      <c r="D227" s="27"/>
      <c r="E227" s="27"/>
      <c r="F227" s="27"/>
      <c r="G227" s="27"/>
      <c r="H227" s="28"/>
      <c r="I227" s="28"/>
      <c r="J227" s="28"/>
      <c r="K227" s="28"/>
      <c r="L227" s="28"/>
      <c r="M227" s="28"/>
      <c r="N227" s="28"/>
      <c r="O227" s="28"/>
      <c r="R227" s="28" t="str">
        <f t="shared" si="9"/>
        <v/>
      </c>
    </row>
    <row r="228">
      <c r="A228" s="27" t="str">
        <f>IFERROR(__xludf.DUMMYFUNCTION("""COMPUTED_VALUE"""),"")</f>
        <v/>
      </c>
      <c r="B228" s="28"/>
      <c r="C228" s="28"/>
      <c r="D228" s="27"/>
      <c r="E228" s="27"/>
      <c r="F228" s="27"/>
      <c r="G228" s="27"/>
      <c r="H228" s="28"/>
      <c r="I228" s="28"/>
      <c r="J228" s="28"/>
      <c r="K228" s="28"/>
      <c r="L228" s="28"/>
      <c r="M228" s="28"/>
      <c r="N228" s="28"/>
      <c r="O228" s="28"/>
      <c r="R228" s="28" t="str">
        <f t="shared" si="9"/>
        <v/>
      </c>
    </row>
    <row r="229">
      <c r="A229" s="27" t="str">
        <f>IFERROR(__xludf.DUMMYFUNCTION("""COMPUTED_VALUE"""),"")</f>
        <v/>
      </c>
      <c r="B229" s="28"/>
      <c r="C229" s="28"/>
      <c r="D229" s="27"/>
      <c r="E229" s="27"/>
      <c r="F229" s="27"/>
      <c r="G229" s="27"/>
      <c r="H229" s="28"/>
      <c r="I229" s="28"/>
      <c r="J229" s="28"/>
      <c r="K229" s="28"/>
      <c r="L229" s="28"/>
      <c r="M229" s="28"/>
      <c r="N229" s="28"/>
      <c r="O229" s="28"/>
      <c r="R229" s="28" t="str">
        <f t="shared" si="9"/>
        <v/>
      </c>
    </row>
    <row r="230">
      <c r="A230" s="27" t="str">
        <f>IFERROR(__xludf.DUMMYFUNCTION("""COMPUTED_VALUE"""),"")</f>
        <v/>
      </c>
      <c r="B230" s="28"/>
      <c r="C230" s="28"/>
      <c r="D230" s="27"/>
      <c r="E230" s="27"/>
      <c r="F230" s="27"/>
      <c r="G230" s="27"/>
      <c r="H230" s="28"/>
      <c r="I230" s="28"/>
      <c r="J230" s="28"/>
      <c r="K230" s="28"/>
      <c r="L230" s="28"/>
      <c r="M230" s="28"/>
      <c r="N230" s="28"/>
      <c r="O230" s="28"/>
      <c r="R230" s="28" t="str">
        <f t="shared" si="9"/>
        <v/>
      </c>
    </row>
    <row r="231">
      <c r="A231" s="27" t="str">
        <f>IFERROR(__xludf.DUMMYFUNCTION("""COMPUTED_VALUE"""),"")</f>
        <v/>
      </c>
      <c r="B231" s="28"/>
      <c r="C231" s="28"/>
      <c r="D231" s="27"/>
      <c r="E231" s="27"/>
      <c r="F231" s="27"/>
      <c r="G231" s="27"/>
      <c r="H231" s="28"/>
      <c r="I231" s="28"/>
      <c r="J231" s="28"/>
      <c r="K231" s="28"/>
      <c r="L231" s="28"/>
      <c r="M231" s="28"/>
      <c r="N231" s="28"/>
      <c r="O231" s="28"/>
      <c r="R231" s="28" t="str">
        <f t="shared" si="9"/>
        <v/>
      </c>
    </row>
    <row r="232">
      <c r="A232" s="27" t="str">
        <f>IFERROR(__xludf.DUMMYFUNCTION("""COMPUTED_VALUE"""),"")</f>
        <v/>
      </c>
      <c r="B232" s="28"/>
      <c r="C232" s="28"/>
      <c r="D232" s="27"/>
      <c r="E232" s="27"/>
      <c r="F232" s="27"/>
      <c r="G232" s="27"/>
      <c r="H232" s="28"/>
      <c r="I232" s="28"/>
      <c r="J232" s="28"/>
      <c r="K232" s="28"/>
      <c r="L232" s="28"/>
      <c r="M232" s="28"/>
      <c r="N232" s="28"/>
      <c r="O232" s="28"/>
      <c r="R232" s="28" t="str">
        <f t="shared" si="9"/>
        <v/>
      </c>
    </row>
    <row r="233">
      <c r="A233" s="27" t="str">
        <f>IFERROR(__xludf.DUMMYFUNCTION("""COMPUTED_VALUE"""),"")</f>
        <v/>
      </c>
      <c r="B233" s="28"/>
      <c r="C233" s="28"/>
      <c r="D233" s="27"/>
      <c r="E233" s="27"/>
      <c r="F233" s="27"/>
      <c r="G233" s="27"/>
      <c r="H233" s="28"/>
      <c r="I233" s="28"/>
      <c r="J233" s="28"/>
      <c r="K233" s="28"/>
      <c r="L233" s="28"/>
      <c r="M233" s="28"/>
      <c r="N233" s="28"/>
      <c r="O233" s="28"/>
      <c r="R233" s="28" t="str">
        <f t="shared" si="9"/>
        <v/>
      </c>
    </row>
    <row r="234">
      <c r="A234" s="27" t="str">
        <f>IFERROR(__xludf.DUMMYFUNCTION("""COMPUTED_VALUE"""),"")</f>
        <v/>
      </c>
      <c r="B234" s="28"/>
      <c r="C234" s="28"/>
      <c r="D234" s="27"/>
      <c r="E234" s="27"/>
      <c r="F234" s="27"/>
      <c r="G234" s="27"/>
      <c r="H234" s="28"/>
      <c r="I234" s="28"/>
      <c r="J234" s="28"/>
      <c r="K234" s="28"/>
      <c r="L234" s="28"/>
      <c r="M234" s="28"/>
      <c r="N234" s="28"/>
      <c r="O234" s="28"/>
      <c r="R234" s="28" t="str">
        <f t="shared" si="9"/>
        <v/>
      </c>
    </row>
    <row r="235">
      <c r="A235" s="27" t="str">
        <f>IFERROR(__xludf.DUMMYFUNCTION("""COMPUTED_VALUE"""),"")</f>
        <v/>
      </c>
      <c r="B235" s="28"/>
      <c r="C235" s="28"/>
      <c r="D235" s="27"/>
      <c r="E235" s="27"/>
      <c r="F235" s="27"/>
      <c r="G235" s="27"/>
      <c r="H235" s="28"/>
      <c r="I235" s="28"/>
      <c r="J235" s="28"/>
      <c r="K235" s="28"/>
      <c r="L235" s="28"/>
      <c r="M235" s="28"/>
      <c r="N235" s="28"/>
      <c r="O235" s="28"/>
      <c r="R235" s="28" t="str">
        <f t="shared" si="9"/>
        <v/>
      </c>
    </row>
    <row r="236">
      <c r="A236" s="27" t="str">
        <f>IFERROR(__xludf.DUMMYFUNCTION("""COMPUTED_VALUE"""),"")</f>
        <v/>
      </c>
      <c r="B236" s="28"/>
      <c r="C236" s="28"/>
      <c r="D236" s="27"/>
      <c r="E236" s="27"/>
      <c r="F236" s="27"/>
      <c r="G236" s="27"/>
      <c r="H236" s="28"/>
      <c r="I236" s="28"/>
      <c r="J236" s="28"/>
      <c r="K236" s="28"/>
      <c r="L236" s="28"/>
      <c r="M236" s="28"/>
      <c r="N236" s="28"/>
      <c r="O236" s="28"/>
      <c r="R236" s="28" t="str">
        <f t="shared" si="9"/>
        <v/>
      </c>
    </row>
    <row r="237">
      <c r="A237" s="27" t="str">
        <f>IFERROR(__xludf.DUMMYFUNCTION("""COMPUTED_VALUE"""),"")</f>
        <v/>
      </c>
      <c r="B237" s="28"/>
      <c r="C237" s="28"/>
      <c r="D237" s="27"/>
      <c r="E237" s="27"/>
      <c r="F237" s="27"/>
      <c r="G237" s="27"/>
      <c r="H237" s="28"/>
      <c r="I237" s="28"/>
      <c r="J237" s="28"/>
      <c r="K237" s="28"/>
      <c r="L237" s="28"/>
      <c r="M237" s="28"/>
      <c r="N237" s="28"/>
      <c r="O237" s="28"/>
      <c r="R237" s="28" t="str">
        <f t="shared" si="9"/>
        <v/>
      </c>
    </row>
    <row r="238">
      <c r="A238" s="27" t="str">
        <f>IFERROR(__xludf.DUMMYFUNCTION("""COMPUTED_VALUE"""),"")</f>
        <v/>
      </c>
      <c r="B238" s="28"/>
      <c r="C238" s="28"/>
      <c r="D238" s="27"/>
      <c r="E238" s="27"/>
      <c r="F238" s="27"/>
      <c r="G238" s="27"/>
      <c r="H238" s="28"/>
      <c r="I238" s="28"/>
      <c r="J238" s="28"/>
      <c r="K238" s="28"/>
      <c r="L238" s="28"/>
      <c r="M238" s="28"/>
      <c r="N238" s="28"/>
      <c r="O238" s="28"/>
      <c r="R238" s="28" t="str">
        <f t="shared" si="9"/>
        <v/>
      </c>
    </row>
    <row r="239">
      <c r="A239" s="27" t="str">
        <f>IFERROR(__xludf.DUMMYFUNCTION("""COMPUTED_VALUE"""),"")</f>
        <v/>
      </c>
      <c r="B239" s="28"/>
      <c r="C239" s="28"/>
      <c r="D239" s="27"/>
      <c r="E239" s="27"/>
      <c r="F239" s="27"/>
      <c r="G239" s="27"/>
      <c r="H239" s="28"/>
      <c r="I239" s="28"/>
      <c r="J239" s="28"/>
      <c r="K239" s="28"/>
      <c r="L239" s="28"/>
      <c r="M239" s="28"/>
      <c r="N239" s="28"/>
      <c r="O239" s="28"/>
      <c r="R239" s="28" t="str">
        <f t="shared" si="9"/>
        <v/>
      </c>
    </row>
    <row r="240">
      <c r="A240" s="27" t="str">
        <f>IFERROR(__xludf.DUMMYFUNCTION("""COMPUTED_VALUE"""),"")</f>
        <v/>
      </c>
      <c r="B240" s="28"/>
      <c r="C240" s="28"/>
      <c r="D240" s="27"/>
      <c r="E240" s="27"/>
      <c r="F240" s="27"/>
      <c r="G240" s="27"/>
      <c r="H240" s="28"/>
      <c r="I240" s="28"/>
      <c r="J240" s="28"/>
      <c r="K240" s="28"/>
      <c r="L240" s="28"/>
      <c r="M240" s="28"/>
      <c r="N240" s="28"/>
      <c r="O240" s="28"/>
      <c r="R240" s="28" t="str">
        <f t="shared" si="9"/>
        <v/>
      </c>
    </row>
    <row r="241">
      <c r="A241" s="27" t="str">
        <f>IFERROR(__xludf.DUMMYFUNCTION("""COMPUTED_VALUE"""),"")</f>
        <v/>
      </c>
      <c r="B241" s="28"/>
      <c r="C241" s="28"/>
      <c r="D241" s="27"/>
      <c r="E241" s="27"/>
      <c r="F241" s="27"/>
      <c r="G241" s="27"/>
      <c r="H241" s="28"/>
      <c r="I241" s="28"/>
      <c r="J241" s="28"/>
      <c r="K241" s="28"/>
      <c r="L241" s="28"/>
      <c r="M241" s="28"/>
      <c r="N241" s="28"/>
      <c r="O241" s="28"/>
      <c r="R241" s="28" t="str">
        <f t="shared" si="9"/>
        <v/>
      </c>
    </row>
    <row r="242">
      <c r="A242" s="27" t="str">
        <f>IFERROR(__xludf.DUMMYFUNCTION("""COMPUTED_VALUE"""),"")</f>
        <v/>
      </c>
      <c r="B242" s="28"/>
      <c r="C242" s="28"/>
      <c r="D242" s="27"/>
      <c r="E242" s="27"/>
      <c r="F242" s="27"/>
      <c r="G242" s="27"/>
      <c r="H242" s="28"/>
      <c r="I242" s="28"/>
      <c r="J242" s="28"/>
      <c r="K242" s="28"/>
      <c r="L242" s="28"/>
      <c r="M242" s="28"/>
      <c r="N242" s="28"/>
      <c r="O242" s="28"/>
      <c r="R242" s="28" t="str">
        <f t="shared" si="9"/>
        <v/>
      </c>
    </row>
    <row r="243">
      <c r="A243" s="27" t="str">
        <f>IFERROR(__xludf.DUMMYFUNCTION("""COMPUTED_VALUE"""),"")</f>
        <v/>
      </c>
      <c r="B243" s="28"/>
      <c r="C243" s="28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R243" s="28" t="str">
        <f t="shared" si="9"/>
        <v/>
      </c>
    </row>
    <row r="244">
      <c r="A244" s="27" t="str">
        <f>IFERROR(__xludf.DUMMYFUNCTION("""COMPUTED_VALUE"""),"")</f>
        <v/>
      </c>
      <c r="B244" s="28"/>
      <c r="C244" s="28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R244" s="28" t="str">
        <f t="shared" si="9"/>
        <v/>
      </c>
    </row>
    <row r="245">
      <c r="A245" s="27" t="str">
        <f>IFERROR(__xludf.DUMMYFUNCTION("""COMPUTED_VALUE"""),"")</f>
        <v/>
      </c>
      <c r="B245" s="28"/>
      <c r="C245" s="28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R245" s="28" t="str">
        <f t="shared" si="9"/>
        <v/>
      </c>
    </row>
    <row r="246">
      <c r="A246" s="27" t="str">
        <f>IFERROR(__xludf.DUMMYFUNCTION("""COMPUTED_VALUE"""),"")</f>
        <v/>
      </c>
      <c r="B246" s="28"/>
      <c r="C246" s="28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R246" s="28" t="str">
        <f t="shared" si="9"/>
        <v/>
      </c>
    </row>
    <row r="247">
      <c r="A247" s="27" t="str">
        <f>IFERROR(__xludf.DUMMYFUNCTION("""COMPUTED_VALUE"""),"")</f>
        <v/>
      </c>
      <c r="B247" s="28"/>
      <c r="C247" s="28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R247" s="28" t="str">
        <f t="shared" si="9"/>
        <v/>
      </c>
    </row>
    <row r="248">
      <c r="A248" s="27" t="str">
        <f>IFERROR(__xludf.DUMMYFUNCTION("""COMPUTED_VALUE"""),"")</f>
        <v/>
      </c>
      <c r="B248" s="28"/>
      <c r="C248" s="28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R248" s="28" t="str">
        <f t="shared" si="9"/>
        <v/>
      </c>
    </row>
    <row r="249">
      <c r="A249" s="27" t="str">
        <f>IFERROR(__xludf.DUMMYFUNCTION("""COMPUTED_VALUE"""),"")</f>
        <v/>
      </c>
      <c r="B249" s="28"/>
      <c r="C249" s="28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R249" s="28" t="str">
        <f t="shared" si="9"/>
        <v/>
      </c>
    </row>
    <row r="250">
      <c r="A250" s="27" t="str">
        <f>IFERROR(__xludf.DUMMYFUNCTION("""COMPUTED_VALUE"""),"")</f>
        <v/>
      </c>
      <c r="B250" s="28"/>
      <c r="C250" s="28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R250" s="28" t="str">
        <f t="shared" si="9"/>
        <v/>
      </c>
    </row>
    <row r="251">
      <c r="A251" s="27" t="str">
        <f>IFERROR(__xludf.DUMMYFUNCTION("""COMPUTED_VALUE"""),"")</f>
        <v/>
      </c>
      <c r="B251" s="28"/>
      <c r="C251" s="28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R251" s="28" t="str">
        <f t="shared" si="9"/>
        <v/>
      </c>
    </row>
    <row r="252">
      <c r="A252" s="27" t="str">
        <f>IFERROR(__xludf.DUMMYFUNCTION("""COMPUTED_VALUE"""),"")</f>
        <v/>
      </c>
      <c r="B252" s="28"/>
      <c r="C252" s="28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R252" s="28" t="str">
        <f t="shared" si="9"/>
        <v/>
      </c>
    </row>
    <row r="253">
      <c r="A253" s="27" t="str">
        <f>IFERROR(__xludf.DUMMYFUNCTION("""COMPUTED_VALUE"""),"")</f>
        <v/>
      </c>
      <c r="B253" s="28"/>
      <c r="C253" s="28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R253" s="28" t="str">
        <f t="shared" si="9"/>
        <v/>
      </c>
    </row>
    <row r="254">
      <c r="A254" s="27" t="str">
        <f>IFERROR(__xludf.DUMMYFUNCTION("""COMPUTED_VALUE"""),"")</f>
        <v/>
      </c>
      <c r="B254" s="28"/>
      <c r="C254" s="28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R254" s="28" t="str">
        <f t="shared" si="9"/>
        <v/>
      </c>
    </row>
    <row r="255">
      <c r="A255" s="27" t="str">
        <f>IFERROR(__xludf.DUMMYFUNCTION("""COMPUTED_VALUE"""),"")</f>
        <v/>
      </c>
      <c r="B255" s="28"/>
      <c r="C255" s="28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R255" s="28" t="str">
        <f t="shared" si="9"/>
        <v/>
      </c>
    </row>
    <row r="256">
      <c r="A256" s="27" t="str">
        <f>IFERROR(__xludf.DUMMYFUNCTION("""COMPUTED_VALUE"""),"")</f>
        <v/>
      </c>
      <c r="B256" s="28"/>
      <c r="C256" s="28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R256" s="28" t="str">
        <f t="shared" si="9"/>
        <v/>
      </c>
    </row>
    <row r="257">
      <c r="A257" s="27" t="str">
        <f>IFERROR(__xludf.DUMMYFUNCTION("""COMPUTED_VALUE"""),"")</f>
        <v/>
      </c>
      <c r="B257" s="28"/>
      <c r="C257" s="28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R257" s="28" t="str">
        <f t="shared" si="9"/>
        <v/>
      </c>
    </row>
    <row r="258">
      <c r="A258" s="27" t="str">
        <f>IFERROR(__xludf.DUMMYFUNCTION("""COMPUTED_VALUE"""),"")</f>
        <v/>
      </c>
      <c r="B258" s="28"/>
      <c r="C258" s="28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R258" s="28" t="str">
        <f t="shared" si="9"/>
        <v/>
      </c>
    </row>
    <row r="259">
      <c r="A259" s="27" t="str">
        <f>IFERROR(__xludf.DUMMYFUNCTION("""COMPUTED_VALUE"""),"")</f>
        <v/>
      </c>
      <c r="B259" s="28"/>
      <c r="C259" s="28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R259" s="28" t="str">
        <f t="shared" si="9"/>
        <v/>
      </c>
    </row>
    <row r="260">
      <c r="A260" s="27" t="str">
        <f>IFERROR(__xludf.DUMMYFUNCTION("""COMPUTED_VALUE"""),"")</f>
        <v/>
      </c>
      <c r="B260" s="28"/>
      <c r="C260" s="28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R260" s="28" t="str">
        <f t="shared" si="9"/>
        <v/>
      </c>
    </row>
    <row r="261">
      <c r="A261" s="27" t="str">
        <f>IFERROR(__xludf.DUMMYFUNCTION("""COMPUTED_VALUE"""),"")</f>
        <v/>
      </c>
      <c r="B261" s="28"/>
      <c r="C261" s="28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R261" s="28" t="str">
        <f t="shared" si="9"/>
        <v/>
      </c>
    </row>
    <row r="262">
      <c r="A262" s="27" t="str">
        <f>IFERROR(__xludf.DUMMYFUNCTION("""COMPUTED_VALUE"""),"")</f>
        <v/>
      </c>
      <c r="B262" s="28"/>
      <c r="C262" s="28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R262" s="28" t="str">
        <f t="shared" si="9"/>
        <v/>
      </c>
    </row>
    <row r="263">
      <c r="A263" s="27" t="str">
        <f>IFERROR(__xludf.DUMMYFUNCTION("""COMPUTED_VALUE"""),"")</f>
        <v/>
      </c>
      <c r="B263" s="28"/>
      <c r="C263" s="28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R263" s="28" t="str">
        <f t="shared" si="9"/>
        <v/>
      </c>
    </row>
    <row r="264">
      <c r="A264" s="27" t="str">
        <f>IFERROR(__xludf.DUMMYFUNCTION("""COMPUTED_VALUE"""),"")</f>
        <v/>
      </c>
      <c r="B264" s="28"/>
      <c r="C264" s="28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R264" s="28" t="str">
        <f t="shared" si="9"/>
        <v/>
      </c>
    </row>
    <row r="265">
      <c r="A265" s="27" t="str">
        <f>IFERROR(__xludf.DUMMYFUNCTION("""COMPUTED_VALUE"""),"")</f>
        <v/>
      </c>
      <c r="B265" s="28"/>
      <c r="C265" s="28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R265" s="28" t="str">
        <f t="shared" si="9"/>
        <v/>
      </c>
    </row>
    <row r="266">
      <c r="A266" s="27" t="str">
        <f>IFERROR(__xludf.DUMMYFUNCTION("""COMPUTED_VALUE"""),"")</f>
        <v/>
      </c>
      <c r="B266" s="28"/>
      <c r="C266" s="28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R266" s="28" t="str">
        <f t="shared" si="9"/>
        <v/>
      </c>
    </row>
    <row r="267">
      <c r="A267" s="27" t="str">
        <f>IFERROR(__xludf.DUMMYFUNCTION("""COMPUTED_VALUE"""),"")</f>
        <v/>
      </c>
      <c r="B267" s="28"/>
      <c r="C267" s="28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R267" s="28" t="str">
        <f t="shared" si="9"/>
        <v/>
      </c>
    </row>
    <row r="268">
      <c r="A268" s="27" t="str">
        <f>IFERROR(__xludf.DUMMYFUNCTION("""COMPUTED_VALUE"""),"")</f>
        <v/>
      </c>
      <c r="B268" s="28"/>
      <c r="C268" s="28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R268" s="28" t="str">
        <f t="shared" si="9"/>
        <v/>
      </c>
    </row>
    <row r="269">
      <c r="A269" s="27" t="str">
        <f>IFERROR(__xludf.DUMMYFUNCTION("""COMPUTED_VALUE"""),"")</f>
        <v/>
      </c>
      <c r="B269" s="28"/>
      <c r="C269" s="28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R269" s="28" t="str">
        <f t="shared" si="9"/>
        <v/>
      </c>
    </row>
    <row r="270">
      <c r="A270" s="27" t="str">
        <f>IFERROR(__xludf.DUMMYFUNCTION("""COMPUTED_VALUE"""),"")</f>
        <v/>
      </c>
      <c r="B270" s="28"/>
      <c r="C270" s="28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R270" s="28" t="str">
        <f t="shared" si="9"/>
        <v/>
      </c>
    </row>
    <row r="271">
      <c r="A271" s="27" t="str">
        <f>IFERROR(__xludf.DUMMYFUNCTION("""COMPUTED_VALUE"""),"")</f>
        <v/>
      </c>
      <c r="B271" s="28"/>
      <c r="C271" s="28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R271" s="28" t="str">
        <f t="shared" si="9"/>
        <v/>
      </c>
    </row>
    <row r="272">
      <c r="A272" s="27" t="str">
        <f>IFERROR(__xludf.DUMMYFUNCTION("""COMPUTED_VALUE"""),"")</f>
        <v/>
      </c>
      <c r="B272" s="28"/>
      <c r="C272" s="28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R272" s="28" t="str">
        <f t="shared" si="9"/>
        <v/>
      </c>
    </row>
    <row r="273">
      <c r="A273" s="27" t="str">
        <f>IFERROR(__xludf.DUMMYFUNCTION("""COMPUTED_VALUE"""),"")</f>
        <v/>
      </c>
      <c r="B273" s="28"/>
      <c r="C273" s="28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R273" s="28" t="str">
        <f t="shared" si="9"/>
        <v/>
      </c>
    </row>
    <row r="274">
      <c r="A274" s="27" t="str">
        <f>IFERROR(__xludf.DUMMYFUNCTION("""COMPUTED_VALUE"""),"")</f>
        <v/>
      </c>
      <c r="B274" s="28"/>
      <c r="C274" s="28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R274" s="28" t="str">
        <f t="shared" si="9"/>
        <v/>
      </c>
    </row>
    <row r="275">
      <c r="A275" s="27" t="str">
        <f>IFERROR(__xludf.DUMMYFUNCTION("""COMPUTED_VALUE"""),"")</f>
        <v/>
      </c>
      <c r="B275" s="28"/>
      <c r="C275" s="28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R275" s="28" t="str">
        <f t="shared" si="9"/>
        <v/>
      </c>
    </row>
    <row r="276">
      <c r="A276" s="27" t="str">
        <f>IFERROR(__xludf.DUMMYFUNCTION("""COMPUTED_VALUE"""),"")</f>
        <v/>
      </c>
      <c r="B276" s="28"/>
      <c r="C276" s="28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R276" s="28" t="str">
        <f t="shared" si="9"/>
        <v/>
      </c>
    </row>
    <row r="277">
      <c r="A277" s="27" t="str">
        <f>IFERROR(__xludf.DUMMYFUNCTION("""COMPUTED_VALUE"""),"")</f>
        <v/>
      </c>
      <c r="B277" s="28"/>
      <c r="C277" s="28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R277" s="28" t="str">
        <f t="shared" si="9"/>
        <v/>
      </c>
    </row>
    <row r="278">
      <c r="A278" s="27" t="str">
        <f>IFERROR(__xludf.DUMMYFUNCTION("""COMPUTED_VALUE"""),"")</f>
        <v/>
      </c>
      <c r="B278" s="28"/>
      <c r="C278" s="28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R278" s="28" t="str">
        <f t="shared" si="9"/>
        <v/>
      </c>
    </row>
    <row r="279">
      <c r="A279" s="27" t="str">
        <f>IFERROR(__xludf.DUMMYFUNCTION("""COMPUTED_VALUE"""),"")</f>
        <v/>
      </c>
      <c r="B279" s="28"/>
      <c r="C279" s="28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R279" s="28" t="str">
        <f t="shared" si="9"/>
        <v/>
      </c>
    </row>
    <row r="280">
      <c r="A280" s="27" t="str">
        <f>IFERROR(__xludf.DUMMYFUNCTION("""COMPUTED_VALUE"""),"")</f>
        <v/>
      </c>
      <c r="B280" s="28"/>
      <c r="C280" s="28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R280" s="28" t="str">
        <f t="shared" si="9"/>
        <v/>
      </c>
    </row>
    <row r="281">
      <c r="A281" s="27" t="str">
        <f>IFERROR(__xludf.DUMMYFUNCTION("""COMPUTED_VALUE"""),"")</f>
        <v/>
      </c>
      <c r="B281" s="28"/>
      <c r="C281" s="28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R281" s="28" t="str">
        <f t="shared" si="9"/>
        <v/>
      </c>
    </row>
    <row r="282">
      <c r="A282" s="27" t="str">
        <f>IFERROR(__xludf.DUMMYFUNCTION("""COMPUTED_VALUE"""),"")</f>
        <v/>
      </c>
      <c r="B282" s="28"/>
      <c r="C282" s="28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R282" s="28" t="str">
        <f t="shared" si="9"/>
        <v/>
      </c>
    </row>
    <row r="283">
      <c r="A283" s="27" t="str">
        <f>IFERROR(__xludf.DUMMYFUNCTION("""COMPUTED_VALUE"""),"")</f>
        <v/>
      </c>
      <c r="B283" s="28"/>
      <c r="C283" s="28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R283" s="28" t="str">
        <f t="shared" si="9"/>
        <v/>
      </c>
    </row>
    <row r="284">
      <c r="A284" s="27" t="str">
        <f>IFERROR(__xludf.DUMMYFUNCTION("""COMPUTED_VALUE"""),"")</f>
        <v/>
      </c>
      <c r="B284" s="28"/>
      <c r="C284" s="28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R284" s="28" t="str">
        <f t="shared" si="9"/>
        <v/>
      </c>
    </row>
    <row r="285">
      <c r="A285" s="27" t="str">
        <f>IFERROR(__xludf.DUMMYFUNCTION("""COMPUTED_VALUE"""),"")</f>
        <v/>
      </c>
      <c r="B285" s="28"/>
      <c r="C285" s="28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R285" s="28" t="str">
        <f t="shared" si="9"/>
        <v/>
      </c>
    </row>
    <row r="286">
      <c r="A286" s="27" t="str">
        <f>IFERROR(__xludf.DUMMYFUNCTION("""COMPUTED_VALUE"""),"")</f>
        <v/>
      </c>
      <c r="B286" s="28"/>
      <c r="C286" s="28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R286" s="28" t="str">
        <f t="shared" si="9"/>
        <v/>
      </c>
    </row>
    <row r="287">
      <c r="A287" s="27" t="str">
        <f>IFERROR(__xludf.DUMMYFUNCTION("""COMPUTED_VALUE"""),"")</f>
        <v/>
      </c>
      <c r="B287" s="28"/>
      <c r="C287" s="28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R287" s="28" t="str">
        <f t="shared" si="9"/>
        <v/>
      </c>
    </row>
    <row r="288">
      <c r="A288" s="27" t="str">
        <f>IFERROR(__xludf.DUMMYFUNCTION("""COMPUTED_VALUE"""),"")</f>
        <v/>
      </c>
      <c r="B288" s="28"/>
      <c r="C288" s="28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R288" s="28" t="str">
        <f t="shared" si="9"/>
        <v/>
      </c>
    </row>
    <row r="289">
      <c r="A289" s="27" t="str">
        <f>IFERROR(__xludf.DUMMYFUNCTION("""COMPUTED_VALUE"""),"")</f>
        <v/>
      </c>
      <c r="B289" s="28"/>
      <c r="C289" s="28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R289" s="28" t="str">
        <f t="shared" si="9"/>
        <v/>
      </c>
    </row>
    <row r="290">
      <c r="A290" s="27" t="str">
        <f>IFERROR(__xludf.DUMMYFUNCTION("""COMPUTED_VALUE"""),"")</f>
        <v/>
      </c>
      <c r="B290" s="28"/>
      <c r="C290" s="28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R290" s="28" t="str">
        <f t="shared" si="9"/>
        <v/>
      </c>
    </row>
    <row r="291">
      <c r="A291" s="27" t="str">
        <f>IFERROR(__xludf.DUMMYFUNCTION("""COMPUTED_VALUE"""),"")</f>
        <v/>
      </c>
      <c r="B291" s="28"/>
      <c r="C291" s="28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R291" s="28" t="str">
        <f t="shared" si="9"/>
        <v/>
      </c>
    </row>
    <row r="292">
      <c r="A292" s="27" t="str">
        <f>IFERROR(__xludf.DUMMYFUNCTION("""COMPUTED_VALUE"""),"")</f>
        <v/>
      </c>
      <c r="B292" s="28"/>
      <c r="C292" s="28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R292" s="28" t="str">
        <f t="shared" si="9"/>
        <v/>
      </c>
    </row>
    <row r="293">
      <c r="A293" s="27" t="str">
        <f>IFERROR(__xludf.DUMMYFUNCTION("""COMPUTED_VALUE"""),"")</f>
        <v/>
      </c>
      <c r="B293" s="28"/>
      <c r="C293" s="28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R293" s="28" t="str">
        <f t="shared" si="9"/>
        <v/>
      </c>
    </row>
    <row r="294">
      <c r="A294" s="27" t="str">
        <f>IFERROR(__xludf.DUMMYFUNCTION("""COMPUTED_VALUE"""),"")</f>
        <v/>
      </c>
      <c r="B294" s="28"/>
      <c r="C294" s="28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R294" s="28" t="str">
        <f t="shared" si="9"/>
        <v/>
      </c>
    </row>
    <row r="295">
      <c r="A295" s="27" t="str">
        <f>IFERROR(__xludf.DUMMYFUNCTION("""COMPUTED_VALUE"""),"")</f>
        <v/>
      </c>
      <c r="B295" s="28"/>
      <c r="C295" s="28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R295" s="28" t="str">
        <f t="shared" si="9"/>
        <v/>
      </c>
    </row>
    <row r="296">
      <c r="A296" s="27" t="str">
        <f>IFERROR(__xludf.DUMMYFUNCTION("""COMPUTED_VALUE"""),"")</f>
        <v/>
      </c>
      <c r="B296" s="28"/>
      <c r="C296" s="28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R296" s="28" t="str">
        <f t="shared" si="9"/>
        <v/>
      </c>
    </row>
    <row r="297">
      <c r="A297" s="27" t="str">
        <f>IFERROR(__xludf.DUMMYFUNCTION("""COMPUTED_VALUE"""),"")</f>
        <v/>
      </c>
      <c r="B297" s="28"/>
      <c r="C297" s="28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R297" s="28" t="str">
        <f t="shared" si="9"/>
        <v/>
      </c>
    </row>
    <row r="298">
      <c r="A298" s="27" t="str">
        <f>IFERROR(__xludf.DUMMYFUNCTION("""COMPUTED_VALUE"""),"")</f>
        <v/>
      </c>
      <c r="B298" s="28"/>
      <c r="C298" s="28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R298" s="28" t="str">
        <f t="shared" si="9"/>
        <v/>
      </c>
    </row>
    <row r="299">
      <c r="A299" s="27" t="str">
        <f>IFERROR(__xludf.DUMMYFUNCTION("""COMPUTED_VALUE"""),"")</f>
        <v/>
      </c>
      <c r="B299" s="28"/>
      <c r="C299" s="28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R299" s="28" t="str">
        <f t="shared" si="9"/>
        <v/>
      </c>
    </row>
    <row r="300">
      <c r="A300" s="27" t="str">
        <f>IFERROR(__xludf.DUMMYFUNCTION("""COMPUTED_VALUE"""),"")</f>
        <v/>
      </c>
      <c r="B300" s="28"/>
      <c r="C300" s="28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R300" s="28" t="str">
        <f t="shared" si="9"/>
        <v/>
      </c>
    </row>
    <row r="301">
      <c r="A301" s="27" t="str">
        <f>IFERROR(__xludf.DUMMYFUNCTION("""COMPUTED_VALUE"""),"")</f>
        <v/>
      </c>
      <c r="B301" s="28"/>
      <c r="C301" s="28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R301" s="28" t="str">
        <f t="shared" si="9"/>
        <v/>
      </c>
    </row>
    <row r="302">
      <c r="A302" s="27" t="str">
        <f>IFERROR(__xludf.DUMMYFUNCTION("""COMPUTED_VALUE"""),"")</f>
        <v/>
      </c>
      <c r="B302" s="28"/>
      <c r="C302" s="28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R302" s="28" t="str">
        <f t="shared" si="9"/>
        <v/>
      </c>
    </row>
    <row r="303">
      <c r="A303" s="27" t="str">
        <f>IFERROR(__xludf.DUMMYFUNCTION("""COMPUTED_VALUE"""),"")</f>
        <v/>
      </c>
      <c r="B303" s="28"/>
      <c r="C303" s="28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R303" s="28" t="str">
        <f t="shared" si="9"/>
        <v/>
      </c>
    </row>
    <row r="304">
      <c r="A304" s="27" t="str">
        <f>IFERROR(__xludf.DUMMYFUNCTION("""COMPUTED_VALUE"""),"")</f>
        <v/>
      </c>
      <c r="B304" s="28"/>
      <c r="C304" s="28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R304" s="28" t="str">
        <f t="shared" si="9"/>
        <v/>
      </c>
    </row>
    <row r="305">
      <c r="A305" s="27" t="str">
        <f>IFERROR(__xludf.DUMMYFUNCTION("""COMPUTED_VALUE"""),"")</f>
        <v/>
      </c>
      <c r="B305" s="28"/>
      <c r="C305" s="28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R305" s="28" t="str">
        <f t="shared" si="9"/>
        <v/>
      </c>
    </row>
    <row r="306">
      <c r="A306" s="27" t="str">
        <f>IFERROR(__xludf.DUMMYFUNCTION("""COMPUTED_VALUE"""),"")</f>
        <v/>
      </c>
      <c r="B306" s="28"/>
      <c r="C306" s="28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R306" s="28" t="str">
        <f t="shared" si="9"/>
        <v/>
      </c>
    </row>
    <row r="307">
      <c r="A307" s="27" t="str">
        <f>IFERROR(__xludf.DUMMYFUNCTION("""COMPUTED_VALUE"""),"")</f>
        <v/>
      </c>
      <c r="B307" s="28"/>
      <c r="C307" s="28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R307" s="28" t="str">
        <f t="shared" si="9"/>
        <v/>
      </c>
    </row>
    <row r="308">
      <c r="A308" s="27" t="str">
        <f>IFERROR(__xludf.DUMMYFUNCTION("""COMPUTED_VALUE"""),"")</f>
        <v/>
      </c>
      <c r="B308" s="28"/>
      <c r="C308" s="28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R308" s="28" t="str">
        <f t="shared" si="9"/>
        <v/>
      </c>
    </row>
    <row r="309">
      <c r="A309" s="27" t="str">
        <f>IFERROR(__xludf.DUMMYFUNCTION("""COMPUTED_VALUE"""),"")</f>
        <v/>
      </c>
      <c r="B309" s="28"/>
      <c r="C309" s="28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R309" s="28" t="str">
        <f t="shared" si="9"/>
        <v/>
      </c>
    </row>
    <row r="310">
      <c r="A310" s="27" t="str">
        <f>IFERROR(__xludf.DUMMYFUNCTION("""COMPUTED_VALUE"""),"")</f>
        <v/>
      </c>
      <c r="B310" s="28"/>
      <c r="C310" s="28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R310" s="28" t="str">
        <f t="shared" si="9"/>
        <v/>
      </c>
    </row>
    <row r="311">
      <c r="A311" s="27" t="str">
        <f>IFERROR(__xludf.DUMMYFUNCTION("""COMPUTED_VALUE"""),"")</f>
        <v/>
      </c>
      <c r="B311" s="28"/>
      <c r="C311" s="28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R311" s="28" t="str">
        <f t="shared" si="9"/>
        <v/>
      </c>
    </row>
    <row r="312">
      <c r="A312" s="27" t="str">
        <f>IFERROR(__xludf.DUMMYFUNCTION("""COMPUTED_VALUE"""),"")</f>
        <v/>
      </c>
      <c r="B312" s="28"/>
      <c r="C312" s="28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R312" s="28" t="str">
        <f t="shared" si="9"/>
        <v/>
      </c>
    </row>
    <row r="313">
      <c r="A313" s="27" t="str">
        <f>IFERROR(__xludf.DUMMYFUNCTION("""COMPUTED_VALUE"""),"")</f>
        <v/>
      </c>
      <c r="B313" s="28"/>
      <c r="C313" s="28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R313" s="28" t="str">
        <f t="shared" si="9"/>
        <v/>
      </c>
    </row>
    <row r="314">
      <c r="A314" s="27" t="str">
        <f>IFERROR(__xludf.DUMMYFUNCTION("""COMPUTED_VALUE"""),"")</f>
        <v/>
      </c>
      <c r="B314" s="28"/>
      <c r="C314" s="28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R314" s="28" t="str">
        <f t="shared" si="9"/>
        <v/>
      </c>
    </row>
    <row r="315">
      <c r="A315" s="27" t="str">
        <f>IFERROR(__xludf.DUMMYFUNCTION("""COMPUTED_VALUE"""),"")</f>
        <v/>
      </c>
      <c r="B315" s="28"/>
      <c r="C315" s="28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R315" s="28" t="str">
        <f t="shared" si="9"/>
        <v/>
      </c>
    </row>
    <row r="316">
      <c r="A316" s="27" t="str">
        <f>IFERROR(__xludf.DUMMYFUNCTION("""COMPUTED_VALUE"""),"")</f>
        <v/>
      </c>
      <c r="B316" s="28"/>
      <c r="C316" s="28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R316" s="28" t="str">
        <f t="shared" si="9"/>
        <v/>
      </c>
    </row>
    <row r="317">
      <c r="A317" s="27" t="str">
        <f>IFERROR(__xludf.DUMMYFUNCTION("""COMPUTED_VALUE"""),"")</f>
        <v/>
      </c>
      <c r="B317" s="28"/>
      <c r="C317" s="28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R317" s="28" t="str">
        <f t="shared" si="9"/>
        <v/>
      </c>
    </row>
    <row r="318">
      <c r="A318" s="27" t="str">
        <f>IFERROR(__xludf.DUMMYFUNCTION("""COMPUTED_VALUE"""),"")</f>
        <v/>
      </c>
      <c r="B318" s="28"/>
      <c r="C318" s="28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R318" s="28" t="str">
        <f t="shared" si="9"/>
        <v/>
      </c>
    </row>
    <row r="319">
      <c r="A319" s="27" t="str">
        <f>IFERROR(__xludf.DUMMYFUNCTION("""COMPUTED_VALUE"""),"")</f>
        <v/>
      </c>
      <c r="B319" s="28"/>
      <c r="C319" s="28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R319" s="28" t="str">
        <f t="shared" si="9"/>
        <v/>
      </c>
    </row>
    <row r="320">
      <c r="A320" s="27" t="str">
        <f>IFERROR(__xludf.DUMMYFUNCTION("""COMPUTED_VALUE"""),"")</f>
        <v/>
      </c>
      <c r="B320" s="28"/>
      <c r="C320" s="28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R320" s="28" t="str">
        <f t="shared" si="9"/>
        <v/>
      </c>
    </row>
    <row r="321">
      <c r="A321" s="27" t="str">
        <f>IFERROR(__xludf.DUMMYFUNCTION("""COMPUTED_VALUE"""),"")</f>
        <v/>
      </c>
      <c r="B321" s="28"/>
      <c r="C321" s="28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R321" s="28" t="str">
        <f t="shared" si="9"/>
        <v/>
      </c>
    </row>
    <row r="322">
      <c r="A322" s="27" t="str">
        <f>IFERROR(__xludf.DUMMYFUNCTION("""COMPUTED_VALUE"""),"")</f>
        <v/>
      </c>
      <c r="B322" s="28"/>
      <c r="C322" s="28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R322" s="28" t="str">
        <f t="shared" si="9"/>
        <v/>
      </c>
    </row>
    <row r="323">
      <c r="A323" s="27" t="str">
        <f>IFERROR(__xludf.DUMMYFUNCTION("""COMPUTED_VALUE"""),"")</f>
        <v/>
      </c>
      <c r="B323" s="28"/>
      <c r="C323" s="28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R323" s="28" t="str">
        <f t="shared" si="9"/>
        <v/>
      </c>
    </row>
    <row r="324">
      <c r="A324" s="27" t="str">
        <f>IFERROR(__xludf.DUMMYFUNCTION("""COMPUTED_VALUE"""),"")</f>
        <v/>
      </c>
      <c r="B324" s="28"/>
      <c r="C324" s="28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R324" s="28" t="str">
        <f t="shared" si="9"/>
        <v/>
      </c>
    </row>
    <row r="325">
      <c r="A325" s="27" t="str">
        <f>IFERROR(__xludf.DUMMYFUNCTION("""COMPUTED_VALUE"""),"")</f>
        <v/>
      </c>
      <c r="B325" s="28"/>
      <c r="C325" s="28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R325" s="28" t="str">
        <f t="shared" si="9"/>
        <v/>
      </c>
    </row>
    <row r="326">
      <c r="A326" s="27" t="str">
        <f>IFERROR(__xludf.DUMMYFUNCTION("""COMPUTED_VALUE"""),"")</f>
        <v/>
      </c>
      <c r="B326" s="28"/>
      <c r="C326" s="28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R326" s="28" t="str">
        <f t="shared" si="9"/>
        <v/>
      </c>
    </row>
    <row r="327">
      <c r="A327" s="27" t="str">
        <f>IFERROR(__xludf.DUMMYFUNCTION("""COMPUTED_VALUE"""),"")</f>
        <v/>
      </c>
      <c r="B327" s="28"/>
      <c r="C327" s="28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R327" s="28" t="str">
        <f t="shared" si="9"/>
        <v/>
      </c>
    </row>
    <row r="328">
      <c r="A328" s="27" t="str">
        <f>IFERROR(__xludf.DUMMYFUNCTION("""COMPUTED_VALUE"""),"")</f>
        <v/>
      </c>
      <c r="B328" s="28"/>
      <c r="C328" s="28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R328" s="28" t="str">
        <f t="shared" si="9"/>
        <v/>
      </c>
    </row>
    <row r="329">
      <c r="A329" s="27" t="str">
        <f>IFERROR(__xludf.DUMMYFUNCTION("""COMPUTED_VALUE"""),"")</f>
        <v/>
      </c>
      <c r="B329" s="28"/>
      <c r="C329" s="28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R329" s="28" t="str">
        <f t="shared" si="9"/>
        <v/>
      </c>
    </row>
    <row r="330">
      <c r="A330" s="27" t="str">
        <f>IFERROR(__xludf.DUMMYFUNCTION("""COMPUTED_VALUE"""),"")</f>
        <v/>
      </c>
      <c r="B330" s="28"/>
      <c r="C330" s="28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R330" s="28" t="str">
        <f t="shared" si="9"/>
        <v/>
      </c>
    </row>
    <row r="331">
      <c r="A331" s="27" t="str">
        <f>IFERROR(__xludf.DUMMYFUNCTION("""COMPUTED_VALUE"""),"")</f>
        <v/>
      </c>
      <c r="B331" s="28"/>
      <c r="C331" s="28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R331" s="28" t="str">
        <f t="shared" si="9"/>
        <v/>
      </c>
    </row>
    <row r="332">
      <c r="A332" s="27" t="str">
        <f>IFERROR(__xludf.DUMMYFUNCTION("""COMPUTED_VALUE"""),"")</f>
        <v/>
      </c>
      <c r="B332" s="28"/>
      <c r="C332" s="28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R332" s="28" t="str">
        <f t="shared" si="9"/>
        <v/>
      </c>
    </row>
    <row r="333">
      <c r="A333" s="27" t="str">
        <f>IFERROR(__xludf.DUMMYFUNCTION("""COMPUTED_VALUE"""),"")</f>
        <v/>
      </c>
      <c r="B333" s="28"/>
      <c r="C333" s="28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R333" s="28" t="str">
        <f t="shared" si="9"/>
        <v/>
      </c>
    </row>
    <row r="334">
      <c r="A334" s="27" t="str">
        <f>IFERROR(__xludf.DUMMYFUNCTION("""COMPUTED_VALUE"""),"")</f>
        <v/>
      </c>
      <c r="B334" s="28"/>
      <c r="C334" s="28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R334" s="28" t="str">
        <f t="shared" si="9"/>
        <v/>
      </c>
    </row>
    <row r="335">
      <c r="A335" s="27" t="str">
        <f>IFERROR(__xludf.DUMMYFUNCTION("""COMPUTED_VALUE"""),"")</f>
        <v/>
      </c>
      <c r="B335" s="28"/>
      <c r="C335" s="28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R335" s="28" t="str">
        <f t="shared" si="9"/>
        <v/>
      </c>
    </row>
    <row r="336">
      <c r="A336" s="27" t="str">
        <f>IFERROR(__xludf.DUMMYFUNCTION("""COMPUTED_VALUE"""),"")</f>
        <v/>
      </c>
      <c r="B336" s="28"/>
      <c r="C336" s="28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R336" s="28" t="str">
        <f t="shared" si="9"/>
        <v/>
      </c>
    </row>
    <row r="337">
      <c r="A337" s="27" t="str">
        <f>IFERROR(__xludf.DUMMYFUNCTION("""COMPUTED_VALUE"""),"")</f>
        <v/>
      </c>
      <c r="B337" s="28"/>
      <c r="C337" s="28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R337" s="28" t="str">
        <f t="shared" si="9"/>
        <v/>
      </c>
    </row>
    <row r="338">
      <c r="A338" s="27" t="str">
        <f>IFERROR(__xludf.DUMMYFUNCTION("""COMPUTED_VALUE"""),"")</f>
        <v/>
      </c>
      <c r="B338" s="28"/>
      <c r="C338" s="28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R338" s="28" t="str">
        <f t="shared" si="9"/>
        <v/>
      </c>
    </row>
    <row r="339">
      <c r="A339" s="27" t="str">
        <f>IFERROR(__xludf.DUMMYFUNCTION("""COMPUTED_VALUE"""),"")</f>
        <v/>
      </c>
      <c r="B339" s="28"/>
      <c r="C339" s="28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R339" s="28" t="str">
        <f t="shared" si="9"/>
        <v/>
      </c>
    </row>
    <row r="340">
      <c r="A340" s="27" t="str">
        <f>IFERROR(__xludf.DUMMYFUNCTION("""COMPUTED_VALUE"""),"")</f>
        <v/>
      </c>
      <c r="B340" s="28"/>
      <c r="C340" s="28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R340" s="28" t="str">
        <f t="shared" si="9"/>
        <v/>
      </c>
    </row>
    <row r="341">
      <c r="A341" s="27" t="str">
        <f>IFERROR(__xludf.DUMMYFUNCTION("""COMPUTED_VALUE"""),"")</f>
        <v/>
      </c>
      <c r="B341" s="28"/>
      <c r="C341" s="28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R341" s="28" t="str">
        <f t="shared" si="9"/>
        <v/>
      </c>
    </row>
    <row r="342">
      <c r="A342" s="27" t="str">
        <f>IFERROR(__xludf.DUMMYFUNCTION("""COMPUTED_VALUE"""),"")</f>
        <v/>
      </c>
      <c r="B342" s="28"/>
      <c r="C342" s="28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R342" s="28" t="str">
        <f t="shared" si="9"/>
        <v/>
      </c>
    </row>
    <row r="343">
      <c r="A343" s="27" t="str">
        <f>IFERROR(__xludf.DUMMYFUNCTION("""COMPUTED_VALUE"""),"")</f>
        <v/>
      </c>
      <c r="B343" s="28"/>
      <c r="C343" s="28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R343" s="28" t="str">
        <f t="shared" si="9"/>
        <v/>
      </c>
    </row>
    <row r="344">
      <c r="A344" s="27" t="str">
        <f>IFERROR(__xludf.DUMMYFUNCTION("""COMPUTED_VALUE"""),"")</f>
        <v/>
      </c>
      <c r="B344" s="28"/>
      <c r="C344" s="28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R344" s="28" t="str">
        <f t="shared" si="9"/>
        <v/>
      </c>
    </row>
    <row r="345">
      <c r="A345" s="27" t="str">
        <f>IFERROR(__xludf.DUMMYFUNCTION("""COMPUTED_VALUE"""),"")</f>
        <v/>
      </c>
      <c r="B345" s="28"/>
      <c r="C345" s="28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R345" s="28" t="str">
        <f t="shared" si="9"/>
        <v/>
      </c>
    </row>
    <row r="346">
      <c r="A346" s="27" t="str">
        <f>IFERROR(__xludf.DUMMYFUNCTION("""COMPUTED_VALUE"""),"")</f>
        <v/>
      </c>
      <c r="B346" s="28"/>
      <c r="C346" s="28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R346" s="28" t="str">
        <f t="shared" si="9"/>
        <v/>
      </c>
    </row>
    <row r="347">
      <c r="A347" s="27" t="str">
        <f>IFERROR(__xludf.DUMMYFUNCTION("""COMPUTED_VALUE"""),"")</f>
        <v/>
      </c>
      <c r="B347" s="28"/>
      <c r="C347" s="28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R347" s="28" t="str">
        <f t="shared" si="9"/>
        <v/>
      </c>
    </row>
    <row r="348">
      <c r="A348" s="27" t="str">
        <f>IFERROR(__xludf.DUMMYFUNCTION("""COMPUTED_VALUE"""),"")</f>
        <v/>
      </c>
      <c r="B348" s="28"/>
      <c r="C348" s="28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R348" s="28" t="str">
        <f t="shared" si="9"/>
        <v/>
      </c>
    </row>
    <row r="349">
      <c r="A349" s="27" t="str">
        <f>IFERROR(__xludf.DUMMYFUNCTION("""COMPUTED_VALUE"""),"")</f>
        <v/>
      </c>
      <c r="B349" s="28"/>
      <c r="C349" s="28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  <c r="R349" s="28" t="str">
        <f t="shared" si="9"/>
        <v/>
      </c>
    </row>
    <row r="350">
      <c r="A350" s="27" t="str">
        <f>IFERROR(__xludf.DUMMYFUNCTION("""COMPUTED_VALUE"""),"")</f>
        <v/>
      </c>
      <c r="B350" s="28"/>
      <c r="C350" s="28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  <c r="R350" s="28" t="str">
        <f t="shared" si="9"/>
        <v/>
      </c>
    </row>
    <row r="351">
      <c r="A351" s="27" t="str">
        <f>IFERROR(__xludf.DUMMYFUNCTION("""COMPUTED_VALUE"""),"")</f>
        <v/>
      </c>
      <c r="B351" s="28"/>
      <c r="C351" s="28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  <c r="R351" s="28" t="str">
        <f t="shared" si="9"/>
        <v/>
      </c>
    </row>
    <row r="352">
      <c r="A352" s="27" t="str">
        <f>IFERROR(__xludf.DUMMYFUNCTION("""COMPUTED_VALUE"""),"")</f>
        <v/>
      </c>
      <c r="B352" s="28"/>
      <c r="C352" s="28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  <c r="R352" s="28" t="str">
        <f t="shared" si="9"/>
        <v/>
      </c>
    </row>
    <row r="353">
      <c r="A353" s="27" t="str">
        <f>IFERROR(__xludf.DUMMYFUNCTION("""COMPUTED_VALUE"""),"")</f>
        <v/>
      </c>
      <c r="B353" s="28"/>
      <c r="C353" s="28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  <c r="R353" s="28" t="str">
        <f t="shared" si="9"/>
        <v/>
      </c>
    </row>
    <row r="354">
      <c r="A354" s="27" t="str">
        <f>IFERROR(__xludf.DUMMYFUNCTION("""COMPUTED_VALUE"""),"")</f>
        <v/>
      </c>
      <c r="B354" s="28"/>
      <c r="C354" s="28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  <c r="R354" s="28" t="str">
        <f t="shared" si="9"/>
        <v/>
      </c>
    </row>
    <row r="355">
      <c r="A355" s="27" t="str">
        <f>IFERROR(__xludf.DUMMYFUNCTION("""COMPUTED_VALUE"""),"")</f>
        <v/>
      </c>
      <c r="B355" s="28"/>
      <c r="C355" s="28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  <c r="R355" s="28" t="str">
        <f t="shared" si="9"/>
        <v/>
      </c>
    </row>
    <row r="356">
      <c r="A356" s="27" t="str">
        <f>IFERROR(__xludf.DUMMYFUNCTION("""COMPUTED_VALUE"""),"")</f>
        <v/>
      </c>
      <c r="B356" s="28"/>
      <c r="C356" s="28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  <c r="R356" s="28" t="str">
        <f t="shared" si="9"/>
        <v/>
      </c>
    </row>
    <row r="357">
      <c r="A357" s="27" t="str">
        <f>IFERROR(__xludf.DUMMYFUNCTION("""COMPUTED_VALUE"""),"")</f>
        <v/>
      </c>
      <c r="B357" s="28"/>
      <c r="C357" s="28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  <c r="R357" s="28" t="str">
        <f t="shared" si="9"/>
        <v/>
      </c>
    </row>
    <row r="358">
      <c r="A358" s="27" t="str">
        <f>IFERROR(__xludf.DUMMYFUNCTION("""COMPUTED_VALUE"""),"")</f>
        <v/>
      </c>
      <c r="B358" s="28"/>
      <c r="C358" s="28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  <c r="R358" s="28" t="str">
        <f t="shared" si="9"/>
        <v/>
      </c>
    </row>
    <row r="359">
      <c r="A359" s="27" t="str">
        <f>IFERROR(__xludf.DUMMYFUNCTION("""COMPUTED_VALUE"""),"")</f>
        <v/>
      </c>
      <c r="B359" s="28"/>
      <c r="C359" s="28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  <c r="R359" s="28" t="str">
        <f t="shared" si="9"/>
        <v/>
      </c>
    </row>
    <row r="360">
      <c r="A360" s="27" t="str">
        <f>IFERROR(__xludf.DUMMYFUNCTION("""COMPUTED_VALUE"""),"")</f>
        <v/>
      </c>
      <c r="B360" s="28"/>
      <c r="C360" s="28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  <c r="R360" s="28" t="str">
        <f t="shared" si="9"/>
        <v/>
      </c>
    </row>
    <row r="361">
      <c r="A361" s="27" t="str">
        <f>IFERROR(__xludf.DUMMYFUNCTION("""COMPUTED_VALUE"""),"")</f>
        <v/>
      </c>
      <c r="B361" s="28"/>
      <c r="C361" s="28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  <c r="R361" s="28" t="str">
        <f t="shared" si="9"/>
        <v/>
      </c>
    </row>
    <row r="362">
      <c r="A362" s="27" t="str">
        <f>IFERROR(__xludf.DUMMYFUNCTION("""COMPUTED_VALUE"""),"")</f>
        <v/>
      </c>
      <c r="B362" s="28"/>
      <c r="C362" s="28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  <c r="R362" s="28" t="str">
        <f t="shared" si="9"/>
        <v/>
      </c>
    </row>
    <row r="363">
      <c r="A363" s="27" t="str">
        <f>IFERROR(__xludf.DUMMYFUNCTION("""COMPUTED_VALUE"""),"")</f>
        <v/>
      </c>
      <c r="B363" s="28"/>
      <c r="C363" s="28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  <c r="R363" s="28" t="str">
        <f t="shared" si="9"/>
        <v/>
      </c>
    </row>
    <row r="364">
      <c r="A364" s="27" t="str">
        <f>IFERROR(__xludf.DUMMYFUNCTION("""COMPUTED_VALUE"""),"")</f>
        <v/>
      </c>
      <c r="B364" s="28"/>
      <c r="C364" s="28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R364" s="28" t="str">
        <f t="shared" si="9"/>
        <v/>
      </c>
    </row>
    <row r="365">
      <c r="A365" s="27" t="str">
        <f>IFERROR(__xludf.DUMMYFUNCTION("""COMPUTED_VALUE"""),"")</f>
        <v/>
      </c>
      <c r="B365" s="28"/>
      <c r="C365" s="28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R365" s="28" t="str">
        <f t="shared" si="9"/>
        <v/>
      </c>
    </row>
    <row r="366">
      <c r="A366" s="27" t="str">
        <f>IFERROR(__xludf.DUMMYFUNCTION("""COMPUTED_VALUE"""),"")</f>
        <v/>
      </c>
      <c r="B366" s="28"/>
      <c r="C366" s="28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R366" s="28" t="str">
        <f t="shared" si="9"/>
        <v/>
      </c>
    </row>
    <row r="367">
      <c r="A367" s="27" t="str">
        <f>IFERROR(__xludf.DUMMYFUNCTION("""COMPUTED_VALUE"""),"")</f>
        <v/>
      </c>
      <c r="B367" s="28"/>
      <c r="C367" s="28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R367" s="28" t="str">
        <f t="shared" si="9"/>
        <v/>
      </c>
    </row>
    <row r="368">
      <c r="A368" s="27" t="str">
        <f>IFERROR(__xludf.DUMMYFUNCTION("""COMPUTED_VALUE"""),"")</f>
        <v/>
      </c>
      <c r="B368" s="28"/>
      <c r="C368" s="28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R368" s="28" t="str">
        <f t="shared" si="9"/>
        <v/>
      </c>
    </row>
    <row r="369">
      <c r="A369" s="27" t="str">
        <f>IFERROR(__xludf.DUMMYFUNCTION("""COMPUTED_VALUE"""),"")</f>
        <v/>
      </c>
      <c r="B369" s="28"/>
      <c r="C369" s="28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R369" s="28" t="str">
        <f t="shared" si="9"/>
        <v/>
      </c>
    </row>
    <row r="370">
      <c r="A370" s="27" t="str">
        <f>IFERROR(__xludf.DUMMYFUNCTION("""COMPUTED_VALUE"""),"")</f>
        <v/>
      </c>
      <c r="B370" s="28"/>
      <c r="C370" s="28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R370" s="28" t="str">
        <f t="shared" si="9"/>
        <v/>
      </c>
    </row>
    <row r="371">
      <c r="A371" s="27" t="str">
        <f>IFERROR(__xludf.DUMMYFUNCTION("""COMPUTED_VALUE"""),"")</f>
        <v/>
      </c>
      <c r="B371" s="28"/>
      <c r="C371" s="28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R371" s="28" t="str">
        <f t="shared" si="9"/>
        <v/>
      </c>
    </row>
    <row r="372">
      <c r="A372" s="27" t="str">
        <f>IFERROR(__xludf.DUMMYFUNCTION("""COMPUTED_VALUE"""),"")</f>
        <v/>
      </c>
      <c r="B372" s="28"/>
      <c r="C372" s="28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R372" s="28" t="str">
        <f t="shared" si="9"/>
        <v/>
      </c>
    </row>
    <row r="373">
      <c r="A373" s="27" t="str">
        <f>IFERROR(__xludf.DUMMYFUNCTION("""COMPUTED_VALUE"""),"")</f>
        <v/>
      </c>
      <c r="B373" s="28"/>
      <c r="C373" s="28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R373" s="28" t="str">
        <f t="shared" si="9"/>
        <v/>
      </c>
    </row>
    <row r="374">
      <c r="A374" s="27" t="str">
        <f>IFERROR(__xludf.DUMMYFUNCTION("""COMPUTED_VALUE"""),"")</f>
        <v/>
      </c>
      <c r="B374" s="28"/>
      <c r="C374" s="28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R374" s="28" t="str">
        <f t="shared" si="9"/>
        <v/>
      </c>
    </row>
    <row r="375">
      <c r="A375" s="27" t="str">
        <f>IFERROR(__xludf.DUMMYFUNCTION("""COMPUTED_VALUE"""),"")</f>
        <v/>
      </c>
      <c r="B375" s="28"/>
      <c r="C375" s="28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R375" s="28" t="str">
        <f t="shared" si="9"/>
        <v/>
      </c>
    </row>
    <row r="376">
      <c r="A376" s="27" t="str">
        <f>IFERROR(__xludf.DUMMYFUNCTION("""COMPUTED_VALUE"""),"")</f>
        <v/>
      </c>
      <c r="B376" s="28"/>
      <c r="C376" s="28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R376" s="28" t="str">
        <f t="shared" si="9"/>
        <v/>
      </c>
    </row>
    <row r="377">
      <c r="A377" s="27" t="str">
        <f>IFERROR(__xludf.DUMMYFUNCTION("""COMPUTED_VALUE"""),"")</f>
        <v/>
      </c>
      <c r="B377" s="28"/>
      <c r="C377" s="28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R377" s="28" t="str">
        <f t="shared" si="9"/>
        <v/>
      </c>
    </row>
    <row r="378">
      <c r="A378" s="27" t="str">
        <f>IFERROR(__xludf.DUMMYFUNCTION("""COMPUTED_VALUE"""),"")</f>
        <v/>
      </c>
      <c r="B378" s="28"/>
      <c r="C378" s="28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R378" s="28" t="str">
        <f t="shared" si="9"/>
        <v/>
      </c>
    </row>
    <row r="379">
      <c r="A379" s="27" t="str">
        <f>IFERROR(__xludf.DUMMYFUNCTION("""COMPUTED_VALUE"""),"")</f>
        <v/>
      </c>
      <c r="B379" s="28"/>
      <c r="C379" s="28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R379" s="28" t="str">
        <f t="shared" si="9"/>
        <v/>
      </c>
    </row>
    <row r="380">
      <c r="A380" s="27" t="str">
        <f>IFERROR(__xludf.DUMMYFUNCTION("""COMPUTED_VALUE"""),"")</f>
        <v/>
      </c>
      <c r="B380" s="28"/>
      <c r="C380" s="28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R380" s="28" t="str">
        <f t="shared" si="9"/>
        <v/>
      </c>
    </row>
    <row r="381">
      <c r="A381" s="27" t="str">
        <f>IFERROR(__xludf.DUMMYFUNCTION("""COMPUTED_VALUE"""),"")</f>
        <v/>
      </c>
      <c r="B381" s="28"/>
      <c r="C381" s="28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R381" s="28" t="str">
        <f t="shared" si="9"/>
        <v/>
      </c>
    </row>
    <row r="382">
      <c r="A382" s="27" t="str">
        <f>IFERROR(__xludf.DUMMYFUNCTION("""COMPUTED_VALUE"""),"")</f>
        <v/>
      </c>
      <c r="B382" s="28"/>
      <c r="C382" s="28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R382" s="28" t="str">
        <f t="shared" si="9"/>
        <v/>
      </c>
    </row>
    <row r="383">
      <c r="A383" s="27" t="str">
        <f>IFERROR(__xludf.DUMMYFUNCTION("""COMPUTED_VALUE"""),"")</f>
        <v/>
      </c>
      <c r="B383" s="28"/>
      <c r="C383" s="28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R383" s="28" t="str">
        <f t="shared" si="9"/>
        <v/>
      </c>
    </row>
    <row r="384">
      <c r="A384" s="27" t="str">
        <f>IFERROR(__xludf.DUMMYFUNCTION("""COMPUTED_VALUE"""),"")</f>
        <v/>
      </c>
      <c r="B384" s="28"/>
      <c r="C384" s="28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R384" s="28" t="str">
        <f t="shared" si="9"/>
        <v/>
      </c>
    </row>
    <row r="385">
      <c r="A385" s="27" t="str">
        <f>IFERROR(__xludf.DUMMYFUNCTION("""COMPUTED_VALUE"""),"")</f>
        <v/>
      </c>
      <c r="B385" s="28"/>
      <c r="C385" s="28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R385" s="28" t="str">
        <f t="shared" si="9"/>
        <v/>
      </c>
    </row>
    <row r="386">
      <c r="A386" s="27" t="str">
        <f>IFERROR(__xludf.DUMMYFUNCTION("""COMPUTED_VALUE"""),"")</f>
        <v/>
      </c>
      <c r="B386" s="28"/>
      <c r="C386" s="28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R386" s="28" t="str">
        <f t="shared" si="9"/>
        <v/>
      </c>
    </row>
    <row r="387">
      <c r="A387" s="27" t="str">
        <f>IFERROR(__xludf.DUMMYFUNCTION("""COMPUTED_VALUE"""),"")</f>
        <v/>
      </c>
      <c r="B387" s="28"/>
      <c r="C387" s="28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R387" s="28" t="str">
        <f t="shared" si="9"/>
        <v/>
      </c>
    </row>
    <row r="388">
      <c r="A388" s="27" t="str">
        <f>IFERROR(__xludf.DUMMYFUNCTION("""COMPUTED_VALUE"""),"")</f>
        <v/>
      </c>
      <c r="B388" s="28"/>
      <c r="C388" s="28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R388" s="28" t="str">
        <f t="shared" si="9"/>
        <v/>
      </c>
    </row>
    <row r="389">
      <c r="A389" s="27" t="str">
        <f>IFERROR(__xludf.DUMMYFUNCTION("""COMPUTED_VALUE"""),"")</f>
        <v/>
      </c>
      <c r="B389" s="28"/>
      <c r="C389" s="28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R389" s="28" t="str">
        <f t="shared" si="9"/>
        <v/>
      </c>
    </row>
    <row r="390">
      <c r="A390" s="27" t="str">
        <f>IFERROR(__xludf.DUMMYFUNCTION("""COMPUTED_VALUE"""),"")</f>
        <v/>
      </c>
      <c r="B390" s="28"/>
      <c r="C390" s="28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</row>
    <row r="391">
      <c r="A391" s="27" t="str">
        <f>IFERROR(__xludf.DUMMYFUNCTION("""COMPUTED_VALUE"""),"")</f>
        <v/>
      </c>
      <c r="B391" s="28"/>
      <c r="C391" s="28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</row>
    <row r="392">
      <c r="A392" s="27" t="str">
        <f>IFERROR(__xludf.DUMMYFUNCTION("""COMPUTED_VALUE"""),"")</f>
        <v/>
      </c>
      <c r="B392" s="28"/>
      <c r="C392" s="28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</row>
    <row r="393">
      <c r="A393" s="27" t="str">
        <f>IFERROR(__xludf.DUMMYFUNCTION("""COMPUTED_VALUE"""),"")</f>
        <v/>
      </c>
      <c r="B393" s="28"/>
      <c r="C393" s="28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</row>
    <row r="394">
      <c r="A394" s="27" t="str">
        <f>IFERROR(__xludf.DUMMYFUNCTION("""COMPUTED_VALUE"""),"")</f>
        <v/>
      </c>
      <c r="B394" s="28"/>
      <c r="C394" s="28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</row>
    <row r="395">
      <c r="A395" s="27" t="str">
        <f>IFERROR(__xludf.DUMMYFUNCTION("""COMPUTED_VALUE"""),"")</f>
        <v/>
      </c>
      <c r="B395" s="28"/>
      <c r="C395" s="28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</row>
    <row r="396">
      <c r="A396" s="27" t="str">
        <f>IFERROR(__xludf.DUMMYFUNCTION("""COMPUTED_VALUE"""),"")</f>
        <v/>
      </c>
      <c r="B396" s="28"/>
      <c r="C396" s="28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</row>
    <row r="397">
      <c r="A397" s="27" t="str">
        <f>IFERROR(__xludf.DUMMYFUNCTION("""COMPUTED_VALUE"""),"")</f>
        <v/>
      </c>
      <c r="B397" s="28"/>
      <c r="C397" s="28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</row>
    <row r="398">
      <c r="A398" s="27" t="str">
        <f>IFERROR(__xludf.DUMMYFUNCTION("""COMPUTED_VALUE"""),"")</f>
        <v/>
      </c>
      <c r="B398" s="28"/>
      <c r="C398" s="28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</row>
    <row r="399">
      <c r="A399" s="27" t="str">
        <f>IFERROR(__xludf.DUMMYFUNCTION("""COMPUTED_VALUE"""),"")</f>
        <v/>
      </c>
      <c r="B399" s="28"/>
      <c r="C399" s="28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</row>
    <row r="400">
      <c r="A400" s="27" t="str">
        <f>IFERROR(__xludf.DUMMYFUNCTION("""COMPUTED_VALUE"""),"")</f>
        <v/>
      </c>
      <c r="B400" s="28"/>
      <c r="C400" s="28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</row>
    <row r="401">
      <c r="A401" s="27" t="str">
        <f>IFERROR(__xludf.DUMMYFUNCTION("""COMPUTED_VALUE"""),"")</f>
        <v/>
      </c>
      <c r="B401" s="28"/>
      <c r="C401" s="28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</row>
    <row r="402">
      <c r="A402" s="27" t="str">
        <f>IFERROR(__xludf.DUMMYFUNCTION("""COMPUTED_VALUE"""),"")</f>
        <v/>
      </c>
      <c r="B402" s="28"/>
      <c r="C402" s="28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</row>
    <row r="403">
      <c r="A403" s="27"/>
      <c r="B403" s="28"/>
      <c r="C403" s="28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</row>
    <row r="404">
      <c r="A404" s="27"/>
      <c r="B404" s="28"/>
      <c r="C404" s="28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</row>
    <row r="405">
      <c r="A405" s="27"/>
      <c r="B405" s="28"/>
      <c r="C405" s="28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</row>
    <row r="406">
      <c r="A406" s="27"/>
      <c r="B406" s="28"/>
      <c r="C406" s="28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</row>
    <row r="407">
      <c r="A407" s="27"/>
      <c r="B407" s="28"/>
      <c r="C407" s="28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</row>
    <row r="408">
      <c r="A408" s="27"/>
      <c r="B408" s="28"/>
      <c r="C408" s="28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</row>
    <row r="409">
      <c r="A409" s="27"/>
      <c r="B409" s="28"/>
      <c r="C409" s="28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</row>
    <row r="410">
      <c r="A410" s="27"/>
      <c r="B410" s="28"/>
      <c r="C410" s="28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</row>
    <row r="411">
      <c r="A411" s="27"/>
      <c r="B411" s="28"/>
      <c r="C411" s="28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</row>
    <row r="412">
      <c r="A412" s="27"/>
      <c r="B412" s="28"/>
      <c r="C412" s="28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</row>
    <row r="413">
      <c r="A413" s="27"/>
      <c r="B413" s="28"/>
      <c r="C413" s="28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</row>
    <row r="414">
      <c r="A414" s="27"/>
      <c r="B414" s="28"/>
      <c r="C414" s="28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</row>
    <row r="415">
      <c r="A415" s="27"/>
      <c r="B415" s="28"/>
      <c r="C415" s="28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</row>
    <row r="416">
      <c r="A416" s="27"/>
      <c r="B416" s="28"/>
      <c r="C416" s="28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</row>
    <row r="417">
      <c r="A417" s="27"/>
      <c r="B417" s="28"/>
      <c r="C417" s="28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</row>
    <row r="418">
      <c r="A418" s="27"/>
      <c r="B418" s="28"/>
      <c r="C418" s="28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</row>
    <row r="419">
      <c r="A419" s="27"/>
      <c r="B419" s="28"/>
      <c r="C419" s="28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</row>
    <row r="420">
      <c r="A420" s="27"/>
      <c r="B420" s="28"/>
      <c r="C420" s="28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</row>
    <row r="421">
      <c r="A421" s="27"/>
      <c r="B421" s="28"/>
      <c r="C421" s="28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</row>
    <row r="422">
      <c r="A422" s="27"/>
      <c r="B422" s="28"/>
      <c r="C422" s="28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</row>
    <row r="423">
      <c r="A423" s="27"/>
      <c r="B423" s="28"/>
      <c r="C423" s="28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</row>
    <row r="424">
      <c r="A424" s="27"/>
      <c r="B424" s="28"/>
      <c r="C424" s="28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</row>
    <row r="425">
      <c r="A425" s="27"/>
      <c r="B425" s="28"/>
      <c r="C425" s="28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</row>
    <row r="426">
      <c r="A426" s="27"/>
      <c r="B426" s="28"/>
      <c r="C426" s="28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</row>
    <row r="427">
      <c r="A427" s="27"/>
      <c r="B427" s="28"/>
      <c r="C427" s="28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</row>
    <row r="428">
      <c r="A428" s="27"/>
      <c r="B428" s="28"/>
      <c r="C428" s="28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</row>
    <row r="429">
      <c r="A429" s="27"/>
      <c r="B429" s="28"/>
      <c r="C429" s="28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</row>
    <row r="430">
      <c r="A430" s="27"/>
      <c r="B430" s="28"/>
      <c r="C430" s="28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</row>
    <row r="431">
      <c r="A431" s="27"/>
      <c r="B431" s="28"/>
      <c r="C431" s="28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</row>
    <row r="432">
      <c r="A432" s="27"/>
      <c r="B432" s="28"/>
      <c r="C432" s="28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</row>
    <row r="433">
      <c r="A433" s="27"/>
      <c r="B433" s="28"/>
      <c r="C433" s="28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</row>
    <row r="434">
      <c r="A434" s="27"/>
      <c r="B434" s="28"/>
      <c r="C434" s="28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</row>
    <row r="435">
      <c r="A435" s="27"/>
      <c r="B435" s="28"/>
      <c r="C435" s="28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</row>
    <row r="436">
      <c r="A436" s="27"/>
      <c r="B436" s="28"/>
      <c r="C436" s="28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</row>
    <row r="437">
      <c r="A437" s="27"/>
      <c r="B437" s="28"/>
      <c r="C437" s="28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</row>
    <row r="438">
      <c r="A438" s="27"/>
      <c r="B438" s="28"/>
      <c r="C438" s="28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</row>
    <row r="439">
      <c r="A439" s="27"/>
      <c r="B439" s="28"/>
      <c r="C439" s="28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</row>
    <row r="440">
      <c r="A440" s="27"/>
      <c r="B440" s="28"/>
      <c r="C440" s="28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</row>
    <row r="441">
      <c r="A441" s="27"/>
      <c r="B441" s="28"/>
      <c r="C441" s="28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</row>
    <row r="442">
      <c r="A442" s="27"/>
      <c r="B442" s="28"/>
      <c r="C442" s="28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</row>
    <row r="443">
      <c r="A443" s="27"/>
      <c r="B443" s="28"/>
      <c r="C443" s="28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</row>
    <row r="444">
      <c r="A444" s="27"/>
      <c r="B444" s="28"/>
      <c r="C444" s="28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</row>
    <row r="445">
      <c r="A445" s="27"/>
      <c r="B445" s="28"/>
      <c r="C445" s="28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</row>
    <row r="446">
      <c r="A446" s="27"/>
      <c r="B446" s="28"/>
      <c r="C446" s="28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</row>
    <row r="447">
      <c r="A447" s="27"/>
      <c r="B447" s="28"/>
      <c r="C447" s="28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</row>
    <row r="448">
      <c r="A448" s="27"/>
      <c r="B448" s="28"/>
      <c r="C448" s="28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</row>
    <row r="449">
      <c r="A449" s="27"/>
      <c r="B449" s="28"/>
      <c r="C449" s="28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</row>
    <row r="450">
      <c r="A450" s="27"/>
      <c r="B450" s="28"/>
      <c r="C450" s="28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</row>
    <row r="451">
      <c r="A451" s="27"/>
      <c r="B451" s="28"/>
      <c r="C451" s="28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</row>
    <row r="452">
      <c r="A452" s="27"/>
      <c r="B452" s="28"/>
      <c r="C452" s="28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</row>
    <row r="453">
      <c r="A453" s="27"/>
      <c r="B453" s="28"/>
      <c r="C453" s="28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</row>
    <row r="454">
      <c r="A454" s="27"/>
      <c r="B454" s="28"/>
      <c r="C454" s="28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</row>
    <row r="455">
      <c r="A455" s="27"/>
      <c r="B455" s="28"/>
      <c r="C455" s="28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</row>
    <row r="456">
      <c r="A456" s="27"/>
      <c r="B456" s="28"/>
      <c r="C456" s="28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</row>
    <row r="457">
      <c r="A457" s="27"/>
      <c r="B457" s="28"/>
      <c r="C457" s="28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</row>
    <row r="458">
      <c r="A458" s="27"/>
      <c r="B458" s="28"/>
      <c r="C458" s="28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</row>
    <row r="459">
      <c r="A459" s="27"/>
      <c r="B459" s="28"/>
      <c r="C459" s="28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</row>
    <row r="460">
      <c r="A460" s="27"/>
      <c r="B460" s="28"/>
      <c r="C460" s="28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</row>
    <row r="461">
      <c r="A461" s="27"/>
      <c r="B461" s="28"/>
      <c r="C461" s="28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</row>
    <row r="462">
      <c r="A462" s="27"/>
      <c r="B462" s="28"/>
      <c r="C462" s="28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</row>
    <row r="463">
      <c r="A463" s="27"/>
      <c r="B463" s="28"/>
      <c r="C463" s="28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</row>
    <row r="464">
      <c r="A464" s="27"/>
      <c r="B464" s="28"/>
      <c r="C464" s="28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</row>
    <row r="465">
      <c r="A465" s="27"/>
      <c r="B465" s="28"/>
      <c r="C465" s="28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</row>
    <row r="466">
      <c r="A466" s="27"/>
      <c r="B466" s="28"/>
      <c r="C466" s="28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</row>
    <row r="467">
      <c r="A467" s="27"/>
      <c r="B467" s="28"/>
      <c r="C467" s="28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</row>
    <row r="468">
      <c r="A468" s="27"/>
      <c r="B468" s="28"/>
      <c r="C468" s="28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</row>
    <row r="469">
      <c r="A469" s="27"/>
      <c r="B469" s="28"/>
      <c r="C469" s="28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</row>
    <row r="470">
      <c r="A470" s="27"/>
      <c r="B470" s="28"/>
      <c r="C470" s="28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</row>
    <row r="471">
      <c r="A471" s="27"/>
      <c r="B471" s="28"/>
      <c r="C471" s="28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</row>
    <row r="472">
      <c r="A472" s="27"/>
      <c r="B472" s="28"/>
      <c r="C472" s="28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</row>
    <row r="473">
      <c r="A473" s="27"/>
      <c r="B473" s="28"/>
      <c r="C473" s="28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</row>
    <row r="474">
      <c r="A474" s="27"/>
      <c r="B474" s="28"/>
      <c r="C474" s="28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</row>
    <row r="475">
      <c r="A475" s="27"/>
      <c r="B475" s="28"/>
      <c r="C475" s="28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</row>
    <row r="476">
      <c r="A476" s="27"/>
      <c r="B476" s="28"/>
      <c r="C476" s="28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</row>
    <row r="477">
      <c r="A477" s="27"/>
      <c r="B477" s="28"/>
      <c r="C477" s="28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</row>
    <row r="478">
      <c r="A478" s="27"/>
      <c r="B478" s="28"/>
      <c r="C478" s="28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</row>
    <row r="479">
      <c r="A479" s="27"/>
      <c r="B479" s="28"/>
      <c r="C479" s="28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</row>
    <row r="480">
      <c r="A480" s="27"/>
      <c r="B480" s="28"/>
      <c r="C480" s="28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</row>
    <row r="481">
      <c r="A481" s="27"/>
      <c r="B481" s="28"/>
      <c r="C481" s="28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</row>
    <row r="482">
      <c r="A482" s="27"/>
      <c r="B482" s="28"/>
      <c r="C482" s="28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</row>
    <row r="483">
      <c r="A483" s="27"/>
      <c r="B483" s="28"/>
      <c r="C483" s="28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</row>
    <row r="484">
      <c r="A484" s="27"/>
      <c r="B484" s="28"/>
      <c r="C484" s="28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</row>
    <row r="485">
      <c r="A485" s="27"/>
      <c r="B485" s="28"/>
      <c r="C485" s="28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</row>
    <row r="486">
      <c r="A486" s="27"/>
      <c r="B486" s="28"/>
      <c r="C486" s="28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</row>
    <row r="487">
      <c r="A487" s="27"/>
      <c r="B487" s="28"/>
      <c r="C487" s="28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</row>
    <row r="488">
      <c r="A488" s="27"/>
      <c r="B488" s="28"/>
      <c r="C488" s="28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</row>
    <row r="489">
      <c r="A489" s="27"/>
      <c r="B489" s="28"/>
      <c r="C489" s="28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</row>
    <row r="490">
      <c r="A490" s="27"/>
      <c r="B490" s="28"/>
      <c r="C490" s="28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</row>
    <row r="491">
      <c r="A491" s="27"/>
      <c r="B491" s="28"/>
      <c r="C491" s="28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</row>
    <row r="492">
      <c r="A492" s="27"/>
      <c r="B492" s="28"/>
      <c r="C492" s="28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</row>
    <row r="493">
      <c r="A493" s="27"/>
      <c r="B493" s="28"/>
      <c r="C493" s="28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</row>
    <row r="494">
      <c r="A494" s="27"/>
      <c r="B494" s="28"/>
      <c r="C494" s="28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</row>
    <row r="495">
      <c r="A495" s="27"/>
      <c r="B495" s="28"/>
      <c r="C495" s="28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</row>
    <row r="496">
      <c r="A496" s="27"/>
      <c r="B496" s="28"/>
      <c r="C496" s="28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</row>
    <row r="497">
      <c r="A497" s="27"/>
      <c r="B497" s="28"/>
      <c r="C497" s="28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</row>
    <row r="498">
      <c r="A498" s="27"/>
      <c r="B498" s="28"/>
      <c r="C498" s="28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</row>
    <row r="499">
      <c r="A499" s="27"/>
      <c r="B499" s="28"/>
      <c r="C499" s="28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</row>
    <row r="500">
      <c r="A500" s="27"/>
      <c r="B500" s="28"/>
      <c r="C500" s="28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</row>
    <row r="501">
      <c r="A501" s="27"/>
      <c r="B501" s="28"/>
      <c r="C501" s="28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</row>
    <row r="502">
      <c r="A502" s="27"/>
      <c r="B502" s="28"/>
      <c r="C502" s="28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</row>
    <row r="503">
      <c r="A503" s="27"/>
      <c r="B503" s="28"/>
      <c r="C503" s="28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</row>
    <row r="504">
      <c r="A504" s="27"/>
      <c r="B504" s="28"/>
      <c r="C504" s="28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</row>
    <row r="505">
      <c r="A505" s="27"/>
      <c r="B505" s="28"/>
      <c r="C505" s="28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</row>
    <row r="506">
      <c r="A506" s="27"/>
      <c r="B506" s="28"/>
      <c r="C506" s="28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</row>
    <row r="507">
      <c r="A507" s="27"/>
      <c r="B507" s="28"/>
      <c r="C507" s="28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</row>
    <row r="508">
      <c r="A508" s="27"/>
      <c r="B508" s="28"/>
      <c r="C508" s="28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</row>
    <row r="509">
      <c r="A509" s="27"/>
      <c r="B509" s="28"/>
      <c r="C509" s="28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</row>
    <row r="510">
      <c r="A510" s="27"/>
      <c r="B510" s="28"/>
      <c r="C510" s="28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</row>
    <row r="511">
      <c r="A511" s="27"/>
      <c r="B511" s="28"/>
      <c r="C511" s="28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</row>
    <row r="512">
      <c r="A512" s="27"/>
      <c r="B512" s="28"/>
      <c r="C512" s="28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</row>
    <row r="513">
      <c r="A513" s="27"/>
      <c r="B513" s="28"/>
      <c r="C513" s="28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</row>
    <row r="514">
      <c r="A514" s="27"/>
      <c r="B514" s="28"/>
      <c r="C514" s="28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</row>
    <row r="515">
      <c r="A515" s="27"/>
      <c r="B515" s="28"/>
      <c r="C515" s="28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</row>
    <row r="516">
      <c r="A516" s="27"/>
      <c r="B516" s="28"/>
      <c r="C516" s="28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</row>
    <row r="517">
      <c r="A517" s="27"/>
      <c r="B517" s="28"/>
      <c r="C517" s="28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</row>
    <row r="518">
      <c r="A518" s="27"/>
      <c r="B518" s="28"/>
      <c r="C518" s="28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</row>
    <row r="519">
      <c r="A519" s="27"/>
      <c r="B519" s="28"/>
      <c r="C519" s="28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</row>
    <row r="520">
      <c r="A520" s="27"/>
      <c r="B520" s="28"/>
      <c r="C520" s="28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</row>
    <row r="521">
      <c r="A521" s="27"/>
      <c r="B521" s="28"/>
      <c r="C521" s="28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</row>
    <row r="522">
      <c r="A522" s="27"/>
      <c r="B522" s="28"/>
      <c r="C522" s="28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</row>
    <row r="523">
      <c r="A523" s="27"/>
      <c r="B523" s="28"/>
      <c r="C523" s="28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</row>
    <row r="524">
      <c r="A524" s="27"/>
      <c r="B524" s="28"/>
      <c r="C524" s="28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</row>
    <row r="525">
      <c r="A525" s="27"/>
      <c r="B525" s="28"/>
      <c r="C525" s="28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</row>
    <row r="526">
      <c r="A526" s="27"/>
      <c r="B526" s="28"/>
      <c r="C526" s="28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</row>
    <row r="527">
      <c r="A527" s="27"/>
      <c r="B527" s="28"/>
      <c r="C527" s="28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</row>
    <row r="528">
      <c r="A528" s="27"/>
      <c r="B528" s="28"/>
      <c r="C528" s="28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</row>
    <row r="529">
      <c r="A529" s="27"/>
      <c r="B529" s="28"/>
      <c r="C529" s="28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</row>
    <row r="530">
      <c r="A530" s="27"/>
      <c r="B530" s="28"/>
      <c r="C530" s="28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</row>
    <row r="531">
      <c r="A531" s="27"/>
      <c r="B531" s="28"/>
      <c r="C531" s="28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</row>
    <row r="532">
      <c r="A532" s="27"/>
      <c r="B532" s="28"/>
      <c r="C532" s="28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</row>
    <row r="533">
      <c r="A533" s="27"/>
      <c r="B533" s="28"/>
      <c r="C533" s="28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</row>
    <row r="534">
      <c r="A534" s="27"/>
      <c r="B534" s="28"/>
      <c r="C534" s="28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</row>
    <row r="535">
      <c r="A535" s="27"/>
      <c r="B535" s="28"/>
      <c r="C535" s="28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</row>
    <row r="536">
      <c r="A536" s="27"/>
      <c r="B536" s="28"/>
      <c r="C536" s="28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</row>
    <row r="537">
      <c r="A537" s="27"/>
      <c r="B537" s="28"/>
      <c r="C537" s="28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</row>
    <row r="538">
      <c r="A538" s="27"/>
      <c r="B538" s="28"/>
      <c r="C538" s="28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</row>
    <row r="539">
      <c r="A539" s="27"/>
      <c r="B539" s="28"/>
      <c r="C539" s="28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</row>
    <row r="540">
      <c r="A540" s="27"/>
      <c r="B540" s="28"/>
      <c r="C540" s="28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</row>
    <row r="541">
      <c r="A541" s="27"/>
      <c r="B541" s="28"/>
      <c r="C541" s="28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</row>
    <row r="542">
      <c r="A542" s="27"/>
      <c r="B542" s="28"/>
      <c r="C542" s="28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</row>
    <row r="543">
      <c r="A543" s="27"/>
      <c r="B543" s="28"/>
      <c r="C543" s="28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</row>
    <row r="544">
      <c r="A544" s="27"/>
      <c r="B544" s="28"/>
      <c r="C544" s="28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</row>
    <row r="545">
      <c r="A545" s="27"/>
      <c r="B545" s="28"/>
      <c r="C545" s="28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</row>
    <row r="546">
      <c r="A546" s="27"/>
      <c r="B546" s="28"/>
      <c r="C546" s="28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</row>
    <row r="547">
      <c r="A547" s="27"/>
      <c r="B547" s="28"/>
      <c r="C547" s="28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</row>
    <row r="548">
      <c r="A548" s="27"/>
      <c r="B548" s="28"/>
      <c r="C548" s="28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</row>
    <row r="549">
      <c r="A549" s="27"/>
      <c r="B549" s="28"/>
      <c r="C549" s="28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</row>
    <row r="550">
      <c r="A550" s="27"/>
      <c r="B550" s="28"/>
      <c r="C550" s="28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</row>
    <row r="551">
      <c r="A551" s="27"/>
      <c r="B551" s="28"/>
      <c r="C551" s="28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</row>
    <row r="552">
      <c r="A552" s="27"/>
      <c r="B552" s="28"/>
      <c r="C552" s="28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</row>
    <row r="553">
      <c r="A553" s="27"/>
      <c r="B553" s="28"/>
      <c r="C553" s="28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</row>
    <row r="554">
      <c r="A554" s="27"/>
      <c r="B554" s="28"/>
      <c r="C554" s="28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</row>
    <row r="555">
      <c r="A555" s="27"/>
      <c r="B555" s="28"/>
      <c r="C555" s="28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</row>
    <row r="556">
      <c r="A556" s="27"/>
      <c r="B556" s="28"/>
      <c r="C556" s="28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</row>
    <row r="557">
      <c r="A557" s="27"/>
      <c r="B557" s="28"/>
      <c r="C557" s="28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</row>
    <row r="558">
      <c r="A558" s="27"/>
      <c r="B558" s="28"/>
      <c r="C558" s="28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</row>
    <row r="559">
      <c r="A559" s="27"/>
      <c r="B559" s="28"/>
      <c r="C559" s="28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</row>
    <row r="560">
      <c r="A560" s="27"/>
      <c r="B560" s="28"/>
      <c r="C560" s="28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</row>
    <row r="561">
      <c r="A561" s="27"/>
      <c r="B561" s="28"/>
      <c r="C561" s="28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</row>
    <row r="562">
      <c r="A562" s="27"/>
      <c r="B562" s="28"/>
      <c r="C562" s="28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</row>
    <row r="563">
      <c r="A563" s="27"/>
      <c r="B563" s="28"/>
      <c r="C563" s="28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</row>
    <row r="564">
      <c r="A564" s="27"/>
      <c r="B564" s="28"/>
      <c r="C564" s="28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</row>
    <row r="565">
      <c r="A565" s="27"/>
      <c r="B565" s="28"/>
      <c r="C565" s="28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</row>
    <row r="566">
      <c r="A566" s="27"/>
      <c r="B566" s="28"/>
      <c r="C566" s="28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</row>
    <row r="567">
      <c r="A567" s="27"/>
      <c r="B567" s="28"/>
      <c r="C567" s="28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</row>
    <row r="568">
      <c r="A568" s="27"/>
      <c r="B568" s="28"/>
      <c r="C568" s="28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</row>
    <row r="569">
      <c r="A569" s="27"/>
      <c r="B569" s="28"/>
      <c r="C569" s="28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</row>
    <row r="570">
      <c r="A570" s="27"/>
      <c r="B570" s="28"/>
      <c r="C570" s="28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</row>
    <row r="571">
      <c r="A571" s="27"/>
      <c r="B571" s="28"/>
      <c r="C571" s="28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</row>
    <row r="572">
      <c r="A572" s="27"/>
      <c r="B572" s="28"/>
      <c r="C572" s="28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</row>
    <row r="573">
      <c r="A573" s="27"/>
      <c r="B573" s="28"/>
      <c r="C573" s="28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</row>
    <row r="574">
      <c r="A574" s="27"/>
      <c r="B574" s="28"/>
      <c r="C574" s="28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</row>
    <row r="575">
      <c r="A575" s="27"/>
      <c r="B575" s="28"/>
      <c r="C575" s="28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</row>
    <row r="576">
      <c r="A576" s="27"/>
      <c r="B576" s="28"/>
      <c r="C576" s="28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</row>
    <row r="577">
      <c r="A577" s="27"/>
      <c r="B577" s="28"/>
      <c r="C577" s="28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</row>
    <row r="578">
      <c r="A578" s="27"/>
      <c r="B578" s="28"/>
      <c r="C578" s="28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</row>
    <row r="579">
      <c r="A579" s="27"/>
      <c r="B579" s="28"/>
      <c r="C579" s="28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</row>
    <row r="580">
      <c r="A580" s="27"/>
      <c r="B580" s="28"/>
      <c r="C580" s="28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</row>
    <row r="581">
      <c r="A581" s="27"/>
      <c r="B581" s="28"/>
      <c r="C581" s="28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</row>
    <row r="582">
      <c r="A582" s="27"/>
      <c r="B582" s="28"/>
      <c r="C582" s="28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</row>
    <row r="583">
      <c r="A583" s="27"/>
      <c r="B583" s="28"/>
      <c r="C583" s="28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</row>
    <row r="584">
      <c r="A584" s="27"/>
      <c r="B584" s="28"/>
      <c r="C584" s="28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</row>
    <row r="585">
      <c r="A585" s="27"/>
      <c r="B585" s="28"/>
      <c r="C585" s="28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</row>
    <row r="586">
      <c r="A586" s="27"/>
      <c r="B586" s="28"/>
      <c r="C586" s="28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</row>
    <row r="587">
      <c r="A587" s="27"/>
      <c r="B587" s="28"/>
      <c r="C587" s="28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</row>
    <row r="588">
      <c r="A588" s="27"/>
      <c r="B588" s="28"/>
      <c r="C588" s="28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</row>
    <row r="589">
      <c r="A589" s="27"/>
      <c r="B589" s="28"/>
      <c r="C589" s="28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</row>
    <row r="590">
      <c r="A590" s="27"/>
      <c r="B590" s="28"/>
      <c r="C590" s="28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</row>
    <row r="591">
      <c r="A591" s="27"/>
      <c r="B591" s="28"/>
      <c r="C591" s="28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</row>
    <row r="592">
      <c r="A592" s="27"/>
      <c r="B592" s="28"/>
      <c r="C592" s="28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</row>
    <row r="593">
      <c r="A593" s="27"/>
      <c r="B593" s="28"/>
      <c r="C593" s="28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</row>
    <row r="594">
      <c r="A594" s="27"/>
      <c r="B594" s="28"/>
      <c r="C594" s="28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</row>
    <row r="595">
      <c r="A595" s="27"/>
      <c r="B595" s="28"/>
      <c r="C595" s="28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</row>
    <row r="596">
      <c r="A596" s="27"/>
      <c r="B596" s="28"/>
      <c r="C596" s="28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</row>
    <row r="597">
      <c r="A597" s="27"/>
      <c r="B597" s="28"/>
      <c r="C597" s="28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</row>
    <row r="598">
      <c r="A598" s="27"/>
      <c r="B598" s="28"/>
      <c r="C598" s="28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</row>
    <row r="599">
      <c r="A599" s="27"/>
      <c r="B599" s="28"/>
      <c r="C599" s="28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</row>
    <row r="600">
      <c r="A600" s="27"/>
      <c r="B600" s="28"/>
      <c r="C600" s="28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</row>
    <row r="601">
      <c r="A601" s="27"/>
      <c r="B601" s="28"/>
      <c r="C601" s="28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</row>
    <row r="602">
      <c r="A602" s="27"/>
      <c r="B602" s="28"/>
      <c r="C602" s="28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</row>
    <row r="603">
      <c r="A603" s="27"/>
      <c r="B603" s="28"/>
      <c r="C603" s="28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</row>
    <row r="604">
      <c r="A604" s="27"/>
      <c r="B604" s="28"/>
      <c r="C604" s="28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</row>
    <row r="605">
      <c r="A605" s="27"/>
      <c r="B605" s="28"/>
      <c r="C605" s="28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</row>
    <row r="606">
      <c r="A606" s="27"/>
      <c r="B606" s="28"/>
      <c r="C606" s="28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</row>
    <row r="607">
      <c r="A607" s="27"/>
      <c r="B607" s="28"/>
      <c r="C607" s="28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</row>
    <row r="608">
      <c r="A608" s="27"/>
      <c r="B608" s="28"/>
      <c r="C608" s="28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</row>
    <row r="609">
      <c r="A609" s="27"/>
      <c r="B609" s="28"/>
      <c r="C609" s="28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</row>
    <row r="610">
      <c r="A610" s="27"/>
      <c r="B610" s="28"/>
      <c r="C610" s="28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</row>
    <row r="611">
      <c r="A611" s="27"/>
      <c r="B611" s="28"/>
      <c r="C611" s="28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</row>
    <row r="612">
      <c r="A612" s="27"/>
      <c r="B612" s="28"/>
      <c r="C612" s="28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</row>
    <row r="613">
      <c r="A613" s="27"/>
      <c r="B613" s="28"/>
      <c r="C613" s="28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</row>
    <row r="614">
      <c r="A614" s="27"/>
      <c r="B614" s="28"/>
      <c r="C614" s="28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</row>
    <row r="615">
      <c r="A615" s="27"/>
      <c r="B615" s="28"/>
      <c r="C615" s="28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</row>
    <row r="616">
      <c r="A616" s="27"/>
      <c r="B616" s="28"/>
      <c r="C616" s="28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</row>
    <row r="617">
      <c r="A617" s="27"/>
      <c r="B617" s="28"/>
      <c r="C617" s="28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</row>
    <row r="618">
      <c r="A618" s="27"/>
      <c r="B618" s="28"/>
      <c r="C618" s="28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</row>
    <row r="619">
      <c r="A619" s="27"/>
      <c r="B619" s="28"/>
      <c r="C619" s="28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</row>
    <row r="620">
      <c r="A620" s="27"/>
      <c r="B620" s="28"/>
      <c r="C620" s="28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</row>
    <row r="621">
      <c r="A621" s="27"/>
      <c r="B621" s="28"/>
      <c r="C621" s="28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</row>
    <row r="622">
      <c r="A622" s="27"/>
      <c r="B622" s="28"/>
      <c r="C622" s="28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</row>
    <row r="623">
      <c r="A623" s="27"/>
      <c r="B623" s="28"/>
      <c r="C623" s="28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</row>
    <row r="624">
      <c r="A624" s="27"/>
      <c r="B624" s="28"/>
      <c r="C624" s="28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</row>
    <row r="625">
      <c r="A625" s="27"/>
      <c r="B625" s="28"/>
      <c r="C625" s="28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</row>
    <row r="626">
      <c r="A626" s="27"/>
      <c r="B626" s="28"/>
      <c r="C626" s="28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</row>
    <row r="627">
      <c r="A627" s="27"/>
      <c r="B627" s="28"/>
      <c r="C627" s="28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</row>
    <row r="628">
      <c r="A628" s="27"/>
      <c r="B628" s="28"/>
      <c r="C628" s="28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</row>
    <row r="629">
      <c r="A629" s="27"/>
      <c r="B629" s="28"/>
      <c r="C629" s="28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</row>
    <row r="630">
      <c r="A630" s="27"/>
      <c r="B630" s="28"/>
      <c r="C630" s="28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</row>
    <row r="631">
      <c r="A631" s="27"/>
      <c r="B631" s="28"/>
      <c r="C631" s="28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</row>
    <row r="632">
      <c r="A632" s="27"/>
      <c r="B632" s="28"/>
      <c r="C632" s="28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</row>
    <row r="633">
      <c r="A633" s="27"/>
      <c r="B633" s="28"/>
      <c r="C633" s="28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</row>
    <row r="634">
      <c r="A634" s="27"/>
      <c r="B634" s="28"/>
      <c r="C634" s="28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</row>
    <row r="635">
      <c r="A635" s="27"/>
      <c r="B635" s="28"/>
      <c r="C635" s="28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</row>
    <row r="636">
      <c r="A636" s="27"/>
      <c r="B636" s="28"/>
      <c r="C636" s="28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</row>
    <row r="637">
      <c r="A637" s="27"/>
      <c r="B637" s="28"/>
      <c r="C637" s="28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</row>
    <row r="638">
      <c r="A638" s="27"/>
      <c r="B638" s="28"/>
      <c r="C638" s="28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</row>
    <row r="639">
      <c r="A639" s="27"/>
      <c r="B639" s="28"/>
      <c r="C639" s="28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</row>
    <row r="640">
      <c r="A640" s="27"/>
      <c r="B640" s="28"/>
      <c r="C640" s="28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</row>
    <row r="641">
      <c r="A641" s="27"/>
      <c r="B641" s="28"/>
      <c r="C641" s="28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</row>
    <row r="642">
      <c r="A642" s="27"/>
      <c r="B642" s="28"/>
      <c r="C642" s="28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</row>
    <row r="643">
      <c r="A643" s="27"/>
      <c r="B643" s="28"/>
      <c r="C643" s="28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</row>
    <row r="644">
      <c r="A644" s="27"/>
      <c r="B644" s="28"/>
      <c r="C644" s="28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</row>
    <row r="645">
      <c r="A645" s="27"/>
      <c r="B645" s="28"/>
      <c r="C645" s="28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</row>
    <row r="646">
      <c r="A646" s="27"/>
      <c r="B646" s="28"/>
      <c r="C646" s="28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</row>
    <row r="647">
      <c r="A647" s="27"/>
      <c r="B647" s="28"/>
      <c r="C647" s="28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</row>
    <row r="648">
      <c r="A648" s="27"/>
      <c r="B648" s="28"/>
      <c r="C648" s="28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</row>
    <row r="649">
      <c r="A649" s="27"/>
      <c r="B649" s="28"/>
      <c r="C649" s="28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</row>
    <row r="650">
      <c r="A650" s="27"/>
      <c r="B650" s="28"/>
      <c r="C650" s="28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</row>
    <row r="651">
      <c r="A651" s="27"/>
      <c r="B651" s="28"/>
      <c r="C651" s="28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</row>
    <row r="652">
      <c r="A652" s="27"/>
      <c r="B652" s="28"/>
      <c r="C652" s="28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</row>
    <row r="653">
      <c r="A653" s="27"/>
      <c r="B653" s="28"/>
      <c r="C653" s="28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</row>
    <row r="654">
      <c r="A654" s="27"/>
      <c r="B654" s="28"/>
      <c r="C654" s="28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</row>
    <row r="655">
      <c r="A655" s="27"/>
      <c r="B655" s="28"/>
      <c r="C655" s="28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</row>
    <row r="656">
      <c r="A656" s="27"/>
      <c r="B656" s="28"/>
      <c r="C656" s="28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</row>
    <row r="657">
      <c r="A657" s="27"/>
      <c r="B657" s="28"/>
      <c r="C657" s="28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</row>
    <row r="658">
      <c r="A658" s="27"/>
      <c r="B658" s="28"/>
      <c r="C658" s="28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</row>
    <row r="659">
      <c r="A659" s="27"/>
      <c r="B659" s="28"/>
      <c r="C659" s="28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</row>
    <row r="660">
      <c r="A660" s="27"/>
      <c r="B660" s="28"/>
      <c r="C660" s="28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</row>
    <row r="661">
      <c r="A661" s="27"/>
      <c r="B661" s="28"/>
      <c r="C661" s="28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</row>
    <row r="662">
      <c r="A662" s="27"/>
      <c r="B662" s="28"/>
      <c r="C662" s="28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</row>
    <row r="663">
      <c r="A663" s="27"/>
      <c r="B663" s="28"/>
      <c r="C663" s="28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</row>
    <row r="664">
      <c r="A664" s="27"/>
      <c r="B664" s="28"/>
      <c r="C664" s="28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</row>
    <row r="665">
      <c r="A665" s="27"/>
      <c r="B665" s="28"/>
      <c r="C665" s="28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</row>
    <row r="666">
      <c r="A666" s="27"/>
      <c r="B666" s="28"/>
      <c r="C666" s="28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</row>
    <row r="667">
      <c r="A667" s="27"/>
      <c r="B667" s="28"/>
      <c r="C667" s="28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</row>
    <row r="668">
      <c r="A668" s="27"/>
      <c r="B668" s="28"/>
      <c r="C668" s="28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</row>
    <row r="669">
      <c r="A669" s="27"/>
      <c r="B669" s="28"/>
      <c r="C669" s="28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</row>
    <row r="670">
      <c r="A670" s="27"/>
      <c r="B670" s="28"/>
      <c r="C670" s="28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</row>
    <row r="671">
      <c r="A671" s="27"/>
      <c r="B671" s="28"/>
      <c r="C671" s="28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</row>
    <row r="672">
      <c r="A672" s="27"/>
      <c r="B672" s="28"/>
      <c r="C672" s="28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</row>
    <row r="673">
      <c r="A673" s="27"/>
      <c r="B673" s="28"/>
      <c r="C673" s="28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</row>
    <row r="674">
      <c r="A674" s="27"/>
      <c r="B674" s="28"/>
      <c r="C674" s="28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</row>
    <row r="675">
      <c r="A675" s="27"/>
      <c r="B675" s="28"/>
      <c r="C675" s="28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</row>
    <row r="676">
      <c r="A676" s="27"/>
      <c r="B676" s="28"/>
      <c r="C676" s="28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</row>
    <row r="677">
      <c r="A677" s="27"/>
      <c r="B677" s="28"/>
      <c r="C677" s="28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</row>
    <row r="678">
      <c r="A678" s="27"/>
      <c r="B678" s="28"/>
      <c r="C678" s="28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</row>
    <row r="679">
      <c r="A679" s="27"/>
      <c r="B679" s="28"/>
      <c r="C679" s="28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</row>
    <row r="680">
      <c r="A680" s="27"/>
      <c r="B680" s="28"/>
      <c r="C680" s="28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</row>
    <row r="681">
      <c r="A681" s="27"/>
      <c r="B681" s="28"/>
      <c r="C681" s="28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</row>
    <row r="682">
      <c r="A682" s="27"/>
      <c r="B682" s="28"/>
      <c r="C682" s="28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</row>
    <row r="683">
      <c r="A683" s="27"/>
      <c r="B683" s="28"/>
      <c r="C683" s="28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</row>
    <row r="684">
      <c r="A684" s="27"/>
      <c r="B684" s="28"/>
      <c r="C684" s="28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</row>
    <row r="685">
      <c r="A685" s="27"/>
      <c r="B685" s="28"/>
      <c r="C685" s="28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</row>
    <row r="686">
      <c r="A686" s="27"/>
      <c r="B686" s="28"/>
      <c r="C686" s="28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</row>
    <row r="687">
      <c r="A687" s="27"/>
      <c r="B687" s="28"/>
      <c r="C687" s="28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</row>
    <row r="688">
      <c r="A688" s="27"/>
      <c r="B688" s="28"/>
      <c r="C688" s="28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</row>
    <row r="689">
      <c r="A689" s="27"/>
      <c r="B689" s="28"/>
      <c r="C689" s="28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</row>
    <row r="690">
      <c r="A690" s="27"/>
      <c r="B690" s="28"/>
      <c r="C690" s="28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</row>
    <row r="691">
      <c r="A691" s="27"/>
      <c r="B691" s="28"/>
      <c r="C691" s="28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</row>
    <row r="692">
      <c r="A692" s="27"/>
      <c r="B692" s="28"/>
      <c r="C692" s="28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</row>
    <row r="693">
      <c r="A693" s="27"/>
      <c r="B693" s="28"/>
      <c r="C693" s="28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</row>
    <row r="694">
      <c r="A694" s="27"/>
      <c r="B694" s="28"/>
      <c r="C694" s="28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</row>
    <row r="695">
      <c r="A695" s="27"/>
      <c r="B695" s="28"/>
      <c r="C695" s="28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</row>
    <row r="696">
      <c r="A696" s="27"/>
      <c r="B696" s="28"/>
      <c r="C696" s="28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</row>
    <row r="697">
      <c r="A697" s="27"/>
      <c r="B697" s="28"/>
      <c r="C697" s="28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</row>
    <row r="698">
      <c r="A698" s="27"/>
      <c r="B698" s="28"/>
      <c r="C698" s="28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</row>
    <row r="699">
      <c r="A699" s="27"/>
      <c r="B699" s="28"/>
      <c r="C699" s="28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</row>
    <row r="700">
      <c r="A700" s="27"/>
      <c r="B700" s="28"/>
      <c r="C700" s="28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</row>
    <row r="701">
      <c r="A701" s="27"/>
      <c r="B701" s="28"/>
      <c r="C701" s="28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</row>
    <row r="702">
      <c r="A702" s="27"/>
      <c r="B702" s="28"/>
      <c r="C702" s="28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</row>
    <row r="703">
      <c r="A703" s="27"/>
      <c r="B703" s="28"/>
      <c r="C703" s="28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</row>
    <row r="704">
      <c r="A704" s="27"/>
      <c r="B704" s="28"/>
      <c r="C704" s="28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</row>
    <row r="705">
      <c r="A705" s="27"/>
      <c r="B705" s="28"/>
      <c r="C705" s="28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</row>
    <row r="706">
      <c r="A706" s="27"/>
      <c r="B706" s="28"/>
      <c r="C706" s="28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</row>
    <row r="707">
      <c r="A707" s="27"/>
      <c r="B707" s="28"/>
      <c r="C707" s="28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</row>
    <row r="708">
      <c r="A708" s="27"/>
      <c r="B708" s="28"/>
      <c r="C708" s="28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</row>
    <row r="709">
      <c r="A709" s="27"/>
      <c r="B709" s="28"/>
      <c r="C709" s="28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</row>
    <row r="710">
      <c r="A710" s="27"/>
      <c r="B710" s="28"/>
      <c r="C710" s="28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</row>
    <row r="711">
      <c r="A711" s="27"/>
      <c r="B711" s="28"/>
      <c r="C711" s="28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</row>
    <row r="712">
      <c r="A712" s="27"/>
      <c r="B712" s="28"/>
      <c r="C712" s="28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</row>
    <row r="713">
      <c r="A713" s="27"/>
      <c r="B713" s="28"/>
      <c r="C713" s="28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</row>
    <row r="714">
      <c r="A714" s="27"/>
      <c r="B714" s="28"/>
      <c r="C714" s="28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</row>
    <row r="715">
      <c r="A715" s="27"/>
      <c r="B715" s="28"/>
      <c r="C715" s="28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</row>
    <row r="716">
      <c r="A716" s="27"/>
      <c r="B716" s="28"/>
      <c r="C716" s="28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</row>
    <row r="717">
      <c r="A717" s="27"/>
      <c r="B717" s="28"/>
      <c r="C717" s="28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</row>
    <row r="718">
      <c r="A718" s="27"/>
      <c r="B718" s="28"/>
      <c r="C718" s="28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</row>
    <row r="719">
      <c r="A719" s="27"/>
      <c r="B719" s="28"/>
      <c r="C719" s="28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</row>
    <row r="720">
      <c r="A720" s="27"/>
      <c r="B720" s="28"/>
      <c r="C720" s="28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</row>
    <row r="721">
      <c r="A721" s="27"/>
      <c r="B721" s="28"/>
      <c r="C721" s="28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</row>
    <row r="722">
      <c r="A722" s="27"/>
      <c r="B722" s="28"/>
      <c r="C722" s="28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</row>
    <row r="723">
      <c r="A723" s="27"/>
      <c r="B723" s="28"/>
      <c r="C723" s="28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</row>
    <row r="724">
      <c r="A724" s="27"/>
      <c r="B724" s="28"/>
      <c r="C724" s="28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</row>
    <row r="725">
      <c r="A725" s="27"/>
      <c r="B725" s="28"/>
      <c r="C725" s="28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</row>
    <row r="726">
      <c r="A726" s="27"/>
      <c r="B726" s="28"/>
      <c r="C726" s="28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</row>
    <row r="727">
      <c r="A727" s="27"/>
      <c r="B727" s="28"/>
      <c r="C727" s="28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</row>
    <row r="728">
      <c r="A728" s="27"/>
      <c r="B728" s="28"/>
      <c r="C728" s="28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</row>
    <row r="729">
      <c r="A729" s="27"/>
      <c r="B729" s="28"/>
      <c r="C729" s="28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</row>
    <row r="730">
      <c r="A730" s="27"/>
      <c r="B730" s="28"/>
      <c r="C730" s="28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</row>
    <row r="731">
      <c r="A731" s="27"/>
      <c r="B731" s="28"/>
      <c r="C731" s="28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</row>
    <row r="732">
      <c r="A732" s="27"/>
      <c r="B732" s="28"/>
      <c r="C732" s="28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</row>
    <row r="733">
      <c r="A733" s="27"/>
      <c r="B733" s="28"/>
      <c r="C733" s="28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</row>
    <row r="734">
      <c r="A734" s="27"/>
      <c r="B734" s="28"/>
      <c r="C734" s="28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</row>
    <row r="735">
      <c r="A735" s="27"/>
      <c r="B735" s="28"/>
      <c r="C735" s="28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</row>
    <row r="736">
      <c r="A736" s="27"/>
      <c r="B736" s="28"/>
      <c r="C736" s="28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</row>
    <row r="737">
      <c r="A737" s="27"/>
      <c r="B737" s="28"/>
      <c r="C737" s="28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</row>
    <row r="738">
      <c r="A738" s="27"/>
      <c r="B738" s="28"/>
      <c r="C738" s="28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</row>
    <row r="739">
      <c r="A739" s="27"/>
      <c r="B739" s="28"/>
      <c r="C739" s="28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</row>
    <row r="740">
      <c r="A740" s="27"/>
      <c r="B740" s="28"/>
      <c r="C740" s="28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</row>
    <row r="741">
      <c r="A741" s="27"/>
      <c r="B741" s="28"/>
      <c r="C741" s="28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</row>
    <row r="742">
      <c r="A742" s="27"/>
      <c r="B742" s="28"/>
      <c r="C742" s="28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</row>
    <row r="743">
      <c r="A743" s="27"/>
      <c r="B743" s="28"/>
      <c r="C743" s="28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</row>
    <row r="744">
      <c r="A744" s="27"/>
      <c r="B744" s="28"/>
      <c r="C744" s="28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</row>
    <row r="745">
      <c r="A745" s="27"/>
      <c r="B745" s="28"/>
      <c r="C745" s="28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</row>
    <row r="746">
      <c r="A746" s="27"/>
      <c r="B746" s="28"/>
      <c r="C746" s="28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</row>
    <row r="747">
      <c r="A747" s="27"/>
      <c r="B747" s="28"/>
      <c r="C747" s="28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</row>
    <row r="748">
      <c r="A748" s="27"/>
      <c r="B748" s="28"/>
      <c r="C748" s="28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</row>
    <row r="749">
      <c r="A749" s="27"/>
      <c r="B749" s="28"/>
      <c r="C749" s="28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</row>
    <row r="750">
      <c r="A750" s="27"/>
      <c r="B750" s="28"/>
      <c r="C750" s="28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</row>
    <row r="751">
      <c r="A751" s="27"/>
      <c r="B751" s="28"/>
      <c r="C751" s="28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</row>
    <row r="752">
      <c r="A752" s="27"/>
      <c r="B752" s="28"/>
      <c r="C752" s="28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</row>
    <row r="753">
      <c r="A753" s="27"/>
      <c r="B753" s="28"/>
      <c r="C753" s="28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</row>
    <row r="754">
      <c r="A754" s="27"/>
      <c r="B754" s="28"/>
      <c r="C754" s="28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</row>
    <row r="755">
      <c r="A755" s="27"/>
      <c r="B755" s="28"/>
      <c r="C755" s="28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</row>
    <row r="756">
      <c r="A756" s="27"/>
      <c r="B756" s="28"/>
      <c r="C756" s="28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</row>
    <row r="757">
      <c r="A757" s="27"/>
      <c r="B757" s="28"/>
      <c r="C757" s="28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</row>
    <row r="758">
      <c r="A758" s="27"/>
      <c r="B758" s="28"/>
      <c r="C758" s="28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</row>
    <row r="759">
      <c r="A759" s="27"/>
      <c r="B759" s="28"/>
      <c r="C759" s="28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</row>
    <row r="760">
      <c r="A760" s="27"/>
      <c r="B760" s="28"/>
      <c r="C760" s="28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</row>
    <row r="761">
      <c r="A761" s="27"/>
      <c r="B761" s="28"/>
      <c r="C761" s="28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</row>
    <row r="762">
      <c r="A762" s="27"/>
      <c r="B762" s="28"/>
      <c r="C762" s="28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</row>
    <row r="763">
      <c r="A763" s="27"/>
      <c r="B763" s="28"/>
      <c r="C763" s="28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</row>
    <row r="764">
      <c r="A764" s="27"/>
      <c r="B764" s="28"/>
      <c r="C764" s="28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</row>
    <row r="765">
      <c r="A765" s="27"/>
      <c r="B765" s="28"/>
      <c r="C765" s="28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</row>
    <row r="766">
      <c r="A766" s="27"/>
      <c r="B766" s="28"/>
      <c r="C766" s="28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</row>
    <row r="767">
      <c r="A767" s="27"/>
      <c r="B767" s="28"/>
      <c r="C767" s="28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</row>
    <row r="768">
      <c r="A768" s="27"/>
      <c r="B768" s="28"/>
      <c r="C768" s="28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</row>
    <row r="769">
      <c r="A769" s="27"/>
      <c r="B769" s="28"/>
      <c r="C769" s="28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</row>
    <row r="770">
      <c r="A770" s="27"/>
      <c r="B770" s="28"/>
      <c r="C770" s="28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</row>
    <row r="771">
      <c r="A771" s="27"/>
      <c r="B771" s="28"/>
      <c r="C771" s="28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</row>
    <row r="772">
      <c r="A772" s="27"/>
      <c r="B772" s="28"/>
      <c r="C772" s="28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</row>
    <row r="773">
      <c r="A773" s="27"/>
      <c r="B773" s="28"/>
      <c r="C773" s="28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</row>
    <row r="774">
      <c r="A774" s="27"/>
      <c r="B774" s="28"/>
      <c r="C774" s="28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</row>
    <row r="775">
      <c r="A775" s="27"/>
      <c r="B775" s="28"/>
      <c r="C775" s="28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</row>
    <row r="776">
      <c r="A776" s="27"/>
      <c r="B776" s="28"/>
      <c r="C776" s="28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</row>
    <row r="777">
      <c r="A777" s="27"/>
      <c r="B777" s="28"/>
      <c r="C777" s="28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</row>
    <row r="778">
      <c r="A778" s="27"/>
      <c r="B778" s="28"/>
      <c r="C778" s="28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</row>
    <row r="779">
      <c r="A779" s="27"/>
      <c r="B779" s="28"/>
      <c r="C779" s="28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</row>
    <row r="780">
      <c r="A780" s="27"/>
      <c r="B780" s="28"/>
      <c r="C780" s="28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</row>
    <row r="781">
      <c r="A781" s="27"/>
      <c r="B781" s="28"/>
      <c r="C781" s="28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</row>
    <row r="782">
      <c r="A782" s="27"/>
      <c r="B782" s="28"/>
      <c r="C782" s="28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</row>
    <row r="783">
      <c r="A783" s="27"/>
      <c r="B783" s="28"/>
      <c r="C783" s="28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</row>
    <row r="784">
      <c r="A784" s="27"/>
      <c r="B784" s="28"/>
      <c r="C784" s="28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</row>
    <row r="785">
      <c r="A785" s="27"/>
      <c r="B785" s="28"/>
      <c r="C785" s="28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</row>
    <row r="786">
      <c r="A786" s="27"/>
      <c r="B786" s="28"/>
      <c r="C786" s="28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</row>
    <row r="787">
      <c r="A787" s="27"/>
      <c r="B787" s="28"/>
      <c r="C787" s="28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</row>
    <row r="788">
      <c r="A788" s="27"/>
      <c r="B788" s="28"/>
      <c r="C788" s="28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</row>
    <row r="789">
      <c r="A789" s="27"/>
      <c r="B789" s="28"/>
      <c r="C789" s="28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</row>
    <row r="790">
      <c r="A790" s="27"/>
      <c r="B790" s="28"/>
      <c r="C790" s="28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</row>
    <row r="791">
      <c r="A791" s="27"/>
      <c r="B791" s="28"/>
      <c r="C791" s="28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</row>
    <row r="792">
      <c r="A792" s="27"/>
      <c r="B792" s="28"/>
      <c r="C792" s="28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</row>
    <row r="793">
      <c r="A793" s="27"/>
      <c r="B793" s="28"/>
      <c r="C793" s="28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</row>
    <row r="794">
      <c r="A794" s="27"/>
      <c r="B794" s="28"/>
      <c r="C794" s="28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</row>
    <row r="795">
      <c r="A795" s="27"/>
      <c r="B795" s="28"/>
      <c r="C795" s="28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</row>
    <row r="796">
      <c r="A796" s="27"/>
      <c r="B796" s="28"/>
      <c r="C796" s="28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</row>
    <row r="797">
      <c r="A797" s="27"/>
      <c r="B797" s="28"/>
      <c r="C797" s="28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</row>
    <row r="798">
      <c r="A798" s="27"/>
      <c r="B798" s="28"/>
      <c r="C798" s="28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</row>
    <row r="799">
      <c r="A799" s="27"/>
      <c r="B799" s="28"/>
      <c r="C799" s="28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</row>
    <row r="800">
      <c r="A800" s="27"/>
      <c r="B800" s="28"/>
      <c r="C800" s="28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</row>
    <row r="801">
      <c r="A801" s="27"/>
      <c r="B801" s="28"/>
      <c r="C801" s="28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</row>
    <row r="802">
      <c r="A802" s="27"/>
      <c r="B802" s="28"/>
      <c r="C802" s="28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</row>
    <row r="803">
      <c r="A803" s="27"/>
      <c r="B803" s="28"/>
      <c r="C803" s="28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</row>
    <row r="804">
      <c r="A804" s="27"/>
      <c r="B804" s="28"/>
      <c r="C804" s="28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</row>
    <row r="805">
      <c r="A805" s="27"/>
      <c r="B805" s="28"/>
      <c r="C805" s="28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</row>
    <row r="806">
      <c r="A806" s="27"/>
      <c r="B806" s="28"/>
      <c r="C806" s="28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</row>
    <row r="807">
      <c r="A807" s="27"/>
      <c r="B807" s="28"/>
      <c r="C807" s="28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</row>
    <row r="808">
      <c r="A808" s="27"/>
      <c r="B808" s="28"/>
      <c r="C808" s="28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</row>
    <row r="809">
      <c r="A809" s="27"/>
      <c r="B809" s="28"/>
      <c r="C809" s="28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</row>
    <row r="810">
      <c r="A810" s="27"/>
      <c r="B810" s="28"/>
      <c r="C810" s="28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</row>
    <row r="811">
      <c r="A811" s="27"/>
      <c r="B811" s="28"/>
      <c r="C811" s="28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</row>
    <row r="812">
      <c r="A812" s="27"/>
      <c r="B812" s="28"/>
      <c r="C812" s="28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</row>
    <row r="813">
      <c r="A813" s="27"/>
      <c r="B813" s="28"/>
      <c r="C813" s="28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</row>
    <row r="814">
      <c r="A814" s="27"/>
      <c r="B814" s="28"/>
      <c r="C814" s="28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</row>
    <row r="815">
      <c r="A815" s="27"/>
      <c r="B815" s="28"/>
      <c r="C815" s="28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</row>
    <row r="816">
      <c r="A816" s="27"/>
      <c r="B816" s="28"/>
      <c r="C816" s="28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</row>
    <row r="817">
      <c r="A817" s="27"/>
      <c r="B817" s="28"/>
      <c r="C817" s="28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</row>
    <row r="818">
      <c r="A818" s="27"/>
      <c r="B818" s="28"/>
      <c r="C818" s="28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</row>
    <row r="819">
      <c r="A819" s="27"/>
      <c r="B819" s="28"/>
      <c r="C819" s="28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</row>
    <row r="820">
      <c r="A820" s="27"/>
      <c r="B820" s="28"/>
      <c r="C820" s="28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</row>
    <row r="821">
      <c r="A821" s="27"/>
      <c r="B821" s="28"/>
      <c r="C821" s="28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</row>
    <row r="822">
      <c r="A822" s="27"/>
      <c r="B822" s="28"/>
      <c r="C822" s="28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</row>
    <row r="823">
      <c r="A823" s="27"/>
      <c r="B823" s="28"/>
      <c r="C823" s="28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</row>
    <row r="824">
      <c r="A824" s="27"/>
      <c r="B824" s="28"/>
      <c r="C824" s="28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</row>
    <row r="825">
      <c r="A825" s="27"/>
      <c r="B825" s="28"/>
      <c r="C825" s="28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</row>
    <row r="826">
      <c r="A826" s="27"/>
      <c r="B826" s="28"/>
      <c r="C826" s="28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</row>
    <row r="827">
      <c r="A827" s="27"/>
      <c r="B827" s="28"/>
      <c r="C827" s="28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</row>
    <row r="828">
      <c r="A828" s="27"/>
      <c r="B828" s="28"/>
      <c r="C828" s="28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</row>
    <row r="829">
      <c r="A829" s="27"/>
      <c r="B829" s="28"/>
      <c r="C829" s="28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</row>
    <row r="830">
      <c r="A830" s="27"/>
      <c r="B830" s="28"/>
      <c r="C830" s="28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</row>
    <row r="831">
      <c r="A831" s="27"/>
      <c r="B831" s="28"/>
      <c r="C831" s="28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</row>
    <row r="832">
      <c r="A832" s="27"/>
      <c r="B832" s="28"/>
      <c r="C832" s="28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</row>
    <row r="833">
      <c r="A833" s="27"/>
      <c r="B833" s="28"/>
      <c r="C833" s="28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</row>
    <row r="834">
      <c r="A834" s="27"/>
      <c r="B834" s="28"/>
      <c r="C834" s="28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</row>
    <row r="835">
      <c r="A835" s="27"/>
      <c r="B835" s="28"/>
      <c r="C835" s="28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</row>
    <row r="836">
      <c r="A836" s="27"/>
      <c r="B836" s="28"/>
      <c r="C836" s="28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</row>
    <row r="837">
      <c r="A837" s="27"/>
      <c r="B837" s="28"/>
      <c r="C837" s="28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</row>
    <row r="838">
      <c r="A838" s="27"/>
      <c r="B838" s="28"/>
      <c r="C838" s="28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</row>
    <row r="839">
      <c r="A839" s="27"/>
      <c r="B839" s="28"/>
      <c r="C839" s="28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</row>
    <row r="840">
      <c r="A840" s="27"/>
      <c r="B840" s="28"/>
      <c r="C840" s="28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</row>
    <row r="841">
      <c r="A841" s="27"/>
      <c r="B841" s="28"/>
      <c r="C841" s="28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</row>
    <row r="842">
      <c r="A842" s="27"/>
      <c r="B842" s="28"/>
      <c r="C842" s="28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</row>
    <row r="843">
      <c r="A843" s="27"/>
      <c r="B843" s="28"/>
      <c r="C843" s="28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</row>
    <row r="844">
      <c r="A844" s="27"/>
      <c r="B844" s="28"/>
      <c r="C844" s="28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</row>
    <row r="845">
      <c r="A845" s="27"/>
      <c r="B845" s="28"/>
      <c r="C845" s="28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</row>
    <row r="846">
      <c r="A846" s="27"/>
      <c r="B846" s="28"/>
      <c r="C846" s="28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</row>
    <row r="847">
      <c r="A847" s="27"/>
      <c r="B847" s="28"/>
      <c r="C847" s="28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</row>
    <row r="848">
      <c r="A848" s="27"/>
      <c r="B848" s="28"/>
      <c r="C848" s="28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</row>
    <row r="849">
      <c r="A849" s="27"/>
      <c r="B849" s="28"/>
      <c r="C849" s="28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</row>
    <row r="850">
      <c r="A850" s="27"/>
      <c r="B850" s="28"/>
      <c r="C850" s="28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</row>
    <row r="851">
      <c r="A851" s="27"/>
      <c r="B851" s="28"/>
      <c r="C851" s="28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</row>
    <row r="852">
      <c r="A852" s="27"/>
      <c r="B852" s="28"/>
      <c r="C852" s="28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</row>
    <row r="853">
      <c r="A853" s="27"/>
      <c r="B853" s="28"/>
      <c r="C853" s="28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</row>
    <row r="854">
      <c r="A854" s="27"/>
      <c r="B854" s="28"/>
      <c r="C854" s="28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</row>
    <row r="855">
      <c r="A855" s="27"/>
      <c r="B855" s="28"/>
      <c r="C855" s="28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</row>
    <row r="856">
      <c r="A856" s="27"/>
      <c r="B856" s="28"/>
      <c r="C856" s="28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</row>
    <row r="857">
      <c r="A857" s="27"/>
      <c r="B857" s="28"/>
      <c r="C857" s="28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</row>
    <row r="858">
      <c r="A858" s="27"/>
      <c r="B858" s="28"/>
      <c r="C858" s="28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</row>
    <row r="859">
      <c r="A859" s="27"/>
      <c r="B859" s="28"/>
      <c r="C859" s="28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</row>
    <row r="860">
      <c r="A860" s="27"/>
      <c r="B860" s="28"/>
      <c r="C860" s="28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</row>
    <row r="861">
      <c r="A861" s="27"/>
      <c r="B861" s="28"/>
      <c r="C861" s="28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</row>
    <row r="862">
      <c r="A862" s="27"/>
      <c r="B862" s="28"/>
      <c r="C862" s="28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</row>
    <row r="863">
      <c r="A863" s="27"/>
      <c r="B863" s="28"/>
      <c r="C863" s="28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</row>
    <row r="864">
      <c r="A864" s="27"/>
      <c r="B864" s="28"/>
      <c r="C864" s="28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</row>
    <row r="865">
      <c r="A865" s="27"/>
      <c r="B865" s="28"/>
      <c r="C865" s="28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</row>
    <row r="866">
      <c r="A866" s="27"/>
      <c r="B866" s="28"/>
      <c r="C866" s="28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</row>
    <row r="867">
      <c r="A867" s="27"/>
      <c r="B867" s="28"/>
      <c r="C867" s="28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</row>
    <row r="868">
      <c r="A868" s="27"/>
      <c r="B868" s="28"/>
      <c r="C868" s="28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</row>
    <row r="869">
      <c r="A869" s="27"/>
      <c r="B869" s="28"/>
      <c r="C869" s="28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</row>
    <row r="870">
      <c r="A870" s="27"/>
      <c r="B870" s="28"/>
      <c r="C870" s="28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</row>
    <row r="871">
      <c r="A871" s="27"/>
      <c r="B871" s="28"/>
      <c r="C871" s="28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</row>
    <row r="872">
      <c r="A872" s="27"/>
      <c r="B872" s="28"/>
      <c r="C872" s="28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</row>
    <row r="873">
      <c r="A873" s="27"/>
      <c r="B873" s="28"/>
      <c r="C873" s="28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</row>
    <row r="874">
      <c r="A874" s="27"/>
      <c r="B874" s="28"/>
      <c r="C874" s="28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</row>
    <row r="875">
      <c r="A875" s="27"/>
      <c r="B875" s="28"/>
      <c r="C875" s="28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</row>
    <row r="876">
      <c r="A876" s="27"/>
      <c r="B876" s="28"/>
      <c r="C876" s="28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</row>
    <row r="877">
      <c r="A877" s="27"/>
      <c r="B877" s="28"/>
      <c r="C877" s="28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</row>
    <row r="878">
      <c r="A878" s="27"/>
      <c r="B878" s="28"/>
      <c r="C878" s="28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</row>
    <row r="879">
      <c r="A879" s="27"/>
      <c r="B879" s="28"/>
      <c r="C879" s="28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</row>
    <row r="880">
      <c r="A880" s="27"/>
      <c r="B880" s="28"/>
      <c r="C880" s="28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</row>
    <row r="881">
      <c r="A881" s="27"/>
      <c r="B881" s="28"/>
      <c r="C881" s="28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</row>
    <row r="882">
      <c r="A882" s="27"/>
      <c r="B882" s="28"/>
      <c r="C882" s="28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</row>
    <row r="883">
      <c r="A883" s="27"/>
      <c r="B883" s="28"/>
      <c r="C883" s="28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</row>
    <row r="884">
      <c r="A884" s="27"/>
      <c r="B884" s="28"/>
      <c r="C884" s="28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</row>
    <row r="885">
      <c r="A885" s="27"/>
      <c r="B885" s="28"/>
      <c r="C885" s="28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</row>
    <row r="886">
      <c r="A886" s="27"/>
      <c r="B886" s="28"/>
      <c r="C886" s="28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</row>
    <row r="887">
      <c r="A887" s="27"/>
      <c r="B887" s="28"/>
      <c r="C887" s="28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</row>
    <row r="888">
      <c r="A888" s="27"/>
      <c r="B888" s="28"/>
      <c r="C888" s="28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</row>
    <row r="889">
      <c r="A889" s="27"/>
      <c r="B889" s="28"/>
      <c r="C889" s="28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</row>
    <row r="890">
      <c r="A890" s="27"/>
      <c r="B890" s="28"/>
      <c r="C890" s="28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</row>
    <row r="891">
      <c r="A891" s="27"/>
      <c r="B891" s="28"/>
      <c r="C891" s="28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</row>
    <row r="892">
      <c r="A892" s="27"/>
      <c r="B892" s="28"/>
      <c r="C892" s="28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</row>
    <row r="893">
      <c r="A893" s="27"/>
      <c r="B893" s="28"/>
      <c r="C893" s="28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</row>
    <row r="894">
      <c r="A894" s="27"/>
      <c r="B894" s="28"/>
      <c r="C894" s="28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</row>
    <row r="895">
      <c r="A895" s="27"/>
      <c r="B895" s="28"/>
      <c r="C895" s="28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</row>
    <row r="896">
      <c r="A896" s="27"/>
      <c r="B896" s="28"/>
      <c r="C896" s="28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</row>
    <row r="897">
      <c r="A897" s="27"/>
      <c r="B897" s="28"/>
      <c r="C897" s="28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</row>
    <row r="898">
      <c r="A898" s="27"/>
      <c r="B898" s="28"/>
      <c r="C898" s="28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</row>
    <row r="899">
      <c r="A899" s="27"/>
      <c r="B899" s="28"/>
      <c r="C899" s="28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</row>
    <row r="900">
      <c r="A900" s="27"/>
      <c r="B900" s="28"/>
      <c r="C900" s="28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</row>
    <row r="901">
      <c r="A901" s="27"/>
      <c r="B901" s="28"/>
      <c r="C901" s="28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</row>
    <row r="902">
      <c r="A902" s="27"/>
      <c r="B902" s="28"/>
      <c r="C902" s="28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</row>
    <row r="903">
      <c r="A903" s="27"/>
      <c r="B903" s="28"/>
      <c r="C903" s="28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</row>
    <row r="904">
      <c r="A904" s="27"/>
      <c r="B904" s="28"/>
      <c r="C904" s="28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</row>
    <row r="905">
      <c r="A905" s="27"/>
      <c r="B905" s="28"/>
      <c r="C905" s="28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</row>
    <row r="906">
      <c r="A906" s="27"/>
      <c r="B906" s="28"/>
      <c r="C906" s="28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</row>
    <row r="907">
      <c r="A907" s="27"/>
      <c r="B907" s="28"/>
      <c r="C907" s="28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</row>
    <row r="908">
      <c r="A908" s="27"/>
      <c r="B908" s="28"/>
      <c r="C908" s="28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</row>
    <row r="909">
      <c r="A909" s="27"/>
      <c r="B909" s="28"/>
      <c r="C909" s="28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</row>
    <row r="910">
      <c r="A910" s="27"/>
      <c r="B910" s="28"/>
      <c r="C910" s="28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</row>
    <row r="911">
      <c r="A911" s="27"/>
      <c r="B911" s="28"/>
      <c r="C911" s="28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</row>
    <row r="912">
      <c r="A912" s="27"/>
      <c r="B912" s="28"/>
      <c r="C912" s="28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</row>
    <row r="913">
      <c r="A913" s="27"/>
      <c r="B913" s="28"/>
      <c r="C913" s="28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</row>
    <row r="914">
      <c r="A914" s="27"/>
      <c r="B914" s="28"/>
      <c r="C914" s="28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</row>
    <row r="915">
      <c r="A915" s="27"/>
      <c r="B915" s="28"/>
      <c r="C915" s="28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</row>
    <row r="916">
      <c r="A916" s="27"/>
      <c r="B916" s="28"/>
      <c r="C916" s="28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</row>
    <row r="917">
      <c r="A917" s="27"/>
      <c r="B917" s="28"/>
      <c r="C917" s="28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</row>
    <row r="918">
      <c r="A918" s="27"/>
      <c r="B918" s="28"/>
      <c r="C918" s="28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</row>
    <row r="919">
      <c r="A919" s="27"/>
      <c r="B919" s="28"/>
      <c r="C919" s="28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</row>
    <row r="920">
      <c r="A920" s="27"/>
      <c r="B920" s="28"/>
      <c r="C920" s="28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</row>
    <row r="921">
      <c r="A921" s="27"/>
      <c r="B921" s="28"/>
      <c r="C921" s="28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</row>
    <row r="922">
      <c r="A922" s="27"/>
      <c r="B922" s="28"/>
      <c r="C922" s="28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</row>
    <row r="923">
      <c r="A923" s="27"/>
      <c r="B923" s="28"/>
      <c r="C923" s="28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</row>
    <row r="924">
      <c r="A924" s="27"/>
      <c r="B924" s="28"/>
      <c r="C924" s="28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</row>
    <row r="925">
      <c r="A925" s="27"/>
      <c r="B925" s="28"/>
      <c r="C925" s="28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</row>
    <row r="926">
      <c r="A926" s="27"/>
      <c r="B926" s="28"/>
      <c r="C926" s="28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</row>
    <row r="927">
      <c r="A927" s="27"/>
      <c r="B927" s="28"/>
      <c r="C927" s="28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</row>
    <row r="928">
      <c r="A928" s="27"/>
      <c r="B928" s="28"/>
      <c r="C928" s="28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</row>
    <row r="929">
      <c r="A929" s="27"/>
      <c r="B929" s="28"/>
      <c r="C929" s="28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</row>
    <row r="930">
      <c r="A930" s="27"/>
      <c r="B930" s="28"/>
      <c r="C930" s="28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</row>
    <row r="931">
      <c r="A931" s="27"/>
      <c r="B931" s="28"/>
      <c r="C931" s="28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</row>
    <row r="932">
      <c r="A932" s="27"/>
      <c r="B932" s="28"/>
      <c r="C932" s="28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</row>
    <row r="933">
      <c r="A933" s="27"/>
      <c r="B933" s="28"/>
      <c r="C933" s="28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</row>
    <row r="934">
      <c r="A934" s="27"/>
      <c r="B934" s="28"/>
      <c r="C934" s="28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</row>
    <row r="935">
      <c r="A935" s="27"/>
      <c r="B935" s="28"/>
      <c r="C935" s="28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</row>
    <row r="936">
      <c r="A936" s="27"/>
      <c r="B936" s="28"/>
      <c r="C936" s="28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</row>
    <row r="937">
      <c r="A937" s="27"/>
      <c r="B937" s="28"/>
      <c r="C937" s="28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</row>
    <row r="938">
      <c r="A938" s="27"/>
      <c r="B938" s="28"/>
      <c r="C938" s="28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</row>
    <row r="939">
      <c r="A939" s="27"/>
      <c r="B939" s="28"/>
      <c r="C939" s="28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</row>
    <row r="940">
      <c r="A940" s="27"/>
      <c r="B940" s="28"/>
      <c r="C940" s="28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</row>
    <row r="941">
      <c r="A941" s="27"/>
      <c r="B941" s="28"/>
      <c r="C941" s="28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</row>
    <row r="942">
      <c r="A942" s="27"/>
      <c r="B942" s="28"/>
      <c r="C942" s="28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</row>
    <row r="943">
      <c r="A943" s="27"/>
      <c r="B943" s="28"/>
      <c r="C943" s="28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</row>
    <row r="944">
      <c r="A944" s="27"/>
      <c r="B944" s="28"/>
      <c r="C944" s="28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</row>
    <row r="945">
      <c r="A945" s="27"/>
      <c r="B945" s="28"/>
      <c r="C945" s="28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</row>
    <row r="946">
      <c r="A946" s="27"/>
      <c r="B946" s="28"/>
      <c r="C946" s="28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</row>
    <row r="947">
      <c r="A947" s="27"/>
      <c r="B947" s="28"/>
      <c r="C947" s="28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</row>
    <row r="948">
      <c r="A948" s="27"/>
      <c r="B948" s="28"/>
      <c r="C948" s="28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</row>
    <row r="949">
      <c r="A949" s="27"/>
      <c r="B949" s="28"/>
      <c r="C949" s="28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</row>
    <row r="950">
      <c r="A950" s="27"/>
      <c r="B950" s="28"/>
      <c r="C950" s="28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</row>
    <row r="951">
      <c r="A951" s="27"/>
      <c r="B951" s="28"/>
      <c r="C951" s="28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</row>
    <row r="952">
      <c r="A952" s="27"/>
      <c r="B952" s="28"/>
      <c r="C952" s="28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</row>
    <row r="953">
      <c r="A953" s="27"/>
      <c r="B953" s="28"/>
      <c r="C953" s="28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</row>
    <row r="954">
      <c r="A954" s="27"/>
      <c r="B954" s="28"/>
      <c r="C954" s="28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</row>
    <row r="955">
      <c r="A955" s="27"/>
      <c r="B955" s="28"/>
      <c r="C955" s="28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</row>
    <row r="956">
      <c r="A956" s="27"/>
      <c r="B956" s="28"/>
      <c r="C956" s="28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</row>
    <row r="957">
      <c r="A957" s="27"/>
      <c r="B957" s="28"/>
      <c r="C957" s="28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</row>
    <row r="958">
      <c r="A958" s="27"/>
      <c r="B958" s="28"/>
      <c r="C958" s="28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</row>
    <row r="959">
      <c r="A959" s="27"/>
      <c r="B959" s="28"/>
      <c r="C959" s="28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</row>
    <row r="960">
      <c r="A960" s="27"/>
      <c r="B960" s="28"/>
      <c r="C960" s="28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</row>
    <row r="961">
      <c r="A961" s="27"/>
      <c r="B961" s="28"/>
      <c r="C961" s="28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</row>
    <row r="962">
      <c r="A962" s="27"/>
      <c r="B962" s="28"/>
      <c r="C962" s="28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</row>
    <row r="963">
      <c r="A963" s="27"/>
      <c r="B963" s="28"/>
      <c r="C963" s="28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</row>
    <row r="964">
      <c r="A964" s="27"/>
      <c r="B964" s="28"/>
      <c r="C964" s="28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</row>
    <row r="965">
      <c r="A965" s="27"/>
      <c r="B965" s="28"/>
      <c r="C965" s="28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</row>
    <row r="966">
      <c r="A966" s="27"/>
      <c r="B966" s="28"/>
      <c r="C966" s="28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</row>
    <row r="967">
      <c r="A967" s="27"/>
      <c r="B967" s="28"/>
      <c r="C967" s="28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</row>
    <row r="968">
      <c r="A968" s="27"/>
      <c r="B968" s="28"/>
      <c r="C968" s="28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</row>
    <row r="969">
      <c r="A969" s="27"/>
      <c r="B969" s="28"/>
      <c r="C969" s="28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</row>
    <row r="970">
      <c r="A970" s="27"/>
      <c r="B970" s="28"/>
      <c r="C970" s="28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</row>
    <row r="971">
      <c r="A971" s="27"/>
      <c r="B971" s="28"/>
      <c r="C971" s="28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</row>
    <row r="972">
      <c r="A972" s="27"/>
      <c r="B972" s="28"/>
      <c r="C972" s="28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</row>
    <row r="973">
      <c r="A973" s="27"/>
      <c r="B973" s="28"/>
      <c r="C973" s="28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</row>
    <row r="974">
      <c r="A974" s="27"/>
      <c r="B974" s="28"/>
      <c r="C974" s="28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</row>
    <row r="975">
      <c r="A975" s="27"/>
      <c r="B975" s="28"/>
      <c r="C975" s="28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</row>
    <row r="976">
      <c r="A976" s="27"/>
      <c r="B976" s="28"/>
      <c r="C976" s="28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</row>
    <row r="977">
      <c r="A977" s="27"/>
      <c r="B977" s="28"/>
      <c r="C977" s="28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</row>
    <row r="978">
      <c r="A978" s="27"/>
      <c r="B978" s="28"/>
      <c r="C978" s="28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</row>
    <row r="979">
      <c r="A979" s="27"/>
      <c r="B979" s="28"/>
      <c r="C979" s="28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</row>
    <row r="980">
      <c r="A980" s="27"/>
      <c r="B980" s="28"/>
      <c r="C980" s="28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</row>
    <row r="981">
      <c r="A981" s="27"/>
      <c r="B981" s="28"/>
      <c r="C981" s="28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</row>
    <row r="982">
      <c r="A982" s="27"/>
      <c r="B982" s="28"/>
      <c r="C982" s="28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</row>
    <row r="983">
      <c r="A983" s="27"/>
      <c r="B983" s="28"/>
      <c r="C983" s="28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</row>
    <row r="984">
      <c r="A984" s="27"/>
      <c r="B984" s="28"/>
      <c r="C984" s="28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</row>
    <row r="985">
      <c r="A985" s="27"/>
      <c r="B985" s="28"/>
      <c r="C985" s="28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</row>
    <row r="986">
      <c r="A986" s="27"/>
      <c r="B986" s="28"/>
      <c r="C986" s="28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</row>
    <row r="987">
      <c r="A987" s="27"/>
      <c r="B987" s="28"/>
      <c r="C987" s="28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</row>
    <row r="988">
      <c r="A988" s="27"/>
      <c r="B988" s="28"/>
      <c r="C988" s="28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</row>
    <row r="989">
      <c r="A989" s="27"/>
      <c r="B989" s="28"/>
      <c r="C989" s="28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</row>
    <row r="990">
      <c r="A990" s="27"/>
      <c r="B990" s="28"/>
      <c r="C990" s="28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</row>
    <row r="991">
      <c r="A991" s="27"/>
      <c r="B991" s="28"/>
      <c r="C991" s="28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</row>
    <row r="992">
      <c r="A992" s="27"/>
      <c r="B992" s="28"/>
      <c r="C992" s="28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</row>
    <row r="993">
      <c r="A993" s="27"/>
      <c r="B993" s="28"/>
      <c r="C993" s="28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</row>
    <row r="994">
      <c r="A994" s="27"/>
      <c r="B994" s="28"/>
      <c r="C994" s="28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</row>
    <row r="995">
      <c r="A995" s="27"/>
      <c r="B995" s="28"/>
      <c r="C995" s="28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</row>
    <row r="996">
      <c r="A996" s="27"/>
      <c r="B996" s="28"/>
      <c r="C996" s="28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</row>
    <row r="997">
      <c r="A997" s="27"/>
      <c r="B997" s="28"/>
      <c r="C997" s="28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</row>
    <row r="998">
      <c r="A998" s="27"/>
      <c r="B998" s="28"/>
      <c r="C998" s="28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</row>
    <row r="999">
      <c r="A999" s="27"/>
      <c r="B999" s="28"/>
      <c r="C999" s="28"/>
      <c r="D999" s="27"/>
      <c r="E999" s="27"/>
      <c r="F999" s="27"/>
      <c r="G999" s="27"/>
      <c r="H999" s="28"/>
      <c r="I999" s="28"/>
      <c r="J999" s="28"/>
      <c r="K999" s="28"/>
      <c r="L999" s="28"/>
      <c r="M999" s="28"/>
      <c r="N999" s="28"/>
      <c r="O999" s="28"/>
    </row>
    <row r="1000">
      <c r="A1000" s="27"/>
      <c r="B1000" s="28"/>
      <c r="C1000" s="28"/>
      <c r="D1000" s="27"/>
      <c r="E1000" s="27"/>
      <c r="F1000" s="27"/>
      <c r="G1000" s="27"/>
      <c r="H1000" s="28"/>
      <c r="I1000" s="28"/>
      <c r="J1000" s="28"/>
      <c r="K1000" s="28"/>
      <c r="L1000" s="28"/>
      <c r="M1000" s="28"/>
      <c r="N1000" s="28"/>
      <c r="O1000" s="2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38.75"/>
    <col customWidth="1" min="3" max="3" width="10.38"/>
    <col customWidth="1" min="4" max="4" width="8.38"/>
    <col customWidth="1" min="5" max="5" width="7.25"/>
    <col customWidth="1" min="6" max="6" width="8.38"/>
    <col customWidth="1" min="7" max="7" width="13.5"/>
    <col customWidth="1" min="8" max="8" width="28.13"/>
    <col customWidth="1" min="9" max="9" width="27.5"/>
    <col customWidth="1" min="10" max="10" width="87.0"/>
    <col customWidth="1" min="11" max="11" width="14.0"/>
    <col customWidth="1" min="12" max="12" width="10.5"/>
    <col customWidth="1" min="13" max="13" width="8.5"/>
    <col customWidth="1" min="14" max="14" width="14.13"/>
    <col customWidth="1" min="15" max="15" width="9.38"/>
    <col customWidth="1" min="16" max="16" width="6.75"/>
    <col customWidth="1" min="17" max="17" width="3.75"/>
    <col customWidth="1" min="18" max="19" width="29.75"/>
    <col customWidth="1" min="20" max="76" width="12.63"/>
  </cols>
  <sheetData>
    <row r="1" ht="54.75" customHeight="1">
      <c r="A1" s="25" t="str">
        <f>IFERROR(__xludf.DUMMYFUNCTION("IMPORTRANGE(""1ngvBqIm5Pwu6ysHWJTytsprkLA2bNkM7kzHI4RPG1oc/edit?gid=651441010#gid=651441010"",""E!A1:O1000"")"),"NO")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IFERROR(__xludf.DUMMYFUNCTION("""COMPUTED_VALUE"""),"ASRAMA")</f>
        <v>ASRAMA</v>
      </c>
      <c r="E1" s="25" t="str">
        <f>IFERROR(__xludf.DUMMYFUNCTION("""COMPUTED_VALUE"""),"KAMAR")</f>
        <v>KAMAR</v>
      </c>
      <c r="F1" s="25" t="str">
        <f>IFERROR(__xludf.DUMMYFUNCTION("""COMPUTED_VALUE"""),"TINGKAT")</f>
        <v>TINGKAT</v>
      </c>
      <c r="G1" s="25" t="str">
        <f>IFERROR(__xludf.DUMMYFUNCTION("""COMPUTED_VALUE"""),"MADRASIAH")</f>
        <v>MADRASIAH</v>
      </c>
      <c r="H1" s="25" t="str">
        <f>IFERROR(__xludf.DUMMYFUNCTION("""COMPUTED_VALUE"""),"AYAH")</f>
        <v>AYAH</v>
      </c>
      <c r="I1" s="25" t="str">
        <f>IFERROR(__xludf.DUMMYFUNCTION("""COMPUTED_VALUE"""),"IBU")</f>
        <v>IBU</v>
      </c>
      <c r="J1" s="25" t="str">
        <f>IFERROR(__xludf.DUMMYFUNCTION("""COMPUTED_VALUE"""),"ALAMAT")</f>
        <v>ALAMAT</v>
      </c>
      <c r="K1" s="26" t="str">
        <f>IFERROR(__xludf.DUMMYFUNCTION("""COMPUTED_VALUE"""),"WA")</f>
        <v>WA</v>
      </c>
      <c r="L1" s="25" t="str">
        <f>IFERROR(__xludf.DUMMYFUNCTION("""COMPUTED_VALUE"""),"JUMLAH SYAHRIYAH")</f>
        <v>JUMLAH SYAHRIYAH</v>
      </c>
      <c r="M1" s="25" t="str">
        <f>IFERROR(__xludf.DUMMYFUNCTION("""COMPUTED_VALUE"""),"JUMLAH JARIYAH")</f>
        <v>JUMLAH JARIYAH</v>
      </c>
      <c r="N1" s="25" t="str">
        <f>IFERROR(__xludf.DUMMYFUNCTION("""COMPUTED_VALUE"""),"JUMLAH DAFTAR ULANG")</f>
        <v>JUMLAH DAFTAR ULANG</v>
      </c>
      <c r="O1" s="25" t="str">
        <f>IFERROR(__xludf.DUMMYFUNCTION("""COMPUTED_VALUE"""),"JUMLAH TOTAL TUNGGAKAN")</f>
        <v>JUMLAH TOTAL TUNGGAKAN</v>
      </c>
      <c r="P1" s="30"/>
      <c r="Q1" s="30"/>
      <c r="R1" s="30"/>
      <c r="S1" s="30"/>
      <c r="T1" s="30"/>
      <c r="U1" s="30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</row>
    <row r="2">
      <c r="A2" s="27">
        <f>IFERROR(__xludf.DUMMYFUNCTION("""COMPUTED_VALUE"""),1.0)</f>
        <v>1</v>
      </c>
      <c r="B2" s="28" t="str">
        <f>IFERROR(__xludf.DUMMYFUNCTION("""COMPUTED_VALUE"""),"AL IMROTUL KUSNIA")</f>
        <v>AL IMROTUL KUSNIA</v>
      </c>
      <c r="C2" s="28">
        <f>IFERROR(__xludf.DUMMYFUNCTION("""COMPUTED_VALUE"""),2.024070483E9)</f>
        <v>2024070483</v>
      </c>
      <c r="D2" s="27" t="str">
        <f>IFERROR(__xludf.DUMMYFUNCTION("""COMPUTED_VALUE"""),"E")</f>
        <v>E</v>
      </c>
      <c r="E2" s="27" t="str">
        <f>IFERROR(__xludf.DUMMYFUNCTION("""COMPUTED_VALUE"""),"E-2")</f>
        <v>E-2</v>
      </c>
      <c r="F2" s="31">
        <f>IFERROR(__xludf.DUMMYFUNCTION("""COMPUTED_VALUE"""),3.0)</f>
        <v>3</v>
      </c>
      <c r="G2" s="27" t="str">
        <f>IFERROR(__xludf.DUMMYFUNCTION("""COMPUTED_VALUE"""),"3 ULA C PUTRI")</f>
        <v>3 ULA C PUTRI</v>
      </c>
      <c r="H2" s="28" t="str">
        <f>IFERROR(__xludf.DUMMYFUNCTION("""COMPUTED_VALUE"""),"AFIFUDIN")</f>
        <v>AFIFUDIN</v>
      </c>
      <c r="I2" s="28" t="str">
        <f>IFERROR(__xludf.DUMMYFUNCTION("""COMPUTED_VALUE"""),"ROSYIDAH")</f>
        <v>ROSYIDAH</v>
      </c>
      <c r="J2" s="28" t="str">
        <f>IFERROR(__xludf.DUMMYFUNCTION("""COMPUTED_VALUE"""),"NGAYUNG RT 007 RW 002 MADURAN LAMONGAN")</f>
        <v>NGAYUNG RT 007 RW 002 MADURAN LAMONGAN</v>
      </c>
      <c r="K2" s="29" t="str">
        <f>IFERROR(__xludf.DUMMYFUNCTION("""COMPUTED_VALUE"""),"6282330812041")</f>
        <v>6282330812041</v>
      </c>
      <c r="L2" s="22">
        <f>IFERROR(__xludf.DUMMYFUNCTION("""COMPUTED_VALUE"""),2000000.0)</f>
        <v>2000000</v>
      </c>
      <c r="M2" s="22">
        <f>IFERROR(__xludf.DUMMYFUNCTION("""COMPUTED_VALUE"""),0.0)</f>
        <v>0</v>
      </c>
      <c r="N2" s="22">
        <f>IFERROR(__xludf.DUMMYFUNCTION("""COMPUTED_VALUE"""),0.0)</f>
        <v>0</v>
      </c>
      <c r="O2" s="22">
        <f>IFERROR(__xludf.DUMMYFUNCTION("""COMPUTED_VALUE"""),2000000.0)</f>
        <v>2000000</v>
      </c>
      <c r="P2" s="28" t="str">
        <f t="shared" ref="P2:P133" si="1">IF(N2=0,"LUNAS","BELUM")</f>
        <v>LUNAS</v>
      </c>
      <c r="Q2" s="28">
        <f t="shared" ref="Q2:Q133" si="2">_xlfn.RANK.EQ(O2,$O$2:$O$389,0)+COUNTIF($O$2:O2,O2)-1</f>
        <v>11</v>
      </c>
      <c r="R2" s="28" t="str">
        <f t="shared" ref="R2:R133" si="3">B2</f>
        <v>AL IMROTUL KUSNIA</v>
      </c>
      <c r="S2" s="28">
        <f>COUNTA(B2:B450)</f>
        <v>82</v>
      </c>
      <c r="T2" s="32" t="s">
        <v>33</v>
      </c>
    </row>
    <row r="3">
      <c r="A3" s="27">
        <f>IFERROR(__xludf.DUMMYFUNCTION("""COMPUTED_VALUE"""),2.0)</f>
        <v>2</v>
      </c>
      <c r="B3" s="28" t="str">
        <f>IFERROR(__xludf.DUMMYFUNCTION("""COMPUTED_VALUE"""),"ANUGRAH RAFIKHA DEWANI")</f>
        <v>ANUGRAH RAFIKHA DEWANI</v>
      </c>
      <c r="C3" s="28">
        <f>IFERROR(__xludf.DUMMYFUNCTION("""COMPUTED_VALUE"""),2.024070618E9)</f>
        <v>2024070618</v>
      </c>
      <c r="D3" s="27" t="str">
        <f>IFERROR(__xludf.DUMMYFUNCTION("""COMPUTED_VALUE"""),"E")</f>
        <v>E</v>
      </c>
      <c r="E3" s="27" t="str">
        <f>IFERROR(__xludf.DUMMYFUNCTION("""COMPUTED_VALUE"""),"E-2")</f>
        <v>E-2</v>
      </c>
      <c r="F3" s="31">
        <f>IFERROR(__xludf.DUMMYFUNCTION("""COMPUTED_VALUE"""),3.0)</f>
        <v>3</v>
      </c>
      <c r="G3" s="27" t="str">
        <f>IFERROR(__xludf.DUMMYFUNCTION("""COMPUTED_VALUE"""),"3 ULA C PUTRI")</f>
        <v>3 ULA C PUTRI</v>
      </c>
      <c r="H3" s="28" t="str">
        <f>IFERROR(__xludf.DUMMYFUNCTION("""COMPUTED_VALUE"""),"AINUR ROFIQ")</f>
        <v>AINUR ROFIQ</v>
      </c>
      <c r="I3" s="28" t="str">
        <f>IFERROR(__xludf.DUMMYFUNCTION("""COMPUTED_VALUE"""),"MUNAFI'AH")</f>
        <v>MUNAFI'AH</v>
      </c>
      <c r="J3" s="28" t="str">
        <f>IFERROR(__xludf.DUMMYFUNCTION("""COMPUTED_VALUE"""),"BUNGKAWAK TEJOASRI RT 003 RW 004 LAREN LAMONGAN")</f>
        <v>BUNGKAWAK TEJOASRI RT 003 RW 004 LAREN LAMONGAN</v>
      </c>
      <c r="K3" s="29" t="str">
        <f>IFERROR(__xludf.DUMMYFUNCTION("""COMPUTED_VALUE"""),"6281311516716")</f>
        <v>6281311516716</v>
      </c>
      <c r="L3" s="22">
        <f>IFERROR(__xludf.DUMMYFUNCTION("""COMPUTED_VALUE"""),1000000.0)</f>
        <v>1000000</v>
      </c>
      <c r="M3" s="22">
        <f>IFERROR(__xludf.DUMMYFUNCTION("""COMPUTED_VALUE"""),500000.0)</f>
        <v>500000</v>
      </c>
      <c r="N3" s="22">
        <f>IFERROR(__xludf.DUMMYFUNCTION("""COMPUTED_VALUE"""),0.0)</f>
        <v>0</v>
      </c>
      <c r="O3" s="22">
        <f>IFERROR(__xludf.DUMMYFUNCTION("""COMPUTED_VALUE"""),1500000.0)</f>
        <v>1500000</v>
      </c>
      <c r="P3" s="28" t="str">
        <f t="shared" si="1"/>
        <v>LUNAS</v>
      </c>
      <c r="Q3" s="28">
        <f t="shared" si="2"/>
        <v>15</v>
      </c>
      <c r="R3" s="28" t="str">
        <f t="shared" si="3"/>
        <v>ANUGRAH RAFIKHA DEWANI</v>
      </c>
      <c r="S3" s="28">
        <f>COUNTIF(F:F,1)</f>
        <v>0</v>
      </c>
      <c r="T3" s="32" t="s">
        <v>17</v>
      </c>
    </row>
    <row r="4">
      <c r="A4" s="27">
        <f>IFERROR(__xludf.DUMMYFUNCTION("""COMPUTED_VALUE"""),3.0)</f>
        <v>3</v>
      </c>
      <c r="B4" s="28" t="str">
        <f>IFERROR(__xludf.DUMMYFUNCTION("""COMPUTED_VALUE"""),"AZURO SABILA FAZZA MAULIDAH")</f>
        <v>AZURO SABILA FAZZA MAULIDAH</v>
      </c>
      <c r="C4" s="28">
        <f>IFERROR(__xludf.DUMMYFUNCTION("""COMPUTED_VALUE"""),2.024070573E9)</f>
        <v>2024070573</v>
      </c>
      <c r="D4" s="27" t="str">
        <f>IFERROR(__xludf.DUMMYFUNCTION("""COMPUTED_VALUE"""),"E")</f>
        <v>E</v>
      </c>
      <c r="E4" s="27" t="str">
        <f>IFERROR(__xludf.DUMMYFUNCTION("""COMPUTED_VALUE"""),"E-2")</f>
        <v>E-2</v>
      </c>
      <c r="F4" s="31">
        <f>IFERROR(__xludf.DUMMYFUNCTION("""COMPUTED_VALUE"""),3.0)</f>
        <v>3</v>
      </c>
      <c r="G4" s="27" t="str">
        <f>IFERROR(__xludf.DUMMYFUNCTION("""COMPUTED_VALUE"""),"3 ULA C PUTRI")</f>
        <v>3 ULA C PUTRI</v>
      </c>
      <c r="H4" s="28" t="str">
        <f>IFERROR(__xludf.DUMMYFUNCTION("""COMPUTED_VALUE"""),"KARTONO")</f>
        <v>KARTONO</v>
      </c>
      <c r="I4" s="28" t="str">
        <f>IFERROR(__xludf.DUMMYFUNCTION("""COMPUTED_VALUE"""),"ZUZUN LAILUFAR")</f>
        <v>ZUZUN LAILUFAR</v>
      </c>
      <c r="J4" s="28" t="str">
        <f>IFERROR(__xludf.DUMMYFUNCTION("""COMPUTED_VALUE"""),"GERMAN RT 001 RW 002 SUGIO LAMONGAN")</f>
        <v>GERMAN RT 001 RW 002 SUGIO LAMONGAN</v>
      </c>
      <c r="K4" s="29" t="str">
        <f>IFERROR(__xludf.DUMMYFUNCTION("""COMPUTED_VALUE"""),"6285707564507")</f>
        <v>6285707564507</v>
      </c>
      <c r="L4" s="22">
        <f>IFERROR(__xludf.DUMMYFUNCTION("""COMPUTED_VALUE"""),2000000.0)</f>
        <v>2000000</v>
      </c>
      <c r="M4" s="22">
        <f>IFERROR(__xludf.DUMMYFUNCTION("""COMPUTED_VALUE"""),1000000.0)</f>
        <v>1000000</v>
      </c>
      <c r="N4" s="22">
        <f>IFERROR(__xludf.DUMMYFUNCTION("""COMPUTED_VALUE"""),0.0)</f>
        <v>0</v>
      </c>
      <c r="O4" s="22">
        <f>IFERROR(__xludf.DUMMYFUNCTION("""COMPUTED_VALUE"""),3000000.0)</f>
        <v>3000000</v>
      </c>
      <c r="P4" s="28" t="str">
        <f t="shared" si="1"/>
        <v>LUNAS</v>
      </c>
      <c r="Q4" s="28">
        <f t="shared" si="2"/>
        <v>6</v>
      </c>
      <c r="R4" s="28" t="str">
        <f t="shared" si="3"/>
        <v>AZURO SABILA FAZZA MAULIDAH</v>
      </c>
      <c r="S4" s="28">
        <f>COUNTIF(F:F,2)</f>
        <v>37</v>
      </c>
      <c r="T4" s="32" t="s">
        <v>18</v>
      </c>
    </row>
    <row r="5">
      <c r="A5" s="27">
        <f>IFERROR(__xludf.DUMMYFUNCTION("""COMPUTED_VALUE"""),4.0)</f>
        <v>4</v>
      </c>
      <c r="B5" s="28" t="str">
        <f>IFERROR(__xludf.DUMMYFUNCTION("""COMPUTED_VALUE"""),"BATRISYIA ALFILZAH")</f>
        <v>BATRISYIA ALFILZAH</v>
      </c>
      <c r="C5" s="28">
        <f>IFERROR(__xludf.DUMMYFUNCTION("""COMPUTED_VALUE"""),2.024070634E9)</f>
        <v>2024070634</v>
      </c>
      <c r="D5" s="27" t="str">
        <f>IFERROR(__xludf.DUMMYFUNCTION("""COMPUTED_VALUE"""),"E")</f>
        <v>E</v>
      </c>
      <c r="E5" s="27" t="str">
        <f>IFERROR(__xludf.DUMMYFUNCTION("""COMPUTED_VALUE"""),"E-2")</f>
        <v>E-2</v>
      </c>
      <c r="F5" s="31">
        <f>IFERROR(__xludf.DUMMYFUNCTION("""COMPUTED_VALUE"""),3.0)</f>
        <v>3</v>
      </c>
      <c r="G5" s="27" t="str">
        <f>IFERROR(__xludf.DUMMYFUNCTION("""COMPUTED_VALUE"""),"3 ULA A PUTRI")</f>
        <v>3 ULA A PUTRI</v>
      </c>
      <c r="H5" s="28" t="str">
        <f>IFERROR(__xludf.DUMMYFUNCTION("""COMPUTED_VALUE"""),"SUYATIN")</f>
        <v>SUYATIN</v>
      </c>
      <c r="I5" s="28" t="str">
        <f>IFERROR(__xludf.DUMMYFUNCTION("""COMPUTED_VALUE"""),"LILIS")</f>
        <v>LILIS</v>
      </c>
      <c r="J5" s="28" t="str">
        <f>IFERROR(__xludf.DUMMYFUNCTION("""COMPUTED_VALUE"""),"KAWISTOLEGI RT 001 RW 001 KARANGGENENG LAMONGAN")</f>
        <v>KAWISTOLEGI RT 001 RW 001 KARANGGENENG LAMONGAN</v>
      </c>
      <c r="K5" s="29" t="str">
        <f>IFERROR(__xludf.DUMMYFUNCTION("""COMPUTED_VALUE"""),"62895801050384")</f>
        <v>62895801050384</v>
      </c>
      <c r="L5" s="22">
        <f>IFERROR(__xludf.DUMMYFUNCTION("""COMPUTED_VALUE"""),500000.0)</f>
        <v>500000</v>
      </c>
      <c r="M5" s="22">
        <f>IFERROR(__xludf.DUMMYFUNCTION("""COMPUTED_VALUE"""),0.0)</f>
        <v>0</v>
      </c>
      <c r="N5" s="22">
        <f>IFERROR(__xludf.DUMMYFUNCTION("""COMPUTED_VALUE"""),0.0)</f>
        <v>0</v>
      </c>
      <c r="O5" s="22">
        <f>IFERROR(__xludf.DUMMYFUNCTION("""COMPUTED_VALUE"""),500000.0)</f>
        <v>500000</v>
      </c>
      <c r="P5" s="28" t="str">
        <f t="shared" si="1"/>
        <v>LUNAS</v>
      </c>
      <c r="Q5" s="28">
        <f t="shared" si="2"/>
        <v>46</v>
      </c>
      <c r="R5" s="28" t="str">
        <f t="shared" si="3"/>
        <v>BATRISYIA ALFILZAH</v>
      </c>
      <c r="S5" s="28">
        <f>COUNTIF(F:F,3)</f>
        <v>45</v>
      </c>
      <c r="T5" s="32" t="s">
        <v>19</v>
      </c>
    </row>
    <row r="6">
      <c r="A6" s="27">
        <f>IFERROR(__xludf.DUMMYFUNCTION("""COMPUTED_VALUE"""),5.0)</f>
        <v>5</v>
      </c>
      <c r="B6" s="28" t="str">
        <f>IFERROR(__xludf.DUMMYFUNCTION("""COMPUTED_VALUE"""),"DAVINA RATNANDITA")</f>
        <v>DAVINA RATNANDITA</v>
      </c>
      <c r="C6" s="28">
        <f>IFERROR(__xludf.DUMMYFUNCTION("""COMPUTED_VALUE"""),2.024070445E9)</f>
        <v>2024070445</v>
      </c>
      <c r="D6" s="27" t="str">
        <f>IFERROR(__xludf.DUMMYFUNCTION("""COMPUTED_VALUE"""),"E")</f>
        <v>E</v>
      </c>
      <c r="E6" s="27" t="str">
        <f>IFERROR(__xludf.DUMMYFUNCTION("""COMPUTED_VALUE"""),"E-2")</f>
        <v>E-2</v>
      </c>
      <c r="F6" s="31">
        <f>IFERROR(__xludf.DUMMYFUNCTION("""COMPUTED_VALUE"""),3.0)</f>
        <v>3</v>
      </c>
      <c r="G6" s="27" t="str">
        <f>IFERROR(__xludf.DUMMYFUNCTION("""COMPUTED_VALUE"""),"3 ULA A PUTRI")</f>
        <v>3 ULA A PUTRI</v>
      </c>
      <c r="H6" s="28" t="str">
        <f>IFERROR(__xludf.DUMMYFUNCTION("""COMPUTED_VALUE"""),"SYUKRI")</f>
        <v>SYUKRI</v>
      </c>
      <c r="I6" s="28" t="str">
        <f>IFERROR(__xludf.DUMMYFUNCTION("""COMPUTED_VALUE"""),"SUWATUN")</f>
        <v>SUWATUN</v>
      </c>
      <c r="J6" s="28" t="str">
        <f>IFERROR(__xludf.DUMMYFUNCTION("""COMPUTED_VALUE"""),"TEMBOK PENDOWOLIMO RT 002 RW 003 KARANGBINANGUN LAMONGAN")</f>
        <v>TEMBOK PENDOWOLIMO RT 002 RW 003 KARANGBINANGUN LAMONGAN</v>
      </c>
      <c r="K6" s="29" t="str">
        <f>IFERROR(__xludf.DUMMYFUNCTION("""COMPUTED_VALUE"""),"6282131864843")</f>
        <v>6282131864843</v>
      </c>
      <c r="L6" s="22">
        <f>IFERROR(__xludf.DUMMYFUNCTION("""COMPUTED_VALUE"""),0.0)</f>
        <v>0</v>
      </c>
      <c r="M6" s="22">
        <f>IFERROR(__xludf.DUMMYFUNCTION("""COMPUTED_VALUE"""),1000000.0)</f>
        <v>1000000</v>
      </c>
      <c r="N6" s="22">
        <f>IFERROR(__xludf.DUMMYFUNCTION("""COMPUTED_VALUE"""),0.0)</f>
        <v>0</v>
      </c>
      <c r="O6" s="22">
        <f>IFERROR(__xludf.DUMMYFUNCTION("""COMPUTED_VALUE"""),1000000.0)</f>
        <v>1000000</v>
      </c>
      <c r="P6" s="28" t="str">
        <f t="shared" si="1"/>
        <v>LUNAS</v>
      </c>
      <c r="Q6" s="28">
        <f t="shared" si="2"/>
        <v>23</v>
      </c>
      <c r="R6" s="28" t="str">
        <f t="shared" si="3"/>
        <v>DAVINA RATNANDITA</v>
      </c>
      <c r="S6" s="28">
        <f>COUNTIF(P:P,"LUNAS")</f>
        <v>128</v>
      </c>
      <c r="T6" s="32" t="s">
        <v>20</v>
      </c>
    </row>
    <row r="7">
      <c r="A7" s="27">
        <f>IFERROR(__xludf.DUMMYFUNCTION("""COMPUTED_VALUE"""),6.0)</f>
        <v>6</v>
      </c>
      <c r="B7" s="28" t="str">
        <f>IFERROR(__xludf.DUMMYFUNCTION("""COMPUTED_VALUE"""),"FAIQOTUR RIFDAH AL ABIDAH")</f>
        <v>FAIQOTUR RIFDAH AL ABIDAH</v>
      </c>
      <c r="C7" s="28">
        <f>IFERROR(__xludf.DUMMYFUNCTION("""COMPUTED_VALUE"""),2.024070487E9)</f>
        <v>2024070487</v>
      </c>
      <c r="D7" s="27" t="str">
        <f>IFERROR(__xludf.DUMMYFUNCTION("""COMPUTED_VALUE"""),"E")</f>
        <v>E</v>
      </c>
      <c r="E7" s="27" t="str">
        <f>IFERROR(__xludf.DUMMYFUNCTION("""COMPUTED_VALUE"""),"E-2")</f>
        <v>E-2</v>
      </c>
      <c r="F7" s="31">
        <f>IFERROR(__xludf.DUMMYFUNCTION("""COMPUTED_VALUE"""),3.0)</f>
        <v>3</v>
      </c>
      <c r="G7" s="27" t="str">
        <f>IFERROR(__xludf.DUMMYFUNCTION("""COMPUTED_VALUE"""),"3 ULA B PUTRI")</f>
        <v>3 ULA B PUTRI</v>
      </c>
      <c r="H7" s="28" t="str">
        <f>IFERROR(__xludf.DUMMYFUNCTION("""COMPUTED_VALUE"""),"KHOIRUL ANAM")</f>
        <v>KHOIRUL ANAM</v>
      </c>
      <c r="I7" s="28" t="str">
        <f>IFERROR(__xludf.DUMMYFUNCTION("""COMPUTED_VALUE"""),"CHAMIMAH")</f>
        <v>CHAMIMAH</v>
      </c>
      <c r="J7" s="28" t="str">
        <f>IFERROR(__xludf.DUMMYFUNCTION("""COMPUTED_VALUE"""),"PLOSOSETRO RT 008 RW 002 PUCUK LAMONGAN")</f>
        <v>PLOSOSETRO RT 008 RW 002 PUCUK LAMONGAN</v>
      </c>
      <c r="K7" s="29" t="str">
        <f>IFERROR(__xludf.DUMMYFUNCTION("""COMPUTED_VALUE"""),"6285791612653")</f>
        <v>6285791612653</v>
      </c>
      <c r="L7" s="22">
        <f>IFERROR(__xludf.DUMMYFUNCTION("""COMPUTED_VALUE"""),0.0)</f>
        <v>0</v>
      </c>
      <c r="M7" s="22">
        <f>IFERROR(__xludf.DUMMYFUNCTION("""COMPUTED_VALUE"""),500000.0)</f>
        <v>500000</v>
      </c>
      <c r="N7" s="22">
        <f>IFERROR(__xludf.DUMMYFUNCTION("""COMPUTED_VALUE"""),0.0)</f>
        <v>0</v>
      </c>
      <c r="O7" s="22">
        <f>IFERROR(__xludf.DUMMYFUNCTION("""COMPUTED_VALUE"""),500000.0)</f>
        <v>500000</v>
      </c>
      <c r="P7" s="28" t="str">
        <f t="shared" si="1"/>
        <v>LUNAS</v>
      </c>
      <c r="Q7" s="28">
        <f t="shared" si="2"/>
        <v>47</v>
      </c>
      <c r="R7" s="28" t="str">
        <f t="shared" si="3"/>
        <v>FAIQOTUR RIFDAH AL ABIDAH</v>
      </c>
      <c r="S7" s="28">
        <f>COUNTIF(P:P,"BELUM")</f>
        <v>4</v>
      </c>
      <c r="T7" s="32" t="s">
        <v>21</v>
      </c>
    </row>
    <row r="8">
      <c r="A8" s="27">
        <f>IFERROR(__xludf.DUMMYFUNCTION("""COMPUTED_VALUE"""),7.0)</f>
        <v>7</v>
      </c>
      <c r="B8" s="28" t="str">
        <f>IFERROR(__xludf.DUMMYFUNCTION("""COMPUTED_VALUE"""),"KHARISYAH NADYATUR ROHMAH")</f>
        <v>KHARISYAH NADYATUR ROHMAH</v>
      </c>
      <c r="C8" s="28">
        <f>IFERROR(__xludf.DUMMYFUNCTION("""COMPUTED_VALUE"""),2.024070635E9)</f>
        <v>2024070635</v>
      </c>
      <c r="D8" s="27" t="str">
        <f>IFERROR(__xludf.DUMMYFUNCTION("""COMPUTED_VALUE"""),"E")</f>
        <v>E</v>
      </c>
      <c r="E8" s="27" t="str">
        <f>IFERROR(__xludf.DUMMYFUNCTION("""COMPUTED_VALUE"""),"E-2")</f>
        <v>E-2</v>
      </c>
      <c r="F8" s="31">
        <f>IFERROR(__xludf.DUMMYFUNCTION("""COMPUTED_VALUE"""),3.0)</f>
        <v>3</v>
      </c>
      <c r="G8" s="27" t="str">
        <f>IFERROR(__xludf.DUMMYFUNCTION("""COMPUTED_VALUE"""),"3 ULA C PUTRI")</f>
        <v>3 ULA C PUTRI</v>
      </c>
      <c r="H8" s="28" t="str">
        <f>IFERROR(__xludf.DUMMYFUNCTION("""COMPUTED_VALUE"""),"LILIS MAHRUSIN")</f>
        <v>LILIS MAHRUSIN</v>
      </c>
      <c r="I8" s="28" t="str">
        <f>IFERROR(__xludf.DUMMYFUNCTION("""COMPUTED_VALUE"""),"NUR AZIZAH ROHMAH")</f>
        <v>NUR AZIZAH ROHMAH</v>
      </c>
      <c r="J8" s="28" t="str">
        <f>IFERROR(__xludf.DUMMYFUNCTION("""COMPUTED_VALUE"""),"DADUNGAN RT 002 RW 004 KALITENGAH LAMONGAN")</f>
        <v>DADUNGAN RT 002 RW 004 KALITENGAH LAMONGAN</v>
      </c>
      <c r="K8" s="29" t="str">
        <f>IFERROR(__xludf.DUMMYFUNCTION("""COMPUTED_VALUE"""),"6285649089570")</f>
        <v>6285649089570</v>
      </c>
      <c r="L8" s="22">
        <f>IFERROR(__xludf.DUMMYFUNCTION("""COMPUTED_VALUE"""),3000000.0)</f>
        <v>3000000</v>
      </c>
      <c r="M8" s="22">
        <f>IFERROR(__xludf.DUMMYFUNCTION("""COMPUTED_VALUE"""),0.0)</f>
        <v>0</v>
      </c>
      <c r="N8" s="22">
        <f>IFERROR(__xludf.DUMMYFUNCTION("""COMPUTED_VALUE"""),0.0)</f>
        <v>0</v>
      </c>
      <c r="O8" s="22">
        <f>IFERROR(__xludf.DUMMYFUNCTION("""COMPUTED_VALUE"""),3000000.0)</f>
        <v>3000000</v>
      </c>
      <c r="P8" s="28" t="str">
        <f t="shared" si="1"/>
        <v>LUNAS</v>
      </c>
      <c r="Q8" s="28">
        <f t="shared" si="2"/>
        <v>7</v>
      </c>
      <c r="R8" s="28" t="str">
        <f t="shared" si="3"/>
        <v>KHARISYAH NADYATUR ROHMAH</v>
      </c>
      <c r="S8" s="22">
        <f>SUM(L2:L450)</f>
        <v>49590000</v>
      </c>
      <c r="T8" s="32" t="s">
        <v>22</v>
      </c>
    </row>
    <row r="9">
      <c r="A9" s="27">
        <f>IFERROR(__xludf.DUMMYFUNCTION("""COMPUTED_VALUE"""),8.0)</f>
        <v>8</v>
      </c>
      <c r="B9" s="28" t="str">
        <f>IFERROR(__xludf.DUMMYFUNCTION("""COMPUTED_VALUE"""),"KHULIATUL MILLAH ELVIANA")</f>
        <v>KHULIATUL MILLAH ELVIANA</v>
      </c>
      <c r="C9" s="28">
        <f>IFERROR(__xludf.DUMMYFUNCTION("""COMPUTED_VALUE"""),2.024070499E9)</f>
        <v>2024070499</v>
      </c>
      <c r="D9" s="27" t="str">
        <f>IFERROR(__xludf.DUMMYFUNCTION("""COMPUTED_VALUE"""),"E")</f>
        <v>E</v>
      </c>
      <c r="E9" s="27" t="str">
        <f>IFERROR(__xludf.DUMMYFUNCTION("""COMPUTED_VALUE"""),"E-2")</f>
        <v>E-2</v>
      </c>
      <c r="F9" s="31">
        <f>IFERROR(__xludf.DUMMYFUNCTION("""COMPUTED_VALUE"""),3.0)</f>
        <v>3</v>
      </c>
      <c r="G9" s="27" t="str">
        <f>IFERROR(__xludf.DUMMYFUNCTION("""COMPUTED_VALUE"""),"3 ULA C PUTRI")</f>
        <v>3 ULA C PUTRI</v>
      </c>
      <c r="H9" s="28" t="str">
        <f>IFERROR(__xludf.DUMMYFUNCTION("""COMPUTED_VALUE"""),"ATTOILLAH")</f>
        <v>ATTOILLAH</v>
      </c>
      <c r="I9" s="28" t="str">
        <f>IFERROR(__xludf.DUMMYFUNCTION("""COMPUTED_VALUE"""),"ZAIDATUL FARIDAH")</f>
        <v>ZAIDATUL FARIDAH</v>
      </c>
      <c r="J9" s="28" t="str">
        <f>IFERROR(__xludf.DUMMYFUNCTION("""COMPUTED_VALUE"""),"PLOSOSETRO RT 004 RW 001 PUCUK LAMONGAN")</f>
        <v>PLOSOSETRO RT 004 RW 001 PUCUK LAMONGAN</v>
      </c>
      <c r="K9" s="29" t="str">
        <f>IFERROR(__xludf.DUMMYFUNCTION("""COMPUTED_VALUE"""),"628523337011")</f>
        <v>628523337011</v>
      </c>
      <c r="L9" s="22">
        <f>IFERROR(__xludf.DUMMYFUNCTION("""COMPUTED_VALUE"""),0.0)</f>
        <v>0</v>
      </c>
      <c r="M9" s="22">
        <f>IFERROR(__xludf.DUMMYFUNCTION("""COMPUTED_VALUE"""),0.0)</f>
        <v>0</v>
      </c>
      <c r="N9" s="22">
        <f>IFERROR(__xludf.DUMMYFUNCTION("""COMPUTED_VALUE"""),0.0)</f>
        <v>0</v>
      </c>
      <c r="O9" s="22">
        <f>IFERROR(__xludf.DUMMYFUNCTION("""COMPUTED_VALUE"""),0.0)</f>
        <v>0</v>
      </c>
      <c r="P9" s="28" t="str">
        <f t="shared" si="1"/>
        <v>LUNAS</v>
      </c>
      <c r="Q9" s="28">
        <f t="shared" si="2"/>
        <v>59</v>
      </c>
      <c r="R9" s="28" t="str">
        <f t="shared" si="3"/>
        <v>KHULIATUL MILLAH ELVIANA</v>
      </c>
      <c r="S9" s="22">
        <f>SUM(M2:M450)</f>
        <v>39300000</v>
      </c>
      <c r="T9" s="32" t="s">
        <v>23</v>
      </c>
    </row>
    <row r="10">
      <c r="A10" s="27">
        <f>IFERROR(__xludf.DUMMYFUNCTION("""COMPUTED_VALUE"""),9.0)</f>
        <v>9</v>
      </c>
      <c r="B10" s="28" t="str">
        <f>IFERROR(__xludf.DUMMYFUNCTION("""COMPUTED_VALUE"""),"NIRMA LAILATUL AIDA")</f>
        <v>NIRMA LAILATUL AIDA</v>
      </c>
      <c r="C10" s="28">
        <f>IFERROR(__xludf.DUMMYFUNCTION("""COMPUTED_VALUE"""),2.024070541E9)</f>
        <v>2024070541</v>
      </c>
      <c r="D10" s="27" t="str">
        <f>IFERROR(__xludf.DUMMYFUNCTION("""COMPUTED_VALUE"""),"E")</f>
        <v>E</v>
      </c>
      <c r="E10" s="27" t="str">
        <f>IFERROR(__xludf.DUMMYFUNCTION("""COMPUTED_VALUE"""),"E-2")</f>
        <v>E-2</v>
      </c>
      <c r="F10" s="31">
        <f>IFERROR(__xludf.DUMMYFUNCTION("""COMPUTED_VALUE"""),3.0)</f>
        <v>3</v>
      </c>
      <c r="G10" s="27" t="str">
        <f>IFERROR(__xludf.DUMMYFUNCTION("""COMPUTED_VALUE"""),"3 ULA A PUTRI")</f>
        <v>3 ULA A PUTRI</v>
      </c>
      <c r="H10" s="28" t="str">
        <f>IFERROR(__xludf.DUMMYFUNCTION("""COMPUTED_VALUE"""),"MAS ASPANDI")</f>
        <v>MAS ASPANDI</v>
      </c>
      <c r="I10" s="28" t="str">
        <f>IFERROR(__xludf.DUMMYFUNCTION("""COMPUTED_VALUE"""),"SITI RIFATIN")</f>
        <v>SITI RIFATIN</v>
      </c>
      <c r="J10" s="28" t="str">
        <f>IFERROR(__xludf.DUMMYFUNCTION("""COMPUTED_VALUE"""),"DAGAN RT 005 RW 001 SOLOKURO LAMONGAN")</f>
        <v>DAGAN RT 005 RW 001 SOLOKURO LAMONGAN</v>
      </c>
      <c r="K10" s="29" t="str">
        <f>IFERROR(__xludf.DUMMYFUNCTION("""COMPUTED_VALUE"""),"6285855714013")</f>
        <v>6285855714013</v>
      </c>
      <c r="L10" s="22">
        <f>IFERROR(__xludf.DUMMYFUNCTION("""COMPUTED_VALUE"""),0.0)</f>
        <v>0</v>
      </c>
      <c r="M10" s="22">
        <f>IFERROR(__xludf.DUMMYFUNCTION("""COMPUTED_VALUE"""),1000000.0)</f>
        <v>1000000</v>
      </c>
      <c r="N10" s="22">
        <f>IFERROR(__xludf.DUMMYFUNCTION("""COMPUTED_VALUE"""),0.0)</f>
        <v>0</v>
      </c>
      <c r="O10" s="22">
        <f>IFERROR(__xludf.DUMMYFUNCTION("""COMPUTED_VALUE"""),1000000.0)</f>
        <v>1000000</v>
      </c>
      <c r="P10" s="28" t="str">
        <f t="shared" si="1"/>
        <v>LUNAS</v>
      </c>
      <c r="Q10" s="28">
        <f t="shared" si="2"/>
        <v>24</v>
      </c>
      <c r="R10" s="28" t="str">
        <f t="shared" si="3"/>
        <v>NIRMA LAILATUL AIDA</v>
      </c>
      <c r="S10" s="22">
        <f>SUM(N2:N450)</f>
        <v>1400000</v>
      </c>
      <c r="T10" s="32" t="s">
        <v>24</v>
      </c>
    </row>
    <row r="11">
      <c r="A11" s="27">
        <f>IFERROR(__xludf.DUMMYFUNCTION("""COMPUTED_VALUE"""),10.0)</f>
        <v>10</v>
      </c>
      <c r="B11" s="28" t="str">
        <f>IFERROR(__xludf.DUMMYFUNCTION("""COMPUTED_VALUE"""),"NUR AWWALIN AFIDATUSSOFA")</f>
        <v>NUR AWWALIN AFIDATUSSOFA</v>
      </c>
      <c r="C11" s="28">
        <f>IFERROR(__xludf.DUMMYFUNCTION("""COMPUTED_VALUE"""),2.024070518E9)</f>
        <v>2024070518</v>
      </c>
      <c r="D11" s="27" t="str">
        <f>IFERROR(__xludf.DUMMYFUNCTION("""COMPUTED_VALUE"""),"E")</f>
        <v>E</v>
      </c>
      <c r="E11" s="27" t="str">
        <f>IFERROR(__xludf.DUMMYFUNCTION("""COMPUTED_VALUE"""),"E-2")</f>
        <v>E-2</v>
      </c>
      <c r="F11" s="31">
        <f>IFERROR(__xludf.DUMMYFUNCTION("""COMPUTED_VALUE"""),3.0)</f>
        <v>3</v>
      </c>
      <c r="G11" s="27" t="str">
        <f>IFERROR(__xludf.DUMMYFUNCTION("""COMPUTED_VALUE"""),"3 ULA B PUTRI")</f>
        <v>3 ULA B PUTRI</v>
      </c>
      <c r="H11" s="28" t="str">
        <f>IFERROR(__xludf.DUMMYFUNCTION("""COMPUTED_VALUE"""),"MUHAMMAD NURHADI")</f>
        <v>MUHAMMAD NURHADI</v>
      </c>
      <c r="I11" s="28" t="str">
        <f>IFERROR(__xludf.DUMMYFUNCTION("""COMPUTED_VALUE"""),"MUALIYAH")</f>
        <v>MUALIYAH</v>
      </c>
      <c r="J11" s="28" t="str">
        <f>IFERROR(__xludf.DUMMYFUNCTION("""COMPUTED_VALUE"""),"SUNAN AMPEL LATUKAN RT 003 RW 001 KARANGGENENG LAMONGAN")</f>
        <v>SUNAN AMPEL LATUKAN RT 003 RW 001 KARANGGENENG LAMONGAN</v>
      </c>
      <c r="K11" s="29" t="str">
        <f>IFERROR(__xludf.DUMMYFUNCTION("""COMPUTED_VALUE"""),"6285746646918")</f>
        <v>6285746646918</v>
      </c>
      <c r="L11" s="22">
        <f>IFERROR(__xludf.DUMMYFUNCTION("""COMPUTED_VALUE"""),0.0)</f>
        <v>0</v>
      </c>
      <c r="M11" s="22">
        <f>IFERROR(__xludf.DUMMYFUNCTION("""COMPUTED_VALUE"""),500000.0)</f>
        <v>500000</v>
      </c>
      <c r="N11" s="22">
        <f>IFERROR(__xludf.DUMMYFUNCTION("""COMPUTED_VALUE"""),0.0)</f>
        <v>0</v>
      </c>
      <c r="O11" s="22">
        <f>IFERROR(__xludf.DUMMYFUNCTION("""COMPUTED_VALUE"""),500000.0)</f>
        <v>500000</v>
      </c>
      <c r="P11" s="28" t="str">
        <f t="shared" si="1"/>
        <v>LUNAS</v>
      </c>
      <c r="Q11" s="28">
        <f t="shared" si="2"/>
        <v>48</v>
      </c>
      <c r="R11" s="28" t="str">
        <f t="shared" si="3"/>
        <v>NUR AWWALIN AFIDATUSSOFA</v>
      </c>
      <c r="S11" s="22">
        <f>SUM(O2:O450)</f>
        <v>90290000</v>
      </c>
      <c r="T11" s="32" t="s">
        <v>25</v>
      </c>
    </row>
    <row r="12">
      <c r="A12" s="27">
        <f>IFERROR(__xludf.DUMMYFUNCTION("""COMPUTED_VALUE"""),11.0)</f>
        <v>11</v>
      </c>
      <c r="B12" s="28" t="str">
        <f>IFERROR(__xludf.DUMMYFUNCTION("""COMPUTED_VALUE"""),"NUR FAZA KAMILA")</f>
        <v>NUR FAZA KAMILA</v>
      </c>
      <c r="C12" s="28">
        <f>IFERROR(__xludf.DUMMYFUNCTION("""COMPUTED_VALUE"""),2.024070467E9)</f>
        <v>2024070467</v>
      </c>
      <c r="D12" s="27" t="str">
        <f>IFERROR(__xludf.DUMMYFUNCTION("""COMPUTED_VALUE"""),"E")</f>
        <v>E</v>
      </c>
      <c r="E12" s="27" t="str">
        <f>IFERROR(__xludf.DUMMYFUNCTION("""COMPUTED_VALUE"""),"E-2")</f>
        <v>E-2</v>
      </c>
      <c r="F12" s="31">
        <f>IFERROR(__xludf.DUMMYFUNCTION("""COMPUTED_VALUE"""),3.0)</f>
        <v>3</v>
      </c>
      <c r="G12" s="27" t="str">
        <f>IFERROR(__xludf.DUMMYFUNCTION("""COMPUTED_VALUE"""),"3 ULA C PUTRI")</f>
        <v>3 ULA C PUTRI</v>
      </c>
      <c r="H12" s="28" t="str">
        <f>IFERROR(__xludf.DUMMYFUNCTION("""COMPUTED_VALUE"""),"AH. ZAINI")</f>
        <v>AH. ZAINI</v>
      </c>
      <c r="I12" s="28" t="str">
        <f>IFERROR(__xludf.DUMMYFUNCTION("""COMPUTED_VALUE"""),"IFFAH FIRDAUSI NUZULA")</f>
        <v>IFFAH FIRDAUSI NUZULA</v>
      </c>
      <c r="J12" s="28" t="str">
        <f>IFERROR(__xludf.DUMMYFUNCTION("""COMPUTED_VALUE"""),"KEMLAGIGEDE RT 012 RW 003 TURI LAMONGAN")</f>
        <v>KEMLAGIGEDE RT 012 RW 003 TURI LAMONGAN</v>
      </c>
      <c r="K12" s="29" t="str">
        <f>IFERROR(__xludf.DUMMYFUNCTION("""COMPUTED_VALUE"""),"6285855700260")</f>
        <v>6285855700260</v>
      </c>
      <c r="L12" s="22">
        <f>IFERROR(__xludf.DUMMYFUNCTION("""COMPUTED_VALUE"""),500000.0)</f>
        <v>500000</v>
      </c>
      <c r="M12" s="22">
        <f>IFERROR(__xludf.DUMMYFUNCTION("""COMPUTED_VALUE"""),1000000.0)</f>
        <v>1000000</v>
      </c>
      <c r="N12" s="22">
        <f>IFERROR(__xludf.DUMMYFUNCTION("""COMPUTED_VALUE"""),0.0)</f>
        <v>0</v>
      </c>
      <c r="O12" s="22">
        <f>IFERROR(__xludf.DUMMYFUNCTION("""COMPUTED_VALUE"""),1500000.0)</f>
        <v>1500000</v>
      </c>
      <c r="P12" s="28" t="str">
        <f t="shared" si="1"/>
        <v>LUNAS</v>
      </c>
      <c r="Q12" s="28">
        <f t="shared" si="2"/>
        <v>16</v>
      </c>
      <c r="R12" s="28" t="str">
        <f t="shared" si="3"/>
        <v>NUR FAZA KAMILA</v>
      </c>
      <c r="T12" s="32" t="s">
        <v>26</v>
      </c>
      <c r="U12" s="32" t="s">
        <v>27</v>
      </c>
      <c r="V12" s="32" t="s">
        <v>28</v>
      </c>
      <c r="W12" s="32" t="s">
        <v>29</v>
      </c>
    </row>
    <row r="13">
      <c r="A13" s="27">
        <f>IFERROR(__xludf.DUMMYFUNCTION("""COMPUTED_VALUE"""),12.0)</f>
        <v>12</v>
      </c>
      <c r="B13" s="28" t="str">
        <f>IFERROR(__xludf.DUMMYFUNCTION("""COMPUTED_VALUE"""),"USWAH EL FAHRUSAZZAM ZAMI")</f>
        <v>USWAH EL FAHRUSAZZAM ZAMI</v>
      </c>
      <c r="C13" s="28">
        <f>IFERROR(__xludf.DUMMYFUNCTION("""COMPUTED_VALUE"""),2.024070574E9)</f>
        <v>2024070574</v>
      </c>
      <c r="D13" s="27" t="str">
        <f>IFERROR(__xludf.DUMMYFUNCTION("""COMPUTED_VALUE"""),"E")</f>
        <v>E</v>
      </c>
      <c r="E13" s="27" t="str">
        <f>IFERROR(__xludf.DUMMYFUNCTION("""COMPUTED_VALUE"""),"E-2")</f>
        <v>E-2</v>
      </c>
      <c r="F13" s="31">
        <f>IFERROR(__xludf.DUMMYFUNCTION("""COMPUTED_VALUE"""),3.0)</f>
        <v>3</v>
      </c>
      <c r="G13" s="27" t="str">
        <f>IFERROR(__xludf.DUMMYFUNCTION("""COMPUTED_VALUE"""),"3 ULA C PUTRI")</f>
        <v>3 ULA C PUTRI</v>
      </c>
      <c r="H13" s="28" t="str">
        <f>IFERROR(__xludf.DUMMYFUNCTION("""COMPUTED_VALUE"""),"SUNAR")</f>
        <v>SUNAR</v>
      </c>
      <c r="I13" s="28" t="str">
        <f>IFERROR(__xludf.DUMMYFUNCTION("""COMPUTED_VALUE"""),"SUMINAH")</f>
        <v>SUMINAH</v>
      </c>
      <c r="J13" s="28" t="str">
        <f>IFERROR(__xludf.DUMMYFUNCTION("""COMPUTED_VALUE"""),"GERMAN RT 001 RW 003 SUGIO LAMONGAN")</f>
        <v>GERMAN RT 001 RW 003 SUGIO LAMONGAN</v>
      </c>
      <c r="K13" s="29" t="str">
        <f>IFERROR(__xludf.DUMMYFUNCTION("""COMPUTED_VALUE"""),"6285854674616")</f>
        <v>6285854674616</v>
      </c>
      <c r="L13" s="22">
        <f>IFERROR(__xludf.DUMMYFUNCTION("""COMPUTED_VALUE"""),3500000.0)</f>
        <v>3500000</v>
      </c>
      <c r="M13" s="22">
        <f>IFERROR(__xludf.DUMMYFUNCTION("""COMPUTED_VALUE"""),1000000.0)</f>
        <v>1000000</v>
      </c>
      <c r="N13" s="22">
        <f>IFERROR(__xludf.DUMMYFUNCTION("""COMPUTED_VALUE"""),350000.0)</f>
        <v>350000</v>
      </c>
      <c r="O13" s="22">
        <f>IFERROR(__xludf.DUMMYFUNCTION("""COMPUTED_VALUE"""),4850000.0)</f>
        <v>4850000</v>
      </c>
      <c r="P13" s="28" t="str">
        <f t="shared" si="1"/>
        <v>BELUM</v>
      </c>
      <c r="Q13" s="28">
        <f t="shared" si="2"/>
        <v>3</v>
      </c>
      <c r="R13" s="28" t="str">
        <f t="shared" si="3"/>
        <v>USWAH EL FAHRUSAZZAM ZAMI</v>
      </c>
      <c r="S13" s="28" t="str">
        <f t="shared" ref="S13:S22" si="4">VLOOKUP(X13,$Q$2:$R$399,2,FALSE)</f>
        <v>ZASKIA MAHARANI PUTRI</v>
      </c>
      <c r="T13" s="22">
        <f t="shared" ref="T13:T22" si="5">VLOOKUP(S13,$B$2:$O$450,11,FALSE)</f>
        <v>7500000</v>
      </c>
      <c r="U13" s="22">
        <f t="shared" ref="U13:U22" si="6">VLOOKUP(S13,$B$2:$O$450,12,FALSE)</f>
        <v>1600000</v>
      </c>
      <c r="V13" s="22">
        <f t="shared" ref="V13:V22" si="7">VLOOKUP(S13,$B$2:$O$450,13,FALSE)</f>
        <v>350000</v>
      </c>
      <c r="W13" s="22">
        <f t="shared" ref="W13:W22" si="8">VLOOKUP(S13,$B$2:$O$450,14,FALSE)</f>
        <v>9450000</v>
      </c>
      <c r="X13" s="32">
        <v>1.0</v>
      </c>
    </row>
    <row r="14">
      <c r="A14" s="27">
        <f>IFERROR(__xludf.DUMMYFUNCTION("""COMPUTED_VALUE"""),13.0)</f>
        <v>13</v>
      </c>
      <c r="B14" s="28" t="str">
        <f>IFERROR(__xludf.DUMMYFUNCTION("""COMPUTED_VALUE"""),"ZAHROTUS TSANI NAJWA")</f>
        <v>ZAHROTUS TSANI NAJWA</v>
      </c>
      <c r="C14" s="28">
        <f>IFERROR(__xludf.DUMMYFUNCTION("""COMPUTED_VALUE"""),2.024070657E9)</f>
        <v>2024070657</v>
      </c>
      <c r="D14" s="27" t="str">
        <f>IFERROR(__xludf.DUMMYFUNCTION("""COMPUTED_VALUE"""),"E")</f>
        <v>E</v>
      </c>
      <c r="E14" s="27" t="str">
        <f>IFERROR(__xludf.DUMMYFUNCTION("""COMPUTED_VALUE"""),"E-2")</f>
        <v>E-2</v>
      </c>
      <c r="F14" s="31">
        <f>IFERROR(__xludf.DUMMYFUNCTION("""COMPUTED_VALUE"""),3.0)</f>
        <v>3</v>
      </c>
      <c r="G14" s="27" t="str">
        <f>IFERROR(__xludf.DUMMYFUNCTION("""COMPUTED_VALUE"""),"3 ULA A PUTRI")</f>
        <v>3 ULA A PUTRI</v>
      </c>
      <c r="H14" s="28" t="str">
        <f>IFERROR(__xludf.DUMMYFUNCTION("""COMPUTED_VALUE"""),"NUR AFIF")</f>
        <v>NUR AFIF</v>
      </c>
      <c r="I14" s="28" t="str">
        <f>IFERROR(__xludf.DUMMYFUNCTION("""COMPUTED_VALUE"""),"SITI KHOTIMAH")</f>
        <v>SITI KHOTIMAH</v>
      </c>
      <c r="J14" s="28" t="str">
        <f>IFERROR(__xludf.DUMMYFUNCTION("""COMPUTED_VALUE"""),"SUMURBER RT 020 RW 007 PANCENG GRESIK")</f>
        <v>SUMURBER RT 020 RW 007 PANCENG GRESIK</v>
      </c>
      <c r="K14" s="29" t="str">
        <f>IFERROR(__xludf.DUMMYFUNCTION("""COMPUTED_VALUE"""),"6285707549890")</f>
        <v>6285707549890</v>
      </c>
      <c r="L14" s="22">
        <f>IFERROR(__xludf.DUMMYFUNCTION("""COMPUTED_VALUE"""),500000.0)</f>
        <v>500000</v>
      </c>
      <c r="M14" s="22">
        <f>IFERROR(__xludf.DUMMYFUNCTION("""COMPUTED_VALUE"""),1000000.0)</f>
        <v>1000000</v>
      </c>
      <c r="N14" s="22">
        <f>IFERROR(__xludf.DUMMYFUNCTION("""COMPUTED_VALUE"""),0.0)</f>
        <v>0</v>
      </c>
      <c r="O14" s="22">
        <f>IFERROR(__xludf.DUMMYFUNCTION("""COMPUTED_VALUE"""),1500000.0)</f>
        <v>1500000</v>
      </c>
      <c r="P14" s="28" t="str">
        <f t="shared" si="1"/>
        <v>LUNAS</v>
      </c>
      <c r="Q14" s="28">
        <f t="shared" si="2"/>
        <v>17</v>
      </c>
      <c r="R14" s="28" t="str">
        <f t="shared" si="3"/>
        <v>ZAHROTUS TSANI NAJWA</v>
      </c>
      <c r="S14" s="28" t="str">
        <f t="shared" si="4"/>
        <v>FATIMAH</v>
      </c>
      <c r="T14" s="22">
        <f t="shared" si="5"/>
        <v>6210000</v>
      </c>
      <c r="U14" s="22">
        <f t="shared" si="6"/>
        <v>0</v>
      </c>
      <c r="V14" s="22">
        <f t="shared" si="7"/>
        <v>350000</v>
      </c>
      <c r="W14" s="22">
        <f t="shared" si="8"/>
        <v>6560000</v>
      </c>
      <c r="X14" s="32">
        <v>2.0</v>
      </c>
    </row>
    <row r="15">
      <c r="A15" s="27">
        <f>IFERROR(__xludf.DUMMYFUNCTION("""COMPUTED_VALUE"""),14.0)</f>
        <v>14</v>
      </c>
      <c r="B15" s="28" t="str">
        <f>IFERROR(__xludf.DUMMYFUNCTION("""COMPUTED_VALUE"""),"FANY MUFIDAH SARI")</f>
        <v>FANY MUFIDAH SARI</v>
      </c>
      <c r="C15" s="28">
        <f>IFERROR(__xludf.DUMMYFUNCTION("""COMPUTED_VALUE"""),2.024070329E9)</f>
        <v>2024070329</v>
      </c>
      <c r="D15" s="27" t="str">
        <f>IFERROR(__xludf.DUMMYFUNCTION("""COMPUTED_VALUE"""),"E")</f>
        <v>E</v>
      </c>
      <c r="E15" s="27" t="str">
        <f>IFERROR(__xludf.DUMMYFUNCTION("""COMPUTED_VALUE"""),"E-2")</f>
        <v>E-2</v>
      </c>
      <c r="F15" s="31">
        <f>IFERROR(__xludf.DUMMYFUNCTION("""COMPUTED_VALUE"""),3.0)</f>
        <v>3</v>
      </c>
      <c r="G15" s="27" t="str">
        <f>IFERROR(__xludf.DUMMYFUNCTION("""COMPUTED_VALUE"""),"3 WUSTHO A PUTRI")</f>
        <v>3 WUSTHO A PUTRI</v>
      </c>
      <c r="H15" s="28" t="str">
        <f>IFERROR(__xludf.DUMMYFUNCTION("""COMPUTED_VALUE"""),"FACHRI KHUSAINI NUGYK")</f>
        <v>FACHRI KHUSAINI NUGYK</v>
      </c>
      <c r="I15" s="28" t="str">
        <f>IFERROR(__xludf.DUMMYFUNCTION("""COMPUTED_VALUE"""),"ROJIYAH")</f>
        <v>ROJIYAH</v>
      </c>
      <c r="J15" s="28" t="str">
        <f>IFERROR(__xludf.DUMMYFUNCTION("""COMPUTED_VALUE"""),"SAWO RT 013 RW 007 DUKUN GRESIK")</f>
        <v>SAWO RT 013 RW 007 DUKUN GRESIK</v>
      </c>
      <c r="K15" s="29" t="str">
        <f>IFERROR(__xludf.DUMMYFUNCTION("""COMPUTED_VALUE"""),"6285731554886")</f>
        <v>6285731554886</v>
      </c>
      <c r="L15" s="22">
        <f>IFERROR(__xludf.DUMMYFUNCTION("""COMPUTED_VALUE"""),500000.0)</f>
        <v>500000</v>
      </c>
      <c r="M15" s="22">
        <f>IFERROR(__xludf.DUMMYFUNCTION("""COMPUTED_VALUE"""),1000000.0)</f>
        <v>1000000</v>
      </c>
      <c r="N15" s="22">
        <f>IFERROR(__xludf.DUMMYFUNCTION("""COMPUTED_VALUE"""),0.0)</f>
        <v>0</v>
      </c>
      <c r="O15" s="22">
        <f>IFERROR(__xludf.DUMMYFUNCTION("""COMPUTED_VALUE"""),1500000.0)</f>
        <v>1500000</v>
      </c>
      <c r="P15" s="28" t="str">
        <f t="shared" si="1"/>
        <v>LUNAS</v>
      </c>
      <c r="Q15" s="28">
        <f t="shared" si="2"/>
        <v>18</v>
      </c>
      <c r="R15" s="28" t="str">
        <f t="shared" si="3"/>
        <v>FANY MUFIDAH SARI</v>
      </c>
      <c r="S15" s="28" t="str">
        <f t="shared" si="4"/>
        <v>USWAH EL FAHRUSAZZAM ZAMI</v>
      </c>
      <c r="T15" s="22">
        <f t="shared" si="5"/>
        <v>3500000</v>
      </c>
      <c r="U15" s="22">
        <f t="shared" si="6"/>
        <v>1000000</v>
      </c>
      <c r="V15" s="22">
        <f t="shared" si="7"/>
        <v>350000</v>
      </c>
      <c r="W15" s="22">
        <f t="shared" si="8"/>
        <v>4850000</v>
      </c>
      <c r="X15" s="32">
        <v>3.0</v>
      </c>
    </row>
    <row r="16">
      <c r="A16" s="27">
        <f>IFERROR(__xludf.DUMMYFUNCTION("""COMPUTED_VALUE"""),15.0)</f>
        <v>15</v>
      </c>
      <c r="B16" s="28" t="str">
        <f>IFERROR(__xludf.DUMMYFUNCTION("""COMPUTED_VALUE"""),"FATIMAH")</f>
        <v>FATIMAH</v>
      </c>
      <c r="C16" s="28">
        <f>IFERROR(__xludf.DUMMYFUNCTION("""COMPUTED_VALUE"""),2.024070044E9)</f>
        <v>2024070044</v>
      </c>
      <c r="D16" s="27" t="str">
        <f>IFERROR(__xludf.DUMMYFUNCTION("""COMPUTED_VALUE"""),"E")</f>
        <v>E</v>
      </c>
      <c r="E16" s="27" t="str">
        <f>IFERROR(__xludf.DUMMYFUNCTION("""COMPUTED_VALUE"""),"E-2")</f>
        <v>E-2</v>
      </c>
      <c r="F16" s="31">
        <f>IFERROR(__xludf.DUMMYFUNCTION("""COMPUTED_VALUE"""),3.0)</f>
        <v>3</v>
      </c>
      <c r="G16" s="27" t="str">
        <f>IFERROR(__xludf.DUMMYFUNCTION("""COMPUTED_VALUE"""),"3 WUSTHO A PUTRI")</f>
        <v>3 WUSTHO A PUTRI</v>
      </c>
      <c r="H16" s="28" t="str">
        <f>IFERROR(__xludf.DUMMYFUNCTION("""COMPUTED_VALUE"""),"H. USMAN")</f>
        <v>H. USMAN</v>
      </c>
      <c r="I16" s="28" t="str">
        <f>IFERROR(__xludf.DUMMYFUNCTION("""COMPUTED_VALUE"""),"KHOLIDAH")</f>
        <v>KHOLIDAH</v>
      </c>
      <c r="J16" s="28" t="str">
        <f>IFERROR(__xludf.DUMMYFUNCTION("""COMPUTED_VALUE"""),"WANAR RT 004 RW 001 PUCUK LAMONGAN")</f>
        <v>WANAR RT 004 RW 001 PUCUK LAMONGAN</v>
      </c>
      <c r="K16" s="29" t="str">
        <f>IFERROR(__xludf.DUMMYFUNCTION("""COMPUTED_VALUE"""),"6289501850865")</f>
        <v>6289501850865</v>
      </c>
      <c r="L16" s="22">
        <f>IFERROR(__xludf.DUMMYFUNCTION("""COMPUTED_VALUE"""),6210000.0)</f>
        <v>6210000</v>
      </c>
      <c r="M16" s="22">
        <f>IFERROR(__xludf.DUMMYFUNCTION("""COMPUTED_VALUE"""),0.0)</f>
        <v>0</v>
      </c>
      <c r="N16" s="22">
        <f>IFERROR(__xludf.DUMMYFUNCTION("""COMPUTED_VALUE"""),350000.0)</f>
        <v>350000</v>
      </c>
      <c r="O16" s="22">
        <f>IFERROR(__xludf.DUMMYFUNCTION("""COMPUTED_VALUE"""),6560000.0)</f>
        <v>6560000</v>
      </c>
      <c r="P16" s="28" t="str">
        <f t="shared" si="1"/>
        <v>BELUM</v>
      </c>
      <c r="Q16" s="28">
        <f t="shared" si="2"/>
        <v>2</v>
      </c>
      <c r="R16" s="28" t="str">
        <f t="shared" si="3"/>
        <v>FATIMAH</v>
      </c>
      <c r="S16" s="28" t="str">
        <f t="shared" si="4"/>
        <v>ANGELINA KIBRIYAH SAFITRI</v>
      </c>
      <c r="T16" s="22">
        <f t="shared" si="5"/>
        <v>3000000</v>
      </c>
      <c r="U16" s="22">
        <f t="shared" si="6"/>
        <v>500000</v>
      </c>
      <c r="V16" s="22">
        <f t="shared" si="7"/>
        <v>0</v>
      </c>
      <c r="W16" s="22">
        <f t="shared" si="8"/>
        <v>3500000</v>
      </c>
      <c r="X16" s="32">
        <v>4.0</v>
      </c>
    </row>
    <row r="17">
      <c r="A17" s="27">
        <f>IFERROR(__xludf.DUMMYFUNCTION("""COMPUTED_VALUE"""),16.0)</f>
        <v>16</v>
      </c>
      <c r="B17" s="28" t="str">
        <f>IFERROR(__xludf.DUMMYFUNCTION("""COMPUTED_VALUE"""),"ATINA AZKAL FUADAH")</f>
        <v>ATINA AZKAL FUADAH</v>
      </c>
      <c r="C17" s="28">
        <f>IFERROR(__xludf.DUMMYFUNCTION("""COMPUTED_VALUE"""),2.024070474E9)</f>
        <v>2024070474</v>
      </c>
      <c r="D17" s="27" t="str">
        <f>IFERROR(__xludf.DUMMYFUNCTION("""COMPUTED_VALUE"""),"E")</f>
        <v>E</v>
      </c>
      <c r="E17" s="27" t="str">
        <f>IFERROR(__xludf.DUMMYFUNCTION("""COMPUTED_VALUE"""),"E-3")</f>
        <v>E-3</v>
      </c>
      <c r="F17" s="31">
        <f>IFERROR(__xludf.DUMMYFUNCTION("""COMPUTED_VALUE"""),3.0)</f>
        <v>3</v>
      </c>
      <c r="G17" s="27" t="str">
        <f>IFERROR(__xludf.DUMMYFUNCTION("""COMPUTED_VALUE"""),"3 ULA B PUTRI")</f>
        <v>3 ULA B PUTRI</v>
      </c>
      <c r="H17" s="28" t="str">
        <f>IFERROR(__xludf.DUMMYFUNCTION("""COMPUTED_VALUE"""),"SHOFIYUDDIN")</f>
        <v>SHOFIYUDDIN</v>
      </c>
      <c r="I17" s="28" t="str">
        <f>IFERROR(__xludf.DUMMYFUNCTION("""COMPUTED_VALUE"""),"KHAULA ANIS")</f>
        <v>KHAULA ANIS</v>
      </c>
      <c r="J17" s="28" t="str">
        <f>IFERROR(__xludf.DUMMYFUNCTION("""COMPUTED_VALUE"""),"NGAYUNG RT 006 RW 002 MADURAN LAMONGAN")</f>
        <v>NGAYUNG RT 006 RW 002 MADURAN LAMONGAN</v>
      </c>
      <c r="K17" s="29" t="str">
        <f>IFERROR(__xludf.DUMMYFUNCTION("""COMPUTED_VALUE"""),"6281554492983")</f>
        <v>6281554492983</v>
      </c>
      <c r="L17" s="22">
        <f>IFERROR(__xludf.DUMMYFUNCTION("""COMPUTED_VALUE"""),500000.0)</f>
        <v>500000</v>
      </c>
      <c r="M17" s="22">
        <f>IFERROR(__xludf.DUMMYFUNCTION("""COMPUTED_VALUE"""),0.0)</f>
        <v>0</v>
      </c>
      <c r="N17" s="22">
        <f>IFERROR(__xludf.DUMMYFUNCTION("""COMPUTED_VALUE"""),0.0)</f>
        <v>0</v>
      </c>
      <c r="O17" s="22">
        <f>IFERROR(__xludf.DUMMYFUNCTION("""COMPUTED_VALUE"""),500000.0)</f>
        <v>500000</v>
      </c>
      <c r="P17" s="28" t="str">
        <f t="shared" si="1"/>
        <v>LUNAS</v>
      </c>
      <c r="Q17" s="28">
        <f t="shared" si="2"/>
        <v>49</v>
      </c>
      <c r="R17" s="28" t="str">
        <f t="shared" si="3"/>
        <v>ATINA AZKAL FUADAH</v>
      </c>
      <c r="S17" s="28" t="str">
        <f t="shared" si="4"/>
        <v>ZAHIRA JULIA SAIDAH</v>
      </c>
      <c r="T17" s="22">
        <f t="shared" si="5"/>
        <v>3500000</v>
      </c>
      <c r="U17" s="22">
        <f t="shared" si="6"/>
        <v>0</v>
      </c>
      <c r="V17" s="22">
        <f t="shared" si="7"/>
        <v>0</v>
      </c>
      <c r="W17" s="22">
        <f t="shared" si="8"/>
        <v>3500000</v>
      </c>
      <c r="X17" s="32">
        <v>5.0</v>
      </c>
    </row>
    <row r="18">
      <c r="A18" s="27">
        <f>IFERROR(__xludf.DUMMYFUNCTION("""COMPUTED_VALUE"""),17.0)</f>
        <v>17</v>
      </c>
      <c r="B18" s="28" t="str">
        <f>IFERROR(__xludf.DUMMYFUNCTION("""COMPUTED_VALUE"""),"ERIN MAULIDIAH")</f>
        <v>ERIN MAULIDIAH</v>
      </c>
      <c r="C18" s="28">
        <f>IFERROR(__xludf.DUMMYFUNCTION("""COMPUTED_VALUE"""),2.024070475E9)</f>
        <v>2024070475</v>
      </c>
      <c r="D18" s="27" t="str">
        <f>IFERROR(__xludf.DUMMYFUNCTION("""COMPUTED_VALUE"""),"E")</f>
        <v>E</v>
      </c>
      <c r="E18" s="27" t="str">
        <f>IFERROR(__xludf.DUMMYFUNCTION("""COMPUTED_VALUE"""),"E-3")</f>
        <v>E-3</v>
      </c>
      <c r="F18" s="31">
        <f>IFERROR(__xludf.DUMMYFUNCTION("""COMPUTED_VALUE"""),3.0)</f>
        <v>3</v>
      </c>
      <c r="G18" s="27" t="str">
        <f>IFERROR(__xludf.DUMMYFUNCTION("""COMPUTED_VALUE"""),"3 ULA B PUTRI")</f>
        <v>3 ULA B PUTRI</v>
      </c>
      <c r="H18" s="28" t="str">
        <f>IFERROR(__xludf.DUMMYFUNCTION("""COMPUTED_VALUE"""),"MUSTAKIM")</f>
        <v>MUSTAKIM</v>
      </c>
      <c r="I18" s="28" t="str">
        <f>IFERROR(__xludf.DUMMYFUNCTION("""COMPUTED_VALUE"""),"ASMAUS SHOFIYANAH")</f>
        <v>ASMAUS SHOFIYANAH</v>
      </c>
      <c r="J18" s="28" t="str">
        <f>IFERROR(__xludf.DUMMYFUNCTION("""COMPUTED_VALUE"""),"NGAYUNG RT 005 RW 002 MADURAN LAMONGAN")</f>
        <v>NGAYUNG RT 005 RW 002 MADURAN LAMONGAN</v>
      </c>
      <c r="K18" s="29" t="str">
        <f>IFERROR(__xludf.DUMMYFUNCTION("""COMPUTED_VALUE"""),"6282233810314")</f>
        <v>6282233810314</v>
      </c>
      <c r="L18" s="22">
        <f>IFERROR(__xludf.DUMMYFUNCTION("""COMPUTED_VALUE"""),0.0)</f>
        <v>0</v>
      </c>
      <c r="M18" s="22">
        <f>IFERROR(__xludf.DUMMYFUNCTION("""COMPUTED_VALUE"""),500000.0)</f>
        <v>500000</v>
      </c>
      <c r="N18" s="22">
        <f>IFERROR(__xludf.DUMMYFUNCTION("""COMPUTED_VALUE"""),0.0)</f>
        <v>0</v>
      </c>
      <c r="O18" s="22">
        <f>IFERROR(__xludf.DUMMYFUNCTION("""COMPUTED_VALUE"""),500000.0)</f>
        <v>500000</v>
      </c>
      <c r="P18" s="28" t="str">
        <f t="shared" si="1"/>
        <v>LUNAS</v>
      </c>
      <c r="Q18" s="28">
        <f t="shared" si="2"/>
        <v>50</v>
      </c>
      <c r="R18" s="28" t="str">
        <f t="shared" si="3"/>
        <v>ERIN MAULIDIAH</v>
      </c>
      <c r="S18" s="28" t="str">
        <f t="shared" si="4"/>
        <v>AZURO SABILA FAZZA MAULIDAH</v>
      </c>
      <c r="T18" s="22">
        <f t="shared" si="5"/>
        <v>2000000</v>
      </c>
      <c r="U18" s="22">
        <f t="shared" si="6"/>
        <v>1000000</v>
      </c>
      <c r="V18" s="22">
        <f t="shared" si="7"/>
        <v>0</v>
      </c>
      <c r="W18" s="22">
        <f t="shared" si="8"/>
        <v>3000000</v>
      </c>
      <c r="X18" s="32">
        <v>6.0</v>
      </c>
    </row>
    <row r="19">
      <c r="A19" s="27">
        <f>IFERROR(__xludf.DUMMYFUNCTION("""COMPUTED_VALUE"""),18.0)</f>
        <v>18</v>
      </c>
      <c r="B19" s="28" t="str">
        <f>IFERROR(__xludf.DUMMYFUNCTION("""COMPUTED_VALUE"""),"FITHRIYATUL MAULIDAH")</f>
        <v>FITHRIYATUL MAULIDAH</v>
      </c>
      <c r="C19" s="28">
        <f>IFERROR(__xludf.DUMMYFUNCTION("""COMPUTED_VALUE"""),2.024070546E9)</f>
        <v>2024070546</v>
      </c>
      <c r="D19" s="27" t="str">
        <f>IFERROR(__xludf.DUMMYFUNCTION("""COMPUTED_VALUE"""),"E")</f>
        <v>E</v>
      </c>
      <c r="E19" s="27" t="str">
        <f>IFERROR(__xludf.DUMMYFUNCTION("""COMPUTED_VALUE"""),"E-3")</f>
        <v>E-3</v>
      </c>
      <c r="F19" s="31">
        <f>IFERROR(__xludf.DUMMYFUNCTION("""COMPUTED_VALUE"""),3.0)</f>
        <v>3</v>
      </c>
      <c r="G19" s="27" t="str">
        <f>IFERROR(__xludf.DUMMYFUNCTION("""COMPUTED_VALUE"""),"3 ULA B PUTRI")</f>
        <v>3 ULA B PUTRI</v>
      </c>
      <c r="H19" s="28" t="str">
        <f>IFERROR(__xludf.DUMMYFUNCTION("""COMPUTED_VALUE"""),"ABDUL ROHIM")</f>
        <v>ABDUL ROHIM</v>
      </c>
      <c r="I19" s="28" t="str">
        <f>IFERROR(__xludf.DUMMYFUNCTION("""COMPUTED_VALUE"""),"MAHWIYAH")</f>
        <v>MAHWIYAH</v>
      </c>
      <c r="J19" s="28" t="str">
        <f>IFERROR(__xludf.DUMMYFUNCTION("""COMPUTED_VALUE"""),"KALIREJO RT 003 RW 002 DUKUN GRESIK")</f>
        <v>KALIREJO RT 003 RW 002 DUKUN GRESIK</v>
      </c>
      <c r="K19" s="29" t="str">
        <f>IFERROR(__xludf.DUMMYFUNCTION("""COMPUTED_VALUE"""),"6282257167881")</f>
        <v>6282257167881</v>
      </c>
      <c r="L19" s="22">
        <f>IFERROR(__xludf.DUMMYFUNCTION("""COMPUTED_VALUE"""),0.0)</f>
        <v>0</v>
      </c>
      <c r="M19" s="22">
        <f>IFERROR(__xludf.DUMMYFUNCTION("""COMPUTED_VALUE"""),0.0)</f>
        <v>0</v>
      </c>
      <c r="N19" s="22">
        <f>IFERROR(__xludf.DUMMYFUNCTION("""COMPUTED_VALUE"""),0.0)</f>
        <v>0</v>
      </c>
      <c r="O19" s="22">
        <f>IFERROR(__xludf.DUMMYFUNCTION("""COMPUTED_VALUE"""),0.0)</f>
        <v>0</v>
      </c>
      <c r="P19" s="28" t="str">
        <f t="shared" si="1"/>
        <v>LUNAS</v>
      </c>
      <c r="Q19" s="28">
        <f t="shared" si="2"/>
        <v>60</v>
      </c>
      <c r="R19" s="28" t="str">
        <f t="shared" si="3"/>
        <v>FITHRIYATUL MAULIDAH</v>
      </c>
      <c r="S19" s="28" t="str">
        <f t="shared" si="4"/>
        <v>KHARISYAH NADYATUR ROHMAH</v>
      </c>
      <c r="T19" s="22">
        <f t="shared" si="5"/>
        <v>3000000</v>
      </c>
      <c r="U19" s="22">
        <f t="shared" si="6"/>
        <v>0</v>
      </c>
      <c r="V19" s="22">
        <f t="shared" si="7"/>
        <v>0</v>
      </c>
      <c r="W19" s="22">
        <f t="shared" si="8"/>
        <v>3000000</v>
      </c>
      <c r="X19" s="32">
        <v>7.0</v>
      </c>
    </row>
    <row r="20">
      <c r="A20" s="27">
        <f>IFERROR(__xludf.DUMMYFUNCTION("""COMPUTED_VALUE"""),19.0)</f>
        <v>19</v>
      </c>
      <c r="B20" s="28" t="str">
        <f>IFERROR(__xludf.DUMMYFUNCTION("""COMPUTED_VALUE"""),"HABIBAH AQILAH RAMADHONI")</f>
        <v>HABIBAH AQILAH RAMADHONI</v>
      </c>
      <c r="C20" s="28">
        <f>IFERROR(__xludf.DUMMYFUNCTION("""COMPUTED_VALUE"""),2.024070459E9)</f>
        <v>2024070459</v>
      </c>
      <c r="D20" s="27" t="str">
        <f>IFERROR(__xludf.DUMMYFUNCTION("""COMPUTED_VALUE"""),"E")</f>
        <v>E</v>
      </c>
      <c r="E20" s="27" t="str">
        <f>IFERROR(__xludf.DUMMYFUNCTION("""COMPUTED_VALUE"""),"E-3")</f>
        <v>E-3</v>
      </c>
      <c r="F20" s="31">
        <f>IFERROR(__xludf.DUMMYFUNCTION("""COMPUTED_VALUE"""),3.0)</f>
        <v>3</v>
      </c>
      <c r="G20" s="27" t="str">
        <f>IFERROR(__xludf.DUMMYFUNCTION("""COMPUTED_VALUE"""),"3 ULA C PUTRI")</f>
        <v>3 ULA C PUTRI</v>
      </c>
      <c r="H20" s="28" t="str">
        <f>IFERROR(__xludf.DUMMYFUNCTION("""COMPUTED_VALUE"""),"MOH. HABIBUL QOSIM")</f>
        <v>MOH. HABIBUL QOSIM</v>
      </c>
      <c r="I20" s="28" t="str">
        <f>IFERROR(__xludf.DUMMYFUNCTION("""COMPUTED_VALUE"""),"KHOLIFATUS SA'DIYAH")</f>
        <v>KHOLIFATUS SA'DIYAH</v>
      </c>
      <c r="J20" s="28" t="str">
        <f>IFERROR(__xludf.DUMMYFUNCTION("""COMPUTED_VALUE"""),"PENGANGSALAN RT 002 RW 002 KALITENGAH LAMONGAN")</f>
        <v>PENGANGSALAN RT 002 RW 002 KALITENGAH LAMONGAN</v>
      </c>
      <c r="K20" s="29" t="str">
        <f>IFERROR(__xludf.DUMMYFUNCTION("""COMPUTED_VALUE"""),"6285732806511")</f>
        <v>6285732806511</v>
      </c>
      <c r="L20" s="22">
        <f>IFERROR(__xludf.DUMMYFUNCTION("""COMPUTED_VALUE"""),0.0)</f>
        <v>0</v>
      </c>
      <c r="M20" s="22">
        <f>IFERROR(__xludf.DUMMYFUNCTION("""COMPUTED_VALUE"""),0.0)</f>
        <v>0</v>
      </c>
      <c r="N20" s="22">
        <f>IFERROR(__xludf.DUMMYFUNCTION("""COMPUTED_VALUE"""),0.0)</f>
        <v>0</v>
      </c>
      <c r="O20" s="22">
        <f>IFERROR(__xludf.DUMMYFUNCTION("""COMPUTED_VALUE"""),0.0)</f>
        <v>0</v>
      </c>
      <c r="P20" s="28" t="str">
        <f t="shared" si="1"/>
        <v>LUNAS</v>
      </c>
      <c r="Q20" s="28">
        <f t="shared" si="2"/>
        <v>61</v>
      </c>
      <c r="R20" s="28" t="str">
        <f t="shared" si="3"/>
        <v>HABIBAH AQILAH RAMADHONI</v>
      </c>
      <c r="S20" s="28" t="str">
        <f t="shared" si="4"/>
        <v>ASYIFATUR RAHMAH AL AZZA</v>
      </c>
      <c r="T20" s="22">
        <f t="shared" si="5"/>
        <v>3000000</v>
      </c>
      <c r="U20" s="22">
        <f t="shared" si="6"/>
        <v>0</v>
      </c>
      <c r="V20" s="22">
        <f t="shared" si="7"/>
        <v>0</v>
      </c>
      <c r="W20" s="22">
        <f t="shared" si="8"/>
        <v>3000000</v>
      </c>
      <c r="X20" s="32">
        <v>8.0</v>
      </c>
    </row>
    <row r="21">
      <c r="A21" s="27">
        <f>IFERROR(__xludf.DUMMYFUNCTION("""COMPUTED_VALUE"""),20.0)</f>
        <v>20</v>
      </c>
      <c r="B21" s="28" t="str">
        <f>IFERROR(__xludf.DUMMYFUNCTION("""COMPUTED_VALUE"""),"ILHAFAH ARYA NOVRYANI")</f>
        <v>ILHAFAH ARYA NOVRYANI</v>
      </c>
      <c r="C21" s="28">
        <f>IFERROR(__xludf.DUMMYFUNCTION("""COMPUTED_VALUE"""),2.024070617E9)</f>
        <v>2024070617</v>
      </c>
      <c r="D21" s="27" t="str">
        <f>IFERROR(__xludf.DUMMYFUNCTION("""COMPUTED_VALUE"""),"E")</f>
        <v>E</v>
      </c>
      <c r="E21" s="27" t="str">
        <f>IFERROR(__xludf.DUMMYFUNCTION("""COMPUTED_VALUE"""),"E-3")</f>
        <v>E-3</v>
      </c>
      <c r="F21" s="31">
        <f>IFERROR(__xludf.DUMMYFUNCTION("""COMPUTED_VALUE"""),3.0)</f>
        <v>3</v>
      </c>
      <c r="G21" s="27" t="str">
        <f>IFERROR(__xludf.DUMMYFUNCTION("""COMPUTED_VALUE"""),"3 ULA B PUTRI")</f>
        <v>3 ULA B PUTRI</v>
      </c>
      <c r="H21" s="28" t="str">
        <f>IFERROR(__xludf.DUMMYFUNCTION("""COMPUTED_VALUE"""),"KARIONO")</f>
        <v>KARIONO</v>
      </c>
      <c r="I21" s="28" t="str">
        <f>IFERROR(__xludf.DUMMYFUNCTION("""COMPUTED_VALUE"""),"NGATMIATUN")</f>
        <v>NGATMIATUN</v>
      </c>
      <c r="J21" s="28" t="str">
        <f>IFERROR(__xludf.DUMMYFUNCTION("""COMPUTED_VALUE"""),"TEJOASRI RT 003 RW 005 LAREN LAMONGAN")</f>
        <v>TEJOASRI RT 003 RW 005 LAREN LAMONGAN</v>
      </c>
      <c r="K21" s="29" t="str">
        <f>IFERROR(__xludf.DUMMYFUNCTION("""COMPUTED_VALUE"""),"6285735467317")</f>
        <v>6285735467317</v>
      </c>
      <c r="L21" s="22">
        <f>IFERROR(__xludf.DUMMYFUNCTION("""COMPUTED_VALUE"""),1500000.0)</f>
        <v>1500000</v>
      </c>
      <c r="M21" s="22">
        <f>IFERROR(__xludf.DUMMYFUNCTION("""COMPUTED_VALUE"""),1000000.0)</f>
        <v>1000000</v>
      </c>
      <c r="N21" s="22">
        <f>IFERROR(__xludf.DUMMYFUNCTION("""COMPUTED_VALUE"""),0.0)</f>
        <v>0</v>
      </c>
      <c r="O21" s="22">
        <f>IFERROR(__xludf.DUMMYFUNCTION("""COMPUTED_VALUE"""),2500000.0)</f>
        <v>2500000</v>
      </c>
      <c r="P21" s="28" t="str">
        <f t="shared" si="1"/>
        <v>LUNAS</v>
      </c>
      <c r="Q21" s="28">
        <f t="shared" si="2"/>
        <v>10</v>
      </c>
      <c r="R21" s="28" t="str">
        <f t="shared" si="3"/>
        <v>ILHAFAH ARYA NOVRYANI</v>
      </c>
      <c r="S21" s="28" t="str">
        <f t="shared" si="4"/>
        <v>DAVINA NANGSYA AZZAHRAH</v>
      </c>
      <c r="T21" s="22">
        <f t="shared" si="5"/>
        <v>2160000</v>
      </c>
      <c r="U21" s="22">
        <f t="shared" si="6"/>
        <v>0</v>
      </c>
      <c r="V21" s="22">
        <f t="shared" si="7"/>
        <v>350000</v>
      </c>
      <c r="W21" s="22">
        <f t="shared" si="8"/>
        <v>2510000</v>
      </c>
      <c r="X21" s="32">
        <v>9.0</v>
      </c>
    </row>
    <row r="22">
      <c r="A22" s="27">
        <f>IFERROR(__xludf.DUMMYFUNCTION("""COMPUTED_VALUE"""),21.0)</f>
        <v>21</v>
      </c>
      <c r="B22" s="28" t="str">
        <f>IFERROR(__xludf.DUMMYFUNCTION("""COMPUTED_VALUE"""),"KEYSHA BRILLYAN FEBIANA")</f>
        <v>KEYSHA BRILLYAN FEBIANA</v>
      </c>
      <c r="C22" s="28">
        <f>IFERROR(__xludf.DUMMYFUNCTION("""COMPUTED_VALUE"""),2.024070513E9)</f>
        <v>2024070513</v>
      </c>
      <c r="D22" s="27" t="str">
        <f>IFERROR(__xludf.DUMMYFUNCTION("""COMPUTED_VALUE"""),"E")</f>
        <v>E</v>
      </c>
      <c r="E22" s="27" t="str">
        <f>IFERROR(__xludf.DUMMYFUNCTION("""COMPUTED_VALUE"""),"E-3")</f>
        <v>E-3</v>
      </c>
      <c r="F22" s="31">
        <f>IFERROR(__xludf.DUMMYFUNCTION("""COMPUTED_VALUE"""),3.0)</f>
        <v>3</v>
      </c>
      <c r="G22" s="27" t="str">
        <f>IFERROR(__xludf.DUMMYFUNCTION("""COMPUTED_VALUE"""),"3 ULA C PUTRI")</f>
        <v>3 ULA C PUTRI</v>
      </c>
      <c r="H22" s="28" t="str">
        <f>IFERROR(__xludf.DUMMYFUNCTION("""COMPUTED_VALUE"""),"SUDJITO")</f>
        <v>SUDJITO</v>
      </c>
      <c r="I22" s="28" t="str">
        <f>IFERROR(__xludf.DUMMYFUNCTION("""COMPUTED_VALUE"""),"SISKA APRILIA")</f>
        <v>SISKA APRILIA</v>
      </c>
      <c r="J22" s="28" t="str">
        <f>IFERROR(__xludf.DUMMYFUNCTION("""COMPUTED_VALUE"""),"PENGANGSALAN RT 001 RW 001 KALITENGAH LAMONGAN")</f>
        <v>PENGANGSALAN RT 001 RW 001 KALITENGAH LAMONGAN</v>
      </c>
      <c r="K22" s="29" t="str">
        <f>IFERROR(__xludf.DUMMYFUNCTION("""COMPUTED_VALUE"""),"628564039966")</f>
        <v>628564039966</v>
      </c>
      <c r="L22" s="22">
        <f>IFERROR(__xludf.DUMMYFUNCTION("""COMPUTED_VALUE"""),0.0)</f>
        <v>0</v>
      </c>
      <c r="M22" s="22">
        <f>IFERROR(__xludf.DUMMYFUNCTION("""COMPUTED_VALUE"""),500000.0)</f>
        <v>500000</v>
      </c>
      <c r="N22" s="22">
        <f>IFERROR(__xludf.DUMMYFUNCTION("""COMPUTED_VALUE"""),0.0)</f>
        <v>0</v>
      </c>
      <c r="O22" s="22">
        <f>IFERROR(__xludf.DUMMYFUNCTION("""COMPUTED_VALUE"""),500000.0)</f>
        <v>500000</v>
      </c>
      <c r="P22" s="28" t="str">
        <f t="shared" si="1"/>
        <v>LUNAS</v>
      </c>
      <c r="Q22" s="28">
        <f t="shared" si="2"/>
        <v>51</v>
      </c>
      <c r="R22" s="28" t="str">
        <f t="shared" si="3"/>
        <v>KEYSHA BRILLYAN FEBIANA</v>
      </c>
      <c r="S22" s="28" t="str">
        <f t="shared" si="4"/>
        <v>ILHAFAH ARYA NOVRYANI</v>
      </c>
      <c r="T22" s="22">
        <f t="shared" si="5"/>
        <v>1500000</v>
      </c>
      <c r="U22" s="22">
        <f t="shared" si="6"/>
        <v>1000000</v>
      </c>
      <c r="V22" s="22">
        <f t="shared" si="7"/>
        <v>0</v>
      </c>
      <c r="W22" s="22">
        <f t="shared" si="8"/>
        <v>2500000</v>
      </c>
      <c r="X22" s="32">
        <v>10.0</v>
      </c>
    </row>
    <row r="23">
      <c r="A23" s="27">
        <f>IFERROR(__xludf.DUMMYFUNCTION("""COMPUTED_VALUE"""),22.0)</f>
        <v>22</v>
      </c>
      <c r="B23" s="28" t="str">
        <f>IFERROR(__xludf.DUMMYFUNCTION("""COMPUTED_VALUE"""),"KHANSA ZARINA MISBACH")</f>
        <v>KHANSA ZARINA MISBACH</v>
      </c>
      <c r="C23" s="28">
        <f>IFERROR(__xludf.DUMMYFUNCTION("""COMPUTED_VALUE"""),2.024070585E9)</f>
        <v>2024070585</v>
      </c>
      <c r="D23" s="27" t="str">
        <f>IFERROR(__xludf.DUMMYFUNCTION("""COMPUTED_VALUE"""),"E")</f>
        <v>E</v>
      </c>
      <c r="E23" s="27" t="str">
        <f>IFERROR(__xludf.DUMMYFUNCTION("""COMPUTED_VALUE"""),"E-3")</f>
        <v>E-3</v>
      </c>
      <c r="F23" s="31">
        <f>IFERROR(__xludf.DUMMYFUNCTION("""COMPUTED_VALUE"""),3.0)</f>
        <v>3</v>
      </c>
      <c r="G23" s="27" t="str">
        <f>IFERROR(__xludf.DUMMYFUNCTION("""COMPUTED_VALUE"""),"3 ULA A PUTRI")</f>
        <v>3 ULA A PUTRI</v>
      </c>
      <c r="H23" s="28" t="str">
        <f>IFERROR(__xludf.DUMMYFUNCTION("""COMPUTED_VALUE"""),"MISBAKUL MUNIR")</f>
        <v>MISBAKUL MUNIR</v>
      </c>
      <c r="I23" s="28" t="str">
        <f>IFERROR(__xludf.DUMMYFUNCTION("""COMPUTED_VALUE"""),"MASLIHATIN")</f>
        <v>MASLIHATIN</v>
      </c>
      <c r="J23" s="28" t="str">
        <f>IFERROR(__xludf.DUMMYFUNCTION("""COMPUTED_VALUE"""),"BANGERAN RT 003 RW 002 DUKUN GRESIK")</f>
        <v>BANGERAN RT 003 RW 002 DUKUN GRESIK</v>
      </c>
      <c r="K23" s="29" t="str">
        <f>IFERROR(__xludf.DUMMYFUNCTION("""COMPUTED_VALUE"""),"6285784480833")</f>
        <v>6285784480833</v>
      </c>
      <c r="L23" s="22">
        <f>IFERROR(__xludf.DUMMYFUNCTION("""COMPUTED_VALUE"""),0.0)</f>
        <v>0</v>
      </c>
      <c r="M23" s="22">
        <f>IFERROR(__xludf.DUMMYFUNCTION("""COMPUTED_VALUE"""),1000000.0)</f>
        <v>1000000</v>
      </c>
      <c r="N23" s="22">
        <f>IFERROR(__xludf.DUMMYFUNCTION("""COMPUTED_VALUE"""),0.0)</f>
        <v>0</v>
      </c>
      <c r="O23" s="22">
        <f>IFERROR(__xludf.DUMMYFUNCTION("""COMPUTED_VALUE"""),1000000.0)</f>
        <v>1000000</v>
      </c>
      <c r="P23" s="28" t="str">
        <f t="shared" si="1"/>
        <v>LUNAS</v>
      </c>
      <c r="Q23" s="28">
        <f t="shared" si="2"/>
        <v>25</v>
      </c>
      <c r="R23" s="28" t="str">
        <f t="shared" si="3"/>
        <v>KHANSA ZARINA MISBACH</v>
      </c>
    </row>
    <row r="24">
      <c r="A24" s="27">
        <f>IFERROR(__xludf.DUMMYFUNCTION("""COMPUTED_VALUE"""),23.0)</f>
        <v>23</v>
      </c>
      <c r="B24" s="28" t="str">
        <f>IFERROR(__xludf.DUMMYFUNCTION("""COMPUTED_VALUE"""),"NA`ILAH SINTA NURIYYAH")</f>
        <v>NA`ILAH SINTA NURIYYAH</v>
      </c>
      <c r="C24" s="28">
        <f>IFERROR(__xludf.DUMMYFUNCTION("""COMPUTED_VALUE"""),2.024070581E9)</f>
        <v>2024070581</v>
      </c>
      <c r="D24" s="27" t="str">
        <f>IFERROR(__xludf.DUMMYFUNCTION("""COMPUTED_VALUE"""),"E")</f>
        <v>E</v>
      </c>
      <c r="E24" s="27" t="str">
        <f>IFERROR(__xludf.DUMMYFUNCTION("""COMPUTED_VALUE"""),"E-3")</f>
        <v>E-3</v>
      </c>
      <c r="F24" s="31">
        <f>IFERROR(__xludf.DUMMYFUNCTION("""COMPUTED_VALUE"""),3.0)</f>
        <v>3</v>
      </c>
      <c r="G24" s="27" t="str">
        <f>IFERROR(__xludf.DUMMYFUNCTION("""COMPUTED_VALUE"""),"3 ULA B PUTRI")</f>
        <v>3 ULA B PUTRI</v>
      </c>
      <c r="H24" s="28" t="str">
        <f>IFERROR(__xludf.DUMMYFUNCTION("""COMPUTED_VALUE"""),"MOH. AFIF MN.")</f>
        <v>MOH. AFIF MN.</v>
      </c>
      <c r="I24" s="28" t="str">
        <f>IFERROR(__xludf.DUMMYFUNCTION("""COMPUTED_VALUE"""),"SITI SHOFIYAH")</f>
        <v>SITI SHOFIYAH</v>
      </c>
      <c r="J24" s="28" t="str">
        <f>IFERROR(__xludf.DUMMYFUNCTION("""COMPUTED_VALUE"""),"SUNAN MURIA LATUKAN RT 002 RW 001 KARANGGENENG LAMONGAN")</f>
        <v>SUNAN MURIA LATUKAN RT 002 RW 001 KARANGGENENG LAMONGAN</v>
      </c>
      <c r="K24" s="29" t="str">
        <f>IFERROR(__xludf.DUMMYFUNCTION("""COMPUTED_VALUE"""),"6283135957352")</f>
        <v>6283135957352</v>
      </c>
      <c r="L24" s="22">
        <f>IFERROR(__xludf.DUMMYFUNCTION("""COMPUTED_VALUE"""),0.0)</f>
        <v>0</v>
      </c>
      <c r="M24" s="22">
        <f>IFERROR(__xludf.DUMMYFUNCTION("""COMPUTED_VALUE"""),0.0)</f>
        <v>0</v>
      </c>
      <c r="N24" s="22">
        <f>IFERROR(__xludf.DUMMYFUNCTION("""COMPUTED_VALUE"""),0.0)</f>
        <v>0</v>
      </c>
      <c r="O24" s="22">
        <f>IFERROR(__xludf.DUMMYFUNCTION("""COMPUTED_VALUE"""),0.0)</f>
        <v>0</v>
      </c>
      <c r="P24" s="28" t="str">
        <f t="shared" si="1"/>
        <v>LUNAS</v>
      </c>
      <c r="Q24" s="28">
        <f t="shared" si="2"/>
        <v>62</v>
      </c>
      <c r="R24" s="28" t="str">
        <f t="shared" si="3"/>
        <v>NA`ILAH SINTA NURIYYAH</v>
      </c>
    </row>
    <row r="25">
      <c r="A25" s="27">
        <f>IFERROR(__xludf.DUMMYFUNCTION("""COMPUTED_VALUE"""),24.0)</f>
        <v>24</v>
      </c>
      <c r="B25" s="28" t="str">
        <f>IFERROR(__xludf.DUMMYFUNCTION("""COMPUTED_VALUE"""),"NAALAT SYAFA`ATUL UDHMA")</f>
        <v>NAALAT SYAFA`ATUL UDHMA</v>
      </c>
      <c r="C25" s="28">
        <f>IFERROR(__xludf.DUMMYFUNCTION("""COMPUTED_VALUE"""),2.024070604E9)</f>
        <v>2024070604</v>
      </c>
      <c r="D25" s="27" t="str">
        <f>IFERROR(__xludf.DUMMYFUNCTION("""COMPUTED_VALUE"""),"E")</f>
        <v>E</v>
      </c>
      <c r="E25" s="27" t="str">
        <f>IFERROR(__xludf.DUMMYFUNCTION("""COMPUTED_VALUE"""),"E-3")</f>
        <v>E-3</v>
      </c>
      <c r="F25" s="31">
        <f>IFERROR(__xludf.DUMMYFUNCTION("""COMPUTED_VALUE"""),3.0)</f>
        <v>3</v>
      </c>
      <c r="G25" s="27" t="str">
        <f>IFERROR(__xludf.DUMMYFUNCTION("""COMPUTED_VALUE"""),"3 ULA A PUTRI")</f>
        <v>3 ULA A PUTRI</v>
      </c>
      <c r="H25" s="28" t="str">
        <f>IFERROR(__xludf.DUMMYFUNCTION("""COMPUTED_VALUE"""),"MUHAMMAD YUSUF JUMHURI")</f>
        <v>MUHAMMAD YUSUF JUMHURI</v>
      </c>
      <c r="I25" s="28" t="str">
        <f>IFERROR(__xludf.DUMMYFUNCTION("""COMPUTED_VALUE"""),"MAFTUHATUL AFLAHAH")</f>
        <v>MAFTUHATUL AFLAHAH</v>
      </c>
      <c r="J25" s="28" t="str">
        <f>IFERROR(__xludf.DUMMYFUNCTION("""COMPUTED_VALUE"""),"BANGERAN RT 006 RW 002 DUKUN GRESIK")</f>
        <v>BANGERAN RT 006 RW 002 DUKUN GRESIK</v>
      </c>
      <c r="K25" s="29" t="str">
        <f>IFERROR(__xludf.DUMMYFUNCTION("""COMPUTED_VALUE"""),"6285749469938")</f>
        <v>6285749469938</v>
      </c>
      <c r="L25" s="22">
        <f>IFERROR(__xludf.DUMMYFUNCTION("""COMPUTED_VALUE"""),0.0)</f>
        <v>0</v>
      </c>
      <c r="M25" s="22">
        <f>IFERROR(__xludf.DUMMYFUNCTION("""COMPUTED_VALUE"""),1000000.0)</f>
        <v>1000000</v>
      </c>
      <c r="N25" s="22">
        <f>IFERROR(__xludf.DUMMYFUNCTION("""COMPUTED_VALUE"""),0.0)</f>
        <v>0</v>
      </c>
      <c r="O25" s="22">
        <f>IFERROR(__xludf.DUMMYFUNCTION("""COMPUTED_VALUE"""),1000000.0)</f>
        <v>1000000</v>
      </c>
      <c r="P25" s="28" t="str">
        <f t="shared" si="1"/>
        <v>LUNAS</v>
      </c>
      <c r="Q25" s="28">
        <f t="shared" si="2"/>
        <v>26</v>
      </c>
      <c r="R25" s="28" t="str">
        <f t="shared" si="3"/>
        <v>NAALAT SYAFA`ATUL UDHMA</v>
      </c>
    </row>
    <row r="26">
      <c r="A26" s="27">
        <f>IFERROR(__xludf.DUMMYFUNCTION("""COMPUTED_VALUE"""),25.0)</f>
        <v>25</v>
      </c>
      <c r="B26" s="28" t="str">
        <f>IFERROR(__xludf.DUMMYFUNCTION("""COMPUTED_VALUE"""),"NOUR ALIFATURR DHEA VANESYA")</f>
        <v>NOUR ALIFATURR DHEA VANESYA</v>
      </c>
      <c r="C26" s="28">
        <f>IFERROR(__xludf.DUMMYFUNCTION("""COMPUTED_VALUE"""),2.024070613E9)</f>
        <v>2024070613</v>
      </c>
      <c r="D26" s="27" t="str">
        <f>IFERROR(__xludf.DUMMYFUNCTION("""COMPUTED_VALUE"""),"E")</f>
        <v>E</v>
      </c>
      <c r="E26" s="27" t="str">
        <f>IFERROR(__xludf.DUMMYFUNCTION("""COMPUTED_VALUE"""),"E-3")</f>
        <v>E-3</v>
      </c>
      <c r="F26" s="31">
        <f>IFERROR(__xludf.DUMMYFUNCTION("""COMPUTED_VALUE"""),3.0)</f>
        <v>3</v>
      </c>
      <c r="G26" s="27" t="str">
        <f>IFERROR(__xludf.DUMMYFUNCTION("""COMPUTED_VALUE"""),"3 ULA C PUTRI")</f>
        <v>3 ULA C PUTRI</v>
      </c>
      <c r="H26" s="28" t="str">
        <f>IFERROR(__xludf.DUMMYFUNCTION("""COMPUTED_VALUE"""),"H RADIN")</f>
        <v>H RADIN</v>
      </c>
      <c r="I26" s="28" t="str">
        <f>IFERROR(__xludf.DUMMYFUNCTION("""COMPUTED_VALUE"""),"YUNI")</f>
        <v>YUNI</v>
      </c>
      <c r="J26" s="28" t="str">
        <f>IFERROR(__xludf.DUMMYFUNCTION("""COMPUTED_VALUE"""),"MUMBULAN PENGUMBULANADI  RT 001 RW 004 TIKUNG LAMONGAN")</f>
        <v>MUMBULAN PENGUMBULANADI  RT 001 RW 004 TIKUNG LAMONGAN</v>
      </c>
      <c r="K26" s="29" t="str">
        <f>IFERROR(__xludf.DUMMYFUNCTION("""COMPUTED_VALUE"""),"6285815030873")</f>
        <v>6285815030873</v>
      </c>
      <c r="L26" s="22">
        <f>IFERROR(__xludf.DUMMYFUNCTION("""COMPUTED_VALUE"""),500000.0)</f>
        <v>500000</v>
      </c>
      <c r="M26" s="22">
        <f>IFERROR(__xludf.DUMMYFUNCTION("""COMPUTED_VALUE"""),1000000.0)</f>
        <v>1000000</v>
      </c>
      <c r="N26" s="22">
        <f>IFERROR(__xludf.DUMMYFUNCTION("""COMPUTED_VALUE"""),0.0)</f>
        <v>0</v>
      </c>
      <c r="O26" s="22">
        <f>IFERROR(__xludf.DUMMYFUNCTION("""COMPUTED_VALUE"""),1500000.0)</f>
        <v>1500000</v>
      </c>
      <c r="P26" s="28" t="str">
        <f t="shared" si="1"/>
        <v>LUNAS</v>
      </c>
      <c r="Q26" s="28">
        <f t="shared" si="2"/>
        <v>19</v>
      </c>
      <c r="R26" s="28" t="str">
        <f t="shared" si="3"/>
        <v>NOUR ALIFATURR DHEA VANESYA</v>
      </c>
    </row>
    <row r="27">
      <c r="A27" s="27">
        <f>IFERROR(__xludf.DUMMYFUNCTION("""COMPUTED_VALUE"""),26.0)</f>
        <v>26</v>
      </c>
      <c r="B27" s="28" t="str">
        <f>IFERROR(__xludf.DUMMYFUNCTION("""COMPUTED_VALUE"""),"NUR LABIBATUS SHOLIHAH")</f>
        <v>NUR LABIBATUS SHOLIHAH</v>
      </c>
      <c r="C27" s="28">
        <f>IFERROR(__xludf.DUMMYFUNCTION("""COMPUTED_VALUE"""),2.024070568E9)</f>
        <v>2024070568</v>
      </c>
      <c r="D27" s="27" t="str">
        <f>IFERROR(__xludf.DUMMYFUNCTION("""COMPUTED_VALUE"""),"E")</f>
        <v>E</v>
      </c>
      <c r="E27" s="27" t="str">
        <f>IFERROR(__xludf.DUMMYFUNCTION("""COMPUTED_VALUE"""),"E-3")</f>
        <v>E-3</v>
      </c>
      <c r="F27" s="31">
        <f>IFERROR(__xludf.DUMMYFUNCTION("""COMPUTED_VALUE"""),3.0)</f>
        <v>3</v>
      </c>
      <c r="G27" s="27" t="str">
        <f>IFERROR(__xludf.DUMMYFUNCTION("""COMPUTED_VALUE"""),"3 ULA A PUTRI")</f>
        <v>3 ULA A PUTRI</v>
      </c>
      <c r="H27" s="28" t="str">
        <f>IFERROR(__xludf.DUMMYFUNCTION("""COMPUTED_VALUE"""),"ABDUL HADI")</f>
        <v>ABDUL HADI</v>
      </c>
      <c r="I27" s="28" t="str">
        <f>IFERROR(__xludf.DUMMYFUNCTION("""COMPUTED_VALUE"""),"SITI MAIMANAH")</f>
        <v>SITI MAIMANAH</v>
      </c>
      <c r="J27" s="28" t="str">
        <f>IFERROR(__xludf.DUMMYFUNCTION("""COMPUTED_VALUE"""),"TINARO DUKUHAGUNG RT 005 RW 004 TIKUNG LAMONGAN")</f>
        <v>TINARO DUKUHAGUNG RT 005 RW 004 TIKUNG LAMONGAN</v>
      </c>
      <c r="K27" s="29" t="str">
        <f>IFERROR(__xludf.DUMMYFUNCTION("""COMPUTED_VALUE"""),"6285853423327")</f>
        <v>6285853423327</v>
      </c>
      <c r="L27" s="22">
        <f>IFERROR(__xludf.DUMMYFUNCTION("""COMPUTED_VALUE"""),0.0)</f>
        <v>0</v>
      </c>
      <c r="M27" s="22">
        <f>IFERROR(__xludf.DUMMYFUNCTION("""COMPUTED_VALUE"""),1000000.0)</f>
        <v>1000000</v>
      </c>
      <c r="N27" s="22">
        <f>IFERROR(__xludf.DUMMYFUNCTION("""COMPUTED_VALUE"""),0.0)</f>
        <v>0</v>
      </c>
      <c r="O27" s="22">
        <f>IFERROR(__xludf.DUMMYFUNCTION("""COMPUTED_VALUE"""),1000000.0)</f>
        <v>1000000</v>
      </c>
      <c r="P27" s="28" t="str">
        <f t="shared" si="1"/>
        <v>LUNAS</v>
      </c>
      <c r="Q27" s="28">
        <f t="shared" si="2"/>
        <v>27</v>
      </c>
      <c r="R27" s="28" t="str">
        <f t="shared" si="3"/>
        <v>NUR LABIBATUS SHOLIHAH</v>
      </c>
    </row>
    <row r="28">
      <c r="A28" s="27">
        <f>IFERROR(__xludf.DUMMYFUNCTION("""COMPUTED_VALUE"""),27.0)</f>
        <v>27</v>
      </c>
      <c r="B28" s="28" t="str">
        <f>IFERROR(__xludf.DUMMYFUNCTION("""COMPUTED_VALUE"""),"NURUL IFADATUL HASANAH")</f>
        <v>NURUL IFADATUL HASANAH</v>
      </c>
      <c r="C28" s="28">
        <f>IFERROR(__xludf.DUMMYFUNCTION("""COMPUTED_VALUE"""),2.024070542E9)</f>
        <v>2024070542</v>
      </c>
      <c r="D28" s="27" t="str">
        <f>IFERROR(__xludf.DUMMYFUNCTION("""COMPUTED_VALUE"""),"E")</f>
        <v>E</v>
      </c>
      <c r="E28" s="27" t="str">
        <f>IFERROR(__xludf.DUMMYFUNCTION("""COMPUTED_VALUE"""),"E-3")</f>
        <v>E-3</v>
      </c>
      <c r="F28" s="31">
        <f>IFERROR(__xludf.DUMMYFUNCTION("""COMPUTED_VALUE"""),3.0)</f>
        <v>3</v>
      </c>
      <c r="G28" s="27" t="str">
        <f>IFERROR(__xludf.DUMMYFUNCTION("""COMPUTED_VALUE"""),"3 ULA B PUTRI")</f>
        <v>3 ULA B PUTRI</v>
      </c>
      <c r="H28" s="28" t="str">
        <f>IFERROR(__xludf.DUMMYFUNCTION("""COMPUTED_VALUE"""),"NUR HASAN")</f>
        <v>NUR HASAN</v>
      </c>
      <c r="I28" s="28" t="str">
        <f>IFERROR(__xludf.DUMMYFUNCTION("""COMPUTED_VALUE"""),"SUTU MUNTASIROH")</f>
        <v>SUTU MUNTASIROH</v>
      </c>
      <c r="J28" s="28" t="str">
        <f>IFERROR(__xludf.DUMMYFUNCTION("""COMPUTED_VALUE"""),"DAGAN RT 005 RW 001 SOLOKURO LAMONGAN")</f>
        <v>DAGAN RT 005 RW 001 SOLOKURO LAMONGAN</v>
      </c>
      <c r="K28" s="29" t="str">
        <f>IFERROR(__xludf.DUMMYFUNCTION("""COMPUTED_VALUE"""),"6282230412303")</f>
        <v>6282230412303</v>
      </c>
      <c r="L28" s="22">
        <f>IFERROR(__xludf.DUMMYFUNCTION("""COMPUTED_VALUE"""),0.0)</f>
        <v>0</v>
      </c>
      <c r="M28" s="22">
        <f>IFERROR(__xludf.DUMMYFUNCTION("""COMPUTED_VALUE"""),1000000.0)</f>
        <v>1000000</v>
      </c>
      <c r="N28" s="22">
        <f>IFERROR(__xludf.DUMMYFUNCTION("""COMPUTED_VALUE"""),0.0)</f>
        <v>0</v>
      </c>
      <c r="O28" s="22">
        <f>IFERROR(__xludf.DUMMYFUNCTION("""COMPUTED_VALUE"""),1000000.0)</f>
        <v>1000000</v>
      </c>
      <c r="P28" s="28" t="str">
        <f t="shared" si="1"/>
        <v>LUNAS</v>
      </c>
      <c r="Q28" s="28">
        <f t="shared" si="2"/>
        <v>28</v>
      </c>
      <c r="R28" s="28" t="str">
        <f t="shared" si="3"/>
        <v>NURUL IFADATUL HASANAH</v>
      </c>
    </row>
    <row r="29">
      <c r="A29" s="27">
        <f>IFERROR(__xludf.DUMMYFUNCTION("""COMPUTED_VALUE"""),28.0)</f>
        <v>28</v>
      </c>
      <c r="B29" s="28" t="str">
        <f>IFERROR(__xludf.DUMMYFUNCTION("""COMPUTED_VALUE"""),"RAFIQA AZALIANA YUSUF")</f>
        <v>RAFIQA AZALIANA YUSUF</v>
      </c>
      <c r="C29" s="28">
        <f>IFERROR(__xludf.DUMMYFUNCTION("""COMPUTED_VALUE"""),2.024070481E9)</f>
        <v>2024070481</v>
      </c>
      <c r="D29" s="27" t="str">
        <f>IFERROR(__xludf.DUMMYFUNCTION("""COMPUTED_VALUE"""),"E")</f>
        <v>E</v>
      </c>
      <c r="E29" s="27" t="str">
        <f>IFERROR(__xludf.DUMMYFUNCTION("""COMPUTED_VALUE"""),"E-3")</f>
        <v>E-3</v>
      </c>
      <c r="F29" s="31">
        <f>IFERROR(__xludf.DUMMYFUNCTION("""COMPUTED_VALUE"""),3.0)</f>
        <v>3</v>
      </c>
      <c r="G29" s="27" t="str">
        <f>IFERROR(__xludf.DUMMYFUNCTION("""COMPUTED_VALUE"""),"3 ULA A PUTRI")</f>
        <v>3 ULA A PUTRI</v>
      </c>
      <c r="H29" s="28" t="str">
        <f>IFERROR(__xludf.DUMMYFUNCTION("""COMPUTED_VALUE"""),"ANHAR YUSUF")</f>
        <v>ANHAR YUSUF</v>
      </c>
      <c r="I29" s="28" t="str">
        <f>IFERROR(__xludf.DUMMYFUNCTION("""COMPUTED_VALUE"""),"HENIK IRAWATI")</f>
        <v>HENIK IRAWATI</v>
      </c>
      <c r="J29" s="28" t="str">
        <f>IFERROR(__xludf.DUMMYFUNCTION("""COMPUTED_VALUE"""),"JL.SISINGAMANGARAJA LRG. VIRGO NO.4 BESUSU TIMUR RT 001 RW 001 PALU TIMUR PALU")</f>
        <v>JL.SISINGAMANGARAJA LRG. VIRGO NO.4 BESUSU TIMUR RT 001 RW 001 PALU TIMUR PALU</v>
      </c>
      <c r="K29" s="29" t="str">
        <f>IFERROR(__xludf.DUMMYFUNCTION("""COMPUTED_VALUE"""),"6281337240354")</f>
        <v>6281337240354</v>
      </c>
      <c r="L29" s="22">
        <f>IFERROR(__xludf.DUMMYFUNCTION("""COMPUTED_VALUE"""),0.0)</f>
        <v>0</v>
      </c>
      <c r="M29" s="22">
        <f>IFERROR(__xludf.DUMMYFUNCTION("""COMPUTED_VALUE"""),0.0)</f>
        <v>0</v>
      </c>
      <c r="N29" s="22">
        <f>IFERROR(__xludf.DUMMYFUNCTION("""COMPUTED_VALUE"""),0.0)</f>
        <v>0</v>
      </c>
      <c r="O29" s="22">
        <f>IFERROR(__xludf.DUMMYFUNCTION("""COMPUTED_VALUE"""),0.0)</f>
        <v>0</v>
      </c>
      <c r="P29" s="28" t="str">
        <f t="shared" si="1"/>
        <v>LUNAS</v>
      </c>
      <c r="Q29" s="28">
        <f t="shared" si="2"/>
        <v>63</v>
      </c>
      <c r="R29" s="28" t="str">
        <f t="shared" si="3"/>
        <v>RAFIQA AZALIANA YUSUF</v>
      </c>
    </row>
    <row r="30">
      <c r="A30" s="27">
        <f>IFERROR(__xludf.DUMMYFUNCTION("""COMPUTED_VALUE"""),29.0)</f>
        <v>29</v>
      </c>
      <c r="B30" s="28" t="str">
        <f>IFERROR(__xludf.DUMMYFUNCTION("""COMPUTED_VALUE"""),"ANGELINA KIBRIYAH SAFITRI")</f>
        <v>ANGELINA KIBRIYAH SAFITRI</v>
      </c>
      <c r="C30" s="28">
        <f>IFERROR(__xludf.DUMMYFUNCTION("""COMPUTED_VALUE"""),2.02407034E9)</f>
        <v>2024070340</v>
      </c>
      <c r="D30" s="27" t="str">
        <f>IFERROR(__xludf.DUMMYFUNCTION("""COMPUTED_VALUE"""),"E")</f>
        <v>E</v>
      </c>
      <c r="E30" s="27" t="str">
        <f>IFERROR(__xludf.DUMMYFUNCTION("""COMPUTED_VALUE"""),"E-3")</f>
        <v>E-3</v>
      </c>
      <c r="F30" s="31">
        <f>IFERROR(__xludf.DUMMYFUNCTION("""COMPUTED_VALUE"""),3.0)</f>
        <v>3</v>
      </c>
      <c r="G30" s="27" t="str">
        <f>IFERROR(__xludf.DUMMYFUNCTION("""COMPUTED_VALUE"""),"3 WUSTHO B PUTRI")</f>
        <v>3 WUSTHO B PUTRI</v>
      </c>
      <c r="H30" s="28" t="str">
        <f>IFERROR(__xludf.DUMMYFUNCTION("""COMPUTED_VALUE"""),"M,UFAIZIN")</f>
        <v>M,UFAIZIN</v>
      </c>
      <c r="I30" s="28" t="str">
        <f>IFERROR(__xludf.DUMMYFUNCTION("""COMPUTED_VALUE"""),"WARDATUL KHUMAIROH")</f>
        <v>WARDATUL KHUMAIROH</v>
      </c>
      <c r="J30" s="28" t="str">
        <f>IFERROR(__xludf.DUMMYFUNCTION("""COMPUTED_VALUE"""),"KETAPANGLOR RT 004 RW 003 UJUNGPANGKAH GRESIK")</f>
        <v>KETAPANGLOR RT 004 RW 003 UJUNGPANGKAH GRESIK</v>
      </c>
      <c r="K30" s="29" t="str">
        <f>IFERROR(__xludf.DUMMYFUNCTION("""COMPUTED_VALUE"""),"6285707549770")</f>
        <v>6285707549770</v>
      </c>
      <c r="L30" s="22">
        <f>IFERROR(__xludf.DUMMYFUNCTION("""COMPUTED_VALUE"""),3000000.0)</f>
        <v>3000000</v>
      </c>
      <c r="M30" s="22">
        <f>IFERROR(__xludf.DUMMYFUNCTION("""COMPUTED_VALUE"""),500000.0)</f>
        <v>500000</v>
      </c>
      <c r="N30" s="22">
        <f>IFERROR(__xludf.DUMMYFUNCTION("""COMPUTED_VALUE"""),0.0)</f>
        <v>0</v>
      </c>
      <c r="O30" s="22">
        <f>IFERROR(__xludf.DUMMYFUNCTION("""COMPUTED_VALUE"""),3500000.0)</f>
        <v>3500000</v>
      </c>
      <c r="P30" s="28" t="str">
        <f t="shared" si="1"/>
        <v>LUNAS</v>
      </c>
      <c r="Q30" s="28">
        <f t="shared" si="2"/>
        <v>4</v>
      </c>
      <c r="R30" s="28" t="str">
        <f t="shared" si="3"/>
        <v>ANGELINA KIBRIYAH SAFITRI</v>
      </c>
    </row>
    <row r="31">
      <c r="A31" s="27">
        <f>IFERROR(__xludf.DUMMYFUNCTION("""COMPUTED_VALUE"""),30.0)</f>
        <v>30</v>
      </c>
      <c r="B31" s="28" t="str">
        <f>IFERROR(__xludf.DUMMYFUNCTION("""COMPUTED_VALUE"""),"AULIYAH SYIFA WINARNI")</f>
        <v>AULIYAH SYIFA WINARNI</v>
      </c>
      <c r="C31" s="28">
        <f>IFERROR(__xludf.DUMMYFUNCTION("""COMPUTED_VALUE"""),2.024070188E9)</f>
        <v>2024070188</v>
      </c>
      <c r="D31" s="27" t="str">
        <f>IFERROR(__xludf.DUMMYFUNCTION("""COMPUTED_VALUE"""),"E")</f>
        <v>E</v>
      </c>
      <c r="E31" s="27" t="str">
        <f>IFERROR(__xludf.DUMMYFUNCTION("""COMPUTED_VALUE"""),"E-3")</f>
        <v>E-3</v>
      </c>
      <c r="F31" s="31">
        <f>IFERROR(__xludf.DUMMYFUNCTION("""COMPUTED_VALUE"""),3.0)</f>
        <v>3</v>
      </c>
      <c r="G31" s="27" t="str">
        <f>IFERROR(__xludf.DUMMYFUNCTION("""COMPUTED_VALUE"""),"3 WUSTHO C PUTRI")</f>
        <v>3 WUSTHO C PUTRI</v>
      </c>
      <c r="H31" s="28" t="str">
        <f>IFERROR(__xludf.DUMMYFUNCTION("""COMPUTED_VALUE"""),"ALY KUSWARDIANTONO")</f>
        <v>ALY KUSWARDIANTONO</v>
      </c>
      <c r="I31" s="28" t="str">
        <f>IFERROR(__xludf.DUMMYFUNCTION("""COMPUTED_VALUE"""),"RULLY SYAMSI WINARNI")</f>
        <v>RULLY SYAMSI WINARNI</v>
      </c>
      <c r="J31" s="28" t="str">
        <f>IFERROR(__xludf.DUMMYFUNCTION("""COMPUTED_VALUE"""),"JL. PEMUDA KLOOFKAMP GURABESI RT 001 RW 005 JAYAPURA UTARA JAYAPURA")</f>
        <v>JL. PEMUDA KLOOFKAMP GURABESI RT 001 RW 005 JAYAPURA UTARA JAYAPURA</v>
      </c>
      <c r="K31" s="29" t="str">
        <f>IFERROR(__xludf.DUMMYFUNCTION("""COMPUTED_VALUE"""),"6282248415765")</f>
        <v>6282248415765</v>
      </c>
      <c r="L31" s="22">
        <f>IFERROR(__xludf.DUMMYFUNCTION("""COMPUTED_VALUE"""),0.0)</f>
        <v>0</v>
      </c>
      <c r="M31" s="22">
        <f>IFERROR(__xludf.DUMMYFUNCTION("""COMPUTED_VALUE"""),0.0)</f>
        <v>0</v>
      </c>
      <c r="N31" s="22">
        <f>IFERROR(__xludf.DUMMYFUNCTION("""COMPUTED_VALUE"""),0.0)</f>
        <v>0</v>
      </c>
      <c r="O31" s="22">
        <f>IFERROR(__xludf.DUMMYFUNCTION("""COMPUTED_VALUE"""),0.0)</f>
        <v>0</v>
      </c>
      <c r="P31" s="28" t="str">
        <f t="shared" si="1"/>
        <v>LUNAS</v>
      </c>
      <c r="Q31" s="28">
        <f t="shared" si="2"/>
        <v>64</v>
      </c>
      <c r="R31" s="28" t="str">
        <f t="shared" si="3"/>
        <v>AULIYAH SYIFA WINARNI</v>
      </c>
    </row>
    <row r="32">
      <c r="A32" s="27">
        <f>IFERROR(__xludf.DUMMYFUNCTION("""COMPUTED_VALUE"""),31.0)</f>
        <v>31</v>
      </c>
      <c r="B32" s="28" t="str">
        <f>IFERROR(__xludf.DUMMYFUNCTION("""COMPUTED_VALUE"""),"DAVINA NANGSYA AZZAHRAH")</f>
        <v>DAVINA NANGSYA AZZAHRAH</v>
      </c>
      <c r="C32" s="28">
        <f>IFERROR(__xludf.DUMMYFUNCTION("""COMPUTED_VALUE"""),2.024070415E9)</f>
        <v>2024070415</v>
      </c>
      <c r="D32" s="27" t="str">
        <f>IFERROR(__xludf.DUMMYFUNCTION("""COMPUTED_VALUE"""),"E")</f>
        <v>E</v>
      </c>
      <c r="E32" s="27" t="str">
        <f>IFERROR(__xludf.DUMMYFUNCTION("""COMPUTED_VALUE"""),"E-3")</f>
        <v>E-3</v>
      </c>
      <c r="F32" s="31">
        <f>IFERROR(__xludf.DUMMYFUNCTION("""COMPUTED_VALUE"""),3.0)</f>
        <v>3</v>
      </c>
      <c r="G32" s="27" t="str">
        <f>IFERROR(__xludf.DUMMYFUNCTION("""COMPUTED_VALUE"""),"3 WUSTHO A PUTRI")</f>
        <v>3 WUSTHO A PUTRI</v>
      </c>
      <c r="H32" s="28" t="str">
        <f>IFERROR(__xludf.DUMMYFUNCTION("""COMPUTED_VALUE"""),"ANANG")</f>
        <v>ANANG</v>
      </c>
      <c r="I32" s="28" t="str">
        <f>IFERROR(__xludf.DUMMYFUNCTION("""COMPUTED_VALUE"""),"SAFI`AH")</f>
        <v>SAFI`AH</v>
      </c>
      <c r="J32" s="28" t="str">
        <f>IFERROR(__xludf.DUMMYFUNCTION("""COMPUTED_VALUE"""),"RANDUBENER RT 13 RW 2 KEMBANGBAHU LAMONGAN")</f>
        <v>RANDUBENER RT 13 RW 2 KEMBANGBAHU LAMONGAN</v>
      </c>
      <c r="K32" s="29" t="str">
        <f>IFERROR(__xludf.DUMMYFUNCTION("""COMPUTED_VALUE"""),"6289537096560")</f>
        <v>6289537096560</v>
      </c>
      <c r="L32" s="22">
        <f>IFERROR(__xludf.DUMMYFUNCTION("""COMPUTED_VALUE"""),2160000.0)</f>
        <v>2160000</v>
      </c>
      <c r="M32" s="22">
        <f>IFERROR(__xludf.DUMMYFUNCTION("""COMPUTED_VALUE"""),0.0)</f>
        <v>0</v>
      </c>
      <c r="N32" s="22">
        <f>IFERROR(__xludf.DUMMYFUNCTION("""COMPUTED_VALUE"""),350000.0)</f>
        <v>350000</v>
      </c>
      <c r="O32" s="22">
        <f>IFERROR(__xludf.DUMMYFUNCTION("""COMPUTED_VALUE"""),2510000.0)</f>
        <v>2510000</v>
      </c>
      <c r="P32" s="28" t="str">
        <f t="shared" si="1"/>
        <v>BELUM</v>
      </c>
      <c r="Q32" s="28">
        <f t="shared" si="2"/>
        <v>9</v>
      </c>
      <c r="R32" s="28" t="str">
        <f t="shared" si="3"/>
        <v>DAVINA NANGSYA AZZAHRAH</v>
      </c>
    </row>
    <row r="33">
      <c r="A33" s="27">
        <f>IFERROR(__xludf.DUMMYFUNCTION("""COMPUTED_VALUE"""),32.0)</f>
        <v>32</v>
      </c>
      <c r="B33" s="28" t="str">
        <f>IFERROR(__xludf.DUMMYFUNCTION("""COMPUTED_VALUE"""),"NILLA ADDINIA KHAFSOH")</f>
        <v>NILLA ADDINIA KHAFSOH</v>
      </c>
      <c r="C33" s="28">
        <f>IFERROR(__xludf.DUMMYFUNCTION("""COMPUTED_VALUE"""),2.024070195E9)</f>
        <v>2024070195</v>
      </c>
      <c r="D33" s="27" t="str">
        <f>IFERROR(__xludf.DUMMYFUNCTION("""COMPUTED_VALUE"""),"E")</f>
        <v>E</v>
      </c>
      <c r="E33" s="27" t="str">
        <f>IFERROR(__xludf.DUMMYFUNCTION("""COMPUTED_VALUE"""),"E-3")</f>
        <v>E-3</v>
      </c>
      <c r="F33" s="31">
        <f>IFERROR(__xludf.DUMMYFUNCTION("""COMPUTED_VALUE"""),3.0)</f>
        <v>3</v>
      </c>
      <c r="G33" s="27" t="str">
        <f>IFERROR(__xludf.DUMMYFUNCTION("""COMPUTED_VALUE"""),"3 WUSTHO C PUTRI")</f>
        <v>3 WUSTHO C PUTRI</v>
      </c>
      <c r="H33" s="28" t="str">
        <f>IFERROR(__xludf.DUMMYFUNCTION("""COMPUTED_VALUE"""),"SAIFUL ARIF")</f>
        <v>SAIFUL ARIF</v>
      </c>
      <c r="I33" s="28" t="str">
        <f>IFERROR(__xludf.DUMMYFUNCTION("""COMPUTED_VALUE"""),"NUR HASANAH")</f>
        <v>NUR HASANAH</v>
      </c>
      <c r="J33" s="28" t="str">
        <f>IFERROR(__xludf.DUMMYFUNCTION("""COMPUTED_VALUE"""),"KETAPANG LOR RT 001 RW 002 UJUNGPANGKAH GRESIK")</f>
        <v>KETAPANG LOR RT 001 RW 002 UJUNGPANGKAH GRESIK</v>
      </c>
      <c r="K33" s="29" t="str">
        <f>IFERROR(__xludf.DUMMYFUNCTION("""COMPUTED_VALUE"""),"6285813135311")</f>
        <v>6285813135311</v>
      </c>
      <c r="L33" s="22">
        <f>IFERROR(__xludf.DUMMYFUNCTION("""COMPUTED_VALUE"""),1000000.0)</f>
        <v>1000000</v>
      </c>
      <c r="M33" s="22">
        <f>IFERROR(__xludf.DUMMYFUNCTION("""COMPUTED_VALUE"""),1000000.0)</f>
        <v>1000000</v>
      </c>
      <c r="N33" s="22">
        <f>IFERROR(__xludf.DUMMYFUNCTION("""COMPUTED_VALUE"""),0.0)</f>
        <v>0</v>
      </c>
      <c r="O33" s="22">
        <f>IFERROR(__xludf.DUMMYFUNCTION("""COMPUTED_VALUE"""),2000000.0)</f>
        <v>2000000</v>
      </c>
      <c r="P33" s="28" t="str">
        <f t="shared" si="1"/>
        <v>LUNAS</v>
      </c>
      <c r="Q33" s="28">
        <f t="shared" si="2"/>
        <v>12</v>
      </c>
      <c r="R33" s="28" t="str">
        <f t="shared" si="3"/>
        <v>NILLA ADDINIA KHAFSOH</v>
      </c>
    </row>
    <row r="34">
      <c r="A34" s="27">
        <f>IFERROR(__xludf.DUMMYFUNCTION("""COMPUTED_VALUE"""),33.0)</f>
        <v>33</v>
      </c>
      <c r="B34" s="28" t="str">
        <f>IFERROR(__xludf.DUMMYFUNCTION("""COMPUTED_VALUE"""),"AZZAHRA SAYLA RAHMAH")</f>
        <v>AZZAHRA SAYLA RAHMAH</v>
      </c>
      <c r="C34" s="28">
        <f>IFERROR(__xludf.DUMMYFUNCTION("""COMPUTED_VALUE"""),2.025070536E9)</f>
        <v>2025070536</v>
      </c>
      <c r="D34" s="27" t="str">
        <f>IFERROR(__xludf.DUMMYFUNCTION("""COMPUTED_VALUE"""),"E")</f>
        <v>E</v>
      </c>
      <c r="E34" s="27" t="str">
        <f>IFERROR(__xludf.DUMMYFUNCTION("""COMPUTED_VALUE"""),"E-4")</f>
        <v>E-4</v>
      </c>
      <c r="F34" s="31">
        <f>IFERROR(__xludf.DUMMYFUNCTION("""COMPUTED_VALUE"""),2.0)</f>
        <v>2</v>
      </c>
      <c r="G34" s="27" t="str">
        <f>IFERROR(__xludf.DUMMYFUNCTION("""COMPUTED_VALUE"""),"2 ULA A PUTRI")</f>
        <v>2 ULA A PUTRI</v>
      </c>
      <c r="H34" s="28" t="str">
        <f>IFERROR(__xludf.DUMMYFUNCTION("""COMPUTED_VALUE"""),"MISBAKHUL KHOIR")</f>
        <v>MISBAKHUL KHOIR</v>
      </c>
      <c r="I34" s="28" t="str">
        <f>IFERROR(__xludf.DUMMYFUNCTION("""COMPUTED_VALUE"""),"ZAHROTUL HASANAH")</f>
        <v>ZAHROTUL HASANAH</v>
      </c>
      <c r="J34" s="28" t="str">
        <f>IFERROR(__xludf.DUMMYFUNCTION("""COMPUTED_VALUE"""),"DAGAN RT 003 RW 004 SOLOKURO LAMONGAN")</f>
        <v>DAGAN RT 003 RW 004 SOLOKURO LAMONGAN</v>
      </c>
      <c r="K34" s="29" t="str">
        <f>IFERROR(__xludf.DUMMYFUNCTION("""COMPUTED_VALUE"""),"6285706388647")</f>
        <v>6285706388647</v>
      </c>
      <c r="L34" s="22">
        <f>IFERROR(__xludf.DUMMYFUNCTION("""COMPUTED_VALUE"""),0.0)</f>
        <v>0</v>
      </c>
      <c r="M34" s="22">
        <f>IFERROR(__xludf.DUMMYFUNCTION("""COMPUTED_VALUE"""),1000000.0)</f>
        <v>1000000</v>
      </c>
      <c r="N34" s="22">
        <f>IFERROR(__xludf.DUMMYFUNCTION("""COMPUTED_VALUE"""),0.0)</f>
        <v>0</v>
      </c>
      <c r="O34" s="22">
        <f>IFERROR(__xludf.DUMMYFUNCTION("""COMPUTED_VALUE"""),1000000.0)</f>
        <v>1000000</v>
      </c>
      <c r="P34" s="28" t="str">
        <f t="shared" si="1"/>
        <v>LUNAS</v>
      </c>
      <c r="Q34" s="28">
        <f t="shared" si="2"/>
        <v>29</v>
      </c>
      <c r="R34" s="28" t="str">
        <f t="shared" si="3"/>
        <v>AZZAHRA SAYLA RAHMAH</v>
      </c>
    </row>
    <row r="35">
      <c r="A35" s="27">
        <f>IFERROR(__xludf.DUMMYFUNCTION("""COMPUTED_VALUE"""),34.0)</f>
        <v>34</v>
      </c>
      <c r="B35" s="28" t="str">
        <f>IFERROR(__xludf.DUMMYFUNCTION("""COMPUTED_VALUE"""),"DEEPIKA ATHALIA PRASANTI")</f>
        <v>DEEPIKA ATHALIA PRASANTI</v>
      </c>
      <c r="C35" s="28">
        <f>IFERROR(__xludf.DUMMYFUNCTION("""COMPUTED_VALUE"""),2.025070496E9)</f>
        <v>2025070496</v>
      </c>
      <c r="D35" s="27" t="str">
        <f>IFERROR(__xludf.DUMMYFUNCTION("""COMPUTED_VALUE"""),"E")</f>
        <v>E</v>
      </c>
      <c r="E35" s="27" t="str">
        <f>IFERROR(__xludf.DUMMYFUNCTION("""COMPUTED_VALUE"""),"E-4")</f>
        <v>E-4</v>
      </c>
      <c r="F35" s="31">
        <f>IFERROR(__xludf.DUMMYFUNCTION("""COMPUTED_VALUE"""),2.0)</f>
        <v>2</v>
      </c>
      <c r="G35" s="27" t="str">
        <f>IFERROR(__xludf.DUMMYFUNCTION("""COMPUTED_VALUE"""),"2 ULA A PUTRI")</f>
        <v>2 ULA A PUTRI</v>
      </c>
      <c r="H35" s="28" t="str">
        <f>IFERROR(__xludf.DUMMYFUNCTION("""COMPUTED_VALUE"""),"SUMBER AGUNG")</f>
        <v>SUMBER AGUNG</v>
      </c>
      <c r="I35" s="28" t="str">
        <f>IFERROR(__xludf.DUMMYFUNCTION("""COMPUTED_VALUE"""),"KUSNATUL MARYAM")</f>
        <v>KUSNATUL MARYAM</v>
      </c>
      <c r="J35" s="28" t="str">
        <f>IFERROR(__xludf.DUMMYFUNCTION("""COMPUTED_VALUE"""),"KEDUNGMEGARIH RT 007 RW 002 KEMBANGBAHU LAMONGAN")</f>
        <v>KEDUNGMEGARIH RT 007 RW 002 KEMBANGBAHU LAMONGAN</v>
      </c>
      <c r="K35" s="29" t="str">
        <f>IFERROR(__xludf.DUMMYFUNCTION("""COMPUTED_VALUE"""),"6281235016503")</f>
        <v>6281235016503</v>
      </c>
      <c r="L35" s="22">
        <f>IFERROR(__xludf.DUMMYFUNCTION("""COMPUTED_VALUE"""),0.0)</f>
        <v>0</v>
      </c>
      <c r="M35" s="22">
        <f>IFERROR(__xludf.DUMMYFUNCTION("""COMPUTED_VALUE"""),0.0)</f>
        <v>0</v>
      </c>
      <c r="N35" s="22">
        <f>IFERROR(__xludf.DUMMYFUNCTION("""COMPUTED_VALUE"""),0.0)</f>
        <v>0</v>
      </c>
      <c r="O35" s="22">
        <f>IFERROR(__xludf.DUMMYFUNCTION("""COMPUTED_VALUE"""),0.0)</f>
        <v>0</v>
      </c>
      <c r="P35" s="28" t="str">
        <f t="shared" si="1"/>
        <v>LUNAS</v>
      </c>
      <c r="Q35" s="28">
        <f t="shared" si="2"/>
        <v>65</v>
      </c>
      <c r="R35" s="28" t="str">
        <f t="shared" si="3"/>
        <v>DEEPIKA ATHALIA PRASANTI</v>
      </c>
    </row>
    <row r="36">
      <c r="A36" s="27">
        <f>IFERROR(__xludf.DUMMYFUNCTION("""COMPUTED_VALUE"""),35.0)</f>
        <v>35</v>
      </c>
      <c r="B36" s="28" t="str">
        <f>IFERROR(__xludf.DUMMYFUNCTION("""COMPUTED_VALUE"""),"ELVA FITRIANI FATIKHAH")</f>
        <v>ELVA FITRIANI FATIKHAH</v>
      </c>
      <c r="C36" s="28">
        <f>IFERROR(__xludf.DUMMYFUNCTION("""COMPUTED_VALUE"""),2.025070597E9)</f>
        <v>2025070597</v>
      </c>
      <c r="D36" s="27" t="str">
        <f>IFERROR(__xludf.DUMMYFUNCTION("""COMPUTED_VALUE"""),"E")</f>
        <v>E</v>
      </c>
      <c r="E36" s="27" t="str">
        <f>IFERROR(__xludf.DUMMYFUNCTION("""COMPUTED_VALUE"""),"E-4")</f>
        <v>E-4</v>
      </c>
      <c r="F36" s="31">
        <f>IFERROR(__xludf.DUMMYFUNCTION("""COMPUTED_VALUE"""),2.0)</f>
        <v>2</v>
      </c>
      <c r="G36" s="27" t="str">
        <f>IFERROR(__xludf.DUMMYFUNCTION("""COMPUTED_VALUE"""),"2 ULA B PUTRI")</f>
        <v>2 ULA B PUTRI</v>
      </c>
      <c r="H36" s="28" t="str">
        <f>IFERROR(__xludf.DUMMYFUNCTION("""COMPUTED_VALUE"""),"MA`RUF")</f>
        <v>MA`RUF</v>
      </c>
      <c r="I36" s="28" t="str">
        <f>IFERROR(__xludf.DUMMYFUNCTION("""COMPUTED_VALUE"""),"MAFTUKAH")</f>
        <v>MAFTUKAH</v>
      </c>
      <c r="J36" s="28" t="str">
        <f>IFERROR(__xludf.DUMMYFUNCTION("""COMPUTED_VALUE"""),"NGAMBEG RT 008 RW 002 PUCUK LAMONGAN")</f>
        <v>NGAMBEG RT 008 RW 002 PUCUK LAMONGAN</v>
      </c>
      <c r="K36" s="29" t="str">
        <f>IFERROR(__xludf.DUMMYFUNCTION("""COMPUTED_VALUE"""),"6285755196151")</f>
        <v>6285755196151</v>
      </c>
      <c r="L36" s="22">
        <f>IFERROR(__xludf.DUMMYFUNCTION("""COMPUTED_VALUE"""),0.0)</f>
        <v>0</v>
      </c>
      <c r="M36" s="22">
        <f>IFERROR(__xludf.DUMMYFUNCTION("""COMPUTED_VALUE"""),1000000.0)</f>
        <v>1000000</v>
      </c>
      <c r="N36" s="22">
        <f>IFERROR(__xludf.DUMMYFUNCTION("""COMPUTED_VALUE"""),0.0)</f>
        <v>0</v>
      </c>
      <c r="O36" s="22">
        <f>IFERROR(__xludf.DUMMYFUNCTION("""COMPUTED_VALUE"""),1000000.0)</f>
        <v>1000000</v>
      </c>
      <c r="P36" s="28" t="str">
        <f t="shared" si="1"/>
        <v>LUNAS</v>
      </c>
      <c r="Q36" s="28">
        <f t="shared" si="2"/>
        <v>30</v>
      </c>
      <c r="R36" s="28" t="str">
        <f t="shared" si="3"/>
        <v>ELVA FITRIANI FATIKHAH</v>
      </c>
    </row>
    <row r="37">
      <c r="A37" s="27">
        <f>IFERROR(__xludf.DUMMYFUNCTION("""COMPUTED_VALUE"""),36.0)</f>
        <v>36</v>
      </c>
      <c r="B37" s="28" t="str">
        <f>IFERROR(__xludf.DUMMYFUNCTION("""COMPUTED_VALUE"""),"FAJRIYAH NIKMATUS SU`AMAN")</f>
        <v>FAJRIYAH NIKMATUS SU`AMAN</v>
      </c>
      <c r="C37" s="28">
        <f>IFERROR(__xludf.DUMMYFUNCTION("""COMPUTED_VALUE"""),2.025070498E9)</f>
        <v>2025070498</v>
      </c>
      <c r="D37" s="27" t="str">
        <f>IFERROR(__xludf.DUMMYFUNCTION("""COMPUTED_VALUE"""),"E")</f>
        <v>E</v>
      </c>
      <c r="E37" s="27" t="str">
        <f>IFERROR(__xludf.DUMMYFUNCTION("""COMPUTED_VALUE"""),"E-4")</f>
        <v>E-4</v>
      </c>
      <c r="F37" s="31">
        <f>IFERROR(__xludf.DUMMYFUNCTION("""COMPUTED_VALUE"""),2.0)</f>
        <v>2</v>
      </c>
      <c r="G37" s="27" t="str">
        <f>IFERROR(__xludf.DUMMYFUNCTION("""COMPUTED_VALUE"""),"2 ULA B PUTRI")</f>
        <v>2 ULA B PUTRI</v>
      </c>
      <c r="H37" s="28" t="str">
        <f>IFERROR(__xludf.DUMMYFUNCTION("""COMPUTED_VALUE"""),"SUPENO")</f>
        <v>SUPENO</v>
      </c>
      <c r="I37" s="28" t="str">
        <f>IFERROR(__xludf.DUMMYFUNCTION("""COMPUTED_VALUE"""),"AMANAH")</f>
        <v>AMANAH</v>
      </c>
      <c r="J37" s="28" t="str">
        <f>IFERROR(__xludf.DUMMYFUNCTION("""COMPUTED_VALUE"""),"JL. SIDOREJO KEBALANDONO RT 002 RW 003 BABAT LAMONGAN")</f>
        <v>JL. SIDOREJO KEBALANDONO RT 002 RW 003 BABAT LAMONGAN</v>
      </c>
      <c r="K37" s="29" t="str">
        <f>IFERROR(__xludf.DUMMYFUNCTION("""COMPUTED_VALUE"""),"6285792072867")</f>
        <v>6285792072867</v>
      </c>
      <c r="L37" s="22">
        <f>IFERROR(__xludf.DUMMYFUNCTION("""COMPUTED_VALUE"""),0.0)</f>
        <v>0</v>
      </c>
      <c r="M37" s="22">
        <f>IFERROR(__xludf.DUMMYFUNCTION("""COMPUTED_VALUE"""),0.0)</f>
        <v>0</v>
      </c>
      <c r="N37" s="22">
        <f>IFERROR(__xludf.DUMMYFUNCTION("""COMPUTED_VALUE"""),0.0)</f>
        <v>0</v>
      </c>
      <c r="O37" s="22">
        <f>IFERROR(__xludf.DUMMYFUNCTION("""COMPUTED_VALUE"""),0.0)</f>
        <v>0</v>
      </c>
      <c r="P37" s="28" t="str">
        <f t="shared" si="1"/>
        <v>LUNAS</v>
      </c>
      <c r="Q37" s="28">
        <f t="shared" si="2"/>
        <v>66</v>
      </c>
      <c r="R37" s="28" t="str">
        <f t="shared" si="3"/>
        <v>FAJRIYAH NIKMATUS SU`AMAN</v>
      </c>
    </row>
    <row r="38">
      <c r="A38" s="27">
        <f>IFERROR(__xludf.DUMMYFUNCTION("""COMPUTED_VALUE"""),37.0)</f>
        <v>37</v>
      </c>
      <c r="B38" s="28" t="str">
        <f>IFERROR(__xludf.DUMMYFUNCTION("""COMPUTED_VALUE"""),"KAYSYAH AZIZATUS SAADA")</f>
        <v>KAYSYAH AZIZATUS SAADA</v>
      </c>
      <c r="C38" s="28">
        <f>IFERROR(__xludf.DUMMYFUNCTION("""COMPUTED_VALUE"""),2.025070643E9)</f>
        <v>2025070643</v>
      </c>
      <c r="D38" s="27" t="str">
        <f>IFERROR(__xludf.DUMMYFUNCTION("""COMPUTED_VALUE"""),"E")</f>
        <v>E</v>
      </c>
      <c r="E38" s="27" t="str">
        <f>IFERROR(__xludf.DUMMYFUNCTION("""COMPUTED_VALUE"""),"E-4")</f>
        <v>E-4</v>
      </c>
      <c r="F38" s="31">
        <f>IFERROR(__xludf.DUMMYFUNCTION("""COMPUTED_VALUE"""),2.0)</f>
        <v>2</v>
      </c>
      <c r="G38" s="27" t="str">
        <f>IFERROR(__xludf.DUMMYFUNCTION("""COMPUTED_VALUE"""),"2 ULA B PUTRI")</f>
        <v>2 ULA B PUTRI</v>
      </c>
      <c r="H38" s="28" t="str">
        <f>IFERROR(__xludf.DUMMYFUNCTION("""COMPUTED_VALUE"""),"MOHAMAD ZAINUL ARIFIN")</f>
        <v>MOHAMAD ZAINUL ARIFIN</v>
      </c>
      <c r="I38" s="28" t="str">
        <f>IFERROR(__xludf.DUMMYFUNCTION("""COMPUTED_VALUE"""),"SITI ZULAIKAH")</f>
        <v>SITI ZULAIKAH</v>
      </c>
      <c r="J38" s="28" t="str">
        <f>IFERROR(__xludf.DUMMYFUNCTION("""COMPUTED_VALUE"""),"BANGKAL RT 001 RW 003 LAMONGAN LAMONGAN")</f>
        <v>BANGKAL RT 001 RW 003 LAMONGAN LAMONGAN</v>
      </c>
      <c r="K38" s="29" t="str">
        <f>IFERROR(__xludf.DUMMYFUNCTION("""COMPUTED_VALUE"""),"6285784282773")</f>
        <v>6285784282773</v>
      </c>
      <c r="L38" s="22">
        <f>IFERROR(__xludf.DUMMYFUNCTION("""COMPUTED_VALUE"""),0.0)</f>
        <v>0</v>
      </c>
      <c r="M38" s="22">
        <f>IFERROR(__xludf.DUMMYFUNCTION("""COMPUTED_VALUE"""),1000000.0)</f>
        <v>1000000</v>
      </c>
      <c r="N38" s="22">
        <f>IFERROR(__xludf.DUMMYFUNCTION("""COMPUTED_VALUE"""),0.0)</f>
        <v>0</v>
      </c>
      <c r="O38" s="22">
        <f>IFERROR(__xludf.DUMMYFUNCTION("""COMPUTED_VALUE"""),1000000.0)</f>
        <v>1000000</v>
      </c>
      <c r="P38" s="28" t="str">
        <f t="shared" si="1"/>
        <v>LUNAS</v>
      </c>
      <c r="Q38" s="28">
        <f t="shared" si="2"/>
        <v>31</v>
      </c>
      <c r="R38" s="28" t="str">
        <f t="shared" si="3"/>
        <v>KAYSYAH AZIZATUS SAADA</v>
      </c>
    </row>
    <row r="39">
      <c r="A39" s="27">
        <f>IFERROR(__xludf.DUMMYFUNCTION("""COMPUTED_VALUE"""),38.0)</f>
        <v>38</v>
      </c>
      <c r="B39" s="28" t="str">
        <f>IFERROR(__xludf.DUMMYFUNCTION("""COMPUTED_VALUE"""),"KHANSA ASADEL AL KHAIBAH")</f>
        <v>KHANSA ASADEL AL KHAIBAH</v>
      </c>
      <c r="C39" s="28">
        <f>IFERROR(__xludf.DUMMYFUNCTION("""COMPUTED_VALUE"""),2.025070478E9)</f>
        <v>2025070478</v>
      </c>
      <c r="D39" s="27" t="str">
        <f>IFERROR(__xludf.DUMMYFUNCTION("""COMPUTED_VALUE"""),"E")</f>
        <v>E</v>
      </c>
      <c r="E39" s="27" t="str">
        <f>IFERROR(__xludf.DUMMYFUNCTION("""COMPUTED_VALUE"""),"E-4")</f>
        <v>E-4</v>
      </c>
      <c r="F39" s="31">
        <f>IFERROR(__xludf.DUMMYFUNCTION("""COMPUTED_VALUE"""),2.0)</f>
        <v>2</v>
      </c>
      <c r="G39" s="27" t="str">
        <f>IFERROR(__xludf.DUMMYFUNCTION("""COMPUTED_VALUE"""),"2 ULA A PUTRI")</f>
        <v>2 ULA A PUTRI</v>
      </c>
      <c r="H39" s="28" t="str">
        <f>IFERROR(__xludf.DUMMYFUNCTION("""COMPUTED_VALUE"""),"MUHAMMAD FAJRUDDIN")</f>
        <v>MUHAMMAD FAJRUDDIN</v>
      </c>
      <c r="I39" s="28" t="str">
        <f>IFERROR(__xludf.DUMMYFUNCTION("""COMPUTED_VALUE"""),"FAMILA KARTIKA FITRI ANGGARANI")</f>
        <v>FAMILA KARTIKA FITRI ANGGARANI</v>
      </c>
      <c r="J39" s="28" t="str">
        <f>IFERROR(__xludf.DUMMYFUNCTION("""COMPUTED_VALUE"""),"KALIREJO RT 003 RW 002 DUKUN GRESIK")</f>
        <v>KALIREJO RT 003 RW 002 DUKUN GRESIK</v>
      </c>
      <c r="K39" s="29" t="str">
        <f>IFERROR(__xludf.DUMMYFUNCTION("""COMPUTED_VALUE"""),"6285755176962")</f>
        <v>6285755176962</v>
      </c>
      <c r="L39" s="22">
        <f>IFERROR(__xludf.DUMMYFUNCTION("""COMPUTED_VALUE"""),0.0)</f>
        <v>0</v>
      </c>
      <c r="M39" s="22">
        <f>IFERROR(__xludf.DUMMYFUNCTION("""COMPUTED_VALUE"""),0.0)</f>
        <v>0</v>
      </c>
      <c r="N39" s="22">
        <f>IFERROR(__xludf.DUMMYFUNCTION("""COMPUTED_VALUE"""),0.0)</f>
        <v>0</v>
      </c>
      <c r="O39" s="22">
        <f>IFERROR(__xludf.DUMMYFUNCTION("""COMPUTED_VALUE"""),0.0)</f>
        <v>0</v>
      </c>
      <c r="P39" s="28" t="str">
        <f t="shared" si="1"/>
        <v>LUNAS</v>
      </c>
      <c r="Q39" s="28">
        <f t="shared" si="2"/>
        <v>67</v>
      </c>
      <c r="R39" s="28" t="str">
        <f t="shared" si="3"/>
        <v>KHANSA ASADEL AL KHAIBAH</v>
      </c>
    </row>
    <row r="40">
      <c r="A40" s="27">
        <f>IFERROR(__xludf.DUMMYFUNCTION("""COMPUTED_VALUE"""),39.0)</f>
        <v>39</v>
      </c>
      <c r="B40" s="28" t="str">
        <f>IFERROR(__xludf.DUMMYFUNCTION("""COMPUTED_VALUE"""),"NAILATUS SYIFA`UL HUSNA")</f>
        <v>NAILATUS SYIFA`UL HUSNA</v>
      </c>
      <c r="C40" s="28">
        <f>IFERROR(__xludf.DUMMYFUNCTION("""COMPUTED_VALUE"""),2.025070511E9)</f>
        <v>2025070511</v>
      </c>
      <c r="D40" s="27" t="str">
        <f>IFERROR(__xludf.DUMMYFUNCTION("""COMPUTED_VALUE"""),"E")</f>
        <v>E</v>
      </c>
      <c r="E40" s="27" t="str">
        <f>IFERROR(__xludf.DUMMYFUNCTION("""COMPUTED_VALUE"""),"E-4")</f>
        <v>E-4</v>
      </c>
      <c r="F40" s="31">
        <f>IFERROR(__xludf.DUMMYFUNCTION("""COMPUTED_VALUE"""),2.0)</f>
        <v>2</v>
      </c>
      <c r="G40" s="27" t="str">
        <f>IFERROR(__xludf.DUMMYFUNCTION("""COMPUTED_VALUE"""),"2 ULA A PUTRI")</f>
        <v>2 ULA A PUTRI</v>
      </c>
      <c r="H40" s="28" t="str">
        <f>IFERROR(__xludf.DUMMYFUNCTION("""COMPUTED_VALUE"""),"SUWARNO")</f>
        <v>SUWARNO</v>
      </c>
      <c r="I40" s="28" t="str">
        <f>IFERROR(__xludf.DUMMYFUNCTION("""COMPUTED_VALUE"""),"SRIATUN")</f>
        <v>SRIATUN</v>
      </c>
      <c r="J40" s="28" t="str">
        <f>IFERROR(__xludf.DUMMYFUNCTION("""COMPUTED_VALUE"""),"SIDOREJO PLAOSAN RT 004 RW 003 BABAT LAMONGAN")</f>
        <v>SIDOREJO PLAOSAN RT 004 RW 003 BABAT LAMONGAN</v>
      </c>
      <c r="K40" s="29" t="str">
        <f>IFERROR(__xludf.DUMMYFUNCTION("""COMPUTED_VALUE"""),"6285257244488")</f>
        <v>6285257244488</v>
      </c>
      <c r="L40" s="22">
        <f>IFERROR(__xludf.DUMMYFUNCTION("""COMPUTED_VALUE"""),0.0)</f>
        <v>0</v>
      </c>
      <c r="M40" s="22">
        <f>IFERROR(__xludf.DUMMYFUNCTION("""COMPUTED_VALUE"""),1000000.0)</f>
        <v>1000000</v>
      </c>
      <c r="N40" s="22">
        <f>IFERROR(__xludf.DUMMYFUNCTION("""COMPUTED_VALUE"""),0.0)</f>
        <v>0</v>
      </c>
      <c r="O40" s="22">
        <f>IFERROR(__xludf.DUMMYFUNCTION("""COMPUTED_VALUE"""),1000000.0)</f>
        <v>1000000</v>
      </c>
      <c r="P40" s="28" t="str">
        <f t="shared" si="1"/>
        <v>LUNAS</v>
      </c>
      <c r="Q40" s="28">
        <f t="shared" si="2"/>
        <v>32</v>
      </c>
      <c r="R40" s="28" t="str">
        <f t="shared" si="3"/>
        <v>NAILATUS SYIFA`UL HUSNA</v>
      </c>
    </row>
    <row r="41">
      <c r="A41" s="27">
        <f>IFERROR(__xludf.DUMMYFUNCTION("""COMPUTED_VALUE"""),40.0)</f>
        <v>40</v>
      </c>
      <c r="B41" s="28" t="str">
        <f>IFERROR(__xludf.DUMMYFUNCTION("""COMPUTED_VALUE"""),"NAJWA BILQIS NAFISAH")</f>
        <v>NAJWA BILQIS NAFISAH</v>
      </c>
      <c r="C41" s="28">
        <f>IFERROR(__xludf.DUMMYFUNCTION("""COMPUTED_VALUE"""),2.025070552E9)</f>
        <v>2025070552</v>
      </c>
      <c r="D41" s="27" t="str">
        <f>IFERROR(__xludf.DUMMYFUNCTION("""COMPUTED_VALUE"""),"E")</f>
        <v>E</v>
      </c>
      <c r="E41" s="27" t="str">
        <f>IFERROR(__xludf.DUMMYFUNCTION("""COMPUTED_VALUE"""),"E-4")</f>
        <v>E-4</v>
      </c>
      <c r="F41" s="31">
        <f>IFERROR(__xludf.DUMMYFUNCTION("""COMPUTED_VALUE"""),2.0)</f>
        <v>2</v>
      </c>
      <c r="G41" s="27" t="str">
        <f>IFERROR(__xludf.DUMMYFUNCTION("""COMPUTED_VALUE"""),"2 ULA B PUTRI")</f>
        <v>2 ULA B PUTRI</v>
      </c>
      <c r="H41" s="28" t="str">
        <f>IFERROR(__xludf.DUMMYFUNCTION("""COMPUTED_VALUE"""),"KURNIAWAN DWI SETYONO")</f>
        <v>KURNIAWAN DWI SETYONO</v>
      </c>
      <c r="I41" s="28" t="str">
        <f>IFERROR(__xludf.DUMMYFUNCTION("""COMPUTED_VALUE"""),"ISTICHFARIN CHASANAH")</f>
        <v>ISTICHFARIN CHASANAH</v>
      </c>
      <c r="J41" s="28" t="str">
        <f>IFERROR(__xludf.DUMMYFUNCTION("""COMPUTED_VALUE"""),"JL. SUNAN KALIJOGO GG JAMBU MENTE SUKOREJO RT 001 RW 004 LAMONGAN LAMONGAN")</f>
        <v>JL. SUNAN KALIJOGO GG JAMBU MENTE SUKOREJO RT 001 RW 004 LAMONGAN LAMONGAN</v>
      </c>
      <c r="K41" s="29" t="str">
        <f>IFERROR(__xludf.DUMMYFUNCTION("""COMPUTED_VALUE"""),"6285606769994")</f>
        <v>6285606769994</v>
      </c>
      <c r="L41" s="22">
        <f>IFERROR(__xludf.DUMMYFUNCTION("""COMPUTED_VALUE"""),0.0)</f>
        <v>0</v>
      </c>
      <c r="M41" s="22">
        <f>IFERROR(__xludf.DUMMYFUNCTION("""COMPUTED_VALUE"""),1000000.0)</f>
        <v>1000000</v>
      </c>
      <c r="N41" s="22">
        <f>IFERROR(__xludf.DUMMYFUNCTION("""COMPUTED_VALUE"""),0.0)</f>
        <v>0</v>
      </c>
      <c r="O41" s="22">
        <f>IFERROR(__xludf.DUMMYFUNCTION("""COMPUTED_VALUE"""),1000000.0)</f>
        <v>1000000</v>
      </c>
      <c r="P41" s="28" t="str">
        <f t="shared" si="1"/>
        <v>LUNAS</v>
      </c>
      <c r="Q41" s="28">
        <f t="shared" si="2"/>
        <v>33</v>
      </c>
      <c r="R41" s="28" t="str">
        <f t="shared" si="3"/>
        <v>NAJWA BILQIS NAFISAH</v>
      </c>
    </row>
    <row r="42">
      <c r="A42" s="27">
        <f>IFERROR(__xludf.DUMMYFUNCTION("""COMPUTED_VALUE"""),41.0)</f>
        <v>41</v>
      </c>
      <c r="B42" s="28" t="str">
        <f>IFERROR(__xludf.DUMMYFUNCTION("""COMPUTED_VALUE"""),"NOVITA PUTRI SALSABILA")</f>
        <v>NOVITA PUTRI SALSABILA</v>
      </c>
      <c r="C42" s="28">
        <f>IFERROR(__xludf.DUMMYFUNCTION("""COMPUTED_VALUE"""),2.025070506E9)</f>
        <v>2025070506</v>
      </c>
      <c r="D42" s="27" t="str">
        <f>IFERROR(__xludf.DUMMYFUNCTION("""COMPUTED_VALUE"""),"E")</f>
        <v>E</v>
      </c>
      <c r="E42" s="27" t="str">
        <f>IFERROR(__xludf.DUMMYFUNCTION("""COMPUTED_VALUE"""),"E-4")</f>
        <v>E-4</v>
      </c>
      <c r="F42" s="31">
        <f>IFERROR(__xludf.DUMMYFUNCTION("""COMPUTED_VALUE"""),2.0)</f>
        <v>2</v>
      </c>
      <c r="G42" s="27" t="str">
        <f>IFERROR(__xludf.DUMMYFUNCTION("""COMPUTED_VALUE"""),"2 ULA A PUTRI")</f>
        <v>2 ULA A PUTRI</v>
      </c>
      <c r="H42" s="28" t="str">
        <f>IFERROR(__xludf.DUMMYFUNCTION("""COMPUTED_VALUE"""),"ILHAM ZAWAWI")</f>
        <v>ILHAM ZAWAWI</v>
      </c>
      <c r="I42" s="28" t="str">
        <f>IFERROR(__xludf.DUMMYFUNCTION("""COMPUTED_VALUE"""),"NURHAYANA")</f>
        <v>NURHAYANA</v>
      </c>
      <c r="J42" s="28" t="str">
        <f>IFERROR(__xludf.DUMMYFUNCTION("""COMPUTED_VALUE"""),"JL. CILANGKAP BARU CILANGKAP RT 004 RW 001 CIPAYUNG JAKARTA TIMUR")</f>
        <v>JL. CILANGKAP BARU CILANGKAP RT 004 RW 001 CIPAYUNG JAKARTA TIMUR</v>
      </c>
      <c r="K42" s="29" t="str">
        <f>IFERROR(__xludf.DUMMYFUNCTION("""COMPUTED_VALUE"""),"6287783842404")</f>
        <v>6287783842404</v>
      </c>
      <c r="L42" s="22">
        <f>IFERROR(__xludf.DUMMYFUNCTION("""COMPUTED_VALUE"""),0.0)</f>
        <v>0</v>
      </c>
      <c r="M42" s="22">
        <f>IFERROR(__xludf.DUMMYFUNCTION("""COMPUTED_VALUE"""),0.0)</f>
        <v>0</v>
      </c>
      <c r="N42" s="22">
        <f>IFERROR(__xludf.DUMMYFUNCTION("""COMPUTED_VALUE"""),0.0)</f>
        <v>0</v>
      </c>
      <c r="O42" s="22">
        <f>IFERROR(__xludf.DUMMYFUNCTION("""COMPUTED_VALUE"""),0.0)</f>
        <v>0</v>
      </c>
      <c r="P42" s="28" t="str">
        <f t="shared" si="1"/>
        <v>LUNAS</v>
      </c>
      <c r="Q42" s="28">
        <f t="shared" si="2"/>
        <v>68</v>
      </c>
      <c r="R42" s="28" t="str">
        <f t="shared" si="3"/>
        <v>NOVITA PUTRI SALSABILA</v>
      </c>
    </row>
    <row r="43">
      <c r="A43" s="27">
        <f>IFERROR(__xludf.DUMMYFUNCTION("""COMPUTED_VALUE"""),42.0)</f>
        <v>42</v>
      </c>
      <c r="B43" s="28" t="str">
        <f>IFERROR(__xludf.DUMMYFUNCTION("""COMPUTED_VALUE"""),"RIZKA ILMA HAQQIYA")</f>
        <v>RIZKA ILMA HAQQIYA</v>
      </c>
      <c r="C43" s="28">
        <f>IFERROR(__xludf.DUMMYFUNCTION("""COMPUTED_VALUE"""),2.025070629E9)</f>
        <v>2025070629</v>
      </c>
      <c r="D43" s="27" t="str">
        <f>IFERROR(__xludf.DUMMYFUNCTION("""COMPUTED_VALUE"""),"E")</f>
        <v>E</v>
      </c>
      <c r="E43" s="27" t="str">
        <f>IFERROR(__xludf.DUMMYFUNCTION("""COMPUTED_VALUE"""),"E-4")</f>
        <v>E-4</v>
      </c>
      <c r="F43" s="31">
        <f>IFERROR(__xludf.DUMMYFUNCTION("""COMPUTED_VALUE"""),2.0)</f>
        <v>2</v>
      </c>
      <c r="G43" s="27" t="str">
        <f>IFERROR(__xludf.DUMMYFUNCTION("""COMPUTED_VALUE"""),"2 ULA A PUTRI")</f>
        <v>2 ULA A PUTRI</v>
      </c>
      <c r="H43" s="28" t="str">
        <f>IFERROR(__xludf.DUMMYFUNCTION("""COMPUTED_VALUE"""),"KHOIRUL ANWAR")</f>
        <v>KHOIRUL ANWAR</v>
      </c>
      <c r="I43" s="28" t="str">
        <f>IFERROR(__xludf.DUMMYFUNCTION("""COMPUTED_VALUE"""),"LAILATUL MUKARROMAH")</f>
        <v>LAILATUL MUKARROMAH</v>
      </c>
      <c r="J43" s="28" t="str">
        <f>IFERROR(__xludf.DUMMYFUNCTION("""COMPUTED_VALUE"""),"NGAMBEG RT 004 RW 002 PUCUK LAMONGAN")</f>
        <v>NGAMBEG RT 004 RW 002 PUCUK LAMONGAN</v>
      </c>
      <c r="K43" s="29" t="str">
        <f>IFERROR(__xludf.DUMMYFUNCTION("""COMPUTED_VALUE"""),"6285815230735")</f>
        <v>6285815230735</v>
      </c>
      <c r="L43" s="22">
        <f>IFERROR(__xludf.DUMMYFUNCTION("""COMPUTED_VALUE"""),0.0)</f>
        <v>0</v>
      </c>
      <c r="M43" s="22">
        <f>IFERROR(__xludf.DUMMYFUNCTION("""COMPUTED_VALUE"""),0.0)</f>
        <v>0</v>
      </c>
      <c r="N43" s="22">
        <f>IFERROR(__xludf.DUMMYFUNCTION("""COMPUTED_VALUE"""),0.0)</f>
        <v>0</v>
      </c>
      <c r="O43" s="22">
        <f>IFERROR(__xludf.DUMMYFUNCTION("""COMPUTED_VALUE"""),0.0)</f>
        <v>0</v>
      </c>
      <c r="P43" s="28" t="str">
        <f t="shared" si="1"/>
        <v>LUNAS</v>
      </c>
      <c r="Q43" s="28">
        <f t="shared" si="2"/>
        <v>69</v>
      </c>
      <c r="R43" s="28" t="str">
        <f t="shared" si="3"/>
        <v>RIZKA ILMA HAQQIYA</v>
      </c>
    </row>
    <row r="44">
      <c r="A44" s="27">
        <f>IFERROR(__xludf.DUMMYFUNCTION("""COMPUTED_VALUE"""),43.0)</f>
        <v>43</v>
      </c>
      <c r="B44" s="28" t="str">
        <f>IFERROR(__xludf.DUMMYFUNCTION("""COMPUTED_VALUE"""),"SHOFIE AULIA AFIQAH MARSAID")</f>
        <v>SHOFIE AULIA AFIQAH MARSAID</v>
      </c>
      <c r="C44" s="28">
        <f>IFERROR(__xludf.DUMMYFUNCTION("""COMPUTED_VALUE"""),2.025070593E9)</f>
        <v>2025070593</v>
      </c>
      <c r="D44" s="27" t="str">
        <f>IFERROR(__xludf.DUMMYFUNCTION("""COMPUTED_VALUE"""),"E")</f>
        <v>E</v>
      </c>
      <c r="E44" s="27" t="str">
        <f>IFERROR(__xludf.DUMMYFUNCTION("""COMPUTED_VALUE"""),"E-4")</f>
        <v>E-4</v>
      </c>
      <c r="F44" s="31">
        <f>IFERROR(__xludf.DUMMYFUNCTION("""COMPUTED_VALUE"""),2.0)</f>
        <v>2</v>
      </c>
      <c r="G44" s="27" t="str">
        <f>IFERROR(__xludf.DUMMYFUNCTION("""COMPUTED_VALUE"""),"ULA")</f>
        <v>ULA</v>
      </c>
      <c r="H44" s="28" t="str">
        <f>IFERROR(__xludf.DUMMYFUNCTION("""COMPUTED_VALUE"""),"ACHMAD UMAR SAID")</f>
        <v>ACHMAD UMAR SAID</v>
      </c>
      <c r="I44" s="28" t="str">
        <f>IFERROR(__xludf.DUMMYFUNCTION("""COMPUTED_VALUE"""),"MARATUS SHOLIQAH")</f>
        <v>MARATUS SHOLIQAH</v>
      </c>
      <c r="J44" s="28" t="str">
        <f>IFERROR(__xludf.DUMMYFUNCTION("""COMPUTED_VALUE"""),"TENGGER TENGGEREJO RT 001 RW 002 KEDUNGPRING LAMONGAN")</f>
        <v>TENGGER TENGGEREJO RT 001 RW 002 KEDUNGPRING LAMONGAN</v>
      </c>
      <c r="K44" s="29" t="str">
        <f>IFERROR(__xludf.DUMMYFUNCTION("""COMPUTED_VALUE"""),"6285706162506")</f>
        <v>6285706162506</v>
      </c>
      <c r="L44" s="22">
        <f>IFERROR(__xludf.DUMMYFUNCTION("""COMPUTED_VALUE"""),500000.0)</f>
        <v>500000</v>
      </c>
      <c r="M44" s="22">
        <f>IFERROR(__xludf.DUMMYFUNCTION("""COMPUTED_VALUE"""),1000000.0)</f>
        <v>1000000</v>
      </c>
      <c r="N44" s="22">
        <f>IFERROR(__xludf.DUMMYFUNCTION("""COMPUTED_VALUE"""),0.0)</f>
        <v>0</v>
      </c>
      <c r="O44" s="22">
        <f>IFERROR(__xludf.DUMMYFUNCTION("""COMPUTED_VALUE"""),1500000.0)</f>
        <v>1500000</v>
      </c>
      <c r="P44" s="28" t="str">
        <f t="shared" si="1"/>
        <v>LUNAS</v>
      </c>
      <c r="Q44" s="28">
        <f t="shared" si="2"/>
        <v>20</v>
      </c>
      <c r="R44" s="28" t="str">
        <f t="shared" si="3"/>
        <v>SHOFIE AULIA AFIQAH MARSAID</v>
      </c>
    </row>
    <row r="45">
      <c r="A45" s="27">
        <f>IFERROR(__xludf.DUMMYFUNCTION("""COMPUTED_VALUE"""),44.0)</f>
        <v>44</v>
      </c>
      <c r="B45" s="28" t="str">
        <f>IFERROR(__xludf.DUMMYFUNCTION("""COMPUTED_VALUE"""),"SINTIYA PUTRI HIDAYAH")</f>
        <v>SINTIYA PUTRI HIDAYAH</v>
      </c>
      <c r="C45" s="28">
        <f>IFERROR(__xludf.DUMMYFUNCTION("""COMPUTED_VALUE"""),2.025070614E9)</f>
        <v>2025070614</v>
      </c>
      <c r="D45" s="27" t="str">
        <f>IFERROR(__xludf.DUMMYFUNCTION("""COMPUTED_VALUE"""),"E")</f>
        <v>E</v>
      </c>
      <c r="E45" s="27" t="str">
        <f>IFERROR(__xludf.DUMMYFUNCTION("""COMPUTED_VALUE"""),"E-4")</f>
        <v>E-4</v>
      </c>
      <c r="F45" s="31">
        <f>IFERROR(__xludf.DUMMYFUNCTION("""COMPUTED_VALUE"""),2.0)</f>
        <v>2</v>
      </c>
      <c r="G45" s="27" t="str">
        <f>IFERROR(__xludf.DUMMYFUNCTION("""COMPUTED_VALUE"""),"2 ULA A PUTRI")</f>
        <v>2 ULA A PUTRI</v>
      </c>
      <c r="H45" s="28" t="str">
        <f>IFERROR(__xludf.DUMMYFUNCTION("""COMPUTED_VALUE"""),"SUWARNO")</f>
        <v>SUWARNO</v>
      </c>
      <c r="I45" s="28" t="str">
        <f>IFERROR(__xludf.DUMMYFUNCTION("""COMPUTED_VALUE"""),"SITI KHALIMAH")</f>
        <v>SITI KHALIMAH</v>
      </c>
      <c r="J45" s="28" t="str">
        <f>IFERROR(__xludf.DUMMYFUNCTION("""COMPUTED_VALUE"""),"NGEMBET BANJARMADU RT 002 RW 007 KARANGGENENG LAMONGAN")</f>
        <v>NGEMBET BANJARMADU RT 002 RW 007 KARANGGENENG LAMONGAN</v>
      </c>
      <c r="K45" s="29" t="str">
        <f>IFERROR(__xludf.DUMMYFUNCTION("""COMPUTED_VALUE"""),"6281335474858")</f>
        <v>6281335474858</v>
      </c>
      <c r="L45" s="22">
        <f>IFERROR(__xludf.DUMMYFUNCTION("""COMPUTED_VALUE"""),0.0)</f>
        <v>0</v>
      </c>
      <c r="M45" s="22">
        <f>IFERROR(__xludf.DUMMYFUNCTION("""COMPUTED_VALUE"""),1000000.0)</f>
        <v>1000000</v>
      </c>
      <c r="N45" s="22">
        <f>IFERROR(__xludf.DUMMYFUNCTION("""COMPUTED_VALUE"""),0.0)</f>
        <v>0</v>
      </c>
      <c r="O45" s="22">
        <f>IFERROR(__xludf.DUMMYFUNCTION("""COMPUTED_VALUE"""),1000000.0)</f>
        <v>1000000</v>
      </c>
      <c r="P45" s="28" t="str">
        <f t="shared" si="1"/>
        <v>LUNAS</v>
      </c>
      <c r="Q45" s="28">
        <f t="shared" si="2"/>
        <v>34</v>
      </c>
      <c r="R45" s="28" t="str">
        <f t="shared" si="3"/>
        <v>SINTIYA PUTRI HIDAYAH</v>
      </c>
    </row>
    <row r="46">
      <c r="A46" s="27">
        <f>IFERROR(__xludf.DUMMYFUNCTION("""COMPUTED_VALUE"""),45.0)</f>
        <v>45</v>
      </c>
      <c r="B46" s="28" t="str">
        <f>IFERROR(__xludf.DUMMYFUNCTION("""COMPUTED_VALUE"""),"AFRA NAILA ARKARNA")</f>
        <v>AFRA NAILA ARKARNA</v>
      </c>
      <c r="C46" s="28">
        <f>IFERROR(__xludf.DUMMYFUNCTION("""COMPUTED_VALUE"""),2.025070164E9)</f>
        <v>2025070164</v>
      </c>
      <c r="D46" s="27" t="str">
        <f>IFERROR(__xludf.DUMMYFUNCTION("""COMPUTED_VALUE"""),"E")</f>
        <v>E</v>
      </c>
      <c r="E46" s="27" t="str">
        <f>IFERROR(__xludf.DUMMYFUNCTION("""COMPUTED_VALUE"""),"E-5")</f>
        <v>E-5</v>
      </c>
      <c r="F46" s="31">
        <f>IFERROR(__xludf.DUMMYFUNCTION("""COMPUTED_VALUE"""),2.0)</f>
        <v>2</v>
      </c>
      <c r="G46" s="27" t="str">
        <f>IFERROR(__xludf.DUMMYFUNCTION("""COMPUTED_VALUE"""),"2 WUSTHO B PUTRI")</f>
        <v>2 WUSTHO B PUTRI</v>
      </c>
      <c r="H46" s="28" t="str">
        <f>IFERROR(__xludf.DUMMYFUNCTION("""COMPUTED_VALUE"""),"SUMANTRI")</f>
        <v>SUMANTRI</v>
      </c>
      <c r="I46" s="28" t="str">
        <f>IFERROR(__xludf.DUMMYFUNCTION("""COMPUTED_VALUE"""),"ENDANG ASTUTIK")</f>
        <v>ENDANG ASTUTIK</v>
      </c>
      <c r="J46" s="28" t="str">
        <f>IFERROR(__xludf.DUMMYFUNCTION("""COMPUTED_VALUE"""),"RANDUBENER RT 007 RW 002 KEMBANGBAHU LAMONGAN")</f>
        <v>RANDUBENER RT 007 RW 002 KEMBANGBAHU LAMONGAN</v>
      </c>
      <c r="K46" s="29" t="str">
        <f>IFERROR(__xludf.DUMMYFUNCTION("""COMPUTED_VALUE"""),"62881026635988")</f>
        <v>62881026635988</v>
      </c>
      <c r="L46" s="22">
        <f>IFERROR(__xludf.DUMMYFUNCTION("""COMPUTED_VALUE"""),950000.0)</f>
        <v>950000</v>
      </c>
      <c r="M46" s="22">
        <f>IFERROR(__xludf.DUMMYFUNCTION("""COMPUTED_VALUE"""),800000.0)</f>
        <v>800000</v>
      </c>
      <c r="N46" s="22">
        <f>IFERROR(__xludf.DUMMYFUNCTION("""COMPUTED_VALUE"""),0.0)</f>
        <v>0</v>
      </c>
      <c r="O46" s="22">
        <f>IFERROR(__xludf.DUMMYFUNCTION("""COMPUTED_VALUE"""),1750000.0)</f>
        <v>1750000</v>
      </c>
      <c r="P46" s="28" t="str">
        <f t="shared" si="1"/>
        <v>LUNAS</v>
      </c>
      <c r="Q46" s="28">
        <f t="shared" si="2"/>
        <v>14</v>
      </c>
      <c r="R46" s="28" t="str">
        <f t="shared" si="3"/>
        <v>AFRA NAILA ARKARNA</v>
      </c>
    </row>
    <row r="47">
      <c r="A47" s="27">
        <f>IFERROR(__xludf.DUMMYFUNCTION("""COMPUTED_VALUE"""),46.0)</f>
        <v>46</v>
      </c>
      <c r="B47" s="28" t="str">
        <f>IFERROR(__xludf.DUMMYFUNCTION("""COMPUTED_VALUE"""),"ALMIRA GHANIYAH AZ-ZAHRAH")</f>
        <v>ALMIRA GHANIYAH AZ-ZAHRAH</v>
      </c>
      <c r="C47" s="28">
        <f>IFERROR(__xludf.DUMMYFUNCTION("""COMPUTED_VALUE"""),2.025070071E9)</f>
        <v>2025070071</v>
      </c>
      <c r="D47" s="27" t="str">
        <f>IFERROR(__xludf.DUMMYFUNCTION("""COMPUTED_VALUE"""),"E")</f>
        <v>E</v>
      </c>
      <c r="E47" s="27" t="str">
        <f>IFERROR(__xludf.DUMMYFUNCTION("""COMPUTED_VALUE"""),"E-5")</f>
        <v>E-5</v>
      </c>
      <c r="F47" s="31">
        <f>IFERROR(__xludf.DUMMYFUNCTION("""COMPUTED_VALUE"""),2.0)</f>
        <v>2</v>
      </c>
      <c r="G47" s="27" t="str">
        <f>IFERROR(__xludf.DUMMYFUNCTION("""COMPUTED_VALUE"""),"2 WUSTHO B PUTRI")</f>
        <v>2 WUSTHO B PUTRI</v>
      </c>
      <c r="H47" s="28" t="str">
        <f>IFERROR(__xludf.DUMMYFUNCTION("""COMPUTED_VALUE"""),"HADI SUPRAYITNO")</f>
        <v>HADI SUPRAYITNO</v>
      </c>
      <c r="I47" s="28" t="str">
        <f>IFERROR(__xludf.DUMMYFUNCTION("""COMPUTED_VALUE"""),"NUR LAILI")</f>
        <v>NUR LAILI</v>
      </c>
      <c r="J47" s="28" t="str">
        <f>IFERROR(__xludf.DUMMYFUNCTION("""COMPUTED_VALUE"""),"TUMENGGUNGAN RT 003 RW 006 LAMONGAN LAMONGAN")</f>
        <v>TUMENGGUNGAN RT 003 RW 006 LAMONGAN LAMONGAN</v>
      </c>
      <c r="K47" s="29" t="str">
        <f>IFERROR(__xludf.DUMMYFUNCTION("""COMPUTED_VALUE"""),"62895410761833")</f>
        <v>62895410761833</v>
      </c>
      <c r="L47" s="22">
        <f>IFERROR(__xludf.DUMMYFUNCTION("""COMPUTED_VALUE"""),0.0)</f>
        <v>0</v>
      </c>
      <c r="M47" s="22">
        <f>IFERROR(__xludf.DUMMYFUNCTION("""COMPUTED_VALUE"""),0.0)</f>
        <v>0</v>
      </c>
      <c r="N47" s="22">
        <f>IFERROR(__xludf.DUMMYFUNCTION("""COMPUTED_VALUE"""),0.0)</f>
        <v>0</v>
      </c>
      <c r="O47" s="22">
        <f>IFERROR(__xludf.DUMMYFUNCTION("""COMPUTED_VALUE"""),0.0)</f>
        <v>0</v>
      </c>
      <c r="P47" s="28" t="str">
        <f t="shared" si="1"/>
        <v>LUNAS</v>
      </c>
      <c r="Q47" s="28">
        <f t="shared" si="2"/>
        <v>70</v>
      </c>
      <c r="R47" s="28" t="str">
        <f t="shared" si="3"/>
        <v>ALMIRA GHANIYAH AZ-ZAHRAH</v>
      </c>
    </row>
    <row r="48">
      <c r="A48" s="27">
        <f>IFERROR(__xludf.DUMMYFUNCTION("""COMPUTED_VALUE"""),47.0)</f>
        <v>47</v>
      </c>
      <c r="B48" s="28" t="str">
        <f>IFERROR(__xludf.DUMMYFUNCTION("""COMPUTED_VALUE"""),"ALVINA AGHNIYA FATMAH")</f>
        <v>ALVINA AGHNIYA FATMAH</v>
      </c>
      <c r="C48" s="28">
        <f>IFERROR(__xludf.DUMMYFUNCTION("""COMPUTED_VALUE"""),2.025070316E9)</f>
        <v>2025070316</v>
      </c>
      <c r="D48" s="27" t="str">
        <f>IFERROR(__xludf.DUMMYFUNCTION("""COMPUTED_VALUE"""),"E")</f>
        <v>E</v>
      </c>
      <c r="E48" s="27" t="str">
        <f>IFERROR(__xludf.DUMMYFUNCTION("""COMPUTED_VALUE"""),"E-5")</f>
        <v>E-5</v>
      </c>
      <c r="F48" s="31">
        <f>IFERROR(__xludf.DUMMYFUNCTION("""COMPUTED_VALUE"""),2.0)</f>
        <v>2</v>
      </c>
      <c r="G48" s="27" t="str">
        <f>IFERROR(__xludf.DUMMYFUNCTION("""COMPUTED_VALUE"""),"TAHFIDZ")</f>
        <v>TAHFIDZ</v>
      </c>
      <c r="H48" s="28" t="str">
        <f>IFERROR(__xludf.DUMMYFUNCTION("""COMPUTED_VALUE"""),"EFENDI")</f>
        <v>EFENDI</v>
      </c>
      <c r="I48" s="28" t="str">
        <f>IFERROR(__xludf.DUMMYFUNCTION("""COMPUTED_VALUE"""),"NUR ELIS MUNASHOFA")</f>
        <v>NUR ELIS MUNASHOFA</v>
      </c>
      <c r="J48" s="28" t="str">
        <f>IFERROR(__xludf.DUMMYFUNCTION("""COMPUTED_VALUE"""),"SUNAN MURIA LATUKAN RT 002 RW 001 KARANGGENENG LAMONGAN")</f>
        <v>SUNAN MURIA LATUKAN RT 002 RW 001 KARANGGENENG LAMONGAN</v>
      </c>
      <c r="K48" s="29" t="str">
        <f>IFERROR(__xludf.DUMMYFUNCTION("""COMPUTED_VALUE"""),"6285802923208")</f>
        <v>6285802923208</v>
      </c>
      <c r="L48" s="22">
        <f>IFERROR(__xludf.DUMMYFUNCTION("""COMPUTED_VALUE"""),0.0)</f>
        <v>0</v>
      </c>
      <c r="M48" s="22">
        <f>IFERROR(__xludf.DUMMYFUNCTION("""COMPUTED_VALUE"""),1000000.0)</f>
        <v>1000000</v>
      </c>
      <c r="N48" s="22">
        <f>IFERROR(__xludf.DUMMYFUNCTION("""COMPUTED_VALUE"""),0.0)</f>
        <v>0</v>
      </c>
      <c r="O48" s="22">
        <f>IFERROR(__xludf.DUMMYFUNCTION("""COMPUTED_VALUE"""),1000000.0)</f>
        <v>1000000</v>
      </c>
      <c r="P48" s="28" t="str">
        <f t="shared" si="1"/>
        <v>LUNAS</v>
      </c>
      <c r="Q48" s="28">
        <f t="shared" si="2"/>
        <v>35</v>
      </c>
      <c r="R48" s="28" t="str">
        <f t="shared" si="3"/>
        <v>ALVINA AGHNIYA FATMAH</v>
      </c>
    </row>
    <row r="49">
      <c r="A49" s="27">
        <f>IFERROR(__xludf.DUMMYFUNCTION("""COMPUTED_VALUE"""),48.0)</f>
        <v>48</v>
      </c>
      <c r="B49" s="28" t="str">
        <f>IFERROR(__xludf.DUMMYFUNCTION("""COMPUTED_VALUE"""),"FARIZA KAHLA` NAJWA")</f>
        <v>FARIZA KAHLA` NAJWA</v>
      </c>
      <c r="C49" s="28">
        <f>IFERROR(__xludf.DUMMYFUNCTION("""COMPUTED_VALUE"""),2.025070149E9)</f>
        <v>2025070149</v>
      </c>
      <c r="D49" s="27" t="str">
        <f>IFERROR(__xludf.DUMMYFUNCTION("""COMPUTED_VALUE"""),"E")</f>
        <v>E</v>
      </c>
      <c r="E49" s="27" t="str">
        <f>IFERROR(__xludf.DUMMYFUNCTION("""COMPUTED_VALUE"""),"E-5")</f>
        <v>E-5</v>
      </c>
      <c r="F49" s="31">
        <f>IFERROR(__xludf.DUMMYFUNCTION("""COMPUTED_VALUE"""),2.0)</f>
        <v>2</v>
      </c>
      <c r="G49" s="27" t="str">
        <f>IFERROR(__xludf.DUMMYFUNCTION("""COMPUTED_VALUE"""),"2 WUSTHO B PUTRI")</f>
        <v>2 WUSTHO B PUTRI</v>
      </c>
      <c r="H49" s="28" t="str">
        <f>IFERROR(__xludf.DUMMYFUNCTION("""COMPUTED_VALUE"""),"ACHMAD NURU DHUHA")</f>
        <v>ACHMAD NURU DHUHA</v>
      </c>
      <c r="I49" s="28" t="str">
        <f>IFERROR(__xludf.DUMMYFUNCTION("""COMPUTED_VALUE"""),"HERLIN FARDA HABIBA")</f>
        <v>HERLIN FARDA HABIBA</v>
      </c>
      <c r="J49" s="28" t="str">
        <f>IFERROR(__xludf.DUMMYFUNCTION("""COMPUTED_VALUE"""),"KALIREJO RT 003 RW 002 DUKUN GRESIK")</f>
        <v>KALIREJO RT 003 RW 002 DUKUN GRESIK</v>
      </c>
      <c r="K49" s="29" t="str">
        <f>IFERROR(__xludf.DUMMYFUNCTION("""COMPUTED_VALUE"""),"6281216494000")</f>
        <v>6281216494000</v>
      </c>
      <c r="L49" s="22">
        <f>IFERROR(__xludf.DUMMYFUNCTION("""COMPUTED_VALUE"""),0.0)</f>
        <v>0</v>
      </c>
      <c r="M49" s="22">
        <f>IFERROR(__xludf.DUMMYFUNCTION("""COMPUTED_VALUE"""),0.0)</f>
        <v>0</v>
      </c>
      <c r="N49" s="22">
        <f>IFERROR(__xludf.DUMMYFUNCTION("""COMPUTED_VALUE"""),0.0)</f>
        <v>0</v>
      </c>
      <c r="O49" s="22">
        <f>IFERROR(__xludf.DUMMYFUNCTION("""COMPUTED_VALUE"""),0.0)</f>
        <v>0</v>
      </c>
      <c r="P49" s="28" t="str">
        <f t="shared" si="1"/>
        <v>LUNAS</v>
      </c>
      <c r="Q49" s="28">
        <f t="shared" si="2"/>
        <v>71</v>
      </c>
      <c r="R49" s="28" t="str">
        <f t="shared" si="3"/>
        <v>FARIZA KAHLA` NAJWA</v>
      </c>
    </row>
    <row r="50">
      <c r="A50" s="27">
        <f>IFERROR(__xludf.DUMMYFUNCTION("""COMPUTED_VALUE"""),49.0)</f>
        <v>49</v>
      </c>
      <c r="B50" s="28" t="str">
        <f>IFERROR(__xludf.DUMMYFUNCTION("""COMPUTED_VALUE"""),"HALWA MALEEHATUL FITRIYAH")</f>
        <v>HALWA MALEEHATUL FITRIYAH</v>
      </c>
      <c r="C50" s="28">
        <f>IFERROR(__xludf.DUMMYFUNCTION("""COMPUTED_VALUE"""),2.025070655E9)</f>
        <v>2025070655</v>
      </c>
      <c r="D50" s="27" t="str">
        <f>IFERROR(__xludf.DUMMYFUNCTION("""COMPUTED_VALUE"""),"E")</f>
        <v>E</v>
      </c>
      <c r="E50" s="27" t="str">
        <f>IFERROR(__xludf.DUMMYFUNCTION("""COMPUTED_VALUE"""),"E-5")</f>
        <v>E-5</v>
      </c>
      <c r="F50" s="31">
        <f>IFERROR(__xludf.DUMMYFUNCTION("""COMPUTED_VALUE"""),2.0)</f>
        <v>2</v>
      </c>
      <c r="G50" s="27" t="str">
        <f>IFERROR(__xludf.DUMMYFUNCTION("""COMPUTED_VALUE"""),"2 ULA A PUTRI")</f>
        <v>2 ULA A PUTRI</v>
      </c>
      <c r="H50" s="28" t="str">
        <f>IFERROR(__xludf.DUMMYFUNCTION("""COMPUTED_VALUE"""),"SUKARTO")</f>
        <v>SUKARTO</v>
      </c>
      <c r="I50" s="28" t="str">
        <f>IFERROR(__xludf.DUMMYFUNCTION("""COMPUTED_VALUE"""),"LAILATUL MAYA")</f>
        <v>LAILATUL MAYA</v>
      </c>
      <c r="J50" s="28" t="str">
        <f>IFERROR(__xludf.DUMMYFUNCTION("""COMPUTED_VALUE"""),"PETIYIN TAKERHARJO RT 001 RW 005 SOLOKURO LAMONGAN")</f>
        <v>PETIYIN TAKERHARJO RT 001 RW 005 SOLOKURO LAMONGAN</v>
      </c>
      <c r="K50" s="29" t="str">
        <f>IFERROR(__xludf.DUMMYFUNCTION("""COMPUTED_VALUE"""),"6281515526152")</f>
        <v>6281515526152</v>
      </c>
      <c r="L50" s="22">
        <f>IFERROR(__xludf.DUMMYFUNCTION("""COMPUTED_VALUE"""),0.0)</f>
        <v>0</v>
      </c>
      <c r="M50" s="22">
        <f>IFERROR(__xludf.DUMMYFUNCTION("""COMPUTED_VALUE"""),1000000.0)</f>
        <v>1000000</v>
      </c>
      <c r="N50" s="22">
        <f>IFERROR(__xludf.DUMMYFUNCTION("""COMPUTED_VALUE"""),0.0)</f>
        <v>0</v>
      </c>
      <c r="O50" s="22">
        <f>IFERROR(__xludf.DUMMYFUNCTION("""COMPUTED_VALUE"""),1000000.0)</f>
        <v>1000000</v>
      </c>
      <c r="P50" s="28" t="str">
        <f t="shared" si="1"/>
        <v>LUNAS</v>
      </c>
      <c r="Q50" s="28">
        <f t="shared" si="2"/>
        <v>36</v>
      </c>
      <c r="R50" s="28" t="str">
        <f t="shared" si="3"/>
        <v>HALWA MALEEHATUL FITRIYAH</v>
      </c>
    </row>
    <row r="51">
      <c r="A51" s="27">
        <f>IFERROR(__xludf.DUMMYFUNCTION("""COMPUTED_VALUE"""),50.0)</f>
        <v>50</v>
      </c>
      <c r="B51" s="28" t="str">
        <f>IFERROR(__xludf.DUMMYFUNCTION("""COMPUTED_VALUE"""),"HILWAA FARIDATUL AZIZAH")</f>
        <v>HILWAA FARIDATUL AZIZAH</v>
      </c>
      <c r="C51" s="28">
        <f>IFERROR(__xludf.DUMMYFUNCTION("""COMPUTED_VALUE"""),2.025070355E9)</f>
        <v>2025070355</v>
      </c>
      <c r="D51" s="27" t="str">
        <f>IFERROR(__xludf.DUMMYFUNCTION("""COMPUTED_VALUE"""),"E")</f>
        <v>E</v>
      </c>
      <c r="E51" s="27" t="str">
        <f>IFERROR(__xludf.DUMMYFUNCTION("""COMPUTED_VALUE"""),"E-5")</f>
        <v>E-5</v>
      </c>
      <c r="F51" s="31">
        <f>IFERROR(__xludf.DUMMYFUNCTION("""COMPUTED_VALUE"""),2.0)</f>
        <v>2</v>
      </c>
      <c r="G51" s="27" t="str">
        <f>IFERROR(__xludf.DUMMYFUNCTION("""COMPUTED_VALUE"""),"2 WUSTHO B PUTRI")</f>
        <v>2 WUSTHO B PUTRI</v>
      </c>
      <c r="H51" s="28" t="str">
        <f>IFERROR(__xludf.DUMMYFUNCTION("""COMPUTED_VALUE"""),"ZAINUL FATAH")</f>
        <v>ZAINUL FATAH</v>
      </c>
      <c r="I51" s="28" t="str">
        <f>IFERROR(__xludf.DUMMYFUNCTION("""COMPUTED_VALUE"""),"SITI UMI MAFTUKAH")</f>
        <v>SITI UMI MAFTUKAH</v>
      </c>
      <c r="J51" s="28" t="str">
        <f>IFERROR(__xludf.DUMMYFUNCTION("""COMPUTED_VALUE"""),"TINARO DUKUHAGUNG RT 004 RW 004 TIKUNG LAMONGAN")</f>
        <v>TINARO DUKUHAGUNG RT 004 RW 004 TIKUNG LAMONGAN</v>
      </c>
      <c r="K51" s="29" t="str">
        <f>IFERROR(__xludf.DUMMYFUNCTION("""COMPUTED_VALUE"""),"6288989765237")</f>
        <v>6288989765237</v>
      </c>
      <c r="L51" s="22">
        <f>IFERROR(__xludf.DUMMYFUNCTION("""COMPUTED_VALUE"""),0.0)</f>
        <v>0</v>
      </c>
      <c r="M51" s="22">
        <f>IFERROR(__xludf.DUMMYFUNCTION("""COMPUTED_VALUE"""),0.0)</f>
        <v>0</v>
      </c>
      <c r="N51" s="22">
        <f>IFERROR(__xludf.DUMMYFUNCTION("""COMPUTED_VALUE"""),0.0)</f>
        <v>0</v>
      </c>
      <c r="O51" s="22">
        <f>IFERROR(__xludf.DUMMYFUNCTION("""COMPUTED_VALUE"""),0.0)</f>
        <v>0</v>
      </c>
      <c r="P51" s="28" t="str">
        <f t="shared" si="1"/>
        <v>LUNAS</v>
      </c>
      <c r="Q51" s="28">
        <f t="shared" si="2"/>
        <v>72</v>
      </c>
      <c r="R51" s="28" t="str">
        <f t="shared" si="3"/>
        <v>HILWAA FARIDATUL AZIZAH</v>
      </c>
    </row>
    <row r="52">
      <c r="A52" s="27">
        <f>IFERROR(__xludf.DUMMYFUNCTION("""COMPUTED_VALUE"""),51.0)</f>
        <v>51</v>
      </c>
      <c r="B52" s="28" t="str">
        <f>IFERROR(__xludf.DUMMYFUNCTION("""COMPUTED_VALUE"""),"INDAH AYU FERA")</f>
        <v>INDAH AYU FERA</v>
      </c>
      <c r="C52" s="28">
        <f>IFERROR(__xludf.DUMMYFUNCTION("""COMPUTED_VALUE"""),2.025070167E9)</f>
        <v>2025070167</v>
      </c>
      <c r="D52" s="27" t="str">
        <f>IFERROR(__xludf.DUMMYFUNCTION("""COMPUTED_VALUE"""),"E")</f>
        <v>E</v>
      </c>
      <c r="E52" s="27" t="str">
        <f>IFERROR(__xludf.DUMMYFUNCTION("""COMPUTED_VALUE"""),"E-5")</f>
        <v>E-5</v>
      </c>
      <c r="F52" s="31">
        <f>IFERROR(__xludf.DUMMYFUNCTION("""COMPUTED_VALUE"""),2.0)</f>
        <v>2</v>
      </c>
      <c r="G52" s="27" t="str">
        <f>IFERROR(__xludf.DUMMYFUNCTION("""COMPUTED_VALUE"""),"2 WUSTHO B PUTRI")</f>
        <v>2 WUSTHO B PUTRI</v>
      </c>
      <c r="H52" s="28" t="str">
        <f>IFERROR(__xludf.DUMMYFUNCTION("""COMPUTED_VALUE"""),"MUDHOFIR")</f>
        <v>MUDHOFIR</v>
      </c>
      <c r="I52" s="28" t="str">
        <f>IFERROR(__xludf.DUMMYFUNCTION("""COMPUTED_VALUE"""),"KHOYUM MAHTUM")</f>
        <v>KHOYUM MAHTUM</v>
      </c>
      <c r="J52" s="28" t="str">
        <f>IFERROR(__xludf.DUMMYFUNCTION("""COMPUTED_VALUE"""),"KUCUR SIDOMUKTI RT 001 RW 001 LAMONGAN LAMONGAN")</f>
        <v>KUCUR SIDOMUKTI RT 001 RW 001 LAMONGAN LAMONGAN</v>
      </c>
      <c r="K52" s="29" t="str">
        <f>IFERROR(__xludf.DUMMYFUNCTION("""COMPUTED_VALUE"""),"6281331557560")</f>
        <v>6281331557560</v>
      </c>
      <c r="L52" s="22">
        <f>IFERROR(__xludf.DUMMYFUNCTION("""COMPUTED_VALUE"""),2000000.0)</f>
        <v>2000000</v>
      </c>
      <c r="M52" s="22">
        <f>IFERROR(__xludf.DUMMYFUNCTION("""COMPUTED_VALUE"""),0.0)</f>
        <v>0</v>
      </c>
      <c r="N52" s="22">
        <f>IFERROR(__xludf.DUMMYFUNCTION("""COMPUTED_VALUE"""),0.0)</f>
        <v>0</v>
      </c>
      <c r="O52" s="22">
        <f>IFERROR(__xludf.DUMMYFUNCTION("""COMPUTED_VALUE"""),2000000.0)</f>
        <v>2000000</v>
      </c>
      <c r="P52" s="28" t="str">
        <f t="shared" si="1"/>
        <v>LUNAS</v>
      </c>
      <c r="Q52" s="28">
        <f t="shared" si="2"/>
        <v>13</v>
      </c>
      <c r="R52" s="28" t="str">
        <f t="shared" si="3"/>
        <v>INDAH AYU FERA</v>
      </c>
    </row>
    <row r="53">
      <c r="A53" s="27">
        <f>IFERROR(__xludf.DUMMYFUNCTION("""COMPUTED_VALUE"""),52.0)</f>
        <v>52</v>
      </c>
      <c r="B53" s="28" t="str">
        <f>IFERROR(__xludf.DUMMYFUNCTION("""COMPUTED_VALUE"""),"KHANSA ZHAFIRAH AFRAH")</f>
        <v>KHANSA ZHAFIRAH AFRAH</v>
      </c>
      <c r="C53" s="28">
        <f>IFERROR(__xludf.DUMMYFUNCTION("""COMPUTED_VALUE"""),2.025070141E9)</f>
        <v>2025070141</v>
      </c>
      <c r="D53" s="27" t="str">
        <f>IFERROR(__xludf.DUMMYFUNCTION("""COMPUTED_VALUE"""),"E")</f>
        <v>E</v>
      </c>
      <c r="E53" s="27" t="str">
        <f>IFERROR(__xludf.DUMMYFUNCTION("""COMPUTED_VALUE"""),"E-5")</f>
        <v>E-5</v>
      </c>
      <c r="F53" s="31">
        <f>IFERROR(__xludf.DUMMYFUNCTION("""COMPUTED_VALUE"""),2.0)</f>
        <v>2</v>
      </c>
      <c r="G53" s="27" t="str">
        <f>IFERROR(__xludf.DUMMYFUNCTION("""COMPUTED_VALUE"""),"2 MAK PUTRI")</f>
        <v>2 MAK PUTRI</v>
      </c>
      <c r="H53" s="28" t="str">
        <f>IFERROR(__xludf.DUMMYFUNCTION("""COMPUTED_VALUE"""),"ABD. MANAN")</f>
        <v>ABD. MANAN</v>
      </c>
      <c r="I53" s="28" t="str">
        <f>IFERROR(__xludf.DUMMYFUNCTION("""COMPUTED_VALUE"""),"SUMAINAH")</f>
        <v>SUMAINAH</v>
      </c>
      <c r="J53" s="28" t="str">
        <f>IFERROR(__xludf.DUMMYFUNCTION("""COMPUTED_VALUE"""),"BANGERAN GENENG RT 001 RW 001 DUKUN GRESIK")</f>
        <v>BANGERAN GENENG RT 001 RW 001 DUKUN GRESIK</v>
      </c>
      <c r="K53" s="29" t="str">
        <f>IFERROR(__xludf.DUMMYFUNCTION("""COMPUTED_VALUE"""),"6281216956050")</f>
        <v>6281216956050</v>
      </c>
      <c r="L53" s="22">
        <f>IFERROR(__xludf.DUMMYFUNCTION("""COMPUTED_VALUE"""),1000000.0)</f>
        <v>1000000</v>
      </c>
      <c r="M53" s="22">
        <f>IFERROR(__xludf.DUMMYFUNCTION("""COMPUTED_VALUE"""),0.0)</f>
        <v>0</v>
      </c>
      <c r="N53" s="22">
        <f>IFERROR(__xludf.DUMMYFUNCTION("""COMPUTED_VALUE"""),0.0)</f>
        <v>0</v>
      </c>
      <c r="O53" s="22">
        <f>IFERROR(__xludf.DUMMYFUNCTION("""COMPUTED_VALUE"""),1000000.0)</f>
        <v>1000000</v>
      </c>
      <c r="P53" s="28" t="str">
        <f t="shared" si="1"/>
        <v>LUNAS</v>
      </c>
      <c r="Q53" s="28">
        <f t="shared" si="2"/>
        <v>37</v>
      </c>
      <c r="R53" s="28" t="str">
        <f t="shared" si="3"/>
        <v>KHANSA ZHAFIRAH AFRAH</v>
      </c>
    </row>
    <row r="54">
      <c r="A54" s="27">
        <f>IFERROR(__xludf.DUMMYFUNCTION("""COMPUTED_VALUE"""),53.0)</f>
        <v>53</v>
      </c>
      <c r="B54" s="28" t="str">
        <f>IFERROR(__xludf.DUMMYFUNCTION("""COMPUTED_VALUE"""),"MAULIDA ARIFAH")</f>
        <v>MAULIDA ARIFAH</v>
      </c>
      <c r="C54" s="28">
        <f>IFERROR(__xludf.DUMMYFUNCTION("""COMPUTED_VALUE"""),2.02507051E9)</f>
        <v>2025070510</v>
      </c>
      <c r="D54" s="27" t="str">
        <f>IFERROR(__xludf.DUMMYFUNCTION("""COMPUTED_VALUE"""),"E")</f>
        <v>E</v>
      </c>
      <c r="E54" s="27" t="str">
        <f>IFERROR(__xludf.DUMMYFUNCTION("""COMPUTED_VALUE"""),"E-5")</f>
        <v>E-5</v>
      </c>
      <c r="F54" s="31">
        <f>IFERROR(__xludf.DUMMYFUNCTION("""COMPUTED_VALUE"""),2.0)</f>
        <v>2</v>
      </c>
      <c r="G54" s="27" t="str">
        <f>IFERROR(__xludf.DUMMYFUNCTION("""COMPUTED_VALUE"""),"2 ULA A PUTRI")</f>
        <v>2 ULA A PUTRI</v>
      </c>
      <c r="H54" s="28" t="str">
        <f>IFERROR(__xludf.DUMMYFUNCTION("""COMPUTED_VALUE"""),"ALI ARIFIN")</f>
        <v>ALI ARIFIN</v>
      </c>
      <c r="I54" s="28" t="str">
        <f>IFERROR(__xludf.DUMMYFUNCTION("""COMPUTED_VALUE"""),"RIRIN ISMIATI")</f>
        <v>RIRIN ISMIATI</v>
      </c>
      <c r="J54" s="28" t="str">
        <f>IFERROR(__xludf.DUMMYFUNCTION("""COMPUTED_VALUE"""),"BLANGIT KARANGLANGIT RT 003 RW 001 LAMONGAN LAMONGAN")</f>
        <v>BLANGIT KARANGLANGIT RT 003 RW 001 LAMONGAN LAMONGAN</v>
      </c>
      <c r="K54" s="29" t="str">
        <f>IFERROR(__xludf.DUMMYFUNCTION("""COMPUTED_VALUE"""),"6281230750632")</f>
        <v>6281230750632</v>
      </c>
      <c r="L54" s="22">
        <f>IFERROR(__xludf.DUMMYFUNCTION("""COMPUTED_VALUE"""),500000.0)</f>
        <v>500000</v>
      </c>
      <c r="M54" s="22">
        <f>IFERROR(__xludf.DUMMYFUNCTION("""COMPUTED_VALUE"""),1000000.0)</f>
        <v>1000000</v>
      </c>
      <c r="N54" s="22">
        <f>IFERROR(__xludf.DUMMYFUNCTION("""COMPUTED_VALUE"""),0.0)</f>
        <v>0</v>
      </c>
      <c r="O54" s="22">
        <f>IFERROR(__xludf.DUMMYFUNCTION("""COMPUTED_VALUE"""),1500000.0)</f>
        <v>1500000</v>
      </c>
      <c r="P54" s="28" t="str">
        <f t="shared" si="1"/>
        <v>LUNAS</v>
      </c>
      <c r="Q54" s="28">
        <f t="shared" si="2"/>
        <v>21</v>
      </c>
      <c r="R54" s="28" t="str">
        <f t="shared" si="3"/>
        <v>MAULIDA ARIFAH</v>
      </c>
    </row>
    <row r="55">
      <c r="A55" s="27">
        <f>IFERROR(__xludf.DUMMYFUNCTION("""COMPUTED_VALUE"""),54.0)</f>
        <v>54</v>
      </c>
      <c r="B55" s="28" t="str">
        <f>IFERROR(__xludf.DUMMYFUNCTION("""COMPUTED_VALUE"""),"NURISMA ZIANA")</f>
        <v>NURISMA ZIANA</v>
      </c>
      <c r="C55" s="28">
        <f>IFERROR(__xludf.DUMMYFUNCTION("""COMPUTED_VALUE"""),2.025070443E9)</f>
        <v>2025070443</v>
      </c>
      <c r="D55" s="27" t="str">
        <f>IFERROR(__xludf.DUMMYFUNCTION("""COMPUTED_VALUE"""),"E")</f>
        <v>E</v>
      </c>
      <c r="E55" s="27" t="str">
        <f>IFERROR(__xludf.DUMMYFUNCTION("""COMPUTED_VALUE"""),"E-5")</f>
        <v>E-5</v>
      </c>
      <c r="F55" s="31">
        <f>IFERROR(__xludf.DUMMYFUNCTION("""COMPUTED_VALUE"""),2.0)</f>
        <v>2</v>
      </c>
      <c r="G55" s="27" t="str">
        <f>IFERROR(__xludf.DUMMYFUNCTION("""COMPUTED_VALUE"""),"2 WUSTHO D PUTRI")</f>
        <v>2 WUSTHO D PUTRI</v>
      </c>
      <c r="H55" s="28" t="str">
        <f>IFERROR(__xludf.DUMMYFUNCTION("""COMPUTED_VALUE"""),"SUGIANTO")</f>
        <v>SUGIANTO</v>
      </c>
      <c r="I55" s="28" t="str">
        <f>IFERROR(__xludf.DUMMYFUNCTION("""COMPUTED_VALUE"""),"MURIYATUN")</f>
        <v>MURIYATUN</v>
      </c>
      <c r="J55" s="28" t="str">
        <f>IFERROR(__xludf.DUMMYFUNCTION("""COMPUTED_VALUE"""),"SIWALAN RT 013 RW 005 PANCENG GRESIK")</f>
        <v>SIWALAN RT 013 RW 005 PANCENG GRESIK</v>
      </c>
      <c r="K55" s="29" t="str">
        <f>IFERROR(__xludf.DUMMYFUNCTION("""COMPUTED_VALUE"""),"6285815643321")</f>
        <v>6285815643321</v>
      </c>
      <c r="L55" s="22">
        <f>IFERROR(__xludf.DUMMYFUNCTION("""COMPUTED_VALUE"""),500000.0)</f>
        <v>500000</v>
      </c>
      <c r="M55" s="22">
        <f>IFERROR(__xludf.DUMMYFUNCTION("""COMPUTED_VALUE"""),0.0)</f>
        <v>0</v>
      </c>
      <c r="N55" s="22">
        <f>IFERROR(__xludf.DUMMYFUNCTION("""COMPUTED_VALUE"""),0.0)</f>
        <v>0</v>
      </c>
      <c r="O55" s="22">
        <f>IFERROR(__xludf.DUMMYFUNCTION("""COMPUTED_VALUE"""),500000.0)</f>
        <v>500000</v>
      </c>
      <c r="P55" s="28" t="str">
        <f t="shared" si="1"/>
        <v>LUNAS</v>
      </c>
      <c r="Q55" s="28">
        <f t="shared" si="2"/>
        <v>52</v>
      </c>
      <c r="R55" s="28" t="str">
        <f t="shared" si="3"/>
        <v>NURISMA ZIANA</v>
      </c>
    </row>
    <row r="56">
      <c r="A56" s="27">
        <f>IFERROR(__xludf.DUMMYFUNCTION("""COMPUTED_VALUE"""),55.0)</f>
        <v>55</v>
      </c>
      <c r="B56" s="28" t="str">
        <f>IFERROR(__xludf.DUMMYFUNCTION("""COMPUTED_VALUE"""),"SHOFFI NANDHA RISTASARI")</f>
        <v>SHOFFI NANDHA RISTASARI</v>
      </c>
      <c r="C56" s="28">
        <f>IFERROR(__xludf.DUMMYFUNCTION("""COMPUTED_VALUE"""),2.025070234E9)</f>
        <v>2025070234</v>
      </c>
      <c r="D56" s="27" t="str">
        <f>IFERROR(__xludf.DUMMYFUNCTION("""COMPUTED_VALUE"""),"E")</f>
        <v>E</v>
      </c>
      <c r="E56" s="27" t="str">
        <f>IFERROR(__xludf.DUMMYFUNCTION("""COMPUTED_VALUE"""),"E-5")</f>
        <v>E-5</v>
      </c>
      <c r="F56" s="31">
        <f>IFERROR(__xludf.DUMMYFUNCTION("""COMPUTED_VALUE"""),2.0)</f>
        <v>2</v>
      </c>
      <c r="G56" s="27" t="str">
        <f>IFERROR(__xludf.DUMMYFUNCTION("""COMPUTED_VALUE"""),"2 MAK PUTRI")</f>
        <v>2 MAK PUTRI</v>
      </c>
      <c r="H56" s="28" t="str">
        <f>IFERROR(__xludf.DUMMYFUNCTION("""COMPUTED_VALUE"""),"SUPARJOH")</f>
        <v>SUPARJOH</v>
      </c>
      <c r="I56" s="28" t="str">
        <f>IFERROR(__xludf.DUMMYFUNCTION("""COMPUTED_VALUE"""),"MUSYAROH")</f>
        <v>MUSYAROH</v>
      </c>
      <c r="J56" s="28" t="str">
        <f>IFERROR(__xludf.DUMMYFUNCTION("""COMPUTED_VALUE"""),"PETIYIN TAKERHARJO RT 002 RW 006 SOLOKURO LAMONGAN")</f>
        <v>PETIYIN TAKERHARJO RT 002 RW 006 SOLOKURO LAMONGAN</v>
      </c>
      <c r="K56" s="29" t="str">
        <f>IFERROR(__xludf.DUMMYFUNCTION("""COMPUTED_VALUE"""),"6285755749598")</f>
        <v>6285755749598</v>
      </c>
      <c r="L56" s="22">
        <f>IFERROR(__xludf.DUMMYFUNCTION("""COMPUTED_VALUE"""),500000.0)</f>
        <v>500000</v>
      </c>
      <c r="M56" s="22">
        <f>IFERROR(__xludf.DUMMYFUNCTION("""COMPUTED_VALUE"""),1000000.0)</f>
        <v>1000000</v>
      </c>
      <c r="N56" s="22">
        <f>IFERROR(__xludf.DUMMYFUNCTION("""COMPUTED_VALUE"""),0.0)</f>
        <v>0</v>
      </c>
      <c r="O56" s="22">
        <f>IFERROR(__xludf.DUMMYFUNCTION("""COMPUTED_VALUE"""),1500000.0)</f>
        <v>1500000</v>
      </c>
      <c r="P56" s="28" t="str">
        <f t="shared" si="1"/>
        <v>LUNAS</v>
      </c>
      <c r="Q56" s="28">
        <f t="shared" si="2"/>
        <v>22</v>
      </c>
      <c r="R56" s="28" t="str">
        <f t="shared" si="3"/>
        <v>SHOFFI NANDHA RISTASARI</v>
      </c>
    </row>
    <row r="57">
      <c r="A57" s="27">
        <f>IFERROR(__xludf.DUMMYFUNCTION("""COMPUTED_VALUE"""),56.0)</f>
        <v>56</v>
      </c>
      <c r="B57" s="28" t="str">
        <f>IFERROR(__xludf.DUMMYFUNCTION("""COMPUTED_VALUE"""),"YOGI ROFIATUS MAULA")</f>
        <v>YOGI ROFIATUS MAULA</v>
      </c>
      <c r="C57" s="28">
        <f>IFERROR(__xludf.DUMMYFUNCTION("""COMPUTED_VALUE"""),2.025070503E9)</f>
        <v>2025070503</v>
      </c>
      <c r="D57" s="27" t="str">
        <f>IFERROR(__xludf.DUMMYFUNCTION("""COMPUTED_VALUE"""),"E")</f>
        <v>E</v>
      </c>
      <c r="E57" s="27" t="str">
        <f>IFERROR(__xludf.DUMMYFUNCTION("""COMPUTED_VALUE"""),"E-5")</f>
        <v>E-5</v>
      </c>
      <c r="F57" s="31">
        <f>IFERROR(__xludf.DUMMYFUNCTION("""COMPUTED_VALUE"""),2.0)</f>
        <v>2</v>
      </c>
      <c r="G57" s="27" t="str">
        <f>IFERROR(__xludf.DUMMYFUNCTION("""COMPUTED_VALUE"""),"2 ULA C PUTRI")</f>
        <v>2 ULA C PUTRI</v>
      </c>
      <c r="H57" s="28" t="str">
        <f>IFERROR(__xludf.DUMMYFUNCTION("""COMPUTED_VALUE"""),"MOHAMMAD MUSLIK")</f>
        <v>MOHAMMAD MUSLIK</v>
      </c>
      <c r="I57" s="28" t="str">
        <f>IFERROR(__xludf.DUMMYFUNCTION("""COMPUTED_VALUE"""),"SUDARWATI")</f>
        <v>SUDARWATI</v>
      </c>
      <c r="J57" s="28" t="str">
        <f>IFERROR(__xludf.DUMMYFUNCTION("""COMPUTED_VALUE"""),"PILANG GEDANGAN RT 002 RW 003 SUKODADI LAMONGAN")</f>
        <v>PILANG GEDANGAN RT 002 RW 003 SUKODADI LAMONGAN</v>
      </c>
      <c r="K57" s="29" t="str">
        <f>IFERROR(__xludf.DUMMYFUNCTION("""COMPUTED_VALUE"""),"6285755100370")</f>
        <v>6285755100370</v>
      </c>
      <c r="L57" s="22">
        <f>IFERROR(__xludf.DUMMYFUNCTION("""COMPUTED_VALUE"""),0.0)</f>
        <v>0</v>
      </c>
      <c r="M57" s="22">
        <f>IFERROR(__xludf.DUMMYFUNCTION("""COMPUTED_VALUE"""),1000000.0)</f>
        <v>1000000</v>
      </c>
      <c r="N57" s="22">
        <f>IFERROR(__xludf.DUMMYFUNCTION("""COMPUTED_VALUE"""),0.0)</f>
        <v>0</v>
      </c>
      <c r="O57" s="22">
        <f>IFERROR(__xludf.DUMMYFUNCTION("""COMPUTED_VALUE"""),1000000.0)</f>
        <v>1000000</v>
      </c>
      <c r="P57" s="28" t="str">
        <f t="shared" si="1"/>
        <v>LUNAS</v>
      </c>
      <c r="Q57" s="28">
        <f t="shared" si="2"/>
        <v>38</v>
      </c>
      <c r="R57" s="28" t="str">
        <f t="shared" si="3"/>
        <v>YOGI ROFIATUS MAULA</v>
      </c>
    </row>
    <row r="58">
      <c r="A58" s="27">
        <f>IFERROR(__xludf.DUMMYFUNCTION("""COMPUTED_VALUE"""),57.0)</f>
        <v>57</v>
      </c>
      <c r="B58" s="28" t="str">
        <f>IFERROR(__xludf.DUMMYFUNCTION("""COMPUTED_VALUE"""),"ZAHIRA JULIA SAIDAH")</f>
        <v>ZAHIRA JULIA SAIDAH</v>
      </c>
      <c r="C58" s="28">
        <f>IFERROR(__xludf.DUMMYFUNCTION("""COMPUTED_VALUE"""),2.025070168E9)</f>
        <v>2025070168</v>
      </c>
      <c r="D58" s="27" t="str">
        <f>IFERROR(__xludf.DUMMYFUNCTION("""COMPUTED_VALUE"""),"E")</f>
        <v>E</v>
      </c>
      <c r="E58" s="27" t="str">
        <f>IFERROR(__xludf.DUMMYFUNCTION("""COMPUTED_VALUE"""),"E-5")</f>
        <v>E-5</v>
      </c>
      <c r="F58" s="31">
        <f>IFERROR(__xludf.DUMMYFUNCTION("""COMPUTED_VALUE"""),2.0)</f>
        <v>2</v>
      </c>
      <c r="G58" s="27" t="str">
        <f>IFERROR(__xludf.DUMMYFUNCTION("""COMPUTED_VALUE"""),"2 WUSTHO B PUTRI")</f>
        <v>2 WUSTHO B PUTRI</v>
      </c>
      <c r="H58" s="28" t="str">
        <f>IFERROR(__xludf.DUMMYFUNCTION("""COMPUTED_VALUE"""),"SAKIM")</f>
        <v>SAKIM</v>
      </c>
      <c r="I58" s="28" t="str">
        <f>IFERROR(__xludf.DUMMYFUNCTION("""COMPUTED_VALUE"""),"SAUDAH")</f>
        <v>SAUDAH</v>
      </c>
      <c r="J58" s="28" t="str">
        <f>IFERROR(__xludf.DUMMYFUNCTION("""COMPUTED_VALUE"""),"KUCUR SIDOMUKTI RT 002 RW 001 LAMONGAN LAMONGAN")</f>
        <v>KUCUR SIDOMUKTI RT 002 RW 001 LAMONGAN LAMONGAN</v>
      </c>
      <c r="K58" s="29" t="str">
        <f>IFERROR(__xludf.DUMMYFUNCTION("""COMPUTED_VALUE"""),"6285859402324")</f>
        <v>6285859402324</v>
      </c>
      <c r="L58" s="22">
        <f>IFERROR(__xludf.DUMMYFUNCTION("""COMPUTED_VALUE"""),3500000.0)</f>
        <v>3500000</v>
      </c>
      <c r="M58" s="22">
        <f>IFERROR(__xludf.DUMMYFUNCTION("""COMPUTED_VALUE"""),0.0)</f>
        <v>0</v>
      </c>
      <c r="N58" s="22">
        <f>IFERROR(__xludf.DUMMYFUNCTION("""COMPUTED_VALUE"""),0.0)</f>
        <v>0</v>
      </c>
      <c r="O58" s="22">
        <f>IFERROR(__xludf.DUMMYFUNCTION("""COMPUTED_VALUE"""),3500000.0)</f>
        <v>3500000</v>
      </c>
      <c r="P58" s="28" t="str">
        <f t="shared" si="1"/>
        <v>LUNAS</v>
      </c>
      <c r="Q58" s="28">
        <f t="shared" si="2"/>
        <v>5</v>
      </c>
      <c r="R58" s="28" t="str">
        <f t="shared" si="3"/>
        <v>ZAHIRA JULIA SAIDAH</v>
      </c>
    </row>
    <row r="59">
      <c r="A59" s="27">
        <f>IFERROR(__xludf.DUMMYFUNCTION("""COMPUTED_VALUE"""),58.0)</f>
        <v>58</v>
      </c>
      <c r="B59" s="28" t="str">
        <f>IFERROR(__xludf.DUMMYFUNCTION("""COMPUTED_VALUE"""),"AURA HANNA ZILFAH DLOFWATUL `AISY")</f>
        <v>AURA HANNA ZILFAH DLOFWATUL `AISY</v>
      </c>
      <c r="C59" s="28">
        <f>IFERROR(__xludf.DUMMYFUNCTION("""COMPUTED_VALUE"""),2.025070411E9)</f>
        <v>2025070411</v>
      </c>
      <c r="D59" s="27" t="str">
        <f>IFERROR(__xludf.DUMMYFUNCTION("""COMPUTED_VALUE"""),"E")</f>
        <v>E</v>
      </c>
      <c r="E59" s="27" t="str">
        <f>IFERROR(__xludf.DUMMYFUNCTION("""COMPUTED_VALUE"""),"E-5")</f>
        <v>E-5</v>
      </c>
      <c r="F59" s="31">
        <f>IFERROR(__xludf.DUMMYFUNCTION("""COMPUTED_VALUE"""),2.0)</f>
        <v>2</v>
      </c>
      <c r="G59" s="27" t="str">
        <f>IFERROR(__xludf.DUMMYFUNCTION("""COMPUTED_VALUE"""),"2 WUSTHO B PUTRI")</f>
        <v>2 WUSTHO B PUTRI</v>
      </c>
      <c r="H59" s="28" t="str">
        <f>IFERROR(__xludf.DUMMYFUNCTION("""COMPUTED_VALUE"""),"SUTIKNO")</f>
        <v>SUTIKNO</v>
      </c>
      <c r="I59" s="28" t="str">
        <f>IFERROR(__xludf.DUMMYFUNCTION("""COMPUTED_VALUE"""),"SUCI NASROTUL UMMAH")</f>
        <v>SUCI NASROTUL UMMAH</v>
      </c>
      <c r="J59" s="28" t="str">
        <f>IFERROR(__xludf.DUMMYFUNCTION("""COMPUTED_VALUE"""),"PANGEAN RT 006 RW 002 MADURAN LAMONGAN")</f>
        <v>PANGEAN RT 006 RW 002 MADURAN LAMONGAN</v>
      </c>
      <c r="K59" s="29" t="str">
        <f>IFERROR(__xludf.DUMMYFUNCTION("""COMPUTED_VALUE"""),"6282141276033")</f>
        <v>6282141276033</v>
      </c>
      <c r="L59" s="22">
        <f>IFERROR(__xludf.DUMMYFUNCTION("""COMPUTED_VALUE"""),0.0)</f>
        <v>0</v>
      </c>
      <c r="M59" s="22">
        <f>IFERROR(__xludf.DUMMYFUNCTION("""COMPUTED_VALUE"""),0.0)</f>
        <v>0</v>
      </c>
      <c r="N59" s="22">
        <f>IFERROR(__xludf.DUMMYFUNCTION("""COMPUTED_VALUE"""),0.0)</f>
        <v>0</v>
      </c>
      <c r="O59" s="22">
        <f>IFERROR(__xludf.DUMMYFUNCTION("""COMPUTED_VALUE"""),0.0)</f>
        <v>0</v>
      </c>
      <c r="P59" s="28" t="str">
        <f t="shared" si="1"/>
        <v>LUNAS</v>
      </c>
      <c r="Q59" s="28">
        <f t="shared" si="2"/>
        <v>73</v>
      </c>
      <c r="R59" s="28" t="str">
        <f t="shared" si="3"/>
        <v>AURA HANNA ZILFAH DLOFWATUL `AISY</v>
      </c>
    </row>
    <row r="60">
      <c r="A60" s="27">
        <f>IFERROR(__xludf.DUMMYFUNCTION("""COMPUTED_VALUE"""),59.0)</f>
        <v>59</v>
      </c>
      <c r="B60" s="28" t="str">
        <f>IFERROR(__xludf.DUMMYFUNCTION("""COMPUTED_VALUE"""),"NURUL AZMY")</f>
        <v>NURUL AZMY</v>
      </c>
      <c r="C60" s="28">
        <f>IFERROR(__xludf.DUMMYFUNCTION("""COMPUTED_VALUE"""),2.02507013E9)</f>
        <v>2025070130</v>
      </c>
      <c r="D60" s="27" t="str">
        <f>IFERROR(__xludf.DUMMYFUNCTION("""COMPUTED_VALUE"""),"E")</f>
        <v>E</v>
      </c>
      <c r="E60" s="27" t="str">
        <f>IFERROR(__xludf.DUMMYFUNCTION("""COMPUTED_VALUE"""),"E-5")</f>
        <v>E-5</v>
      </c>
      <c r="F60" s="31">
        <f>IFERROR(__xludf.DUMMYFUNCTION("""COMPUTED_VALUE"""),2.0)</f>
        <v>2</v>
      </c>
      <c r="G60" s="27" t="str">
        <f>IFERROR(__xludf.DUMMYFUNCTION("""COMPUTED_VALUE"""),"2 MAK PUTRI")</f>
        <v>2 MAK PUTRI</v>
      </c>
      <c r="H60" s="28" t="str">
        <f>IFERROR(__xludf.DUMMYFUNCTION("""COMPUTED_VALUE"""),"MUCHLISIN")</f>
        <v>MUCHLISIN</v>
      </c>
      <c r="I60" s="28" t="str">
        <f>IFERROR(__xludf.DUMMYFUNCTION("""COMPUTED_VALUE"""),"NUNUK UMA`IYAH")</f>
        <v>NUNUK UMA`IYAH</v>
      </c>
      <c r="J60" s="28" t="str">
        <f>IFERROR(__xludf.DUMMYFUNCTION("""COMPUTED_VALUE"""),"KEPATIHAN SUKOREJO RT 007 RW 002 TURI LAMONGAN")</f>
        <v>KEPATIHAN SUKOREJO RT 007 RW 002 TURI LAMONGAN</v>
      </c>
      <c r="K60" s="29" t="str">
        <f>IFERROR(__xludf.DUMMYFUNCTION("""COMPUTED_VALUE"""),"6285607273151")</f>
        <v>6285607273151</v>
      </c>
      <c r="L60" s="22">
        <f>IFERROR(__xludf.DUMMYFUNCTION("""COMPUTED_VALUE"""),0.0)</f>
        <v>0</v>
      </c>
      <c r="M60" s="22">
        <f>IFERROR(__xludf.DUMMYFUNCTION("""COMPUTED_VALUE"""),0.0)</f>
        <v>0</v>
      </c>
      <c r="N60" s="22">
        <f>IFERROR(__xludf.DUMMYFUNCTION("""COMPUTED_VALUE"""),0.0)</f>
        <v>0</v>
      </c>
      <c r="O60" s="22">
        <f>IFERROR(__xludf.DUMMYFUNCTION("""COMPUTED_VALUE"""),0.0)</f>
        <v>0</v>
      </c>
      <c r="P60" s="28" t="str">
        <f t="shared" si="1"/>
        <v>LUNAS</v>
      </c>
      <c r="Q60" s="28">
        <f t="shared" si="2"/>
        <v>74</v>
      </c>
      <c r="R60" s="28" t="str">
        <f t="shared" si="3"/>
        <v>NURUL AZMY</v>
      </c>
    </row>
    <row r="61">
      <c r="A61" s="27">
        <f>IFERROR(__xludf.DUMMYFUNCTION("""COMPUTED_VALUE"""),60.0)</f>
        <v>60</v>
      </c>
      <c r="B61" s="28" t="str">
        <f>IFERROR(__xludf.DUMMYFUNCTION("""COMPUTED_VALUE"""),"INTAN PUTRI CAHYANI")</f>
        <v>INTAN PUTRI CAHYANI</v>
      </c>
      <c r="C61" s="28">
        <f>IFERROR(__xludf.DUMMYFUNCTION("""COMPUTED_VALUE"""),2.025070101E9)</f>
        <v>2025070101</v>
      </c>
      <c r="D61" s="27" t="str">
        <f>IFERROR(__xludf.DUMMYFUNCTION("""COMPUTED_VALUE"""),"E")</f>
        <v>E</v>
      </c>
      <c r="E61" s="27" t="str">
        <f>IFERROR(__xludf.DUMMYFUNCTION("""COMPUTED_VALUE"""),"E-5")</f>
        <v>E-5</v>
      </c>
      <c r="F61" s="31">
        <f>IFERROR(__xludf.DUMMYFUNCTION("""COMPUTED_VALUE"""),2.0)</f>
        <v>2</v>
      </c>
      <c r="G61" s="27" t="str">
        <f>IFERROR(__xludf.DUMMYFUNCTION("""COMPUTED_VALUE"""),"2 MAK PUTRI")</f>
        <v>2 MAK PUTRI</v>
      </c>
      <c r="H61" s="28" t="str">
        <f>IFERROR(__xludf.DUMMYFUNCTION("""COMPUTED_VALUE"""),"SUMARNO")</f>
        <v>SUMARNO</v>
      </c>
      <c r="I61" s="28" t="str">
        <f>IFERROR(__xludf.DUMMYFUNCTION("""COMPUTED_VALUE"""),"TRISNA WATI")</f>
        <v>TRISNA WATI</v>
      </c>
      <c r="J61" s="28" t="str">
        <f>IFERROR(__xludf.DUMMYFUNCTION("""COMPUTED_VALUE"""),"NGASINAN KEPATIHAN RT 002 RW 007 MENGANTI GRESIK")</f>
        <v>NGASINAN KEPATIHAN RT 002 RW 007 MENGANTI GRESIK</v>
      </c>
      <c r="K61" s="29" t="str">
        <f>IFERROR(__xludf.DUMMYFUNCTION("""COMPUTED_VALUE"""),"62882010266512")</f>
        <v>62882010266512</v>
      </c>
      <c r="L61" s="22">
        <f>IFERROR(__xludf.DUMMYFUNCTION("""COMPUTED_VALUE"""),0.0)</f>
        <v>0</v>
      </c>
      <c r="M61" s="22">
        <f>IFERROR(__xludf.DUMMYFUNCTION("""COMPUTED_VALUE"""),0.0)</f>
        <v>0</v>
      </c>
      <c r="N61" s="22">
        <f>IFERROR(__xludf.DUMMYFUNCTION("""COMPUTED_VALUE"""),0.0)</f>
        <v>0</v>
      </c>
      <c r="O61" s="22">
        <f>IFERROR(__xludf.DUMMYFUNCTION("""COMPUTED_VALUE"""),0.0)</f>
        <v>0</v>
      </c>
      <c r="P61" s="28" t="str">
        <f t="shared" si="1"/>
        <v>LUNAS</v>
      </c>
      <c r="Q61" s="28">
        <f t="shared" si="2"/>
        <v>75</v>
      </c>
      <c r="R61" s="28" t="str">
        <f t="shared" si="3"/>
        <v>INTAN PUTRI CAHYANI</v>
      </c>
    </row>
    <row r="62">
      <c r="A62" s="27">
        <f>IFERROR(__xludf.DUMMYFUNCTION("""COMPUTED_VALUE"""),61.0)</f>
        <v>61</v>
      </c>
      <c r="B62" s="28" t="str">
        <f>IFERROR(__xludf.DUMMYFUNCTION("""COMPUTED_VALUE"""),"ZAIMAH LULU AZKIYAH")</f>
        <v>ZAIMAH LULU AZKIYAH</v>
      </c>
      <c r="C62" s="28">
        <f>IFERROR(__xludf.DUMMYFUNCTION("""COMPUTED_VALUE"""),2.02507021E9)</f>
        <v>2025070210</v>
      </c>
      <c r="D62" s="27" t="str">
        <f>IFERROR(__xludf.DUMMYFUNCTION("""COMPUTED_VALUE"""),"E")</f>
        <v>E</v>
      </c>
      <c r="E62" s="27" t="str">
        <f>IFERROR(__xludf.DUMMYFUNCTION("""COMPUTED_VALUE"""),"E-5")</f>
        <v>E-5</v>
      </c>
      <c r="F62" s="31">
        <f>IFERROR(__xludf.DUMMYFUNCTION("""COMPUTED_VALUE"""),2.0)</f>
        <v>2</v>
      </c>
      <c r="G62" s="27" t="str">
        <f>IFERROR(__xludf.DUMMYFUNCTION("""COMPUTED_VALUE"""),"2 WUSTHO B PUTRI")</f>
        <v>2 WUSTHO B PUTRI</v>
      </c>
      <c r="H62" s="28" t="str">
        <f>IFERROR(__xludf.DUMMYFUNCTION("""COMPUTED_VALUE"""),"FATAHUL HUDA")</f>
        <v>FATAHUL HUDA</v>
      </c>
      <c r="I62" s="28" t="str">
        <f>IFERROR(__xludf.DUMMYFUNCTION("""COMPUTED_VALUE"""),"AISOFATUL HABIBAH")</f>
        <v>AISOFATUL HABIBAH</v>
      </c>
      <c r="J62" s="28" t="str">
        <f>IFERROR(__xludf.DUMMYFUNCTION("""COMPUTED_VALUE"""),"GOWAH POMAHANJANGGAN RT 003 RW 001 TURI LAMONGAN")</f>
        <v>GOWAH POMAHANJANGGAN RT 003 RW 001 TURI LAMONGAN</v>
      </c>
      <c r="K62" s="29" t="str">
        <f>IFERROR(__xludf.DUMMYFUNCTION("""COMPUTED_VALUE"""),"6285812457269")</f>
        <v>6285812457269</v>
      </c>
      <c r="L62" s="22">
        <f>IFERROR(__xludf.DUMMYFUNCTION("""COMPUTED_VALUE"""),1000000.0)</f>
        <v>1000000</v>
      </c>
      <c r="M62" s="22">
        <f>IFERROR(__xludf.DUMMYFUNCTION("""COMPUTED_VALUE"""),0.0)</f>
        <v>0</v>
      </c>
      <c r="N62" s="22">
        <f>IFERROR(__xludf.DUMMYFUNCTION("""COMPUTED_VALUE"""),0.0)</f>
        <v>0</v>
      </c>
      <c r="O62" s="22">
        <f>IFERROR(__xludf.DUMMYFUNCTION("""COMPUTED_VALUE"""),1000000.0)</f>
        <v>1000000</v>
      </c>
      <c r="P62" s="28" t="str">
        <f t="shared" si="1"/>
        <v>LUNAS</v>
      </c>
      <c r="Q62" s="28">
        <f t="shared" si="2"/>
        <v>39</v>
      </c>
      <c r="R62" s="28" t="str">
        <f t="shared" si="3"/>
        <v>ZAIMAH LULU AZKIYAH</v>
      </c>
    </row>
    <row r="63">
      <c r="A63" s="27">
        <f>IFERROR(__xludf.DUMMYFUNCTION("""COMPUTED_VALUE"""),62.0)</f>
        <v>62</v>
      </c>
      <c r="B63" s="28" t="str">
        <f>IFERROR(__xludf.DUMMYFUNCTION("""COMPUTED_VALUE"""),"ANISA RETNO LULUK NUR MANGGALI")</f>
        <v>ANISA RETNO LULUK NUR MANGGALI</v>
      </c>
      <c r="C63" s="28">
        <f>IFERROR(__xludf.DUMMYFUNCTION("""COMPUTED_VALUE"""),2.025070598E9)</f>
        <v>2025070598</v>
      </c>
      <c r="D63" s="27" t="str">
        <f>IFERROR(__xludf.DUMMYFUNCTION("""COMPUTED_VALUE"""),"E")</f>
        <v>E</v>
      </c>
      <c r="E63" s="27" t="str">
        <f>IFERROR(__xludf.DUMMYFUNCTION("""COMPUTED_VALUE"""),"E-6")</f>
        <v>E-6</v>
      </c>
      <c r="F63" s="31">
        <f>IFERROR(__xludf.DUMMYFUNCTION("""COMPUTED_VALUE"""),2.0)</f>
        <v>2</v>
      </c>
      <c r="G63" s="27" t="str">
        <f>IFERROR(__xludf.DUMMYFUNCTION("""COMPUTED_VALUE"""),"2 ULA C PUTRI")</f>
        <v>2 ULA C PUTRI</v>
      </c>
      <c r="H63" s="28" t="str">
        <f>IFERROR(__xludf.DUMMYFUNCTION("""COMPUTED_VALUE"""),"ARIPIN")</f>
        <v>ARIPIN</v>
      </c>
      <c r="I63" s="28" t="str">
        <f>IFERROR(__xludf.DUMMYFUNCTION("""COMPUTED_VALUE"""),"LULUK MAHFUDHOTIN")</f>
        <v>LULUK MAHFUDHOTIN</v>
      </c>
      <c r="J63" s="28" t="str">
        <f>IFERROR(__xludf.DUMMYFUNCTION("""COMPUTED_VALUE"""),"KLITIK RT 019 RW 005 SUGIHWARAS BOJONEGORO")</f>
        <v>KLITIK RT 019 RW 005 SUGIHWARAS BOJONEGORO</v>
      </c>
      <c r="K63" s="29" t="str">
        <f>IFERROR(__xludf.DUMMYFUNCTION("""COMPUTED_VALUE"""),"6285749892788")</f>
        <v>6285749892788</v>
      </c>
      <c r="L63" s="22">
        <f>IFERROR(__xludf.DUMMYFUNCTION("""COMPUTED_VALUE"""),0.0)</f>
        <v>0</v>
      </c>
      <c r="M63" s="22">
        <f>IFERROR(__xludf.DUMMYFUNCTION("""COMPUTED_VALUE"""),200000.0)</f>
        <v>200000</v>
      </c>
      <c r="N63" s="22">
        <f>IFERROR(__xludf.DUMMYFUNCTION("""COMPUTED_VALUE"""),0.0)</f>
        <v>0</v>
      </c>
      <c r="O63" s="22">
        <f>IFERROR(__xludf.DUMMYFUNCTION("""COMPUTED_VALUE"""),200000.0)</f>
        <v>200000</v>
      </c>
      <c r="P63" s="28" t="str">
        <f t="shared" si="1"/>
        <v>LUNAS</v>
      </c>
      <c r="Q63" s="28">
        <f t="shared" si="2"/>
        <v>57</v>
      </c>
      <c r="R63" s="28" t="str">
        <f t="shared" si="3"/>
        <v>ANISA RETNO LULUK NUR MANGGALI</v>
      </c>
    </row>
    <row r="64">
      <c r="A64" s="27">
        <f>IFERROR(__xludf.DUMMYFUNCTION("""COMPUTED_VALUE"""),63.0)</f>
        <v>63</v>
      </c>
      <c r="B64" s="28" t="str">
        <f>IFERROR(__xludf.DUMMYFUNCTION("""COMPUTED_VALUE"""),"ANITA RETNO LULUK NUR WAKISTASARI")</f>
        <v>ANITA RETNO LULUK NUR WAKISTASARI</v>
      </c>
      <c r="C64" s="28">
        <f>IFERROR(__xludf.DUMMYFUNCTION("""COMPUTED_VALUE"""),2.025070599E9)</f>
        <v>2025070599</v>
      </c>
      <c r="D64" s="27" t="str">
        <f>IFERROR(__xludf.DUMMYFUNCTION("""COMPUTED_VALUE"""),"E")</f>
        <v>E</v>
      </c>
      <c r="E64" s="27" t="str">
        <f>IFERROR(__xludf.DUMMYFUNCTION("""COMPUTED_VALUE"""),"E-6")</f>
        <v>E-6</v>
      </c>
      <c r="F64" s="31">
        <f>IFERROR(__xludf.DUMMYFUNCTION("""COMPUTED_VALUE"""),2.0)</f>
        <v>2</v>
      </c>
      <c r="G64" s="27" t="str">
        <f>IFERROR(__xludf.DUMMYFUNCTION("""COMPUTED_VALUE"""),"2 ULA B PUTRI")</f>
        <v>2 ULA B PUTRI</v>
      </c>
      <c r="H64" s="28" t="str">
        <f>IFERROR(__xludf.DUMMYFUNCTION("""COMPUTED_VALUE"""),"ARIPIN")</f>
        <v>ARIPIN</v>
      </c>
      <c r="I64" s="28" t="str">
        <f>IFERROR(__xludf.DUMMYFUNCTION("""COMPUTED_VALUE"""),"LULUK MAHFUDHOTIN")</f>
        <v>LULUK MAHFUDHOTIN</v>
      </c>
      <c r="J64" s="28" t="str">
        <f>IFERROR(__xludf.DUMMYFUNCTION("""COMPUTED_VALUE"""),"KLITIK RT 019 RW 005 SUGIHWARAS BOJONEGORO")</f>
        <v>KLITIK RT 019 RW 005 SUGIHWARAS BOJONEGORO</v>
      </c>
      <c r="K64" s="29" t="str">
        <f>IFERROR(__xludf.DUMMYFUNCTION("""COMPUTED_VALUE"""),"6285749892788")</f>
        <v>6285749892788</v>
      </c>
      <c r="L64" s="22">
        <f>IFERROR(__xludf.DUMMYFUNCTION("""COMPUTED_VALUE"""),0.0)</f>
        <v>0</v>
      </c>
      <c r="M64" s="22">
        <f>IFERROR(__xludf.DUMMYFUNCTION("""COMPUTED_VALUE"""),200000.0)</f>
        <v>200000</v>
      </c>
      <c r="N64" s="22">
        <f>IFERROR(__xludf.DUMMYFUNCTION("""COMPUTED_VALUE"""),0.0)</f>
        <v>0</v>
      </c>
      <c r="O64" s="22">
        <f>IFERROR(__xludf.DUMMYFUNCTION("""COMPUTED_VALUE"""),200000.0)</f>
        <v>200000</v>
      </c>
      <c r="P64" s="28" t="str">
        <f t="shared" si="1"/>
        <v>LUNAS</v>
      </c>
      <c r="Q64" s="28">
        <f t="shared" si="2"/>
        <v>58</v>
      </c>
      <c r="R64" s="28" t="str">
        <f t="shared" si="3"/>
        <v>ANITA RETNO LULUK NUR WAKISTASARI</v>
      </c>
    </row>
    <row r="65">
      <c r="A65" s="27">
        <f>IFERROR(__xludf.DUMMYFUNCTION("""COMPUTED_VALUE"""),64.0)</f>
        <v>64</v>
      </c>
      <c r="B65" s="28" t="str">
        <f>IFERROR(__xludf.DUMMYFUNCTION("""COMPUTED_VALUE"""),"ASYIFATUR RAHMAH AL AZZA")</f>
        <v>ASYIFATUR RAHMAH AL AZZA</v>
      </c>
      <c r="C65" s="28">
        <f>IFERROR(__xludf.DUMMYFUNCTION("""COMPUTED_VALUE"""),2.025070664E9)</f>
        <v>2025070664</v>
      </c>
      <c r="D65" s="27" t="str">
        <f>IFERROR(__xludf.DUMMYFUNCTION("""COMPUTED_VALUE"""),"E")</f>
        <v>E</v>
      </c>
      <c r="E65" s="27" t="str">
        <f>IFERROR(__xludf.DUMMYFUNCTION("""COMPUTED_VALUE"""),"E-6")</f>
        <v>E-6</v>
      </c>
      <c r="F65" s="31">
        <f>IFERROR(__xludf.DUMMYFUNCTION("""COMPUTED_VALUE"""),2.0)</f>
        <v>2</v>
      </c>
      <c r="G65" s="27" t="str">
        <f>IFERROR(__xludf.DUMMYFUNCTION("""COMPUTED_VALUE"""),"2 ULA B PUTRI")</f>
        <v>2 ULA B PUTRI</v>
      </c>
      <c r="H65" s="28" t="str">
        <f>IFERROR(__xludf.DUMMYFUNCTION("""COMPUTED_VALUE"""),"MARKUWAT")</f>
        <v>MARKUWAT</v>
      </c>
      <c r="I65" s="28" t="str">
        <f>IFERROR(__xludf.DUMMYFUNCTION("""COMPUTED_VALUE"""),"KHOLIFAH")</f>
        <v>KHOLIFAH</v>
      </c>
      <c r="J65" s="28" t="str">
        <f>IFERROR(__xludf.DUMMYFUNCTION("""COMPUTED_VALUE"""),"DIBEE RT 009 RW 003 KALITENGAH LAMONGAN")</f>
        <v>DIBEE RT 009 RW 003 KALITENGAH LAMONGAN</v>
      </c>
      <c r="K65" s="29" t="str">
        <f>IFERROR(__xludf.DUMMYFUNCTION("""COMPUTED_VALUE"""),"6285859446395")</f>
        <v>6285859446395</v>
      </c>
      <c r="L65" s="22">
        <f>IFERROR(__xludf.DUMMYFUNCTION("""COMPUTED_VALUE"""),3000000.0)</f>
        <v>3000000</v>
      </c>
      <c r="M65" s="22">
        <f>IFERROR(__xludf.DUMMYFUNCTION("""COMPUTED_VALUE"""),0.0)</f>
        <v>0</v>
      </c>
      <c r="N65" s="22">
        <f>IFERROR(__xludf.DUMMYFUNCTION("""COMPUTED_VALUE"""),0.0)</f>
        <v>0</v>
      </c>
      <c r="O65" s="22">
        <f>IFERROR(__xludf.DUMMYFUNCTION("""COMPUTED_VALUE"""),3000000.0)</f>
        <v>3000000</v>
      </c>
      <c r="P65" s="28" t="str">
        <f t="shared" si="1"/>
        <v>LUNAS</v>
      </c>
      <c r="Q65" s="28">
        <f t="shared" si="2"/>
        <v>8</v>
      </c>
      <c r="R65" s="28" t="str">
        <f t="shared" si="3"/>
        <v>ASYIFATUR RAHMAH AL AZZA</v>
      </c>
    </row>
    <row r="66">
      <c r="A66" s="27">
        <f>IFERROR(__xludf.DUMMYFUNCTION("""COMPUTED_VALUE"""),65.0)</f>
        <v>65</v>
      </c>
      <c r="B66" s="28" t="str">
        <f>IFERROR(__xludf.DUMMYFUNCTION("""COMPUTED_VALUE"""),"CITRA RAMADHANIA ABDILLAH")</f>
        <v>CITRA RAMADHANIA ABDILLAH</v>
      </c>
      <c r="C66" s="28">
        <f>IFERROR(__xludf.DUMMYFUNCTION("""COMPUTED_VALUE"""),2.025070549E9)</f>
        <v>2025070549</v>
      </c>
      <c r="D66" s="27" t="str">
        <f>IFERROR(__xludf.DUMMYFUNCTION("""COMPUTED_VALUE"""),"E")</f>
        <v>E</v>
      </c>
      <c r="E66" s="27" t="str">
        <f>IFERROR(__xludf.DUMMYFUNCTION("""COMPUTED_VALUE"""),"E-6")</f>
        <v>E-6</v>
      </c>
      <c r="F66" s="31">
        <f>IFERROR(__xludf.DUMMYFUNCTION("""COMPUTED_VALUE"""),2.0)</f>
        <v>2</v>
      </c>
      <c r="G66" s="27" t="str">
        <f>IFERROR(__xludf.DUMMYFUNCTION("""COMPUTED_VALUE"""),"2 ULA B PUTRI")</f>
        <v>2 ULA B PUTRI</v>
      </c>
      <c r="H66" s="28" t="str">
        <f>IFERROR(__xludf.DUMMYFUNCTION("""COMPUTED_VALUE"""),"ABDULLAH")</f>
        <v>ABDULLAH</v>
      </c>
      <c r="I66" s="28" t="str">
        <f>IFERROR(__xludf.DUMMYFUNCTION("""COMPUTED_VALUE"""),"WIJIANTI")</f>
        <v>WIJIANTI</v>
      </c>
      <c r="J66" s="28" t="str">
        <f>IFERROR(__xludf.DUMMYFUNCTION("""COMPUTED_VALUE"""),"BETOYOGUCI RT 014 RW 005 MANYAR GRESIK")</f>
        <v>BETOYOGUCI RT 014 RW 005 MANYAR GRESIK</v>
      </c>
      <c r="K66" s="29" t="str">
        <f>IFERROR(__xludf.DUMMYFUNCTION("""COMPUTED_VALUE"""),"6281293344944")</f>
        <v>6281293344944</v>
      </c>
      <c r="L66" s="22">
        <f>IFERROR(__xludf.DUMMYFUNCTION("""COMPUTED_VALUE"""),0.0)</f>
        <v>0</v>
      </c>
      <c r="M66" s="22">
        <f>IFERROR(__xludf.DUMMYFUNCTION("""COMPUTED_VALUE"""),0.0)</f>
        <v>0</v>
      </c>
      <c r="N66" s="22">
        <f>IFERROR(__xludf.DUMMYFUNCTION("""COMPUTED_VALUE"""),0.0)</f>
        <v>0</v>
      </c>
      <c r="O66" s="22">
        <f>IFERROR(__xludf.DUMMYFUNCTION("""COMPUTED_VALUE"""),0.0)</f>
        <v>0</v>
      </c>
      <c r="P66" s="28" t="str">
        <f t="shared" si="1"/>
        <v>LUNAS</v>
      </c>
      <c r="Q66" s="28">
        <f t="shared" si="2"/>
        <v>76</v>
      </c>
      <c r="R66" s="28" t="str">
        <f t="shared" si="3"/>
        <v>CITRA RAMADHANIA ABDILLAH</v>
      </c>
    </row>
    <row r="67">
      <c r="A67" s="27">
        <f>IFERROR(__xludf.DUMMYFUNCTION("""COMPUTED_VALUE"""),66.0)</f>
        <v>66</v>
      </c>
      <c r="B67" s="28" t="str">
        <f>IFERROR(__xludf.DUMMYFUNCTION("""COMPUTED_VALUE"""),"FAIZAH WAHIDATUR RAHMAH")</f>
        <v>FAIZAH WAHIDATUR RAHMAH</v>
      </c>
      <c r="C67" s="28">
        <f>IFERROR(__xludf.DUMMYFUNCTION("""COMPUTED_VALUE"""),2.02507057E9)</f>
        <v>2025070570</v>
      </c>
      <c r="D67" s="27" t="str">
        <f>IFERROR(__xludf.DUMMYFUNCTION("""COMPUTED_VALUE"""),"E")</f>
        <v>E</v>
      </c>
      <c r="E67" s="27" t="str">
        <f>IFERROR(__xludf.DUMMYFUNCTION("""COMPUTED_VALUE"""),"E-6")</f>
        <v>E-6</v>
      </c>
      <c r="F67" s="31">
        <f>IFERROR(__xludf.DUMMYFUNCTION("""COMPUTED_VALUE"""),2.0)</f>
        <v>2</v>
      </c>
      <c r="G67" s="27" t="str">
        <f>IFERROR(__xludf.DUMMYFUNCTION("""COMPUTED_VALUE"""),"2 ULA B PUTRI")</f>
        <v>2 ULA B PUTRI</v>
      </c>
      <c r="H67" s="28" t="str">
        <f>IFERROR(__xludf.DUMMYFUNCTION("""COMPUTED_VALUE"""),"ARIF RAHMAN")</f>
        <v>ARIF RAHMAN</v>
      </c>
      <c r="I67" s="28" t="str">
        <f>IFERROR(__xludf.DUMMYFUNCTION("""COMPUTED_VALUE"""),"MAISYATUL FARIDAH")</f>
        <v>MAISYATUL FARIDAH</v>
      </c>
      <c r="J67" s="28" t="str">
        <f>IFERROR(__xludf.DUMMYFUNCTION("""COMPUTED_VALUE"""),"JL. SUNAN DRAJAT NO. 87 SIDOHARJO RT 002 RW 002 LAMONGAN LAMONGAN")</f>
        <v>JL. SUNAN DRAJAT NO. 87 SIDOHARJO RT 002 RW 002 LAMONGAN LAMONGAN</v>
      </c>
      <c r="K67" s="29" t="str">
        <f>IFERROR(__xludf.DUMMYFUNCTION("""COMPUTED_VALUE"""),"6287701956767")</f>
        <v>6287701956767</v>
      </c>
      <c r="L67" s="22">
        <f>IFERROR(__xludf.DUMMYFUNCTION("""COMPUTED_VALUE"""),0.0)</f>
        <v>0</v>
      </c>
      <c r="M67" s="22">
        <f>IFERROR(__xludf.DUMMYFUNCTION("""COMPUTED_VALUE"""),1000000.0)</f>
        <v>1000000</v>
      </c>
      <c r="N67" s="22">
        <f>IFERROR(__xludf.DUMMYFUNCTION("""COMPUTED_VALUE"""),0.0)</f>
        <v>0</v>
      </c>
      <c r="O67" s="22">
        <f>IFERROR(__xludf.DUMMYFUNCTION("""COMPUTED_VALUE"""),1000000.0)</f>
        <v>1000000</v>
      </c>
      <c r="P67" s="28" t="str">
        <f t="shared" si="1"/>
        <v>LUNAS</v>
      </c>
      <c r="Q67" s="28">
        <f t="shared" si="2"/>
        <v>40</v>
      </c>
      <c r="R67" s="28" t="str">
        <f t="shared" si="3"/>
        <v>FAIZAH WAHIDATUR RAHMAH</v>
      </c>
    </row>
    <row r="68">
      <c r="A68" s="27">
        <f>IFERROR(__xludf.DUMMYFUNCTION("""COMPUTED_VALUE"""),67.0)</f>
        <v>67</v>
      </c>
      <c r="B68" s="28" t="str">
        <f>IFERROR(__xludf.DUMMYFUNCTION("""COMPUTED_VALUE"""),"TITIN HAMIDAH ALIFIA")</f>
        <v>TITIN HAMIDAH ALIFIA</v>
      </c>
      <c r="C68" s="28">
        <f>IFERROR(__xludf.DUMMYFUNCTION("""COMPUTED_VALUE"""),2.025070581E9)</f>
        <v>2025070581</v>
      </c>
      <c r="D68" s="27" t="str">
        <f>IFERROR(__xludf.DUMMYFUNCTION("""COMPUTED_VALUE"""),"E")</f>
        <v>E</v>
      </c>
      <c r="E68" s="27" t="str">
        <f>IFERROR(__xludf.DUMMYFUNCTION("""COMPUTED_VALUE"""),"E-6")</f>
        <v>E-6</v>
      </c>
      <c r="F68" s="31">
        <f>IFERROR(__xludf.DUMMYFUNCTION("""COMPUTED_VALUE"""),2.0)</f>
        <v>2</v>
      </c>
      <c r="G68" s="27" t="str">
        <f>IFERROR(__xludf.DUMMYFUNCTION("""COMPUTED_VALUE"""),"2 ULA A PUTRI")</f>
        <v>2 ULA A PUTRI</v>
      </c>
      <c r="H68" s="28" t="str">
        <f>IFERROR(__xludf.DUMMYFUNCTION("""COMPUTED_VALUE"""),"AHMAD")</f>
        <v>AHMAD</v>
      </c>
      <c r="I68" s="28" t="str">
        <f>IFERROR(__xludf.DUMMYFUNCTION("""COMPUTED_VALUE"""),"SITI MAGHFIROH")</f>
        <v>SITI MAGHFIROH</v>
      </c>
      <c r="J68" s="28" t="str">
        <f>IFERROR(__xludf.DUMMYFUNCTION("""COMPUTED_VALUE"""),"GUYANGAN KEMLAGIGEDE RT 013 RW 003 TURI LAMONGAN")</f>
        <v>GUYANGAN KEMLAGIGEDE RT 013 RW 003 TURI LAMONGAN</v>
      </c>
      <c r="K68" s="29" t="str">
        <f>IFERROR(__xludf.DUMMYFUNCTION("""COMPUTED_VALUE"""),"6285755628243")</f>
        <v>6285755628243</v>
      </c>
      <c r="L68" s="22">
        <f>IFERROR(__xludf.DUMMYFUNCTION("""COMPUTED_VALUE"""),0.0)</f>
        <v>0</v>
      </c>
      <c r="M68" s="22">
        <f>IFERROR(__xludf.DUMMYFUNCTION("""COMPUTED_VALUE"""),500000.0)</f>
        <v>500000</v>
      </c>
      <c r="N68" s="22">
        <f>IFERROR(__xludf.DUMMYFUNCTION("""COMPUTED_VALUE"""),0.0)</f>
        <v>0</v>
      </c>
      <c r="O68" s="22">
        <f>IFERROR(__xludf.DUMMYFUNCTION("""COMPUTED_VALUE"""),500000.0)</f>
        <v>500000</v>
      </c>
      <c r="P68" s="28" t="str">
        <f t="shared" si="1"/>
        <v>LUNAS</v>
      </c>
      <c r="Q68" s="28">
        <f t="shared" si="2"/>
        <v>53</v>
      </c>
      <c r="R68" s="28" t="str">
        <f t="shared" si="3"/>
        <v>TITIN HAMIDAH ALIFIA</v>
      </c>
    </row>
    <row r="69">
      <c r="A69" s="27">
        <f>IFERROR(__xludf.DUMMYFUNCTION("""COMPUTED_VALUE"""),68.0)</f>
        <v>68</v>
      </c>
      <c r="B69" s="28" t="str">
        <f>IFERROR(__xludf.DUMMYFUNCTION("""COMPUTED_VALUE"""),"AJENG `AINUS SHOFIA")</f>
        <v>AJENG `AINUS SHOFIA</v>
      </c>
      <c r="C69" s="28">
        <f>IFERROR(__xludf.DUMMYFUNCTION("""COMPUTED_VALUE"""),2.025070024E9)</f>
        <v>2025070024</v>
      </c>
      <c r="D69" s="27" t="str">
        <f>IFERROR(__xludf.DUMMYFUNCTION("""COMPUTED_VALUE"""),"E")</f>
        <v>E</v>
      </c>
      <c r="E69" s="27" t="str">
        <f>IFERROR(__xludf.DUMMYFUNCTION("""COMPUTED_VALUE"""),"E-6")</f>
        <v>E-6</v>
      </c>
      <c r="F69" s="31">
        <f>IFERROR(__xludf.DUMMYFUNCTION("""COMPUTED_VALUE"""),2.0)</f>
        <v>2</v>
      </c>
      <c r="G69" s="27" t="str">
        <f>IFERROR(__xludf.DUMMYFUNCTION("""COMPUTED_VALUE"""),"2 WUSTHO B PUTRI")</f>
        <v>2 WUSTHO B PUTRI</v>
      </c>
      <c r="H69" s="28" t="str">
        <f>IFERROR(__xludf.DUMMYFUNCTION("""COMPUTED_VALUE"""),"KHOIRUL HUDA")</f>
        <v>KHOIRUL HUDA</v>
      </c>
      <c r="I69" s="28" t="str">
        <f>IFERROR(__xludf.DUMMYFUNCTION("""COMPUTED_VALUE"""),"TUTUS YUVANA")</f>
        <v>TUTUS YUVANA</v>
      </c>
      <c r="J69" s="28" t="str">
        <f>IFERROR(__xludf.DUMMYFUNCTION("""COMPUTED_VALUE"""),"GUMINING GUMININGREJO RT 003 RW 001 TIKUNG LAMONGAN")</f>
        <v>GUMINING GUMININGREJO RT 003 RW 001 TIKUNG LAMONGAN</v>
      </c>
      <c r="K69" s="29" t="str">
        <f>IFERROR(__xludf.DUMMYFUNCTION("""COMPUTED_VALUE"""),"62816216569")</f>
        <v>62816216569</v>
      </c>
      <c r="L69" s="22">
        <f>IFERROR(__xludf.DUMMYFUNCTION("""COMPUTED_VALUE"""),0.0)</f>
        <v>0</v>
      </c>
      <c r="M69" s="22">
        <f>IFERROR(__xludf.DUMMYFUNCTION("""COMPUTED_VALUE"""),0.0)</f>
        <v>0</v>
      </c>
      <c r="N69" s="22">
        <f>IFERROR(__xludf.DUMMYFUNCTION("""COMPUTED_VALUE"""),0.0)</f>
        <v>0</v>
      </c>
      <c r="O69" s="22">
        <f>IFERROR(__xludf.DUMMYFUNCTION("""COMPUTED_VALUE"""),0.0)</f>
        <v>0</v>
      </c>
      <c r="P69" s="28" t="str">
        <f t="shared" si="1"/>
        <v>LUNAS</v>
      </c>
      <c r="Q69" s="28">
        <f t="shared" si="2"/>
        <v>77</v>
      </c>
      <c r="R69" s="28" t="str">
        <f t="shared" si="3"/>
        <v>AJENG `AINUS SHOFIA</v>
      </c>
    </row>
    <row r="70">
      <c r="A70" s="27">
        <f>IFERROR(__xludf.DUMMYFUNCTION("""COMPUTED_VALUE"""),69.0)</f>
        <v>69</v>
      </c>
      <c r="B70" s="28" t="str">
        <f>IFERROR(__xludf.DUMMYFUNCTION("""COMPUTED_VALUE"""),"NI`MATUL JANNAH")</f>
        <v>NI`MATUL JANNAH</v>
      </c>
      <c r="C70" s="28">
        <f>IFERROR(__xludf.DUMMYFUNCTION("""COMPUTED_VALUE"""),2.025070199E9)</f>
        <v>2025070199</v>
      </c>
      <c r="D70" s="27" t="str">
        <f>IFERROR(__xludf.DUMMYFUNCTION("""COMPUTED_VALUE"""),"E")</f>
        <v>E</v>
      </c>
      <c r="E70" s="27" t="str">
        <f>IFERROR(__xludf.DUMMYFUNCTION("""COMPUTED_VALUE"""),"E-6")</f>
        <v>E-6</v>
      </c>
      <c r="F70" s="31">
        <f>IFERROR(__xludf.DUMMYFUNCTION("""COMPUTED_VALUE"""),2.0)</f>
        <v>2</v>
      </c>
      <c r="G70" s="27" t="str">
        <f>IFERROR(__xludf.DUMMYFUNCTION("""COMPUTED_VALUE"""),"2 MAK PUTRI")</f>
        <v>2 MAK PUTRI</v>
      </c>
      <c r="H70" s="28" t="str">
        <f>IFERROR(__xludf.DUMMYFUNCTION("""COMPUTED_VALUE"""),"IMAM FAUZI")</f>
        <v>IMAM FAUZI</v>
      </c>
      <c r="I70" s="28" t="str">
        <f>IFERROR(__xludf.DUMMYFUNCTION("""COMPUTED_VALUE"""),"YUSROTIN")</f>
        <v>YUSROTIN</v>
      </c>
      <c r="J70" s="28" t="str">
        <f>IFERROR(__xludf.DUMMYFUNCTION("""COMPUTED_VALUE"""),"GEDONGKEDOAN RT 002 RW 001 DUKUN GRESIK")</f>
        <v>GEDONGKEDOAN RT 002 RW 001 DUKUN GRESIK</v>
      </c>
      <c r="K70" s="29" t="str">
        <f>IFERROR(__xludf.DUMMYFUNCTION("""COMPUTED_VALUE"""),"6285606014252")</f>
        <v>6285606014252</v>
      </c>
      <c r="L70" s="22">
        <f>IFERROR(__xludf.DUMMYFUNCTION("""COMPUTED_VALUE"""),0.0)</f>
        <v>0</v>
      </c>
      <c r="M70" s="22">
        <f>IFERROR(__xludf.DUMMYFUNCTION("""COMPUTED_VALUE"""),0.0)</f>
        <v>0</v>
      </c>
      <c r="N70" s="22">
        <f>IFERROR(__xludf.DUMMYFUNCTION("""COMPUTED_VALUE"""),0.0)</f>
        <v>0</v>
      </c>
      <c r="O70" s="22">
        <f>IFERROR(__xludf.DUMMYFUNCTION("""COMPUTED_VALUE"""),0.0)</f>
        <v>0</v>
      </c>
      <c r="P70" s="28" t="str">
        <f t="shared" si="1"/>
        <v>LUNAS</v>
      </c>
      <c r="Q70" s="28">
        <f t="shared" si="2"/>
        <v>78</v>
      </c>
      <c r="R70" s="28" t="str">
        <f t="shared" si="3"/>
        <v>NI`MATUL JANNAH</v>
      </c>
    </row>
    <row r="71">
      <c r="A71" s="27">
        <f>IFERROR(__xludf.DUMMYFUNCTION("""COMPUTED_VALUE"""),70.0)</f>
        <v>70</v>
      </c>
      <c r="B71" s="28" t="str">
        <f>IFERROR(__xludf.DUMMYFUNCTION("""COMPUTED_VALUE"""),"AIDA NURUL AINI")</f>
        <v>AIDA NURUL AINI</v>
      </c>
      <c r="C71" s="28">
        <f>IFERROR(__xludf.DUMMYFUNCTION("""COMPUTED_VALUE"""),2.024070582E9)</f>
        <v>2024070582</v>
      </c>
      <c r="D71" s="27" t="str">
        <f>IFERROR(__xludf.DUMMYFUNCTION("""COMPUTED_VALUE"""),"E")</f>
        <v>E</v>
      </c>
      <c r="E71" s="27" t="str">
        <f>IFERROR(__xludf.DUMMYFUNCTION("""COMPUTED_VALUE"""),"E-9")</f>
        <v>E-9</v>
      </c>
      <c r="F71" s="31">
        <f>IFERROR(__xludf.DUMMYFUNCTION("""COMPUTED_VALUE"""),3.0)</f>
        <v>3</v>
      </c>
      <c r="G71" s="27" t="str">
        <f>IFERROR(__xludf.DUMMYFUNCTION("""COMPUTED_VALUE"""),"3 ULA A PUTRI")</f>
        <v>3 ULA A PUTRI</v>
      </c>
      <c r="H71" s="28" t="str">
        <f>IFERROR(__xludf.DUMMYFUNCTION("""COMPUTED_VALUE"""),"NURUL MISBAH")</f>
        <v>NURUL MISBAH</v>
      </c>
      <c r="I71" s="28" t="str">
        <f>IFERROR(__xludf.DUMMYFUNCTION("""COMPUTED_VALUE"""),"ZAINATUR ROBIHAH")</f>
        <v>ZAINATUR ROBIHAH</v>
      </c>
      <c r="J71" s="28" t="str">
        <f>IFERROR(__xludf.DUMMYFUNCTION("""COMPUTED_VALUE"""),"BANGERAN GENENG RT 003 RW 002 DUKUN GRESIK")</f>
        <v>BANGERAN GENENG RT 003 RW 002 DUKUN GRESIK</v>
      </c>
      <c r="K71" s="29" t="str">
        <f>IFERROR(__xludf.DUMMYFUNCTION("""COMPUTED_VALUE"""),"6285732704608")</f>
        <v>6285732704608</v>
      </c>
      <c r="L71" s="22">
        <f>IFERROR(__xludf.DUMMYFUNCTION("""COMPUTED_VALUE"""),0.0)</f>
        <v>0</v>
      </c>
      <c r="M71" s="22">
        <f>IFERROR(__xludf.DUMMYFUNCTION("""COMPUTED_VALUE"""),1000000.0)</f>
        <v>1000000</v>
      </c>
      <c r="N71" s="22">
        <f>IFERROR(__xludf.DUMMYFUNCTION("""COMPUTED_VALUE"""),0.0)</f>
        <v>0</v>
      </c>
      <c r="O71" s="22">
        <f>IFERROR(__xludf.DUMMYFUNCTION("""COMPUTED_VALUE"""),1000000.0)</f>
        <v>1000000</v>
      </c>
      <c r="P71" s="28" t="str">
        <f t="shared" si="1"/>
        <v>LUNAS</v>
      </c>
      <c r="Q71" s="28">
        <f t="shared" si="2"/>
        <v>41</v>
      </c>
      <c r="R71" s="28" t="str">
        <f t="shared" si="3"/>
        <v>AIDA NURUL AINI</v>
      </c>
    </row>
    <row r="72">
      <c r="A72" s="27">
        <f>IFERROR(__xludf.DUMMYFUNCTION("""COMPUTED_VALUE"""),71.0)</f>
        <v>71</v>
      </c>
      <c r="B72" s="28" t="str">
        <f>IFERROR(__xludf.DUMMYFUNCTION("""COMPUTED_VALUE"""),"AIKE NESAFA ULIFIA")</f>
        <v>AIKE NESAFA ULIFIA</v>
      </c>
      <c r="C72" s="28">
        <f>IFERROR(__xludf.DUMMYFUNCTION("""COMPUTED_VALUE"""),2.02407045E9)</f>
        <v>2024070450</v>
      </c>
      <c r="D72" s="27" t="str">
        <f>IFERROR(__xludf.DUMMYFUNCTION("""COMPUTED_VALUE"""),"E")</f>
        <v>E</v>
      </c>
      <c r="E72" s="27" t="str">
        <f>IFERROR(__xludf.DUMMYFUNCTION("""COMPUTED_VALUE"""),"E-9")</f>
        <v>E-9</v>
      </c>
      <c r="F72" s="31">
        <f>IFERROR(__xludf.DUMMYFUNCTION("""COMPUTED_VALUE"""),3.0)</f>
        <v>3</v>
      </c>
      <c r="G72" s="27" t="str">
        <f>IFERROR(__xludf.DUMMYFUNCTION("""COMPUTED_VALUE"""),"3 ULA B PUTRI")</f>
        <v>3 ULA B PUTRI</v>
      </c>
      <c r="H72" s="28" t="str">
        <f>IFERROR(__xludf.DUMMYFUNCTION("""COMPUTED_VALUE"""),"WITONO")</f>
        <v>WITONO</v>
      </c>
      <c r="I72" s="28" t="str">
        <f>IFERROR(__xludf.DUMMYFUNCTION("""COMPUTED_VALUE"""),"MARIA ULFA")</f>
        <v>MARIA ULFA</v>
      </c>
      <c r="J72" s="28" t="str">
        <f>IFERROR(__xludf.DUMMYFUNCTION("""COMPUTED_VALUE"""),"KUSUMA BANGSA GG KERTANEGARA TUMENGGUNGAN RT 003 RW 006 LAMONGAN LAMONGAN")</f>
        <v>KUSUMA BANGSA GG KERTANEGARA TUMENGGUNGAN RT 003 RW 006 LAMONGAN LAMONGAN</v>
      </c>
      <c r="K72" s="29" t="str">
        <f>IFERROR(__xludf.DUMMYFUNCTION("""COMPUTED_VALUE"""),"6285733946516")</f>
        <v>6285733946516</v>
      </c>
      <c r="L72" s="22">
        <f>IFERROR(__xludf.DUMMYFUNCTION("""COMPUTED_VALUE"""),0.0)</f>
        <v>0</v>
      </c>
      <c r="M72" s="22">
        <f>IFERROR(__xludf.DUMMYFUNCTION("""COMPUTED_VALUE"""),0.0)</f>
        <v>0</v>
      </c>
      <c r="N72" s="22">
        <f>IFERROR(__xludf.DUMMYFUNCTION("""COMPUTED_VALUE"""),0.0)</f>
        <v>0</v>
      </c>
      <c r="O72" s="22">
        <f>IFERROR(__xludf.DUMMYFUNCTION("""COMPUTED_VALUE"""),0.0)</f>
        <v>0</v>
      </c>
      <c r="P72" s="28" t="str">
        <f t="shared" si="1"/>
        <v>LUNAS</v>
      </c>
      <c r="Q72" s="28">
        <f t="shared" si="2"/>
        <v>79</v>
      </c>
      <c r="R72" s="28" t="str">
        <f t="shared" si="3"/>
        <v>AIKE NESAFA ULIFIA</v>
      </c>
    </row>
    <row r="73">
      <c r="A73" s="27">
        <f>IFERROR(__xludf.DUMMYFUNCTION("""COMPUTED_VALUE"""),72.0)</f>
        <v>72</v>
      </c>
      <c r="B73" s="28" t="str">
        <f>IFERROR(__xludf.DUMMYFUNCTION("""COMPUTED_VALUE"""),"CHARISA WANIDYA UTAMA HARTONO")</f>
        <v>CHARISA WANIDYA UTAMA HARTONO</v>
      </c>
      <c r="C73" s="28">
        <f>IFERROR(__xludf.DUMMYFUNCTION("""COMPUTED_VALUE"""),2.024070476E9)</f>
        <v>2024070476</v>
      </c>
      <c r="D73" s="27" t="str">
        <f>IFERROR(__xludf.DUMMYFUNCTION("""COMPUTED_VALUE"""),"E")</f>
        <v>E</v>
      </c>
      <c r="E73" s="27" t="str">
        <f>IFERROR(__xludf.DUMMYFUNCTION("""COMPUTED_VALUE"""),"E-9")</f>
        <v>E-9</v>
      </c>
      <c r="F73" s="31">
        <f>IFERROR(__xludf.DUMMYFUNCTION("""COMPUTED_VALUE"""),3.0)</f>
        <v>3</v>
      </c>
      <c r="G73" s="27" t="str">
        <f>IFERROR(__xludf.DUMMYFUNCTION("""COMPUTED_VALUE"""),"3 ULA A PUTRI")</f>
        <v>3 ULA A PUTRI</v>
      </c>
      <c r="H73" s="28" t="str">
        <f>IFERROR(__xludf.DUMMYFUNCTION("""COMPUTED_VALUE"""),"RUDI HARTONO")</f>
        <v>RUDI HARTONO</v>
      </c>
      <c r="I73" s="28" t="str">
        <f>IFERROR(__xludf.DUMMYFUNCTION("""COMPUTED_VALUE"""),"AINUL ISNAENI")</f>
        <v>AINUL ISNAENI</v>
      </c>
      <c r="J73" s="28" t="str">
        <f>IFERROR(__xludf.DUMMYFUNCTION("""COMPUTED_VALUE"""),"MULUNG KARANGTINGGIL RT 002 RW 001 PUCUK LAMONGAN")</f>
        <v>MULUNG KARANGTINGGIL RT 002 RW 001 PUCUK LAMONGAN</v>
      </c>
      <c r="K73" s="29" t="str">
        <f>IFERROR(__xludf.DUMMYFUNCTION("""COMPUTED_VALUE"""),"6282234537281")</f>
        <v>6282234537281</v>
      </c>
      <c r="L73" s="22">
        <f>IFERROR(__xludf.DUMMYFUNCTION("""COMPUTED_VALUE"""),0.0)</f>
        <v>0</v>
      </c>
      <c r="M73" s="22">
        <f>IFERROR(__xludf.DUMMYFUNCTION("""COMPUTED_VALUE"""),0.0)</f>
        <v>0</v>
      </c>
      <c r="N73" s="22">
        <f>IFERROR(__xludf.DUMMYFUNCTION("""COMPUTED_VALUE"""),0.0)</f>
        <v>0</v>
      </c>
      <c r="O73" s="22">
        <f>IFERROR(__xludf.DUMMYFUNCTION("""COMPUTED_VALUE"""),0.0)</f>
        <v>0</v>
      </c>
      <c r="P73" s="28" t="str">
        <f t="shared" si="1"/>
        <v>LUNAS</v>
      </c>
      <c r="Q73" s="28">
        <f t="shared" si="2"/>
        <v>80</v>
      </c>
      <c r="R73" s="28" t="str">
        <f t="shared" si="3"/>
        <v>CHARISA WANIDYA UTAMA HARTONO</v>
      </c>
    </row>
    <row r="74">
      <c r="A74" s="27">
        <f>IFERROR(__xludf.DUMMYFUNCTION("""COMPUTED_VALUE"""),73.0)</f>
        <v>73</v>
      </c>
      <c r="B74" s="28" t="str">
        <f>IFERROR(__xludf.DUMMYFUNCTION("""COMPUTED_VALUE"""),"DWI MAULIDIYAH")</f>
        <v>DWI MAULIDIYAH</v>
      </c>
      <c r="C74" s="28">
        <f>IFERROR(__xludf.DUMMYFUNCTION("""COMPUTED_VALUE"""),2.024070596E9)</f>
        <v>2024070596</v>
      </c>
      <c r="D74" s="27" t="str">
        <f>IFERROR(__xludf.DUMMYFUNCTION("""COMPUTED_VALUE"""),"E")</f>
        <v>E</v>
      </c>
      <c r="E74" s="27" t="str">
        <f>IFERROR(__xludf.DUMMYFUNCTION("""COMPUTED_VALUE"""),"E-9")</f>
        <v>E-9</v>
      </c>
      <c r="F74" s="31">
        <f>IFERROR(__xludf.DUMMYFUNCTION("""COMPUTED_VALUE"""),3.0)</f>
        <v>3</v>
      </c>
      <c r="G74" s="27" t="str">
        <f>IFERROR(__xludf.DUMMYFUNCTION("""COMPUTED_VALUE"""),"3 ULA B PUTRI")</f>
        <v>3 ULA B PUTRI</v>
      </c>
      <c r="H74" s="28" t="str">
        <f>IFERROR(__xludf.DUMMYFUNCTION("""COMPUTED_VALUE"""),"USMAN HADI")</f>
        <v>USMAN HADI</v>
      </c>
      <c r="I74" s="28" t="str">
        <f>IFERROR(__xludf.DUMMYFUNCTION("""COMPUTED_VALUE"""),"ISLAMIYAH")</f>
        <v>ISLAMIYAH</v>
      </c>
      <c r="J74" s="28" t="str">
        <f>IFERROR(__xludf.DUMMYFUNCTION("""COMPUTED_VALUE"""),"KARANGTAPEN KARANGLANGIT RT 001 RW 003 LAMONGAN LAMONGAN")</f>
        <v>KARANGTAPEN KARANGLANGIT RT 001 RW 003 LAMONGAN LAMONGAN</v>
      </c>
      <c r="K74" s="29" t="str">
        <f>IFERROR(__xludf.DUMMYFUNCTION("""COMPUTED_VALUE"""),"6285853420436")</f>
        <v>6285853420436</v>
      </c>
      <c r="L74" s="22">
        <f>IFERROR(__xludf.DUMMYFUNCTION("""COMPUTED_VALUE"""),270000.0)</f>
        <v>270000</v>
      </c>
      <c r="M74" s="22">
        <f>IFERROR(__xludf.DUMMYFUNCTION("""COMPUTED_VALUE"""),0.0)</f>
        <v>0</v>
      </c>
      <c r="N74" s="22">
        <f>IFERROR(__xludf.DUMMYFUNCTION("""COMPUTED_VALUE"""),0.0)</f>
        <v>0</v>
      </c>
      <c r="O74" s="22">
        <f>IFERROR(__xludf.DUMMYFUNCTION("""COMPUTED_VALUE"""),270000.0)</f>
        <v>270000</v>
      </c>
      <c r="P74" s="28" t="str">
        <f t="shared" si="1"/>
        <v>LUNAS</v>
      </c>
      <c r="Q74" s="28">
        <f t="shared" si="2"/>
        <v>56</v>
      </c>
      <c r="R74" s="28" t="str">
        <f t="shared" si="3"/>
        <v>DWI MAULIDIYAH</v>
      </c>
    </row>
    <row r="75">
      <c r="A75" s="27">
        <f>IFERROR(__xludf.DUMMYFUNCTION("""COMPUTED_VALUE"""),74.0)</f>
        <v>74</v>
      </c>
      <c r="B75" s="28" t="str">
        <f>IFERROR(__xludf.DUMMYFUNCTION("""COMPUTED_VALUE"""),"FARAH OKTARIAN SYAHPUTRI")</f>
        <v>FARAH OKTARIAN SYAHPUTRI</v>
      </c>
      <c r="C75" s="28">
        <f>IFERROR(__xludf.DUMMYFUNCTION("""COMPUTED_VALUE"""),2.024070466E9)</f>
        <v>2024070466</v>
      </c>
      <c r="D75" s="27" t="str">
        <f>IFERROR(__xludf.DUMMYFUNCTION("""COMPUTED_VALUE"""),"E")</f>
        <v>E</v>
      </c>
      <c r="E75" s="27" t="str">
        <f>IFERROR(__xludf.DUMMYFUNCTION("""COMPUTED_VALUE"""),"E-9")</f>
        <v>E-9</v>
      </c>
      <c r="F75" s="31">
        <f>IFERROR(__xludf.DUMMYFUNCTION("""COMPUTED_VALUE"""),3.0)</f>
        <v>3</v>
      </c>
      <c r="G75" s="27" t="str">
        <f>IFERROR(__xludf.DUMMYFUNCTION("""COMPUTED_VALUE"""),"3 ULA C PUTRI")</f>
        <v>3 ULA C PUTRI</v>
      </c>
      <c r="H75" s="28" t="str">
        <f>IFERROR(__xludf.DUMMYFUNCTION("""COMPUTED_VALUE"""),"M. SARONI")</f>
        <v>M. SARONI</v>
      </c>
      <c r="I75" s="28" t="str">
        <f>IFERROR(__xludf.DUMMYFUNCTION("""COMPUTED_VALUE"""),"HUSNUL MUSTAFIDAH")</f>
        <v>HUSNUL MUSTAFIDAH</v>
      </c>
      <c r="J75" s="28" t="str">
        <f>IFERROR(__xludf.DUMMYFUNCTION("""COMPUTED_VALUE"""),"JL. RAYA SUGIO NO. 53 KEBET RT 004 RW 001 LAMONGAN LAMONGAN")</f>
        <v>JL. RAYA SUGIO NO. 53 KEBET RT 004 RW 001 LAMONGAN LAMONGAN</v>
      </c>
      <c r="K75" s="29" t="str">
        <f>IFERROR(__xludf.DUMMYFUNCTION("""COMPUTED_VALUE"""),"6281332772930")</f>
        <v>6281332772930</v>
      </c>
      <c r="L75" s="22">
        <f>IFERROR(__xludf.DUMMYFUNCTION("""COMPUTED_VALUE"""),0.0)</f>
        <v>0</v>
      </c>
      <c r="M75" s="22">
        <f>IFERROR(__xludf.DUMMYFUNCTION("""COMPUTED_VALUE"""),500000.0)</f>
        <v>500000</v>
      </c>
      <c r="N75" s="22">
        <f>IFERROR(__xludf.DUMMYFUNCTION("""COMPUTED_VALUE"""),0.0)</f>
        <v>0</v>
      </c>
      <c r="O75" s="22">
        <f>IFERROR(__xludf.DUMMYFUNCTION("""COMPUTED_VALUE"""),500000.0)</f>
        <v>500000</v>
      </c>
      <c r="P75" s="28" t="str">
        <f t="shared" si="1"/>
        <v>LUNAS</v>
      </c>
      <c r="Q75" s="28">
        <f t="shared" si="2"/>
        <v>54</v>
      </c>
      <c r="R75" s="28" t="str">
        <f t="shared" si="3"/>
        <v>FARAH OKTARIAN SYAHPUTRI</v>
      </c>
    </row>
    <row r="76">
      <c r="A76" s="27">
        <f>IFERROR(__xludf.DUMMYFUNCTION("""COMPUTED_VALUE"""),75.0)</f>
        <v>75</v>
      </c>
      <c r="B76" s="28" t="str">
        <f>IFERROR(__xludf.DUMMYFUNCTION("""COMPUTED_VALUE"""),"LAILATUL MAGHFIROH")</f>
        <v>LAILATUL MAGHFIROH</v>
      </c>
      <c r="C76" s="28">
        <f>IFERROR(__xludf.DUMMYFUNCTION("""COMPUTED_VALUE"""),2.024070449E9)</f>
        <v>2024070449</v>
      </c>
      <c r="D76" s="27" t="str">
        <f>IFERROR(__xludf.DUMMYFUNCTION("""COMPUTED_VALUE"""),"E")</f>
        <v>E</v>
      </c>
      <c r="E76" s="27" t="str">
        <f>IFERROR(__xludf.DUMMYFUNCTION("""COMPUTED_VALUE"""),"E-9")</f>
        <v>E-9</v>
      </c>
      <c r="F76" s="31">
        <f>IFERROR(__xludf.DUMMYFUNCTION("""COMPUTED_VALUE"""),3.0)</f>
        <v>3</v>
      </c>
      <c r="G76" s="27" t="str">
        <f>IFERROR(__xludf.DUMMYFUNCTION("""COMPUTED_VALUE"""),"3 ULA A PUTRI")</f>
        <v>3 ULA A PUTRI</v>
      </c>
      <c r="H76" s="28" t="str">
        <f>IFERROR(__xludf.DUMMYFUNCTION("""COMPUTED_VALUE"""),"SUPARDI")</f>
        <v>SUPARDI</v>
      </c>
      <c r="I76" s="28" t="str">
        <f>IFERROR(__xludf.DUMMYFUNCTION("""COMPUTED_VALUE"""),"ARTI")</f>
        <v>ARTI</v>
      </c>
      <c r="J76" s="28" t="str">
        <f>IFERROR(__xludf.DUMMYFUNCTION("""COMPUTED_VALUE"""),"TUMENGGUNGBARU RT 003 RW 006 TUMENGGUNGAN LAMONGAN")</f>
        <v>TUMENGGUNGBARU RT 003 RW 006 TUMENGGUNGAN LAMONGAN</v>
      </c>
      <c r="K76" s="29" t="str">
        <f>IFERROR(__xludf.DUMMYFUNCTION("""COMPUTED_VALUE"""),"6285745981726")</f>
        <v>6285745981726</v>
      </c>
      <c r="L76" s="22">
        <f>IFERROR(__xludf.DUMMYFUNCTION("""COMPUTED_VALUE"""),0.0)</f>
        <v>0</v>
      </c>
      <c r="M76" s="22">
        <f>IFERROR(__xludf.DUMMYFUNCTION("""COMPUTED_VALUE"""),0.0)</f>
        <v>0</v>
      </c>
      <c r="N76" s="22">
        <f>IFERROR(__xludf.DUMMYFUNCTION("""COMPUTED_VALUE"""),0.0)</f>
        <v>0</v>
      </c>
      <c r="O76" s="22">
        <f>IFERROR(__xludf.DUMMYFUNCTION("""COMPUTED_VALUE"""),0.0)</f>
        <v>0</v>
      </c>
      <c r="P76" s="28" t="str">
        <f t="shared" si="1"/>
        <v>LUNAS</v>
      </c>
      <c r="Q76" s="28">
        <f t="shared" si="2"/>
        <v>81</v>
      </c>
      <c r="R76" s="28" t="str">
        <f t="shared" si="3"/>
        <v>LAILATUL MAGHFIROH</v>
      </c>
    </row>
    <row r="77">
      <c r="A77" s="27">
        <f>IFERROR(__xludf.DUMMYFUNCTION("""COMPUTED_VALUE"""),76.0)</f>
        <v>76</v>
      </c>
      <c r="B77" s="28" t="str">
        <f>IFERROR(__xludf.DUMMYFUNCTION("""COMPUTED_VALUE"""),"RENY ARYSTA MIERZA")</f>
        <v>RENY ARYSTA MIERZA</v>
      </c>
      <c r="C77" s="28">
        <f>IFERROR(__xludf.DUMMYFUNCTION("""COMPUTED_VALUE"""),2.024070583E9)</f>
        <v>2024070583</v>
      </c>
      <c r="D77" s="27" t="str">
        <f>IFERROR(__xludf.DUMMYFUNCTION("""COMPUTED_VALUE"""),"E")</f>
        <v>E</v>
      </c>
      <c r="E77" s="27" t="str">
        <f>IFERROR(__xludf.DUMMYFUNCTION("""COMPUTED_VALUE"""),"E-9")</f>
        <v>E-9</v>
      </c>
      <c r="F77" s="31">
        <f>IFERROR(__xludf.DUMMYFUNCTION("""COMPUTED_VALUE"""),3.0)</f>
        <v>3</v>
      </c>
      <c r="G77" s="27" t="str">
        <f>IFERROR(__xludf.DUMMYFUNCTION("""COMPUTED_VALUE"""),"3 ULA B PUTRI")</f>
        <v>3 ULA B PUTRI</v>
      </c>
      <c r="H77" s="28" t="str">
        <f>IFERROR(__xludf.DUMMYFUNCTION("""COMPUTED_VALUE"""),"RASMIDI")</f>
        <v>RASMIDI</v>
      </c>
      <c r="I77" s="28" t="str">
        <f>IFERROR(__xludf.DUMMYFUNCTION("""COMPUTED_VALUE"""),"MARDLUYATUS SHOIFAH")</f>
        <v>MARDLUYATUS SHOIFAH</v>
      </c>
      <c r="J77" s="28" t="str">
        <f>IFERROR(__xludf.DUMMYFUNCTION("""COMPUTED_VALUE"""),"BANGERAN GENENG RT 005 RW 003 DUKUN GRESIK")</f>
        <v>BANGERAN GENENG RT 005 RW 003 DUKUN GRESIK</v>
      </c>
      <c r="K77" s="29" t="str">
        <f>IFERROR(__xludf.DUMMYFUNCTION("""COMPUTED_VALUE"""),"6285655316635")</f>
        <v>6285655316635</v>
      </c>
      <c r="L77" s="22">
        <f>IFERROR(__xludf.DUMMYFUNCTION("""COMPUTED_VALUE"""),0.0)</f>
        <v>0</v>
      </c>
      <c r="M77" s="22">
        <f>IFERROR(__xludf.DUMMYFUNCTION("""COMPUTED_VALUE"""),1000000.0)</f>
        <v>1000000</v>
      </c>
      <c r="N77" s="22">
        <f>IFERROR(__xludf.DUMMYFUNCTION("""COMPUTED_VALUE"""),0.0)</f>
        <v>0</v>
      </c>
      <c r="O77" s="22">
        <f>IFERROR(__xludf.DUMMYFUNCTION("""COMPUTED_VALUE"""),1000000.0)</f>
        <v>1000000</v>
      </c>
      <c r="P77" s="28" t="str">
        <f t="shared" si="1"/>
        <v>LUNAS</v>
      </c>
      <c r="Q77" s="28">
        <f t="shared" si="2"/>
        <v>42</v>
      </c>
      <c r="R77" s="28" t="str">
        <f t="shared" si="3"/>
        <v>RENY ARYSTA MIERZA</v>
      </c>
    </row>
    <row r="78">
      <c r="A78" s="27">
        <f>IFERROR(__xludf.DUMMYFUNCTION("""COMPUTED_VALUE"""),77.0)</f>
        <v>77</v>
      </c>
      <c r="B78" s="28" t="str">
        <f>IFERROR(__xludf.DUMMYFUNCTION("""COMPUTED_VALUE"""),"RHEISYA BRILIANT OKTAVIANI")</f>
        <v>RHEISYA BRILIANT OKTAVIANI</v>
      </c>
      <c r="C78" s="28">
        <f>IFERROR(__xludf.DUMMYFUNCTION("""COMPUTED_VALUE"""),2.024070536E9)</f>
        <v>2024070536</v>
      </c>
      <c r="D78" s="27" t="str">
        <f>IFERROR(__xludf.DUMMYFUNCTION("""COMPUTED_VALUE"""),"E")</f>
        <v>E</v>
      </c>
      <c r="E78" s="27" t="str">
        <f>IFERROR(__xludf.DUMMYFUNCTION("""COMPUTED_VALUE"""),"E-9")</f>
        <v>E-9</v>
      </c>
      <c r="F78" s="31">
        <f>IFERROR(__xludf.DUMMYFUNCTION("""COMPUTED_VALUE"""),3.0)</f>
        <v>3</v>
      </c>
      <c r="G78" s="27" t="str">
        <f>IFERROR(__xludf.DUMMYFUNCTION("""COMPUTED_VALUE"""),"3 ULA C PUTRI")</f>
        <v>3 ULA C PUTRI</v>
      </c>
      <c r="H78" s="28" t="str">
        <f>IFERROR(__xludf.DUMMYFUNCTION("""COMPUTED_VALUE"""),"SUGIONO")</f>
        <v>SUGIONO</v>
      </c>
      <c r="I78" s="28" t="str">
        <f>IFERROR(__xludf.DUMMYFUNCTION("""COMPUTED_VALUE"""),"SITI QONIATIN NADZIROH")</f>
        <v>SITI QONIATIN NADZIROH</v>
      </c>
      <c r="J78" s="28" t="str">
        <f>IFERROR(__xludf.DUMMYFUNCTION("""COMPUTED_VALUE"""),"DAMPIT SUMBEREJO RT 001 RW 004 LAMONGAN LAMONGAN")</f>
        <v>DAMPIT SUMBEREJO RT 001 RW 004 LAMONGAN LAMONGAN</v>
      </c>
      <c r="K78" s="29" t="str">
        <f>IFERROR(__xludf.DUMMYFUNCTION("""COMPUTED_VALUE"""),"6289535203055")</f>
        <v>6289535203055</v>
      </c>
      <c r="L78" s="22">
        <f>IFERROR(__xludf.DUMMYFUNCTION("""COMPUTED_VALUE"""),0.0)</f>
        <v>0</v>
      </c>
      <c r="M78" s="22">
        <f>IFERROR(__xludf.DUMMYFUNCTION("""COMPUTED_VALUE"""),500000.0)</f>
        <v>500000</v>
      </c>
      <c r="N78" s="22">
        <f>IFERROR(__xludf.DUMMYFUNCTION("""COMPUTED_VALUE"""),0.0)</f>
        <v>0</v>
      </c>
      <c r="O78" s="22">
        <f>IFERROR(__xludf.DUMMYFUNCTION("""COMPUTED_VALUE"""),500000.0)</f>
        <v>500000</v>
      </c>
      <c r="P78" s="28" t="str">
        <f t="shared" si="1"/>
        <v>LUNAS</v>
      </c>
      <c r="Q78" s="28">
        <f t="shared" si="2"/>
        <v>55</v>
      </c>
      <c r="R78" s="28" t="str">
        <f t="shared" si="3"/>
        <v>RHEISYA BRILIANT OKTAVIANI</v>
      </c>
    </row>
    <row r="79">
      <c r="A79" s="27">
        <f>IFERROR(__xludf.DUMMYFUNCTION("""COMPUTED_VALUE"""),78.0)</f>
        <v>78</v>
      </c>
      <c r="B79" s="28" t="str">
        <f>IFERROR(__xludf.DUMMYFUNCTION("""COMPUTED_VALUE"""),"ROSSALIA BELLA RAISYA")</f>
        <v>ROSSALIA BELLA RAISYA</v>
      </c>
      <c r="C79" s="28">
        <f>IFERROR(__xludf.DUMMYFUNCTION("""COMPUTED_VALUE"""),2.024070443E9)</f>
        <v>2024070443</v>
      </c>
      <c r="D79" s="27" t="str">
        <f>IFERROR(__xludf.DUMMYFUNCTION("""COMPUTED_VALUE"""),"E")</f>
        <v>E</v>
      </c>
      <c r="E79" s="27" t="str">
        <f>IFERROR(__xludf.DUMMYFUNCTION("""COMPUTED_VALUE"""),"E-9")</f>
        <v>E-9</v>
      </c>
      <c r="F79" s="31">
        <f>IFERROR(__xludf.DUMMYFUNCTION("""COMPUTED_VALUE"""),3.0)</f>
        <v>3</v>
      </c>
      <c r="G79" s="27" t="str">
        <f>IFERROR(__xludf.DUMMYFUNCTION("""COMPUTED_VALUE"""),"3 ULA C PUTRI")</f>
        <v>3 ULA C PUTRI</v>
      </c>
      <c r="H79" s="28" t="str">
        <f>IFERROR(__xludf.DUMMYFUNCTION("""COMPUTED_VALUE"""),"RAIS")</f>
        <v>RAIS</v>
      </c>
      <c r="I79" s="28" t="str">
        <f>IFERROR(__xludf.DUMMYFUNCTION("""COMPUTED_VALUE"""),"TRIA VILIA")</f>
        <v>TRIA VILIA</v>
      </c>
      <c r="J79" s="28" t="str">
        <f>IFERROR(__xludf.DUMMYFUNCTION("""COMPUTED_VALUE"""),"LENJER DUKUHAGUNG RT 002 RW 002 TIKUNG LAMONGAN")</f>
        <v>LENJER DUKUHAGUNG RT 002 RW 002 TIKUNG LAMONGAN</v>
      </c>
      <c r="K79" s="29" t="str">
        <f>IFERROR(__xludf.DUMMYFUNCTION("""COMPUTED_VALUE"""),"6282175167141")</f>
        <v>6282175167141</v>
      </c>
      <c r="L79" s="22">
        <f>IFERROR(__xludf.DUMMYFUNCTION("""COMPUTED_VALUE"""),0.0)</f>
        <v>0</v>
      </c>
      <c r="M79" s="22">
        <f>IFERROR(__xludf.DUMMYFUNCTION("""COMPUTED_VALUE"""),0.0)</f>
        <v>0</v>
      </c>
      <c r="N79" s="22">
        <f>IFERROR(__xludf.DUMMYFUNCTION("""COMPUTED_VALUE"""),0.0)</f>
        <v>0</v>
      </c>
      <c r="O79" s="22">
        <f>IFERROR(__xludf.DUMMYFUNCTION("""COMPUTED_VALUE"""),0.0)</f>
        <v>0</v>
      </c>
      <c r="P79" s="28" t="str">
        <f t="shared" si="1"/>
        <v>LUNAS</v>
      </c>
      <c r="Q79" s="28">
        <f t="shared" si="2"/>
        <v>82</v>
      </c>
      <c r="R79" s="28" t="str">
        <f t="shared" si="3"/>
        <v>ROSSALIA BELLA RAISYA</v>
      </c>
    </row>
    <row r="80">
      <c r="A80" s="27">
        <f>IFERROR(__xludf.DUMMYFUNCTION("""COMPUTED_VALUE"""),79.0)</f>
        <v>79</v>
      </c>
      <c r="B80" s="28" t="str">
        <f>IFERROR(__xludf.DUMMYFUNCTION("""COMPUTED_VALUE"""),"ZALVI SYAFIRA SA`BANIA PUTRI")</f>
        <v>ZALVI SYAFIRA SA`BANIA PUTRI</v>
      </c>
      <c r="C80" s="28">
        <f>IFERROR(__xludf.DUMMYFUNCTION("""COMPUTED_VALUE"""),2.024070446E9)</f>
        <v>2024070446</v>
      </c>
      <c r="D80" s="27" t="str">
        <f>IFERROR(__xludf.DUMMYFUNCTION("""COMPUTED_VALUE"""),"E")</f>
        <v>E</v>
      </c>
      <c r="E80" s="27" t="str">
        <f>IFERROR(__xludf.DUMMYFUNCTION("""COMPUTED_VALUE"""),"E-9")</f>
        <v>E-9</v>
      </c>
      <c r="F80" s="31">
        <f>IFERROR(__xludf.DUMMYFUNCTION("""COMPUTED_VALUE"""),3.0)</f>
        <v>3</v>
      </c>
      <c r="G80" s="27" t="str">
        <f>IFERROR(__xludf.DUMMYFUNCTION("""COMPUTED_VALUE"""),"3 ULA A PUTRI")</f>
        <v>3 ULA A PUTRI</v>
      </c>
      <c r="H80" s="28" t="str">
        <f>IFERROR(__xludf.DUMMYFUNCTION("""COMPUTED_VALUE"""),"FAISOL MA'ARIF")</f>
        <v>FAISOL MA'ARIF</v>
      </c>
      <c r="I80" s="28" t="str">
        <f>IFERROR(__xludf.DUMMYFUNCTION("""COMPUTED_VALUE"""),"EVI MUKHOLIDA")</f>
        <v>EVI MUKHOLIDA</v>
      </c>
      <c r="J80" s="28" t="str">
        <f>IFERROR(__xludf.DUMMYFUNCTION("""COMPUTED_VALUE"""),"DEMANG SAMBOPINGGIR RT 003 RW 004 KARANGBINANGUN LAMONGAN")</f>
        <v>DEMANG SAMBOPINGGIR RT 003 RW 004 KARANGBINANGUN LAMONGAN</v>
      </c>
      <c r="K80" s="29" t="str">
        <f>IFERROR(__xludf.DUMMYFUNCTION("""COMPUTED_VALUE"""),"6285815817989")</f>
        <v>6285815817989</v>
      </c>
      <c r="L80" s="22">
        <f>IFERROR(__xludf.DUMMYFUNCTION("""COMPUTED_VALUE"""),0.0)</f>
        <v>0</v>
      </c>
      <c r="M80" s="22">
        <f>IFERROR(__xludf.DUMMYFUNCTION("""COMPUTED_VALUE"""),1000000.0)</f>
        <v>1000000</v>
      </c>
      <c r="N80" s="22">
        <f>IFERROR(__xludf.DUMMYFUNCTION("""COMPUTED_VALUE"""),0.0)</f>
        <v>0</v>
      </c>
      <c r="O80" s="22">
        <f>IFERROR(__xludf.DUMMYFUNCTION("""COMPUTED_VALUE"""),1000000.0)</f>
        <v>1000000</v>
      </c>
      <c r="P80" s="28" t="str">
        <f t="shared" si="1"/>
        <v>LUNAS</v>
      </c>
      <c r="Q80" s="28">
        <f t="shared" si="2"/>
        <v>43</v>
      </c>
      <c r="R80" s="28" t="str">
        <f t="shared" si="3"/>
        <v>ZALVI SYAFIRA SA`BANIA PUTRI</v>
      </c>
    </row>
    <row r="81">
      <c r="A81" s="27">
        <f>IFERROR(__xludf.DUMMYFUNCTION("""COMPUTED_VALUE"""),80.0)</f>
        <v>80</v>
      </c>
      <c r="B81" s="28" t="str">
        <f>IFERROR(__xludf.DUMMYFUNCTION("""COMPUTED_VALUE"""),"ZASKIA MAHARANI PUTRI")</f>
        <v>ZASKIA MAHARANI PUTRI</v>
      </c>
      <c r="C81" s="28">
        <f>IFERROR(__xludf.DUMMYFUNCTION("""COMPUTED_VALUE"""),2.024070586E9)</f>
        <v>2024070586</v>
      </c>
      <c r="D81" s="27" t="str">
        <f>IFERROR(__xludf.DUMMYFUNCTION("""COMPUTED_VALUE"""),"E")</f>
        <v>E</v>
      </c>
      <c r="E81" s="27" t="str">
        <f>IFERROR(__xludf.DUMMYFUNCTION("""COMPUTED_VALUE"""),"E-9")</f>
        <v>E-9</v>
      </c>
      <c r="F81" s="31">
        <f>IFERROR(__xludf.DUMMYFUNCTION("""COMPUTED_VALUE"""),3.0)</f>
        <v>3</v>
      </c>
      <c r="G81" s="27" t="str">
        <f>IFERROR(__xludf.DUMMYFUNCTION("""COMPUTED_VALUE"""),"3 ULA A PUTRI")</f>
        <v>3 ULA A PUTRI</v>
      </c>
      <c r="H81" s="28" t="str">
        <f>IFERROR(__xludf.DUMMYFUNCTION("""COMPUTED_VALUE"""),"ABDUL QODIR")</f>
        <v>ABDUL QODIR</v>
      </c>
      <c r="I81" s="28" t="str">
        <f>IFERROR(__xludf.DUMMYFUNCTION("""COMPUTED_VALUE"""),"OKTAVIANA SARI")</f>
        <v>OKTAVIANA SARI</v>
      </c>
      <c r="J81" s="28" t="str">
        <f>IFERROR(__xludf.DUMMYFUNCTION("""COMPUTED_VALUE"""),"CEKEL KRAMAT RT 001 RW 001 LAMONGAN LAMONGAN")</f>
        <v>CEKEL KRAMAT RT 001 RW 001 LAMONGAN LAMONGAN</v>
      </c>
      <c r="K81" s="29" t="str">
        <f>IFERROR(__xludf.DUMMYFUNCTION("""COMPUTED_VALUE"""),"6285852103712")</f>
        <v>6285852103712</v>
      </c>
      <c r="L81" s="22">
        <f>IFERROR(__xludf.DUMMYFUNCTION("""COMPUTED_VALUE"""),7500000.0)</f>
        <v>7500000</v>
      </c>
      <c r="M81" s="22">
        <f>IFERROR(__xludf.DUMMYFUNCTION("""COMPUTED_VALUE"""),1600000.0)</f>
        <v>1600000</v>
      </c>
      <c r="N81" s="22">
        <f>IFERROR(__xludf.DUMMYFUNCTION("""COMPUTED_VALUE"""),350000.0)</f>
        <v>350000</v>
      </c>
      <c r="O81" s="22">
        <f>IFERROR(__xludf.DUMMYFUNCTION("""COMPUTED_VALUE"""),9450000.0)</f>
        <v>9450000</v>
      </c>
      <c r="P81" s="28" t="str">
        <f t="shared" si="1"/>
        <v>BELUM</v>
      </c>
      <c r="Q81" s="28">
        <f t="shared" si="2"/>
        <v>1</v>
      </c>
      <c r="R81" s="28" t="str">
        <f t="shared" si="3"/>
        <v>ZASKIA MAHARANI PUTRI</v>
      </c>
    </row>
    <row r="82">
      <c r="A82" s="27">
        <f>IFERROR(__xludf.DUMMYFUNCTION("""COMPUTED_VALUE"""),81.0)</f>
        <v>81</v>
      </c>
      <c r="B82" s="28" t="str">
        <f>IFERROR(__xludf.DUMMYFUNCTION("""COMPUTED_VALUE"""),"ZHAFIRA MAULIDA")</f>
        <v>ZHAFIRA MAULIDA</v>
      </c>
      <c r="C82" s="28">
        <f>IFERROR(__xludf.DUMMYFUNCTION("""COMPUTED_VALUE"""),2.024070606E9)</f>
        <v>2024070606</v>
      </c>
      <c r="D82" s="27" t="str">
        <f>IFERROR(__xludf.DUMMYFUNCTION("""COMPUTED_VALUE"""),"E")</f>
        <v>E</v>
      </c>
      <c r="E82" s="27" t="str">
        <f>IFERROR(__xludf.DUMMYFUNCTION("""COMPUTED_VALUE"""),"E-9")</f>
        <v>E-9</v>
      </c>
      <c r="F82" s="31">
        <f>IFERROR(__xludf.DUMMYFUNCTION("""COMPUTED_VALUE"""),3.0)</f>
        <v>3</v>
      </c>
      <c r="G82" s="27" t="str">
        <f>IFERROR(__xludf.DUMMYFUNCTION("""COMPUTED_VALUE"""),"3 ULA B PUTRI")</f>
        <v>3 ULA B PUTRI</v>
      </c>
      <c r="H82" s="28" t="str">
        <f>IFERROR(__xludf.DUMMYFUNCTION("""COMPUTED_VALUE"""),"AGUS HANDOKO")</f>
        <v>AGUS HANDOKO</v>
      </c>
      <c r="I82" s="28" t="str">
        <f>IFERROR(__xludf.DUMMYFUNCTION("""COMPUTED_VALUE"""),"DEWI SUNDARI")</f>
        <v>DEWI SUNDARI</v>
      </c>
      <c r="J82" s="28" t="str">
        <f>IFERROR(__xludf.DUMMYFUNCTION("""COMPUTED_VALUE"""),"JL. RAYA BUNGAH MOJOPURO WETAN RT 003 RW 002 BUNGAH GRESIK")</f>
        <v>JL. RAYA BUNGAH MOJOPURO WETAN RT 003 RW 002 BUNGAH GRESIK</v>
      </c>
      <c r="K82" s="29" t="str">
        <f>IFERROR(__xludf.DUMMYFUNCTION("""COMPUTED_VALUE"""),"6285745828753")</f>
        <v>6285745828753</v>
      </c>
      <c r="L82" s="22">
        <f>IFERROR(__xludf.DUMMYFUNCTION("""COMPUTED_VALUE"""),0.0)</f>
        <v>0</v>
      </c>
      <c r="M82" s="22">
        <f>IFERROR(__xludf.DUMMYFUNCTION("""COMPUTED_VALUE"""),1000000.0)</f>
        <v>1000000</v>
      </c>
      <c r="N82" s="22">
        <f>IFERROR(__xludf.DUMMYFUNCTION("""COMPUTED_VALUE"""),0.0)</f>
        <v>0</v>
      </c>
      <c r="O82" s="22">
        <f>IFERROR(__xludf.DUMMYFUNCTION("""COMPUTED_VALUE"""),1000000.0)</f>
        <v>1000000</v>
      </c>
      <c r="P82" s="28" t="str">
        <f t="shared" si="1"/>
        <v>LUNAS</v>
      </c>
      <c r="Q82" s="28">
        <f t="shared" si="2"/>
        <v>44</v>
      </c>
      <c r="R82" s="28" t="str">
        <f t="shared" si="3"/>
        <v>ZHAFIRA MAULIDA</v>
      </c>
    </row>
    <row r="83">
      <c r="A83" s="27">
        <f>IFERROR(__xludf.DUMMYFUNCTION("""COMPUTED_VALUE"""),82.0)</f>
        <v>82</v>
      </c>
      <c r="B83" s="28" t="str">
        <f>IFERROR(__xludf.DUMMYFUNCTION("""COMPUTED_VALUE"""),"QUEENSHA KHAURA AFIQAH AL AZIFA")</f>
        <v>QUEENSHA KHAURA AFIQAH AL AZIFA</v>
      </c>
      <c r="C83" s="28">
        <f>IFERROR(__xludf.DUMMYFUNCTION("""COMPUTED_VALUE"""),2.024070647E9)</f>
        <v>2024070647</v>
      </c>
      <c r="D83" s="27" t="str">
        <f>IFERROR(__xludf.DUMMYFUNCTION("""COMPUTED_VALUE"""),"E")</f>
        <v>E</v>
      </c>
      <c r="E83" s="27" t="str">
        <f>IFERROR(__xludf.DUMMYFUNCTION("""COMPUTED_VALUE"""),"E-9")</f>
        <v>E-9</v>
      </c>
      <c r="F83" s="31">
        <f>IFERROR(__xludf.DUMMYFUNCTION("""COMPUTED_VALUE"""),3.0)</f>
        <v>3</v>
      </c>
      <c r="G83" s="27" t="str">
        <f>IFERROR(__xludf.DUMMYFUNCTION("""COMPUTED_VALUE"""),"3 ULA B PUTRI")</f>
        <v>3 ULA B PUTRI</v>
      </c>
      <c r="H83" s="28" t="str">
        <f>IFERROR(__xludf.DUMMYFUNCTION("""COMPUTED_VALUE"""),"AHMAD AFIF FITROHA")</f>
        <v>AHMAD AFIF FITROHA</v>
      </c>
      <c r="I83" s="28" t="str">
        <f>IFERROR(__xludf.DUMMYFUNCTION("""COMPUTED_VALUE"""),"FARIHATUN NI`MAH")</f>
        <v>FARIHATUN NI`MAH</v>
      </c>
      <c r="J83" s="28" t="str">
        <f>IFERROR(__xludf.DUMMYFUNCTION("""COMPUTED_VALUE"""),"JABANG LOR SIDOMULYO RT 002 RW 006 SEMEN KEDIRI")</f>
        <v>JABANG LOR SIDOMULYO RT 002 RW 006 SEMEN KEDIRI</v>
      </c>
      <c r="K83" s="29" t="str">
        <f>IFERROR(__xludf.DUMMYFUNCTION("""COMPUTED_VALUE"""),"628573050168")</f>
        <v>628573050168</v>
      </c>
      <c r="L83" s="22">
        <f>IFERROR(__xludf.DUMMYFUNCTION("""COMPUTED_VALUE"""),0.0)</f>
        <v>0</v>
      </c>
      <c r="M83" s="22">
        <f>IFERROR(__xludf.DUMMYFUNCTION("""COMPUTED_VALUE"""),1000000.0)</f>
        <v>1000000</v>
      </c>
      <c r="N83" s="22">
        <f>IFERROR(__xludf.DUMMYFUNCTION("""COMPUTED_VALUE"""),0.0)</f>
        <v>0</v>
      </c>
      <c r="O83" s="22">
        <f>IFERROR(__xludf.DUMMYFUNCTION("""COMPUTED_VALUE"""),1000000.0)</f>
        <v>1000000</v>
      </c>
      <c r="P83" s="28" t="str">
        <f t="shared" si="1"/>
        <v>LUNAS</v>
      </c>
      <c r="Q83" s="28">
        <f t="shared" si="2"/>
        <v>45</v>
      </c>
      <c r="R83" s="28" t="str">
        <f t="shared" si="3"/>
        <v>QUEENSHA KHAURA AFIQAH AL AZIFA</v>
      </c>
    </row>
    <row r="84">
      <c r="A84" s="27" t="str">
        <f>IFERROR(__xludf.DUMMYFUNCTION("""COMPUTED_VALUE"""),"")</f>
        <v/>
      </c>
      <c r="B84" s="28"/>
      <c r="C84" s="28"/>
      <c r="D84" s="27"/>
      <c r="E84" s="27"/>
      <c r="F84" s="27"/>
      <c r="G84" s="27"/>
      <c r="H84" s="28"/>
      <c r="I84" s="28"/>
      <c r="J84" s="28"/>
      <c r="K84" s="28"/>
      <c r="L84" s="28"/>
      <c r="M84" s="28"/>
      <c r="N84" s="28"/>
      <c r="O84" s="28"/>
      <c r="P84" s="28" t="str">
        <f t="shared" si="1"/>
        <v>LUNAS</v>
      </c>
      <c r="Q84" s="28">
        <f t="shared" si="2"/>
        <v>58</v>
      </c>
      <c r="R84" s="28" t="str">
        <f t="shared" si="3"/>
        <v/>
      </c>
    </row>
    <row r="85">
      <c r="A85" s="27" t="str">
        <f>IFERROR(__xludf.DUMMYFUNCTION("""COMPUTED_VALUE"""),"")</f>
        <v/>
      </c>
      <c r="B85" s="28"/>
      <c r="C85" s="28"/>
      <c r="D85" s="27"/>
      <c r="E85" s="27"/>
      <c r="F85" s="27"/>
      <c r="G85" s="27"/>
      <c r="H85" s="28"/>
      <c r="I85" s="28"/>
      <c r="J85" s="28"/>
      <c r="K85" s="28"/>
      <c r="L85" s="28"/>
      <c r="M85" s="28"/>
      <c r="N85" s="28"/>
      <c r="O85" s="28"/>
      <c r="P85" s="28" t="str">
        <f t="shared" si="1"/>
        <v>LUNAS</v>
      </c>
      <c r="Q85" s="28">
        <f t="shared" si="2"/>
        <v>58</v>
      </c>
      <c r="R85" s="28" t="str">
        <f t="shared" si="3"/>
        <v/>
      </c>
    </row>
    <row r="86">
      <c r="A86" s="27" t="str">
        <f>IFERROR(__xludf.DUMMYFUNCTION("""COMPUTED_VALUE"""),"")</f>
        <v/>
      </c>
      <c r="B86" s="28"/>
      <c r="C86" s="28"/>
      <c r="D86" s="27"/>
      <c r="E86" s="27"/>
      <c r="F86" s="27"/>
      <c r="G86" s="27"/>
      <c r="H86" s="28"/>
      <c r="I86" s="28"/>
      <c r="J86" s="28"/>
      <c r="K86" s="28"/>
      <c r="L86" s="28"/>
      <c r="M86" s="28"/>
      <c r="N86" s="28"/>
      <c r="O86" s="28"/>
      <c r="P86" s="28" t="str">
        <f t="shared" si="1"/>
        <v>LUNAS</v>
      </c>
      <c r="Q86" s="28">
        <f t="shared" si="2"/>
        <v>58</v>
      </c>
      <c r="R86" s="28" t="str">
        <f t="shared" si="3"/>
        <v/>
      </c>
    </row>
    <row r="87">
      <c r="A87" s="27" t="str">
        <f>IFERROR(__xludf.DUMMYFUNCTION("""COMPUTED_VALUE"""),"")</f>
        <v/>
      </c>
      <c r="B87" s="28"/>
      <c r="C87" s="28"/>
      <c r="D87" s="27"/>
      <c r="E87" s="27"/>
      <c r="F87" s="27"/>
      <c r="G87" s="27"/>
      <c r="H87" s="28"/>
      <c r="I87" s="28"/>
      <c r="J87" s="28"/>
      <c r="K87" s="28"/>
      <c r="L87" s="28"/>
      <c r="M87" s="28"/>
      <c r="N87" s="28"/>
      <c r="O87" s="28"/>
      <c r="P87" s="28" t="str">
        <f t="shared" si="1"/>
        <v>LUNAS</v>
      </c>
      <c r="Q87" s="28">
        <f t="shared" si="2"/>
        <v>58</v>
      </c>
      <c r="R87" s="28" t="str">
        <f t="shared" si="3"/>
        <v/>
      </c>
    </row>
    <row r="88">
      <c r="A88" s="27" t="str">
        <f>IFERROR(__xludf.DUMMYFUNCTION("""COMPUTED_VALUE"""),"")</f>
        <v/>
      </c>
      <c r="B88" s="28"/>
      <c r="C88" s="28"/>
      <c r="D88" s="27"/>
      <c r="E88" s="27"/>
      <c r="F88" s="27"/>
      <c r="G88" s="27"/>
      <c r="H88" s="28"/>
      <c r="I88" s="28"/>
      <c r="J88" s="28"/>
      <c r="K88" s="28"/>
      <c r="L88" s="28"/>
      <c r="M88" s="28"/>
      <c r="N88" s="28"/>
      <c r="O88" s="28"/>
      <c r="P88" s="28" t="str">
        <f t="shared" si="1"/>
        <v>LUNAS</v>
      </c>
      <c r="Q88" s="28">
        <f t="shared" si="2"/>
        <v>58</v>
      </c>
      <c r="R88" s="28" t="str">
        <f t="shared" si="3"/>
        <v/>
      </c>
    </row>
    <row r="89">
      <c r="A89" s="27" t="str">
        <f>IFERROR(__xludf.DUMMYFUNCTION("""COMPUTED_VALUE"""),"")</f>
        <v/>
      </c>
      <c r="B89" s="28"/>
      <c r="C89" s="28"/>
      <c r="D89" s="27"/>
      <c r="E89" s="27"/>
      <c r="F89" s="27"/>
      <c r="G89" s="27"/>
      <c r="H89" s="28"/>
      <c r="I89" s="28"/>
      <c r="J89" s="28"/>
      <c r="K89" s="28"/>
      <c r="L89" s="28"/>
      <c r="M89" s="28"/>
      <c r="N89" s="28"/>
      <c r="O89" s="28"/>
      <c r="P89" s="28" t="str">
        <f t="shared" si="1"/>
        <v>LUNAS</v>
      </c>
      <c r="Q89" s="28">
        <f t="shared" si="2"/>
        <v>58</v>
      </c>
      <c r="R89" s="28" t="str">
        <f t="shared" si="3"/>
        <v/>
      </c>
    </row>
    <row r="90">
      <c r="A90" s="27" t="str">
        <f>IFERROR(__xludf.DUMMYFUNCTION("""COMPUTED_VALUE"""),"")</f>
        <v/>
      </c>
      <c r="B90" s="28"/>
      <c r="C90" s="28"/>
      <c r="D90" s="27"/>
      <c r="E90" s="27"/>
      <c r="F90" s="27"/>
      <c r="G90" s="27"/>
      <c r="H90" s="28"/>
      <c r="I90" s="28"/>
      <c r="J90" s="28"/>
      <c r="K90" s="28"/>
      <c r="L90" s="28"/>
      <c r="M90" s="28"/>
      <c r="N90" s="28"/>
      <c r="O90" s="28"/>
      <c r="P90" s="28" t="str">
        <f t="shared" si="1"/>
        <v>LUNAS</v>
      </c>
      <c r="Q90" s="28">
        <f t="shared" si="2"/>
        <v>58</v>
      </c>
      <c r="R90" s="28" t="str">
        <f t="shared" si="3"/>
        <v/>
      </c>
    </row>
    <row r="91">
      <c r="A91" s="27" t="str">
        <f>IFERROR(__xludf.DUMMYFUNCTION("""COMPUTED_VALUE"""),"")</f>
        <v/>
      </c>
      <c r="B91" s="28"/>
      <c r="C91" s="28"/>
      <c r="D91" s="27"/>
      <c r="E91" s="27"/>
      <c r="F91" s="27"/>
      <c r="G91" s="27"/>
      <c r="H91" s="28"/>
      <c r="I91" s="28"/>
      <c r="J91" s="28"/>
      <c r="K91" s="28"/>
      <c r="L91" s="28"/>
      <c r="M91" s="28"/>
      <c r="N91" s="28"/>
      <c r="O91" s="28"/>
      <c r="P91" s="28" t="str">
        <f t="shared" si="1"/>
        <v>LUNAS</v>
      </c>
      <c r="Q91" s="28">
        <f t="shared" si="2"/>
        <v>58</v>
      </c>
      <c r="R91" s="28" t="str">
        <f t="shared" si="3"/>
        <v/>
      </c>
    </row>
    <row r="92">
      <c r="A92" s="27" t="str">
        <f>IFERROR(__xludf.DUMMYFUNCTION("""COMPUTED_VALUE"""),"")</f>
        <v/>
      </c>
      <c r="B92" s="28"/>
      <c r="C92" s="28"/>
      <c r="D92" s="27"/>
      <c r="E92" s="27"/>
      <c r="F92" s="27"/>
      <c r="G92" s="27"/>
      <c r="H92" s="28"/>
      <c r="I92" s="28"/>
      <c r="J92" s="28"/>
      <c r="K92" s="28"/>
      <c r="L92" s="28"/>
      <c r="M92" s="28"/>
      <c r="N92" s="28"/>
      <c r="O92" s="28"/>
      <c r="P92" s="28" t="str">
        <f t="shared" si="1"/>
        <v>LUNAS</v>
      </c>
      <c r="Q92" s="28">
        <f t="shared" si="2"/>
        <v>58</v>
      </c>
      <c r="R92" s="28" t="str">
        <f t="shared" si="3"/>
        <v/>
      </c>
    </row>
    <row r="93">
      <c r="A93" s="27" t="str">
        <f>IFERROR(__xludf.DUMMYFUNCTION("""COMPUTED_VALUE"""),"")</f>
        <v/>
      </c>
      <c r="B93" s="28"/>
      <c r="C93" s="28"/>
      <c r="D93" s="27"/>
      <c r="E93" s="27"/>
      <c r="F93" s="27"/>
      <c r="G93" s="27"/>
      <c r="H93" s="28"/>
      <c r="I93" s="28"/>
      <c r="J93" s="28"/>
      <c r="K93" s="28"/>
      <c r="L93" s="28"/>
      <c r="M93" s="28"/>
      <c r="N93" s="28"/>
      <c r="O93" s="28"/>
      <c r="P93" s="28" t="str">
        <f t="shared" si="1"/>
        <v>LUNAS</v>
      </c>
      <c r="Q93" s="28">
        <f t="shared" si="2"/>
        <v>58</v>
      </c>
      <c r="R93" s="28" t="str">
        <f t="shared" si="3"/>
        <v/>
      </c>
    </row>
    <row r="94">
      <c r="A94" s="27" t="str">
        <f>IFERROR(__xludf.DUMMYFUNCTION("""COMPUTED_VALUE"""),"")</f>
        <v/>
      </c>
      <c r="B94" s="28"/>
      <c r="C94" s="28"/>
      <c r="D94" s="27"/>
      <c r="E94" s="27"/>
      <c r="F94" s="27"/>
      <c r="G94" s="27"/>
      <c r="H94" s="28"/>
      <c r="I94" s="28"/>
      <c r="J94" s="28"/>
      <c r="K94" s="28"/>
      <c r="L94" s="28"/>
      <c r="M94" s="28"/>
      <c r="N94" s="28"/>
      <c r="O94" s="28"/>
      <c r="P94" s="28" t="str">
        <f t="shared" si="1"/>
        <v>LUNAS</v>
      </c>
      <c r="Q94" s="28">
        <f t="shared" si="2"/>
        <v>58</v>
      </c>
      <c r="R94" s="28" t="str">
        <f t="shared" si="3"/>
        <v/>
      </c>
    </row>
    <row r="95">
      <c r="A95" s="27" t="str">
        <f>IFERROR(__xludf.DUMMYFUNCTION("""COMPUTED_VALUE"""),"")</f>
        <v/>
      </c>
      <c r="B95" s="28"/>
      <c r="C95" s="28"/>
      <c r="D95" s="27"/>
      <c r="E95" s="27"/>
      <c r="F95" s="27"/>
      <c r="G95" s="27"/>
      <c r="H95" s="28"/>
      <c r="I95" s="28"/>
      <c r="J95" s="28"/>
      <c r="K95" s="28"/>
      <c r="L95" s="28"/>
      <c r="M95" s="28"/>
      <c r="N95" s="28"/>
      <c r="O95" s="28"/>
      <c r="P95" s="28" t="str">
        <f t="shared" si="1"/>
        <v>LUNAS</v>
      </c>
      <c r="Q95" s="28">
        <f t="shared" si="2"/>
        <v>58</v>
      </c>
      <c r="R95" s="28" t="str">
        <f t="shared" si="3"/>
        <v/>
      </c>
    </row>
    <row r="96">
      <c r="A96" s="27" t="str">
        <f>IFERROR(__xludf.DUMMYFUNCTION("""COMPUTED_VALUE"""),"")</f>
        <v/>
      </c>
      <c r="B96" s="28"/>
      <c r="C96" s="28"/>
      <c r="D96" s="27"/>
      <c r="E96" s="27"/>
      <c r="F96" s="27"/>
      <c r="G96" s="27"/>
      <c r="H96" s="28"/>
      <c r="I96" s="28"/>
      <c r="J96" s="28"/>
      <c r="K96" s="28"/>
      <c r="L96" s="28"/>
      <c r="M96" s="28"/>
      <c r="N96" s="28"/>
      <c r="O96" s="28"/>
      <c r="P96" s="28" t="str">
        <f t="shared" si="1"/>
        <v>LUNAS</v>
      </c>
      <c r="Q96" s="28">
        <f t="shared" si="2"/>
        <v>58</v>
      </c>
      <c r="R96" s="28" t="str">
        <f t="shared" si="3"/>
        <v/>
      </c>
    </row>
    <row r="97">
      <c r="A97" s="27" t="str">
        <f>IFERROR(__xludf.DUMMYFUNCTION("""COMPUTED_VALUE"""),"")</f>
        <v/>
      </c>
      <c r="B97" s="28"/>
      <c r="C97" s="28"/>
      <c r="D97" s="27"/>
      <c r="E97" s="27"/>
      <c r="F97" s="27"/>
      <c r="G97" s="27"/>
      <c r="H97" s="28"/>
      <c r="I97" s="28"/>
      <c r="J97" s="28"/>
      <c r="K97" s="28"/>
      <c r="L97" s="28"/>
      <c r="M97" s="28"/>
      <c r="N97" s="28"/>
      <c r="O97" s="28"/>
      <c r="P97" s="28" t="str">
        <f t="shared" si="1"/>
        <v>LUNAS</v>
      </c>
      <c r="Q97" s="28">
        <f t="shared" si="2"/>
        <v>58</v>
      </c>
      <c r="R97" s="28" t="str">
        <f t="shared" si="3"/>
        <v/>
      </c>
    </row>
    <row r="98">
      <c r="A98" s="27" t="str">
        <f>IFERROR(__xludf.DUMMYFUNCTION("""COMPUTED_VALUE"""),"")</f>
        <v/>
      </c>
      <c r="B98" s="28"/>
      <c r="C98" s="28"/>
      <c r="D98" s="27"/>
      <c r="E98" s="27"/>
      <c r="F98" s="27"/>
      <c r="G98" s="27"/>
      <c r="H98" s="28"/>
      <c r="I98" s="28"/>
      <c r="J98" s="28"/>
      <c r="K98" s="28"/>
      <c r="L98" s="28"/>
      <c r="M98" s="28"/>
      <c r="N98" s="28"/>
      <c r="O98" s="28"/>
      <c r="P98" s="28" t="str">
        <f t="shared" si="1"/>
        <v>LUNAS</v>
      </c>
      <c r="Q98" s="28">
        <f t="shared" si="2"/>
        <v>58</v>
      </c>
      <c r="R98" s="28" t="str">
        <f t="shared" si="3"/>
        <v/>
      </c>
    </row>
    <row r="99">
      <c r="A99" s="27" t="str">
        <f>IFERROR(__xludf.DUMMYFUNCTION("""COMPUTED_VALUE"""),"")</f>
        <v/>
      </c>
      <c r="B99" s="28"/>
      <c r="C99" s="28"/>
      <c r="D99" s="27"/>
      <c r="E99" s="27"/>
      <c r="F99" s="27"/>
      <c r="G99" s="27"/>
      <c r="H99" s="28"/>
      <c r="I99" s="28"/>
      <c r="J99" s="28"/>
      <c r="K99" s="28"/>
      <c r="L99" s="28"/>
      <c r="M99" s="28"/>
      <c r="N99" s="28"/>
      <c r="O99" s="28"/>
      <c r="P99" s="28" t="str">
        <f t="shared" si="1"/>
        <v>LUNAS</v>
      </c>
      <c r="Q99" s="28">
        <f t="shared" si="2"/>
        <v>58</v>
      </c>
      <c r="R99" s="28" t="str">
        <f t="shared" si="3"/>
        <v/>
      </c>
    </row>
    <row r="100">
      <c r="A100" s="27" t="str">
        <f>IFERROR(__xludf.DUMMYFUNCTION("""COMPUTED_VALUE"""),"")</f>
        <v/>
      </c>
      <c r="B100" s="28"/>
      <c r="C100" s="28"/>
      <c r="D100" s="27"/>
      <c r="E100" s="27"/>
      <c r="F100" s="27"/>
      <c r="G100" s="27"/>
      <c r="H100" s="28"/>
      <c r="I100" s="28"/>
      <c r="J100" s="28"/>
      <c r="K100" s="28"/>
      <c r="L100" s="28"/>
      <c r="M100" s="28"/>
      <c r="N100" s="28"/>
      <c r="O100" s="28"/>
      <c r="P100" s="28" t="str">
        <f t="shared" si="1"/>
        <v>LUNAS</v>
      </c>
      <c r="Q100" s="28">
        <f t="shared" si="2"/>
        <v>58</v>
      </c>
      <c r="R100" s="28" t="str">
        <f t="shared" si="3"/>
        <v/>
      </c>
    </row>
    <row r="101">
      <c r="A101" s="27" t="str">
        <f>IFERROR(__xludf.DUMMYFUNCTION("""COMPUTED_VALUE"""),"")</f>
        <v/>
      </c>
      <c r="B101" s="28"/>
      <c r="C101" s="28"/>
      <c r="D101" s="27"/>
      <c r="E101" s="27"/>
      <c r="F101" s="27"/>
      <c r="G101" s="27"/>
      <c r="H101" s="28"/>
      <c r="I101" s="28"/>
      <c r="J101" s="28"/>
      <c r="K101" s="28"/>
      <c r="L101" s="28"/>
      <c r="M101" s="28"/>
      <c r="N101" s="28"/>
      <c r="O101" s="28"/>
      <c r="P101" s="28" t="str">
        <f t="shared" si="1"/>
        <v>LUNAS</v>
      </c>
      <c r="Q101" s="28">
        <f t="shared" si="2"/>
        <v>58</v>
      </c>
      <c r="R101" s="28" t="str">
        <f t="shared" si="3"/>
        <v/>
      </c>
    </row>
    <row r="102">
      <c r="A102" s="27" t="str">
        <f>IFERROR(__xludf.DUMMYFUNCTION("""COMPUTED_VALUE"""),"")</f>
        <v/>
      </c>
      <c r="B102" s="28"/>
      <c r="C102" s="28"/>
      <c r="D102" s="27"/>
      <c r="E102" s="27"/>
      <c r="F102" s="27"/>
      <c r="G102" s="27"/>
      <c r="H102" s="28"/>
      <c r="I102" s="28"/>
      <c r="J102" s="28"/>
      <c r="K102" s="28"/>
      <c r="L102" s="28"/>
      <c r="M102" s="28"/>
      <c r="N102" s="28"/>
      <c r="O102" s="28"/>
      <c r="P102" s="28" t="str">
        <f t="shared" si="1"/>
        <v>LUNAS</v>
      </c>
      <c r="Q102" s="28">
        <f t="shared" si="2"/>
        <v>58</v>
      </c>
      <c r="R102" s="28" t="str">
        <f t="shared" si="3"/>
        <v/>
      </c>
    </row>
    <row r="103">
      <c r="A103" s="27" t="str">
        <f>IFERROR(__xludf.DUMMYFUNCTION("""COMPUTED_VALUE"""),"")</f>
        <v/>
      </c>
      <c r="B103" s="28"/>
      <c r="C103" s="28"/>
      <c r="D103" s="27"/>
      <c r="E103" s="27"/>
      <c r="F103" s="27"/>
      <c r="G103" s="27"/>
      <c r="H103" s="28"/>
      <c r="I103" s="28"/>
      <c r="J103" s="28"/>
      <c r="K103" s="28"/>
      <c r="L103" s="28"/>
      <c r="M103" s="28"/>
      <c r="N103" s="28"/>
      <c r="O103" s="28"/>
      <c r="P103" s="28" t="str">
        <f t="shared" si="1"/>
        <v>LUNAS</v>
      </c>
      <c r="Q103" s="28">
        <f t="shared" si="2"/>
        <v>58</v>
      </c>
      <c r="R103" s="28" t="str">
        <f t="shared" si="3"/>
        <v/>
      </c>
    </row>
    <row r="104">
      <c r="A104" s="27" t="str">
        <f>IFERROR(__xludf.DUMMYFUNCTION("""COMPUTED_VALUE"""),"")</f>
        <v/>
      </c>
      <c r="B104" s="28"/>
      <c r="C104" s="28"/>
      <c r="D104" s="27"/>
      <c r="E104" s="27"/>
      <c r="F104" s="27"/>
      <c r="G104" s="27"/>
      <c r="H104" s="28"/>
      <c r="I104" s="28"/>
      <c r="J104" s="28"/>
      <c r="K104" s="28"/>
      <c r="L104" s="28"/>
      <c r="M104" s="28"/>
      <c r="N104" s="28"/>
      <c r="O104" s="28"/>
      <c r="P104" s="28" t="str">
        <f t="shared" si="1"/>
        <v>LUNAS</v>
      </c>
      <c r="Q104" s="28">
        <f t="shared" si="2"/>
        <v>58</v>
      </c>
      <c r="R104" s="28" t="str">
        <f t="shared" si="3"/>
        <v/>
      </c>
    </row>
    <row r="105">
      <c r="A105" s="27" t="str">
        <f>IFERROR(__xludf.DUMMYFUNCTION("""COMPUTED_VALUE"""),"")</f>
        <v/>
      </c>
      <c r="B105" s="28"/>
      <c r="C105" s="28"/>
      <c r="D105" s="27"/>
      <c r="E105" s="27"/>
      <c r="F105" s="27"/>
      <c r="G105" s="27"/>
      <c r="H105" s="28"/>
      <c r="I105" s="28"/>
      <c r="J105" s="28"/>
      <c r="K105" s="28"/>
      <c r="L105" s="28"/>
      <c r="M105" s="28"/>
      <c r="N105" s="28"/>
      <c r="O105" s="28"/>
      <c r="P105" s="28" t="str">
        <f t="shared" si="1"/>
        <v>LUNAS</v>
      </c>
      <c r="Q105" s="28">
        <f t="shared" si="2"/>
        <v>58</v>
      </c>
      <c r="R105" s="28" t="str">
        <f t="shared" si="3"/>
        <v/>
      </c>
    </row>
    <row r="106">
      <c r="A106" s="27" t="str">
        <f>IFERROR(__xludf.DUMMYFUNCTION("""COMPUTED_VALUE"""),"")</f>
        <v/>
      </c>
      <c r="B106" s="28"/>
      <c r="C106" s="28"/>
      <c r="D106" s="27"/>
      <c r="E106" s="27"/>
      <c r="F106" s="27"/>
      <c r="G106" s="27"/>
      <c r="H106" s="28"/>
      <c r="I106" s="28"/>
      <c r="J106" s="28"/>
      <c r="K106" s="28"/>
      <c r="L106" s="28"/>
      <c r="M106" s="28"/>
      <c r="N106" s="28"/>
      <c r="O106" s="28"/>
      <c r="P106" s="28" t="str">
        <f t="shared" si="1"/>
        <v>LUNAS</v>
      </c>
      <c r="Q106" s="28">
        <f t="shared" si="2"/>
        <v>58</v>
      </c>
      <c r="R106" s="28" t="str">
        <f t="shared" si="3"/>
        <v/>
      </c>
    </row>
    <row r="107">
      <c r="A107" s="27" t="str">
        <f>IFERROR(__xludf.DUMMYFUNCTION("""COMPUTED_VALUE"""),"")</f>
        <v/>
      </c>
      <c r="B107" s="28"/>
      <c r="C107" s="28"/>
      <c r="D107" s="27"/>
      <c r="E107" s="27"/>
      <c r="F107" s="27"/>
      <c r="G107" s="27"/>
      <c r="H107" s="28"/>
      <c r="I107" s="28"/>
      <c r="J107" s="28"/>
      <c r="K107" s="28"/>
      <c r="L107" s="28"/>
      <c r="M107" s="28"/>
      <c r="N107" s="28"/>
      <c r="O107" s="28"/>
      <c r="P107" s="28" t="str">
        <f t="shared" si="1"/>
        <v>LUNAS</v>
      </c>
      <c r="Q107" s="28">
        <f t="shared" si="2"/>
        <v>58</v>
      </c>
      <c r="R107" s="28" t="str">
        <f t="shared" si="3"/>
        <v/>
      </c>
    </row>
    <row r="108">
      <c r="A108" s="27" t="str">
        <f>IFERROR(__xludf.DUMMYFUNCTION("""COMPUTED_VALUE"""),"")</f>
        <v/>
      </c>
      <c r="B108" s="28"/>
      <c r="C108" s="28"/>
      <c r="D108" s="27"/>
      <c r="E108" s="27"/>
      <c r="F108" s="27"/>
      <c r="G108" s="27"/>
      <c r="H108" s="28"/>
      <c r="I108" s="28"/>
      <c r="J108" s="28"/>
      <c r="K108" s="28"/>
      <c r="L108" s="28"/>
      <c r="M108" s="28"/>
      <c r="N108" s="28"/>
      <c r="O108" s="28"/>
      <c r="P108" s="28" t="str">
        <f t="shared" si="1"/>
        <v>LUNAS</v>
      </c>
      <c r="Q108" s="28">
        <f t="shared" si="2"/>
        <v>58</v>
      </c>
      <c r="R108" s="28" t="str">
        <f t="shared" si="3"/>
        <v/>
      </c>
    </row>
    <row r="109">
      <c r="A109" s="27" t="str">
        <f>IFERROR(__xludf.DUMMYFUNCTION("""COMPUTED_VALUE"""),"")</f>
        <v/>
      </c>
      <c r="B109" s="28"/>
      <c r="C109" s="28"/>
      <c r="D109" s="27"/>
      <c r="E109" s="27"/>
      <c r="F109" s="27"/>
      <c r="G109" s="27"/>
      <c r="H109" s="28"/>
      <c r="I109" s="28"/>
      <c r="J109" s="28"/>
      <c r="K109" s="28"/>
      <c r="L109" s="28"/>
      <c r="M109" s="28"/>
      <c r="N109" s="28"/>
      <c r="O109" s="28"/>
      <c r="P109" s="28" t="str">
        <f t="shared" si="1"/>
        <v>LUNAS</v>
      </c>
      <c r="Q109" s="28">
        <f t="shared" si="2"/>
        <v>58</v>
      </c>
      <c r="R109" s="28" t="str">
        <f t="shared" si="3"/>
        <v/>
      </c>
    </row>
    <row r="110">
      <c r="A110" s="27" t="str">
        <f>IFERROR(__xludf.DUMMYFUNCTION("""COMPUTED_VALUE"""),"")</f>
        <v/>
      </c>
      <c r="B110" s="28"/>
      <c r="C110" s="28"/>
      <c r="D110" s="27"/>
      <c r="E110" s="27"/>
      <c r="F110" s="27"/>
      <c r="G110" s="27"/>
      <c r="H110" s="28"/>
      <c r="I110" s="28"/>
      <c r="J110" s="28"/>
      <c r="K110" s="28"/>
      <c r="L110" s="28"/>
      <c r="M110" s="28"/>
      <c r="N110" s="28"/>
      <c r="O110" s="28"/>
      <c r="P110" s="28" t="str">
        <f t="shared" si="1"/>
        <v>LUNAS</v>
      </c>
      <c r="Q110" s="28">
        <f t="shared" si="2"/>
        <v>58</v>
      </c>
      <c r="R110" s="28" t="str">
        <f t="shared" si="3"/>
        <v/>
      </c>
    </row>
    <row r="111">
      <c r="A111" s="27" t="str">
        <f>IFERROR(__xludf.DUMMYFUNCTION("""COMPUTED_VALUE"""),"")</f>
        <v/>
      </c>
      <c r="B111" s="28"/>
      <c r="C111" s="28"/>
      <c r="D111" s="27"/>
      <c r="E111" s="27"/>
      <c r="F111" s="27"/>
      <c r="G111" s="27"/>
      <c r="H111" s="28"/>
      <c r="I111" s="28"/>
      <c r="J111" s="28"/>
      <c r="K111" s="28"/>
      <c r="L111" s="28"/>
      <c r="M111" s="28"/>
      <c r="N111" s="28"/>
      <c r="O111" s="28"/>
      <c r="P111" s="28" t="str">
        <f t="shared" si="1"/>
        <v>LUNAS</v>
      </c>
      <c r="Q111" s="28">
        <f t="shared" si="2"/>
        <v>58</v>
      </c>
      <c r="R111" s="28" t="str">
        <f t="shared" si="3"/>
        <v/>
      </c>
    </row>
    <row r="112">
      <c r="A112" s="27" t="str">
        <f>IFERROR(__xludf.DUMMYFUNCTION("""COMPUTED_VALUE"""),"")</f>
        <v/>
      </c>
      <c r="B112" s="28"/>
      <c r="C112" s="28"/>
      <c r="D112" s="27"/>
      <c r="E112" s="27"/>
      <c r="F112" s="27"/>
      <c r="G112" s="27"/>
      <c r="H112" s="28"/>
      <c r="I112" s="28"/>
      <c r="J112" s="28"/>
      <c r="K112" s="28"/>
      <c r="L112" s="28"/>
      <c r="M112" s="28"/>
      <c r="N112" s="28"/>
      <c r="O112" s="28"/>
      <c r="P112" s="28" t="str">
        <f t="shared" si="1"/>
        <v>LUNAS</v>
      </c>
      <c r="Q112" s="28">
        <f t="shared" si="2"/>
        <v>58</v>
      </c>
      <c r="R112" s="28" t="str">
        <f t="shared" si="3"/>
        <v/>
      </c>
    </row>
    <row r="113">
      <c r="A113" s="27" t="str">
        <f>IFERROR(__xludf.DUMMYFUNCTION("""COMPUTED_VALUE"""),"")</f>
        <v/>
      </c>
      <c r="B113" s="28"/>
      <c r="C113" s="28"/>
      <c r="D113" s="27"/>
      <c r="E113" s="27"/>
      <c r="F113" s="27"/>
      <c r="G113" s="27"/>
      <c r="H113" s="28"/>
      <c r="I113" s="28"/>
      <c r="J113" s="28"/>
      <c r="K113" s="28"/>
      <c r="L113" s="28"/>
      <c r="M113" s="28"/>
      <c r="N113" s="28"/>
      <c r="O113" s="28"/>
      <c r="P113" s="28" t="str">
        <f t="shared" si="1"/>
        <v>LUNAS</v>
      </c>
      <c r="Q113" s="28">
        <f t="shared" si="2"/>
        <v>58</v>
      </c>
      <c r="R113" s="28" t="str">
        <f t="shared" si="3"/>
        <v/>
      </c>
    </row>
    <row r="114">
      <c r="A114" s="27" t="str">
        <f>IFERROR(__xludf.DUMMYFUNCTION("""COMPUTED_VALUE"""),"")</f>
        <v/>
      </c>
      <c r="B114" s="28"/>
      <c r="C114" s="28"/>
      <c r="D114" s="27"/>
      <c r="E114" s="27"/>
      <c r="F114" s="27"/>
      <c r="G114" s="27"/>
      <c r="H114" s="28"/>
      <c r="I114" s="28"/>
      <c r="J114" s="28"/>
      <c r="K114" s="28"/>
      <c r="L114" s="28"/>
      <c r="M114" s="28"/>
      <c r="N114" s="28"/>
      <c r="O114" s="28"/>
      <c r="P114" s="28" t="str">
        <f t="shared" si="1"/>
        <v>LUNAS</v>
      </c>
      <c r="Q114" s="28">
        <f t="shared" si="2"/>
        <v>58</v>
      </c>
      <c r="R114" s="28" t="str">
        <f t="shared" si="3"/>
        <v/>
      </c>
    </row>
    <row r="115">
      <c r="A115" s="27" t="str">
        <f>IFERROR(__xludf.DUMMYFUNCTION("""COMPUTED_VALUE"""),"")</f>
        <v/>
      </c>
      <c r="B115" s="28"/>
      <c r="C115" s="28"/>
      <c r="D115" s="27"/>
      <c r="E115" s="27"/>
      <c r="F115" s="27"/>
      <c r="G115" s="27"/>
      <c r="H115" s="28"/>
      <c r="I115" s="28"/>
      <c r="J115" s="28"/>
      <c r="K115" s="28"/>
      <c r="L115" s="28"/>
      <c r="M115" s="28"/>
      <c r="N115" s="28"/>
      <c r="O115" s="28"/>
      <c r="P115" s="28" t="str">
        <f t="shared" si="1"/>
        <v>LUNAS</v>
      </c>
      <c r="Q115" s="28">
        <f t="shared" si="2"/>
        <v>58</v>
      </c>
      <c r="R115" s="28" t="str">
        <f t="shared" si="3"/>
        <v/>
      </c>
    </row>
    <row r="116">
      <c r="A116" s="27" t="str">
        <f>IFERROR(__xludf.DUMMYFUNCTION("""COMPUTED_VALUE"""),"")</f>
        <v/>
      </c>
      <c r="B116" s="28"/>
      <c r="C116" s="28"/>
      <c r="D116" s="27"/>
      <c r="E116" s="27"/>
      <c r="F116" s="27"/>
      <c r="G116" s="27"/>
      <c r="H116" s="28"/>
      <c r="I116" s="28"/>
      <c r="J116" s="28"/>
      <c r="K116" s="28"/>
      <c r="L116" s="28"/>
      <c r="M116" s="28"/>
      <c r="N116" s="28"/>
      <c r="O116" s="28"/>
      <c r="P116" s="28" t="str">
        <f t="shared" si="1"/>
        <v>LUNAS</v>
      </c>
      <c r="Q116" s="28">
        <f t="shared" si="2"/>
        <v>58</v>
      </c>
      <c r="R116" s="28" t="str">
        <f t="shared" si="3"/>
        <v/>
      </c>
    </row>
    <row r="117">
      <c r="A117" s="27" t="str">
        <f>IFERROR(__xludf.DUMMYFUNCTION("""COMPUTED_VALUE"""),"")</f>
        <v/>
      </c>
      <c r="B117" s="28"/>
      <c r="C117" s="28"/>
      <c r="D117" s="27"/>
      <c r="E117" s="27"/>
      <c r="F117" s="27"/>
      <c r="G117" s="27"/>
      <c r="H117" s="28"/>
      <c r="I117" s="28"/>
      <c r="J117" s="28"/>
      <c r="K117" s="28"/>
      <c r="L117" s="28"/>
      <c r="M117" s="28"/>
      <c r="N117" s="28"/>
      <c r="O117" s="28"/>
      <c r="P117" s="28" t="str">
        <f t="shared" si="1"/>
        <v>LUNAS</v>
      </c>
      <c r="Q117" s="28">
        <f t="shared" si="2"/>
        <v>58</v>
      </c>
      <c r="R117" s="28" t="str">
        <f t="shared" si="3"/>
        <v/>
      </c>
    </row>
    <row r="118">
      <c r="A118" s="27" t="str">
        <f>IFERROR(__xludf.DUMMYFUNCTION("""COMPUTED_VALUE"""),"")</f>
        <v/>
      </c>
      <c r="B118" s="28"/>
      <c r="C118" s="28"/>
      <c r="D118" s="27"/>
      <c r="E118" s="27"/>
      <c r="F118" s="27"/>
      <c r="G118" s="27"/>
      <c r="H118" s="28"/>
      <c r="I118" s="28"/>
      <c r="J118" s="28"/>
      <c r="K118" s="28"/>
      <c r="L118" s="28"/>
      <c r="M118" s="28"/>
      <c r="N118" s="28"/>
      <c r="O118" s="28"/>
      <c r="P118" s="28" t="str">
        <f t="shared" si="1"/>
        <v>LUNAS</v>
      </c>
      <c r="Q118" s="28">
        <f t="shared" si="2"/>
        <v>58</v>
      </c>
      <c r="R118" s="28" t="str">
        <f t="shared" si="3"/>
        <v/>
      </c>
    </row>
    <row r="119">
      <c r="A119" s="27" t="str">
        <f>IFERROR(__xludf.DUMMYFUNCTION("""COMPUTED_VALUE"""),"")</f>
        <v/>
      </c>
      <c r="B119" s="28"/>
      <c r="C119" s="28"/>
      <c r="D119" s="27"/>
      <c r="E119" s="27"/>
      <c r="F119" s="27"/>
      <c r="G119" s="27"/>
      <c r="H119" s="28"/>
      <c r="I119" s="28"/>
      <c r="J119" s="28"/>
      <c r="K119" s="28"/>
      <c r="L119" s="28"/>
      <c r="M119" s="28"/>
      <c r="N119" s="28"/>
      <c r="O119" s="28"/>
      <c r="P119" s="28" t="str">
        <f t="shared" si="1"/>
        <v>LUNAS</v>
      </c>
      <c r="Q119" s="28">
        <f t="shared" si="2"/>
        <v>58</v>
      </c>
      <c r="R119" s="28" t="str">
        <f t="shared" si="3"/>
        <v/>
      </c>
    </row>
    <row r="120">
      <c r="A120" s="27" t="str">
        <f>IFERROR(__xludf.DUMMYFUNCTION("""COMPUTED_VALUE"""),"")</f>
        <v/>
      </c>
      <c r="B120" s="28"/>
      <c r="C120" s="28"/>
      <c r="D120" s="27"/>
      <c r="E120" s="27"/>
      <c r="F120" s="27"/>
      <c r="G120" s="27"/>
      <c r="H120" s="28"/>
      <c r="I120" s="28"/>
      <c r="J120" s="28"/>
      <c r="K120" s="28"/>
      <c r="L120" s="28"/>
      <c r="M120" s="28"/>
      <c r="N120" s="28"/>
      <c r="O120" s="28"/>
      <c r="P120" s="28" t="str">
        <f t="shared" si="1"/>
        <v>LUNAS</v>
      </c>
      <c r="Q120" s="28">
        <f t="shared" si="2"/>
        <v>58</v>
      </c>
      <c r="R120" s="28" t="str">
        <f t="shared" si="3"/>
        <v/>
      </c>
    </row>
    <row r="121">
      <c r="A121" s="27" t="str">
        <f>IFERROR(__xludf.DUMMYFUNCTION("""COMPUTED_VALUE"""),"")</f>
        <v/>
      </c>
      <c r="B121" s="28"/>
      <c r="C121" s="28"/>
      <c r="D121" s="27"/>
      <c r="E121" s="27"/>
      <c r="F121" s="27"/>
      <c r="G121" s="27"/>
      <c r="H121" s="28"/>
      <c r="I121" s="28"/>
      <c r="J121" s="28"/>
      <c r="K121" s="28"/>
      <c r="L121" s="28"/>
      <c r="M121" s="28"/>
      <c r="N121" s="28"/>
      <c r="O121" s="28"/>
      <c r="P121" s="28" t="str">
        <f t="shared" si="1"/>
        <v>LUNAS</v>
      </c>
      <c r="Q121" s="28">
        <f t="shared" si="2"/>
        <v>58</v>
      </c>
      <c r="R121" s="28" t="str">
        <f t="shared" si="3"/>
        <v/>
      </c>
    </row>
    <row r="122">
      <c r="A122" s="27" t="str">
        <f>IFERROR(__xludf.DUMMYFUNCTION("""COMPUTED_VALUE"""),"")</f>
        <v/>
      </c>
      <c r="B122" s="28"/>
      <c r="C122" s="28"/>
      <c r="D122" s="27"/>
      <c r="E122" s="27"/>
      <c r="F122" s="27"/>
      <c r="G122" s="27"/>
      <c r="H122" s="28"/>
      <c r="I122" s="28"/>
      <c r="J122" s="28"/>
      <c r="K122" s="28"/>
      <c r="L122" s="28"/>
      <c r="M122" s="28"/>
      <c r="N122" s="28"/>
      <c r="O122" s="28"/>
      <c r="P122" s="28" t="str">
        <f t="shared" si="1"/>
        <v>LUNAS</v>
      </c>
      <c r="Q122" s="28">
        <f t="shared" si="2"/>
        <v>58</v>
      </c>
      <c r="R122" s="28" t="str">
        <f t="shared" si="3"/>
        <v/>
      </c>
    </row>
    <row r="123">
      <c r="A123" s="27" t="str">
        <f>IFERROR(__xludf.DUMMYFUNCTION("""COMPUTED_VALUE"""),"")</f>
        <v/>
      </c>
      <c r="B123" s="28"/>
      <c r="C123" s="28"/>
      <c r="D123" s="27"/>
      <c r="E123" s="27"/>
      <c r="F123" s="27"/>
      <c r="G123" s="27"/>
      <c r="H123" s="28"/>
      <c r="I123" s="28"/>
      <c r="J123" s="28"/>
      <c r="K123" s="28"/>
      <c r="L123" s="28"/>
      <c r="M123" s="28"/>
      <c r="N123" s="28"/>
      <c r="O123" s="28"/>
      <c r="P123" s="28" t="str">
        <f t="shared" si="1"/>
        <v>LUNAS</v>
      </c>
      <c r="Q123" s="28">
        <f t="shared" si="2"/>
        <v>58</v>
      </c>
      <c r="R123" s="28" t="str">
        <f t="shared" si="3"/>
        <v/>
      </c>
    </row>
    <row r="124">
      <c r="A124" s="27" t="str">
        <f>IFERROR(__xludf.DUMMYFUNCTION("""COMPUTED_VALUE"""),"")</f>
        <v/>
      </c>
      <c r="B124" s="28"/>
      <c r="C124" s="28"/>
      <c r="D124" s="27"/>
      <c r="E124" s="27"/>
      <c r="F124" s="27"/>
      <c r="G124" s="27"/>
      <c r="H124" s="28"/>
      <c r="I124" s="28"/>
      <c r="J124" s="28"/>
      <c r="K124" s="28"/>
      <c r="L124" s="28"/>
      <c r="M124" s="28"/>
      <c r="N124" s="28"/>
      <c r="O124" s="28"/>
      <c r="P124" s="28" t="str">
        <f t="shared" si="1"/>
        <v>LUNAS</v>
      </c>
      <c r="Q124" s="28">
        <f t="shared" si="2"/>
        <v>58</v>
      </c>
      <c r="R124" s="28" t="str">
        <f t="shared" si="3"/>
        <v/>
      </c>
    </row>
    <row r="125">
      <c r="A125" s="27" t="str">
        <f>IFERROR(__xludf.DUMMYFUNCTION("""COMPUTED_VALUE"""),"")</f>
        <v/>
      </c>
      <c r="B125" s="28"/>
      <c r="C125" s="28"/>
      <c r="D125" s="27"/>
      <c r="E125" s="27"/>
      <c r="F125" s="27"/>
      <c r="G125" s="27"/>
      <c r="H125" s="28"/>
      <c r="I125" s="28"/>
      <c r="J125" s="28"/>
      <c r="K125" s="28"/>
      <c r="L125" s="28"/>
      <c r="M125" s="28"/>
      <c r="N125" s="28"/>
      <c r="O125" s="28"/>
      <c r="P125" s="28" t="str">
        <f t="shared" si="1"/>
        <v>LUNAS</v>
      </c>
      <c r="Q125" s="28">
        <f t="shared" si="2"/>
        <v>58</v>
      </c>
      <c r="R125" s="28" t="str">
        <f t="shared" si="3"/>
        <v/>
      </c>
    </row>
    <row r="126">
      <c r="A126" s="27" t="str">
        <f>IFERROR(__xludf.DUMMYFUNCTION("""COMPUTED_VALUE"""),"")</f>
        <v/>
      </c>
      <c r="B126" s="28"/>
      <c r="C126" s="28"/>
      <c r="D126" s="27"/>
      <c r="E126" s="27"/>
      <c r="F126" s="27"/>
      <c r="G126" s="27"/>
      <c r="H126" s="28"/>
      <c r="I126" s="28"/>
      <c r="J126" s="28"/>
      <c r="K126" s="28"/>
      <c r="L126" s="28"/>
      <c r="M126" s="28"/>
      <c r="N126" s="28"/>
      <c r="O126" s="28"/>
      <c r="P126" s="28" t="str">
        <f t="shared" si="1"/>
        <v>LUNAS</v>
      </c>
      <c r="Q126" s="28">
        <f t="shared" si="2"/>
        <v>58</v>
      </c>
      <c r="R126" s="28" t="str">
        <f t="shared" si="3"/>
        <v/>
      </c>
    </row>
    <row r="127">
      <c r="A127" s="27" t="str">
        <f>IFERROR(__xludf.DUMMYFUNCTION("""COMPUTED_VALUE"""),"")</f>
        <v/>
      </c>
      <c r="B127" s="28"/>
      <c r="C127" s="28"/>
      <c r="D127" s="27"/>
      <c r="E127" s="27"/>
      <c r="F127" s="27"/>
      <c r="G127" s="27"/>
      <c r="H127" s="28"/>
      <c r="I127" s="28"/>
      <c r="J127" s="28"/>
      <c r="K127" s="28"/>
      <c r="L127" s="28"/>
      <c r="M127" s="28"/>
      <c r="N127" s="28"/>
      <c r="O127" s="28"/>
      <c r="P127" s="28" t="str">
        <f t="shared" si="1"/>
        <v>LUNAS</v>
      </c>
      <c r="Q127" s="28">
        <f t="shared" si="2"/>
        <v>58</v>
      </c>
      <c r="R127" s="28" t="str">
        <f t="shared" si="3"/>
        <v/>
      </c>
    </row>
    <row r="128">
      <c r="A128" s="27" t="str">
        <f>IFERROR(__xludf.DUMMYFUNCTION("""COMPUTED_VALUE"""),"")</f>
        <v/>
      </c>
      <c r="B128" s="28"/>
      <c r="C128" s="28"/>
      <c r="D128" s="27"/>
      <c r="E128" s="27"/>
      <c r="F128" s="27"/>
      <c r="G128" s="27"/>
      <c r="H128" s="28"/>
      <c r="I128" s="28"/>
      <c r="J128" s="28"/>
      <c r="K128" s="28"/>
      <c r="L128" s="28"/>
      <c r="M128" s="28"/>
      <c r="N128" s="28"/>
      <c r="O128" s="28"/>
      <c r="P128" s="28" t="str">
        <f t="shared" si="1"/>
        <v>LUNAS</v>
      </c>
      <c r="Q128" s="28">
        <f t="shared" si="2"/>
        <v>58</v>
      </c>
      <c r="R128" s="28" t="str">
        <f t="shared" si="3"/>
        <v/>
      </c>
    </row>
    <row r="129">
      <c r="A129" s="27" t="str">
        <f>IFERROR(__xludf.DUMMYFUNCTION("""COMPUTED_VALUE"""),"")</f>
        <v/>
      </c>
      <c r="B129" s="28"/>
      <c r="C129" s="28"/>
      <c r="D129" s="27"/>
      <c r="E129" s="27"/>
      <c r="F129" s="27"/>
      <c r="G129" s="27"/>
      <c r="H129" s="28"/>
      <c r="I129" s="28"/>
      <c r="J129" s="28"/>
      <c r="K129" s="28"/>
      <c r="L129" s="28"/>
      <c r="M129" s="28"/>
      <c r="N129" s="28"/>
      <c r="O129" s="28"/>
      <c r="P129" s="28" t="str">
        <f t="shared" si="1"/>
        <v>LUNAS</v>
      </c>
      <c r="Q129" s="28">
        <f t="shared" si="2"/>
        <v>58</v>
      </c>
      <c r="R129" s="28" t="str">
        <f t="shared" si="3"/>
        <v/>
      </c>
    </row>
    <row r="130">
      <c r="A130" s="27" t="str">
        <f>IFERROR(__xludf.DUMMYFUNCTION("""COMPUTED_VALUE"""),"")</f>
        <v/>
      </c>
      <c r="B130" s="28"/>
      <c r="C130" s="28"/>
      <c r="D130" s="27"/>
      <c r="E130" s="27"/>
      <c r="F130" s="27"/>
      <c r="G130" s="27"/>
      <c r="H130" s="28"/>
      <c r="I130" s="28"/>
      <c r="J130" s="28"/>
      <c r="K130" s="28"/>
      <c r="L130" s="28"/>
      <c r="M130" s="28"/>
      <c r="N130" s="28"/>
      <c r="O130" s="28"/>
      <c r="P130" s="28" t="str">
        <f t="shared" si="1"/>
        <v>LUNAS</v>
      </c>
      <c r="Q130" s="28">
        <f t="shared" si="2"/>
        <v>58</v>
      </c>
      <c r="R130" s="28" t="str">
        <f t="shared" si="3"/>
        <v/>
      </c>
    </row>
    <row r="131">
      <c r="A131" s="27" t="str">
        <f>IFERROR(__xludf.DUMMYFUNCTION("""COMPUTED_VALUE"""),"")</f>
        <v/>
      </c>
      <c r="B131" s="28"/>
      <c r="C131" s="28"/>
      <c r="D131" s="27"/>
      <c r="E131" s="27"/>
      <c r="F131" s="27"/>
      <c r="G131" s="27"/>
      <c r="H131" s="28"/>
      <c r="I131" s="28"/>
      <c r="J131" s="28"/>
      <c r="K131" s="28"/>
      <c r="L131" s="28"/>
      <c r="M131" s="28"/>
      <c r="N131" s="28"/>
      <c r="O131" s="28"/>
      <c r="P131" s="28" t="str">
        <f t="shared" si="1"/>
        <v>LUNAS</v>
      </c>
      <c r="Q131" s="28">
        <f t="shared" si="2"/>
        <v>58</v>
      </c>
      <c r="R131" s="28" t="str">
        <f t="shared" si="3"/>
        <v/>
      </c>
    </row>
    <row r="132">
      <c r="A132" s="27" t="str">
        <f>IFERROR(__xludf.DUMMYFUNCTION("""COMPUTED_VALUE"""),"")</f>
        <v/>
      </c>
      <c r="B132" s="28"/>
      <c r="C132" s="28"/>
      <c r="D132" s="27"/>
      <c r="E132" s="27"/>
      <c r="F132" s="27"/>
      <c r="G132" s="27"/>
      <c r="H132" s="28"/>
      <c r="I132" s="28"/>
      <c r="J132" s="28"/>
      <c r="K132" s="28"/>
      <c r="L132" s="28"/>
      <c r="M132" s="28"/>
      <c r="N132" s="28"/>
      <c r="O132" s="28"/>
      <c r="P132" s="28" t="str">
        <f t="shared" si="1"/>
        <v>LUNAS</v>
      </c>
      <c r="Q132" s="28">
        <f t="shared" si="2"/>
        <v>58</v>
      </c>
      <c r="R132" s="28" t="str">
        <f t="shared" si="3"/>
        <v/>
      </c>
    </row>
    <row r="133">
      <c r="A133" s="27" t="str">
        <f>IFERROR(__xludf.DUMMYFUNCTION("""COMPUTED_VALUE"""),"")</f>
        <v/>
      </c>
      <c r="B133" s="28"/>
      <c r="C133" s="28"/>
      <c r="D133" s="27"/>
      <c r="E133" s="27"/>
      <c r="F133" s="27"/>
      <c r="G133" s="27"/>
      <c r="H133" s="28"/>
      <c r="I133" s="28"/>
      <c r="J133" s="28"/>
      <c r="K133" s="28"/>
      <c r="L133" s="28"/>
      <c r="M133" s="28"/>
      <c r="N133" s="28"/>
      <c r="O133" s="28"/>
      <c r="P133" s="28" t="str">
        <f t="shared" si="1"/>
        <v>LUNAS</v>
      </c>
      <c r="Q133" s="28">
        <f t="shared" si="2"/>
        <v>58</v>
      </c>
      <c r="R133" s="28" t="str">
        <f t="shared" si="3"/>
        <v/>
      </c>
    </row>
    <row r="134">
      <c r="A134" s="27" t="str">
        <f>IFERROR(__xludf.DUMMYFUNCTION("""COMPUTED_VALUE"""),"")</f>
        <v/>
      </c>
      <c r="B134" s="28"/>
      <c r="C134" s="28"/>
      <c r="D134" s="27"/>
      <c r="E134" s="27"/>
      <c r="F134" s="27"/>
      <c r="G134" s="27"/>
      <c r="H134" s="28"/>
      <c r="I134" s="28"/>
      <c r="J134" s="28"/>
      <c r="K134" s="28"/>
      <c r="L134" s="28"/>
      <c r="M134" s="28"/>
      <c r="N134" s="28"/>
      <c r="O134" s="28"/>
    </row>
    <row r="135">
      <c r="A135" s="27" t="str">
        <f>IFERROR(__xludf.DUMMYFUNCTION("""COMPUTED_VALUE"""),"")</f>
        <v/>
      </c>
      <c r="B135" s="28"/>
      <c r="C135" s="28"/>
      <c r="D135" s="27"/>
      <c r="E135" s="27"/>
      <c r="F135" s="27"/>
      <c r="G135" s="27"/>
      <c r="H135" s="28"/>
      <c r="I135" s="28"/>
      <c r="J135" s="28"/>
      <c r="K135" s="28"/>
      <c r="L135" s="28"/>
      <c r="M135" s="28"/>
      <c r="N135" s="28"/>
      <c r="O135" s="28"/>
    </row>
    <row r="136">
      <c r="A136" s="27" t="str">
        <f>IFERROR(__xludf.DUMMYFUNCTION("""COMPUTED_VALUE"""),"")</f>
        <v/>
      </c>
      <c r="B136" s="28"/>
      <c r="C136" s="28"/>
      <c r="D136" s="27"/>
      <c r="E136" s="27"/>
      <c r="F136" s="27"/>
      <c r="G136" s="27"/>
      <c r="H136" s="28"/>
      <c r="I136" s="28"/>
      <c r="J136" s="28"/>
      <c r="K136" s="28"/>
      <c r="L136" s="28"/>
      <c r="M136" s="28"/>
      <c r="N136" s="28"/>
      <c r="O136" s="28"/>
    </row>
    <row r="137">
      <c r="A137" s="27" t="str">
        <f>IFERROR(__xludf.DUMMYFUNCTION("""COMPUTED_VALUE"""),"")</f>
        <v/>
      </c>
      <c r="B137" s="28"/>
      <c r="C137" s="28"/>
      <c r="D137" s="27"/>
      <c r="E137" s="27"/>
      <c r="F137" s="27"/>
      <c r="G137" s="27"/>
      <c r="H137" s="28"/>
      <c r="I137" s="28"/>
      <c r="J137" s="28"/>
      <c r="K137" s="28"/>
      <c r="L137" s="28"/>
      <c r="M137" s="28"/>
      <c r="N137" s="28"/>
      <c r="O137" s="28"/>
    </row>
    <row r="138">
      <c r="A138" s="27" t="str">
        <f>IFERROR(__xludf.DUMMYFUNCTION("""COMPUTED_VALUE"""),"")</f>
        <v/>
      </c>
      <c r="B138" s="28"/>
      <c r="C138" s="28"/>
      <c r="D138" s="27"/>
      <c r="E138" s="27"/>
      <c r="F138" s="27"/>
      <c r="G138" s="27"/>
      <c r="H138" s="28"/>
      <c r="I138" s="28"/>
      <c r="J138" s="28"/>
      <c r="K138" s="28"/>
      <c r="L138" s="28"/>
      <c r="M138" s="28"/>
      <c r="N138" s="28"/>
      <c r="O138" s="28"/>
    </row>
    <row r="139">
      <c r="A139" s="27" t="str">
        <f>IFERROR(__xludf.DUMMYFUNCTION("""COMPUTED_VALUE"""),"")</f>
        <v/>
      </c>
      <c r="B139" s="28"/>
      <c r="C139" s="28"/>
      <c r="D139" s="27"/>
      <c r="E139" s="27"/>
      <c r="F139" s="27"/>
      <c r="G139" s="27"/>
      <c r="H139" s="28"/>
      <c r="I139" s="28"/>
      <c r="J139" s="28"/>
      <c r="K139" s="28"/>
      <c r="L139" s="28"/>
      <c r="M139" s="28"/>
      <c r="N139" s="28"/>
      <c r="O139" s="28"/>
    </row>
    <row r="140">
      <c r="A140" s="27" t="str">
        <f>IFERROR(__xludf.DUMMYFUNCTION("""COMPUTED_VALUE"""),"")</f>
        <v/>
      </c>
      <c r="B140" s="28"/>
      <c r="C140" s="28"/>
      <c r="D140" s="27"/>
      <c r="E140" s="27"/>
      <c r="F140" s="27"/>
      <c r="G140" s="27"/>
      <c r="H140" s="28"/>
      <c r="I140" s="28"/>
      <c r="J140" s="28"/>
      <c r="K140" s="28"/>
      <c r="L140" s="28"/>
      <c r="M140" s="28"/>
      <c r="N140" s="28"/>
      <c r="O140" s="28"/>
    </row>
    <row r="141">
      <c r="A141" s="27" t="str">
        <f>IFERROR(__xludf.DUMMYFUNCTION("""COMPUTED_VALUE"""),"")</f>
        <v/>
      </c>
      <c r="B141" s="28"/>
      <c r="C141" s="28"/>
      <c r="D141" s="27"/>
      <c r="E141" s="27"/>
      <c r="F141" s="27"/>
      <c r="G141" s="27"/>
      <c r="H141" s="28"/>
      <c r="I141" s="28"/>
      <c r="J141" s="28"/>
      <c r="K141" s="28"/>
      <c r="L141" s="28"/>
      <c r="M141" s="28"/>
      <c r="N141" s="28"/>
      <c r="O141" s="28"/>
    </row>
    <row r="142">
      <c r="A142" s="27" t="str">
        <f>IFERROR(__xludf.DUMMYFUNCTION("""COMPUTED_VALUE"""),"")</f>
        <v/>
      </c>
      <c r="B142" s="28"/>
      <c r="C142" s="28"/>
      <c r="D142" s="27"/>
      <c r="E142" s="27"/>
      <c r="F142" s="27"/>
      <c r="G142" s="27"/>
      <c r="H142" s="28"/>
      <c r="I142" s="28"/>
      <c r="J142" s="28"/>
      <c r="K142" s="28"/>
      <c r="L142" s="28"/>
      <c r="M142" s="28"/>
      <c r="N142" s="28"/>
      <c r="O142" s="28"/>
    </row>
    <row r="143">
      <c r="A143" s="27" t="str">
        <f>IFERROR(__xludf.DUMMYFUNCTION("""COMPUTED_VALUE"""),"")</f>
        <v/>
      </c>
      <c r="B143" s="28"/>
      <c r="C143" s="28"/>
      <c r="D143" s="27"/>
      <c r="E143" s="27"/>
      <c r="F143" s="27"/>
      <c r="G143" s="27"/>
      <c r="H143" s="28"/>
      <c r="I143" s="28"/>
      <c r="J143" s="28"/>
      <c r="K143" s="28"/>
      <c r="L143" s="28"/>
      <c r="M143" s="28"/>
      <c r="N143" s="28"/>
      <c r="O143" s="28"/>
    </row>
    <row r="144">
      <c r="A144" s="27" t="str">
        <f>IFERROR(__xludf.DUMMYFUNCTION("""COMPUTED_VALUE"""),"")</f>
        <v/>
      </c>
      <c r="B144" s="28"/>
      <c r="C144" s="28"/>
      <c r="D144" s="27"/>
      <c r="E144" s="27"/>
      <c r="F144" s="27"/>
      <c r="G144" s="27"/>
      <c r="H144" s="28"/>
      <c r="I144" s="28"/>
      <c r="J144" s="28"/>
      <c r="K144" s="28"/>
      <c r="L144" s="28"/>
      <c r="M144" s="28"/>
      <c r="N144" s="28"/>
      <c r="O144" s="28"/>
    </row>
    <row r="145">
      <c r="A145" s="27" t="str">
        <f>IFERROR(__xludf.DUMMYFUNCTION("""COMPUTED_VALUE"""),"")</f>
        <v/>
      </c>
      <c r="B145" s="28"/>
      <c r="C145" s="28"/>
      <c r="D145" s="27"/>
      <c r="E145" s="27"/>
      <c r="F145" s="27"/>
      <c r="G145" s="27"/>
      <c r="H145" s="28"/>
      <c r="I145" s="28"/>
      <c r="J145" s="28"/>
      <c r="K145" s="28"/>
      <c r="L145" s="28"/>
      <c r="M145" s="28"/>
      <c r="N145" s="28"/>
      <c r="O145" s="28"/>
      <c r="R145" s="28" t="str">
        <f t="shared" ref="R145:R389" si="9">B145</f>
        <v/>
      </c>
    </row>
    <row r="146">
      <c r="A146" s="27" t="str">
        <f>IFERROR(__xludf.DUMMYFUNCTION("""COMPUTED_VALUE"""),"")</f>
        <v/>
      </c>
      <c r="B146" s="28"/>
      <c r="C146" s="28"/>
      <c r="D146" s="27"/>
      <c r="E146" s="27"/>
      <c r="F146" s="27"/>
      <c r="G146" s="27"/>
      <c r="H146" s="28"/>
      <c r="I146" s="28"/>
      <c r="J146" s="28"/>
      <c r="K146" s="28"/>
      <c r="L146" s="28"/>
      <c r="M146" s="28"/>
      <c r="N146" s="28"/>
      <c r="O146" s="28"/>
      <c r="R146" s="28" t="str">
        <f t="shared" si="9"/>
        <v/>
      </c>
    </row>
    <row r="147">
      <c r="A147" s="27" t="str">
        <f>IFERROR(__xludf.DUMMYFUNCTION("""COMPUTED_VALUE"""),"")</f>
        <v/>
      </c>
      <c r="B147" s="28"/>
      <c r="C147" s="28"/>
      <c r="D147" s="27"/>
      <c r="E147" s="27"/>
      <c r="F147" s="27"/>
      <c r="G147" s="27"/>
      <c r="H147" s="28"/>
      <c r="I147" s="28"/>
      <c r="J147" s="28"/>
      <c r="K147" s="28"/>
      <c r="L147" s="28"/>
      <c r="M147" s="28"/>
      <c r="N147" s="28"/>
      <c r="O147" s="28"/>
      <c r="R147" s="28" t="str">
        <f t="shared" si="9"/>
        <v/>
      </c>
    </row>
    <row r="148">
      <c r="A148" s="27" t="str">
        <f>IFERROR(__xludf.DUMMYFUNCTION("""COMPUTED_VALUE"""),"")</f>
        <v/>
      </c>
      <c r="B148" s="28"/>
      <c r="C148" s="28"/>
      <c r="D148" s="27"/>
      <c r="E148" s="27"/>
      <c r="F148" s="27"/>
      <c r="G148" s="27"/>
      <c r="H148" s="28"/>
      <c r="I148" s="28"/>
      <c r="J148" s="28"/>
      <c r="K148" s="28"/>
      <c r="L148" s="28"/>
      <c r="M148" s="28"/>
      <c r="N148" s="28"/>
      <c r="O148" s="28"/>
      <c r="R148" s="28" t="str">
        <f t="shared" si="9"/>
        <v/>
      </c>
    </row>
    <row r="149">
      <c r="A149" s="27" t="str">
        <f>IFERROR(__xludf.DUMMYFUNCTION("""COMPUTED_VALUE"""),"")</f>
        <v/>
      </c>
      <c r="B149" s="28"/>
      <c r="C149" s="28"/>
      <c r="D149" s="27"/>
      <c r="E149" s="27"/>
      <c r="F149" s="27"/>
      <c r="G149" s="27"/>
      <c r="H149" s="28"/>
      <c r="I149" s="28"/>
      <c r="J149" s="28"/>
      <c r="K149" s="28"/>
      <c r="L149" s="28"/>
      <c r="M149" s="28"/>
      <c r="N149" s="28"/>
      <c r="O149" s="28"/>
      <c r="R149" s="28" t="str">
        <f t="shared" si="9"/>
        <v/>
      </c>
    </row>
    <row r="150">
      <c r="A150" s="27" t="str">
        <f>IFERROR(__xludf.DUMMYFUNCTION("""COMPUTED_VALUE"""),"")</f>
        <v/>
      </c>
      <c r="B150" s="28"/>
      <c r="C150" s="28"/>
      <c r="D150" s="27"/>
      <c r="E150" s="27"/>
      <c r="F150" s="27"/>
      <c r="G150" s="27"/>
      <c r="H150" s="28"/>
      <c r="I150" s="28"/>
      <c r="J150" s="28"/>
      <c r="K150" s="28"/>
      <c r="L150" s="28"/>
      <c r="M150" s="28"/>
      <c r="N150" s="28"/>
      <c r="O150" s="28"/>
      <c r="R150" s="28" t="str">
        <f t="shared" si="9"/>
        <v/>
      </c>
    </row>
    <row r="151">
      <c r="A151" s="27" t="str">
        <f>IFERROR(__xludf.DUMMYFUNCTION("""COMPUTED_VALUE"""),"")</f>
        <v/>
      </c>
      <c r="B151" s="28"/>
      <c r="C151" s="28"/>
      <c r="D151" s="27"/>
      <c r="E151" s="27"/>
      <c r="F151" s="27"/>
      <c r="G151" s="27"/>
      <c r="H151" s="28"/>
      <c r="I151" s="28"/>
      <c r="J151" s="28"/>
      <c r="K151" s="28"/>
      <c r="L151" s="28"/>
      <c r="M151" s="28"/>
      <c r="N151" s="28"/>
      <c r="O151" s="28"/>
      <c r="R151" s="28" t="str">
        <f t="shared" si="9"/>
        <v/>
      </c>
    </row>
    <row r="152">
      <c r="A152" s="27" t="str">
        <f>IFERROR(__xludf.DUMMYFUNCTION("""COMPUTED_VALUE"""),"")</f>
        <v/>
      </c>
      <c r="B152" s="28"/>
      <c r="C152" s="28"/>
      <c r="D152" s="27"/>
      <c r="E152" s="27"/>
      <c r="F152" s="27"/>
      <c r="G152" s="27"/>
      <c r="H152" s="28"/>
      <c r="I152" s="28"/>
      <c r="J152" s="28"/>
      <c r="K152" s="28"/>
      <c r="L152" s="28"/>
      <c r="M152" s="28"/>
      <c r="N152" s="28"/>
      <c r="O152" s="28"/>
      <c r="R152" s="28" t="str">
        <f t="shared" si="9"/>
        <v/>
      </c>
    </row>
    <row r="153">
      <c r="A153" s="27" t="str">
        <f>IFERROR(__xludf.DUMMYFUNCTION("""COMPUTED_VALUE"""),"")</f>
        <v/>
      </c>
      <c r="B153" s="28"/>
      <c r="C153" s="28"/>
      <c r="D153" s="27"/>
      <c r="E153" s="27"/>
      <c r="F153" s="27"/>
      <c r="G153" s="27"/>
      <c r="H153" s="28"/>
      <c r="I153" s="28"/>
      <c r="J153" s="28"/>
      <c r="K153" s="28"/>
      <c r="L153" s="28"/>
      <c r="M153" s="28"/>
      <c r="N153" s="28"/>
      <c r="O153" s="28"/>
      <c r="R153" s="28" t="str">
        <f t="shared" si="9"/>
        <v/>
      </c>
    </row>
    <row r="154">
      <c r="A154" s="27" t="str">
        <f>IFERROR(__xludf.DUMMYFUNCTION("""COMPUTED_VALUE"""),"")</f>
        <v/>
      </c>
      <c r="B154" s="28"/>
      <c r="C154" s="28"/>
      <c r="D154" s="27"/>
      <c r="E154" s="27"/>
      <c r="F154" s="27"/>
      <c r="G154" s="27"/>
      <c r="H154" s="28"/>
      <c r="I154" s="28"/>
      <c r="J154" s="28"/>
      <c r="K154" s="28"/>
      <c r="L154" s="28"/>
      <c r="M154" s="28"/>
      <c r="N154" s="28"/>
      <c r="O154" s="28"/>
      <c r="R154" s="28" t="str">
        <f t="shared" si="9"/>
        <v/>
      </c>
    </row>
    <row r="155">
      <c r="A155" s="27" t="str">
        <f>IFERROR(__xludf.DUMMYFUNCTION("""COMPUTED_VALUE"""),"")</f>
        <v/>
      </c>
      <c r="B155" s="28"/>
      <c r="C155" s="28"/>
      <c r="D155" s="27"/>
      <c r="E155" s="27"/>
      <c r="F155" s="27"/>
      <c r="G155" s="27"/>
      <c r="H155" s="28"/>
      <c r="I155" s="28"/>
      <c r="J155" s="28"/>
      <c r="K155" s="28"/>
      <c r="L155" s="28"/>
      <c r="M155" s="28"/>
      <c r="N155" s="28"/>
      <c r="O155" s="28"/>
      <c r="R155" s="28" t="str">
        <f t="shared" si="9"/>
        <v/>
      </c>
    </row>
    <row r="156">
      <c r="A156" s="27" t="str">
        <f>IFERROR(__xludf.DUMMYFUNCTION("""COMPUTED_VALUE"""),"")</f>
        <v/>
      </c>
      <c r="B156" s="28"/>
      <c r="C156" s="28"/>
      <c r="D156" s="27"/>
      <c r="E156" s="27"/>
      <c r="F156" s="27"/>
      <c r="G156" s="27"/>
      <c r="H156" s="28"/>
      <c r="I156" s="28"/>
      <c r="J156" s="28"/>
      <c r="K156" s="28"/>
      <c r="L156" s="28"/>
      <c r="M156" s="28"/>
      <c r="N156" s="28"/>
      <c r="O156" s="28"/>
      <c r="R156" s="28" t="str">
        <f t="shared" si="9"/>
        <v/>
      </c>
    </row>
    <row r="157">
      <c r="A157" s="27" t="str">
        <f>IFERROR(__xludf.DUMMYFUNCTION("""COMPUTED_VALUE"""),"")</f>
        <v/>
      </c>
      <c r="B157" s="28"/>
      <c r="C157" s="28"/>
      <c r="D157" s="27"/>
      <c r="E157" s="27"/>
      <c r="F157" s="27"/>
      <c r="G157" s="27"/>
      <c r="H157" s="28"/>
      <c r="I157" s="28"/>
      <c r="J157" s="28"/>
      <c r="K157" s="28"/>
      <c r="L157" s="28"/>
      <c r="M157" s="28"/>
      <c r="N157" s="28"/>
      <c r="O157" s="28"/>
      <c r="R157" s="28" t="str">
        <f t="shared" si="9"/>
        <v/>
      </c>
    </row>
    <row r="158">
      <c r="A158" s="27" t="str">
        <f>IFERROR(__xludf.DUMMYFUNCTION("""COMPUTED_VALUE"""),"")</f>
        <v/>
      </c>
      <c r="B158" s="28"/>
      <c r="C158" s="28"/>
      <c r="D158" s="27"/>
      <c r="E158" s="27"/>
      <c r="F158" s="27"/>
      <c r="G158" s="27"/>
      <c r="H158" s="28"/>
      <c r="I158" s="28"/>
      <c r="J158" s="28"/>
      <c r="K158" s="28"/>
      <c r="L158" s="28"/>
      <c r="M158" s="28"/>
      <c r="N158" s="28"/>
      <c r="O158" s="28"/>
      <c r="R158" s="28" t="str">
        <f t="shared" si="9"/>
        <v/>
      </c>
    </row>
    <row r="159">
      <c r="A159" s="27" t="str">
        <f>IFERROR(__xludf.DUMMYFUNCTION("""COMPUTED_VALUE"""),"")</f>
        <v/>
      </c>
      <c r="B159" s="28"/>
      <c r="C159" s="28"/>
      <c r="D159" s="27"/>
      <c r="E159" s="27"/>
      <c r="F159" s="27"/>
      <c r="G159" s="27"/>
      <c r="H159" s="28"/>
      <c r="I159" s="28"/>
      <c r="J159" s="28"/>
      <c r="K159" s="28"/>
      <c r="L159" s="28"/>
      <c r="M159" s="28"/>
      <c r="N159" s="28"/>
      <c r="O159" s="28"/>
      <c r="R159" s="28" t="str">
        <f t="shared" si="9"/>
        <v/>
      </c>
    </row>
    <row r="160">
      <c r="A160" s="27" t="str">
        <f>IFERROR(__xludf.DUMMYFUNCTION("""COMPUTED_VALUE"""),"")</f>
        <v/>
      </c>
      <c r="B160" s="28"/>
      <c r="C160" s="28"/>
      <c r="D160" s="27"/>
      <c r="E160" s="27"/>
      <c r="F160" s="27"/>
      <c r="G160" s="27"/>
      <c r="H160" s="28"/>
      <c r="I160" s="28"/>
      <c r="J160" s="28"/>
      <c r="K160" s="28"/>
      <c r="L160" s="28"/>
      <c r="M160" s="28"/>
      <c r="N160" s="28"/>
      <c r="O160" s="28"/>
      <c r="R160" s="28" t="str">
        <f t="shared" si="9"/>
        <v/>
      </c>
    </row>
    <row r="161">
      <c r="A161" s="27" t="str">
        <f>IFERROR(__xludf.DUMMYFUNCTION("""COMPUTED_VALUE"""),"")</f>
        <v/>
      </c>
      <c r="B161" s="28"/>
      <c r="C161" s="28"/>
      <c r="D161" s="27"/>
      <c r="E161" s="27"/>
      <c r="F161" s="27"/>
      <c r="G161" s="27"/>
      <c r="H161" s="28"/>
      <c r="I161" s="28"/>
      <c r="J161" s="28"/>
      <c r="K161" s="28"/>
      <c r="L161" s="28"/>
      <c r="M161" s="28"/>
      <c r="N161" s="28"/>
      <c r="O161" s="28"/>
      <c r="R161" s="28" t="str">
        <f t="shared" si="9"/>
        <v/>
      </c>
    </row>
    <row r="162">
      <c r="A162" s="27" t="str">
        <f>IFERROR(__xludf.DUMMYFUNCTION("""COMPUTED_VALUE"""),"")</f>
        <v/>
      </c>
      <c r="B162" s="28"/>
      <c r="C162" s="28"/>
      <c r="D162" s="27"/>
      <c r="E162" s="27"/>
      <c r="F162" s="27"/>
      <c r="G162" s="27"/>
      <c r="H162" s="28"/>
      <c r="I162" s="28"/>
      <c r="J162" s="28"/>
      <c r="K162" s="28"/>
      <c r="L162" s="28"/>
      <c r="M162" s="28"/>
      <c r="N162" s="28"/>
      <c r="O162" s="28"/>
      <c r="R162" s="28" t="str">
        <f t="shared" si="9"/>
        <v/>
      </c>
    </row>
    <row r="163">
      <c r="A163" s="27" t="str">
        <f>IFERROR(__xludf.DUMMYFUNCTION("""COMPUTED_VALUE"""),"")</f>
        <v/>
      </c>
      <c r="B163" s="28"/>
      <c r="C163" s="28"/>
      <c r="D163" s="27"/>
      <c r="E163" s="27"/>
      <c r="F163" s="27"/>
      <c r="G163" s="27"/>
      <c r="H163" s="28"/>
      <c r="I163" s="28"/>
      <c r="J163" s="28"/>
      <c r="K163" s="28"/>
      <c r="L163" s="28"/>
      <c r="M163" s="28"/>
      <c r="N163" s="28"/>
      <c r="O163" s="28"/>
      <c r="R163" s="28" t="str">
        <f t="shared" si="9"/>
        <v/>
      </c>
    </row>
    <row r="164">
      <c r="A164" s="27" t="str">
        <f>IFERROR(__xludf.DUMMYFUNCTION("""COMPUTED_VALUE"""),"")</f>
        <v/>
      </c>
      <c r="B164" s="28"/>
      <c r="C164" s="28"/>
      <c r="D164" s="27"/>
      <c r="E164" s="27"/>
      <c r="F164" s="27"/>
      <c r="G164" s="27"/>
      <c r="H164" s="28"/>
      <c r="I164" s="28"/>
      <c r="J164" s="28"/>
      <c r="K164" s="28"/>
      <c r="L164" s="28"/>
      <c r="M164" s="28"/>
      <c r="N164" s="28"/>
      <c r="O164" s="28"/>
      <c r="R164" s="28" t="str">
        <f t="shared" si="9"/>
        <v/>
      </c>
    </row>
    <row r="165">
      <c r="A165" s="27" t="str">
        <f>IFERROR(__xludf.DUMMYFUNCTION("""COMPUTED_VALUE"""),"")</f>
        <v/>
      </c>
      <c r="B165" s="28"/>
      <c r="C165" s="28"/>
      <c r="D165" s="27"/>
      <c r="E165" s="27"/>
      <c r="F165" s="27"/>
      <c r="G165" s="27"/>
      <c r="H165" s="28"/>
      <c r="I165" s="28"/>
      <c r="J165" s="28"/>
      <c r="K165" s="28"/>
      <c r="L165" s="28"/>
      <c r="M165" s="28"/>
      <c r="N165" s="28"/>
      <c r="O165" s="28"/>
      <c r="R165" s="28" t="str">
        <f t="shared" si="9"/>
        <v/>
      </c>
    </row>
    <row r="166">
      <c r="A166" s="27" t="str">
        <f>IFERROR(__xludf.DUMMYFUNCTION("""COMPUTED_VALUE"""),"")</f>
        <v/>
      </c>
      <c r="B166" s="28"/>
      <c r="C166" s="28"/>
      <c r="D166" s="27"/>
      <c r="E166" s="27"/>
      <c r="F166" s="27"/>
      <c r="G166" s="27"/>
      <c r="H166" s="28"/>
      <c r="I166" s="28"/>
      <c r="J166" s="28"/>
      <c r="K166" s="28"/>
      <c r="L166" s="28"/>
      <c r="M166" s="28"/>
      <c r="N166" s="28"/>
      <c r="O166" s="28"/>
      <c r="R166" s="28" t="str">
        <f t="shared" si="9"/>
        <v/>
      </c>
    </row>
    <row r="167">
      <c r="A167" s="27" t="str">
        <f>IFERROR(__xludf.DUMMYFUNCTION("""COMPUTED_VALUE"""),"")</f>
        <v/>
      </c>
      <c r="B167" s="28"/>
      <c r="C167" s="28"/>
      <c r="D167" s="27"/>
      <c r="E167" s="27"/>
      <c r="F167" s="27"/>
      <c r="G167" s="27"/>
      <c r="H167" s="28"/>
      <c r="I167" s="28"/>
      <c r="J167" s="28"/>
      <c r="K167" s="28"/>
      <c r="L167" s="28"/>
      <c r="M167" s="28"/>
      <c r="N167" s="28"/>
      <c r="O167" s="28"/>
      <c r="R167" s="28" t="str">
        <f t="shared" si="9"/>
        <v/>
      </c>
    </row>
    <row r="168">
      <c r="A168" s="27" t="str">
        <f>IFERROR(__xludf.DUMMYFUNCTION("""COMPUTED_VALUE"""),"")</f>
        <v/>
      </c>
      <c r="B168" s="28"/>
      <c r="C168" s="28"/>
      <c r="D168" s="27"/>
      <c r="E168" s="27"/>
      <c r="F168" s="27"/>
      <c r="G168" s="27"/>
      <c r="H168" s="28"/>
      <c r="I168" s="28"/>
      <c r="J168" s="28"/>
      <c r="K168" s="28"/>
      <c r="L168" s="28"/>
      <c r="M168" s="28"/>
      <c r="N168" s="28"/>
      <c r="O168" s="28"/>
      <c r="R168" s="28" t="str">
        <f t="shared" si="9"/>
        <v/>
      </c>
    </row>
    <row r="169">
      <c r="A169" s="27" t="str">
        <f>IFERROR(__xludf.DUMMYFUNCTION("""COMPUTED_VALUE"""),"")</f>
        <v/>
      </c>
      <c r="B169" s="28"/>
      <c r="C169" s="28"/>
      <c r="D169" s="27"/>
      <c r="E169" s="27"/>
      <c r="F169" s="27"/>
      <c r="G169" s="27"/>
      <c r="H169" s="28"/>
      <c r="I169" s="28"/>
      <c r="J169" s="28"/>
      <c r="K169" s="28"/>
      <c r="L169" s="28"/>
      <c r="M169" s="28"/>
      <c r="N169" s="28"/>
      <c r="O169" s="28"/>
      <c r="R169" s="28" t="str">
        <f t="shared" si="9"/>
        <v/>
      </c>
    </row>
    <row r="170">
      <c r="A170" s="27" t="str">
        <f>IFERROR(__xludf.DUMMYFUNCTION("""COMPUTED_VALUE"""),"")</f>
        <v/>
      </c>
      <c r="B170" s="28"/>
      <c r="C170" s="28"/>
      <c r="D170" s="27"/>
      <c r="E170" s="27"/>
      <c r="F170" s="27"/>
      <c r="G170" s="27"/>
      <c r="H170" s="28"/>
      <c r="I170" s="28"/>
      <c r="J170" s="28"/>
      <c r="K170" s="28"/>
      <c r="L170" s="28"/>
      <c r="M170" s="28"/>
      <c r="N170" s="28"/>
      <c r="O170" s="28"/>
      <c r="R170" s="28" t="str">
        <f t="shared" si="9"/>
        <v/>
      </c>
    </row>
    <row r="171">
      <c r="A171" s="27" t="str">
        <f>IFERROR(__xludf.DUMMYFUNCTION("""COMPUTED_VALUE"""),"")</f>
        <v/>
      </c>
      <c r="B171" s="28"/>
      <c r="C171" s="28"/>
      <c r="D171" s="27"/>
      <c r="E171" s="27"/>
      <c r="F171" s="27"/>
      <c r="G171" s="27"/>
      <c r="H171" s="28"/>
      <c r="I171" s="28"/>
      <c r="J171" s="28"/>
      <c r="K171" s="28"/>
      <c r="L171" s="28"/>
      <c r="M171" s="28"/>
      <c r="N171" s="28"/>
      <c r="O171" s="28"/>
      <c r="R171" s="28" t="str">
        <f t="shared" si="9"/>
        <v/>
      </c>
    </row>
    <row r="172">
      <c r="A172" s="27" t="str">
        <f>IFERROR(__xludf.DUMMYFUNCTION("""COMPUTED_VALUE"""),"")</f>
        <v/>
      </c>
      <c r="B172" s="28"/>
      <c r="C172" s="28"/>
      <c r="D172" s="27"/>
      <c r="E172" s="27"/>
      <c r="F172" s="27"/>
      <c r="G172" s="27"/>
      <c r="H172" s="28"/>
      <c r="I172" s="28"/>
      <c r="J172" s="28"/>
      <c r="K172" s="28"/>
      <c r="L172" s="28"/>
      <c r="M172" s="28"/>
      <c r="N172" s="28"/>
      <c r="O172" s="28"/>
      <c r="R172" s="28" t="str">
        <f t="shared" si="9"/>
        <v/>
      </c>
    </row>
    <row r="173">
      <c r="A173" s="27" t="str">
        <f>IFERROR(__xludf.DUMMYFUNCTION("""COMPUTED_VALUE"""),"")</f>
        <v/>
      </c>
      <c r="B173" s="28"/>
      <c r="C173" s="28"/>
      <c r="D173" s="27"/>
      <c r="E173" s="27"/>
      <c r="F173" s="27"/>
      <c r="G173" s="27"/>
      <c r="H173" s="28"/>
      <c r="I173" s="28"/>
      <c r="J173" s="28"/>
      <c r="K173" s="28"/>
      <c r="L173" s="28"/>
      <c r="M173" s="28"/>
      <c r="N173" s="28"/>
      <c r="O173" s="28"/>
      <c r="R173" s="28" t="str">
        <f t="shared" si="9"/>
        <v/>
      </c>
    </row>
    <row r="174">
      <c r="A174" s="27" t="str">
        <f>IFERROR(__xludf.DUMMYFUNCTION("""COMPUTED_VALUE"""),"")</f>
        <v/>
      </c>
      <c r="B174" s="28"/>
      <c r="C174" s="28"/>
      <c r="D174" s="27"/>
      <c r="E174" s="27"/>
      <c r="F174" s="27"/>
      <c r="G174" s="27"/>
      <c r="H174" s="28"/>
      <c r="I174" s="28"/>
      <c r="J174" s="28"/>
      <c r="K174" s="28"/>
      <c r="L174" s="28"/>
      <c r="M174" s="28"/>
      <c r="N174" s="28"/>
      <c r="O174" s="28"/>
      <c r="R174" s="28" t="str">
        <f t="shared" si="9"/>
        <v/>
      </c>
    </row>
    <row r="175">
      <c r="A175" s="27" t="str">
        <f>IFERROR(__xludf.DUMMYFUNCTION("""COMPUTED_VALUE"""),"")</f>
        <v/>
      </c>
      <c r="B175" s="28"/>
      <c r="C175" s="28"/>
      <c r="D175" s="27"/>
      <c r="E175" s="27"/>
      <c r="F175" s="27"/>
      <c r="G175" s="27"/>
      <c r="H175" s="28"/>
      <c r="I175" s="28"/>
      <c r="J175" s="28"/>
      <c r="K175" s="28"/>
      <c r="L175" s="28"/>
      <c r="M175" s="28"/>
      <c r="N175" s="28"/>
      <c r="O175" s="28"/>
      <c r="R175" s="28" t="str">
        <f t="shared" si="9"/>
        <v/>
      </c>
    </row>
    <row r="176">
      <c r="A176" s="27" t="str">
        <f>IFERROR(__xludf.DUMMYFUNCTION("""COMPUTED_VALUE"""),"")</f>
        <v/>
      </c>
      <c r="B176" s="28"/>
      <c r="C176" s="28"/>
      <c r="D176" s="27"/>
      <c r="E176" s="27"/>
      <c r="F176" s="27"/>
      <c r="G176" s="27"/>
      <c r="H176" s="28"/>
      <c r="I176" s="28"/>
      <c r="J176" s="28"/>
      <c r="K176" s="28"/>
      <c r="L176" s="28"/>
      <c r="M176" s="28"/>
      <c r="N176" s="28"/>
      <c r="O176" s="28"/>
      <c r="R176" s="28" t="str">
        <f t="shared" si="9"/>
        <v/>
      </c>
    </row>
    <row r="177">
      <c r="A177" s="27" t="str">
        <f>IFERROR(__xludf.DUMMYFUNCTION("""COMPUTED_VALUE"""),"")</f>
        <v/>
      </c>
      <c r="B177" s="28"/>
      <c r="C177" s="28"/>
      <c r="D177" s="27"/>
      <c r="E177" s="27"/>
      <c r="F177" s="27"/>
      <c r="G177" s="27"/>
      <c r="H177" s="28"/>
      <c r="I177" s="28"/>
      <c r="J177" s="28"/>
      <c r="K177" s="28"/>
      <c r="L177" s="28"/>
      <c r="M177" s="28"/>
      <c r="N177" s="28"/>
      <c r="O177" s="28"/>
      <c r="R177" s="28" t="str">
        <f t="shared" si="9"/>
        <v/>
      </c>
    </row>
    <row r="178">
      <c r="A178" s="27" t="str">
        <f>IFERROR(__xludf.DUMMYFUNCTION("""COMPUTED_VALUE"""),"")</f>
        <v/>
      </c>
      <c r="B178" s="28"/>
      <c r="C178" s="28"/>
      <c r="D178" s="27"/>
      <c r="E178" s="27"/>
      <c r="F178" s="27"/>
      <c r="G178" s="27"/>
      <c r="H178" s="28"/>
      <c r="I178" s="28"/>
      <c r="J178" s="28"/>
      <c r="K178" s="28"/>
      <c r="L178" s="28"/>
      <c r="M178" s="28"/>
      <c r="N178" s="28"/>
      <c r="O178" s="28"/>
      <c r="R178" s="28" t="str">
        <f t="shared" si="9"/>
        <v/>
      </c>
    </row>
    <row r="179">
      <c r="A179" s="27" t="str">
        <f>IFERROR(__xludf.DUMMYFUNCTION("""COMPUTED_VALUE"""),"")</f>
        <v/>
      </c>
      <c r="B179" s="28"/>
      <c r="C179" s="28"/>
      <c r="D179" s="27"/>
      <c r="E179" s="27"/>
      <c r="F179" s="27"/>
      <c r="G179" s="27"/>
      <c r="H179" s="28"/>
      <c r="I179" s="28"/>
      <c r="J179" s="28"/>
      <c r="K179" s="28"/>
      <c r="L179" s="28"/>
      <c r="M179" s="28"/>
      <c r="N179" s="28"/>
      <c r="O179" s="28"/>
      <c r="R179" s="28" t="str">
        <f t="shared" si="9"/>
        <v/>
      </c>
    </row>
    <row r="180">
      <c r="A180" s="27" t="str">
        <f>IFERROR(__xludf.DUMMYFUNCTION("""COMPUTED_VALUE"""),"")</f>
        <v/>
      </c>
      <c r="B180" s="28"/>
      <c r="C180" s="28"/>
      <c r="D180" s="27"/>
      <c r="E180" s="27"/>
      <c r="F180" s="27"/>
      <c r="G180" s="27"/>
      <c r="H180" s="28"/>
      <c r="I180" s="28"/>
      <c r="J180" s="28"/>
      <c r="K180" s="28"/>
      <c r="L180" s="28"/>
      <c r="M180" s="28"/>
      <c r="N180" s="28"/>
      <c r="O180" s="28"/>
      <c r="R180" s="28" t="str">
        <f t="shared" si="9"/>
        <v/>
      </c>
    </row>
    <row r="181">
      <c r="A181" s="27" t="str">
        <f>IFERROR(__xludf.DUMMYFUNCTION("""COMPUTED_VALUE"""),"")</f>
        <v/>
      </c>
      <c r="B181" s="28"/>
      <c r="C181" s="28"/>
      <c r="D181" s="27"/>
      <c r="E181" s="27"/>
      <c r="F181" s="27"/>
      <c r="G181" s="27"/>
      <c r="H181" s="28"/>
      <c r="I181" s="28"/>
      <c r="J181" s="28"/>
      <c r="K181" s="28"/>
      <c r="L181" s="28"/>
      <c r="M181" s="28"/>
      <c r="N181" s="28"/>
      <c r="O181" s="28"/>
      <c r="R181" s="28" t="str">
        <f t="shared" si="9"/>
        <v/>
      </c>
    </row>
    <row r="182">
      <c r="A182" s="27" t="str">
        <f>IFERROR(__xludf.DUMMYFUNCTION("""COMPUTED_VALUE"""),"")</f>
        <v/>
      </c>
      <c r="B182" s="28"/>
      <c r="C182" s="28"/>
      <c r="D182" s="27"/>
      <c r="E182" s="27"/>
      <c r="F182" s="27"/>
      <c r="G182" s="27"/>
      <c r="H182" s="28"/>
      <c r="I182" s="28"/>
      <c r="J182" s="28"/>
      <c r="K182" s="28"/>
      <c r="L182" s="28"/>
      <c r="M182" s="28"/>
      <c r="N182" s="28"/>
      <c r="O182" s="28"/>
      <c r="R182" s="28" t="str">
        <f t="shared" si="9"/>
        <v/>
      </c>
    </row>
    <row r="183">
      <c r="A183" s="27" t="str">
        <f>IFERROR(__xludf.DUMMYFUNCTION("""COMPUTED_VALUE"""),"")</f>
        <v/>
      </c>
      <c r="B183" s="28"/>
      <c r="C183" s="28"/>
      <c r="D183" s="27"/>
      <c r="E183" s="27"/>
      <c r="F183" s="27"/>
      <c r="G183" s="27"/>
      <c r="H183" s="28"/>
      <c r="I183" s="28"/>
      <c r="J183" s="28"/>
      <c r="K183" s="28"/>
      <c r="L183" s="28"/>
      <c r="M183" s="28"/>
      <c r="N183" s="28"/>
      <c r="O183" s="28"/>
      <c r="R183" s="28" t="str">
        <f t="shared" si="9"/>
        <v/>
      </c>
    </row>
    <row r="184">
      <c r="A184" s="27" t="str">
        <f>IFERROR(__xludf.DUMMYFUNCTION("""COMPUTED_VALUE"""),"")</f>
        <v/>
      </c>
      <c r="B184" s="28"/>
      <c r="C184" s="28"/>
      <c r="D184" s="27"/>
      <c r="E184" s="27"/>
      <c r="F184" s="27"/>
      <c r="G184" s="27"/>
      <c r="H184" s="28"/>
      <c r="I184" s="28"/>
      <c r="J184" s="28"/>
      <c r="K184" s="28"/>
      <c r="L184" s="28"/>
      <c r="M184" s="28"/>
      <c r="N184" s="28"/>
      <c r="O184" s="28"/>
      <c r="R184" s="28" t="str">
        <f t="shared" si="9"/>
        <v/>
      </c>
    </row>
    <row r="185">
      <c r="A185" s="27" t="str">
        <f>IFERROR(__xludf.DUMMYFUNCTION("""COMPUTED_VALUE"""),"")</f>
        <v/>
      </c>
      <c r="B185" s="28"/>
      <c r="C185" s="28"/>
      <c r="D185" s="27"/>
      <c r="E185" s="27"/>
      <c r="F185" s="27"/>
      <c r="G185" s="27"/>
      <c r="H185" s="28"/>
      <c r="I185" s="28"/>
      <c r="J185" s="28"/>
      <c r="K185" s="28"/>
      <c r="L185" s="28"/>
      <c r="M185" s="28"/>
      <c r="N185" s="28"/>
      <c r="O185" s="28"/>
      <c r="R185" s="28" t="str">
        <f t="shared" si="9"/>
        <v/>
      </c>
    </row>
    <row r="186">
      <c r="A186" s="27" t="str">
        <f>IFERROR(__xludf.DUMMYFUNCTION("""COMPUTED_VALUE"""),"")</f>
        <v/>
      </c>
      <c r="B186" s="28"/>
      <c r="C186" s="28"/>
      <c r="D186" s="27"/>
      <c r="E186" s="27"/>
      <c r="F186" s="27"/>
      <c r="G186" s="27"/>
      <c r="H186" s="28"/>
      <c r="I186" s="28"/>
      <c r="J186" s="28"/>
      <c r="K186" s="28"/>
      <c r="L186" s="28"/>
      <c r="M186" s="28"/>
      <c r="N186" s="28"/>
      <c r="O186" s="28"/>
      <c r="R186" s="28" t="str">
        <f t="shared" si="9"/>
        <v/>
      </c>
    </row>
    <row r="187">
      <c r="A187" s="27" t="str">
        <f>IFERROR(__xludf.DUMMYFUNCTION("""COMPUTED_VALUE"""),"")</f>
        <v/>
      </c>
      <c r="B187" s="28"/>
      <c r="C187" s="28"/>
      <c r="D187" s="27"/>
      <c r="E187" s="27"/>
      <c r="F187" s="27"/>
      <c r="G187" s="27"/>
      <c r="H187" s="28"/>
      <c r="I187" s="28"/>
      <c r="J187" s="28"/>
      <c r="K187" s="28"/>
      <c r="L187" s="28"/>
      <c r="M187" s="28"/>
      <c r="N187" s="28"/>
      <c r="O187" s="28"/>
      <c r="R187" s="28" t="str">
        <f t="shared" si="9"/>
        <v/>
      </c>
    </row>
    <row r="188">
      <c r="A188" s="27" t="str">
        <f>IFERROR(__xludf.DUMMYFUNCTION("""COMPUTED_VALUE"""),"")</f>
        <v/>
      </c>
      <c r="B188" s="28"/>
      <c r="C188" s="28"/>
      <c r="D188" s="27"/>
      <c r="E188" s="27"/>
      <c r="F188" s="27"/>
      <c r="G188" s="27"/>
      <c r="H188" s="28"/>
      <c r="I188" s="28"/>
      <c r="J188" s="28"/>
      <c r="K188" s="28"/>
      <c r="L188" s="28"/>
      <c r="M188" s="28"/>
      <c r="N188" s="28"/>
      <c r="O188" s="28"/>
      <c r="R188" s="28" t="str">
        <f t="shared" si="9"/>
        <v/>
      </c>
    </row>
    <row r="189">
      <c r="A189" s="27" t="str">
        <f>IFERROR(__xludf.DUMMYFUNCTION("""COMPUTED_VALUE"""),"")</f>
        <v/>
      </c>
      <c r="B189" s="28"/>
      <c r="C189" s="28"/>
      <c r="D189" s="27"/>
      <c r="E189" s="27"/>
      <c r="F189" s="27"/>
      <c r="G189" s="27"/>
      <c r="H189" s="28"/>
      <c r="I189" s="28"/>
      <c r="J189" s="28"/>
      <c r="K189" s="28"/>
      <c r="L189" s="28"/>
      <c r="M189" s="28"/>
      <c r="N189" s="28"/>
      <c r="O189" s="28"/>
      <c r="R189" s="28" t="str">
        <f t="shared" si="9"/>
        <v/>
      </c>
    </row>
    <row r="190">
      <c r="A190" s="27" t="str">
        <f>IFERROR(__xludf.DUMMYFUNCTION("""COMPUTED_VALUE"""),"")</f>
        <v/>
      </c>
      <c r="B190" s="28"/>
      <c r="C190" s="28"/>
      <c r="D190" s="27"/>
      <c r="E190" s="27"/>
      <c r="F190" s="27"/>
      <c r="G190" s="27"/>
      <c r="H190" s="28"/>
      <c r="I190" s="28"/>
      <c r="J190" s="28"/>
      <c r="K190" s="28"/>
      <c r="L190" s="28"/>
      <c r="M190" s="28"/>
      <c r="N190" s="28"/>
      <c r="O190" s="28"/>
      <c r="R190" s="28" t="str">
        <f t="shared" si="9"/>
        <v/>
      </c>
    </row>
    <row r="191">
      <c r="A191" s="27" t="str">
        <f>IFERROR(__xludf.DUMMYFUNCTION("""COMPUTED_VALUE"""),"")</f>
        <v/>
      </c>
      <c r="B191" s="28"/>
      <c r="C191" s="28"/>
      <c r="D191" s="27"/>
      <c r="E191" s="27"/>
      <c r="F191" s="27"/>
      <c r="G191" s="27"/>
      <c r="H191" s="28"/>
      <c r="I191" s="28"/>
      <c r="J191" s="28"/>
      <c r="K191" s="28"/>
      <c r="L191" s="28"/>
      <c r="M191" s="28"/>
      <c r="N191" s="28"/>
      <c r="O191" s="28"/>
      <c r="R191" s="28" t="str">
        <f t="shared" si="9"/>
        <v/>
      </c>
    </row>
    <row r="192">
      <c r="A192" s="27" t="str">
        <f>IFERROR(__xludf.DUMMYFUNCTION("""COMPUTED_VALUE"""),"")</f>
        <v/>
      </c>
      <c r="B192" s="28"/>
      <c r="C192" s="28"/>
      <c r="D192" s="27"/>
      <c r="E192" s="27"/>
      <c r="F192" s="27"/>
      <c r="G192" s="27"/>
      <c r="H192" s="28"/>
      <c r="I192" s="28"/>
      <c r="J192" s="28"/>
      <c r="K192" s="28"/>
      <c r="L192" s="28"/>
      <c r="M192" s="28"/>
      <c r="N192" s="28"/>
      <c r="O192" s="28"/>
      <c r="R192" s="28" t="str">
        <f t="shared" si="9"/>
        <v/>
      </c>
    </row>
    <row r="193">
      <c r="A193" s="27" t="str">
        <f>IFERROR(__xludf.DUMMYFUNCTION("""COMPUTED_VALUE"""),"")</f>
        <v/>
      </c>
      <c r="B193" s="28"/>
      <c r="C193" s="28"/>
      <c r="D193" s="27"/>
      <c r="E193" s="27"/>
      <c r="F193" s="27"/>
      <c r="G193" s="27"/>
      <c r="H193" s="28"/>
      <c r="I193" s="28"/>
      <c r="J193" s="28"/>
      <c r="K193" s="28"/>
      <c r="L193" s="28"/>
      <c r="M193" s="28"/>
      <c r="N193" s="28"/>
      <c r="O193" s="28"/>
      <c r="R193" s="28" t="str">
        <f t="shared" si="9"/>
        <v/>
      </c>
    </row>
    <row r="194">
      <c r="A194" s="27" t="str">
        <f>IFERROR(__xludf.DUMMYFUNCTION("""COMPUTED_VALUE"""),"")</f>
        <v/>
      </c>
      <c r="B194" s="28"/>
      <c r="C194" s="28"/>
      <c r="D194" s="27"/>
      <c r="E194" s="27"/>
      <c r="F194" s="27"/>
      <c r="G194" s="27"/>
      <c r="H194" s="28"/>
      <c r="I194" s="28"/>
      <c r="J194" s="28"/>
      <c r="K194" s="28"/>
      <c r="L194" s="28"/>
      <c r="M194" s="28"/>
      <c r="N194" s="28"/>
      <c r="O194" s="28"/>
      <c r="R194" s="28" t="str">
        <f t="shared" si="9"/>
        <v/>
      </c>
    </row>
    <row r="195">
      <c r="A195" s="27" t="str">
        <f>IFERROR(__xludf.DUMMYFUNCTION("""COMPUTED_VALUE"""),"")</f>
        <v/>
      </c>
      <c r="B195" s="28"/>
      <c r="C195" s="28"/>
      <c r="D195" s="27"/>
      <c r="E195" s="27"/>
      <c r="F195" s="27"/>
      <c r="G195" s="27"/>
      <c r="H195" s="28"/>
      <c r="I195" s="28"/>
      <c r="J195" s="28"/>
      <c r="K195" s="28"/>
      <c r="L195" s="28"/>
      <c r="M195" s="28"/>
      <c r="N195" s="28"/>
      <c r="O195" s="28"/>
      <c r="R195" s="28" t="str">
        <f t="shared" si="9"/>
        <v/>
      </c>
    </row>
    <row r="196">
      <c r="A196" s="27" t="str">
        <f>IFERROR(__xludf.DUMMYFUNCTION("""COMPUTED_VALUE"""),"")</f>
        <v/>
      </c>
      <c r="B196" s="28"/>
      <c r="C196" s="28"/>
      <c r="D196" s="27"/>
      <c r="E196" s="27"/>
      <c r="F196" s="27"/>
      <c r="G196" s="27"/>
      <c r="H196" s="28"/>
      <c r="I196" s="28"/>
      <c r="J196" s="28"/>
      <c r="K196" s="28"/>
      <c r="L196" s="28"/>
      <c r="M196" s="28"/>
      <c r="N196" s="28"/>
      <c r="O196" s="28"/>
      <c r="R196" s="28" t="str">
        <f t="shared" si="9"/>
        <v/>
      </c>
    </row>
    <row r="197">
      <c r="A197" s="27" t="str">
        <f>IFERROR(__xludf.DUMMYFUNCTION("""COMPUTED_VALUE"""),"")</f>
        <v/>
      </c>
      <c r="B197" s="28"/>
      <c r="C197" s="28"/>
      <c r="D197" s="27"/>
      <c r="E197" s="27"/>
      <c r="F197" s="27"/>
      <c r="G197" s="27"/>
      <c r="H197" s="28"/>
      <c r="I197" s="28"/>
      <c r="J197" s="28"/>
      <c r="K197" s="28"/>
      <c r="L197" s="28"/>
      <c r="M197" s="28"/>
      <c r="N197" s="28"/>
      <c r="O197" s="28"/>
      <c r="R197" s="28" t="str">
        <f t="shared" si="9"/>
        <v/>
      </c>
    </row>
    <row r="198">
      <c r="A198" s="27" t="str">
        <f>IFERROR(__xludf.DUMMYFUNCTION("""COMPUTED_VALUE"""),"")</f>
        <v/>
      </c>
      <c r="B198" s="28"/>
      <c r="C198" s="28"/>
      <c r="D198" s="27"/>
      <c r="E198" s="27"/>
      <c r="F198" s="27"/>
      <c r="G198" s="27"/>
      <c r="H198" s="28"/>
      <c r="I198" s="28"/>
      <c r="J198" s="28"/>
      <c r="K198" s="28"/>
      <c r="L198" s="28"/>
      <c r="M198" s="28"/>
      <c r="N198" s="28"/>
      <c r="O198" s="28"/>
      <c r="R198" s="28" t="str">
        <f t="shared" si="9"/>
        <v/>
      </c>
    </row>
    <row r="199">
      <c r="A199" s="27" t="str">
        <f>IFERROR(__xludf.DUMMYFUNCTION("""COMPUTED_VALUE"""),"")</f>
        <v/>
      </c>
      <c r="B199" s="28"/>
      <c r="C199" s="28"/>
      <c r="D199" s="27"/>
      <c r="E199" s="27"/>
      <c r="F199" s="27"/>
      <c r="G199" s="27"/>
      <c r="H199" s="28"/>
      <c r="I199" s="28"/>
      <c r="J199" s="28"/>
      <c r="K199" s="28"/>
      <c r="L199" s="28"/>
      <c r="M199" s="28"/>
      <c r="N199" s="28"/>
      <c r="O199" s="28"/>
      <c r="R199" s="28" t="str">
        <f t="shared" si="9"/>
        <v/>
      </c>
    </row>
    <row r="200">
      <c r="A200" s="27" t="str">
        <f>IFERROR(__xludf.DUMMYFUNCTION("""COMPUTED_VALUE"""),"")</f>
        <v/>
      </c>
      <c r="B200" s="28"/>
      <c r="C200" s="28"/>
      <c r="D200" s="27"/>
      <c r="E200" s="27"/>
      <c r="F200" s="27"/>
      <c r="G200" s="27"/>
      <c r="H200" s="28"/>
      <c r="I200" s="28"/>
      <c r="J200" s="28"/>
      <c r="K200" s="28"/>
      <c r="L200" s="28"/>
      <c r="M200" s="28"/>
      <c r="N200" s="28"/>
      <c r="O200" s="28"/>
      <c r="R200" s="28" t="str">
        <f t="shared" si="9"/>
        <v/>
      </c>
    </row>
    <row r="201">
      <c r="A201" s="27" t="str">
        <f>IFERROR(__xludf.DUMMYFUNCTION("""COMPUTED_VALUE"""),"")</f>
        <v/>
      </c>
      <c r="B201" s="28"/>
      <c r="C201" s="28"/>
      <c r="D201" s="27"/>
      <c r="E201" s="27"/>
      <c r="F201" s="27"/>
      <c r="G201" s="27"/>
      <c r="H201" s="28"/>
      <c r="I201" s="28"/>
      <c r="J201" s="28"/>
      <c r="K201" s="28"/>
      <c r="L201" s="28"/>
      <c r="M201" s="28"/>
      <c r="N201" s="28"/>
      <c r="O201" s="28"/>
      <c r="R201" s="28" t="str">
        <f t="shared" si="9"/>
        <v/>
      </c>
    </row>
    <row r="202">
      <c r="A202" s="27" t="str">
        <f>IFERROR(__xludf.DUMMYFUNCTION("""COMPUTED_VALUE"""),"")</f>
        <v/>
      </c>
      <c r="B202" s="28"/>
      <c r="C202" s="28"/>
      <c r="D202" s="27"/>
      <c r="E202" s="27"/>
      <c r="F202" s="27"/>
      <c r="G202" s="27"/>
      <c r="H202" s="28"/>
      <c r="I202" s="28"/>
      <c r="J202" s="28"/>
      <c r="K202" s="28"/>
      <c r="L202" s="28"/>
      <c r="M202" s="28"/>
      <c r="N202" s="28"/>
      <c r="O202" s="28"/>
      <c r="R202" s="28" t="str">
        <f t="shared" si="9"/>
        <v/>
      </c>
    </row>
    <row r="203">
      <c r="A203" s="27" t="str">
        <f>IFERROR(__xludf.DUMMYFUNCTION("""COMPUTED_VALUE"""),"")</f>
        <v/>
      </c>
      <c r="B203" s="28"/>
      <c r="C203" s="28"/>
      <c r="D203" s="27"/>
      <c r="E203" s="27"/>
      <c r="F203" s="27"/>
      <c r="G203" s="27"/>
      <c r="H203" s="28"/>
      <c r="I203" s="28"/>
      <c r="J203" s="28"/>
      <c r="K203" s="28"/>
      <c r="L203" s="28"/>
      <c r="M203" s="28"/>
      <c r="N203" s="28"/>
      <c r="O203" s="28"/>
      <c r="R203" s="28" t="str">
        <f t="shared" si="9"/>
        <v/>
      </c>
    </row>
    <row r="204">
      <c r="A204" s="27" t="str">
        <f>IFERROR(__xludf.DUMMYFUNCTION("""COMPUTED_VALUE"""),"")</f>
        <v/>
      </c>
      <c r="B204" s="28"/>
      <c r="C204" s="28"/>
      <c r="D204" s="27"/>
      <c r="E204" s="27"/>
      <c r="F204" s="27"/>
      <c r="G204" s="27"/>
      <c r="H204" s="28"/>
      <c r="I204" s="28"/>
      <c r="J204" s="28"/>
      <c r="K204" s="28"/>
      <c r="L204" s="28"/>
      <c r="M204" s="28"/>
      <c r="N204" s="28"/>
      <c r="O204" s="28"/>
      <c r="R204" s="28" t="str">
        <f t="shared" si="9"/>
        <v/>
      </c>
    </row>
    <row r="205">
      <c r="A205" s="27" t="str">
        <f>IFERROR(__xludf.DUMMYFUNCTION("""COMPUTED_VALUE"""),"")</f>
        <v/>
      </c>
      <c r="B205" s="28"/>
      <c r="C205" s="28"/>
      <c r="D205" s="27"/>
      <c r="E205" s="27"/>
      <c r="F205" s="27"/>
      <c r="G205" s="27"/>
      <c r="H205" s="28"/>
      <c r="I205" s="28"/>
      <c r="J205" s="28"/>
      <c r="K205" s="28"/>
      <c r="L205" s="28"/>
      <c r="M205" s="28"/>
      <c r="N205" s="28"/>
      <c r="O205" s="28"/>
      <c r="R205" s="28" t="str">
        <f t="shared" si="9"/>
        <v/>
      </c>
    </row>
    <row r="206">
      <c r="A206" s="27" t="str">
        <f>IFERROR(__xludf.DUMMYFUNCTION("""COMPUTED_VALUE"""),"")</f>
        <v/>
      </c>
      <c r="B206" s="28"/>
      <c r="C206" s="28"/>
      <c r="D206" s="27"/>
      <c r="E206" s="27"/>
      <c r="F206" s="27"/>
      <c r="G206" s="27"/>
      <c r="H206" s="28"/>
      <c r="I206" s="28"/>
      <c r="J206" s="28"/>
      <c r="K206" s="28"/>
      <c r="L206" s="28"/>
      <c r="M206" s="28"/>
      <c r="N206" s="28"/>
      <c r="O206" s="28"/>
      <c r="R206" s="28" t="str">
        <f t="shared" si="9"/>
        <v/>
      </c>
    </row>
    <row r="207">
      <c r="A207" s="27" t="str">
        <f>IFERROR(__xludf.DUMMYFUNCTION("""COMPUTED_VALUE"""),"")</f>
        <v/>
      </c>
      <c r="B207" s="28"/>
      <c r="C207" s="28"/>
      <c r="D207" s="27"/>
      <c r="E207" s="27"/>
      <c r="F207" s="27"/>
      <c r="G207" s="27"/>
      <c r="H207" s="28"/>
      <c r="I207" s="28"/>
      <c r="J207" s="28"/>
      <c r="K207" s="28"/>
      <c r="L207" s="28"/>
      <c r="M207" s="28"/>
      <c r="N207" s="28"/>
      <c r="O207" s="28"/>
      <c r="R207" s="28" t="str">
        <f t="shared" si="9"/>
        <v/>
      </c>
    </row>
    <row r="208">
      <c r="A208" s="27" t="str">
        <f>IFERROR(__xludf.DUMMYFUNCTION("""COMPUTED_VALUE"""),"")</f>
        <v/>
      </c>
      <c r="B208" s="28"/>
      <c r="C208" s="28"/>
      <c r="D208" s="27"/>
      <c r="E208" s="27"/>
      <c r="F208" s="27"/>
      <c r="G208" s="27"/>
      <c r="H208" s="28"/>
      <c r="I208" s="28"/>
      <c r="J208" s="28"/>
      <c r="K208" s="28"/>
      <c r="L208" s="28"/>
      <c r="M208" s="28"/>
      <c r="N208" s="28"/>
      <c r="O208" s="28"/>
      <c r="R208" s="28" t="str">
        <f t="shared" si="9"/>
        <v/>
      </c>
    </row>
    <row r="209">
      <c r="A209" s="27" t="str">
        <f>IFERROR(__xludf.DUMMYFUNCTION("""COMPUTED_VALUE"""),"")</f>
        <v/>
      </c>
      <c r="B209" s="28"/>
      <c r="C209" s="28"/>
      <c r="D209" s="27"/>
      <c r="E209" s="27"/>
      <c r="F209" s="27"/>
      <c r="G209" s="27"/>
      <c r="H209" s="28"/>
      <c r="I209" s="28"/>
      <c r="J209" s="28"/>
      <c r="K209" s="28"/>
      <c r="L209" s="28"/>
      <c r="M209" s="28"/>
      <c r="N209" s="28"/>
      <c r="O209" s="28"/>
      <c r="R209" s="28" t="str">
        <f t="shared" si="9"/>
        <v/>
      </c>
    </row>
    <row r="210">
      <c r="A210" s="27" t="str">
        <f>IFERROR(__xludf.DUMMYFUNCTION("""COMPUTED_VALUE"""),"")</f>
        <v/>
      </c>
      <c r="B210" s="28"/>
      <c r="C210" s="28"/>
      <c r="D210" s="27"/>
      <c r="E210" s="27"/>
      <c r="F210" s="27"/>
      <c r="G210" s="27"/>
      <c r="H210" s="28"/>
      <c r="I210" s="28"/>
      <c r="J210" s="28"/>
      <c r="K210" s="28"/>
      <c r="L210" s="28"/>
      <c r="M210" s="28"/>
      <c r="N210" s="28"/>
      <c r="O210" s="28"/>
      <c r="R210" s="28" t="str">
        <f t="shared" si="9"/>
        <v/>
      </c>
    </row>
    <row r="211">
      <c r="A211" s="27" t="str">
        <f>IFERROR(__xludf.DUMMYFUNCTION("""COMPUTED_VALUE"""),"")</f>
        <v/>
      </c>
      <c r="B211" s="28"/>
      <c r="C211" s="28"/>
      <c r="D211" s="27"/>
      <c r="E211" s="27"/>
      <c r="F211" s="27"/>
      <c r="G211" s="27"/>
      <c r="H211" s="28"/>
      <c r="I211" s="28"/>
      <c r="J211" s="28"/>
      <c r="K211" s="28"/>
      <c r="L211" s="28"/>
      <c r="M211" s="28"/>
      <c r="N211" s="28"/>
      <c r="O211" s="28"/>
      <c r="R211" s="28" t="str">
        <f t="shared" si="9"/>
        <v/>
      </c>
    </row>
    <row r="212">
      <c r="A212" s="27" t="str">
        <f>IFERROR(__xludf.DUMMYFUNCTION("""COMPUTED_VALUE"""),"")</f>
        <v/>
      </c>
      <c r="B212" s="28"/>
      <c r="C212" s="28"/>
      <c r="D212" s="27"/>
      <c r="E212" s="27"/>
      <c r="F212" s="27"/>
      <c r="G212" s="27"/>
      <c r="H212" s="28"/>
      <c r="I212" s="28"/>
      <c r="J212" s="28"/>
      <c r="K212" s="28"/>
      <c r="L212" s="28"/>
      <c r="M212" s="28"/>
      <c r="N212" s="28"/>
      <c r="O212" s="28"/>
      <c r="R212" s="28" t="str">
        <f t="shared" si="9"/>
        <v/>
      </c>
    </row>
    <row r="213">
      <c r="A213" s="27" t="str">
        <f>IFERROR(__xludf.DUMMYFUNCTION("""COMPUTED_VALUE"""),"")</f>
        <v/>
      </c>
      <c r="B213" s="28"/>
      <c r="C213" s="28"/>
      <c r="D213" s="27"/>
      <c r="E213" s="27"/>
      <c r="F213" s="27"/>
      <c r="G213" s="27"/>
      <c r="H213" s="28"/>
      <c r="I213" s="28"/>
      <c r="J213" s="28"/>
      <c r="K213" s="28"/>
      <c r="L213" s="28"/>
      <c r="M213" s="28"/>
      <c r="N213" s="28"/>
      <c r="O213" s="28"/>
      <c r="R213" s="28" t="str">
        <f t="shared" si="9"/>
        <v/>
      </c>
    </row>
    <row r="214">
      <c r="A214" s="27" t="str">
        <f>IFERROR(__xludf.DUMMYFUNCTION("""COMPUTED_VALUE"""),"")</f>
        <v/>
      </c>
      <c r="B214" s="28"/>
      <c r="C214" s="28"/>
      <c r="D214" s="27"/>
      <c r="E214" s="27"/>
      <c r="F214" s="27"/>
      <c r="G214" s="27"/>
      <c r="H214" s="28"/>
      <c r="I214" s="28"/>
      <c r="J214" s="28"/>
      <c r="K214" s="28"/>
      <c r="L214" s="28"/>
      <c r="M214" s="28"/>
      <c r="N214" s="28"/>
      <c r="O214" s="28"/>
      <c r="R214" s="28" t="str">
        <f t="shared" si="9"/>
        <v/>
      </c>
    </row>
    <row r="215">
      <c r="A215" s="27" t="str">
        <f>IFERROR(__xludf.DUMMYFUNCTION("""COMPUTED_VALUE"""),"")</f>
        <v/>
      </c>
      <c r="B215" s="28"/>
      <c r="C215" s="28"/>
      <c r="D215" s="27"/>
      <c r="E215" s="27"/>
      <c r="F215" s="27"/>
      <c r="G215" s="27"/>
      <c r="H215" s="28"/>
      <c r="I215" s="28"/>
      <c r="J215" s="28"/>
      <c r="K215" s="28"/>
      <c r="L215" s="28"/>
      <c r="M215" s="28"/>
      <c r="N215" s="28"/>
      <c r="O215" s="28"/>
      <c r="R215" s="28" t="str">
        <f t="shared" si="9"/>
        <v/>
      </c>
    </row>
    <row r="216">
      <c r="A216" s="27" t="str">
        <f>IFERROR(__xludf.DUMMYFUNCTION("""COMPUTED_VALUE"""),"")</f>
        <v/>
      </c>
      <c r="B216" s="28"/>
      <c r="C216" s="28"/>
      <c r="D216" s="27"/>
      <c r="E216" s="27"/>
      <c r="F216" s="27"/>
      <c r="G216" s="27"/>
      <c r="H216" s="28"/>
      <c r="I216" s="28"/>
      <c r="J216" s="28"/>
      <c r="K216" s="28"/>
      <c r="L216" s="28"/>
      <c r="M216" s="28"/>
      <c r="N216" s="28"/>
      <c r="O216" s="28"/>
      <c r="R216" s="28" t="str">
        <f t="shared" si="9"/>
        <v/>
      </c>
    </row>
    <row r="217">
      <c r="A217" s="27" t="str">
        <f>IFERROR(__xludf.DUMMYFUNCTION("""COMPUTED_VALUE"""),"")</f>
        <v/>
      </c>
      <c r="B217" s="28"/>
      <c r="C217" s="28"/>
      <c r="D217" s="27"/>
      <c r="E217" s="27"/>
      <c r="F217" s="27"/>
      <c r="G217" s="27"/>
      <c r="H217" s="28"/>
      <c r="I217" s="28"/>
      <c r="J217" s="28"/>
      <c r="K217" s="28"/>
      <c r="L217" s="28"/>
      <c r="M217" s="28"/>
      <c r="N217" s="28"/>
      <c r="O217" s="28"/>
      <c r="R217" s="28" t="str">
        <f t="shared" si="9"/>
        <v/>
      </c>
    </row>
    <row r="218">
      <c r="A218" s="27" t="str">
        <f>IFERROR(__xludf.DUMMYFUNCTION("""COMPUTED_VALUE"""),"")</f>
        <v/>
      </c>
      <c r="B218" s="28"/>
      <c r="C218" s="28"/>
      <c r="D218" s="27"/>
      <c r="E218" s="27"/>
      <c r="F218" s="27"/>
      <c r="G218" s="27"/>
      <c r="H218" s="28"/>
      <c r="I218" s="28"/>
      <c r="J218" s="28"/>
      <c r="K218" s="28"/>
      <c r="L218" s="28"/>
      <c r="M218" s="28"/>
      <c r="N218" s="28"/>
      <c r="O218" s="28"/>
      <c r="R218" s="28" t="str">
        <f t="shared" si="9"/>
        <v/>
      </c>
    </row>
    <row r="219">
      <c r="A219" s="27" t="str">
        <f>IFERROR(__xludf.DUMMYFUNCTION("""COMPUTED_VALUE"""),"")</f>
        <v/>
      </c>
      <c r="B219" s="28"/>
      <c r="C219" s="28"/>
      <c r="D219" s="27"/>
      <c r="E219" s="27"/>
      <c r="F219" s="27"/>
      <c r="G219" s="27"/>
      <c r="H219" s="28"/>
      <c r="I219" s="28"/>
      <c r="J219" s="28"/>
      <c r="K219" s="28"/>
      <c r="L219" s="28"/>
      <c r="M219" s="28"/>
      <c r="N219" s="28"/>
      <c r="O219" s="28"/>
      <c r="R219" s="28" t="str">
        <f t="shared" si="9"/>
        <v/>
      </c>
    </row>
    <row r="220">
      <c r="A220" s="27" t="str">
        <f>IFERROR(__xludf.DUMMYFUNCTION("""COMPUTED_VALUE"""),"")</f>
        <v/>
      </c>
      <c r="B220" s="28"/>
      <c r="C220" s="28"/>
      <c r="D220" s="27"/>
      <c r="E220" s="27"/>
      <c r="F220" s="27"/>
      <c r="G220" s="27"/>
      <c r="H220" s="28"/>
      <c r="I220" s="28"/>
      <c r="J220" s="28"/>
      <c r="K220" s="28"/>
      <c r="L220" s="28"/>
      <c r="M220" s="28"/>
      <c r="N220" s="28"/>
      <c r="O220" s="28"/>
      <c r="R220" s="28" t="str">
        <f t="shared" si="9"/>
        <v/>
      </c>
    </row>
    <row r="221">
      <c r="A221" s="27" t="str">
        <f>IFERROR(__xludf.DUMMYFUNCTION("""COMPUTED_VALUE"""),"")</f>
        <v/>
      </c>
      <c r="B221" s="28"/>
      <c r="C221" s="28"/>
      <c r="D221" s="27"/>
      <c r="E221" s="27"/>
      <c r="F221" s="27"/>
      <c r="G221" s="27"/>
      <c r="H221" s="28"/>
      <c r="I221" s="28"/>
      <c r="J221" s="28"/>
      <c r="K221" s="28"/>
      <c r="L221" s="28"/>
      <c r="M221" s="28"/>
      <c r="N221" s="28"/>
      <c r="O221" s="28"/>
      <c r="R221" s="28" t="str">
        <f t="shared" si="9"/>
        <v/>
      </c>
    </row>
    <row r="222">
      <c r="A222" s="27" t="str">
        <f>IFERROR(__xludf.DUMMYFUNCTION("""COMPUTED_VALUE"""),"")</f>
        <v/>
      </c>
      <c r="B222" s="28"/>
      <c r="C222" s="28"/>
      <c r="D222" s="27"/>
      <c r="E222" s="27"/>
      <c r="F222" s="27"/>
      <c r="G222" s="27"/>
      <c r="H222" s="28"/>
      <c r="I222" s="28"/>
      <c r="J222" s="28"/>
      <c r="K222" s="28"/>
      <c r="L222" s="28"/>
      <c r="M222" s="28"/>
      <c r="N222" s="28"/>
      <c r="O222" s="28"/>
      <c r="R222" s="28" t="str">
        <f t="shared" si="9"/>
        <v/>
      </c>
    </row>
    <row r="223">
      <c r="A223" s="27" t="str">
        <f>IFERROR(__xludf.DUMMYFUNCTION("""COMPUTED_VALUE"""),"")</f>
        <v/>
      </c>
      <c r="B223" s="28"/>
      <c r="C223" s="28"/>
      <c r="D223" s="27"/>
      <c r="E223" s="27"/>
      <c r="F223" s="27"/>
      <c r="G223" s="27"/>
      <c r="H223" s="28"/>
      <c r="I223" s="28"/>
      <c r="J223" s="28"/>
      <c r="K223" s="28"/>
      <c r="L223" s="28"/>
      <c r="M223" s="28"/>
      <c r="N223" s="28"/>
      <c r="O223" s="28"/>
      <c r="R223" s="28" t="str">
        <f t="shared" si="9"/>
        <v/>
      </c>
    </row>
    <row r="224">
      <c r="A224" s="27" t="str">
        <f>IFERROR(__xludf.DUMMYFUNCTION("""COMPUTED_VALUE"""),"")</f>
        <v/>
      </c>
      <c r="B224" s="28"/>
      <c r="C224" s="28"/>
      <c r="D224" s="27"/>
      <c r="E224" s="27"/>
      <c r="F224" s="27"/>
      <c r="G224" s="27"/>
      <c r="H224" s="28"/>
      <c r="I224" s="28"/>
      <c r="J224" s="28"/>
      <c r="K224" s="28"/>
      <c r="L224" s="28"/>
      <c r="M224" s="28"/>
      <c r="N224" s="28"/>
      <c r="O224" s="28"/>
      <c r="R224" s="28" t="str">
        <f t="shared" si="9"/>
        <v/>
      </c>
    </row>
    <row r="225">
      <c r="A225" s="27" t="str">
        <f>IFERROR(__xludf.DUMMYFUNCTION("""COMPUTED_VALUE"""),"")</f>
        <v/>
      </c>
      <c r="B225" s="28"/>
      <c r="C225" s="28"/>
      <c r="D225" s="27"/>
      <c r="E225" s="27"/>
      <c r="F225" s="27"/>
      <c r="G225" s="27"/>
      <c r="H225" s="28"/>
      <c r="I225" s="28"/>
      <c r="J225" s="28"/>
      <c r="K225" s="28"/>
      <c r="L225" s="28"/>
      <c r="M225" s="28"/>
      <c r="N225" s="28"/>
      <c r="O225" s="28"/>
      <c r="R225" s="28" t="str">
        <f t="shared" si="9"/>
        <v/>
      </c>
    </row>
    <row r="226">
      <c r="A226" s="27" t="str">
        <f>IFERROR(__xludf.DUMMYFUNCTION("""COMPUTED_VALUE"""),"")</f>
        <v/>
      </c>
      <c r="B226" s="28"/>
      <c r="C226" s="28"/>
      <c r="D226" s="27"/>
      <c r="E226" s="27"/>
      <c r="F226" s="27"/>
      <c r="G226" s="27"/>
      <c r="H226" s="28"/>
      <c r="I226" s="28"/>
      <c r="J226" s="28"/>
      <c r="K226" s="28"/>
      <c r="L226" s="28"/>
      <c r="M226" s="28"/>
      <c r="N226" s="28"/>
      <c r="O226" s="28"/>
      <c r="R226" s="28" t="str">
        <f t="shared" si="9"/>
        <v/>
      </c>
    </row>
    <row r="227">
      <c r="A227" s="27" t="str">
        <f>IFERROR(__xludf.DUMMYFUNCTION("""COMPUTED_VALUE"""),"")</f>
        <v/>
      </c>
      <c r="B227" s="28"/>
      <c r="C227" s="28"/>
      <c r="D227" s="27"/>
      <c r="E227" s="27"/>
      <c r="F227" s="27"/>
      <c r="G227" s="27"/>
      <c r="H227" s="28"/>
      <c r="I227" s="28"/>
      <c r="J227" s="28"/>
      <c r="K227" s="28"/>
      <c r="L227" s="28"/>
      <c r="M227" s="28"/>
      <c r="N227" s="28"/>
      <c r="O227" s="28"/>
      <c r="R227" s="28" t="str">
        <f t="shared" si="9"/>
        <v/>
      </c>
    </row>
    <row r="228">
      <c r="A228" s="27" t="str">
        <f>IFERROR(__xludf.DUMMYFUNCTION("""COMPUTED_VALUE"""),"")</f>
        <v/>
      </c>
      <c r="B228" s="28"/>
      <c r="C228" s="28"/>
      <c r="D228" s="27"/>
      <c r="E228" s="27"/>
      <c r="F228" s="27"/>
      <c r="G228" s="27"/>
      <c r="H228" s="28"/>
      <c r="I228" s="28"/>
      <c r="J228" s="28"/>
      <c r="K228" s="28"/>
      <c r="L228" s="28"/>
      <c r="M228" s="28"/>
      <c r="N228" s="28"/>
      <c r="O228" s="28"/>
      <c r="R228" s="28" t="str">
        <f t="shared" si="9"/>
        <v/>
      </c>
    </row>
    <row r="229">
      <c r="A229" s="27" t="str">
        <f>IFERROR(__xludf.DUMMYFUNCTION("""COMPUTED_VALUE"""),"")</f>
        <v/>
      </c>
      <c r="B229" s="28"/>
      <c r="C229" s="28"/>
      <c r="D229" s="27"/>
      <c r="E229" s="27"/>
      <c r="F229" s="27"/>
      <c r="G229" s="27"/>
      <c r="H229" s="28"/>
      <c r="I229" s="28"/>
      <c r="J229" s="28"/>
      <c r="K229" s="28"/>
      <c r="L229" s="28"/>
      <c r="M229" s="28"/>
      <c r="N229" s="28"/>
      <c r="O229" s="28"/>
      <c r="R229" s="28" t="str">
        <f t="shared" si="9"/>
        <v/>
      </c>
    </row>
    <row r="230">
      <c r="A230" s="27" t="str">
        <f>IFERROR(__xludf.DUMMYFUNCTION("""COMPUTED_VALUE"""),"")</f>
        <v/>
      </c>
      <c r="B230" s="28"/>
      <c r="C230" s="28"/>
      <c r="D230" s="27"/>
      <c r="E230" s="27"/>
      <c r="F230" s="27"/>
      <c r="G230" s="27"/>
      <c r="H230" s="28"/>
      <c r="I230" s="28"/>
      <c r="J230" s="28"/>
      <c r="K230" s="28"/>
      <c r="L230" s="28"/>
      <c r="M230" s="28"/>
      <c r="N230" s="28"/>
      <c r="O230" s="28"/>
      <c r="R230" s="28" t="str">
        <f t="shared" si="9"/>
        <v/>
      </c>
    </row>
    <row r="231">
      <c r="A231" s="27" t="str">
        <f>IFERROR(__xludf.DUMMYFUNCTION("""COMPUTED_VALUE"""),"")</f>
        <v/>
      </c>
      <c r="B231" s="28"/>
      <c r="C231" s="28"/>
      <c r="D231" s="27"/>
      <c r="E231" s="27"/>
      <c r="F231" s="27"/>
      <c r="G231" s="27"/>
      <c r="H231" s="28"/>
      <c r="I231" s="28"/>
      <c r="J231" s="28"/>
      <c r="K231" s="28"/>
      <c r="L231" s="28"/>
      <c r="M231" s="28"/>
      <c r="N231" s="28"/>
      <c r="O231" s="28"/>
      <c r="R231" s="28" t="str">
        <f t="shared" si="9"/>
        <v/>
      </c>
    </row>
    <row r="232">
      <c r="A232" s="27" t="str">
        <f>IFERROR(__xludf.DUMMYFUNCTION("""COMPUTED_VALUE"""),"")</f>
        <v/>
      </c>
      <c r="B232" s="28"/>
      <c r="C232" s="28"/>
      <c r="D232" s="27"/>
      <c r="E232" s="27"/>
      <c r="F232" s="27"/>
      <c r="G232" s="27"/>
      <c r="H232" s="28"/>
      <c r="I232" s="28"/>
      <c r="J232" s="28"/>
      <c r="K232" s="28"/>
      <c r="L232" s="28"/>
      <c r="M232" s="28"/>
      <c r="N232" s="28"/>
      <c r="O232" s="28"/>
      <c r="R232" s="28" t="str">
        <f t="shared" si="9"/>
        <v/>
      </c>
    </row>
    <row r="233">
      <c r="A233" s="27" t="str">
        <f>IFERROR(__xludf.DUMMYFUNCTION("""COMPUTED_VALUE"""),"")</f>
        <v/>
      </c>
      <c r="B233" s="28"/>
      <c r="C233" s="28"/>
      <c r="D233" s="27"/>
      <c r="E233" s="27"/>
      <c r="F233" s="27"/>
      <c r="G233" s="27"/>
      <c r="H233" s="28"/>
      <c r="I233" s="28"/>
      <c r="J233" s="28"/>
      <c r="K233" s="28"/>
      <c r="L233" s="28"/>
      <c r="M233" s="28"/>
      <c r="N233" s="28"/>
      <c r="O233" s="28"/>
      <c r="R233" s="28" t="str">
        <f t="shared" si="9"/>
        <v/>
      </c>
    </row>
    <row r="234">
      <c r="A234" s="27" t="str">
        <f>IFERROR(__xludf.DUMMYFUNCTION("""COMPUTED_VALUE"""),"")</f>
        <v/>
      </c>
      <c r="B234" s="28"/>
      <c r="C234" s="28"/>
      <c r="D234" s="27"/>
      <c r="E234" s="27"/>
      <c r="F234" s="27"/>
      <c r="G234" s="27"/>
      <c r="H234" s="28"/>
      <c r="I234" s="28"/>
      <c r="J234" s="28"/>
      <c r="K234" s="28"/>
      <c r="L234" s="28"/>
      <c r="M234" s="28"/>
      <c r="N234" s="28"/>
      <c r="O234" s="28"/>
      <c r="R234" s="28" t="str">
        <f t="shared" si="9"/>
        <v/>
      </c>
    </row>
    <row r="235">
      <c r="A235" s="27" t="str">
        <f>IFERROR(__xludf.DUMMYFUNCTION("""COMPUTED_VALUE"""),"")</f>
        <v/>
      </c>
      <c r="B235" s="28"/>
      <c r="C235" s="28"/>
      <c r="D235" s="27"/>
      <c r="E235" s="27"/>
      <c r="F235" s="27"/>
      <c r="G235" s="27"/>
      <c r="H235" s="28"/>
      <c r="I235" s="28"/>
      <c r="J235" s="28"/>
      <c r="K235" s="28"/>
      <c r="L235" s="28"/>
      <c r="M235" s="28"/>
      <c r="N235" s="28"/>
      <c r="O235" s="28"/>
      <c r="R235" s="28" t="str">
        <f t="shared" si="9"/>
        <v/>
      </c>
    </row>
    <row r="236">
      <c r="A236" s="27" t="str">
        <f>IFERROR(__xludf.DUMMYFUNCTION("""COMPUTED_VALUE"""),"")</f>
        <v/>
      </c>
      <c r="B236" s="28"/>
      <c r="C236" s="28"/>
      <c r="D236" s="27"/>
      <c r="E236" s="27"/>
      <c r="F236" s="27"/>
      <c r="G236" s="27"/>
      <c r="H236" s="28"/>
      <c r="I236" s="28"/>
      <c r="J236" s="28"/>
      <c r="K236" s="28"/>
      <c r="L236" s="28"/>
      <c r="M236" s="28"/>
      <c r="N236" s="28"/>
      <c r="O236" s="28"/>
      <c r="R236" s="28" t="str">
        <f t="shared" si="9"/>
        <v/>
      </c>
    </row>
    <row r="237">
      <c r="A237" s="27" t="str">
        <f>IFERROR(__xludf.DUMMYFUNCTION("""COMPUTED_VALUE"""),"")</f>
        <v/>
      </c>
      <c r="B237" s="28"/>
      <c r="C237" s="28"/>
      <c r="D237" s="27"/>
      <c r="E237" s="27"/>
      <c r="F237" s="27"/>
      <c r="G237" s="27"/>
      <c r="H237" s="28"/>
      <c r="I237" s="28"/>
      <c r="J237" s="28"/>
      <c r="K237" s="28"/>
      <c r="L237" s="28"/>
      <c r="M237" s="28"/>
      <c r="N237" s="28"/>
      <c r="O237" s="28"/>
      <c r="R237" s="28" t="str">
        <f t="shared" si="9"/>
        <v/>
      </c>
    </row>
    <row r="238">
      <c r="A238" s="27" t="str">
        <f>IFERROR(__xludf.DUMMYFUNCTION("""COMPUTED_VALUE"""),"")</f>
        <v/>
      </c>
      <c r="B238" s="28"/>
      <c r="C238" s="28"/>
      <c r="D238" s="27"/>
      <c r="E238" s="27"/>
      <c r="F238" s="27"/>
      <c r="G238" s="27"/>
      <c r="H238" s="28"/>
      <c r="I238" s="28"/>
      <c r="J238" s="28"/>
      <c r="K238" s="28"/>
      <c r="L238" s="28"/>
      <c r="M238" s="28"/>
      <c r="N238" s="28"/>
      <c r="O238" s="28"/>
      <c r="R238" s="28" t="str">
        <f t="shared" si="9"/>
        <v/>
      </c>
    </row>
    <row r="239">
      <c r="A239" s="27" t="str">
        <f>IFERROR(__xludf.DUMMYFUNCTION("""COMPUTED_VALUE"""),"")</f>
        <v/>
      </c>
      <c r="B239" s="28"/>
      <c r="C239" s="28"/>
      <c r="D239" s="27"/>
      <c r="E239" s="27"/>
      <c r="F239" s="27"/>
      <c r="G239" s="27"/>
      <c r="H239" s="28"/>
      <c r="I239" s="28"/>
      <c r="J239" s="28"/>
      <c r="K239" s="28"/>
      <c r="L239" s="28"/>
      <c r="M239" s="28"/>
      <c r="N239" s="28"/>
      <c r="O239" s="28"/>
      <c r="R239" s="28" t="str">
        <f t="shared" si="9"/>
        <v/>
      </c>
    </row>
    <row r="240">
      <c r="A240" s="27" t="str">
        <f>IFERROR(__xludf.DUMMYFUNCTION("""COMPUTED_VALUE"""),"")</f>
        <v/>
      </c>
      <c r="B240" s="28"/>
      <c r="C240" s="28"/>
      <c r="D240" s="27"/>
      <c r="E240" s="27"/>
      <c r="F240" s="27"/>
      <c r="G240" s="27"/>
      <c r="H240" s="28"/>
      <c r="I240" s="28"/>
      <c r="J240" s="28"/>
      <c r="K240" s="28"/>
      <c r="L240" s="28"/>
      <c r="M240" s="28"/>
      <c r="N240" s="28"/>
      <c r="O240" s="28"/>
      <c r="R240" s="28" t="str">
        <f t="shared" si="9"/>
        <v/>
      </c>
    </row>
    <row r="241">
      <c r="A241" s="27" t="str">
        <f>IFERROR(__xludf.DUMMYFUNCTION("""COMPUTED_VALUE"""),"")</f>
        <v/>
      </c>
      <c r="B241" s="28"/>
      <c r="C241" s="28"/>
      <c r="D241" s="27"/>
      <c r="E241" s="27"/>
      <c r="F241" s="27"/>
      <c r="G241" s="27"/>
      <c r="H241" s="28"/>
      <c r="I241" s="28"/>
      <c r="J241" s="28"/>
      <c r="K241" s="28"/>
      <c r="L241" s="28"/>
      <c r="M241" s="28"/>
      <c r="N241" s="28"/>
      <c r="O241" s="28"/>
      <c r="R241" s="28" t="str">
        <f t="shared" si="9"/>
        <v/>
      </c>
    </row>
    <row r="242">
      <c r="A242" s="27" t="str">
        <f>IFERROR(__xludf.DUMMYFUNCTION("""COMPUTED_VALUE"""),"")</f>
        <v/>
      </c>
      <c r="B242" s="28"/>
      <c r="C242" s="28"/>
      <c r="D242" s="27"/>
      <c r="E242" s="27"/>
      <c r="F242" s="27"/>
      <c r="G242" s="27"/>
      <c r="H242" s="28"/>
      <c r="I242" s="28"/>
      <c r="J242" s="28"/>
      <c r="K242" s="28"/>
      <c r="L242" s="28"/>
      <c r="M242" s="28"/>
      <c r="N242" s="28"/>
      <c r="O242" s="28"/>
      <c r="R242" s="28" t="str">
        <f t="shared" si="9"/>
        <v/>
      </c>
    </row>
    <row r="243">
      <c r="A243" s="27" t="str">
        <f>IFERROR(__xludf.DUMMYFUNCTION("""COMPUTED_VALUE"""),"")</f>
        <v/>
      </c>
      <c r="B243" s="28"/>
      <c r="C243" s="28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R243" s="28" t="str">
        <f t="shared" si="9"/>
        <v/>
      </c>
    </row>
    <row r="244">
      <c r="A244" s="27" t="str">
        <f>IFERROR(__xludf.DUMMYFUNCTION("""COMPUTED_VALUE"""),"")</f>
        <v/>
      </c>
      <c r="B244" s="28"/>
      <c r="C244" s="28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R244" s="28" t="str">
        <f t="shared" si="9"/>
        <v/>
      </c>
    </row>
    <row r="245">
      <c r="A245" s="27" t="str">
        <f>IFERROR(__xludf.DUMMYFUNCTION("""COMPUTED_VALUE"""),"")</f>
        <v/>
      </c>
      <c r="B245" s="28"/>
      <c r="C245" s="28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R245" s="28" t="str">
        <f t="shared" si="9"/>
        <v/>
      </c>
    </row>
    <row r="246">
      <c r="A246" s="27" t="str">
        <f>IFERROR(__xludf.DUMMYFUNCTION("""COMPUTED_VALUE"""),"")</f>
        <v/>
      </c>
      <c r="B246" s="28"/>
      <c r="C246" s="28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R246" s="28" t="str">
        <f t="shared" si="9"/>
        <v/>
      </c>
    </row>
    <row r="247">
      <c r="A247" s="27" t="str">
        <f>IFERROR(__xludf.DUMMYFUNCTION("""COMPUTED_VALUE"""),"")</f>
        <v/>
      </c>
      <c r="B247" s="28"/>
      <c r="C247" s="28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R247" s="28" t="str">
        <f t="shared" si="9"/>
        <v/>
      </c>
    </row>
    <row r="248">
      <c r="A248" s="27" t="str">
        <f>IFERROR(__xludf.DUMMYFUNCTION("""COMPUTED_VALUE"""),"")</f>
        <v/>
      </c>
      <c r="B248" s="28"/>
      <c r="C248" s="28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R248" s="28" t="str">
        <f t="shared" si="9"/>
        <v/>
      </c>
    </row>
    <row r="249">
      <c r="A249" s="27" t="str">
        <f>IFERROR(__xludf.DUMMYFUNCTION("""COMPUTED_VALUE"""),"")</f>
        <v/>
      </c>
      <c r="B249" s="28"/>
      <c r="C249" s="28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R249" s="28" t="str">
        <f t="shared" si="9"/>
        <v/>
      </c>
    </row>
    <row r="250">
      <c r="A250" s="27" t="str">
        <f>IFERROR(__xludf.DUMMYFUNCTION("""COMPUTED_VALUE"""),"")</f>
        <v/>
      </c>
      <c r="B250" s="28"/>
      <c r="C250" s="28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R250" s="28" t="str">
        <f t="shared" si="9"/>
        <v/>
      </c>
    </row>
    <row r="251">
      <c r="A251" s="27" t="str">
        <f>IFERROR(__xludf.DUMMYFUNCTION("""COMPUTED_VALUE"""),"")</f>
        <v/>
      </c>
      <c r="B251" s="28"/>
      <c r="C251" s="28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R251" s="28" t="str">
        <f t="shared" si="9"/>
        <v/>
      </c>
    </row>
    <row r="252">
      <c r="A252" s="27" t="str">
        <f>IFERROR(__xludf.DUMMYFUNCTION("""COMPUTED_VALUE"""),"")</f>
        <v/>
      </c>
      <c r="B252" s="28"/>
      <c r="C252" s="28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R252" s="28" t="str">
        <f t="shared" si="9"/>
        <v/>
      </c>
    </row>
    <row r="253">
      <c r="A253" s="27" t="str">
        <f>IFERROR(__xludf.DUMMYFUNCTION("""COMPUTED_VALUE"""),"")</f>
        <v/>
      </c>
      <c r="B253" s="28"/>
      <c r="C253" s="28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R253" s="28" t="str">
        <f t="shared" si="9"/>
        <v/>
      </c>
    </row>
    <row r="254">
      <c r="A254" s="27" t="str">
        <f>IFERROR(__xludf.DUMMYFUNCTION("""COMPUTED_VALUE"""),"")</f>
        <v/>
      </c>
      <c r="B254" s="28"/>
      <c r="C254" s="28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R254" s="28" t="str">
        <f t="shared" si="9"/>
        <v/>
      </c>
    </row>
    <row r="255">
      <c r="A255" s="27" t="str">
        <f>IFERROR(__xludf.DUMMYFUNCTION("""COMPUTED_VALUE"""),"")</f>
        <v/>
      </c>
      <c r="B255" s="28"/>
      <c r="C255" s="28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R255" s="28" t="str">
        <f t="shared" si="9"/>
        <v/>
      </c>
    </row>
    <row r="256">
      <c r="A256" s="27" t="str">
        <f>IFERROR(__xludf.DUMMYFUNCTION("""COMPUTED_VALUE"""),"")</f>
        <v/>
      </c>
      <c r="B256" s="28"/>
      <c r="C256" s="28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R256" s="28" t="str">
        <f t="shared" si="9"/>
        <v/>
      </c>
    </row>
    <row r="257">
      <c r="A257" s="27" t="str">
        <f>IFERROR(__xludf.DUMMYFUNCTION("""COMPUTED_VALUE"""),"")</f>
        <v/>
      </c>
      <c r="B257" s="28"/>
      <c r="C257" s="28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R257" s="28" t="str">
        <f t="shared" si="9"/>
        <v/>
      </c>
    </row>
    <row r="258">
      <c r="A258" s="27" t="str">
        <f>IFERROR(__xludf.DUMMYFUNCTION("""COMPUTED_VALUE"""),"")</f>
        <v/>
      </c>
      <c r="B258" s="28"/>
      <c r="C258" s="28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R258" s="28" t="str">
        <f t="shared" si="9"/>
        <v/>
      </c>
    </row>
    <row r="259">
      <c r="A259" s="27" t="str">
        <f>IFERROR(__xludf.DUMMYFUNCTION("""COMPUTED_VALUE"""),"")</f>
        <v/>
      </c>
      <c r="B259" s="28"/>
      <c r="C259" s="28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R259" s="28" t="str">
        <f t="shared" si="9"/>
        <v/>
      </c>
    </row>
    <row r="260">
      <c r="A260" s="27" t="str">
        <f>IFERROR(__xludf.DUMMYFUNCTION("""COMPUTED_VALUE"""),"")</f>
        <v/>
      </c>
      <c r="B260" s="28"/>
      <c r="C260" s="28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R260" s="28" t="str">
        <f t="shared" si="9"/>
        <v/>
      </c>
    </row>
    <row r="261">
      <c r="A261" s="27" t="str">
        <f>IFERROR(__xludf.DUMMYFUNCTION("""COMPUTED_VALUE"""),"")</f>
        <v/>
      </c>
      <c r="B261" s="28"/>
      <c r="C261" s="28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R261" s="28" t="str">
        <f t="shared" si="9"/>
        <v/>
      </c>
    </row>
    <row r="262">
      <c r="A262" s="27" t="str">
        <f>IFERROR(__xludf.DUMMYFUNCTION("""COMPUTED_VALUE"""),"")</f>
        <v/>
      </c>
      <c r="B262" s="28"/>
      <c r="C262" s="28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R262" s="28" t="str">
        <f t="shared" si="9"/>
        <v/>
      </c>
    </row>
    <row r="263">
      <c r="A263" s="27" t="str">
        <f>IFERROR(__xludf.DUMMYFUNCTION("""COMPUTED_VALUE"""),"")</f>
        <v/>
      </c>
      <c r="B263" s="28"/>
      <c r="C263" s="28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R263" s="28" t="str">
        <f t="shared" si="9"/>
        <v/>
      </c>
    </row>
    <row r="264">
      <c r="A264" s="27" t="str">
        <f>IFERROR(__xludf.DUMMYFUNCTION("""COMPUTED_VALUE"""),"")</f>
        <v/>
      </c>
      <c r="B264" s="28"/>
      <c r="C264" s="28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R264" s="28" t="str">
        <f t="shared" si="9"/>
        <v/>
      </c>
    </row>
    <row r="265">
      <c r="A265" s="27" t="str">
        <f>IFERROR(__xludf.DUMMYFUNCTION("""COMPUTED_VALUE"""),"")</f>
        <v/>
      </c>
      <c r="B265" s="28"/>
      <c r="C265" s="28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R265" s="28" t="str">
        <f t="shared" si="9"/>
        <v/>
      </c>
    </row>
    <row r="266">
      <c r="A266" s="27" t="str">
        <f>IFERROR(__xludf.DUMMYFUNCTION("""COMPUTED_VALUE"""),"")</f>
        <v/>
      </c>
      <c r="B266" s="28"/>
      <c r="C266" s="28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R266" s="28" t="str">
        <f t="shared" si="9"/>
        <v/>
      </c>
    </row>
    <row r="267">
      <c r="A267" s="27" t="str">
        <f>IFERROR(__xludf.DUMMYFUNCTION("""COMPUTED_VALUE"""),"")</f>
        <v/>
      </c>
      <c r="B267" s="28"/>
      <c r="C267" s="28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R267" s="28" t="str">
        <f t="shared" si="9"/>
        <v/>
      </c>
    </row>
    <row r="268">
      <c r="A268" s="27" t="str">
        <f>IFERROR(__xludf.DUMMYFUNCTION("""COMPUTED_VALUE"""),"")</f>
        <v/>
      </c>
      <c r="B268" s="28"/>
      <c r="C268" s="28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R268" s="28" t="str">
        <f t="shared" si="9"/>
        <v/>
      </c>
    </row>
    <row r="269">
      <c r="A269" s="27" t="str">
        <f>IFERROR(__xludf.DUMMYFUNCTION("""COMPUTED_VALUE"""),"")</f>
        <v/>
      </c>
      <c r="B269" s="28"/>
      <c r="C269" s="28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R269" s="28" t="str">
        <f t="shared" si="9"/>
        <v/>
      </c>
    </row>
    <row r="270">
      <c r="A270" s="27" t="str">
        <f>IFERROR(__xludf.DUMMYFUNCTION("""COMPUTED_VALUE"""),"")</f>
        <v/>
      </c>
      <c r="B270" s="28"/>
      <c r="C270" s="28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R270" s="28" t="str">
        <f t="shared" si="9"/>
        <v/>
      </c>
    </row>
    <row r="271">
      <c r="A271" s="27" t="str">
        <f>IFERROR(__xludf.DUMMYFUNCTION("""COMPUTED_VALUE"""),"")</f>
        <v/>
      </c>
      <c r="B271" s="28"/>
      <c r="C271" s="28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R271" s="28" t="str">
        <f t="shared" si="9"/>
        <v/>
      </c>
    </row>
    <row r="272">
      <c r="A272" s="27" t="str">
        <f>IFERROR(__xludf.DUMMYFUNCTION("""COMPUTED_VALUE"""),"")</f>
        <v/>
      </c>
      <c r="B272" s="28"/>
      <c r="C272" s="28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R272" s="28" t="str">
        <f t="shared" si="9"/>
        <v/>
      </c>
    </row>
    <row r="273">
      <c r="A273" s="27" t="str">
        <f>IFERROR(__xludf.DUMMYFUNCTION("""COMPUTED_VALUE"""),"")</f>
        <v/>
      </c>
      <c r="B273" s="28"/>
      <c r="C273" s="28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R273" s="28" t="str">
        <f t="shared" si="9"/>
        <v/>
      </c>
    </row>
    <row r="274">
      <c r="A274" s="27" t="str">
        <f>IFERROR(__xludf.DUMMYFUNCTION("""COMPUTED_VALUE"""),"")</f>
        <v/>
      </c>
      <c r="B274" s="28"/>
      <c r="C274" s="28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R274" s="28" t="str">
        <f t="shared" si="9"/>
        <v/>
      </c>
    </row>
    <row r="275">
      <c r="A275" s="27" t="str">
        <f>IFERROR(__xludf.DUMMYFUNCTION("""COMPUTED_VALUE"""),"")</f>
        <v/>
      </c>
      <c r="B275" s="28"/>
      <c r="C275" s="28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R275" s="28" t="str">
        <f t="shared" si="9"/>
        <v/>
      </c>
    </row>
    <row r="276">
      <c r="A276" s="27" t="str">
        <f>IFERROR(__xludf.DUMMYFUNCTION("""COMPUTED_VALUE"""),"")</f>
        <v/>
      </c>
      <c r="B276" s="28"/>
      <c r="C276" s="28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R276" s="28" t="str">
        <f t="shared" si="9"/>
        <v/>
      </c>
    </row>
    <row r="277">
      <c r="A277" s="27" t="str">
        <f>IFERROR(__xludf.DUMMYFUNCTION("""COMPUTED_VALUE"""),"")</f>
        <v/>
      </c>
      <c r="B277" s="28"/>
      <c r="C277" s="28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R277" s="28" t="str">
        <f t="shared" si="9"/>
        <v/>
      </c>
    </row>
    <row r="278">
      <c r="A278" s="27" t="str">
        <f>IFERROR(__xludf.DUMMYFUNCTION("""COMPUTED_VALUE"""),"")</f>
        <v/>
      </c>
      <c r="B278" s="28"/>
      <c r="C278" s="28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R278" s="28" t="str">
        <f t="shared" si="9"/>
        <v/>
      </c>
    </row>
    <row r="279">
      <c r="A279" s="27" t="str">
        <f>IFERROR(__xludf.DUMMYFUNCTION("""COMPUTED_VALUE"""),"")</f>
        <v/>
      </c>
      <c r="B279" s="28"/>
      <c r="C279" s="28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R279" s="28" t="str">
        <f t="shared" si="9"/>
        <v/>
      </c>
    </row>
    <row r="280">
      <c r="A280" s="27" t="str">
        <f>IFERROR(__xludf.DUMMYFUNCTION("""COMPUTED_VALUE"""),"")</f>
        <v/>
      </c>
      <c r="B280" s="28"/>
      <c r="C280" s="28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R280" s="28" t="str">
        <f t="shared" si="9"/>
        <v/>
      </c>
    </row>
    <row r="281">
      <c r="A281" s="27" t="str">
        <f>IFERROR(__xludf.DUMMYFUNCTION("""COMPUTED_VALUE"""),"")</f>
        <v/>
      </c>
      <c r="B281" s="28"/>
      <c r="C281" s="28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R281" s="28" t="str">
        <f t="shared" si="9"/>
        <v/>
      </c>
    </row>
    <row r="282">
      <c r="A282" s="27" t="str">
        <f>IFERROR(__xludf.DUMMYFUNCTION("""COMPUTED_VALUE"""),"")</f>
        <v/>
      </c>
      <c r="B282" s="28"/>
      <c r="C282" s="28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R282" s="28" t="str">
        <f t="shared" si="9"/>
        <v/>
      </c>
    </row>
    <row r="283">
      <c r="A283" s="27" t="str">
        <f>IFERROR(__xludf.DUMMYFUNCTION("""COMPUTED_VALUE"""),"")</f>
        <v/>
      </c>
      <c r="B283" s="28"/>
      <c r="C283" s="28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R283" s="28" t="str">
        <f t="shared" si="9"/>
        <v/>
      </c>
    </row>
    <row r="284">
      <c r="A284" s="27" t="str">
        <f>IFERROR(__xludf.DUMMYFUNCTION("""COMPUTED_VALUE"""),"")</f>
        <v/>
      </c>
      <c r="B284" s="28"/>
      <c r="C284" s="28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R284" s="28" t="str">
        <f t="shared" si="9"/>
        <v/>
      </c>
    </row>
    <row r="285">
      <c r="A285" s="27" t="str">
        <f>IFERROR(__xludf.DUMMYFUNCTION("""COMPUTED_VALUE"""),"")</f>
        <v/>
      </c>
      <c r="B285" s="28"/>
      <c r="C285" s="28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R285" s="28" t="str">
        <f t="shared" si="9"/>
        <v/>
      </c>
    </row>
    <row r="286">
      <c r="A286" s="27" t="str">
        <f>IFERROR(__xludf.DUMMYFUNCTION("""COMPUTED_VALUE"""),"")</f>
        <v/>
      </c>
      <c r="B286" s="28"/>
      <c r="C286" s="28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R286" s="28" t="str">
        <f t="shared" si="9"/>
        <v/>
      </c>
    </row>
    <row r="287">
      <c r="A287" s="27" t="str">
        <f>IFERROR(__xludf.DUMMYFUNCTION("""COMPUTED_VALUE"""),"")</f>
        <v/>
      </c>
      <c r="B287" s="28"/>
      <c r="C287" s="28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R287" s="28" t="str">
        <f t="shared" si="9"/>
        <v/>
      </c>
    </row>
    <row r="288">
      <c r="A288" s="27" t="str">
        <f>IFERROR(__xludf.DUMMYFUNCTION("""COMPUTED_VALUE"""),"")</f>
        <v/>
      </c>
      <c r="B288" s="28"/>
      <c r="C288" s="28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R288" s="28" t="str">
        <f t="shared" si="9"/>
        <v/>
      </c>
    </row>
    <row r="289">
      <c r="A289" s="27" t="str">
        <f>IFERROR(__xludf.DUMMYFUNCTION("""COMPUTED_VALUE"""),"")</f>
        <v/>
      </c>
      <c r="B289" s="28"/>
      <c r="C289" s="28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R289" s="28" t="str">
        <f t="shared" si="9"/>
        <v/>
      </c>
    </row>
    <row r="290">
      <c r="A290" s="27" t="str">
        <f>IFERROR(__xludf.DUMMYFUNCTION("""COMPUTED_VALUE"""),"")</f>
        <v/>
      </c>
      <c r="B290" s="28"/>
      <c r="C290" s="28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R290" s="28" t="str">
        <f t="shared" si="9"/>
        <v/>
      </c>
    </row>
    <row r="291">
      <c r="A291" s="27" t="str">
        <f>IFERROR(__xludf.DUMMYFUNCTION("""COMPUTED_VALUE"""),"")</f>
        <v/>
      </c>
      <c r="B291" s="28"/>
      <c r="C291" s="28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R291" s="28" t="str">
        <f t="shared" si="9"/>
        <v/>
      </c>
    </row>
    <row r="292">
      <c r="A292" s="27" t="str">
        <f>IFERROR(__xludf.DUMMYFUNCTION("""COMPUTED_VALUE"""),"")</f>
        <v/>
      </c>
      <c r="B292" s="28"/>
      <c r="C292" s="28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R292" s="28" t="str">
        <f t="shared" si="9"/>
        <v/>
      </c>
    </row>
    <row r="293">
      <c r="A293" s="27" t="str">
        <f>IFERROR(__xludf.DUMMYFUNCTION("""COMPUTED_VALUE"""),"")</f>
        <v/>
      </c>
      <c r="B293" s="28"/>
      <c r="C293" s="28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R293" s="28" t="str">
        <f t="shared" si="9"/>
        <v/>
      </c>
    </row>
    <row r="294">
      <c r="A294" s="27" t="str">
        <f>IFERROR(__xludf.DUMMYFUNCTION("""COMPUTED_VALUE"""),"")</f>
        <v/>
      </c>
      <c r="B294" s="28"/>
      <c r="C294" s="28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R294" s="28" t="str">
        <f t="shared" si="9"/>
        <v/>
      </c>
    </row>
    <row r="295">
      <c r="A295" s="27" t="str">
        <f>IFERROR(__xludf.DUMMYFUNCTION("""COMPUTED_VALUE"""),"")</f>
        <v/>
      </c>
      <c r="B295" s="28"/>
      <c r="C295" s="28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R295" s="28" t="str">
        <f t="shared" si="9"/>
        <v/>
      </c>
    </row>
    <row r="296">
      <c r="A296" s="27" t="str">
        <f>IFERROR(__xludf.DUMMYFUNCTION("""COMPUTED_VALUE"""),"")</f>
        <v/>
      </c>
      <c r="B296" s="28"/>
      <c r="C296" s="28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R296" s="28" t="str">
        <f t="shared" si="9"/>
        <v/>
      </c>
    </row>
    <row r="297">
      <c r="A297" s="27" t="str">
        <f>IFERROR(__xludf.DUMMYFUNCTION("""COMPUTED_VALUE"""),"")</f>
        <v/>
      </c>
      <c r="B297" s="28"/>
      <c r="C297" s="28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R297" s="28" t="str">
        <f t="shared" si="9"/>
        <v/>
      </c>
    </row>
    <row r="298">
      <c r="A298" s="27" t="str">
        <f>IFERROR(__xludf.DUMMYFUNCTION("""COMPUTED_VALUE"""),"")</f>
        <v/>
      </c>
      <c r="B298" s="28"/>
      <c r="C298" s="28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R298" s="28" t="str">
        <f t="shared" si="9"/>
        <v/>
      </c>
    </row>
    <row r="299">
      <c r="A299" s="27" t="str">
        <f>IFERROR(__xludf.DUMMYFUNCTION("""COMPUTED_VALUE"""),"")</f>
        <v/>
      </c>
      <c r="B299" s="28"/>
      <c r="C299" s="28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R299" s="28" t="str">
        <f t="shared" si="9"/>
        <v/>
      </c>
    </row>
    <row r="300">
      <c r="A300" s="27" t="str">
        <f>IFERROR(__xludf.DUMMYFUNCTION("""COMPUTED_VALUE"""),"")</f>
        <v/>
      </c>
      <c r="B300" s="28"/>
      <c r="C300" s="28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R300" s="28" t="str">
        <f t="shared" si="9"/>
        <v/>
      </c>
    </row>
    <row r="301">
      <c r="A301" s="27" t="str">
        <f>IFERROR(__xludf.DUMMYFUNCTION("""COMPUTED_VALUE"""),"")</f>
        <v/>
      </c>
      <c r="B301" s="28"/>
      <c r="C301" s="28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R301" s="28" t="str">
        <f t="shared" si="9"/>
        <v/>
      </c>
    </row>
    <row r="302">
      <c r="A302" s="27" t="str">
        <f>IFERROR(__xludf.DUMMYFUNCTION("""COMPUTED_VALUE"""),"")</f>
        <v/>
      </c>
      <c r="B302" s="28"/>
      <c r="C302" s="28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R302" s="28" t="str">
        <f t="shared" si="9"/>
        <v/>
      </c>
    </row>
    <row r="303">
      <c r="A303" s="27" t="str">
        <f>IFERROR(__xludf.DUMMYFUNCTION("""COMPUTED_VALUE"""),"")</f>
        <v/>
      </c>
      <c r="B303" s="28"/>
      <c r="C303" s="28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R303" s="28" t="str">
        <f t="shared" si="9"/>
        <v/>
      </c>
    </row>
    <row r="304">
      <c r="A304" s="27" t="str">
        <f>IFERROR(__xludf.DUMMYFUNCTION("""COMPUTED_VALUE"""),"")</f>
        <v/>
      </c>
      <c r="B304" s="28"/>
      <c r="C304" s="28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R304" s="28" t="str">
        <f t="shared" si="9"/>
        <v/>
      </c>
    </row>
    <row r="305">
      <c r="A305" s="27" t="str">
        <f>IFERROR(__xludf.DUMMYFUNCTION("""COMPUTED_VALUE"""),"")</f>
        <v/>
      </c>
      <c r="B305" s="28"/>
      <c r="C305" s="28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R305" s="28" t="str">
        <f t="shared" si="9"/>
        <v/>
      </c>
    </row>
    <row r="306">
      <c r="A306" s="27" t="str">
        <f>IFERROR(__xludf.DUMMYFUNCTION("""COMPUTED_VALUE"""),"")</f>
        <v/>
      </c>
      <c r="B306" s="28"/>
      <c r="C306" s="28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R306" s="28" t="str">
        <f t="shared" si="9"/>
        <v/>
      </c>
    </row>
    <row r="307">
      <c r="A307" s="27" t="str">
        <f>IFERROR(__xludf.DUMMYFUNCTION("""COMPUTED_VALUE"""),"")</f>
        <v/>
      </c>
      <c r="B307" s="28"/>
      <c r="C307" s="28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R307" s="28" t="str">
        <f t="shared" si="9"/>
        <v/>
      </c>
    </row>
    <row r="308">
      <c r="A308" s="27" t="str">
        <f>IFERROR(__xludf.DUMMYFUNCTION("""COMPUTED_VALUE"""),"")</f>
        <v/>
      </c>
      <c r="B308" s="28"/>
      <c r="C308" s="28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R308" s="28" t="str">
        <f t="shared" si="9"/>
        <v/>
      </c>
    </row>
    <row r="309">
      <c r="A309" s="27" t="str">
        <f>IFERROR(__xludf.DUMMYFUNCTION("""COMPUTED_VALUE"""),"")</f>
        <v/>
      </c>
      <c r="B309" s="28"/>
      <c r="C309" s="28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R309" s="28" t="str">
        <f t="shared" si="9"/>
        <v/>
      </c>
    </row>
    <row r="310">
      <c r="A310" s="27" t="str">
        <f>IFERROR(__xludf.DUMMYFUNCTION("""COMPUTED_VALUE"""),"")</f>
        <v/>
      </c>
      <c r="B310" s="28"/>
      <c r="C310" s="28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R310" s="28" t="str">
        <f t="shared" si="9"/>
        <v/>
      </c>
    </row>
    <row r="311">
      <c r="A311" s="27" t="str">
        <f>IFERROR(__xludf.DUMMYFUNCTION("""COMPUTED_VALUE"""),"")</f>
        <v/>
      </c>
      <c r="B311" s="28"/>
      <c r="C311" s="28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R311" s="28" t="str">
        <f t="shared" si="9"/>
        <v/>
      </c>
    </row>
    <row r="312">
      <c r="A312" s="27" t="str">
        <f>IFERROR(__xludf.DUMMYFUNCTION("""COMPUTED_VALUE"""),"")</f>
        <v/>
      </c>
      <c r="B312" s="28"/>
      <c r="C312" s="28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R312" s="28" t="str">
        <f t="shared" si="9"/>
        <v/>
      </c>
    </row>
    <row r="313">
      <c r="A313" s="27" t="str">
        <f>IFERROR(__xludf.DUMMYFUNCTION("""COMPUTED_VALUE"""),"")</f>
        <v/>
      </c>
      <c r="B313" s="28"/>
      <c r="C313" s="28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R313" s="28" t="str">
        <f t="shared" si="9"/>
        <v/>
      </c>
    </row>
    <row r="314">
      <c r="A314" s="27" t="str">
        <f>IFERROR(__xludf.DUMMYFUNCTION("""COMPUTED_VALUE"""),"")</f>
        <v/>
      </c>
      <c r="B314" s="28"/>
      <c r="C314" s="28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R314" s="28" t="str">
        <f t="shared" si="9"/>
        <v/>
      </c>
    </row>
    <row r="315">
      <c r="A315" s="27" t="str">
        <f>IFERROR(__xludf.DUMMYFUNCTION("""COMPUTED_VALUE"""),"")</f>
        <v/>
      </c>
      <c r="B315" s="28"/>
      <c r="C315" s="28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R315" s="28" t="str">
        <f t="shared" si="9"/>
        <v/>
      </c>
    </row>
    <row r="316">
      <c r="A316" s="27" t="str">
        <f>IFERROR(__xludf.DUMMYFUNCTION("""COMPUTED_VALUE"""),"")</f>
        <v/>
      </c>
      <c r="B316" s="28"/>
      <c r="C316" s="28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R316" s="28" t="str">
        <f t="shared" si="9"/>
        <v/>
      </c>
    </row>
    <row r="317">
      <c r="A317" s="27" t="str">
        <f>IFERROR(__xludf.DUMMYFUNCTION("""COMPUTED_VALUE"""),"")</f>
        <v/>
      </c>
      <c r="B317" s="28"/>
      <c r="C317" s="28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R317" s="28" t="str">
        <f t="shared" si="9"/>
        <v/>
      </c>
    </row>
    <row r="318">
      <c r="A318" s="27" t="str">
        <f>IFERROR(__xludf.DUMMYFUNCTION("""COMPUTED_VALUE"""),"")</f>
        <v/>
      </c>
      <c r="B318" s="28"/>
      <c r="C318" s="28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R318" s="28" t="str">
        <f t="shared" si="9"/>
        <v/>
      </c>
    </row>
    <row r="319">
      <c r="A319" s="27" t="str">
        <f>IFERROR(__xludf.DUMMYFUNCTION("""COMPUTED_VALUE"""),"")</f>
        <v/>
      </c>
      <c r="B319" s="28"/>
      <c r="C319" s="28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R319" s="28" t="str">
        <f t="shared" si="9"/>
        <v/>
      </c>
    </row>
    <row r="320">
      <c r="A320" s="27" t="str">
        <f>IFERROR(__xludf.DUMMYFUNCTION("""COMPUTED_VALUE"""),"")</f>
        <v/>
      </c>
      <c r="B320" s="28"/>
      <c r="C320" s="28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R320" s="28" t="str">
        <f t="shared" si="9"/>
        <v/>
      </c>
    </row>
    <row r="321">
      <c r="A321" s="27" t="str">
        <f>IFERROR(__xludf.DUMMYFUNCTION("""COMPUTED_VALUE"""),"")</f>
        <v/>
      </c>
      <c r="B321" s="28"/>
      <c r="C321" s="28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R321" s="28" t="str">
        <f t="shared" si="9"/>
        <v/>
      </c>
    </row>
    <row r="322">
      <c r="A322" s="27" t="str">
        <f>IFERROR(__xludf.DUMMYFUNCTION("""COMPUTED_VALUE"""),"")</f>
        <v/>
      </c>
      <c r="B322" s="28"/>
      <c r="C322" s="28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R322" s="28" t="str">
        <f t="shared" si="9"/>
        <v/>
      </c>
    </row>
    <row r="323">
      <c r="A323" s="27" t="str">
        <f>IFERROR(__xludf.DUMMYFUNCTION("""COMPUTED_VALUE"""),"")</f>
        <v/>
      </c>
      <c r="B323" s="28"/>
      <c r="C323" s="28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R323" s="28" t="str">
        <f t="shared" si="9"/>
        <v/>
      </c>
    </row>
    <row r="324">
      <c r="A324" s="27" t="str">
        <f>IFERROR(__xludf.DUMMYFUNCTION("""COMPUTED_VALUE"""),"")</f>
        <v/>
      </c>
      <c r="B324" s="28"/>
      <c r="C324" s="28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R324" s="28" t="str">
        <f t="shared" si="9"/>
        <v/>
      </c>
    </row>
    <row r="325">
      <c r="A325" s="27" t="str">
        <f>IFERROR(__xludf.DUMMYFUNCTION("""COMPUTED_VALUE"""),"")</f>
        <v/>
      </c>
      <c r="B325" s="28"/>
      <c r="C325" s="28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R325" s="28" t="str">
        <f t="shared" si="9"/>
        <v/>
      </c>
    </row>
    <row r="326">
      <c r="A326" s="27" t="str">
        <f>IFERROR(__xludf.DUMMYFUNCTION("""COMPUTED_VALUE"""),"")</f>
        <v/>
      </c>
      <c r="B326" s="28"/>
      <c r="C326" s="28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R326" s="28" t="str">
        <f t="shared" si="9"/>
        <v/>
      </c>
    </row>
    <row r="327">
      <c r="A327" s="27" t="str">
        <f>IFERROR(__xludf.DUMMYFUNCTION("""COMPUTED_VALUE"""),"")</f>
        <v/>
      </c>
      <c r="B327" s="28"/>
      <c r="C327" s="28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R327" s="28" t="str">
        <f t="shared" si="9"/>
        <v/>
      </c>
    </row>
    <row r="328">
      <c r="A328" s="27" t="str">
        <f>IFERROR(__xludf.DUMMYFUNCTION("""COMPUTED_VALUE"""),"")</f>
        <v/>
      </c>
      <c r="B328" s="28"/>
      <c r="C328" s="28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R328" s="28" t="str">
        <f t="shared" si="9"/>
        <v/>
      </c>
    </row>
    <row r="329">
      <c r="A329" s="27" t="str">
        <f>IFERROR(__xludf.DUMMYFUNCTION("""COMPUTED_VALUE"""),"")</f>
        <v/>
      </c>
      <c r="B329" s="28"/>
      <c r="C329" s="28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R329" s="28" t="str">
        <f t="shared" si="9"/>
        <v/>
      </c>
    </row>
    <row r="330">
      <c r="A330" s="27" t="str">
        <f>IFERROR(__xludf.DUMMYFUNCTION("""COMPUTED_VALUE"""),"")</f>
        <v/>
      </c>
      <c r="B330" s="28"/>
      <c r="C330" s="28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R330" s="28" t="str">
        <f t="shared" si="9"/>
        <v/>
      </c>
    </row>
    <row r="331">
      <c r="A331" s="27" t="str">
        <f>IFERROR(__xludf.DUMMYFUNCTION("""COMPUTED_VALUE"""),"")</f>
        <v/>
      </c>
      <c r="B331" s="28"/>
      <c r="C331" s="28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R331" s="28" t="str">
        <f t="shared" si="9"/>
        <v/>
      </c>
    </row>
    <row r="332">
      <c r="A332" s="27" t="str">
        <f>IFERROR(__xludf.DUMMYFUNCTION("""COMPUTED_VALUE"""),"")</f>
        <v/>
      </c>
      <c r="B332" s="28"/>
      <c r="C332" s="28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R332" s="28" t="str">
        <f t="shared" si="9"/>
        <v/>
      </c>
    </row>
    <row r="333">
      <c r="A333" s="27" t="str">
        <f>IFERROR(__xludf.DUMMYFUNCTION("""COMPUTED_VALUE"""),"")</f>
        <v/>
      </c>
      <c r="B333" s="28"/>
      <c r="C333" s="28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R333" s="28" t="str">
        <f t="shared" si="9"/>
        <v/>
      </c>
    </row>
    <row r="334">
      <c r="A334" s="27" t="str">
        <f>IFERROR(__xludf.DUMMYFUNCTION("""COMPUTED_VALUE"""),"")</f>
        <v/>
      </c>
      <c r="B334" s="28"/>
      <c r="C334" s="28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R334" s="28" t="str">
        <f t="shared" si="9"/>
        <v/>
      </c>
    </row>
    <row r="335">
      <c r="A335" s="27" t="str">
        <f>IFERROR(__xludf.DUMMYFUNCTION("""COMPUTED_VALUE"""),"")</f>
        <v/>
      </c>
      <c r="B335" s="28"/>
      <c r="C335" s="28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R335" s="28" t="str">
        <f t="shared" si="9"/>
        <v/>
      </c>
    </row>
    <row r="336">
      <c r="A336" s="27" t="str">
        <f>IFERROR(__xludf.DUMMYFUNCTION("""COMPUTED_VALUE"""),"")</f>
        <v/>
      </c>
      <c r="B336" s="28"/>
      <c r="C336" s="28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R336" s="28" t="str">
        <f t="shared" si="9"/>
        <v/>
      </c>
    </row>
    <row r="337">
      <c r="A337" s="27" t="str">
        <f>IFERROR(__xludf.DUMMYFUNCTION("""COMPUTED_VALUE"""),"")</f>
        <v/>
      </c>
      <c r="B337" s="28"/>
      <c r="C337" s="28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R337" s="28" t="str">
        <f t="shared" si="9"/>
        <v/>
      </c>
    </row>
    <row r="338">
      <c r="A338" s="27" t="str">
        <f>IFERROR(__xludf.DUMMYFUNCTION("""COMPUTED_VALUE"""),"")</f>
        <v/>
      </c>
      <c r="B338" s="28"/>
      <c r="C338" s="28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R338" s="28" t="str">
        <f t="shared" si="9"/>
        <v/>
      </c>
    </row>
    <row r="339">
      <c r="A339" s="27" t="str">
        <f>IFERROR(__xludf.DUMMYFUNCTION("""COMPUTED_VALUE"""),"")</f>
        <v/>
      </c>
      <c r="B339" s="28"/>
      <c r="C339" s="28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R339" s="28" t="str">
        <f t="shared" si="9"/>
        <v/>
      </c>
    </row>
    <row r="340">
      <c r="A340" s="27" t="str">
        <f>IFERROR(__xludf.DUMMYFUNCTION("""COMPUTED_VALUE"""),"")</f>
        <v/>
      </c>
      <c r="B340" s="28"/>
      <c r="C340" s="28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R340" s="28" t="str">
        <f t="shared" si="9"/>
        <v/>
      </c>
    </row>
    <row r="341">
      <c r="A341" s="27" t="str">
        <f>IFERROR(__xludf.DUMMYFUNCTION("""COMPUTED_VALUE"""),"")</f>
        <v/>
      </c>
      <c r="B341" s="28"/>
      <c r="C341" s="28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R341" s="28" t="str">
        <f t="shared" si="9"/>
        <v/>
      </c>
    </row>
    <row r="342">
      <c r="A342" s="27" t="str">
        <f>IFERROR(__xludf.DUMMYFUNCTION("""COMPUTED_VALUE"""),"")</f>
        <v/>
      </c>
      <c r="B342" s="28"/>
      <c r="C342" s="28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R342" s="28" t="str">
        <f t="shared" si="9"/>
        <v/>
      </c>
    </row>
    <row r="343">
      <c r="A343" s="27" t="str">
        <f>IFERROR(__xludf.DUMMYFUNCTION("""COMPUTED_VALUE"""),"")</f>
        <v/>
      </c>
      <c r="B343" s="28"/>
      <c r="C343" s="28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R343" s="28" t="str">
        <f t="shared" si="9"/>
        <v/>
      </c>
    </row>
    <row r="344">
      <c r="A344" s="27" t="str">
        <f>IFERROR(__xludf.DUMMYFUNCTION("""COMPUTED_VALUE"""),"")</f>
        <v/>
      </c>
      <c r="B344" s="28"/>
      <c r="C344" s="28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R344" s="28" t="str">
        <f t="shared" si="9"/>
        <v/>
      </c>
    </row>
    <row r="345">
      <c r="A345" s="27" t="str">
        <f>IFERROR(__xludf.DUMMYFUNCTION("""COMPUTED_VALUE"""),"")</f>
        <v/>
      </c>
      <c r="B345" s="28"/>
      <c r="C345" s="28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R345" s="28" t="str">
        <f t="shared" si="9"/>
        <v/>
      </c>
    </row>
    <row r="346">
      <c r="A346" s="27" t="str">
        <f>IFERROR(__xludf.DUMMYFUNCTION("""COMPUTED_VALUE"""),"")</f>
        <v/>
      </c>
      <c r="B346" s="28"/>
      <c r="C346" s="28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R346" s="28" t="str">
        <f t="shared" si="9"/>
        <v/>
      </c>
    </row>
    <row r="347">
      <c r="A347" s="27" t="str">
        <f>IFERROR(__xludf.DUMMYFUNCTION("""COMPUTED_VALUE"""),"")</f>
        <v/>
      </c>
      <c r="B347" s="28"/>
      <c r="C347" s="28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R347" s="28" t="str">
        <f t="shared" si="9"/>
        <v/>
      </c>
    </row>
    <row r="348">
      <c r="A348" s="27" t="str">
        <f>IFERROR(__xludf.DUMMYFUNCTION("""COMPUTED_VALUE"""),"")</f>
        <v/>
      </c>
      <c r="B348" s="28"/>
      <c r="C348" s="28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R348" s="28" t="str">
        <f t="shared" si="9"/>
        <v/>
      </c>
    </row>
    <row r="349">
      <c r="A349" s="27" t="str">
        <f>IFERROR(__xludf.DUMMYFUNCTION("""COMPUTED_VALUE"""),"")</f>
        <v/>
      </c>
      <c r="B349" s="28"/>
      <c r="C349" s="28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  <c r="R349" s="28" t="str">
        <f t="shared" si="9"/>
        <v/>
      </c>
    </row>
    <row r="350">
      <c r="A350" s="27" t="str">
        <f>IFERROR(__xludf.DUMMYFUNCTION("""COMPUTED_VALUE"""),"")</f>
        <v/>
      </c>
      <c r="B350" s="28"/>
      <c r="C350" s="28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  <c r="R350" s="28" t="str">
        <f t="shared" si="9"/>
        <v/>
      </c>
    </row>
    <row r="351">
      <c r="A351" s="27" t="str">
        <f>IFERROR(__xludf.DUMMYFUNCTION("""COMPUTED_VALUE"""),"")</f>
        <v/>
      </c>
      <c r="B351" s="28"/>
      <c r="C351" s="28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  <c r="R351" s="28" t="str">
        <f t="shared" si="9"/>
        <v/>
      </c>
    </row>
    <row r="352">
      <c r="A352" s="27" t="str">
        <f>IFERROR(__xludf.DUMMYFUNCTION("""COMPUTED_VALUE"""),"")</f>
        <v/>
      </c>
      <c r="B352" s="28"/>
      <c r="C352" s="28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  <c r="R352" s="28" t="str">
        <f t="shared" si="9"/>
        <v/>
      </c>
    </row>
    <row r="353">
      <c r="A353" s="27" t="str">
        <f>IFERROR(__xludf.DUMMYFUNCTION("""COMPUTED_VALUE"""),"")</f>
        <v/>
      </c>
      <c r="B353" s="28"/>
      <c r="C353" s="28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  <c r="R353" s="28" t="str">
        <f t="shared" si="9"/>
        <v/>
      </c>
    </row>
    <row r="354">
      <c r="A354" s="27" t="str">
        <f>IFERROR(__xludf.DUMMYFUNCTION("""COMPUTED_VALUE"""),"")</f>
        <v/>
      </c>
      <c r="B354" s="28"/>
      <c r="C354" s="28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  <c r="R354" s="28" t="str">
        <f t="shared" si="9"/>
        <v/>
      </c>
    </row>
    <row r="355">
      <c r="A355" s="27" t="str">
        <f>IFERROR(__xludf.DUMMYFUNCTION("""COMPUTED_VALUE"""),"")</f>
        <v/>
      </c>
      <c r="B355" s="28"/>
      <c r="C355" s="28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  <c r="R355" s="28" t="str">
        <f t="shared" si="9"/>
        <v/>
      </c>
    </row>
    <row r="356">
      <c r="A356" s="27" t="str">
        <f>IFERROR(__xludf.DUMMYFUNCTION("""COMPUTED_VALUE"""),"")</f>
        <v/>
      </c>
      <c r="B356" s="28"/>
      <c r="C356" s="28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  <c r="R356" s="28" t="str">
        <f t="shared" si="9"/>
        <v/>
      </c>
    </row>
    <row r="357">
      <c r="A357" s="27" t="str">
        <f>IFERROR(__xludf.DUMMYFUNCTION("""COMPUTED_VALUE"""),"")</f>
        <v/>
      </c>
      <c r="B357" s="28"/>
      <c r="C357" s="28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  <c r="R357" s="28" t="str">
        <f t="shared" si="9"/>
        <v/>
      </c>
    </row>
    <row r="358">
      <c r="A358" s="27" t="str">
        <f>IFERROR(__xludf.DUMMYFUNCTION("""COMPUTED_VALUE"""),"")</f>
        <v/>
      </c>
      <c r="B358" s="28"/>
      <c r="C358" s="28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  <c r="R358" s="28" t="str">
        <f t="shared" si="9"/>
        <v/>
      </c>
    </row>
    <row r="359">
      <c r="A359" s="27" t="str">
        <f>IFERROR(__xludf.DUMMYFUNCTION("""COMPUTED_VALUE"""),"")</f>
        <v/>
      </c>
      <c r="B359" s="28"/>
      <c r="C359" s="28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  <c r="R359" s="28" t="str">
        <f t="shared" si="9"/>
        <v/>
      </c>
    </row>
    <row r="360">
      <c r="A360" s="27" t="str">
        <f>IFERROR(__xludf.DUMMYFUNCTION("""COMPUTED_VALUE"""),"")</f>
        <v/>
      </c>
      <c r="B360" s="28"/>
      <c r="C360" s="28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  <c r="R360" s="28" t="str">
        <f t="shared" si="9"/>
        <v/>
      </c>
    </row>
    <row r="361">
      <c r="A361" s="27" t="str">
        <f>IFERROR(__xludf.DUMMYFUNCTION("""COMPUTED_VALUE"""),"")</f>
        <v/>
      </c>
      <c r="B361" s="28"/>
      <c r="C361" s="28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  <c r="R361" s="28" t="str">
        <f t="shared" si="9"/>
        <v/>
      </c>
    </row>
    <row r="362">
      <c r="A362" s="27" t="str">
        <f>IFERROR(__xludf.DUMMYFUNCTION("""COMPUTED_VALUE"""),"")</f>
        <v/>
      </c>
      <c r="B362" s="28"/>
      <c r="C362" s="28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  <c r="R362" s="28" t="str">
        <f t="shared" si="9"/>
        <v/>
      </c>
    </row>
    <row r="363">
      <c r="A363" s="27" t="str">
        <f>IFERROR(__xludf.DUMMYFUNCTION("""COMPUTED_VALUE"""),"")</f>
        <v/>
      </c>
      <c r="B363" s="28"/>
      <c r="C363" s="28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  <c r="R363" s="28" t="str">
        <f t="shared" si="9"/>
        <v/>
      </c>
    </row>
    <row r="364">
      <c r="A364" s="27" t="str">
        <f>IFERROR(__xludf.DUMMYFUNCTION("""COMPUTED_VALUE"""),"")</f>
        <v/>
      </c>
      <c r="B364" s="28"/>
      <c r="C364" s="28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R364" s="28" t="str">
        <f t="shared" si="9"/>
        <v/>
      </c>
    </row>
    <row r="365">
      <c r="A365" s="27" t="str">
        <f>IFERROR(__xludf.DUMMYFUNCTION("""COMPUTED_VALUE"""),"")</f>
        <v/>
      </c>
      <c r="B365" s="28"/>
      <c r="C365" s="28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R365" s="28" t="str">
        <f t="shared" si="9"/>
        <v/>
      </c>
    </row>
    <row r="366">
      <c r="A366" s="27" t="str">
        <f>IFERROR(__xludf.DUMMYFUNCTION("""COMPUTED_VALUE"""),"")</f>
        <v/>
      </c>
      <c r="B366" s="28"/>
      <c r="C366" s="28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R366" s="28" t="str">
        <f t="shared" si="9"/>
        <v/>
      </c>
    </row>
    <row r="367">
      <c r="A367" s="27" t="str">
        <f>IFERROR(__xludf.DUMMYFUNCTION("""COMPUTED_VALUE"""),"")</f>
        <v/>
      </c>
      <c r="B367" s="28"/>
      <c r="C367" s="28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R367" s="28" t="str">
        <f t="shared" si="9"/>
        <v/>
      </c>
    </row>
    <row r="368">
      <c r="A368" s="27" t="str">
        <f>IFERROR(__xludf.DUMMYFUNCTION("""COMPUTED_VALUE"""),"")</f>
        <v/>
      </c>
      <c r="B368" s="28"/>
      <c r="C368" s="28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R368" s="28" t="str">
        <f t="shared" si="9"/>
        <v/>
      </c>
    </row>
    <row r="369">
      <c r="A369" s="27" t="str">
        <f>IFERROR(__xludf.DUMMYFUNCTION("""COMPUTED_VALUE"""),"")</f>
        <v/>
      </c>
      <c r="B369" s="28"/>
      <c r="C369" s="28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R369" s="28" t="str">
        <f t="shared" si="9"/>
        <v/>
      </c>
    </row>
    <row r="370">
      <c r="A370" s="27" t="str">
        <f>IFERROR(__xludf.DUMMYFUNCTION("""COMPUTED_VALUE"""),"")</f>
        <v/>
      </c>
      <c r="B370" s="28"/>
      <c r="C370" s="28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R370" s="28" t="str">
        <f t="shared" si="9"/>
        <v/>
      </c>
    </row>
    <row r="371">
      <c r="A371" s="27" t="str">
        <f>IFERROR(__xludf.DUMMYFUNCTION("""COMPUTED_VALUE"""),"")</f>
        <v/>
      </c>
      <c r="B371" s="28"/>
      <c r="C371" s="28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R371" s="28" t="str">
        <f t="shared" si="9"/>
        <v/>
      </c>
    </row>
    <row r="372">
      <c r="A372" s="27" t="str">
        <f>IFERROR(__xludf.DUMMYFUNCTION("""COMPUTED_VALUE"""),"")</f>
        <v/>
      </c>
      <c r="B372" s="28"/>
      <c r="C372" s="28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R372" s="28" t="str">
        <f t="shared" si="9"/>
        <v/>
      </c>
    </row>
    <row r="373">
      <c r="A373" s="27" t="str">
        <f>IFERROR(__xludf.DUMMYFUNCTION("""COMPUTED_VALUE"""),"")</f>
        <v/>
      </c>
      <c r="B373" s="28"/>
      <c r="C373" s="28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R373" s="28" t="str">
        <f t="shared" si="9"/>
        <v/>
      </c>
    </row>
    <row r="374">
      <c r="A374" s="27" t="str">
        <f>IFERROR(__xludf.DUMMYFUNCTION("""COMPUTED_VALUE"""),"")</f>
        <v/>
      </c>
      <c r="B374" s="28"/>
      <c r="C374" s="28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R374" s="28" t="str">
        <f t="shared" si="9"/>
        <v/>
      </c>
    </row>
    <row r="375">
      <c r="A375" s="27" t="str">
        <f>IFERROR(__xludf.DUMMYFUNCTION("""COMPUTED_VALUE"""),"")</f>
        <v/>
      </c>
      <c r="B375" s="28"/>
      <c r="C375" s="28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R375" s="28" t="str">
        <f t="shared" si="9"/>
        <v/>
      </c>
    </row>
    <row r="376">
      <c r="A376" s="27" t="str">
        <f>IFERROR(__xludf.DUMMYFUNCTION("""COMPUTED_VALUE"""),"")</f>
        <v/>
      </c>
      <c r="B376" s="28"/>
      <c r="C376" s="28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R376" s="28" t="str">
        <f t="shared" si="9"/>
        <v/>
      </c>
    </row>
    <row r="377">
      <c r="A377" s="27" t="str">
        <f>IFERROR(__xludf.DUMMYFUNCTION("""COMPUTED_VALUE"""),"")</f>
        <v/>
      </c>
      <c r="B377" s="28"/>
      <c r="C377" s="28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R377" s="28" t="str">
        <f t="shared" si="9"/>
        <v/>
      </c>
    </row>
    <row r="378">
      <c r="A378" s="27" t="str">
        <f>IFERROR(__xludf.DUMMYFUNCTION("""COMPUTED_VALUE"""),"")</f>
        <v/>
      </c>
      <c r="B378" s="28"/>
      <c r="C378" s="28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R378" s="28" t="str">
        <f t="shared" si="9"/>
        <v/>
      </c>
    </row>
    <row r="379">
      <c r="A379" s="27" t="str">
        <f>IFERROR(__xludf.DUMMYFUNCTION("""COMPUTED_VALUE"""),"")</f>
        <v/>
      </c>
      <c r="B379" s="28"/>
      <c r="C379" s="28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R379" s="28" t="str">
        <f t="shared" si="9"/>
        <v/>
      </c>
    </row>
    <row r="380">
      <c r="A380" s="27" t="str">
        <f>IFERROR(__xludf.DUMMYFUNCTION("""COMPUTED_VALUE"""),"")</f>
        <v/>
      </c>
      <c r="B380" s="28"/>
      <c r="C380" s="28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R380" s="28" t="str">
        <f t="shared" si="9"/>
        <v/>
      </c>
    </row>
    <row r="381">
      <c r="A381" s="27" t="str">
        <f>IFERROR(__xludf.DUMMYFUNCTION("""COMPUTED_VALUE"""),"")</f>
        <v/>
      </c>
      <c r="B381" s="28"/>
      <c r="C381" s="28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R381" s="28" t="str">
        <f t="shared" si="9"/>
        <v/>
      </c>
    </row>
    <row r="382">
      <c r="A382" s="27" t="str">
        <f>IFERROR(__xludf.DUMMYFUNCTION("""COMPUTED_VALUE"""),"")</f>
        <v/>
      </c>
      <c r="B382" s="28"/>
      <c r="C382" s="28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R382" s="28" t="str">
        <f t="shared" si="9"/>
        <v/>
      </c>
    </row>
    <row r="383">
      <c r="A383" s="27" t="str">
        <f>IFERROR(__xludf.DUMMYFUNCTION("""COMPUTED_VALUE"""),"")</f>
        <v/>
      </c>
      <c r="B383" s="28"/>
      <c r="C383" s="28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R383" s="28" t="str">
        <f t="shared" si="9"/>
        <v/>
      </c>
    </row>
    <row r="384">
      <c r="A384" s="27" t="str">
        <f>IFERROR(__xludf.DUMMYFUNCTION("""COMPUTED_VALUE"""),"")</f>
        <v/>
      </c>
      <c r="B384" s="28"/>
      <c r="C384" s="28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R384" s="28" t="str">
        <f t="shared" si="9"/>
        <v/>
      </c>
    </row>
    <row r="385">
      <c r="A385" s="27" t="str">
        <f>IFERROR(__xludf.DUMMYFUNCTION("""COMPUTED_VALUE"""),"")</f>
        <v/>
      </c>
      <c r="B385" s="28"/>
      <c r="C385" s="28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R385" s="28" t="str">
        <f t="shared" si="9"/>
        <v/>
      </c>
    </row>
    <row r="386">
      <c r="A386" s="27" t="str">
        <f>IFERROR(__xludf.DUMMYFUNCTION("""COMPUTED_VALUE"""),"")</f>
        <v/>
      </c>
      <c r="B386" s="28"/>
      <c r="C386" s="28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R386" s="28" t="str">
        <f t="shared" si="9"/>
        <v/>
      </c>
    </row>
    <row r="387">
      <c r="A387" s="27" t="str">
        <f>IFERROR(__xludf.DUMMYFUNCTION("""COMPUTED_VALUE"""),"")</f>
        <v/>
      </c>
      <c r="B387" s="28"/>
      <c r="C387" s="28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R387" s="28" t="str">
        <f t="shared" si="9"/>
        <v/>
      </c>
    </row>
    <row r="388">
      <c r="A388" s="27" t="str">
        <f>IFERROR(__xludf.DUMMYFUNCTION("""COMPUTED_VALUE"""),"")</f>
        <v/>
      </c>
      <c r="B388" s="28"/>
      <c r="C388" s="28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R388" s="28" t="str">
        <f t="shared" si="9"/>
        <v/>
      </c>
    </row>
    <row r="389">
      <c r="A389" s="27" t="str">
        <f>IFERROR(__xludf.DUMMYFUNCTION("""COMPUTED_VALUE"""),"")</f>
        <v/>
      </c>
      <c r="B389" s="28"/>
      <c r="C389" s="28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R389" s="28" t="str">
        <f t="shared" si="9"/>
        <v/>
      </c>
    </row>
    <row r="390">
      <c r="A390" s="27" t="str">
        <f>IFERROR(__xludf.DUMMYFUNCTION("""COMPUTED_VALUE"""),"")</f>
        <v/>
      </c>
      <c r="B390" s="28"/>
      <c r="C390" s="28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</row>
    <row r="391">
      <c r="A391" s="27" t="str">
        <f>IFERROR(__xludf.DUMMYFUNCTION("""COMPUTED_VALUE"""),"")</f>
        <v/>
      </c>
      <c r="B391" s="28"/>
      <c r="C391" s="28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</row>
    <row r="392">
      <c r="A392" s="27" t="str">
        <f>IFERROR(__xludf.DUMMYFUNCTION("""COMPUTED_VALUE"""),"")</f>
        <v/>
      </c>
      <c r="B392" s="28"/>
      <c r="C392" s="28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</row>
    <row r="393">
      <c r="A393" s="27" t="str">
        <f>IFERROR(__xludf.DUMMYFUNCTION("""COMPUTED_VALUE"""),"")</f>
        <v/>
      </c>
      <c r="B393" s="28"/>
      <c r="C393" s="28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</row>
    <row r="394">
      <c r="A394" s="27" t="str">
        <f>IFERROR(__xludf.DUMMYFUNCTION("""COMPUTED_VALUE"""),"")</f>
        <v/>
      </c>
      <c r="B394" s="28"/>
      <c r="C394" s="28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</row>
    <row r="395">
      <c r="A395" s="27" t="str">
        <f>IFERROR(__xludf.DUMMYFUNCTION("""COMPUTED_VALUE"""),"")</f>
        <v/>
      </c>
      <c r="B395" s="28"/>
      <c r="C395" s="28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</row>
    <row r="396">
      <c r="A396" s="27" t="str">
        <f>IFERROR(__xludf.DUMMYFUNCTION("""COMPUTED_VALUE"""),"")</f>
        <v/>
      </c>
      <c r="B396" s="28"/>
      <c r="C396" s="28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</row>
    <row r="397">
      <c r="A397" s="27" t="str">
        <f>IFERROR(__xludf.DUMMYFUNCTION("""COMPUTED_VALUE"""),"")</f>
        <v/>
      </c>
      <c r="B397" s="28"/>
      <c r="C397" s="28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</row>
    <row r="398">
      <c r="A398" s="27" t="str">
        <f>IFERROR(__xludf.DUMMYFUNCTION("""COMPUTED_VALUE"""),"")</f>
        <v/>
      </c>
      <c r="B398" s="28"/>
      <c r="C398" s="28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</row>
    <row r="399">
      <c r="A399" s="27" t="str">
        <f>IFERROR(__xludf.DUMMYFUNCTION("""COMPUTED_VALUE"""),"")</f>
        <v/>
      </c>
      <c r="B399" s="28"/>
      <c r="C399" s="28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</row>
    <row r="400">
      <c r="A400" s="27" t="str">
        <f>IFERROR(__xludf.DUMMYFUNCTION("""COMPUTED_VALUE"""),"")</f>
        <v/>
      </c>
      <c r="B400" s="28"/>
      <c r="C400" s="28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</row>
    <row r="401">
      <c r="A401" s="27" t="str">
        <f>IFERROR(__xludf.DUMMYFUNCTION("""COMPUTED_VALUE"""),"")</f>
        <v/>
      </c>
      <c r="B401" s="28"/>
      <c r="C401" s="28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</row>
    <row r="402">
      <c r="A402" s="27" t="str">
        <f>IFERROR(__xludf.DUMMYFUNCTION("""COMPUTED_VALUE"""),"")</f>
        <v/>
      </c>
      <c r="B402" s="28"/>
      <c r="C402" s="28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</row>
    <row r="403">
      <c r="A403" s="27"/>
      <c r="B403" s="28"/>
      <c r="C403" s="28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</row>
    <row r="404">
      <c r="A404" s="27"/>
      <c r="B404" s="28"/>
      <c r="C404" s="28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</row>
    <row r="405">
      <c r="A405" s="27"/>
      <c r="B405" s="28"/>
      <c r="C405" s="28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</row>
    <row r="406">
      <c r="A406" s="27"/>
      <c r="B406" s="28"/>
      <c r="C406" s="28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</row>
    <row r="407">
      <c r="A407" s="27"/>
      <c r="B407" s="28"/>
      <c r="C407" s="28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</row>
    <row r="408">
      <c r="A408" s="27"/>
      <c r="B408" s="28"/>
      <c r="C408" s="28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</row>
    <row r="409">
      <c r="A409" s="27"/>
      <c r="B409" s="28"/>
      <c r="C409" s="28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</row>
    <row r="410">
      <c r="A410" s="27"/>
      <c r="B410" s="28"/>
      <c r="C410" s="28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</row>
    <row r="411">
      <c r="A411" s="27"/>
      <c r="B411" s="28"/>
      <c r="C411" s="28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</row>
    <row r="412">
      <c r="A412" s="27"/>
      <c r="B412" s="28"/>
      <c r="C412" s="28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</row>
    <row r="413">
      <c r="A413" s="27"/>
      <c r="B413" s="28"/>
      <c r="C413" s="28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</row>
    <row r="414">
      <c r="A414" s="27"/>
      <c r="B414" s="28"/>
      <c r="C414" s="28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</row>
    <row r="415">
      <c r="A415" s="27"/>
      <c r="B415" s="28"/>
      <c r="C415" s="28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</row>
    <row r="416">
      <c r="A416" s="27"/>
      <c r="B416" s="28"/>
      <c r="C416" s="28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</row>
    <row r="417">
      <c r="A417" s="27"/>
      <c r="B417" s="28"/>
      <c r="C417" s="28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</row>
    <row r="418">
      <c r="A418" s="27"/>
      <c r="B418" s="28"/>
      <c r="C418" s="28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</row>
    <row r="419">
      <c r="A419" s="27"/>
      <c r="B419" s="28"/>
      <c r="C419" s="28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</row>
    <row r="420">
      <c r="A420" s="27"/>
      <c r="B420" s="28"/>
      <c r="C420" s="28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</row>
    <row r="421">
      <c r="A421" s="27"/>
      <c r="B421" s="28"/>
      <c r="C421" s="28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</row>
    <row r="422">
      <c r="A422" s="27"/>
      <c r="B422" s="28"/>
      <c r="C422" s="28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</row>
    <row r="423">
      <c r="A423" s="27"/>
      <c r="B423" s="28"/>
      <c r="C423" s="28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</row>
    <row r="424">
      <c r="A424" s="27"/>
      <c r="B424" s="28"/>
      <c r="C424" s="28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</row>
    <row r="425">
      <c r="A425" s="27"/>
      <c r="B425" s="28"/>
      <c r="C425" s="28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</row>
    <row r="426">
      <c r="A426" s="27"/>
      <c r="B426" s="28"/>
      <c r="C426" s="28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</row>
    <row r="427">
      <c r="A427" s="27"/>
      <c r="B427" s="28"/>
      <c r="C427" s="28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</row>
    <row r="428">
      <c r="A428" s="27"/>
      <c r="B428" s="28"/>
      <c r="C428" s="28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</row>
    <row r="429">
      <c r="A429" s="27"/>
      <c r="B429" s="28"/>
      <c r="C429" s="28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</row>
    <row r="430">
      <c r="A430" s="27"/>
      <c r="B430" s="28"/>
      <c r="C430" s="28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</row>
    <row r="431">
      <c r="A431" s="27"/>
      <c r="B431" s="28"/>
      <c r="C431" s="28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</row>
    <row r="432">
      <c r="A432" s="27"/>
      <c r="B432" s="28"/>
      <c r="C432" s="28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</row>
    <row r="433">
      <c r="A433" s="27"/>
      <c r="B433" s="28"/>
      <c r="C433" s="28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</row>
    <row r="434">
      <c r="A434" s="27"/>
      <c r="B434" s="28"/>
      <c r="C434" s="28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</row>
    <row r="435">
      <c r="A435" s="27"/>
      <c r="B435" s="28"/>
      <c r="C435" s="28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</row>
    <row r="436">
      <c r="A436" s="27"/>
      <c r="B436" s="28"/>
      <c r="C436" s="28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</row>
    <row r="437">
      <c r="A437" s="27"/>
      <c r="B437" s="28"/>
      <c r="C437" s="28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</row>
    <row r="438">
      <c r="A438" s="27"/>
      <c r="B438" s="28"/>
      <c r="C438" s="28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</row>
    <row r="439">
      <c r="A439" s="27"/>
      <c r="B439" s="28"/>
      <c r="C439" s="28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</row>
    <row r="440">
      <c r="A440" s="27"/>
      <c r="B440" s="28"/>
      <c r="C440" s="28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</row>
    <row r="441">
      <c r="A441" s="27"/>
      <c r="B441" s="28"/>
      <c r="C441" s="28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</row>
    <row r="442">
      <c r="A442" s="27"/>
      <c r="B442" s="28"/>
      <c r="C442" s="28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</row>
    <row r="443">
      <c r="A443" s="27"/>
      <c r="B443" s="28"/>
      <c r="C443" s="28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</row>
    <row r="444">
      <c r="A444" s="27"/>
      <c r="B444" s="28"/>
      <c r="C444" s="28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</row>
    <row r="445">
      <c r="A445" s="27"/>
      <c r="B445" s="28"/>
      <c r="C445" s="28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</row>
    <row r="446">
      <c r="A446" s="27"/>
      <c r="B446" s="28"/>
      <c r="C446" s="28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</row>
    <row r="447">
      <c r="A447" s="27"/>
      <c r="B447" s="28"/>
      <c r="C447" s="28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</row>
    <row r="448">
      <c r="A448" s="27"/>
      <c r="B448" s="28"/>
      <c r="C448" s="28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</row>
    <row r="449">
      <c r="A449" s="27"/>
      <c r="B449" s="28"/>
      <c r="C449" s="28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</row>
    <row r="450">
      <c r="A450" s="27"/>
      <c r="B450" s="28"/>
      <c r="C450" s="28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</row>
    <row r="451">
      <c r="A451" s="27"/>
      <c r="B451" s="28"/>
      <c r="C451" s="28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</row>
    <row r="452">
      <c r="A452" s="27"/>
      <c r="B452" s="28"/>
      <c r="C452" s="28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</row>
    <row r="453">
      <c r="A453" s="27"/>
      <c r="B453" s="28"/>
      <c r="C453" s="28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</row>
    <row r="454">
      <c r="A454" s="27"/>
      <c r="B454" s="28"/>
      <c r="C454" s="28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</row>
    <row r="455">
      <c r="A455" s="27"/>
      <c r="B455" s="28"/>
      <c r="C455" s="28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</row>
    <row r="456">
      <c r="A456" s="27"/>
      <c r="B456" s="28"/>
      <c r="C456" s="28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</row>
    <row r="457">
      <c r="A457" s="27"/>
      <c r="B457" s="28"/>
      <c r="C457" s="28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</row>
    <row r="458">
      <c r="A458" s="27"/>
      <c r="B458" s="28"/>
      <c r="C458" s="28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</row>
    <row r="459">
      <c r="A459" s="27"/>
      <c r="B459" s="28"/>
      <c r="C459" s="28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</row>
    <row r="460">
      <c r="A460" s="27"/>
      <c r="B460" s="28"/>
      <c r="C460" s="28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</row>
    <row r="461">
      <c r="A461" s="27"/>
      <c r="B461" s="28"/>
      <c r="C461" s="28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</row>
    <row r="462">
      <c r="A462" s="27"/>
      <c r="B462" s="28"/>
      <c r="C462" s="28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</row>
    <row r="463">
      <c r="A463" s="27"/>
      <c r="B463" s="28"/>
      <c r="C463" s="28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</row>
    <row r="464">
      <c r="A464" s="27"/>
      <c r="B464" s="28"/>
      <c r="C464" s="28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</row>
    <row r="465">
      <c r="A465" s="27"/>
      <c r="B465" s="28"/>
      <c r="C465" s="28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</row>
    <row r="466">
      <c r="A466" s="27"/>
      <c r="B466" s="28"/>
      <c r="C466" s="28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</row>
    <row r="467">
      <c r="A467" s="27"/>
      <c r="B467" s="28"/>
      <c r="C467" s="28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</row>
    <row r="468">
      <c r="A468" s="27"/>
      <c r="B468" s="28"/>
      <c r="C468" s="28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</row>
    <row r="469">
      <c r="A469" s="27"/>
      <c r="B469" s="28"/>
      <c r="C469" s="28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</row>
    <row r="470">
      <c r="A470" s="27"/>
      <c r="B470" s="28"/>
      <c r="C470" s="28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</row>
    <row r="471">
      <c r="A471" s="27"/>
      <c r="B471" s="28"/>
      <c r="C471" s="28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</row>
    <row r="472">
      <c r="A472" s="27"/>
      <c r="B472" s="28"/>
      <c r="C472" s="28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</row>
    <row r="473">
      <c r="A473" s="27"/>
      <c r="B473" s="28"/>
      <c r="C473" s="28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</row>
    <row r="474">
      <c r="A474" s="27"/>
      <c r="B474" s="28"/>
      <c r="C474" s="28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</row>
    <row r="475">
      <c r="A475" s="27"/>
      <c r="B475" s="28"/>
      <c r="C475" s="28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</row>
    <row r="476">
      <c r="A476" s="27"/>
      <c r="B476" s="28"/>
      <c r="C476" s="28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</row>
    <row r="477">
      <c r="A477" s="27"/>
      <c r="B477" s="28"/>
      <c r="C477" s="28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</row>
    <row r="478">
      <c r="A478" s="27"/>
      <c r="B478" s="28"/>
      <c r="C478" s="28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</row>
    <row r="479">
      <c r="A479" s="27"/>
      <c r="B479" s="28"/>
      <c r="C479" s="28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</row>
    <row r="480">
      <c r="A480" s="27"/>
      <c r="B480" s="28"/>
      <c r="C480" s="28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</row>
    <row r="481">
      <c r="A481" s="27"/>
      <c r="B481" s="28"/>
      <c r="C481" s="28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</row>
    <row r="482">
      <c r="A482" s="27"/>
      <c r="B482" s="28"/>
      <c r="C482" s="28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</row>
    <row r="483">
      <c r="A483" s="27"/>
      <c r="B483" s="28"/>
      <c r="C483" s="28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</row>
    <row r="484">
      <c r="A484" s="27"/>
      <c r="B484" s="28"/>
      <c r="C484" s="28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</row>
    <row r="485">
      <c r="A485" s="27"/>
      <c r="B485" s="28"/>
      <c r="C485" s="28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</row>
    <row r="486">
      <c r="A486" s="27"/>
      <c r="B486" s="28"/>
      <c r="C486" s="28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</row>
    <row r="487">
      <c r="A487" s="27"/>
      <c r="B487" s="28"/>
      <c r="C487" s="28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</row>
    <row r="488">
      <c r="A488" s="27"/>
      <c r="B488" s="28"/>
      <c r="C488" s="28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</row>
    <row r="489">
      <c r="A489" s="27"/>
      <c r="B489" s="28"/>
      <c r="C489" s="28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</row>
    <row r="490">
      <c r="A490" s="27"/>
      <c r="B490" s="28"/>
      <c r="C490" s="28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</row>
    <row r="491">
      <c r="A491" s="27"/>
      <c r="B491" s="28"/>
      <c r="C491" s="28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</row>
    <row r="492">
      <c r="A492" s="27"/>
      <c r="B492" s="28"/>
      <c r="C492" s="28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</row>
    <row r="493">
      <c r="A493" s="27"/>
      <c r="B493" s="28"/>
      <c r="C493" s="28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</row>
    <row r="494">
      <c r="A494" s="27"/>
      <c r="B494" s="28"/>
      <c r="C494" s="28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</row>
    <row r="495">
      <c r="A495" s="27"/>
      <c r="B495" s="28"/>
      <c r="C495" s="28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</row>
    <row r="496">
      <c r="A496" s="27"/>
      <c r="B496" s="28"/>
      <c r="C496" s="28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</row>
    <row r="497">
      <c r="A497" s="27"/>
      <c r="B497" s="28"/>
      <c r="C497" s="28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</row>
    <row r="498">
      <c r="A498" s="27"/>
      <c r="B498" s="28"/>
      <c r="C498" s="28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</row>
    <row r="499">
      <c r="A499" s="27"/>
      <c r="B499" s="28"/>
      <c r="C499" s="28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</row>
    <row r="500">
      <c r="A500" s="27"/>
      <c r="B500" s="28"/>
      <c r="C500" s="28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</row>
    <row r="501">
      <c r="A501" s="27"/>
      <c r="B501" s="28"/>
      <c r="C501" s="28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</row>
    <row r="502">
      <c r="A502" s="27"/>
      <c r="B502" s="28"/>
      <c r="C502" s="28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</row>
    <row r="503">
      <c r="A503" s="27"/>
      <c r="B503" s="28"/>
      <c r="C503" s="28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</row>
    <row r="504">
      <c r="A504" s="27"/>
      <c r="B504" s="28"/>
      <c r="C504" s="28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</row>
    <row r="505">
      <c r="A505" s="27"/>
      <c r="B505" s="28"/>
      <c r="C505" s="28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</row>
    <row r="506">
      <c r="A506" s="27"/>
      <c r="B506" s="28"/>
      <c r="C506" s="28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</row>
    <row r="507">
      <c r="A507" s="27"/>
      <c r="B507" s="28"/>
      <c r="C507" s="28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</row>
    <row r="508">
      <c r="A508" s="27"/>
      <c r="B508" s="28"/>
      <c r="C508" s="28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</row>
    <row r="509">
      <c r="A509" s="27"/>
      <c r="B509" s="28"/>
      <c r="C509" s="28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</row>
    <row r="510">
      <c r="A510" s="27"/>
      <c r="B510" s="28"/>
      <c r="C510" s="28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</row>
    <row r="511">
      <c r="A511" s="27"/>
      <c r="B511" s="28"/>
      <c r="C511" s="28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</row>
    <row r="512">
      <c r="A512" s="27"/>
      <c r="B512" s="28"/>
      <c r="C512" s="28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</row>
    <row r="513">
      <c r="A513" s="27"/>
      <c r="B513" s="28"/>
      <c r="C513" s="28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</row>
    <row r="514">
      <c r="A514" s="27"/>
      <c r="B514" s="28"/>
      <c r="C514" s="28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</row>
    <row r="515">
      <c r="A515" s="27"/>
      <c r="B515" s="28"/>
      <c r="C515" s="28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</row>
    <row r="516">
      <c r="A516" s="27"/>
      <c r="B516" s="28"/>
      <c r="C516" s="28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</row>
    <row r="517">
      <c r="A517" s="27"/>
      <c r="B517" s="28"/>
      <c r="C517" s="28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</row>
    <row r="518">
      <c r="A518" s="27"/>
      <c r="B518" s="28"/>
      <c r="C518" s="28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</row>
    <row r="519">
      <c r="A519" s="27"/>
      <c r="B519" s="28"/>
      <c r="C519" s="28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</row>
    <row r="520">
      <c r="A520" s="27"/>
      <c r="B520" s="28"/>
      <c r="C520" s="28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</row>
    <row r="521">
      <c r="A521" s="27"/>
      <c r="B521" s="28"/>
      <c r="C521" s="28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</row>
    <row r="522">
      <c r="A522" s="27"/>
      <c r="B522" s="28"/>
      <c r="C522" s="28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</row>
    <row r="523">
      <c r="A523" s="27"/>
      <c r="B523" s="28"/>
      <c r="C523" s="28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</row>
    <row r="524">
      <c r="A524" s="27"/>
      <c r="B524" s="28"/>
      <c r="C524" s="28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</row>
    <row r="525">
      <c r="A525" s="27"/>
      <c r="B525" s="28"/>
      <c r="C525" s="28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</row>
    <row r="526">
      <c r="A526" s="27"/>
      <c r="B526" s="28"/>
      <c r="C526" s="28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</row>
    <row r="527">
      <c r="A527" s="27"/>
      <c r="B527" s="28"/>
      <c r="C527" s="28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</row>
    <row r="528">
      <c r="A528" s="27"/>
      <c r="B528" s="28"/>
      <c r="C528" s="28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</row>
    <row r="529">
      <c r="A529" s="27"/>
      <c r="B529" s="28"/>
      <c r="C529" s="28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</row>
    <row r="530">
      <c r="A530" s="27"/>
      <c r="B530" s="28"/>
      <c r="C530" s="28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</row>
    <row r="531">
      <c r="A531" s="27"/>
      <c r="B531" s="28"/>
      <c r="C531" s="28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</row>
    <row r="532">
      <c r="A532" s="27"/>
      <c r="B532" s="28"/>
      <c r="C532" s="28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</row>
    <row r="533">
      <c r="A533" s="27"/>
      <c r="B533" s="28"/>
      <c r="C533" s="28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</row>
    <row r="534">
      <c r="A534" s="27"/>
      <c r="B534" s="28"/>
      <c r="C534" s="28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</row>
    <row r="535">
      <c r="A535" s="27"/>
      <c r="B535" s="28"/>
      <c r="C535" s="28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</row>
    <row r="536">
      <c r="A536" s="27"/>
      <c r="B536" s="28"/>
      <c r="C536" s="28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</row>
    <row r="537">
      <c r="A537" s="27"/>
      <c r="B537" s="28"/>
      <c r="C537" s="28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</row>
    <row r="538">
      <c r="A538" s="27"/>
      <c r="B538" s="28"/>
      <c r="C538" s="28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</row>
    <row r="539">
      <c r="A539" s="27"/>
      <c r="B539" s="28"/>
      <c r="C539" s="28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</row>
    <row r="540">
      <c r="A540" s="27"/>
      <c r="B540" s="28"/>
      <c r="C540" s="28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</row>
    <row r="541">
      <c r="A541" s="27"/>
      <c r="B541" s="28"/>
      <c r="C541" s="28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</row>
    <row r="542">
      <c r="A542" s="27"/>
      <c r="B542" s="28"/>
      <c r="C542" s="28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</row>
    <row r="543">
      <c r="A543" s="27"/>
      <c r="B543" s="28"/>
      <c r="C543" s="28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</row>
    <row r="544">
      <c r="A544" s="27"/>
      <c r="B544" s="28"/>
      <c r="C544" s="28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</row>
    <row r="545">
      <c r="A545" s="27"/>
      <c r="B545" s="28"/>
      <c r="C545" s="28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</row>
    <row r="546">
      <c r="A546" s="27"/>
      <c r="B546" s="28"/>
      <c r="C546" s="28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</row>
    <row r="547">
      <c r="A547" s="27"/>
      <c r="B547" s="28"/>
      <c r="C547" s="28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</row>
    <row r="548">
      <c r="A548" s="27"/>
      <c r="B548" s="28"/>
      <c r="C548" s="28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</row>
    <row r="549">
      <c r="A549" s="27"/>
      <c r="B549" s="28"/>
      <c r="C549" s="28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</row>
    <row r="550">
      <c r="A550" s="27"/>
      <c r="B550" s="28"/>
      <c r="C550" s="28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</row>
    <row r="551">
      <c r="A551" s="27"/>
      <c r="B551" s="28"/>
      <c r="C551" s="28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</row>
    <row r="552">
      <c r="A552" s="27"/>
      <c r="B552" s="28"/>
      <c r="C552" s="28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</row>
    <row r="553">
      <c r="A553" s="27"/>
      <c r="B553" s="28"/>
      <c r="C553" s="28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</row>
    <row r="554">
      <c r="A554" s="27"/>
      <c r="B554" s="28"/>
      <c r="C554" s="28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</row>
    <row r="555">
      <c r="A555" s="27"/>
      <c r="B555" s="28"/>
      <c r="C555" s="28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</row>
    <row r="556">
      <c r="A556" s="27"/>
      <c r="B556" s="28"/>
      <c r="C556" s="28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</row>
    <row r="557">
      <c r="A557" s="27"/>
      <c r="B557" s="28"/>
      <c r="C557" s="28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</row>
    <row r="558">
      <c r="A558" s="27"/>
      <c r="B558" s="28"/>
      <c r="C558" s="28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</row>
    <row r="559">
      <c r="A559" s="27"/>
      <c r="B559" s="28"/>
      <c r="C559" s="28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</row>
    <row r="560">
      <c r="A560" s="27"/>
      <c r="B560" s="28"/>
      <c r="C560" s="28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</row>
    <row r="561">
      <c r="A561" s="27"/>
      <c r="B561" s="28"/>
      <c r="C561" s="28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</row>
    <row r="562">
      <c r="A562" s="27"/>
      <c r="B562" s="28"/>
      <c r="C562" s="28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</row>
    <row r="563">
      <c r="A563" s="27"/>
      <c r="B563" s="28"/>
      <c r="C563" s="28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</row>
    <row r="564">
      <c r="A564" s="27"/>
      <c r="B564" s="28"/>
      <c r="C564" s="28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</row>
    <row r="565">
      <c r="A565" s="27"/>
      <c r="B565" s="28"/>
      <c r="C565" s="28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</row>
    <row r="566">
      <c r="A566" s="27"/>
      <c r="B566" s="28"/>
      <c r="C566" s="28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</row>
    <row r="567">
      <c r="A567" s="27"/>
      <c r="B567" s="28"/>
      <c r="C567" s="28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</row>
    <row r="568">
      <c r="A568" s="27"/>
      <c r="B568" s="28"/>
      <c r="C568" s="28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</row>
    <row r="569">
      <c r="A569" s="27"/>
      <c r="B569" s="28"/>
      <c r="C569" s="28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</row>
    <row r="570">
      <c r="A570" s="27"/>
      <c r="B570" s="28"/>
      <c r="C570" s="28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</row>
    <row r="571">
      <c r="A571" s="27"/>
      <c r="B571" s="28"/>
      <c r="C571" s="28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</row>
    <row r="572">
      <c r="A572" s="27"/>
      <c r="B572" s="28"/>
      <c r="C572" s="28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</row>
    <row r="573">
      <c r="A573" s="27"/>
      <c r="B573" s="28"/>
      <c r="C573" s="28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</row>
    <row r="574">
      <c r="A574" s="27"/>
      <c r="B574" s="28"/>
      <c r="C574" s="28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</row>
    <row r="575">
      <c r="A575" s="27"/>
      <c r="B575" s="28"/>
      <c r="C575" s="28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</row>
    <row r="576">
      <c r="A576" s="27"/>
      <c r="B576" s="28"/>
      <c r="C576" s="28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</row>
    <row r="577">
      <c r="A577" s="27"/>
      <c r="B577" s="28"/>
      <c r="C577" s="28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</row>
    <row r="578">
      <c r="A578" s="27"/>
      <c r="B578" s="28"/>
      <c r="C578" s="28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</row>
    <row r="579">
      <c r="A579" s="27"/>
      <c r="B579" s="28"/>
      <c r="C579" s="28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</row>
    <row r="580">
      <c r="A580" s="27"/>
      <c r="B580" s="28"/>
      <c r="C580" s="28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</row>
    <row r="581">
      <c r="A581" s="27"/>
      <c r="B581" s="28"/>
      <c r="C581" s="28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</row>
    <row r="582">
      <c r="A582" s="27"/>
      <c r="B582" s="28"/>
      <c r="C582" s="28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</row>
    <row r="583">
      <c r="A583" s="27"/>
      <c r="B583" s="28"/>
      <c r="C583" s="28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</row>
    <row r="584">
      <c r="A584" s="27"/>
      <c r="B584" s="28"/>
      <c r="C584" s="28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</row>
    <row r="585">
      <c r="A585" s="27"/>
      <c r="B585" s="28"/>
      <c r="C585" s="28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</row>
    <row r="586">
      <c r="A586" s="27"/>
      <c r="B586" s="28"/>
      <c r="C586" s="28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</row>
    <row r="587">
      <c r="A587" s="27"/>
      <c r="B587" s="28"/>
      <c r="C587" s="28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</row>
    <row r="588">
      <c r="A588" s="27"/>
      <c r="B588" s="28"/>
      <c r="C588" s="28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</row>
    <row r="589">
      <c r="A589" s="27"/>
      <c r="B589" s="28"/>
      <c r="C589" s="28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</row>
    <row r="590">
      <c r="A590" s="27"/>
      <c r="B590" s="28"/>
      <c r="C590" s="28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</row>
    <row r="591">
      <c r="A591" s="27"/>
      <c r="B591" s="28"/>
      <c r="C591" s="28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</row>
    <row r="592">
      <c r="A592" s="27"/>
      <c r="B592" s="28"/>
      <c r="C592" s="28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</row>
    <row r="593">
      <c r="A593" s="27"/>
      <c r="B593" s="28"/>
      <c r="C593" s="28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</row>
    <row r="594">
      <c r="A594" s="27"/>
      <c r="B594" s="28"/>
      <c r="C594" s="28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</row>
    <row r="595">
      <c r="A595" s="27"/>
      <c r="B595" s="28"/>
      <c r="C595" s="28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</row>
    <row r="596">
      <c r="A596" s="27"/>
      <c r="B596" s="28"/>
      <c r="C596" s="28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</row>
    <row r="597">
      <c r="A597" s="27"/>
      <c r="B597" s="28"/>
      <c r="C597" s="28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</row>
    <row r="598">
      <c r="A598" s="27"/>
      <c r="B598" s="28"/>
      <c r="C598" s="28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</row>
    <row r="599">
      <c r="A599" s="27"/>
      <c r="B599" s="28"/>
      <c r="C599" s="28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</row>
    <row r="600">
      <c r="A600" s="27"/>
      <c r="B600" s="28"/>
      <c r="C600" s="28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</row>
    <row r="601">
      <c r="A601" s="27"/>
      <c r="B601" s="28"/>
      <c r="C601" s="28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</row>
    <row r="602">
      <c r="A602" s="27"/>
      <c r="B602" s="28"/>
      <c r="C602" s="28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</row>
    <row r="603">
      <c r="A603" s="27"/>
      <c r="B603" s="28"/>
      <c r="C603" s="28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</row>
    <row r="604">
      <c r="A604" s="27"/>
      <c r="B604" s="28"/>
      <c r="C604" s="28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</row>
    <row r="605">
      <c r="A605" s="27"/>
      <c r="B605" s="28"/>
      <c r="C605" s="28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</row>
    <row r="606">
      <c r="A606" s="27"/>
      <c r="B606" s="28"/>
      <c r="C606" s="28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</row>
    <row r="607">
      <c r="A607" s="27"/>
      <c r="B607" s="28"/>
      <c r="C607" s="28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</row>
    <row r="608">
      <c r="A608" s="27"/>
      <c r="B608" s="28"/>
      <c r="C608" s="28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</row>
    <row r="609">
      <c r="A609" s="27"/>
      <c r="B609" s="28"/>
      <c r="C609" s="28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</row>
    <row r="610">
      <c r="A610" s="27"/>
      <c r="B610" s="28"/>
      <c r="C610" s="28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</row>
    <row r="611">
      <c r="A611" s="27"/>
      <c r="B611" s="28"/>
      <c r="C611" s="28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</row>
    <row r="612">
      <c r="A612" s="27"/>
      <c r="B612" s="28"/>
      <c r="C612" s="28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</row>
    <row r="613">
      <c r="A613" s="27"/>
      <c r="B613" s="28"/>
      <c r="C613" s="28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</row>
    <row r="614">
      <c r="A614" s="27"/>
      <c r="B614" s="28"/>
      <c r="C614" s="28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</row>
    <row r="615">
      <c r="A615" s="27"/>
      <c r="B615" s="28"/>
      <c r="C615" s="28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</row>
    <row r="616">
      <c r="A616" s="27"/>
      <c r="B616" s="28"/>
      <c r="C616" s="28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</row>
    <row r="617">
      <c r="A617" s="27"/>
      <c r="B617" s="28"/>
      <c r="C617" s="28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</row>
    <row r="618">
      <c r="A618" s="27"/>
      <c r="B618" s="28"/>
      <c r="C618" s="28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</row>
    <row r="619">
      <c r="A619" s="27"/>
      <c r="B619" s="28"/>
      <c r="C619" s="28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</row>
    <row r="620">
      <c r="A620" s="27"/>
      <c r="B620" s="28"/>
      <c r="C620" s="28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</row>
    <row r="621">
      <c r="A621" s="27"/>
      <c r="B621" s="28"/>
      <c r="C621" s="28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</row>
    <row r="622">
      <c r="A622" s="27"/>
      <c r="B622" s="28"/>
      <c r="C622" s="28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</row>
    <row r="623">
      <c r="A623" s="27"/>
      <c r="B623" s="28"/>
      <c r="C623" s="28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</row>
    <row r="624">
      <c r="A624" s="27"/>
      <c r="B624" s="28"/>
      <c r="C624" s="28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</row>
    <row r="625">
      <c r="A625" s="27"/>
      <c r="B625" s="28"/>
      <c r="C625" s="28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</row>
    <row r="626">
      <c r="A626" s="27"/>
      <c r="B626" s="28"/>
      <c r="C626" s="28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</row>
    <row r="627">
      <c r="A627" s="27"/>
      <c r="B627" s="28"/>
      <c r="C627" s="28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</row>
    <row r="628">
      <c r="A628" s="27"/>
      <c r="B628" s="28"/>
      <c r="C628" s="28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</row>
    <row r="629">
      <c r="A629" s="27"/>
      <c r="B629" s="28"/>
      <c r="C629" s="28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</row>
    <row r="630">
      <c r="A630" s="27"/>
      <c r="B630" s="28"/>
      <c r="C630" s="28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</row>
    <row r="631">
      <c r="A631" s="27"/>
      <c r="B631" s="28"/>
      <c r="C631" s="28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</row>
    <row r="632">
      <c r="A632" s="27"/>
      <c r="B632" s="28"/>
      <c r="C632" s="28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</row>
    <row r="633">
      <c r="A633" s="27"/>
      <c r="B633" s="28"/>
      <c r="C633" s="28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</row>
    <row r="634">
      <c r="A634" s="27"/>
      <c r="B634" s="28"/>
      <c r="C634" s="28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</row>
    <row r="635">
      <c r="A635" s="27"/>
      <c r="B635" s="28"/>
      <c r="C635" s="28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</row>
    <row r="636">
      <c r="A636" s="27"/>
      <c r="B636" s="28"/>
      <c r="C636" s="28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</row>
    <row r="637">
      <c r="A637" s="27"/>
      <c r="B637" s="28"/>
      <c r="C637" s="28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</row>
    <row r="638">
      <c r="A638" s="27"/>
      <c r="B638" s="28"/>
      <c r="C638" s="28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</row>
    <row r="639">
      <c r="A639" s="27"/>
      <c r="B639" s="28"/>
      <c r="C639" s="28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</row>
    <row r="640">
      <c r="A640" s="27"/>
      <c r="B640" s="28"/>
      <c r="C640" s="28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</row>
    <row r="641">
      <c r="A641" s="27"/>
      <c r="B641" s="28"/>
      <c r="C641" s="28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</row>
    <row r="642">
      <c r="A642" s="27"/>
      <c r="B642" s="28"/>
      <c r="C642" s="28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</row>
    <row r="643">
      <c r="A643" s="27"/>
      <c r="B643" s="28"/>
      <c r="C643" s="28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</row>
    <row r="644">
      <c r="A644" s="27"/>
      <c r="B644" s="28"/>
      <c r="C644" s="28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</row>
    <row r="645">
      <c r="A645" s="27"/>
      <c r="B645" s="28"/>
      <c r="C645" s="28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</row>
    <row r="646">
      <c r="A646" s="27"/>
      <c r="B646" s="28"/>
      <c r="C646" s="28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</row>
    <row r="647">
      <c r="A647" s="27"/>
      <c r="B647" s="28"/>
      <c r="C647" s="28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</row>
    <row r="648">
      <c r="A648" s="27"/>
      <c r="B648" s="28"/>
      <c r="C648" s="28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</row>
    <row r="649">
      <c r="A649" s="27"/>
      <c r="B649" s="28"/>
      <c r="C649" s="28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</row>
    <row r="650">
      <c r="A650" s="27"/>
      <c r="B650" s="28"/>
      <c r="C650" s="28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</row>
    <row r="651">
      <c r="A651" s="27"/>
      <c r="B651" s="28"/>
      <c r="C651" s="28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</row>
    <row r="652">
      <c r="A652" s="27"/>
      <c r="B652" s="28"/>
      <c r="C652" s="28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</row>
    <row r="653">
      <c r="A653" s="27"/>
      <c r="B653" s="28"/>
      <c r="C653" s="28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</row>
    <row r="654">
      <c r="A654" s="27"/>
      <c r="B654" s="28"/>
      <c r="C654" s="28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</row>
    <row r="655">
      <c r="A655" s="27"/>
      <c r="B655" s="28"/>
      <c r="C655" s="28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</row>
    <row r="656">
      <c r="A656" s="27"/>
      <c r="B656" s="28"/>
      <c r="C656" s="28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</row>
    <row r="657">
      <c r="A657" s="27"/>
      <c r="B657" s="28"/>
      <c r="C657" s="28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</row>
    <row r="658">
      <c r="A658" s="27"/>
      <c r="B658" s="28"/>
      <c r="C658" s="28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</row>
    <row r="659">
      <c r="A659" s="27"/>
      <c r="B659" s="28"/>
      <c r="C659" s="28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</row>
    <row r="660">
      <c r="A660" s="27"/>
      <c r="B660" s="28"/>
      <c r="C660" s="28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</row>
    <row r="661">
      <c r="A661" s="27"/>
      <c r="B661" s="28"/>
      <c r="C661" s="28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</row>
    <row r="662">
      <c r="A662" s="27"/>
      <c r="B662" s="28"/>
      <c r="C662" s="28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</row>
    <row r="663">
      <c r="A663" s="27"/>
      <c r="B663" s="28"/>
      <c r="C663" s="28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</row>
    <row r="664">
      <c r="A664" s="27"/>
      <c r="B664" s="28"/>
      <c r="C664" s="28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</row>
    <row r="665">
      <c r="A665" s="27"/>
      <c r="B665" s="28"/>
      <c r="C665" s="28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</row>
    <row r="666">
      <c r="A666" s="27"/>
      <c r="B666" s="28"/>
      <c r="C666" s="28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</row>
    <row r="667">
      <c r="A667" s="27"/>
      <c r="B667" s="28"/>
      <c r="C667" s="28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</row>
    <row r="668">
      <c r="A668" s="27"/>
      <c r="B668" s="28"/>
      <c r="C668" s="28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</row>
    <row r="669">
      <c r="A669" s="27"/>
      <c r="B669" s="28"/>
      <c r="C669" s="28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</row>
    <row r="670">
      <c r="A670" s="27"/>
      <c r="B670" s="28"/>
      <c r="C670" s="28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</row>
    <row r="671">
      <c r="A671" s="27"/>
      <c r="B671" s="28"/>
      <c r="C671" s="28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</row>
    <row r="672">
      <c r="A672" s="27"/>
      <c r="B672" s="28"/>
      <c r="C672" s="28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</row>
    <row r="673">
      <c r="A673" s="27"/>
      <c r="B673" s="28"/>
      <c r="C673" s="28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</row>
    <row r="674">
      <c r="A674" s="27"/>
      <c r="B674" s="28"/>
      <c r="C674" s="28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</row>
    <row r="675">
      <c r="A675" s="27"/>
      <c r="B675" s="28"/>
      <c r="C675" s="28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</row>
    <row r="676">
      <c r="A676" s="27"/>
      <c r="B676" s="28"/>
      <c r="C676" s="28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</row>
    <row r="677">
      <c r="A677" s="27"/>
      <c r="B677" s="28"/>
      <c r="C677" s="28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</row>
    <row r="678">
      <c r="A678" s="27"/>
      <c r="B678" s="28"/>
      <c r="C678" s="28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</row>
    <row r="679">
      <c r="A679" s="27"/>
      <c r="B679" s="28"/>
      <c r="C679" s="28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</row>
    <row r="680">
      <c r="A680" s="27"/>
      <c r="B680" s="28"/>
      <c r="C680" s="28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</row>
    <row r="681">
      <c r="A681" s="27"/>
      <c r="B681" s="28"/>
      <c r="C681" s="28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</row>
    <row r="682">
      <c r="A682" s="27"/>
      <c r="B682" s="28"/>
      <c r="C682" s="28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</row>
    <row r="683">
      <c r="A683" s="27"/>
      <c r="B683" s="28"/>
      <c r="C683" s="28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</row>
    <row r="684">
      <c r="A684" s="27"/>
      <c r="B684" s="28"/>
      <c r="C684" s="28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</row>
    <row r="685">
      <c r="A685" s="27"/>
      <c r="B685" s="28"/>
      <c r="C685" s="28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</row>
    <row r="686">
      <c r="A686" s="27"/>
      <c r="B686" s="28"/>
      <c r="C686" s="28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</row>
    <row r="687">
      <c r="A687" s="27"/>
      <c r="B687" s="28"/>
      <c r="C687" s="28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</row>
    <row r="688">
      <c r="A688" s="27"/>
      <c r="B688" s="28"/>
      <c r="C688" s="28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</row>
    <row r="689">
      <c r="A689" s="27"/>
      <c r="B689" s="28"/>
      <c r="C689" s="28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</row>
    <row r="690">
      <c r="A690" s="27"/>
      <c r="B690" s="28"/>
      <c r="C690" s="28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</row>
    <row r="691">
      <c r="A691" s="27"/>
      <c r="B691" s="28"/>
      <c r="C691" s="28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</row>
    <row r="692">
      <c r="A692" s="27"/>
      <c r="B692" s="28"/>
      <c r="C692" s="28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</row>
    <row r="693">
      <c r="A693" s="27"/>
      <c r="B693" s="28"/>
      <c r="C693" s="28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</row>
    <row r="694">
      <c r="A694" s="27"/>
      <c r="B694" s="28"/>
      <c r="C694" s="28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</row>
    <row r="695">
      <c r="A695" s="27"/>
      <c r="B695" s="28"/>
      <c r="C695" s="28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</row>
    <row r="696">
      <c r="A696" s="27"/>
      <c r="B696" s="28"/>
      <c r="C696" s="28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</row>
    <row r="697">
      <c r="A697" s="27"/>
      <c r="B697" s="28"/>
      <c r="C697" s="28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</row>
    <row r="698">
      <c r="A698" s="27"/>
      <c r="B698" s="28"/>
      <c r="C698" s="28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</row>
    <row r="699">
      <c r="A699" s="27"/>
      <c r="B699" s="28"/>
      <c r="C699" s="28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</row>
    <row r="700">
      <c r="A700" s="27"/>
      <c r="B700" s="28"/>
      <c r="C700" s="28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</row>
    <row r="701">
      <c r="A701" s="27"/>
      <c r="B701" s="28"/>
      <c r="C701" s="28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</row>
    <row r="702">
      <c r="A702" s="27"/>
      <c r="B702" s="28"/>
      <c r="C702" s="28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</row>
    <row r="703">
      <c r="A703" s="27"/>
      <c r="B703" s="28"/>
      <c r="C703" s="28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</row>
    <row r="704">
      <c r="A704" s="27"/>
      <c r="B704" s="28"/>
      <c r="C704" s="28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</row>
    <row r="705">
      <c r="A705" s="27"/>
      <c r="B705" s="28"/>
      <c r="C705" s="28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</row>
    <row r="706">
      <c r="A706" s="27"/>
      <c r="B706" s="28"/>
      <c r="C706" s="28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</row>
    <row r="707">
      <c r="A707" s="27"/>
      <c r="B707" s="28"/>
      <c r="C707" s="28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</row>
    <row r="708">
      <c r="A708" s="27"/>
      <c r="B708" s="28"/>
      <c r="C708" s="28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</row>
    <row r="709">
      <c r="A709" s="27"/>
      <c r="B709" s="28"/>
      <c r="C709" s="28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</row>
    <row r="710">
      <c r="A710" s="27"/>
      <c r="B710" s="28"/>
      <c r="C710" s="28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</row>
    <row r="711">
      <c r="A711" s="27"/>
      <c r="B711" s="28"/>
      <c r="C711" s="28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</row>
    <row r="712">
      <c r="A712" s="27"/>
      <c r="B712" s="28"/>
      <c r="C712" s="28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</row>
    <row r="713">
      <c r="A713" s="27"/>
      <c r="B713" s="28"/>
      <c r="C713" s="28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</row>
    <row r="714">
      <c r="A714" s="27"/>
      <c r="B714" s="28"/>
      <c r="C714" s="28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</row>
    <row r="715">
      <c r="A715" s="27"/>
      <c r="B715" s="28"/>
      <c r="C715" s="28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</row>
    <row r="716">
      <c r="A716" s="27"/>
      <c r="B716" s="28"/>
      <c r="C716" s="28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</row>
    <row r="717">
      <c r="A717" s="27"/>
      <c r="B717" s="28"/>
      <c r="C717" s="28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</row>
    <row r="718">
      <c r="A718" s="27"/>
      <c r="B718" s="28"/>
      <c r="C718" s="28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</row>
    <row r="719">
      <c r="A719" s="27"/>
      <c r="B719" s="28"/>
      <c r="C719" s="28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</row>
    <row r="720">
      <c r="A720" s="27"/>
      <c r="B720" s="28"/>
      <c r="C720" s="28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</row>
    <row r="721">
      <c r="A721" s="27"/>
      <c r="B721" s="28"/>
      <c r="C721" s="28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</row>
    <row r="722">
      <c r="A722" s="27"/>
      <c r="B722" s="28"/>
      <c r="C722" s="28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</row>
    <row r="723">
      <c r="A723" s="27"/>
      <c r="B723" s="28"/>
      <c r="C723" s="28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</row>
    <row r="724">
      <c r="A724" s="27"/>
      <c r="B724" s="28"/>
      <c r="C724" s="28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</row>
    <row r="725">
      <c r="A725" s="27"/>
      <c r="B725" s="28"/>
      <c r="C725" s="28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</row>
    <row r="726">
      <c r="A726" s="27"/>
      <c r="B726" s="28"/>
      <c r="C726" s="28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</row>
    <row r="727">
      <c r="A727" s="27"/>
      <c r="B727" s="28"/>
      <c r="C727" s="28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</row>
    <row r="728">
      <c r="A728" s="27"/>
      <c r="B728" s="28"/>
      <c r="C728" s="28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</row>
    <row r="729">
      <c r="A729" s="27"/>
      <c r="B729" s="28"/>
      <c r="C729" s="28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</row>
    <row r="730">
      <c r="A730" s="27"/>
      <c r="B730" s="28"/>
      <c r="C730" s="28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</row>
    <row r="731">
      <c r="A731" s="27"/>
      <c r="B731" s="28"/>
      <c r="C731" s="28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</row>
    <row r="732">
      <c r="A732" s="27"/>
      <c r="B732" s="28"/>
      <c r="C732" s="28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</row>
    <row r="733">
      <c r="A733" s="27"/>
      <c r="B733" s="28"/>
      <c r="C733" s="28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</row>
    <row r="734">
      <c r="A734" s="27"/>
      <c r="B734" s="28"/>
      <c r="C734" s="28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</row>
    <row r="735">
      <c r="A735" s="27"/>
      <c r="B735" s="28"/>
      <c r="C735" s="28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</row>
    <row r="736">
      <c r="A736" s="27"/>
      <c r="B736" s="28"/>
      <c r="C736" s="28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</row>
    <row r="737">
      <c r="A737" s="27"/>
      <c r="B737" s="28"/>
      <c r="C737" s="28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</row>
    <row r="738">
      <c r="A738" s="27"/>
      <c r="B738" s="28"/>
      <c r="C738" s="28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</row>
    <row r="739">
      <c r="A739" s="27"/>
      <c r="B739" s="28"/>
      <c r="C739" s="28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</row>
    <row r="740">
      <c r="A740" s="27"/>
      <c r="B740" s="28"/>
      <c r="C740" s="28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</row>
    <row r="741">
      <c r="A741" s="27"/>
      <c r="B741" s="28"/>
      <c r="C741" s="28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</row>
    <row r="742">
      <c r="A742" s="27"/>
      <c r="B742" s="28"/>
      <c r="C742" s="28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</row>
    <row r="743">
      <c r="A743" s="27"/>
      <c r="B743" s="28"/>
      <c r="C743" s="28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</row>
    <row r="744">
      <c r="A744" s="27"/>
      <c r="B744" s="28"/>
      <c r="C744" s="28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</row>
    <row r="745">
      <c r="A745" s="27"/>
      <c r="B745" s="28"/>
      <c r="C745" s="28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</row>
    <row r="746">
      <c r="A746" s="27"/>
      <c r="B746" s="28"/>
      <c r="C746" s="28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</row>
    <row r="747">
      <c r="A747" s="27"/>
      <c r="B747" s="28"/>
      <c r="C747" s="28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</row>
    <row r="748">
      <c r="A748" s="27"/>
      <c r="B748" s="28"/>
      <c r="C748" s="28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</row>
    <row r="749">
      <c r="A749" s="27"/>
      <c r="B749" s="28"/>
      <c r="C749" s="28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</row>
    <row r="750">
      <c r="A750" s="27"/>
      <c r="B750" s="28"/>
      <c r="C750" s="28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</row>
    <row r="751">
      <c r="A751" s="27"/>
      <c r="B751" s="28"/>
      <c r="C751" s="28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</row>
    <row r="752">
      <c r="A752" s="27"/>
      <c r="B752" s="28"/>
      <c r="C752" s="28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</row>
    <row r="753">
      <c r="A753" s="27"/>
      <c r="B753" s="28"/>
      <c r="C753" s="28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</row>
    <row r="754">
      <c r="A754" s="27"/>
      <c r="B754" s="28"/>
      <c r="C754" s="28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</row>
    <row r="755">
      <c r="A755" s="27"/>
      <c r="B755" s="28"/>
      <c r="C755" s="28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</row>
    <row r="756">
      <c r="A756" s="27"/>
      <c r="B756" s="28"/>
      <c r="C756" s="28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</row>
    <row r="757">
      <c r="A757" s="27"/>
      <c r="B757" s="28"/>
      <c r="C757" s="28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</row>
    <row r="758">
      <c r="A758" s="27"/>
      <c r="B758" s="28"/>
      <c r="C758" s="28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</row>
    <row r="759">
      <c r="A759" s="27"/>
      <c r="B759" s="28"/>
      <c r="C759" s="28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</row>
    <row r="760">
      <c r="A760" s="27"/>
      <c r="B760" s="28"/>
      <c r="C760" s="28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</row>
    <row r="761">
      <c r="A761" s="27"/>
      <c r="B761" s="28"/>
      <c r="C761" s="28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</row>
    <row r="762">
      <c r="A762" s="27"/>
      <c r="B762" s="28"/>
      <c r="C762" s="28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</row>
    <row r="763">
      <c r="A763" s="27"/>
      <c r="B763" s="28"/>
      <c r="C763" s="28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</row>
    <row r="764">
      <c r="A764" s="27"/>
      <c r="B764" s="28"/>
      <c r="C764" s="28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</row>
    <row r="765">
      <c r="A765" s="27"/>
      <c r="B765" s="28"/>
      <c r="C765" s="28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</row>
    <row r="766">
      <c r="A766" s="27"/>
      <c r="B766" s="28"/>
      <c r="C766" s="28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</row>
    <row r="767">
      <c r="A767" s="27"/>
      <c r="B767" s="28"/>
      <c r="C767" s="28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</row>
    <row r="768">
      <c r="A768" s="27"/>
      <c r="B768" s="28"/>
      <c r="C768" s="28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</row>
    <row r="769">
      <c r="A769" s="27"/>
      <c r="B769" s="28"/>
      <c r="C769" s="28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</row>
    <row r="770">
      <c r="A770" s="27"/>
      <c r="B770" s="28"/>
      <c r="C770" s="28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</row>
    <row r="771">
      <c r="A771" s="27"/>
      <c r="B771" s="28"/>
      <c r="C771" s="28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</row>
    <row r="772">
      <c r="A772" s="27"/>
      <c r="B772" s="28"/>
      <c r="C772" s="28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</row>
    <row r="773">
      <c r="A773" s="27"/>
      <c r="B773" s="28"/>
      <c r="C773" s="28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</row>
    <row r="774">
      <c r="A774" s="27"/>
      <c r="B774" s="28"/>
      <c r="C774" s="28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</row>
    <row r="775">
      <c r="A775" s="27"/>
      <c r="B775" s="28"/>
      <c r="C775" s="28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</row>
    <row r="776">
      <c r="A776" s="27"/>
      <c r="B776" s="28"/>
      <c r="C776" s="28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</row>
    <row r="777">
      <c r="A777" s="27"/>
      <c r="B777" s="28"/>
      <c r="C777" s="28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</row>
    <row r="778">
      <c r="A778" s="27"/>
      <c r="B778" s="28"/>
      <c r="C778" s="28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</row>
    <row r="779">
      <c r="A779" s="27"/>
      <c r="B779" s="28"/>
      <c r="C779" s="28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</row>
    <row r="780">
      <c r="A780" s="27"/>
      <c r="B780" s="28"/>
      <c r="C780" s="28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</row>
    <row r="781">
      <c r="A781" s="27"/>
      <c r="B781" s="28"/>
      <c r="C781" s="28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</row>
    <row r="782">
      <c r="A782" s="27"/>
      <c r="B782" s="28"/>
      <c r="C782" s="28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</row>
    <row r="783">
      <c r="A783" s="27"/>
      <c r="B783" s="28"/>
      <c r="C783" s="28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</row>
    <row r="784">
      <c r="A784" s="27"/>
      <c r="B784" s="28"/>
      <c r="C784" s="28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</row>
    <row r="785">
      <c r="A785" s="27"/>
      <c r="B785" s="28"/>
      <c r="C785" s="28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</row>
    <row r="786">
      <c r="A786" s="27"/>
      <c r="B786" s="28"/>
      <c r="C786" s="28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</row>
    <row r="787">
      <c r="A787" s="27"/>
      <c r="B787" s="28"/>
      <c r="C787" s="28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</row>
    <row r="788">
      <c r="A788" s="27"/>
      <c r="B788" s="28"/>
      <c r="C788" s="28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</row>
    <row r="789">
      <c r="A789" s="27"/>
      <c r="B789" s="28"/>
      <c r="C789" s="28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</row>
    <row r="790">
      <c r="A790" s="27"/>
      <c r="B790" s="28"/>
      <c r="C790" s="28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</row>
    <row r="791">
      <c r="A791" s="27"/>
      <c r="B791" s="28"/>
      <c r="C791" s="28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</row>
    <row r="792">
      <c r="A792" s="27"/>
      <c r="B792" s="28"/>
      <c r="C792" s="28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</row>
    <row r="793">
      <c r="A793" s="27"/>
      <c r="B793" s="28"/>
      <c r="C793" s="28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</row>
    <row r="794">
      <c r="A794" s="27"/>
      <c r="B794" s="28"/>
      <c r="C794" s="28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</row>
    <row r="795">
      <c r="A795" s="27"/>
      <c r="B795" s="28"/>
      <c r="C795" s="28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</row>
    <row r="796">
      <c r="A796" s="27"/>
      <c r="B796" s="28"/>
      <c r="C796" s="28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</row>
    <row r="797">
      <c r="A797" s="27"/>
      <c r="B797" s="28"/>
      <c r="C797" s="28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</row>
    <row r="798">
      <c r="A798" s="27"/>
      <c r="B798" s="28"/>
      <c r="C798" s="28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</row>
    <row r="799">
      <c r="A799" s="27"/>
      <c r="B799" s="28"/>
      <c r="C799" s="28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</row>
    <row r="800">
      <c r="A800" s="27"/>
      <c r="B800" s="28"/>
      <c r="C800" s="28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</row>
    <row r="801">
      <c r="A801" s="27"/>
      <c r="B801" s="28"/>
      <c r="C801" s="28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</row>
    <row r="802">
      <c r="A802" s="27"/>
      <c r="B802" s="28"/>
      <c r="C802" s="28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</row>
    <row r="803">
      <c r="A803" s="27"/>
      <c r="B803" s="28"/>
      <c r="C803" s="28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</row>
    <row r="804">
      <c r="A804" s="27"/>
      <c r="B804" s="28"/>
      <c r="C804" s="28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</row>
    <row r="805">
      <c r="A805" s="27"/>
      <c r="B805" s="28"/>
      <c r="C805" s="28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</row>
    <row r="806">
      <c r="A806" s="27"/>
      <c r="B806" s="28"/>
      <c r="C806" s="28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</row>
    <row r="807">
      <c r="A807" s="27"/>
      <c r="B807" s="28"/>
      <c r="C807" s="28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</row>
    <row r="808">
      <c r="A808" s="27"/>
      <c r="B808" s="28"/>
      <c r="C808" s="28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</row>
    <row r="809">
      <c r="A809" s="27"/>
      <c r="B809" s="28"/>
      <c r="C809" s="28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</row>
    <row r="810">
      <c r="A810" s="27"/>
      <c r="B810" s="28"/>
      <c r="C810" s="28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</row>
    <row r="811">
      <c r="A811" s="27"/>
      <c r="B811" s="28"/>
      <c r="C811" s="28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</row>
    <row r="812">
      <c r="A812" s="27"/>
      <c r="B812" s="28"/>
      <c r="C812" s="28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</row>
    <row r="813">
      <c r="A813" s="27"/>
      <c r="B813" s="28"/>
      <c r="C813" s="28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</row>
    <row r="814">
      <c r="A814" s="27"/>
      <c r="B814" s="28"/>
      <c r="C814" s="28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</row>
    <row r="815">
      <c r="A815" s="27"/>
      <c r="B815" s="28"/>
      <c r="C815" s="28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</row>
    <row r="816">
      <c r="A816" s="27"/>
      <c r="B816" s="28"/>
      <c r="C816" s="28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</row>
    <row r="817">
      <c r="A817" s="27"/>
      <c r="B817" s="28"/>
      <c r="C817" s="28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</row>
    <row r="818">
      <c r="A818" s="27"/>
      <c r="B818" s="28"/>
      <c r="C818" s="28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</row>
    <row r="819">
      <c r="A819" s="27"/>
      <c r="B819" s="28"/>
      <c r="C819" s="28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</row>
    <row r="820">
      <c r="A820" s="27"/>
      <c r="B820" s="28"/>
      <c r="C820" s="28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</row>
    <row r="821">
      <c r="A821" s="27"/>
      <c r="B821" s="28"/>
      <c r="C821" s="28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</row>
    <row r="822">
      <c r="A822" s="27"/>
      <c r="B822" s="28"/>
      <c r="C822" s="28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</row>
    <row r="823">
      <c r="A823" s="27"/>
      <c r="B823" s="28"/>
      <c r="C823" s="28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</row>
    <row r="824">
      <c r="A824" s="27"/>
      <c r="B824" s="28"/>
      <c r="C824" s="28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</row>
    <row r="825">
      <c r="A825" s="27"/>
      <c r="B825" s="28"/>
      <c r="C825" s="28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</row>
    <row r="826">
      <c r="A826" s="27"/>
      <c r="B826" s="28"/>
      <c r="C826" s="28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</row>
    <row r="827">
      <c r="A827" s="27"/>
      <c r="B827" s="28"/>
      <c r="C827" s="28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</row>
    <row r="828">
      <c r="A828" s="27"/>
      <c r="B828" s="28"/>
      <c r="C828" s="28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</row>
    <row r="829">
      <c r="A829" s="27"/>
      <c r="B829" s="28"/>
      <c r="C829" s="28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</row>
    <row r="830">
      <c r="A830" s="27"/>
      <c r="B830" s="28"/>
      <c r="C830" s="28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</row>
    <row r="831">
      <c r="A831" s="27"/>
      <c r="B831" s="28"/>
      <c r="C831" s="28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</row>
    <row r="832">
      <c r="A832" s="27"/>
      <c r="B832" s="28"/>
      <c r="C832" s="28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</row>
    <row r="833">
      <c r="A833" s="27"/>
      <c r="B833" s="28"/>
      <c r="C833" s="28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</row>
    <row r="834">
      <c r="A834" s="27"/>
      <c r="B834" s="28"/>
      <c r="C834" s="28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</row>
    <row r="835">
      <c r="A835" s="27"/>
      <c r="B835" s="28"/>
      <c r="C835" s="28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</row>
    <row r="836">
      <c r="A836" s="27"/>
      <c r="B836" s="28"/>
      <c r="C836" s="28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</row>
    <row r="837">
      <c r="A837" s="27"/>
      <c r="B837" s="28"/>
      <c r="C837" s="28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</row>
    <row r="838">
      <c r="A838" s="27"/>
      <c r="B838" s="28"/>
      <c r="C838" s="28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</row>
    <row r="839">
      <c r="A839" s="27"/>
      <c r="B839" s="28"/>
      <c r="C839" s="28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</row>
    <row r="840">
      <c r="A840" s="27"/>
      <c r="B840" s="28"/>
      <c r="C840" s="28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</row>
    <row r="841">
      <c r="A841" s="27"/>
      <c r="B841" s="28"/>
      <c r="C841" s="28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</row>
    <row r="842">
      <c r="A842" s="27"/>
      <c r="B842" s="28"/>
      <c r="C842" s="28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</row>
    <row r="843">
      <c r="A843" s="27"/>
      <c r="B843" s="28"/>
      <c r="C843" s="28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</row>
    <row r="844">
      <c r="A844" s="27"/>
      <c r="B844" s="28"/>
      <c r="C844" s="28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</row>
    <row r="845">
      <c r="A845" s="27"/>
      <c r="B845" s="28"/>
      <c r="C845" s="28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</row>
    <row r="846">
      <c r="A846" s="27"/>
      <c r="B846" s="28"/>
      <c r="C846" s="28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</row>
    <row r="847">
      <c r="A847" s="27"/>
      <c r="B847" s="28"/>
      <c r="C847" s="28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</row>
    <row r="848">
      <c r="A848" s="27"/>
      <c r="B848" s="28"/>
      <c r="C848" s="28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</row>
    <row r="849">
      <c r="A849" s="27"/>
      <c r="B849" s="28"/>
      <c r="C849" s="28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</row>
    <row r="850">
      <c r="A850" s="27"/>
      <c r="B850" s="28"/>
      <c r="C850" s="28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</row>
    <row r="851">
      <c r="A851" s="27"/>
      <c r="B851" s="28"/>
      <c r="C851" s="28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</row>
    <row r="852">
      <c r="A852" s="27"/>
      <c r="B852" s="28"/>
      <c r="C852" s="28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</row>
    <row r="853">
      <c r="A853" s="27"/>
      <c r="B853" s="28"/>
      <c r="C853" s="28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</row>
    <row r="854">
      <c r="A854" s="27"/>
      <c r="B854" s="28"/>
      <c r="C854" s="28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</row>
    <row r="855">
      <c r="A855" s="27"/>
      <c r="B855" s="28"/>
      <c r="C855" s="28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</row>
    <row r="856">
      <c r="A856" s="27"/>
      <c r="B856" s="28"/>
      <c r="C856" s="28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</row>
    <row r="857">
      <c r="A857" s="27"/>
      <c r="B857" s="28"/>
      <c r="C857" s="28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</row>
    <row r="858">
      <c r="A858" s="27"/>
      <c r="B858" s="28"/>
      <c r="C858" s="28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</row>
    <row r="859">
      <c r="A859" s="27"/>
      <c r="B859" s="28"/>
      <c r="C859" s="28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</row>
    <row r="860">
      <c r="A860" s="27"/>
      <c r="B860" s="28"/>
      <c r="C860" s="28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</row>
    <row r="861">
      <c r="A861" s="27"/>
      <c r="B861" s="28"/>
      <c r="C861" s="28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</row>
    <row r="862">
      <c r="A862" s="27"/>
      <c r="B862" s="28"/>
      <c r="C862" s="28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</row>
    <row r="863">
      <c r="A863" s="27"/>
      <c r="B863" s="28"/>
      <c r="C863" s="28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</row>
    <row r="864">
      <c r="A864" s="27"/>
      <c r="B864" s="28"/>
      <c r="C864" s="28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</row>
    <row r="865">
      <c r="A865" s="27"/>
      <c r="B865" s="28"/>
      <c r="C865" s="28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</row>
    <row r="866">
      <c r="A866" s="27"/>
      <c r="B866" s="28"/>
      <c r="C866" s="28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</row>
    <row r="867">
      <c r="A867" s="27"/>
      <c r="B867" s="28"/>
      <c r="C867" s="28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</row>
    <row r="868">
      <c r="A868" s="27"/>
      <c r="B868" s="28"/>
      <c r="C868" s="28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</row>
    <row r="869">
      <c r="A869" s="27"/>
      <c r="B869" s="28"/>
      <c r="C869" s="28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</row>
    <row r="870">
      <c r="A870" s="27"/>
      <c r="B870" s="28"/>
      <c r="C870" s="28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</row>
    <row r="871">
      <c r="A871" s="27"/>
      <c r="B871" s="28"/>
      <c r="C871" s="28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</row>
    <row r="872">
      <c r="A872" s="27"/>
      <c r="B872" s="28"/>
      <c r="C872" s="28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</row>
    <row r="873">
      <c r="A873" s="27"/>
      <c r="B873" s="28"/>
      <c r="C873" s="28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</row>
    <row r="874">
      <c r="A874" s="27"/>
      <c r="B874" s="28"/>
      <c r="C874" s="28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</row>
    <row r="875">
      <c r="A875" s="27"/>
      <c r="B875" s="28"/>
      <c r="C875" s="28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</row>
    <row r="876">
      <c r="A876" s="27"/>
      <c r="B876" s="28"/>
      <c r="C876" s="28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</row>
    <row r="877">
      <c r="A877" s="27"/>
      <c r="B877" s="28"/>
      <c r="C877" s="28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</row>
    <row r="878">
      <c r="A878" s="27"/>
      <c r="B878" s="28"/>
      <c r="C878" s="28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</row>
    <row r="879">
      <c r="A879" s="27"/>
      <c r="B879" s="28"/>
      <c r="C879" s="28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</row>
    <row r="880">
      <c r="A880" s="27"/>
      <c r="B880" s="28"/>
      <c r="C880" s="28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</row>
    <row r="881">
      <c r="A881" s="27"/>
      <c r="B881" s="28"/>
      <c r="C881" s="28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</row>
    <row r="882">
      <c r="A882" s="27"/>
      <c r="B882" s="28"/>
      <c r="C882" s="28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</row>
    <row r="883">
      <c r="A883" s="27"/>
      <c r="B883" s="28"/>
      <c r="C883" s="28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</row>
    <row r="884">
      <c r="A884" s="27"/>
      <c r="B884" s="28"/>
      <c r="C884" s="28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</row>
    <row r="885">
      <c r="A885" s="27"/>
      <c r="B885" s="28"/>
      <c r="C885" s="28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</row>
    <row r="886">
      <c r="A886" s="27"/>
      <c r="B886" s="28"/>
      <c r="C886" s="28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</row>
    <row r="887">
      <c r="A887" s="27"/>
      <c r="B887" s="28"/>
      <c r="C887" s="28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</row>
    <row r="888">
      <c r="A888" s="27"/>
      <c r="B888" s="28"/>
      <c r="C888" s="28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</row>
    <row r="889">
      <c r="A889" s="27"/>
      <c r="B889" s="28"/>
      <c r="C889" s="28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</row>
    <row r="890">
      <c r="A890" s="27"/>
      <c r="B890" s="28"/>
      <c r="C890" s="28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</row>
    <row r="891">
      <c r="A891" s="27"/>
      <c r="B891" s="28"/>
      <c r="C891" s="28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</row>
    <row r="892">
      <c r="A892" s="27"/>
      <c r="B892" s="28"/>
      <c r="C892" s="28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</row>
    <row r="893">
      <c r="A893" s="27"/>
      <c r="B893" s="28"/>
      <c r="C893" s="28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</row>
    <row r="894">
      <c r="A894" s="27"/>
      <c r="B894" s="28"/>
      <c r="C894" s="28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</row>
    <row r="895">
      <c r="A895" s="27"/>
      <c r="B895" s="28"/>
      <c r="C895" s="28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</row>
    <row r="896">
      <c r="A896" s="27"/>
      <c r="B896" s="28"/>
      <c r="C896" s="28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</row>
    <row r="897">
      <c r="A897" s="27"/>
      <c r="B897" s="28"/>
      <c r="C897" s="28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</row>
    <row r="898">
      <c r="A898" s="27"/>
      <c r="B898" s="28"/>
      <c r="C898" s="28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</row>
    <row r="899">
      <c r="A899" s="27"/>
      <c r="B899" s="28"/>
      <c r="C899" s="28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</row>
    <row r="900">
      <c r="A900" s="27"/>
      <c r="B900" s="28"/>
      <c r="C900" s="28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</row>
    <row r="901">
      <c r="A901" s="27"/>
      <c r="B901" s="28"/>
      <c r="C901" s="28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</row>
    <row r="902">
      <c r="A902" s="27"/>
      <c r="B902" s="28"/>
      <c r="C902" s="28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</row>
    <row r="903">
      <c r="A903" s="27"/>
      <c r="B903" s="28"/>
      <c r="C903" s="28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</row>
    <row r="904">
      <c r="A904" s="27"/>
      <c r="B904" s="28"/>
      <c r="C904" s="28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</row>
    <row r="905">
      <c r="A905" s="27"/>
      <c r="B905" s="28"/>
      <c r="C905" s="28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</row>
    <row r="906">
      <c r="A906" s="27"/>
      <c r="B906" s="28"/>
      <c r="C906" s="28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</row>
    <row r="907">
      <c r="A907" s="27"/>
      <c r="B907" s="28"/>
      <c r="C907" s="28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</row>
    <row r="908">
      <c r="A908" s="27"/>
      <c r="B908" s="28"/>
      <c r="C908" s="28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</row>
    <row r="909">
      <c r="A909" s="27"/>
      <c r="B909" s="28"/>
      <c r="C909" s="28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</row>
    <row r="910">
      <c r="A910" s="27"/>
      <c r="B910" s="28"/>
      <c r="C910" s="28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</row>
    <row r="911">
      <c r="A911" s="27"/>
      <c r="B911" s="28"/>
      <c r="C911" s="28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</row>
    <row r="912">
      <c r="A912" s="27"/>
      <c r="B912" s="28"/>
      <c r="C912" s="28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</row>
    <row r="913">
      <c r="A913" s="27"/>
      <c r="B913" s="28"/>
      <c r="C913" s="28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</row>
    <row r="914">
      <c r="A914" s="27"/>
      <c r="B914" s="28"/>
      <c r="C914" s="28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</row>
    <row r="915">
      <c r="A915" s="27"/>
      <c r="B915" s="28"/>
      <c r="C915" s="28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</row>
    <row r="916">
      <c r="A916" s="27"/>
      <c r="B916" s="28"/>
      <c r="C916" s="28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</row>
    <row r="917">
      <c r="A917" s="27"/>
      <c r="B917" s="28"/>
      <c r="C917" s="28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</row>
    <row r="918">
      <c r="A918" s="27"/>
      <c r="B918" s="28"/>
      <c r="C918" s="28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</row>
    <row r="919">
      <c r="A919" s="27"/>
      <c r="B919" s="28"/>
      <c r="C919" s="28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</row>
    <row r="920">
      <c r="A920" s="27"/>
      <c r="B920" s="28"/>
      <c r="C920" s="28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</row>
    <row r="921">
      <c r="A921" s="27"/>
      <c r="B921" s="28"/>
      <c r="C921" s="28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</row>
    <row r="922">
      <c r="A922" s="27"/>
      <c r="B922" s="28"/>
      <c r="C922" s="28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</row>
    <row r="923">
      <c r="A923" s="27"/>
      <c r="B923" s="28"/>
      <c r="C923" s="28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</row>
    <row r="924">
      <c r="A924" s="27"/>
      <c r="B924" s="28"/>
      <c r="C924" s="28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</row>
    <row r="925">
      <c r="A925" s="27"/>
      <c r="B925" s="28"/>
      <c r="C925" s="28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</row>
    <row r="926">
      <c r="A926" s="27"/>
      <c r="B926" s="28"/>
      <c r="C926" s="28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</row>
    <row r="927">
      <c r="A927" s="27"/>
      <c r="B927" s="28"/>
      <c r="C927" s="28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</row>
    <row r="928">
      <c r="A928" s="27"/>
      <c r="B928" s="28"/>
      <c r="C928" s="28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</row>
    <row r="929">
      <c r="A929" s="27"/>
      <c r="B929" s="28"/>
      <c r="C929" s="28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</row>
    <row r="930">
      <c r="A930" s="27"/>
      <c r="B930" s="28"/>
      <c r="C930" s="28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</row>
    <row r="931">
      <c r="A931" s="27"/>
      <c r="B931" s="28"/>
      <c r="C931" s="28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</row>
    <row r="932">
      <c r="A932" s="27"/>
      <c r="B932" s="28"/>
      <c r="C932" s="28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</row>
    <row r="933">
      <c r="A933" s="27"/>
      <c r="B933" s="28"/>
      <c r="C933" s="28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</row>
    <row r="934">
      <c r="A934" s="27"/>
      <c r="B934" s="28"/>
      <c r="C934" s="28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</row>
    <row r="935">
      <c r="A935" s="27"/>
      <c r="B935" s="28"/>
      <c r="C935" s="28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</row>
    <row r="936">
      <c r="A936" s="27"/>
      <c r="B936" s="28"/>
      <c r="C936" s="28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</row>
    <row r="937">
      <c r="A937" s="27"/>
      <c r="B937" s="28"/>
      <c r="C937" s="28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</row>
    <row r="938">
      <c r="A938" s="27"/>
      <c r="B938" s="28"/>
      <c r="C938" s="28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</row>
    <row r="939">
      <c r="A939" s="27"/>
      <c r="B939" s="28"/>
      <c r="C939" s="28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</row>
    <row r="940">
      <c r="A940" s="27"/>
      <c r="B940" s="28"/>
      <c r="C940" s="28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</row>
    <row r="941">
      <c r="A941" s="27"/>
      <c r="B941" s="28"/>
      <c r="C941" s="28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</row>
    <row r="942">
      <c r="A942" s="27"/>
      <c r="B942" s="28"/>
      <c r="C942" s="28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</row>
    <row r="943">
      <c r="A943" s="27"/>
      <c r="B943" s="28"/>
      <c r="C943" s="28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</row>
    <row r="944">
      <c r="A944" s="27"/>
      <c r="B944" s="28"/>
      <c r="C944" s="28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</row>
    <row r="945">
      <c r="A945" s="27"/>
      <c r="B945" s="28"/>
      <c r="C945" s="28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</row>
    <row r="946">
      <c r="A946" s="27"/>
      <c r="B946" s="28"/>
      <c r="C946" s="28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</row>
    <row r="947">
      <c r="A947" s="27"/>
      <c r="B947" s="28"/>
      <c r="C947" s="28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</row>
    <row r="948">
      <c r="A948" s="27"/>
      <c r="B948" s="28"/>
      <c r="C948" s="28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</row>
    <row r="949">
      <c r="A949" s="27"/>
      <c r="B949" s="28"/>
      <c r="C949" s="28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</row>
    <row r="950">
      <c r="A950" s="27"/>
      <c r="B950" s="28"/>
      <c r="C950" s="28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</row>
    <row r="951">
      <c r="A951" s="27"/>
      <c r="B951" s="28"/>
      <c r="C951" s="28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</row>
    <row r="952">
      <c r="A952" s="27"/>
      <c r="B952" s="28"/>
      <c r="C952" s="28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</row>
    <row r="953">
      <c r="A953" s="27"/>
      <c r="B953" s="28"/>
      <c r="C953" s="28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</row>
    <row r="954">
      <c r="A954" s="27"/>
      <c r="B954" s="28"/>
      <c r="C954" s="28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</row>
    <row r="955">
      <c r="A955" s="27"/>
      <c r="B955" s="28"/>
      <c r="C955" s="28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</row>
    <row r="956">
      <c r="A956" s="27"/>
      <c r="B956" s="28"/>
      <c r="C956" s="28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</row>
    <row r="957">
      <c r="A957" s="27"/>
      <c r="B957" s="28"/>
      <c r="C957" s="28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</row>
    <row r="958">
      <c r="A958" s="27"/>
      <c r="B958" s="28"/>
      <c r="C958" s="28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</row>
    <row r="959">
      <c r="A959" s="27"/>
      <c r="B959" s="28"/>
      <c r="C959" s="28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</row>
    <row r="960">
      <c r="A960" s="27"/>
      <c r="B960" s="28"/>
      <c r="C960" s="28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</row>
    <row r="961">
      <c r="A961" s="27"/>
      <c r="B961" s="28"/>
      <c r="C961" s="28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</row>
    <row r="962">
      <c r="A962" s="27"/>
      <c r="B962" s="28"/>
      <c r="C962" s="28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</row>
    <row r="963">
      <c r="A963" s="27"/>
      <c r="B963" s="28"/>
      <c r="C963" s="28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</row>
    <row r="964">
      <c r="A964" s="27"/>
      <c r="B964" s="28"/>
      <c r="C964" s="28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</row>
    <row r="965">
      <c r="A965" s="27"/>
      <c r="B965" s="28"/>
      <c r="C965" s="28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</row>
    <row r="966">
      <c r="A966" s="27"/>
      <c r="B966" s="28"/>
      <c r="C966" s="28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</row>
    <row r="967">
      <c r="A967" s="27"/>
      <c r="B967" s="28"/>
      <c r="C967" s="28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</row>
    <row r="968">
      <c r="A968" s="27"/>
      <c r="B968" s="28"/>
      <c r="C968" s="28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</row>
    <row r="969">
      <c r="A969" s="27"/>
      <c r="B969" s="28"/>
      <c r="C969" s="28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</row>
    <row r="970">
      <c r="A970" s="27"/>
      <c r="B970" s="28"/>
      <c r="C970" s="28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</row>
    <row r="971">
      <c r="A971" s="27"/>
      <c r="B971" s="28"/>
      <c r="C971" s="28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</row>
    <row r="972">
      <c r="A972" s="27"/>
      <c r="B972" s="28"/>
      <c r="C972" s="28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</row>
    <row r="973">
      <c r="A973" s="27"/>
      <c r="B973" s="28"/>
      <c r="C973" s="28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</row>
    <row r="974">
      <c r="A974" s="27"/>
      <c r="B974" s="28"/>
      <c r="C974" s="28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</row>
    <row r="975">
      <c r="A975" s="27"/>
      <c r="B975" s="28"/>
      <c r="C975" s="28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</row>
    <row r="976">
      <c r="A976" s="27"/>
      <c r="B976" s="28"/>
      <c r="C976" s="28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</row>
    <row r="977">
      <c r="A977" s="27"/>
      <c r="B977" s="28"/>
      <c r="C977" s="28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</row>
    <row r="978">
      <c r="A978" s="27"/>
      <c r="B978" s="28"/>
      <c r="C978" s="28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</row>
    <row r="979">
      <c r="A979" s="27"/>
      <c r="B979" s="28"/>
      <c r="C979" s="28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</row>
    <row r="980">
      <c r="A980" s="27"/>
      <c r="B980" s="28"/>
      <c r="C980" s="28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</row>
    <row r="981">
      <c r="A981" s="27"/>
      <c r="B981" s="28"/>
      <c r="C981" s="28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</row>
    <row r="982">
      <c r="A982" s="27"/>
      <c r="B982" s="28"/>
      <c r="C982" s="28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</row>
    <row r="983">
      <c r="A983" s="27"/>
      <c r="B983" s="28"/>
      <c r="C983" s="28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</row>
    <row r="984">
      <c r="A984" s="27"/>
      <c r="B984" s="28"/>
      <c r="C984" s="28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</row>
    <row r="985">
      <c r="A985" s="27"/>
      <c r="B985" s="28"/>
      <c r="C985" s="28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</row>
    <row r="986">
      <c r="A986" s="27"/>
      <c r="B986" s="28"/>
      <c r="C986" s="28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</row>
    <row r="987">
      <c r="A987" s="27"/>
      <c r="B987" s="28"/>
      <c r="C987" s="28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</row>
    <row r="988">
      <c r="A988" s="27"/>
      <c r="B988" s="28"/>
      <c r="C988" s="28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</row>
    <row r="989">
      <c r="A989" s="27"/>
      <c r="B989" s="28"/>
      <c r="C989" s="28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</row>
    <row r="990">
      <c r="A990" s="27"/>
      <c r="B990" s="28"/>
      <c r="C990" s="28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</row>
    <row r="991">
      <c r="A991" s="27"/>
      <c r="B991" s="28"/>
      <c r="C991" s="28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</row>
    <row r="992">
      <c r="A992" s="27"/>
      <c r="B992" s="28"/>
      <c r="C992" s="28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</row>
    <row r="993">
      <c r="A993" s="27"/>
      <c r="B993" s="28"/>
      <c r="C993" s="28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</row>
    <row r="994">
      <c r="A994" s="27"/>
      <c r="B994" s="28"/>
      <c r="C994" s="28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</row>
    <row r="995">
      <c r="A995" s="27"/>
      <c r="B995" s="28"/>
      <c r="C995" s="28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</row>
    <row r="996">
      <c r="A996" s="27"/>
      <c r="B996" s="28"/>
      <c r="C996" s="28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</row>
    <row r="997">
      <c r="A997" s="27"/>
      <c r="B997" s="28"/>
      <c r="C997" s="28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</row>
    <row r="998">
      <c r="A998" s="27"/>
      <c r="B998" s="28"/>
      <c r="C998" s="28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</row>
    <row r="999">
      <c r="A999" s="27"/>
      <c r="B999" s="28"/>
      <c r="C999" s="28"/>
      <c r="D999" s="27"/>
      <c r="E999" s="27"/>
      <c r="F999" s="27"/>
      <c r="G999" s="27"/>
      <c r="H999" s="28"/>
      <c r="I999" s="28"/>
      <c r="J999" s="28"/>
      <c r="K999" s="28"/>
      <c r="L999" s="28"/>
      <c r="M999" s="28"/>
      <c r="N999" s="28"/>
      <c r="O999" s="28"/>
    </row>
    <row r="1000">
      <c r="A1000" s="27"/>
      <c r="B1000" s="28"/>
      <c r="C1000" s="28"/>
      <c r="D1000" s="27"/>
      <c r="E1000" s="27"/>
      <c r="F1000" s="27"/>
      <c r="G1000" s="27"/>
      <c r="H1000" s="28"/>
      <c r="I1000" s="28"/>
      <c r="J1000" s="28"/>
      <c r="K1000" s="28"/>
      <c r="L1000" s="28"/>
      <c r="M1000" s="28"/>
      <c r="N1000" s="28"/>
      <c r="O1000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38.75"/>
    <col customWidth="1" min="3" max="3" width="10.38"/>
    <col customWidth="1" min="4" max="4" width="8.38"/>
    <col customWidth="1" min="5" max="5" width="7.25"/>
    <col customWidth="1" min="6" max="6" width="8.38"/>
    <col customWidth="1" min="7" max="7" width="13.5"/>
    <col customWidth="1" min="8" max="8" width="28.13"/>
    <col customWidth="1" min="9" max="9" width="27.5"/>
    <col customWidth="1" min="10" max="10" width="87.0"/>
    <col customWidth="1" min="11" max="11" width="14.0"/>
    <col customWidth="1" min="12" max="12" width="10.5"/>
    <col customWidth="1" min="13" max="13" width="8.5"/>
    <col customWidth="1" min="14" max="14" width="14.13"/>
    <col customWidth="1" min="15" max="15" width="9.38"/>
    <col customWidth="1" min="16" max="16" width="6.75"/>
    <col customWidth="1" min="17" max="17" width="2.88"/>
    <col customWidth="1" min="18" max="19" width="23.5"/>
    <col customWidth="1" min="20" max="23" width="12.63"/>
    <col customWidth="1" min="24" max="24" width="2.88"/>
    <col customWidth="1" min="25" max="76" width="12.63"/>
  </cols>
  <sheetData>
    <row r="1" ht="54.75" customHeight="1">
      <c r="A1" s="25" t="str">
        <f>IFERROR(__xludf.DUMMYFUNCTION("IMPORTRANGE(""1B6k3qayGSNXTf6kWFhVsceNF2TwlYGQ1Xm8AgIg0lQ8/edit?gid=651441010#gid=651441010"",""F!A1:O1000"")"),"NO")</f>
        <v>NO</v>
      </c>
      <c r="B1" s="25" t="str">
        <f>IFERROR(__xludf.DUMMYFUNCTION("""COMPUTED_VALUE"""),"NAMA")</f>
        <v>NAMA</v>
      </c>
      <c r="C1" s="25" t="str">
        <f>IFERROR(__xludf.DUMMYFUNCTION("""COMPUTED_VALUE"""),"NIS")</f>
        <v>NIS</v>
      </c>
      <c r="D1" s="25" t="str">
        <f>IFERROR(__xludf.DUMMYFUNCTION("""COMPUTED_VALUE"""),"ASRAMA")</f>
        <v>ASRAMA</v>
      </c>
      <c r="E1" s="25" t="str">
        <f>IFERROR(__xludf.DUMMYFUNCTION("""COMPUTED_VALUE"""),"KAMAR")</f>
        <v>KAMAR</v>
      </c>
      <c r="F1" s="25" t="str">
        <f>IFERROR(__xludf.DUMMYFUNCTION("""COMPUTED_VALUE"""),"TINGKAT")</f>
        <v>TINGKAT</v>
      </c>
      <c r="G1" s="25" t="str">
        <f>IFERROR(__xludf.DUMMYFUNCTION("""COMPUTED_VALUE"""),"MADRASIAH")</f>
        <v>MADRASIAH</v>
      </c>
      <c r="H1" s="25" t="str">
        <f>IFERROR(__xludf.DUMMYFUNCTION("""COMPUTED_VALUE"""),"AYAH")</f>
        <v>AYAH</v>
      </c>
      <c r="I1" s="25" t="str">
        <f>IFERROR(__xludf.DUMMYFUNCTION("""COMPUTED_VALUE"""),"IBU")</f>
        <v>IBU</v>
      </c>
      <c r="J1" s="25" t="str">
        <f>IFERROR(__xludf.DUMMYFUNCTION("""COMPUTED_VALUE"""),"ALAMAT")</f>
        <v>ALAMAT</v>
      </c>
      <c r="K1" s="26" t="str">
        <f>IFERROR(__xludf.DUMMYFUNCTION("""COMPUTED_VALUE"""),"WA")</f>
        <v>WA</v>
      </c>
      <c r="L1" s="25" t="str">
        <f>IFERROR(__xludf.DUMMYFUNCTION("""COMPUTED_VALUE"""),"JUMLAH SYAHRIYAH")</f>
        <v>JUMLAH SYAHRIYAH</v>
      </c>
      <c r="M1" s="25" t="str">
        <f>IFERROR(__xludf.DUMMYFUNCTION("""COMPUTED_VALUE"""),"JUMLAH JARIYAH")</f>
        <v>JUMLAH JARIYAH</v>
      </c>
      <c r="N1" s="25" t="str">
        <f>IFERROR(__xludf.DUMMYFUNCTION("""COMPUTED_VALUE"""),"JUMLAH DAFTAR ULANG")</f>
        <v>JUMLAH DAFTAR ULANG</v>
      </c>
      <c r="O1" s="25" t="str">
        <f>IFERROR(__xludf.DUMMYFUNCTION("""COMPUTED_VALUE"""),"JUMLAH TOTAL TUNGGAKAN")</f>
        <v>JUMLAH TOTAL TUNGGAKAN</v>
      </c>
      <c r="P1" s="30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</row>
    <row r="2">
      <c r="A2" s="27">
        <f>IFERROR(__xludf.DUMMYFUNCTION("""COMPUTED_VALUE"""),1.0)</f>
        <v>1</v>
      </c>
      <c r="B2" s="28" t="str">
        <f>IFERROR(__xludf.DUMMYFUNCTION("""COMPUTED_VALUE"""),"CAHAYA ROSANA AIRA KURNIA CANTIK")</f>
        <v>CAHAYA ROSANA AIRA KURNIA CANTIK</v>
      </c>
      <c r="C2" s="28">
        <f>IFERROR(__xludf.DUMMYFUNCTION("""COMPUTED_VALUE"""),2.025070455E9)</f>
        <v>2025070455</v>
      </c>
      <c r="D2" s="27" t="str">
        <f>IFERROR(__xludf.DUMMYFUNCTION("""COMPUTED_VALUE"""),"F")</f>
        <v>F</v>
      </c>
      <c r="E2" s="27" t="str">
        <f>IFERROR(__xludf.DUMMYFUNCTION("""COMPUTED_VALUE"""),"F-2")</f>
        <v>F-2</v>
      </c>
      <c r="F2" s="31">
        <f>IFERROR(__xludf.DUMMYFUNCTION("""COMPUTED_VALUE"""),2.0)</f>
        <v>2</v>
      </c>
      <c r="G2" s="27" t="str">
        <f>IFERROR(__xludf.DUMMYFUNCTION("""COMPUTED_VALUE"""),"2 WUSTHO D PUTRI")</f>
        <v>2 WUSTHO D PUTRI</v>
      </c>
      <c r="H2" s="28" t="str">
        <f>IFERROR(__xludf.DUMMYFUNCTION("""COMPUTED_VALUE"""),"I`IM NURYANTO")</f>
        <v>I`IM NURYANTO</v>
      </c>
      <c r="I2" s="28" t="str">
        <f>IFERROR(__xludf.DUMMYFUNCTION("""COMPUTED_VALUE"""),"DESI AYU WULANDARI")</f>
        <v>DESI AYU WULANDARI</v>
      </c>
      <c r="J2" s="28" t="str">
        <f>IFERROR(__xludf.DUMMYFUNCTION("""COMPUTED_VALUE"""),"LENGKONG SIDOMLANGEAN RT 001 RW 001 KEDUNGPRING LAMONGAN")</f>
        <v>LENGKONG SIDOMLANGEAN RT 001 RW 001 KEDUNGPRING LAMONGAN</v>
      </c>
      <c r="K2" s="29" t="str">
        <f>IFERROR(__xludf.DUMMYFUNCTION("""COMPUTED_VALUE"""),"6285737577869")</f>
        <v>6285737577869</v>
      </c>
      <c r="L2" s="22">
        <f>IFERROR(__xludf.DUMMYFUNCTION("""COMPUTED_VALUE"""),0.0)</f>
        <v>0</v>
      </c>
      <c r="M2" s="22">
        <f>IFERROR(__xludf.DUMMYFUNCTION("""COMPUTED_VALUE"""),1000000.0)</f>
        <v>1000000</v>
      </c>
      <c r="N2" s="22">
        <f>IFERROR(__xludf.DUMMYFUNCTION("""COMPUTED_VALUE"""),0.0)</f>
        <v>0</v>
      </c>
      <c r="O2" s="22">
        <f>IFERROR(__xludf.DUMMYFUNCTION("""COMPUTED_VALUE"""),1000000.0)</f>
        <v>1000000</v>
      </c>
      <c r="P2" s="28" t="str">
        <f t="shared" ref="P2:P20" si="1">IF(N2=0,"LUNAS","BELUM")</f>
        <v>LUNAS</v>
      </c>
      <c r="Q2" s="28">
        <f t="shared" ref="Q2:Q20" si="2">_xlfn.RANK.EQ(O2,$O$2:$O$389,0)+COUNTIF($O$2:O2,O2)-1</f>
        <v>2</v>
      </c>
      <c r="R2" s="28" t="str">
        <f t="shared" ref="R2:R24" si="3">B2</f>
        <v>CAHAYA ROSANA AIRA KURNIA CANTIK</v>
      </c>
      <c r="S2" s="28">
        <f>COUNTA(B2:B450)</f>
        <v>10</v>
      </c>
      <c r="T2" s="32" t="s">
        <v>34</v>
      </c>
    </row>
    <row r="3">
      <c r="A3" s="27">
        <f>IFERROR(__xludf.DUMMYFUNCTION("""COMPUTED_VALUE"""),2.0)</f>
        <v>2</v>
      </c>
      <c r="B3" s="28" t="str">
        <f>IFERROR(__xludf.DUMMYFUNCTION("""COMPUTED_VALUE"""),"MIRANTI PUSPITA DEWI")</f>
        <v>MIRANTI PUSPITA DEWI</v>
      </c>
      <c r="C3" s="28">
        <f>IFERROR(__xludf.DUMMYFUNCTION("""COMPUTED_VALUE"""),2.025070447E9)</f>
        <v>2025070447</v>
      </c>
      <c r="D3" s="27" t="str">
        <f>IFERROR(__xludf.DUMMYFUNCTION("""COMPUTED_VALUE"""),"F")</f>
        <v>F</v>
      </c>
      <c r="E3" s="27" t="str">
        <f>IFERROR(__xludf.DUMMYFUNCTION("""COMPUTED_VALUE"""),"F-2")</f>
        <v>F-2</v>
      </c>
      <c r="F3" s="31">
        <f>IFERROR(__xludf.DUMMYFUNCTION("""COMPUTED_VALUE"""),2.0)</f>
        <v>2</v>
      </c>
      <c r="G3" s="27" t="str">
        <f>IFERROR(__xludf.DUMMYFUNCTION("""COMPUTED_VALUE"""),"2 WUSTHO B PUTRI")</f>
        <v>2 WUSTHO B PUTRI</v>
      </c>
      <c r="H3" s="28" t="str">
        <f>IFERROR(__xludf.DUMMYFUNCTION("""COMPUTED_VALUE"""),"MOH. SUTIKNO")</f>
        <v>MOH. SUTIKNO</v>
      </c>
      <c r="I3" s="28" t="str">
        <f>IFERROR(__xludf.DUMMYFUNCTION("""COMPUTED_VALUE"""),"KUMIYATIN")</f>
        <v>KUMIYATIN</v>
      </c>
      <c r="J3" s="28" t="str">
        <f>IFERROR(__xludf.DUMMYFUNCTION("""COMPUTED_VALUE"""),"DAGAN RT 001 RW 002 SOLOKURO LAMONGAN")</f>
        <v>DAGAN RT 001 RW 002 SOLOKURO LAMONGAN</v>
      </c>
      <c r="K3" s="29" t="str">
        <f>IFERROR(__xludf.DUMMYFUNCTION("""COMPUTED_VALUE"""),"6285731324023")</f>
        <v>6285731324023</v>
      </c>
      <c r="L3" s="22">
        <f>IFERROR(__xludf.DUMMYFUNCTION("""COMPUTED_VALUE"""),0.0)</f>
        <v>0</v>
      </c>
      <c r="M3" s="22">
        <f>IFERROR(__xludf.DUMMYFUNCTION("""COMPUTED_VALUE"""),500000.0)</f>
        <v>500000</v>
      </c>
      <c r="N3" s="22">
        <f>IFERROR(__xludf.DUMMYFUNCTION("""COMPUTED_VALUE"""),0.0)</f>
        <v>0</v>
      </c>
      <c r="O3" s="22">
        <f>IFERROR(__xludf.DUMMYFUNCTION("""COMPUTED_VALUE"""),500000.0)</f>
        <v>500000</v>
      </c>
      <c r="P3" s="28" t="str">
        <f t="shared" si="1"/>
        <v>LUNAS</v>
      </c>
      <c r="Q3" s="28">
        <f t="shared" si="2"/>
        <v>5</v>
      </c>
      <c r="R3" s="28" t="str">
        <f t="shared" si="3"/>
        <v>MIRANTI PUSPITA DEWI</v>
      </c>
      <c r="S3" s="28">
        <f>COUNTIF(F:F,1)</f>
        <v>0</v>
      </c>
      <c r="T3" s="32" t="s">
        <v>17</v>
      </c>
    </row>
    <row r="4">
      <c r="A4" s="27">
        <f>IFERROR(__xludf.DUMMYFUNCTION("""COMPUTED_VALUE"""),3.0)</f>
        <v>3</v>
      </c>
      <c r="B4" s="28" t="str">
        <f>IFERROR(__xludf.DUMMYFUNCTION("""COMPUTED_VALUE"""),"NAFISAH AZ-ZAHRAH")</f>
        <v>NAFISAH AZ-ZAHRAH</v>
      </c>
      <c r="C4" s="28">
        <f>IFERROR(__xludf.DUMMYFUNCTION("""COMPUTED_VALUE"""),2.025070461E9)</f>
        <v>2025070461</v>
      </c>
      <c r="D4" s="27" t="str">
        <f>IFERROR(__xludf.DUMMYFUNCTION("""COMPUTED_VALUE"""),"F")</f>
        <v>F</v>
      </c>
      <c r="E4" s="27" t="str">
        <f>IFERROR(__xludf.DUMMYFUNCTION("""COMPUTED_VALUE"""),"F-2")</f>
        <v>F-2</v>
      </c>
      <c r="F4" s="31">
        <f>IFERROR(__xludf.DUMMYFUNCTION("""COMPUTED_VALUE"""),2.0)</f>
        <v>2</v>
      </c>
      <c r="G4" s="27" t="str">
        <f>IFERROR(__xludf.DUMMYFUNCTION("""COMPUTED_VALUE"""),"2 WUSTHO D PUTRI")</f>
        <v>2 WUSTHO D PUTRI</v>
      </c>
      <c r="H4" s="28" t="str">
        <f>IFERROR(__xludf.DUMMYFUNCTION("""COMPUTED_VALUE"""),"SUPADI")</f>
        <v>SUPADI</v>
      </c>
      <c r="I4" s="28" t="str">
        <f>IFERROR(__xludf.DUMMYFUNCTION("""COMPUTED_VALUE"""),"SUMINARTI")</f>
        <v>SUMINARTI</v>
      </c>
      <c r="J4" s="28" t="str">
        <f>IFERROR(__xludf.DUMMYFUNCTION("""COMPUTED_VALUE"""),"SETRO BLURI RT 005 RW 002 SOLOKURO LAMONGAN")</f>
        <v>SETRO BLURI RT 005 RW 002 SOLOKURO LAMONGAN</v>
      </c>
      <c r="K4" s="29" t="str">
        <f>IFERROR(__xludf.DUMMYFUNCTION("""COMPUTED_VALUE"""),"6285696949089")</f>
        <v>6285696949089</v>
      </c>
      <c r="L4" s="22">
        <f>IFERROR(__xludf.DUMMYFUNCTION("""COMPUTED_VALUE"""),0.0)</f>
        <v>0</v>
      </c>
      <c r="M4" s="22">
        <f>IFERROR(__xludf.DUMMYFUNCTION("""COMPUTED_VALUE"""),0.0)</f>
        <v>0</v>
      </c>
      <c r="N4" s="22">
        <f>IFERROR(__xludf.DUMMYFUNCTION("""COMPUTED_VALUE"""),0.0)</f>
        <v>0</v>
      </c>
      <c r="O4" s="22">
        <f>IFERROR(__xludf.DUMMYFUNCTION("""COMPUTED_VALUE"""),0.0)</f>
        <v>0</v>
      </c>
      <c r="P4" s="28" t="str">
        <f t="shared" si="1"/>
        <v>LUNAS</v>
      </c>
      <c r="Q4" s="28">
        <f t="shared" si="2"/>
        <v>7</v>
      </c>
      <c r="R4" s="28" t="str">
        <f t="shared" si="3"/>
        <v>NAFISAH AZ-ZAHRAH</v>
      </c>
      <c r="S4" s="28">
        <f>COUNTIF(F:F,2)</f>
        <v>10</v>
      </c>
      <c r="T4" s="32" t="s">
        <v>18</v>
      </c>
    </row>
    <row r="5">
      <c r="A5" s="27">
        <f>IFERROR(__xludf.DUMMYFUNCTION("""COMPUTED_VALUE"""),4.0)</f>
        <v>4</v>
      </c>
      <c r="B5" s="28" t="str">
        <f>IFERROR(__xludf.DUMMYFUNCTION("""COMPUTED_VALUE"""),"NAILAH MAULIDAH ISNAH")</f>
        <v>NAILAH MAULIDAH ISNAH</v>
      </c>
      <c r="C5" s="28">
        <f>IFERROR(__xludf.DUMMYFUNCTION("""COMPUTED_VALUE"""),2.025070434E9)</f>
        <v>2025070434</v>
      </c>
      <c r="D5" s="27" t="str">
        <f>IFERROR(__xludf.DUMMYFUNCTION("""COMPUTED_VALUE"""),"F")</f>
        <v>F</v>
      </c>
      <c r="E5" s="27" t="str">
        <f>IFERROR(__xludf.DUMMYFUNCTION("""COMPUTED_VALUE"""),"F-2")</f>
        <v>F-2</v>
      </c>
      <c r="F5" s="31">
        <f>IFERROR(__xludf.DUMMYFUNCTION("""COMPUTED_VALUE"""),2.0)</f>
        <v>2</v>
      </c>
      <c r="G5" s="27" t="str">
        <f>IFERROR(__xludf.DUMMYFUNCTION("""COMPUTED_VALUE"""),"2 WUSTHO A PUTRI")</f>
        <v>2 WUSTHO A PUTRI</v>
      </c>
      <c r="H5" s="28" t="str">
        <f>IFERROR(__xludf.DUMMYFUNCTION("""COMPUTED_VALUE"""),"YUDI IRAWAN")</f>
        <v>YUDI IRAWAN</v>
      </c>
      <c r="I5" s="28" t="str">
        <f>IFERROR(__xludf.DUMMYFUNCTION("""COMPUTED_VALUE"""),"AMINATUR ROHMAH")</f>
        <v>AMINATUR ROHMAH</v>
      </c>
      <c r="J5" s="28" t="str">
        <f>IFERROR(__xludf.DUMMYFUNCTION("""COMPUTED_VALUE"""),"UKA 4/01 SEMEMI RT 006 RW 002 BENOWO SURABAYA")</f>
        <v>UKA 4/01 SEMEMI RT 006 RW 002 BENOWO SURABAYA</v>
      </c>
      <c r="K5" s="28"/>
      <c r="L5" s="22">
        <f>IFERROR(__xludf.DUMMYFUNCTION("""COMPUTED_VALUE"""),900000.0)</f>
        <v>900000</v>
      </c>
      <c r="M5" s="22">
        <f>IFERROR(__xludf.DUMMYFUNCTION("""COMPUTED_VALUE"""),0.0)</f>
        <v>0</v>
      </c>
      <c r="N5" s="22">
        <f>IFERROR(__xludf.DUMMYFUNCTION("""COMPUTED_VALUE"""),0.0)</f>
        <v>0</v>
      </c>
      <c r="O5" s="22">
        <f>IFERROR(__xludf.DUMMYFUNCTION("""COMPUTED_VALUE"""),900000.0)</f>
        <v>900000</v>
      </c>
      <c r="P5" s="28" t="str">
        <f t="shared" si="1"/>
        <v>LUNAS</v>
      </c>
      <c r="Q5" s="28">
        <f t="shared" si="2"/>
        <v>4</v>
      </c>
      <c r="R5" s="28" t="str">
        <f t="shared" si="3"/>
        <v>NAILAH MAULIDAH ISNAH</v>
      </c>
      <c r="S5" s="28">
        <f>COUNTIF(F:F,3)</f>
        <v>0</v>
      </c>
      <c r="T5" s="32" t="s">
        <v>19</v>
      </c>
    </row>
    <row r="6">
      <c r="A6" s="27">
        <f>IFERROR(__xludf.DUMMYFUNCTION("""COMPUTED_VALUE"""),5.0)</f>
        <v>5</v>
      </c>
      <c r="B6" s="28" t="str">
        <f>IFERROR(__xludf.DUMMYFUNCTION("""COMPUTED_VALUE"""),"RATIH RAHMAH YUNITA")</f>
        <v>RATIH RAHMAH YUNITA</v>
      </c>
      <c r="C6" s="28">
        <f>IFERROR(__xludf.DUMMYFUNCTION("""COMPUTED_VALUE"""),2.025070431E9)</f>
        <v>2025070431</v>
      </c>
      <c r="D6" s="27" t="str">
        <f>IFERROR(__xludf.DUMMYFUNCTION("""COMPUTED_VALUE"""),"F")</f>
        <v>F</v>
      </c>
      <c r="E6" s="27" t="str">
        <f>IFERROR(__xludf.DUMMYFUNCTION("""COMPUTED_VALUE"""),"F-2")</f>
        <v>F-2</v>
      </c>
      <c r="F6" s="31">
        <f>IFERROR(__xludf.DUMMYFUNCTION("""COMPUTED_VALUE"""),2.0)</f>
        <v>2</v>
      </c>
      <c r="G6" s="27" t="str">
        <f>IFERROR(__xludf.DUMMYFUNCTION("""COMPUTED_VALUE"""),"2 WUSTHO B PUTRI")</f>
        <v>2 WUSTHO B PUTRI</v>
      </c>
      <c r="H6" s="28" t="str">
        <f>IFERROR(__xludf.DUMMYFUNCTION("""COMPUTED_VALUE"""),"SIRNOTO")</f>
        <v>SIRNOTO</v>
      </c>
      <c r="I6" s="28" t="str">
        <f>IFERROR(__xludf.DUMMYFUNCTION("""COMPUTED_VALUE"""),"LILIS RUKIYATI")</f>
        <v>LILIS RUKIYATI</v>
      </c>
      <c r="J6" s="28" t="str">
        <f>IFERROR(__xludf.DUMMYFUNCTION("""COMPUTED_VALUE"""),"MOROGO PUTATKUMPUL RT 006 RW 005 TURI LAMONGAN")</f>
        <v>MOROGO PUTATKUMPUL RT 006 RW 005 TURI LAMONGAN</v>
      </c>
      <c r="K6" s="29" t="str">
        <f>IFERROR(__xludf.DUMMYFUNCTION("""COMPUTED_VALUE"""),"6285755004790")</f>
        <v>6285755004790</v>
      </c>
      <c r="L6" s="22">
        <f>IFERROR(__xludf.DUMMYFUNCTION("""COMPUTED_VALUE"""),0.0)</f>
        <v>0</v>
      </c>
      <c r="M6" s="22">
        <f>IFERROR(__xludf.DUMMYFUNCTION("""COMPUTED_VALUE"""),1600000.0)</f>
        <v>1600000</v>
      </c>
      <c r="N6" s="22">
        <f>IFERROR(__xludf.DUMMYFUNCTION("""COMPUTED_VALUE"""),0.0)</f>
        <v>0</v>
      </c>
      <c r="O6" s="22">
        <f>IFERROR(__xludf.DUMMYFUNCTION("""COMPUTED_VALUE"""),1600000.0)</f>
        <v>1600000</v>
      </c>
      <c r="P6" s="28" t="str">
        <f t="shared" si="1"/>
        <v>LUNAS</v>
      </c>
      <c r="Q6" s="28">
        <f t="shared" si="2"/>
        <v>1</v>
      </c>
      <c r="R6" s="28" t="str">
        <f t="shared" si="3"/>
        <v>RATIH RAHMAH YUNITA</v>
      </c>
      <c r="S6" s="28">
        <f>COUNTIF(P:P,"LUNAS")</f>
        <v>19</v>
      </c>
      <c r="T6" s="32" t="s">
        <v>20</v>
      </c>
    </row>
    <row r="7">
      <c r="A7" s="27">
        <f>IFERROR(__xludf.DUMMYFUNCTION("""COMPUTED_VALUE"""),6.0)</f>
        <v>6</v>
      </c>
      <c r="B7" s="28" t="str">
        <f>IFERROR(__xludf.DUMMYFUNCTION("""COMPUTED_VALUE"""),"SAFAWATI NURUL AFIQAH")</f>
        <v>SAFAWATI NURUL AFIQAH</v>
      </c>
      <c r="C7" s="28">
        <f>IFERROR(__xludf.DUMMYFUNCTION("""COMPUTED_VALUE"""),2.025070446E9)</f>
        <v>2025070446</v>
      </c>
      <c r="D7" s="27" t="str">
        <f>IFERROR(__xludf.DUMMYFUNCTION("""COMPUTED_VALUE"""),"F")</f>
        <v>F</v>
      </c>
      <c r="E7" s="27" t="str">
        <f>IFERROR(__xludf.DUMMYFUNCTION("""COMPUTED_VALUE"""),"F-2")</f>
        <v>F-2</v>
      </c>
      <c r="F7" s="31">
        <f>IFERROR(__xludf.DUMMYFUNCTION("""COMPUTED_VALUE"""),2.0)</f>
        <v>2</v>
      </c>
      <c r="G7" s="27" t="str">
        <f>IFERROR(__xludf.DUMMYFUNCTION("""COMPUTED_VALUE"""),"2 WUSTHO B PUTRI")</f>
        <v>2 WUSTHO B PUTRI</v>
      </c>
      <c r="H7" s="28" t="str">
        <f>IFERROR(__xludf.DUMMYFUNCTION("""COMPUTED_VALUE"""),"MU`ALIMIN")</f>
        <v>MU`ALIMIN</v>
      </c>
      <c r="I7" s="28" t="str">
        <f>IFERROR(__xludf.DUMMYFUNCTION("""COMPUTED_VALUE"""),"SITI MUHAYATUN")</f>
        <v>SITI MUHAYATUN</v>
      </c>
      <c r="J7" s="28" t="str">
        <f>IFERROR(__xludf.DUMMYFUNCTION("""COMPUTED_VALUE"""),"DAGAN RT 004 RW 002 SOLOKURO LAMONGAN")</f>
        <v>DAGAN RT 004 RW 002 SOLOKURO LAMONGAN</v>
      </c>
      <c r="K7" s="29" t="str">
        <f>IFERROR(__xludf.DUMMYFUNCTION("""COMPUTED_VALUE"""),"6285731562895")</f>
        <v>6285731562895</v>
      </c>
      <c r="L7" s="22">
        <f>IFERROR(__xludf.DUMMYFUNCTION("""COMPUTED_VALUE"""),0.0)</f>
        <v>0</v>
      </c>
      <c r="M7" s="22">
        <f>IFERROR(__xludf.DUMMYFUNCTION("""COMPUTED_VALUE"""),1000000.0)</f>
        <v>1000000</v>
      </c>
      <c r="N7" s="22">
        <f>IFERROR(__xludf.DUMMYFUNCTION("""COMPUTED_VALUE"""),0.0)</f>
        <v>0</v>
      </c>
      <c r="O7" s="22">
        <f>IFERROR(__xludf.DUMMYFUNCTION("""COMPUTED_VALUE"""),1000000.0)</f>
        <v>1000000</v>
      </c>
      <c r="P7" s="28" t="str">
        <f t="shared" si="1"/>
        <v>LUNAS</v>
      </c>
      <c r="Q7" s="28">
        <f t="shared" si="2"/>
        <v>3</v>
      </c>
      <c r="R7" s="28" t="str">
        <f t="shared" si="3"/>
        <v>SAFAWATI NURUL AFIQAH</v>
      </c>
      <c r="S7" s="28">
        <f>COUNTIF(P:P,"BELUM")</f>
        <v>0</v>
      </c>
      <c r="T7" s="32" t="s">
        <v>21</v>
      </c>
    </row>
    <row r="8">
      <c r="A8" s="27">
        <f>IFERROR(__xludf.DUMMYFUNCTION("""COMPUTED_VALUE"""),7.0)</f>
        <v>7</v>
      </c>
      <c r="B8" s="28" t="str">
        <f>IFERROR(__xludf.DUMMYFUNCTION("""COMPUTED_VALUE"""),"SAFINA NUR AULIA WAHIDA")</f>
        <v>SAFINA NUR AULIA WAHIDA</v>
      </c>
      <c r="C8" s="28">
        <f>IFERROR(__xludf.DUMMYFUNCTION("""COMPUTED_VALUE"""),2.025070465E9)</f>
        <v>2025070465</v>
      </c>
      <c r="D8" s="27" t="str">
        <f>IFERROR(__xludf.DUMMYFUNCTION("""COMPUTED_VALUE"""),"F")</f>
        <v>F</v>
      </c>
      <c r="E8" s="27" t="str">
        <f>IFERROR(__xludf.DUMMYFUNCTION("""COMPUTED_VALUE"""),"F-2")</f>
        <v>F-2</v>
      </c>
      <c r="F8" s="31">
        <f>IFERROR(__xludf.DUMMYFUNCTION("""COMPUTED_VALUE"""),2.0)</f>
        <v>2</v>
      </c>
      <c r="G8" s="27" t="str">
        <f>IFERROR(__xludf.DUMMYFUNCTION("""COMPUTED_VALUE"""),"2 WUSTHO A PUTRI")</f>
        <v>2 WUSTHO A PUTRI</v>
      </c>
      <c r="H8" s="28" t="str">
        <f>IFERROR(__xludf.DUMMYFUNCTION("""COMPUTED_VALUE"""),"MUHAMMAD SYAIFUL MUNIR")</f>
        <v>MUHAMMAD SYAIFUL MUNIR</v>
      </c>
      <c r="I8" s="28" t="str">
        <f>IFERROR(__xludf.DUMMYFUNCTION("""COMPUTED_VALUE"""),"INARIYATI")</f>
        <v>INARIYATI</v>
      </c>
      <c r="J8" s="28" t="str">
        <f>IFERROR(__xludf.DUMMYFUNCTION("""COMPUTED_VALUE"""),"WONOKERTO RT 014 RW 003 DUKUN GRESIK")</f>
        <v>WONOKERTO RT 014 RW 003 DUKUN GRESIK</v>
      </c>
      <c r="K8" s="29" t="str">
        <f>IFERROR(__xludf.DUMMYFUNCTION("""COMPUTED_VALUE"""),"6281329978580")</f>
        <v>6281329978580</v>
      </c>
      <c r="L8" s="22">
        <f>IFERROR(__xludf.DUMMYFUNCTION("""COMPUTED_VALUE"""),0.0)</f>
        <v>0</v>
      </c>
      <c r="M8" s="22">
        <f>IFERROR(__xludf.DUMMYFUNCTION("""COMPUTED_VALUE"""),0.0)</f>
        <v>0</v>
      </c>
      <c r="N8" s="22">
        <f>IFERROR(__xludf.DUMMYFUNCTION("""COMPUTED_VALUE"""),0.0)</f>
        <v>0</v>
      </c>
      <c r="O8" s="22">
        <f>IFERROR(__xludf.DUMMYFUNCTION("""COMPUTED_VALUE"""),0.0)</f>
        <v>0</v>
      </c>
      <c r="P8" s="28" t="str">
        <f t="shared" si="1"/>
        <v>LUNAS</v>
      </c>
      <c r="Q8" s="28">
        <f t="shared" si="2"/>
        <v>8</v>
      </c>
      <c r="R8" s="28" t="str">
        <f t="shared" si="3"/>
        <v>SAFINA NUR AULIA WAHIDA</v>
      </c>
      <c r="S8" s="22">
        <f>SUM(L2:L450)</f>
        <v>1350000</v>
      </c>
      <c r="T8" s="32" t="s">
        <v>22</v>
      </c>
    </row>
    <row r="9">
      <c r="A9" s="27">
        <f>IFERROR(__xludf.DUMMYFUNCTION("""COMPUTED_VALUE"""),8.0)</f>
        <v>8</v>
      </c>
      <c r="B9" s="28" t="str">
        <f>IFERROR(__xludf.DUMMYFUNCTION("""COMPUTED_VALUE"""),"SALWA WARDATUL MISKIYAH")</f>
        <v>SALWA WARDATUL MISKIYAH</v>
      </c>
      <c r="C9" s="28">
        <f>IFERROR(__xludf.DUMMYFUNCTION("""COMPUTED_VALUE"""),2.02507043E9)</f>
        <v>2025070430</v>
      </c>
      <c r="D9" s="27" t="str">
        <f>IFERROR(__xludf.DUMMYFUNCTION("""COMPUTED_VALUE"""),"F")</f>
        <v>F</v>
      </c>
      <c r="E9" s="27" t="str">
        <f>IFERROR(__xludf.DUMMYFUNCTION("""COMPUTED_VALUE"""),"F-2")</f>
        <v>F-2</v>
      </c>
      <c r="F9" s="31">
        <f>IFERROR(__xludf.DUMMYFUNCTION("""COMPUTED_VALUE"""),2.0)</f>
        <v>2</v>
      </c>
      <c r="G9" s="27" t="str">
        <f>IFERROR(__xludf.DUMMYFUNCTION("""COMPUTED_VALUE"""),"2 WUSTHO B PUTRI")</f>
        <v>2 WUSTHO B PUTRI</v>
      </c>
      <c r="H9" s="28" t="str">
        <f>IFERROR(__xludf.DUMMYFUNCTION("""COMPUTED_VALUE"""),"H. MASHARI")</f>
        <v>H. MASHARI</v>
      </c>
      <c r="I9" s="28" t="str">
        <f>IFERROR(__xludf.DUMMYFUNCTION("""COMPUTED_VALUE"""),"HJ. MUCHOLIFAH")</f>
        <v>HJ. MUCHOLIFAH</v>
      </c>
      <c r="J9" s="28" t="str">
        <f>IFERROR(__xludf.DUMMYFUNCTION("""COMPUTED_VALUE"""),"DORO KARANGWEDORO RT 004 RW 002 TURI LAMONGAN")</f>
        <v>DORO KARANGWEDORO RT 004 RW 002 TURI LAMONGAN</v>
      </c>
      <c r="K9" s="29" t="str">
        <f>IFERROR(__xludf.DUMMYFUNCTION("""COMPUTED_VALUE"""),"6285732833427")</f>
        <v>6285732833427</v>
      </c>
      <c r="L9" s="22">
        <f>IFERROR(__xludf.DUMMYFUNCTION("""COMPUTED_VALUE"""),450000.0)</f>
        <v>450000</v>
      </c>
      <c r="M9" s="22">
        <f>IFERROR(__xludf.DUMMYFUNCTION("""COMPUTED_VALUE"""),0.0)</f>
        <v>0</v>
      </c>
      <c r="N9" s="22">
        <f>IFERROR(__xludf.DUMMYFUNCTION("""COMPUTED_VALUE"""),0.0)</f>
        <v>0</v>
      </c>
      <c r="O9" s="22">
        <f>IFERROR(__xludf.DUMMYFUNCTION("""COMPUTED_VALUE"""),450000.0)</f>
        <v>450000</v>
      </c>
      <c r="P9" s="28" t="str">
        <f t="shared" si="1"/>
        <v>LUNAS</v>
      </c>
      <c r="Q9" s="28">
        <f t="shared" si="2"/>
        <v>6</v>
      </c>
      <c r="R9" s="28" t="str">
        <f t="shared" si="3"/>
        <v>SALWA WARDATUL MISKIYAH</v>
      </c>
      <c r="S9" s="22">
        <f>SUM(M2:M450)</f>
        <v>4100000</v>
      </c>
      <c r="T9" s="32" t="s">
        <v>23</v>
      </c>
    </row>
    <row r="10">
      <c r="A10" s="27">
        <f>IFERROR(__xludf.DUMMYFUNCTION("""COMPUTED_VALUE"""),9.0)</f>
        <v>9</v>
      </c>
      <c r="B10" s="28" t="str">
        <f>IFERROR(__xludf.DUMMYFUNCTION("""COMPUTED_VALUE"""),"TIFLAH HANIFAH ARSITA")</f>
        <v>TIFLAH HANIFAH ARSITA</v>
      </c>
      <c r="C10" s="28">
        <f>IFERROR(__xludf.DUMMYFUNCTION("""COMPUTED_VALUE"""),2.025070444E9)</f>
        <v>2025070444</v>
      </c>
      <c r="D10" s="27" t="str">
        <f>IFERROR(__xludf.DUMMYFUNCTION("""COMPUTED_VALUE"""),"F")</f>
        <v>F</v>
      </c>
      <c r="E10" s="27" t="str">
        <f>IFERROR(__xludf.DUMMYFUNCTION("""COMPUTED_VALUE"""),"F-2")</f>
        <v>F-2</v>
      </c>
      <c r="F10" s="31">
        <f>IFERROR(__xludf.DUMMYFUNCTION("""COMPUTED_VALUE"""),2.0)</f>
        <v>2</v>
      </c>
      <c r="G10" s="27" t="str">
        <f>IFERROR(__xludf.DUMMYFUNCTION("""COMPUTED_VALUE"""),"2 WUSTHO B PUTRI")</f>
        <v>2 WUSTHO B PUTRI</v>
      </c>
      <c r="H10" s="28" t="str">
        <f>IFERROR(__xludf.DUMMYFUNCTION("""COMPUTED_VALUE"""),"SUBANDI")</f>
        <v>SUBANDI</v>
      </c>
      <c r="I10" s="28" t="str">
        <f>IFERROR(__xludf.DUMMYFUNCTION("""COMPUTED_VALUE"""),"ARLIYAH")</f>
        <v>ARLIYAH</v>
      </c>
      <c r="J10" s="28" t="str">
        <f>IFERROR(__xludf.DUMMYFUNCTION("""COMPUTED_VALUE"""),"PRIJEK PRIJEKNGABLAG RT 003 RW 001 KARANGGENENG LAMONGAN")</f>
        <v>PRIJEK PRIJEKNGABLAG RT 003 RW 001 KARANGGENENG LAMONGAN</v>
      </c>
      <c r="K10" s="29" t="str">
        <f>IFERROR(__xludf.DUMMYFUNCTION("""COMPUTED_VALUE"""),"6281316684664")</f>
        <v>6281316684664</v>
      </c>
      <c r="L10" s="22">
        <f>IFERROR(__xludf.DUMMYFUNCTION("""COMPUTED_VALUE"""),0.0)</f>
        <v>0</v>
      </c>
      <c r="M10" s="22">
        <f>IFERROR(__xludf.DUMMYFUNCTION("""COMPUTED_VALUE"""),0.0)</f>
        <v>0</v>
      </c>
      <c r="N10" s="22">
        <f>IFERROR(__xludf.DUMMYFUNCTION("""COMPUTED_VALUE"""),0.0)</f>
        <v>0</v>
      </c>
      <c r="O10" s="22">
        <f>IFERROR(__xludf.DUMMYFUNCTION("""COMPUTED_VALUE"""),0.0)</f>
        <v>0</v>
      </c>
      <c r="P10" s="28" t="str">
        <f t="shared" si="1"/>
        <v>LUNAS</v>
      </c>
      <c r="Q10" s="28">
        <f t="shared" si="2"/>
        <v>9</v>
      </c>
      <c r="R10" s="28" t="str">
        <f t="shared" si="3"/>
        <v>TIFLAH HANIFAH ARSITA</v>
      </c>
      <c r="S10" s="22">
        <f>SUM(N2:N450)</f>
        <v>0</v>
      </c>
      <c r="T10" s="32" t="s">
        <v>24</v>
      </c>
    </row>
    <row r="11">
      <c r="A11" s="27">
        <f>IFERROR(__xludf.DUMMYFUNCTION("""COMPUTED_VALUE"""),10.0)</f>
        <v>10</v>
      </c>
      <c r="B11" s="28" t="str">
        <f>IFERROR(__xludf.DUMMYFUNCTION("""COMPUTED_VALUE"""),"WULAN FIRNANDA")</f>
        <v>WULAN FIRNANDA</v>
      </c>
      <c r="C11" s="28">
        <f>IFERROR(__xludf.DUMMYFUNCTION("""COMPUTED_VALUE"""),2.025070449E9)</f>
        <v>2025070449</v>
      </c>
      <c r="D11" s="27" t="str">
        <f>IFERROR(__xludf.DUMMYFUNCTION("""COMPUTED_VALUE"""),"F")</f>
        <v>F</v>
      </c>
      <c r="E11" s="27" t="str">
        <f>IFERROR(__xludf.DUMMYFUNCTION("""COMPUTED_VALUE"""),"F-2")</f>
        <v>F-2</v>
      </c>
      <c r="F11" s="31">
        <f>IFERROR(__xludf.DUMMYFUNCTION("""COMPUTED_VALUE"""),2.0)</f>
        <v>2</v>
      </c>
      <c r="G11" s="27" t="str">
        <f>IFERROR(__xludf.DUMMYFUNCTION("""COMPUTED_VALUE"""),"2 WUSTHO D PUTRI")</f>
        <v>2 WUSTHO D PUTRI</v>
      </c>
      <c r="H11" s="28" t="str">
        <f>IFERROR(__xludf.DUMMYFUNCTION("""COMPUTED_VALUE"""),"SUUD")</f>
        <v>SUUD</v>
      </c>
      <c r="I11" s="28" t="str">
        <f>IFERROR(__xludf.DUMMYFUNCTION("""COMPUTED_VALUE"""),"ASRIYAH")</f>
        <v>ASRIYAH</v>
      </c>
      <c r="J11" s="28" t="str">
        <f>IFERROR(__xludf.DUMMYFUNCTION("""COMPUTED_VALUE"""),"BULANGAN RT 006 RW 002 DUKUN GRESIK")</f>
        <v>BULANGAN RT 006 RW 002 DUKUN GRESIK</v>
      </c>
      <c r="K11" s="29" t="str">
        <f>IFERROR(__xludf.DUMMYFUNCTION("""COMPUTED_VALUE"""),"601160807199")</f>
        <v>601160807199</v>
      </c>
      <c r="L11" s="22">
        <f>IFERROR(__xludf.DUMMYFUNCTION("""COMPUTED_VALUE"""),0.0)</f>
        <v>0</v>
      </c>
      <c r="M11" s="22">
        <f>IFERROR(__xludf.DUMMYFUNCTION("""COMPUTED_VALUE"""),0.0)</f>
        <v>0</v>
      </c>
      <c r="N11" s="28"/>
      <c r="O11" s="28"/>
      <c r="P11" s="28" t="str">
        <f t="shared" si="1"/>
        <v>LUNAS</v>
      </c>
      <c r="Q11" s="28">
        <f t="shared" si="2"/>
        <v>6</v>
      </c>
      <c r="R11" s="28" t="str">
        <f t="shared" si="3"/>
        <v>WULAN FIRNANDA</v>
      </c>
      <c r="S11" s="22">
        <f>SUM(O2:O450)</f>
        <v>5450000</v>
      </c>
      <c r="T11" s="32" t="s">
        <v>25</v>
      </c>
    </row>
    <row r="12">
      <c r="A12" s="27" t="str">
        <f>IFERROR(__xludf.DUMMYFUNCTION("""COMPUTED_VALUE"""),"")</f>
        <v/>
      </c>
      <c r="B12" s="28"/>
      <c r="C12" s="28"/>
      <c r="D12" s="27"/>
      <c r="E12" s="27"/>
      <c r="F12" s="27"/>
      <c r="G12" s="27"/>
      <c r="H12" s="28"/>
      <c r="I12" s="28"/>
      <c r="J12" s="28"/>
      <c r="K12" s="28"/>
      <c r="L12" s="28"/>
      <c r="M12" s="28"/>
      <c r="N12" s="28"/>
      <c r="O12" s="28"/>
      <c r="P12" s="28" t="str">
        <f t="shared" si="1"/>
        <v>LUNAS</v>
      </c>
      <c r="Q12" s="28">
        <f t="shared" si="2"/>
        <v>6</v>
      </c>
      <c r="R12" s="28" t="str">
        <f t="shared" si="3"/>
        <v/>
      </c>
      <c r="T12" s="32" t="s">
        <v>26</v>
      </c>
      <c r="U12" s="32" t="s">
        <v>27</v>
      </c>
      <c r="V12" s="32" t="s">
        <v>28</v>
      </c>
      <c r="W12" s="32" t="s">
        <v>29</v>
      </c>
    </row>
    <row r="13">
      <c r="A13" s="27" t="str">
        <f>IFERROR(__xludf.DUMMYFUNCTION("""COMPUTED_VALUE"""),"")</f>
        <v/>
      </c>
      <c r="B13" s="28"/>
      <c r="C13" s="28"/>
      <c r="D13" s="27"/>
      <c r="E13" s="27"/>
      <c r="F13" s="27"/>
      <c r="G13" s="27"/>
      <c r="H13" s="28"/>
      <c r="I13" s="28"/>
      <c r="J13" s="28"/>
      <c r="K13" s="28"/>
      <c r="L13" s="28"/>
      <c r="M13" s="28"/>
      <c r="N13" s="28"/>
      <c r="O13" s="28"/>
      <c r="P13" s="28" t="str">
        <f t="shared" si="1"/>
        <v>LUNAS</v>
      </c>
      <c r="Q13" s="28">
        <f t="shared" si="2"/>
        <v>6</v>
      </c>
      <c r="R13" s="28" t="str">
        <f t="shared" si="3"/>
        <v/>
      </c>
      <c r="S13" s="28" t="str">
        <f t="shared" ref="S13:S22" si="4">VLOOKUP(X13,$Q$2:$R$399,2,FALSE)</f>
        <v>RATIH RAHMAH YUNITA</v>
      </c>
      <c r="T13" s="22">
        <f t="shared" ref="T13:T22" si="5">VLOOKUP(S13,$B$2:$O$450,11,FALSE)</f>
        <v>0</v>
      </c>
      <c r="U13" s="22">
        <f t="shared" ref="U13:U22" si="6">VLOOKUP(S13,$B$2:$O$450,12,FALSE)</f>
        <v>1600000</v>
      </c>
      <c r="V13" s="22">
        <f t="shared" ref="V13:V22" si="7">VLOOKUP(S13,$B$2:$O$450,13,FALSE)</f>
        <v>0</v>
      </c>
      <c r="W13" s="22">
        <f t="shared" ref="W13:W22" si="8">VLOOKUP(S13,$B$2:$O$450,14,FALSE)</f>
        <v>1600000</v>
      </c>
      <c r="X13" s="32">
        <v>1.0</v>
      </c>
    </row>
    <row r="14">
      <c r="A14" s="27" t="str">
        <f>IFERROR(__xludf.DUMMYFUNCTION("""COMPUTED_VALUE"""),"")</f>
        <v/>
      </c>
      <c r="B14" s="28"/>
      <c r="C14" s="28"/>
      <c r="D14" s="27"/>
      <c r="E14" s="27"/>
      <c r="F14" s="27"/>
      <c r="G14" s="27"/>
      <c r="H14" s="28"/>
      <c r="I14" s="28"/>
      <c r="J14" s="28"/>
      <c r="K14" s="28"/>
      <c r="L14" s="28"/>
      <c r="M14" s="28"/>
      <c r="N14" s="28"/>
      <c r="O14" s="28"/>
      <c r="P14" s="28" t="str">
        <f t="shared" si="1"/>
        <v>LUNAS</v>
      </c>
      <c r="Q14" s="28">
        <f t="shared" si="2"/>
        <v>6</v>
      </c>
      <c r="R14" s="28" t="str">
        <f t="shared" si="3"/>
        <v/>
      </c>
      <c r="S14" s="28" t="str">
        <f t="shared" si="4"/>
        <v>CAHAYA ROSANA AIRA KURNIA CANTIK</v>
      </c>
      <c r="T14" s="22">
        <f t="shared" si="5"/>
        <v>0</v>
      </c>
      <c r="U14" s="22">
        <f t="shared" si="6"/>
        <v>1000000</v>
      </c>
      <c r="V14" s="22">
        <f t="shared" si="7"/>
        <v>0</v>
      </c>
      <c r="W14" s="22">
        <f t="shared" si="8"/>
        <v>1000000</v>
      </c>
      <c r="X14" s="32">
        <v>2.0</v>
      </c>
    </row>
    <row r="15">
      <c r="A15" s="27" t="str">
        <f>IFERROR(__xludf.DUMMYFUNCTION("""COMPUTED_VALUE"""),"")</f>
        <v/>
      </c>
      <c r="B15" s="28"/>
      <c r="C15" s="28"/>
      <c r="D15" s="27"/>
      <c r="E15" s="27"/>
      <c r="F15" s="27"/>
      <c r="G15" s="27"/>
      <c r="H15" s="28"/>
      <c r="I15" s="28"/>
      <c r="J15" s="28"/>
      <c r="K15" s="28"/>
      <c r="L15" s="28"/>
      <c r="M15" s="28"/>
      <c r="N15" s="28"/>
      <c r="O15" s="28"/>
      <c r="P15" s="28" t="str">
        <f t="shared" si="1"/>
        <v>LUNAS</v>
      </c>
      <c r="Q15" s="28">
        <f t="shared" si="2"/>
        <v>6</v>
      </c>
      <c r="R15" s="28" t="str">
        <f t="shared" si="3"/>
        <v/>
      </c>
      <c r="S15" s="28" t="str">
        <f t="shared" si="4"/>
        <v>SAFAWATI NURUL AFIQAH</v>
      </c>
      <c r="T15" s="22">
        <f t="shared" si="5"/>
        <v>0</v>
      </c>
      <c r="U15" s="22">
        <f t="shared" si="6"/>
        <v>1000000</v>
      </c>
      <c r="V15" s="22">
        <f t="shared" si="7"/>
        <v>0</v>
      </c>
      <c r="W15" s="22">
        <f t="shared" si="8"/>
        <v>1000000</v>
      </c>
      <c r="X15" s="32">
        <v>3.0</v>
      </c>
    </row>
    <row r="16">
      <c r="A16" s="27" t="str">
        <f>IFERROR(__xludf.DUMMYFUNCTION("""COMPUTED_VALUE"""),"")</f>
        <v/>
      </c>
      <c r="B16" s="28"/>
      <c r="C16" s="28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28" t="str">
        <f t="shared" si="1"/>
        <v>LUNAS</v>
      </c>
      <c r="Q16" s="28">
        <f t="shared" si="2"/>
        <v>6</v>
      </c>
      <c r="R16" s="28" t="str">
        <f t="shared" si="3"/>
        <v/>
      </c>
      <c r="S16" s="28" t="str">
        <f t="shared" si="4"/>
        <v>NAILAH MAULIDAH ISNAH</v>
      </c>
      <c r="T16" s="22">
        <f t="shared" si="5"/>
        <v>900000</v>
      </c>
      <c r="U16" s="22">
        <f t="shared" si="6"/>
        <v>0</v>
      </c>
      <c r="V16" s="22">
        <f t="shared" si="7"/>
        <v>0</v>
      </c>
      <c r="W16" s="22">
        <f t="shared" si="8"/>
        <v>900000</v>
      </c>
      <c r="X16" s="32">
        <v>4.0</v>
      </c>
    </row>
    <row r="17">
      <c r="A17" s="27" t="str">
        <f>IFERROR(__xludf.DUMMYFUNCTION("""COMPUTED_VALUE"""),"")</f>
        <v/>
      </c>
      <c r="B17" s="28"/>
      <c r="C17" s="28"/>
      <c r="D17" s="27"/>
      <c r="E17" s="27"/>
      <c r="F17" s="27"/>
      <c r="G17" s="27"/>
      <c r="H17" s="28"/>
      <c r="I17" s="28"/>
      <c r="J17" s="28"/>
      <c r="K17" s="28"/>
      <c r="L17" s="28"/>
      <c r="M17" s="28"/>
      <c r="N17" s="28"/>
      <c r="O17" s="28"/>
      <c r="P17" s="28" t="str">
        <f t="shared" si="1"/>
        <v>LUNAS</v>
      </c>
      <c r="Q17" s="28">
        <f t="shared" si="2"/>
        <v>6</v>
      </c>
      <c r="R17" s="28" t="str">
        <f t="shared" si="3"/>
        <v/>
      </c>
      <c r="S17" s="28" t="str">
        <f t="shared" si="4"/>
        <v>MIRANTI PUSPITA DEWI</v>
      </c>
      <c r="T17" s="22">
        <f t="shared" si="5"/>
        <v>0</v>
      </c>
      <c r="U17" s="22">
        <f t="shared" si="6"/>
        <v>500000</v>
      </c>
      <c r="V17" s="22">
        <f t="shared" si="7"/>
        <v>0</v>
      </c>
      <c r="W17" s="22">
        <f t="shared" si="8"/>
        <v>500000</v>
      </c>
      <c r="X17" s="32">
        <v>5.0</v>
      </c>
    </row>
    <row r="18">
      <c r="A18" s="27" t="str">
        <f>IFERROR(__xludf.DUMMYFUNCTION("""COMPUTED_VALUE"""),"")</f>
        <v/>
      </c>
      <c r="B18" s="28"/>
      <c r="C18" s="28"/>
      <c r="D18" s="27"/>
      <c r="E18" s="27"/>
      <c r="F18" s="27"/>
      <c r="G18" s="27"/>
      <c r="H18" s="28"/>
      <c r="I18" s="28"/>
      <c r="J18" s="28"/>
      <c r="K18" s="28"/>
      <c r="L18" s="28"/>
      <c r="M18" s="28"/>
      <c r="N18" s="28"/>
      <c r="O18" s="28"/>
      <c r="P18" s="28" t="str">
        <f t="shared" si="1"/>
        <v>LUNAS</v>
      </c>
      <c r="Q18" s="28">
        <f t="shared" si="2"/>
        <v>6</v>
      </c>
      <c r="R18" s="28" t="str">
        <f t="shared" si="3"/>
        <v/>
      </c>
      <c r="S18" s="28" t="str">
        <f t="shared" si="4"/>
        <v>SALWA WARDATUL MISKIYAH</v>
      </c>
      <c r="T18" s="22">
        <f t="shared" si="5"/>
        <v>450000</v>
      </c>
      <c r="U18" s="22">
        <f t="shared" si="6"/>
        <v>0</v>
      </c>
      <c r="V18" s="22">
        <f t="shared" si="7"/>
        <v>0</v>
      </c>
      <c r="W18" s="22">
        <f t="shared" si="8"/>
        <v>450000</v>
      </c>
      <c r="X18" s="32">
        <v>6.0</v>
      </c>
    </row>
    <row r="19">
      <c r="A19" s="27" t="str">
        <f>IFERROR(__xludf.DUMMYFUNCTION("""COMPUTED_VALUE"""),"")</f>
        <v/>
      </c>
      <c r="B19" s="28"/>
      <c r="C19" s="28"/>
      <c r="D19" s="27"/>
      <c r="E19" s="27"/>
      <c r="F19" s="27"/>
      <c r="G19" s="27"/>
      <c r="H19" s="28"/>
      <c r="I19" s="28"/>
      <c r="J19" s="28"/>
      <c r="K19" s="28"/>
      <c r="L19" s="28"/>
      <c r="M19" s="28"/>
      <c r="N19" s="28"/>
      <c r="O19" s="28"/>
      <c r="P19" s="28" t="str">
        <f t="shared" si="1"/>
        <v>LUNAS</v>
      </c>
      <c r="Q19" s="28">
        <f t="shared" si="2"/>
        <v>6</v>
      </c>
      <c r="R19" s="28" t="str">
        <f t="shared" si="3"/>
        <v/>
      </c>
      <c r="S19" s="28" t="str">
        <f t="shared" si="4"/>
        <v>NAFISAH AZ-ZAHRAH</v>
      </c>
      <c r="T19" s="22">
        <f t="shared" si="5"/>
        <v>0</v>
      </c>
      <c r="U19" s="22">
        <f t="shared" si="6"/>
        <v>0</v>
      </c>
      <c r="V19" s="22">
        <f t="shared" si="7"/>
        <v>0</v>
      </c>
      <c r="W19" s="22">
        <f t="shared" si="8"/>
        <v>0</v>
      </c>
      <c r="X19" s="32">
        <v>7.0</v>
      </c>
    </row>
    <row r="20">
      <c r="A20" s="27" t="str">
        <f>IFERROR(__xludf.DUMMYFUNCTION("""COMPUTED_VALUE"""),"")</f>
        <v/>
      </c>
      <c r="B20" s="28"/>
      <c r="C20" s="28"/>
      <c r="D20" s="27"/>
      <c r="E20" s="27"/>
      <c r="F20" s="27"/>
      <c r="G20" s="27"/>
      <c r="H20" s="28"/>
      <c r="I20" s="28"/>
      <c r="J20" s="28"/>
      <c r="K20" s="28"/>
      <c r="L20" s="28"/>
      <c r="M20" s="28"/>
      <c r="N20" s="28"/>
      <c r="O20" s="28"/>
      <c r="P20" s="28" t="str">
        <f t="shared" si="1"/>
        <v>LUNAS</v>
      </c>
      <c r="Q20" s="28">
        <f t="shared" si="2"/>
        <v>6</v>
      </c>
      <c r="R20" s="28" t="str">
        <f t="shared" si="3"/>
        <v/>
      </c>
      <c r="S20" s="28" t="str">
        <f t="shared" si="4"/>
        <v>SAFINA NUR AULIA WAHIDA</v>
      </c>
      <c r="T20" s="22">
        <f t="shared" si="5"/>
        <v>0</v>
      </c>
      <c r="U20" s="22">
        <f t="shared" si="6"/>
        <v>0</v>
      </c>
      <c r="V20" s="22">
        <f t="shared" si="7"/>
        <v>0</v>
      </c>
      <c r="W20" s="22">
        <f t="shared" si="8"/>
        <v>0</v>
      </c>
      <c r="X20" s="32">
        <v>8.0</v>
      </c>
    </row>
    <row r="21">
      <c r="A21" s="27" t="str">
        <f>IFERROR(__xludf.DUMMYFUNCTION("""COMPUTED_VALUE"""),"")</f>
        <v/>
      </c>
      <c r="B21" s="28"/>
      <c r="C21" s="28"/>
      <c r="D21" s="27"/>
      <c r="E21" s="27"/>
      <c r="F21" s="27"/>
      <c r="G21" s="27"/>
      <c r="H21" s="28"/>
      <c r="I21" s="28"/>
      <c r="J21" s="28"/>
      <c r="K21" s="28"/>
      <c r="L21" s="28"/>
      <c r="M21" s="28"/>
      <c r="N21" s="28"/>
      <c r="O21" s="28"/>
      <c r="R21" s="28" t="str">
        <f t="shared" si="3"/>
        <v/>
      </c>
      <c r="S21" s="28" t="str">
        <f t="shared" si="4"/>
        <v>TIFLAH HANIFAH ARSITA</v>
      </c>
      <c r="T21" s="22">
        <f t="shared" si="5"/>
        <v>0</v>
      </c>
      <c r="U21" s="22">
        <f t="shared" si="6"/>
        <v>0</v>
      </c>
      <c r="V21" s="22">
        <f t="shared" si="7"/>
        <v>0</v>
      </c>
      <c r="W21" s="22">
        <f t="shared" si="8"/>
        <v>0</v>
      </c>
      <c r="X21" s="32">
        <v>9.0</v>
      </c>
    </row>
    <row r="22">
      <c r="A22" s="27" t="str">
        <f>IFERROR(__xludf.DUMMYFUNCTION("""COMPUTED_VALUE"""),"")</f>
        <v/>
      </c>
      <c r="B22" s="28"/>
      <c r="C22" s="28"/>
      <c r="D22" s="27"/>
      <c r="E22" s="27"/>
      <c r="F22" s="27"/>
      <c r="G22" s="27"/>
      <c r="H22" s="28"/>
      <c r="I22" s="28"/>
      <c r="J22" s="28"/>
      <c r="K22" s="28"/>
      <c r="L22" s="28"/>
      <c r="M22" s="28"/>
      <c r="N22" s="28"/>
      <c r="O22" s="28"/>
      <c r="R22" s="28" t="str">
        <f t="shared" si="3"/>
        <v/>
      </c>
      <c r="S22" s="28" t="str">
        <f t="shared" si="4"/>
        <v>#N/A</v>
      </c>
      <c r="T22" s="28" t="str">
        <f t="shared" si="5"/>
        <v>#N/A</v>
      </c>
      <c r="U22" s="28" t="str">
        <f t="shared" si="6"/>
        <v>#N/A</v>
      </c>
      <c r="V22" s="28" t="str">
        <f t="shared" si="7"/>
        <v>#N/A</v>
      </c>
      <c r="W22" s="28" t="str">
        <f t="shared" si="8"/>
        <v>#N/A</v>
      </c>
      <c r="X22" s="32">
        <v>10.0</v>
      </c>
    </row>
    <row r="23">
      <c r="A23" s="27" t="str">
        <f>IFERROR(__xludf.DUMMYFUNCTION("""COMPUTED_VALUE"""),"")</f>
        <v/>
      </c>
      <c r="B23" s="28"/>
      <c r="C23" s="28"/>
      <c r="D23" s="27"/>
      <c r="E23" s="27"/>
      <c r="F23" s="27"/>
      <c r="G23" s="27"/>
      <c r="H23" s="28"/>
      <c r="I23" s="28"/>
      <c r="J23" s="28"/>
      <c r="K23" s="28"/>
      <c r="L23" s="28"/>
      <c r="M23" s="28"/>
      <c r="N23" s="28"/>
      <c r="O23" s="28"/>
      <c r="R23" s="28" t="str">
        <f t="shared" si="3"/>
        <v/>
      </c>
    </row>
    <row r="24">
      <c r="A24" s="27" t="str">
        <f>IFERROR(__xludf.DUMMYFUNCTION("""COMPUTED_VALUE"""),"")</f>
        <v/>
      </c>
      <c r="B24" s="28"/>
      <c r="C24" s="28"/>
      <c r="D24" s="27"/>
      <c r="E24" s="27"/>
      <c r="F24" s="27"/>
      <c r="G24" s="27"/>
      <c r="H24" s="28"/>
      <c r="I24" s="28"/>
      <c r="J24" s="28"/>
      <c r="K24" s="28"/>
      <c r="L24" s="28"/>
      <c r="M24" s="28"/>
      <c r="N24" s="28"/>
      <c r="O24" s="28"/>
      <c r="R24" s="28" t="str">
        <f t="shared" si="3"/>
        <v/>
      </c>
    </row>
    <row r="25">
      <c r="A25" s="27" t="str">
        <f>IFERROR(__xludf.DUMMYFUNCTION("""COMPUTED_VALUE"""),"")</f>
        <v/>
      </c>
      <c r="B25" s="28"/>
      <c r="C25" s="28"/>
      <c r="D25" s="27"/>
      <c r="E25" s="27"/>
      <c r="F25" s="27"/>
      <c r="G25" s="27"/>
      <c r="H25" s="28"/>
      <c r="I25" s="28"/>
      <c r="J25" s="28"/>
      <c r="K25" s="28"/>
      <c r="L25" s="28"/>
      <c r="M25" s="28"/>
      <c r="N25" s="28"/>
      <c r="O25" s="28"/>
    </row>
    <row r="26">
      <c r="A26" s="27" t="str">
        <f>IFERROR(__xludf.DUMMYFUNCTION("""COMPUTED_VALUE"""),"")</f>
        <v/>
      </c>
      <c r="B26" s="28"/>
      <c r="C26" s="28"/>
      <c r="D26" s="27"/>
      <c r="E26" s="27"/>
      <c r="F26" s="27"/>
      <c r="G26" s="27"/>
      <c r="H26" s="28"/>
      <c r="I26" s="28"/>
      <c r="J26" s="28"/>
      <c r="K26" s="28"/>
      <c r="L26" s="28"/>
      <c r="M26" s="28"/>
      <c r="N26" s="28"/>
      <c r="O26" s="28"/>
    </row>
    <row r="27">
      <c r="A27" s="27" t="str">
        <f>IFERROR(__xludf.DUMMYFUNCTION("""COMPUTED_VALUE"""),"")</f>
        <v/>
      </c>
      <c r="B27" s="28"/>
      <c r="C27" s="28"/>
      <c r="D27" s="27"/>
      <c r="E27" s="27"/>
      <c r="F27" s="27"/>
      <c r="G27" s="27"/>
      <c r="H27" s="28"/>
      <c r="I27" s="28"/>
      <c r="J27" s="28"/>
      <c r="K27" s="28"/>
      <c r="L27" s="28"/>
      <c r="M27" s="28"/>
      <c r="N27" s="28"/>
      <c r="O27" s="28"/>
    </row>
    <row r="28">
      <c r="A28" s="27" t="str">
        <f>IFERROR(__xludf.DUMMYFUNCTION("""COMPUTED_VALUE"""),"")</f>
        <v/>
      </c>
      <c r="B28" s="28"/>
      <c r="C28" s="28"/>
      <c r="D28" s="27"/>
      <c r="E28" s="27"/>
      <c r="F28" s="27"/>
      <c r="G28" s="27"/>
      <c r="H28" s="28"/>
      <c r="I28" s="28"/>
      <c r="J28" s="28"/>
      <c r="K28" s="28"/>
      <c r="L28" s="28"/>
      <c r="M28" s="28"/>
      <c r="N28" s="28"/>
      <c r="O28" s="28"/>
    </row>
    <row r="29">
      <c r="A29" s="27" t="str">
        <f>IFERROR(__xludf.DUMMYFUNCTION("""COMPUTED_VALUE"""),"")</f>
        <v/>
      </c>
      <c r="B29" s="28"/>
      <c r="C29" s="28"/>
      <c r="D29" s="27"/>
      <c r="E29" s="27"/>
      <c r="F29" s="27"/>
      <c r="G29" s="27"/>
      <c r="H29" s="28"/>
      <c r="I29" s="28"/>
      <c r="J29" s="28"/>
      <c r="K29" s="28"/>
      <c r="L29" s="28"/>
      <c r="M29" s="28"/>
      <c r="N29" s="28"/>
      <c r="O29" s="28"/>
    </row>
    <row r="30">
      <c r="A30" s="27" t="str">
        <f>IFERROR(__xludf.DUMMYFUNCTION("""COMPUTED_VALUE"""),"")</f>
        <v/>
      </c>
      <c r="B30" s="28"/>
      <c r="C30" s="28"/>
      <c r="D30" s="27"/>
      <c r="E30" s="27"/>
      <c r="F30" s="27"/>
      <c r="G30" s="27"/>
      <c r="H30" s="28"/>
      <c r="I30" s="28"/>
      <c r="J30" s="28"/>
      <c r="K30" s="28"/>
      <c r="L30" s="28"/>
      <c r="M30" s="28"/>
      <c r="N30" s="28"/>
      <c r="O30" s="28"/>
    </row>
    <row r="31">
      <c r="A31" s="27" t="str">
        <f>IFERROR(__xludf.DUMMYFUNCTION("""COMPUTED_VALUE"""),"")</f>
        <v/>
      </c>
      <c r="B31" s="28"/>
      <c r="C31" s="28"/>
      <c r="D31" s="27"/>
      <c r="E31" s="27"/>
      <c r="F31" s="27"/>
      <c r="G31" s="27"/>
      <c r="H31" s="28"/>
      <c r="I31" s="28"/>
      <c r="J31" s="28"/>
      <c r="K31" s="28"/>
      <c r="L31" s="28"/>
      <c r="M31" s="28"/>
      <c r="N31" s="28"/>
      <c r="O31" s="28"/>
    </row>
    <row r="32">
      <c r="A32" s="27" t="str">
        <f>IFERROR(__xludf.DUMMYFUNCTION("""COMPUTED_VALUE"""),"")</f>
        <v/>
      </c>
      <c r="B32" s="28"/>
      <c r="C32" s="28"/>
      <c r="D32" s="27"/>
      <c r="E32" s="27"/>
      <c r="F32" s="27"/>
      <c r="G32" s="27"/>
      <c r="H32" s="28"/>
      <c r="I32" s="28"/>
      <c r="J32" s="28"/>
      <c r="K32" s="28"/>
      <c r="L32" s="28"/>
      <c r="M32" s="28"/>
      <c r="N32" s="28"/>
      <c r="O32" s="28"/>
    </row>
    <row r="33">
      <c r="A33" s="27" t="str">
        <f>IFERROR(__xludf.DUMMYFUNCTION("""COMPUTED_VALUE"""),"")</f>
        <v/>
      </c>
      <c r="B33" s="28"/>
      <c r="C33" s="28"/>
      <c r="D33" s="27"/>
      <c r="E33" s="27"/>
      <c r="F33" s="27"/>
      <c r="G33" s="27"/>
      <c r="H33" s="28"/>
      <c r="I33" s="28"/>
      <c r="J33" s="28"/>
      <c r="K33" s="28"/>
      <c r="L33" s="28"/>
      <c r="M33" s="28"/>
      <c r="N33" s="28"/>
      <c r="O33" s="28"/>
      <c r="R33" s="28" t="str">
        <f t="shared" ref="R33:R389" si="9">B33</f>
        <v/>
      </c>
    </row>
    <row r="34">
      <c r="A34" s="27" t="str">
        <f>IFERROR(__xludf.DUMMYFUNCTION("""COMPUTED_VALUE"""),"")</f>
        <v/>
      </c>
      <c r="B34" s="28"/>
      <c r="C34" s="28"/>
      <c r="D34" s="27"/>
      <c r="E34" s="27"/>
      <c r="F34" s="27"/>
      <c r="G34" s="27"/>
      <c r="H34" s="28"/>
      <c r="I34" s="28"/>
      <c r="J34" s="28"/>
      <c r="K34" s="28"/>
      <c r="L34" s="28"/>
      <c r="M34" s="28"/>
      <c r="N34" s="28"/>
      <c r="O34" s="28"/>
      <c r="R34" s="28" t="str">
        <f t="shared" si="9"/>
        <v/>
      </c>
    </row>
    <row r="35">
      <c r="A35" s="27" t="str">
        <f>IFERROR(__xludf.DUMMYFUNCTION("""COMPUTED_VALUE"""),"")</f>
        <v/>
      </c>
      <c r="B35" s="28"/>
      <c r="C35" s="28"/>
      <c r="D35" s="27"/>
      <c r="E35" s="27"/>
      <c r="F35" s="27"/>
      <c r="G35" s="27"/>
      <c r="H35" s="28"/>
      <c r="I35" s="28"/>
      <c r="J35" s="28"/>
      <c r="K35" s="28"/>
      <c r="L35" s="28"/>
      <c r="M35" s="28"/>
      <c r="N35" s="28"/>
      <c r="O35" s="28"/>
      <c r="R35" s="28" t="str">
        <f t="shared" si="9"/>
        <v/>
      </c>
    </row>
    <row r="36">
      <c r="A36" s="27" t="str">
        <f>IFERROR(__xludf.DUMMYFUNCTION("""COMPUTED_VALUE"""),"")</f>
        <v/>
      </c>
      <c r="B36" s="28"/>
      <c r="C36" s="28"/>
      <c r="D36" s="27"/>
      <c r="E36" s="27"/>
      <c r="F36" s="27"/>
      <c r="G36" s="27"/>
      <c r="H36" s="28"/>
      <c r="I36" s="28"/>
      <c r="J36" s="28"/>
      <c r="K36" s="28"/>
      <c r="L36" s="28"/>
      <c r="M36" s="28"/>
      <c r="N36" s="28"/>
      <c r="O36" s="28"/>
      <c r="R36" s="28" t="str">
        <f t="shared" si="9"/>
        <v/>
      </c>
    </row>
    <row r="37">
      <c r="A37" s="27" t="str">
        <f>IFERROR(__xludf.DUMMYFUNCTION("""COMPUTED_VALUE"""),"")</f>
        <v/>
      </c>
      <c r="B37" s="28"/>
      <c r="C37" s="28"/>
      <c r="D37" s="27"/>
      <c r="E37" s="27"/>
      <c r="F37" s="27"/>
      <c r="G37" s="27"/>
      <c r="H37" s="28"/>
      <c r="I37" s="28"/>
      <c r="J37" s="28"/>
      <c r="K37" s="28"/>
      <c r="L37" s="28"/>
      <c r="M37" s="28"/>
      <c r="N37" s="28"/>
      <c r="O37" s="28"/>
      <c r="R37" s="28" t="str">
        <f t="shared" si="9"/>
        <v/>
      </c>
    </row>
    <row r="38">
      <c r="A38" s="27" t="str">
        <f>IFERROR(__xludf.DUMMYFUNCTION("""COMPUTED_VALUE"""),"")</f>
        <v/>
      </c>
      <c r="B38" s="28"/>
      <c r="C38" s="28"/>
      <c r="D38" s="27"/>
      <c r="E38" s="27"/>
      <c r="F38" s="27"/>
      <c r="G38" s="27"/>
      <c r="H38" s="28"/>
      <c r="I38" s="28"/>
      <c r="J38" s="28"/>
      <c r="K38" s="28"/>
      <c r="L38" s="28"/>
      <c r="M38" s="28"/>
      <c r="N38" s="28"/>
      <c r="O38" s="28"/>
      <c r="R38" s="28" t="str">
        <f t="shared" si="9"/>
        <v/>
      </c>
    </row>
    <row r="39">
      <c r="A39" s="27" t="str">
        <f>IFERROR(__xludf.DUMMYFUNCTION("""COMPUTED_VALUE"""),"")</f>
        <v/>
      </c>
      <c r="B39" s="28"/>
      <c r="C39" s="28"/>
      <c r="D39" s="27"/>
      <c r="E39" s="27"/>
      <c r="F39" s="27"/>
      <c r="G39" s="27"/>
      <c r="H39" s="28"/>
      <c r="I39" s="28"/>
      <c r="J39" s="28"/>
      <c r="K39" s="28"/>
      <c r="L39" s="28"/>
      <c r="M39" s="28"/>
      <c r="N39" s="28"/>
      <c r="O39" s="28"/>
      <c r="R39" s="28" t="str">
        <f t="shared" si="9"/>
        <v/>
      </c>
    </row>
    <row r="40">
      <c r="A40" s="27" t="str">
        <f>IFERROR(__xludf.DUMMYFUNCTION("""COMPUTED_VALUE"""),"")</f>
        <v/>
      </c>
      <c r="B40" s="28"/>
      <c r="C40" s="28"/>
      <c r="D40" s="27"/>
      <c r="E40" s="27"/>
      <c r="F40" s="27"/>
      <c r="G40" s="27"/>
      <c r="H40" s="28"/>
      <c r="I40" s="28"/>
      <c r="J40" s="28"/>
      <c r="K40" s="28"/>
      <c r="L40" s="28"/>
      <c r="M40" s="28"/>
      <c r="N40" s="28"/>
      <c r="O40" s="28"/>
      <c r="R40" s="28" t="str">
        <f t="shared" si="9"/>
        <v/>
      </c>
    </row>
    <row r="41">
      <c r="A41" s="27" t="str">
        <f>IFERROR(__xludf.DUMMYFUNCTION("""COMPUTED_VALUE"""),"")</f>
        <v/>
      </c>
      <c r="B41" s="28"/>
      <c r="C41" s="28"/>
      <c r="D41" s="27"/>
      <c r="E41" s="27"/>
      <c r="F41" s="27"/>
      <c r="G41" s="27"/>
      <c r="H41" s="28"/>
      <c r="I41" s="28"/>
      <c r="J41" s="28"/>
      <c r="K41" s="28"/>
      <c r="L41" s="28"/>
      <c r="M41" s="28"/>
      <c r="N41" s="28"/>
      <c r="O41" s="28"/>
      <c r="R41" s="28" t="str">
        <f t="shared" si="9"/>
        <v/>
      </c>
    </row>
    <row r="42">
      <c r="A42" s="27" t="str">
        <f>IFERROR(__xludf.DUMMYFUNCTION("""COMPUTED_VALUE"""),"")</f>
        <v/>
      </c>
      <c r="B42" s="28"/>
      <c r="C42" s="28"/>
      <c r="D42" s="27"/>
      <c r="E42" s="27"/>
      <c r="F42" s="27"/>
      <c r="G42" s="27"/>
      <c r="H42" s="28"/>
      <c r="I42" s="28"/>
      <c r="J42" s="28"/>
      <c r="K42" s="28"/>
      <c r="L42" s="28"/>
      <c r="M42" s="28"/>
      <c r="N42" s="28"/>
      <c r="O42" s="28"/>
      <c r="R42" s="28" t="str">
        <f t="shared" si="9"/>
        <v/>
      </c>
    </row>
    <row r="43">
      <c r="A43" s="27" t="str">
        <f>IFERROR(__xludf.DUMMYFUNCTION("""COMPUTED_VALUE"""),"")</f>
        <v/>
      </c>
      <c r="B43" s="28"/>
      <c r="C43" s="28"/>
      <c r="D43" s="27"/>
      <c r="E43" s="27"/>
      <c r="F43" s="27"/>
      <c r="G43" s="27"/>
      <c r="H43" s="28"/>
      <c r="I43" s="28"/>
      <c r="J43" s="28"/>
      <c r="K43" s="28"/>
      <c r="L43" s="28"/>
      <c r="M43" s="28"/>
      <c r="N43" s="28"/>
      <c r="O43" s="28"/>
      <c r="R43" s="28" t="str">
        <f t="shared" si="9"/>
        <v/>
      </c>
    </row>
    <row r="44">
      <c r="A44" s="27" t="str">
        <f>IFERROR(__xludf.DUMMYFUNCTION("""COMPUTED_VALUE"""),"")</f>
        <v/>
      </c>
      <c r="B44" s="28"/>
      <c r="C44" s="28"/>
      <c r="D44" s="27"/>
      <c r="E44" s="27"/>
      <c r="F44" s="27"/>
      <c r="G44" s="27"/>
      <c r="H44" s="28"/>
      <c r="I44" s="28"/>
      <c r="J44" s="28"/>
      <c r="K44" s="28"/>
      <c r="L44" s="28"/>
      <c r="M44" s="28"/>
      <c r="N44" s="28"/>
      <c r="O44" s="28"/>
      <c r="R44" s="28" t="str">
        <f t="shared" si="9"/>
        <v/>
      </c>
    </row>
    <row r="45">
      <c r="A45" s="27" t="str">
        <f>IFERROR(__xludf.DUMMYFUNCTION("""COMPUTED_VALUE"""),"")</f>
        <v/>
      </c>
      <c r="B45" s="28"/>
      <c r="C45" s="28"/>
      <c r="D45" s="27"/>
      <c r="E45" s="27"/>
      <c r="F45" s="27"/>
      <c r="G45" s="27"/>
      <c r="H45" s="28"/>
      <c r="I45" s="28"/>
      <c r="J45" s="28"/>
      <c r="K45" s="28"/>
      <c r="L45" s="28"/>
      <c r="M45" s="28"/>
      <c r="N45" s="28"/>
      <c r="O45" s="28"/>
      <c r="R45" s="28" t="str">
        <f t="shared" si="9"/>
        <v/>
      </c>
    </row>
    <row r="46">
      <c r="A46" s="27" t="str">
        <f>IFERROR(__xludf.DUMMYFUNCTION("""COMPUTED_VALUE"""),"")</f>
        <v/>
      </c>
      <c r="B46" s="28"/>
      <c r="C46" s="28"/>
      <c r="D46" s="27"/>
      <c r="E46" s="27"/>
      <c r="F46" s="27"/>
      <c r="G46" s="27"/>
      <c r="H46" s="28"/>
      <c r="I46" s="28"/>
      <c r="J46" s="28"/>
      <c r="K46" s="28"/>
      <c r="L46" s="28"/>
      <c r="M46" s="28"/>
      <c r="N46" s="28"/>
      <c r="O46" s="28"/>
      <c r="R46" s="28" t="str">
        <f t="shared" si="9"/>
        <v/>
      </c>
    </row>
    <row r="47">
      <c r="A47" s="27" t="str">
        <f>IFERROR(__xludf.DUMMYFUNCTION("""COMPUTED_VALUE"""),"")</f>
        <v/>
      </c>
      <c r="B47" s="28"/>
      <c r="C47" s="28"/>
      <c r="D47" s="27"/>
      <c r="E47" s="27"/>
      <c r="F47" s="27"/>
      <c r="G47" s="27"/>
      <c r="H47" s="28"/>
      <c r="I47" s="28"/>
      <c r="J47" s="28"/>
      <c r="K47" s="28"/>
      <c r="L47" s="28"/>
      <c r="M47" s="28"/>
      <c r="N47" s="28"/>
      <c r="O47" s="28"/>
      <c r="R47" s="28" t="str">
        <f t="shared" si="9"/>
        <v/>
      </c>
    </row>
    <row r="48">
      <c r="A48" s="27" t="str">
        <f>IFERROR(__xludf.DUMMYFUNCTION("""COMPUTED_VALUE"""),"")</f>
        <v/>
      </c>
      <c r="B48" s="28"/>
      <c r="C48" s="28"/>
      <c r="D48" s="27"/>
      <c r="E48" s="27"/>
      <c r="F48" s="27"/>
      <c r="G48" s="27"/>
      <c r="H48" s="28"/>
      <c r="I48" s="28"/>
      <c r="J48" s="28"/>
      <c r="K48" s="28"/>
      <c r="L48" s="28"/>
      <c r="M48" s="28"/>
      <c r="N48" s="28"/>
      <c r="O48" s="28"/>
      <c r="R48" s="28" t="str">
        <f t="shared" si="9"/>
        <v/>
      </c>
    </row>
    <row r="49">
      <c r="A49" s="27" t="str">
        <f>IFERROR(__xludf.DUMMYFUNCTION("""COMPUTED_VALUE"""),"")</f>
        <v/>
      </c>
      <c r="B49" s="28"/>
      <c r="C49" s="28"/>
      <c r="D49" s="27"/>
      <c r="E49" s="27"/>
      <c r="F49" s="27"/>
      <c r="G49" s="27"/>
      <c r="H49" s="28"/>
      <c r="I49" s="28"/>
      <c r="J49" s="28"/>
      <c r="K49" s="28"/>
      <c r="L49" s="28"/>
      <c r="M49" s="28"/>
      <c r="N49" s="28"/>
      <c r="O49" s="28"/>
      <c r="R49" s="28" t="str">
        <f t="shared" si="9"/>
        <v/>
      </c>
    </row>
    <row r="50">
      <c r="A50" s="27" t="str">
        <f>IFERROR(__xludf.DUMMYFUNCTION("""COMPUTED_VALUE"""),"")</f>
        <v/>
      </c>
      <c r="B50" s="28"/>
      <c r="C50" s="28"/>
      <c r="D50" s="27"/>
      <c r="E50" s="27"/>
      <c r="F50" s="27"/>
      <c r="G50" s="27"/>
      <c r="H50" s="28"/>
      <c r="I50" s="28"/>
      <c r="J50" s="28"/>
      <c r="K50" s="28"/>
      <c r="L50" s="28"/>
      <c r="M50" s="28"/>
      <c r="N50" s="28"/>
      <c r="O50" s="28"/>
      <c r="R50" s="28" t="str">
        <f t="shared" si="9"/>
        <v/>
      </c>
    </row>
    <row r="51">
      <c r="A51" s="27" t="str">
        <f>IFERROR(__xludf.DUMMYFUNCTION("""COMPUTED_VALUE"""),"")</f>
        <v/>
      </c>
      <c r="B51" s="28"/>
      <c r="C51" s="28"/>
      <c r="D51" s="27"/>
      <c r="E51" s="27"/>
      <c r="F51" s="27"/>
      <c r="G51" s="27"/>
      <c r="H51" s="28"/>
      <c r="I51" s="28"/>
      <c r="J51" s="28"/>
      <c r="K51" s="28"/>
      <c r="L51" s="28"/>
      <c r="M51" s="28"/>
      <c r="N51" s="28"/>
      <c r="O51" s="28"/>
      <c r="R51" s="28" t="str">
        <f t="shared" si="9"/>
        <v/>
      </c>
    </row>
    <row r="52">
      <c r="A52" s="27" t="str">
        <f>IFERROR(__xludf.DUMMYFUNCTION("""COMPUTED_VALUE"""),"")</f>
        <v/>
      </c>
      <c r="B52" s="28"/>
      <c r="C52" s="28"/>
      <c r="D52" s="27"/>
      <c r="E52" s="27"/>
      <c r="F52" s="27"/>
      <c r="G52" s="27"/>
      <c r="H52" s="28"/>
      <c r="I52" s="28"/>
      <c r="J52" s="28"/>
      <c r="K52" s="28"/>
      <c r="L52" s="28"/>
      <c r="M52" s="28"/>
      <c r="N52" s="28"/>
      <c r="O52" s="28"/>
      <c r="R52" s="28" t="str">
        <f t="shared" si="9"/>
        <v/>
      </c>
    </row>
    <row r="53">
      <c r="A53" s="27" t="str">
        <f>IFERROR(__xludf.DUMMYFUNCTION("""COMPUTED_VALUE"""),"")</f>
        <v/>
      </c>
      <c r="B53" s="28"/>
      <c r="C53" s="28"/>
      <c r="D53" s="27"/>
      <c r="E53" s="27"/>
      <c r="F53" s="27"/>
      <c r="G53" s="27"/>
      <c r="H53" s="28"/>
      <c r="I53" s="28"/>
      <c r="J53" s="28"/>
      <c r="K53" s="28"/>
      <c r="L53" s="28"/>
      <c r="M53" s="28"/>
      <c r="N53" s="28"/>
      <c r="O53" s="28"/>
      <c r="R53" s="28" t="str">
        <f t="shared" si="9"/>
        <v/>
      </c>
    </row>
    <row r="54">
      <c r="A54" s="27" t="str">
        <f>IFERROR(__xludf.DUMMYFUNCTION("""COMPUTED_VALUE"""),"")</f>
        <v/>
      </c>
      <c r="B54" s="28"/>
      <c r="C54" s="28"/>
      <c r="D54" s="27"/>
      <c r="E54" s="27"/>
      <c r="F54" s="27"/>
      <c r="G54" s="27"/>
      <c r="H54" s="28"/>
      <c r="I54" s="28"/>
      <c r="J54" s="28"/>
      <c r="K54" s="28"/>
      <c r="L54" s="28"/>
      <c r="M54" s="28"/>
      <c r="N54" s="28"/>
      <c r="O54" s="28"/>
      <c r="R54" s="28" t="str">
        <f t="shared" si="9"/>
        <v/>
      </c>
    </row>
    <row r="55">
      <c r="A55" s="27" t="str">
        <f>IFERROR(__xludf.DUMMYFUNCTION("""COMPUTED_VALUE"""),"")</f>
        <v/>
      </c>
      <c r="B55" s="28"/>
      <c r="C55" s="28"/>
      <c r="D55" s="27"/>
      <c r="E55" s="27"/>
      <c r="F55" s="27"/>
      <c r="G55" s="27"/>
      <c r="H55" s="28"/>
      <c r="I55" s="28"/>
      <c r="J55" s="28"/>
      <c r="K55" s="28"/>
      <c r="L55" s="28"/>
      <c r="M55" s="28"/>
      <c r="N55" s="28"/>
      <c r="O55" s="28"/>
      <c r="R55" s="28" t="str">
        <f t="shared" si="9"/>
        <v/>
      </c>
    </row>
    <row r="56">
      <c r="A56" s="27" t="str">
        <f>IFERROR(__xludf.DUMMYFUNCTION("""COMPUTED_VALUE"""),"")</f>
        <v/>
      </c>
      <c r="B56" s="28"/>
      <c r="C56" s="28"/>
      <c r="D56" s="27"/>
      <c r="E56" s="27"/>
      <c r="F56" s="27"/>
      <c r="G56" s="27"/>
      <c r="H56" s="28"/>
      <c r="I56" s="28"/>
      <c r="J56" s="28"/>
      <c r="K56" s="28"/>
      <c r="L56" s="28"/>
      <c r="M56" s="28"/>
      <c r="N56" s="28"/>
      <c r="O56" s="28"/>
      <c r="R56" s="28" t="str">
        <f t="shared" si="9"/>
        <v/>
      </c>
    </row>
    <row r="57">
      <c r="A57" s="27" t="str">
        <f>IFERROR(__xludf.DUMMYFUNCTION("""COMPUTED_VALUE"""),"")</f>
        <v/>
      </c>
      <c r="B57" s="28"/>
      <c r="C57" s="28"/>
      <c r="D57" s="27"/>
      <c r="E57" s="27"/>
      <c r="F57" s="27"/>
      <c r="G57" s="27"/>
      <c r="H57" s="28"/>
      <c r="I57" s="28"/>
      <c r="J57" s="28"/>
      <c r="K57" s="28"/>
      <c r="L57" s="28"/>
      <c r="M57" s="28"/>
      <c r="N57" s="28"/>
      <c r="O57" s="28"/>
      <c r="R57" s="28" t="str">
        <f t="shared" si="9"/>
        <v/>
      </c>
    </row>
    <row r="58">
      <c r="A58" s="27" t="str">
        <f>IFERROR(__xludf.DUMMYFUNCTION("""COMPUTED_VALUE"""),"")</f>
        <v/>
      </c>
      <c r="B58" s="28"/>
      <c r="C58" s="28"/>
      <c r="D58" s="27"/>
      <c r="E58" s="27"/>
      <c r="F58" s="27"/>
      <c r="G58" s="27"/>
      <c r="H58" s="28"/>
      <c r="I58" s="28"/>
      <c r="J58" s="28"/>
      <c r="K58" s="28"/>
      <c r="L58" s="28"/>
      <c r="M58" s="28"/>
      <c r="N58" s="28"/>
      <c r="O58" s="28"/>
      <c r="R58" s="28" t="str">
        <f t="shared" si="9"/>
        <v/>
      </c>
    </row>
    <row r="59">
      <c r="A59" s="27" t="str">
        <f>IFERROR(__xludf.DUMMYFUNCTION("""COMPUTED_VALUE"""),"")</f>
        <v/>
      </c>
      <c r="B59" s="28"/>
      <c r="C59" s="28"/>
      <c r="D59" s="27"/>
      <c r="E59" s="27"/>
      <c r="F59" s="27"/>
      <c r="G59" s="27"/>
      <c r="H59" s="28"/>
      <c r="I59" s="28"/>
      <c r="J59" s="28"/>
      <c r="K59" s="28"/>
      <c r="L59" s="28"/>
      <c r="M59" s="28"/>
      <c r="N59" s="28"/>
      <c r="O59" s="28"/>
      <c r="R59" s="28" t="str">
        <f t="shared" si="9"/>
        <v/>
      </c>
    </row>
    <row r="60">
      <c r="A60" s="27" t="str">
        <f>IFERROR(__xludf.DUMMYFUNCTION("""COMPUTED_VALUE"""),"")</f>
        <v/>
      </c>
      <c r="B60" s="28"/>
      <c r="C60" s="28"/>
      <c r="D60" s="27"/>
      <c r="E60" s="27"/>
      <c r="F60" s="27"/>
      <c r="G60" s="27"/>
      <c r="H60" s="28"/>
      <c r="I60" s="28"/>
      <c r="J60" s="28"/>
      <c r="K60" s="28"/>
      <c r="L60" s="28"/>
      <c r="M60" s="28"/>
      <c r="N60" s="28"/>
      <c r="O60" s="28"/>
      <c r="R60" s="28" t="str">
        <f t="shared" si="9"/>
        <v/>
      </c>
    </row>
    <row r="61">
      <c r="A61" s="27" t="str">
        <f>IFERROR(__xludf.DUMMYFUNCTION("""COMPUTED_VALUE"""),"")</f>
        <v/>
      </c>
      <c r="B61" s="28"/>
      <c r="C61" s="28"/>
      <c r="D61" s="27"/>
      <c r="E61" s="27"/>
      <c r="F61" s="27"/>
      <c r="G61" s="27"/>
      <c r="H61" s="28"/>
      <c r="I61" s="28"/>
      <c r="J61" s="28"/>
      <c r="K61" s="28"/>
      <c r="L61" s="28"/>
      <c r="M61" s="28"/>
      <c r="N61" s="28"/>
      <c r="O61" s="28"/>
      <c r="R61" s="28" t="str">
        <f t="shared" si="9"/>
        <v/>
      </c>
    </row>
    <row r="62">
      <c r="A62" s="27" t="str">
        <f>IFERROR(__xludf.DUMMYFUNCTION("""COMPUTED_VALUE"""),"")</f>
        <v/>
      </c>
      <c r="B62" s="28"/>
      <c r="C62" s="28"/>
      <c r="D62" s="27"/>
      <c r="E62" s="27"/>
      <c r="F62" s="27"/>
      <c r="G62" s="27"/>
      <c r="H62" s="28"/>
      <c r="I62" s="28"/>
      <c r="J62" s="28"/>
      <c r="K62" s="28"/>
      <c r="L62" s="28"/>
      <c r="M62" s="28"/>
      <c r="N62" s="28"/>
      <c r="O62" s="28"/>
      <c r="R62" s="28" t="str">
        <f t="shared" si="9"/>
        <v/>
      </c>
    </row>
    <row r="63">
      <c r="A63" s="27" t="str">
        <f>IFERROR(__xludf.DUMMYFUNCTION("""COMPUTED_VALUE"""),"")</f>
        <v/>
      </c>
      <c r="B63" s="28"/>
      <c r="C63" s="28"/>
      <c r="D63" s="27"/>
      <c r="E63" s="27"/>
      <c r="F63" s="27"/>
      <c r="G63" s="27"/>
      <c r="H63" s="28"/>
      <c r="I63" s="28"/>
      <c r="J63" s="28"/>
      <c r="K63" s="28"/>
      <c r="L63" s="28"/>
      <c r="M63" s="28"/>
      <c r="N63" s="28"/>
      <c r="O63" s="28"/>
      <c r="R63" s="28" t="str">
        <f t="shared" si="9"/>
        <v/>
      </c>
    </row>
    <row r="64">
      <c r="A64" s="27" t="str">
        <f>IFERROR(__xludf.DUMMYFUNCTION("""COMPUTED_VALUE"""),"")</f>
        <v/>
      </c>
      <c r="B64" s="28"/>
      <c r="C64" s="28"/>
      <c r="D64" s="27"/>
      <c r="E64" s="27"/>
      <c r="F64" s="27"/>
      <c r="G64" s="27"/>
      <c r="H64" s="28"/>
      <c r="I64" s="28"/>
      <c r="J64" s="28"/>
      <c r="K64" s="28"/>
      <c r="L64" s="28"/>
      <c r="M64" s="28"/>
      <c r="N64" s="28"/>
      <c r="O64" s="28"/>
      <c r="R64" s="28" t="str">
        <f t="shared" si="9"/>
        <v/>
      </c>
    </row>
    <row r="65">
      <c r="A65" s="27" t="str">
        <f>IFERROR(__xludf.DUMMYFUNCTION("""COMPUTED_VALUE"""),"")</f>
        <v/>
      </c>
      <c r="B65" s="28"/>
      <c r="C65" s="28"/>
      <c r="D65" s="27"/>
      <c r="E65" s="27"/>
      <c r="F65" s="27"/>
      <c r="G65" s="27"/>
      <c r="H65" s="28"/>
      <c r="I65" s="28"/>
      <c r="J65" s="28"/>
      <c r="K65" s="28"/>
      <c r="L65" s="28"/>
      <c r="M65" s="28"/>
      <c r="N65" s="28"/>
      <c r="O65" s="28"/>
      <c r="R65" s="28" t="str">
        <f t="shared" si="9"/>
        <v/>
      </c>
    </row>
    <row r="66">
      <c r="A66" s="27" t="str">
        <f>IFERROR(__xludf.DUMMYFUNCTION("""COMPUTED_VALUE"""),"")</f>
        <v/>
      </c>
      <c r="B66" s="28"/>
      <c r="C66" s="28"/>
      <c r="D66" s="27"/>
      <c r="E66" s="27"/>
      <c r="F66" s="27"/>
      <c r="G66" s="27"/>
      <c r="H66" s="28"/>
      <c r="I66" s="28"/>
      <c r="J66" s="28"/>
      <c r="K66" s="28"/>
      <c r="L66" s="28"/>
      <c r="M66" s="28"/>
      <c r="N66" s="28"/>
      <c r="O66" s="28"/>
      <c r="R66" s="28" t="str">
        <f t="shared" si="9"/>
        <v/>
      </c>
    </row>
    <row r="67">
      <c r="A67" s="27" t="str">
        <f>IFERROR(__xludf.DUMMYFUNCTION("""COMPUTED_VALUE"""),"")</f>
        <v/>
      </c>
      <c r="B67" s="28"/>
      <c r="C67" s="28"/>
      <c r="D67" s="27"/>
      <c r="E67" s="27"/>
      <c r="F67" s="27"/>
      <c r="G67" s="27"/>
      <c r="H67" s="28"/>
      <c r="I67" s="28"/>
      <c r="J67" s="28"/>
      <c r="K67" s="28"/>
      <c r="L67" s="28"/>
      <c r="M67" s="28"/>
      <c r="N67" s="28"/>
      <c r="O67" s="28"/>
      <c r="R67" s="28" t="str">
        <f t="shared" si="9"/>
        <v/>
      </c>
    </row>
    <row r="68">
      <c r="A68" s="27" t="str">
        <f>IFERROR(__xludf.DUMMYFUNCTION("""COMPUTED_VALUE"""),"")</f>
        <v/>
      </c>
      <c r="B68" s="28"/>
      <c r="C68" s="28"/>
      <c r="D68" s="27"/>
      <c r="E68" s="27"/>
      <c r="F68" s="27"/>
      <c r="G68" s="27"/>
      <c r="H68" s="28"/>
      <c r="I68" s="28"/>
      <c r="J68" s="28"/>
      <c r="K68" s="28"/>
      <c r="L68" s="28"/>
      <c r="M68" s="28"/>
      <c r="N68" s="28"/>
      <c r="O68" s="28"/>
      <c r="R68" s="28" t="str">
        <f t="shared" si="9"/>
        <v/>
      </c>
    </row>
    <row r="69">
      <c r="A69" s="27" t="str">
        <f>IFERROR(__xludf.DUMMYFUNCTION("""COMPUTED_VALUE"""),"")</f>
        <v/>
      </c>
      <c r="B69" s="28"/>
      <c r="C69" s="28"/>
      <c r="D69" s="27"/>
      <c r="E69" s="27"/>
      <c r="F69" s="27"/>
      <c r="G69" s="27"/>
      <c r="H69" s="28"/>
      <c r="I69" s="28"/>
      <c r="J69" s="28"/>
      <c r="K69" s="28"/>
      <c r="L69" s="28"/>
      <c r="M69" s="28"/>
      <c r="N69" s="28"/>
      <c r="O69" s="28"/>
      <c r="R69" s="28" t="str">
        <f t="shared" si="9"/>
        <v/>
      </c>
    </row>
    <row r="70">
      <c r="A70" s="27" t="str">
        <f>IFERROR(__xludf.DUMMYFUNCTION("""COMPUTED_VALUE"""),"")</f>
        <v/>
      </c>
      <c r="B70" s="28"/>
      <c r="C70" s="28"/>
      <c r="D70" s="27"/>
      <c r="E70" s="27"/>
      <c r="F70" s="27"/>
      <c r="G70" s="27"/>
      <c r="H70" s="28"/>
      <c r="I70" s="28"/>
      <c r="J70" s="28"/>
      <c r="K70" s="28"/>
      <c r="L70" s="28"/>
      <c r="M70" s="28"/>
      <c r="N70" s="28"/>
      <c r="O70" s="28"/>
      <c r="R70" s="28" t="str">
        <f t="shared" si="9"/>
        <v/>
      </c>
    </row>
    <row r="71">
      <c r="A71" s="27" t="str">
        <f>IFERROR(__xludf.DUMMYFUNCTION("""COMPUTED_VALUE"""),"")</f>
        <v/>
      </c>
      <c r="B71" s="28"/>
      <c r="C71" s="28"/>
      <c r="D71" s="27"/>
      <c r="E71" s="27"/>
      <c r="F71" s="27"/>
      <c r="G71" s="27"/>
      <c r="H71" s="28"/>
      <c r="I71" s="28"/>
      <c r="J71" s="28"/>
      <c r="K71" s="28"/>
      <c r="L71" s="28"/>
      <c r="M71" s="28"/>
      <c r="N71" s="28"/>
      <c r="O71" s="28"/>
      <c r="R71" s="28" t="str">
        <f t="shared" si="9"/>
        <v/>
      </c>
    </row>
    <row r="72">
      <c r="A72" s="27" t="str">
        <f>IFERROR(__xludf.DUMMYFUNCTION("""COMPUTED_VALUE"""),"")</f>
        <v/>
      </c>
      <c r="B72" s="28"/>
      <c r="C72" s="28"/>
      <c r="D72" s="27"/>
      <c r="E72" s="27"/>
      <c r="F72" s="27"/>
      <c r="G72" s="27"/>
      <c r="H72" s="28"/>
      <c r="I72" s="28"/>
      <c r="J72" s="28"/>
      <c r="K72" s="28"/>
      <c r="L72" s="28"/>
      <c r="M72" s="28"/>
      <c r="N72" s="28"/>
      <c r="O72" s="28"/>
      <c r="R72" s="28" t="str">
        <f t="shared" si="9"/>
        <v/>
      </c>
    </row>
    <row r="73">
      <c r="A73" s="27" t="str">
        <f>IFERROR(__xludf.DUMMYFUNCTION("""COMPUTED_VALUE"""),"")</f>
        <v/>
      </c>
      <c r="B73" s="28"/>
      <c r="C73" s="28"/>
      <c r="D73" s="27"/>
      <c r="E73" s="27"/>
      <c r="F73" s="27"/>
      <c r="G73" s="27"/>
      <c r="H73" s="28"/>
      <c r="I73" s="28"/>
      <c r="J73" s="28"/>
      <c r="K73" s="28"/>
      <c r="L73" s="28"/>
      <c r="M73" s="28"/>
      <c r="N73" s="28"/>
      <c r="O73" s="28"/>
      <c r="R73" s="28" t="str">
        <f t="shared" si="9"/>
        <v/>
      </c>
    </row>
    <row r="74">
      <c r="A74" s="27" t="str">
        <f>IFERROR(__xludf.DUMMYFUNCTION("""COMPUTED_VALUE"""),"")</f>
        <v/>
      </c>
      <c r="B74" s="28"/>
      <c r="C74" s="28"/>
      <c r="D74" s="27"/>
      <c r="E74" s="27"/>
      <c r="F74" s="27"/>
      <c r="G74" s="27"/>
      <c r="H74" s="28"/>
      <c r="I74" s="28"/>
      <c r="J74" s="28"/>
      <c r="K74" s="28"/>
      <c r="L74" s="28"/>
      <c r="M74" s="28"/>
      <c r="N74" s="28"/>
      <c r="O74" s="28"/>
      <c r="R74" s="28" t="str">
        <f t="shared" si="9"/>
        <v/>
      </c>
    </row>
    <row r="75">
      <c r="A75" s="27" t="str">
        <f>IFERROR(__xludf.DUMMYFUNCTION("""COMPUTED_VALUE"""),"")</f>
        <v/>
      </c>
      <c r="B75" s="28"/>
      <c r="C75" s="28"/>
      <c r="D75" s="27"/>
      <c r="E75" s="27"/>
      <c r="F75" s="27"/>
      <c r="G75" s="27"/>
      <c r="H75" s="28"/>
      <c r="I75" s="28"/>
      <c r="J75" s="28"/>
      <c r="K75" s="28"/>
      <c r="L75" s="28"/>
      <c r="M75" s="28"/>
      <c r="N75" s="28"/>
      <c r="O75" s="28"/>
      <c r="R75" s="28" t="str">
        <f t="shared" si="9"/>
        <v/>
      </c>
    </row>
    <row r="76">
      <c r="A76" s="27" t="str">
        <f>IFERROR(__xludf.DUMMYFUNCTION("""COMPUTED_VALUE"""),"")</f>
        <v/>
      </c>
      <c r="B76" s="28"/>
      <c r="C76" s="28"/>
      <c r="D76" s="27"/>
      <c r="E76" s="27"/>
      <c r="F76" s="27"/>
      <c r="G76" s="27"/>
      <c r="H76" s="28"/>
      <c r="I76" s="28"/>
      <c r="J76" s="28"/>
      <c r="K76" s="28"/>
      <c r="L76" s="28"/>
      <c r="M76" s="28"/>
      <c r="N76" s="28"/>
      <c r="O76" s="28"/>
      <c r="R76" s="28" t="str">
        <f t="shared" si="9"/>
        <v/>
      </c>
    </row>
    <row r="77">
      <c r="A77" s="27" t="str">
        <f>IFERROR(__xludf.DUMMYFUNCTION("""COMPUTED_VALUE"""),"")</f>
        <v/>
      </c>
      <c r="B77" s="28"/>
      <c r="C77" s="28"/>
      <c r="D77" s="27"/>
      <c r="E77" s="27"/>
      <c r="F77" s="27"/>
      <c r="G77" s="27"/>
      <c r="H77" s="28"/>
      <c r="I77" s="28"/>
      <c r="J77" s="28"/>
      <c r="K77" s="28"/>
      <c r="L77" s="28"/>
      <c r="M77" s="28"/>
      <c r="N77" s="28"/>
      <c r="O77" s="28"/>
      <c r="R77" s="28" t="str">
        <f t="shared" si="9"/>
        <v/>
      </c>
    </row>
    <row r="78">
      <c r="A78" s="27" t="str">
        <f>IFERROR(__xludf.DUMMYFUNCTION("""COMPUTED_VALUE"""),"")</f>
        <v/>
      </c>
      <c r="B78" s="28"/>
      <c r="C78" s="28"/>
      <c r="D78" s="27"/>
      <c r="E78" s="27"/>
      <c r="F78" s="27"/>
      <c r="G78" s="27"/>
      <c r="H78" s="28"/>
      <c r="I78" s="28"/>
      <c r="J78" s="28"/>
      <c r="K78" s="28"/>
      <c r="L78" s="28"/>
      <c r="M78" s="28"/>
      <c r="N78" s="28"/>
      <c r="O78" s="28"/>
      <c r="R78" s="28" t="str">
        <f t="shared" si="9"/>
        <v/>
      </c>
    </row>
    <row r="79">
      <c r="A79" s="27" t="str">
        <f>IFERROR(__xludf.DUMMYFUNCTION("""COMPUTED_VALUE"""),"")</f>
        <v/>
      </c>
      <c r="B79" s="28"/>
      <c r="C79" s="28"/>
      <c r="D79" s="27"/>
      <c r="E79" s="27"/>
      <c r="F79" s="27"/>
      <c r="G79" s="27"/>
      <c r="H79" s="28"/>
      <c r="I79" s="28"/>
      <c r="J79" s="28"/>
      <c r="K79" s="28"/>
      <c r="L79" s="28"/>
      <c r="M79" s="28"/>
      <c r="N79" s="28"/>
      <c r="O79" s="28"/>
      <c r="R79" s="28" t="str">
        <f t="shared" si="9"/>
        <v/>
      </c>
    </row>
    <row r="80">
      <c r="A80" s="27" t="str">
        <f>IFERROR(__xludf.DUMMYFUNCTION("""COMPUTED_VALUE"""),"")</f>
        <v/>
      </c>
      <c r="B80" s="28"/>
      <c r="C80" s="28"/>
      <c r="D80" s="27"/>
      <c r="E80" s="27"/>
      <c r="F80" s="27"/>
      <c r="G80" s="27"/>
      <c r="H80" s="28"/>
      <c r="I80" s="28"/>
      <c r="J80" s="28"/>
      <c r="K80" s="28"/>
      <c r="L80" s="28"/>
      <c r="M80" s="28"/>
      <c r="N80" s="28"/>
      <c r="O80" s="28"/>
      <c r="R80" s="28" t="str">
        <f t="shared" si="9"/>
        <v/>
      </c>
    </row>
    <row r="81">
      <c r="A81" s="27" t="str">
        <f>IFERROR(__xludf.DUMMYFUNCTION("""COMPUTED_VALUE"""),"")</f>
        <v/>
      </c>
      <c r="B81" s="28"/>
      <c r="C81" s="28"/>
      <c r="D81" s="27"/>
      <c r="E81" s="27"/>
      <c r="F81" s="27"/>
      <c r="G81" s="27"/>
      <c r="H81" s="28"/>
      <c r="I81" s="28"/>
      <c r="J81" s="28"/>
      <c r="K81" s="28"/>
      <c r="L81" s="28"/>
      <c r="M81" s="28"/>
      <c r="N81" s="28"/>
      <c r="O81" s="28"/>
      <c r="R81" s="28" t="str">
        <f t="shared" si="9"/>
        <v/>
      </c>
    </row>
    <row r="82">
      <c r="A82" s="27" t="str">
        <f>IFERROR(__xludf.DUMMYFUNCTION("""COMPUTED_VALUE"""),"")</f>
        <v/>
      </c>
      <c r="B82" s="28"/>
      <c r="C82" s="28"/>
      <c r="D82" s="27"/>
      <c r="E82" s="27"/>
      <c r="F82" s="27"/>
      <c r="G82" s="27"/>
      <c r="H82" s="28"/>
      <c r="I82" s="28"/>
      <c r="J82" s="28"/>
      <c r="K82" s="28"/>
      <c r="L82" s="28"/>
      <c r="M82" s="28"/>
      <c r="N82" s="28"/>
      <c r="O82" s="28"/>
      <c r="R82" s="28" t="str">
        <f t="shared" si="9"/>
        <v/>
      </c>
    </row>
    <row r="83">
      <c r="A83" s="27" t="str">
        <f>IFERROR(__xludf.DUMMYFUNCTION("""COMPUTED_VALUE"""),"")</f>
        <v/>
      </c>
      <c r="B83" s="28"/>
      <c r="C83" s="28"/>
      <c r="D83" s="27"/>
      <c r="E83" s="27"/>
      <c r="F83" s="27"/>
      <c r="G83" s="27"/>
      <c r="H83" s="28"/>
      <c r="I83" s="28"/>
      <c r="J83" s="28"/>
      <c r="K83" s="28"/>
      <c r="L83" s="28"/>
      <c r="M83" s="28"/>
      <c r="N83" s="28"/>
      <c r="O83" s="28"/>
      <c r="R83" s="28" t="str">
        <f t="shared" si="9"/>
        <v/>
      </c>
    </row>
    <row r="84">
      <c r="A84" s="27" t="str">
        <f>IFERROR(__xludf.DUMMYFUNCTION("""COMPUTED_VALUE"""),"")</f>
        <v/>
      </c>
      <c r="B84" s="28"/>
      <c r="C84" s="28"/>
      <c r="D84" s="27"/>
      <c r="E84" s="27"/>
      <c r="F84" s="27"/>
      <c r="G84" s="27"/>
      <c r="H84" s="28"/>
      <c r="I84" s="28"/>
      <c r="J84" s="28"/>
      <c r="K84" s="28"/>
      <c r="L84" s="28"/>
      <c r="M84" s="28"/>
      <c r="N84" s="28"/>
      <c r="O84" s="28"/>
      <c r="R84" s="28" t="str">
        <f t="shared" si="9"/>
        <v/>
      </c>
    </row>
    <row r="85">
      <c r="A85" s="27" t="str">
        <f>IFERROR(__xludf.DUMMYFUNCTION("""COMPUTED_VALUE"""),"")</f>
        <v/>
      </c>
      <c r="B85" s="28"/>
      <c r="C85" s="28"/>
      <c r="D85" s="27"/>
      <c r="E85" s="27"/>
      <c r="F85" s="27"/>
      <c r="G85" s="27"/>
      <c r="H85" s="28"/>
      <c r="I85" s="28"/>
      <c r="J85" s="28"/>
      <c r="K85" s="28"/>
      <c r="L85" s="28"/>
      <c r="M85" s="28"/>
      <c r="N85" s="28"/>
      <c r="O85" s="28"/>
      <c r="R85" s="28" t="str">
        <f t="shared" si="9"/>
        <v/>
      </c>
    </row>
    <row r="86">
      <c r="A86" s="27" t="str">
        <f>IFERROR(__xludf.DUMMYFUNCTION("""COMPUTED_VALUE"""),"")</f>
        <v/>
      </c>
      <c r="B86" s="28"/>
      <c r="C86" s="28"/>
      <c r="D86" s="27"/>
      <c r="E86" s="27"/>
      <c r="F86" s="27"/>
      <c r="G86" s="27"/>
      <c r="H86" s="28"/>
      <c r="I86" s="28"/>
      <c r="J86" s="28"/>
      <c r="K86" s="28"/>
      <c r="L86" s="28"/>
      <c r="M86" s="28"/>
      <c r="N86" s="28"/>
      <c r="O86" s="28"/>
      <c r="R86" s="28" t="str">
        <f t="shared" si="9"/>
        <v/>
      </c>
    </row>
    <row r="87">
      <c r="A87" s="27" t="str">
        <f>IFERROR(__xludf.DUMMYFUNCTION("""COMPUTED_VALUE"""),"")</f>
        <v/>
      </c>
      <c r="B87" s="28"/>
      <c r="C87" s="28"/>
      <c r="D87" s="27"/>
      <c r="E87" s="27"/>
      <c r="F87" s="27"/>
      <c r="G87" s="27"/>
      <c r="H87" s="28"/>
      <c r="I87" s="28"/>
      <c r="J87" s="28"/>
      <c r="K87" s="28"/>
      <c r="L87" s="28"/>
      <c r="M87" s="28"/>
      <c r="N87" s="28"/>
      <c r="O87" s="28"/>
      <c r="R87" s="28" t="str">
        <f t="shared" si="9"/>
        <v/>
      </c>
    </row>
    <row r="88">
      <c r="A88" s="27" t="str">
        <f>IFERROR(__xludf.DUMMYFUNCTION("""COMPUTED_VALUE"""),"")</f>
        <v/>
      </c>
      <c r="B88" s="28"/>
      <c r="C88" s="28"/>
      <c r="D88" s="27"/>
      <c r="E88" s="27"/>
      <c r="F88" s="27"/>
      <c r="G88" s="27"/>
      <c r="H88" s="28"/>
      <c r="I88" s="28"/>
      <c r="J88" s="28"/>
      <c r="K88" s="28"/>
      <c r="L88" s="28"/>
      <c r="M88" s="28"/>
      <c r="N88" s="28"/>
      <c r="O88" s="28"/>
      <c r="R88" s="28" t="str">
        <f t="shared" si="9"/>
        <v/>
      </c>
    </row>
    <row r="89">
      <c r="A89" s="27" t="str">
        <f>IFERROR(__xludf.DUMMYFUNCTION("""COMPUTED_VALUE"""),"")</f>
        <v/>
      </c>
      <c r="B89" s="28"/>
      <c r="C89" s="28"/>
      <c r="D89" s="27"/>
      <c r="E89" s="27"/>
      <c r="F89" s="27"/>
      <c r="G89" s="27"/>
      <c r="H89" s="28"/>
      <c r="I89" s="28"/>
      <c r="J89" s="28"/>
      <c r="K89" s="28"/>
      <c r="L89" s="28"/>
      <c r="M89" s="28"/>
      <c r="N89" s="28"/>
      <c r="O89" s="28"/>
      <c r="R89" s="28" t="str">
        <f t="shared" si="9"/>
        <v/>
      </c>
    </row>
    <row r="90">
      <c r="A90" s="27" t="str">
        <f>IFERROR(__xludf.DUMMYFUNCTION("""COMPUTED_VALUE"""),"")</f>
        <v/>
      </c>
      <c r="B90" s="28"/>
      <c r="C90" s="28"/>
      <c r="D90" s="27"/>
      <c r="E90" s="27"/>
      <c r="F90" s="27"/>
      <c r="G90" s="27"/>
      <c r="H90" s="28"/>
      <c r="I90" s="28"/>
      <c r="J90" s="28"/>
      <c r="K90" s="28"/>
      <c r="L90" s="28"/>
      <c r="M90" s="28"/>
      <c r="N90" s="28"/>
      <c r="O90" s="28"/>
      <c r="R90" s="28" t="str">
        <f t="shared" si="9"/>
        <v/>
      </c>
    </row>
    <row r="91">
      <c r="A91" s="27" t="str">
        <f>IFERROR(__xludf.DUMMYFUNCTION("""COMPUTED_VALUE"""),"")</f>
        <v/>
      </c>
      <c r="B91" s="28"/>
      <c r="C91" s="28"/>
      <c r="D91" s="27"/>
      <c r="E91" s="27"/>
      <c r="F91" s="27"/>
      <c r="G91" s="27"/>
      <c r="H91" s="28"/>
      <c r="I91" s="28"/>
      <c r="J91" s="28"/>
      <c r="K91" s="28"/>
      <c r="L91" s="28"/>
      <c r="M91" s="28"/>
      <c r="N91" s="28"/>
      <c r="O91" s="28"/>
      <c r="R91" s="28" t="str">
        <f t="shared" si="9"/>
        <v/>
      </c>
    </row>
    <row r="92">
      <c r="A92" s="27" t="str">
        <f>IFERROR(__xludf.DUMMYFUNCTION("""COMPUTED_VALUE"""),"")</f>
        <v/>
      </c>
      <c r="B92" s="28"/>
      <c r="C92" s="28"/>
      <c r="D92" s="27"/>
      <c r="E92" s="27"/>
      <c r="F92" s="27"/>
      <c r="G92" s="27"/>
      <c r="H92" s="28"/>
      <c r="I92" s="28"/>
      <c r="J92" s="28"/>
      <c r="K92" s="28"/>
      <c r="L92" s="28"/>
      <c r="M92" s="28"/>
      <c r="N92" s="28"/>
      <c r="O92" s="28"/>
      <c r="R92" s="28" t="str">
        <f t="shared" si="9"/>
        <v/>
      </c>
    </row>
    <row r="93">
      <c r="A93" s="27" t="str">
        <f>IFERROR(__xludf.DUMMYFUNCTION("""COMPUTED_VALUE"""),"")</f>
        <v/>
      </c>
      <c r="B93" s="28"/>
      <c r="C93" s="28"/>
      <c r="D93" s="27"/>
      <c r="E93" s="27"/>
      <c r="F93" s="27"/>
      <c r="G93" s="27"/>
      <c r="H93" s="28"/>
      <c r="I93" s="28"/>
      <c r="J93" s="28"/>
      <c r="K93" s="28"/>
      <c r="L93" s="28"/>
      <c r="M93" s="28"/>
      <c r="N93" s="28"/>
      <c r="O93" s="28"/>
      <c r="R93" s="28" t="str">
        <f t="shared" si="9"/>
        <v/>
      </c>
    </row>
    <row r="94">
      <c r="A94" s="27" t="str">
        <f>IFERROR(__xludf.DUMMYFUNCTION("""COMPUTED_VALUE"""),"")</f>
        <v/>
      </c>
      <c r="B94" s="28"/>
      <c r="C94" s="28"/>
      <c r="D94" s="27"/>
      <c r="E94" s="27"/>
      <c r="F94" s="27"/>
      <c r="G94" s="27"/>
      <c r="H94" s="28"/>
      <c r="I94" s="28"/>
      <c r="J94" s="28"/>
      <c r="K94" s="28"/>
      <c r="L94" s="28"/>
      <c r="M94" s="28"/>
      <c r="N94" s="28"/>
      <c r="O94" s="28"/>
      <c r="R94" s="28" t="str">
        <f t="shared" si="9"/>
        <v/>
      </c>
    </row>
    <row r="95">
      <c r="A95" s="27" t="str">
        <f>IFERROR(__xludf.DUMMYFUNCTION("""COMPUTED_VALUE"""),"")</f>
        <v/>
      </c>
      <c r="B95" s="28"/>
      <c r="C95" s="28"/>
      <c r="D95" s="27"/>
      <c r="E95" s="27"/>
      <c r="F95" s="27"/>
      <c r="G95" s="27"/>
      <c r="H95" s="28"/>
      <c r="I95" s="28"/>
      <c r="J95" s="28"/>
      <c r="K95" s="28"/>
      <c r="L95" s="28"/>
      <c r="M95" s="28"/>
      <c r="N95" s="28"/>
      <c r="O95" s="28"/>
      <c r="R95" s="28" t="str">
        <f t="shared" si="9"/>
        <v/>
      </c>
    </row>
    <row r="96">
      <c r="A96" s="27" t="str">
        <f>IFERROR(__xludf.DUMMYFUNCTION("""COMPUTED_VALUE"""),"")</f>
        <v/>
      </c>
      <c r="B96" s="28"/>
      <c r="C96" s="28"/>
      <c r="D96" s="27"/>
      <c r="E96" s="27"/>
      <c r="F96" s="27"/>
      <c r="G96" s="27"/>
      <c r="H96" s="28"/>
      <c r="I96" s="28"/>
      <c r="J96" s="28"/>
      <c r="K96" s="28"/>
      <c r="L96" s="28"/>
      <c r="M96" s="28"/>
      <c r="N96" s="28"/>
      <c r="O96" s="28"/>
      <c r="R96" s="28" t="str">
        <f t="shared" si="9"/>
        <v/>
      </c>
    </row>
    <row r="97">
      <c r="A97" s="27" t="str">
        <f>IFERROR(__xludf.DUMMYFUNCTION("""COMPUTED_VALUE"""),"")</f>
        <v/>
      </c>
      <c r="B97" s="28"/>
      <c r="C97" s="28"/>
      <c r="D97" s="27"/>
      <c r="E97" s="27"/>
      <c r="F97" s="27"/>
      <c r="G97" s="27"/>
      <c r="H97" s="28"/>
      <c r="I97" s="28"/>
      <c r="J97" s="28"/>
      <c r="K97" s="28"/>
      <c r="L97" s="28"/>
      <c r="M97" s="28"/>
      <c r="N97" s="28"/>
      <c r="O97" s="28"/>
      <c r="R97" s="28" t="str">
        <f t="shared" si="9"/>
        <v/>
      </c>
    </row>
    <row r="98">
      <c r="A98" s="27" t="str">
        <f>IFERROR(__xludf.DUMMYFUNCTION("""COMPUTED_VALUE"""),"")</f>
        <v/>
      </c>
      <c r="B98" s="28"/>
      <c r="C98" s="28"/>
      <c r="D98" s="27"/>
      <c r="E98" s="27"/>
      <c r="F98" s="27"/>
      <c r="G98" s="27"/>
      <c r="H98" s="28"/>
      <c r="I98" s="28"/>
      <c r="J98" s="28"/>
      <c r="K98" s="28"/>
      <c r="L98" s="28"/>
      <c r="M98" s="28"/>
      <c r="N98" s="28"/>
      <c r="O98" s="28"/>
      <c r="R98" s="28" t="str">
        <f t="shared" si="9"/>
        <v/>
      </c>
    </row>
    <row r="99">
      <c r="A99" s="27" t="str">
        <f>IFERROR(__xludf.DUMMYFUNCTION("""COMPUTED_VALUE"""),"")</f>
        <v/>
      </c>
      <c r="B99" s="28"/>
      <c r="C99" s="28"/>
      <c r="D99" s="27"/>
      <c r="E99" s="27"/>
      <c r="F99" s="27"/>
      <c r="G99" s="27"/>
      <c r="H99" s="28"/>
      <c r="I99" s="28"/>
      <c r="J99" s="28"/>
      <c r="K99" s="28"/>
      <c r="L99" s="28"/>
      <c r="M99" s="28"/>
      <c r="N99" s="28"/>
      <c r="O99" s="28"/>
      <c r="R99" s="28" t="str">
        <f t="shared" si="9"/>
        <v/>
      </c>
    </row>
    <row r="100">
      <c r="A100" s="27" t="str">
        <f>IFERROR(__xludf.DUMMYFUNCTION("""COMPUTED_VALUE"""),"")</f>
        <v/>
      </c>
      <c r="B100" s="28"/>
      <c r="C100" s="28"/>
      <c r="D100" s="27"/>
      <c r="E100" s="27"/>
      <c r="F100" s="27"/>
      <c r="G100" s="27"/>
      <c r="H100" s="28"/>
      <c r="I100" s="28"/>
      <c r="J100" s="28"/>
      <c r="K100" s="28"/>
      <c r="L100" s="28"/>
      <c r="M100" s="28"/>
      <c r="N100" s="28"/>
      <c r="O100" s="28"/>
      <c r="R100" s="28" t="str">
        <f t="shared" si="9"/>
        <v/>
      </c>
    </row>
    <row r="101">
      <c r="A101" s="27" t="str">
        <f>IFERROR(__xludf.DUMMYFUNCTION("""COMPUTED_VALUE"""),"")</f>
        <v/>
      </c>
      <c r="B101" s="28"/>
      <c r="C101" s="28"/>
      <c r="D101" s="27"/>
      <c r="E101" s="27"/>
      <c r="F101" s="27"/>
      <c r="G101" s="27"/>
      <c r="H101" s="28"/>
      <c r="I101" s="28"/>
      <c r="J101" s="28"/>
      <c r="K101" s="28"/>
      <c r="L101" s="28"/>
      <c r="M101" s="28"/>
      <c r="N101" s="28"/>
      <c r="O101" s="28"/>
      <c r="R101" s="28" t="str">
        <f t="shared" si="9"/>
        <v/>
      </c>
    </row>
    <row r="102">
      <c r="A102" s="27" t="str">
        <f>IFERROR(__xludf.DUMMYFUNCTION("""COMPUTED_VALUE"""),"")</f>
        <v/>
      </c>
      <c r="B102" s="28"/>
      <c r="C102" s="28"/>
      <c r="D102" s="27"/>
      <c r="E102" s="27"/>
      <c r="F102" s="27"/>
      <c r="G102" s="27"/>
      <c r="H102" s="28"/>
      <c r="I102" s="28"/>
      <c r="J102" s="28"/>
      <c r="K102" s="28"/>
      <c r="L102" s="28"/>
      <c r="M102" s="28"/>
      <c r="N102" s="28"/>
      <c r="O102" s="28"/>
      <c r="R102" s="28" t="str">
        <f t="shared" si="9"/>
        <v/>
      </c>
    </row>
    <row r="103">
      <c r="A103" s="27" t="str">
        <f>IFERROR(__xludf.DUMMYFUNCTION("""COMPUTED_VALUE"""),"")</f>
        <v/>
      </c>
      <c r="B103" s="28"/>
      <c r="C103" s="28"/>
      <c r="D103" s="27"/>
      <c r="E103" s="27"/>
      <c r="F103" s="27"/>
      <c r="G103" s="27"/>
      <c r="H103" s="28"/>
      <c r="I103" s="28"/>
      <c r="J103" s="28"/>
      <c r="K103" s="28"/>
      <c r="L103" s="28"/>
      <c r="M103" s="28"/>
      <c r="N103" s="28"/>
      <c r="O103" s="28"/>
      <c r="R103" s="28" t="str">
        <f t="shared" si="9"/>
        <v/>
      </c>
    </row>
    <row r="104">
      <c r="A104" s="27" t="str">
        <f>IFERROR(__xludf.DUMMYFUNCTION("""COMPUTED_VALUE"""),"")</f>
        <v/>
      </c>
      <c r="B104" s="28"/>
      <c r="C104" s="28"/>
      <c r="D104" s="27"/>
      <c r="E104" s="27"/>
      <c r="F104" s="27"/>
      <c r="G104" s="27"/>
      <c r="H104" s="28"/>
      <c r="I104" s="28"/>
      <c r="J104" s="28"/>
      <c r="K104" s="28"/>
      <c r="L104" s="28"/>
      <c r="M104" s="28"/>
      <c r="N104" s="28"/>
      <c r="O104" s="28"/>
      <c r="R104" s="28" t="str">
        <f t="shared" si="9"/>
        <v/>
      </c>
    </row>
    <row r="105">
      <c r="A105" s="27" t="str">
        <f>IFERROR(__xludf.DUMMYFUNCTION("""COMPUTED_VALUE"""),"")</f>
        <v/>
      </c>
      <c r="B105" s="28"/>
      <c r="C105" s="28"/>
      <c r="D105" s="27"/>
      <c r="E105" s="27"/>
      <c r="F105" s="27"/>
      <c r="G105" s="27"/>
      <c r="H105" s="28"/>
      <c r="I105" s="28"/>
      <c r="J105" s="28"/>
      <c r="K105" s="28"/>
      <c r="L105" s="28"/>
      <c r="M105" s="28"/>
      <c r="N105" s="28"/>
      <c r="O105" s="28"/>
      <c r="R105" s="28" t="str">
        <f t="shared" si="9"/>
        <v/>
      </c>
    </row>
    <row r="106">
      <c r="A106" s="27" t="str">
        <f>IFERROR(__xludf.DUMMYFUNCTION("""COMPUTED_VALUE"""),"")</f>
        <v/>
      </c>
      <c r="B106" s="28"/>
      <c r="C106" s="28"/>
      <c r="D106" s="27"/>
      <c r="E106" s="27"/>
      <c r="F106" s="27"/>
      <c r="G106" s="27"/>
      <c r="H106" s="28"/>
      <c r="I106" s="28"/>
      <c r="J106" s="28"/>
      <c r="K106" s="28"/>
      <c r="L106" s="28"/>
      <c r="M106" s="28"/>
      <c r="N106" s="28"/>
      <c r="O106" s="28"/>
      <c r="R106" s="28" t="str">
        <f t="shared" si="9"/>
        <v/>
      </c>
    </row>
    <row r="107">
      <c r="A107" s="27" t="str">
        <f>IFERROR(__xludf.DUMMYFUNCTION("""COMPUTED_VALUE"""),"")</f>
        <v/>
      </c>
      <c r="B107" s="28"/>
      <c r="C107" s="28"/>
      <c r="D107" s="27"/>
      <c r="E107" s="27"/>
      <c r="F107" s="27"/>
      <c r="G107" s="27"/>
      <c r="H107" s="28"/>
      <c r="I107" s="28"/>
      <c r="J107" s="28"/>
      <c r="K107" s="28"/>
      <c r="L107" s="28"/>
      <c r="M107" s="28"/>
      <c r="N107" s="28"/>
      <c r="O107" s="28"/>
      <c r="R107" s="28" t="str">
        <f t="shared" si="9"/>
        <v/>
      </c>
    </row>
    <row r="108">
      <c r="A108" s="27" t="str">
        <f>IFERROR(__xludf.DUMMYFUNCTION("""COMPUTED_VALUE"""),"")</f>
        <v/>
      </c>
      <c r="B108" s="28"/>
      <c r="C108" s="28"/>
      <c r="D108" s="27"/>
      <c r="E108" s="27"/>
      <c r="F108" s="27"/>
      <c r="G108" s="27"/>
      <c r="H108" s="28"/>
      <c r="I108" s="28"/>
      <c r="J108" s="28"/>
      <c r="K108" s="28"/>
      <c r="L108" s="28"/>
      <c r="M108" s="28"/>
      <c r="N108" s="28"/>
      <c r="O108" s="28"/>
      <c r="R108" s="28" t="str">
        <f t="shared" si="9"/>
        <v/>
      </c>
    </row>
    <row r="109">
      <c r="A109" s="27" t="str">
        <f>IFERROR(__xludf.DUMMYFUNCTION("""COMPUTED_VALUE"""),"")</f>
        <v/>
      </c>
      <c r="B109" s="28"/>
      <c r="C109" s="28"/>
      <c r="D109" s="27"/>
      <c r="E109" s="27"/>
      <c r="F109" s="27"/>
      <c r="G109" s="27"/>
      <c r="H109" s="28"/>
      <c r="I109" s="28"/>
      <c r="J109" s="28"/>
      <c r="K109" s="28"/>
      <c r="L109" s="28"/>
      <c r="M109" s="28"/>
      <c r="N109" s="28"/>
      <c r="O109" s="28"/>
      <c r="R109" s="28" t="str">
        <f t="shared" si="9"/>
        <v/>
      </c>
    </row>
    <row r="110">
      <c r="A110" s="27" t="str">
        <f>IFERROR(__xludf.DUMMYFUNCTION("""COMPUTED_VALUE"""),"")</f>
        <v/>
      </c>
      <c r="B110" s="28"/>
      <c r="C110" s="28"/>
      <c r="D110" s="27"/>
      <c r="E110" s="27"/>
      <c r="F110" s="27"/>
      <c r="G110" s="27"/>
      <c r="H110" s="28"/>
      <c r="I110" s="28"/>
      <c r="J110" s="28"/>
      <c r="K110" s="28"/>
      <c r="L110" s="28"/>
      <c r="M110" s="28"/>
      <c r="N110" s="28"/>
      <c r="O110" s="28"/>
      <c r="R110" s="28" t="str">
        <f t="shared" si="9"/>
        <v/>
      </c>
    </row>
    <row r="111">
      <c r="A111" s="27" t="str">
        <f>IFERROR(__xludf.DUMMYFUNCTION("""COMPUTED_VALUE"""),"")</f>
        <v/>
      </c>
      <c r="B111" s="28"/>
      <c r="C111" s="28"/>
      <c r="D111" s="27"/>
      <c r="E111" s="27"/>
      <c r="F111" s="27"/>
      <c r="G111" s="27"/>
      <c r="H111" s="28"/>
      <c r="I111" s="28"/>
      <c r="J111" s="28"/>
      <c r="K111" s="28"/>
      <c r="L111" s="28"/>
      <c r="M111" s="28"/>
      <c r="N111" s="28"/>
      <c r="O111" s="28"/>
      <c r="R111" s="28" t="str">
        <f t="shared" si="9"/>
        <v/>
      </c>
    </row>
    <row r="112">
      <c r="A112" s="27" t="str">
        <f>IFERROR(__xludf.DUMMYFUNCTION("""COMPUTED_VALUE"""),"")</f>
        <v/>
      </c>
      <c r="B112" s="28"/>
      <c r="C112" s="28"/>
      <c r="D112" s="27"/>
      <c r="E112" s="27"/>
      <c r="F112" s="27"/>
      <c r="G112" s="27"/>
      <c r="H112" s="28"/>
      <c r="I112" s="28"/>
      <c r="J112" s="28"/>
      <c r="K112" s="28"/>
      <c r="L112" s="28"/>
      <c r="M112" s="28"/>
      <c r="N112" s="28"/>
      <c r="O112" s="28"/>
      <c r="R112" s="28" t="str">
        <f t="shared" si="9"/>
        <v/>
      </c>
    </row>
    <row r="113">
      <c r="A113" s="27" t="str">
        <f>IFERROR(__xludf.DUMMYFUNCTION("""COMPUTED_VALUE"""),"")</f>
        <v/>
      </c>
      <c r="B113" s="28"/>
      <c r="C113" s="28"/>
      <c r="D113" s="27"/>
      <c r="E113" s="27"/>
      <c r="F113" s="27"/>
      <c r="G113" s="27"/>
      <c r="H113" s="28"/>
      <c r="I113" s="28"/>
      <c r="J113" s="28"/>
      <c r="K113" s="28"/>
      <c r="L113" s="28"/>
      <c r="M113" s="28"/>
      <c r="N113" s="28"/>
      <c r="O113" s="28"/>
      <c r="R113" s="28" t="str">
        <f t="shared" si="9"/>
        <v/>
      </c>
    </row>
    <row r="114">
      <c r="A114" s="27" t="str">
        <f>IFERROR(__xludf.DUMMYFUNCTION("""COMPUTED_VALUE"""),"")</f>
        <v/>
      </c>
      <c r="B114" s="28"/>
      <c r="C114" s="28"/>
      <c r="D114" s="27"/>
      <c r="E114" s="27"/>
      <c r="F114" s="27"/>
      <c r="G114" s="27"/>
      <c r="H114" s="28"/>
      <c r="I114" s="28"/>
      <c r="J114" s="28"/>
      <c r="K114" s="28"/>
      <c r="L114" s="28"/>
      <c r="M114" s="28"/>
      <c r="N114" s="28"/>
      <c r="O114" s="28"/>
      <c r="R114" s="28" t="str">
        <f t="shared" si="9"/>
        <v/>
      </c>
    </row>
    <row r="115">
      <c r="A115" s="27" t="str">
        <f>IFERROR(__xludf.DUMMYFUNCTION("""COMPUTED_VALUE"""),"")</f>
        <v/>
      </c>
      <c r="B115" s="28"/>
      <c r="C115" s="28"/>
      <c r="D115" s="27"/>
      <c r="E115" s="27"/>
      <c r="F115" s="27"/>
      <c r="G115" s="27"/>
      <c r="H115" s="28"/>
      <c r="I115" s="28"/>
      <c r="J115" s="28"/>
      <c r="K115" s="28"/>
      <c r="L115" s="28"/>
      <c r="M115" s="28"/>
      <c r="N115" s="28"/>
      <c r="O115" s="28"/>
      <c r="R115" s="28" t="str">
        <f t="shared" si="9"/>
        <v/>
      </c>
    </row>
    <row r="116">
      <c r="A116" s="27" t="str">
        <f>IFERROR(__xludf.DUMMYFUNCTION("""COMPUTED_VALUE"""),"")</f>
        <v/>
      </c>
      <c r="B116" s="28"/>
      <c r="C116" s="28"/>
      <c r="D116" s="27"/>
      <c r="E116" s="27"/>
      <c r="F116" s="27"/>
      <c r="G116" s="27"/>
      <c r="H116" s="28"/>
      <c r="I116" s="28"/>
      <c r="J116" s="28"/>
      <c r="K116" s="28"/>
      <c r="L116" s="28"/>
      <c r="M116" s="28"/>
      <c r="N116" s="28"/>
      <c r="O116" s="28"/>
      <c r="R116" s="28" t="str">
        <f t="shared" si="9"/>
        <v/>
      </c>
    </row>
    <row r="117">
      <c r="A117" s="27" t="str">
        <f>IFERROR(__xludf.DUMMYFUNCTION("""COMPUTED_VALUE"""),"")</f>
        <v/>
      </c>
      <c r="B117" s="28"/>
      <c r="C117" s="28"/>
      <c r="D117" s="27"/>
      <c r="E117" s="27"/>
      <c r="F117" s="27"/>
      <c r="G117" s="27"/>
      <c r="H117" s="28"/>
      <c r="I117" s="28"/>
      <c r="J117" s="28"/>
      <c r="K117" s="28"/>
      <c r="L117" s="28"/>
      <c r="M117" s="28"/>
      <c r="N117" s="28"/>
      <c r="O117" s="28"/>
      <c r="R117" s="28" t="str">
        <f t="shared" si="9"/>
        <v/>
      </c>
    </row>
    <row r="118">
      <c r="A118" s="27" t="str">
        <f>IFERROR(__xludf.DUMMYFUNCTION("""COMPUTED_VALUE"""),"")</f>
        <v/>
      </c>
      <c r="B118" s="28"/>
      <c r="C118" s="28"/>
      <c r="D118" s="27"/>
      <c r="E118" s="27"/>
      <c r="F118" s="27"/>
      <c r="G118" s="27"/>
      <c r="H118" s="28"/>
      <c r="I118" s="28"/>
      <c r="J118" s="28"/>
      <c r="K118" s="28"/>
      <c r="L118" s="28"/>
      <c r="M118" s="28"/>
      <c r="N118" s="28"/>
      <c r="O118" s="28"/>
      <c r="R118" s="28" t="str">
        <f t="shared" si="9"/>
        <v/>
      </c>
    </row>
    <row r="119">
      <c r="A119" s="27" t="str">
        <f>IFERROR(__xludf.DUMMYFUNCTION("""COMPUTED_VALUE"""),"")</f>
        <v/>
      </c>
      <c r="B119" s="28"/>
      <c r="C119" s="28"/>
      <c r="D119" s="27"/>
      <c r="E119" s="27"/>
      <c r="F119" s="27"/>
      <c r="G119" s="27"/>
      <c r="H119" s="28"/>
      <c r="I119" s="28"/>
      <c r="J119" s="28"/>
      <c r="K119" s="28"/>
      <c r="L119" s="28"/>
      <c r="M119" s="28"/>
      <c r="N119" s="28"/>
      <c r="O119" s="28"/>
      <c r="R119" s="28" t="str">
        <f t="shared" si="9"/>
        <v/>
      </c>
    </row>
    <row r="120">
      <c r="A120" s="27" t="str">
        <f>IFERROR(__xludf.DUMMYFUNCTION("""COMPUTED_VALUE"""),"")</f>
        <v/>
      </c>
      <c r="B120" s="28"/>
      <c r="C120" s="28"/>
      <c r="D120" s="27"/>
      <c r="E120" s="27"/>
      <c r="F120" s="27"/>
      <c r="G120" s="27"/>
      <c r="H120" s="28"/>
      <c r="I120" s="28"/>
      <c r="J120" s="28"/>
      <c r="K120" s="28"/>
      <c r="L120" s="28"/>
      <c r="M120" s="28"/>
      <c r="N120" s="28"/>
      <c r="O120" s="28"/>
      <c r="R120" s="28" t="str">
        <f t="shared" si="9"/>
        <v/>
      </c>
    </row>
    <row r="121">
      <c r="A121" s="27" t="str">
        <f>IFERROR(__xludf.DUMMYFUNCTION("""COMPUTED_VALUE"""),"")</f>
        <v/>
      </c>
      <c r="B121" s="28"/>
      <c r="C121" s="28"/>
      <c r="D121" s="27"/>
      <c r="E121" s="27"/>
      <c r="F121" s="27"/>
      <c r="G121" s="27"/>
      <c r="H121" s="28"/>
      <c r="I121" s="28"/>
      <c r="J121" s="28"/>
      <c r="K121" s="28"/>
      <c r="L121" s="28"/>
      <c r="M121" s="28"/>
      <c r="N121" s="28"/>
      <c r="O121" s="28"/>
      <c r="R121" s="28" t="str">
        <f t="shared" si="9"/>
        <v/>
      </c>
    </row>
    <row r="122">
      <c r="A122" s="27" t="str">
        <f>IFERROR(__xludf.DUMMYFUNCTION("""COMPUTED_VALUE"""),"")</f>
        <v/>
      </c>
      <c r="B122" s="28"/>
      <c r="C122" s="28"/>
      <c r="D122" s="27"/>
      <c r="E122" s="27"/>
      <c r="F122" s="27"/>
      <c r="G122" s="27"/>
      <c r="H122" s="28"/>
      <c r="I122" s="28"/>
      <c r="J122" s="28"/>
      <c r="K122" s="28"/>
      <c r="L122" s="28"/>
      <c r="M122" s="28"/>
      <c r="N122" s="28"/>
      <c r="O122" s="28"/>
      <c r="R122" s="28" t="str">
        <f t="shared" si="9"/>
        <v/>
      </c>
    </row>
    <row r="123">
      <c r="A123" s="27" t="str">
        <f>IFERROR(__xludf.DUMMYFUNCTION("""COMPUTED_VALUE"""),"")</f>
        <v/>
      </c>
      <c r="B123" s="28"/>
      <c r="C123" s="28"/>
      <c r="D123" s="27"/>
      <c r="E123" s="27"/>
      <c r="F123" s="27"/>
      <c r="G123" s="27"/>
      <c r="H123" s="28"/>
      <c r="I123" s="28"/>
      <c r="J123" s="28"/>
      <c r="K123" s="28"/>
      <c r="L123" s="28"/>
      <c r="M123" s="28"/>
      <c r="N123" s="28"/>
      <c r="O123" s="28"/>
      <c r="R123" s="28" t="str">
        <f t="shared" si="9"/>
        <v/>
      </c>
    </row>
    <row r="124">
      <c r="A124" s="27" t="str">
        <f>IFERROR(__xludf.DUMMYFUNCTION("""COMPUTED_VALUE"""),"")</f>
        <v/>
      </c>
      <c r="B124" s="28"/>
      <c r="C124" s="28"/>
      <c r="D124" s="27"/>
      <c r="E124" s="27"/>
      <c r="F124" s="27"/>
      <c r="G124" s="27"/>
      <c r="H124" s="28"/>
      <c r="I124" s="28"/>
      <c r="J124" s="28"/>
      <c r="K124" s="28"/>
      <c r="L124" s="28"/>
      <c r="M124" s="28"/>
      <c r="N124" s="28"/>
      <c r="O124" s="28"/>
      <c r="R124" s="28" t="str">
        <f t="shared" si="9"/>
        <v/>
      </c>
    </row>
    <row r="125">
      <c r="A125" s="27" t="str">
        <f>IFERROR(__xludf.DUMMYFUNCTION("""COMPUTED_VALUE"""),"")</f>
        <v/>
      </c>
      <c r="B125" s="28"/>
      <c r="C125" s="28"/>
      <c r="D125" s="27"/>
      <c r="E125" s="27"/>
      <c r="F125" s="27"/>
      <c r="G125" s="27"/>
      <c r="H125" s="28"/>
      <c r="I125" s="28"/>
      <c r="J125" s="28"/>
      <c r="K125" s="28"/>
      <c r="L125" s="28"/>
      <c r="M125" s="28"/>
      <c r="N125" s="28"/>
      <c r="O125" s="28"/>
      <c r="R125" s="28" t="str">
        <f t="shared" si="9"/>
        <v/>
      </c>
    </row>
    <row r="126">
      <c r="A126" s="27" t="str">
        <f>IFERROR(__xludf.DUMMYFUNCTION("""COMPUTED_VALUE"""),"")</f>
        <v/>
      </c>
      <c r="B126" s="28"/>
      <c r="C126" s="28"/>
      <c r="D126" s="27"/>
      <c r="E126" s="27"/>
      <c r="F126" s="27"/>
      <c r="G126" s="27"/>
      <c r="H126" s="28"/>
      <c r="I126" s="28"/>
      <c r="J126" s="28"/>
      <c r="K126" s="28"/>
      <c r="L126" s="28"/>
      <c r="M126" s="28"/>
      <c r="N126" s="28"/>
      <c r="O126" s="28"/>
      <c r="R126" s="28" t="str">
        <f t="shared" si="9"/>
        <v/>
      </c>
    </row>
    <row r="127">
      <c r="A127" s="27" t="str">
        <f>IFERROR(__xludf.DUMMYFUNCTION("""COMPUTED_VALUE"""),"")</f>
        <v/>
      </c>
      <c r="B127" s="28"/>
      <c r="C127" s="28"/>
      <c r="D127" s="27"/>
      <c r="E127" s="27"/>
      <c r="F127" s="27"/>
      <c r="G127" s="27"/>
      <c r="H127" s="28"/>
      <c r="I127" s="28"/>
      <c r="J127" s="28"/>
      <c r="K127" s="28"/>
      <c r="L127" s="28"/>
      <c r="M127" s="28"/>
      <c r="N127" s="28"/>
      <c r="O127" s="28"/>
      <c r="R127" s="28" t="str">
        <f t="shared" si="9"/>
        <v/>
      </c>
    </row>
    <row r="128">
      <c r="A128" s="27" t="str">
        <f>IFERROR(__xludf.DUMMYFUNCTION("""COMPUTED_VALUE"""),"")</f>
        <v/>
      </c>
      <c r="B128" s="28"/>
      <c r="C128" s="28"/>
      <c r="D128" s="27"/>
      <c r="E128" s="27"/>
      <c r="F128" s="27"/>
      <c r="G128" s="27"/>
      <c r="H128" s="28"/>
      <c r="I128" s="28"/>
      <c r="J128" s="28"/>
      <c r="K128" s="28"/>
      <c r="L128" s="28"/>
      <c r="M128" s="28"/>
      <c r="N128" s="28"/>
      <c r="O128" s="28"/>
      <c r="R128" s="28" t="str">
        <f t="shared" si="9"/>
        <v/>
      </c>
    </row>
    <row r="129">
      <c r="A129" s="27" t="str">
        <f>IFERROR(__xludf.DUMMYFUNCTION("""COMPUTED_VALUE"""),"")</f>
        <v/>
      </c>
      <c r="B129" s="28"/>
      <c r="C129" s="28"/>
      <c r="D129" s="27"/>
      <c r="E129" s="27"/>
      <c r="F129" s="27"/>
      <c r="G129" s="27"/>
      <c r="H129" s="28"/>
      <c r="I129" s="28"/>
      <c r="J129" s="28"/>
      <c r="K129" s="28"/>
      <c r="L129" s="28"/>
      <c r="M129" s="28"/>
      <c r="N129" s="28"/>
      <c r="O129" s="28"/>
      <c r="R129" s="28" t="str">
        <f t="shared" si="9"/>
        <v/>
      </c>
    </row>
    <row r="130">
      <c r="A130" s="27" t="str">
        <f>IFERROR(__xludf.DUMMYFUNCTION("""COMPUTED_VALUE"""),"")</f>
        <v/>
      </c>
      <c r="B130" s="28"/>
      <c r="C130" s="28"/>
      <c r="D130" s="27"/>
      <c r="E130" s="27"/>
      <c r="F130" s="27"/>
      <c r="G130" s="27"/>
      <c r="H130" s="28"/>
      <c r="I130" s="28"/>
      <c r="J130" s="28"/>
      <c r="K130" s="28"/>
      <c r="L130" s="28"/>
      <c r="M130" s="28"/>
      <c r="N130" s="28"/>
      <c r="O130" s="28"/>
      <c r="R130" s="28" t="str">
        <f t="shared" si="9"/>
        <v/>
      </c>
    </row>
    <row r="131">
      <c r="A131" s="27" t="str">
        <f>IFERROR(__xludf.DUMMYFUNCTION("""COMPUTED_VALUE"""),"")</f>
        <v/>
      </c>
      <c r="B131" s="28"/>
      <c r="C131" s="28"/>
      <c r="D131" s="27"/>
      <c r="E131" s="27"/>
      <c r="F131" s="27"/>
      <c r="G131" s="27"/>
      <c r="H131" s="28"/>
      <c r="I131" s="28"/>
      <c r="J131" s="28"/>
      <c r="K131" s="28"/>
      <c r="L131" s="28"/>
      <c r="M131" s="28"/>
      <c r="N131" s="28"/>
      <c r="O131" s="28"/>
      <c r="R131" s="28" t="str">
        <f t="shared" si="9"/>
        <v/>
      </c>
    </row>
    <row r="132">
      <c r="A132" s="27" t="str">
        <f>IFERROR(__xludf.DUMMYFUNCTION("""COMPUTED_VALUE"""),"")</f>
        <v/>
      </c>
      <c r="B132" s="28"/>
      <c r="C132" s="28"/>
      <c r="D132" s="27"/>
      <c r="E132" s="27"/>
      <c r="F132" s="27"/>
      <c r="G132" s="27"/>
      <c r="H132" s="28"/>
      <c r="I132" s="28"/>
      <c r="J132" s="28"/>
      <c r="K132" s="28"/>
      <c r="L132" s="28"/>
      <c r="M132" s="28"/>
      <c r="N132" s="28"/>
      <c r="O132" s="28"/>
      <c r="R132" s="28" t="str">
        <f t="shared" si="9"/>
        <v/>
      </c>
    </row>
    <row r="133">
      <c r="A133" s="27" t="str">
        <f>IFERROR(__xludf.DUMMYFUNCTION("""COMPUTED_VALUE"""),"")</f>
        <v/>
      </c>
      <c r="B133" s="28"/>
      <c r="C133" s="28"/>
      <c r="D133" s="27"/>
      <c r="E133" s="27"/>
      <c r="F133" s="27"/>
      <c r="G133" s="27"/>
      <c r="H133" s="28"/>
      <c r="I133" s="28"/>
      <c r="J133" s="28"/>
      <c r="K133" s="28"/>
      <c r="L133" s="28"/>
      <c r="M133" s="28"/>
      <c r="N133" s="28"/>
      <c r="O133" s="28"/>
      <c r="R133" s="28" t="str">
        <f t="shared" si="9"/>
        <v/>
      </c>
    </row>
    <row r="134">
      <c r="A134" s="27" t="str">
        <f>IFERROR(__xludf.DUMMYFUNCTION("""COMPUTED_VALUE"""),"")</f>
        <v/>
      </c>
      <c r="B134" s="28"/>
      <c r="C134" s="28"/>
      <c r="D134" s="27"/>
      <c r="E134" s="27"/>
      <c r="F134" s="27"/>
      <c r="G134" s="27"/>
      <c r="H134" s="28"/>
      <c r="I134" s="28"/>
      <c r="J134" s="28"/>
      <c r="K134" s="28"/>
      <c r="L134" s="28"/>
      <c r="M134" s="28"/>
      <c r="N134" s="28"/>
      <c r="O134" s="28"/>
      <c r="R134" s="28" t="str">
        <f t="shared" si="9"/>
        <v/>
      </c>
    </row>
    <row r="135">
      <c r="A135" s="27" t="str">
        <f>IFERROR(__xludf.DUMMYFUNCTION("""COMPUTED_VALUE"""),"")</f>
        <v/>
      </c>
      <c r="B135" s="28"/>
      <c r="C135" s="28"/>
      <c r="D135" s="27"/>
      <c r="E135" s="27"/>
      <c r="F135" s="27"/>
      <c r="G135" s="27"/>
      <c r="H135" s="28"/>
      <c r="I135" s="28"/>
      <c r="J135" s="28"/>
      <c r="K135" s="28"/>
      <c r="L135" s="28"/>
      <c r="M135" s="28"/>
      <c r="N135" s="28"/>
      <c r="O135" s="28"/>
      <c r="R135" s="28" t="str">
        <f t="shared" si="9"/>
        <v/>
      </c>
    </row>
    <row r="136">
      <c r="A136" s="27" t="str">
        <f>IFERROR(__xludf.DUMMYFUNCTION("""COMPUTED_VALUE"""),"")</f>
        <v/>
      </c>
      <c r="B136" s="28"/>
      <c r="C136" s="28"/>
      <c r="D136" s="27"/>
      <c r="E136" s="27"/>
      <c r="F136" s="27"/>
      <c r="G136" s="27"/>
      <c r="H136" s="28"/>
      <c r="I136" s="28"/>
      <c r="J136" s="28"/>
      <c r="K136" s="28"/>
      <c r="L136" s="28"/>
      <c r="M136" s="28"/>
      <c r="N136" s="28"/>
      <c r="O136" s="28"/>
      <c r="R136" s="28" t="str">
        <f t="shared" si="9"/>
        <v/>
      </c>
    </row>
    <row r="137">
      <c r="A137" s="27" t="str">
        <f>IFERROR(__xludf.DUMMYFUNCTION("""COMPUTED_VALUE"""),"")</f>
        <v/>
      </c>
      <c r="B137" s="28"/>
      <c r="C137" s="28"/>
      <c r="D137" s="27"/>
      <c r="E137" s="27"/>
      <c r="F137" s="27"/>
      <c r="G137" s="27"/>
      <c r="H137" s="28"/>
      <c r="I137" s="28"/>
      <c r="J137" s="28"/>
      <c r="K137" s="28"/>
      <c r="L137" s="28"/>
      <c r="M137" s="28"/>
      <c r="N137" s="28"/>
      <c r="O137" s="28"/>
      <c r="R137" s="28" t="str">
        <f t="shared" si="9"/>
        <v/>
      </c>
    </row>
    <row r="138">
      <c r="A138" s="27" t="str">
        <f>IFERROR(__xludf.DUMMYFUNCTION("""COMPUTED_VALUE"""),"")</f>
        <v/>
      </c>
      <c r="B138" s="28"/>
      <c r="C138" s="28"/>
      <c r="D138" s="27"/>
      <c r="E138" s="27"/>
      <c r="F138" s="27"/>
      <c r="G138" s="27"/>
      <c r="H138" s="28"/>
      <c r="I138" s="28"/>
      <c r="J138" s="28"/>
      <c r="K138" s="28"/>
      <c r="L138" s="28"/>
      <c r="M138" s="28"/>
      <c r="N138" s="28"/>
      <c r="O138" s="28"/>
      <c r="R138" s="28" t="str">
        <f t="shared" si="9"/>
        <v/>
      </c>
    </row>
    <row r="139">
      <c r="A139" s="27" t="str">
        <f>IFERROR(__xludf.DUMMYFUNCTION("""COMPUTED_VALUE"""),"")</f>
        <v/>
      </c>
      <c r="B139" s="28"/>
      <c r="C139" s="28"/>
      <c r="D139" s="27"/>
      <c r="E139" s="27"/>
      <c r="F139" s="27"/>
      <c r="G139" s="27"/>
      <c r="H139" s="28"/>
      <c r="I139" s="28"/>
      <c r="J139" s="28"/>
      <c r="K139" s="28"/>
      <c r="L139" s="28"/>
      <c r="M139" s="28"/>
      <c r="N139" s="28"/>
      <c r="O139" s="28"/>
      <c r="R139" s="28" t="str">
        <f t="shared" si="9"/>
        <v/>
      </c>
    </row>
    <row r="140">
      <c r="A140" s="27" t="str">
        <f>IFERROR(__xludf.DUMMYFUNCTION("""COMPUTED_VALUE"""),"")</f>
        <v/>
      </c>
      <c r="B140" s="28"/>
      <c r="C140" s="28"/>
      <c r="D140" s="27"/>
      <c r="E140" s="27"/>
      <c r="F140" s="27"/>
      <c r="G140" s="27"/>
      <c r="H140" s="28"/>
      <c r="I140" s="28"/>
      <c r="J140" s="28"/>
      <c r="K140" s="28"/>
      <c r="L140" s="28"/>
      <c r="M140" s="28"/>
      <c r="N140" s="28"/>
      <c r="O140" s="28"/>
      <c r="R140" s="28" t="str">
        <f t="shared" si="9"/>
        <v/>
      </c>
    </row>
    <row r="141">
      <c r="A141" s="27" t="str">
        <f>IFERROR(__xludf.DUMMYFUNCTION("""COMPUTED_VALUE"""),"")</f>
        <v/>
      </c>
      <c r="B141" s="28"/>
      <c r="C141" s="28"/>
      <c r="D141" s="27"/>
      <c r="E141" s="27"/>
      <c r="F141" s="27"/>
      <c r="G141" s="27"/>
      <c r="H141" s="28"/>
      <c r="I141" s="28"/>
      <c r="J141" s="28"/>
      <c r="K141" s="28"/>
      <c r="L141" s="28"/>
      <c r="M141" s="28"/>
      <c r="N141" s="28"/>
      <c r="O141" s="28"/>
      <c r="R141" s="28" t="str">
        <f t="shared" si="9"/>
        <v/>
      </c>
    </row>
    <row r="142">
      <c r="A142" s="27" t="str">
        <f>IFERROR(__xludf.DUMMYFUNCTION("""COMPUTED_VALUE"""),"")</f>
        <v/>
      </c>
      <c r="B142" s="28"/>
      <c r="C142" s="28"/>
      <c r="D142" s="27"/>
      <c r="E142" s="27"/>
      <c r="F142" s="27"/>
      <c r="G142" s="27"/>
      <c r="H142" s="28"/>
      <c r="I142" s="28"/>
      <c r="J142" s="28"/>
      <c r="K142" s="28"/>
      <c r="L142" s="28"/>
      <c r="M142" s="28"/>
      <c r="N142" s="28"/>
      <c r="O142" s="28"/>
      <c r="R142" s="28" t="str">
        <f t="shared" si="9"/>
        <v/>
      </c>
    </row>
    <row r="143">
      <c r="A143" s="27" t="str">
        <f>IFERROR(__xludf.DUMMYFUNCTION("""COMPUTED_VALUE"""),"")</f>
        <v/>
      </c>
      <c r="B143" s="28"/>
      <c r="C143" s="28"/>
      <c r="D143" s="27"/>
      <c r="E143" s="27"/>
      <c r="F143" s="27"/>
      <c r="G143" s="27"/>
      <c r="H143" s="28"/>
      <c r="I143" s="28"/>
      <c r="J143" s="28"/>
      <c r="K143" s="28"/>
      <c r="L143" s="28"/>
      <c r="M143" s="28"/>
      <c r="N143" s="28"/>
      <c r="O143" s="28"/>
      <c r="R143" s="28" t="str">
        <f t="shared" si="9"/>
        <v/>
      </c>
    </row>
    <row r="144">
      <c r="A144" s="27" t="str">
        <f>IFERROR(__xludf.DUMMYFUNCTION("""COMPUTED_VALUE"""),"")</f>
        <v/>
      </c>
      <c r="B144" s="28"/>
      <c r="C144" s="28"/>
      <c r="D144" s="27"/>
      <c r="E144" s="27"/>
      <c r="F144" s="27"/>
      <c r="G144" s="27"/>
      <c r="H144" s="28"/>
      <c r="I144" s="28"/>
      <c r="J144" s="28"/>
      <c r="K144" s="28"/>
      <c r="L144" s="28"/>
      <c r="M144" s="28"/>
      <c r="N144" s="28"/>
      <c r="O144" s="28"/>
      <c r="R144" s="28" t="str">
        <f t="shared" si="9"/>
        <v/>
      </c>
    </row>
    <row r="145">
      <c r="A145" s="27" t="str">
        <f>IFERROR(__xludf.DUMMYFUNCTION("""COMPUTED_VALUE"""),"")</f>
        <v/>
      </c>
      <c r="B145" s="28"/>
      <c r="C145" s="28"/>
      <c r="D145" s="27"/>
      <c r="E145" s="27"/>
      <c r="F145" s="27"/>
      <c r="G145" s="27"/>
      <c r="H145" s="28"/>
      <c r="I145" s="28"/>
      <c r="J145" s="28"/>
      <c r="K145" s="28"/>
      <c r="L145" s="28"/>
      <c r="M145" s="28"/>
      <c r="N145" s="28"/>
      <c r="O145" s="28"/>
      <c r="R145" s="28" t="str">
        <f t="shared" si="9"/>
        <v/>
      </c>
    </row>
    <row r="146">
      <c r="A146" s="27" t="str">
        <f>IFERROR(__xludf.DUMMYFUNCTION("""COMPUTED_VALUE"""),"")</f>
        <v/>
      </c>
      <c r="B146" s="28"/>
      <c r="C146" s="28"/>
      <c r="D146" s="27"/>
      <c r="E146" s="27"/>
      <c r="F146" s="27"/>
      <c r="G146" s="27"/>
      <c r="H146" s="28"/>
      <c r="I146" s="28"/>
      <c r="J146" s="28"/>
      <c r="K146" s="28"/>
      <c r="L146" s="28"/>
      <c r="M146" s="28"/>
      <c r="N146" s="28"/>
      <c r="O146" s="28"/>
      <c r="R146" s="28" t="str">
        <f t="shared" si="9"/>
        <v/>
      </c>
    </row>
    <row r="147">
      <c r="A147" s="27" t="str">
        <f>IFERROR(__xludf.DUMMYFUNCTION("""COMPUTED_VALUE"""),"")</f>
        <v/>
      </c>
      <c r="B147" s="28"/>
      <c r="C147" s="28"/>
      <c r="D147" s="27"/>
      <c r="E147" s="27"/>
      <c r="F147" s="27"/>
      <c r="G147" s="27"/>
      <c r="H147" s="28"/>
      <c r="I147" s="28"/>
      <c r="J147" s="28"/>
      <c r="K147" s="28"/>
      <c r="L147" s="28"/>
      <c r="M147" s="28"/>
      <c r="N147" s="28"/>
      <c r="O147" s="28"/>
      <c r="R147" s="28" t="str">
        <f t="shared" si="9"/>
        <v/>
      </c>
    </row>
    <row r="148">
      <c r="A148" s="27" t="str">
        <f>IFERROR(__xludf.DUMMYFUNCTION("""COMPUTED_VALUE"""),"")</f>
        <v/>
      </c>
      <c r="B148" s="28"/>
      <c r="C148" s="28"/>
      <c r="D148" s="27"/>
      <c r="E148" s="27"/>
      <c r="F148" s="27"/>
      <c r="G148" s="27"/>
      <c r="H148" s="28"/>
      <c r="I148" s="28"/>
      <c r="J148" s="28"/>
      <c r="K148" s="28"/>
      <c r="L148" s="28"/>
      <c r="M148" s="28"/>
      <c r="N148" s="28"/>
      <c r="O148" s="28"/>
      <c r="R148" s="28" t="str">
        <f t="shared" si="9"/>
        <v/>
      </c>
    </row>
    <row r="149">
      <c r="A149" s="27" t="str">
        <f>IFERROR(__xludf.DUMMYFUNCTION("""COMPUTED_VALUE"""),"")</f>
        <v/>
      </c>
      <c r="B149" s="28"/>
      <c r="C149" s="28"/>
      <c r="D149" s="27"/>
      <c r="E149" s="27"/>
      <c r="F149" s="27"/>
      <c r="G149" s="27"/>
      <c r="H149" s="28"/>
      <c r="I149" s="28"/>
      <c r="J149" s="28"/>
      <c r="K149" s="28"/>
      <c r="L149" s="28"/>
      <c r="M149" s="28"/>
      <c r="N149" s="28"/>
      <c r="O149" s="28"/>
      <c r="R149" s="28" t="str">
        <f t="shared" si="9"/>
        <v/>
      </c>
    </row>
    <row r="150">
      <c r="A150" s="27" t="str">
        <f>IFERROR(__xludf.DUMMYFUNCTION("""COMPUTED_VALUE"""),"")</f>
        <v/>
      </c>
      <c r="B150" s="28"/>
      <c r="C150" s="28"/>
      <c r="D150" s="27"/>
      <c r="E150" s="27"/>
      <c r="F150" s="27"/>
      <c r="G150" s="27"/>
      <c r="H150" s="28"/>
      <c r="I150" s="28"/>
      <c r="J150" s="28"/>
      <c r="K150" s="28"/>
      <c r="L150" s="28"/>
      <c r="M150" s="28"/>
      <c r="N150" s="28"/>
      <c r="O150" s="28"/>
      <c r="R150" s="28" t="str">
        <f t="shared" si="9"/>
        <v/>
      </c>
    </row>
    <row r="151">
      <c r="A151" s="27" t="str">
        <f>IFERROR(__xludf.DUMMYFUNCTION("""COMPUTED_VALUE"""),"")</f>
        <v/>
      </c>
      <c r="B151" s="28"/>
      <c r="C151" s="28"/>
      <c r="D151" s="27"/>
      <c r="E151" s="27"/>
      <c r="F151" s="27"/>
      <c r="G151" s="27"/>
      <c r="H151" s="28"/>
      <c r="I151" s="28"/>
      <c r="J151" s="28"/>
      <c r="K151" s="28"/>
      <c r="L151" s="28"/>
      <c r="M151" s="28"/>
      <c r="N151" s="28"/>
      <c r="O151" s="28"/>
      <c r="R151" s="28" t="str">
        <f t="shared" si="9"/>
        <v/>
      </c>
    </row>
    <row r="152">
      <c r="A152" s="27" t="str">
        <f>IFERROR(__xludf.DUMMYFUNCTION("""COMPUTED_VALUE"""),"")</f>
        <v/>
      </c>
      <c r="B152" s="28"/>
      <c r="C152" s="28"/>
      <c r="D152" s="27"/>
      <c r="E152" s="27"/>
      <c r="F152" s="27"/>
      <c r="G152" s="27"/>
      <c r="H152" s="28"/>
      <c r="I152" s="28"/>
      <c r="J152" s="28"/>
      <c r="K152" s="28"/>
      <c r="L152" s="28"/>
      <c r="M152" s="28"/>
      <c r="N152" s="28"/>
      <c r="O152" s="28"/>
      <c r="R152" s="28" t="str">
        <f t="shared" si="9"/>
        <v/>
      </c>
    </row>
    <row r="153">
      <c r="A153" s="27" t="str">
        <f>IFERROR(__xludf.DUMMYFUNCTION("""COMPUTED_VALUE"""),"")</f>
        <v/>
      </c>
      <c r="B153" s="28"/>
      <c r="C153" s="28"/>
      <c r="D153" s="27"/>
      <c r="E153" s="27"/>
      <c r="F153" s="27"/>
      <c r="G153" s="27"/>
      <c r="H153" s="28"/>
      <c r="I153" s="28"/>
      <c r="J153" s="28"/>
      <c r="K153" s="28"/>
      <c r="L153" s="28"/>
      <c r="M153" s="28"/>
      <c r="N153" s="28"/>
      <c r="O153" s="28"/>
      <c r="R153" s="28" t="str">
        <f t="shared" si="9"/>
        <v/>
      </c>
    </row>
    <row r="154">
      <c r="A154" s="27" t="str">
        <f>IFERROR(__xludf.DUMMYFUNCTION("""COMPUTED_VALUE"""),"")</f>
        <v/>
      </c>
      <c r="B154" s="28"/>
      <c r="C154" s="28"/>
      <c r="D154" s="27"/>
      <c r="E154" s="27"/>
      <c r="F154" s="27"/>
      <c r="G154" s="27"/>
      <c r="H154" s="28"/>
      <c r="I154" s="28"/>
      <c r="J154" s="28"/>
      <c r="K154" s="28"/>
      <c r="L154" s="28"/>
      <c r="M154" s="28"/>
      <c r="N154" s="28"/>
      <c r="O154" s="28"/>
      <c r="R154" s="28" t="str">
        <f t="shared" si="9"/>
        <v/>
      </c>
    </row>
    <row r="155">
      <c r="A155" s="27" t="str">
        <f>IFERROR(__xludf.DUMMYFUNCTION("""COMPUTED_VALUE"""),"")</f>
        <v/>
      </c>
      <c r="B155" s="28"/>
      <c r="C155" s="28"/>
      <c r="D155" s="27"/>
      <c r="E155" s="27"/>
      <c r="F155" s="27"/>
      <c r="G155" s="27"/>
      <c r="H155" s="28"/>
      <c r="I155" s="28"/>
      <c r="J155" s="28"/>
      <c r="K155" s="28"/>
      <c r="L155" s="28"/>
      <c r="M155" s="28"/>
      <c r="N155" s="28"/>
      <c r="O155" s="28"/>
      <c r="R155" s="28" t="str">
        <f t="shared" si="9"/>
        <v/>
      </c>
    </row>
    <row r="156">
      <c r="A156" s="27" t="str">
        <f>IFERROR(__xludf.DUMMYFUNCTION("""COMPUTED_VALUE"""),"")</f>
        <v/>
      </c>
      <c r="B156" s="28"/>
      <c r="C156" s="28"/>
      <c r="D156" s="27"/>
      <c r="E156" s="27"/>
      <c r="F156" s="27"/>
      <c r="G156" s="27"/>
      <c r="H156" s="28"/>
      <c r="I156" s="28"/>
      <c r="J156" s="28"/>
      <c r="K156" s="28"/>
      <c r="L156" s="28"/>
      <c r="M156" s="28"/>
      <c r="N156" s="28"/>
      <c r="O156" s="28"/>
      <c r="R156" s="28" t="str">
        <f t="shared" si="9"/>
        <v/>
      </c>
    </row>
    <row r="157">
      <c r="A157" s="27" t="str">
        <f>IFERROR(__xludf.DUMMYFUNCTION("""COMPUTED_VALUE"""),"")</f>
        <v/>
      </c>
      <c r="B157" s="28"/>
      <c r="C157" s="28"/>
      <c r="D157" s="27"/>
      <c r="E157" s="27"/>
      <c r="F157" s="27"/>
      <c r="G157" s="27"/>
      <c r="H157" s="28"/>
      <c r="I157" s="28"/>
      <c r="J157" s="28"/>
      <c r="K157" s="28"/>
      <c r="L157" s="28"/>
      <c r="M157" s="28"/>
      <c r="N157" s="28"/>
      <c r="O157" s="28"/>
      <c r="R157" s="28" t="str">
        <f t="shared" si="9"/>
        <v/>
      </c>
    </row>
    <row r="158">
      <c r="A158" s="27" t="str">
        <f>IFERROR(__xludf.DUMMYFUNCTION("""COMPUTED_VALUE"""),"")</f>
        <v/>
      </c>
      <c r="B158" s="28"/>
      <c r="C158" s="28"/>
      <c r="D158" s="27"/>
      <c r="E158" s="27"/>
      <c r="F158" s="27"/>
      <c r="G158" s="27"/>
      <c r="H158" s="28"/>
      <c r="I158" s="28"/>
      <c r="J158" s="28"/>
      <c r="K158" s="28"/>
      <c r="L158" s="28"/>
      <c r="M158" s="28"/>
      <c r="N158" s="28"/>
      <c r="O158" s="28"/>
      <c r="R158" s="28" t="str">
        <f t="shared" si="9"/>
        <v/>
      </c>
    </row>
    <row r="159">
      <c r="A159" s="27" t="str">
        <f>IFERROR(__xludf.DUMMYFUNCTION("""COMPUTED_VALUE"""),"")</f>
        <v/>
      </c>
      <c r="B159" s="28"/>
      <c r="C159" s="28"/>
      <c r="D159" s="27"/>
      <c r="E159" s="27"/>
      <c r="F159" s="27"/>
      <c r="G159" s="27"/>
      <c r="H159" s="28"/>
      <c r="I159" s="28"/>
      <c r="J159" s="28"/>
      <c r="K159" s="28"/>
      <c r="L159" s="28"/>
      <c r="M159" s="28"/>
      <c r="N159" s="28"/>
      <c r="O159" s="28"/>
      <c r="R159" s="28" t="str">
        <f t="shared" si="9"/>
        <v/>
      </c>
    </row>
    <row r="160">
      <c r="A160" s="27" t="str">
        <f>IFERROR(__xludf.DUMMYFUNCTION("""COMPUTED_VALUE"""),"")</f>
        <v/>
      </c>
      <c r="B160" s="28"/>
      <c r="C160" s="28"/>
      <c r="D160" s="27"/>
      <c r="E160" s="27"/>
      <c r="F160" s="27"/>
      <c r="G160" s="27"/>
      <c r="H160" s="28"/>
      <c r="I160" s="28"/>
      <c r="J160" s="28"/>
      <c r="K160" s="28"/>
      <c r="L160" s="28"/>
      <c r="M160" s="28"/>
      <c r="N160" s="28"/>
      <c r="O160" s="28"/>
      <c r="R160" s="28" t="str">
        <f t="shared" si="9"/>
        <v/>
      </c>
    </row>
    <row r="161">
      <c r="A161" s="27" t="str">
        <f>IFERROR(__xludf.DUMMYFUNCTION("""COMPUTED_VALUE"""),"")</f>
        <v/>
      </c>
      <c r="B161" s="28"/>
      <c r="C161" s="28"/>
      <c r="D161" s="27"/>
      <c r="E161" s="27"/>
      <c r="F161" s="27"/>
      <c r="G161" s="27"/>
      <c r="H161" s="28"/>
      <c r="I161" s="28"/>
      <c r="J161" s="28"/>
      <c r="K161" s="28"/>
      <c r="L161" s="28"/>
      <c r="M161" s="28"/>
      <c r="N161" s="28"/>
      <c r="O161" s="28"/>
      <c r="R161" s="28" t="str">
        <f t="shared" si="9"/>
        <v/>
      </c>
    </row>
    <row r="162">
      <c r="A162" s="27" t="str">
        <f>IFERROR(__xludf.DUMMYFUNCTION("""COMPUTED_VALUE"""),"")</f>
        <v/>
      </c>
      <c r="B162" s="28"/>
      <c r="C162" s="28"/>
      <c r="D162" s="27"/>
      <c r="E162" s="27"/>
      <c r="F162" s="27"/>
      <c r="G162" s="27"/>
      <c r="H162" s="28"/>
      <c r="I162" s="28"/>
      <c r="J162" s="28"/>
      <c r="K162" s="28"/>
      <c r="L162" s="28"/>
      <c r="M162" s="28"/>
      <c r="N162" s="28"/>
      <c r="O162" s="28"/>
      <c r="R162" s="28" t="str">
        <f t="shared" si="9"/>
        <v/>
      </c>
    </row>
    <row r="163">
      <c r="A163" s="27" t="str">
        <f>IFERROR(__xludf.DUMMYFUNCTION("""COMPUTED_VALUE"""),"")</f>
        <v/>
      </c>
      <c r="B163" s="28"/>
      <c r="C163" s="28"/>
      <c r="D163" s="27"/>
      <c r="E163" s="27"/>
      <c r="F163" s="27"/>
      <c r="G163" s="27"/>
      <c r="H163" s="28"/>
      <c r="I163" s="28"/>
      <c r="J163" s="28"/>
      <c r="K163" s="28"/>
      <c r="L163" s="28"/>
      <c r="M163" s="28"/>
      <c r="N163" s="28"/>
      <c r="O163" s="28"/>
      <c r="R163" s="28" t="str">
        <f t="shared" si="9"/>
        <v/>
      </c>
    </row>
    <row r="164">
      <c r="A164" s="27" t="str">
        <f>IFERROR(__xludf.DUMMYFUNCTION("""COMPUTED_VALUE"""),"")</f>
        <v/>
      </c>
      <c r="B164" s="28"/>
      <c r="C164" s="28"/>
      <c r="D164" s="27"/>
      <c r="E164" s="27"/>
      <c r="F164" s="27"/>
      <c r="G164" s="27"/>
      <c r="H164" s="28"/>
      <c r="I164" s="28"/>
      <c r="J164" s="28"/>
      <c r="K164" s="28"/>
      <c r="L164" s="28"/>
      <c r="M164" s="28"/>
      <c r="N164" s="28"/>
      <c r="O164" s="28"/>
      <c r="R164" s="28" t="str">
        <f t="shared" si="9"/>
        <v/>
      </c>
    </row>
    <row r="165">
      <c r="A165" s="27" t="str">
        <f>IFERROR(__xludf.DUMMYFUNCTION("""COMPUTED_VALUE"""),"")</f>
        <v/>
      </c>
      <c r="B165" s="28"/>
      <c r="C165" s="28"/>
      <c r="D165" s="27"/>
      <c r="E165" s="27"/>
      <c r="F165" s="27"/>
      <c r="G165" s="27"/>
      <c r="H165" s="28"/>
      <c r="I165" s="28"/>
      <c r="J165" s="28"/>
      <c r="K165" s="28"/>
      <c r="L165" s="28"/>
      <c r="M165" s="28"/>
      <c r="N165" s="28"/>
      <c r="O165" s="28"/>
      <c r="R165" s="28" t="str">
        <f t="shared" si="9"/>
        <v/>
      </c>
    </row>
    <row r="166">
      <c r="A166" s="27" t="str">
        <f>IFERROR(__xludf.DUMMYFUNCTION("""COMPUTED_VALUE"""),"")</f>
        <v/>
      </c>
      <c r="B166" s="28"/>
      <c r="C166" s="28"/>
      <c r="D166" s="27"/>
      <c r="E166" s="27"/>
      <c r="F166" s="27"/>
      <c r="G166" s="27"/>
      <c r="H166" s="28"/>
      <c r="I166" s="28"/>
      <c r="J166" s="28"/>
      <c r="K166" s="28"/>
      <c r="L166" s="28"/>
      <c r="M166" s="28"/>
      <c r="N166" s="28"/>
      <c r="O166" s="28"/>
      <c r="R166" s="28" t="str">
        <f t="shared" si="9"/>
        <v/>
      </c>
    </row>
    <row r="167">
      <c r="A167" s="27" t="str">
        <f>IFERROR(__xludf.DUMMYFUNCTION("""COMPUTED_VALUE"""),"")</f>
        <v/>
      </c>
      <c r="B167" s="28"/>
      <c r="C167" s="28"/>
      <c r="D167" s="27"/>
      <c r="E167" s="27"/>
      <c r="F167" s="27"/>
      <c r="G167" s="27"/>
      <c r="H167" s="28"/>
      <c r="I167" s="28"/>
      <c r="J167" s="28"/>
      <c r="K167" s="28"/>
      <c r="L167" s="28"/>
      <c r="M167" s="28"/>
      <c r="N167" s="28"/>
      <c r="O167" s="28"/>
      <c r="R167" s="28" t="str">
        <f t="shared" si="9"/>
        <v/>
      </c>
    </row>
    <row r="168">
      <c r="A168" s="27" t="str">
        <f>IFERROR(__xludf.DUMMYFUNCTION("""COMPUTED_VALUE"""),"")</f>
        <v/>
      </c>
      <c r="B168" s="28"/>
      <c r="C168" s="28"/>
      <c r="D168" s="27"/>
      <c r="E168" s="27"/>
      <c r="F168" s="27"/>
      <c r="G168" s="27"/>
      <c r="H168" s="28"/>
      <c r="I168" s="28"/>
      <c r="J168" s="28"/>
      <c r="K168" s="28"/>
      <c r="L168" s="28"/>
      <c r="M168" s="28"/>
      <c r="N168" s="28"/>
      <c r="O168" s="28"/>
      <c r="R168" s="28" t="str">
        <f t="shared" si="9"/>
        <v/>
      </c>
    </row>
    <row r="169">
      <c r="A169" s="27" t="str">
        <f>IFERROR(__xludf.DUMMYFUNCTION("""COMPUTED_VALUE"""),"")</f>
        <v/>
      </c>
      <c r="B169" s="28"/>
      <c r="C169" s="28"/>
      <c r="D169" s="27"/>
      <c r="E169" s="27"/>
      <c r="F169" s="27"/>
      <c r="G169" s="27"/>
      <c r="H169" s="28"/>
      <c r="I169" s="28"/>
      <c r="J169" s="28"/>
      <c r="K169" s="28"/>
      <c r="L169" s="28"/>
      <c r="M169" s="28"/>
      <c r="N169" s="28"/>
      <c r="O169" s="28"/>
      <c r="R169" s="28" t="str">
        <f t="shared" si="9"/>
        <v/>
      </c>
    </row>
    <row r="170">
      <c r="A170" s="27" t="str">
        <f>IFERROR(__xludf.DUMMYFUNCTION("""COMPUTED_VALUE"""),"")</f>
        <v/>
      </c>
      <c r="B170" s="28"/>
      <c r="C170" s="28"/>
      <c r="D170" s="27"/>
      <c r="E170" s="27"/>
      <c r="F170" s="27"/>
      <c r="G170" s="27"/>
      <c r="H170" s="28"/>
      <c r="I170" s="28"/>
      <c r="J170" s="28"/>
      <c r="K170" s="28"/>
      <c r="L170" s="28"/>
      <c r="M170" s="28"/>
      <c r="N170" s="28"/>
      <c r="O170" s="28"/>
      <c r="R170" s="28" t="str">
        <f t="shared" si="9"/>
        <v/>
      </c>
    </row>
    <row r="171">
      <c r="A171" s="27" t="str">
        <f>IFERROR(__xludf.DUMMYFUNCTION("""COMPUTED_VALUE"""),"")</f>
        <v/>
      </c>
      <c r="B171" s="28"/>
      <c r="C171" s="28"/>
      <c r="D171" s="27"/>
      <c r="E171" s="27"/>
      <c r="F171" s="27"/>
      <c r="G171" s="27"/>
      <c r="H171" s="28"/>
      <c r="I171" s="28"/>
      <c r="J171" s="28"/>
      <c r="K171" s="28"/>
      <c r="L171" s="28"/>
      <c r="M171" s="28"/>
      <c r="N171" s="28"/>
      <c r="O171" s="28"/>
      <c r="R171" s="28" t="str">
        <f t="shared" si="9"/>
        <v/>
      </c>
    </row>
    <row r="172">
      <c r="A172" s="27" t="str">
        <f>IFERROR(__xludf.DUMMYFUNCTION("""COMPUTED_VALUE"""),"")</f>
        <v/>
      </c>
      <c r="B172" s="28"/>
      <c r="C172" s="28"/>
      <c r="D172" s="27"/>
      <c r="E172" s="27"/>
      <c r="F172" s="27"/>
      <c r="G172" s="27"/>
      <c r="H172" s="28"/>
      <c r="I172" s="28"/>
      <c r="J172" s="28"/>
      <c r="K172" s="28"/>
      <c r="L172" s="28"/>
      <c r="M172" s="28"/>
      <c r="N172" s="28"/>
      <c r="O172" s="28"/>
      <c r="R172" s="28" t="str">
        <f t="shared" si="9"/>
        <v/>
      </c>
    </row>
    <row r="173">
      <c r="A173" s="27" t="str">
        <f>IFERROR(__xludf.DUMMYFUNCTION("""COMPUTED_VALUE"""),"")</f>
        <v/>
      </c>
      <c r="B173" s="28"/>
      <c r="C173" s="28"/>
      <c r="D173" s="27"/>
      <c r="E173" s="27"/>
      <c r="F173" s="27"/>
      <c r="G173" s="27"/>
      <c r="H173" s="28"/>
      <c r="I173" s="28"/>
      <c r="J173" s="28"/>
      <c r="K173" s="28"/>
      <c r="L173" s="28"/>
      <c r="M173" s="28"/>
      <c r="N173" s="28"/>
      <c r="O173" s="28"/>
      <c r="R173" s="28" t="str">
        <f t="shared" si="9"/>
        <v/>
      </c>
    </row>
    <row r="174">
      <c r="A174" s="27" t="str">
        <f>IFERROR(__xludf.DUMMYFUNCTION("""COMPUTED_VALUE"""),"")</f>
        <v/>
      </c>
      <c r="B174" s="28"/>
      <c r="C174" s="28"/>
      <c r="D174" s="27"/>
      <c r="E174" s="27"/>
      <c r="F174" s="27"/>
      <c r="G174" s="27"/>
      <c r="H174" s="28"/>
      <c r="I174" s="28"/>
      <c r="J174" s="28"/>
      <c r="K174" s="28"/>
      <c r="L174" s="28"/>
      <c r="M174" s="28"/>
      <c r="N174" s="28"/>
      <c r="O174" s="28"/>
      <c r="R174" s="28" t="str">
        <f t="shared" si="9"/>
        <v/>
      </c>
    </row>
    <row r="175">
      <c r="A175" s="27" t="str">
        <f>IFERROR(__xludf.DUMMYFUNCTION("""COMPUTED_VALUE"""),"")</f>
        <v/>
      </c>
      <c r="B175" s="28"/>
      <c r="C175" s="28"/>
      <c r="D175" s="27"/>
      <c r="E175" s="27"/>
      <c r="F175" s="27"/>
      <c r="G175" s="27"/>
      <c r="H175" s="28"/>
      <c r="I175" s="28"/>
      <c r="J175" s="28"/>
      <c r="K175" s="28"/>
      <c r="L175" s="28"/>
      <c r="M175" s="28"/>
      <c r="N175" s="28"/>
      <c r="O175" s="28"/>
      <c r="R175" s="28" t="str">
        <f t="shared" si="9"/>
        <v/>
      </c>
    </row>
    <row r="176">
      <c r="A176" s="27" t="str">
        <f>IFERROR(__xludf.DUMMYFUNCTION("""COMPUTED_VALUE"""),"")</f>
        <v/>
      </c>
      <c r="B176" s="28"/>
      <c r="C176" s="28"/>
      <c r="D176" s="27"/>
      <c r="E176" s="27"/>
      <c r="F176" s="27"/>
      <c r="G176" s="27"/>
      <c r="H176" s="28"/>
      <c r="I176" s="28"/>
      <c r="J176" s="28"/>
      <c r="K176" s="28"/>
      <c r="L176" s="28"/>
      <c r="M176" s="28"/>
      <c r="N176" s="28"/>
      <c r="O176" s="28"/>
      <c r="R176" s="28" t="str">
        <f t="shared" si="9"/>
        <v/>
      </c>
    </row>
    <row r="177">
      <c r="A177" s="27" t="str">
        <f>IFERROR(__xludf.DUMMYFUNCTION("""COMPUTED_VALUE"""),"")</f>
        <v/>
      </c>
      <c r="B177" s="28"/>
      <c r="C177" s="28"/>
      <c r="D177" s="27"/>
      <c r="E177" s="27"/>
      <c r="F177" s="27"/>
      <c r="G177" s="27"/>
      <c r="H177" s="28"/>
      <c r="I177" s="28"/>
      <c r="J177" s="28"/>
      <c r="K177" s="28"/>
      <c r="L177" s="28"/>
      <c r="M177" s="28"/>
      <c r="N177" s="28"/>
      <c r="O177" s="28"/>
      <c r="R177" s="28" t="str">
        <f t="shared" si="9"/>
        <v/>
      </c>
    </row>
    <row r="178">
      <c r="A178" s="27" t="str">
        <f>IFERROR(__xludf.DUMMYFUNCTION("""COMPUTED_VALUE"""),"")</f>
        <v/>
      </c>
      <c r="B178" s="28"/>
      <c r="C178" s="28"/>
      <c r="D178" s="27"/>
      <c r="E178" s="27"/>
      <c r="F178" s="27"/>
      <c r="G178" s="27"/>
      <c r="H178" s="28"/>
      <c r="I178" s="28"/>
      <c r="J178" s="28"/>
      <c r="K178" s="28"/>
      <c r="L178" s="28"/>
      <c r="M178" s="28"/>
      <c r="N178" s="28"/>
      <c r="O178" s="28"/>
      <c r="R178" s="28" t="str">
        <f t="shared" si="9"/>
        <v/>
      </c>
    </row>
    <row r="179">
      <c r="A179" s="27" t="str">
        <f>IFERROR(__xludf.DUMMYFUNCTION("""COMPUTED_VALUE"""),"")</f>
        <v/>
      </c>
      <c r="B179" s="28"/>
      <c r="C179" s="28"/>
      <c r="D179" s="27"/>
      <c r="E179" s="27"/>
      <c r="F179" s="27"/>
      <c r="G179" s="27"/>
      <c r="H179" s="28"/>
      <c r="I179" s="28"/>
      <c r="J179" s="28"/>
      <c r="K179" s="28"/>
      <c r="L179" s="28"/>
      <c r="M179" s="28"/>
      <c r="N179" s="28"/>
      <c r="O179" s="28"/>
      <c r="R179" s="28" t="str">
        <f t="shared" si="9"/>
        <v/>
      </c>
    </row>
    <row r="180">
      <c r="A180" s="27" t="str">
        <f>IFERROR(__xludf.DUMMYFUNCTION("""COMPUTED_VALUE"""),"")</f>
        <v/>
      </c>
      <c r="B180" s="28"/>
      <c r="C180" s="28"/>
      <c r="D180" s="27"/>
      <c r="E180" s="27"/>
      <c r="F180" s="27"/>
      <c r="G180" s="27"/>
      <c r="H180" s="28"/>
      <c r="I180" s="28"/>
      <c r="J180" s="28"/>
      <c r="K180" s="28"/>
      <c r="L180" s="28"/>
      <c r="M180" s="28"/>
      <c r="N180" s="28"/>
      <c r="O180" s="28"/>
      <c r="R180" s="28" t="str">
        <f t="shared" si="9"/>
        <v/>
      </c>
    </row>
    <row r="181">
      <c r="A181" s="27" t="str">
        <f>IFERROR(__xludf.DUMMYFUNCTION("""COMPUTED_VALUE"""),"")</f>
        <v/>
      </c>
      <c r="B181" s="28"/>
      <c r="C181" s="28"/>
      <c r="D181" s="27"/>
      <c r="E181" s="27"/>
      <c r="F181" s="27"/>
      <c r="G181" s="27"/>
      <c r="H181" s="28"/>
      <c r="I181" s="28"/>
      <c r="J181" s="28"/>
      <c r="K181" s="28"/>
      <c r="L181" s="28"/>
      <c r="M181" s="28"/>
      <c r="N181" s="28"/>
      <c r="O181" s="28"/>
      <c r="R181" s="28" t="str">
        <f t="shared" si="9"/>
        <v/>
      </c>
    </row>
    <row r="182">
      <c r="A182" s="27" t="str">
        <f>IFERROR(__xludf.DUMMYFUNCTION("""COMPUTED_VALUE"""),"")</f>
        <v/>
      </c>
      <c r="B182" s="28"/>
      <c r="C182" s="28"/>
      <c r="D182" s="27"/>
      <c r="E182" s="27"/>
      <c r="F182" s="27"/>
      <c r="G182" s="27"/>
      <c r="H182" s="28"/>
      <c r="I182" s="28"/>
      <c r="J182" s="28"/>
      <c r="K182" s="28"/>
      <c r="L182" s="28"/>
      <c r="M182" s="28"/>
      <c r="N182" s="28"/>
      <c r="O182" s="28"/>
      <c r="R182" s="28" t="str">
        <f t="shared" si="9"/>
        <v/>
      </c>
    </row>
    <row r="183">
      <c r="A183" s="27" t="str">
        <f>IFERROR(__xludf.DUMMYFUNCTION("""COMPUTED_VALUE"""),"")</f>
        <v/>
      </c>
      <c r="B183" s="28"/>
      <c r="C183" s="28"/>
      <c r="D183" s="27"/>
      <c r="E183" s="27"/>
      <c r="F183" s="27"/>
      <c r="G183" s="27"/>
      <c r="H183" s="28"/>
      <c r="I183" s="28"/>
      <c r="J183" s="28"/>
      <c r="K183" s="28"/>
      <c r="L183" s="28"/>
      <c r="M183" s="28"/>
      <c r="N183" s="28"/>
      <c r="O183" s="28"/>
      <c r="R183" s="28" t="str">
        <f t="shared" si="9"/>
        <v/>
      </c>
    </row>
    <row r="184">
      <c r="A184" s="27" t="str">
        <f>IFERROR(__xludf.DUMMYFUNCTION("""COMPUTED_VALUE"""),"")</f>
        <v/>
      </c>
      <c r="B184" s="28"/>
      <c r="C184" s="28"/>
      <c r="D184" s="27"/>
      <c r="E184" s="27"/>
      <c r="F184" s="27"/>
      <c r="G184" s="27"/>
      <c r="H184" s="28"/>
      <c r="I184" s="28"/>
      <c r="J184" s="28"/>
      <c r="K184" s="28"/>
      <c r="L184" s="28"/>
      <c r="M184" s="28"/>
      <c r="N184" s="28"/>
      <c r="O184" s="28"/>
      <c r="R184" s="28" t="str">
        <f t="shared" si="9"/>
        <v/>
      </c>
    </row>
    <row r="185">
      <c r="A185" s="27" t="str">
        <f>IFERROR(__xludf.DUMMYFUNCTION("""COMPUTED_VALUE"""),"")</f>
        <v/>
      </c>
      <c r="B185" s="28"/>
      <c r="C185" s="28"/>
      <c r="D185" s="27"/>
      <c r="E185" s="27"/>
      <c r="F185" s="27"/>
      <c r="G185" s="27"/>
      <c r="H185" s="28"/>
      <c r="I185" s="28"/>
      <c r="J185" s="28"/>
      <c r="K185" s="28"/>
      <c r="L185" s="28"/>
      <c r="M185" s="28"/>
      <c r="N185" s="28"/>
      <c r="O185" s="28"/>
      <c r="R185" s="28" t="str">
        <f t="shared" si="9"/>
        <v/>
      </c>
    </row>
    <row r="186">
      <c r="A186" s="27" t="str">
        <f>IFERROR(__xludf.DUMMYFUNCTION("""COMPUTED_VALUE"""),"")</f>
        <v/>
      </c>
      <c r="B186" s="28"/>
      <c r="C186" s="28"/>
      <c r="D186" s="27"/>
      <c r="E186" s="27"/>
      <c r="F186" s="27"/>
      <c r="G186" s="27"/>
      <c r="H186" s="28"/>
      <c r="I186" s="28"/>
      <c r="J186" s="28"/>
      <c r="K186" s="28"/>
      <c r="L186" s="28"/>
      <c r="M186" s="28"/>
      <c r="N186" s="28"/>
      <c r="O186" s="28"/>
      <c r="R186" s="28" t="str">
        <f t="shared" si="9"/>
        <v/>
      </c>
    </row>
    <row r="187">
      <c r="A187" s="27" t="str">
        <f>IFERROR(__xludf.DUMMYFUNCTION("""COMPUTED_VALUE"""),"")</f>
        <v/>
      </c>
      <c r="B187" s="28"/>
      <c r="C187" s="28"/>
      <c r="D187" s="27"/>
      <c r="E187" s="27"/>
      <c r="F187" s="27"/>
      <c r="G187" s="27"/>
      <c r="H187" s="28"/>
      <c r="I187" s="28"/>
      <c r="J187" s="28"/>
      <c r="K187" s="28"/>
      <c r="L187" s="28"/>
      <c r="M187" s="28"/>
      <c r="N187" s="28"/>
      <c r="O187" s="28"/>
      <c r="R187" s="28" t="str">
        <f t="shared" si="9"/>
        <v/>
      </c>
    </row>
    <row r="188">
      <c r="A188" s="27" t="str">
        <f>IFERROR(__xludf.DUMMYFUNCTION("""COMPUTED_VALUE"""),"")</f>
        <v/>
      </c>
      <c r="B188" s="28"/>
      <c r="C188" s="28"/>
      <c r="D188" s="27"/>
      <c r="E188" s="27"/>
      <c r="F188" s="27"/>
      <c r="G188" s="27"/>
      <c r="H188" s="28"/>
      <c r="I188" s="28"/>
      <c r="J188" s="28"/>
      <c r="K188" s="28"/>
      <c r="L188" s="28"/>
      <c r="M188" s="28"/>
      <c r="N188" s="28"/>
      <c r="O188" s="28"/>
      <c r="R188" s="28" t="str">
        <f t="shared" si="9"/>
        <v/>
      </c>
    </row>
    <row r="189">
      <c r="A189" s="27" t="str">
        <f>IFERROR(__xludf.DUMMYFUNCTION("""COMPUTED_VALUE"""),"")</f>
        <v/>
      </c>
      <c r="B189" s="28"/>
      <c r="C189" s="28"/>
      <c r="D189" s="27"/>
      <c r="E189" s="27"/>
      <c r="F189" s="27"/>
      <c r="G189" s="27"/>
      <c r="H189" s="28"/>
      <c r="I189" s="28"/>
      <c r="J189" s="28"/>
      <c r="K189" s="28"/>
      <c r="L189" s="28"/>
      <c r="M189" s="28"/>
      <c r="N189" s="28"/>
      <c r="O189" s="28"/>
      <c r="R189" s="28" t="str">
        <f t="shared" si="9"/>
        <v/>
      </c>
    </row>
    <row r="190">
      <c r="A190" s="27" t="str">
        <f>IFERROR(__xludf.DUMMYFUNCTION("""COMPUTED_VALUE"""),"")</f>
        <v/>
      </c>
      <c r="B190" s="28"/>
      <c r="C190" s="28"/>
      <c r="D190" s="27"/>
      <c r="E190" s="27"/>
      <c r="F190" s="27"/>
      <c r="G190" s="27"/>
      <c r="H190" s="28"/>
      <c r="I190" s="28"/>
      <c r="J190" s="28"/>
      <c r="K190" s="28"/>
      <c r="L190" s="28"/>
      <c r="M190" s="28"/>
      <c r="N190" s="28"/>
      <c r="O190" s="28"/>
      <c r="R190" s="28" t="str">
        <f t="shared" si="9"/>
        <v/>
      </c>
    </row>
    <row r="191">
      <c r="A191" s="27" t="str">
        <f>IFERROR(__xludf.DUMMYFUNCTION("""COMPUTED_VALUE"""),"")</f>
        <v/>
      </c>
      <c r="B191" s="28"/>
      <c r="C191" s="28"/>
      <c r="D191" s="27"/>
      <c r="E191" s="27"/>
      <c r="F191" s="27"/>
      <c r="G191" s="27"/>
      <c r="H191" s="28"/>
      <c r="I191" s="28"/>
      <c r="J191" s="28"/>
      <c r="K191" s="28"/>
      <c r="L191" s="28"/>
      <c r="M191" s="28"/>
      <c r="N191" s="28"/>
      <c r="O191" s="28"/>
      <c r="R191" s="28" t="str">
        <f t="shared" si="9"/>
        <v/>
      </c>
    </row>
    <row r="192">
      <c r="A192" s="27" t="str">
        <f>IFERROR(__xludf.DUMMYFUNCTION("""COMPUTED_VALUE"""),"")</f>
        <v/>
      </c>
      <c r="B192" s="28"/>
      <c r="C192" s="28"/>
      <c r="D192" s="27"/>
      <c r="E192" s="27"/>
      <c r="F192" s="27"/>
      <c r="G192" s="27"/>
      <c r="H192" s="28"/>
      <c r="I192" s="28"/>
      <c r="J192" s="28"/>
      <c r="K192" s="28"/>
      <c r="L192" s="28"/>
      <c r="M192" s="28"/>
      <c r="N192" s="28"/>
      <c r="O192" s="28"/>
      <c r="R192" s="28" t="str">
        <f t="shared" si="9"/>
        <v/>
      </c>
    </row>
    <row r="193">
      <c r="A193" s="27" t="str">
        <f>IFERROR(__xludf.DUMMYFUNCTION("""COMPUTED_VALUE"""),"")</f>
        <v/>
      </c>
      <c r="B193" s="28"/>
      <c r="C193" s="28"/>
      <c r="D193" s="27"/>
      <c r="E193" s="27"/>
      <c r="F193" s="27"/>
      <c r="G193" s="27"/>
      <c r="H193" s="28"/>
      <c r="I193" s="28"/>
      <c r="J193" s="28"/>
      <c r="K193" s="28"/>
      <c r="L193" s="28"/>
      <c r="M193" s="28"/>
      <c r="N193" s="28"/>
      <c r="O193" s="28"/>
      <c r="R193" s="28" t="str">
        <f t="shared" si="9"/>
        <v/>
      </c>
    </row>
    <row r="194">
      <c r="A194" s="27" t="str">
        <f>IFERROR(__xludf.DUMMYFUNCTION("""COMPUTED_VALUE"""),"")</f>
        <v/>
      </c>
      <c r="B194" s="28"/>
      <c r="C194" s="28"/>
      <c r="D194" s="27"/>
      <c r="E194" s="27"/>
      <c r="F194" s="27"/>
      <c r="G194" s="27"/>
      <c r="H194" s="28"/>
      <c r="I194" s="28"/>
      <c r="J194" s="28"/>
      <c r="K194" s="28"/>
      <c r="L194" s="28"/>
      <c r="M194" s="28"/>
      <c r="N194" s="28"/>
      <c r="O194" s="28"/>
      <c r="R194" s="28" t="str">
        <f t="shared" si="9"/>
        <v/>
      </c>
    </row>
    <row r="195">
      <c r="A195" s="27" t="str">
        <f>IFERROR(__xludf.DUMMYFUNCTION("""COMPUTED_VALUE"""),"")</f>
        <v/>
      </c>
      <c r="B195" s="28"/>
      <c r="C195" s="28"/>
      <c r="D195" s="27"/>
      <c r="E195" s="27"/>
      <c r="F195" s="27"/>
      <c r="G195" s="27"/>
      <c r="H195" s="28"/>
      <c r="I195" s="28"/>
      <c r="J195" s="28"/>
      <c r="K195" s="28"/>
      <c r="L195" s="28"/>
      <c r="M195" s="28"/>
      <c r="N195" s="28"/>
      <c r="O195" s="28"/>
      <c r="R195" s="28" t="str">
        <f t="shared" si="9"/>
        <v/>
      </c>
    </row>
    <row r="196">
      <c r="A196" s="27" t="str">
        <f>IFERROR(__xludf.DUMMYFUNCTION("""COMPUTED_VALUE"""),"")</f>
        <v/>
      </c>
      <c r="B196" s="28"/>
      <c r="C196" s="28"/>
      <c r="D196" s="27"/>
      <c r="E196" s="27"/>
      <c r="F196" s="27"/>
      <c r="G196" s="27"/>
      <c r="H196" s="28"/>
      <c r="I196" s="28"/>
      <c r="J196" s="28"/>
      <c r="K196" s="28"/>
      <c r="L196" s="28"/>
      <c r="M196" s="28"/>
      <c r="N196" s="28"/>
      <c r="O196" s="28"/>
      <c r="R196" s="28" t="str">
        <f t="shared" si="9"/>
        <v/>
      </c>
    </row>
    <row r="197">
      <c r="A197" s="27" t="str">
        <f>IFERROR(__xludf.DUMMYFUNCTION("""COMPUTED_VALUE"""),"")</f>
        <v/>
      </c>
      <c r="B197" s="28"/>
      <c r="C197" s="28"/>
      <c r="D197" s="27"/>
      <c r="E197" s="27"/>
      <c r="F197" s="27"/>
      <c r="G197" s="27"/>
      <c r="H197" s="28"/>
      <c r="I197" s="28"/>
      <c r="J197" s="28"/>
      <c r="K197" s="28"/>
      <c r="L197" s="28"/>
      <c r="M197" s="28"/>
      <c r="N197" s="28"/>
      <c r="O197" s="28"/>
      <c r="R197" s="28" t="str">
        <f t="shared" si="9"/>
        <v/>
      </c>
    </row>
    <row r="198">
      <c r="A198" s="27" t="str">
        <f>IFERROR(__xludf.DUMMYFUNCTION("""COMPUTED_VALUE"""),"")</f>
        <v/>
      </c>
      <c r="B198" s="28"/>
      <c r="C198" s="28"/>
      <c r="D198" s="27"/>
      <c r="E198" s="27"/>
      <c r="F198" s="27"/>
      <c r="G198" s="27"/>
      <c r="H198" s="28"/>
      <c r="I198" s="28"/>
      <c r="J198" s="28"/>
      <c r="K198" s="28"/>
      <c r="L198" s="28"/>
      <c r="M198" s="28"/>
      <c r="N198" s="28"/>
      <c r="O198" s="28"/>
      <c r="R198" s="28" t="str">
        <f t="shared" si="9"/>
        <v/>
      </c>
    </row>
    <row r="199">
      <c r="A199" s="27" t="str">
        <f>IFERROR(__xludf.DUMMYFUNCTION("""COMPUTED_VALUE"""),"")</f>
        <v/>
      </c>
      <c r="B199" s="28"/>
      <c r="C199" s="28"/>
      <c r="D199" s="27"/>
      <c r="E199" s="27"/>
      <c r="F199" s="27"/>
      <c r="G199" s="27"/>
      <c r="H199" s="28"/>
      <c r="I199" s="28"/>
      <c r="J199" s="28"/>
      <c r="K199" s="28"/>
      <c r="L199" s="28"/>
      <c r="M199" s="28"/>
      <c r="N199" s="28"/>
      <c r="O199" s="28"/>
      <c r="R199" s="28" t="str">
        <f t="shared" si="9"/>
        <v/>
      </c>
    </row>
    <row r="200">
      <c r="A200" s="27" t="str">
        <f>IFERROR(__xludf.DUMMYFUNCTION("""COMPUTED_VALUE"""),"")</f>
        <v/>
      </c>
      <c r="B200" s="28"/>
      <c r="C200" s="28"/>
      <c r="D200" s="27"/>
      <c r="E200" s="27"/>
      <c r="F200" s="27"/>
      <c r="G200" s="27"/>
      <c r="H200" s="28"/>
      <c r="I200" s="28"/>
      <c r="J200" s="28"/>
      <c r="K200" s="28"/>
      <c r="L200" s="28"/>
      <c r="M200" s="28"/>
      <c r="N200" s="28"/>
      <c r="O200" s="28"/>
      <c r="R200" s="28" t="str">
        <f t="shared" si="9"/>
        <v/>
      </c>
    </row>
    <row r="201">
      <c r="A201" s="27" t="str">
        <f>IFERROR(__xludf.DUMMYFUNCTION("""COMPUTED_VALUE"""),"")</f>
        <v/>
      </c>
      <c r="B201" s="28"/>
      <c r="C201" s="28"/>
      <c r="D201" s="27"/>
      <c r="E201" s="27"/>
      <c r="F201" s="27"/>
      <c r="G201" s="27"/>
      <c r="H201" s="28"/>
      <c r="I201" s="28"/>
      <c r="J201" s="28"/>
      <c r="K201" s="28"/>
      <c r="L201" s="28"/>
      <c r="M201" s="28"/>
      <c r="N201" s="28"/>
      <c r="O201" s="28"/>
      <c r="R201" s="28" t="str">
        <f t="shared" si="9"/>
        <v/>
      </c>
    </row>
    <row r="202">
      <c r="A202" s="27" t="str">
        <f>IFERROR(__xludf.DUMMYFUNCTION("""COMPUTED_VALUE"""),"")</f>
        <v/>
      </c>
      <c r="B202" s="28"/>
      <c r="C202" s="28"/>
      <c r="D202" s="27"/>
      <c r="E202" s="27"/>
      <c r="F202" s="27"/>
      <c r="G202" s="27"/>
      <c r="H202" s="28"/>
      <c r="I202" s="28"/>
      <c r="J202" s="28"/>
      <c r="K202" s="28"/>
      <c r="L202" s="28"/>
      <c r="M202" s="28"/>
      <c r="N202" s="28"/>
      <c r="O202" s="28"/>
      <c r="R202" s="28" t="str">
        <f t="shared" si="9"/>
        <v/>
      </c>
    </row>
    <row r="203">
      <c r="A203" s="27" t="str">
        <f>IFERROR(__xludf.DUMMYFUNCTION("""COMPUTED_VALUE"""),"")</f>
        <v/>
      </c>
      <c r="B203" s="28"/>
      <c r="C203" s="28"/>
      <c r="D203" s="27"/>
      <c r="E203" s="27"/>
      <c r="F203" s="27"/>
      <c r="G203" s="27"/>
      <c r="H203" s="28"/>
      <c r="I203" s="28"/>
      <c r="J203" s="28"/>
      <c r="K203" s="28"/>
      <c r="L203" s="28"/>
      <c r="M203" s="28"/>
      <c r="N203" s="28"/>
      <c r="O203" s="28"/>
      <c r="R203" s="28" t="str">
        <f t="shared" si="9"/>
        <v/>
      </c>
    </row>
    <row r="204">
      <c r="A204" s="27" t="str">
        <f>IFERROR(__xludf.DUMMYFUNCTION("""COMPUTED_VALUE"""),"")</f>
        <v/>
      </c>
      <c r="B204" s="28"/>
      <c r="C204" s="28"/>
      <c r="D204" s="27"/>
      <c r="E204" s="27"/>
      <c r="F204" s="27"/>
      <c r="G204" s="27"/>
      <c r="H204" s="28"/>
      <c r="I204" s="28"/>
      <c r="J204" s="28"/>
      <c r="K204" s="28"/>
      <c r="L204" s="28"/>
      <c r="M204" s="28"/>
      <c r="N204" s="28"/>
      <c r="O204" s="28"/>
      <c r="R204" s="28" t="str">
        <f t="shared" si="9"/>
        <v/>
      </c>
    </row>
    <row r="205">
      <c r="A205" s="27" t="str">
        <f>IFERROR(__xludf.DUMMYFUNCTION("""COMPUTED_VALUE"""),"")</f>
        <v/>
      </c>
      <c r="B205" s="28"/>
      <c r="C205" s="28"/>
      <c r="D205" s="27"/>
      <c r="E205" s="27"/>
      <c r="F205" s="27"/>
      <c r="G205" s="27"/>
      <c r="H205" s="28"/>
      <c r="I205" s="28"/>
      <c r="J205" s="28"/>
      <c r="K205" s="28"/>
      <c r="L205" s="28"/>
      <c r="M205" s="28"/>
      <c r="N205" s="28"/>
      <c r="O205" s="28"/>
      <c r="R205" s="28" t="str">
        <f t="shared" si="9"/>
        <v/>
      </c>
    </row>
    <row r="206">
      <c r="A206" s="27" t="str">
        <f>IFERROR(__xludf.DUMMYFUNCTION("""COMPUTED_VALUE"""),"")</f>
        <v/>
      </c>
      <c r="B206" s="28"/>
      <c r="C206" s="28"/>
      <c r="D206" s="27"/>
      <c r="E206" s="27"/>
      <c r="F206" s="27"/>
      <c r="G206" s="27"/>
      <c r="H206" s="28"/>
      <c r="I206" s="28"/>
      <c r="J206" s="28"/>
      <c r="K206" s="28"/>
      <c r="L206" s="28"/>
      <c r="M206" s="28"/>
      <c r="N206" s="28"/>
      <c r="O206" s="28"/>
      <c r="R206" s="28" t="str">
        <f t="shared" si="9"/>
        <v/>
      </c>
    </row>
    <row r="207">
      <c r="A207" s="27" t="str">
        <f>IFERROR(__xludf.DUMMYFUNCTION("""COMPUTED_VALUE"""),"")</f>
        <v/>
      </c>
      <c r="B207" s="28"/>
      <c r="C207" s="28"/>
      <c r="D207" s="27"/>
      <c r="E207" s="27"/>
      <c r="F207" s="27"/>
      <c r="G207" s="27"/>
      <c r="H207" s="28"/>
      <c r="I207" s="28"/>
      <c r="J207" s="28"/>
      <c r="K207" s="28"/>
      <c r="L207" s="28"/>
      <c r="M207" s="28"/>
      <c r="N207" s="28"/>
      <c r="O207" s="28"/>
      <c r="R207" s="28" t="str">
        <f t="shared" si="9"/>
        <v/>
      </c>
    </row>
    <row r="208">
      <c r="A208" s="27" t="str">
        <f>IFERROR(__xludf.DUMMYFUNCTION("""COMPUTED_VALUE"""),"")</f>
        <v/>
      </c>
      <c r="B208" s="28"/>
      <c r="C208" s="28"/>
      <c r="D208" s="27"/>
      <c r="E208" s="27"/>
      <c r="F208" s="27"/>
      <c r="G208" s="27"/>
      <c r="H208" s="28"/>
      <c r="I208" s="28"/>
      <c r="J208" s="28"/>
      <c r="K208" s="28"/>
      <c r="L208" s="28"/>
      <c r="M208" s="28"/>
      <c r="N208" s="28"/>
      <c r="O208" s="28"/>
      <c r="R208" s="28" t="str">
        <f t="shared" si="9"/>
        <v/>
      </c>
    </row>
    <row r="209">
      <c r="A209" s="27" t="str">
        <f>IFERROR(__xludf.DUMMYFUNCTION("""COMPUTED_VALUE"""),"")</f>
        <v/>
      </c>
      <c r="B209" s="28"/>
      <c r="C209" s="28"/>
      <c r="D209" s="27"/>
      <c r="E209" s="27"/>
      <c r="F209" s="27"/>
      <c r="G209" s="27"/>
      <c r="H209" s="28"/>
      <c r="I209" s="28"/>
      <c r="J209" s="28"/>
      <c r="K209" s="28"/>
      <c r="L209" s="28"/>
      <c r="M209" s="28"/>
      <c r="N209" s="28"/>
      <c r="O209" s="28"/>
      <c r="R209" s="28" t="str">
        <f t="shared" si="9"/>
        <v/>
      </c>
    </row>
    <row r="210">
      <c r="A210" s="27" t="str">
        <f>IFERROR(__xludf.DUMMYFUNCTION("""COMPUTED_VALUE"""),"")</f>
        <v/>
      </c>
      <c r="B210" s="28"/>
      <c r="C210" s="28"/>
      <c r="D210" s="27"/>
      <c r="E210" s="27"/>
      <c r="F210" s="27"/>
      <c r="G210" s="27"/>
      <c r="H210" s="28"/>
      <c r="I210" s="28"/>
      <c r="J210" s="28"/>
      <c r="K210" s="28"/>
      <c r="L210" s="28"/>
      <c r="M210" s="28"/>
      <c r="N210" s="28"/>
      <c r="O210" s="28"/>
      <c r="R210" s="28" t="str">
        <f t="shared" si="9"/>
        <v/>
      </c>
    </row>
    <row r="211">
      <c r="A211" s="27" t="str">
        <f>IFERROR(__xludf.DUMMYFUNCTION("""COMPUTED_VALUE"""),"")</f>
        <v/>
      </c>
      <c r="B211" s="28"/>
      <c r="C211" s="28"/>
      <c r="D211" s="27"/>
      <c r="E211" s="27"/>
      <c r="F211" s="27"/>
      <c r="G211" s="27"/>
      <c r="H211" s="28"/>
      <c r="I211" s="28"/>
      <c r="J211" s="28"/>
      <c r="K211" s="28"/>
      <c r="L211" s="28"/>
      <c r="M211" s="28"/>
      <c r="N211" s="28"/>
      <c r="O211" s="28"/>
      <c r="R211" s="28" t="str">
        <f t="shared" si="9"/>
        <v/>
      </c>
    </row>
    <row r="212">
      <c r="A212" s="27" t="str">
        <f>IFERROR(__xludf.DUMMYFUNCTION("""COMPUTED_VALUE"""),"")</f>
        <v/>
      </c>
      <c r="B212" s="28"/>
      <c r="C212" s="28"/>
      <c r="D212" s="27"/>
      <c r="E212" s="27"/>
      <c r="F212" s="27"/>
      <c r="G212" s="27"/>
      <c r="H212" s="28"/>
      <c r="I212" s="28"/>
      <c r="J212" s="28"/>
      <c r="K212" s="28"/>
      <c r="L212" s="28"/>
      <c r="M212" s="28"/>
      <c r="N212" s="28"/>
      <c r="O212" s="28"/>
      <c r="R212" s="28" t="str">
        <f t="shared" si="9"/>
        <v/>
      </c>
    </row>
    <row r="213">
      <c r="A213" s="27" t="str">
        <f>IFERROR(__xludf.DUMMYFUNCTION("""COMPUTED_VALUE"""),"")</f>
        <v/>
      </c>
      <c r="B213" s="28"/>
      <c r="C213" s="28"/>
      <c r="D213" s="27"/>
      <c r="E213" s="27"/>
      <c r="F213" s="27"/>
      <c r="G213" s="27"/>
      <c r="H213" s="28"/>
      <c r="I213" s="28"/>
      <c r="J213" s="28"/>
      <c r="K213" s="28"/>
      <c r="L213" s="28"/>
      <c r="M213" s="28"/>
      <c r="N213" s="28"/>
      <c r="O213" s="28"/>
      <c r="R213" s="28" t="str">
        <f t="shared" si="9"/>
        <v/>
      </c>
    </row>
    <row r="214">
      <c r="A214" s="27" t="str">
        <f>IFERROR(__xludf.DUMMYFUNCTION("""COMPUTED_VALUE"""),"")</f>
        <v/>
      </c>
      <c r="B214" s="28"/>
      <c r="C214" s="28"/>
      <c r="D214" s="27"/>
      <c r="E214" s="27"/>
      <c r="F214" s="27"/>
      <c r="G214" s="27"/>
      <c r="H214" s="28"/>
      <c r="I214" s="28"/>
      <c r="J214" s="28"/>
      <c r="K214" s="28"/>
      <c r="L214" s="28"/>
      <c r="M214" s="28"/>
      <c r="N214" s="28"/>
      <c r="O214" s="28"/>
      <c r="R214" s="28" t="str">
        <f t="shared" si="9"/>
        <v/>
      </c>
    </row>
    <row r="215">
      <c r="A215" s="27" t="str">
        <f>IFERROR(__xludf.DUMMYFUNCTION("""COMPUTED_VALUE"""),"")</f>
        <v/>
      </c>
      <c r="B215" s="28"/>
      <c r="C215" s="28"/>
      <c r="D215" s="27"/>
      <c r="E215" s="27"/>
      <c r="F215" s="27"/>
      <c r="G215" s="27"/>
      <c r="H215" s="28"/>
      <c r="I215" s="28"/>
      <c r="J215" s="28"/>
      <c r="K215" s="28"/>
      <c r="L215" s="28"/>
      <c r="M215" s="28"/>
      <c r="N215" s="28"/>
      <c r="O215" s="28"/>
      <c r="R215" s="28" t="str">
        <f t="shared" si="9"/>
        <v/>
      </c>
    </row>
    <row r="216">
      <c r="A216" s="27" t="str">
        <f>IFERROR(__xludf.DUMMYFUNCTION("""COMPUTED_VALUE"""),"")</f>
        <v/>
      </c>
      <c r="B216" s="28"/>
      <c r="C216" s="28"/>
      <c r="D216" s="27"/>
      <c r="E216" s="27"/>
      <c r="F216" s="27"/>
      <c r="G216" s="27"/>
      <c r="H216" s="28"/>
      <c r="I216" s="28"/>
      <c r="J216" s="28"/>
      <c r="K216" s="28"/>
      <c r="L216" s="28"/>
      <c r="M216" s="28"/>
      <c r="N216" s="28"/>
      <c r="O216" s="28"/>
      <c r="R216" s="28" t="str">
        <f t="shared" si="9"/>
        <v/>
      </c>
    </row>
    <row r="217">
      <c r="A217" s="27" t="str">
        <f>IFERROR(__xludf.DUMMYFUNCTION("""COMPUTED_VALUE"""),"")</f>
        <v/>
      </c>
      <c r="B217" s="28"/>
      <c r="C217" s="28"/>
      <c r="D217" s="27"/>
      <c r="E217" s="27"/>
      <c r="F217" s="27"/>
      <c r="G217" s="27"/>
      <c r="H217" s="28"/>
      <c r="I217" s="28"/>
      <c r="J217" s="28"/>
      <c r="K217" s="28"/>
      <c r="L217" s="28"/>
      <c r="M217" s="28"/>
      <c r="N217" s="28"/>
      <c r="O217" s="28"/>
      <c r="R217" s="28" t="str">
        <f t="shared" si="9"/>
        <v/>
      </c>
    </row>
    <row r="218">
      <c r="A218" s="27" t="str">
        <f>IFERROR(__xludf.DUMMYFUNCTION("""COMPUTED_VALUE"""),"")</f>
        <v/>
      </c>
      <c r="B218" s="28"/>
      <c r="C218" s="28"/>
      <c r="D218" s="27"/>
      <c r="E218" s="27"/>
      <c r="F218" s="27"/>
      <c r="G218" s="27"/>
      <c r="H218" s="28"/>
      <c r="I218" s="28"/>
      <c r="J218" s="28"/>
      <c r="K218" s="28"/>
      <c r="L218" s="28"/>
      <c r="M218" s="28"/>
      <c r="N218" s="28"/>
      <c r="O218" s="28"/>
      <c r="R218" s="28" t="str">
        <f t="shared" si="9"/>
        <v/>
      </c>
    </row>
    <row r="219">
      <c r="A219" s="27" t="str">
        <f>IFERROR(__xludf.DUMMYFUNCTION("""COMPUTED_VALUE"""),"")</f>
        <v/>
      </c>
      <c r="B219" s="28"/>
      <c r="C219" s="28"/>
      <c r="D219" s="27"/>
      <c r="E219" s="27"/>
      <c r="F219" s="27"/>
      <c r="G219" s="27"/>
      <c r="H219" s="28"/>
      <c r="I219" s="28"/>
      <c r="J219" s="28"/>
      <c r="K219" s="28"/>
      <c r="L219" s="28"/>
      <c r="M219" s="28"/>
      <c r="N219" s="28"/>
      <c r="O219" s="28"/>
      <c r="R219" s="28" t="str">
        <f t="shared" si="9"/>
        <v/>
      </c>
    </row>
    <row r="220">
      <c r="A220" s="27" t="str">
        <f>IFERROR(__xludf.DUMMYFUNCTION("""COMPUTED_VALUE"""),"")</f>
        <v/>
      </c>
      <c r="B220" s="28"/>
      <c r="C220" s="28"/>
      <c r="D220" s="27"/>
      <c r="E220" s="27"/>
      <c r="F220" s="27"/>
      <c r="G220" s="27"/>
      <c r="H220" s="28"/>
      <c r="I220" s="28"/>
      <c r="J220" s="28"/>
      <c r="K220" s="28"/>
      <c r="L220" s="28"/>
      <c r="M220" s="28"/>
      <c r="N220" s="28"/>
      <c r="O220" s="28"/>
      <c r="R220" s="28" t="str">
        <f t="shared" si="9"/>
        <v/>
      </c>
    </row>
    <row r="221">
      <c r="A221" s="27" t="str">
        <f>IFERROR(__xludf.DUMMYFUNCTION("""COMPUTED_VALUE"""),"")</f>
        <v/>
      </c>
      <c r="B221" s="28"/>
      <c r="C221" s="28"/>
      <c r="D221" s="27"/>
      <c r="E221" s="27"/>
      <c r="F221" s="27"/>
      <c r="G221" s="27"/>
      <c r="H221" s="28"/>
      <c r="I221" s="28"/>
      <c r="J221" s="28"/>
      <c r="K221" s="28"/>
      <c r="L221" s="28"/>
      <c r="M221" s="28"/>
      <c r="N221" s="28"/>
      <c r="O221" s="28"/>
      <c r="R221" s="28" t="str">
        <f t="shared" si="9"/>
        <v/>
      </c>
    </row>
    <row r="222">
      <c r="A222" s="27" t="str">
        <f>IFERROR(__xludf.DUMMYFUNCTION("""COMPUTED_VALUE"""),"")</f>
        <v/>
      </c>
      <c r="B222" s="28"/>
      <c r="C222" s="28"/>
      <c r="D222" s="27"/>
      <c r="E222" s="27"/>
      <c r="F222" s="27"/>
      <c r="G222" s="27"/>
      <c r="H222" s="28"/>
      <c r="I222" s="28"/>
      <c r="J222" s="28"/>
      <c r="K222" s="28"/>
      <c r="L222" s="28"/>
      <c r="M222" s="28"/>
      <c r="N222" s="28"/>
      <c r="O222" s="28"/>
      <c r="R222" s="28" t="str">
        <f t="shared" si="9"/>
        <v/>
      </c>
    </row>
    <row r="223">
      <c r="A223" s="27" t="str">
        <f>IFERROR(__xludf.DUMMYFUNCTION("""COMPUTED_VALUE"""),"")</f>
        <v/>
      </c>
      <c r="B223" s="28"/>
      <c r="C223" s="28"/>
      <c r="D223" s="27"/>
      <c r="E223" s="27"/>
      <c r="F223" s="27"/>
      <c r="G223" s="27"/>
      <c r="H223" s="28"/>
      <c r="I223" s="28"/>
      <c r="J223" s="28"/>
      <c r="K223" s="28"/>
      <c r="L223" s="28"/>
      <c r="M223" s="28"/>
      <c r="N223" s="28"/>
      <c r="O223" s="28"/>
      <c r="R223" s="28" t="str">
        <f t="shared" si="9"/>
        <v/>
      </c>
    </row>
    <row r="224">
      <c r="A224" s="27" t="str">
        <f>IFERROR(__xludf.DUMMYFUNCTION("""COMPUTED_VALUE"""),"")</f>
        <v/>
      </c>
      <c r="B224" s="28"/>
      <c r="C224" s="28"/>
      <c r="D224" s="27"/>
      <c r="E224" s="27"/>
      <c r="F224" s="27"/>
      <c r="G224" s="27"/>
      <c r="H224" s="28"/>
      <c r="I224" s="28"/>
      <c r="J224" s="28"/>
      <c r="K224" s="28"/>
      <c r="L224" s="28"/>
      <c r="M224" s="28"/>
      <c r="N224" s="28"/>
      <c r="O224" s="28"/>
      <c r="R224" s="28" t="str">
        <f t="shared" si="9"/>
        <v/>
      </c>
    </row>
    <row r="225">
      <c r="A225" s="27" t="str">
        <f>IFERROR(__xludf.DUMMYFUNCTION("""COMPUTED_VALUE"""),"")</f>
        <v/>
      </c>
      <c r="B225" s="28"/>
      <c r="C225" s="28"/>
      <c r="D225" s="27"/>
      <c r="E225" s="27"/>
      <c r="F225" s="27"/>
      <c r="G225" s="27"/>
      <c r="H225" s="28"/>
      <c r="I225" s="28"/>
      <c r="J225" s="28"/>
      <c r="K225" s="28"/>
      <c r="L225" s="28"/>
      <c r="M225" s="28"/>
      <c r="N225" s="28"/>
      <c r="O225" s="28"/>
      <c r="R225" s="28" t="str">
        <f t="shared" si="9"/>
        <v/>
      </c>
    </row>
    <row r="226">
      <c r="A226" s="27" t="str">
        <f>IFERROR(__xludf.DUMMYFUNCTION("""COMPUTED_VALUE"""),"")</f>
        <v/>
      </c>
      <c r="B226" s="28"/>
      <c r="C226" s="28"/>
      <c r="D226" s="27"/>
      <c r="E226" s="27"/>
      <c r="F226" s="27"/>
      <c r="G226" s="27"/>
      <c r="H226" s="28"/>
      <c r="I226" s="28"/>
      <c r="J226" s="28"/>
      <c r="K226" s="28"/>
      <c r="L226" s="28"/>
      <c r="M226" s="28"/>
      <c r="N226" s="28"/>
      <c r="O226" s="28"/>
      <c r="R226" s="28" t="str">
        <f t="shared" si="9"/>
        <v/>
      </c>
    </row>
    <row r="227">
      <c r="A227" s="27" t="str">
        <f>IFERROR(__xludf.DUMMYFUNCTION("""COMPUTED_VALUE"""),"")</f>
        <v/>
      </c>
      <c r="B227" s="28"/>
      <c r="C227" s="28"/>
      <c r="D227" s="27"/>
      <c r="E227" s="27"/>
      <c r="F227" s="27"/>
      <c r="G227" s="27"/>
      <c r="H227" s="28"/>
      <c r="I227" s="28"/>
      <c r="J227" s="28"/>
      <c r="K227" s="28"/>
      <c r="L227" s="28"/>
      <c r="M227" s="28"/>
      <c r="N227" s="28"/>
      <c r="O227" s="28"/>
      <c r="R227" s="28" t="str">
        <f t="shared" si="9"/>
        <v/>
      </c>
    </row>
    <row r="228">
      <c r="A228" s="27" t="str">
        <f>IFERROR(__xludf.DUMMYFUNCTION("""COMPUTED_VALUE"""),"")</f>
        <v/>
      </c>
      <c r="B228" s="28"/>
      <c r="C228" s="28"/>
      <c r="D228" s="27"/>
      <c r="E228" s="27"/>
      <c r="F228" s="27"/>
      <c r="G228" s="27"/>
      <c r="H228" s="28"/>
      <c r="I228" s="28"/>
      <c r="J228" s="28"/>
      <c r="K228" s="28"/>
      <c r="L228" s="28"/>
      <c r="M228" s="28"/>
      <c r="N228" s="28"/>
      <c r="O228" s="28"/>
      <c r="R228" s="28" t="str">
        <f t="shared" si="9"/>
        <v/>
      </c>
    </row>
    <row r="229">
      <c r="A229" s="27" t="str">
        <f>IFERROR(__xludf.DUMMYFUNCTION("""COMPUTED_VALUE"""),"")</f>
        <v/>
      </c>
      <c r="B229" s="28"/>
      <c r="C229" s="28"/>
      <c r="D229" s="27"/>
      <c r="E229" s="27"/>
      <c r="F229" s="27"/>
      <c r="G229" s="27"/>
      <c r="H229" s="28"/>
      <c r="I229" s="28"/>
      <c r="J229" s="28"/>
      <c r="K229" s="28"/>
      <c r="L229" s="28"/>
      <c r="M229" s="28"/>
      <c r="N229" s="28"/>
      <c r="O229" s="28"/>
      <c r="R229" s="28" t="str">
        <f t="shared" si="9"/>
        <v/>
      </c>
    </row>
    <row r="230">
      <c r="A230" s="27" t="str">
        <f>IFERROR(__xludf.DUMMYFUNCTION("""COMPUTED_VALUE"""),"")</f>
        <v/>
      </c>
      <c r="B230" s="28"/>
      <c r="C230" s="28"/>
      <c r="D230" s="27"/>
      <c r="E230" s="27"/>
      <c r="F230" s="27"/>
      <c r="G230" s="27"/>
      <c r="H230" s="28"/>
      <c r="I230" s="28"/>
      <c r="J230" s="28"/>
      <c r="K230" s="28"/>
      <c r="L230" s="28"/>
      <c r="M230" s="28"/>
      <c r="N230" s="28"/>
      <c r="O230" s="28"/>
      <c r="R230" s="28" t="str">
        <f t="shared" si="9"/>
        <v/>
      </c>
    </row>
    <row r="231">
      <c r="A231" s="27" t="str">
        <f>IFERROR(__xludf.DUMMYFUNCTION("""COMPUTED_VALUE"""),"")</f>
        <v/>
      </c>
      <c r="B231" s="28"/>
      <c r="C231" s="28"/>
      <c r="D231" s="27"/>
      <c r="E231" s="27"/>
      <c r="F231" s="27"/>
      <c r="G231" s="27"/>
      <c r="H231" s="28"/>
      <c r="I231" s="28"/>
      <c r="J231" s="28"/>
      <c r="K231" s="28"/>
      <c r="L231" s="28"/>
      <c r="M231" s="28"/>
      <c r="N231" s="28"/>
      <c r="O231" s="28"/>
      <c r="R231" s="28" t="str">
        <f t="shared" si="9"/>
        <v/>
      </c>
    </row>
    <row r="232">
      <c r="A232" s="27" t="str">
        <f>IFERROR(__xludf.DUMMYFUNCTION("""COMPUTED_VALUE"""),"")</f>
        <v/>
      </c>
      <c r="B232" s="28"/>
      <c r="C232" s="28"/>
      <c r="D232" s="27"/>
      <c r="E232" s="27"/>
      <c r="F232" s="27"/>
      <c r="G232" s="27"/>
      <c r="H232" s="28"/>
      <c r="I232" s="28"/>
      <c r="J232" s="28"/>
      <c r="K232" s="28"/>
      <c r="L232" s="28"/>
      <c r="M232" s="28"/>
      <c r="N232" s="28"/>
      <c r="O232" s="28"/>
      <c r="R232" s="28" t="str">
        <f t="shared" si="9"/>
        <v/>
      </c>
    </row>
    <row r="233">
      <c r="A233" s="27" t="str">
        <f>IFERROR(__xludf.DUMMYFUNCTION("""COMPUTED_VALUE"""),"")</f>
        <v/>
      </c>
      <c r="B233" s="28"/>
      <c r="C233" s="28"/>
      <c r="D233" s="27"/>
      <c r="E233" s="27"/>
      <c r="F233" s="27"/>
      <c r="G233" s="27"/>
      <c r="H233" s="28"/>
      <c r="I233" s="28"/>
      <c r="J233" s="28"/>
      <c r="K233" s="28"/>
      <c r="L233" s="28"/>
      <c r="M233" s="28"/>
      <c r="N233" s="28"/>
      <c r="O233" s="28"/>
      <c r="R233" s="28" t="str">
        <f t="shared" si="9"/>
        <v/>
      </c>
    </row>
    <row r="234">
      <c r="A234" s="27" t="str">
        <f>IFERROR(__xludf.DUMMYFUNCTION("""COMPUTED_VALUE"""),"")</f>
        <v/>
      </c>
      <c r="B234" s="28"/>
      <c r="C234" s="28"/>
      <c r="D234" s="27"/>
      <c r="E234" s="27"/>
      <c r="F234" s="27"/>
      <c r="G234" s="27"/>
      <c r="H234" s="28"/>
      <c r="I234" s="28"/>
      <c r="J234" s="28"/>
      <c r="K234" s="28"/>
      <c r="L234" s="28"/>
      <c r="M234" s="28"/>
      <c r="N234" s="28"/>
      <c r="O234" s="28"/>
      <c r="R234" s="28" t="str">
        <f t="shared" si="9"/>
        <v/>
      </c>
    </row>
    <row r="235">
      <c r="A235" s="27" t="str">
        <f>IFERROR(__xludf.DUMMYFUNCTION("""COMPUTED_VALUE"""),"")</f>
        <v/>
      </c>
      <c r="B235" s="28"/>
      <c r="C235" s="28"/>
      <c r="D235" s="27"/>
      <c r="E235" s="27"/>
      <c r="F235" s="27"/>
      <c r="G235" s="27"/>
      <c r="H235" s="28"/>
      <c r="I235" s="28"/>
      <c r="J235" s="28"/>
      <c r="K235" s="28"/>
      <c r="L235" s="28"/>
      <c r="M235" s="28"/>
      <c r="N235" s="28"/>
      <c r="O235" s="28"/>
      <c r="R235" s="28" t="str">
        <f t="shared" si="9"/>
        <v/>
      </c>
    </row>
    <row r="236">
      <c r="A236" s="27" t="str">
        <f>IFERROR(__xludf.DUMMYFUNCTION("""COMPUTED_VALUE"""),"")</f>
        <v/>
      </c>
      <c r="B236" s="28"/>
      <c r="C236" s="28"/>
      <c r="D236" s="27"/>
      <c r="E236" s="27"/>
      <c r="F236" s="27"/>
      <c r="G236" s="27"/>
      <c r="H236" s="28"/>
      <c r="I236" s="28"/>
      <c r="J236" s="28"/>
      <c r="K236" s="28"/>
      <c r="L236" s="28"/>
      <c r="M236" s="28"/>
      <c r="N236" s="28"/>
      <c r="O236" s="28"/>
      <c r="R236" s="28" t="str">
        <f t="shared" si="9"/>
        <v/>
      </c>
    </row>
    <row r="237">
      <c r="A237" s="27" t="str">
        <f>IFERROR(__xludf.DUMMYFUNCTION("""COMPUTED_VALUE"""),"")</f>
        <v/>
      </c>
      <c r="B237" s="28"/>
      <c r="C237" s="28"/>
      <c r="D237" s="27"/>
      <c r="E237" s="27"/>
      <c r="F237" s="27"/>
      <c r="G237" s="27"/>
      <c r="H237" s="28"/>
      <c r="I237" s="28"/>
      <c r="J237" s="28"/>
      <c r="K237" s="28"/>
      <c r="L237" s="28"/>
      <c r="M237" s="28"/>
      <c r="N237" s="28"/>
      <c r="O237" s="28"/>
      <c r="R237" s="28" t="str">
        <f t="shared" si="9"/>
        <v/>
      </c>
    </row>
    <row r="238">
      <c r="A238" s="27" t="str">
        <f>IFERROR(__xludf.DUMMYFUNCTION("""COMPUTED_VALUE"""),"")</f>
        <v/>
      </c>
      <c r="B238" s="28"/>
      <c r="C238" s="28"/>
      <c r="D238" s="27"/>
      <c r="E238" s="27"/>
      <c r="F238" s="27"/>
      <c r="G238" s="27"/>
      <c r="H238" s="28"/>
      <c r="I238" s="28"/>
      <c r="J238" s="28"/>
      <c r="K238" s="28"/>
      <c r="L238" s="28"/>
      <c r="M238" s="28"/>
      <c r="N238" s="28"/>
      <c r="O238" s="28"/>
      <c r="R238" s="28" t="str">
        <f t="shared" si="9"/>
        <v/>
      </c>
    </row>
    <row r="239">
      <c r="A239" s="27" t="str">
        <f>IFERROR(__xludf.DUMMYFUNCTION("""COMPUTED_VALUE"""),"")</f>
        <v/>
      </c>
      <c r="B239" s="28"/>
      <c r="C239" s="28"/>
      <c r="D239" s="27"/>
      <c r="E239" s="27"/>
      <c r="F239" s="27"/>
      <c r="G239" s="27"/>
      <c r="H239" s="28"/>
      <c r="I239" s="28"/>
      <c r="J239" s="28"/>
      <c r="K239" s="28"/>
      <c r="L239" s="28"/>
      <c r="M239" s="28"/>
      <c r="N239" s="28"/>
      <c r="O239" s="28"/>
      <c r="R239" s="28" t="str">
        <f t="shared" si="9"/>
        <v/>
      </c>
    </row>
    <row r="240">
      <c r="A240" s="27" t="str">
        <f>IFERROR(__xludf.DUMMYFUNCTION("""COMPUTED_VALUE"""),"")</f>
        <v/>
      </c>
      <c r="B240" s="28"/>
      <c r="C240" s="28"/>
      <c r="D240" s="27"/>
      <c r="E240" s="27"/>
      <c r="F240" s="27"/>
      <c r="G240" s="27"/>
      <c r="H240" s="28"/>
      <c r="I240" s="28"/>
      <c r="J240" s="28"/>
      <c r="K240" s="28"/>
      <c r="L240" s="28"/>
      <c r="M240" s="28"/>
      <c r="N240" s="28"/>
      <c r="O240" s="28"/>
      <c r="R240" s="28" t="str">
        <f t="shared" si="9"/>
        <v/>
      </c>
    </row>
    <row r="241">
      <c r="A241" s="27" t="str">
        <f>IFERROR(__xludf.DUMMYFUNCTION("""COMPUTED_VALUE"""),"")</f>
        <v/>
      </c>
      <c r="B241" s="28"/>
      <c r="C241" s="28"/>
      <c r="D241" s="27"/>
      <c r="E241" s="27"/>
      <c r="F241" s="27"/>
      <c r="G241" s="27"/>
      <c r="H241" s="28"/>
      <c r="I241" s="28"/>
      <c r="J241" s="28"/>
      <c r="K241" s="28"/>
      <c r="L241" s="28"/>
      <c r="M241" s="28"/>
      <c r="N241" s="28"/>
      <c r="O241" s="28"/>
      <c r="R241" s="28" t="str">
        <f t="shared" si="9"/>
        <v/>
      </c>
    </row>
    <row r="242">
      <c r="A242" s="27" t="str">
        <f>IFERROR(__xludf.DUMMYFUNCTION("""COMPUTED_VALUE"""),"")</f>
        <v/>
      </c>
      <c r="B242" s="28"/>
      <c r="C242" s="28"/>
      <c r="D242" s="27"/>
      <c r="E242" s="27"/>
      <c r="F242" s="27"/>
      <c r="G242" s="27"/>
      <c r="H242" s="28"/>
      <c r="I242" s="28"/>
      <c r="J242" s="28"/>
      <c r="K242" s="28"/>
      <c r="L242" s="28"/>
      <c r="M242" s="28"/>
      <c r="N242" s="28"/>
      <c r="O242" s="28"/>
      <c r="R242" s="28" t="str">
        <f t="shared" si="9"/>
        <v/>
      </c>
    </row>
    <row r="243">
      <c r="A243" s="27" t="str">
        <f>IFERROR(__xludf.DUMMYFUNCTION("""COMPUTED_VALUE"""),"")</f>
        <v/>
      </c>
      <c r="B243" s="28"/>
      <c r="C243" s="28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R243" s="28" t="str">
        <f t="shared" si="9"/>
        <v/>
      </c>
    </row>
    <row r="244">
      <c r="A244" s="27" t="str">
        <f>IFERROR(__xludf.DUMMYFUNCTION("""COMPUTED_VALUE"""),"")</f>
        <v/>
      </c>
      <c r="B244" s="28"/>
      <c r="C244" s="28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R244" s="28" t="str">
        <f t="shared" si="9"/>
        <v/>
      </c>
    </row>
    <row r="245">
      <c r="A245" s="27" t="str">
        <f>IFERROR(__xludf.DUMMYFUNCTION("""COMPUTED_VALUE"""),"")</f>
        <v/>
      </c>
      <c r="B245" s="28"/>
      <c r="C245" s="28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R245" s="28" t="str">
        <f t="shared" si="9"/>
        <v/>
      </c>
    </row>
    <row r="246">
      <c r="A246" s="27" t="str">
        <f>IFERROR(__xludf.DUMMYFUNCTION("""COMPUTED_VALUE"""),"")</f>
        <v/>
      </c>
      <c r="B246" s="28"/>
      <c r="C246" s="28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R246" s="28" t="str">
        <f t="shared" si="9"/>
        <v/>
      </c>
    </row>
    <row r="247">
      <c r="A247" s="27" t="str">
        <f>IFERROR(__xludf.DUMMYFUNCTION("""COMPUTED_VALUE"""),"")</f>
        <v/>
      </c>
      <c r="B247" s="28"/>
      <c r="C247" s="28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R247" s="28" t="str">
        <f t="shared" si="9"/>
        <v/>
      </c>
    </row>
    <row r="248">
      <c r="A248" s="27" t="str">
        <f>IFERROR(__xludf.DUMMYFUNCTION("""COMPUTED_VALUE"""),"")</f>
        <v/>
      </c>
      <c r="B248" s="28"/>
      <c r="C248" s="28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R248" s="28" t="str">
        <f t="shared" si="9"/>
        <v/>
      </c>
    </row>
    <row r="249">
      <c r="A249" s="27" t="str">
        <f>IFERROR(__xludf.DUMMYFUNCTION("""COMPUTED_VALUE"""),"")</f>
        <v/>
      </c>
      <c r="B249" s="28"/>
      <c r="C249" s="28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R249" s="28" t="str">
        <f t="shared" si="9"/>
        <v/>
      </c>
    </row>
    <row r="250">
      <c r="A250" s="27" t="str">
        <f>IFERROR(__xludf.DUMMYFUNCTION("""COMPUTED_VALUE"""),"")</f>
        <v/>
      </c>
      <c r="B250" s="28"/>
      <c r="C250" s="28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R250" s="28" t="str">
        <f t="shared" si="9"/>
        <v/>
      </c>
    </row>
    <row r="251">
      <c r="A251" s="27" t="str">
        <f>IFERROR(__xludf.DUMMYFUNCTION("""COMPUTED_VALUE"""),"")</f>
        <v/>
      </c>
      <c r="B251" s="28"/>
      <c r="C251" s="28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R251" s="28" t="str">
        <f t="shared" si="9"/>
        <v/>
      </c>
    </row>
    <row r="252">
      <c r="A252" s="27" t="str">
        <f>IFERROR(__xludf.DUMMYFUNCTION("""COMPUTED_VALUE"""),"")</f>
        <v/>
      </c>
      <c r="B252" s="28"/>
      <c r="C252" s="28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R252" s="28" t="str">
        <f t="shared" si="9"/>
        <v/>
      </c>
    </row>
    <row r="253">
      <c r="A253" s="27" t="str">
        <f>IFERROR(__xludf.DUMMYFUNCTION("""COMPUTED_VALUE"""),"")</f>
        <v/>
      </c>
      <c r="B253" s="28"/>
      <c r="C253" s="28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R253" s="28" t="str">
        <f t="shared" si="9"/>
        <v/>
      </c>
    </row>
    <row r="254">
      <c r="A254" s="27" t="str">
        <f>IFERROR(__xludf.DUMMYFUNCTION("""COMPUTED_VALUE"""),"")</f>
        <v/>
      </c>
      <c r="B254" s="28"/>
      <c r="C254" s="28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R254" s="28" t="str">
        <f t="shared" si="9"/>
        <v/>
      </c>
    </row>
    <row r="255">
      <c r="A255" s="27" t="str">
        <f>IFERROR(__xludf.DUMMYFUNCTION("""COMPUTED_VALUE"""),"")</f>
        <v/>
      </c>
      <c r="B255" s="28"/>
      <c r="C255" s="28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R255" s="28" t="str">
        <f t="shared" si="9"/>
        <v/>
      </c>
    </row>
    <row r="256">
      <c r="A256" s="27" t="str">
        <f>IFERROR(__xludf.DUMMYFUNCTION("""COMPUTED_VALUE"""),"")</f>
        <v/>
      </c>
      <c r="B256" s="28"/>
      <c r="C256" s="28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R256" s="28" t="str">
        <f t="shared" si="9"/>
        <v/>
      </c>
    </row>
    <row r="257">
      <c r="A257" s="27" t="str">
        <f>IFERROR(__xludf.DUMMYFUNCTION("""COMPUTED_VALUE"""),"")</f>
        <v/>
      </c>
      <c r="B257" s="28"/>
      <c r="C257" s="28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R257" s="28" t="str">
        <f t="shared" si="9"/>
        <v/>
      </c>
    </row>
    <row r="258">
      <c r="A258" s="27" t="str">
        <f>IFERROR(__xludf.DUMMYFUNCTION("""COMPUTED_VALUE"""),"")</f>
        <v/>
      </c>
      <c r="B258" s="28"/>
      <c r="C258" s="28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R258" s="28" t="str">
        <f t="shared" si="9"/>
        <v/>
      </c>
    </row>
    <row r="259">
      <c r="A259" s="27" t="str">
        <f>IFERROR(__xludf.DUMMYFUNCTION("""COMPUTED_VALUE"""),"")</f>
        <v/>
      </c>
      <c r="B259" s="28"/>
      <c r="C259" s="28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R259" s="28" t="str">
        <f t="shared" si="9"/>
        <v/>
      </c>
    </row>
    <row r="260">
      <c r="A260" s="27" t="str">
        <f>IFERROR(__xludf.DUMMYFUNCTION("""COMPUTED_VALUE"""),"")</f>
        <v/>
      </c>
      <c r="B260" s="28"/>
      <c r="C260" s="28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R260" s="28" t="str">
        <f t="shared" si="9"/>
        <v/>
      </c>
    </row>
    <row r="261">
      <c r="A261" s="27" t="str">
        <f>IFERROR(__xludf.DUMMYFUNCTION("""COMPUTED_VALUE"""),"")</f>
        <v/>
      </c>
      <c r="B261" s="28"/>
      <c r="C261" s="28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R261" s="28" t="str">
        <f t="shared" si="9"/>
        <v/>
      </c>
    </row>
    <row r="262">
      <c r="A262" s="27" t="str">
        <f>IFERROR(__xludf.DUMMYFUNCTION("""COMPUTED_VALUE"""),"")</f>
        <v/>
      </c>
      <c r="B262" s="28"/>
      <c r="C262" s="28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R262" s="28" t="str">
        <f t="shared" si="9"/>
        <v/>
      </c>
    </row>
    <row r="263">
      <c r="A263" s="27" t="str">
        <f>IFERROR(__xludf.DUMMYFUNCTION("""COMPUTED_VALUE"""),"")</f>
        <v/>
      </c>
      <c r="B263" s="28"/>
      <c r="C263" s="28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R263" s="28" t="str">
        <f t="shared" si="9"/>
        <v/>
      </c>
    </row>
    <row r="264">
      <c r="A264" s="27" t="str">
        <f>IFERROR(__xludf.DUMMYFUNCTION("""COMPUTED_VALUE"""),"")</f>
        <v/>
      </c>
      <c r="B264" s="28"/>
      <c r="C264" s="28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R264" s="28" t="str">
        <f t="shared" si="9"/>
        <v/>
      </c>
    </row>
    <row r="265">
      <c r="A265" s="27" t="str">
        <f>IFERROR(__xludf.DUMMYFUNCTION("""COMPUTED_VALUE"""),"")</f>
        <v/>
      </c>
      <c r="B265" s="28"/>
      <c r="C265" s="28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R265" s="28" t="str">
        <f t="shared" si="9"/>
        <v/>
      </c>
    </row>
    <row r="266">
      <c r="A266" s="27" t="str">
        <f>IFERROR(__xludf.DUMMYFUNCTION("""COMPUTED_VALUE"""),"")</f>
        <v/>
      </c>
      <c r="B266" s="28"/>
      <c r="C266" s="28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R266" s="28" t="str">
        <f t="shared" si="9"/>
        <v/>
      </c>
    </row>
    <row r="267">
      <c r="A267" s="27" t="str">
        <f>IFERROR(__xludf.DUMMYFUNCTION("""COMPUTED_VALUE"""),"")</f>
        <v/>
      </c>
      <c r="B267" s="28"/>
      <c r="C267" s="28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R267" s="28" t="str">
        <f t="shared" si="9"/>
        <v/>
      </c>
    </row>
    <row r="268">
      <c r="A268" s="27" t="str">
        <f>IFERROR(__xludf.DUMMYFUNCTION("""COMPUTED_VALUE"""),"")</f>
        <v/>
      </c>
      <c r="B268" s="28"/>
      <c r="C268" s="28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R268" s="28" t="str">
        <f t="shared" si="9"/>
        <v/>
      </c>
    </row>
    <row r="269">
      <c r="A269" s="27" t="str">
        <f>IFERROR(__xludf.DUMMYFUNCTION("""COMPUTED_VALUE"""),"")</f>
        <v/>
      </c>
      <c r="B269" s="28"/>
      <c r="C269" s="28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R269" s="28" t="str">
        <f t="shared" si="9"/>
        <v/>
      </c>
    </row>
    <row r="270">
      <c r="A270" s="27" t="str">
        <f>IFERROR(__xludf.DUMMYFUNCTION("""COMPUTED_VALUE"""),"")</f>
        <v/>
      </c>
      <c r="B270" s="28"/>
      <c r="C270" s="28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R270" s="28" t="str">
        <f t="shared" si="9"/>
        <v/>
      </c>
    </row>
    <row r="271">
      <c r="A271" s="27" t="str">
        <f>IFERROR(__xludf.DUMMYFUNCTION("""COMPUTED_VALUE"""),"")</f>
        <v/>
      </c>
      <c r="B271" s="28"/>
      <c r="C271" s="28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R271" s="28" t="str">
        <f t="shared" si="9"/>
        <v/>
      </c>
    </row>
    <row r="272">
      <c r="A272" s="27" t="str">
        <f>IFERROR(__xludf.DUMMYFUNCTION("""COMPUTED_VALUE"""),"")</f>
        <v/>
      </c>
      <c r="B272" s="28"/>
      <c r="C272" s="28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R272" s="28" t="str">
        <f t="shared" si="9"/>
        <v/>
      </c>
    </row>
    <row r="273">
      <c r="A273" s="27" t="str">
        <f>IFERROR(__xludf.DUMMYFUNCTION("""COMPUTED_VALUE"""),"")</f>
        <v/>
      </c>
      <c r="B273" s="28"/>
      <c r="C273" s="28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R273" s="28" t="str">
        <f t="shared" si="9"/>
        <v/>
      </c>
    </row>
    <row r="274">
      <c r="A274" s="27" t="str">
        <f>IFERROR(__xludf.DUMMYFUNCTION("""COMPUTED_VALUE"""),"")</f>
        <v/>
      </c>
      <c r="B274" s="28"/>
      <c r="C274" s="28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R274" s="28" t="str">
        <f t="shared" si="9"/>
        <v/>
      </c>
    </row>
    <row r="275">
      <c r="A275" s="27" t="str">
        <f>IFERROR(__xludf.DUMMYFUNCTION("""COMPUTED_VALUE"""),"")</f>
        <v/>
      </c>
      <c r="B275" s="28"/>
      <c r="C275" s="28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R275" s="28" t="str">
        <f t="shared" si="9"/>
        <v/>
      </c>
    </row>
    <row r="276">
      <c r="A276" s="27" t="str">
        <f>IFERROR(__xludf.DUMMYFUNCTION("""COMPUTED_VALUE"""),"")</f>
        <v/>
      </c>
      <c r="B276" s="28"/>
      <c r="C276" s="28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R276" s="28" t="str">
        <f t="shared" si="9"/>
        <v/>
      </c>
    </row>
    <row r="277">
      <c r="A277" s="27" t="str">
        <f>IFERROR(__xludf.DUMMYFUNCTION("""COMPUTED_VALUE"""),"")</f>
        <v/>
      </c>
      <c r="B277" s="28"/>
      <c r="C277" s="28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R277" s="28" t="str">
        <f t="shared" si="9"/>
        <v/>
      </c>
    </row>
    <row r="278">
      <c r="A278" s="27" t="str">
        <f>IFERROR(__xludf.DUMMYFUNCTION("""COMPUTED_VALUE"""),"")</f>
        <v/>
      </c>
      <c r="B278" s="28"/>
      <c r="C278" s="28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R278" s="28" t="str">
        <f t="shared" si="9"/>
        <v/>
      </c>
    </row>
    <row r="279">
      <c r="A279" s="27" t="str">
        <f>IFERROR(__xludf.DUMMYFUNCTION("""COMPUTED_VALUE"""),"")</f>
        <v/>
      </c>
      <c r="B279" s="28"/>
      <c r="C279" s="28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R279" s="28" t="str">
        <f t="shared" si="9"/>
        <v/>
      </c>
    </row>
    <row r="280">
      <c r="A280" s="27" t="str">
        <f>IFERROR(__xludf.DUMMYFUNCTION("""COMPUTED_VALUE"""),"")</f>
        <v/>
      </c>
      <c r="B280" s="28"/>
      <c r="C280" s="28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R280" s="28" t="str">
        <f t="shared" si="9"/>
        <v/>
      </c>
    </row>
    <row r="281">
      <c r="A281" s="27" t="str">
        <f>IFERROR(__xludf.DUMMYFUNCTION("""COMPUTED_VALUE"""),"")</f>
        <v/>
      </c>
      <c r="B281" s="28"/>
      <c r="C281" s="28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R281" s="28" t="str">
        <f t="shared" si="9"/>
        <v/>
      </c>
    </row>
    <row r="282">
      <c r="A282" s="27" t="str">
        <f>IFERROR(__xludf.DUMMYFUNCTION("""COMPUTED_VALUE"""),"")</f>
        <v/>
      </c>
      <c r="B282" s="28"/>
      <c r="C282" s="28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R282" s="28" t="str">
        <f t="shared" si="9"/>
        <v/>
      </c>
    </row>
    <row r="283">
      <c r="A283" s="27" t="str">
        <f>IFERROR(__xludf.DUMMYFUNCTION("""COMPUTED_VALUE"""),"")</f>
        <v/>
      </c>
      <c r="B283" s="28"/>
      <c r="C283" s="28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R283" s="28" t="str">
        <f t="shared" si="9"/>
        <v/>
      </c>
    </row>
    <row r="284">
      <c r="A284" s="27" t="str">
        <f>IFERROR(__xludf.DUMMYFUNCTION("""COMPUTED_VALUE"""),"")</f>
        <v/>
      </c>
      <c r="B284" s="28"/>
      <c r="C284" s="28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R284" s="28" t="str">
        <f t="shared" si="9"/>
        <v/>
      </c>
    </row>
    <row r="285">
      <c r="A285" s="27" t="str">
        <f>IFERROR(__xludf.DUMMYFUNCTION("""COMPUTED_VALUE"""),"")</f>
        <v/>
      </c>
      <c r="B285" s="28"/>
      <c r="C285" s="28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R285" s="28" t="str">
        <f t="shared" si="9"/>
        <v/>
      </c>
    </row>
    <row r="286">
      <c r="A286" s="27" t="str">
        <f>IFERROR(__xludf.DUMMYFUNCTION("""COMPUTED_VALUE"""),"")</f>
        <v/>
      </c>
      <c r="B286" s="28"/>
      <c r="C286" s="28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R286" s="28" t="str">
        <f t="shared" si="9"/>
        <v/>
      </c>
    </row>
    <row r="287">
      <c r="A287" s="27" t="str">
        <f>IFERROR(__xludf.DUMMYFUNCTION("""COMPUTED_VALUE"""),"")</f>
        <v/>
      </c>
      <c r="B287" s="28"/>
      <c r="C287" s="28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R287" s="28" t="str">
        <f t="shared" si="9"/>
        <v/>
      </c>
    </row>
    <row r="288">
      <c r="A288" s="27" t="str">
        <f>IFERROR(__xludf.DUMMYFUNCTION("""COMPUTED_VALUE"""),"")</f>
        <v/>
      </c>
      <c r="B288" s="28"/>
      <c r="C288" s="28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R288" s="28" t="str">
        <f t="shared" si="9"/>
        <v/>
      </c>
    </row>
    <row r="289">
      <c r="A289" s="27" t="str">
        <f>IFERROR(__xludf.DUMMYFUNCTION("""COMPUTED_VALUE"""),"")</f>
        <v/>
      </c>
      <c r="B289" s="28"/>
      <c r="C289" s="28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R289" s="28" t="str">
        <f t="shared" si="9"/>
        <v/>
      </c>
    </row>
    <row r="290">
      <c r="A290" s="27" t="str">
        <f>IFERROR(__xludf.DUMMYFUNCTION("""COMPUTED_VALUE"""),"")</f>
        <v/>
      </c>
      <c r="B290" s="28"/>
      <c r="C290" s="28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R290" s="28" t="str">
        <f t="shared" si="9"/>
        <v/>
      </c>
    </row>
    <row r="291">
      <c r="A291" s="27" t="str">
        <f>IFERROR(__xludf.DUMMYFUNCTION("""COMPUTED_VALUE"""),"")</f>
        <v/>
      </c>
      <c r="B291" s="28"/>
      <c r="C291" s="28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R291" s="28" t="str">
        <f t="shared" si="9"/>
        <v/>
      </c>
    </row>
    <row r="292">
      <c r="A292" s="27" t="str">
        <f>IFERROR(__xludf.DUMMYFUNCTION("""COMPUTED_VALUE"""),"")</f>
        <v/>
      </c>
      <c r="B292" s="28"/>
      <c r="C292" s="28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R292" s="28" t="str">
        <f t="shared" si="9"/>
        <v/>
      </c>
    </row>
    <row r="293">
      <c r="A293" s="27" t="str">
        <f>IFERROR(__xludf.DUMMYFUNCTION("""COMPUTED_VALUE"""),"")</f>
        <v/>
      </c>
      <c r="B293" s="28"/>
      <c r="C293" s="28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R293" s="28" t="str">
        <f t="shared" si="9"/>
        <v/>
      </c>
    </row>
    <row r="294">
      <c r="A294" s="27" t="str">
        <f>IFERROR(__xludf.DUMMYFUNCTION("""COMPUTED_VALUE"""),"")</f>
        <v/>
      </c>
      <c r="B294" s="28"/>
      <c r="C294" s="28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R294" s="28" t="str">
        <f t="shared" si="9"/>
        <v/>
      </c>
    </row>
    <row r="295">
      <c r="A295" s="27" t="str">
        <f>IFERROR(__xludf.DUMMYFUNCTION("""COMPUTED_VALUE"""),"")</f>
        <v/>
      </c>
      <c r="B295" s="28"/>
      <c r="C295" s="28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R295" s="28" t="str">
        <f t="shared" si="9"/>
        <v/>
      </c>
    </row>
    <row r="296">
      <c r="A296" s="27" t="str">
        <f>IFERROR(__xludf.DUMMYFUNCTION("""COMPUTED_VALUE"""),"")</f>
        <v/>
      </c>
      <c r="B296" s="28"/>
      <c r="C296" s="28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R296" s="28" t="str">
        <f t="shared" si="9"/>
        <v/>
      </c>
    </row>
    <row r="297">
      <c r="A297" s="27" t="str">
        <f>IFERROR(__xludf.DUMMYFUNCTION("""COMPUTED_VALUE"""),"")</f>
        <v/>
      </c>
      <c r="B297" s="28"/>
      <c r="C297" s="28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R297" s="28" t="str">
        <f t="shared" si="9"/>
        <v/>
      </c>
    </row>
    <row r="298">
      <c r="A298" s="27" t="str">
        <f>IFERROR(__xludf.DUMMYFUNCTION("""COMPUTED_VALUE"""),"")</f>
        <v/>
      </c>
      <c r="B298" s="28"/>
      <c r="C298" s="28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R298" s="28" t="str">
        <f t="shared" si="9"/>
        <v/>
      </c>
    </row>
    <row r="299">
      <c r="A299" s="27" t="str">
        <f>IFERROR(__xludf.DUMMYFUNCTION("""COMPUTED_VALUE"""),"")</f>
        <v/>
      </c>
      <c r="B299" s="28"/>
      <c r="C299" s="28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R299" s="28" t="str">
        <f t="shared" si="9"/>
        <v/>
      </c>
    </row>
    <row r="300">
      <c r="A300" s="27" t="str">
        <f>IFERROR(__xludf.DUMMYFUNCTION("""COMPUTED_VALUE"""),"")</f>
        <v/>
      </c>
      <c r="B300" s="28"/>
      <c r="C300" s="28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R300" s="28" t="str">
        <f t="shared" si="9"/>
        <v/>
      </c>
    </row>
    <row r="301">
      <c r="A301" s="27" t="str">
        <f>IFERROR(__xludf.DUMMYFUNCTION("""COMPUTED_VALUE"""),"")</f>
        <v/>
      </c>
      <c r="B301" s="28"/>
      <c r="C301" s="28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R301" s="28" t="str">
        <f t="shared" si="9"/>
        <v/>
      </c>
    </row>
    <row r="302">
      <c r="A302" s="27" t="str">
        <f>IFERROR(__xludf.DUMMYFUNCTION("""COMPUTED_VALUE"""),"")</f>
        <v/>
      </c>
      <c r="B302" s="28"/>
      <c r="C302" s="28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R302" s="28" t="str">
        <f t="shared" si="9"/>
        <v/>
      </c>
    </row>
    <row r="303">
      <c r="A303" s="27" t="str">
        <f>IFERROR(__xludf.DUMMYFUNCTION("""COMPUTED_VALUE"""),"")</f>
        <v/>
      </c>
      <c r="B303" s="28"/>
      <c r="C303" s="28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R303" s="28" t="str">
        <f t="shared" si="9"/>
        <v/>
      </c>
    </row>
    <row r="304">
      <c r="A304" s="27" t="str">
        <f>IFERROR(__xludf.DUMMYFUNCTION("""COMPUTED_VALUE"""),"")</f>
        <v/>
      </c>
      <c r="B304" s="28"/>
      <c r="C304" s="28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R304" s="28" t="str">
        <f t="shared" si="9"/>
        <v/>
      </c>
    </row>
    <row r="305">
      <c r="A305" s="27" t="str">
        <f>IFERROR(__xludf.DUMMYFUNCTION("""COMPUTED_VALUE"""),"")</f>
        <v/>
      </c>
      <c r="B305" s="28"/>
      <c r="C305" s="28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R305" s="28" t="str">
        <f t="shared" si="9"/>
        <v/>
      </c>
    </row>
    <row r="306">
      <c r="A306" s="27" t="str">
        <f>IFERROR(__xludf.DUMMYFUNCTION("""COMPUTED_VALUE"""),"")</f>
        <v/>
      </c>
      <c r="B306" s="28"/>
      <c r="C306" s="28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R306" s="28" t="str">
        <f t="shared" si="9"/>
        <v/>
      </c>
    </row>
    <row r="307">
      <c r="A307" s="27" t="str">
        <f>IFERROR(__xludf.DUMMYFUNCTION("""COMPUTED_VALUE"""),"")</f>
        <v/>
      </c>
      <c r="B307" s="28"/>
      <c r="C307" s="28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R307" s="28" t="str">
        <f t="shared" si="9"/>
        <v/>
      </c>
    </row>
    <row r="308">
      <c r="A308" s="27" t="str">
        <f>IFERROR(__xludf.DUMMYFUNCTION("""COMPUTED_VALUE"""),"")</f>
        <v/>
      </c>
      <c r="B308" s="28"/>
      <c r="C308" s="28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R308" s="28" t="str">
        <f t="shared" si="9"/>
        <v/>
      </c>
    </row>
    <row r="309">
      <c r="A309" s="27" t="str">
        <f>IFERROR(__xludf.DUMMYFUNCTION("""COMPUTED_VALUE"""),"")</f>
        <v/>
      </c>
      <c r="B309" s="28"/>
      <c r="C309" s="28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R309" s="28" t="str">
        <f t="shared" si="9"/>
        <v/>
      </c>
    </row>
    <row r="310">
      <c r="A310" s="27" t="str">
        <f>IFERROR(__xludf.DUMMYFUNCTION("""COMPUTED_VALUE"""),"")</f>
        <v/>
      </c>
      <c r="B310" s="28"/>
      <c r="C310" s="28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R310" s="28" t="str">
        <f t="shared" si="9"/>
        <v/>
      </c>
    </row>
    <row r="311">
      <c r="A311" s="27" t="str">
        <f>IFERROR(__xludf.DUMMYFUNCTION("""COMPUTED_VALUE"""),"")</f>
        <v/>
      </c>
      <c r="B311" s="28"/>
      <c r="C311" s="28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R311" s="28" t="str">
        <f t="shared" si="9"/>
        <v/>
      </c>
    </row>
    <row r="312">
      <c r="A312" s="27" t="str">
        <f>IFERROR(__xludf.DUMMYFUNCTION("""COMPUTED_VALUE"""),"")</f>
        <v/>
      </c>
      <c r="B312" s="28"/>
      <c r="C312" s="28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R312" s="28" t="str">
        <f t="shared" si="9"/>
        <v/>
      </c>
    </row>
    <row r="313">
      <c r="A313" s="27" t="str">
        <f>IFERROR(__xludf.DUMMYFUNCTION("""COMPUTED_VALUE"""),"")</f>
        <v/>
      </c>
      <c r="B313" s="28"/>
      <c r="C313" s="28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R313" s="28" t="str">
        <f t="shared" si="9"/>
        <v/>
      </c>
    </row>
    <row r="314">
      <c r="A314" s="27" t="str">
        <f>IFERROR(__xludf.DUMMYFUNCTION("""COMPUTED_VALUE"""),"")</f>
        <v/>
      </c>
      <c r="B314" s="28"/>
      <c r="C314" s="28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R314" s="28" t="str">
        <f t="shared" si="9"/>
        <v/>
      </c>
    </row>
    <row r="315">
      <c r="A315" s="27" t="str">
        <f>IFERROR(__xludf.DUMMYFUNCTION("""COMPUTED_VALUE"""),"")</f>
        <v/>
      </c>
      <c r="B315" s="28"/>
      <c r="C315" s="28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R315" s="28" t="str">
        <f t="shared" si="9"/>
        <v/>
      </c>
    </row>
    <row r="316">
      <c r="A316" s="27" t="str">
        <f>IFERROR(__xludf.DUMMYFUNCTION("""COMPUTED_VALUE"""),"")</f>
        <v/>
      </c>
      <c r="B316" s="28"/>
      <c r="C316" s="28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R316" s="28" t="str">
        <f t="shared" si="9"/>
        <v/>
      </c>
    </row>
    <row r="317">
      <c r="A317" s="27" t="str">
        <f>IFERROR(__xludf.DUMMYFUNCTION("""COMPUTED_VALUE"""),"")</f>
        <v/>
      </c>
      <c r="B317" s="28"/>
      <c r="C317" s="28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R317" s="28" t="str">
        <f t="shared" si="9"/>
        <v/>
      </c>
    </row>
    <row r="318">
      <c r="A318" s="27" t="str">
        <f>IFERROR(__xludf.DUMMYFUNCTION("""COMPUTED_VALUE"""),"")</f>
        <v/>
      </c>
      <c r="B318" s="28"/>
      <c r="C318" s="28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R318" s="28" t="str">
        <f t="shared" si="9"/>
        <v/>
      </c>
    </row>
    <row r="319">
      <c r="A319" s="27" t="str">
        <f>IFERROR(__xludf.DUMMYFUNCTION("""COMPUTED_VALUE"""),"")</f>
        <v/>
      </c>
      <c r="B319" s="28"/>
      <c r="C319" s="28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R319" s="28" t="str">
        <f t="shared" si="9"/>
        <v/>
      </c>
    </row>
    <row r="320">
      <c r="A320" s="27" t="str">
        <f>IFERROR(__xludf.DUMMYFUNCTION("""COMPUTED_VALUE"""),"")</f>
        <v/>
      </c>
      <c r="B320" s="28"/>
      <c r="C320" s="28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R320" s="28" t="str">
        <f t="shared" si="9"/>
        <v/>
      </c>
    </row>
    <row r="321">
      <c r="A321" s="27" t="str">
        <f>IFERROR(__xludf.DUMMYFUNCTION("""COMPUTED_VALUE"""),"")</f>
        <v/>
      </c>
      <c r="B321" s="28"/>
      <c r="C321" s="28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R321" s="28" t="str">
        <f t="shared" si="9"/>
        <v/>
      </c>
    </row>
    <row r="322">
      <c r="A322" s="27" t="str">
        <f>IFERROR(__xludf.DUMMYFUNCTION("""COMPUTED_VALUE"""),"")</f>
        <v/>
      </c>
      <c r="B322" s="28"/>
      <c r="C322" s="28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R322" s="28" t="str">
        <f t="shared" si="9"/>
        <v/>
      </c>
    </row>
    <row r="323">
      <c r="A323" s="27" t="str">
        <f>IFERROR(__xludf.DUMMYFUNCTION("""COMPUTED_VALUE"""),"")</f>
        <v/>
      </c>
      <c r="B323" s="28"/>
      <c r="C323" s="28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R323" s="28" t="str">
        <f t="shared" si="9"/>
        <v/>
      </c>
    </row>
    <row r="324">
      <c r="A324" s="27" t="str">
        <f>IFERROR(__xludf.DUMMYFUNCTION("""COMPUTED_VALUE"""),"")</f>
        <v/>
      </c>
      <c r="B324" s="28"/>
      <c r="C324" s="28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R324" s="28" t="str">
        <f t="shared" si="9"/>
        <v/>
      </c>
    </row>
    <row r="325">
      <c r="A325" s="27" t="str">
        <f>IFERROR(__xludf.DUMMYFUNCTION("""COMPUTED_VALUE"""),"")</f>
        <v/>
      </c>
      <c r="B325" s="28"/>
      <c r="C325" s="28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R325" s="28" t="str">
        <f t="shared" si="9"/>
        <v/>
      </c>
    </row>
    <row r="326">
      <c r="A326" s="27" t="str">
        <f>IFERROR(__xludf.DUMMYFUNCTION("""COMPUTED_VALUE"""),"")</f>
        <v/>
      </c>
      <c r="B326" s="28"/>
      <c r="C326" s="28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R326" s="28" t="str">
        <f t="shared" si="9"/>
        <v/>
      </c>
    </row>
    <row r="327">
      <c r="A327" s="27" t="str">
        <f>IFERROR(__xludf.DUMMYFUNCTION("""COMPUTED_VALUE"""),"")</f>
        <v/>
      </c>
      <c r="B327" s="28"/>
      <c r="C327" s="28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R327" s="28" t="str">
        <f t="shared" si="9"/>
        <v/>
      </c>
    </row>
    <row r="328">
      <c r="A328" s="27" t="str">
        <f>IFERROR(__xludf.DUMMYFUNCTION("""COMPUTED_VALUE"""),"")</f>
        <v/>
      </c>
      <c r="B328" s="28"/>
      <c r="C328" s="28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R328" s="28" t="str">
        <f t="shared" si="9"/>
        <v/>
      </c>
    </row>
    <row r="329">
      <c r="A329" s="27" t="str">
        <f>IFERROR(__xludf.DUMMYFUNCTION("""COMPUTED_VALUE"""),"")</f>
        <v/>
      </c>
      <c r="B329" s="28"/>
      <c r="C329" s="28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R329" s="28" t="str">
        <f t="shared" si="9"/>
        <v/>
      </c>
    </row>
    <row r="330">
      <c r="A330" s="27" t="str">
        <f>IFERROR(__xludf.DUMMYFUNCTION("""COMPUTED_VALUE"""),"")</f>
        <v/>
      </c>
      <c r="B330" s="28"/>
      <c r="C330" s="28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R330" s="28" t="str">
        <f t="shared" si="9"/>
        <v/>
      </c>
    </row>
    <row r="331">
      <c r="A331" s="27" t="str">
        <f>IFERROR(__xludf.DUMMYFUNCTION("""COMPUTED_VALUE"""),"")</f>
        <v/>
      </c>
      <c r="B331" s="28"/>
      <c r="C331" s="28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R331" s="28" t="str">
        <f t="shared" si="9"/>
        <v/>
      </c>
    </row>
    <row r="332">
      <c r="A332" s="27" t="str">
        <f>IFERROR(__xludf.DUMMYFUNCTION("""COMPUTED_VALUE"""),"")</f>
        <v/>
      </c>
      <c r="B332" s="28"/>
      <c r="C332" s="28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R332" s="28" t="str">
        <f t="shared" si="9"/>
        <v/>
      </c>
    </row>
    <row r="333">
      <c r="A333" s="27" t="str">
        <f>IFERROR(__xludf.DUMMYFUNCTION("""COMPUTED_VALUE"""),"")</f>
        <v/>
      </c>
      <c r="B333" s="28"/>
      <c r="C333" s="28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R333" s="28" t="str">
        <f t="shared" si="9"/>
        <v/>
      </c>
    </row>
    <row r="334">
      <c r="A334" s="27" t="str">
        <f>IFERROR(__xludf.DUMMYFUNCTION("""COMPUTED_VALUE"""),"")</f>
        <v/>
      </c>
      <c r="B334" s="28"/>
      <c r="C334" s="28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R334" s="28" t="str">
        <f t="shared" si="9"/>
        <v/>
      </c>
    </row>
    <row r="335">
      <c r="A335" s="27" t="str">
        <f>IFERROR(__xludf.DUMMYFUNCTION("""COMPUTED_VALUE"""),"")</f>
        <v/>
      </c>
      <c r="B335" s="28"/>
      <c r="C335" s="28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R335" s="28" t="str">
        <f t="shared" si="9"/>
        <v/>
      </c>
    </row>
    <row r="336">
      <c r="A336" s="27" t="str">
        <f>IFERROR(__xludf.DUMMYFUNCTION("""COMPUTED_VALUE"""),"")</f>
        <v/>
      </c>
      <c r="B336" s="28"/>
      <c r="C336" s="28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R336" s="28" t="str">
        <f t="shared" si="9"/>
        <v/>
      </c>
    </row>
    <row r="337">
      <c r="A337" s="27" t="str">
        <f>IFERROR(__xludf.DUMMYFUNCTION("""COMPUTED_VALUE"""),"")</f>
        <v/>
      </c>
      <c r="B337" s="28"/>
      <c r="C337" s="28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R337" s="28" t="str">
        <f t="shared" si="9"/>
        <v/>
      </c>
    </row>
    <row r="338">
      <c r="A338" s="27" t="str">
        <f>IFERROR(__xludf.DUMMYFUNCTION("""COMPUTED_VALUE"""),"")</f>
        <v/>
      </c>
      <c r="B338" s="28"/>
      <c r="C338" s="28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R338" s="28" t="str">
        <f t="shared" si="9"/>
        <v/>
      </c>
    </row>
    <row r="339">
      <c r="A339" s="27" t="str">
        <f>IFERROR(__xludf.DUMMYFUNCTION("""COMPUTED_VALUE"""),"")</f>
        <v/>
      </c>
      <c r="B339" s="28"/>
      <c r="C339" s="28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R339" s="28" t="str">
        <f t="shared" si="9"/>
        <v/>
      </c>
    </row>
    <row r="340">
      <c r="A340" s="27" t="str">
        <f>IFERROR(__xludf.DUMMYFUNCTION("""COMPUTED_VALUE"""),"")</f>
        <v/>
      </c>
      <c r="B340" s="28"/>
      <c r="C340" s="28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R340" s="28" t="str">
        <f t="shared" si="9"/>
        <v/>
      </c>
    </row>
    <row r="341">
      <c r="A341" s="27" t="str">
        <f>IFERROR(__xludf.DUMMYFUNCTION("""COMPUTED_VALUE"""),"")</f>
        <v/>
      </c>
      <c r="B341" s="28"/>
      <c r="C341" s="28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R341" s="28" t="str">
        <f t="shared" si="9"/>
        <v/>
      </c>
    </row>
    <row r="342">
      <c r="A342" s="27" t="str">
        <f>IFERROR(__xludf.DUMMYFUNCTION("""COMPUTED_VALUE"""),"")</f>
        <v/>
      </c>
      <c r="B342" s="28"/>
      <c r="C342" s="28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R342" s="28" t="str">
        <f t="shared" si="9"/>
        <v/>
      </c>
    </row>
    <row r="343">
      <c r="A343" s="27" t="str">
        <f>IFERROR(__xludf.DUMMYFUNCTION("""COMPUTED_VALUE"""),"")</f>
        <v/>
      </c>
      <c r="B343" s="28"/>
      <c r="C343" s="28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R343" s="28" t="str">
        <f t="shared" si="9"/>
        <v/>
      </c>
    </row>
    <row r="344">
      <c r="A344" s="27" t="str">
        <f>IFERROR(__xludf.DUMMYFUNCTION("""COMPUTED_VALUE"""),"")</f>
        <v/>
      </c>
      <c r="B344" s="28"/>
      <c r="C344" s="28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R344" s="28" t="str">
        <f t="shared" si="9"/>
        <v/>
      </c>
    </row>
    <row r="345">
      <c r="A345" s="27" t="str">
        <f>IFERROR(__xludf.DUMMYFUNCTION("""COMPUTED_VALUE"""),"")</f>
        <v/>
      </c>
      <c r="B345" s="28"/>
      <c r="C345" s="28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R345" s="28" t="str">
        <f t="shared" si="9"/>
        <v/>
      </c>
    </row>
    <row r="346">
      <c r="A346" s="27" t="str">
        <f>IFERROR(__xludf.DUMMYFUNCTION("""COMPUTED_VALUE"""),"")</f>
        <v/>
      </c>
      <c r="B346" s="28"/>
      <c r="C346" s="28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R346" s="28" t="str">
        <f t="shared" si="9"/>
        <v/>
      </c>
    </row>
    <row r="347">
      <c r="A347" s="27" t="str">
        <f>IFERROR(__xludf.DUMMYFUNCTION("""COMPUTED_VALUE"""),"")</f>
        <v/>
      </c>
      <c r="B347" s="28"/>
      <c r="C347" s="28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R347" s="28" t="str">
        <f t="shared" si="9"/>
        <v/>
      </c>
    </row>
    <row r="348">
      <c r="A348" s="27" t="str">
        <f>IFERROR(__xludf.DUMMYFUNCTION("""COMPUTED_VALUE"""),"")</f>
        <v/>
      </c>
      <c r="B348" s="28"/>
      <c r="C348" s="28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R348" s="28" t="str">
        <f t="shared" si="9"/>
        <v/>
      </c>
    </row>
    <row r="349">
      <c r="A349" s="27" t="str">
        <f>IFERROR(__xludf.DUMMYFUNCTION("""COMPUTED_VALUE"""),"")</f>
        <v/>
      </c>
      <c r="B349" s="28"/>
      <c r="C349" s="28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  <c r="R349" s="28" t="str">
        <f t="shared" si="9"/>
        <v/>
      </c>
    </row>
    <row r="350">
      <c r="A350" s="27" t="str">
        <f>IFERROR(__xludf.DUMMYFUNCTION("""COMPUTED_VALUE"""),"")</f>
        <v/>
      </c>
      <c r="B350" s="28"/>
      <c r="C350" s="28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  <c r="R350" s="28" t="str">
        <f t="shared" si="9"/>
        <v/>
      </c>
    </row>
    <row r="351">
      <c r="A351" s="27" t="str">
        <f>IFERROR(__xludf.DUMMYFUNCTION("""COMPUTED_VALUE"""),"")</f>
        <v/>
      </c>
      <c r="B351" s="28"/>
      <c r="C351" s="28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  <c r="R351" s="28" t="str">
        <f t="shared" si="9"/>
        <v/>
      </c>
    </row>
    <row r="352">
      <c r="A352" s="27" t="str">
        <f>IFERROR(__xludf.DUMMYFUNCTION("""COMPUTED_VALUE"""),"")</f>
        <v/>
      </c>
      <c r="B352" s="28"/>
      <c r="C352" s="28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  <c r="R352" s="28" t="str">
        <f t="shared" si="9"/>
        <v/>
      </c>
    </row>
    <row r="353">
      <c r="A353" s="27" t="str">
        <f>IFERROR(__xludf.DUMMYFUNCTION("""COMPUTED_VALUE"""),"")</f>
        <v/>
      </c>
      <c r="B353" s="28"/>
      <c r="C353" s="28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  <c r="R353" s="28" t="str">
        <f t="shared" si="9"/>
        <v/>
      </c>
    </row>
    <row r="354">
      <c r="A354" s="27" t="str">
        <f>IFERROR(__xludf.DUMMYFUNCTION("""COMPUTED_VALUE"""),"")</f>
        <v/>
      </c>
      <c r="B354" s="28"/>
      <c r="C354" s="28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  <c r="R354" s="28" t="str">
        <f t="shared" si="9"/>
        <v/>
      </c>
    </row>
    <row r="355">
      <c r="A355" s="27" t="str">
        <f>IFERROR(__xludf.DUMMYFUNCTION("""COMPUTED_VALUE"""),"")</f>
        <v/>
      </c>
      <c r="B355" s="28"/>
      <c r="C355" s="28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  <c r="R355" s="28" t="str">
        <f t="shared" si="9"/>
        <v/>
      </c>
    </row>
    <row r="356">
      <c r="A356" s="27" t="str">
        <f>IFERROR(__xludf.DUMMYFUNCTION("""COMPUTED_VALUE"""),"")</f>
        <v/>
      </c>
      <c r="B356" s="28"/>
      <c r="C356" s="28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  <c r="R356" s="28" t="str">
        <f t="shared" si="9"/>
        <v/>
      </c>
    </row>
    <row r="357">
      <c r="A357" s="27" t="str">
        <f>IFERROR(__xludf.DUMMYFUNCTION("""COMPUTED_VALUE"""),"")</f>
        <v/>
      </c>
      <c r="B357" s="28"/>
      <c r="C357" s="28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  <c r="R357" s="28" t="str">
        <f t="shared" si="9"/>
        <v/>
      </c>
    </row>
    <row r="358">
      <c r="A358" s="27" t="str">
        <f>IFERROR(__xludf.DUMMYFUNCTION("""COMPUTED_VALUE"""),"")</f>
        <v/>
      </c>
      <c r="B358" s="28"/>
      <c r="C358" s="28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  <c r="R358" s="28" t="str">
        <f t="shared" si="9"/>
        <v/>
      </c>
    </row>
    <row r="359">
      <c r="A359" s="27" t="str">
        <f>IFERROR(__xludf.DUMMYFUNCTION("""COMPUTED_VALUE"""),"")</f>
        <v/>
      </c>
      <c r="B359" s="28"/>
      <c r="C359" s="28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  <c r="R359" s="28" t="str">
        <f t="shared" si="9"/>
        <v/>
      </c>
    </row>
    <row r="360">
      <c r="A360" s="27" t="str">
        <f>IFERROR(__xludf.DUMMYFUNCTION("""COMPUTED_VALUE"""),"")</f>
        <v/>
      </c>
      <c r="B360" s="28"/>
      <c r="C360" s="28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  <c r="R360" s="28" t="str">
        <f t="shared" si="9"/>
        <v/>
      </c>
    </row>
    <row r="361">
      <c r="A361" s="27" t="str">
        <f>IFERROR(__xludf.DUMMYFUNCTION("""COMPUTED_VALUE"""),"")</f>
        <v/>
      </c>
      <c r="B361" s="28"/>
      <c r="C361" s="28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  <c r="R361" s="28" t="str">
        <f t="shared" si="9"/>
        <v/>
      </c>
    </row>
    <row r="362">
      <c r="A362" s="27" t="str">
        <f>IFERROR(__xludf.DUMMYFUNCTION("""COMPUTED_VALUE"""),"")</f>
        <v/>
      </c>
      <c r="B362" s="28"/>
      <c r="C362" s="28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  <c r="R362" s="28" t="str">
        <f t="shared" si="9"/>
        <v/>
      </c>
    </row>
    <row r="363">
      <c r="A363" s="27" t="str">
        <f>IFERROR(__xludf.DUMMYFUNCTION("""COMPUTED_VALUE"""),"")</f>
        <v/>
      </c>
      <c r="B363" s="28"/>
      <c r="C363" s="28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  <c r="R363" s="28" t="str">
        <f t="shared" si="9"/>
        <v/>
      </c>
    </row>
    <row r="364">
      <c r="A364" s="27" t="str">
        <f>IFERROR(__xludf.DUMMYFUNCTION("""COMPUTED_VALUE"""),"")</f>
        <v/>
      </c>
      <c r="B364" s="28"/>
      <c r="C364" s="28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R364" s="28" t="str">
        <f t="shared" si="9"/>
        <v/>
      </c>
    </row>
    <row r="365">
      <c r="A365" s="27" t="str">
        <f>IFERROR(__xludf.DUMMYFUNCTION("""COMPUTED_VALUE"""),"")</f>
        <v/>
      </c>
      <c r="B365" s="28"/>
      <c r="C365" s="28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R365" s="28" t="str">
        <f t="shared" si="9"/>
        <v/>
      </c>
    </row>
    <row r="366">
      <c r="A366" s="27" t="str">
        <f>IFERROR(__xludf.DUMMYFUNCTION("""COMPUTED_VALUE"""),"")</f>
        <v/>
      </c>
      <c r="B366" s="28"/>
      <c r="C366" s="28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R366" s="28" t="str">
        <f t="shared" si="9"/>
        <v/>
      </c>
    </row>
    <row r="367">
      <c r="A367" s="27" t="str">
        <f>IFERROR(__xludf.DUMMYFUNCTION("""COMPUTED_VALUE"""),"")</f>
        <v/>
      </c>
      <c r="B367" s="28"/>
      <c r="C367" s="28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R367" s="28" t="str">
        <f t="shared" si="9"/>
        <v/>
      </c>
    </row>
    <row r="368">
      <c r="A368" s="27" t="str">
        <f>IFERROR(__xludf.DUMMYFUNCTION("""COMPUTED_VALUE"""),"")</f>
        <v/>
      </c>
      <c r="B368" s="28"/>
      <c r="C368" s="28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R368" s="28" t="str">
        <f t="shared" si="9"/>
        <v/>
      </c>
    </row>
    <row r="369">
      <c r="A369" s="27" t="str">
        <f>IFERROR(__xludf.DUMMYFUNCTION("""COMPUTED_VALUE"""),"")</f>
        <v/>
      </c>
      <c r="B369" s="28"/>
      <c r="C369" s="28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R369" s="28" t="str">
        <f t="shared" si="9"/>
        <v/>
      </c>
    </row>
    <row r="370">
      <c r="A370" s="27" t="str">
        <f>IFERROR(__xludf.DUMMYFUNCTION("""COMPUTED_VALUE"""),"")</f>
        <v/>
      </c>
      <c r="B370" s="28"/>
      <c r="C370" s="28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R370" s="28" t="str">
        <f t="shared" si="9"/>
        <v/>
      </c>
    </row>
    <row r="371">
      <c r="A371" s="27" t="str">
        <f>IFERROR(__xludf.DUMMYFUNCTION("""COMPUTED_VALUE"""),"")</f>
        <v/>
      </c>
      <c r="B371" s="28"/>
      <c r="C371" s="28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R371" s="28" t="str">
        <f t="shared" si="9"/>
        <v/>
      </c>
    </row>
    <row r="372">
      <c r="A372" s="27" t="str">
        <f>IFERROR(__xludf.DUMMYFUNCTION("""COMPUTED_VALUE"""),"")</f>
        <v/>
      </c>
      <c r="B372" s="28"/>
      <c r="C372" s="28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R372" s="28" t="str">
        <f t="shared" si="9"/>
        <v/>
      </c>
    </row>
    <row r="373">
      <c r="A373" s="27" t="str">
        <f>IFERROR(__xludf.DUMMYFUNCTION("""COMPUTED_VALUE"""),"")</f>
        <v/>
      </c>
      <c r="B373" s="28"/>
      <c r="C373" s="28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R373" s="28" t="str">
        <f t="shared" si="9"/>
        <v/>
      </c>
    </row>
    <row r="374">
      <c r="A374" s="27" t="str">
        <f>IFERROR(__xludf.DUMMYFUNCTION("""COMPUTED_VALUE"""),"")</f>
        <v/>
      </c>
      <c r="B374" s="28"/>
      <c r="C374" s="28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R374" s="28" t="str">
        <f t="shared" si="9"/>
        <v/>
      </c>
    </row>
    <row r="375">
      <c r="A375" s="27" t="str">
        <f>IFERROR(__xludf.DUMMYFUNCTION("""COMPUTED_VALUE"""),"")</f>
        <v/>
      </c>
      <c r="B375" s="28"/>
      <c r="C375" s="28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R375" s="28" t="str">
        <f t="shared" si="9"/>
        <v/>
      </c>
    </row>
    <row r="376">
      <c r="A376" s="27" t="str">
        <f>IFERROR(__xludf.DUMMYFUNCTION("""COMPUTED_VALUE"""),"")</f>
        <v/>
      </c>
      <c r="B376" s="28"/>
      <c r="C376" s="28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R376" s="28" t="str">
        <f t="shared" si="9"/>
        <v/>
      </c>
    </row>
    <row r="377">
      <c r="A377" s="27" t="str">
        <f>IFERROR(__xludf.DUMMYFUNCTION("""COMPUTED_VALUE"""),"")</f>
        <v/>
      </c>
      <c r="B377" s="28"/>
      <c r="C377" s="28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R377" s="28" t="str">
        <f t="shared" si="9"/>
        <v/>
      </c>
    </row>
    <row r="378">
      <c r="A378" s="27" t="str">
        <f>IFERROR(__xludf.DUMMYFUNCTION("""COMPUTED_VALUE"""),"")</f>
        <v/>
      </c>
      <c r="B378" s="28"/>
      <c r="C378" s="28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R378" s="28" t="str">
        <f t="shared" si="9"/>
        <v/>
      </c>
    </row>
    <row r="379">
      <c r="A379" s="27" t="str">
        <f>IFERROR(__xludf.DUMMYFUNCTION("""COMPUTED_VALUE"""),"")</f>
        <v/>
      </c>
      <c r="B379" s="28"/>
      <c r="C379" s="28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R379" s="28" t="str">
        <f t="shared" si="9"/>
        <v/>
      </c>
    </row>
    <row r="380">
      <c r="A380" s="27" t="str">
        <f>IFERROR(__xludf.DUMMYFUNCTION("""COMPUTED_VALUE"""),"")</f>
        <v/>
      </c>
      <c r="B380" s="28"/>
      <c r="C380" s="28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R380" s="28" t="str">
        <f t="shared" si="9"/>
        <v/>
      </c>
    </row>
    <row r="381">
      <c r="A381" s="27" t="str">
        <f>IFERROR(__xludf.DUMMYFUNCTION("""COMPUTED_VALUE"""),"")</f>
        <v/>
      </c>
      <c r="B381" s="28"/>
      <c r="C381" s="28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R381" s="28" t="str">
        <f t="shared" si="9"/>
        <v/>
      </c>
    </row>
    <row r="382">
      <c r="A382" s="27" t="str">
        <f>IFERROR(__xludf.DUMMYFUNCTION("""COMPUTED_VALUE"""),"")</f>
        <v/>
      </c>
      <c r="B382" s="28"/>
      <c r="C382" s="28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R382" s="28" t="str">
        <f t="shared" si="9"/>
        <v/>
      </c>
    </row>
    <row r="383">
      <c r="A383" s="27" t="str">
        <f>IFERROR(__xludf.DUMMYFUNCTION("""COMPUTED_VALUE"""),"")</f>
        <v/>
      </c>
      <c r="B383" s="28"/>
      <c r="C383" s="28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R383" s="28" t="str">
        <f t="shared" si="9"/>
        <v/>
      </c>
    </row>
    <row r="384">
      <c r="A384" s="27" t="str">
        <f>IFERROR(__xludf.DUMMYFUNCTION("""COMPUTED_VALUE"""),"")</f>
        <v/>
      </c>
      <c r="B384" s="28"/>
      <c r="C384" s="28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R384" s="28" t="str">
        <f t="shared" si="9"/>
        <v/>
      </c>
    </row>
    <row r="385">
      <c r="A385" s="27" t="str">
        <f>IFERROR(__xludf.DUMMYFUNCTION("""COMPUTED_VALUE"""),"")</f>
        <v/>
      </c>
      <c r="B385" s="28"/>
      <c r="C385" s="28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R385" s="28" t="str">
        <f t="shared" si="9"/>
        <v/>
      </c>
    </row>
    <row r="386">
      <c r="A386" s="27" t="str">
        <f>IFERROR(__xludf.DUMMYFUNCTION("""COMPUTED_VALUE"""),"")</f>
        <v/>
      </c>
      <c r="B386" s="28"/>
      <c r="C386" s="28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R386" s="28" t="str">
        <f t="shared" si="9"/>
        <v/>
      </c>
    </row>
    <row r="387">
      <c r="A387" s="27" t="str">
        <f>IFERROR(__xludf.DUMMYFUNCTION("""COMPUTED_VALUE"""),"")</f>
        <v/>
      </c>
      <c r="B387" s="28"/>
      <c r="C387" s="28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R387" s="28" t="str">
        <f t="shared" si="9"/>
        <v/>
      </c>
    </row>
    <row r="388">
      <c r="A388" s="27" t="str">
        <f>IFERROR(__xludf.DUMMYFUNCTION("""COMPUTED_VALUE"""),"")</f>
        <v/>
      </c>
      <c r="B388" s="28"/>
      <c r="C388" s="28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R388" s="28" t="str">
        <f t="shared" si="9"/>
        <v/>
      </c>
    </row>
    <row r="389">
      <c r="A389" s="27" t="str">
        <f>IFERROR(__xludf.DUMMYFUNCTION("""COMPUTED_VALUE"""),"")</f>
        <v/>
      </c>
      <c r="B389" s="28"/>
      <c r="C389" s="28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R389" s="28" t="str">
        <f t="shared" si="9"/>
        <v/>
      </c>
    </row>
    <row r="390">
      <c r="A390" s="27" t="str">
        <f>IFERROR(__xludf.DUMMYFUNCTION("""COMPUTED_VALUE"""),"")</f>
        <v/>
      </c>
      <c r="B390" s="28"/>
      <c r="C390" s="28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</row>
    <row r="391">
      <c r="A391" s="27" t="str">
        <f>IFERROR(__xludf.DUMMYFUNCTION("""COMPUTED_VALUE"""),"")</f>
        <v/>
      </c>
      <c r="B391" s="28"/>
      <c r="C391" s="28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</row>
    <row r="392">
      <c r="A392" s="27" t="str">
        <f>IFERROR(__xludf.DUMMYFUNCTION("""COMPUTED_VALUE"""),"")</f>
        <v/>
      </c>
      <c r="B392" s="28"/>
      <c r="C392" s="28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</row>
    <row r="393">
      <c r="A393" s="27" t="str">
        <f>IFERROR(__xludf.DUMMYFUNCTION("""COMPUTED_VALUE"""),"")</f>
        <v/>
      </c>
      <c r="B393" s="28"/>
      <c r="C393" s="28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</row>
    <row r="394">
      <c r="A394" s="27" t="str">
        <f>IFERROR(__xludf.DUMMYFUNCTION("""COMPUTED_VALUE"""),"")</f>
        <v/>
      </c>
      <c r="B394" s="28"/>
      <c r="C394" s="28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</row>
    <row r="395">
      <c r="A395" s="27" t="str">
        <f>IFERROR(__xludf.DUMMYFUNCTION("""COMPUTED_VALUE"""),"")</f>
        <v/>
      </c>
      <c r="B395" s="28"/>
      <c r="C395" s="28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</row>
    <row r="396">
      <c r="A396" s="27" t="str">
        <f>IFERROR(__xludf.DUMMYFUNCTION("""COMPUTED_VALUE"""),"")</f>
        <v/>
      </c>
      <c r="B396" s="28"/>
      <c r="C396" s="28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</row>
    <row r="397">
      <c r="A397" s="27" t="str">
        <f>IFERROR(__xludf.DUMMYFUNCTION("""COMPUTED_VALUE"""),"")</f>
        <v/>
      </c>
      <c r="B397" s="28"/>
      <c r="C397" s="28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</row>
    <row r="398">
      <c r="A398" s="27" t="str">
        <f>IFERROR(__xludf.DUMMYFUNCTION("""COMPUTED_VALUE"""),"")</f>
        <v/>
      </c>
      <c r="B398" s="28"/>
      <c r="C398" s="28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</row>
    <row r="399">
      <c r="A399" s="27" t="str">
        <f>IFERROR(__xludf.DUMMYFUNCTION("""COMPUTED_VALUE"""),"")</f>
        <v/>
      </c>
      <c r="B399" s="28"/>
      <c r="C399" s="28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</row>
    <row r="400">
      <c r="A400" s="27" t="str">
        <f>IFERROR(__xludf.DUMMYFUNCTION("""COMPUTED_VALUE"""),"")</f>
        <v/>
      </c>
      <c r="B400" s="28"/>
      <c r="C400" s="28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</row>
    <row r="401">
      <c r="A401" s="27" t="str">
        <f>IFERROR(__xludf.DUMMYFUNCTION("""COMPUTED_VALUE"""),"")</f>
        <v/>
      </c>
      <c r="B401" s="28"/>
      <c r="C401" s="28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</row>
    <row r="402">
      <c r="A402" s="27" t="str">
        <f>IFERROR(__xludf.DUMMYFUNCTION("""COMPUTED_VALUE"""),"")</f>
        <v/>
      </c>
      <c r="B402" s="28"/>
      <c r="C402" s="28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</row>
    <row r="403">
      <c r="A403" s="27"/>
      <c r="B403" s="28"/>
      <c r="C403" s="28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</row>
    <row r="404">
      <c r="A404" s="27"/>
      <c r="B404" s="28"/>
      <c r="C404" s="28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</row>
    <row r="405">
      <c r="A405" s="27"/>
      <c r="B405" s="28"/>
      <c r="C405" s="28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</row>
    <row r="406">
      <c r="A406" s="27"/>
      <c r="B406" s="28"/>
      <c r="C406" s="28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</row>
    <row r="407">
      <c r="A407" s="27"/>
      <c r="B407" s="28"/>
      <c r="C407" s="28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</row>
    <row r="408">
      <c r="A408" s="27"/>
      <c r="B408" s="28"/>
      <c r="C408" s="28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</row>
    <row r="409">
      <c r="A409" s="27"/>
      <c r="B409" s="28"/>
      <c r="C409" s="28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</row>
    <row r="410">
      <c r="A410" s="27"/>
      <c r="B410" s="28"/>
      <c r="C410" s="28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</row>
    <row r="411">
      <c r="A411" s="27"/>
      <c r="B411" s="28"/>
      <c r="C411" s="28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</row>
    <row r="412">
      <c r="A412" s="27"/>
      <c r="B412" s="28"/>
      <c r="C412" s="28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</row>
    <row r="413">
      <c r="A413" s="27"/>
      <c r="B413" s="28"/>
      <c r="C413" s="28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</row>
    <row r="414">
      <c r="A414" s="27"/>
      <c r="B414" s="28"/>
      <c r="C414" s="28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</row>
    <row r="415">
      <c r="A415" s="27"/>
      <c r="B415" s="28"/>
      <c r="C415" s="28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</row>
    <row r="416">
      <c r="A416" s="27"/>
      <c r="B416" s="28"/>
      <c r="C416" s="28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</row>
    <row r="417">
      <c r="A417" s="27"/>
      <c r="B417" s="28"/>
      <c r="C417" s="28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</row>
    <row r="418">
      <c r="A418" s="27"/>
      <c r="B418" s="28"/>
      <c r="C418" s="28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</row>
    <row r="419">
      <c r="A419" s="27"/>
      <c r="B419" s="28"/>
      <c r="C419" s="28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</row>
    <row r="420">
      <c r="A420" s="27"/>
      <c r="B420" s="28"/>
      <c r="C420" s="28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</row>
    <row r="421">
      <c r="A421" s="27"/>
      <c r="B421" s="28"/>
      <c r="C421" s="28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</row>
    <row r="422">
      <c r="A422" s="27"/>
      <c r="B422" s="28"/>
      <c r="C422" s="28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</row>
    <row r="423">
      <c r="A423" s="27"/>
      <c r="B423" s="28"/>
      <c r="C423" s="28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</row>
    <row r="424">
      <c r="A424" s="27"/>
      <c r="B424" s="28"/>
      <c r="C424" s="28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</row>
    <row r="425">
      <c r="A425" s="27"/>
      <c r="B425" s="28"/>
      <c r="C425" s="28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</row>
    <row r="426">
      <c r="A426" s="27"/>
      <c r="B426" s="28"/>
      <c r="C426" s="28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</row>
    <row r="427">
      <c r="A427" s="27"/>
      <c r="B427" s="28"/>
      <c r="C427" s="28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</row>
    <row r="428">
      <c r="A428" s="27"/>
      <c r="B428" s="28"/>
      <c r="C428" s="28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</row>
    <row r="429">
      <c r="A429" s="27"/>
      <c r="B429" s="28"/>
      <c r="C429" s="28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</row>
    <row r="430">
      <c r="A430" s="27"/>
      <c r="B430" s="28"/>
      <c r="C430" s="28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</row>
    <row r="431">
      <c r="A431" s="27"/>
      <c r="B431" s="28"/>
      <c r="C431" s="28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</row>
    <row r="432">
      <c r="A432" s="27"/>
      <c r="B432" s="28"/>
      <c r="C432" s="28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</row>
    <row r="433">
      <c r="A433" s="27"/>
      <c r="B433" s="28"/>
      <c r="C433" s="28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</row>
    <row r="434">
      <c r="A434" s="27"/>
      <c r="B434" s="28"/>
      <c r="C434" s="28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</row>
    <row r="435">
      <c r="A435" s="27"/>
      <c r="B435" s="28"/>
      <c r="C435" s="28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</row>
    <row r="436">
      <c r="A436" s="27"/>
      <c r="B436" s="28"/>
      <c r="C436" s="28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</row>
    <row r="437">
      <c r="A437" s="27"/>
      <c r="B437" s="28"/>
      <c r="C437" s="28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</row>
    <row r="438">
      <c r="A438" s="27"/>
      <c r="B438" s="28"/>
      <c r="C438" s="28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</row>
    <row r="439">
      <c r="A439" s="27"/>
      <c r="B439" s="28"/>
      <c r="C439" s="28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</row>
    <row r="440">
      <c r="A440" s="27"/>
      <c r="B440" s="28"/>
      <c r="C440" s="28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</row>
    <row r="441">
      <c r="A441" s="27"/>
      <c r="B441" s="28"/>
      <c r="C441" s="28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</row>
    <row r="442">
      <c r="A442" s="27"/>
      <c r="B442" s="28"/>
      <c r="C442" s="28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</row>
    <row r="443">
      <c r="A443" s="27"/>
      <c r="B443" s="28"/>
      <c r="C443" s="28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</row>
    <row r="444">
      <c r="A444" s="27"/>
      <c r="B444" s="28"/>
      <c r="C444" s="28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</row>
    <row r="445">
      <c r="A445" s="27"/>
      <c r="B445" s="28"/>
      <c r="C445" s="28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</row>
    <row r="446">
      <c r="A446" s="27"/>
      <c r="B446" s="28"/>
      <c r="C446" s="28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</row>
    <row r="447">
      <c r="A447" s="27"/>
      <c r="B447" s="28"/>
      <c r="C447" s="28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</row>
    <row r="448">
      <c r="A448" s="27"/>
      <c r="B448" s="28"/>
      <c r="C448" s="28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</row>
    <row r="449">
      <c r="A449" s="27"/>
      <c r="B449" s="28"/>
      <c r="C449" s="28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</row>
    <row r="450">
      <c r="A450" s="27"/>
      <c r="B450" s="28"/>
      <c r="C450" s="28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</row>
    <row r="451">
      <c r="A451" s="27"/>
      <c r="B451" s="28"/>
      <c r="C451" s="28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</row>
    <row r="452">
      <c r="A452" s="27"/>
      <c r="B452" s="28"/>
      <c r="C452" s="28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</row>
    <row r="453">
      <c r="A453" s="27"/>
      <c r="B453" s="28"/>
      <c r="C453" s="28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</row>
    <row r="454">
      <c r="A454" s="27"/>
      <c r="B454" s="28"/>
      <c r="C454" s="28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</row>
    <row r="455">
      <c r="A455" s="27"/>
      <c r="B455" s="28"/>
      <c r="C455" s="28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</row>
    <row r="456">
      <c r="A456" s="27"/>
      <c r="B456" s="28"/>
      <c r="C456" s="28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</row>
    <row r="457">
      <c r="A457" s="27"/>
      <c r="B457" s="28"/>
      <c r="C457" s="28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</row>
    <row r="458">
      <c r="A458" s="27"/>
      <c r="B458" s="28"/>
      <c r="C458" s="28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</row>
    <row r="459">
      <c r="A459" s="27"/>
      <c r="B459" s="28"/>
      <c r="C459" s="28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</row>
    <row r="460">
      <c r="A460" s="27"/>
      <c r="B460" s="28"/>
      <c r="C460" s="28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</row>
    <row r="461">
      <c r="A461" s="27"/>
      <c r="B461" s="28"/>
      <c r="C461" s="28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</row>
    <row r="462">
      <c r="A462" s="27"/>
      <c r="B462" s="28"/>
      <c r="C462" s="28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</row>
    <row r="463">
      <c r="A463" s="27"/>
      <c r="B463" s="28"/>
      <c r="C463" s="28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</row>
    <row r="464">
      <c r="A464" s="27"/>
      <c r="B464" s="28"/>
      <c r="C464" s="28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</row>
    <row r="465">
      <c r="A465" s="27"/>
      <c r="B465" s="28"/>
      <c r="C465" s="28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</row>
    <row r="466">
      <c r="A466" s="27"/>
      <c r="B466" s="28"/>
      <c r="C466" s="28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</row>
    <row r="467">
      <c r="A467" s="27"/>
      <c r="B467" s="28"/>
      <c r="C467" s="28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</row>
    <row r="468">
      <c r="A468" s="27"/>
      <c r="B468" s="28"/>
      <c r="C468" s="28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</row>
    <row r="469">
      <c r="A469" s="27"/>
      <c r="B469" s="28"/>
      <c r="C469" s="28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</row>
    <row r="470">
      <c r="A470" s="27"/>
      <c r="B470" s="28"/>
      <c r="C470" s="28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</row>
    <row r="471">
      <c r="A471" s="27"/>
      <c r="B471" s="28"/>
      <c r="C471" s="28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</row>
    <row r="472">
      <c r="A472" s="27"/>
      <c r="B472" s="28"/>
      <c r="C472" s="28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</row>
    <row r="473">
      <c r="A473" s="27"/>
      <c r="B473" s="28"/>
      <c r="C473" s="28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</row>
    <row r="474">
      <c r="A474" s="27"/>
      <c r="B474" s="28"/>
      <c r="C474" s="28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</row>
    <row r="475">
      <c r="A475" s="27"/>
      <c r="B475" s="28"/>
      <c r="C475" s="28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</row>
    <row r="476">
      <c r="A476" s="27"/>
      <c r="B476" s="28"/>
      <c r="C476" s="28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</row>
    <row r="477">
      <c r="A477" s="27"/>
      <c r="B477" s="28"/>
      <c r="C477" s="28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</row>
    <row r="478">
      <c r="A478" s="27"/>
      <c r="B478" s="28"/>
      <c r="C478" s="28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</row>
    <row r="479">
      <c r="A479" s="27"/>
      <c r="B479" s="28"/>
      <c r="C479" s="28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</row>
    <row r="480">
      <c r="A480" s="27"/>
      <c r="B480" s="28"/>
      <c r="C480" s="28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</row>
    <row r="481">
      <c r="A481" s="27"/>
      <c r="B481" s="28"/>
      <c r="C481" s="28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</row>
    <row r="482">
      <c r="A482" s="27"/>
      <c r="B482" s="28"/>
      <c r="C482" s="28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</row>
    <row r="483">
      <c r="A483" s="27"/>
      <c r="B483" s="28"/>
      <c r="C483" s="28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</row>
    <row r="484">
      <c r="A484" s="27"/>
      <c r="B484" s="28"/>
      <c r="C484" s="28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</row>
    <row r="485">
      <c r="A485" s="27"/>
      <c r="B485" s="28"/>
      <c r="C485" s="28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</row>
    <row r="486">
      <c r="A486" s="27"/>
      <c r="B486" s="28"/>
      <c r="C486" s="28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</row>
    <row r="487">
      <c r="A487" s="27"/>
      <c r="B487" s="28"/>
      <c r="C487" s="28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</row>
    <row r="488">
      <c r="A488" s="27"/>
      <c r="B488" s="28"/>
      <c r="C488" s="28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</row>
    <row r="489">
      <c r="A489" s="27"/>
      <c r="B489" s="28"/>
      <c r="C489" s="28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</row>
    <row r="490">
      <c r="A490" s="27"/>
      <c r="B490" s="28"/>
      <c r="C490" s="28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</row>
    <row r="491">
      <c r="A491" s="27"/>
      <c r="B491" s="28"/>
      <c r="C491" s="28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</row>
    <row r="492">
      <c r="A492" s="27"/>
      <c r="B492" s="28"/>
      <c r="C492" s="28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</row>
    <row r="493">
      <c r="A493" s="27"/>
      <c r="B493" s="28"/>
      <c r="C493" s="28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</row>
    <row r="494">
      <c r="A494" s="27"/>
      <c r="B494" s="28"/>
      <c r="C494" s="28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</row>
    <row r="495">
      <c r="A495" s="27"/>
      <c r="B495" s="28"/>
      <c r="C495" s="28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</row>
    <row r="496">
      <c r="A496" s="27"/>
      <c r="B496" s="28"/>
      <c r="C496" s="28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</row>
    <row r="497">
      <c r="A497" s="27"/>
      <c r="B497" s="28"/>
      <c r="C497" s="28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</row>
    <row r="498">
      <c r="A498" s="27"/>
      <c r="B498" s="28"/>
      <c r="C498" s="28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</row>
    <row r="499">
      <c r="A499" s="27"/>
      <c r="B499" s="28"/>
      <c r="C499" s="28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</row>
    <row r="500">
      <c r="A500" s="27"/>
      <c r="B500" s="28"/>
      <c r="C500" s="28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</row>
    <row r="501">
      <c r="A501" s="27"/>
      <c r="B501" s="28"/>
      <c r="C501" s="28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</row>
    <row r="502">
      <c r="A502" s="27"/>
      <c r="B502" s="28"/>
      <c r="C502" s="28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</row>
    <row r="503">
      <c r="A503" s="27"/>
      <c r="B503" s="28"/>
      <c r="C503" s="28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</row>
    <row r="504">
      <c r="A504" s="27"/>
      <c r="B504" s="28"/>
      <c r="C504" s="28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</row>
    <row r="505">
      <c r="A505" s="27"/>
      <c r="B505" s="28"/>
      <c r="C505" s="28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</row>
    <row r="506">
      <c r="A506" s="27"/>
      <c r="B506" s="28"/>
      <c r="C506" s="28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</row>
    <row r="507">
      <c r="A507" s="27"/>
      <c r="B507" s="28"/>
      <c r="C507" s="28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</row>
    <row r="508">
      <c r="A508" s="27"/>
      <c r="B508" s="28"/>
      <c r="C508" s="28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</row>
    <row r="509">
      <c r="A509" s="27"/>
      <c r="B509" s="28"/>
      <c r="C509" s="28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</row>
    <row r="510">
      <c r="A510" s="27"/>
      <c r="B510" s="28"/>
      <c r="C510" s="28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</row>
    <row r="511">
      <c r="A511" s="27"/>
      <c r="B511" s="28"/>
      <c r="C511" s="28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</row>
    <row r="512">
      <c r="A512" s="27"/>
      <c r="B512" s="28"/>
      <c r="C512" s="28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</row>
    <row r="513">
      <c r="A513" s="27"/>
      <c r="B513" s="28"/>
      <c r="C513" s="28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</row>
    <row r="514">
      <c r="A514" s="27"/>
      <c r="B514" s="28"/>
      <c r="C514" s="28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</row>
    <row r="515">
      <c r="A515" s="27"/>
      <c r="B515" s="28"/>
      <c r="C515" s="28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</row>
    <row r="516">
      <c r="A516" s="27"/>
      <c r="B516" s="28"/>
      <c r="C516" s="28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</row>
    <row r="517">
      <c r="A517" s="27"/>
      <c r="B517" s="28"/>
      <c r="C517" s="28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</row>
    <row r="518">
      <c r="A518" s="27"/>
      <c r="B518" s="28"/>
      <c r="C518" s="28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</row>
    <row r="519">
      <c r="A519" s="27"/>
      <c r="B519" s="28"/>
      <c r="C519" s="28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</row>
    <row r="520">
      <c r="A520" s="27"/>
      <c r="B520" s="28"/>
      <c r="C520" s="28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</row>
    <row r="521">
      <c r="A521" s="27"/>
      <c r="B521" s="28"/>
      <c r="C521" s="28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</row>
    <row r="522">
      <c r="A522" s="27"/>
      <c r="B522" s="28"/>
      <c r="C522" s="28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</row>
    <row r="523">
      <c r="A523" s="27"/>
      <c r="B523" s="28"/>
      <c r="C523" s="28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</row>
    <row r="524">
      <c r="A524" s="27"/>
      <c r="B524" s="28"/>
      <c r="C524" s="28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</row>
    <row r="525">
      <c r="A525" s="27"/>
      <c r="B525" s="28"/>
      <c r="C525" s="28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</row>
    <row r="526">
      <c r="A526" s="27"/>
      <c r="B526" s="28"/>
      <c r="C526" s="28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</row>
    <row r="527">
      <c r="A527" s="27"/>
      <c r="B527" s="28"/>
      <c r="C527" s="28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</row>
    <row r="528">
      <c r="A528" s="27"/>
      <c r="B528" s="28"/>
      <c r="C528" s="28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</row>
    <row r="529">
      <c r="A529" s="27"/>
      <c r="B529" s="28"/>
      <c r="C529" s="28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</row>
    <row r="530">
      <c r="A530" s="27"/>
      <c r="B530" s="28"/>
      <c r="C530" s="28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</row>
    <row r="531">
      <c r="A531" s="27"/>
      <c r="B531" s="28"/>
      <c r="C531" s="28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</row>
    <row r="532">
      <c r="A532" s="27"/>
      <c r="B532" s="28"/>
      <c r="C532" s="28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</row>
    <row r="533">
      <c r="A533" s="27"/>
      <c r="B533" s="28"/>
      <c r="C533" s="28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</row>
    <row r="534">
      <c r="A534" s="27"/>
      <c r="B534" s="28"/>
      <c r="C534" s="28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</row>
    <row r="535">
      <c r="A535" s="27"/>
      <c r="B535" s="28"/>
      <c r="C535" s="28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</row>
    <row r="536">
      <c r="A536" s="27"/>
      <c r="B536" s="28"/>
      <c r="C536" s="28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</row>
    <row r="537">
      <c r="A537" s="27"/>
      <c r="B537" s="28"/>
      <c r="C537" s="28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</row>
    <row r="538">
      <c r="A538" s="27"/>
      <c r="B538" s="28"/>
      <c r="C538" s="28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</row>
    <row r="539">
      <c r="A539" s="27"/>
      <c r="B539" s="28"/>
      <c r="C539" s="28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</row>
    <row r="540">
      <c r="A540" s="27"/>
      <c r="B540" s="28"/>
      <c r="C540" s="28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</row>
    <row r="541">
      <c r="A541" s="27"/>
      <c r="B541" s="28"/>
      <c r="C541" s="28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</row>
    <row r="542">
      <c r="A542" s="27"/>
      <c r="B542" s="28"/>
      <c r="C542" s="28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</row>
    <row r="543">
      <c r="A543" s="27"/>
      <c r="B543" s="28"/>
      <c r="C543" s="28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</row>
    <row r="544">
      <c r="A544" s="27"/>
      <c r="B544" s="28"/>
      <c r="C544" s="28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</row>
    <row r="545">
      <c r="A545" s="27"/>
      <c r="B545" s="28"/>
      <c r="C545" s="28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</row>
    <row r="546">
      <c r="A546" s="27"/>
      <c r="B546" s="28"/>
      <c r="C546" s="28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</row>
    <row r="547">
      <c r="A547" s="27"/>
      <c r="B547" s="28"/>
      <c r="C547" s="28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</row>
    <row r="548">
      <c r="A548" s="27"/>
      <c r="B548" s="28"/>
      <c r="C548" s="28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</row>
    <row r="549">
      <c r="A549" s="27"/>
      <c r="B549" s="28"/>
      <c r="C549" s="28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</row>
    <row r="550">
      <c r="A550" s="27"/>
      <c r="B550" s="28"/>
      <c r="C550" s="28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</row>
    <row r="551">
      <c r="A551" s="27"/>
      <c r="B551" s="28"/>
      <c r="C551" s="28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</row>
    <row r="552">
      <c r="A552" s="27"/>
      <c r="B552" s="28"/>
      <c r="C552" s="28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</row>
    <row r="553">
      <c r="A553" s="27"/>
      <c r="B553" s="28"/>
      <c r="C553" s="28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</row>
    <row r="554">
      <c r="A554" s="27"/>
      <c r="B554" s="28"/>
      <c r="C554" s="28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</row>
    <row r="555">
      <c r="A555" s="27"/>
      <c r="B555" s="28"/>
      <c r="C555" s="28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</row>
    <row r="556">
      <c r="A556" s="27"/>
      <c r="B556" s="28"/>
      <c r="C556" s="28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</row>
    <row r="557">
      <c r="A557" s="27"/>
      <c r="B557" s="28"/>
      <c r="C557" s="28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</row>
    <row r="558">
      <c r="A558" s="27"/>
      <c r="B558" s="28"/>
      <c r="C558" s="28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</row>
    <row r="559">
      <c r="A559" s="27"/>
      <c r="B559" s="28"/>
      <c r="C559" s="28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</row>
    <row r="560">
      <c r="A560" s="27"/>
      <c r="B560" s="28"/>
      <c r="C560" s="28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</row>
    <row r="561">
      <c r="A561" s="27"/>
      <c r="B561" s="28"/>
      <c r="C561" s="28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</row>
    <row r="562">
      <c r="A562" s="27"/>
      <c r="B562" s="28"/>
      <c r="C562" s="28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</row>
    <row r="563">
      <c r="A563" s="27"/>
      <c r="B563" s="28"/>
      <c r="C563" s="28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</row>
    <row r="564">
      <c r="A564" s="27"/>
      <c r="B564" s="28"/>
      <c r="C564" s="28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</row>
    <row r="565">
      <c r="A565" s="27"/>
      <c r="B565" s="28"/>
      <c r="C565" s="28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</row>
    <row r="566">
      <c r="A566" s="27"/>
      <c r="B566" s="28"/>
      <c r="C566" s="28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</row>
    <row r="567">
      <c r="A567" s="27"/>
      <c r="B567" s="28"/>
      <c r="C567" s="28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</row>
    <row r="568">
      <c r="A568" s="27"/>
      <c r="B568" s="28"/>
      <c r="C568" s="28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</row>
    <row r="569">
      <c r="A569" s="27"/>
      <c r="B569" s="28"/>
      <c r="C569" s="28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</row>
    <row r="570">
      <c r="A570" s="27"/>
      <c r="B570" s="28"/>
      <c r="C570" s="28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</row>
    <row r="571">
      <c r="A571" s="27"/>
      <c r="B571" s="28"/>
      <c r="C571" s="28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</row>
    <row r="572">
      <c r="A572" s="27"/>
      <c r="B572" s="28"/>
      <c r="C572" s="28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</row>
    <row r="573">
      <c r="A573" s="27"/>
      <c r="B573" s="28"/>
      <c r="C573" s="28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</row>
    <row r="574">
      <c r="A574" s="27"/>
      <c r="B574" s="28"/>
      <c r="C574" s="28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</row>
    <row r="575">
      <c r="A575" s="27"/>
      <c r="B575" s="28"/>
      <c r="C575" s="28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</row>
    <row r="576">
      <c r="A576" s="27"/>
      <c r="B576" s="28"/>
      <c r="C576" s="28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</row>
    <row r="577">
      <c r="A577" s="27"/>
      <c r="B577" s="28"/>
      <c r="C577" s="28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</row>
    <row r="578">
      <c r="A578" s="27"/>
      <c r="B578" s="28"/>
      <c r="C578" s="28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</row>
    <row r="579">
      <c r="A579" s="27"/>
      <c r="B579" s="28"/>
      <c r="C579" s="28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</row>
    <row r="580">
      <c r="A580" s="27"/>
      <c r="B580" s="28"/>
      <c r="C580" s="28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</row>
    <row r="581">
      <c r="A581" s="27"/>
      <c r="B581" s="28"/>
      <c r="C581" s="28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</row>
    <row r="582">
      <c r="A582" s="27"/>
      <c r="B582" s="28"/>
      <c r="C582" s="28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</row>
    <row r="583">
      <c r="A583" s="27"/>
      <c r="B583" s="28"/>
      <c r="C583" s="28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</row>
    <row r="584">
      <c r="A584" s="27"/>
      <c r="B584" s="28"/>
      <c r="C584" s="28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</row>
    <row r="585">
      <c r="A585" s="27"/>
      <c r="B585" s="28"/>
      <c r="C585" s="28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</row>
    <row r="586">
      <c r="A586" s="27"/>
      <c r="B586" s="28"/>
      <c r="C586" s="28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</row>
    <row r="587">
      <c r="A587" s="27"/>
      <c r="B587" s="28"/>
      <c r="C587" s="28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</row>
    <row r="588">
      <c r="A588" s="27"/>
      <c r="B588" s="28"/>
      <c r="C588" s="28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</row>
    <row r="589">
      <c r="A589" s="27"/>
      <c r="B589" s="28"/>
      <c r="C589" s="28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</row>
    <row r="590">
      <c r="A590" s="27"/>
      <c r="B590" s="28"/>
      <c r="C590" s="28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</row>
    <row r="591">
      <c r="A591" s="27"/>
      <c r="B591" s="28"/>
      <c r="C591" s="28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</row>
    <row r="592">
      <c r="A592" s="27"/>
      <c r="B592" s="28"/>
      <c r="C592" s="28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</row>
    <row r="593">
      <c r="A593" s="27"/>
      <c r="B593" s="28"/>
      <c r="C593" s="28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</row>
    <row r="594">
      <c r="A594" s="27"/>
      <c r="B594" s="28"/>
      <c r="C594" s="28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</row>
    <row r="595">
      <c r="A595" s="27"/>
      <c r="B595" s="28"/>
      <c r="C595" s="28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</row>
    <row r="596">
      <c r="A596" s="27"/>
      <c r="B596" s="28"/>
      <c r="C596" s="28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</row>
    <row r="597">
      <c r="A597" s="27"/>
      <c r="B597" s="28"/>
      <c r="C597" s="28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</row>
    <row r="598">
      <c r="A598" s="27"/>
      <c r="B598" s="28"/>
      <c r="C598" s="28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</row>
    <row r="599">
      <c r="A599" s="27"/>
      <c r="B599" s="28"/>
      <c r="C599" s="28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</row>
    <row r="600">
      <c r="A600" s="27"/>
      <c r="B600" s="28"/>
      <c r="C600" s="28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</row>
    <row r="601">
      <c r="A601" s="27"/>
      <c r="B601" s="28"/>
      <c r="C601" s="28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</row>
    <row r="602">
      <c r="A602" s="27"/>
      <c r="B602" s="28"/>
      <c r="C602" s="28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</row>
    <row r="603">
      <c r="A603" s="27"/>
      <c r="B603" s="28"/>
      <c r="C603" s="28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</row>
    <row r="604">
      <c r="A604" s="27"/>
      <c r="B604" s="28"/>
      <c r="C604" s="28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</row>
    <row r="605">
      <c r="A605" s="27"/>
      <c r="B605" s="28"/>
      <c r="C605" s="28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</row>
    <row r="606">
      <c r="A606" s="27"/>
      <c r="B606" s="28"/>
      <c r="C606" s="28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</row>
    <row r="607">
      <c r="A607" s="27"/>
      <c r="B607" s="28"/>
      <c r="C607" s="28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</row>
    <row r="608">
      <c r="A608" s="27"/>
      <c r="B608" s="28"/>
      <c r="C608" s="28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</row>
    <row r="609">
      <c r="A609" s="27"/>
      <c r="B609" s="28"/>
      <c r="C609" s="28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</row>
    <row r="610">
      <c r="A610" s="27"/>
      <c r="B610" s="28"/>
      <c r="C610" s="28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</row>
    <row r="611">
      <c r="A611" s="27"/>
      <c r="B611" s="28"/>
      <c r="C611" s="28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</row>
    <row r="612">
      <c r="A612" s="27"/>
      <c r="B612" s="28"/>
      <c r="C612" s="28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</row>
    <row r="613">
      <c r="A613" s="27"/>
      <c r="B613" s="28"/>
      <c r="C613" s="28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</row>
    <row r="614">
      <c r="A614" s="27"/>
      <c r="B614" s="28"/>
      <c r="C614" s="28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</row>
    <row r="615">
      <c r="A615" s="27"/>
      <c r="B615" s="28"/>
      <c r="C615" s="28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</row>
    <row r="616">
      <c r="A616" s="27"/>
      <c r="B616" s="28"/>
      <c r="C616" s="28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</row>
    <row r="617">
      <c r="A617" s="27"/>
      <c r="B617" s="28"/>
      <c r="C617" s="28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</row>
    <row r="618">
      <c r="A618" s="27"/>
      <c r="B618" s="28"/>
      <c r="C618" s="28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</row>
    <row r="619">
      <c r="A619" s="27"/>
      <c r="B619" s="28"/>
      <c r="C619" s="28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</row>
    <row r="620">
      <c r="A620" s="27"/>
      <c r="B620" s="28"/>
      <c r="C620" s="28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</row>
    <row r="621">
      <c r="A621" s="27"/>
      <c r="B621" s="28"/>
      <c r="C621" s="28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</row>
    <row r="622">
      <c r="A622" s="27"/>
      <c r="B622" s="28"/>
      <c r="C622" s="28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</row>
    <row r="623">
      <c r="A623" s="27"/>
      <c r="B623" s="28"/>
      <c r="C623" s="28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</row>
    <row r="624">
      <c r="A624" s="27"/>
      <c r="B624" s="28"/>
      <c r="C624" s="28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</row>
    <row r="625">
      <c r="A625" s="27"/>
      <c r="B625" s="28"/>
      <c r="C625" s="28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</row>
    <row r="626">
      <c r="A626" s="27"/>
      <c r="B626" s="28"/>
      <c r="C626" s="28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</row>
    <row r="627">
      <c r="A627" s="27"/>
      <c r="B627" s="28"/>
      <c r="C627" s="28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</row>
    <row r="628">
      <c r="A628" s="27"/>
      <c r="B628" s="28"/>
      <c r="C628" s="28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</row>
    <row r="629">
      <c r="A629" s="27"/>
      <c r="B629" s="28"/>
      <c r="C629" s="28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</row>
    <row r="630">
      <c r="A630" s="27"/>
      <c r="B630" s="28"/>
      <c r="C630" s="28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</row>
    <row r="631">
      <c r="A631" s="27"/>
      <c r="B631" s="28"/>
      <c r="C631" s="28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</row>
    <row r="632">
      <c r="A632" s="27"/>
      <c r="B632" s="28"/>
      <c r="C632" s="28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</row>
    <row r="633">
      <c r="A633" s="27"/>
      <c r="B633" s="28"/>
      <c r="C633" s="28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</row>
    <row r="634">
      <c r="A634" s="27"/>
      <c r="B634" s="28"/>
      <c r="C634" s="28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</row>
    <row r="635">
      <c r="A635" s="27"/>
      <c r="B635" s="28"/>
      <c r="C635" s="28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</row>
    <row r="636">
      <c r="A636" s="27"/>
      <c r="B636" s="28"/>
      <c r="C636" s="28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</row>
    <row r="637">
      <c r="A637" s="27"/>
      <c r="B637" s="28"/>
      <c r="C637" s="28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</row>
    <row r="638">
      <c r="A638" s="27"/>
      <c r="B638" s="28"/>
      <c r="C638" s="28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</row>
    <row r="639">
      <c r="A639" s="27"/>
      <c r="B639" s="28"/>
      <c r="C639" s="28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</row>
    <row r="640">
      <c r="A640" s="27"/>
      <c r="B640" s="28"/>
      <c r="C640" s="28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</row>
    <row r="641">
      <c r="A641" s="27"/>
      <c r="B641" s="28"/>
      <c r="C641" s="28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</row>
    <row r="642">
      <c r="A642" s="27"/>
      <c r="B642" s="28"/>
      <c r="C642" s="28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</row>
    <row r="643">
      <c r="A643" s="27"/>
      <c r="B643" s="28"/>
      <c r="C643" s="28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</row>
    <row r="644">
      <c r="A644" s="27"/>
      <c r="B644" s="28"/>
      <c r="C644" s="28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</row>
    <row r="645">
      <c r="A645" s="27"/>
      <c r="B645" s="28"/>
      <c r="C645" s="28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</row>
    <row r="646">
      <c r="A646" s="27"/>
      <c r="B646" s="28"/>
      <c r="C646" s="28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</row>
    <row r="647">
      <c r="A647" s="27"/>
      <c r="B647" s="28"/>
      <c r="C647" s="28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</row>
    <row r="648">
      <c r="A648" s="27"/>
      <c r="B648" s="28"/>
      <c r="C648" s="28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</row>
    <row r="649">
      <c r="A649" s="27"/>
      <c r="B649" s="28"/>
      <c r="C649" s="28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</row>
    <row r="650">
      <c r="A650" s="27"/>
      <c r="B650" s="28"/>
      <c r="C650" s="28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</row>
    <row r="651">
      <c r="A651" s="27"/>
      <c r="B651" s="28"/>
      <c r="C651" s="28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</row>
    <row r="652">
      <c r="A652" s="27"/>
      <c r="B652" s="28"/>
      <c r="C652" s="28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</row>
    <row r="653">
      <c r="A653" s="27"/>
      <c r="B653" s="28"/>
      <c r="C653" s="28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</row>
    <row r="654">
      <c r="A654" s="27"/>
      <c r="B654" s="28"/>
      <c r="C654" s="28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</row>
    <row r="655">
      <c r="A655" s="27"/>
      <c r="B655" s="28"/>
      <c r="C655" s="28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</row>
    <row r="656">
      <c r="A656" s="27"/>
      <c r="B656" s="28"/>
      <c r="C656" s="28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</row>
    <row r="657">
      <c r="A657" s="27"/>
      <c r="B657" s="28"/>
      <c r="C657" s="28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</row>
    <row r="658">
      <c r="A658" s="27"/>
      <c r="B658" s="28"/>
      <c r="C658" s="28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</row>
    <row r="659">
      <c r="A659" s="27"/>
      <c r="B659" s="28"/>
      <c r="C659" s="28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</row>
    <row r="660">
      <c r="A660" s="27"/>
      <c r="B660" s="28"/>
      <c r="C660" s="28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</row>
    <row r="661">
      <c r="A661" s="27"/>
      <c r="B661" s="28"/>
      <c r="C661" s="28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</row>
    <row r="662">
      <c r="A662" s="27"/>
      <c r="B662" s="28"/>
      <c r="C662" s="28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</row>
    <row r="663">
      <c r="A663" s="27"/>
      <c r="B663" s="28"/>
      <c r="C663" s="28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</row>
    <row r="664">
      <c r="A664" s="27"/>
      <c r="B664" s="28"/>
      <c r="C664" s="28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</row>
    <row r="665">
      <c r="A665" s="27"/>
      <c r="B665" s="28"/>
      <c r="C665" s="28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</row>
    <row r="666">
      <c r="A666" s="27"/>
      <c r="B666" s="28"/>
      <c r="C666" s="28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</row>
    <row r="667">
      <c r="A667" s="27"/>
      <c r="B667" s="28"/>
      <c r="C667" s="28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</row>
    <row r="668">
      <c r="A668" s="27"/>
      <c r="B668" s="28"/>
      <c r="C668" s="28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</row>
    <row r="669">
      <c r="A669" s="27"/>
      <c r="B669" s="28"/>
      <c r="C669" s="28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</row>
    <row r="670">
      <c r="A670" s="27"/>
      <c r="B670" s="28"/>
      <c r="C670" s="28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</row>
    <row r="671">
      <c r="A671" s="27"/>
      <c r="B671" s="28"/>
      <c r="C671" s="28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</row>
    <row r="672">
      <c r="A672" s="27"/>
      <c r="B672" s="28"/>
      <c r="C672" s="28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</row>
    <row r="673">
      <c r="A673" s="27"/>
      <c r="B673" s="28"/>
      <c r="C673" s="28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</row>
    <row r="674">
      <c r="A674" s="27"/>
      <c r="B674" s="28"/>
      <c r="C674" s="28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</row>
    <row r="675">
      <c r="A675" s="27"/>
      <c r="B675" s="28"/>
      <c r="C675" s="28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</row>
    <row r="676">
      <c r="A676" s="27"/>
      <c r="B676" s="28"/>
      <c r="C676" s="28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</row>
    <row r="677">
      <c r="A677" s="27"/>
      <c r="B677" s="28"/>
      <c r="C677" s="28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</row>
    <row r="678">
      <c r="A678" s="27"/>
      <c r="B678" s="28"/>
      <c r="C678" s="28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</row>
    <row r="679">
      <c r="A679" s="27"/>
      <c r="B679" s="28"/>
      <c r="C679" s="28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</row>
    <row r="680">
      <c r="A680" s="27"/>
      <c r="B680" s="28"/>
      <c r="C680" s="28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</row>
    <row r="681">
      <c r="A681" s="27"/>
      <c r="B681" s="28"/>
      <c r="C681" s="28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</row>
    <row r="682">
      <c r="A682" s="27"/>
      <c r="B682" s="28"/>
      <c r="C682" s="28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</row>
    <row r="683">
      <c r="A683" s="27"/>
      <c r="B683" s="28"/>
      <c r="C683" s="28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</row>
    <row r="684">
      <c r="A684" s="27"/>
      <c r="B684" s="28"/>
      <c r="C684" s="28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</row>
    <row r="685">
      <c r="A685" s="27"/>
      <c r="B685" s="28"/>
      <c r="C685" s="28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</row>
    <row r="686">
      <c r="A686" s="27"/>
      <c r="B686" s="28"/>
      <c r="C686" s="28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</row>
    <row r="687">
      <c r="A687" s="27"/>
      <c r="B687" s="28"/>
      <c r="C687" s="28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</row>
    <row r="688">
      <c r="A688" s="27"/>
      <c r="B688" s="28"/>
      <c r="C688" s="28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</row>
    <row r="689">
      <c r="A689" s="27"/>
      <c r="B689" s="28"/>
      <c r="C689" s="28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</row>
    <row r="690">
      <c r="A690" s="27"/>
      <c r="B690" s="28"/>
      <c r="C690" s="28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</row>
    <row r="691">
      <c r="A691" s="27"/>
      <c r="B691" s="28"/>
      <c r="C691" s="28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</row>
    <row r="692">
      <c r="A692" s="27"/>
      <c r="B692" s="28"/>
      <c r="C692" s="28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</row>
    <row r="693">
      <c r="A693" s="27"/>
      <c r="B693" s="28"/>
      <c r="C693" s="28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</row>
    <row r="694">
      <c r="A694" s="27"/>
      <c r="B694" s="28"/>
      <c r="C694" s="28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</row>
    <row r="695">
      <c r="A695" s="27"/>
      <c r="B695" s="28"/>
      <c r="C695" s="28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</row>
    <row r="696">
      <c r="A696" s="27"/>
      <c r="B696" s="28"/>
      <c r="C696" s="28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</row>
    <row r="697">
      <c r="A697" s="27"/>
      <c r="B697" s="28"/>
      <c r="C697" s="28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</row>
    <row r="698">
      <c r="A698" s="27"/>
      <c r="B698" s="28"/>
      <c r="C698" s="28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</row>
    <row r="699">
      <c r="A699" s="27"/>
      <c r="B699" s="28"/>
      <c r="C699" s="28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</row>
    <row r="700">
      <c r="A700" s="27"/>
      <c r="B700" s="28"/>
      <c r="C700" s="28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</row>
    <row r="701">
      <c r="A701" s="27"/>
      <c r="B701" s="28"/>
      <c r="C701" s="28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</row>
    <row r="702">
      <c r="A702" s="27"/>
      <c r="B702" s="28"/>
      <c r="C702" s="28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</row>
    <row r="703">
      <c r="A703" s="27"/>
      <c r="B703" s="28"/>
      <c r="C703" s="28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</row>
    <row r="704">
      <c r="A704" s="27"/>
      <c r="B704" s="28"/>
      <c r="C704" s="28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</row>
    <row r="705">
      <c r="A705" s="27"/>
      <c r="B705" s="28"/>
      <c r="C705" s="28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</row>
    <row r="706">
      <c r="A706" s="27"/>
      <c r="B706" s="28"/>
      <c r="C706" s="28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</row>
    <row r="707">
      <c r="A707" s="27"/>
      <c r="B707" s="28"/>
      <c r="C707" s="28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</row>
    <row r="708">
      <c r="A708" s="27"/>
      <c r="B708" s="28"/>
      <c r="C708" s="28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</row>
    <row r="709">
      <c r="A709" s="27"/>
      <c r="B709" s="28"/>
      <c r="C709" s="28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</row>
    <row r="710">
      <c r="A710" s="27"/>
      <c r="B710" s="28"/>
      <c r="C710" s="28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</row>
    <row r="711">
      <c r="A711" s="27"/>
      <c r="B711" s="28"/>
      <c r="C711" s="28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</row>
    <row r="712">
      <c r="A712" s="27"/>
      <c r="B712" s="28"/>
      <c r="C712" s="28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</row>
    <row r="713">
      <c r="A713" s="27"/>
      <c r="B713" s="28"/>
      <c r="C713" s="28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</row>
    <row r="714">
      <c r="A714" s="27"/>
      <c r="B714" s="28"/>
      <c r="C714" s="28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</row>
    <row r="715">
      <c r="A715" s="27"/>
      <c r="B715" s="28"/>
      <c r="C715" s="28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</row>
    <row r="716">
      <c r="A716" s="27"/>
      <c r="B716" s="28"/>
      <c r="C716" s="28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</row>
    <row r="717">
      <c r="A717" s="27"/>
      <c r="B717" s="28"/>
      <c r="C717" s="28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</row>
    <row r="718">
      <c r="A718" s="27"/>
      <c r="B718" s="28"/>
      <c r="C718" s="28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</row>
    <row r="719">
      <c r="A719" s="27"/>
      <c r="B719" s="28"/>
      <c r="C719" s="28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</row>
    <row r="720">
      <c r="A720" s="27"/>
      <c r="B720" s="28"/>
      <c r="C720" s="28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</row>
    <row r="721">
      <c r="A721" s="27"/>
      <c r="B721" s="28"/>
      <c r="C721" s="28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</row>
    <row r="722">
      <c r="A722" s="27"/>
      <c r="B722" s="28"/>
      <c r="C722" s="28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</row>
    <row r="723">
      <c r="A723" s="27"/>
      <c r="B723" s="28"/>
      <c r="C723" s="28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</row>
    <row r="724">
      <c r="A724" s="27"/>
      <c r="B724" s="28"/>
      <c r="C724" s="28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</row>
    <row r="725">
      <c r="A725" s="27"/>
      <c r="B725" s="28"/>
      <c r="C725" s="28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</row>
    <row r="726">
      <c r="A726" s="27"/>
      <c r="B726" s="28"/>
      <c r="C726" s="28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</row>
    <row r="727">
      <c r="A727" s="27"/>
      <c r="B727" s="28"/>
      <c r="C727" s="28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</row>
    <row r="728">
      <c r="A728" s="27"/>
      <c r="B728" s="28"/>
      <c r="C728" s="28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</row>
    <row r="729">
      <c r="A729" s="27"/>
      <c r="B729" s="28"/>
      <c r="C729" s="28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</row>
    <row r="730">
      <c r="A730" s="27"/>
      <c r="B730" s="28"/>
      <c r="C730" s="28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</row>
    <row r="731">
      <c r="A731" s="27"/>
      <c r="B731" s="28"/>
      <c r="C731" s="28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</row>
    <row r="732">
      <c r="A732" s="27"/>
      <c r="B732" s="28"/>
      <c r="C732" s="28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</row>
    <row r="733">
      <c r="A733" s="27"/>
      <c r="B733" s="28"/>
      <c r="C733" s="28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</row>
    <row r="734">
      <c r="A734" s="27"/>
      <c r="B734" s="28"/>
      <c r="C734" s="28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</row>
    <row r="735">
      <c r="A735" s="27"/>
      <c r="B735" s="28"/>
      <c r="C735" s="28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</row>
    <row r="736">
      <c r="A736" s="27"/>
      <c r="B736" s="28"/>
      <c r="C736" s="28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</row>
    <row r="737">
      <c r="A737" s="27"/>
      <c r="B737" s="28"/>
      <c r="C737" s="28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</row>
    <row r="738">
      <c r="A738" s="27"/>
      <c r="B738" s="28"/>
      <c r="C738" s="28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</row>
    <row r="739">
      <c r="A739" s="27"/>
      <c r="B739" s="28"/>
      <c r="C739" s="28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</row>
    <row r="740">
      <c r="A740" s="27"/>
      <c r="B740" s="28"/>
      <c r="C740" s="28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</row>
    <row r="741">
      <c r="A741" s="27"/>
      <c r="B741" s="28"/>
      <c r="C741" s="28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</row>
    <row r="742">
      <c r="A742" s="27"/>
      <c r="B742" s="28"/>
      <c r="C742" s="28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</row>
    <row r="743">
      <c r="A743" s="27"/>
      <c r="B743" s="28"/>
      <c r="C743" s="28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</row>
    <row r="744">
      <c r="A744" s="27"/>
      <c r="B744" s="28"/>
      <c r="C744" s="28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</row>
    <row r="745">
      <c r="A745" s="27"/>
      <c r="B745" s="28"/>
      <c r="C745" s="28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</row>
    <row r="746">
      <c r="A746" s="27"/>
      <c r="B746" s="28"/>
      <c r="C746" s="28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</row>
    <row r="747">
      <c r="A747" s="27"/>
      <c r="B747" s="28"/>
      <c r="C747" s="28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</row>
    <row r="748">
      <c r="A748" s="27"/>
      <c r="B748" s="28"/>
      <c r="C748" s="28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</row>
    <row r="749">
      <c r="A749" s="27"/>
      <c r="B749" s="28"/>
      <c r="C749" s="28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</row>
    <row r="750">
      <c r="A750" s="27"/>
      <c r="B750" s="28"/>
      <c r="C750" s="28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</row>
    <row r="751">
      <c r="A751" s="27"/>
      <c r="B751" s="28"/>
      <c r="C751" s="28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</row>
    <row r="752">
      <c r="A752" s="27"/>
      <c r="B752" s="28"/>
      <c r="C752" s="28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</row>
    <row r="753">
      <c r="A753" s="27"/>
      <c r="B753" s="28"/>
      <c r="C753" s="28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</row>
    <row r="754">
      <c r="A754" s="27"/>
      <c r="B754" s="28"/>
      <c r="C754" s="28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</row>
    <row r="755">
      <c r="A755" s="27"/>
      <c r="B755" s="28"/>
      <c r="C755" s="28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</row>
    <row r="756">
      <c r="A756" s="27"/>
      <c r="B756" s="28"/>
      <c r="C756" s="28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</row>
    <row r="757">
      <c r="A757" s="27"/>
      <c r="B757" s="28"/>
      <c r="C757" s="28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</row>
    <row r="758">
      <c r="A758" s="27"/>
      <c r="B758" s="28"/>
      <c r="C758" s="28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</row>
    <row r="759">
      <c r="A759" s="27"/>
      <c r="B759" s="28"/>
      <c r="C759" s="28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</row>
    <row r="760">
      <c r="A760" s="27"/>
      <c r="B760" s="28"/>
      <c r="C760" s="28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</row>
    <row r="761">
      <c r="A761" s="27"/>
      <c r="B761" s="28"/>
      <c r="C761" s="28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</row>
    <row r="762">
      <c r="A762" s="27"/>
      <c r="B762" s="28"/>
      <c r="C762" s="28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</row>
    <row r="763">
      <c r="A763" s="27"/>
      <c r="B763" s="28"/>
      <c r="C763" s="28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</row>
    <row r="764">
      <c r="A764" s="27"/>
      <c r="B764" s="28"/>
      <c r="C764" s="28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</row>
    <row r="765">
      <c r="A765" s="27"/>
      <c r="B765" s="28"/>
      <c r="C765" s="28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</row>
    <row r="766">
      <c r="A766" s="27"/>
      <c r="B766" s="28"/>
      <c r="C766" s="28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</row>
    <row r="767">
      <c r="A767" s="27"/>
      <c r="B767" s="28"/>
      <c r="C767" s="28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</row>
    <row r="768">
      <c r="A768" s="27"/>
      <c r="B768" s="28"/>
      <c r="C768" s="28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</row>
    <row r="769">
      <c r="A769" s="27"/>
      <c r="B769" s="28"/>
      <c r="C769" s="28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</row>
    <row r="770">
      <c r="A770" s="27"/>
      <c r="B770" s="28"/>
      <c r="C770" s="28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</row>
    <row r="771">
      <c r="A771" s="27"/>
      <c r="B771" s="28"/>
      <c r="C771" s="28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</row>
    <row r="772">
      <c r="A772" s="27"/>
      <c r="B772" s="28"/>
      <c r="C772" s="28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</row>
    <row r="773">
      <c r="A773" s="27"/>
      <c r="B773" s="28"/>
      <c r="C773" s="28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</row>
    <row r="774">
      <c r="A774" s="27"/>
      <c r="B774" s="28"/>
      <c r="C774" s="28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</row>
    <row r="775">
      <c r="A775" s="27"/>
      <c r="B775" s="28"/>
      <c r="C775" s="28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</row>
    <row r="776">
      <c r="A776" s="27"/>
      <c r="B776" s="28"/>
      <c r="C776" s="28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</row>
    <row r="777">
      <c r="A777" s="27"/>
      <c r="B777" s="28"/>
      <c r="C777" s="28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</row>
    <row r="778">
      <c r="A778" s="27"/>
      <c r="B778" s="28"/>
      <c r="C778" s="28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</row>
    <row r="779">
      <c r="A779" s="27"/>
      <c r="B779" s="28"/>
      <c r="C779" s="28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</row>
    <row r="780">
      <c r="A780" s="27"/>
      <c r="B780" s="28"/>
      <c r="C780" s="28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</row>
    <row r="781">
      <c r="A781" s="27"/>
      <c r="B781" s="28"/>
      <c r="C781" s="28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</row>
    <row r="782">
      <c r="A782" s="27"/>
      <c r="B782" s="28"/>
      <c r="C782" s="28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</row>
    <row r="783">
      <c r="A783" s="27"/>
      <c r="B783" s="28"/>
      <c r="C783" s="28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</row>
    <row r="784">
      <c r="A784" s="27"/>
      <c r="B784" s="28"/>
      <c r="C784" s="28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</row>
    <row r="785">
      <c r="A785" s="27"/>
      <c r="B785" s="28"/>
      <c r="C785" s="28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</row>
    <row r="786">
      <c r="A786" s="27"/>
      <c r="B786" s="28"/>
      <c r="C786" s="28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</row>
    <row r="787">
      <c r="A787" s="27"/>
      <c r="B787" s="28"/>
      <c r="C787" s="28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</row>
    <row r="788">
      <c r="A788" s="27"/>
      <c r="B788" s="28"/>
      <c r="C788" s="28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</row>
    <row r="789">
      <c r="A789" s="27"/>
      <c r="B789" s="28"/>
      <c r="C789" s="28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</row>
    <row r="790">
      <c r="A790" s="27"/>
      <c r="B790" s="28"/>
      <c r="C790" s="28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</row>
    <row r="791">
      <c r="A791" s="27"/>
      <c r="B791" s="28"/>
      <c r="C791" s="28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</row>
    <row r="792">
      <c r="A792" s="27"/>
      <c r="B792" s="28"/>
      <c r="C792" s="28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</row>
    <row r="793">
      <c r="A793" s="27"/>
      <c r="B793" s="28"/>
      <c r="C793" s="28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</row>
    <row r="794">
      <c r="A794" s="27"/>
      <c r="B794" s="28"/>
      <c r="C794" s="28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</row>
    <row r="795">
      <c r="A795" s="27"/>
      <c r="B795" s="28"/>
      <c r="C795" s="28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</row>
    <row r="796">
      <c r="A796" s="27"/>
      <c r="B796" s="28"/>
      <c r="C796" s="28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</row>
    <row r="797">
      <c r="A797" s="27"/>
      <c r="B797" s="28"/>
      <c r="C797" s="28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</row>
    <row r="798">
      <c r="A798" s="27"/>
      <c r="B798" s="28"/>
      <c r="C798" s="28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</row>
    <row r="799">
      <c r="A799" s="27"/>
      <c r="B799" s="28"/>
      <c r="C799" s="28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</row>
    <row r="800">
      <c r="A800" s="27"/>
      <c r="B800" s="28"/>
      <c r="C800" s="28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</row>
    <row r="801">
      <c r="A801" s="27"/>
      <c r="B801" s="28"/>
      <c r="C801" s="28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</row>
    <row r="802">
      <c r="A802" s="27"/>
      <c r="B802" s="28"/>
      <c r="C802" s="28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</row>
    <row r="803">
      <c r="A803" s="27"/>
      <c r="B803" s="28"/>
      <c r="C803" s="28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</row>
    <row r="804">
      <c r="A804" s="27"/>
      <c r="B804" s="28"/>
      <c r="C804" s="28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</row>
    <row r="805">
      <c r="A805" s="27"/>
      <c r="B805" s="28"/>
      <c r="C805" s="28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</row>
    <row r="806">
      <c r="A806" s="27"/>
      <c r="B806" s="28"/>
      <c r="C806" s="28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</row>
    <row r="807">
      <c r="A807" s="27"/>
      <c r="B807" s="28"/>
      <c r="C807" s="28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</row>
    <row r="808">
      <c r="A808" s="27"/>
      <c r="B808" s="28"/>
      <c r="C808" s="28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</row>
    <row r="809">
      <c r="A809" s="27"/>
      <c r="B809" s="28"/>
      <c r="C809" s="28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</row>
    <row r="810">
      <c r="A810" s="27"/>
      <c r="B810" s="28"/>
      <c r="C810" s="28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</row>
    <row r="811">
      <c r="A811" s="27"/>
      <c r="B811" s="28"/>
      <c r="C811" s="28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</row>
    <row r="812">
      <c r="A812" s="27"/>
      <c r="B812" s="28"/>
      <c r="C812" s="28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</row>
    <row r="813">
      <c r="A813" s="27"/>
      <c r="B813" s="28"/>
      <c r="C813" s="28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</row>
    <row r="814">
      <c r="A814" s="27"/>
      <c r="B814" s="28"/>
      <c r="C814" s="28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</row>
    <row r="815">
      <c r="A815" s="27"/>
      <c r="B815" s="28"/>
      <c r="C815" s="28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</row>
    <row r="816">
      <c r="A816" s="27"/>
      <c r="B816" s="28"/>
      <c r="C816" s="28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</row>
    <row r="817">
      <c r="A817" s="27"/>
      <c r="B817" s="28"/>
      <c r="C817" s="28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</row>
    <row r="818">
      <c r="A818" s="27"/>
      <c r="B818" s="28"/>
      <c r="C818" s="28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</row>
    <row r="819">
      <c r="A819" s="27"/>
      <c r="B819" s="28"/>
      <c r="C819" s="28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</row>
    <row r="820">
      <c r="A820" s="27"/>
      <c r="B820" s="28"/>
      <c r="C820" s="28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</row>
    <row r="821">
      <c r="A821" s="27"/>
      <c r="B821" s="28"/>
      <c r="C821" s="28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</row>
    <row r="822">
      <c r="A822" s="27"/>
      <c r="B822" s="28"/>
      <c r="C822" s="28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</row>
    <row r="823">
      <c r="A823" s="27"/>
      <c r="B823" s="28"/>
      <c r="C823" s="28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</row>
    <row r="824">
      <c r="A824" s="27"/>
      <c r="B824" s="28"/>
      <c r="C824" s="28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</row>
    <row r="825">
      <c r="A825" s="27"/>
      <c r="B825" s="28"/>
      <c r="C825" s="28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</row>
    <row r="826">
      <c r="A826" s="27"/>
      <c r="B826" s="28"/>
      <c r="C826" s="28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</row>
    <row r="827">
      <c r="A827" s="27"/>
      <c r="B827" s="28"/>
      <c r="C827" s="28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</row>
    <row r="828">
      <c r="A828" s="27"/>
      <c r="B828" s="28"/>
      <c r="C828" s="28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</row>
    <row r="829">
      <c r="A829" s="27"/>
      <c r="B829" s="28"/>
      <c r="C829" s="28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</row>
    <row r="830">
      <c r="A830" s="27"/>
      <c r="B830" s="28"/>
      <c r="C830" s="28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</row>
    <row r="831">
      <c r="A831" s="27"/>
      <c r="B831" s="28"/>
      <c r="C831" s="28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</row>
    <row r="832">
      <c r="A832" s="27"/>
      <c r="B832" s="28"/>
      <c r="C832" s="28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</row>
    <row r="833">
      <c r="A833" s="27"/>
      <c r="B833" s="28"/>
      <c r="C833" s="28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</row>
    <row r="834">
      <c r="A834" s="27"/>
      <c r="B834" s="28"/>
      <c r="C834" s="28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</row>
    <row r="835">
      <c r="A835" s="27"/>
      <c r="B835" s="28"/>
      <c r="C835" s="28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</row>
    <row r="836">
      <c r="A836" s="27"/>
      <c r="B836" s="28"/>
      <c r="C836" s="28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</row>
    <row r="837">
      <c r="A837" s="27"/>
      <c r="B837" s="28"/>
      <c r="C837" s="28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</row>
    <row r="838">
      <c r="A838" s="27"/>
      <c r="B838" s="28"/>
      <c r="C838" s="28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</row>
    <row r="839">
      <c r="A839" s="27"/>
      <c r="B839" s="28"/>
      <c r="C839" s="28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</row>
    <row r="840">
      <c r="A840" s="27"/>
      <c r="B840" s="28"/>
      <c r="C840" s="28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</row>
    <row r="841">
      <c r="A841" s="27"/>
      <c r="B841" s="28"/>
      <c r="C841" s="28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</row>
    <row r="842">
      <c r="A842" s="27"/>
      <c r="B842" s="28"/>
      <c r="C842" s="28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</row>
    <row r="843">
      <c r="A843" s="27"/>
      <c r="B843" s="28"/>
      <c r="C843" s="28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</row>
    <row r="844">
      <c r="A844" s="27"/>
      <c r="B844" s="28"/>
      <c r="C844" s="28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</row>
    <row r="845">
      <c r="A845" s="27"/>
      <c r="B845" s="28"/>
      <c r="C845" s="28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</row>
    <row r="846">
      <c r="A846" s="27"/>
      <c r="B846" s="28"/>
      <c r="C846" s="28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</row>
    <row r="847">
      <c r="A847" s="27"/>
      <c r="B847" s="28"/>
      <c r="C847" s="28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</row>
    <row r="848">
      <c r="A848" s="27"/>
      <c r="B848" s="28"/>
      <c r="C848" s="28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</row>
    <row r="849">
      <c r="A849" s="27"/>
      <c r="B849" s="28"/>
      <c r="C849" s="28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</row>
    <row r="850">
      <c r="A850" s="27"/>
      <c r="B850" s="28"/>
      <c r="C850" s="28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</row>
    <row r="851">
      <c r="A851" s="27"/>
      <c r="B851" s="28"/>
      <c r="C851" s="28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</row>
    <row r="852">
      <c r="A852" s="27"/>
      <c r="B852" s="28"/>
      <c r="C852" s="28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</row>
    <row r="853">
      <c r="A853" s="27"/>
      <c r="B853" s="28"/>
      <c r="C853" s="28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</row>
    <row r="854">
      <c r="A854" s="27"/>
      <c r="B854" s="28"/>
      <c r="C854" s="28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</row>
    <row r="855">
      <c r="A855" s="27"/>
      <c r="B855" s="28"/>
      <c r="C855" s="28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</row>
    <row r="856">
      <c r="A856" s="27"/>
      <c r="B856" s="28"/>
      <c r="C856" s="28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</row>
    <row r="857">
      <c r="A857" s="27"/>
      <c r="B857" s="28"/>
      <c r="C857" s="28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</row>
    <row r="858">
      <c r="A858" s="27"/>
      <c r="B858" s="28"/>
      <c r="C858" s="28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</row>
    <row r="859">
      <c r="A859" s="27"/>
      <c r="B859" s="28"/>
      <c r="C859" s="28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</row>
    <row r="860">
      <c r="A860" s="27"/>
      <c r="B860" s="28"/>
      <c r="C860" s="28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</row>
    <row r="861">
      <c r="A861" s="27"/>
      <c r="B861" s="28"/>
      <c r="C861" s="28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</row>
    <row r="862">
      <c r="A862" s="27"/>
      <c r="B862" s="28"/>
      <c r="C862" s="28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</row>
    <row r="863">
      <c r="A863" s="27"/>
      <c r="B863" s="28"/>
      <c r="C863" s="28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</row>
    <row r="864">
      <c r="A864" s="27"/>
      <c r="B864" s="28"/>
      <c r="C864" s="28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</row>
    <row r="865">
      <c r="A865" s="27"/>
      <c r="B865" s="28"/>
      <c r="C865" s="28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</row>
    <row r="866">
      <c r="A866" s="27"/>
      <c r="B866" s="28"/>
      <c r="C866" s="28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</row>
    <row r="867">
      <c r="A867" s="27"/>
      <c r="B867" s="28"/>
      <c r="C867" s="28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</row>
    <row r="868">
      <c r="A868" s="27"/>
      <c r="B868" s="28"/>
      <c r="C868" s="28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</row>
    <row r="869">
      <c r="A869" s="27"/>
      <c r="B869" s="28"/>
      <c r="C869" s="28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</row>
    <row r="870">
      <c r="A870" s="27"/>
      <c r="B870" s="28"/>
      <c r="C870" s="28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</row>
    <row r="871">
      <c r="A871" s="27"/>
      <c r="B871" s="28"/>
      <c r="C871" s="28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</row>
    <row r="872">
      <c r="A872" s="27"/>
      <c r="B872" s="28"/>
      <c r="C872" s="28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</row>
    <row r="873">
      <c r="A873" s="27"/>
      <c r="B873" s="28"/>
      <c r="C873" s="28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</row>
    <row r="874">
      <c r="A874" s="27"/>
      <c r="B874" s="28"/>
      <c r="C874" s="28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</row>
    <row r="875">
      <c r="A875" s="27"/>
      <c r="B875" s="28"/>
      <c r="C875" s="28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</row>
    <row r="876">
      <c r="A876" s="27"/>
      <c r="B876" s="28"/>
      <c r="C876" s="28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</row>
    <row r="877">
      <c r="A877" s="27"/>
      <c r="B877" s="28"/>
      <c r="C877" s="28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</row>
    <row r="878">
      <c r="A878" s="27"/>
      <c r="B878" s="28"/>
      <c r="C878" s="28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</row>
    <row r="879">
      <c r="A879" s="27"/>
      <c r="B879" s="28"/>
      <c r="C879" s="28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</row>
    <row r="880">
      <c r="A880" s="27"/>
      <c r="B880" s="28"/>
      <c r="C880" s="28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</row>
    <row r="881">
      <c r="A881" s="27"/>
      <c r="B881" s="28"/>
      <c r="C881" s="28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</row>
    <row r="882">
      <c r="A882" s="27"/>
      <c r="B882" s="28"/>
      <c r="C882" s="28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</row>
    <row r="883">
      <c r="A883" s="27"/>
      <c r="B883" s="28"/>
      <c r="C883" s="28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</row>
    <row r="884">
      <c r="A884" s="27"/>
      <c r="B884" s="28"/>
      <c r="C884" s="28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</row>
    <row r="885">
      <c r="A885" s="27"/>
      <c r="B885" s="28"/>
      <c r="C885" s="28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</row>
    <row r="886">
      <c r="A886" s="27"/>
      <c r="B886" s="28"/>
      <c r="C886" s="28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</row>
    <row r="887">
      <c r="A887" s="27"/>
      <c r="B887" s="28"/>
      <c r="C887" s="28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</row>
    <row r="888">
      <c r="A888" s="27"/>
      <c r="B888" s="28"/>
      <c r="C888" s="28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</row>
    <row r="889">
      <c r="A889" s="27"/>
      <c r="B889" s="28"/>
      <c r="C889" s="28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</row>
    <row r="890">
      <c r="A890" s="27"/>
      <c r="B890" s="28"/>
      <c r="C890" s="28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</row>
    <row r="891">
      <c r="A891" s="27"/>
      <c r="B891" s="28"/>
      <c r="C891" s="28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</row>
    <row r="892">
      <c r="A892" s="27"/>
      <c r="B892" s="28"/>
      <c r="C892" s="28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</row>
    <row r="893">
      <c r="A893" s="27"/>
      <c r="B893" s="28"/>
      <c r="C893" s="28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</row>
    <row r="894">
      <c r="A894" s="27"/>
      <c r="B894" s="28"/>
      <c r="C894" s="28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</row>
    <row r="895">
      <c r="A895" s="27"/>
      <c r="B895" s="28"/>
      <c r="C895" s="28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</row>
    <row r="896">
      <c r="A896" s="27"/>
      <c r="B896" s="28"/>
      <c r="C896" s="28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</row>
    <row r="897">
      <c r="A897" s="27"/>
      <c r="B897" s="28"/>
      <c r="C897" s="28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</row>
    <row r="898">
      <c r="A898" s="27"/>
      <c r="B898" s="28"/>
      <c r="C898" s="28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</row>
    <row r="899">
      <c r="A899" s="27"/>
      <c r="B899" s="28"/>
      <c r="C899" s="28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</row>
    <row r="900">
      <c r="A900" s="27"/>
      <c r="B900" s="28"/>
      <c r="C900" s="28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</row>
    <row r="901">
      <c r="A901" s="27"/>
      <c r="B901" s="28"/>
      <c r="C901" s="28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</row>
    <row r="902">
      <c r="A902" s="27"/>
      <c r="B902" s="28"/>
      <c r="C902" s="28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</row>
    <row r="903">
      <c r="A903" s="27"/>
      <c r="B903" s="28"/>
      <c r="C903" s="28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</row>
    <row r="904">
      <c r="A904" s="27"/>
      <c r="B904" s="28"/>
      <c r="C904" s="28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</row>
    <row r="905">
      <c r="A905" s="27"/>
      <c r="B905" s="28"/>
      <c r="C905" s="28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</row>
    <row r="906">
      <c r="A906" s="27"/>
      <c r="B906" s="28"/>
      <c r="C906" s="28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</row>
    <row r="907">
      <c r="A907" s="27"/>
      <c r="B907" s="28"/>
      <c r="C907" s="28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</row>
    <row r="908">
      <c r="A908" s="27"/>
      <c r="B908" s="28"/>
      <c r="C908" s="28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</row>
    <row r="909">
      <c r="A909" s="27"/>
      <c r="B909" s="28"/>
      <c r="C909" s="28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</row>
    <row r="910">
      <c r="A910" s="27"/>
      <c r="B910" s="28"/>
      <c r="C910" s="28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</row>
    <row r="911">
      <c r="A911" s="27"/>
      <c r="B911" s="28"/>
      <c r="C911" s="28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</row>
    <row r="912">
      <c r="A912" s="27"/>
      <c r="B912" s="28"/>
      <c r="C912" s="28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</row>
    <row r="913">
      <c r="A913" s="27"/>
      <c r="B913" s="28"/>
      <c r="C913" s="28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</row>
    <row r="914">
      <c r="A914" s="27"/>
      <c r="B914" s="28"/>
      <c r="C914" s="28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</row>
    <row r="915">
      <c r="A915" s="27"/>
      <c r="B915" s="28"/>
      <c r="C915" s="28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</row>
    <row r="916">
      <c r="A916" s="27"/>
      <c r="B916" s="28"/>
      <c r="C916" s="28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</row>
    <row r="917">
      <c r="A917" s="27"/>
      <c r="B917" s="28"/>
      <c r="C917" s="28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</row>
    <row r="918">
      <c r="A918" s="27"/>
      <c r="B918" s="28"/>
      <c r="C918" s="28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</row>
    <row r="919">
      <c r="A919" s="27"/>
      <c r="B919" s="28"/>
      <c r="C919" s="28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</row>
    <row r="920">
      <c r="A920" s="27"/>
      <c r="B920" s="28"/>
      <c r="C920" s="28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</row>
    <row r="921">
      <c r="A921" s="27"/>
      <c r="B921" s="28"/>
      <c r="C921" s="28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</row>
    <row r="922">
      <c r="A922" s="27"/>
      <c r="B922" s="28"/>
      <c r="C922" s="28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</row>
    <row r="923">
      <c r="A923" s="27"/>
      <c r="B923" s="28"/>
      <c r="C923" s="28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</row>
    <row r="924">
      <c r="A924" s="27"/>
      <c r="B924" s="28"/>
      <c r="C924" s="28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</row>
    <row r="925">
      <c r="A925" s="27"/>
      <c r="B925" s="28"/>
      <c r="C925" s="28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</row>
    <row r="926">
      <c r="A926" s="27"/>
      <c r="B926" s="28"/>
      <c r="C926" s="28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</row>
    <row r="927">
      <c r="A927" s="27"/>
      <c r="B927" s="28"/>
      <c r="C927" s="28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</row>
    <row r="928">
      <c r="A928" s="27"/>
      <c r="B928" s="28"/>
      <c r="C928" s="28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</row>
    <row r="929">
      <c r="A929" s="27"/>
      <c r="B929" s="28"/>
      <c r="C929" s="28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</row>
    <row r="930">
      <c r="A930" s="27"/>
      <c r="B930" s="28"/>
      <c r="C930" s="28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</row>
    <row r="931">
      <c r="A931" s="27"/>
      <c r="B931" s="28"/>
      <c r="C931" s="28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</row>
    <row r="932">
      <c r="A932" s="27"/>
      <c r="B932" s="28"/>
      <c r="C932" s="28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</row>
    <row r="933">
      <c r="A933" s="27"/>
      <c r="B933" s="28"/>
      <c r="C933" s="28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</row>
    <row r="934">
      <c r="A934" s="27"/>
      <c r="B934" s="28"/>
      <c r="C934" s="28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</row>
    <row r="935">
      <c r="A935" s="27"/>
      <c r="B935" s="28"/>
      <c r="C935" s="28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</row>
    <row r="936">
      <c r="A936" s="27"/>
      <c r="B936" s="28"/>
      <c r="C936" s="28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</row>
    <row r="937">
      <c r="A937" s="27"/>
      <c r="B937" s="28"/>
      <c r="C937" s="28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</row>
    <row r="938">
      <c r="A938" s="27"/>
      <c r="B938" s="28"/>
      <c r="C938" s="28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</row>
    <row r="939">
      <c r="A939" s="27"/>
      <c r="B939" s="28"/>
      <c r="C939" s="28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</row>
    <row r="940">
      <c r="A940" s="27"/>
      <c r="B940" s="28"/>
      <c r="C940" s="28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</row>
    <row r="941">
      <c r="A941" s="27"/>
      <c r="B941" s="28"/>
      <c r="C941" s="28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</row>
    <row r="942">
      <c r="A942" s="27"/>
      <c r="B942" s="28"/>
      <c r="C942" s="28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</row>
    <row r="943">
      <c r="A943" s="27"/>
      <c r="B943" s="28"/>
      <c r="C943" s="28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</row>
    <row r="944">
      <c r="A944" s="27"/>
      <c r="B944" s="28"/>
      <c r="C944" s="28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</row>
    <row r="945">
      <c r="A945" s="27"/>
      <c r="B945" s="28"/>
      <c r="C945" s="28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</row>
    <row r="946">
      <c r="A946" s="27"/>
      <c r="B946" s="28"/>
      <c r="C946" s="28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</row>
    <row r="947">
      <c r="A947" s="27"/>
      <c r="B947" s="28"/>
      <c r="C947" s="28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</row>
    <row r="948">
      <c r="A948" s="27"/>
      <c r="B948" s="28"/>
      <c r="C948" s="28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</row>
    <row r="949">
      <c r="A949" s="27"/>
      <c r="B949" s="28"/>
      <c r="C949" s="28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</row>
    <row r="950">
      <c r="A950" s="27"/>
      <c r="B950" s="28"/>
      <c r="C950" s="28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</row>
    <row r="951">
      <c r="A951" s="27"/>
      <c r="B951" s="28"/>
      <c r="C951" s="28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</row>
    <row r="952">
      <c r="A952" s="27"/>
      <c r="B952" s="28"/>
      <c r="C952" s="28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</row>
    <row r="953">
      <c r="A953" s="27"/>
      <c r="B953" s="28"/>
      <c r="C953" s="28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</row>
    <row r="954">
      <c r="A954" s="27"/>
      <c r="B954" s="28"/>
      <c r="C954" s="28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</row>
    <row r="955">
      <c r="A955" s="27"/>
      <c r="B955" s="28"/>
      <c r="C955" s="28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</row>
    <row r="956">
      <c r="A956" s="27"/>
      <c r="B956" s="28"/>
      <c r="C956" s="28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</row>
    <row r="957">
      <c r="A957" s="27"/>
      <c r="B957" s="28"/>
      <c r="C957" s="28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</row>
    <row r="958">
      <c r="A958" s="27"/>
      <c r="B958" s="28"/>
      <c r="C958" s="28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</row>
    <row r="959">
      <c r="A959" s="27"/>
      <c r="B959" s="28"/>
      <c r="C959" s="28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</row>
    <row r="960">
      <c r="A960" s="27"/>
      <c r="B960" s="28"/>
      <c r="C960" s="28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</row>
    <row r="961">
      <c r="A961" s="27"/>
      <c r="B961" s="28"/>
      <c r="C961" s="28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</row>
    <row r="962">
      <c r="A962" s="27"/>
      <c r="B962" s="28"/>
      <c r="C962" s="28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</row>
    <row r="963">
      <c r="A963" s="27"/>
      <c r="B963" s="28"/>
      <c r="C963" s="28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</row>
    <row r="964">
      <c r="A964" s="27"/>
      <c r="B964" s="28"/>
      <c r="C964" s="28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</row>
    <row r="965">
      <c r="A965" s="27"/>
      <c r="B965" s="28"/>
      <c r="C965" s="28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</row>
    <row r="966">
      <c r="A966" s="27"/>
      <c r="B966" s="28"/>
      <c r="C966" s="28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</row>
    <row r="967">
      <c r="A967" s="27"/>
      <c r="B967" s="28"/>
      <c r="C967" s="28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</row>
    <row r="968">
      <c r="A968" s="27"/>
      <c r="B968" s="28"/>
      <c r="C968" s="28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</row>
    <row r="969">
      <c r="A969" s="27"/>
      <c r="B969" s="28"/>
      <c r="C969" s="28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</row>
    <row r="970">
      <c r="A970" s="27"/>
      <c r="B970" s="28"/>
      <c r="C970" s="28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</row>
    <row r="971">
      <c r="A971" s="27"/>
      <c r="B971" s="28"/>
      <c r="C971" s="28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</row>
    <row r="972">
      <c r="A972" s="27"/>
      <c r="B972" s="28"/>
      <c r="C972" s="28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</row>
    <row r="973">
      <c r="A973" s="27"/>
      <c r="B973" s="28"/>
      <c r="C973" s="28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</row>
    <row r="974">
      <c r="A974" s="27"/>
      <c r="B974" s="28"/>
      <c r="C974" s="28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</row>
    <row r="975">
      <c r="A975" s="27"/>
      <c r="B975" s="28"/>
      <c r="C975" s="28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</row>
    <row r="976">
      <c r="A976" s="27"/>
      <c r="B976" s="28"/>
      <c r="C976" s="28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</row>
    <row r="977">
      <c r="A977" s="27"/>
      <c r="B977" s="28"/>
      <c r="C977" s="28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</row>
    <row r="978">
      <c r="A978" s="27"/>
      <c r="B978" s="28"/>
      <c r="C978" s="28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</row>
    <row r="979">
      <c r="A979" s="27"/>
      <c r="B979" s="28"/>
      <c r="C979" s="28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</row>
    <row r="980">
      <c r="A980" s="27"/>
      <c r="B980" s="28"/>
      <c r="C980" s="28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</row>
    <row r="981">
      <c r="A981" s="27"/>
      <c r="B981" s="28"/>
      <c r="C981" s="28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</row>
    <row r="982">
      <c r="A982" s="27"/>
      <c r="B982" s="28"/>
      <c r="C982" s="28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</row>
    <row r="983">
      <c r="A983" s="27"/>
      <c r="B983" s="28"/>
      <c r="C983" s="28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</row>
    <row r="984">
      <c r="A984" s="27"/>
      <c r="B984" s="28"/>
      <c r="C984" s="28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</row>
    <row r="985">
      <c r="A985" s="27"/>
      <c r="B985" s="28"/>
      <c r="C985" s="28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</row>
    <row r="986">
      <c r="A986" s="27"/>
      <c r="B986" s="28"/>
      <c r="C986" s="28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</row>
    <row r="987">
      <c r="A987" s="27"/>
      <c r="B987" s="28"/>
      <c r="C987" s="28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</row>
    <row r="988">
      <c r="A988" s="27"/>
      <c r="B988" s="28"/>
      <c r="C988" s="28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</row>
    <row r="989">
      <c r="A989" s="27"/>
      <c r="B989" s="28"/>
      <c r="C989" s="28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</row>
    <row r="990">
      <c r="A990" s="27"/>
      <c r="B990" s="28"/>
      <c r="C990" s="28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</row>
    <row r="991">
      <c r="A991" s="27"/>
      <c r="B991" s="28"/>
      <c r="C991" s="28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</row>
    <row r="992">
      <c r="A992" s="27"/>
      <c r="B992" s="28"/>
      <c r="C992" s="28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</row>
    <row r="993">
      <c r="A993" s="27"/>
      <c r="B993" s="28"/>
      <c r="C993" s="28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</row>
    <row r="994">
      <c r="A994" s="27"/>
      <c r="B994" s="28"/>
      <c r="C994" s="28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</row>
    <row r="995">
      <c r="A995" s="27"/>
      <c r="B995" s="28"/>
      <c r="C995" s="28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</row>
    <row r="996">
      <c r="A996" s="27"/>
      <c r="B996" s="28"/>
      <c r="C996" s="28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</row>
    <row r="997">
      <c r="A997" s="27"/>
      <c r="B997" s="28"/>
      <c r="C997" s="28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</row>
    <row r="998">
      <c r="A998" s="27"/>
      <c r="B998" s="28"/>
      <c r="C998" s="28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</row>
    <row r="999">
      <c r="A999" s="27"/>
      <c r="B999" s="28"/>
      <c r="C999" s="28"/>
      <c r="D999" s="27"/>
      <c r="E999" s="27"/>
      <c r="F999" s="27"/>
      <c r="G999" s="27"/>
      <c r="H999" s="28"/>
      <c r="I999" s="28"/>
      <c r="J999" s="28"/>
      <c r="K999" s="28"/>
      <c r="L999" s="28"/>
      <c r="M999" s="28"/>
      <c r="N999" s="28"/>
      <c r="O999" s="28"/>
    </row>
    <row r="1000">
      <c r="A1000" s="27"/>
      <c r="B1000" s="28"/>
      <c r="C1000" s="28"/>
      <c r="D1000" s="27"/>
      <c r="E1000" s="27"/>
      <c r="F1000" s="27"/>
      <c r="G1000" s="27"/>
      <c r="H1000" s="28"/>
      <c r="I1000" s="28"/>
      <c r="J1000" s="28"/>
      <c r="K1000" s="28"/>
      <c r="L1000" s="28"/>
      <c r="M1000" s="28"/>
      <c r="N1000" s="28"/>
      <c r="O1000" s="28"/>
    </row>
  </sheetData>
  <drawing r:id="rId1"/>
</worksheet>
</file>
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TemplateWABulk" sheetId="2" r:id="rId6"/>
    <sheet state="visible" name="DataExport" sheetId="3" r:id="rId7"/>
    <sheet state="visible" name="Setting" sheetId="4" r:id="rId8"/>
  </sheets>
  <definedNames>
    <definedName hidden="1" localSheetId="0" name="_xlnm._FilterDatabase">Sheet1!$A$1:$CG$528</definedName>
    <definedName hidden="1" localSheetId="1" name="_xlnm._FilterDatabase">TemplateWABulk!$A$1:$G$511</definedName>
  </definedNames>
  <calcPr/>
</workbook>
</file>

<file path=xl/sharedStrings.xml><?xml version="1.0" encoding="utf-8"?>
<sst xmlns="http://schemas.openxmlformats.org/spreadsheetml/2006/main" count="26" uniqueCount="20">
  <si>
    <t>NO</t>
  </si>
  <si>
    <t>TANGGAL</t>
  </si>
  <si>
    <t>Create PDF</t>
  </si>
  <si>
    <t>No</t>
  </si>
  <si>
    <t>ID</t>
  </si>
  <si>
    <t>Link</t>
  </si>
  <si>
    <t>Hiperlink</t>
  </si>
  <si>
    <t>Timestamp</t>
  </si>
  <si>
    <t>Whatsapp</t>
  </si>
  <si>
    <t>Setting</t>
  </si>
  <si>
    <t>Nama</t>
  </si>
  <si>
    <t>Nilai</t>
  </si>
  <si>
    <t>Baris Mulai (Opsional)</t>
  </si>
  <si>
    <t>Baris Finish (Opsional)</t>
  </si>
  <si>
    <t>Nama Sheet Data</t>
  </si>
  <si>
    <t>Sheet1</t>
  </si>
  <si>
    <t>ID Template  Document</t>
  </si>
  <si>
    <t>1VjGeV3Qg2_RQmH8kpfbeuTSoRwN7wr72MFgeT8mnD1E</t>
  </si>
  <si>
    <t>ID Folder Hasil PDF</t>
  </si>
  <si>
    <t>1vV5N1CNnBNLnZx5MmRHLLr-ySHBd_oRu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</si>
</sst>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 &quot;mmmm&quot; &quot;yyyy"/>
    <numFmt numFmtId="165" formatCode="&quot;$&quot;#,##0.00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  <font>
      <b/>
      <sz val="12.0"/>
      <color theme="1"/>
      <name val="Arial"/>
    </font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3" xfId="0" applyFont="1" applyNumberFormat="1"/>
    <xf borderId="0" fillId="0" fontId="2" numFmtId="164" xfId="0" applyFont="1" applyNumberFormat="1"/>
    <xf borderId="0" fillId="0" fontId="2" numFmtId="165" xfId="0" applyAlignment="1" applyFont="1" applyNumberFormat="1">
      <alignment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2" fontId="8" numFmtId="0" xfId="0" applyAlignment="1" applyFill="1" applyFont="1">
      <alignment vertical="bottom"/>
    </xf>
    <xf borderId="0" fillId="0" fontId="8" numFmtId="0" xfId="0" applyAlignment="1" applyFont="1">
      <alignment horizontal="center" readingOrder="0" vertical="bottom"/>
    </xf>
    <xf borderId="0" fillId="3" fontId="9" numFmtId="0" xfId="0" applyAlignment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542925</xdr:colOff>
      <xdr:row>0</xdr:row>
      <xdr:rowOff>190500</xdr:rowOff>
    </xdr:from>
    <xdr:ext cx="1381125" cy="138112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2.63" defaultRowHeight="15.75"/>
  <cols>
    <col customWidth="1" min="1" max="1" width="3.75"/>
    <col customWidth="1" min="2" max="2" width="27.38"/>
    <col customWidth="1" min="3" max="3" width="10.25"/>
    <col customWidth="1" min="4" max="4" width="8.38"/>
    <col customWidth="1" min="5" max="5" width="7.25"/>
    <col customWidth="1" min="6" max="6" width="8.25"/>
    <col customWidth="1" min="7" max="7" width="16.88"/>
    <col customWidth="1" min="8" max="8" width="12.38"/>
    <col customWidth="1" min="9" max="9" width="30.88"/>
    <col customWidth="1" min="10" max="10" width="86.63"/>
    <col customWidth="1" min="11" max="11" width="14.0"/>
    <col customWidth="1" min="15" max="15" width="15.63"/>
    <col hidden="1" min="16" max="18" width="12.63"/>
    <col customWidth="1" min="19" max="19" width="16.88"/>
    <col customWidth="1" min="20" max="20" width="12.0"/>
    <col customWidth="1" min="21" max="21" width="9.13"/>
    <col customWidth="1" min="80" max="80" width="33.38"/>
    <col customWidth="1" min="81" max="81" width="70.13"/>
    <col customWidth="1" min="83" max="83" width="25.5"/>
    <col customWidth="1" min="84" max="85" width="43.88"/>
  </cols>
  <sheetData>
    <row r="1" ht="40.5" customHeight="1">
      <c r="A1" s="1" t="s">
        <v>0</v>
      </c>
      <c r="B1" s="2" t="str">
        <f>IFERROR(__xludf.DUMMYFUNCTION("QUERY(IMPORTRANGE(""1AzTji2sW29mb6q5i6lLp4OT4kZtfXWmm_A7yA3mApUg"",""Sheet1!B1:S311""), ""SELECT * WHERE Col18 = 'Lunas'"")"),"NAMA")</f>
        <v>NAMA</v>
      </c>
      <c r="C1" s="2" t="str">
        <f>IFERROR(__xludf.DUMMYFUNCTION("""COMPUTED_VALUE"""),"NIS")</f>
        <v>NIS</v>
      </c>
      <c r="D1" s="2" t="str">
        <f>IFERROR(__xludf.DUMMYFUNCTION("""COMPUTED_VALUE"""),"ASRAMA")</f>
        <v>ASRAMA</v>
      </c>
      <c r="E1" s="2" t="str">
        <f>IFERROR(__xludf.DUMMYFUNCTION("""COMPUTED_VALUE"""),"KAMAR")</f>
        <v>KAMAR</v>
      </c>
      <c r="F1" s="2" t="str">
        <f>IFERROR(__xludf.DUMMYFUNCTION("""COMPUTED_VALUE"""),"TINGKAT")</f>
        <v>TINGKAT</v>
      </c>
      <c r="G1" s="2" t="str">
        <f>IFERROR(__xludf.DUMMYFUNCTION("""COMPUTED_VALUE"""),"MADRASIAH")</f>
        <v>MADRASIAH</v>
      </c>
      <c r="H1" s="2" t="str">
        <f>IFERROR(__xludf.DUMMYFUNCTION("""COMPUTED_VALUE"""),"SEKOLAH")</f>
        <v>SEKOLAH</v>
      </c>
      <c r="I1" s="2" t="str">
        <f>IFERROR(__xludf.DUMMYFUNCTION("""COMPUTED_VALUE"""),"IBU")</f>
        <v>IBU</v>
      </c>
      <c r="J1" s="2" t="str">
        <f>IFERROR(__xludf.DUMMYFUNCTION("""COMPUTED_VALUE"""),"ALAMAT")</f>
        <v>ALAMAT</v>
      </c>
      <c r="K1" s="2" t="str">
        <f>IFERROR(__xludf.DUMMYFUNCTION("""COMPUTED_VALUE"""),"WA")</f>
        <v>WA</v>
      </c>
      <c r="L1" s="2" t="str">
        <f>IFERROR(__xludf.DUMMYFUNCTION("""COMPUTED_VALUE"""),"JUMLAH SYAHRIYAH")</f>
        <v>JUMLAH SYAHRIYAH</v>
      </c>
      <c r="M1" s="2" t="str">
        <f>IFERROR(__xludf.DUMMYFUNCTION("""COMPUTED_VALUE"""),"JUMLAH JARIYAH")</f>
        <v>JUMLAH JARIYAH</v>
      </c>
      <c r="N1" s="2" t="str">
        <f>IFERROR(__xludf.DUMMYFUNCTION("""COMPUTED_VALUE"""),"JUMLAH DAFTAR ULANG")</f>
        <v>JUMLAH DAFTAR ULANG</v>
      </c>
      <c r="O1" s="2" t="str">
        <f>IFERROR(__xludf.DUMMYFUNCTION("""COMPUTED_VALUE"""),"JUMLAH TOTAL TUNGGAKAN")</f>
        <v>JUMLAH TOTAL TUNGGAKAN</v>
      </c>
      <c r="P1" s="2" t="str">
        <f>IFERROR(__xludf.DUMMYFUNCTION("""COMPUTED_VALUE"""),"")</f>
        <v/>
      </c>
      <c r="Q1" s="2" t="str">
        <f>IFERROR(__xludf.DUMMYFUNCTION("""COMPUTED_VALUE"""),"")</f>
        <v/>
      </c>
      <c r="R1" s="2" t="str">
        <f>IFERROR(__xludf.DUMMYFUNCTION("""COMPUTED_VALUE"""),"")</f>
        <v/>
      </c>
      <c r="S1" s="2" t="str">
        <f>IFERROR(__xludf.DUMMYFUNCTION("""COMPUTED_VALUE"""),"STATUS ADMINISTRASI")</f>
        <v>STATUS ADMINISTRASI</v>
      </c>
      <c r="T1" s="1" t="s">
        <v>1</v>
      </c>
      <c r="U1" s="1" t="s">
        <v>2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</row>
    <row r="2">
      <c r="A2" s="3">
        <f t="shared" ref="A2:A487" si="1">IF(B2="","",ROW(A2)-1)</f>
        <v>1</v>
      </c>
      <c r="B2" s="4" t="str">
        <f>IFERROR(__xludf.DUMMYFUNCTION("""COMPUTED_VALUE"""),"ACH. ADITIYA YUGASWARA")</f>
        <v>ACH. ADITIYA YUGASWARA</v>
      </c>
      <c r="C2" s="3">
        <f>IFERROR(__xludf.DUMMYFUNCTION("""COMPUTED_VALUE"""),2.025110681E9)</f>
        <v>2025110681</v>
      </c>
      <c r="D2" s="3" t="str">
        <f>IFERROR(__xludf.DUMMYFUNCTION("""COMPUTED_VALUE"""),"A")</f>
        <v>A</v>
      </c>
      <c r="E2" s="3" t="str">
        <f>IFERROR(__xludf.DUMMYFUNCTION("""COMPUTED_VALUE"""),"A-1")</f>
        <v>A-1</v>
      </c>
      <c r="F2" s="3">
        <f>IFERROR(__xludf.DUMMYFUNCTION("""COMPUTED_VALUE"""),3.0)</f>
        <v>3</v>
      </c>
      <c r="G2" s="3" t="str">
        <f>IFERROR(__xludf.DUMMYFUNCTION("""COMPUTED_VALUE"""),"3 ULA A PUTRA")</f>
        <v>3 ULA A PUTRA</v>
      </c>
      <c r="H2" s="3" t="str">
        <f>IFERROR(__xludf.DUMMYFUNCTION("""COMPUTED_VALUE"""),"#N/A")</f>
        <v>#N/A</v>
      </c>
      <c r="I2" s="4"/>
      <c r="J2" s="4"/>
      <c r="K2" s="4"/>
      <c r="L2" s="5">
        <f>IFERROR(__xludf.DUMMYFUNCTION("""COMPUTED_VALUE"""),0.0)</f>
        <v>0</v>
      </c>
      <c r="M2" s="5">
        <f>IFERROR(__xludf.DUMMYFUNCTION("""COMPUTED_VALUE"""),0.0)</f>
        <v>0</v>
      </c>
      <c r="N2" s="5">
        <f>IFERROR(__xludf.DUMMYFUNCTION("""COMPUTED_VALUE"""),0.0)</f>
        <v>0</v>
      </c>
      <c r="O2" s="5">
        <f>IFERROR(__xludf.DUMMYFUNCTION("""COMPUTED_VALUE"""),0.0)</f>
        <v>0</v>
      </c>
      <c r="P2" s="4"/>
      <c r="Q2" s="4"/>
      <c r="R2" s="4"/>
      <c r="S2" s="3" t="str">
        <f>IFERROR(__xludf.DUMMYFUNCTION("""COMPUTED_VALUE"""),"Lunas")</f>
        <v>Lunas</v>
      </c>
      <c r="T2" s="6">
        <f t="shared" ref="T2:T528" si="2">TODAY()</f>
        <v>46206</v>
      </c>
      <c r="U2" s="3" t="str">
        <f>IF(ISNA(vlookup(B2,DataExport!$D$2:$D$496,1,false)), "Belum", "Sudah")</f>
        <v>Belum</v>
      </c>
      <c r="CC2" s="7"/>
    </row>
    <row r="3">
      <c r="A3" s="3">
        <f t="shared" si="1"/>
        <v>2</v>
      </c>
      <c r="B3" s="4" t="str">
        <f>IFERROR(__xludf.DUMMYFUNCTION("""COMPUTED_VALUE"""),"ADELIA ZAHRA ROSYIDAH")</f>
        <v>ADELIA ZAHRA ROSYIDAH</v>
      </c>
      <c r="C3" s="3">
        <f>IFERROR(__xludf.DUMMYFUNCTION("""COMPUTED_VALUE"""),2.024070565E9)</f>
        <v>2024070565</v>
      </c>
      <c r="D3" s="3" t="str">
        <f>IFERROR(__xludf.DUMMYFUNCTION("""COMPUTED_VALUE"""),"D")</f>
        <v>D</v>
      </c>
      <c r="E3" s="3" t="str">
        <f>IFERROR(__xludf.DUMMYFUNCTION("""COMPUTED_VALUE"""),"D-4")</f>
        <v>D-4</v>
      </c>
      <c r="F3" s="3">
        <f>IFERROR(__xludf.DUMMYFUNCTION("""COMPUTED_VALUE"""),3.0)</f>
        <v>3</v>
      </c>
      <c r="G3" s="3" t="str">
        <f>IFERROR(__xludf.DUMMYFUNCTION("""COMPUTED_VALUE"""),"3 ULA A PUTRI")</f>
        <v>3 ULA A PUTRI</v>
      </c>
      <c r="H3" s="3" t="str">
        <f>IFERROR(__xludf.DUMMYFUNCTION("""COMPUTED_VALUE"""),"MTS-9 H")</f>
        <v>MTS-9 H</v>
      </c>
      <c r="I3" s="4" t="str">
        <f>IFERROR(__xludf.DUMMYFUNCTION("""COMPUTED_VALUE"""),"SUJIATI")</f>
        <v>SUJIATI</v>
      </c>
      <c r="J3" s="4" t="str">
        <f>IFERROR(__xludf.DUMMYFUNCTION("""COMPUTED_VALUE"""),"PINGGIRAN SUMBERAGUNG RT 002 RW 003 SUKODADI LAMONGAN")</f>
        <v>PINGGIRAN SUMBERAGUNG RT 002 RW 003 SUKODADI LAMONGAN</v>
      </c>
      <c r="K3" s="4" t="str">
        <f>IFERROR(__xludf.DUMMYFUNCTION("""COMPUTED_VALUE"""),"6285733130659")</f>
        <v>6285733130659</v>
      </c>
      <c r="L3" s="5">
        <f>IFERROR(__xludf.DUMMYFUNCTION("""COMPUTED_VALUE"""),0.0)</f>
        <v>0</v>
      </c>
      <c r="M3" s="5">
        <f>IFERROR(__xludf.DUMMYFUNCTION("""COMPUTED_VALUE"""),0.0)</f>
        <v>0</v>
      </c>
      <c r="N3" s="5">
        <f>IFERROR(__xludf.DUMMYFUNCTION("""COMPUTED_VALUE"""),0.0)</f>
        <v>0</v>
      </c>
      <c r="O3" s="5">
        <f>IFERROR(__xludf.DUMMYFUNCTION("""COMPUTED_VALUE"""),0.0)</f>
        <v>0</v>
      </c>
      <c r="P3" s="4"/>
      <c r="Q3" s="4"/>
      <c r="R3" s="4"/>
      <c r="S3" s="3" t="str">
        <f>IFERROR(__xludf.DUMMYFUNCTION("""COMPUTED_VALUE"""),"Lunas")</f>
        <v>Lunas</v>
      </c>
      <c r="T3" s="6">
        <f t="shared" si="2"/>
        <v>46206</v>
      </c>
      <c r="U3" s="3" t="str">
        <f>IF(ISNA(vlookup(B3,DataExport!$D$2:$D$496,1,false)), "Belum", "Sudah")</f>
        <v>Belum</v>
      </c>
    </row>
    <row r="4">
      <c r="A4" s="3">
        <f t="shared" si="1"/>
        <v>3</v>
      </c>
      <c r="B4" s="4" t="str">
        <f>IFERROR(__xludf.DUMMYFUNCTION("""COMPUTED_VALUE"""),"ADINDA KHOIRUN NISWAH")</f>
        <v>ADINDA KHOIRUN NISWAH</v>
      </c>
      <c r="C4" s="3">
        <f>IFERROR(__xludf.DUMMYFUNCTION("""COMPUTED_VALUE"""),2.024070336E9)</f>
        <v>2024070336</v>
      </c>
      <c r="D4" s="3" t="str">
        <f>IFERROR(__xludf.DUMMYFUNCTION("""COMPUTED_VALUE"""),"D")</f>
        <v>D</v>
      </c>
      <c r="E4" s="3" t="str">
        <f>IFERROR(__xludf.DUMMYFUNCTION("""COMPUTED_VALUE"""),"D-6")</f>
        <v>D-6</v>
      </c>
      <c r="F4" s="3">
        <f>IFERROR(__xludf.DUMMYFUNCTION("""COMPUTED_VALUE"""),3.0)</f>
        <v>3</v>
      </c>
      <c r="G4" s="3" t="str">
        <f>IFERROR(__xludf.DUMMYFUNCTION("""COMPUTED_VALUE"""),"3 WUSTHO C PUTRI")</f>
        <v>3 WUSTHO C PUTRI</v>
      </c>
      <c r="H4" s="3" t="str">
        <f>IFERROR(__xludf.DUMMYFUNCTION("""COMPUTED_VALUE"""),"MA-XII.11")</f>
        <v>MA-XII.11</v>
      </c>
      <c r="I4" s="4" t="str">
        <f>IFERROR(__xludf.DUMMYFUNCTION("""COMPUTED_VALUE"""),"ANI ROKHMATIN")</f>
        <v>ANI ROKHMATIN</v>
      </c>
      <c r="J4" s="4" t="str">
        <f>IFERROR(__xludf.DUMMYFUNCTION("""COMPUTED_VALUE"""),"GRIGIS SUMBERJO RT 3 RW 5 SARIREJO LAMONGAN")</f>
        <v>GRIGIS SUMBERJO RT 3 RW 5 SARIREJO LAMONGAN</v>
      </c>
      <c r="K4" s="4" t="str">
        <f>IFERROR(__xludf.DUMMYFUNCTION("""COMPUTED_VALUE"""),"6283833507477")</f>
        <v>6283833507477</v>
      </c>
      <c r="L4" s="5">
        <f>IFERROR(__xludf.DUMMYFUNCTION("""COMPUTED_VALUE"""),0.0)</f>
        <v>0</v>
      </c>
      <c r="M4" s="5">
        <f>IFERROR(__xludf.DUMMYFUNCTION("""COMPUTED_VALUE"""),0.0)</f>
        <v>0</v>
      </c>
      <c r="N4" s="5">
        <f>IFERROR(__xludf.DUMMYFUNCTION("""COMPUTED_VALUE"""),0.0)</f>
        <v>0</v>
      </c>
      <c r="O4" s="5">
        <f>IFERROR(__xludf.DUMMYFUNCTION("""COMPUTED_VALUE"""),0.0)</f>
        <v>0</v>
      </c>
      <c r="P4" s="4"/>
      <c r="Q4" s="4"/>
      <c r="R4" s="4"/>
      <c r="S4" s="3" t="str">
        <f>IFERROR(__xludf.DUMMYFUNCTION("""COMPUTED_VALUE"""),"Lunas")</f>
        <v>Lunas</v>
      </c>
      <c r="T4" s="6">
        <f t="shared" si="2"/>
        <v>46206</v>
      </c>
      <c r="U4" s="3" t="str">
        <f>IF(ISNA(vlookup(B4,DataExport!$D$2:$D$496,1,false)), "Belum", "Sudah")</f>
        <v>Belum</v>
      </c>
    </row>
    <row r="5">
      <c r="A5" s="3">
        <f t="shared" si="1"/>
        <v>4</v>
      </c>
      <c r="B5" s="4" t="str">
        <f>IFERROR(__xludf.DUMMYFUNCTION("""COMPUTED_VALUE"""),"AFANIA AQILATUS SHAFA")</f>
        <v>AFANIA AQILATUS SHAFA</v>
      </c>
      <c r="C5" s="3">
        <f>IFERROR(__xludf.DUMMYFUNCTION("""COMPUTED_VALUE"""),2.02407064E9)</f>
        <v>2024070640</v>
      </c>
      <c r="D5" s="3" t="str">
        <f>IFERROR(__xludf.DUMMYFUNCTION("""COMPUTED_VALUE"""),"C")</f>
        <v>C</v>
      </c>
      <c r="E5" s="3" t="str">
        <f>IFERROR(__xludf.DUMMYFUNCTION("""COMPUTED_VALUE"""),"C-13")</f>
        <v>C-13</v>
      </c>
      <c r="F5" s="3">
        <f>IFERROR(__xludf.DUMMYFUNCTION("""COMPUTED_VALUE"""),3.0)</f>
        <v>3</v>
      </c>
      <c r="G5" s="3" t="str">
        <f>IFERROR(__xludf.DUMMYFUNCTION("""COMPUTED_VALUE"""),"3 ULA C PUTRI")</f>
        <v>3 ULA C PUTRI</v>
      </c>
      <c r="H5" s="3" t="str">
        <f>IFERROR(__xludf.DUMMYFUNCTION("""COMPUTED_VALUE"""),"MTS-9 G")</f>
        <v>MTS-9 G</v>
      </c>
      <c r="I5" s="4" t="str">
        <f>IFERROR(__xludf.DUMMYFUNCTION("""COMPUTED_VALUE"""),"DWI OKTAFIA NINGSIH")</f>
        <v>DWI OKTAFIA NINGSIH</v>
      </c>
      <c r="J5" s="4" t="str">
        <f>IFERROR(__xludf.DUMMYFUNCTION("""COMPUTED_VALUE"""),"PAJANGAN RT 002 RW 002 SUKODADI LAMONGAN")</f>
        <v>PAJANGAN RT 002 RW 002 SUKODADI LAMONGAN</v>
      </c>
      <c r="K5" s="4" t="str">
        <f>IFERROR(__xludf.DUMMYFUNCTION("""COMPUTED_VALUE"""),"6285257103018")</f>
        <v>6285257103018</v>
      </c>
      <c r="L5" s="5">
        <f>IFERROR(__xludf.DUMMYFUNCTION("""COMPUTED_VALUE"""),0.0)</f>
        <v>0</v>
      </c>
      <c r="M5" s="5">
        <f>IFERROR(__xludf.DUMMYFUNCTION("""COMPUTED_VALUE"""),0.0)</f>
        <v>0</v>
      </c>
      <c r="N5" s="5">
        <f>IFERROR(__xludf.DUMMYFUNCTION("""COMPUTED_VALUE"""),0.0)</f>
        <v>0</v>
      </c>
      <c r="O5" s="5">
        <f>IFERROR(__xludf.DUMMYFUNCTION("""COMPUTED_VALUE"""),0.0)</f>
        <v>0</v>
      </c>
      <c r="P5" s="4"/>
      <c r="Q5" s="4"/>
      <c r="R5" s="4"/>
      <c r="S5" s="3" t="str">
        <f>IFERROR(__xludf.DUMMYFUNCTION("""COMPUTED_VALUE"""),"Lunas")</f>
        <v>Lunas</v>
      </c>
      <c r="T5" s="6">
        <f t="shared" si="2"/>
        <v>46206</v>
      </c>
      <c r="U5" s="3" t="str">
        <f>IF(ISNA(vlookup(B5,DataExport!$D$2:$D$496,1,false)), "Belum", "Sudah")</f>
        <v>Belum</v>
      </c>
    </row>
    <row r="6">
      <c r="A6" s="3">
        <f t="shared" si="1"/>
        <v>5</v>
      </c>
      <c r="B6" s="4" t="str">
        <f>IFERROR(__xludf.DUMMYFUNCTION("""COMPUTED_VALUE"""),"AFILIA MEGA NURFATMA")</f>
        <v>AFILIA MEGA NURFATMA</v>
      </c>
      <c r="C6" s="3">
        <f>IFERROR(__xludf.DUMMYFUNCTION("""COMPUTED_VALUE"""),2.024070563E9)</f>
        <v>2024070563</v>
      </c>
      <c r="D6" s="3" t="str">
        <f>IFERROR(__xludf.DUMMYFUNCTION("""COMPUTED_VALUE"""),"B")</f>
        <v>B</v>
      </c>
      <c r="E6" s="3" t="str">
        <f>IFERROR(__xludf.DUMMYFUNCTION("""COMPUTED_VALUE"""),"B-10")</f>
        <v>B-10</v>
      </c>
      <c r="F6" s="3">
        <f>IFERROR(__xludf.DUMMYFUNCTION("""COMPUTED_VALUE"""),3.0)</f>
        <v>3</v>
      </c>
      <c r="G6" s="3" t="str">
        <f>IFERROR(__xludf.DUMMYFUNCTION("""COMPUTED_VALUE"""),"3 ULA A PUTRI")</f>
        <v>3 ULA A PUTRI</v>
      </c>
      <c r="H6" s="3" t="str">
        <f>IFERROR(__xludf.DUMMYFUNCTION("""COMPUTED_VALUE"""),"MTS-9 A")</f>
        <v>MTS-9 A</v>
      </c>
      <c r="I6" s="4" t="str">
        <f>IFERROR(__xludf.DUMMYFUNCTION("""COMPUTED_VALUE"""),"ALIYATUN")</f>
        <v>ALIYATUN</v>
      </c>
      <c r="J6" s="4" t="str">
        <f>IFERROR(__xludf.DUMMYFUNCTION("""COMPUTED_VALUE"""),"TENGGULUN RT 003 RW 002 SOLOKURO LAMONGAN")</f>
        <v>TENGGULUN RT 003 RW 002 SOLOKURO LAMONGAN</v>
      </c>
      <c r="K6" s="4" t="str">
        <f>IFERROR(__xludf.DUMMYFUNCTION("""COMPUTED_VALUE"""),"6285812446154")</f>
        <v>6285812446154</v>
      </c>
      <c r="L6" s="5">
        <f>IFERROR(__xludf.DUMMYFUNCTION("""COMPUTED_VALUE"""),0.0)</f>
        <v>0</v>
      </c>
      <c r="M6" s="5">
        <f>IFERROR(__xludf.DUMMYFUNCTION("""COMPUTED_VALUE"""),0.0)</f>
        <v>0</v>
      </c>
      <c r="N6" s="5">
        <f>IFERROR(__xludf.DUMMYFUNCTION("""COMPUTED_VALUE"""),0.0)</f>
        <v>0</v>
      </c>
      <c r="O6" s="5">
        <f>IFERROR(__xludf.DUMMYFUNCTION("""COMPUTED_VALUE"""),0.0)</f>
        <v>0</v>
      </c>
      <c r="P6" s="4"/>
      <c r="Q6" s="4"/>
      <c r="R6" s="4"/>
      <c r="S6" s="3" t="str">
        <f>IFERROR(__xludf.DUMMYFUNCTION("""COMPUTED_VALUE"""),"Lunas")</f>
        <v>Lunas</v>
      </c>
      <c r="T6" s="6">
        <f t="shared" si="2"/>
        <v>46206</v>
      </c>
      <c r="U6" s="3" t="str">
        <f>IF(ISNA(vlookup(B6,DataExport!$D$2:$D$496,1,false)), "Belum", "Sudah")</f>
        <v>Belum</v>
      </c>
    </row>
    <row r="7">
      <c r="A7" s="3">
        <f t="shared" si="1"/>
        <v>6</v>
      </c>
      <c r="B7" s="4" t="str">
        <f>IFERROR(__xludf.DUMMYFUNCTION("""COMPUTED_VALUE"""),"AFINA AGUSTIN ROMADHONI")</f>
        <v>AFINA AGUSTIN ROMADHONI</v>
      </c>
      <c r="C7" s="3">
        <f>IFERROR(__xludf.DUMMYFUNCTION("""COMPUTED_VALUE"""),2.024070561E9)</f>
        <v>2024070561</v>
      </c>
      <c r="D7" s="3" t="str">
        <f>IFERROR(__xludf.DUMMYFUNCTION("""COMPUTED_VALUE"""),"C")</f>
        <v>C</v>
      </c>
      <c r="E7" s="3" t="str">
        <f>IFERROR(__xludf.DUMMYFUNCTION("""COMPUTED_VALUE"""),"C-13")</f>
        <v>C-13</v>
      </c>
      <c r="F7" s="3">
        <f>IFERROR(__xludf.DUMMYFUNCTION("""COMPUTED_VALUE"""),3.0)</f>
        <v>3</v>
      </c>
      <c r="G7" s="3"/>
      <c r="H7" s="3" t="str">
        <f>IFERROR(__xludf.DUMMYFUNCTION("""COMPUTED_VALUE"""),"MTS-9 G")</f>
        <v>MTS-9 G</v>
      </c>
      <c r="I7" s="4" t="str">
        <f>IFERROR(__xludf.DUMMYFUNCTION("""COMPUTED_VALUE"""),"MAZROATUN")</f>
        <v>MAZROATUN</v>
      </c>
      <c r="J7" s="4" t="str">
        <f>IFERROR(__xludf.DUMMYFUNCTION("""COMPUTED_VALUE"""),"KEBEN RT 004 RW 002 TURI LAMONGAN")</f>
        <v>KEBEN RT 004 RW 002 TURI LAMONGAN</v>
      </c>
      <c r="K7" s="4" t="str">
        <f>IFERROR(__xludf.DUMMYFUNCTION("""COMPUTED_VALUE"""),"6285748099065")</f>
        <v>6285748099065</v>
      </c>
      <c r="L7" s="5">
        <f>IFERROR(__xludf.DUMMYFUNCTION("""COMPUTED_VALUE"""),0.0)</f>
        <v>0</v>
      </c>
      <c r="M7" s="5">
        <f>IFERROR(__xludf.DUMMYFUNCTION("""COMPUTED_VALUE"""),0.0)</f>
        <v>0</v>
      </c>
      <c r="N7" s="5">
        <f>IFERROR(__xludf.DUMMYFUNCTION("""COMPUTED_VALUE"""),0.0)</f>
        <v>0</v>
      </c>
      <c r="O7" s="5">
        <f>IFERROR(__xludf.DUMMYFUNCTION("""COMPUTED_VALUE"""),0.0)</f>
        <v>0</v>
      </c>
      <c r="P7" s="4"/>
      <c r="Q7" s="4"/>
      <c r="R7" s="4"/>
      <c r="S7" s="3" t="str">
        <f>IFERROR(__xludf.DUMMYFUNCTION("""COMPUTED_VALUE"""),"Lunas")</f>
        <v>Lunas</v>
      </c>
      <c r="T7" s="6">
        <f t="shared" si="2"/>
        <v>46206</v>
      </c>
      <c r="U7" s="3" t="str">
        <f>IF(ISNA(vlookup(B7,DataExport!$D$2:$D$496,1,false)), "Belum", "Sudah")</f>
        <v>Belum</v>
      </c>
    </row>
    <row r="8">
      <c r="A8" s="3">
        <f t="shared" si="1"/>
        <v>7</v>
      </c>
      <c r="B8" s="4" t="str">
        <f>IFERROR(__xludf.DUMMYFUNCTION("""COMPUTED_VALUE"""),"AHDA KAISYA BADAATIL MUFIDAH")</f>
        <v>AHDA KAISYA BADAATIL MUFIDAH</v>
      </c>
      <c r="C8" s="3">
        <f>IFERROR(__xludf.DUMMYFUNCTION("""COMPUTED_VALUE"""),2.024070322E9)</f>
        <v>2024070322</v>
      </c>
      <c r="D8" s="3" t="str">
        <f>IFERROR(__xludf.DUMMYFUNCTION("""COMPUTED_VALUE"""),"C")</f>
        <v>C</v>
      </c>
      <c r="E8" s="3" t="str">
        <f>IFERROR(__xludf.DUMMYFUNCTION("""COMPUTED_VALUE"""),"C-9")</f>
        <v>C-9</v>
      </c>
      <c r="F8" s="3">
        <f>IFERROR(__xludf.DUMMYFUNCTION("""COMPUTED_VALUE"""),3.0)</f>
        <v>3</v>
      </c>
      <c r="G8" s="3"/>
      <c r="H8" s="3" t="str">
        <f>IFERROR(__xludf.DUMMYFUNCTION("""COMPUTED_VALUE"""),"MA-XII.10")</f>
        <v>MA-XII.10</v>
      </c>
      <c r="I8" s="4" t="str">
        <f>IFERROR(__xludf.DUMMYFUNCTION("""COMPUTED_VALUE"""),"INAYATUL KARIMAH")</f>
        <v>INAYATUL KARIMAH</v>
      </c>
      <c r="J8" s="4" t="str">
        <f>IFERROR(__xludf.DUMMYFUNCTION("""COMPUTED_VALUE"""),"KEBET RT 008 RW 002 LAMONGAN LAMONGAN")</f>
        <v>KEBET RT 008 RW 002 LAMONGAN LAMONGAN</v>
      </c>
      <c r="K8" s="4" t="str">
        <f>IFERROR(__xludf.DUMMYFUNCTION("""COMPUTED_VALUE"""),"6285895759423")</f>
        <v>6285895759423</v>
      </c>
      <c r="L8" s="5">
        <f>IFERROR(__xludf.DUMMYFUNCTION("""COMPUTED_VALUE"""),0.0)</f>
        <v>0</v>
      </c>
      <c r="M8" s="5">
        <f>IFERROR(__xludf.DUMMYFUNCTION("""COMPUTED_VALUE"""),0.0)</f>
        <v>0</v>
      </c>
      <c r="N8" s="5">
        <f>IFERROR(__xludf.DUMMYFUNCTION("""COMPUTED_VALUE"""),0.0)</f>
        <v>0</v>
      </c>
      <c r="O8" s="5">
        <f>IFERROR(__xludf.DUMMYFUNCTION("""COMPUTED_VALUE"""),0.0)</f>
        <v>0</v>
      </c>
      <c r="P8" s="4"/>
      <c r="Q8" s="4"/>
      <c r="R8" s="4"/>
      <c r="S8" s="3" t="str">
        <f>IFERROR(__xludf.DUMMYFUNCTION("""COMPUTED_VALUE"""),"Lunas")</f>
        <v>Lunas</v>
      </c>
      <c r="T8" s="6">
        <f t="shared" si="2"/>
        <v>46206</v>
      </c>
      <c r="U8" s="3" t="str">
        <f>IF(ISNA(vlookup(B8,DataExport!$D$2:$D$496,1,false)), "Belum", "Sudah")</f>
        <v>Belum</v>
      </c>
    </row>
    <row r="9">
      <c r="A9" s="3">
        <f t="shared" si="1"/>
        <v>8</v>
      </c>
      <c r="B9" s="4" t="str">
        <f>IFERROR(__xludf.DUMMYFUNCTION("""COMPUTED_VALUE"""),"AHMAD AZKA ALFIKRI")</f>
        <v>AHMAD AZKA ALFIKRI</v>
      </c>
      <c r="C9" s="3">
        <f>IFERROR(__xludf.DUMMYFUNCTION("""COMPUTED_VALUE"""),2.024070554E9)</f>
        <v>2024070554</v>
      </c>
      <c r="D9" s="3" t="str">
        <f>IFERROR(__xludf.DUMMYFUNCTION("""COMPUTED_VALUE"""),"A")</f>
        <v>A</v>
      </c>
      <c r="E9" s="3" t="str">
        <f>IFERROR(__xludf.DUMMYFUNCTION("""COMPUTED_VALUE"""),"A-7")</f>
        <v>A-7</v>
      </c>
      <c r="F9" s="3">
        <f>IFERROR(__xludf.DUMMYFUNCTION("""COMPUTED_VALUE"""),3.0)</f>
        <v>3</v>
      </c>
      <c r="G9" s="3" t="str">
        <f>IFERROR(__xludf.DUMMYFUNCTION("""COMPUTED_VALUE"""),"3 ULA B PUTRA")</f>
        <v>3 ULA B PUTRA</v>
      </c>
      <c r="H9" s="3" t="str">
        <f>IFERROR(__xludf.DUMMYFUNCTION("""COMPUTED_VALUE"""),"MTS-9 E")</f>
        <v>MTS-9 E</v>
      </c>
      <c r="I9" s="4" t="str">
        <f>IFERROR(__xludf.DUMMYFUNCTION("""COMPUTED_VALUE"""),"MASRUAH")</f>
        <v>MASRUAH</v>
      </c>
      <c r="J9" s="4" t="str">
        <f>IFERROR(__xludf.DUMMYFUNCTION("""COMPUTED_VALUE"""),"LASEM RT 001 RW 001 SIDAYU GRESIK")</f>
        <v>LASEM RT 001 RW 001 SIDAYU GRESIK</v>
      </c>
      <c r="K9" s="4" t="str">
        <f>IFERROR(__xludf.DUMMYFUNCTION("""COMPUTED_VALUE"""),"6285645389910")</f>
        <v>6285645389910</v>
      </c>
      <c r="L9" s="5">
        <f>IFERROR(__xludf.DUMMYFUNCTION("""COMPUTED_VALUE"""),0.0)</f>
        <v>0</v>
      </c>
      <c r="M9" s="5">
        <f>IFERROR(__xludf.DUMMYFUNCTION("""COMPUTED_VALUE"""),0.0)</f>
        <v>0</v>
      </c>
      <c r="N9" s="5">
        <f>IFERROR(__xludf.DUMMYFUNCTION("""COMPUTED_VALUE"""),0.0)</f>
        <v>0</v>
      </c>
      <c r="O9" s="5">
        <f>IFERROR(__xludf.DUMMYFUNCTION("""COMPUTED_VALUE"""),0.0)</f>
        <v>0</v>
      </c>
      <c r="P9" s="4"/>
      <c r="Q9" s="4"/>
      <c r="R9" s="4"/>
      <c r="S9" s="3" t="str">
        <f>IFERROR(__xludf.DUMMYFUNCTION("""COMPUTED_VALUE"""),"Lunas")</f>
        <v>Lunas</v>
      </c>
      <c r="T9" s="6">
        <f t="shared" si="2"/>
        <v>46206</v>
      </c>
      <c r="U9" s="3" t="str">
        <f>IF(ISNA(vlookup(B9,DataExport!$D$2:$D$496,1,false)), "Belum", "Sudah")</f>
        <v>Belum</v>
      </c>
    </row>
    <row r="10">
      <c r="A10" s="3">
        <f t="shared" si="1"/>
        <v>9</v>
      </c>
      <c r="B10" s="4" t="str">
        <f>IFERROR(__xludf.DUMMYFUNCTION("""COMPUTED_VALUE"""),"AHMAD HAFIDZ RIZKI AL ZAMZAMI")</f>
        <v>AHMAD HAFIDZ RIZKI AL ZAMZAMI</v>
      </c>
      <c r="C10" s="3">
        <f>IFERROR(__xludf.DUMMYFUNCTION("""COMPUTED_VALUE"""),2.024070615E9)</f>
        <v>2024070615</v>
      </c>
      <c r="D10" s="3" t="str">
        <f>IFERROR(__xludf.DUMMYFUNCTION("""COMPUTED_VALUE"""),"A")</f>
        <v>A</v>
      </c>
      <c r="E10" s="3" t="str">
        <f>IFERROR(__xludf.DUMMYFUNCTION("""COMPUTED_VALUE"""),"A-7")</f>
        <v>A-7</v>
      </c>
      <c r="F10" s="3">
        <f>IFERROR(__xludf.DUMMYFUNCTION("""COMPUTED_VALUE"""),3.0)</f>
        <v>3</v>
      </c>
      <c r="G10" s="3" t="str">
        <f>IFERROR(__xludf.DUMMYFUNCTION("""COMPUTED_VALUE"""),"3 ULA B PUTRA")</f>
        <v>3 ULA B PUTRA</v>
      </c>
      <c r="H10" s="3" t="str">
        <f>IFERROR(__xludf.DUMMYFUNCTION("""COMPUTED_VALUE"""),"MTS-9 E")</f>
        <v>MTS-9 E</v>
      </c>
      <c r="I10" s="4" t="str">
        <f>IFERROR(__xludf.DUMMYFUNCTION("""COMPUTED_VALUE"""),"SITI ZUMAROH")</f>
        <v>SITI ZUMAROH</v>
      </c>
      <c r="J10" s="4" t="str">
        <f>IFERROR(__xludf.DUMMYFUNCTION("""COMPUTED_VALUE"""),"GLUMO JELAKCATUR RT 003 RW 005 KALITENGAH LAMONGAN")</f>
        <v>GLUMO JELAKCATUR RT 003 RW 005 KALITENGAH LAMONGAN</v>
      </c>
      <c r="K10" s="4" t="str">
        <f>IFERROR(__xludf.DUMMYFUNCTION("""COMPUTED_VALUE"""),"6285759930572")</f>
        <v>6285759930572</v>
      </c>
      <c r="L10" s="5">
        <f>IFERROR(__xludf.DUMMYFUNCTION("""COMPUTED_VALUE"""),0.0)</f>
        <v>0</v>
      </c>
      <c r="M10" s="5">
        <f>IFERROR(__xludf.DUMMYFUNCTION("""COMPUTED_VALUE"""),0.0)</f>
        <v>0</v>
      </c>
      <c r="N10" s="5">
        <f>IFERROR(__xludf.DUMMYFUNCTION("""COMPUTED_VALUE"""),0.0)</f>
        <v>0</v>
      </c>
      <c r="O10" s="5">
        <f>IFERROR(__xludf.DUMMYFUNCTION("""COMPUTED_VALUE"""),0.0)</f>
        <v>0</v>
      </c>
      <c r="P10" s="4"/>
      <c r="Q10" s="4"/>
      <c r="R10" s="4"/>
      <c r="S10" s="3" t="str">
        <f>IFERROR(__xludf.DUMMYFUNCTION("""COMPUTED_VALUE"""),"Lunas")</f>
        <v>Lunas</v>
      </c>
      <c r="T10" s="6">
        <f t="shared" si="2"/>
        <v>46206</v>
      </c>
      <c r="U10" s="3" t="str">
        <f>IF(ISNA(vlookup(B10,DataExport!$D$2:$D$496,1,false)), "Belum", "Sudah")</f>
        <v>Belum</v>
      </c>
    </row>
    <row r="11">
      <c r="A11" s="3">
        <f t="shared" si="1"/>
        <v>10</v>
      </c>
      <c r="B11" s="4" t="str">
        <f>IFERROR(__xludf.DUMMYFUNCTION("""COMPUTED_VALUE"""),"AHMAD MANSYAUL HIKAMI")</f>
        <v>AHMAD MANSYAUL HIKAMI</v>
      </c>
      <c r="C11" s="3">
        <f>IFERROR(__xludf.DUMMYFUNCTION("""COMPUTED_VALUE"""),2.024070402E9)</f>
        <v>2024070402</v>
      </c>
      <c r="D11" s="3" t="str">
        <f>IFERROR(__xludf.DUMMYFUNCTION("""COMPUTED_VALUE"""),"A")</f>
        <v>A</v>
      </c>
      <c r="E11" s="3" t="str">
        <f>IFERROR(__xludf.DUMMYFUNCTION("""COMPUTED_VALUE"""),"A-10")</f>
        <v>A-10</v>
      </c>
      <c r="F11" s="3">
        <f>IFERROR(__xludf.DUMMYFUNCTION("""COMPUTED_VALUE"""),3.0)</f>
        <v>3</v>
      </c>
      <c r="G11" s="3" t="str">
        <f>IFERROR(__xludf.DUMMYFUNCTION("""COMPUTED_VALUE"""),"3 WUSTHO PUTRA")</f>
        <v>3 WUSTHO PUTRA</v>
      </c>
      <c r="H11" s="3" t="str">
        <f>IFERROR(__xludf.DUMMYFUNCTION("""COMPUTED_VALUE"""),"MA-XII.9")</f>
        <v>MA-XII.9</v>
      </c>
      <c r="I11" s="4" t="str">
        <f>IFERROR(__xludf.DUMMYFUNCTION("""COMPUTED_VALUE"""),"KHOIRIYAH")</f>
        <v>KHOIRIYAH</v>
      </c>
      <c r="J11" s="4" t="str">
        <f>IFERROR(__xludf.DUMMYFUNCTION("""COMPUTED_VALUE"""),"MAYONG NGABLAK RT 1 RW 2 KARANGBINANGUN LAMONGAN")</f>
        <v>MAYONG NGABLAK RT 1 RW 2 KARANGBINANGUN LAMONGAN</v>
      </c>
      <c r="K11" s="4" t="str">
        <f>IFERROR(__xludf.DUMMYFUNCTION("""COMPUTED_VALUE"""),"6285852940999")</f>
        <v>6285852940999</v>
      </c>
      <c r="L11" s="5">
        <f>IFERROR(__xludf.DUMMYFUNCTION("""COMPUTED_VALUE"""),0.0)</f>
        <v>0</v>
      </c>
      <c r="M11" s="5">
        <f>IFERROR(__xludf.DUMMYFUNCTION("""COMPUTED_VALUE"""),0.0)</f>
        <v>0</v>
      </c>
      <c r="N11" s="5">
        <f>IFERROR(__xludf.DUMMYFUNCTION("""COMPUTED_VALUE"""),0.0)</f>
        <v>0</v>
      </c>
      <c r="O11" s="5">
        <f>IFERROR(__xludf.DUMMYFUNCTION("""COMPUTED_VALUE"""),0.0)</f>
        <v>0</v>
      </c>
      <c r="P11" s="4"/>
      <c r="Q11" s="4"/>
      <c r="R11" s="4"/>
      <c r="S11" s="3" t="str">
        <f>IFERROR(__xludf.DUMMYFUNCTION("""COMPUTED_VALUE"""),"Lunas")</f>
        <v>Lunas</v>
      </c>
      <c r="T11" s="6">
        <f t="shared" si="2"/>
        <v>46206</v>
      </c>
      <c r="U11" s="3" t="str">
        <f>IF(ISNA(vlookup(B11,DataExport!$D$2:$D$496,1,false)), "Belum", "Sudah")</f>
        <v>Belum</v>
      </c>
    </row>
    <row r="12">
      <c r="A12" s="3">
        <f t="shared" si="1"/>
        <v>11</v>
      </c>
      <c r="B12" s="4" t="str">
        <f>IFERROR(__xludf.DUMMYFUNCTION("""COMPUTED_VALUE"""),"AHMAD MUZAKKI")</f>
        <v>AHMAD MUZAKKI</v>
      </c>
      <c r="C12" s="3">
        <f>IFERROR(__xludf.DUMMYFUNCTION("""COMPUTED_VALUE"""),2.024070502E9)</f>
        <v>2024070502</v>
      </c>
      <c r="D12" s="3" t="str">
        <f>IFERROR(__xludf.DUMMYFUNCTION("""COMPUTED_VALUE"""),"A")</f>
        <v>A</v>
      </c>
      <c r="E12" s="3" t="str">
        <f>IFERROR(__xludf.DUMMYFUNCTION("""COMPUTED_VALUE"""),"A-8")</f>
        <v>A-8</v>
      </c>
      <c r="F12" s="3">
        <f>IFERROR(__xludf.DUMMYFUNCTION("""COMPUTED_VALUE"""),3.0)</f>
        <v>3</v>
      </c>
      <c r="G12" s="3" t="str">
        <f>IFERROR(__xludf.DUMMYFUNCTION("""COMPUTED_VALUE"""),"3 ULA A PUTRA")</f>
        <v>3 ULA A PUTRA</v>
      </c>
      <c r="H12" s="3" t="str">
        <f>IFERROR(__xludf.DUMMYFUNCTION("""COMPUTED_VALUE"""),"MTS-9 E")</f>
        <v>MTS-9 E</v>
      </c>
      <c r="I12" s="4" t="str">
        <f>IFERROR(__xludf.DUMMYFUNCTION("""COMPUTED_VALUE"""),"FITRIATUN NADHIROH")</f>
        <v>FITRIATUN NADHIROH</v>
      </c>
      <c r="J12" s="4" t="str">
        <f>IFERROR(__xludf.DUMMYFUNCTION("""COMPUTED_VALUE"""),"JUBAK NGUWOK RT 014 RW 006 MODO LAMONGAN")</f>
        <v>JUBAK NGUWOK RT 014 RW 006 MODO LAMONGAN</v>
      </c>
      <c r="K12" s="4" t="str">
        <f>IFERROR(__xludf.DUMMYFUNCTION("""COMPUTED_VALUE"""),"6285230826998")</f>
        <v>6285230826998</v>
      </c>
      <c r="L12" s="5">
        <f>IFERROR(__xludf.DUMMYFUNCTION("""COMPUTED_VALUE"""),0.0)</f>
        <v>0</v>
      </c>
      <c r="M12" s="5">
        <f>IFERROR(__xludf.DUMMYFUNCTION("""COMPUTED_VALUE"""),0.0)</f>
        <v>0</v>
      </c>
      <c r="N12" s="5">
        <f>IFERROR(__xludf.DUMMYFUNCTION("""COMPUTED_VALUE"""),0.0)</f>
        <v>0</v>
      </c>
      <c r="O12" s="5">
        <f>IFERROR(__xludf.DUMMYFUNCTION("""COMPUTED_VALUE"""),0.0)</f>
        <v>0</v>
      </c>
      <c r="P12" s="4"/>
      <c r="Q12" s="4"/>
      <c r="R12" s="4"/>
      <c r="S12" s="3" t="str">
        <f>IFERROR(__xludf.DUMMYFUNCTION("""COMPUTED_VALUE"""),"Lunas")</f>
        <v>Lunas</v>
      </c>
      <c r="T12" s="6">
        <f t="shared" si="2"/>
        <v>46206</v>
      </c>
      <c r="U12" s="3" t="str">
        <f>IF(ISNA(vlookup(B12,DataExport!$D$2:$D$496,1,false)), "Belum", "Sudah")</f>
        <v>Belum</v>
      </c>
    </row>
    <row r="13">
      <c r="A13" s="3">
        <f t="shared" si="1"/>
        <v>12</v>
      </c>
      <c r="B13" s="4" t="str">
        <f>IFERROR(__xludf.DUMMYFUNCTION("""COMPUTED_VALUE"""),"AHMAD NUR FAJAR ROMADHONI")</f>
        <v>AHMAD NUR FAJAR ROMADHONI</v>
      </c>
      <c r="C13" s="3">
        <f>IFERROR(__xludf.DUMMYFUNCTION("""COMPUTED_VALUE"""),2.024070403E9)</f>
        <v>2024070403</v>
      </c>
      <c r="D13" s="3" t="str">
        <f>IFERROR(__xludf.DUMMYFUNCTION("""COMPUTED_VALUE"""),"A")</f>
        <v>A</v>
      </c>
      <c r="E13" s="3" t="str">
        <f>IFERROR(__xludf.DUMMYFUNCTION("""COMPUTED_VALUE"""),"A-2")</f>
        <v>A-2</v>
      </c>
      <c r="F13" s="3">
        <f>IFERROR(__xludf.DUMMYFUNCTION("""COMPUTED_VALUE"""),3.0)</f>
        <v>3</v>
      </c>
      <c r="G13" s="3" t="str">
        <f>IFERROR(__xludf.DUMMYFUNCTION("""COMPUTED_VALUE"""),"3 MAK PUTRA")</f>
        <v>3 MAK PUTRA</v>
      </c>
      <c r="H13" s="3" t="str">
        <f>IFERROR(__xludf.DUMMYFUNCTION("""COMPUTED_VALUE"""),"MA-XII.13")</f>
        <v>MA-XII.13</v>
      </c>
      <c r="I13" s="4" t="str">
        <f>IFERROR(__xludf.DUMMYFUNCTION("""COMPUTED_VALUE"""),"SITI ULFAH")</f>
        <v>SITI ULFAH</v>
      </c>
      <c r="J13" s="4" t="str">
        <f>IFERROR(__xludf.DUMMYFUNCTION("""COMPUTED_VALUE"""),"GENDONG RT 002 RW 004 LAREN LAMONGAN")</f>
        <v>GENDONG RT 002 RW 004 LAREN LAMONGAN</v>
      </c>
      <c r="K13" s="4" t="str">
        <f>IFERROR(__xludf.DUMMYFUNCTION("""COMPUTED_VALUE"""),"685736441139")</f>
        <v>685736441139</v>
      </c>
      <c r="L13" s="5">
        <f>IFERROR(__xludf.DUMMYFUNCTION("""COMPUTED_VALUE"""),0.0)</f>
        <v>0</v>
      </c>
      <c r="M13" s="5">
        <f>IFERROR(__xludf.DUMMYFUNCTION("""COMPUTED_VALUE"""),0.0)</f>
        <v>0</v>
      </c>
      <c r="N13" s="5">
        <f>IFERROR(__xludf.DUMMYFUNCTION("""COMPUTED_VALUE"""),0.0)</f>
        <v>0</v>
      </c>
      <c r="O13" s="5">
        <f>IFERROR(__xludf.DUMMYFUNCTION("""COMPUTED_VALUE"""),0.0)</f>
        <v>0</v>
      </c>
      <c r="P13" s="4"/>
      <c r="Q13" s="4"/>
      <c r="R13" s="4"/>
      <c r="S13" s="3" t="str">
        <f>IFERROR(__xludf.DUMMYFUNCTION("""COMPUTED_VALUE"""),"Lunas")</f>
        <v>Lunas</v>
      </c>
      <c r="T13" s="6">
        <f t="shared" si="2"/>
        <v>46206</v>
      </c>
      <c r="U13" s="3" t="str">
        <f>IF(ISNA(vlookup(B13,DataExport!$D$2:$D$496,1,false)), "Belum", "Sudah")</f>
        <v>Belum</v>
      </c>
    </row>
    <row r="14">
      <c r="A14" s="3">
        <f t="shared" si="1"/>
        <v>13</v>
      </c>
      <c r="B14" s="4" t="str">
        <f>IFERROR(__xludf.DUMMYFUNCTION("""COMPUTED_VALUE"""),"AIKE NESAFA ULIFIA")</f>
        <v>AIKE NESAFA ULIFIA</v>
      </c>
      <c r="C14" s="3">
        <f>IFERROR(__xludf.DUMMYFUNCTION("""COMPUTED_VALUE"""),2.02407045E9)</f>
        <v>2024070450</v>
      </c>
      <c r="D14" s="3" t="str">
        <f>IFERROR(__xludf.DUMMYFUNCTION("""COMPUTED_VALUE"""),"E")</f>
        <v>E</v>
      </c>
      <c r="E14" s="3" t="str">
        <f>IFERROR(__xludf.DUMMYFUNCTION("""COMPUTED_VALUE"""),"E-9")</f>
        <v>E-9</v>
      </c>
      <c r="F14" s="3">
        <f>IFERROR(__xludf.DUMMYFUNCTION("""COMPUTED_VALUE"""),3.0)</f>
        <v>3</v>
      </c>
      <c r="G14" s="3" t="str">
        <f>IFERROR(__xludf.DUMMYFUNCTION("""COMPUTED_VALUE"""),"3 ULA B PUTRI")</f>
        <v>3 ULA B PUTRI</v>
      </c>
      <c r="H14" s="3" t="str">
        <f>IFERROR(__xludf.DUMMYFUNCTION("""COMPUTED_VALUE"""),"MTS-9 A")</f>
        <v>MTS-9 A</v>
      </c>
      <c r="I14" s="4" t="str">
        <f>IFERROR(__xludf.DUMMYFUNCTION("""COMPUTED_VALUE"""),"MARIA ULFA")</f>
        <v>MARIA ULFA</v>
      </c>
      <c r="J14" s="4" t="str">
        <f>IFERROR(__xludf.DUMMYFUNCTION("""COMPUTED_VALUE"""),"KUSUMA BANGSA GG KERTANEGARA TUMENGGUNGAN RT 003 RW 006 LAMONGAN LAMONGAN")</f>
        <v>KUSUMA BANGSA GG KERTANEGARA TUMENGGUNGAN RT 003 RW 006 LAMONGAN LAMONGAN</v>
      </c>
      <c r="K14" s="4" t="str">
        <f>IFERROR(__xludf.DUMMYFUNCTION("""COMPUTED_VALUE"""),"6285733946516")</f>
        <v>6285733946516</v>
      </c>
      <c r="L14" s="5">
        <f>IFERROR(__xludf.DUMMYFUNCTION("""COMPUTED_VALUE"""),0.0)</f>
        <v>0</v>
      </c>
      <c r="M14" s="5">
        <f>IFERROR(__xludf.DUMMYFUNCTION("""COMPUTED_VALUE"""),0.0)</f>
        <v>0</v>
      </c>
      <c r="N14" s="5">
        <f>IFERROR(__xludf.DUMMYFUNCTION("""COMPUTED_VALUE"""),0.0)</f>
        <v>0</v>
      </c>
      <c r="O14" s="5">
        <f>IFERROR(__xludf.DUMMYFUNCTION("""COMPUTED_VALUE"""),0.0)</f>
        <v>0</v>
      </c>
      <c r="P14" s="4"/>
      <c r="Q14" s="4"/>
      <c r="R14" s="4"/>
      <c r="S14" s="3" t="str">
        <f>IFERROR(__xludf.DUMMYFUNCTION("""COMPUTED_VALUE"""),"Lunas")</f>
        <v>Lunas</v>
      </c>
      <c r="T14" s="6">
        <f t="shared" si="2"/>
        <v>46206</v>
      </c>
      <c r="U14" s="3" t="str">
        <f>IF(ISNA(vlookup(B14,DataExport!$D$2:$D$496,1,false)), "Belum", "Sudah")</f>
        <v>Belum</v>
      </c>
    </row>
    <row r="15">
      <c r="A15" s="3">
        <f t="shared" si="1"/>
        <v>14</v>
      </c>
      <c r="B15" s="4" t="str">
        <f>IFERROR(__xludf.DUMMYFUNCTION("""COMPUTED_VALUE"""),"AKHMAD FATIKHUL IN`AM")</f>
        <v>AKHMAD FATIKHUL IN`AM</v>
      </c>
      <c r="C15" s="3">
        <f>IFERROR(__xludf.DUMMYFUNCTION("""COMPUTED_VALUE"""),2.024070404E9)</f>
        <v>2024070404</v>
      </c>
      <c r="D15" s="3" t="str">
        <f>IFERROR(__xludf.DUMMYFUNCTION("""COMPUTED_VALUE"""),"A")</f>
        <v>A</v>
      </c>
      <c r="E15" s="3" t="str">
        <f>IFERROR(__xludf.DUMMYFUNCTION("""COMPUTED_VALUE"""),"A-2")</f>
        <v>A-2</v>
      </c>
      <c r="F15" s="3">
        <f>IFERROR(__xludf.DUMMYFUNCTION("""COMPUTED_VALUE"""),3.0)</f>
        <v>3</v>
      </c>
      <c r="G15" s="3" t="str">
        <f>IFERROR(__xludf.DUMMYFUNCTION("""COMPUTED_VALUE"""),"3 MAK PUTRA")</f>
        <v>3 MAK PUTRA</v>
      </c>
      <c r="H15" s="3" t="str">
        <f>IFERROR(__xludf.DUMMYFUNCTION("""COMPUTED_VALUE"""),"MA-XII.13")</f>
        <v>MA-XII.13</v>
      </c>
      <c r="I15" s="4" t="str">
        <f>IFERROR(__xludf.DUMMYFUNCTION("""COMPUTED_VALUE"""),"NURUL MUTHOHAROH")</f>
        <v>NURUL MUTHOHAROH</v>
      </c>
      <c r="J15" s="4" t="str">
        <f>IFERROR(__xludf.DUMMYFUNCTION("""COMPUTED_VALUE"""),"LUMBER KALIPANG RT 001 RW 001 SUGIO LAMONGAN")</f>
        <v>LUMBER KALIPANG RT 001 RW 001 SUGIO LAMONGAN</v>
      </c>
      <c r="K15" s="4" t="str">
        <f>IFERROR(__xludf.DUMMYFUNCTION("""COMPUTED_VALUE"""),"6285645455467")</f>
        <v>6285645455467</v>
      </c>
      <c r="L15" s="5">
        <f>IFERROR(__xludf.DUMMYFUNCTION("""COMPUTED_VALUE"""),0.0)</f>
        <v>0</v>
      </c>
      <c r="M15" s="5">
        <f>IFERROR(__xludf.DUMMYFUNCTION("""COMPUTED_VALUE"""),0.0)</f>
        <v>0</v>
      </c>
      <c r="N15" s="5">
        <f>IFERROR(__xludf.DUMMYFUNCTION("""COMPUTED_VALUE"""),0.0)</f>
        <v>0</v>
      </c>
      <c r="O15" s="5">
        <f>IFERROR(__xludf.DUMMYFUNCTION("""COMPUTED_VALUE"""),0.0)</f>
        <v>0</v>
      </c>
      <c r="P15" s="4"/>
      <c r="Q15" s="4"/>
      <c r="R15" s="4"/>
      <c r="S15" s="3" t="str">
        <f>IFERROR(__xludf.DUMMYFUNCTION("""COMPUTED_VALUE"""),"Lunas")</f>
        <v>Lunas</v>
      </c>
      <c r="T15" s="6">
        <f t="shared" si="2"/>
        <v>46206</v>
      </c>
      <c r="U15" s="3" t="str">
        <f>IF(ISNA(vlookup(B15,DataExport!$D$2:$D$496,1,false)), "Belum", "Sudah")</f>
        <v>Belum</v>
      </c>
    </row>
    <row r="16">
      <c r="A16" s="3">
        <f t="shared" si="1"/>
        <v>15</v>
      </c>
      <c r="B16" s="4" t="str">
        <f>IFERROR(__xludf.DUMMYFUNCTION("""COMPUTED_VALUE"""),"ALIFATUN BINTU KHUMAIROH")</f>
        <v>ALIFATUN BINTU KHUMAIROH</v>
      </c>
      <c r="C16" s="3">
        <f>IFERROR(__xludf.DUMMYFUNCTION("""COMPUTED_VALUE"""),2.024070488E9)</f>
        <v>2024070488</v>
      </c>
      <c r="D16" s="3" t="str">
        <f>IFERROR(__xludf.DUMMYFUNCTION("""COMPUTED_VALUE"""),"C")</f>
        <v>C</v>
      </c>
      <c r="E16" s="3" t="str">
        <f>IFERROR(__xludf.DUMMYFUNCTION("""COMPUTED_VALUE"""),"C-12")</f>
        <v>C-12</v>
      </c>
      <c r="F16" s="3">
        <f>IFERROR(__xludf.DUMMYFUNCTION("""COMPUTED_VALUE"""),3.0)</f>
        <v>3</v>
      </c>
      <c r="G16" s="3" t="str">
        <f>IFERROR(__xludf.DUMMYFUNCTION("""COMPUTED_VALUE"""),"3 ULA B PUTRI")</f>
        <v>3 ULA B PUTRI</v>
      </c>
      <c r="H16" s="3" t="str">
        <f>IFERROR(__xludf.DUMMYFUNCTION("""COMPUTED_VALUE"""),"MTS-9 G")</f>
        <v>MTS-9 G</v>
      </c>
      <c r="I16" s="4" t="str">
        <f>IFERROR(__xludf.DUMMYFUNCTION("""COMPUTED_VALUE"""),"SRI SULISTYANINGSIH")</f>
        <v>SRI SULISTYANINGSIH</v>
      </c>
      <c r="J16" s="4" t="str">
        <f>IFERROR(__xludf.DUMMYFUNCTION("""COMPUTED_VALUE"""),"SIDOBRANTI SIDOMUKTI RT 009 RW 003 KEMBANGBAHU LAMONGAN")</f>
        <v>SIDOBRANTI SIDOMUKTI RT 009 RW 003 KEMBANGBAHU LAMONGAN</v>
      </c>
      <c r="K16" s="4" t="str">
        <f>IFERROR(__xludf.DUMMYFUNCTION("""COMPUTED_VALUE"""),"6285704238402")</f>
        <v>6285704238402</v>
      </c>
      <c r="L16" s="5">
        <f>IFERROR(__xludf.DUMMYFUNCTION("""COMPUTED_VALUE"""),0.0)</f>
        <v>0</v>
      </c>
      <c r="M16" s="5">
        <f>IFERROR(__xludf.DUMMYFUNCTION("""COMPUTED_VALUE"""),0.0)</f>
        <v>0</v>
      </c>
      <c r="N16" s="5">
        <f>IFERROR(__xludf.DUMMYFUNCTION("""COMPUTED_VALUE"""),0.0)</f>
        <v>0</v>
      </c>
      <c r="O16" s="5">
        <f>IFERROR(__xludf.DUMMYFUNCTION("""COMPUTED_VALUE"""),0.0)</f>
        <v>0</v>
      </c>
      <c r="P16" s="4"/>
      <c r="Q16" s="4"/>
      <c r="R16" s="4"/>
      <c r="S16" s="3" t="str">
        <f>IFERROR(__xludf.DUMMYFUNCTION("""COMPUTED_VALUE"""),"Lunas")</f>
        <v>Lunas</v>
      </c>
      <c r="T16" s="6">
        <f t="shared" si="2"/>
        <v>46206</v>
      </c>
      <c r="U16" s="3" t="str">
        <f>IF(ISNA(vlookup(B16,DataExport!$D$2:$D$496,1,false)), "Belum", "Sudah")</f>
        <v>Belum</v>
      </c>
    </row>
    <row r="17">
      <c r="A17" s="3">
        <f t="shared" si="1"/>
        <v>16</v>
      </c>
      <c r="B17" s="4" t="str">
        <f>IFERROR(__xludf.DUMMYFUNCTION("""COMPUTED_VALUE"""),"ALYA SHIFA AZZAHRA")</f>
        <v>ALYA SHIFA AZZAHRA</v>
      </c>
      <c r="C17" s="3">
        <f>IFERROR(__xludf.DUMMYFUNCTION("""COMPUTED_VALUE"""),2.024070579E9)</f>
        <v>2024070579</v>
      </c>
      <c r="D17" s="3" t="str">
        <f>IFERROR(__xludf.DUMMYFUNCTION("""COMPUTED_VALUE"""),"B")</f>
        <v>B</v>
      </c>
      <c r="E17" s="3" t="str">
        <f>IFERROR(__xludf.DUMMYFUNCTION("""COMPUTED_VALUE"""),"B-9")</f>
        <v>B-9</v>
      </c>
      <c r="F17" s="3">
        <f>IFERROR(__xludf.DUMMYFUNCTION("""COMPUTED_VALUE"""),3.0)</f>
        <v>3</v>
      </c>
      <c r="G17" s="3" t="str">
        <f>IFERROR(__xludf.DUMMYFUNCTION("""COMPUTED_VALUE"""),"3 ULA B PUTRI")</f>
        <v>3 ULA B PUTRI</v>
      </c>
      <c r="H17" s="3" t="str">
        <f>IFERROR(__xludf.DUMMYFUNCTION("""COMPUTED_VALUE"""),"MTS-9 G")</f>
        <v>MTS-9 G</v>
      </c>
      <c r="I17" s="4" t="str">
        <f>IFERROR(__xludf.DUMMYFUNCTION("""COMPUTED_VALUE"""),"SULASTRI")</f>
        <v>SULASTRI</v>
      </c>
      <c r="J17" s="4" t="str">
        <f>IFERROR(__xludf.DUMMYFUNCTION("""COMPUTED_VALUE"""),"BANJARAN TURI RT 008 RW 002 MADURAN LAMONGAN")</f>
        <v>BANJARAN TURI RT 008 RW 002 MADURAN LAMONGAN</v>
      </c>
      <c r="K17" s="4" t="str">
        <f>IFERROR(__xludf.DUMMYFUNCTION("""COMPUTED_VALUE"""),"6285738896773")</f>
        <v>6285738896773</v>
      </c>
      <c r="L17" s="5">
        <f>IFERROR(__xludf.DUMMYFUNCTION("""COMPUTED_VALUE"""),0.0)</f>
        <v>0</v>
      </c>
      <c r="M17" s="5">
        <f>IFERROR(__xludf.DUMMYFUNCTION("""COMPUTED_VALUE"""),0.0)</f>
        <v>0</v>
      </c>
      <c r="N17" s="5">
        <f>IFERROR(__xludf.DUMMYFUNCTION("""COMPUTED_VALUE"""),0.0)</f>
        <v>0</v>
      </c>
      <c r="O17" s="5">
        <f>IFERROR(__xludf.DUMMYFUNCTION("""COMPUTED_VALUE"""),0.0)</f>
        <v>0</v>
      </c>
      <c r="P17" s="4"/>
      <c r="Q17" s="4"/>
      <c r="R17" s="4"/>
      <c r="S17" s="3" t="str">
        <f>IFERROR(__xludf.DUMMYFUNCTION("""COMPUTED_VALUE"""),"Lunas")</f>
        <v>Lunas</v>
      </c>
      <c r="T17" s="6">
        <f t="shared" si="2"/>
        <v>46206</v>
      </c>
      <c r="U17" s="3" t="str">
        <f>IF(ISNA(vlookup(B17,DataExport!$D$2:$D$496,1,false)), "Belum", "Sudah")</f>
        <v>Belum</v>
      </c>
    </row>
    <row r="18">
      <c r="A18" s="3">
        <f t="shared" si="1"/>
        <v>17</v>
      </c>
      <c r="B18" s="4" t="str">
        <f>IFERROR(__xludf.DUMMYFUNCTION("""COMPUTED_VALUE"""),"ASTNA ANIS ADUBA")</f>
        <v>ASTNA ANIS ADUBA</v>
      </c>
      <c r="C18" s="3">
        <f>IFERROR(__xludf.DUMMYFUNCTION("""COMPUTED_VALUE"""),2.024070003E9)</f>
        <v>2024070003</v>
      </c>
      <c r="D18" s="3" t="str">
        <f>IFERROR(__xludf.DUMMYFUNCTION("""COMPUTED_VALUE"""),"C")</f>
        <v>C</v>
      </c>
      <c r="E18" s="3" t="str">
        <f>IFERROR(__xludf.DUMMYFUNCTION("""COMPUTED_VALUE"""),"C-2")</f>
        <v>C-2</v>
      </c>
      <c r="F18" s="3">
        <f>IFERROR(__xludf.DUMMYFUNCTION("""COMPUTED_VALUE"""),3.0)</f>
        <v>3</v>
      </c>
      <c r="G18" s="3"/>
      <c r="H18" s="3" t="str">
        <f>IFERROR(__xludf.DUMMYFUNCTION("""COMPUTED_VALUE"""),"MA-XII.1")</f>
        <v>MA-XII.1</v>
      </c>
      <c r="I18" s="4" t="str">
        <f>IFERROR(__xludf.DUMMYFUNCTION("""COMPUTED_VALUE"""),"ZUMROHAH")</f>
        <v>ZUMROHAH</v>
      </c>
      <c r="J18" s="4" t="str">
        <f>IFERROR(__xludf.DUMMYFUNCTION("""COMPUTED_VALUE"""),"TAKERHARJO RT 004 RW 002 SOLOKURO LAMONGAN")</f>
        <v>TAKERHARJO RT 004 RW 002 SOLOKURO LAMONGAN</v>
      </c>
      <c r="K18" s="4" t="str">
        <f>IFERROR(__xludf.DUMMYFUNCTION("""COMPUTED_VALUE"""),"6285790863008")</f>
        <v>6285790863008</v>
      </c>
      <c r="L18" s="5">
        <f>IFERROR(__xludf.DUMMYFUNCTION("""COMPUTED_VALUE"""),0.0)</f>
        <v>0</v>
      </c>
      <c r="M18" s="5">
        <f>IFERROR(__xludf.DUMMYFUNCTION("""COMPUTED_VALUE"""),0.0)</f>
        <v>0</v>
      </c>
      <c r="N18" s="5">
        <f>IFERROR(__xludf.DUMMYFUNCTION("""COMPUTED_VALUE"""),0.0)</f>
        <v>0</v>
      </c>
      <c r="O18" s="5">
        <f>IFERROR(__xludf.DUMMYFUNCTION("""COMPUTED_VALUE"""),0.0)</f>
        <v>0</v>
      </c>
      <c r="P18" s="4"/>
      <c r="Q18" s="4"/>
      <c r="R18" s="4"/>
      <c r="S18" s="3" t="str">
        <f>IFERROR(__xludf.DUMMYFUNCTION("""COMPUTED_VALUE"""),"Lunas")</f>
        <v>Lunas</v>
      </c>
      <c r="T18" s="6">
        <f t="shared" si="2"/>
        <v>46206</v>
      </c>
      <c r="U18" s="3" t="str">
        <f>IF(ISNA(vlookup(B18,DataExport!$D$2:$D$496,1,false)), "Belum", "Sudah")</f>
        <v>Belum</v>
      </c>
    </row>
    <row r="19">
      <c r="A19" s="3">
        <f t="shared" si="1"/>
        <v>18</v>
      </c>
      <c r="B19" s="4" t="str">
        <f>IFERROR(__xludf.DUMMYFUNCTION("""COMPUTED_VALUE"""),"AUFA NUR LAILI FADHILAH")</f>
        <v>AUFA NUR LAILI FADHILAH</v>
      </c>
      <c r="C19" s="3">
        <f>IFERROR(__xludf.DUMMYFUNCTION("""COMPUTED_VALUE"""),2.024070605E9)</f>
        <v>2024070605</v>
      </c>
      <c r="D19" s="3" t="str">
        <f>IFERROR(__xludf.DUMMYFUNCTION("""COMPUTED_VALUE"""),"C")</f>
        <v>C</v>
      </c>
      <c r="E19" s="3" t="str">
        <f>IFERROR(__xludf.DUMMYFUNCTION("""COMPUTED_VALUE"""),"C-3")</f>
        <v>C-3</v>
      </c>
      <c r="F19" s="3">
        <f>IFERROR(__xludf.DUMMYFUNCTION("""COMPUTED_VALUE"""),3.0)</f>
        <v>3</v>
      </c>
      <c r="G19" s="3" t="str">
        <f>IFERROR(__xludf.DUMMYFUNCTION("""COMPUTED_VALUE"""),"3 ULA A PUTRI")</f>
        <v>3 ULA A PUTRI</v>
      </c>
      <c r="H19" s="3" t="str">
        <f>IFERROR(__xludf.DUMMYFUNCTION("""COMPUTED_VALUE"""),"MTS-9 B")</f>
        <v>MTS-9 B</v>
      </c>
      <c r="I19" s="4" t="str">
        <f>IFERROR(__xludf.DUMMYFUNCTION("""COMPUTED_VALUE"""),"KUNARTIN")</f>
        <v>KUNARTIN</v>
      </c>
      <c r="J19" s="4" t="str">
        <f>IFERROR(__xludf.DUMMYFUNCTION("""COMPUTED_VALUE"""),"CANDITUNGGAL RT 003 RW 002 KALITENGAH LAMONGAN")</f>
        <v>CANDITUNGGAL RT 003 RW 002 KALITENGAH LAMONGAN</v>
      </c>
      <c r="K19" s="4" t="str">
        <f>IFERROR(__xludf.DUMMYFUNCTION("""COMPUTED_VALUE"""),"6285815665883")</f>
        <v>6285815665883</v>
      </c>
      <c r="L19" s="5">
        <f>IFERROR(__xludf.DUMMYFUNCTION("""COMPUTED_VALUE"""),0.0)</f>
        <v>0</v>
      </c>
      <c r="M19" s="5">
        <f>IFERROR(__xludf.DUMMYFUNCTION("""COMPUTED_VALUE"""),0.0)</f>
        <v>0</v>
      </c>
      <c r="N19" s="5">
        <f>IFERROR(__xludf.DUMMYFUNCTION("""COMPUTED_VALUE"""),0.0)</f>
        <v>0</v>
      </c>
      <c r="O19" s="5">
        <f>IFERROR(__xludf.DUMMYFUNCTION("""COMPUTED_VALUE"""),0.0)</f>
        <v>0</v>
      </c>
      <c r="P19" s="4"/>
      <c r="Q19" s="4"/>
      <c r="R19" s="4"/>
      <c r="S19" s="3" t="str">
        <f>IFERROR(__xludf.DUMMYFUNCTION("""COMPUTED_VALUE"""),"Lunas")</f>
        <v>Lunas</v>
      </c>
      <c r="T19" s="6">
        <f t="shared" si="2"/>
        <v>46206</v>
      </c>
      <c r="U19" s="3" t="str">
        <f>IF(ISNA(vlookup(B19,DataExport!$D$2:$D$496,1,false)), "Belum", "Sudah")</f>
        <v>Belum</v>
      </c>
    </row>
    <row r="20">
      <c r="A20" s="3">
        <f t="shared" si="1"/>
        <v>19</v>
      </c>
      <c r="B20" s="4" t="str">
        <f>IFERROR(__xludf.DUMMYFUNCTION("""COMPUTED_VALUE"""),"AUFARA DHEA TUNGGA DEWI")</f>
        <v>AUFARA DHEA TUNGGA DEWI</v>
      </c>
      <c r="C20" s="3">
        <f>IFERROR(__xludf.DUMMYFUNCTION("""COMPUTED_VALUE"""),2.02407049E9)</f>
        <v>2024070490</v>
      </c>
      <c r="D20" s="3" t="str">
        <f>IFERROR(__xludf.DUMMYFUNCTION("""COMPUTED_VALUE"""),"C")</f>
        <v>C</v>
      </c>
      <c r="E20" s="3" t="str">
        <f>IFERROR(__xludf.DUMMYFUNCTION("""COMPUTED_VALUE"""),"C-12")</f>
        <v>C-12</v>
      </c>
      <c r="F20" s="3">
        <f>IFERROR(__xludf.DUMMYFUNCTION("""COMPUTED_VALUE"""),3.0)</f>
        <v>3</v>
      </c>
      <c r="G20" s="3" t="str">
        <f>IFERROR(__xludf.DUMMYFUNCTION("""COMPUTED_VALUE"""),"3 ULA A PUTRI")</f>
        <v>3 ULA A PUTRI</v>
      </c>
      <c r="H20" s="3" t="str">
        <f>IFERROR(__xludf.DUMMYFUNCTION("""COMPUTED_VALUE"""),"MTS-9 D")</f>
        <v>MTS-9 D</v>
      </c>
      <c r="I20" s="4" t="str">
        <f>IFERROR(__xludf.DUMMYFUNCTION("""COMPUTED_VALUE"""),"DEWI UTARI")</f>
        <v>DEWI UTARI</v>
      </c>
      <c r="J20" s="4" t="str">
        <f>IFERROR(__xludf.DUMMYFUNCTION("""COMPUTED_VALUE"""),"PRIYOSO WETAN PRIYOSO RT 001 RW 001 KARANGBINANGUN LAMONGAN")</f>
        <v>PRIYOSO WETAN PRIYOSO RT 001 RW 001 KARANGBINANGUN LAMONGAN</v>
      </c>
      <c r="K20" s="4" t="str">
        <f>IFERROR(__xludf.DUMMYFUNCTION("""COMPUTED_VALUE"""),"6281334198484")</f>
        <v>6281334198484</v>
      </c>
      <c r="L20" s="5">
        <f>IFERROR(__xludf.DUMMYFUNCTION("""COMPUTED_VALUE"""),0.0)</f>
        <v>0</v>
      </c>
      <c r="M20" s="5">
        <f>IFERROR(__xludf.DUMMYFUNCTION("""COMPUTED_VALUE"""),0.0)</f>
        <v>0</v>
      </c>
      <c r="N20" s="5">
        <f>IFERROR(__xludf.DUMMYFUNCTION("""COMPUTED_VALUE"""),0.0)</f>
        <v>0</v>
      </c>
      <c r="O20" s="5">
        <f>IFERROR(__xludf.DUMMYFUNCTION("""COMPUTED_VALUE"""),0.0)</f>
        <v>0</v>
      </c>
      <c r="P20" s="4"/>
      <c r="Q20" s="4"/>
      <c r="R20" s="4"/>
      <c r="S20" s="3" t="str">
        <f>IFERROR(__xludf.DUMMYFUNCTION("""COMPUTED_VALUE"""),"Lunas")</f>
        <v>Lunas</v>
      </c>
      <c r="T20" s="6">
        <f t="shared" si="2"/>
        <v>46206</v>
      </c>
      <c r="U20" s="3" t="str">
        <f>IF(ISNA(vlookup(B20,DataExport!$D$2:$D$496,1,false)), "Belum", "Sudah")</f>
        <v>Belum</v>
      </c>
    </row>
    <row r="21">
      <c r="A21" s="3">
        <f t="shared" si="1"/>
        <v>20</v>
      </c>
      <c r="B21" s="4" t="str">
        <f>IFERROR(__xludf.DUMMYFUNCTION("""COMPUTED_VALUE"""),"AULIYAH SYIFA WINARNI")</f>
        <v>AULIYAH SYIFA WINARNI</v>
      </c>
      <c r="C21" s="3">
        <f>IFERROR(__xludf.DUMMYFUNCTION("""COMPUTED_VALUE"""),2.024070188E9)</f>
        <v>2024070188</v>
      </c>
      <c r="D21" s="3" t="str">
        <f>IFERROR(__xludf.DUMMYFUNCTION("""COMPUTED_VALUE"""),"E")</f>
        <v>E</v>
      </c>
      <c r="E21" s="3" t="str">
        <f>IFERROR(__xludf.DUMMYFUNCTION("""COMPUTED_VALUE"""),"E-3")</f>
        <v>E-3</v>
      </c>
      <c r="F21" s="3">
        <f>IFERROR(__xludf.DUMMYFUNCTION("""COMPUTED_VALUE"""),3.0)</f>
        <v>3</v>
      </c>
      <c r="G21" s="3" t="str">
        <f>IFERROR(__xludf.DUMMYFUNCTION("""COMPUTED_VALUE"""),"3 WUSTHO C PUTRI")</f>
        <v>3 WUSTHO C PUTRI</v>
      </c>
      <c r="H21" s="3" t="str">
        <f>IFERROR(__xludf.DUMMYFUNCTION("""COMPUTED_VALUE"""),"MA-XII.5")</f>
        <v>MA-XII.5</v>
      </c>
      <c r="I21" s="4" t="str">
        <f>IFERROR(__xludf.DUMMYFUNCTION("""COMPUTED_VALUE"""),"RULLY SYAMSI WINARNI")</f>
        <v>RULLY SYAMSI WINARNI</v>
      </c>
      <c r="J21" s="4" t="str">
        <f>IFERROR(__xludf.DUMMYFUNCTION("""COMPUTED_VALUE"""),"JL. PEMUDA KLOOFKAMP GURABESI RT 001 RW 005 JAYAPURA UTARA JAYAPURA")</f>
        <v>JL. PEMUDA KLOOFKAMP GURABESI RT 001 RW 005 JAYAPURA UTARA JAYAPURA</v>
      </c>
      <c r="K21" s="4" t="str">
        <f>IFERROR(__xludf.DUMMYFUNCTION("""COMPUTED_VALUE"""),"6282248415765")</f>
        <v>6282248415765</v>
      </c>
      <c r="L21" s="5">
        <f>IFERROR(__xludf.DUMMYFUNCTION("""COMPUTED_VALUE"""),0.0)</f>
        <v>0</v>
      </c>
      <c r="M21" s="5">
        <f>IFERROR(__xludf.DUMMYFUNCTION("""COMPUTED_VALUE"""),0.0)</f>
        <v>0</v>
      </c>
      <c r="N21" s="5">
        <f>IFERROR(__xludf.DUMMYFUNCTION("""COMPUTED_VALUE"""),0.0)</f>
        <v>0</v>
      </c>
      <c r="O21" s="5">
        <f>IFERROR(__xludf.DUMMYFUNCTION("""COMPUTED_VALUE"""),0.0)</f>
        <v>0</v>
      </c>
      <c r="P21" s="4"/>
      <c r="Q21" s="4"/>
      <c r="R21" s="4"/>
      <c r="S21" s="3" t="str">
        <f>IFERROR(__xludf.DUMMYFUNCTION("""COMPUTED_VALUE"""),"Lunas")</f>
        <v>Lunas</v>
      </c>
      <c r="T21" s="6">
        <f t="shared" si="2"/>
        <v>46206</v>
      </c>
      <c r="U21" s="3" t="str">
        <f>IF(ISNA(vlookup(B21,DataExport!$D$2:$D$496,1,false)), "Belum", "Sudah")</f>
        <v>Belum</v>
      </c>
    </row>
    <row r="22">
      <c r="A22" s="3">
        <f t="shared" si="1"/>
        <v>21</v>
      </c>
      <c r="B22" s="4" t="str">
        <f>IFERROR(__xludf.DUMMYFUNCTION("""COMPUTED_VALUE"""),"AUREL NUR HABIBATUL LATHIFAH")</f>
        <v>AUREL NUR HABIBATUL LATHIFAH</v>
      </c>
      <c r="C22" s="3">
        <f>IFERROR(__xludf.DUMMYFUNCTION("""COMPUTED_VALUE"""),2.024070498E9)</f>
        <v>2024070498</v>
      </c>
      <c r="D22" s="3" t="str">
        <f>IFERROR(__xludf.DUMMYFUNCTION("""COMPUTED_VALUE"""),"D")</f>
        <v>D</v>
      </c>
      <c r="E22" s="3" t="str">
        <f>IFERROR(__xludf.DUMMYFUNCTION("""COMPUTED_VALUE"""),"D-4")</f>
        <v>D-4</v>
      </c>
      <c r="F22" s="3">
        <f>IFERROR(__xludf.DUMMYFUNCTION("""COMPUTED_VALUE"""),3.0)</f>
        <v>3</v>
      </c>
      <c r="G22" s="3"/>
      <c r="H22" s="3" t="str">
        <f>IFERROR(__xludf.DUMMYFUNCTION("""COMPUTED_VALUE"""),"MTS-9 C")</f>
        <v>MTS-9 C</v>
      </c>
      <c r="I22" s="4" t="str">
        <f>IFERROR(__xludf.DUMMYFUNCTION("""COMPUTED_VALUE"""),"IMROATUL KHASANAH")</f>
        <v>IMROATUL KHASANAH</v>
      </c>
      <c r="J22" s="4" t="str">
        <f>IFERROR(__xludf.DUMMYFUNCTION("""COMPUTED_VALUE"""),"BANJARMADU RT 001 RW 003 KARANGGENENG LAMONGAN")</f>
        <v>BANJARMADU RT 001 RW 003 KARANGGENENG LAMONGAN</v>
      </c>
      <c r="K22" s="4" t="str">
        <f>IFERROR(__xludf.DUMMYFUNCTION("""COMPUTED_VALUE"""),"6281226713566")</f>
        <v>6281226713566</v>
      </c>
      <c r="L22" s="5">
        <f>IFERROR(__xludf.DUMMYFUNCTION("""COMPUTED_VALUE"""),0.0)</f>
        <v>0</v>
      </c>
      <c r="M22" s="5">
        <f>IFERROR(__xludf.DUMMYFUNCTION("""COMPUTED_VALUE"""),0.0)</f>
        <v>0</v>
      </c>
      <c r="N22" s="5">
        <f>IFERROR(__xludf.DUMMYFUNCTION("""COMPUTED_VALUE"""),0.0)</f>
        <v>0</v>
      </c>
      <c r="O22" s="5">
        <f>IFERROR(__xludf.DUMMYFUNCTION("""COMPUTED_VALUE"""),0.0)</f>
        <v>0</v>
      </c>
      <c r="P22" s="4"/>
      <c r="Q22" s="4"/>
      <c r="R22" s="4"/>
      <c r="S22" s="3" t="str">
        <f>IFERROR(__xludf.DUMMYFUNCTION("""COMPUTED_VALUE"""),"Lunas")</f>
        <v>Lunas</v>
      </c>
      <c r="T22" s="6">
        <f t="shared" si="2"/>
        <v>46206</v>
      </c>
      <c r="U22" s="3" t="str">
        <f>IF(ISNA(vlookup(B22,DataExport!$D$2:$D$496,1,false)), "Belum", "Sudah")</f>
        <v>Belum</v>
      </c>
    </row>
    <row r="23">
      <c r="A23" s="3">
        <f t="shared" si="1"/>
        <v>22</v>
      </c>
      <c r="B23" s="4" t="str">
        <f>IFERROR(__xludf.DUMMYFUNCTION("""COMPUTED_VALUE"""),"AUVA HILYA LUBABAH")</f>
        <v>AUVA HILYA LUBABAH</v>
      </c>
      <c r="C23" s="3">
        <f>IFERROR(__xludf.DUMMYFUNCTION("""COMPUTED_VALUE"""),2.024070414E9)</f>
        <v>2024070414</v>
      </c>
      <c r="D23" s="3" t="str">
        <f>IFERROR(__xludf.DUMMYFUNCTION("""COMPUTED_VALUE"""),"C")</f>
        <v>C</v>
      </c>
      <c r="E23" s="3" t="str">
        <f>IFERROR(__xludf.DUMMYFUNCTION("""COMPUTED_VALUE"""),"C-7")</f>
        <v>C-7</v>
      </c>
      <c r="F23" s="3">
        <f>IFERROR(__xludf.DUMMYFUNCTION("""COMPUTED_VALUE"""),3.0)</f>
        <v>3</v>
      </c>
      <c r="G23" s="3" t="str">
        <f>IFERROR(__xludf.DUMMYFUNCTION("""COMPUTED_VALUE"""),"3 MAK PUTRI")</f>
        <v>3 MAK PUTRI</v>
      </c>
      <c r="H23" s="3" t="str">
        <f>IFERROR(__xludf.DUMMYFUNCTION("""COMPUTED_VALUE"""),"MA-XII.13")</f>
        <v>MA-XII.13</v>
      </c>
      <c r="I23" s="4" t="str">
        <f>IFERROR(__xludf.DUMMYFUNCTION("""COMPUTED_VALUE"""),"RODHIATUN")</f>
        <v>RODHIATUN</v>
      </c>
      <c r="J23" s="4" t="str">
        <f>IFERROR(__xludf.DUMMYFUNCTION("""COMPUTED_VALUE"""),"GEDONG GEDONGBOYOUNTUNG RT 001 RW 001 TURI LAMONGAN")</f>
        <v>GEDONG GEDONGBOYOUNTUNG RT 001 RW 001 TURI LAMONGAN</v>
      </c>
      <c r="K23" s="4" t="str">
        <f>IFERROR(__xludf.DUMMYFUNCTION("""COMPUTED_VALUE"""),"6285608051421")</f>
        <v>6285608051421</v>
      </c>
      <c r="L23" s="5">
        <f>IFERROR(__xludf.DUMMYFUNCTION("""COMPUTED_VALUE"""),0.0)</f>
        <v>0</v>
      </c>
      <c r="M23" s="5">
        <f>IFERROR(__xludf.DUMMYFUNCTION("""COMPUTED_VALUE"""),0.0)</f>
        <v>0</v>
      </c>
      <c r="N23" s="5">
        <f>IFERROR(__xludf.DUMMYFUNCTION("""COMPUTED_VALUE"""),0.0)</f>
        <v>0</v>
      </c>
      <c r="O23" s="5">
        <f>IFERROR(__xludf.DUMMYFUNCTION("""COMPUTED_VALUE"""),0.0)</f>
        <v>0</v>
      </c>
      <c r="P23" s="4"/>
      <c r="Q23" s="4"/>
      <c r="R23" s="4"/>
      <c r="S23" s="3" t="str">
        <f>IFERROR(__xludf.DUMMYFUNCTION("""COMPUTED_VALUE"""),"Lunas")</f>
        <v>Lunas</v>
      </c>
      <c r="T23" s="6">
        <f t="shared" si="2"/>
        <v>46206</v>
      </c>
      <c r="U23" s="3" t="str">
        <f>IF(ISNA(vlookup(B23,DataExport!$D$2:$D$496,1,false)), "Belum", "Sudah")</f>
        <v>Belum</v>
      </c>
    </row>
    <row r="24">
      <c r="A24" s="3">
        <f t="shared" si="1"/>
        <v>23</v>
      </c>
      <c r="B24" s="4" t="str">
        <f>IFERROR(__xludf.DUMMYFUNCTION("""COMPUTED_VALUE"""),"AYU YOVA NAYLA FAZA")</f>
        <v>AYU YOVA NAYLA FAZA</v>
      </c>
      <c r="C24" s="3">
        <f>IFERROR(__xludf.DUMMYFUNCTION("""COMPUTED_VALUE"""),2.024070039E9)</f>
        <v>2024070039</v>
      </c>
      <c r="D24" s="3" t="str">
        <f>IFERROR(__xludf.DUMMYFUNCTION("""COMPUTED_VALUE"""),"C")</f>
        <v>C</v>
      </c>
      <c r="E24" s="3" t="str">
        <f>IFERROR(__xludf.DUMMYFUNCTION("""COMPUTED_VALUE"""),"C-8")</f>
        <v>C-8</v>
      </c>
      <c r="F24" s="3">
        <f>IFERROR(__xludf.DUMMYFUNCTION("""COMPUTED_VALUE"""),3.0)</f>
        <v>3</v>
      </c>
      <c r="G24" s="3" t="str">
        <f>IFERROR(__xludf.DUMMYFUNCTION("""COMPUTED_VALUE"""),"3 WUSTHO A PUTRI")</f>
        <v>3 WUSTHO A PUTRI</v>
      </c>
      <c r="H24" s="3" t="str">
        <f>IFERROR(__xludf.DUMMYFUNCTION("""COMPUTED_VALUE"""),"MA-XII.2")</f>
        <v>MA-XII.2</v>
      </c>
      <c r="I24" s="4" t="str">
        <f>IFERROR(__xludf.DUMMYFUNCTION("""COMPUTED_VALUE"""),"HANIK ASYRIFAH")</f>
        <v>HANIK ASYRIFAH</v>
      </c>
      <c r="J24" s="4" t="str">
        <f>IFERROR(__xludf.DUMMYFUNCTION("""COMPUTED_VALUE"""),"DAGAN RT 002 RW 003 SOLOKURO LAMONGAN")</f>
        <v>DAGAN RT 002 RW 003 SOLOKURO LAMONGAN</v>
      </c>
      <c r="K24" s="4" t="str">
        <f>IFERROR(__xludf.DUMMYFUNCTION("""COMPUTED_VALUE"""),"6285856022187")</f>
        <v>6285856022187</v>
      </c>
      <c r="L24" s="5">
        <f>IFERROR(__xludf.DUMMYFUNCTION("""COMPUTED_VALUE"""),0.0)</f>
        <v>0</v>
      </c>
      <c r="M24" s="5">
        <f>IFERROR(__xludf.DUMMYFUNCTION("""COMPUTED_VALUE"""),0.0)</f>
        <v>0</v>
      </c>
      <c r="N24" s="5">
        <f>IFERROR(__xludf.DUMMYFUNCTION("""COMPUTED_VALUE"""),0.0)</f>
        <v>0</v>
      </c>
      <c r="O24" s="5">
        <f>IFERROR(__xludf.DUMMYFUNCTION("""COMPUTED_VALUE"""),0.0)</f>
        <v>0</v>
      </c>
      <c r="P24" s="4"/>
      <c r="Q24" s="4"/>
      <c r="R24" s="4"/>
      <c r="S24" s="3" t="str">
        <f>IFERROR(__xludf.DUMMYFUNCTION("""COMPUTED_VALUE"""),"Lunas")</f>
        <v>Lunas</v>
      </c>
      <c r="T24" s="6">
        <f t="shared" si="2"/>
        <v>46206</v>
      </c>
      <c r="U24" s="3" t="str">
        <f>IF(ISNA(vlookup(B24,DataExport!$D$2:$D$496,1,false)), "Belum", "Sudah")</f>
        <v>Belum</v>
      </c>
    </row>
    <row r="25">
      <c r="A25" s="3">
        <f t="shared" si="1"/>
        <v>24</v>
      </c>
      <c r="B25" s="4" t="str">
        <f>IFERROR(__xludf.DUMMYFUNCTION("""COMPUTED_VALUE"""),"AZKA YAFIS FIRMANSYAH")</f>
        <v>AZKA YAFIS FIRMANSYAH</v>
      </c>
      <c r="C25" s="3">
        <f>IFERROR(__xludf.DUMMYFUNCTION("""COMPUTED_VALUE"""),2.024070306E9)</f>
        <v>2024070306</v>
      </c>
      <c r="D25" s="3" t="str">
        <f>IFERROR(__xludf.DUMMYFUNCTION("""COMPUTED_VALUE"""),"A")</f>
        <v>A</v>
      </c>
      <c r="E25" s="3" t="str">
        <f>IFERROR(__xludf.DUMMYFUNCTION("""COMPUTED_VALUE"""),"A-10")</f>
        <v>A-10</v>
      </c>
      <c r="F25" s="3">
        <f>IFERROR(__xludf.DUMMYFUNCTION("""COMPUTED_VALUE"""),3.0)</f>
        <v>3</v>
      </c>
      <c r="G25" s="3" t="str">
        <f>IFERROR(__xludf.DUMMYFUNCTION("""COMPUTED_VALUE"""),"3 WUSTHO PUTRA")</f>
        <v>3 WUSTHO PUTRA</v>
      </c>
      <c r="H25" s="3" t="str">
        <f>IFERROR(__xludf.DUMMYFUNCTION("""COMPUTED_VALUE"""),"MA-XII.10")</f>
        <v>MA-XII.10</v>
      </c>
      <c r="I25" s="4" t="str">
        <f>IFERROR(__xludf.DUMMYFUNCTION("""COMPUTED_VALUE"""),"ISWATI")</f>
        <v>ISWATI</v>
      </c>
      <c r="J25" s="4" t="str">
        <f>IFERROR(__xludf.DUMMYFUNCTION("""COMPUTED_VALUE"""),"WIDHE SENDANGHARJO RT 006 RW 001 BRONDONG LAMONGAN")</f>
        <v>WIDHE SENDANGHARJO RT 006 RW 001 BRONDONG LAMONGAN</v>
      </c>
      <c r="K25" s="4" t="str">
        <f>IFERROR(__xludf.DUMMYFUNCTION("""COMPUTED_VALUE"""),"628585028102")</f>
        <v>628585028102</v>
      </c>
      <c r="L25" s="5">
        <f>IFERROR(__xludf.DUMMYFUNCTION("""COMPUTED_VALUE"""),0.0)</f>
        <v>0</v>
      </c>
      <c r="M25" s="5">
        <f>IFERROR(__xludf.DUMMYFUNCTION("""COMPUTED_VALUE"""),0.0)</f>
        <v>0</v>
      </c>
      <c r="N25" s="5">
        <f>IFERROR(__xludf.DUMMYFUNCTION("""COMPUTED_VALUE"""),0.0)</f>
        <v>0</v>
      </c>
      <c r="O25" s="5">
        <f>IFERROR(__xludf.DUMMYFUNCTION("""COMPUTED_VALUE"""),0.0)</f>
        <v>0</v>
      </c>
      <c r="P25" s="4"/>
      <c r="Q25" s="4"/>
      <c r="R25" s="4"/>
      <c r="S25" s="3" t="str">
        <f>IFERROR(__xludf.DUMMYFUNCTION("""COMPUTED_VALUE"""),"Lunas")</f>
        <v>Lunas</v>
      </c>
      <c r="T25" s="6">
        <f t="shared" si="2"/>
        <v>46206</v>
      </c>
      <c r="U25" s="3" t="str">
        <f>IF(ISNA(vlookup(B25,DataExport!$D$2:$D$496,1,false)), "Belum", "Sudah")</f>
        <v>Belum</v>
      </c>
    </row>
    <row r="26">
      <c r="A26" s="3">
        <f t="shared" si="1"/>
        <v>25</v>
      </c>
      <c r="B26" s="4" t="str">
        <f>IFERROR(__xludf.DUMMYFUNCTION("""COMPUTED_VALUE"""),"CALLYSTA QOWIM AZ-ZAHRA")</f>
        <v>CALLYSTA QOWIM AZ-ZAHRA</v>
      </c>
      <c r="C26" s="3">
        <f>IFERROR(__xludf.DUMMYFUNCTION("""COMPUTED_VALUE"""),2.024070489E9)</f>
        <v>2024070489</v>
      </c>
      <c r="D26" s="3" t="str">
        <f>IFERROR(__xludf.DUMMYFUNCTION("""COMPUTED_VALUE"""),"C")</f>
        <v>C</v>
      </c>
      <c r="E26" s="3" t="str">
        <f>IFERROR(__xludf.DUMMYFUNCTION("""COMPUTED_VALUE"""),"C-13")</f>
        <v>C-13</v>
      </c>
      <c r="F26" s="3">
        <f>IFERROR(__xludf.DUMMYFUNCTION("""COMPUTED_VALUE"""),3.0)</f>
        <v>3</v>
      </c>
      <c r="G26" s="3" t="str">
        <f>IFERROR(__xludf.DUMMYFUNCTION("""COMPUTED_VALUE"""),"3 ULA A PUTRI")</f>
        <v>3 ULA A PUTRI</v>
      </c>
      <c r="H26" s="3" t="str">
        <f>IFERROR(__xludf.DUMMYFUNCTION("""COMPUTED_VALUE"""),"MTS-9 G")</f>
        <v>MTS-9 G</v>
      </c>
      <c r="I26" s="4" t="str">
        <f>IFERROR(__xludf.DUMMYFUNCTION("""COMPUTED_VALUE"""),"NUR HIDAYATI")</f>
        <v>NUR HIDAYATI</v>
      </c>
      <c r="J26" s="4" t="str">
        <f>IFERROR(__xludf.DUMMYFUNCTION("""COMPUTED_VALUE"""),"PAJI RT 002 RW 005 PUCUK LAMONGAN")</f>
        <v>PAJI RT 002 RW 005 PUCUK LAMONGAN</v>
      </c>
      <c r="K26" s="4" t="str">
        <f>IFERROR(__xludf.DUMMYFUNCTION("""COMPUTED_VALUE"""),"2682131710998")</f>
        <v>2682131710998</v>
      </c>
      <c r="L26" s="5">
        <f>IFERROR(__xludf.DUMMYFUNCTION("""COMPUTED_VALUE"""),0.0)</f>
        <v>0</v>
      </c>
      <c r="M26" s="5">
        <f>IFERROR(__xludf.DUMMYFUNCTION("""COMPUTED_VALUE"""),0.0)</f>
        <v>0</v>
      </c>
      <c r="N26" s="5">
        <f>IFERROR(__xludf.DUMMYFUNCTION("""COMPUTED_VALUE"""),0.0)</f>
        <v>0</v>
      </c>
      <c r="O26" s="5">
        <f>IFERROR(__xludf.DUMMYFUNCTION("""COMPUTED_VALUE"""),0.0)</f>
        <v>0</v>
      </c>
      <c r="P26" s="4"/>
      <c r="Q26" s="4"/>
      <c r="R26" s="4"/>
      <c r="S26" s="3" t="str">
        <f>IFERROR(__xludf.DUMMYFUNCTION("""COMPUTED_VALUE"""),"Lunas")</f>
        <v>Lunas</v>
      </c>
      <c r="T26" s="6">
        <f t="shared" si="2"/>
        <v>46206</v>
      </c>
      <c r="U26" s="3" t="str">
        <f>IF(ISNA(vlookup(B26,DataExport!$D$2:$D$496,1,false)), "Belum", "Sudah")</f>
        <v>Belum</v>
      </c>
    </row>
    <row r="27">
      <c r="A27" s="3">
        <f t="shared" si="1"/>
        <v>26</v>
      </c>
      <c r="B27" s="4" t="str">
        <f>IFERROR(__xludf.DUMMYFUNCTION("""COMPUTED_VALUE"""),"CANTIKA ASSYARIFIYAH")</f>
        <v>CANTIKA ASSYARIFIYAH</v>
      </c>
      <c r="C27" s="3">
        <f>IFERROR(__xludf.DUMMYFUNCTION("""COMPUTED_VALUE"""),2.024070069E9)</f>
        <v>2024070069</v>
      </c>
      <c r="D27" s="3" t="str">
        <f>IFERROR(__xludf.DUMMYFUNCTION("""COMPUTED_VALUE"""),"D")</f>
        <v>D</v>
      </c>
      <c r="E27" s="3" t="str">
        <f>IFERROR(__xludf.DUMMYFUNCTION("""COMPUTED_VALUE"""),"D-6")</f>
        <v>D-6</v>
      </c>
      <c r="F27" s="3">
        <f>IFERROR(__xludf.DUMMYFUNCTION("""COMPUTED_VALUE"""),3.0)</f>
        <v>3</v>
      </c>
      <c r="G27" s="3" t="str">
        <f>IFERROR(__xludf.DUMMYFUNCTION("""COMPUTED_VALUE"""),"3 WUSTHO C PUTRI")</f>
        <v>3 WUSTHO C PUTRI</v>
      </c>
      <c r="H27" s="3" t="str">
        <f>IFERROR(__xludf.DUMMYFUNCTION("""COMPUTED_VALUE"""),"MA-XII.3")</f>
        <v>MA-XII.3</v>
      </c>
      <c r="I27" s="4" t="str">
        <f>IFERROR(__xludf.DUMMYFUNCTION("""COMPUTED_VALUE"""),"SITI MARWIYA")</f>
        <v>SITI MARWIYA</v>
      </c>
      <c r="J27" s="4" t="str">
        <f>IFERROR(__xludf.DUMMYFUNCTION("""COMPUTED_VALUE"""),"NGAMBEG RT 1 RW 1 PUCUK LAMONGAN")</f>
        <v>NGAMBEG RT 1 RW 1 PUCUK LAMONGAN</v>
      </c>
      <c r="K27" s="4" t="str">
        <f>IFERROR(__xludf.DUMMYFUNCTION("""COMPUTED_VALUE"""),"6285706485182")</f>
        <v>6285706485182</v>
      </c>
      <c r="L27" s="5">
        <f>IFERROR(__xludf.DUMMYFUNCTION("""COMPUTED_VALUE"""),0.0)</f>
        <v>0</v>
      </c>
      <c r="M27" s="5">
        <f>IFERROR(__xludf.DUMMYFUNCTION("""COMPUTED_VALUE"""),0.0)</f>
        <v>0</v>
      </c>
      <c r="N27" s="5">
        <f>IFERROR(__xludf.DUMMYFUNCTION("""COMPUTED_VALUE"""),0.0)</f>
        <v>0</v>
      </c>
      <c r="O27" s="5">
        <f>IFERROR(__xludf.DUMMYFUNCTION("""COMPUTED_VALUE"""),0.0)</f>
        <v>0</v>
      </c>
      <c r="P27" s="4"/>
      <c r="Q27" s="4"/>
      <c r="R27" s="4"/>
      <c r="S27" s="3" t="str">
        <f>IFERROR(__xludf.DUMMYFUNCTION("""COMPUTED_VALUE"""),"Lunas")</f>
        <v>Lunas</v>
      </c>
      <c r="T27" s="6">
        <f t="shared" si="2"/>
        <v>46206</v>
      </c>
      <c r="U27" s="3" t="str">
        <f>IF(ISNA(vlookup(B27,DataExport!$D$2:$D$496,1,false)), "Belum", "Sudah")</f>
        <v>Belum</v>
      </c>
    </row>
    <row r="28">
      <c r="A28" s="3">
        <f t="shared" si="1"/>
        <v>27</v>
      </c>
      <c r="B28" s="4" t="str">
        <f>IFERROR(__xludf.DUMMYFUNCTION("""COMPUTED_VALUE"""),"CELENA FEBRIANA")</f>
        <v>CELENA FEBRIANA</v>
      </c>
      <c r="C28" s="3">
        <f>IFERROR(__xludf.DUMMYFUNCTION("""COMPUTED_VALUE"""),2.024070471E9)</f>
        <v>2024070471</v>
      </c>
      <c r="D28" s="3" t="str">
        <f>IFERROR(__xludf.DUMMYFUNCTION("""COMPUTED_VALUE"""),"D")</f>
        <v>D</v>
      </c>
      <c r="E28" s="3" t="str">
        <f>IFERROR(__xludf.DUMMYFUNCTION("""COMPUTED_VALUE"""),"D-4")</f>
        <v>D-4</v>
      </c>
      <c r="F28" s="3">
        <f>IFERROR(__xludf.DUMMYFUNCTION("""COMPUTED_VALUE"""),3.0)</f>
        <v>3</v>
      </c>
      <c r="G28" s="3" t="str">
        <f>IFERROR(__xludf.DUMMYFUNCTION("""COMPUTED_VALUE"""),"3 ULA A PUTRI")</f>
        <v>3 ULA A PUTRI</v>
      </c>
      <c r="H28" s="3" t="str">
        <f>IFERROR(__xludf.DUMMYFUNCTION("""COMPUTED_VALUE"""),"MTS-9 C")</f>
        <v>MTS-9 C</v>
      </c>
      <c r="I28" s="4" t="str">
        <f>IFERROR(__xludf.DUMMYFUNCTION("""COMPUTED_VALUE"""),"EKA FITRIANA")</f>
        <v>EKA FITRIANA</v>
      </c>
      <c r="J28" s="4" t="str">
        <f>IFERROR(__xludf.DUMMYFUNCTION("""COMPUTED_VALUE"""),"KEBUN MANGGA TANGGUNGAN RT 003 RW 006 PUCUK LAMONGAN")</f>
        <v>KEBUN MANGGA TANGGUNGAN RT 003 RW 006 PUCUK LAMONGAN</v>
      </c>
      <c r="K28" s="4" t="str">
        <f>IFERROR(__xludf.DUMMYFUNCTION("""COMPUTED_VALUE"""),"6285843744198")</f>
        <v>6285843744198</v>
      </c>
      <c r="L28" s="5">
        <f>IFERROR(__xludf.DUMMYFUNCTION("""COMPUTED_VALUE"""),0.0)</f>
        <v>0</v>
      </c>
      <c r="M28" s="5">
        <f>IFERROR(__xludf.DUMMYFUNCTION("""COMPUTED_VALUE"""),0.0)</f>
        <v>0</v>
      </c>
      <c r="N28" s="5">
        <f>IFERROR(__xludf.DUMMYFUNCTION("""COMPUTED_VALUE"""),0.0)</f>
        <v>0</v>
      </c>
      <c r="O28" s="5">
        <f>IFERROR(__xludf.DUMMYFUNCTION("""COMPUTED_VALUE"""),0.0)</f>
        <v>0</v>
      </c>
      <c r="P28" s="4"/>
      <c r="Q28" s="4"/>
      <c r="R28" s="4"/>
      <c r="S28" s="3" t="str">
        <f>IFERROR(__xludf.DUMMYFUNCTION("""COMPUTED_VALUE"""),"Lunas")</f>
        <v>Lunas</v>
      </c>
      <c r="T28" s="6">
        <f t="shared" si="2"/>
        <v>46206</v>
      </c>
      <c r="U28" s="3" t="str">
        <f>IF(ISNA(vlookup(B28,DataExport!$D$2:$D$496,1,false)), "Belum", "Sudah")</f>
        <v>Belum</v>
      </c>
    </row>
    <row r="29">
      <c r="A29" s="3">
        <f t="shared" si="1"/>
        <v>28</v>
      </c>
      <c r="B29" s="4" t="str">
        <f>IFERROR(__xludf.DUMMYFUNCTION("""COMPUTED_VALUE"""),"CERLITA VANIA NUGRAHENI")</f>
        <v>CERLITA VANIA NUGRAHENI</v>
      </c>
      <c r="C29" s="3">
        <f>IFERROR(__xludf.DUMMYFUNCTION("""COMPUTED_VALUE"""),2.024070107E9)</f>
        <v>2024070107</v>
      </c>
      <c r="D29" s="3" t="str">
        <f>IFERROR(__xludf.DUMMYFUNCTION("""COMPUTED_VALUE"""),"C")</f>
        <v>C</v>
      </c>
      <c r="E29" s="3" t="str">
        <f>IFERROR(__xludf.DUMMYFUNCTION("""COMPUTED_VALUE"""),"C-9")</f>
        <v>C-9</v>
      </c>
      <c r="F29" s="3">
        <f>IFERROR(__xludf.DUMMYFUNCTION("""COMPUTED_VALUE"""),3.0)</f>
        <v>3</v>
      </c>
      <c r="G29" s="3"/>
      <c r="H29" s="3" t="str">
        <f>IFERROR(__xludf.DUMMYFUNCTION("""COMPUTED_VALUE"""),"MA-XII.4")</f>
        <v>MA-XII.4</v>
      </c>
      <c r="I29" s="4" t="str">
        <f>IFERROR(__xludf.DUMMYFUNCTION("""COMPUTED_VALUE"""),"LILIS SUJIATI")</f>
        <v>LILIS SUJIATI</v>
      </c>
      <c r="J29" s="4" t="str">
        <f>IFERROR(__xludf.DUMMYFUNCTION("""COMPUTED_VALUE"""),"KULURAN RT 004 RW 002 KALITENGAH LAMONGAN")</f>
        <v>KULURAN RT 004 RW 002 KALITENGAH LAMONGAN</v>
      </c>
      <c r="K29" s="4" t="str">
        <f>IFERROR(__xludf.DUMMYFUNCTION("""COMPUTED_VALUE"""),"628563025554")</f>
        <v>628563025554</v>
      </c>
      <c r="L29" s="5">
        <f>IFERROR(__xludf.DUMMYFUNCTION("""COMPUTED_VALUE"""),0.0)</f>
        <v>0</v>
      </c>
      <c r="M29" s="5">
        <f>IFERROR(__xludf.DUMMYFUNCTION("""COMPUTED_VALUE"""),0.0)</f>
        <v>0</v>
      </c>
      <c r="N29" s="5">
        <f>IFERROR(__xludf.DUMMYFUNCTION("""COMPUTED_VALUE"""),0.0)</f>
        <v>0</v>
      </c>
      <c r="O29" s="5">
        <f>IFERROR(__xludf.DUMMYFUNCTION("""COMPUTED_VALUE"""),0.0)</f>
        <v>0</v>
      </c>
      <c r="P29" s="4"/>
      <c r="Q29" s="4"/>
      <c r="R29" s="4"/>
      <c r="S29" s="3" t="str">
        <f>IFERROR(__xludf.DUMMYFUNCTION("""COMPUTED_VALUE"""),"Lunas")</f>
        <v>Lunas</v>
      </c>
      <c r="T29" s="6">
        <f t="shared" si="2"/>
        <v>46206</v>
      </c>
      <c r="U29" s="3" t="str">
        <f>IF(ISNA(vlookup(B29,DataExport!$D$2:$D$496,1,false)), "Belum", "Sudah")</f>
        <v>Belum</v>
      </c>
    </row>
    <row r="30">
      <c r="A30" s="3">
        <f t="shared" si="1"/>
        <v>29</v>
      </c>
      <c r="B30" s="4" t="str">
        <f>IFERROR(__xludf.DUMMYFUNCTION("""COMPUTED_VALUE"""),"CHARISA WANIDYA UTAMA HARTONO")</f>
        <v>CHARISA WANIDYA UTAMA HARTONO</v>
      </c>
      <c r="C30" s="3">
        <f>IFERROR(__xludf.DUMMYFUNCTION("""COMPUTED_VALUE"""),2.024070476E9)</f>
        <v>2024070476</v>
      </c>
      <c r="D30" s="3" t="str">
        <f>IFERROR(__xludf.DUMMYFUNCTION("""COMPUTED_VALUE"""),"E")</f>
        <v>E</v>
      </c>
      <c r="E30" s="3" t="str">
        <f>IFERROR(__xludf.DUMMYFUNCTION("""COMPUTED_VALUE"""),"E-9")</f>
        <v>E-9</v>
      </c>
      <c r="F30" s="3">
        <f>IFERROR(__xludf.DUMMYFUNCTION("""COMPUTED_VALUE"""),3.0)</f>
        <v>3</v>
      </c>
      <c r="G30" s="3" t="str">
        <f>IFERROR(__xludf.DUMMYFUNCTION("""COMPUTED_VALUE"""),"3 ULA A PUTRI")</f>
        <v>3 ULA A PUTRI</v>
      </c>
      <c r="H30" s="3" t="str">
        <f>IFERROR(__xludf.DUMMYFUNCTION("""COMPUTED_VALUE"""),"MTS-9 A")</f>
        <v>MTS-9 A</v>
      </c>
      <c r="I30" s="4" t="str">
        <f>IFERROR(__xludf.DUMMYFUNCTION("""COMPUTED_VALUE"""),"AINUL ISNAENI")</f>
        <v>AINUL ISNAENI</v>
      </c>
      <c r="J30" s="4" t="str">
        <f>IFERROR(__xludf.DUMMYFUNCTION("""COMPUTED_VALUE"""),"MULUNG KARANGTINGGIL RT 002 RW 001 PUCUK LAMONGAN")</f>
        <v>MULUNG KARANGTINGGIL RT 002 RW 001 PUCUK LAMONGAN</v>
      </c>
      <c r="K30" s="4" t="str">
        <f>IFERROR(__xludf.DUMMYFUNCTION("""COMPUTED_VALUE"""),"6282234537281")</f>
        <v>6282234537281</v>
      </c>
      <c r="L30" s="5">
        <f>IFERROR(__xludf.DUMMYFUNCTION("""COMPUTED_VALUE"""),0.0)</f>
        <v>0</v>
      </c>
      <c r="M30" s="5">
        <f>IFERROR(__xludf.DUMMYFUNCTION("""COMPUTED_VALUE"""),0.0)</f>
        <v>0</v>
      </c>
      <c r="N30" s="5">
        <f>IFERROR(__xludf.DUMMYFUNCTION("""COMPUTED_VALUE"""),0.0)</f>
        <v>0</v>
      </c>
      <c r="O30" s="5">
        <f>IFERROR(__xludf.DUMMYFUNCTION("""COMPUTED_VALUE"""),0.0)</f>
        <v>0</v>
      </c>
      <c r="P30" s="4"/>
      <c r="Q30" s="4"/>
      <c r="R30" s="4"/>
      <c r="S30" s="3" t="str">
        <f>IFERROR(__xludf.DUMMYFUNCTION("""COMPUTED_VALUE"""),"Lunas")</f>
        <v>Lunas</v>
      </c>
      <c r="T30" s="6">
        <f t="shared" si="2"/>
        <v>46206</v>
      </c>
      <c r="U30" s="3" t="str">
        <f>IF(ISNA(vlookup(B30,DataExport!$D$2:$D$496,1,false)), "Belum", "Sudah")</f>
        <v>Belum</v>
      </c>
    </row>
    <row r="31">
      <c r="A31" s="3">
        <f t="shared" si="1"/>
        <v>30</v>
      </c>
      <c r="B31" s="4" t="str">
        <f>IFERROR(__xludf.DUMMYFUNCTION("""COMPUTED_VALUE"""),"DIMAS ALFIAN SAPUTRA")</f>
        <v>DIMAS ALFIAN SAPUTRA</v>
      </c>
      <c r="C31" s="3">
        <f>IFERROR(__xludf.DUMMYFUNCTION("""COMPUTED_VALUE"""),2.024070655E9)</f>
        <v>2024070655</v>
      </c>
      <c r="D31" s="3" t="str">
        <f>IFERROR(__xludf.DUMMYFUNCTION("""COMPUTED_VALUE"""),"A")</f>
        <v>A</v>
      </c>
      <c r="E31" s="3" t="str">
        <f>IFERROR(__xludf.DUMMYFUNCTION("""COMPUTED_VALUE"""),"A-7")</f>
        <v>A-7</v>
      </c>
      <c r="F31" s="3">
        <f>IFERROR(__xludf.DUMMYFUNCTION("""COMPUTED_VALUE"""),3.0)</f>
        <v>3</v>
      </c>
      <c r="G31" s="3" t="str">
        <f>IFERROR(__xludf.DUMMYFUNCTION("""COMPUTED_VALUE"""),"3 ULA A PUTRA")</f>
        <v>3 ULA A PUTRA</v>
      </c>
      <c r="H31" s="3" t="str">
        <f>IFERROR(__xludf.DUMMYFUNCTION("""COMPUTED_VALUE"""),"MTS-9 F")</f>
        <v>MTS-9 F</v>
      </c>
      <c r="I31" s="4" t="str">
        <f>IFERROR(__xludf.DUMMYFUNCTION("""COMPUTED_VALUE"""),"MAHZUMAH")</f>
        <v>MAHZUMAH</v>
      </c>
      <c r="J31" s="4" t="str">
        <f>IFERROR(__xludf.DUMMYFUNCTION("""COMPUTED_VALUE"""),"WEDENG SUKOREJO RT 001 RW 002 KARANGBINANGUN LAMONGAN")</f>
        <v>WEDENG SUKOREJO RT 001 RW 002 KARANGBINANGUN LAMONGAN</v>
      </c>
      <c r="K31" s="4" t="str">
        <f>IFERROR(__xludf.DUMMYFUNCTION("""COMPUTED_VALUE"""),"6285855732030")</f>
        <v>6285855732030</v>
      </c>
      <c r="L31" s="5">
        <f>IFERROR(__xludf.DUMMYFUNCTION("""COMPUTED_VALUE"""),0.0)</f>
        <v>0</v>
      </c>
      <c r="M31" s="5">
        <f>IFERROR(__xludf.DUMMYFUNCTION("""COMPUTED_VALUE"""),0.0)</f>
        <v>0</v>
      </c>
      <c r="N31" s="5">
        <f>IFERROR(__xludf.DUMMYFUNCTION("""COMPUTED_VALUE"""),0.0)</f>
        <v>0</v>
      </c>
      <c r="O31" s="5">
        <f>IFERROR(__xludf.DUMMYFUNCTION("""COMPUTED_VALUE"""),0.0)</f>
        <v>0</v>
      </c>
      <c r="P31" s="4"/>
      <c r="Q31" s="4"/>
      <c r="R31" s="4"/>
      <c r="S31" s="3" t="str">
        <f>IFERROR(__xludf.DUMMYFUNCTION("""COMPUTED_VALUE"""),"Lunas")</f>
        <v>Lunas</v>
      </c>
      <c r="T31" s="6">
        <f t="shared" si="2"/>
        <v>46206</v>
      </c>
      <c r="U31" s="3" t="str">
        <f>IF(ISNA(vlookup(B31,DataExport!$D$2:$D$496,1,false)), "Belum", "Sudah")</f>
        <v>Belum</v>
      </c>
    </row>
    <row r="32">
      <c r="A32" s="3">
        <f t="shared" si="1"/>
        <v>31</v>
      </c>
      <c r="B32" s="4" t="str">
        <f>IFERROR(__xludf.DUMMYFUNCTION("""COMPUTED_VALUE"""),"DIMAS PRATAMA ARIYANTO")</f>
        <v>DIMAS PRATAMA ARIYANTO</v>
      </c>
      <c r="C32" s="3">
        <f>IFERROR(__xludf.DUMMYFUNCTION("""COMPUTED_VALUE"""),2.024070444E9)</f>
        <v>2024070444</v>
      </c>
      <c r="D32" s="3" t="str">
        <f>IFERROR(__xludf.DUMMYFUNCTION("""COMPUTED_VALUE"""),"A")</f>
        <v>A</v>
      </c>
      <c r="E32" s="3" t="str">
        <f>IFERROR(__xludf.DUMMYFUNCTION("""COMPUTED_VALUE"""),"A-8")</f>
        <v>A-8</v>
      </c>
      <c r="F32" s="3">
        <f>IFERROR(__xludf.DUMMYFUNCTION("""COMPUTED_VALUE"""),3.0)</f>
        <v>3</v>
      </c>
      <c r="G32" s="3" t="str">
        <f>IFERROR(__xludf.DUMMYFUNCTION("""COMPUTED_VALUE"""),"3 ULA A PUTRA")</f>
        <v>3 ULA A PUTRA</v>
      </c>
      <c r="H32" s="3" t="str">
        <f>IFERROR(__xludf.DUMMYFUNCTION("""COMPUTED_VALUE"""),"MTS-9 E")</f>
        <v>MTS-9 E</v>
      </c>
      <c r="I32" s="4" t="str">
        <f>IFERROR(__xludf.DUMMYFUNCTION("""COMPUTED_VALUE"""),"YAYUK ERNAWATI")</f>
        <v>YAYUK ERNAWATI</v>
      </c>
      <c r="J32" s="4" t="str">
        <f>IFERROR(__xludf.DUMMYFUNCTION("""COMPUTED_VALUE"""),"SUKOWATI SUKOSONGO RT 017 RW 008 KEMBANGBAHU LAMONGAN")</f>
        <v>SUKOWATI SUKOSONGO RT 017 RW 008 KEMBANGBAHU LAMONGAN</v>
      </c>
      <c r="K32" s="4" t="str">
        <f>IFERROR(__xludf.DUMMYFUNCTION("""COMPUTED_VALUE"""),"6281515026997")</f>
        <v>6281515026997</v>
      </c>
      <c r="L32" s="5">
        <f>IFERROR(__xludf.DUMMYFUNCTION("""COMPUTED_VALUE"""),0.0)</f>
        <v>0</v>
      </c>
      <c r="M32" s="5">
        <f>IFERROR(__xludf.DUMMYFUNCTION("""COMPUTED_VALUE"""),0.0)</f>
        <v>0</v>
      </c>
      <c r="N32" s="5">
        <f>IFERROR(__xludf.DUMMYFUNCTION("""COMPUTED_VALUE"""),0.0)</f>
        <v>0</v>
      </c>
      <c r="O32" s="5">
        <f>IFERROR(__xludf.DUMMYFUNCTION("""COMPUTED_VALUE"""),0.0)</f>
        <v>0</v>
      </c>
      <c r="P32" s="4"/>
      <c r="Q32" s="4"/>
      <c r="R32" s="4"/>
      <c r="S32" s="3" t="str">
        <f>IFERROR(__xludf.DUMMYFUNCTION("""COMPUTED_VALUE"""),"Lunas")</f>
        <v>Lunas</v>
      </c>
      <c r="T32" s="6">
        <f t="shared" si="2"/>
        <v>46206</v>
      </c>
      <c r="U32" s="3" t="str">
        <f>IF(ISNA(vlookup(B32,DataExport!$D$2:$D$496,1,false)), "Belum", "Sudah")</f>
        <v>Belum</v>
      </c>
    </row>
    <row r="33">
      <c r="A33" s="3">
        <f t="shared" si="1"/>
        <v>32</v>
      </c>
      <c r="B33" s="4" t="str">
        <f>IFERROR(__xludf.DUMMYFUNCTION("""COMPUTED_VALUE"""),"DINDA FAIZIRAH ZAHROTUS SITA")</f>
        <v>DINDA FAIZIRAH ZAHROTUS SITA</v>
      </c>
      <c r="C33" s="3">
        <f>IFERROR(__xludf.DUMMYFUNCTION("""COMPUTED_VALUE"""),2.024070005E9)</f>
        <v>2024070005</v>
      </c>
      <c r="D33" s="3" t="str">
        <f>IFERROR(__xludf.DUMMYFUNCTION("""COMPUTED_VALUE"""),"D")</f>
        <v>D</v>
      </c>
      <c r="E33" s="3" t="str">
        <f>IFERROR(__xludf.DUMMYFUNCTION("""COMPUTED_VALUE"""),"D-7")</f>
        <v>D-7</v>
      </c>
      <c r="F33" s="3">
        <f>IFERROR(__xludf.DUMMYFUNCTION("""COMPUTED_VALUE"""),3.0)</f>
        <v>3</v>
      </c>
      <c r="G33" s="3"/>
      <c r="H33" s="3" t="str">
        <f>IFERROR(__xludf.DUMMYFUNCTION("""COMPUTED_VALUE"""),"MA-XII.1")</f>
        <v>MA-XII.1</v>
      </c>
      <c r="I33" s="4" t="str">
        <f>IFERROR(__xludf.DUMMYFUNCTION("""COMPUTED_VALUE"""),"WIWIN WINARTIN")</f>
        <v>WIWIN WINARTIN</v>
      </c>
      <c r="J33" s="4" t="str">
        <f>IFERROR(__xludf.DUMMYFUNCTION("""COMPUTED_VALUE"""),"SUNGELEBAK RT 5 RW 2 KARANGGENENG LAMONGAN")</f>
        <v>SUNGELEBAK RT 5 RW 2 KARANGGENENG LAMONGAN</v>
      </c>
      <c r="K33" s="4" t="str">
        <f>IFERROR(__xludf.DUMMYFUNCTION("""COMPUTED_VALUE"""),"628563468694")</f>
        <v>628563468694</v>
      </c>
      <c r="L33" s="5">
        <f>IFERROR(__xludf.DUMMYFUNCTION("""COMPUTED_VALUE"""),0.0)</f>
        <v>0</v>
      </c>
      <c r="M33" s="5">
        <f>IFERROR(__xludf.DUMMYFUNCTION("""COMPUTED_VALUE"""),0.0)</f>
        <v>0</v>
      </c>
      <c r="N33" s="5">
        <f>IFERROR(__xludf.DUMMYFUNCTION("""COMPUTED_VALUE"""),0.0)</f>
        <v>0</v>
      </c>
      <c r="O33" s="5">
        <f>IFERROR(__xludf.DUMMYFUNCTION("""COMPUTED_VALUE"""),0.0)</f>
        <v>0</v>
      </c>
      <c r="P33" s="4"/>
      <c r="Q33" s="4"/>
      <c r="R33" s="4"/>
      <c r="S33" s="3" t="str">
        <f>IFERROR(__xludf.DUMMYFUNCTION("""COMPUTED_VALUE"""),"Lunas")</f>
        <v>Lunas</v>
      </c>
      <c r="T33" s="6">
        <f t="shared" si="2"/>
        <v>46206</v>
      </c>
      <c r="U33" s="3" t="str">
        <f>IF(ISNA(vlookup(B33,DataExport!$D$2:$D$496,1,false)), "Belum", "Sudah")</f>
        <v>Belum</v>
      </c>
    </row>
    <row r="34">
      <c r="A34" s="3">
        <f t="shared" si="1"/>
        <v>33</v>
      </c>
      <c r="B34" s="4" t="str">
        <f>IFERROR(__xludf.DUMMYFUNCTION("""COMPUTED_VALUE"""),"DZUN NUHA MAHMUDAH")</f>
        <v>DZUN NUHA MAHMUDAH</v>
      </c>
      <c r="C34" s="3">
        <f>IFERROR(__xludf.DUMMYFUNCTION("""COMPUTED_VALUE"""),2.024070042E9)</f>
        <v>2024070042</v>
      </c>
      <c r="D34" s="3" t="str">
        <f>IFERROR(__xludf.DUMMYFUNCTION("""COMPUTED_VALUE"""),"B")</f>
        <v>B</v>
      </c>
      <c r="E34" s="3"/>
      <c r="F34" s="3">
        <f>IFERROR(__xludf.DUMMYFUNCTION("""COMPUTED_VALUE"""),3.0)</f>
        <v>3</v>
      </c>
      <c r="G34" s="3" t="str">
        <f>IFERROR(__xludf.DUMMYFUNCTION("""COMPUTED_VALUE"""),"3 WUSTHO B PUTRI")</f>
        <v>3 WUSTHO B PUTRI</v>
      </c>
      <c r="H34" s="3" t="str">
        <f>IFERROR(__xludf.DUMMYFUNCTION("""COMPUTED_VALUE"""),"MA-XII.2")</f>
        <v>MA-XII.2</v>
      </c>
      <c r="I34" s="4" t="str">
        <f>IFERROR(__xludf.DUMMYFUNCTION("""COMPUTED_VALUE"""),"SRIATUN")</f>
        <v>SRIATUN</v>
      </c>
      <c r="J34" s="4" t="str">
        <f>IFERROR(__xludf.DUMMYFUNCTION("""COMPUTED_VALUE"""),"MENGAI SUKOREJO RT 2 RW 5 KARANGBINANGUN LAMONGAN")</f>
        <v>MENGAI SUKOREJO RT 2 RW 5 KARANGBINANGUN LAMONGAN</v>
      </c>
      <c r="K34" s="4" t="str">
        <f>IFERROR(__xludf.DUMMYFUNCTION("""COMPUTED_VALUE"""),"6285604191924")</f>
        <v>6285604191924</v>
      </c>
      <c r="L34" s="5">
        <f>IFERROR(__xludf.DUMMYFUNCTION("""COMPUTED_VALUE"""),0.0)</f>
        <v>0</v>
      </c>
      <c r="M34" s="5">
        <f>IFERROR(__xludf.DUMMYFUNCTION("""COMPUTED_VALUE"""),0.0)</f>
        <v>0</v>
      </c>
      <c r="N34" s="5">
        <f>IFERROR(__xludf.DUMMYFUNCTION("""COMPUTED_VALUE"""),0.0)</f>
        <v>0</v>
      </c>
      <c r="O34" s="5">
        <f>IFERROR(__xludf.DUMMYFUNCTION("""COMPUTED_VALUE"""),0.0)</f>
        <v>0</v>
      </c>
      <c r="P34" s="4"/>
      <c r="Q34" s="4"/>
      <c r="R34" s="4"/>
      <c r="S34" s="3" t="str">
        <f>IFERROR(__xludf.DUMMYFUNCTION("""COMPUTED_VALUE"""),"Lunas")</f>
        <v>Lunas</v>
      </c>
      <c r="T34" s="6">
        <f t="shared" si="2"/>
        <v>46206</v>
      </c>
      <c r="U34" s="3" t="str">
        <f>IF(ISNA(vlookup(B34,DataExport!$D$2:$D$496,1,false)), "Belum", "Sudah")</f>
        <v>Belum</v>
      </c>
    </row>
    <row r="35">
      <c r="A35" s="3">
        <f t="shared" si="1"/>
        <v>34</v>
      </c>
      <c r="B35" s="4" t="str">
        <f>IFERROR(__xludf.DUMMYFUNCTION("""COMPUTED_VALUE"""),"ELZA AMELIA FIRDA")</f>
        <v>ELZA AMELIA FIRDA</v>
      </c>
      <c r="C35" s="3">
        <f>IFERROR(__xludf.DUMMYFUNCTION("""COMPUTED_VALUE"""),2.024071523E9)</f>
        <v>2024071523</v>
      </c>
      <c r="D35" s="3" t="str">
        <f>IFERROR(__xludf.DUMMYFUNCTION("""COMPUTED_VALUE"""),"D")</f>
        <v>D</v>
      </c>
      <c r="E35" s="3" t="str">
        <f>IFERROR(__xludf.DUMMYFUNCTION("""COMPUTED_VALUE"""),"D-7")</f>
        <v>D-7</v>
      </c>
      <c r="F35" s="3">
        <f>IFERROR(__xludf.DUMMYFUNCTION("""COMPUTED_VALUE"""),3.0)</f>
        <v>3</v>
      </c>
      <c r="G35" s="3" t="str">
        <f>IFERROR(__xludf.DUMMYFUNCTION("""COMPUTED_VALUE"""),"3 ULA C PUTRI")</f>
        <v>3 ULA C PUTRI</v>
      </c>
      <c r="H35" s="3" t="str">
        <f>IFERROR(__xludf.DUMMYFUNCTION("""COMPUTED_VALUE"""),"MTS-9 A")</f>
        <v>MTS-9 A</v>
      </c>
      <c r="I35" s="4" t="str">
        <f>IFERROR(__xludf.DUMMYFUNCTION("""COMPUTED_VALUE"""),"RUKAMAH")</f>
        <v>RUKAMAH</v>
      </c>
      <c r="J35" s="4" t="str">
        <f>IFERROR(__xludf.DUMMYFUNCTION("""COMPUTED_VALUE"""),"SUNGELEBAK RT 014 RW 004 KARANGGENENG LAMONGAN")</f>
        <v>SUNGELEBAK RT 014 RW 004 KARANGGENENG LAMONGAN</v>
      </c>
      <c r="K35" s="4" t="str">
        <f>IFERROR(__xludf.DUMMYFUNCTION("""COMPUTED_VALUE"""),"6285749766177")</f>
        <v>6285749766177</v>
      </c>
      <c r="L35" s="5">
        <f>IFERROR(__xludf.DUMMYFUNCTION("""COMPUTED_VALUE"""),0.0)</f>
        <v>0</v>
      </c>
      <c r="M35" s="5">
        <f>IFERROR(__xludf.DUMMYFUNCTION("""COMPUTED_VALUE"""),0.0)</f>
        <v>0</v>
      </c>
      <c r="N35" s="5">
        <f>IFERROR(__xludf.DUMMYFUNCTION("""COMPUTED_VALUE"""),0.0)</f>
        <v>0</v>
      </c>
      <c r="O35" s="5">
        <f>IFERROR(__xludf.DUMMYFUNCTION("""COMPUTED_VALUE"""),0.0)</f>
        <v>0</v>
      </c>
      <c r="P35" s="4"/>
      <c r="Q35" s="4"/>
      <c r="R35" s="4"/>
      <c r="S35" s="3" t="str">
        <f>IFERROR(__xludf.DUMMYFUNCTION("""COMPUTED_VALUE"""),"Lunas")</f>
        <v>Lunas</v>
      </c>
      <c r="T35" s="6">
        <f t="shared" si="2"/>
        <v>46206</v>
      </c>
      <c r="U35" s="3" t="str">
        <f>IF(ISNA(vlookup(B35,DataExport!$D$2:$D$496,1,false)), "Belum", "Sudah")</f>
        <v>Belum</v>
      </c>
    </row>
    <row r="36">
      <c r="A36" s="3">
        <f t="shared" si="1"/>
        <v>35</v>
      </c>
      <c r="B36" s="4" t="str">
        <f>IFERROR(__xludf.DUMMYFUNCTION("""COMPUTED_VALUE"""),"EZZAR RADITYA PUTRA RAMADHAN")</f>
        <v>EZZAR RADITYA PUTRA RAMADHAN</v>
      </c>
      <c r="C36" s="3">
        <f>IFERROR(__xludf.DUMMYFUNCTION("""COMPUTED_VALUE"""),2.024070639E9)</f>
        <v>2024070639</v>
      </c>
      <c r="D36" s="3" t="str">
        <f>IFERROR(__xludf.DUMMYFUNCTION("""COMPUTED_VALUE"""),"A")</f>
        <v>A</v>
      </c>
      <c r="E36" s="3" t="str">
        <f>IFERROR(__xludf.DUMMYFUNCTION("""COMPUTED_VALUE"""),"A-8")</f>
        <v>A-8</v>
      </c>
      <c r="F36" s="3">
        <f>IFERROR(__xludf.DUMMYFUNCTION("""COMPUTED_VALUE"""),3.0)</f>
        <v>3</v>
      </c>
      <c r="G36" s="3" t="str">
        <f>IFERROR(__xludf.DUMMYFUNCTION("""COMPUTED_VALUE"""),"3 ULA A PUTRA")</f>
        <v>3 ULA A PUTRA</v>
      </c>
      <c r="H36" s="3" t="str">
        <f>IFERROR(__xludf.DUMMYFUNCTION("""COMPUTED_VALUE"""),"MTS-9 B")</f>
        <v>MTS-9 B</v>
      </c>
      <c r="I36" s="4" t="str">
        <f>IFERROR(__xludf.DUMMYFUNCTION("""COMPUTED_VALUE"""),"NUR AINI")</f>
        <v>NUR AINI</v>
      </c>
      <c r="J36" s="4" t="str">
        <f>IFERROR(__xludf.DUMMYFUNCTION("""COMPUTED_VALUE"""),"PUCANGRO RT 002 RW 001 KALITENGAH LAMONGAN")</f>
        <v>PUCANGRO RT 002 RW 001 KALITENGAH LAMONGAN</v>
      </c>
      <c r="K36" s="4" t="str">
        <f>IFERROR(__xludf.DUMMYFUNCTION("""COMPUTED_VALUE"""),"6285707124359")</f>
        <v>6285707124359</v>
      </c>
      <c r="L36" s="5">
        <f>IFERROR(__xludf.DUMMYFUNCTION("""COMPUTED_VALUE"""),0.0)</f>
        <v>0</v>
      </c>
      <c r="M36" s="5">
        <f>IFERROR(__xludf.DUMMYFUNCTION("""COMPUTED_VALUE"""),0.0)</f>
        <v>0</v>
      </c>
      <c r="N36" s="5">
        <f>IFERROR(__xludf.DUMMYFUNCTION("""COMPUTED_VALUE"""),0.0)</f>
        <v>0</v>
      </c>
      <c r="O36" s="5">
        <f>IFERROR(__xludf.DUMMYFUNCTION("""COMPUTED_VALUE"""),0.0)</f>
        <v>0</v>
      </c>
      <c r="P36" s="4"/>
      <c r="Q36" s="4"/>
      <c r="R36" s="4"/>
      <c r="S36" s="3" t="str">
        <f>IFERROR(__xludf.DUMMYFUNCTION("""COMPUTED_VALUE"""),"Lunas")</f>
        <v>Lunas</v>
      </c>
      <c r="T36" s="6">
        <f t="shared" si="2"/>
        <v>46206</v>
      </c>
      <c r="U36" s="3" t="str">
        <f>IF(ISNA(vlookup(B36,DataExport!$D$2:$D$496,1,false)), "Belum", "Sudah")</f>
        <v>Belum</v>
      </c>
    </row>
    <row r="37">
      <c r="A37" s="3">
        <f t="shared" si="1"/>
        <v>36</v>
      </c>
      <c r="B37" s="4" t="str">
        <f>IFERROR(__xludf.DUMMYFUNCTION("""COMPUTED_VALUE"""),"FAHDINA ZAHRA RAMADHANI")</f>
        <v>FAHDINA ZAHRA RAMADHANI</v>
      </c>
      <c r="C37" s="3">
        <f>IFERROR(__xludf.DUMMYFUNCTION("""COMPUTED_VALUE"""),2.024070514E9)</f>
        <v>2024070514</v>
      </c>
      <c r="D37" s="3" t="str">
        <f>IFERROR(__xludf.DUMMYFUNCTION("""COMPUTED_VALUE"""),"B")</f>
        <v>B</v>
      </c>
      <c r="E37" s="3" t="str">
        <f>IFERROR(__xludf.DUMMYFUNCTION("""COMPUTED_VALUE"""),"B-9")</f>
        <v>B-9</v>
      </c>
      <c r="F37" s="3">
        <f>IFERROR(__xludf.DUMMYFUNCTION("""COMPUTED_VALUE"""),3.0)</f>
        <v>3</v>
      </c>
      <c r="G37" s="3" t="str">
        <f>IFERROR(__xludf.DUMMYFUNCTION("""COMPUTED_VALUE"""),"3 ULA B PUTRI")</f>
        <v>3 ULA B PUTRI</v>
      </c>
      <c r="H37" s="3" t="str">
        <f>IFERROR(__xludf.DUMMYFUNCTION("""COMPUTED_VALUE"""),"MTS-9 C")</f>
        <v>MTS-9 C</v>
      </c>
      <c r="I37" s="4" t="str">
        <f>IFERROR(__xludf.DUMMYFUNCTION("""COMPUTED_VALUE"""),"DEFI NUR CHUSAINI")</f>
        <v>DEFI NUR CHUSAINI</v>
      </c>
      <c r="J37" s="4" t="str">
        <f>IFERROR(__xludf.DUMMYFUNCTION("""COMPUTED_VALUE"""),"SIDOMULYO RT 004 RW 003 DEKET LAMONGAN")</f>
        <v>SIDOMULYO RT 004 RW 003 DEKET LAMONGAN</v>
      </c>
      <c r="K37" s="4" t="str">
        <f>IFERROR(__xludf.DUMMYFUNCTION("""COMPUTED_VALUE"""),"6285748441057")</f>
        <v>6285748441057</v>
      </c>
      <c r="L37" s="5">
        <f>IFERROR(__xludf.DUMMYFUNCTION("""COMPUTED_VALUE"""),0.0)</f>
        <v>0</v>
      </c>
      <c r="M37" s="5">
        <f>IFERROR(__xludf.DUMMYFUNCTION("""COMPUTED_VALUE"""),0.0)</f>
        <v>0</v>
      </c>
      <c r="N37" s="5">
        <f>IFERROR(__xludf.DUMMYFUNCTION("""COMPUTED_VALUE"""),0.0)</f>
        <v>0</v>
      </c>
      <c r="O37" s="5">
        <f>IFERROR(__xludf.DUMMYFUNCTION("""COMPUTED_VALUE"""),0.0)</f>
        <v>0</v>
      </c>
      <c r="P37" s="4"/>
      <c r="Q37" s="4"/>
      <c r="R37" s="4"/>
      <c r="S37" s="3" t="str">
        <f>IFERROR(__xludf.DUMMYFUNCTION("""COMPUTED_VALUE"""),"Lunas")</f>
        <v>Lunas</v>
      </c>
      <c r="T37" s="6">
        <f t="shared" si="2"/>
        <v>46206</v>
      </c>
      <c r="U37" s="3" t="str">
        <f>IF(ISNA(vlookup(B37,DataExport!$D$2:$D$496,1,false)), "Belum", "Sudah")</f>
        <v>Belum</v>
      </c>
    </row>
    <row r="38">
      <c r="A38" s="3">
        <f t="shared" si="1"/>
        <v>37</v>
      </c>
      <c r="B38" s="4" t="str">
        <f>IFERROR(__xludf.DUMMYFUNCTION("""COMPUTED_VALUE"""),"FARIKHTA RAMADHANI RIDWAN")</f>
        <v>FARIKHTA RAMADHANI RIDWAN</v>
      </c>
      <c r="C38" s="3">
        <f>IFERROR(__xludf.DUMMYFUNCTION("""COMPUTED_VALUE"""),2.024070043E9)</f>
        <v>2024070043</v>
      </c>
      <c r="D38" s="3" t="str">
        <f>IFERROR(__xludf.DUMMYFUNCTION("""COMPUTED_VALUE"""),"C")</f>
        <v>C</v>
      </c>
      <c r="E38" s="3" t="str">
        <f>IFERROR(__xludf.DUMMYFUNCTION("""COMPUTED_VALUE"""),"C-8")</f>
        <v>C-8</v>
      </c>
      <c r="F38" s="3">
        <f>IFERROR(__xludf.DUMMYFUNCTION("""COMPUTED_VALUE"""),3.0)</f>
        <v>3</v>
      </c>
      <c r="G38" s="3"/>
      <c r="H38" s="3" t="str">
        <f>IFERROR(__xludf.DUMMYFUNCTION("""COMPUTED_VALUE"""),"MA-XII.2")</f>
        <v>MA-XII.2</v>
      </c>
      <c r="I38" s="4" t="str">
        <f>IFERROR(__xludf.DUMMYFUNCTION("""COMPUTED_VALUE"""),"YENI KHUSNIYAH")</f>
        <v>YENI KHUSNIYAH</v>
      </c>
      <c r="J38" s="4" t="str">
        <f>IFERROR(__xludf.DUMMYFUNCTION("""COMPUTED_VALUE"""),"PEGANDEN PALACE PEGANDEN RT 3 RW 7 MANYAR GRESIK")</f>
        <v>PEGANDEN PALACE PEGANDEN RT 3 RW 7 MANYAR GRESIK</v>
      </c>
      <c r="K38" s="4" t="str">
        <f>IFERROR(__xludf.DUMMYFUNCTION("""COMPUTED_VALUE"""),"6283856686322")</f>
        <v>6283856686322</v>
      </c>
      <c r="L38" s="5">
        <f>IFERROR(__xludf.DUMMYFUNCTION("""COMPUTED_VALUE"""),0.0)</f>
        <v>0</v>
      </c>
      <c r="M38" s="5">
        <f>IFERROR(__xludf.DUMMYFUNCTION("""COMPUTED_VALUE"""),0.0)</f>
        <v>0</v>
      </c>
      <c r="N38" s="5">
        <f>IFERROR(__xludf.DUMMYFUNCTION("""COMPUTED_VALUE"""),0.0)</f>
        <v>0</v>
      </c>
      <c r="O38" s="5">
        <f>IFERROR(__xludf.DUMMYFUNCTION("""COMPUTED_VALUE"""),0.0)</f>
        <v>0</v>
      </c>
      <c r="P38" s="4"/>
      <c r="Q38" s="4"/>
      <c r="R38" s="4"/>
      <c r="S38" s="3" t="str">
        <f>IFERROR(__xludf.DUMMYFUNCTION("""COMPUTED_VALUE"""),"Lunas")</f>
        <v>Lunas</v>
      </c>
      <c r="T38" s="6">
        <f t="shared" si="2"/>
        <v>46206</v>
      </c>
      <c r="U38" s="3" t="str">
        <f>IF(ISNA(vlookup(B38,DataExport!$D$2:$D$496,1,false)), "Belum", "Sudah")</f>
        <v>Belum</v>
      </c>
    </row>
    <row r="39">
      <c r="A39" s="3">
        <f t="shared" si="1"/>
        <v>38</v>
      </c>
      <c r="B39" s="4" t="str">
        <f>IFERROR(__xludf.DUMMYFUNCTION("""COMPUTED_VALUE"""),"FATHIMAH ANNAJWA")</f>
        <v>FATHIMAH ANNAJWA</v>
      </c>
      <c r="C39" s="3">
        <f>IFERROR(__xludf.DUMMYFUNCTION("""COMPUTED_VALUE"""),2.02407042E9)</f>
        <v>2024070420</v>
      </c>
      <c r="D39" s="3" t="str">
        <f>IFERROR(__xludf.DUMMYFUNCTION("""COMPUTED_VALUE"""),"C")</f>
        <v>C</v>
      </c>
      <c r="E39" s="3" t="str">
        <f>IFERROR(__xludf.DUMMYFUNCTION("""COMPUTED_VALUE"""),"C-7")</f>
        <v>C-7</v>
      </c>
      <c r="F39" s="3">
        <f>IFERROR(__xludf.DUMMYFUNCTION("""COMPUTED_VALUE"""),3.0)</f>
        <v>3</v>
      </c>
      <c r="G39" s="3" t="str">
        <f>IFERROR(__xludf.DUMMYFUNCTION("""COMPUTED_VALUE"""),"3 MAK PUTRI")</f>
        <v>3 MAK PUTRI</v>
      </c>
      <c r="H39" s="3" t="str">
        <f>IFERROR(__xludf.DUMMYFUNCTION("""COMPUTED_VALUE"""),"MA-XII.13")</f>
        <v>MA-XII.13</v>
      </c>
      <c r="I39" s="4" t="str">
        <f>IFERROR(__xludf.DUMMYFUNCTION("""COMPUTED_VALUE"""),"MARIYATUL QIBTIYAH")</f>
        <v>MARIYATUL QIBTIYAH</v>
      </c>
      <c r="J39" s="4" t="str">
        <f>IFERROR(__xludf.DUMMYFUNCTION("""COMPUTED_VALUE"""),"TAMBAKREJO RT 005 RW 001 DUDUK SAMPEYAN GRESIK")</f>
        <v>TAMBAKREJO RT 005 RW 001 DUDUK SAMPEYAN GRESIK</v>
      </c>
      <c r="K39" s="4" t="str">
        <f>IFERROR(__xludf.DUMMYFUNCTION("""COMPUTED_VALUE"""),"6282132397918")</f>
        <v>6282132397918</v>
      </c>
      <c r="L39" s="5">
        <f>IFERROR(__xludf.DUMMYFUNCTION("""COMPUTED_VALUE"""),0.0)</f>
        <v>0</v>
      </c>
      <c r="M39" s="5">
        <f>IFERROR(__xludf.DUMMYFUNCTION("""COMPUTED_VALUE"""),0.0)</f>
        <v>0</v>
      </c>
      <c r="N39" s="5">
        <f>IFERROR(__xludf.DUMMYFUNCTION("""COMPUTED_VALUE"""),0.0)</f>
        <v>0</v>
      </c>
      <c r="O39" s="5">
        <f>IFERROR(__xludf.DUMMYFUNCTION("""COMPUTED_VALUE"""),0.0)</f>
        <v>0</v>
      </c>
      <c r="P39" s="4"/>
      <c r="Q39" s="4"/>
      <c r="R39" s="4"/>
      <c r="S39" s="3" t="str">
        <f>IFERROR(__xludf.DUMMYFUNCTION("""COMPUTED_VALUE"""),"Lunas")</f>
        <v>Lunas</v>
      </c>
      <c r="T39" s="6">
        <f t="shared" si="2"/>
        <v>46206</v>
      </c>
      <c r="U39" s="3" t="str">
        <f>IF(ISNA(vlookup(B39,DataExport!$D$2:$D$496,1,false)), "Belum", "Sudah")</f>
        <v>Belum</v>
      </c>
    </row>
    <row r="40">
      <c r="A40" s="3">
        <f t="shared" si="1"/>
        <v>39</v>
      </c>
      <c r="B40" s="4" t="str">
        <f>IFERROR(__xludf.DUMMYFUNCTION("""COMPUTED_VALUE"""),"FITHRIYATUL MAULIDAH")</f>
        <v>FITHRIYATUL MAULIDAH</v>
      </c>
      <c r="C40" s="3">
        <f>IFERROR(__xludf.DUMMYFUNCTION("""COMPUTED_VALUE"""),2.024070546E9)</f>
        <v>2024070546</v>
      </c>
      <c r="D40" s="3" t="str">
        <f>IFERROR(__xludf.DUMMYFUNCTION("""COMPUTED_VALUE"""),"E")</f>
        <v>E</v>
      </c>
      <c r="E40" s="3" t="str">
        <f>IFERROR(__xludf.DUMMYFUNCTION("""COMPUTED_VALUE"""),"E-3")</f>
        <v>E-3</v>
      </c>
      <c r="F40" s="3">
        <f>IFERROR(__xludf.DUMMYFUNCTION("""COMPUTED_VALUE"""),3.0)</f>
        <v>3</v>
      </c>
      <c r="G40" s="3" t="str">
        <f>IFERROR(__xludf.DUMMYFUNCTION("""COMPUTED_VALUE"""),"3 ULA B PUTRI")</f>
        <v>3 ULA B PUTRI</v>
      </c>
      <c r="H40" s="3" t="str">
        <f>IFERROR(__xludf.DUMMYFUNCTION("""COMPUTED_VALUE"""),"MTS-9 H")</f>
        <v>MTS-9 H</v>
      </c>
      <c r="I40" s="4" t="str">
        <f>IFERROR(__xludf.DUMMYFUNCTION("""COMPUTED_VALUE"""),"MAHWIYAH")</f>
        <v>MAHWIYAH</v>
      </c>
      <c r="J40" s="4" t="str">
        <f>IFERROR(__xludf.DUMMYFUNCTION("""COMPUTED_VALUE"""),"KALIREJO RT 003 RW 002 DUKUN GRESIK")</f>
        <v>KALIREJO RT 003 RW 002 DUKUN GRESIK</v>
      </c>
      <c r="K40" s="4" t="str">
        <f>IFERROR(__xludf.DUMMYFUNCTION("""COMPUTED_VALUE"""),"6282257167881")</f>
        <v>6282257167881</v>
      </c>
      <c r="L40" s="5">
        <f>IFERROR(__xludf.DUMMYFUNCTION("""COMPUTED_VALUE"""),0.0)</f>
        <v>0</v>
      </c>
      <c r="M40" s="5">
        <f>IFERROR(__xludf.DUMMYFUNCTION("""COMPUTED_VALUE"""),0.0)</f>
        <v>0</v>
      </c>
      <c r="N40" s="5">
        <f>IFERROR(__xludf.DUMMYFUNCTION("""COMPUTED_VALUE"""),0.0)</f>
        <v>0</v>
      </c>
      <c r="O40" s="5">
        <f>IFERROR(__xludf.DUMMYFUNCTION("""COMPUTED_VALUE"""),0.0)</f>
        <v>0</v>
      </c>
      <c r="P40" s="4"/>
      <c r="Q40" s="4"/>
      <c r="R40" s="4"/>
      <c r="S40" s="3" t="str">
        <f>IFERROR(__xludf.DUMMYFUNCTION("""COMPUTED_VALUE"""),"Lunas")</f>
        <v>Lunas</v>
      </c>
      <c r="T40" s="6">
        <f t="shared" si="2"/>
        <v>46206</v>
      </c>
      <c r="U40" s="3" t="str">
        <f>IF(ISNA(vlookup(B40,DataExport!$D$2:$D$496,1,false)), "Belum", "Sudah")</f>
        <v>Belum</v>
      </c>
    </row>
    <row r="41">
      <c r="A41" s="3">
        <f t="shared" si="1"/>
        <v>40</v>
      </c>
      <c r="B41" s="4" t="str">
        <f>IFERROR(__xludf.DUMMYFUNCTION("""COMPUTED_VALUE"""),"HABIBAH AQILAH RAMADHONI")</f>
        <v>HABIBAH AQILAH RAMADHONI</v>
      </c>
      <c r="C41" s="3">
        <f>IFERROR(__xludf.DUMMYFUNCTION("""COMPUTED_VALUE"""),2.024070459E9)</f>
        <v>2024070459</v>
      </c>
      <c r="D41" s="3" t="str">
        <f>IFERROR(__xludf.DUMMYFUNCTION("""COMPUTED_VALUE"""),"E")</f>
        <v>E</v>
      </c>
      <c r="E41" s="3" t="str">
        <f>IFERROR(__xludf.DUMMYFUNCTION("""COMPUTED_VALUE"""),"E-3")</f>
        <v>E-3</v>
      </c>
      <c r="F41" s="3">
        <f>IFERROR(__xludf.DUMMYFUNCTION("""COMPUTED_VALUE"""),3.0)</f>
        <v>3</v>
      </c>
      <c r="G41" s="3" t="str">
        <f>IFERROR(__xludf.DUMMYFUNCTION("""COMPUTED_VALUE"""),"3 ULA C PUTRI")</f>
        <v>3 ULA C PUTRI</v>
      </c>
      <c r="H41" s="3" t="str">
        <f>IFERROR(__xludf.DUMMYFUNCTION("""COMPUTED_VALUE"""),"MTS-9 H")</f>
        <v>MTS-9 H</v>
      </c>
      <c r="I41" s="4" t="str">
        <f>IFERROR(__xludf.DUMMYFUNCTION("""COMPUTED_VALUE"""),"KHOLIFATUS SA'DIYAH")</f>
        <v>KHOLIFATUS SA'DIYAH</v>
      </c>
      <c r="J41" s="4" t="str">
        <f>IFERROR(__xludf.DUMMYFUNCTION("""COMPUTED_VALUE"""),"PENGANGSALAN RT 002 RW 002 KALITENGAH LAMONGAN")</f>
        <v>PENGANGSALAN RT 002 RW 002 KALITENGAH LAMONGAN</v>
      </c>
      <c r="K41" s="4" t="str">
        <f>IFERROR(__xludf.DUMMYFUNCTION("""COMPUTED_VALUE"""),"6285732806511")</f>
        <v>6285732806511</v>
      </c>
      <c r="L41" s="5">
        <f>IFERROR(__xludf.DUMMYFUNCTION("""COMPUTED_VALUE"""),0.0)</f>
        <v>0</v>
      </c>
      <c r="M41" s="5">
        <f>IFERROR(__xludf.DUMMYFUNCTION("""COMPUTED_VALUE"""),0.0)</f>
        <v>0</v>
      </c>
      <c r="N41" s="5">
        <f>IFERROR(__xludf.DUMMYFUNCTION("""COMPUTED_VALUE"""),0.0)</f>
        <v>0</v>
      </c>
      <c r="O41" s="5">
        <f>IFERROR(__xludf.DUMMYFUNCTION("""COMPUTED_VALUE"""),0.0)</f>
        <v>0</v>
      </c>
      <c r="P41" s="4"/>
      <c r="Q41" s="4"/>
      <c r="R41" s="4"/>
      <c r="S41" s="3" t="str">
        <f>IFERROR(__xludf.DUMMYFUNCTION("""COMPUTED_VALUE"""),"Lunas")</f>
        <v>Lunas</v>
      </c>
      <c r="T41" s="6">
        <f t="shared" si="2"/>
        <v>46206</v>
      </c>
      <c r="U41" s="3" t="str">
        <f>IF(ISNA(vlookup(B41,DataExport!$D$2:$D$496,1,false)), "Belum", "Sudah")</f>
        <v>Belum</v>
      </c>
    </row>
    <row r="42">
      <c r="A42" s="3">
        <f t="shared" si="1"/>
        <v>41</v>
      </c>
      <c r="B42" s="4" t="str">
        <f>IFERROR(__xludf.DUMMYFUNCTION("""COMPUTED_VALUE"""),"HANUM CHARISSA AZZAHRA")</f>
        <v>HANUM CHARISSA AZZAHRA</v>
      </c>
      <c r="C42" s="3">
        <f>IFERROR(__xludf.DUMMYFUNCTION("""COMPUTED_VALUE"""),2.024070423E9)</f>
        <v>2024070423</v>
      </c>
      <c r="D42" s="3" t="str">
        <f>IFERROR(__xludf.DUMMYFUNCTION("""COMPUTED_VALUE"""),"C")</f>
        <v>C</v>
      </c>
      <c r="E42" s="3" t="str">
        <f>IFERROR(__xludf.DUMMYFUNCTION("""COMPUTED_VALUE"""),"C-7")</f>
        <v>C-7</v>
      </c>
      <c r="F42" s="3">
        <f>IFERROR(__xludf.DUMMYFUNCTION("""COMPUTED_VALUE"""),3.0)</f>
        <v>3</v>
      </c>
      <c r="G42" s="3" t="str">
        <f>IFERROR(__xludf.DUMMYFUNCTION("""COMPUTED_VALUE"""),"3 MAK PUTRI")</f>
        <v>3 MAK PUTRI</v>
      </c>
      <c r="H42" s="3" t="str">
        <f>IFERROR(__xludf.DUMMYFUNCTION("""COMPUTED_VALUE"""),"MA-XII.13")</f>
        <v>MA-XII.13</v>
      </c>
      <c r="I42" s="4" t="str">
        <f>IFERROR(__xludf.DUMMYFUNCTION("""COMPUTED_VALUE"""),"AMILLATUL AZIZAH")</f>
        <v>AMILLATUL AZIZAH</v>
      </c>
      <c r="J42" s="4" t="str">
        <f>IFERROR(__xludf.DUMMYFUNCTION("""COMPUTED_VALUE"""),"KACANGAN RT 003 RW 001 MODO LAMONGAN")</f>
        <v>KACANGAN RT 003 RW 001 MODO LAMONGAN</v>
      </c>
      <c r="K42" s="4" t="str">
        <f>IFERROR(__xludf.DUMMYFUNCTION("""COMPUTED_VALUE"""),"6285708040713")</f>
        <v>6285708040713</v>
      </c>
      <c r="L42" s="5">
        <f>IFERROR(__xludf.DUMMYFUNCTION("""COMPUTED_VALUE"""),0.0)</f>
        <v>0</v>
      </c>
      <c r="M42" s="5">
        <f>IFERROR(__xludf.DUMMYFUNCTION("""COMPUTED_VALUE"""),0.0)</f>
        <v>0</v>
      </c>
      <c r="N42" s="5">
        <f>IFERROR(__xludf.DUMMYFUNCTION("""COMPUTED_VALUE"""),0.0)</f>
        <v>0</v>
      </c>
      <c r="O42" s="5">
        <f>IFERROR(__xludf.DUMMYFUNCTION("""COMPUTED_VALUE"""),0.0)</f>
        <v>0</v>
      </c>
      <c r="P42" s="4"/>
      <c r="Q42" s="4"/>
      <c r="R42" s="4"/>
      <c r="S42" s="3" t="str">
        <f>IFERROR(__xludf.DUMMYFUNCTION("""COMPUTED_VALUE"""),"Lunas")</f>
        <v>Lunas</v>
      </c>
      <c r="T42" s="6">
        <f t="shared" si="2"/>
        <v>46206</v>
      </c>
      <c r="U42" s="3" t="str">
        <f>IF(ISNA(vlookup(B42,DataExport!$D$2:$D$496,1,false)), "Belum", "Sudah")</f>
        <v>Belum</v>
      </c>
    </row>
    <row r="43">
      <c r="A43" s="3">
        <f t="shared" si="1"/>
        <v>42</v>
      </c>
      <c r="B43" s="4" t="str">
        <f>IFERROR(__xludf.DUMMYFUNCTION("""COMPUTED_VALUE"""),"HARISATUL MAWADDAH")</f>
        <v>HARISATUL MAWADDAH</v>
      </c>
      <c r="C43" s="3">
        <f>IFERROR(__xludf.DUMMYFUNCTION("""COMPUTED_VALUE"""),2.024070155E9)</f>
        <v>2024070155</v>
      </c>
      <c r="D43" s="3" t="str">
        <f>IFERROR(__xludf.DUMMYFUNCTION("""COMPUTED_VALUE"""),"D")</f>
        <v>D</v>
      </c>
      <c r="E43" s="3" t="str">
        <f>IFERROR(__xludf.DUMMYFUNCTION("""COMPUTED_VALUE"""),"D-7")</f>
        <v>D-7</v>
      </c>
      <c r="F43" s="3">
        <f>IFERROR(__xludf.DUMMYFUNCTION("""COMPUTED_VALUE"""),3.0)</f>
        <v>3</v>
      </c>
      <c r="G43" s="3" t="str">
        <f>IFERROR(__xludf.DUMMYFUNCTION("""COMPUTED_VALUE"""),"3 WUSTHO C PUTRI")</f>
        <v>3 WUSTHO C PUTRI</v>
      </c>
      <c r="H43" s="3" t="str">
        <f>IFERROR(__xludf.DUMMYFUNCTION("""COMPUTED_VALUE"""),"MA-XII.7")</f>
        <v>MA-XII.7</v>
      </c>
      <c r="I43" s="4" t="str">
        <f>IFERROR(__xludf.DUMMYFUNCTION("""COMPUTED_VALUE"""),"KISWATI")</f>
        <v>KISWATI</v>
      </c>
      <c r="J43" s="4" t="str">
        <f>IFERROR(__xludf.DUMMYFUNCTION("""COMPUTED_VALUE"""),"KARANGTAWAR RT 3 RW 2 LAREN LAMONGAN")</f>
        <v>KARANGTAWAR RT 3 RW 2 LAREN LAMONGAN</v>
      </c>
      <c r="K43" s="4" t="str">
        <f>IFERROR(__xludf.DUMMYFUNCTION("""COMPUTED_VALUE"""),"62857784061518")</f>
        <v>62857784061518</v>
      </c>
      <c r="L43" s="5">
        <f>IFERROR(__xludf.DUMMYFUNCTION("""COMPUTED_VALUE"""),0.0)</f>
        <v>0</v>
      </c>
      <c r="M43" s="5">
        <f>IFERROR(__xludf.DUMMYFUNCTION("""COMPUTED_VALUE"""),0.0)</f>
        <v>0</v>
      </c>
      <c r="N43" s="5">
        <f>IFERROR(__xludf.DUMMYFUNCTION("""COMPUTED_VALUE"""),0.0)</f>
        <v>0</v>
      </c>
      <c r="O43" s="5">
        <f>IFERROR(__xludf.DUMMYFUNCTION("""COMPUTED_VALUE"""),0.0)</f>
        <v>0</v>
      </c>
      <c r="P43" s="4"/>
      <c r="Q43" s="4"/>
      <c r="R43" s="4"/>
      <c r="S43" s="3" t="str">
        <f>IFERROR(__xludf.DUMMYFUNCTION("""COMPUTED_VALUE"""),"Lunas")</f>
        <v>Lunas</v>
      </c>
      <c r="T43" s="6">
        <f t="shared" si="2"/>
        <v>46206</v>
      </c>
      <c r="U43" s="3" t="str">
        <f>IF(ISNA(vlookup(B43,DataExport!$D$2:$D$496,1,false)), "Belum", "Sudah")</f>
        <v>Belum</v>
      </c>
    </row>
    <row r="44">
      <c r="A44" s="3">
        <f t="shared" si="1"/>
        <v>43</v>
      </c>
      <c r="B44" s="4" t="str">
        <f>IFERROR(__xludf.DUMMYFUNCTION("""COMPUTED_VALUE"""),"HERAWATI ANGGRAINI")</f>
        <v>HERAWATI ANGGRAINI</v>
      </c>
      <c r="C44" s="3">
        <f>IFERROR(__xludf.DUMMYFUNCTION("""COMPUTED_VALUE"""),2.024070228E9)</f>
        <v>2024070228</v>
      </c>
      <c r="D44" s="3" t="str">
        <f>IFERROR(__xludf.DUMMYFUNCTION("""COMPUTED_VALUE"""),"C")</f>
        <v>C</v>
      </c>
      <c r="E44" s="3" t="str">
        <f>IFERROR(__xludf.DUMMYFUNCTION("""COMPUTED_VALUE"""),"C-9")</f>
        <v>C-9</v>
      </c>
      <c r="F44" s="3">
        <f>IFERROR(__xludf.DUMMYFUNCTION("""COMPUTED_VALUE"""),3.0)</f>
        <v>3</v>
      </c>
      <c r="G44" s="3" t="str">
        <f>IFERROR(__xludf.DUMMYFUNCTION("""COMPUTED_VALUE"""),"3 WUSTHO C PUTRI")</f>
        <v>3 WUSTHO C PUTRI</v>
      </c>
      <c r="H44" s="3" t="str">
        <f>IFERROR(__xludf.DUMMYFUNCTION("""COMPUTED_VALUE"""),"MA-XII.6")</f>
        <v>MA-XII.6</v>
      </c>
      <c r="I44" s="4" t="str">
        <f>IFERROR(__xludf.DUMMYFUNCTION("""COMPUTED_VALUE"""),"ZUNI INDRIANA")</f>
        <v>ZUNI INDRIANA</v>
      </c>
      <c r="J44" s="4" t="str">
        <f>IFERROR(__xludf.DUMMYFUNCTION("""COMPUTED_VALUE"""),"KADUNG KADUNGREMBUG RT 001 RW 003 SUKODADI LAMONGAN")</f>
        <v>KADUNG KADUNGREMBUG RT 001 RW 003 SUKODADI LAMONGAN</v>
      </c>
      <c r="K44" s="4" t="str">
        <f>IFERROR(__xludf.DUMMYFUNCTION("""COMPUTED_VALUE"""),"6285708807835")</f>
        <v>6285708807835</v>
      </c>
      <c r="L44" s="5">
        <f>IFERROR(__xludf.DUMMYFUNCTION("""COMPUTED_VALUE"""),0.0)</f>
        <v>0</v>
      </c>
      <c r="M44" s="5">
        <f>IFERROR(__xludf.DUMMYFUNCTION("""COMPUTED_VALUE"""),0.0)</f>
        <v>0</v>
      </c>
      <c r="N44" s="5">
        <f>IFERROR(__xludf.DUMMYFUNCTION("""COMPUTED_VALUE"""),0.0)</f>
        <v>0</v>
      </c>
      <c r="O44" s="5">
        <f>IFERROR(__xludf.DUMMYFUNCTION("""COMPUTED_VALUE"""),0.0)</f>
        <v>0</v>
      </c>
      <c r="P44" s="4"/>
      <c r="Q44" s="4"/>
      <c r="R44" s="4"/>
      <c r="S44" s="3" t="str">
        <f>IFERROR(__xludf.DUMMYFUNCTION("""COMPUTED_VALUE"""),"Lunas")</f>
        <v>Lunas</v>
      </c>
      <c r="T44" s="6">
        <f t="shared" si="2"/>
        <v>46206</v>
      </c>
      <c r="U44" s="3" t="str">
        <f>IF(ISNA(vlookup(B44,DataExport!$D$2:$D$496,1,false)), "Belum", "Sudah")</f>
        <v>Belum</v>
      </c>
    </row>
    <row r="45">
      <c r="A45" s="3">
        <f t="shared" si="1"/>
        <v>44</v>
      </c>
      <c r="B45" s="4" t="str">
        <f>IFERROR(__xludf.DUMMYFUNCTION("""COMPUTED_VALUE"""),"HUMAIRA AISH FAIHA")</f>
        <v>HUMAIRA AISH FAIHA</v>
      </c>
      <c r="C45" s="3">
        <f>IFERROR(__xludf.DUMMYFUNCTION("""COMPUTED_VALUE"""),2.024070009E9)</f>
        <v>2024070009</v>
      </c>
      <c r="D45" s="3" t="str">
        <f>IFERROR(__xludf.DUMMYFUNCTION("""COMPUTED_VALUE"""),"C")</f>
        <v>C</v>
      </c>
      <c r="E45" s="3" t="str">
        <f>IFERROR(__xludf.DUMMYFUNCTION("""COMPUTED_VALUE"""),"C-2")</f>
        <v>C-2</v>
      </c>
      <c r="F45" s="3">
        <f>IFERROR(__xludf.DUMMYFUNCTION("""COMPUTED_VALUE"""),3.0)</f>
        <v>3</v>
      </c>
      <c r="G45" s="3"/>
      <c r="H45" s="3" t="str">
        <f>IFERROR(__xludf.DUMMYFUNCTION("""COMPUTED_VALUE"""),"MA-XII.1")</f>
        <v>MA-XII.1</v>
      </c>
      <c r="I45" s="4" t="str">
        <f>IFERROR(__xludf.DUMMYFUNCTION("""COMPUTED_VALUE"""),"SITI MUTIAH")</f>
        <v>SITI MUTIAH</v>
      </c>
      <c r="J45" s="4" t="str">
        <f>IFERROR(__xludf.DUMMYFUNCTION("""COMPUTED_VALUE"""),"GLATIK RT 010 RW 003 UJUNGPANGKAH GRESIK")</f>
        <v>GLATIK RT 010 RW 003 UJUNGPANGKAH GRESIK</v>
      </c>
      <c r="K45" s="4" t="str">
        <f>IFERROR(__xludf.DUMMYFUNCTION("""COMPUTED_VALUE"""),"62859185949449")</f>
        <v>62859185949449</v>
      </c>
      <c r="L45" s="5">
        <f>IFERROR(__xludf.DUMMYFUNCTION("""COMPUTED_VALUE"""),0.0)</f>
        <v>0</v>
      </c>
      <c r="M45" s="5">
        <f>IFERROR(__xludf.DUMMYFUNCTION("""COMPUTED_VALUE"""),0.0)</f>
        <v>0</v>
      </c>
      <c r="N45" s="5">
        <f>IFERROR(__xludf.DUMMYFUNCTION("""COMPUTED_VALUE"""),0.0)</f>
        <v>0</v>
      </c>
      <c r="O45" s="5">
        <f>IFERROR(__xludf.DUMMYFUNCTION("""COMPUTED_VALUE"""),0.0)</f>
        <v>0</v>
      </c>
      <c r="P45" s="4"/>
      <c r="Q45" s="4"/>
      <c r="R45" s="4"/>
      <c r="S45" s="3" t="str">
        <f>IFERROR(__xludf.DUMMYFUNCTION("""COMPUTED_VALUE"""),"Lunas")</f>
        <v>Lunas</v>
      </c>
      <c r="T45" s="6">
        <f t="shared" si="2"/>
        <v>46206</v>
      </c>
      <c r="U45" s="3" t="str">
        <f>IF(ISNA(vlookup(B45,DataExport!$D$2:$D$496,1,false)), "Belum", "Sudah")</f>
        <v>Belum</v>
      </c>
    </row>
    <row r="46">
      <c r="A46" s="3">
        <f t="shared" si="1"/>
        <v>45</v>
      </c>
      <c r="B46" s="4" t="str">
        <f>IFERROR(__xludf.DUMMYFUNCTION("""COMPUTED_VALUE"""),"ICHDA MAYLA ACHSANI")</f>
        <v>ICHDA MAYLA ACHSANI</v>
      </c>
      <c r="C46" s="3">
        <f>IFERROR(__xludf.DUMMYFUNCTION("""COMPUTED_VALUE"""),2.02407053E9)</f>
        <v>2024070530</v>
      </c>
      <c r="D46" s="3" t="str">
        <f>IFERROR(__xludf.DUMMYFUNCTION("""COMPUTED_VALUE"""),"D")</f>
        <v>D</v>
      </c>
      <c r="E46" s="3" t="str">
        <f>IFERROR(__xludf.DUMMYFUNCTION("""COMPUTED_VALUE"""),"D-7")</f>
        <v>D-7</v>
      </c>
      <c r="F46" s="3">
        <f>IFERROR(__xludf.DUMMYFUNCTION("""COMPUTED_VALUE"""),3.0)</f>
        <v>3</v>
      </c>
      <c r="G46" s="3" t="str">
        <f>IFERROR(__xludf.DUMMYFUNCTION("""COMPUTED_VALUE"""),"3 ULA B PUTRI")</f>
        <v>3 ULA B PUTRI</v>
      </c>
      <c r="H46" s="3" t="str">
        <f>IFERROR(__xludf.DUMMYFUNCTION("""COMPUTED_VALUE"""),"MTS-9 B")</f>
        <v>MTS-9 B</v>
      </c>
      <c r="I46" s="4" t="str">
        <f>IFERROR(__xludf.DUMMYFUNCTION("""COMPUTED_VALUE"""),"KHOMSATUN")</f>
        <v>KHOMSATUN</v>
      </c>
      <c r="J46" s="4" t="str">
        <f>IFERROR(__xludf.DUMMYFUNCTION("""COMPUTED_VALUE"""),"KARANGCANGKRING RT 006 RW 003 DUKUN GRESIK")</f>
        <v>KARANGCANGKRING RT 006 RW 003 DUKUN GRESIK</v>
      </c>
      <c r="K46" s="4" t="str">
        <f>IFERROR(__xludf.DUMMYFUNCTION("""COMPUTED_VALUE"""),"6285704365797")</f>
        <v>6285704365797</v>
      </c>
      <c r="L46" s="5">
        <f>IFERROR(__xludf.DUMMYFUNCTION("""COMPUTED_VALUE"""),0.0)</f>
        <v>0</v>
      </c>
      <c r="M46" s="5">
        <f>IFERROR(__xludf.DUMMYFUNCTION("""COMPUTED_VALUE"""),0.0)</f>
        <v>0</v>
      </c>
      <c r="N46" s="5">
        <f>IFERROR(__xludf.DUMMYFUNCTION("""COMPUTED_VALUE"""),0.0)</f>
        <v>0</v>
      </c>
      <c r="O46" s="5">
        <f>IFERROR(__xludf.DUMMYFUNCTION("""COMPUTED_VALUE"""),0.0)</f>
        <v>0</v>
      </c>
      <c r="P46" s="4"/>
      <c r="Q46" s="4"/>
      <c r="R46" s="4"/>
      <c r="S46" s="3" t="str">
        <f>IFERROR(__xludf.DUMMYFUNCTION("""COMPUTED_VALUE"""),"Lunas")</f>
        <v>Lunas</v>
      </c>
      <c r="T46" s="6">
        <f t="shared" si="2"/>
        <v>46206</v>
      </c>
      <c r="U46" s="3" t="str">
        <f>IF(ISNA(vlookup(B46,DataExport!$D$2:$D$496,1,false)), "Belum", "Sudah")</f>
        <v>Belum</v>
      </c>
    </row>
    <row r="47">
      <c r="A47" s="3">
        <f t="shared" si="1"/>
        <v>46</v>
      </c>
      <c r="B47" s="4" t="str">
        <f>IFERROR(__xludf.DUMMYFUNCTION("""COMPUTED_VALUE"""),"IFTITAHUR ROHMANIYAH")</f>
        <v>IFTITAHUR ROHMANIYAH</v>
      </c>
      <c r="C47" s="3">
        <f>IFERROR(__xludf.DUMMYFUNCTION("""COMPUTED_VALUE"""),2.024070375E9)</f>
        <v>2024070375</v>
      </c>
      <c r="D47" s="3" t="str">
        <f>IFERROR(__xludf.DUMMYFUNCTION("""COMPUTED_VALUE"""),"D")</f>
        <v>D</v>
      </c>
      <c r="E47" s="3" t="str">
        <f>IFERROR(__xludf.DUMMYFUNCTION("""COMPUTED_VALUE"""),"D-6")</f>
        <v>D-6</v>
      </c>
      <c r="F47" s="3">
        <f>IFERROR(__xludf.DUMMYFUNCTION("""COMPUTED_VALUE"""),3.0)</f>
        <v>3</v>
      </c>
      <c r="G47" s="3" t="str">
        <f>IFERROR(__xludf.DUMMYFUNCTION("""COMPUTED_VALUE"""),"3 WUSTHO C PUTRI")</f>
        <v>3 WUSTHO C PUTRI</v>
      </c>
      <c r="H47" s="3" t="str">
        <f>IFERROR(__xludf.DUMMYFUNCTION("""COMPUTED_VALUE"""),"MA-XII.5")</f>
        <v>MA-XII.5</v>
      </c>
      <c r="I47" s="4" t="str">
        <f>IFERROR(__xludf.DUMMYFUNCTION("""COMPUTED_VALUE"""),"MASLIHATINA")</f>
        <v>MASLIHATINA</v>
      </c>
      <c r="J47" s="4" t="str">
        <f>IFERROR(__xludf.DUMMYFUNCTION("""COMPUTED_VALUE"""),"SUMURBER RT 8 RW 3 PANCENG GRESIK")</f>
        <v>SUMURBER RT 8 RW 3 PANCENG GRESIK</v>
      </c>
      <c r="K47" s="4" t="str">
        <f>IFERROR(__xludf.DUMMYFUNCTION("""COMPUTED_VALUE"""),"628157146323")</f>
        <v>628157146323</v>
      </c>
      <c r="L47" s="5">
        <f>IFERROR(__xludf.DUMMYFUNCTION("""COMPUTED_VALUE"""),0.0)</f>
        <v>0</v>
      </c>
      <c r="M47" s="5">
        <f>IFERROR(__xludf.DUMMYFUNCTION("""COMPUTED_VALUE"""),0.0)</f>
        <v>0</v>
      </c>
      <c r="N47" s="5">
        <f>IFERROR(__xludf.DUMMYFUNCTION("""COMPUTED_VALUE"""),0.0)</f>
        <v>0</v>
      </c>
      <c r="O47" s="5">
        <f>IFERROR(__xludf.DUMMYFUNCTION("""COMPUTED_VALUE"""),0.0)</f>
        <v>0</v>
      </c>
      <c r="P47" s="4"/>
      <c r="Q47" s="4"/>
      <c r="R47" s="4"/>
      <c r="S47" s="3" t="str">
        <f>IFERROR(__xludf.DUMMYFUNCTION("""COMPUTED_VALUE"""),"Lunas")</f>
        <v>Lunas</v>
      </c>
      <c r="T47" s="6">
        <f t="shared" si="2"/>
        <v>46206</v>
      </c>
      <c r="U47" s="3" t="str">
        <f>IF(ISNA(vlookup(B47,DataExport!$D$2:$D$496,1,false)), "Belum", "Sudah")</f>
        <v>Belum</v>
      </c>
    </row>
    <row r="48">
      <c r="A48" s="3">
        <f t="shared" si="1"/>
        <v>47</v>
      </c>
      <c r="B48" s="4" t="str">
        <f>IFERROR(__xludf.DUMMYFUNCTION("""COMPUTED_VALUE"""),"IKROMAH DZATIS SAKINAH")</f>
        <v>IKROMAH DZATIS SAKINAH</v>
      </c>
      <c r="C48" s="3">
        <f>IFERROR(__xludf.DUMMYFUNCTION("""COMPUTED_VALUE"""),2.024070424E9)</f>
        <v>2024070424</v>
      </c>
      <c r="D48" s="3" t="str">
        <f>IFERROR(__xludf.DUMMYFUNCTION("""COMPUTED_VALUE"""),"C")</f>
        <v>C</v>
      </c>
      <c r="E48" s="3" t="str">
        <f>IFERROR(__xludf.DUMMYFUNCTION("""COMPUTED_VALUE"""),"C-7")</f>
        <v>C-7</v>
      </c>
      <c r="F48" s="3">
        <f>IFERROR(__xludf.DUMMYFUNCTION("""COMPUTED_VALUE"""),3.0)</f>
        <v>3</v>
      </c>
      <c r="G48" s="3" t="str">
        <f>IFERROR(__xludf.DUMMYFUNCTION("""COMPUTED_VALUE"""),"3 MAK PUTRI")</f>
        <v>3 MAK PUTRI</v>
      </c>
      <c r="H48" s="3" t="str">
        <f>IFERROR(__xludf.DUMMYFUNCTION("""COMPUTED_VALUE"""),"MA-XII.13")</f>
        <v>MA-XII.13</v>
      </c>
      <c r="I48" s="4" t="str">
        <f>IFERROR(__xludf.DUMMYFUNCTION("""COMPUTED_VALUE"""),"SULASTRI")</f>
        <v>SULASTRI</v>
      </c>
      <c r="J48" s="4" t="str">
        <f>IFERROR(__xludf.DUMMYFUNCTION("""COMPUTED_VALUE"""),"PUTATREJO PUTATBANGAH RT 002 RW 003 KARANGBINANGUN LAMONGAN")</f>
        <v>PUTATREJO PUTATBANGAH RT 002 RW 003 KARANGBINANGUN LAMONGAN</v>
      </c>
      <c r="K48" s="4" t="str">
        <f>IFERROR(__xludf.DUMMYFUNCTION("""COMPUTED_VALUE"""),"628554660287")</f>
        <v>628554660287</v>
      </c>
      <c r="L48" s="5">
        <f>IFERROR(__xludf.DUMMYFUNCTION("""COMPUTED_VALUE"""),0.0)</f>
        <v>0</v>
      </c>
      <c r="M48" s="5">
        <f>IFERROR(__xludf.DUMMYFUNCTION("""COMPUTED_VALUE"""),0.0)</f>
        <v>0</v>
      </c>
      <c r="N48" s="5">
        <f>IFERROR(__xludf.DUMMYFUNCTION("""COMPUTED_VALUE"""),0.0)</f>
        <v>0</v>
      </c>
      <c r="O48" s="5">
        <f>IFERROR(__xludf.DUMMYFUNCTION("""COMPUTED_VALUE"""),0.0)</f>
        <v>0</v>
      </c>
      <c r="P48" s="4"/>
      <c r="Q48" s="4"/>
      <c r="R48" s="4"/>
      <c r="S48" s="3" t="str">
        <f>IFERROR(__xludf.DUMMYFUNCTION("""COMPUTED_VALUE"""),"Lunas")</f>
        <v>Lunas</v>
      </c>
      <c r="T48" s="6">
        <f t="shared" si="2"/>
        <v>46206</v>
      </c>
      <c r="U48" s="3" t="str">
        <f>IF(ISNA(vlookup(B48,DataExport!$D$2:$D$496,1,false)), "Belum", "Sudah")</f>
        <v>Belum</v>
      </c>
    </row>
    <row r="49">
      <c r="A49" s="3">
        <f t="shared" si="1"/>
        <v>48</v>
      </c>
      <c r="B49" s="4" t="str">
        <f>IFERROR(__xludf.DUMMYFUNCTION("""COMPUTED_VALUE"""),"IMAM ALI SAMUDRA ARIF")</f>
        <v>IMAM ALI SAMUDRA ARIF</v>
      </c>
      <c r="C49" s="3">
        <f>IFERROR(__xludf.DUMMYFUNCTION("""COMPUTED_VALUE"""),2.024070135E9)</f>
        <v>2024070135</v>
      </c>
      <c r="D49" s="3" t="str">
        <f>IFERROR(__xludf.DUMMYFUNCTION("""COMPUTED_VALUE"""),"A")</f>
        <v>A</v>
      </c>
      <c r="E49" s="3" t="str">
        <f>IFERROR(__xludf.DUMMYFUNCTION("""COMPUTED_VALUE"""),"A-10")</f>
        <v>A-10</v>
      </c>
      <c r="F49" s="3">
        <f>IFERROR(__xludf.DUMMYFUNCTION("""COMPUTED_VALUE"""),3.0)</f>
        <v>3</v>
      </c>
      <c r="G49" s="3" t="str">
        <f>IFERROR(__xludf.DUMMYFUNCTION("""COMPUTED_VALUE"""),"3 WUSTHO PUTRA")</f>
        <v>3 WUSTHO PUTRA</v>
      </c>
      <c r="H49" s="3" t="str">
        <f>IFERROR(__xludf.DUMMYFUNCTION("""COMPUTED_VALUE"""),"MA-XII.7")</f>
        <v>MA-XII.7</v>
      </c>
      <c r="I49" s="4" t="str">
        <f>IFERROR(__xludf.DUMMYFUNCTION("""COMPUTED_VALUE"""),"AYSYYA ISLAMIAH")</f>
        <v>AYSYYA ISLAMIAH</v>
      </c>
      <c r="J49" s="4" t="str">
        <f>IFERROR(__xludf.DUMMYFUNCTION("""COMPUTED_VALUE"""),"KALITENGAH RT 1 RW 4 KALITENGAH LAMONGAN")</f>
        <v>KALITENGAH RT 1 RW 4 KALITENGAH LAMONGAN</v>
      </c>
      <c r="K49" s="4" t="str">
        <f>IFERROR(__xludf.DUMMYFUNCTION("""COMPUTED_VALUE"""),"6285648494406")</f>
        <v>6285648494406</v>
      </c>
      <c r="L49" s="5">
        <f>IFERROR(__xludf.DUMMYFUNCTION("""COMPUTED_VALUE"""),0.0)</f>
        <v>0</v>
      </c>
      <c r="M49" s="5">
        <f>IFERROR(__xludf.DUMMYFUNCTION("""COMPUTED_VALUE"""),0.0)</f>
        <v>0</v>
      </c>
      <c r="N49" s="5">
        <f>IFERROR(__xludf.DUMMYFUNCTION("""COMPUTED_VALUE"""),0.0)</f>
        <v>0</v>
      </c>
      <c r="O49" s="5">
        <f>IFERROR(__xludf.DUMMYFUNCTION("""COMPUTED_VALUE"""),0.0)</f>
        <v>0</v>
      </c>
      <c r="P49" s="4"/>
      <c r="Q49" s="4"/>
      <c r="R49" s="4"/>
      <c r="S49" s="3" t="str">
        <f>IFERROR(__xludf.DUMMYFUNCTION("""COMPUTED_VALUE"""),"Lunas")</f>
        <v>Lunas</v>
      </c>
      <c r="T49" s="6">
        <f t="shared" si="2"/>
        <v>46206</v>
      </c>
      <c r="U49" s="3" t="str">
        <f>IF(ISNA(vlookup(B49,DataExport!$D$2:$D$496,1,false)), "Belum", "Sudah")</f>
        <v>Belum</v>
      </c>
    </row>
    <row r="50">
      <c r="A50" s="3">
        <f t="shared" si="1"/>
        <v>49</v>
      </c>
      <c r="B50" s="4" t="str">
        <f>IFERROR(__xludf.DUMMYFUNCTION("""COMPUTED_VALUE"""),"IMELDA CAHYA ANGGRAENI")</f>
        <v>IMELDA CAHYA ANGGRAENI</v>
      </c>
      <c r="C50" s="3">
        <f>IFERROR(__xludf.DUMMYFUNCTION("""COMPUTED_VALUE"""),2.024070515E9)</f>
        <v>2024070515</v>
      </c>
      <c r="D50" s="3" t="str">
        <f>IFERROR(__xludf.DUMMYFUNCTION("""COMPUTED_VALUE"""),"B")</f>
        <v>B</v>
      </c>
      <c r="E50" s="3" t="str">
        <f>IFERROR(__xludf.DUMMYFUNCTION("""COMPUTED_VALUE"""),"B-9")</f>
        <v>B-9</v>
      </c>
      <c r="F50" s="3">
        <f>IFERROR(__xludf.DUMMYFUNCTION("""COMPUTED_VALUE"""),3.0)</f>
        <v>3</v>
      </c>
      <c r="G50" s="3" t="str">
        <f>IFERROR(__xludf.DUMMYFUNCTION("""COMPUTED_VALUE"""),"3 ULA B PUTRI")</f>
        <v>3 ULA B PUTRI</v>
      </c>
      <c r="H50" s="3" t="str">
        <f>IFERROR(__xludf.DUMMYFUNCTION("""COMPUTED_VALUE"""),"MTS-9 D")</f>
        <v>MTS-9 D</v>
      </c>
      <c r="I50" s="4" t="str">
        <f>IFERROR(__xludf.DUMMYFUNCTION("""COMPUTED_VALUE"""),"ELIYAH LUTFIANAH")</f>
        <v>ELIYAH LUTFIANAH</v>
      </c>
      <c r="J50" s="4" t="str">
        <f>IFERROR(__xludf.DUMMYFUNCTION("""COMPUTED_VALUE"""),"MELUKE SIDOMULYO RT 002 RW 003 DEKET LAMONGAN")</f>
        <v>MELUKE SIDOMULYO RT 002 RW 003 DEKET LAMONGAN</v>
      </c>
      <c r="K50" s="4" t="str">
        <f>IFERROR(__xludf.DUMMYFUNCTION("""COMPUTED_VALUE"""),"6285604272784")</f>
        <v>6285604272784</v>
      </c>
      <c r="L50" s="5">
        <f>IFERROR(__xludf.DUMMYFUNCTION("""COMPUTED_VALUE"""),0.0)</f>
        <v>0</v>
      </c>
      <c r="M50" s="5">
        <f>IFERROR(__xludf.DUMMYFUNCTION("""COMPUTED_VALUE"""),0.0)</f>
        <v>0</v>
      </c>
      <c r="N50" s="5">
        <f>IFERROR(__xludf.DUMMYFUNCTION("""COMPUTED_VALUE"""),0.0)</f>
        <v>0</v>
      </c>
      <c r="O50" s="5">
        <f>IFERROR(__xludf.DUMMYFUNCTION("""COMPUTED_VALUE"""),0.0)</f>
        <v>0</v>
      </c>
      <c r="P50" s="4"/>
      <c r="Q50" s="4"/>
      <c r="R50" s="4"/>
      <c r="S50" s="3" t="str">
        <f>IFERROR(__xludf.DUMMYFUNCTION("""COMPUTED_VALUE"""),"Lunas")</f>
        <v>Lunas</v>
      </c>
      <c r="T50" s="6">
        <f t="shared" si="2"/>
        <v>46206</v>
      </c>
      <c r="U50" s="3" t="str">
        <f>IF(ISNA(vlookup(B50,DataExport!$D$2:$D$496,1,false)), "Belum", "Sudah")</f>
        <v>Belum</v>
      </c>
    </row>
    <row r="51">
      <c r="A51" s="3">
        <f t="shared" si="1"/>
        <v>50</v>
      </c>
      <c r="B51" s="4" t="str">
        <f>IFERROR(__xludf.DUMMYFUNCTION("""COMPUTED_VALUE"""),"INTAN FAZIRAWATI")</f>
        <v>INTAN FAZIRAWATI</v>
      </c>
      <c r="C51" s="3">
        <f>IFERROR(__xludf.DUMMYFUNCTION("""COMPUTED_VALUE"""),2.02407001E9)</f>
        <v>2024070010</v>
      </c>
      <c r="D51" s="3" t="str">
        <f>IFERROR(__xludf.DUMMYFUNCTION("""COMPUTED_VALUE"""),"C")</f>
        <v>C</v>
      </c>
      <c r="E51" s="3" t="str">
        <f>IFERROR(__xludf.DUMMYFUNCTION("""COMPUTED_VALUE"""),"C-2")</f>
        <v>C-2</v>
      </c>
      <c r="F51" s="3">
        <f>IFERROR(__xludf.DUMMYFUNCTION("""COMPUTED_VALUE"""),3.0)</f>
        <v>3</v>
      </c>
      <c r="G51" s="3"/>
      <c r="H51" s="3" t="str">
        <f>IFERROR(__xludf.DUMMYFUNCTION("""COMPUTED_VALUE"""),"MA-XII.1")</f>
        <v>MA-XII.1</v>
      </c>
      <c r="I51" s="4" t="str">
        <f>IFERROR(__xludf.DUMMYFUNCTION("""COMPUTED_VALUE"""),"SUDARWATI")</f>
        <v>SUDARWATI</v>
      </c>
      <c r="J51" s="4" t="str">
        <f>IFERROR(__xludf.DUMMYFUNCTION("""COMPUTED_VALUE"""),"GEDONGOMBO RT 4 RW 12 SEMANDING TUBAN")</f>
        <v>GEDONGOMBO RT 4 RW 12 SEMANDING TUBAN</v>
      </c>
      <c r="K51" s="4" t="str">
        <f>IFERROR(__xludf.DUMMYFUNCTION("""COMPUTED_VALUE"""),"6285607770247")</f>
        <v>6285607770247</v>
      </c>
      <c r="L51" s="5">
        <f>IFERROR(__xludf.DUMMYFUNCTION("""COMPUTED_VALUE"""),0.0)</f>
        <v>0</v>
      </c>
      <c r="M51" s="5">
        <f>IFERROR(__xludf.DUMMYFUNCTION("""COMPUTED_VALUE"""),0.0)</f>
        <v>0</v>
      </c>
      <c r="N51" s="5">
        <f>IFERROR(__xludf.DUMMYFUNCTION("""COMPUTED_VALUE"""),0.0)</f>
        <v>0</v>
      </c>
      <c r="O51" s="5">
        <f>IFERROR(__xludf.DUMMYFUNCTION("""COMPUTED_VALUE"""),0.0)</f>
        <v>0</v>
      </c>
      <c r="P51" s="4"/>
      <c r="Q51" s="4"/>
      <c r="R51" s="4"/>
      <c r="S51" s="3" t="str">
        <f>IFERROR(__xludf.DUMMYFUNCTION("""COMPUTED_VALUE"""),"Lunas")</f>
        <v>Lunas</v>
      </c>
      <c r="T51" s="6">
        <f t="shared" si="2"/>
        <v>46206</v>
      </c>
      <c r="U51" s="3" t="str">
        <f>IF(ISNA(vlookup(B51,DataExport!$D$2:$D$496,1,false)), "Belum", "Sudah")</f>
        <v>Belum</v>
      </c>
    </row>
    <row r="52">
      <c r="A52" s="3">
        <f t="shared" si="1"/>
        <v>51</v>
      </c>
      <c r="B52" s="4" t="str">
        <f>IFERROR(__xludf.DUMMYFUNCTION("""COMPUTED_VALUE"""),"IRSYAD KAHFI SOFYAN")</f>
        <v>IRSYAD KAHFI SOFYAN</v>
      </c>
      <c r="C52" s="3">
        <f>IFERROR(__xludf.DUMMYFUNCTION("""COMPUTED_VALUE"""),2.024070091E9)</f>
        <v>2024070091</v>
      </c>
      <c r="D52" s="3" t="str">
        <f>IFERROR(__xludf.DUMMYFUNCTION("""COMPUTED_VALUE"""),"A")</f>
        <v>A</v>
      </c>
      <c r="E52" s="3" t="str">
        <f>IFERROR(__xludf.DUMMYFUNCTION("""COMPUTED_VALUE"""),"A-10")</f>
        <v>A-10</v>
      </c>
      <c r="F52" s="3">
        <f>IFERROR(__xludf.DUMMYFUNCTION("""COMPUTED_VALUE"""),3.0)</f>
        <v>3</v>
      </c>
      <c r="G52" s="3" t="str">
        <f>IFERROR(__xludf.DUMMYFUNCTION("""COMPUTED_VALUE"""),"3 WUSTHO PUTRA")</f>
        <v>3 WUSTHO PUTRA</v>
      </c>
      <c r="H52" s="3" t="str">
        <f>IFERROR(__xludf.DUMMYFUNCTION("""COMPUTED_VALUE"""),"MA-XII.4")</f>
        <v>MA-XII.4</v>
      </c>
      <c r="I52" s="4" t="str">
        <f>IFERROR(__xludf.DUMMYFUNCTION("""COMPUTED_VALUE"""),"FAIDATUN NISA'")</f>
        <v>FAIDATUN NISA'</v>
      </c>
      <c r="J52" s="4" t="str">
        <f>IFERROR(__xludf.DUMMYFUNCTION("""COMPUTED_VALUE"""),"KAUMAN REGENCY BLOK L NO. 6 RT 5 RW 9 MRANGGEN DEMAK")</f>
        <v>KAUMAN REGENCY BLOK L NO. 6 RT 5 RW 9 MRANGGEN DEMAK</v>
      </c>
      <c r="K52" s="4" t="str">
        <f>IFERROR(__xludf.DUMMYFUNCTION("""COMPUTED_VALUE"""),"6285708222090")</f>
        <v>6285708222090</v>
      </c>
      <c r="L52" s="5">
        <f>IFERROR(__xludf.DUMMYFUNCTION("""COMPUTED_VALUE"""),0.0)</f>
        <v>0</v>
      </c>
      <c r="M52" s="5">
        <f>IFERROR(__xludf.DUMMYFUNCTION("""COMPUTED_VALUE"""),0.0)</f>
        <v>0</v>
      </c>
      <c r="N52" s="5">
        <f>IFERROR(__xludf.DUMMYFUNCTION("""COMPUTED_VALUE"""),0.0)</f>
        <v>0</v>
      </c>
      <c r="O52" s="5">
        <f>IFERROR(__xludf.DUMMYFUNCTION("""COMPUTED_VALUE"""),0.0)</f>
        <v>0</v>
      </c>
      <c r="P52" s="4"/>
      <c r="Q52" s="4"/>
      <c r="R52" s="4"/>
      <c r="S52" s="3" t="str">
        <f>IFERROR(__xludf.DUMMYFUNCTION("""COMPUTED_VALUE"""),"Lunas")</f>
        <v>Lunas</v>
      </c>
      <c r="T52" s="6">
        <f t="shared" si="2"/>
        <v>46206</v>
      </c>
      <c r="U52" s="3" t="str">
        <f>IF(ISNA(vlookup(B52,DataExport!$D$2:$D$496,1,false)), "Belum", "Sudah")</f>
        <v>Belum</v>
      </c>
    </row>
    <row r="53">
      <c r="A53" s="3">
        <f t="shared" si="1"/>
        <v>52</v>
      </c>
      <c r="B53" s="4" t="str">
        <f>IFERROR(__xludf.DUMMYFUNCTION("""COMPUTED_VALUE"""),"ISYTI DZIL KARIMAH")</f>
        <v>ISYTI DZIL KARIMAH</v>
      </c>
      <c r="C53" s="3">
        <f>IFERROR(__xludf.DUMMYFUNCTION("""COMPUTED_VALUE"""),2.024070465E9)</f>
        <v>2024070465</v>
      </c>
      <c r="D53" s="3" t="str">
        <f>IFERROR(__xludf.DUMMYFUNCTION("""COMPUTED_VALUE"""),"C")</f>
        <v>C</v>
      </c>
      <c r="E53" s="3" t="str">
        <f>IFERROR(__xludf.DUMMYFUNCTION("""COMPUTED_VALUE"""),"C-3")</f>
        <v>C-3</v>
      </c>
      <c r="F53" s="3">
        <f>IFERROR(__xludf.DUMMYFUNCTION("""COMPUTED_VALUE"""),3.0)</f>
        <v>3</v>
      </c>
      <c r="G53" s="3" t="str">
        <f>IFERROR(__xludf.DUMMYFUNCTION("""COMPUTED_VALUE"""),"3 ULA C PUTRI")</f>
        <v>3 ULA C PUTRI</v>
      </c>
      <c r="H53" s="3" t="str">
        <f>IFERROR(__xludf.DUMMYFUNCTION("""COMPUTED_VALUE"""),"MTS-9 D")</f>
        <v>MTS-9 D</v>
      </c>
      <c r="I53" s="4" t="str">
        <f>IFERROR(__xludf.DUMMYFUNCTION("""COMPUTED_VALUE"""),"NURUL FAIZAH")</f>
        <v>NURUL FAIZAH</v>
      </c>
      <c r="J53" s="4" t="str">
        <f>IFERROR(__xludf.DUMMYFUNCTION("""COMPUTED_VALUE"""),"BUCULOR RAYUNGGUMUK RT 001 RW 001 GLAGAH LAMONGAN")</f>
        <v>BUCULOR RAYUNGGUMUK RT 001 RW 001 GLAGAH LAMONGAN</v>
      </c>
      <c r="K53" s="4" t="str">
        <f>IFERROR(__xludf.DUMMYFUNCTION("""COMPUTED_VALUE"""),"6285850796841")</f>
        <v>6285850796841</v>
      </c>
      <c r="L53" s="5">
        <f>IFERROR(__xludf.DUMMYFUNCTION("""COMPUTED_VALUE"""),0.0)</f>
        <v>0</v>
      </c>
      <c r="M53" s="5">
        <f>IFERROR(__xludf.DUMMYFUNCTION("""COMPUTED_VALUE"""),0.0)</f>
        <v>0</v>
      </c>
      <c r="N53" s="5">
        <f>IFERROR(__xludf.DUMMYFUNCTION("""COMPUTED_VALUE"""),0.0)</f>
        <v>0</v>
      </c>
      <c r="O53" s="5">
        <f>IFERROR(__xludf.DUMMYFUNCTION("""COMPUTED_VALUE"""),0.0)</f>
        <v>0</v>
      </c>
      <c r="P53" s="4"/>
      <c r="Q53" s="4"/>
      <c r="R53" s="4"/>
      <c r="S53" s="3" t="str">
        <f>IFERROR(__xludf.DUMMYFUNCTION("""COMPUTED_VALUE"""),"Lunas")</f>
        <v>Lunas</v>
      </c>
      <c r="T53" s="6">
        <f t="shared" si="2"/>
        <v>46206</v>
      </c>
      <c r="U53" s="3" t="str">
        <f>IF(ISNA(vlookup(B53,DataExport!$D$2:$D$496,1,false)), "Belum", "Sudah")</f>
        <v>Belum</v>
      </c>
    </row>
    <row r="54">
      <c r="A54" s="3">
        <f t="shared" si="1"/>
        <v>53</v>
      </c>
      <c r="B54" s="4" t="str">
        <f>IFERROR(__xludf.DUMMYFUNCTION("""COMPUTED_VALUE"""),"KAFA MUZAMIL BILHAQ")</f>
        <v>KAFA MUZAMIL BILHAQ</v>
      </c>
      <c r="C54" s="3">
        <f>IFERROR(__xludf.DUMMYFUNCTION("""COMPUTED_VALUE"""),2.024070603E9)</f>
        <v>2024070603</v>
      </c>
      <c r="D54" s="3" t="str">
        <f>IFERROR(__xludf.DUMMYFUNCTION("""COMPUTED_VALUE"""),"A")</f>
        <v>A</v>
      </c>
      <c r="E54" s="3" t="str">
        <f>IFERROR(__xludf.DUMMYFUNCTION("""COMPUTED_VALUE"""),"A-13")</f>
        <v>A-13</v>
      </c>
      <c r="F54" s="3">
        <f>IFERROR(__xludf.DUMMYFUNCTION("""COMPUTED_VALUE"""),3.0)</f>
        <v>3</v>
      </c>
      <c r="G54" s="3"/>
      <c r="H54" s="3" t="str">
        <f>IFERROR(__xludf.DUMMYFUNCTION("""COMPUTED_VALUE"""),"MTS-9 A")</f>
        <v>MTS-9 A</v>
      </c>
      <c r="I54" s="4" t="str">
        <f>IFERROR(__xludf.DUMMYFUNCTION("""COMPUTED_VALUE"""),"SITI FATIMAH")</f>
        <v>SITI FATIMAH</v>
      </c>
      <c r="J54" s="4" t="str">
        <f>IFERROR(__xludf.DUMMYFUNCTION("""COMPUTED_VALUE"""),"MOJORANU RT 002 RW 005 TIKUNG LAMONGAN")</f>
        <v>MOJORANU RT 002 RW 005 TIKUNG LAMONGAN</v>
      </c>
      <c r="K54" s="4" t="str">
        <f>IFERROR(__xludf.DUMMYFUNCTION("""COMPUTED_VALUE"""),"6285815585925")</f>
        <v>6285815585925</v>
      </c>
      <c r="L54" s="5">
        <f>IFERROR(__xludf.DUMMYFUNCTION("""COMPUTED_VALUE"""),0.0)</f>
        <v>0</v>
      </c>
      <c r="M54" s="5">
        <f>IFERROR(__xludf.DUMMYFUNCTION("""COMPUTED_VALUE"""),0.0)</f>
        <v>0</v>
      </c>
      <c r="N54" s="5">
        <f>IFERROR(__xludf.DUMMYFUNCTION("""COMPUTED_VALUE"""),0.0)</f>
        <v>0</v>
      </c>
      <c r="O54" s="5">
        <f>IFERROR(__xludf.DUMMYFUNCTION("""COMPUTED_VALUE"""),0.0)</f>
        <v>0</v>
      </c>
      <c r="P54" s="4"/>
      <c r="Q54" s="4"/>
      <c r="R54" s="4"/>
      <c r="S54" s="3" t="str">
        <f>IFERROR(__xludf.DUMMYFUNCTION("""COMPUTED_VALUE"""),"Lunas")</f>
        <v>Lunas</v>
      </c>
      <c r="T54" s="6">
        <f t="shared" si="2"/>
        <v>46206</v>
      </c>
      <c r="U54" s="3" t="str">
        <f>IF(ISNA(vlookup(B54,DataExport!$D$2:$D$496,1,false)), "Belum", "Sudah")</f>
        <v>Belum</v>
      </c>
    </row>
    <row r="55">
      <c r="A55" s="3">
        <f t="shared" si="1"/>
        <v>54</v>
      </c>
      <c r="B55" s="4" t="str">
        <f>IFERROR(__xludf.DUMMYFUNCTION("""COMPUTED_VALUE"""),"KANZA DINA AQWIYA")</f>
        <v>KANZA DINA AQWIYA</v>
      </c>
      <c r="C55" s="3">
        <f>IFERROR(__xludf.DUMMYFUNCTION("""COMPUTED_VALUE"""),2.024070012E9)</f>
        <v>2024070012</v>
      </c>
      <c r="D55" s="3" t="str">
        <f>IFERROR(__xludf.DUMMYFUNCTION("""COMPUTED_VALUE"""),"C")</f>
        <v>C</v>
      </c>
      <c r="E55" s="3" t="str">
        <f>IFERROR(__xludf.DUMMYFUNCTION("""COMPUTED_VALUE"""),"C-2")</f>
        <v>C-2</v>
      </c>
      <c r="F55" s="3">
        <f>IFERROR(__xludf.DUMMYFUNCTION("""COMPUTED_VALUE"""),3.0)</f>
        <v>3</v>
      </c>
      <c r="G55" s="3"/>
      <c r="H55" s="3" t="str">
        <f>IFERROR(__xludf.DUMMYFUNCTION("""COMPUTED_VALUE"""),"MA-XII.1")</f>
        <v>MA-XII.1</v>
      </c>
      <c r="I55" s="4" t="str">
        <f>IFERROR(__xludf.DUMMYFUNCTION("""COMPUTED_VALUE"""),"ZAMALIYAH")</f>
        <v>ZAMALIYAH</v>
      </c>
      <c r="J55" s="4" t="str">
        <f>IFERROR(__xludf.DUMMYFUNCTION("""COMPUTED_VALUE"""),"SIDOMULYO RT 1 RW 1 SIDAYU GRESIK")</f>
        <v>SIDOMULYO RT 1 RW 1 SIDAYU GRESIK</v>
      </c>
      <c r="K55" s="4" t="str">
        <f>IFERROR(__xludf.DUMMYFUNCTION("""COMPUTED_VALUE"""),"6285100650399")</f>
        <v>6285100650399</v>
      </c>
      <c r="L55" s="5">
        <f>IFERROR(__xludf.DUMMYFUNCTION("""COMPUTED_VALUE"""),0.0)</f>
        <v>0</v>
      </c>
      <c r="M55" s="5">
        <f>IFERROR(__xludf.DUMMYFUNCTION("""COMPUTED_VALUE"""),0.0)</f>
        <v>0</v>
      </c>
      <c r="N55" s="5">
        <f>IFERROR(__xludf.DUMMYFUNCTION("""COMPUTED_VALUE"""),0.0)</f>
        <v>0</v>
      </c>
      <c r="O55" s="5">
        <f>IFERROR(__xludf.DUMMYFUNCTION("""COMPUTED_VALUE"""),0.0)</f>
        <v>0</v>
      </c>
      <c r="P55" s="4"/>
      <c r="Q55" s="4"/>
      <c r="R55" s="4"/>
      <c r="S55" s="3" t="str">
        <f>IFERROR(__xludf.DUMMYFUNCTION("""COMPUTED_VALUE"""),"Lunas")</f>
        <v>Lunas</v>
      </c>
      <c r="T55" s="6">
        <f t="shared" si="2"/>
        <v>46206</v>
      </c>
      <c r="U55" s="3" t="str">
        <f>IF(ISNA(vlookup(B55,DataExport!$D$2:$D$496,1,false)), "Belum", "Sudah")</f>
        <v>Belum</v>
      </c>
    </row>
    <row r="56">
      <c r="A56" s="3">
        <f t="shared" si="1"/>
        <v>55</v>
      </c>
      <c r="B56" s="4" t="str">
        <f>IFERROR(__xludf.DUMMYFUNCTION("""COMPUTED_VALUE"""),"KAYLA ALIFIA ZAFARANI")</f>
        <v>KAYLA ALIFIA ZAFARANI</v>
      </c>
      <c r="C56" s="3">
        <f>IFERROR(__xludf.DUMMYFUNCTION("""COMPUTED_VALUE"""),2.024070553E9)</f>
        <v>2024070553</v>
      </c>
      <c r="D56" s="3" t="str">
        <f>IFERROR(__xludf.DUMMYFUNCTION("""COMPUTED_VALUE"""),"D")</f>
        <v>D</v>
      </c>
      <c r="E56" s="3" t="str">
        <f>IFERROR(__xludf.DUMMYFUNCTION("""COMPUTED_VALUE"""),"D-4")</f>
        <v>D-4</v>
      </c>
      <c r="F56" s="3">
        <f>IFERROR(__xludf.DUMMYFUNCTION("""COMPUTED_VALUE"""),3.0)</f>
        <v>3</v>
      </c>
      <c r="G56" s="3" t="str">
        <f>IFERROR(__xludf.DUMMYFUNCTION("""COMPUTED_VALUE"""),"3 ULA A PUTRI")</f>
        <v>3 ULA A PUTRI</v>
      </c>
      <c r="H56" s="3" t="str">
        <f>IFERROR(__xludf.DUMMYFUNCTION("""COMPUTED_VALUE"""),"MTS-9 C")</f>
        <v>MTS-9 C</v>
      </c>
      <c r="I56" s="4" t="str">
        <f>IFERROR(__xludf.DUMMYFUNCTION("""COMPUTED_VALUE"""),"SITI NUR AISYAH")</f>
        <v>SITI NUR AISYAH</v>
      </c>
      <c r="J56" s="4" t="str">
        <f>IFERROR(__xludf.DUMMYFUNCTION("""COMPUTED_VALUE"""),"LEMAHIRENG KETANEN RT 010 RW 005 PANCENG GRESIK")</f>
        <v>LEMAHIRENG KETANEN RT 010 RW 005 PANCENG GRESIK</v>
      </c>
      <c r="K56" s="4" t="str">
        <f>IFERROR(__xludf.DUMMYFUNCTION("""COMPUTED_VALUE"""),"6281230671437")</f>
        <v>6281230671437</v>
      </c>
      <c r="L56" s="5">
        <f>IFERROR(__xludf.DUMMYFUNCTION("""COMPUTED_VALUE"""),0.0)</f>
        <v>0</v>
      </c>
      <c r="M56" s="5">
        <f>IFERROR(__xludf.DUMMYFUNCTION("""COMPUTED_VALUE"""),0.0)</f>
        <v>0</v>
      </c>
      <c r="N56" s="5">
        <f>IFERROR(__xludf.DUMMYFUNCTION("""COMPUTED_VALUE"""),0.0)</f>
        <v>0</v>
      </c>
      <c r="O56" s="5">
        <f>IFERROR(__xludf.DUMMYFUNCTION("""COMPUTED_VALUE"""),0.0)</f>
        <v>0</v>
      </c>
      <c r="P56" s="4"/>
      <c r="Q56" s="4"/>
      <c r="R56" s="4"/>
      <c r="S56" s="3" t="str">
        <f>IFERROR(__xludf.DUMMYFUNCTION("""COMPUTED_VALUE"""),"Lunas")</f>
        <v>Lunas</v>
      </c>
      <c r="T56" s="6">
        <f t="shared" si="2"/>
        <v>46206</v>
      </c>
      <c r="U56" s="3" t="str">
        <f>IF(ISNA(vlookup(B56,DataExport!$D$2:$D$496,1,false)), "Belum", "Sudah")</f>
        <v>Belum</v>
      </c>
    </row>
    <row r="57">
      <c r="A57" s="3">
        <f t="shared" si="1"/>
        <v>56</v>
      </c>
      <c r="B57" s="4" t="str">
        <f>IFERROR(__xludf.DUMMYFUNCTION("""COMPUTED_VALUE"""),"KAYLA KHUSUS FATIMATUZZAHRO")</f>
        <v>KAYLA KHUSUS FATIMATUZZAHRO</v>
      </c>
      <c r="C57" s="3">
        <f>IFERROR(__xludf.DUMMYFUNCTION("""COMPUTED_VALUE"""),2.02407057E9)</f>
        <v>2024070570</v>
      </c>
      <c r="D57" s="3" t="str">
        <f>IFERROR(__xludf.DUMMYFUNCTION("""COMPUTED_VALUE"""),"C")</f>
        <v>C</v>
      </c>
      <c r="E57" s="3" t="str">
        <f>IFERROR(__xludf.DUMMYFUNCTION("""COMPUTED_VALUE"""),"C-12")</f>
        <v>C-12</v>
      </c>
      <c r="F57" s="3">
        <f>IFERROR(__xludf.DUMMYFUNCTION("""COMPUTED_VALUE"""),3.0)</f>
        <v>3</v>
      </c>
      <c r="G57" s="3"/>
      <c r="H57" s="3" t="str">
        <f>IFERROR(__xludf.DUMMYFUNCTION("""COMPUTED_VALUE"""),"MTS-9 H")</f>
        <v>MTS-9 H</v>
      </c>
      <c r="I57" s="4" t="str">
        <f>IFERROR(__xludf.DUMMYFUNCTION("""COMPUTED_VALUE"""),"SRI SUSYATI")</f>
        <v>SRI SUSYATI</v>
      </c>
      <c r="J57" s="4" t="str">
        <f>IFERROR(__xludf.DUMMYFUNCTION("""COMPUTED_VALUE"""),"KARANGANOM RT 002 RW 001 KARANGBINANGUN LAMONGAN")</f>
        <v>KARANGANOM RT 002 RW 001 KARANGBINANGUN LAMONGAN</v>
      </c>
      <c r="K57" s="4" t="str">
        <f>IFERROR(__xludf.DUMMYFUNCTION("""COMPUTED_VALUE"""),"6285802507179")</f>
        <v>6285802507179</v>
      </c>
      <c r="L57" s="5">
        <f>IFERROR(__xludf.DUMMYFUNCTION("""COMPUTED_VALUE"""),0.0)</f>
        <v>0</v>
      </c>
      <c r="M57" s="5">
        <f>IFERROR(__xludf.DUMMYFUNCTION("""COMPUTED_VALUE"""),0.0)</f>
        <v>0</v>
      </c>
      <c r="N57" s="5">
        <f>IFERROR(__xludf.DUMMYFUNCTION("""COMPUTED_VALUE"""),0.0)</f>
        <v>0</v>
      </c>
      <c r="O57" s="5">
        <f>IFERROR(__xludf.DUMMYFUNCTION("""COMPUTED_VALUE"""),0.0)</f>
        <v>0</v>
      </c>
      <c r="P57" s="4"/>
      <c r="Q57" s="4"/>
      <c r="R57" s="4"/>
      <c r="S57" s="3" t="str">
        <f>IFERROR(__xludf.DUMMYFUNCTION("""COMPUTED_VALUE"""),"Lunas")</f>
        <v>Lunas</v>
      </c>
      <c r="T57" s="6">
        <f t="shared" si="2"/>
        <v>46206</v>
      </c>
      <c r="U57" s="3" t="str">
        <f>IF(ISNA(vlookup(B57,DataExport!$D$2:$D$496,1,false)), "Belum", "Sudah")</f>
        <v>Belum</v>
      </c>
    </row>
    <row r="58">
      <c r="A58" s="3">
        <f t="shared" si="1"/>
        <v>57</v>
      </c>
      <c r="B58" s="4" t="str">
        <f>IFERROR(__xludf.DUMMYFUNCTION("""COMPUTED_VALUE"""),"KAYYISA ILMI RAFANDA")</f>
        <v>KAYYISA ILMI RAFANDA</v>
      </c>
      <c r="C58" s="3">
        <f>IFERROR(__xludf.DUMMYFUNCTION("""COMPUTED_VALUE"""),2.024070723E9)</f>
        <v>2024070723</v>
      </c>
      <c r="D58" s="3" t="str">
        <f>IFERROR(__xludf.DUMMYFUNCTION("""COMPUTED_VALUE"""),"B")</f>
        <v>B</v>
      </c>
      <c r="E58" s="3" t="str">
        <f>IFERROR(__xludf.DUMMYFUNCTION("""COMPUTED_VALUE"""),"B-10")</f>
        <v>B-10</v>
      </c>
      <c r="F58" s="3">
        <f>IFERROR(__xludf.DUMMYFUNCTION("""COMPUTED_VALUE"""),3.0)</f>
        <v>3</v>
      </c>
      <c r="G58" s="3" t="str">
        <f>IFERROR(__xludf.DUMMYFUNCTION("""COMPUTED_VALUE"""),"3 ULA A PUTRI")</f>
        <v>3 ULA A PUTRI</v>
      </c>
      <c r="H58" s="3" t="str">
        <f>IFERROR(__xludf.DUMMYFUNCTION("""COMPUTED_VALUE"""),"SMP-IX B")</f>
        <v>SMP-IX B</v>
      </c>
      <c r="I58" s="4" t="str">
        <f>IFERROR(__xludf.DUMMYFUNCTION("""COMPUTED_VALUE"""),"MAFTUKHAH")</f>
        <v>MAFTUKHAH</v>
      </c>
      <c r="J58" s="4" t="str">
        <f>IFERROR(__xludf.DUMMYFUNCTION("""COMPUTED_VALUE"""),"PANGEAN RT 002 RW 001 MADURAN LAMONGAN")</f>
        <v>PANGEAN RT 002 RW 001 MADURAN LAMONGAN</v>
      </c>
      <c r="K58" s="4" t="str">
        <f>IFERROR(__xludf.DUMMYFUNCTION("""COMPUTED_VALUE"""),"6282139931854")</f>
        <v>6282139931854</v>
      </c>
      <c r="L58" s="5">
        <f>IFERROR(__xludf.DUMMYFUNCTION("""COMPUTED_VALUE"""),0.0)</f>
        <v>0</v>
      </c>
      <c r="M58" s="5">
        <f>IFERROR(__xludf.DUMMYFUNCTION("""COMPUTED_VALUE"""),0.0)</f>
        <v>0</v>
      </c>
      <c r="N58" s="5">
        <f>IFERROR(__xludf.DUMMYFUNCTION("""COMPUTED_VALUE"""),0.0)</f>
        <v>0</v>
      </c>
      <c r="O58" s="5">
        <f>IFERROR(__xludf.DUMMYFUNCTION("""COMPUTED_VALUE"""),0.0)</f>
        <v>0</v>
      </c>
      <c r="P58" s="4"/>
      <c r="Q58" s="4"/>
      <c r="R58" s="4"/>
      <c r="S58" s="3" t="str">
        <f>IFERROR(__xludf.DUMMYFUNCTION("""COMPUTED_VALUE"""),"Lunas")</f>
        <v>Lunas</v>
      </c>
      <c r="T58" s="6">
        <f t="shared" si="2"/>
        <v>46206</v>
      </c>
      <c r="U58" s="3" t="str">
        <f>IF(ISNA(vlookup(B58,DataExport!$D$2:$D$496,1,false)), "Belum", "Sudah")</f>
        <v>Belum</v>
      </c>
    </row>
    <row r="59">
      <c r="A59" s="3">
        <f t="shared" si="1"/>
        <v>58</v>
      </c>
      <c r="B59" s="4" t="str">
        <f>IFERROR(__xludf.DUMMYFUNCTION("""COMPUTED_VALUE"""),"KHAIRANI PUTRI ANGGRAINI")</f>
        <v>KHAIRANI PUTRI ANGGRAINI</v>
      </c>
      <c r="C59" s="3">
        <f>IFERROR(__xludf.DUMMYFUNCTION("""COMPUTED_VALUE"""),2.024070013E9)</f>
        <v>2024070013</v>
      </c>
      <c r="D59" s="3" t="str">
        <f>IFERROR(__xludf.DUMMYFUNCTION("""COMPUTED_VALUE"""),"C")</f>
        <v>C</v>
      </c>
      <c r="E59" s="3" t="str">
        <f>IFERROR(__xludf.DUMMYFUNCTION("""COMPUTED_VALUE"""),"C-2")</f>
        <v>C-2</v>
      </c>
      <c r="F59" s="3">
        <f>IFERROR(__xludf.DUMMYFUNCTION("""COMPUTED_VALUE"""),3.0)</f>
        <v>3</v>
      </c>
      <c r="G59" s="3"/>
      <c r="H59" s="3" t="str">
        <f>IFERROR(__xludf.DUMMYFUNCTION("""COMPUTED_VALUE"""),"MA-XII.1")</f>
        <v>MA-XII.1</v>
      </c>
      <c r="I59" s="4" t="str">
        <f>IFERROR(__xludf.DUMMYFUNCTION("""COMPUTED_VALUE"""),"MUSYARROFAH")</f>
        <v>MUSYARROFAH</v>
      </c>
      <c r="J59" s="4" t="str">
        <f>IFERROR(__xludf.DUMMYFUNCTION("""COMPUTED_VALUE"""),"KEDANYANG RT 4 RW 15 KEBOMAS GRESIK")</f>
        <v>KEDANYANG RT 4 RW 15 KEBOMAS GRESIK</v>
      </c>
      <c r="K59" s="4" t="str">
        <f>IFERROR(__xludf.DUMMYFUNCTION("""COMPUTED_VALUE"""),"6282131012610")</f>
        <v>6282131012610</v>
      </c>
      <c r="L59" s="5">
        <f>IFERROR(__xludf.DUMMYFUNCTION("""COMPUTED_VALUE"""),0.0)</f>
        <v>0</v>
      </c>
      <c r="M59" s="5">
        <f>IFERROR(__xludf.DUMMYFUNCTION("""COMPUTED_VALUE"""),0.0)</f>
        <v>0</v>
      </c>
      <c r="N59" s="5">
        <f>IFERROR(__xludf.DUMMYFUNCTION("""COMPUTED_VALUE"""),0.0)</f>
        <v>0</v>
      </c>
      <c r="O59" s="5">
        <f>IFERROR(__xludf.DUMMYFUNCTION("""COMPUTED_VALUE"""),0.0)</f>
        <v>0</v>
      </c>
      <c r="P59" s="4"/>
      <c r="Q59" s="4"/>
      <c r="R59" s="4"/>
      <c r="S59" s="3" t="str">
        <f>IFERROR(__xludf.DUMMYFUNCTION("""COMPUTED_VALUE"""),"Lunas")</f>
        <v>Lunas</v>
      </c>
      <c r="T59" s="6">
        <f t="shared" si="2"/>
        <v>46206</v>
      </c>
      <c r="U59" s="3" t="str">
        <f>IF(ISNA(vlookup(B59,DataExport!$D$2:$D$496,1,false)), "Belum", "Sudah")</f>
        <v>Belum</v>
      </c>
    </row>
    <row r="60">
      <c r="A60" s="3">
        <f t="shared" si="1"/>
        <v>59</v>
      </c>
      <c r="B60" s="4" t="str">
        <f>IFERROR(__xludf.DUMMYFUNCTION("""COMPUTED_VALUE"""),"KHANSA LABIBAH")</f>
        <v>KHANSA LABIBAH</v>
      </c>
      <c r="C60" s="3">
        <f>IFERROR(__xludf.DUMMYFUNCTION("""COMPUTED_VALUE"""),2.024070543E9)</f>
        <v>2024070543</v>
      </c>
      <c r="D60" s="3" t="str">
        <f>IFERROR(__xludf.DUMMYFUNCTION("""COMPUTED_VALUE"""),"C")</f>
        <v>C</v>
      </c>
      <c r="E60" s="3" t="str">
        <f>IFERROR(__xludf.DUMMYFUNCTION("""COMPUTED_VALUE"""),"C-3")</f>
        <v>C-3</v>
      </c>
      <c r="F60" s="3">
        <f>IFERROR(__xludf.DUMMYFUNCTION("""COMPUTED_VALUE"""),3.0)</f>
        <v>3</v>
      </c>
      <c r="G60" s="3" t="str">
        <f>IFERROR(__xludf.DUMMYFUNCTION("""COMPUTED_VALUE"""),"3 ULA A PUTRI")</f>
        <v>3 ULA A PUTRI</v>
      </c>
      <c r="H60" s="3" t="str">
        <f>IFERROR(__xludf.DUMMYFUNCTION("""COMPUTED_VALUE"""),"MTS-9 G")</f>
        <v>MTS-9 G</v>
      </c>
      <c r="I60" s="4" t="str">
        <f>IFERROR(__xludf.DUMMYFUNCTION("""COMPUTED_VALUE"""),"MAZIDHATUL CHUSNIYA")</f>
        <v>MAZIDHATUL CHUSNIYA</v>
      </c>
      <c r="J60" s="4" t="str">
        <f>IFERROR(__xludf.DUMMYFUNCTION("""COMPUTED_VALUE"""),"SEMBUNGAN KIDUL RT 003 RW 002 DUKUN GRESIK")</f>
        <v>SEMBUNGAN KIDUL RT 003 RW 002 DUKUN GRESIK</v>
      </c>
      <c r="K60" s="4" t="str">
        <f>IFERROR(__xludf.DUMMYFUNCTION("""COMPUTED_VALUE"""),"6285895280860")</f>
        <v>6285895280860</v>
      </c>
      <c r="L60" s="5">
        <f>IFERROR(__xludf.DUMMYFUNCTION("""COMPUTED_VALUE"""),0.0)</f>
        <v>0</v>
      </c>
      <c r="M60" s="5">
        <f>IFERROR(__xludf.DUMMYFUNCTION("""COMPUTED_VALUE"""),0.0)</f>
        <v>0</v>
      </c>
      <c r="N60" s="5">
        <f>IFERROR(__xludf.DUMMYFUNCTION("""COMPUTED_VALUE"""),0.0)</f>
        <v>0</v>
      </c>
      <c r="O60" s="5">
        <f>IFERROR(__xludf.DUMMYFUNCTION("""COMPUTED_VALUE"""),0.0)</f>
        <v>0</v>
      </c>
      <c r="P60" s="4"/>
      <c r="Q60" s="4"/>
      <c r="R60" s="4"/>
      <c r="S60" s="3" t="str">
        <f>IFERROR(__xludf.DUMMYFUNCTION("""COMPUTED_VALUE"""),"Lunas")</f>
        <v>Lunas</v>
      </c>
      <c r="T60" s="6">
        <f t="shared" si="2"/>
        <v>46206</v>
      </c>
      <c r="U60" s="3" t="str">
        <f>IF(ISNA(vlookup(B60,DataExport!$D$2:$D$496,1,false)), "Belum", "Sudah")</f>
        <v>Belum</v>
      </c>
    </row>
    <row r="61">
      <c r="A61" s="3">
        <f t="shared" si="1"/>
        <v>60</v>
      </c>
      <c r="B61" s="4" t="str">
        <f>IFERROR(__xludf.DUMMYFUNCTION("""COMPUTED_VALUE"""),"KHILDAH KHOIRINA")</f>
        <v>KHILDAH KHOIRINA</v>
      </c>
      <c r="C61" s="3">
        <f>IFERROR(__xludf.DUMMYFUNCTION("""COMPUTED_VALUE"""),2.024070078E9)</f>
        <v>2024070078</v>
      </c>
      <c r="D61" s="3" t="str">
        <f>IFERROR(__xludf.DUMMYFUNCTION("""COMPUTED_VALUE"""),"C")</f>
        <v>C</v>
      </c>
      <c r="E61" s="3" t="str">
        <f>IFERROR(__xludf.DUMMYFUNCTION("""COMPUTED_VALUE"""),"C-9")</f>
        <v>C-9</v>
      </c>
      <c r="F61" s="3">
        <f>IFERROR(__xludf.DUMMYFUNCTION("""COMPUTED_VALUE"""),3.0)</f>
        <v>3</v>
      </c>
      <c r="G61" s="3" t="str">
        <f>IFERROR(__xludf.DUMMYFUNCTION("""COMPUTED_VALUE"""),"3 WUSTHO A PUTRI")</f>
        <v>3 WUSTHO A PUTRI</v>
      </c>
      <c r="H61" s="3" t="str">
        <f>IFERROR(__xludf.DUMMYFUNCTION("""COMPUTED_VALUE"""),"MA-XII.3")</f>
        <v>MA-XII.3</v>
      </c>
      <c r="I61" s="4" t="str">
        <f>IFERROR(__xludf.DUMMYFUNCTION("""COMPUTED_VALUE"""),"AFWAH")</f>
        <v>AFWAH</v>
      </c>
      <c r="J61" s="4" t="str">
        <f>IFERROR(__xludf.DUMMYFUNCTION("""COMPUTED_VALUE"""),"IMAAN RT 002 RW 001 DUKUN GRESIK")</f>
        <v>IMAAN RT 002 RW 001 DUKUN GRESIK</v>
      </c>
      <c r="K61" s="4" t="str">
        <f>IFERROR(__xludf.DUMMYFUNCTION("""COMPUTED_VALUE"""),"628585908377")</f>
        <v>628585908377</v>
      </c>
      <c r="L61" s="5">
        <f>IFERROR(__xludf.DUMMYFUNCTION("""COMPUTED_VALUE"""),0.0)</f>
        <v>0</v>
      </c>
      <c r="M61" s="5">
        <f>IFERROR(__xludf.DUMMYFUNCTION("""COMPUTED_VALUE"""),0.0)</f>
        <v>0</v>
      </c>
      <c r="N61" s="5">
        <f>IFERROR(__xludf.DUMMYFUNCTION("""COMPUTED_VALUE"""),0.0)</f>
        <v>0</v>
      </c>
      <c r="O61" s="5">
        <f>IFERROR(__xludf.DUMMYFUNCTION("""COMPUTED_VALUE"""),0.0)</f>
        <v>0</v>
      </c>
      <c r="P61" s="4"/>
      <c r="Q61" s="4"/>
      <c r="R61" s="4"/>
      <c r="S61" s="3" t="str">
        <f>IFERROR(__xludf.DUMMYFUNCTION("""COMPUTED_VALUE"""),"Lunas")</f>
        <v>Lunas</v>
      </c>
      <c r="T61" s="6">
        <f t="shared" si="2"/>
        <v>46206</v>
      </c>
      <c r="U61" s="3" t="str">
        <f>IF(ISNA(vlookup(B61,DataExport!$D$2:$D$496,1,false)), "Belum", "Sudah")</f>
        <v>Belum</v>
      </c>
    </row>
    <row r="62">
      <c r="A62" s="3">
        <f t="shared" si="1"/>
        <v>61</v>
      </c>
      <c r="B62" s="4" t="str">
        <f>IFERROR(__xludf.DUMMYFUNCTION("""COMPUTED_VALUE"""),"KHILYATUL MUROQOBAH ASSA`ADAH")</f>
        <v>KHILYATUL MUROQOBAH ASSA`ADAH</v>
      </c>
      <c r="C62" s="3">
        <f>IFERROR(__xludf.DUMMYFUNCTION("""COMPUTED_VALUE"""),2.024070716E9)</f>
        <v>2024070716</v>
      </c>
      <c r="D62" s="3" t="str">
        <f>IFERROR(__xludf.DUMMYFUNCTION("""COMPUTED_VALUE"""),"B")</f>
        <v>B</v>
      </c>
      <c r="E62" s="3" t="str">
        <f>IFERROR(__xludf.DUMMYFUNCTION("""COMPUTED_VALUE"""),"B-4")</f>
        <v>B-4</v>
      </c>
      <c r="F62" s="3">
        <f>IFERROR(__xludf.DUMMYFUNCTION("""COMPUTED_VALUE"""),3.0)</f>
        <v>3</v>
      </c>
      <c r="G62" s="3" t="str">
        <f>IFERROR(__xludf.DUMMYFUNCTION("""COMPUTED_VALUE"""),"3 WUSTHO C PUTRI")</f>
        <v>3 WUSTHO C PUTRI</v>
      </c>
      <c r="H62" s="3" t="str">
        <f>IFERROR(__xludf.DUMMYFUNCTION("""COMPUTED_VALUE"""),"SMK-XII BD")</f>
        <v>SMK-XII BD</v>
      </c>
      <c r="I62" s="4" t="str">
        <f>IFERROR(__xludf.DUMMYFUNCTION("""COMPUTED_VALUE"""),"UMMI HHANIK")</f>
        <v>UMMI HHANIK</v>
      </c>
      <c r="J62" s="4" t="str">
        <f>IFERROR(__xludf.DUMMYFUNCTION("""COMPUTED_VALUE"""),"PUCANGRO RT 3 RW 3 KALITENGAH LAMONGAN")</f>
        <v>PUCANGRO RT 3 RW 3 KALITENGAH LAMONGAN</v>
      </c>
      <c r="K62" s="4" t="str">
        <f>IFERROR(__xludf.DUMMYFUNCTION("""COMPUTED_VALUE"""),"6285707694746")</f>
        <v>6285707694746</v>
      </c>
      <c r="L62" s="5">
        <f>IFERROR(__xludf.DUMMYFUNCTION("""COMPUTED_VALUE"""),0.0)</f>
        <v>0</v>
      </c>
      <c r="M62" s="5">
        <f>IFERROR(__xludf.DUMMYFUNCTION("""COMPUTED_VALUE"""),0.0)</f>
        <v>0</v>
      </c>
      <c r="N62" s="5">
        <f>IFERROR(__xludf.DUMMYFUNCTION("""COMPUTED_VALUE"""),0.0)</f>
        <v>0</v>
      </c>
      <c r="O62" s="5">
        <f>IFERROR(__xludf.DUMMYFUNCTION("""COMPUTED_VALUE"""),0.0)</f>
        <v>0</v>
      </c>
      <c r="P62" s="4"/>
      <c r="Q62" s="4"/>
      <c r="R62" s="4"/>
      <c r="S62" s="3" t="str">
        <f>IFERROR(__xludf.DUMMYFUNCTION("""COMPUTED_VALUE"""),"Lunas")</f>
        <v>Lunas</v>
      </c>
      <c r="T62" s="6">
        <f t="shared" si="2"/>
        <v>46206</v>
      </c>
      <c r="U62" s="3" t="str">
        <f>IF(ISNA(vlookup(B62,DataExport!$D$2:$D$496,1,false)), "Belum", "Sudah")</f>
        <v>Belum</v>
      </c>
    </row>
    <row r="63">
      <c r="A63" s="3">
        <f t="shared" si="1"/>
        <v>62</v>
      </c>
      <c r="B63" s="4" t="str">
        <f>IFERROR(__xludf.DUMMYFUNCTION("""COMPUTED_VALUE"""),"KHOLIFAH AMIYZANI NUR ISNAINI")</f>
        <v>KHOLIFAH AMIYZANI NUR ISNAINI</v>
      </c>
      <c r="C63" s="3">
        <f>IFERROR(__xludf.DUMMYFUNCTION("""COMPUTED_VALUE"""),2.024070752E9)</f>
        <v>2024070752</v>
      </c>
      <c r="D63" s="3" t="str">
        <f>IFERROR(__xludf.DUMMYFUNCTION("""COMPUTED_VALUE"""),"B")</f>
        <v>B</v>
      </c>
      <c r="E63" s="3" t="str">
        <f>IFERROR(__xludf.DUMMYFUNCTION("""COMPUTED_VALUE"""),"B-10")</f>
        <v>B-10</v>
      </c>
      <c r="F63" s="3">
        <f>IFERROR(__xludf.DUMMYFUNCTION("""COMPUTED_VALUE"""),3.0)</f>
        <v>3</v>
      </c>
      <c r="G63" s="3" t="str">
        <f>IFERROR(__xludf.DUMMYFUNCTION("""COMPUTED_VALUE"""),"3 ULA A PUTRI")</f>
        <v>3 ULA A PUTRI</v>
      </c>
      <c r="H63" s="3" t="str">
        <f>IFERROR(__xludf.DUMMYFUNCTION("""COMPUTED_VALUE"""),"SMP-IX B")</f>
        <v>SMP-IX B</v>
      </c>
      <c r="I63" s="4" t="str">
        <f>IFERROR(__xludf.DUMMYFUNCTION("""COMPUTED_VALUE"""),"INARIYATI")</f>
        <v>INARIYATI</v>
      </c>
      <c r="J63" s="4" t="str">
        <f>IFERROR(__xludf.DUMMYFUNCTION("""COMPUTED_VALUE"""),"WONOKERTO RT 014 RW 003 DUKUN GRESIK")</f>
        <v>WONOKERTO RT 014 RW 003 DUKUN GRESIK</v>
      </c>
      <c r="K63" s="4" t="str">
        <f>IFERROR(__xludf.DUMMYFUNCTION("""COMPUTED_VALUE"""),"6285855453839")</f>
        <v>6285855453839</v>
      </c>
      <c r="L63" s="5">
        <f>IFERROR(__xludf.DUMMYFUNCTION("""COMPUTED_VALUE"""),0.0)</f>
        <v>0</v>
      </c>
      <c r="M63" s="5">
        <f>IFERROR(__xludf.DUMMYFUNCTION("""COMPUTED_VALUE"""),0.0)</f>
        <v>0</v>
      </c>
      <c r="N63" s="5">
        <f>IFERROR(__xludf.DUMMYFUNCTION("""COMPUTED_VALUE"""),0.0)</f>
        <v>0</v>
      </c>
      <c r="O63" s="5">
        <f>IFERROR(__xludf.DUMMYFUNCTION("""COMPUTED_VALUE"""),0.0)</f>
        <v>0</v>
      </c>
      <c r="P63" s="4"/>
      <c r="Q63" s="4"/>
      <c r="R63" s="4"/>
      <c r="S63" s="3" t="str">
        <f>IFERROR(__xludf.DUMMYFUNCTION("""COMPUTED_VALUE"""),"Lunas")</f>
        <v>Lunas</v>
      </c>
      <c r="T63" s="6">
        <f t="shared" si="2"/>
        <v>46206</v>
      </c>
      <c r="U63" s="3" t="str">
        <f>IF(ISNA(vlookup(B63,DataExport!$D$2:$D$496,1,false)), "Belum", "Sudah")</f>
        <v>Belum</v>
      </c>
    </row>
    <row r="64">
      <c r="A64" s="3">
        <f t="shared" si="1"/>
        <v>63</v>
      </c>
      <c r="B64" s="4" t="str">
        <f>IFERROR(__xludf.DUMMYFUNCTION("""COMPUTED_VALUE"""),"KHULIATUL MILLAH ELVIANA")</f>
        <v>KHULIATUL MILLAH ELVIANA</v>
      </c>
      <c r="C64" s="3">
        <f>IFERROR(__xludf.DUMMYFUNCTION("""COMPUTED_VALUE"""),2.024070499E9)</f>
        <v>2024070499</v>
      </c>
      <c r="D64" s="3" t="str">
        <f>IFERROR(__xludf.DUMMYFUNCTION("""COMPUTED_VALUE"""),"E")</f>
        <v>E</v>
      </c>
      <c r="E64" s="3" t="str">
        <f>IFERROR(__xludf.DUMMYFUNCTION("""COMPUTED_VALUE"""),"E-2")</f>
        <v>E-2</v>
      </c>
      <c r="F64" s="3">
        <f>IFERROR(__xludf.DUMMYFUNCTION("""COMPUTED_VALUE"""),3.0)</f>
        <v>3</v>
      </c>
      <c r="G64" s="3" t="str">
        <f>IFERROR(__xludf.DUMMYFUNCTION("""COMPUTED_VALUE"""),"3 ULA C PUTRI")</f>
        <v>3 ULA C PUTRI</v>
      </c>
      <c r="H64" s="3" t="str">
        <f>IFERROR(__xludf.DUMMYFUNCTION("""COMPUTED_VALUE"""),"MTS-9 B")</f>
        <v>MTS-9 B</v>
      </c>
      <c r="I64" s="4" t="str">
        <f>IFERROR(__xludf.DUMMYFUNCTION("""COMPUTED_VALUE"""),"ZAIDATUL FARIDAH")</f>
        <v>ZAIDATUL FARIDAH</v>
      </c>
      <c r="J64" s="4" t="str">
        <f>IFERROR(__xludf.DUMMYFUNCTION("""COMPUTED_VALUE"""),"PLOSOSETRO RT 004 RW 001 PUCUK LAMONGAN")</f>
        <v>PLOSOSETRO RT 004 RW 001 PUCUK LAMONGAN</v>
      </c>
      <c r="K64" s="4" t="str">
        <f>IFERROR(__xludf.DUMMYFUNCTION("""COMPUTED_VALUE"""),"628523337011")</f>
        <v>628523337011</v>
      </c>
      <c r="L64" s="5">
        <f>IFERROR(__xludf.DUMMYFUNCTION("""COMPUTED_VALUE"""),0.0)</f>
        <v>0</v>
      </c>
      <c r="M64" s="5">
        <f>IFERROR(__xludf.DUMMYFUNCTION("""COMPUTED_VALUE"""),0.0)</f>
        <v>0</v>
      </c>
      <c r="N64" s="5">
        <f>IFERROR(__xludf.DUMMYFUNCTION("""COMPUTED_VALUE"""),0.0)</f>
        <v>0</v>
      </c>
      <c r="O64" s="5">
        <f>IFERROR(__xludf.DUMMYFUNCTION("""COMPUTED_VALUE"""),0.0)</f>
        <v>0</v>
      </c>
      <c r="P64" s="4"/>
      <c r="Q64" s="4"/>
      <c r="R64" s="4"/>
      <c r="S64" s="3" t="str">
        <f>IFERROR(__xludf.DUMMYFUNCTION("""COMPUTED_VALUE"""),"Lunas")</f>
        <v>Lunas</v>
      </c>
      <c r="T64" s="6">
        <f t="shared" si="2"/>
        <v>46206</v>
      </c>
      <c r="U64" s="3" t="str">
        <f>IF(ISNA(vlookup(B64,DataExport!$D$2:$D$496,1,false)), "Belum", "Sudah")</f>
        <v>Belum</v>
      </c>
    </row>
    <row r="65">
      <c r="A65" s="3">
        <f t="shared" si="1"/>
        <v>64</v>
      </c>
      <c r="B65" s="4" t="str">
        <f>IFERROR(__xludf.DUMMYFUNCTION("""COMPUTED_VALUE"""),"LAILATUL MAGHFIROH")</f>
        <v>LAILATUL MAGHFIROH</v>
      </c>
      <c r="C65" s="3">
        <f>IFERROR(__xludf.DUMMYFUNCTION("""COMPUTED_VALUE"""),2.024070449E9)</f>
        <v>2024070449</v>
      </c>
      <c r="D65" s="3" t="str">
        <f>IFERROR(__xludf.DUMMYFUNCTION("""COMPUTED_VALUE"""),"E")</f>
        <v>E</v>
      </c>
      <c r="E65" s="3" t="str">
        <f>IFERROR(__xludf.DUMMYFUNCTION("""COMPUTED_VALUE"""),"E-9")</f>
        <v>E-9</v>
      </c>
      <c r="F65" s="3">
        <f>IFERROR(__xludf.DUMMYFUNCTION("""COMPUTED_VALUE"""),3.0)</f>
        <v>3</v>
      </c>
      <c r="G65" s="3" t="str">
        <f>IFERROR(__xludf.DUMMYFUNCTION("""COMPUTED_VALUE"""),"3 ULA A PUTRI")</f>
        <v>3 ULA A PUTRI</v>
      </c>
      <c r="H65" s="3" t="str">
        <f>IFERROR(__xludf.DUMMYFUNCTION("""COMPUTED_VALUE"""),"MTS-9 A")</f>
        <v>MTS-9 A</v>
      </c>
      <c r="I65" s="4" t="str">
        <f>IFERROR(__xludf.DUMMYFUNCTION("""COMPUTED_VALUE"""),"ARTI")</f>
        <v>ARTI</v>
      </c>
      <c r="J65" s="4" t="str">
        <f>IFERROR(__xludf.DUMMYFUNCTION("""COMPUTED_VALUE"""),"TUMENGGUNGBARU RT 003 RW 006 TUMENGGUNGAN LAMONGAN")</f>
        <v>TUMENGGUNGBARU RT 003 RW 006 TUMENGGUNGAN LAMONGAN</v>
      </c>
      <c r="K65" s="4" t="str">
        <f>IFERROR(__xludf.DUMMYFUNCTION("""COMPUTED_VALUE"""),"6285745981726")</f>
        <v>6285745981726</v>
      </c>
      <c r="L65" s="5">
        <f>IFERROR(__xludf.DUMMYFUNCTION("""COMPUTED_VALUE"""),0.0)</f>
        <v>0</v>
      </c>
      <c r="M65" s="5">
        <f>IFERROR(__xludf.DUMMYFUNCTION("""COMPUTED_VALUE"""),0.0)</f>
        <v>0</v>
      </c>
      <c r="N65" s="5">
        <f>IFERROR(__xludf.DUMMYFUNCTION("""COMPUTED_VALUE"""),0.0)</f>
        <v>0</v>
      </c>
      <c r="O65" s="5">
        <f>IFERROR(__xludf.DUMMYFUNCTION("""COMPUTED_VALUE"""),0.0)</f>
        <v>0</v>
      </c>
      <c r="P65" s="4"/>
      <c r="Q65" s="4"/>
      <c r="R65" s="4"/>
      <c r="S65" s="3" t="str">
        <f>IFERROR(__xludf.DUMMYFUNCTION("""COMPUTED_VALUE"""),"Lunas")</f>
        <v>Lunas</v>
      </c>
      <c r="T65" s="6">
        <f t="shared" si="2"/>
        <v>46206</v>
      </c>
      <c r="U65" s="3" t="str">
        <f>IF(ISNA(vlookup(B65,DataExport!$D$2:$D$496,1,false)), "Belum", "Sudah")</f>
        <v>Belum</v>
      </c>
    </row>
    <row r="66">
      <c r="A66" s="3">
        <f t="shared" si="1"/>
        <v>65</v>
      </c>
      <c r="B66" s="4" t="str">
        <f>IFERROR(__xludf.DUMMYFUNCTION("""COMPUTED_VALUE"""),"M. FARID ALI MUSLIMIN")</f>
        <v>M. FARID ALI MUSLIMIN</v>
      </c>
      <c r="C66" s="3">
        <f>IFERROR(__xludf.DUMMYFUNCTION("""COMPUTED_VALUE"""),2.024070469E9)</f>
        <v>2024070469</v>
      </c>
      <c r="D66" s="3" t="str">
        <f>IFERROR(__xludf.DUMMYFUNCTION("""COMPUTED_VALUE"""),"A")</f>
        <v>A</v>
      </c>
      <c r="E66" s="3" t="str">
        <f>IFERROR(__xludf.DUMMYFUNCTION("""COMPUTED_VALUE"""),"A-8")</f>
        <v>A-8</v>
      </c>
      <c r="F66" s="3">
        <f>IFERROR(__xludf.DUMMYFUNCTION("""COMPUTED_VALUE"""),3.0)</f>
        <v>3</v>
      </c>
      <c r="G66" s="3" t="str">
        <f>IFERROR(__xludf.DUMMYFUNCTION("""COMPUTED_VALUE"""),"3 ULA A PUTRA")</f>
        <v>3 ULA A PUTRA</v>
      </c>
      <c r="H66" s="3" t="str">
        <f>IFERROR(__xludf.DUMMYFUNCTION("""COMPUTED_VALUE"""),"MTS-9 E")</f>
        <v>MTS-9 E</v>
      </c>
      <c r="I66" s="4" t="str">
        <f>IFERROR(__xludf.DUMMYFUNCTION("""COMPUTED_VALUE"""),"SUPARTI")</f>
        <v>SUPARTI</v>
      </c>
      <c r="J66" s="4" t="str">
        <f>IFERROR(__xludf.DUMMYFUNCTION("""COMPUTED_VALUE"""),"BULAKWATU BANJAREJO RT 003 RW 003 SUKODADI LAMONGAN")</f>
        <v>BULAKWATU BANJAREJO RT 003 RW 003 SUKODADI LAMONGAN</v>
      </c>
      <c r="K66" s="4" t="str">
        <f>IFERROR(__xludf.DUMMYFUNCTION("""COMPUTED_VALUE"""),"6285731459363")</f>
        <v>6285731459363</v>
      </c>
      <c r="L66" s="5">
        <f>IFERROR(__xludf.DUMMYFUNCTION("""COMPUTED_VALUE"""),0.0)</f>
        <v>0</v>
      </c>
      <c r="M66" s="5">
        <f>IFERROR(__xludf.DUMMYFUNCTION("""COMPUTED_VALUE"""),0.0)</f>
        <v>0</v>
      </c>
      <c r="N66" s="5">
        <f>IFERROR(__xludf.DUMMYFUNCTION("""COMPUTED_VALUE"""),0.0)</f>
        <v>0</v>
      </c>
      <c r="O66" s="5">
        <f>IFERROR(__xludf.DUMMYFUNCTION("""COMPUTED_VALUE"""),0.0)</f>
        <v>0</v>
      </c>
      <c r="P66" s="4"/>
      <c r="Q66" s="4"/>
      <c r="R66" s="4"/>
      <c r="S66" s="3" t="str">
        <f>IFERROR(__xludf.DUMMYFUNCTION("""COMPUTED_VALUE"""),"Lunas")</f>
        <v>Lunas</v>
      </c>
      <c r="T66" s="6">
        <f t="shared" si="2"/>
        <v>46206</v>
      </c>
      <c r="U66" s="3" t="str">
        <f>IF(ISNA(vlookup(B66,DataExport!$D$2:$D$496,1,false)), "Belum", "Sudah")</f>
        <v>Belum</v>
      </c>
    </row>
    <row r="67">
      <c r="A67" s="3">
        <f t="shared" si="1"/>
        <v>66</v>
      </c>
      <c r="B67" s="4" t="str">
        <f>IFERROR(__xludf.DUMMYFUNCTION("""COMPUTED_VALUE"""),"M. JA`FAR SHODIQ FIRMANSYAH")</f>
        <v>M. JA`FAR SHODIQ FIRMANSYAH</v>
      </c>
      <c r="C67" s="3">
        <f>IFERROR(__xludf.DUMMYFUNCTION("""COMPUTED_VALUE"""),2.024070667E9)</f>
        <v>2024070667</v>
      </c>
      <c r="D67" s="3" t="str">
        <f>IFERROR(__xludf.DUMMYFUNCTION("""COMPUTED_VALUE"""),"A")</f>
        <v>A</v>
      </c>
      <c r="E67" s="3" t="str">
        <f>IFERROR(__xludf.DUMMYFUNCTION("""COMPUTED_VALUE"""),"A-13")</f>
        <v>A-13</v>
      </c>
      <c r="F67" s="3">
        <f>IFERROR(__xludf.DUMMYFUNCTION("""COMPUTED_VALUE"""),3.0)</f>
        <v>3</v>
      </c>
      <c r="G67" s="3"/>
      <c r="H67" s="3" t="str">
        <f>IFERROR(__xludf.DUMMYFUNCTION("""COMPUTED_VALUE"""),"MTS-9 A")</f>
        <v>MTS-9 A</v>
      </c>
      <c r="I67" s="4" t="str">
        <f>IFERROR(__xludf.DUMMYFUNCTION("""COMPUTED_VALUE"""),"ULFATIN KHOFSAH")</f>
        <v>ULFATIN KHOFSAH</v>
      </c>
      <c r="J67" s="4" t="str">
        <f>IFERROR(__xludf.DUMMYFUNCTION("""COMPUTED_VALUE"""),"SEMBUNG RT 005 RW 002 PERAK JOMBANG")</f>
        <v>SEMBUNG RT 005 RW 002 PERAK JOMBANG</v>
      </c>
      <c r="K67" s="4" t="str">
        <f>IFERROR(__xludf.DUMMYFUNCTION("""COMPUTED_VALUE"""),"6285646766057")</f>
        <v>6285646766057</v>
      </c>
      <c r="L67" s="5">
        <f>IFERROR(__xludf.DUMMYFUNCTION("""COMPUTED_VALUE"""),0.0)</f>
        <v>0</v>
      </c>
      <c r="M67" s="5">
        <f>IFERROR(__xludf.DUMMYFUNCTION("""COMPUTED_VALUE"""),0.0)</f>
        <v>0</v>
      </c>
      <c r="N67" s="5">
        <f>IFERROR(__xludf.DUMMYFUNCTION("""COMPUTED_VALUE"""),0.0)</f>
        <v>0</v>
      </c>
      <c r="O67" s="5">
        <f>IFERROR(__xludf.DUMMYFUNCTION("""COMPUTED_VALUE"""),0.0)</f>
        <v>0</v>
      </c>
      <c r="P67" s="4"/>
      <c r="Q67" s="4"/>
      <c r="R67" s="4"/>
      <c r="S67" s="3" t="str">
        <f>IFERROR(__xludf.DUMMYFUNCTION("""COMPUTED_VALUE"""),"Lunas")</f>
        <v>Lunas</v>
      </c>
      <c r="T67" s="6">
        <f t="shared" si="2"/>
        <v>46206</v>
      </c>
      <c r="U67" s="3" t="str">
        <f>IF(ISNA(vlookup(B67,DataExport!$D$2:$D$496,1,false)), "Belum", "Sudah")</f>
        <v>Belum</v>
      </c>
    </row>
    <row r="68">
      <c r="A68" s="3">
        <f t="shared" si="1"/>
        <v>67</v>
      </c>
      <c r="B68" s="4" t="str">
        <f>IFERROR(__xludf.DUMMYFUNCTION("""COMPUTED_VALUE"""),"MAEKAL RAHMAT")</f>
        <v>MAEKAL RAHMAT</v>
      </c>
      <c r="C68" s="3">
        <f>IFERROR(__xludf.DUMMYFUNCTION("""COMPUTED_VALUE"""),2.024070311E9)</f>
        <v>2024070311</v>
      </c>
      <c r="D68" s="3" t="str">
        <f>IFERROR(__xludf.DUMMYFUNCTION("""COMPUTED_VALUE"""),"A")</f>
        <v>A</v>
      </c>
      <c r="E68" s="3" t="str">
        <f>IFERROR(__xludf.DUMMYFUNCTION("""COMPUTED_VALUE"""),"A-10")</f>
        <v>A-10</v>
      </c>
      <c r="F68" s="3">
        <f>IFERROR(__xludf.DUMMYFUNCTION("""COMPUTED_VALUE"""),3.0)</f>
        <v>3</v>
      </c>
      <c r="G68" s="3" t="str">
        <f>IFERROR(__xludf.DUMMYFUNCTION("""COMPUTED_VALUE"""),"3 WUSTHO PUTRA")</f>
        <v>3 WUSTHO PUTRA</v>
      </c>
      <c r="H68" s="3" t="str">
        <f>IFERROR(__xludf.DUMMYFUNCTION("""COMPUTED_VALUE"""),"MA-XII.10")</f>
        <v>MA-XII.10</v>
      </c>
      <c r="I68" s="4" t="str">
        <f>IFERROR(__xludf.DUMMYFUNCTION("""COMPUTED_VALUE"""),"WIWIK WIDAYATI")</f>
        <v>WIWIK WIDAYATI</v>
      </c>
      <c r="J68" s="4" t="str">
        <f>IFERROR(__xludf.DUMMYFUNCTION("""COMPUTED_VALUE"""),"JL. PUTER DALAM SELATAN 39 A TANJUNGREJO RT 10 RW 12 SUKUN MALANG")</f>
        <v>JL. PUTER DALAM SELATAN 39 A TANJUNGREJO RT 10 RW 12 SUKUN MALANG</v>
      </c>
      <c r="K68" s="4" t="str">
        <f>IFERROR(__xludf.DUMMYFUNCTION("""COMPUTED_VALUE"""),"6281998985638")</f>
        <v>6281998985638</v>
      </c>
      <c r="L68" s="5">
        <f>IFERROR(__xludf.DUMMYFUNCTION("""COMPUTED_VALUE"""),0.0)</f>
        <v>0</v>
      </c>
      <c r="M68" s="5">
        <f>IFERROR(__xludf.DUMMYFUNCTION("""COMPUTED_VALUE"""),0.0)</f>
        <v>0</v>
      </c>
      <c r="N68" s="5">
        <f>IFERROR(__xludf.DUMMYFUNCTION("""COMPUTED_VALUE"""),0.0)</f>
        <v>0</v>
      </c>
      <c r="O68" s="5">
        <f>IFERROR(__xludf.DUMMYFUNCTION("""COMPUTED_VALUE"""),0.0)</f>
        <v>0</v>
      </c>
      <c r="P68" s="4"/>
      <c r="Q68" s="4"/>
      <c r="R68" s="4"/>
      <c r="S68" s="3" t="str">
        <f>IFERROR(__xludf.DUMMYFUNCTION("""COMPUTED_VALUE"""),"Lunas")</f>
        <v>Lunas</v>
      </c>
      <c r="T68" s="6">
        <f t="shared" si="2"/>
        <v>46206</v>
      </c>
      <c r="U68" s="3" t="str">
        <f>IF(ISNA(vlookup(B68,DataExport!$D$2:$D$496,1,false)), "Belum", "Sudah")</f>
        <v>Belum</v>
      </c>
    </row>
    <row r="69">
      <c r="A69" s="3">
        <f t="shared" si="1"/>
        <v>68</v>
      </c>
      <c r="B69" s="4" t="str">
        <f>IFERROR(__xludf.DUMMYFUNCTION("""COMPUTED_VALUE"""),"MARVELL RIZIQ AMIN")</f>
        <v>MARVELL RIZIQ AMIN</v>
      </c>
      <c r="C69" s="3">
        <f>IFERROR(__xludf.DUMMYFUNCTION("""COMPUTED_VALUE"""),2.02407021E9)</f>
        <v>2024070210</v>
      </c>
      <c r="D69" s="3" t="str">
        <f>IFERROR(__xludf.DUMMYFUNCTION("""COMPUTED_VALUE"""),"A")</f>
        <v>A</v>
      </c>
      <c r="E69" s="3" t="str">
        <f>IFERROR(__xludf.DUMMYFUNCTION("""COMPUTED_VALUE"""),"A-10")</f>
        <v>A-10</v>
      </c>
      <c r="F69" s="3">
        <f>IFERROR(__xludf.DUMMYFUNCTION("""COMPUTED_VALUE"""),3.0)</f>
        <v>3</v>
      </c>
      <c r="G69" s="3" t="str">
        <f>IFERROR(__xludf.DUMMYFUNCTION("""COMPUTED_VALUE"""),"3 WUSTHO PUTRA")</f>
        <v>3 WUSTHO PUTRA</v>
      </c>
      <c r="H69" s="3" t="str">
        <f>IFERROR(__xludf.DUMMYFUNCTION("""COMPUTED_VALUE"""),"MA-XII.6")</f>
        <v>MA-XII.6</v>
      </c>
      <c r="I69" s="4" t="str">
        <f>IFERROR(__xludf.DUMMYFUNCTION("""COMPUTED_VALUE"""),"SITI ANISAH")</f>
        <v>SITI ANISAH</v>
      </c>
      <c r="J69" s="4" t="str">
        <f>IFERROR(__xludf.DUMMYFUNCTION("""COMPUTED_VALUE"""),"GENENG RT 5 RW 8 BRONDONG LAMONGAN")</f>
        <v>GENENG RT 5 RW 8 BRONDONG LAMONGAN</v>
      </c>
      <c r="K69" s="4" t="str">
        <f>IFERROR(__xludf.DUMMYFUNCTION("""COMPUTED_VALUE"""),"62895323652394")</f>
        <v>62895323652394</v>
      </c>
      <c r="L69" s="5">
        <f>IFERROR(__xludf.DUMMYFUNCTION("""COMPUTED_VALUE"""),0.0)</f>
        <v>0</v>
      </c>
      <c r="M69" s="5">
        <f>IFERROR(__xludf.DUMMYFUNCTION("""COMPUTED_VALUE"""),0.0)</f>
        <v>0</v>
      </c>
      <c r="N69" s="5">
        <f>IFERROR(__xludf.DUMMYFUNCTION("""COMPUTED_VALUE"""),0.0)</f>
        <v>0</v>
      </c>
      <c r="O69" s="5">
        <f>IFERROR(__xludf.DUMMYFUNCTION("""COMPUTED_VALUE"""),0.0)</f>
        <v>0</v>
      </c>
      <c r="P69" s="4"/>
      <c r="Q69" s="4"/>
      <c r="R69" s="4"/>
      <c r="S69" s="3" t="str">
        <f>IFERROR(__xludf.DUMMYFUNCTION("""COMPUTED_VALUE"""),"Lunas")</f>
        <v>Lunas</v>
      </c>
      <c r="T69" s="6">
        <f t="shared" si="2"/>
        <v>46206</v>
      </c>
      <c r="U69" s="3" t="str">
        <f>IF(ISNA(vlookup(B69,DataExport!$D$2:$D$496,1,false)), "Belum", "Sudah")</f>
        <v>Belum</v>
      </c>
    </row>
    <row r="70">
      <c r="A70" s="3">
        <f t="shared" si="1"/>
        <v>69</v>
      </c>
      <c r="B70" s="4" t="str">
        <f>IFERROR(__xludf.DUMMYFUNCTION("""COMPUTED_VALUE"""),"MAULIDINNA BASKORO INDAH KIRANNI")</f>
        <v>MAULIDINNA BASKORO INDAH KIRANNI</v>
      </c>
      <c r="C70" s="3">
        <f>IFERROR(__xludf.DUMMYFUNCTION("""COMPUTED_VALUE"""),2.024070079E9)</f>
        <v>2024070079</v>
      </c>
      <c r="D70" s="3" t="str">
        <f>IFERROR(__xludf.DUMMYFUNCTION("""COMPUTED_VALUE"""),"C")</f>
        <v>C</v>
      </c>
      <c r="E70" s="3" t="str">
        <f>IFERROR(__xludf.DUMMYFUNCTION("""COMPUTED_VALUE"""),"C-8")</f>
        <v>C-8</v>
      </c>
      <c r="F70" s="3">
        <f>IFERROR(__xludf.DUMMYFUNCTION("""COMPUTED_VALUE"""),3.0)</f>
        <v>3</v>
      </c>
      <c r="G70" s="3"/>
      <c r="H70" s="3" t="str">
        <f>IFERROR(__xludf.DUMMYFUNCTION("""COMPUTED_VALUE"""),"MA-XII.3")</f>
        <v>MA-XII.3</v>
      </c>
      <c r="I70" s="4" t="str">
        <f>IFERROR(__xludf.DUMMYFUNCTION("""COMPUTED_VALUE"""),"LAILATUL FAIZAH")</f>
        <v>LAILATUL FAIZAH</v>
      </c>
      <c r="J70" s="4" t="str">
        <f>IFERROR(__xludf.DUMMYFUNCTION("""COMPUTED_VALUE"""),"LEMBOR RT 001 RW 001 BRONDONG LAMONGAN")</f>
        <v>LEMBOR RT 001 RW 001 BRONDONG LAMONGAN</v>
      </c>
      <c r="K70" s="4" t="str">
        <f>IFERROR(__xludf.DUMMYFUNCTION("""COMPUTED_VALUE"""),"6285646714671")</f>
        <v>6285646714671</v>
      </c>
      <c r="L70" s="5">
        <f>IFERROR(__xludf.DUMMYFUNCTION("""COMPUTED_VALUE"""),0.0)</f>
        <v>0</v>
      </c>
      <c r="M70" s="5">
        <f>IFERROR(__xludf.DUMMYFUNCTION("""COMPUTED_VALUE"""),0.0)</f>
        <v>0</v>
      </c>
      <c r="N70" s="5">
        <f>IFERROR(__xludf.DUMMYFUNCTION("""COMPUTED_VALUE"""),0.0)</f>
        <v>0</v>
      </c>
      <c r="O70" s="5">
        <f>IFERROR(__xludf.DUMMYFUNCTION("""COMPUTED_VALUE"""),0.0)</f>
        <v>0</v>
      </c>
      <c r="P70" s="4"/>
      <c r="Q70" s="4"/>
      <c r="R70" s="4"/>
      <c r="S70" s="3" t="str">
        <f>IFERROR(__xludf.DUMMYFUNCTION("""COMPUTED_VALUE"""),"Lunas")</f>
        <v>Lunas</v>
      </c>
      <c r="T70" s="6">
        <f t="shared" si="2"/>
        <v>46206</v>
      </c>
      <c r="U70" s="3" t="str">
        <f>IF(ISNA(vlookup(B70,DataExport!$D$2:$D$496,1,false)), "Belum", "Sudah")</f>
        <v>Belum</v>
      </c>
    </row>
    <row r="71">
      <c r="A71" s="3">
        <f t="shared" si="1"/>
        <v>70</v>
      </c>
      <c r="B71" s="4" t="str">
        <f>IFERROR(__xludf.DUMMYFUNCTION("""COMPUTED_VALUE"""),"MELYSA NUR KHASANAH")</f>
        <v>MELYSA NUR KHASANAH</v>
      </c>
      <c r="C71" s="3">
        <f>IFERROR(__xludf.DUMMYFUNCTION("""COMPUTED_VALUE"""),2.024070016E9)</f>
        <v>2024070016</v>
      </c>
      <c r="D71" s="3" t="str">
        <f>IFERROR(__xludf.DUMMYFUNCTION("""COMPUTED_VALUE"""),"D")</f>
        <v>D</v>
      </c>
      <c r="E71" s="3" t="str">
        <f>IFERROR(__xludf.DUMMYFUNCTION("""COMPUTED_VALUE"""),"D-7")</f>
        <v>D-7</v>
      </c>
      <c r="F71" s="3">
        <f>IFERROR(__xludf.DUMMYFUNCTION("""COMPUTED_VALUE"""),3.0)</f>
        <v>3</v>
      </c>
      <c r="G71" s="3"/>
      <c r="H71" s="3" t="str">
        <f>IFERROR(__xludf.DUMMYFUNCTION("""COMPUTED_VALUE"""),"MA-XII.1")</f>
        <v>MA-XII.1</v>
      </c>
      <c r="I71" s="4" t="str">
        <f>IFERROR(__xludf.DUMMYFUNCTION("""COMPUTED_VALUE"""),"ERLIN NUR AIZAH")</f>
        <v>ERLIN NUR AIZAH</v>
      </c>
      <c r="J71" s="4" t="str">
        <f>IFERROR(__xludf.DUMMYFUNCTION("""COMPUTED_VALUE"""),"KRAJAN SUKOBENDU RT 002 RW 003 MANTUP LAMONGAN")</f>
        <v>KRAJAN SUKOBENDU RT 002 RW 003 MANTUP LAMONGAN</v>
      </c>
      <c r="K71" s="4" t="str">
        <f>IFERROR(__xludf.DUMMYFUNCTION("""COMPUTED_VALUE"""),"6281515680644")</f>
        <v>6281515680644</v>
      </c>
      <c r="L71" s="5">
        <f>IFERROR(__xludf.DUMMYFUNCTION("""COMPUTED_VALUE"""),0.0)</f>
        <v>0</v>
      </c>
      <c r="M71" s="5">
        <f>IFERROR(__xludf.DUMMYFUNCTION("""COMPUTED_VALUE"""),0.0)</f>
        <v>0</v>
      </c>
      <c r="N71" s="5">
        <f>IFERROR(__xludf.DUMMYFUNCTION("""COMPUTED_VALUE"""),0.0)</f>
        <v>0</v>
      </c>
      <c r="O71" s="5">
        <f>IFERROR(__xludf.DUMMYFUNCTION("""COMPUTED_VALUE"""),0.0)</f>
        <v>0</v>
      </c>
      <c r="P71" s="4"/>
      <c r="Q71" s="4"/>
      <c r="R71" s="4"/>
      <c r="S71" s="3" t="str">
        <f>IFERROR(__xludf.DUMMYFUNCTION("""COMPUTED_VALUE"""),"Lunas")</f>
        <v>Lunas</v>
      </c>
      <c r="T71" s="6">
        <f t="shared" si="2"/>
        <v>46206</v>
      </c>
      <c r="U71" s="3" t="str">
        <f>IF(ISNA(vlookup(B71,DataExport!$D$2:$D$496,1,false)), "Belum", "Sudah")</f>
        <v>Belum</v>
      </c>
    </row>
    <row r="72">
      <c r="A72" s="3">
        <f t="shared" si="1"/>
        <v>71</v>
      </c>
      <c r="B72" s="4" t="str">
        <f>IFERROR(__xludf.DUMMYFUNCTION("""COMPUTED_VALUE"""),"MILLATUN NASYIFAH")</f>
        <v>MILLATUN NASYIFAH</v>
      </c>
      <c r="C72" s="3">
        <f>IFERROR(__xludf.DUMMYFUNCTION("""COMPUTED_VALUE"""),2.024070645E9)</f>
        <v>2024070645</v>
      </c>
      <c r="D72" s="3" t="str">
        <f>IFERROR(__xludf.DUMMYFUNCTION("""COMPUTED_VALUE"""),"D")</f>
        <v>D</v>
      </c>
      <c r="E72" s="3" t="str">
        <f>IFERROR(__xludf.DUMMYFUNCTION("""COMPUTED_VALUE"""),"D-4")</f>
        <v>D-4</v>
      </c>
      <c r="F72" s="3">
        <f>IFERROR(__xludf.DUMMYFUNCTION("""COMPUTED_VALUE"""),3.0)</f>
        <v>3</v>
      </c>
      <c r="G72" s="3" t="str">
        <f>IFERROR(__xludf.DUMMYFUNCTION("""COMPUTED_VALUE"""),"3 ULA C PUTRI")</f>
        <v>3 ULA C PUTRI</v>
      </c>
      <c r="H72" s="3" t="str">
        <f>IFERROR(__xludf.DUMMYFUNCTION("""COMPUTED_VALUE"""),"MTS-9 H")</f>
        <v>MTS-9 H</v>
      </c>
      <c r="I72" s="4" t="str">
        <f>IFERROR(__xludf.DUMMYFUNCTION("""COMPUTED_VALUE"""),"NURMA HAYATI")</f>
        <v>NURMA HAYATI</v>
      </c>
      <c r="J72" s="4" t="str">
        <f>IFERROR(__xludf.DUMMYFUNCTION("""COMPUTED_VALUE"""),"PJINGGAHAN TANJUNGORI RT - RW - TAMBAK GRESIK")</f>
        <v>PJINGGAHAN TANJUNGORI RT - RW - TAMBAK GRESIK</v>
      </c>
      <c r="K72" s="4" t="str">
        <f>IFERROR(__xludf.DUMMYFUNCTION("""COMPUTED_VALUE"""),"626012046383")</f>
        <v>626012046383</v>
      </c>
      <c r="L72" s="5">
        <f>IFERROR(__xludf.DUMMYFUNCTION("""COMPUTED_VALUE"""),0.0)</f>
        <v>0</v>
      </c>
      <c r="M72" s="5">
        <f>IFERROR(__xludf.DUMMYFUNCTION("""COMPUTED_VALUE"""),0.0)</f>
        <v>0</v>
      </c>
      <c r="N72" s="5">
        <f>IFERROR(__xludf.DUMMYFUNCTION("""COMPUTED_VALUE"""),0.0)</f>
        <v>0</v>
      </c>
      <c r="O72" s="5">
        <f>IFERROR(__xludf.DUMMYFUNCTION("""COMPUTED_VALUE"""),0.0)</f>
        <v>0</v>
      </c>
      <c r="P72" s="4"/>
      <c r="Q72" s="4"/>
      <c r="R72" s="4"/>
      <c r="S72" s="3" t="str">
        <f>IFERROR(__xludf.DUMMYFUNCTION("""COMPUTED_VALUE"""),"Lunas")</f>
        <v>Lunas</v>
      </c>
      <c r="T72" s="6">
        <f t="shared" si="2"/>
        <v>46206</v>
      </c>
      <c r="U72" s="3" t="str">
        <f>IF(ISNA(vlookup(B72,DataExport!$D$2:$D$496,1,false)), "Belum", "Sudah")</f>
        <v>Belum</v>
      </c>
    </row>
    <row r="73">
      <c r="A73" s="3">
        <f t="shared" si="1"/>
        <v>72</v>
      </c>
      <c r="B73" s="4" t="str">
        <f>IFERROR(__xludf.DUMMYFUNCTION("""COMPUTED_VALUE"""),"MITA NUR FAIZATUN NISA`")</f>
        <v>MITA NUR FAIZATUN NISA`</v>
      </c>
      <c r="C73" s="3">
        <f>IFERROR(__xludf.DUMMYFUNCTION("""COMPUTED_VALUE"""),2.024070429E9)</f>
        <v>2024070429</v>
      </c>
      <c r="D73" s="3" t="str">
        <f>IFERROR(__xludf.DUMMYFUNCTION("""COMPUTED_VALUE"""),"C")</f>
        <v>C</v>
      </c>
      <c r="E73" s="3" t="str">
        <f>IFERROR(__xludf.DUMMYFUNCTION("""COMPUTED_VALUE"""),"C-7")</f>
        <v>C-7</v>
      </c>
      <c r="F73" s="3">
        <f>IFERROR(__xludf.DUMMYFUNCTION("""COMPUTED_VALUE"""),3.0)</f>
        <v>3</v>
      </c>
      <c r="G73" s="3"/>
      <c r="H73" s="3" t="str">
        <f>IFERROR(__xludf.DUMMYFUNCTION("""COMPUTED_VALUE"""),"MA-XII.13")</f>
        <v>MA-XII.13</v>
      </c>
      <c r="I73" s="4" t="str">
        <f>IFERROR(__xludf.DUMMYFUNCTION("""COMPUTED_VALUE"""),"PURYAMI")</f>
        <v>PURYAMI</v>
      </c>
      <c r="J73" s="4" t="str">
        <f>IFERROR(__xludf.DUMMYFUNCTION("""COMPUTED_VALUE"""),"PENCOL WIDANG RT 005 RW 005 WIDANG TUBAN")</f>
        <v>PENCOL WIDANG RT 005 RW 005 WIDANG TUBAN</v>
      </c>
      <c r="K73" s="4" t="str">
        <f>IFERROR(__xludf.DUMMYFUNCTION("""COMPUTED_VALUE"""),"6281332935951")</f>
        <v>6281332935951</v>
      </c>
      <c r="L73" s="5">
        <f>IFERROR(__xludf.DUMMYFUNCTION("""COMPUTED_VALUE"""),0.0)</f>
        <v>0</v>
      </c>
      <c r="M73" s="5">
        <f>IFERROR(__xludf.DUMMYFUNCTION("""COMPUTED_VALUE"""),0.0)</f>
        <v>0</v>
      </c>
      <c r="N73" s="5">
        <f>IFERROR(__xludf.DUMMYFUNCTION("""COMPUTED_VALUE"""),0.0)</f>
        <v>0</v>
      </c>
      <c r="O73" s="5">
        <f>IFERROR(__xludf.DUMMYFUNCTION("""COMPUTED_VALUE"""),0.0)</f>
        <v>0</v>
      </c>
      <c r="P73" s="4"/>
      <c r="Q73" s="4"/>
      <c r="R73" s="4"/>
      <c r="S73" s="3" t="str">
        <f>IFERROR(__xludf.DUMMYFUNCTION("""COMPUTED_VALUE"""),"Lunas")</f>
        <v>Lunas</v>
      </c>
      <c r="T73" s="6">
        <f t="shared" si="2"/>
        <v>46206</v>
      </c>
      <c r="U73" s="3" t="str">
        <f>IF(ISNA(vlookup(B73,DataExport!$D$2:$D$496,1,false)), "Belum", "Sudah")</f>
        <v>Belum</v>
      </c>
    </row>
    <row r="74">
      <c r="A74" s="3">
        <f t="shared" si="1"/>
        <v>73</v>
      </c>
      <c r="B74" s="4" t="str">
        <f>IFERROR(__xludf.DUMMYFUNCTION("""COMPUTED_VALUE"""),"MOCH SLAMET JULIANTO")</f>
        <v>MOCH SLAMET JULIANTO</v>
      </c>
      <c r="C74" s="3">
        <f>IFERROR(__xludf.DUMMYFUNCTION("""COMPUTED_VALUE"""),2.024070589E9)</f>
        <v>2024070589</v>
      </c>
      <c r="D74" s="3" t="str">
        <f>IFERROR(__xludf.DUMMYFUNCTION("""COMPUTED_VALUE"""),"A")</f>
        <v>A</v>
      </c>
      <c r="E74" s="3" t="str">
        <f>IFERROR(__xludf.DUMMYFUNCTION("""COMPUTED_VALUE"""),"A-8")</f>
        <v>A-8</v>
      </c>
      <c r="F74" s="3">
        <f>IFERROR(__xludf.DUMMYFUNCTION("""COMPUTED_VALUE"""),3.0)</f>
        <v>3</v>
      </c>
      <c r="G74" s="3" t="str">
        <f>IFERROR(__xludf.DUMMYFUNCTION("""COMPUTED_VALUE"""),"3 ULA B PUTRA")</f>
        <v>3 ULA B PUTRA</v>
      </c>
      <c r="H74" s="3" t="str">
        <f>IFERROR(__xludf.DUMMYFUNCTION("""COMPUTED_VALUE"""),"MTS-9 B")</f>
        <v>MTS-9 B</v>
      </c>
      <c r="I74" s="4" t="str">
        <f>IFERROR(__xludf.DUMMYFUNCTION("""COMPUTED_VALUE"""),"SRI ULFIATI")</f>
        <v>SRI ULFIATI</v>
      </c>
      <c r="J74" s="4" t="str">
        <f>IFERROR(__xludf.DUMMYFUNCTION("""COMPUTED_VALUE"""),"SAWAH 2-A PEGIRIAN RT 009 RW 002 SEMAMPIR SURABAYA")</f>
        <v>SAWAH 2-A PEGIRIAN RT 009 RW 002 SEMAMPIR SURABAYA</v>
      </c>
      <c r="K74" s="4" t="str">
        <f>IFERROR(__xludf.DUMMYFUNCTION("""COMPUTED_VALUE"""),"6285851745443")</f>
        <v>6285851745443</v>
      </c>
      <c r="L74" s="5">
        <f>IFERROR(__xludf.DUMMYFUNCTION("""COMPUTED_VALUE"""),0.0)</f>
        <v>0</v>
      </c>
      <c r="M74" s="5">
        <f>IFERROR(__xludf.DUMMYFUNCTION("""COMPUTED_VALUE"""),0.0)</f>
        <v>0</v>
      </c>
      <c r="N74" s="5">
        <f>IFERROR(__xludf.DUMMYFUNCTION("""COMPUTED_VALUE"""),0.0)</f>
        <v>0</v>
      </c>
      <c r="O74" s="5">
        <f>IFERROR(__xludf.DUMMYFUNCTION("""COMPUTED_VALUE"""),0.0)</f>
        <v>0</v>
      </c>
      <c r="P74" s="4"/>
      <c r="Q74" s="4"/>
      <c r="R74" s="4"/>
      <c r="S74" s="3" t="str">
        <f>IFERROR(__xludf.DUMMYFUNCTION("""COMPUTED_VALUE"""),"Lunas")</f>
        <v>Lunas</v>
      </c>
      <c r="T74" s="6">
        <f t="shared" si="2"/>
        <v>46206</v>
      </c>
      <c r="U74" s="3" t="str">
        <f>IF(ISNA(vlookup(B74,DataExport!$D$2:$D$496,1,false)), "Belum", "Sudah")</f>
        <v>Belum</v>
      </c>
    </row>
    <row r="75">
      <c r="A75" s="3">
        <f t="shared" si="1"/>
        <v>74</v>
      </c>
      <c r="B75" s="4" t="str">
        <f>IFERROR(__xludf.DUMMYFUNCTION("""COMPUTED_VALUE"""),"MOCHAMMAD AL FATIH ABRISAM KURNIAWAN")</f>
        <v>MOCHAMMAD AL FATIH ABRISAM KURNIAWAN</v>
      </c>
      <c r="C75" s="3">
        <f>IFERROR(__xludf.DUMMYFUNCTION("""COMPUTED_VALUE"""),2.024070637E9)</f>
        <v>2024070637</v>
      </c>
      <c r="D75" s="3" t="str">
        <f>IFERROR(__xludf.DUMMYFUNCTION("""COMPUTED_VALUE"""),"A")</f>
        <v>A</v>
      </c>
      <c r="E75" s="3" t="str">
        <f>IFERROR(__xludf.DUMMYFUNCTION("""COMPUTED_VALUE"""),"A-8")</f>
        <v>A-8</v>
      </c>
      <c r="F75" s="3">
        <f>IFERROR(__xludf.DUMMYFUNCTION("""COMPUTED_VALUE"""),3.0)</f>
        <v>3</v>
      </c>
      <c r="G75" s="3" t="str">
        <f>IFERROR(__xludf.DUMMYFUNCTION("""COMPUTED_VALUE"""),"3 ULA B PUTRA")</f>
        <v>3 ULA B PUTRA</v>
      </c>
      <c r="H75" s="3" t="str">
        <f>IFERROR(__xludf.DUMMYFUNCTION("""COMPUTED_VALUE"""),"MTS-9 E")</f>
        <v>MTS-9 E</v>
      </c>
      <c r="I75" s="4" t="str">
        <f>IFERROR(__xludf.DUMMYFUNCTION("""COMPUTED_VALUE"""),"WIWIT INDRAYATI")</f>
        <v>WIWIT INDRAYATI</v>
      </c>
      <c r="J75" s="4" t="str">
        <f>IFERROR(__xludf.DUMMYFUNCTION("""COMPUTED_VALUE"""),"SUKOANYAR SIDOMUKTI RT 006 RW 002 KEMBANGBAHU LAMONGAN")</f>
        <v>SUKOANYAR SIDOMUKTI RT 006 RW 002 KEMBANGBAHU LAMONGAN</v>
      </c>
      <c r="K75" s="4" t="str">
        <f>IFERROR(__xludf.DUMMYFUNCTION("""COMPUTED_VALUE"""),"6281553088645")</f>
        <v>6281553088645</v>
      </c>
      <c r="L75" s="5">
        <f>IFERROR(__xludf.DUMMYFUNCTION("""COMPUTED_VALUE"""),0.0)</f>
        <v>0</v>
      </c>
      <c r="M75" s="5">
        <f>IFERROR(__xludf.DUMMYFUNCTION("""COMPUTED_VALUE"""),0.0)</f>
        <v>0</v>
      </c>
      <c r="N75" s="5">
        <f>IFERROR(__xludf.DUMMYFUNCTION("""COMPUTED_VALUE"""),0.0)</f>
        <v>0</v>
      </c>
      <c r="O75" s="5">
        <f>IFERROR(__xludf.DUMMYFUNCTION("""COMPUTED_VALUE"""),0.0)</f>
        <v>0</v>
      </c>
      <c r="P75" s="4"/>
      <c r="Q75" s="4"/>
      <c r="R75" s="4"/>
      <c r="S75" s="3" t="str">
        <f>IFERROR(__xludf.DUMMYFUNCTION("""COMPUTED_VALUE"""),"Lunas")</f>
        <v>Lunas</v>
      </c>
      <c r="T75" s="6">
        <f t="shared" si="2"/>
        <v>46206</v>
      </c>
      <c r="U75" s="3" t="str">
        <f>IF(ISNA(vlookup(B75,DataExport!$D$2:$D$496,1,false)), "Belum", "Sudah")</f>
        <v>Belum</v>
      </c>
    </row>
    <row r="76">
      <c r="A76" s="3">
        <f t="shared" si="1"/>
        <v>75</v>
      </c>
      <c r="B76" s="4" t="str">
        <f>IFERROR(__xludf.DUMMYFUNCTION("""COMPUTED_VALUE"""),"MOH. FAKHRI ARVIANSYAH")</f>
        <v>MOH. FAKHRI ARVIANSYAH</v>
      </c>
      <c r="C76" s="3">
        <f>IFERROR(__xludf.DUMMYFUNCTION("""COMPUTED_VALUE"""),2.02407048E9)</f>
        <v>2024070480</v>
      </c>
      <c r="D76" s="3" t="str">
        <f>IFERROR(__xludf.DUMMYFUNCTION("""COMPUTED_VALUE"""),"A")</f>
        <v>A</v>
      </c>
      <c r="E76" s="3" t="str">
        <f>IFERROR(__xludf.DUMMYFUNCTION("""COMPUTED_VALUE"""),"A-8")</f>
        <v>A-8</v>
      </c>
      <c r="F76" s="3">
        <f>IFERROR(__xludf.DUMMYFUNCTION("""COMPUTED_VALUE"""),3.0)</f>
        <v>3</v>
      </c>
      <c r="G76" s="3" t="str">
        <f>IFERROR(__xludf.DUMMYFUNCTION("""COMPUTED_VALUE"""),"3 ULA A PUTRA")</f>
        <v>3 ULA A PUTRA</v>
      </c>
      <c r="H76" s="3" t="str">
        <f>IFERROR(__xludf.DUMMYFUNCTION("""COMPUTED_VALUE"""),"MTS-9 F")</f>
        <v>MTS-9 F</v>
      </c>
      <c r="I76" s="4" t="str">
        <f>IFERROR(__xludf.DUMMYFUNCTION("""COMPUTED_VALUE"""),"SUFINAH DWI ROKHMAH")</f>
        <v>SUFINAH DWI ROKHMAH</v>
      </c>
      <c r="J76" s="4" t="str">
        <f>IFERROR(__xludf.DUMMYFUNCTION("""COMPUTED_VALUE"""),"KARANGTAPEN KARANGLANGIT RT 002 RW 004 LAMONGAN LAMONGAN")</f>
        <v>KARANGTAPEN KARANGLANGIT RT 002 RW 004 LAMONGAN LAMONGAN</v>
      </c>
      <c r="K76" s="4" t="str">
        <f>IFERROR(__xludf.DUMMYFUNCTION("""COMPUTED_VALUE"""),"6285732561338")</f>
        <v>6285732561338</v>
      </c>
      <c r="L76" s="5">
        <f>IFERROR(__xludf.DUMMYFUNCTION("""COMPUTED_VALUE"""),0.0)</f>
        <v>0</v>
      </c>
      <c r="M76" s="5">
        <f>IFERROR(__xludf.DUMMYFUNCTION("""COMPUTED_VALUE"""),0.0)</f>
        <v>0</v>
      </c>
      <c r="N76" s="5">
        <f>IFERROR(__xludf.DUMMYFUNCTION("""COMPUTED_VALUE"""),0.0)</f>
        <v>0</v>
      </c>
      <c r="O76" s="5">
        <f>IFERROR(__xludf.DUMMYFUNCTION("""COMPUTED_VALUE"""),0.0)</f>
        <v>0</v>
      </c>
      <c r="P76" s="4"/>
      <c r="Q76" s="4"/>
      <c r="R76" s="4"/>
      <c r="S76" s="3" t="str">
        <f>IFERROR(__xludf.DUMMYFUNCTION("""COMPUTED_VALUE"""),"Lunas")</f>
        <v>Lunas</v>
      </c>
      <c r="T76" s="6">
        <f t="shared" si="2"/>
        <v>46206</v>
      </c>
      <c r="U76" s="3" t="str">
        <f>IF(ISNA(vlookup(B76,DataExport!$D$2:$D$496,1,false)), "Belum", "Sudah")</f>
        <v>Belum</v>
      </c>
    </row>
    <row r="77">
      <c r="A77" s="3">
        <f t="shared" si="1"/>
        <v>76</v>
      </c>
      <c r="B77" s="4" t="str">
        <f>IFERROR(__xludf.DUMMYFUNCTION("""COMPUTED_VALUE"""),"MOH. VERRY HILMI MUBAROK")</f>
        <v>MOH. VERRY HILMI MUBAROK</v>
      </c>
      <c r="C77" s="3">
        <f>IFERROR(__xludf.DUMMYFUNCTION("""COMPUTED_VALUE"""),2.024070552E9)</f>
        <v>2024070552</v>
      </c>
      <c r="D77" s="3" t="str">
        <f>IFERROR(__xludf.DUMMYFUNCTION("""COMPUTED_VALUE"""),"A")</f>
        <v>A</v>
      </c>
      <c r="E77" s="3" t="str">
        <f>IFERROR(__xludf.DUMMYFUNCTION("""COMPUTED_VALUE"""),"A-7")</f>
        <v>A-7</v>
      </c>
      <c r="F77" s="3">
        <f>IFERROR(__xludf.DUMMYFUNCTION("""COMPUTED_VALUE"""),3.0)</f>
        <v>3</v>
      </c>
      <c r="G77" s="3" t="str">
        <f>IFERROR(__xludf.DUMMYFUNCTION("""COMPUTED_VALUE"""),"3 ULA B PUTRA")</f>
        <v>3 ULA B PUTRA</v>
      </c>
      <c r="H77" s="3" t="str">
        <f>IFERROR(__xludf.DUMMYFUNCTION("""COMPUTED_VALUE"""),"MTS-9 F")</f>
        <v>MTS-9 F</v>
      </c>
      <c r="I77" s="4" t="str">
        <f>IFERROR(__xludf.DUMMYFUNCTION("""COMPUTED_VALUE"""),"NUR UMIYATI")</f>
        <v>NUR UMIYATI</v>
      </c>
      <c r="J77" s="4" t="str">
        <f>IFERROR(__xludf.DUMMYFUNCTION("""COMPUTED_VALUE"""),"JL. GUNUNG BATU NO. 102 SUKARAJA RT 007 RW 002 CICENDO BANDUNG")</f>
        <v>JL. GUNUNG BATU NO. 102 SUKARAJA RT 007 RW 002 CICENDO BANDUNG</v>
      </c>
      <c r="K77" s="4" t="str">
        <f>IFERROR(__xludf.DUMMYFUNCTION("""COMPUTED_VALUE"""),"6281221567120")</f>
        <v>6281221567120</v>
      </c>
      <c r="L77" s="5">
        <f>IFERROR(__xludf.DUMMYFUNCTION("""COMPUTED_VALUE"""),0.0)</f>
        <v>0</v>
      </c>
      <c r="M77" s="5">
        <f>IFERROR(__xludf.DUMMYFUNCTION("""COMPUTED_VALUE"""),0.0)</f>
        <v>0</v>
      </c>
      <c r="N77" s="5">
        <f>IFERROR(__xludf.DUMMYFUNCTION("""COMPUTED_VALUE"""),0.0)</f>
        <v>0</v>
      </c>
      <c r="O77" s="5">
        <f>IFERROR(__xludf.DUMMYFUNCTION("""COMPUTED_VALUE"""),0.0)</f>
        <v>0</v>
      </c>
      <c r="P77" s="4"/>
      <c r="Q77" s="4"/>
      <c r="R77" s="4"/>
      <c r="S77" s="3" t="str">
        <f>IFERROR(__xludf.DUMMYFUNCTION("""COMPUTED_VALUE"""),"Lunas")</f>
        <v>Lunas</v>
      </c>
      <c r="T77" s="6">
        <f t="shared" si="2"/>
        <v>46206</v>
      </c>
      <c r="U77" s="3" t="str">
        <f>IF(ISNA(vlookup(B77,DataExport!$D$2:$D$496,1,false)), "Belum", "Sudah")</f>
        <v>Belum</v>
      </c>
    </row>
    <row r="78">
      <c r="A78" s="3">
        <f t="shared" si="1"/>
        <v>77</v>
      </c>
      <c r="B78" s="4" t="str">
        <f>IFERROR(__xludf.DUMMYFUNCTION("""COMPUTED_VALUE"""),"MUHAMMAD ARIS IBRAHIM")</f>
        <v>MUHAMMAD ARIS IBRAHIM</v>
      </c>
      <c r="C78" s="3">
        <f>IFERROR(__xludf.DUMMYFUNCTION("""COMPUTED_VALUE"""),2.024070691E9)</f>
        <v>2024070691</v>
      </c>
      <c r="D78" s="3" t="str">
        <f>IFERROR(__xludf.DUMMYFUNCTION("""COMPUTED_VALUE"""),"A")</f>
        <v>A</v>
      </c>
      <c r="E78" s="3" t="str">
        <f>IFERROR(__xludf.DUMMYFUNCTION("""COMPUTED_VALUE"""),"A-10")</f>
        <v>A-10</v>
      </c>
      <c r="F78" s="3">
        <f>IFERROR(__xludf.DUMMYFUNCTION("""COMPUTED_VALUE"""),3.0)</f>
        <v>3</v>
      </c>
      <c r="G78" s="3" t="str">
        <f>IFERROR(__xludf.DUMMYFUNCTION("""COMPUTED_VALUE"""),"3 WUSTHO PUTRA")</f>
        <v>3 WUSTHO PUTRA</v>
      </c>
      <c r="H78" s="3" t="str">
        <f>IFERROR(__xludf.DUMMYFUNCTION("""COMPUTED_VALUE"""),"SMK-XII TKJ 1")</f>
        <v>SMK-XII TKJ 1</v>
      </c>
      <c r="I78" s="4" t="str">
        <f>IFERROR(__xludf.DUMMYFUNCTION("""COMPUTED_VALUE"""),"EMI LAKSEMI ZAHARA")</f>
        <v>EMI LAKSEMI ZAHARA</v>
      </c>
      <c r="J78" s="4" t="str">
        <f>IFERROR(__xludf.DUMMYFUNCTION("""COMPUTED_VALUE"""),"WANAR RT 001 RW 007 PUCUK LAMONGAN")</f>
        <v>WANAR RT 001 RW 007 PUCUK LAMONGAN</v>
      </c>
      <c r="K78" s="4" t="str">
        <f>IFERROR(__xludf.DUMMYFUNCTION("""COMPUTED_VALUE"""),"6289523611658")</f>
        <v>6289523611658</v>
      </c>
      <c r="L78" s="5">
        <f>IFERROR(__xludf.DUMMYFUNCTION("""COMPUTED_VALUE"""),0.0)</f>
        <v>0</v>
      </c>
      <c r="M78" s="5">
        <f>IFERROR(__xludf.DUMMYFUNCTION("""COMPUTED_VALUE"""),0.0)</f>
        <v>0</v>
      </c>
      <c r="N78" s="5">
        <f>IFERROR(__xludf.DUMMYFUNCTION("""COMPUTED_VALUE"""),0.0)</f>
        <v>0</v>
      </c>
      <c r="O78" s="5">
        <f>IFERROR(__xludf.DUMMYFUNCTION("""COMPUTED_VALUE"""),0.0)</f>
        <v>0</v>
      </c>
      <c r="P78" s="4"/>
      <c r="Q78" s="4"/>
      <c r="R78" s="4"/>
      <c r="S78" s="3" t="str">
        <f>IFERROR(__xludf.DUMMYFUNCTION("""COMPUTED_VALUE"""),"Lunas")</f>
        <v>Lunas</v>
      </c>
      <c r="T78" s="6">
        <f t="shared" si="2"/>
        <v>46206</v>
      </c>
      <c r="U78" s="3" t="str">
        <f>IF(ISNA(vlookup(B78,DataExport!$D$2:$D$496,1,false)), "Belum", "Sudah")</f>
        <v>Belum</v>
      </c>
    </row>
    <row r="79">
      <c r="A79" s="3">
        <f t="shared" si="1"/>
        <v>78</v>
      </c>
      <c r="B79" s="4" t="str">
        <f>IFERROR(__xludf.DUMMYFUNCTION("""COMPUTED_VALUE"""),"MUHAMMAD BINTANG MAULANA")</f>
        <v>MUHAMMAD BINTANG MAULANA</v>
      </c>
      <c r="C79" s="3">
        <f>IFERROR(__xludf.DUMMYFUNCTION("""COMPUTED_VALUE"""),2.024070559E9)</f>
        <v>2024070559</v>
      </c>
      <c r="D79" s="3" t="str">
        <f>IFERROR(__xludf.DUMMYFUNCTION("""COMPUTED_VALUE"""),"A")</f>
        <v>A</v>
      </c>
      <c r="E79" s="3" t="str">
        <f>IFERROR(__xludf.DUMMYFUNCTION("""COMPUTED_VALUE"""),"A-8")</f>
        <v>A-8</v>
      </c>
      <c r="F79" s="3">
        <f>IFERROR(__xludf.DUMMYFUNCTION("""COMPUTED_VALUE"""),3.0)</f>
        <v>3</v>
      </c>
      <c r="G79" s="3" t="str">
        <f>IFERROR(__xludf.DUMMYFUNCTION("""COMPUTED_VALUE"""),"3 ULA B PUTRA")</f>
        <v>3 ULA B PUTRA</v>
      </c>
      <c r="H79" s="3" t="str">
        <f>IFERROR(__xludf.DUMMYFUNCTION("""COMPUTED_VALUE"""),"MTS-9 C")</f>
        <v>MTS-9 C</v>
      </c>
      <c r="I79" s="4" t="str">
        <f>IFERROR(__xludf.DUMMYFUNCTION("""COMPUTED_VALUE"""),"DEVININGTYAS")</f>
        <v>DEVININGTYAS</v>
      </c>
      <c r="J79" s="4" t="str">
        <f>IFERROR(__xludf.DUMMYFUNCTION("""COMPUTED_VALUE"""),"DADAPAN RT 003 RW 001 SOLOKURO LAMONGAN")</f>
        <v>DADAPAN RT 003 RW 001 SOLOKURO LAMONGAN</v>
      </c>
      <c r="K79" s="4" t="str">
        <f>IFERROR(__xludf.DUMMYFUNCTION("""COMPUTED_VALUE"""),"6285745898936")</f>
        <v>6285745898936</v>
      </c>
      <c r="L79" s="5">
        <f>IFERROR(__xludf.DUMMYFUNCTION("""COMPUTED_VALUE"""),0.0)</f>
        <v>0</v>
      </c>
      <c r="M79" s="5">
        <f>IFERROR(__xludf.DUMMYFUNCTION("""COMPUTED_VALUE"""),0.0)</f>
        <v>0</v>
      </c>
      <c r="N79" s="5">
        <f>IFERROR(__xludf.DUMMYFUNCTION("""COMPUTED_VALUE"""),0.0)</f>
        <v>0</v>
      </c>
      <c r="O79" s="5">
        <f>IFERROR(__xludf.DUMMYFUNCTION("""COMPUTED_VALUE"""),0.0)</f>
        <v>0</v>
      </c>
      <c r="P79" s="4"/>
      <c r="Q79" s="4"/>
      <c r="R79" s="4"/>
      <c r="S79" s="3" t="str">
        <f>IFERROR(__xludf.DUMMYFUNCTION("""COMPUTED_VALUE"""),"Lunas")</f>
        <v>Lunas</v>
      </c>
      <c r="T79" s="6">
        <f t="shared" si="2"/>
        <v>46206</v>
      </c>
      <c r="U79" s="3" t="str">
        <f>IF(ISNA(vlookup(B79,DataExport!$D$2:$D$496,1,false)), "Belum", "Sudah")</f>
        <v>Belum</v>
      </c>
    </row>
    <row r="80">
      <c r="A80" s="3">
        <f t="shared" si="1"/>
        <v>79</v>
      </c>
      <c r="B80" s="4" t="str">
        <f>IFERROR(__xludf.DUMMYFUNCTION("""COMPUTED_VALUE"""),"MUHAMMAD DEDY FIRMANSYAH")</f>
        <v>MUHAMMAD DEDY FIRMANSYAH</v>
      </c>
      <c r="C80" s="3">
        <f>IFERROR(__xludf.DUMMYFUNCTION("""COMPUTED_VALUE"""),2.024070482E9)</f>
        <v>2024070482</v>
      </c>
      <c r="D80" s="3" t="str">
        <f>IFERROR(__xludf.DUMMYFUNCTION("""COMPUTED_VALUE"""),"A")</f>
        <v>A</v>
      </c>
      <c r="E80" s="3" t="str">
        <f>IFERROR(__xludf.DUMMYFUNCTION("""COMPUTED_VALUE"""),"A-8")</f>
        <v>A-8</v>
      </c>
      <c r="F80" s="3">
        <f>IFERROR(__xludf.DUMMYFUNCTION("""COMPUTED_VALUE"""),3.0)</f>
        <v>3</v>
      </c>
      <c r="G80" s="3" t="str">
        <f>IFERROR(__xludf.DUMMYFUNCTION("""COMPUTED_VALUE"""),"3 ULA A PUTRA")</f>
        <v>3 ULA A PUTRA</v>
      </c>
      <c r="H80" s="3" t="str">
        <f>IFERROR(__xludf.DUMMYFUNCTION("""COMPUTED_VALUE"""),"MTS-9 D")</f>
        <v>MTS-9 D</v>
      </c>
      <c r="I80" s="4" t="str">
        <f>IFERROR(__xludf.DUMMYFUNCTION("""COMPUTED_VALUE"""),"SITI FILIZAH")</f>
        <v>SITI FILIZAH</v>
      </c>
      <c r="J80" s="4" t="str">
        <f>IFERROR(__xludf.DUMMYFUNCTION("""COMPUTED_VALUE"""),"BLANGIT KARANGLANGIT RT 002 RW 002 LAMONGAN LAMONGAN")</f>
        <v>BLANGIT KARANGLANGIT RT 002 RW 002 LAMONGAN LAMONGAN</v>
      </c>
      <c r="K80" s="4" t="str">
        <f>IFERROR(__xludf.DUMMYFUNCTION("""COMPUTED_VALUE"""),"6285425525123")</f>
        <v>6285425525123</v>
      </c>
      <c r="L80" s="5">
        <f>IFERROR(__xludf.DUMMYFUNCTION("""COMPUTED_VALUE"""),0.0)</f>
        <v>0</v>
      </c>
      <c r="M80" s="5">
        <f>IFERROR(__xludf.DUMMYFUNCTION("""COMPUTED_VALUE"""),0.0)</f>
        <v>0</v>
      </c>
      <c r="N80" s="5">
        <f>IFERROR(__xludf.DUMMYFUNCTION("""COMPUTED_VALUE"""),0.0)</f>
        <v>0</v>
      </c>
      <c r="O80" s="5">
        <f>IFERROR(__xludf.DUMMYFUNCTION("""COMPUTED_VALUE"""),0.0)</f>
        <v>0</v>
      </c>
      <c r="P80" s="4"/>
      <c r="Q80" s="4"/>
      <c r="R80" s="4"/>
      <c r="S80" s="3" t="str">
        <f>IFERROR(__xludf.DUMMYFUNCTION("""COMPUTED_VALUE"""),"Lunas")</f>
        <v>Lunas</v>
      </c>
      <c r="T80" s="6">
        <f t="shared" si="2"/>
        <v>46206</v>
      </c>
      <c r="U80" s="3" t="str">
        <f>IF(ISNA(vlookup(B80,DataExport!$D$2:$D$496,1,false)), "Belum", "Sudah")</f>
        <v>Belum</v>
      </c>
    </row>
    <row r="81">
      <c r="A81" s="3">
        <f t="shared" si="1"/>
        <v>80</v>
      </c>
      <c r="B81" s="4" t="str">
        <f>IFERROR(__xludf.DUMMYFUNCTION("""COMPUTED_VALUE"""),"MUHAMMAD FIRDAUS AL AYYUBI")</f>
        <v>MUHAMMAD FIRDAUS AL AYYUBI</v>
      </c>
      <c r="C81" s="3">
        <f>IFERROR(__xludf.DUMMYFUNCTION("""COMPUTED_VALUE"""),2.02407068E9)</f>
        <v>2024070680</v>
      </c>
      <c r="D81" s="3" t="str">
        <f>IFERROR(__xludf.DUMMYFUNCTION("""COMPUTED_VALUE"""),"A")</f>
        <v>A</v>
      </c>
      <c r="E81" s="3" t="str">
        <f>IFERROR(__xludf.DUMMYFUNCTION("""COMPUTED_VALUE"""),"A-10")</f>
        <v>A-10</v>
      </c>
      <c r="F81" s="3">
        <f>IFERROR(__xludf.DUMMYFUNCTION("""COMPUTED_VALUE"""),3.0)</f>
        <v>3</v>
      </c>
      <c r="G81" s="3" t="str">
        <f>IFERROR(__xludf.DUMMYFUNCTION("""COMPUTED_VALUE"""),"3 WUSTHO PUTRA")</f>
        <v>3 WUSTHO PUTRA</v>
      </c>
      <c r="H81" s="3" t="str">
        <f>IFERROR(__xludf.DUMMYFUNCTION("""COMPUTED_VALUE"""),"SMK-XII TKJ 1")</f>
        <v>SMK-XII TKJ 1</v>
      </c>
      <c r="I81" s="4" t="str">
        <f>IFERROR(__xludf.DUMMYFUNCTION("""COMPUTED_VALUE"""),"SITI NASRIYATUN")</f>
        <v>SITI NASRIYATUN</v>
      </c>
      <c r="J81" s="4" t="str">
        <f>IFERROR(__xludf.DUMMYFUNCTION("""COMPUTED_VALUE"""),"DAGAN RT 002 RW 002 SOLOKURO LAMONGAN")</f>
        <v>DAGAN RT 002 RW 002 SOLOKURO LAMONGAN</v>
      </c>
      <c r="K81" s="4" t="str">
        <f>IFERROR(__xludf.DUMMYFUNCTION("""COMPUTED_VALUE"""),"6285648339606")</f>
        <v>6285648339606</v>
      </c>
      <c r="L81" s="5">
        <f>IFERROR(__xludf.DUMMYFUNCTION("""COMPUTED_VALUE"""),0.0)</f>
        <v>0</v>
      </c>
      <c r="M81" s="5">
        <f>IFERROR(__xludf.DUMMYFUNCTION("""COMPUTED_VALUE"""),0.0)</f>
        <v>0</v>
      </c>
      <c r="N81" s="5">
        <f>IFERROR(__xludf.DUMMYFUNCTION("""COMPUTED_VALUE"""),0.0)</f>
        <v>0</v>
      </c>
      <c r="O81" s="5">
        <f>IFERROR(__xludf.DUMMYFUNCTION("""COMPUTED_VALUE"""),0.0)</f>
        <v>0</v>
      </c>
      <c r="P81" s="4"/>
      <c r="Q81" s="4"/>
      <c r="R81" s="4"/>
      <c r="S81" s="3" t="str">
        <f>IFERROR(__xludf.DUMMYFUNCTION("""COMPUTED_VALUE"""),"Lunas")</f>
        <v>Lunas</v>
      </c>
      <c r="T81" s="6">
        <f t="shared" si="2"/>
        <v>46206</v>
      </c>
      <c r="U81" s="3" t="str">
        <f>IF(ISNA(vlookup(B81,DataExport!$D$2:$D$496,1,false)), "Belum", "Sudah")</f>
        <v>Belum</v>
      </c>
    </row>
    <row r="82">
      <c r="A82" s="3">
        <f t="shared" si="1"/>
        <v>81</v>
      </c>
      <c r="B82" s="4" t="str">
        <f>IFERROR(__xludf.DUMMYFUNCTION("""COMPUTED_VALUE"""),"MUHAMMAD HAKIKI CHANDRA")</f>
        <v>MUHAMMAD HAKIKI CHANDRA</v>
      </c>
      <c r="C82" s="3">
        <f>IFERROR(__xludf.DUMMYFUNCTION("""COMPUTED_VALUE"""),2.024070622E9)</f>
        <v>2024070622</v>
      </c>
      <c r="D82" s="3" t="str">
        <f>IFERROR(__xludf.DUMMYFUNCTION("""COMPUTED_VALUE"""),"A")</f>
        <v>A</v>
      </c>
      <c r="E82" s="3" t="str">
        <f>IFERROR(__xludf.DUMMYFUNCTION("""COMPUTED_VALUE"""),"A-8")</f>
        <v>A-8</v>
      </c>
      <c r="F82" s="3">
        <f>IFERROR(__xludf.DUMMYFUNCTION("""COMPUTED_VALUE"""),3.0)</f>
        <v>3</v>
      </c>
      <c r="G82" s="3" t="str">
        <f>IFERROR(__xludf.DUMMYFUNCTION("""COMPUTED_VALUE"""),"3 ULA B PUTRA")</f>
        <v>3 ULA B PUTRA</v>
      </c>
      <c r="H82" s="3" t="str">
        <f>IFERROR(__xludf.DUMMYFUNCTION("""COMPUTED_VALUE"""),"MTS-9 E")</f>
        <v>MTS-9 E</v>
      </c>
      <c r="I82" s="4" t="str">
        <f>IFERROR(__xludf.DUMMYFUNCTION("""COMPUTED_VALUE"""),"UMU SALAMAH")</f>
        <v>UMU SALAMAH</v>
      </c>
      <c r="J82" s="4" t="str">
        <f>IFERROR(__xludf.DUMMYFUNCTION("""COMPUTED_VALUE"""),"WANGUN BARAT RT 003 RW 002 PALANG TUBAN")</f>
        <v>WANGUN BARAT RT 003 RW 002 PALANG TUBAN</v>
      </c>
      <c r="K82" s="4" t="str">
        <f>IFERROR(__xludf.DUMMYFUNCTION("""COMPUTED_VALUE"""),"6282261176617")</f>
        <v>6282261176617</v>
      </c>
      <c r="L82" s="5">
        <f>IFERROR(__xludf.DUMMYFUNCTION("""COMPUTED_VALUE"""),0.0)</f>
        <v>0</v>
      </c>
      <c r="M82" s="5">
        <f>IFERROR(__xludf.DUMMYFUNCTION("""COMPUTED_VALUE"""),0.0)</f>
        <v>0</v>
      </c>
      <c r="N82" s="5">
        <f>IFERROR(__xludf.DUMMYFUNCTION("""COMPUTED_VALUE"""),0.0)</f>
        <v>0</v>
      </c>
      <c r="O82" s="5">
        <f>IFERROR(__xludf.DUMMYFUNCTION("""COMPUTED_VALUE"""),0.0)</f>
        <v>0</v>
      </c>
      <c r="P82" s="4"/>
      <c r="Q82" s="4"/>
      <c r="R82" s="4"/>
      <c r="S82" s="3" t="str">
        <f>IFERROR(__xludf.DUMMYFUNCTION("""COMPUTED_VALUE"""),"Lunas")</f>
        <v>Lunas</v>
      </c>
      <c r="T82" s="6">
        <f t="shared" si="2"/>
        <v>46206</v>
      </c>
      <c r="U82" s="3" t="str">
        <f>IF(ISNA(vlookup(B82,DataExport!$D$2:$D$496,1,false)), "Belum", "Sudah")</f>
        <v>Belum</v>
      </c>
    </row>
    <row r="83">
      <c r="A83" s="3">
        <f t="shared" si="1"/>
        <v>82</v>
      </c>
      <c r="B83" s="4" t="str">
        <f>IFERROR(__xludf.DUMMYFUNCTION("""COMPUTED_VALUE"""),"MUHAMMAD HIBATULLAH TSAQIF")</f>
        <v>MUHAMMAD HIBATULLAH TSAQIF</v>
      </c>
      <c r="C83" s="3">
        <f>IFERROR(__xludf.DUMMYFUNCTION("""COMPUTED_VALUE"""),2.024070097E9)</f>
        <v>2024070097</v>
      </c>
      <c r="D83" s="3" t="str">
        <f>IFERROR(__xludf.DUMMYFUNCTION("""COMPUTED_VALUE"""),"A")</f>
        <v>A</v>
      </c>
      <c r="E83" s="3" t="str">
        <f>IFERROR(__xludf.DUMMYFUNCTION("""COMPUTED_VALUE"""),"A-10")</f>
        <v>A-10</v>
      </c>
      <c r="F83" s="3">
        <f>IFERROR(__xludf.DUMMYFUNCTION("""COMPUTED_VALUE"""),3.0)</f>
        <v>3</v>
      </c>
      <c r="G83" s="3" t="str">
        <f>IFERROR(__xludf.DUMMYFUNCTION("""COMPUTED_VALUE"""),"3 WUSTHO PUTRA")</f>
        <v>3 WUSTHO PUTRA</v>
      </c>
      <c r="H83" s="3" t="str">
        <f>IFERROR(__xludf.DUMMYFUNCTION("""COMPUTED_VALUE"""),"MA-XII.4")</f>
        <v>MA-XII.4</v>
      </c>
      <c r="I83" s="4" t="str">
        <f>IFERROR(__xludf.DUMMYFUNCTION("""COMPUTED_VALUE"""),"RIRIN FITYATUN YUNIS SA'IDAH")</f>
        <v>RIRIN FITYATUN YUNIS SA'IDAH</v>
      </c>
      <c r="J83" s="4" t="str">
        <f>IFERROR(__xludf.DUMMYFUNCTION("""COMPUTED_VALUE"""),"SOLOKURO RT 004 RW 003 SOLOKURO LAMONGAN")</f>
        <v>SOLOKURO RT 004 RW 003 SOLOKURO LAMONGAN</v>
      </c>
      <c r="K83" s="4" t="str">
        <f>IFERROR(__xludf.DUMMYFUNCTION("""COMPUTED_VALUE"""),"6285182276192")</f>
        <v>6285182276192</v>
      </c>
      <c r="L83" s="5">
        <f>IFERROR(__xludf.DUMMYFUNCTION("""COMPUTED_VALUE"""),0.0)</f>
        <v>0</v>
      </c>
      <c r="M83" s="5">
        <f>IFERROR(__xludf.DUMMYFUNCTION("""COMPUTED_VALUE"""),0.0)</f>
        <v>0</v>
      </c>
      <c r="N83" s="5">
        <f>IFERROR(__xludf.DUMMYFUNCTION("""COMPUTED_VALUE"""),0.0)</f>
        <v>0</v>
      </c>
      <c r="O83" s="5">
        <f>IFERROR(__xludf.DUMMYFUNCTION("""COMPUTED_VALUE"""),0.0)</f>
        <v>0</v>
      </c>
      <c r="P83" s="4"/>
      <c r="Q83" s="4"/>
      <c r="R83" s="4"/>
      <c r="S83" s="3" t="str">
        <f>IFERROR(__xludf.DUMMYFUNCTION("""COMPUTED_VALUE"""),"Lunas")</f>
        <v>Lunas</v>
      </c>
      <c r="T83" s="6">
        <f t="shared" si="2"/>
        <v>46206</v>
      </c>
      <c r="U83" s="3" t="str">
        <f>IF(ISNA(vlookup(B83,DataExport!$D$2:$D$496,1,false)), "Belum", "Sudah")</f>
        <v>Belum</v>
      </c>
    </row>
    <row r="84">
      <c r="A84" s="3">
        <f t="shared" si="1"/>
        <v>83</v>
      </c>
      <c r="B84" s="4" t="str">
        <f>IFERROR(__xludf.DUMMYFUNCTION("""COMPUTED_VALUE"""),"MUHAMMAD IBRA HAJAR FARUQI")</f>
        <v>MUHAMMAD IBRA HAJAR FARUQI</v>
      </c>
      <c r="C84" s="3">
        <f>IFERROR(__xludf.DUMMYFUNCTION("""COMPUTED_VALUE"""),2.024070739E9)</f>
        <v>2024070739</v>
      </c>
      <c r="D84" s="3" t="str">
        <f>IFERROR(__xludf.DUMMYFUNCTION("""COMPUTED_VALUE"""),"A")</f>
        <v>A</v>
      </c>
      <c r="E84" s="3" t="str">
        <f>IFERROR(__xludf.DUMMYFUNCTION("""COMPUTED_VALUE"""),"A-8")</f>
        <v>A-8</v>
      </c>
      <c r="F84" s="3">
        <f>IFERROR(__xludf.DUMMYFUNCTION("""COMPUTED_VALUE"""),3.0)</f>
        <v>3</v>
      </c>
      <c r="G84" s="3" t="str">
        <f>IFERROR(__xludf.DUMMYFUNCTION("""COMPUTED_VALUE"""),"3 ULA B PUTRA")</f>
        <v>3 ULA B PUTRA</v>
      </c>
      <c r="H84" s="3" t="str">
        <f>IFERROR(__xludf.DUMMYFUNCTION("""COMPUTED_VALUE"""),"SMP-IX C")</f>
        <v>SMP-IX C</v>
      </c>
      <c r="I84" s="4" t="str">
        <f>IFERROR(__xludf.DUMMYFUNCTION("""COMPUTED_VALUE"""),"SARPIYATUN")</f>
        <v>SARPIYATUN</v>
      </c>
      <c r="J84" s="4" t="str">
        <f>IFERROR(__xludf.DUMMYFUNCTION("""COMPUTED_VALUE"""),"KEMLAGIGEDE RT 010 RW 002 TURI LAMONGAN")</f>
        <v>KEMLAGIGEDE RT 010 RW 002 TURI LAMONGAN</v>
      </c>
      <c r="K84" s="4" t="str">
        <f>IFERROR(__xludf.DUMMYFUNCTION("""COMPUTED_VALUE"""),"628574573760")</f>
        <v>628574573760</v>
      </c>
      <c r="L84" s="5">
        <f>IFERROR(__xludf.DUMMYFUNCTION("""COMPUTED_VALUE"""),0.0)</f>
        <v>0</v>
      </c>
      <c r="M84" s="5">
        <f>IFERROR(__xludf.DUMMYFUNCTION("""COMPUTED_VALUE"""),0.0)</f>
        <v>0</v>
      </c>
      <c r="N84" s="5">
        <f>IFERROR(__xludf.DUMMYFUNCTION("""COMPUTED_VALUE"""),0.0)</f>
        <v>0</v>
      </c>
      <c r="O84" s="5">
        <f>IFERROR(__xludf.DUMMYFUNCTION("""COMPUTED_VALUE"""),0.0)</f>
        <v>0</v>
      </c>
      <c r="P84" s="4"/>
      <c r="Q84" s="4"/>
      <c r="R84" s="4"/>
      <c r="S84" s="3" t="str">
        <f>IFERROR(__xludf.DUMMYFUNCTION("""COMPUTED_VALUE"""),"Lunas")</f>
        <v>Lunas</v>
      </c>
      <c r="T84" s="6">
        <f t="shared" si="2"/>
        <v>46206</v>
      </c>
      <c r="U84" s="3" t="str">
        <f>IF(ISNA(vlookup(B84,DataExport!$D$2:$D$496,1,false)), "Belum", "Sudah")</f>
        <v>Belum</v>
      </c>
    </row>
    <row r="85">
      <c r="A85" s="3">
        <f t="shared" si="1"/>
        <v>84</v>
      </c>
      <c r="B85" s="4" t="str">
        <f>IFERROR(__xludf.DUMMYFUNCTION("""COMPUTED_VALUE"""),"MUHAMMAD RAFI TAMAM")</f>
        <v>MUHAMMAD RAFI TAMAM</v>
      </c>
      <c r="C85" s="3">
        <f>IFERROR(__xludf.DUMMYFUNCTION("""COMPUTED_VALUE"""),2.024070558E9)</f>
        <v>2024070558</v>
      </c>
      <c r="D85" s="3" t="str">
        <f>IFERROR(__xludf.DUMMYFUNCTION("""COMPUTED_VALUE"""),"A")</f>
        <v>A</v>
      </c>
      <c r="E85" s="3" t="str">
        <f>IFERROR(__xludf.DUMMYFUNCTION("""COMPUTED_VALUE"""),"A-8")</f>
        <v>A-8</v>
      </c>
      <c r="F85" s="3">
        <f>IFERROR(__xludf.DUMMYFUNCTION("""COMPUTED_VALUE"""),3.0)</f>
        <v>3</v>
      </c>
      <c r="G85" s="3" t="str">
        <f>IFERROR(__xludf.DUMMYFUNCTION("""COMPUTED_VALUE"""),"3 ULA B PUTRA")</f>
        <v>3 ULA B PUTRA</v>
      </c>
      <c r="H85" s="3" t="str">
        <f>IFERROR(__xludf.DUMMYFUNCTION("""COMPUTED_VALUE"""),"MTS-9 C")</f>
        <v>MTS-9 C</v>
      </c>
      <c r="I85" s="4" t="str">
        <f>IFERROR(__xludf.DUMMYFUNCTION("""COMPUTED_VALUE"""),"MAHFUDLOTIN")</f>
        <v>MAHFUDLOTIN</v>
      </c>
      <c r="J85" s="4" t="str">
        <f>IFERROR(__xludf.DUMMYFUNCTION("""COMPUTED_VALUE"""),"DADAPAN RT 002 RW 001 SOLOKURO LAMONGAN")</f>
        <v>DADAPAN RT 002 RW 001 SOLOKURO LAMONGAN</v>
      </c>
      <c r="K85" s="4" t="str">
        <f>IFERROR(__xludf.DUMMYFUNCTION("""COMPUTED_VALUE"""),"628578500200")</f>
        <v>628578500200</v>
      </c>
      <c r="L85" s="5">
        <f>IFERROR(__xludf.DUMMYFUNCTION("""COMPUTED_VALUE"""),0.0)</f>
        <v>0</v>
      </c>
      <c r="M85" s="5">
        <f>IFERROR(__xludf.DUMMYFUNCTION("""COMPUTED_VALUE"""),0.0)</f>
        <v>0</v>
      </c>
      <c r="N85" s="5">
        <f>IFERROR(__xludf.DUMMYFUNCTION("""COMPUTED_VALUE"""),0.0)</f>
        <v>0</v>
      </c>
      <c r="O85" s="5">
        <f>IFERROR(__xludf.DUMMYFUNCTION("""COMPUTED_VALUE"""),0.0)</f>
        <v>0</v>
      </c>
      <c r="P85" s="4"/>
      <c r="Q85" s="4"/>
      <c r="R85" s="4"/>
      <c r="S85" s="3" t="str">
        <f>IFERROR(__xludf.DUMMYFUNCTION("""COMPUTED_VALUE"""),"Lunas")</f>
        <v>Lunas</v>
      </c>
      <c r="T85" s="6">
        <f t="shared" si="2"/>
        <v>46206</v>
      </c>
      <c r="U85" s="3" t="str">
        <f>IF(ISNA(vlookup(B85,DataExport!$D$2:$D$496,1,false)), "Belum", "Sudah")</f>
        <v>Belum</v>
      </c>
    </row>
    <row r="86">
      <c r="A86" s="3">
        <f t="shared" si="1"/>
        <v>85</v>
      </c>
      <c r="B86" s="4" t="str">
        <f>IFERROR(__xludf.DUMMYFUNCTION("""COMPUTED_VALUE"""),"MUHAMMAD ROHID ALY WAFA ASSYUKUR")</f>
        <v>MUHAMMAD ROHID ALY WAFA ASSYUKUR</v>
      </c>
      <c r="C86" s="3">
        <f>IFERROR(__xludf.DUMMYFUNCTION("""COMPUTED_VALUE"""),2.024070496E9)</f>
        <v>2024070496</v>
      </c>
      <c r="D86" s="3" t="str">
        <f>IFERROR(__xludf.DUMMYFUNCTION("""COMPUTED_VALUE"""),"A")</f>
        <v>A</v>
      </c>
      <c r="E86" s="3" t="str">
        <f>IFERROR(__xludf.DUMMYFUNCTION("""COMPUTED_VALUE"""),"A-8")</f>
        <v>A-8</v>
      </c>
      <c r="F86" s="3">
        <f>IFERROR(__xludf.DUMMYFUNCTION("""COMPUTED_VALUE"""),3.0)</f>
        <v>3</v>
      </c>
      <c r="G86" s="3" t="str">
        <f>IFERROR(__xludf.DUMMYFUNCTION("""COMPUTED_VALUE"""),"3 ULA A PUTRA")</f>
        <v>3 ULA A PUTRA</v>
      </c>
      <c r="H86" s="3" t="str">
        <f>IFERROR(__xludf.DUMMYFUNCTION("""COMPUTED_VALUE"""),"MTS-9 C")</f>
        <v>MTS-9 C</v>
      </c>
      <c r="I86" s="4" t="str">
        <f>IFERROR(__xludf.DUMMYFUNCTION("""COMPUTED_VALUE"""),"ASMAUL HUSNA")</f>
        <v>ASMAUL HUSNA</v>
      </c>
      <c r="J86" s="4" t="str">
        <f>IFERROR(__xludf.DUMMYFUNCTION("""COMPUTED_VALUE"""),"JUBAK NGUWOK RT 014 RW 006 MODO LAMONGAN")</f>
        <v>JUBAK NGUWOK RT 014 RW 006 MODO LAMONGAN</v>
      </c>
      <c r="K86" s="4" t="str">
        <f>IFERROR(__xludf.DUMMYFUNCTION("""COMPUTED_VALUE"""),"6285607086322")</f>
        <v>6285607086322</v>
      </c>
      <c r="L86" s="5">
        <f>IFERROR(__xludf.DUMMYFUNCTION("""COMPUTED_VALUE"""),0.0)</f>
        <v>0</v>
      </c>
      <c r="M86" s="5">
        <f>IFERROR(__xludf.DUMMYFUNCTION("""COMPUTED_VALUE"""),0.0)</f>
        <v>0</v>
      </c>
      <c r="N86" s="5">
        <f>IFERROR(__xludf.DUMMYFUNCTION("""COMPUTED_VALUE"""),0.0)</f>
        <v>0</v>
      </c>
      <c r="O86" s="5">
        <f>IFERROR(__xludf.DUMMYFUNCTION("""COMPUTED_VALUE"""),0.0)</f>
        <v>0</v>
      </c>
      <c r="P86" s="4"/>
      <c r="Q86" s="4"/>
      <c r="R86" s="4"/>
      <c r="S86" s="3" t="str">
        <f>IFERROR(__xludf.DUMMYFUNCTION("""COMPUTED_VALUE"""),"Lunas")</f>
        <v>Lunas</v>
      </c>
      <c r="T86" s="6">
        <f t="shared" si="2"/>
        <v>46206</v>
      </c>
      <c r="U86" s="3" t="str">
        <f>IF(ISNA(vlookup(B86,DataExport!$D$2:$D$496,1,false)), "Belum", "Sudah")</f>
        <v>Belum</v>
      </c>
    </row>
    <row r="87">
      <c r="A87" s="3">
        <f t="shared" si="1"/>
        <v>86</v>
      </c>
      <c r="B87" s="4" t="str">
        <f>IFERROR(__xludf.DUMMYFUNCTION("""COMPUTED_VALUE"""),"MUHAMMAD SABIL FIRDAUS")</f>
        <v>MUHAMMAD SABIL FIRDAUS</v>
      </c>
      <c r="C87" s="3">
        <f>IFERROR(__xludf.DUMMYFUNCTION("""COMPUTED_VALUE"""),2.024070451E9)</f>
        <v>2024070451</v>
      </c>
      <c r="D87" s="3" t="str">
        <f>IFERROR(__xludf.DUMMYFUNCTION("""COMPUTED_VALUE"""),"A")</f>
        <v>A</v>
      </c>
      <c r="E87" s="3" t="str">
        <f>IFERROR(__xludf.DUMMYFUNCTION("""COMPUTED_VALUE"""),"A-13")</f>
        <v>A-13</v>
      </c>
      <c r="F87" s="3">
        <f>IFERROR(__xludf.DUMMYFUNCTION("""COMPUTED_VALUE"""),3.0)</f>
        <v>3</v>
      </c>
      <c r="G87" s="3"/>
      <c r="H87" s="3" t="str">
        <f>IFERROR(__xludf.DUMMYFUNCTION("""COMPUTED_VALUE"""),"MTS-9 A")</f>
        <v>MTS-9 A</v>
      </c>
      <c r="I87" s="4" t="str">
        <f>IFERROR(__xludf.DUMMYFUNCTION("""COMPUTED_VALUE"""),"SITI MUSAROH")</f>
        <v>SITI MUSAROH</v>
      </c>
      <c r="J87" s="4" t="str">
        <f>IFERROR(__xludf.DUMMYFUNCTION("""COMPUTED_VALUE"""),"SUMBERMULYO SUKOMULYO RT 004 RW 002 LAMONGAN LAMONGAN")</f>
        <v>SUMBERMULYO SUKOMULYO RT 004 RW 002 LAMONGAN LAMONGAN</v>
      </c>
      <c r="K87" s="4" t="str">
        <f>IFERROR(__xludf.DUMMYFUNCTION("""COMPUTED_VALUE"""),"6285816909650")</f>
        <v>6285816909650</v>
      </c>
      <c r="L87" s="5">
        <f>IFERROR(__xludf.DUMMYFUNCTION("""COMPUTED_VALUE"""),0.0)</f>
        <v>0</v>
      </c>
      <c r="M87" s="5">
        <f>IFERROR(__xludf.DUMMYFUNCTION("""COMPUTED_VALUE"""),0.0)</f>
        <v>0</v>
      </c>
      <c r="N87" s="5">
        <f>IFERROR(__xludf.DUMMYFUNCTION("""COMPUTED_VALUE"""),0.0)</f>
        <v>0</v>
      </c>
      <c r="O87" s="5">
        <f>IFERROR(__xludf.DUMMYFUNCTION("""COMPUTED_VALUE"""),0.0)</f>
        <v>0</v>
      </c>
      <c r="P87" s="4"/>
      <c r="Q87" s="4"/>
      <c r="R87" s="4"/>
      <c r="S87" s="3" t="str">
        <f>IFERROR(__xludf.DUMMYFUNCTION("""COMPUTED_VALUE"""),"Lunas")</f>
        <v>Lunas</v>
      </c>
      <c r="T87" s="6">
        <f t="shared" si="2"/>
        <v>46206</v>
      </c>
      <c r="U87" s="3" t="str">
        <f>IF(ISNA(vlookup(B87,DataExport!$D$2:$D$496,1,false)), "Belum", "Sudah")</f>
        <v>Belum</v>
      </c>
    </row>
    <row r="88">
      <c r="A88" s="3">
        <f t="shared" si="1"/>
        <v>87</v>
      </c>
      <c r="B88" s="4" t="str">
        <f>IFERROR(__xludf.DUMMYFUNCTION("""COMPUTED_VALUE"""),"MUHAMMAD SYAFI` AL FATHIR")</f>
        <v>MUHAMMAD SYAFI` AL FATHIR</v>
      </c>
      <c r="C88" s="3">
        <f>IFERROR(__xludf.DUMMYFUNCTION("""COMPUTED_VALUE"""),2.024070588E9)</f>
        <v>2024070588</v>
      </c>
      <c r="D88" s="3" t="str">
        <f>IFERROR(__xludf.DUMMYFUNCTION("""COMPUTED_VALUE"""),"A")</f>
        <v>A</v>
      </c>
      <c r="E88" s="3" t="str">
        <f>IFERROR(__xludf.DUMMYFUNCTION("""COMPUTED_VALUE"""),"A-8")</f>
        <v>A-8</v>
      </c>
      <c r="F88" s="3">
        <f>IFERROR(__xludf.DUMMYFUNCTION("""COMPUTED_VALUE"""),3.0)</f>
        <v>3</v>
      </c>
      <c r="G88" s="3" t="str">
        <f>IFERROR(__xludf.DUMMYFUNCTION("""COMPUTED_VALUE"""),"3 ULA B PUTRA")</f>
        <v>3 ULA B PUTRA</v>
      </c>
      <c r="H88" s="3" t="str">
        <f>IFERROR(__xludf.DUMMYFUNCTION("""COMPUTED_VALUE"""),"MTS-9 B")</f>
        <v>MTS-9 B</v>
      </c>
      <c r="I88" s="4" t="str">
        <f>IFERROR(__xludf.DUMMYFUNCTION("""COMPUTED_VALUE"""),"SULISTIAWATI")</f>
        <v>SULISTIAWATI</v>
      </c>
      <c r="J88" s="4" t="str">
        <f>IFERROR(__xludf.DUMMYFUNCTION("""COMPUTED_VALUE"""),"NGAYUNG RT 003 RW 001 MADURAN LAMONGAN")</f>
        <v>NGAYUNG RT 003 RW 001 MADURAN LAMONGAN</v>
      </c>
      <c r="K88" s="4" t="str">
        <f>IFERROR(__xludf.DUMMYFUNCTION("""COMPUTED_VALUE"""),"6285850361410")</f>
        <v>6285850361410</v>
      </c>
      <c r="L88" s="5">
        <f>IFERROR(__xludf.DUMMYFUNCTION("""COMPUTED_VALUE"""),0.0)</f>
        <v>0</v>
      </c>
      <c r="M88" s="5">
        <f>IFERROR(__xludf.DUMMYFUNCTION("""COMPUTED_VALUE"""),0.0)</f>
        <v>0</v>
      </c>
      <c r="N88" s="5">
        <f>IFERROR(__xludf.DUMMYFUNCTION("""COMPUTED_VALUE"""),0.0)</f>
        <v>0</v>
      </c>
      <c r="O88" s="5">
        <f>IFERROR(__xludf.DUMMYFUNCTION("""COMPUTED_VALUE"""),0.0)</f>
        <v>0</v>
      </c>
      <c r="P88" s="4"/>
      <c r="Q88" s="4"/>
      <c r="R88" s="4"/>
      <c r="S88" s="3" t="str">
        <f>IFERROR(__xludf.DUMMYFUNCTION("""COMPUTED_VALUE"""),"Lunas")</f>
        <v>Lunas</v>
      </c>
      <c r="T88" s="6">
        <f t="shared" si="2"/>
        <v>46206</v>
      </c>
      <c r="U88" s="3" t="str">
        <f>IF(ISNA(vlookup(B88,DataExport!$D$2:$D$496,1,false)), "Belum", "Sudah")</f>
        <v>Belum</v>
      </c>
    </row>
    <row r="89">
      <c r="A89" s="3">
        <f t="shared" si="1"/>
        <v>88</v>
      </c>
      <c r="B89" s="4" t="str">
        <f>IFERROR(__xludf.DUMMYFUNCTION("""COMPUTED_VALUE"""),"MUHAMMAD TSAQIF WIRA ARDANA")</f>
        <v>MUHAMMAD TSAQIF WIRA ARDANA</v>
      </c>
      <c r="C89" s="3">
        <f>IFERROR(__xludf.DUMMYFUNCTION("""COMPUTED_VALUE"""),2.024070725E9)</f>
        <v>2024070725</v>
      </c>
      <c r="D89" s="3" t="str">
        <f>IFERROR(__xludf.DUMMYFUNCTION("""COMPUTED_VALUE"""),"A")</f>
        <v>A</v>
      </c>
      <c r="E89" s="3" t="str">
        <f>IFERROR(__xludf.DUMMYFUNCTION("""COMPUTED_VALUE"""),"A-13")</f>
        <v>A-13</v>
      </c>
      <c r="F89" s="3">
        <f>IFERROR(__xludf.DUMMYFUNCTION("""COMPUTED_VALUE"""),3.0)</f>
        <v>3</v>
      </c>
      <c r="G89" s="3"/>
      <c r="H89" s="3" t="str">
        <f>IFERROR(__xludf.DUMMYFUNCTION("""COMPUTED_VALUE"""),"SMP-IX B")</f>
        <v>SMP-IX B</v>
      </c>
      <c r="I89" s="4" t="str">
        <f>IFERROR(__xludf.DUMMYFUNCTION("""COMPUTED_VALUE"""),"YUYUN HANIFAH")</f>
        <v>YUYUN HANIFAH</v>
      </c>
      <c r="J89" s="4" t="str">
        <f>IFERROR(__xludf.DUMMYFUNCTION("""COMPUTED_VALUE"""),"PRINGGOBOYO RT 002 RW 001 MADURAN LAMONGAN")</f>
        <v>PRINGGOBOYO RT 002 RW 001 MADURAN LAMONGAN</v>
      </c>
      <c r="K89" s="4" t="str">
        <f>IFERROR(__xludf.DUMMYFUNCTION("""COMPUTED_VALUE"""),"6281330019092")</f>
        <v>6281330019092</v>
      </c>
      <c r="L89" s="5">
        <f>IFERROR(__xludf.DUMMYFUNCTION("""COMPUTED_VALUE"""),0.0)</f>
        <v>0</v>
      </c>
      <c r="M89" s="5">
        <f>IFERROR(__xludf.DUMMYFUNCTION("""COMPUTED_VALUE"""),0.0)</f>
        <v>0</v>
      </c>
      <c r="N89" s="5">
        <f>IFERROR(__xludf.DUMMYFUNCTION("""COMPUTED_VALUE"""),0.0)</f>
        <v>0</v>
      </c>
      <c r="O89" s="5">
        <f>IFERROR(__xludf.DUMMYFUNCTION("""COMPUTED_VALUE"""),0.0)</f>
        <v>0</v>
      </c>
      <c r="P89" s="4"/>
      <c r="Q89" s="4"/>
      <c r="R89" s="4"/>
      <c r="S89" s="3" t="str">
        <f>IFERROR(__xludf.DUMMYFUNCTION("""COMPUTED_VALUE"""),"Lunas")</f>
        <v>Lunas</v>
      </c>
      <c r="T89" s="6">
        <f t="shared" si="2"/>
        <v>46206</v>
      </c>
      <c r="U89" s="3" t="str">
        <f>IF(ISNA(vlookup(B89,DataExport!$D$2:$D$496,1,false)), "Belum", "Sudah")</f>
        <v>Belum</v>
      </c>
    </row>
    <row r="90">
      <c r="A90" s="3">
        <f t="shared" si="1"/>
        <v>89</v>
      </c>
      <c r="B90" s="4" t="str">
        <f>IFERROR(__xludf.DUMMYFUNCTION("""COMPUTED_VALUE"""),"MUHAMMAD ULINNUHA")</f>
        <v>MUHAMMAD ULINNUHA</v>
      </c>
      <c r="C90" s="3">
        <f>IFERROR(__xludf.DUMMYFUNCTION("""COMPUTED_VALUE"""),2.024070034E9)</f>
        <v>2024070034</v>
      </c>
      <c r="D90" s="3" t="str">
        <f>IFERROR(__xludf.DUMMYFUNCTION("""COMPUTED_VALUE"""),"A")</f>
        <v>A</v>
      </c>
      <c r="E90" s="3" t="str">
        <f>IFERROR(__xludf.DUMMYFUNCTION("""COMPUTED_VALUE"""),"A-4")</f>
        <v>A-4</v>
      </c>
      <c r="F90" s="3">
        <f>IFERROR(__xludf.DUMMYFUNCTION("""COMPUTED_VALUE"""),3.0)</f>
        <v>3</v>
      </c>
      <c r="G90" s="3" t="str">
        <f>IFERROR(__xludf.DUMMYFUNCTION("""COMPUTED_VALUE"""),"3 WUSTHO PUTRA")</f>
        <v>3 WUSTHO PUTRA</v>
      </c>
      <c r="H90" s="3" t="str">
        <f>IFERROR(__xludf.DUMMYFUNCTION("""COMPUTED_VALUE"""),"MA-XII.2")</f>
        <v>MA-XII.2</v>
      </c>
      <c r="I90" s="4" t="str">
        <f>IFERROR(__xludf.DUMMYFUNCTION("""COMPUTED_VALUE"""),"RUKHOYATN")</f>
        <v>RUKHOYATN</v>
      </c>
      <c r="J90" s="4" t="str">
        <f>IFERROR(__xludf.DUMMYFUNCTION("""COMPUTED_VALUE"""),"WARUK RT 001 RW 002 KARANGBINANGUN LAMONGAN")</f>
        <v>WARUK RT 001 RW 002 KARANGBINANGUN LAMONGAN</v>
      </c>
      <c r="K90" s="4" t="str">
        <f>IFERROR(__xludf.DUMMYFUNCTION("""COMPUTED_VALUE"""),"6285230868111")</f>
        <v>6285230868111</v>
      </c>
      <c r="L90" s="5">
        <f>IFERROR(__xludf.DUMMYFUNCTION("""COMPUTED_VALUE"""),0.0)</f>
        <v>0</v>
      </c>
      <c r="M90" s="5">
        <f>IFERROR(__xludf.DUMMYFUNCTION("""COMPUTED_VALUE"""),0.0)</f>
        <v>0</v>
      </c>
      <c r="N90" s="5">
        <f>IFERROR(__xludf.DUMMYFUNCTION("""COMPUTED_VALUE"""),0.0)</f>
        <v>0</v>
      </c>
      <c r="O90" s="5">
        <f>IFERROR(__xludf.DUMMYFUNCTION("""COMPUTED_VALUE"""),0.0)</f>
        <v>0</v>
      </c>
      <c r="P90" s="4"/>
      <c r="Q90" s="4"/>
      <c r="R90" s="4"/>
      <c r="S90" s="3" t="str">
        <f>IFERROR(__xludf.DUMMYFUNCTION("""COMPUTED_VALUE"""),"Lunas")</f>
        <v>Lunas</v>
      </c>
      <c r="T90" s="6">
        <f t="shared" si="2"/>
        <v>46206</v>
      </c>
      <c r="U90" s="3" t="str">
        <f>IF(ISNA(vlookup(B90,DataExport!$D$2:$D$496,1,false)), "Belum", "Sudah")</f>
        <v>Belum</v>
      </c>
    </row>
    <row r="91">
      <c r="A91" s="3">
        <f t="shared" si="1"/>
        <v>90</v>
      </c>
      <c r="B91" s="4" t="str">
        <f>IFERROR(__xludf.DUMMYFUNCTION("""COMPUTED_VALUE"""),"MUTIARA AZZAHRA")</f>
        <v>MUTIARA AZZAHRA</v>
      </c>
      <c r="C91" s="3">
        <f>IFERROR(__xludf.DUMMYFUNCTION("""COMPUTED_VALUE"""),2.024070562E9)</f>
        <v>2024070562</v>
      </c>
      <c r="D91" s="3" t="str">
        <f>IFERROR(__xludf.DUMMYFUNCTION("""COMPUTED_VALUE"""),"C")</f>
        <v>C</v>
      </c>
      <c r="E91" s="3" t="str">
        <f>IFERROR(__xludf.DUMMYFUNCTION("""COMPUTED_VALUE"""),"C-3")</f>
        <v>C-3</v>
      </c>
      <c r="F91" s="3">
        <f>IFERROR(__xludf.DUMMYFUNCTION("""COMPUTED_VALUE"""),3.0)</f>
        <v>3</v>
      </c>
      <c r="G91" s="3" t="str">
        <f>IFERROR(__xludf.DUMMYFUNCTION("""COMPUTED_VALUE"""),"3 ULA A PUTRI")</f>
        <v>3 ULA A PUTRI</v>
      </c>
      <c r="H91" s="3" t="str">
        <f>IFERROR(__xludf.DUMMYFUNCTION("""COMPUTED_VALUE"""),"MTS-9 D")</f>
        <v>MTS-9 D</v>
      </c>
      <c r="I91" s="4" t="str">
        <f>IFERROR(__xludf.DUMMYFUNCTION("""COMPUTED_VALUE"""),"YATIKAH")</f>
        <v>YATIKAH</v>
      </c>
      <c r="J91" s="4" t="str">
        <f>IFERROR(__xludf.DUMMYFUNCTION("""COMPUTED_VALUE"""),"DADAPAN RT 004 RW 001 SOLOKURO LAMONGAN")</f>
        <v>DADAPAN RT 004 RW 001 SOLOKURO LAMONGAN</v>
      </c>
      <c r="K91" s="4" t="str">
        <f>IFERROR(__xludf.DUMMYFUNCTION("""COMPUTED_VALUE"""),"6285852265482")</f>
        <v>6285852265482</v>
      </c>
      <c r="L91" s="5">
        <f>IFERROR(__xludf.DUMMYFUNCTION("""COMPUTED_VALUE"""),0.0)</f>
        <v>0</v>
      </c>
      <c r="M91" s="5">
        <f>IFERROR(__xludf.DUMMYFUNCTION("""COMPUTED_VALUE"""),0.0)</f>
        <v>0</v>
      </c>
      <c r="N91" s="5">
        <f>IFERROR(__xludf.DUMMYFUNCTION("""COMPUTED_VALUE"""),0.0)</f>
        <v>0</v>
      </c>
      <c r="O91" s="5">
        <f>IFERROR(__xludf.DUMMYFUNCTION("""COMPUTED_VALUE"""),0.0)</f>
        <v>0</v>
      </c>
      <c r="P91" s="4"/>
      <c r="Q91" s="4"/>
      <c r="R91" s="4"/>
      <c r="S91" s="3" t="str">
        <f>IFERROR(__xludf.DUMMYFUNCTION("""COMPUTED_VALUE"""),"Lunas")</f>
        <v>Lunas</v>
      </c>
      <c r="T91" s="6">
        <f t="shared" si="2"/>
        <v>46206</v>
      </c>
      <c r="U91" s="3" t="str">
        <f>IF(ISNA(vlookup(B91,DataExport!$D$2:$D$496,1,false)), "Belum", "Sudah")</f>
        <v>Belum</v>
      </c>
    </row>
    <row r="92">
      <c r="A92" s="3">
        <f t="shared" si="1"/>
        <v>91</v>
      </c>
      <c r="B92" s="4" t="str">
        <f>IFERROR(__xludf.DUMMYFUNCTION("""COMPUTED_VALUE"""),"NA`ILAH SINTA NURIYYAH")</f>
        <v>NA`ILAH SINTA NURIYYAH</v>
      </c>
      <c r="C92" s="3">
        <f>IFERROR(__xludf.DUMMYFUNCTION("""COMPUTED_VALUE"""),2.024070581E9)</f>
        <v>2024070581</v>
      </c>
      <c r="D92" s="3" t="str">
        <f>IFERROR(__xludf.DUMMYFUNCTION("""COMPUTED_VALUE"""),"E")</f>
        <v>E</v>
      </c>
      <c r="E92" s="3" t="str">
        <f>IFERROR(__xludf.DUMMYFUNCTION("""COMPUTED_VALUE"""),"E-3")</f>
        <v>E-3</v>
      </c>
      <c r="F92" s="3">
        <f>IFERROR(__xludf.DUMMYFUNCTION("""COMPUTED_VALUE"""),3.0)</f>
        <v>3</v>
      </c>
      <c r="G92" s="3" t="str">
        <f>IFERROR(__xludf.DUMMYFUNCTION("""COMPUTED_VALUE"""),"3 ULA B PUTRI")</f>
        <v>3 ULA B PUTRI</v>
      </c>
      <c r="H92" s="3" t="str">
        <f>IFERROR(__xludf.DUMMYFUNCTION("""COMPUTED_VALUE"""),"MTS-9 H")</f>
        <v>MTS-9 H</v>
      </c>
      <c r="I92" s="4" t="str">
        <f>IFERROR(__xludf.DUMMYFUNCTION("""COMPUTED_VALUE"""),"SITI SHOFIYAH")</f>
        <v>SITI SHOFIYAH</v>
      </c>
      <c r="J92" s="4" t="str">
        <f>IFERROR(__xludf.DUMMYFUNCTION("""COMPUTED_VALUE"""),"SUNAN MURIA LATUKAN RT 002 RW 001 KARANGGENENG LAMONGAN")</f>
        <v>SUNAN MURIA LATUKAN RT 002 RW 001 KARANGGENENG LAMONGAN</v>
      </c>
      <c r="K92" s="4" t="str">
        <f>IFERROR(__xludf.DUMMYFUNCTION("""COMPUTED_VALUE"""),"6283135957352")</f>
        <v>6283135957352</v>
      </c>
      <c r="L92" s="5">
        <f>IFERROR(__xludf.DUMMYFUNCTION("""COMPUTED_VALUE"""),0.0)</f>
        <v>0</v>
      </c>
      <c r="M92" s="5">
        <f>IFERROR(__xludf.DUMMYFUNCTION("""COMPUTED_VALUE"""),0.0)</f>
        <v>0</v>
      </c>
      <c r="N92" s="5">
        <f>IFERROR(__xludf.DUMMYFUNCTION("""COMPUTED_VALUE"""),0.0)</f>
        <v>0</v>
      </c>
      <c r="O92" s="5">
        <f>IFERROR(__xludf.DUMMYFUNCTION("""COMPUTED_VALUE"""),0.0)</f>
        <v>0</v>
      </c>
      <c r="P92" s="4"/>
      <c r="Q92" s="4"/>
      <c r="R92" s="4"/>
      <c r="S92" s="3" t="str">
        <f>IFERROR(__xludf.DUMMYFUNCTION("""COMPUTED_VALUE"""),"Lunas")</f>
        <v>Lunas</v>
      </c>
      <c r="T92" s="6">
        <f t="shared" si="2"/>
        <v>46206</v>
      </c>
      <c r="U92" s="3" t="str">
        <f>IF(ISNA(vlookup(B92,DataExport!$D$2:$D$496,1,false)), "Belum", "Sudah")</f>
        <v>Belum</v>
      </c>
    </row>
    <row r="93">
      <c r="A93" s="3">
        <f t="shared" si="1"/>
        <v>92</v>
      </c>
      <c r="B93" s="4" t="str">
        <f>IFERROR(__xludf.DUMMYFUNCTION("""COMPUTED_VALUE"""),"NABELLA ARDELIYAH")</f>
        <v>NABELLA ARDELIYAH</v>
      </c>
      <c r="C93" s="3">
        <f>IFERROR(__xludf.DUMMYFUNCTION("""COMPUTED_VALUE"""),2.024070381E9)</f>
        <v>2024070381</v>
      </c>
      <c r="D93" s="3" t="str">
        <f>IFERROR(__xludf.DUMMYFUNCTION("""COMPUTED_VALUE"""),"D")</f>
        <v>D</v>
      </c>
      <c r="E93" s="3" t="str">
        <f>IFERROR(__xludf.DUMMYFUNCTION("""COMPUTED_VALUE"""),"D-6")</f>
        <v>D-6</v>
      </c>
      <c r="F93" s="3">
        <f>IFERROR(__xludf.DUMMYFUNCTION("""COMPUTED_VALUE"""),3.0)</f>
        <v>3</v>
      </c>
      <c r="G93" s="3" t="str">
        <f>IFERROR(__xludf.DUMMYFUNCTION("""COMPUTED_VALUE"""),"3 WUSTHO C PUTRI")</f>
        <v>3 WUSTHO C PUTRI</v>
      </c>
      <c r="H93" s="3" t="str">
        <f>IFERROR(__xludf.DUMMYFUNCTION("""COMPUTED_VALUE"""),"MA-XII.12")</f>
        <v>MA-XII.12</v>
      </c>
      <c r="I93" s="4" t="str">
        <f>IFERROR(__xludf.DUMMYFUNCTION("""COMPUTED_VALUE"""),"NIMATUL KHOIRIYAH")</f>
        <v>NIMATUL KHOIRIYAH</v>
      </c>
      <c r="J93" s="4" t="str">
        <f>IFERROR(__xludf.DUMMYFUNCTION("""COMPUTED_VALUE"""),"KEDUNGMEGARIH RT 020 RW 005 KEMBANGBAHU LAMONGAN")</f>
        <v>KEDUNGMEGARIH RT 020 RW 005 KEMBANGBAHU LAMONGAN</v>
      </c>
      <c r="K93" s="4" t="str">
        <f>IFERROR(__xludf.DUMMYFUNCTION("""COMPUTED_VALUE"""),"6285815119048")</f>
        <v>6285815119048</v>
      </c>
      <c r="L93" s="5">
        <f>IFERROR(__xludf.DUMMYFUNCTION("""COMPUTED_VALUE"""),0.0)</f>
        <v>0</v>
      </c>
      <c r="M93" s="5">
        <f>IFERROR(__xludf.DUMMYFUNCTION("""COMPUTED_VALUE"""),0.0)</f>
        <v>0</v>
      </c>
      <c r="N93" s="5">
        <f>IFERROR(__xludf.DUMMYFUNCTION("""COMPUTED_VALUE"""),0.0)</f>
        <v>0</v>
      </c>
      <c r="O93" s="5">
        <f>IFERROR(__xludf.DUMMYFUNCTION("""COMPUTED_VALUE"""),0.0)</f>
        <v>0</v>
      </c>
      <c r="P93" s="4"/>
      <c r="Q93" s="4"/>
      <c r="R93" s="4"/>
      <c r="S93" s="3" t="str">
        <f>IFERROR(__xludf.DUMMYFUNCTION("""COMPUTED_VALUE"""),"Lunas")</f>
        <v>Lunas</v>
      </c>
      <c r="T93" s="6">
        <f t="shared" si="2"/>
        <v>46206</v>
      </c>
      <c r="U93" s="3" t="str">
        <f>IF(ISNA(vlookup(B93,DataExport!$D$2:$D$496,1,false)), "Belum", "Sudah")</f>
        <v>Belum</v>
      </c>
    </row>
    <row r="94">
      <c r="A94" s="3">
        <f t="shared" si="1"/>
        <v>93</v>
      </c>
      <c r="B94" s="4" t="str">
        <f>IFERROR(__xludf.DUMMYFUNCTION("""COMPUTED_VALUE"""),"NADIA ZAHROTUSYTA")</f>
        <v>NADIA ZAHROTUSYTA</v>
      </c>
      <c r="C94" s="3">
        <f>IFERROR(__xludf.DUMMYFUNCTION("""COMPUTED_VALUE"""),2.024070693E9)</f>
        <v>2024070693</v>
      </c>
      <c r="D94" s="3" t="str">
        <f>IFERROR(__xludf.DUMMYFUNCTION("""COMPUTED_VALUE"""),"C")</f>
        <v>C</v>
      </c>
      <c r="E94" s="3" t="str">
        <f>IFERROR(__xludf.DUMMYFUNCTION("""COMPUTED_VALUE"""),"C-4")</f>
        <v>C-4</v>
      </c>
      <c r="F94" s="3">
        <f>IFERROR(__xludf.DUMMYFUNCTION("""COMPUTED_VALUE"""),3.0)</f>
        <v>3</v>
      </c>
      <c r="G94" s="3" t="str">
        <f>IFERROR(__xludf.DUMMYFUNCTION("""COMPUTED_VALUE"""),"3 WUSTHO B PUTRI")</f>
        <v>3 WUSTHO B PUTRI</v>
      </c>
      <c r="H94" s="3" t="str">
        <f>IFERROR(__xludf.DUMMYFUNCTION("""COMPUTED_VALUE"""),"SMK-XII LPb")</f>
        <v>SMK-XII LPb</v>
      </c>
      <c r="I94" s="4" t="str">
        <f>IFERROR(__xludf.DUMMYFUNCTION("""COMPUTED_VALUE"""),"SITI KHODIJAH")</f>
        <v>SITI KHODIJAH</v>
      </c>
      <c r="J94" s="4" t="str">
        <f>IFERROR(__xludf.DUMMYFUNCTION("""COMPUTED_VALUE"""),"KP SINDANGASIH BANJARWARINGIN RT 005 RW 001 SALOPA TASIKMALAYA")</f>
        <v>KP SINDANGASIH BANJARWARINGIN RT 005 RW 001 SALOPA TASIKMALAYA</v>
      </c>
      <c r="K94" s="4" t="str">
        <f>IFERROR(__xludf.DUMMYFUNCTION("""COMPUTED_VALUE"""),"6282120539883")</f>
        <v>6282120539883</v>
      </c>
      <c r="L94" s="5">
        <f>IFERROR(__xludf.DUMMYFUNCTION("""COMPUTED_VALUE"""),0.0)</f>
        <v>0</v>
      </c>
      <c r="M94" s="5">
        <f>IFERROR(__xludf.DUMMYFUNCTION("""COMPUTED_VALUE"""),0.0)</f>
        <v>0</v>
      </c>
      <c r="N94" s="5">
        <f>IFERROR(__xludf.DUMMYFUNCTION("""COMPUTED_VALUE"""),0.0)</f>
        <v>0</v>
      </c>
      <c r="O94" s="5">
        <f>IFERROR(__xludf.DUMMYFUNCTION("""COMPUTED_VALUE"""),0.0)</f>
        <v>0</v>
      </c>
      <c r="P94" s="4"/>
      <c r="Q94" s="4"/>
      <c r="R94" s="4"/>
      <c r="S94" s="3" t="str">
        <f>IFERROR(__xludf.DUMMYFUNCTION("""COMPUTED_VALUE"""),"Lunas")</f>
        <v>Lunas</v>
      </c>
      <c r="T94" s="6">
        <f t="shared" si="2"/>
        <v>46206</v>
      </c>
      <c r="U94" s="3" t="str">
        <f>IF(ISNA(vlookup(B94,DataExport!$D$2:$D$496,1,false)), "Belum", "Sudah")</f>
        <v>Belum</v>
      </c>
    </row>
    <row r="95">
      <c r="A95" s="3">
        <f t="shared" si="1"/>
        <v>94</v>
      </c>
      <c r="B95" s="4" t="str">
        <f>IFERROR(__xludf.DUMMYFUNCTION("""COMPUTED_VALUE"""),"NAFISA BARROTUS TSANIAH")</f>
        <v>NAFISA BARROTUS TSANIAH</v>
      </c>
      <c r="C95" s="3">
        <f>IFERROR(__xludf.DUMMYFUNCTION("""COMPUTED_VALUE"""),2.024070018E9)</f>
        <v>2024070018</v>
      </c>
      <c r="D95" s="3" t="str">
        <f>IFERROR(__xludf.DUMMYFUNCTION("""COMPUTED_VALUE"""),"C")</f>
        <v>C</v>
      </c>
      <c r="E95" s="3" t="str">
        <f>IFERROR(__xludf.DUMMYFUNCTION("""COMPUTED_VALUE"""),"C-2")</f>
        <v>C-2</v>
      </c>
      <c r="F95" s="3">
        <f>IFERROR(__xludf.DUMMYFUNCTION("""COMPUTED_VALUE"""),3.0)</f>
        <v>3</v>
      </c>
      <c r="G95" s="3"/>
      <c r="H95" s="3" t="str">
        <f>IFERROR(__xludf.DUMMYFUNCTION("""COMPUTED_VALUE"""),"MA-XII.1")</f>
        <v>MA-XII.1</v>
      </c>
      <c r="I95" s="4" t="str">
        <f>IFERROR(__xludf.DUMMYFUNCTION("""COMPUTED_VALUE"""),"NASRI'AH")</f>
        <v>NASRI'AH</v>
      </c>
      <c r="J95" s="4" t="str">
        <f>IFERROR(__xludf.DUMMYFUNCTION("""COMPUTED_VALUE"""),"KEMLAGIGEDE RT 12 RW 2 TURI LAMONGAN")</f>
        <v>KEMLAGIGEDE RT 12 RW 2 TURI LAMONGAN</v>
      </c>
      <c r="K95" s="4" t="str">
        <f>IFERROR(__xludf.DUMMYFUNCTION("""COMPUTED_VALUE"""),"62881036103894")</f>
        <v>62881036103894</v>
      </c>
      <c r="L95" s="5">
        <f>IFERROR(__xludf.DUMMYFUNCTION("""COMPUTED_VALUE"""),0.0)</f>
        <v>0</v>
      </c>
      <c r="M95" s="5">
        <f>IFERROR(__xludf.DUMMYFUNCTION("""COMPUTED_VALUE"""),0.0)</f>
        <v>0</v>
      </c>
      <c r="N95" s="5">
        <f>IFERROR(__xludf.DUMMYFUNCTION("""COMPUTED_VALUE"""),0.0)</f>
        <v>0</v>
      </c>
      <c r="O95" s="5">
        <f>IFERROR(__xludf.DUMMYFUNCTION("""COMPUTED_VALUE"""),0.0)</f>
        <v>0</v>
      </c>
      <c r="P95" s="4"/>
      <c r="Q95" s="4"/>
      <c r="R95" s="4"/>
      <c r="S95" s="3" t="str">
        <f>IFERROR(__xludf.DUMMYFUNCTION("""COMPUTED_VALUE"""),"Lunas")</f>
        <v>Lunas</v>
      </c>
      <c r="T95" s="6">
        <f t="shared" si="2"/>
        <v>46206</v>
      </c>
      <c r="U95" s="3" t="str">
        <f>IF(ISNA(vlookup(B95,DataExport!$D$2:$D$496,1,false)), "Belum", "Sudah")</f>
        <v>Belum</v>
      </c>
    </row>
    <row r="96">
      <c r="A96" s="3">
        <f t="shared" si="1"/>
        <v>95</v>
      </c>
      <c r="B96" s="4" t="str">
        <f>IFERROR(__xludf.DUMMYFUNCTION("""COMPUTED_VALUE"""),"NAILIS SA`ADAH ALFIYANAH")</f>
        <v>NAILIS SA`ADAH ALFIYANAH</v>
      </c>
      <c r="C96" s="3">
        <f>IFERROR(__xludf.DUMMYFUNCTION("""COMPUTED_VALUE"""),2.024070431E9)</f>
        <v>2024070431</v>
      </c>
      <c r="D96" s="3" t="str">
        <f>IFERROR(__xludf.DUMMYFUNCTION("""COMPUTED_VALUE"""),"C")</f>
        <v>C</v>
      </c>
      <c r="E96" s="3" t="str">
        <f>IFERROR(__xludf.DUMMYFUNCTION("""COMPUTED_VALUE"""),"C-7")</f>
        <v>C-7</v>
      </c>
      <c r="F96" s="3">
        <f>IFERROR(__xludf.DUMMYFUNCTION("""COMPUTED_VALUE"""),3.0)</f>
        <v>3</v>
      </c>
      <c r="G96" s="3"/>
      <c r="H96" s="3" t="str">
        <f>IFERROR(__xludf.DUMMYFUNCTION("""COMPUTED_VALUE"""),"MA-XII.13")</f>
        <v>MA-XII.13</v>
      </c>
      <c r="I96" s="4" t="str">
        <f>IFERROR(__xludf.DUMMYFUNCTION("""COMPUTED_VALUE"""),"SITI KHOZANAH")</f>
        <v>SITI KHOZANAH</v>
      </c>
      <c r="J96" s="4" t="str">
        <f>IFERROR(__xludf.DUMMYFUNCTION("""COMPUTED_VALUE"""),"CABEAN NGEMBOH RT 001 RW 006 UJUNGPANGKAH GRESIK")</f>
        <v>CABEAN NGEMBOH RT 001 RW 006 UJUNGPANGKAH GRESIK</v>
      </c>
      <c r="K96" s="4" t="str">
        <f>IFERROR(__xludf.DUMMYFUNCTION("""COMPUTED_VALUE"""),"6285330164564")</f>
        <v>6285330164564</v>
      </c>
      <c r="L96" s="5">
        <f>IFERROR(__xludf.DUMMYFUNCTION("""COMPUTED_VALUE"""),0.0)</f>
        <v>0</v>
      </c>
      <c r="M96" s="5">
        <f>IFERROR(__xludf.DUMMYFUNCTION("""COMPUTED_VALUE"""),0.0)</f>
        <v>0</v>
      </c>
      <c r="N96" s="5">
        <f>IFERROR(__xludf.DUMMYFUNCTION("""COMPUTED_VALUE"""),0.0)</f>
        <v>0</v>
      </c>
      <c r="O96" s="5">
        <f>IFERROR(__xludf.DUMMYFUNCTION("""COMPUTED_VALUE"""),0.0)</f>
        <v>0</v>
      </c>
      <c r="P96" s="4"/>
      <c r="Q96" s="4"/>
      <c r="R96" s="4"/>
      <c r="S96" s="3" t="str">
        <f>IFERROR(__xludf.DUMMYFUNCTION("""COMPUTED_VALUE"""),"Lunas")</f>
        <v>Lunas</v>
      </c>
      <c r="T96" s="6">
        <f t="shared" si="2"/>
        <v>46206</v>
      </c>
      <c r="U96" s="3" t="str">
        <f>IF(ISNA(vlookup(B96,DataExport!$D$2:$D$496,1,false)), "Belum", "Sudah")</f>
        <v>Belum</v>
      </c>
    </row>
    <row r="97">
      <c r="A97" s="3">
        <f t="shared" si="1"/>
        <v>96</v>
      </c>
      <c r="B97" s="4" t="str">
        <f>IFERROR(__xludf.DUMMYFUNCTION("""COMPUTED_VALUE"""),"NAJWA ANAYA PUTRI FATIHAH")</f>
        <v>NAJWA ANAYA PUTRI FATIHAH</v>
      </c>
      <c r="C97" s="3">
        <f>IFERROR(__xludf.DUMMYFUNCTION("""COMPUTED_VALUE"""),2.024070019E9)</f>
        <v>2024070019</v>
      </c>
      <c r="D97" s="3" t="str">
        <f>IFERROR(__xludf.DUMMYFUNCTION("""COMPUTED_VALUE"""),"C")</f>
        <v>C</v>
      </c>
      <c r="E97" s="3" t="str">
        <f>IFERROR(__xludf.DUMMYFUNCTION("""COMPUTED_VALUE"""),"C-2")</f>
        <v>C-2</v>
      </c>
      <c r="F97" s="3">
        <f>IFERROR(__xludf.DUMMYFUNCTION("""COMPUTED_VALUE"""),3.0)</f>
        <v>3</v>
      </c>
      <c r="G97" s="3"/>
      <c r="H97" s="3" t="str">
        <f>IFERROR(__xludf.DUMMYFUNCTION("""COMPUTED_VALUE"""),"MA-XII.1")</f>
        <v>MA-XII.1</v>
      </c>
      <c r="I97" s="4" t="str">
        <f>IFERROR(__xludf.DUMMYFUNCTION("""COMPUTED_VALUE"""),"ILMIYAH FADLOL")</f>
        <v>ILMIYAH FADLOL</v>
      </c>
      <c r="J97" s="4" t="str">
        <f>IFERROR(__xludf.DUMMYFUNCTION("""COMPUTED_VALUE"""),"KARANGREJO RT 005 RW 003 UJUNGPANGKAH GRESIK")</f>
        <v>KARANGREJO RT 005 RW 003 UJUNGPANGKAH GRESIK</v>
      </c>
      <c r="K97" s="4" t="str">
        <f>IFERROR(__xludf.DUMMYFUNCTION("""COMPUTED_VALUE"""),"6281232654948")</f>
        <v>6281232654948</v>
      </c>
      <c r="L97" s="5">
        <f>IFERROR(__xludf.DUMMYFUNCTION("""COMPUTED_VALUE"""),0.0)</f>
        <v>0</v>
      </c>
      <c r="M97" s="5">
        <f>IFERROR(__xludf.DUMMYFUNCTION("""COMPUTED_VALUE"""),0.0)</f>
        <v>0</v>
      </c>
      <c r="N97" s="5">
        <f>IFERROR(__xludf.DUMMYFUNCTION("""COMPUTED_VALUE"""),0.0)</f>
        <v>0</v>
      </c>
      <c r="O97" s="5">
        <f>IFERROR(__xludf.DUMMYFUNCTION("""COMPUTED_VALUE"""),0.0)</f>
        <v>0</v>
      </c>
      <c r="P97" s="4"/>
      <c r="Q97" s="4"/>
      <c r="R97" s="4"/>
      <c r="S97" s="3" t="str">
        <f>IFERROR(__xludf.DUMMYFUNCTION("""COMPUTED_VALUE"""),"Lunas")</f>
        <v>Lunas</v>
      </c>
      <c r="T97" s="6">
        <f t="shared" si="2"/>
        <v>46206</v>
      </c>
      <c r="U97" s="3" t="str">
        <f>IF(ISNA(vlookup(B97,DataExport!$D$2:$D$496,1,false)), "Belum", "Sudah")</f>
        <v>Belum</v>
      </c>
    </row>
    <row r="98">
      <c r="A98" s="3">
        <f t="shared" si="1"/>
        <v>97</v>
      </c>
      <c r="B98" s="4" t="str">
        <f>IFERROR(__xludf.DUMMYFUNCTION("""COMPUTED_VALUE"""),"NALA RAHMAH RAMADHANI")</f>
        <v>NALA RAHMAH RAMADHANI</v>
      </c>
      <c r="C98" s="3">
        <f>IFERROR(__xludf.DUMMYFUNCTION("""COMPUTED_VALUE"""),2.024070599E9)</f>
        <v>2024070599</v>
      </c>
      <c r="D98" s="3" t="str">
        <f>IFERROR(__xludf.DUMMYFUNCTION("""COMPUTED_VALUE"""),"D")</f>
        <v>D</v>
      </c>
      <c r="E98" s="3" t="str">
        <f>IFERROR(__xludf.DUMMYFUNCTION("""COMPUTED_VALUE"""),"D-4")</f>
        <v>D-4</v>
      </c>
      <c r="F98" s="3">
        <f>IFERROR(__xludf.DUMMYFUNCTION("""COMPUTED_VALUE"""),3.0)</f>
        <v>3</v>
      </c>
      <c r="G98" s="3" t="str">
        <f>IFERROR(__xludf.DUMMYFUNCTION("""COMPUTED_VALUE"""),"3 ULA C PUTRI")</f>
        <v>3 ULA C PUTRI</v>
      </c>
      <c r="H98" s="3" t="str">
        <f>IFERROR(__xludf.DUMMYFUNCTION("""COMPUTED_VALUE"""),"MTS-9 C")</f>
        <v>MTS-9 C</v>
      </c>
      <c r="I98" s="4" t="str">
        <f>IFERROR(__xludf.DUMMYFUNCTION("""COMPUTED_VALUE"""),"MAFTUHAH")</f>
        <v>MAFTUHAH</v>
      </c>
      <c r="J98" s="4" t="str">
        <f>IFERROR(__xludf.DUMMYFUNCTION("""COMPUTED_VALUE"""),"SUMURBER RT 016 RW 005 PANCENG GRESIK")</f>
        <v>SUMURBER RT 016 RW 005 PANCENG GRESIK</v>
      </c>
      <c r="K98" s="4" t="str">
        <f>IFERROR(__xludf.DUMMYFUNCTION("""COMPUTED_VALUE"""),"6285648197578")</f>
        <v>6285648197578</v>
      </c>
      <c r="L98" s="5">
        <f>IFERROR(__xludf.DUMMYFUNCTION("""COMPUTED_VALUE"""),0.0)</f>
        <v>0</v>
      </c>
      <c r="M98" s="5">
        <f>IFERROR(__xludf.DUMMYFUNCTION("""COMPUTED_VALUE"""),0.0)</f>
        <v>0</v>
      </c>
      <c r="N98" s="5">
        <f>IFERROR(__xludf.DUMMYFUNCTION("""COMPUTED_VALUE"""),0.0)</f>
        <v>0</v>
      </c>
      <c r="O98" s="5">
        <f>IFERROR(__xludf.DUMMYFUNCTION("""COMPUTED_VALUE"""),0.0)</f>
        <v>0</v>
      </c>
      <c r="P98" s="4"/>
      <c r="Q98" s="4"/>
      <c r="R98" s="4"/>
      <c r="S98" s="3" t="str">
        <f>IFERROR(__xludf.DUMMYFUNCTION("""COMPUTED_VALUE"""),"Lunas")</f>
        <v>Lunas</v>
      </c>
      <c r="T98" s="6">
        <f t="shared" si="2"/>
        <v>46206</v>
      </c>
      <c r="U98" s="3" t="str">
        <f>IF(ISNA(vlookup(B98,DataExport!$D$2:$D$496,1,false)), "Belum", "Sudah")</f>
        <v>Belum</v>
      </c>
    </row>
    <row r="99">
      <c r="A99" s="3">
        <f t="shared" si="1"/>
        <v>98</v>
      </c>
      <c r="B99" s="4" t="str">
        <f>IFERROR(__xludf.DUMMYFUNCTION("""COMPUTED_VALUE"""),"NANDA RAGIL DAVINA BATRISYA")</f>
        <v>NANDA RAGIL DAVINA BATRISYA</v>
      </c>
      <c r="C99" s="3">
        <f>IFERROR(__xludf.DUMMYFUNCTION("""COMPUTED_VALUE"""),2.024070531E9)</f>
        <v>2024070531</v>
      </c>
      <c r="D99" s="3" t="str">
        <f>IFERROR(__xludf.DUMMYFUNCTION("""COMPUTED_VALUE"""),"D")</f>
        <v>D</v>
      </c>
      <c r="E99" s="3" t="str">
        <f>IFERROR(__xludf.DUMMYFUNCTION("""COMPUTED_VALUE"""),"D-4")</f>
        <v>D-4</v>
      </c>
      <c r="F99" s="3">
        <f>IFERROR(__xludf.DUMMYFUNCTION("""COMPUTED_VALUE"""),3.0)</f>
        <v>3</v>
      </c>
      <c r="G99" s="3" t="str">
        <f>IFERROR(__xludf.DUMMYFUNCTION("""COMPUTED_VALUE"""),"3 ULA A PUTRI")</f>
        <v>3 ULA A PUTRI</v>
      </c>
      <c r="H99" s="3" t="str">
        <f>IFERROR(__xludf.DUMMYFUNCTION("""COMPUTED_VALUE"""),"MTS-9 C")</f>
        <v>MTS-9 C</v>
      </c>
      <c r="I99" s="4" t="str">
        <f>IFERROR(__xludf.DUMMYFUNCTION("""COMPUTED_VALUE"""),"NURBANI PRASETYAWATI")</f>
        <v>NURBANI PRASETYAWATI</v>
      </c>
      <c r="J99" s="4" t="str">
        <f>IFERROR(__xludf.DUMMYFUNCTION("""COMPUTED_VALUE"""),"GOWAH POMAHANJANGGAN RT 003 RW 001 TURI LAMONGAN")</f>
        <v>GOWAH POMAHANJANGGAN RT 003 RW 001 TURI LAMONGAN</v>
      </c>
      <c r="K99" s="4" t="str">
        <f>IFERROR(__xludf.DUMMYFUNCTION("""COMPUTED_VALUE"""),"6285730766563")</f>
        <v>6285730766563</v>
      </c>
      <c r="L99" s="5">
        <f>IFERROR(__xludf.DUMMYFUNCTION("""COMPUTED_VALUE"""),0.0)</f>
        <v>0</v>
      </c>
      <c r="M99" s="5">
        <f>IFERROR(__xludf.DUMMYFUNCTION("""COMPUTED_VALUE"""),0.0)</f>
        <v>0</v>
      </c>
      <c r="N99" s="5">
        <f>IFERROR(__xludf.DUMMYFUNCTION("""COMPUTED_VALUE"""),0.0)</f>
        <v>0</v>
      </c>
      <c r="O99" s="5">
        <f>IFERROR(__xludf.DUMMYFUNCTION("""COMPUTED_VALUE"""),0.0)</f>
        <v>0</v>
      </c>
      <c r="P99" s="4"/>
      <c r="Q99" s="4"/>
      <c r="R99" s="4"/>
      <c r="S99" s="3" t="str">
        <f>IFERROR(__xludf.DUMMYFUNCTION("""COMPUTED_VALUE"""),"Lunas")</f>
        <v>Lunas</v>
      </c>
      <c r="T99" s="6">
        <f t="shared" si="2"/>
        <v>46206</v>
      </c>
      <c r="U99" s="3" t="str">
        <f>IF(ISNA(vlookup(B99,DataExport!$D$2:$D$496,1,false)), "Belum", "Sudah")</f>
        <v>Belum</v>
      </c>
    </row>
    <row r="100">
      <c r="A100" s="3">
        <f t="shared" si="1"/>
        <v>99</v>
      </c>
      <c r="B100" s="4" t="str">
        <f>IFERROR(__xludf.DUMMYFUNCTION("""COMPUTED_VALUE"""),"NANDA ZAHRUNI SAFILLIA")</f>
        <v>NANDA ZAHRUNI SAFILLIA</v>
      </c>
      <c r="C100" s="3">
        <f>IFERROR(__xludf.DUMMYFUNCTION("""COMPUTED_VALUE"""),2.02407061E9)</f>
        <v>2024070610</v>
      </c>
      <c r="D100" s="3" t="str">
        <f>IFERROR(__xludf.DUMMYFUNCTION("""COMPUTED_VALUE"""),"D")</f>
        <v>D</v>
      </c>
      <c r="E100" s="3" t="str">
        <f>IFERROR(__xludf.DUMMYFUNCTION("""COMPUTED_VALUE"""),"D-4")</f>
        <v>D-4</v>
      </c>
      <c r="F100" s="3">
        <f>IFERROR(__xludf.DUMMYFUNCTION("""COMPUTED_VALUE"""),3.0)</f>
        <v>3</v>
      </c>
      <c r="G100" s="3"/>
      <c r="H100" s="3" t="str">
        <f>IFERROR(__xludf.DUMMYFUNCTION("""COMPUTED_VALUE"""),"MTS-9 D")</f>
        <v>MTS-9 D</v>
      </c>
      <c r="I100" s="4" t="str">
        <f>IFERROR(__xludf.DUMMYFUNCTION("""COMPUTED_VALUE"""),"WIWIN WINARTIN")</f>
        <v>WIWIN WINARTIN</v>
      </c>
      <c r="J100" s="4" t="str">
        <f>IFERROR(__xludf.DUMMYFUNCTION("""COMPUTED_VALUE"""),"SUNGELEBAK RT 005 RW 002 KARANGGENENG LAMONGAN")</f>
        <v>SUNGELEBAK RT 005 RW 002 KARANGGENENG LAMONGAN</v>
      </c>
      <c r="K100" s="4" t="str">
        <f>IFERROR(__xludf.DUMMYFUNCTION("""COMPUTED_VALUE"""),"628563468694")</f>
        <v>628563468694</v>
      </c>
      <c r="L100" s="5">
        <f>IFERROR(__xludf.DUMMYFUNCTION("""COMPUTED_VALUE"""),0.0)</f>
        <v>0</v>
      </c>
      <c r="M100" s="5">
        <f>IFERROR(__xludf.DUMMYFUNCTION("""COMPUTED_VALUE"""),0.0)</f>
        <v>0</v>
      </c>
      <c r="N100" s="5">
        <f>IFERROR(__xludf.DUMMYFUNCTION("""COMPUTED_VALUE"""),0.0)</f>
        <v>0</v>
      </c>
      <c r="O100" s="5">
        <f>IFERROR(__xludf.DUMMYFUNCTION("""COMPUTED_VALUE"""),0.0)</f>
        <v>0</v>
      </c>
      <c r="P100" s="4"/>
      <c r="Q100" s="4"/>
      <c r="R100" s="4"/>
      <c r="S100" s="3" t="str">
        <f>IFERROR(__xludf.DUMMYFUNCTION("""COMPUTED_VALUE"""),"Lunas")</f>
        <v>Lunas</v>
      </c>
      <c r="T100" s="6">
        <f t="shared" si="2"/>
        <v>46206</v>
      </c>
      <c r="U100" s="3" t="str">
        <f>IF(ISNA(vlookup(B100,DataExport!$D$2:$D$496,1,false)), "Belum", "Sudah")</f>
        <v>Belum</v>
      </c>
    </row>
    <row r="101">
      <c r="A101" s="3">
        <f t="shared" si="1"/>
        <v>100</v>
      </c>
      <c r="B101" s="4" t="str">
        <f>IFERROR(__xludf.DUMMYFUNCTION("""COMPUTED_VALUE"""),"NASYA PUTRI YUNAISYAH")</f>
        <v>NASYA PUTRI YUNAISYAH</v>
      </c>
      <c r="C101" s="3">
        <f>IFERROR(__xludf.DUMMYFUNCTION("""COMPUTED_VALUE"""),2.024070509E9)</f>
        <v>2024070509</v>
      </c>
      <c r="D101" s="3" t="str">
        <f>IFERROR(__xludf.DUMMYFUNCTION("""COMPUTED_VALUE"""),"C")</f>
        <v>C</v>
      </c>
      <c r="E101" s="3" t="str">
        <f>IFERROR(__xludf.DUMMYFUNCTION("""COMPUTED_VALUE"""),"C-13")</f>
        <v>C-13</v>
      </c>
      <c r="F101" s="3">
        <f>IFERROR(__xludf.DUMMYFUNCTION("""COMPUTED_VALUE"""),3.0)</f>
        <v>3</v>
      </c>
      <c r="G101" s="3" t="str">
        <f>IFERROR(__xludf.DUMMYFUNCTION("""COMPUTED_VALUE"""),"3 ULA C PUTRI")</f>
        <v>3 ULA C PUTRI</v>
      </c>
      <c r="H101" s="3" t="str">
        <f>IFERROR(__xludf.DUMMYFUNCTION("""COMPUTED_VALUE"""),"MTS-9 H")</f>
        <v>MTS-9 H</v>
      </c>
      <c r="I101" s="4" t="str">
        <f>IFERROR(__xludf.DUMMYFUNCTION("""COMPUTED_VALUE"""),"FITRIYAH MAGHFIROH")</f>
        <v>FITRIYAH MAGHFIROH</v>
      </c>
      <c r="J101" s="4" t="str">
        <f>IFERROR(__xludf.DUMMYFUNCTION("""COMPUTED_VALUE"""),"BARON RT 008 RW 004 DUKUN GRESIK")</f>
        <v>BARON RT 008 RW 004 DUKUN GRESIK</v>
      </c>
      <c r="K101" s="4" t="str">
        <f>IFERROR(__xludf.DUMMYFUNCTION("""COMPUTED_VALUE"""),"6281331730197")</f>
        <v>6281331730197</v>
      </c>
      <c r="L101" s="5">
        <f>IFERROR(__xludf.DUMMYFUNCTION("""COMPUTED_VALUE"""),0.0)</f>
        <v>0</v>
      </c>
      <c r="M101" s="5">
        <f>IFERROR(__xludf.DUMMYFUNCTION("""COMPUTED_VALUE"""),0.0)</f>
        <v>0</v>
      </c>
      <c r="N101" s="5">
        <f>IFERROR(__xludf.DUMMYFUNCTION("""COMPUTED_VALUE"""),0.0)</f>
        <v>0</v>
      </c>
      <c r="O101" s="5">
        <f>IFERROR(__xludf.DUMMYFUNCTION("""COMPUTED_VALUE"""),0.0)</f>
        <v>0</v>
      </c>
      <c r="P101" s="4"/>
      <c r="Q101" s="4"/>
      <c r="R101" s="4"/>
      <c r="S101" s="3" t="str">
        <f>IFERROR(__xludf.DUMMYFUNCTION("""COMPUTED_VALUE"""),"Lunas")</f>
        <v>Lunas</v>
      </c>
      <c r="T101" s="6">
        <f t="shared" si="2"/>
        <v>46206</v>
      </c>
      <c r="U101" s="3" t="str">
        <f>IF(ISNA(vlookup(B101,DataExport!$D$2:$D$496,1,false)), "Belum", "Sudah")</f>
        <v>Belum</v>
      </c>
    </row>
    <row r="102">
      <c r="A102" s="3">
        <f t="shared" si="1"/>
        <v>101</v>
      </c>
      <c r="B102" s="4" t="str">
        <f>IFERROR(__xludf.DUMMYFUNCTION("""COMPUTED_VALUE"""),"NATASYA ANGELINA AMANDA FERDIANA")</f>
        <v>NATASYA ANGELINA AMANDA FERDIANA</v>
      </c>
      <c r="C102" s="3">
        <f>IFERROR(__xludf.DUMMYFUNCTION("""COMPUTED_VALUE"""),2.024070523E9)</f>
        <v>2024070523</v>
      </c>
      <c r="D102" s="3" t="str">
        <f>IFERROR(__xludf.DUMMYFUNCTION("""COMPUTED_VALUE"""),"D")</f>
        <v>D</v>
      </c>
      <c r="E102" s="3" t="str">
        <f>IFERROR(__xludf.DUMMYFUNCTION("""COMPUTED_VALUE"""),"D-4")</f>
        <v>D-4</v>
      </c>
      <c r="F102" s="3">
        <f>IFERROR(__xludf.DUMMYFUNCTION("""COMPUTED_VALUE"""),3.0)</f>
        <v>3</v>
      </c>
      <c r="G102" s="3"/>
      <c r="H102" s="3" t="str">
        <f>IFERROR(__xludf.DUMMYFUNCTION("""COMPUTED_VALUE"""),"MTS-9 B")</f>
        <v>MTS-9 B</v>
      </c>
      <c r="I102" s="4" t="str">
        <f>IFERROR(__xludf.DUMMYFUNCTION("""COMPUTED_VALUE"""),"SITI NURDIANA")</f>
        <v>SITI NURDIANA</v>
      </c>
      <c r="J102" s="4" t="str">
        <f>IFERROR(__xludf.DUMMYFUNCTION("""COMPUTED_VALUE"""),"PUTATLOR PUTATKUMPUL RT 002 RW 003 TURI LAMONGAN")</f>
        <v>PUTATLOR PUTATKUMPUL RT 002 RW 003 TURI LAMONGAN</v>
      </c>
      <c r="K102" s="4" t="str">
        <f>IFERROR(__xludf.DUMMYFUNCTION("""COMPUTED_VALUE"""),"6282199589884")</f>
        <v>6282199589884</v>
      </c>
      <c r="L102" s="5">
        <f>IFERROR(__xludf.DUMMYFUNCTION("""COMPUTED_VALUE"""),0.0)</f>
        <v>0</v>
      </c>
      <c r="M102" s="5">
        <f>IFERROR(__xludf.DUMMYFUNCTION("""COMPUTED_VALUE"""),0.0)</f>
        <v>0</v>
      </c>
      <c r="N102" s="5">
        <f>IFERROR(__xludf.DUMMYFUNCTION("""COMPUTED_VALUE"""),0.0)</f>
        <v>0</v>
      </c>
      <c r="O102" s="5">
        <f>IFERROR(__xludf.DUMMYFUNCTION("""COMPUTED_VALUE"""),0.0)</f>
        <v>0</v>
      </c>
      <c r="P102" s="4"/>
      <c r="Q102" s="4"/>
      <c r="R102" s="4"/>
      <c r="S102" s="3" t="str">
        <f>IFERROR(__xludf.DUMMYFUNCTION("""COMPUTED_VALUE"""),"Lunas")</f>
        <v>Lunas</v>
      </c>
      <c r="T102" s="6">
        <f t="shared" si="2"/>
        <v>46206</v>
      </c>
      <c r="U102" s="3" t="str">
        <f>IF(ISNA(vlookup(B102,DataExport!$D$2:$D$496,1,false)), "Belum", "Sudah")</f>
        <v>Belum</v>
      </c>
    </row>
    <row r="103">
      <c r="A103" s="3">
        <f t="shared" si="1"/>
        <v>102</v>
      </c>
      <c r="B103" s="4" t="str">
        <f>IFERROR(__xludf.DUMMYFUNCTION("""COMPUTED_VALUE"""),"NAUFAL DESTA ARYADI")</f>
        <v>NAUFAL DESTA ARYADI</v>
      </c>
      <c r="C103" s="3">
        <f>IFERROR(__xludf.DUMMYFUNCTION("""COMPUTED_VALUE"""),2.024070479E9)</f>
        <v>2024070479</v>
      </c>
      <c r="D103" s="3" t="str">
        <f>IFERROR(__xludf.DUMMYFUNCTION("""COMPUTED_VALUE"""),"A")</f>
        <v>A</v>
      </c>
      <c r="E103" s="3" t="str">
        <f>IFERROR(__xludf.DUMMYFUNCTION("""COMPUTED_VALUE"""),"A-8")</f>
        <v>A-8</v>
      </c>
      <c r="F103" s="3">
        <f>IFERROR(__xludf.DUMMYFUNCTION("""COMPUTED_VALUE"""),3.0)</f>
        <v>3</v>
      </c>
      <c r="G103" s="3" t="str">
        <f>IFERROR(__xludf.DUMMYFUNCTION("""COMPUTED_VALUE"""),"3 ULA A PUTRA")</f>
        <v>3 ULA A PUTRA</v>
      </c>
      <c r="H103" s="3" t="str">
        <f>IFERROR(__xludf.DUMMYFUNCTION("""COMPUTED_VALUE"""),"MTS-9 F")</f>
        <v>MTS-9 F</v>
      </c>
      <c r="I103" s="4" t="str">
        <f>IFERROR(__xludf.DUMMYFUNCTION("""COMPUTED_VALUE"""),"RUMIATIK")</f>
        <v>RUMIATIK</v>
      </c>
      <c r="J103" s="4" t="str">
        <f>IFERROR(__xludf.DUMMYFUNCTION("""COMPUTED_VALUE"""),"KARANGTAPEN KARANGLANGIT RT 002 RW 004 LAMONGAN LAMONGAN")</f>
        <v>KARANGTAPEN KARANGLANGIT RT 002 RW 004 LAMONGAN LAMONGAN</v>
      </c>
      <c r="K103" s="4" t="str">
        <f>IFERROR(__xludf.DUMMYFUNCTION("""COMPUTED_VALUE"""),"6285604016410")</f>
        <v>6285604016410</v>
      </c>
      <c r="L103" s="5">
        <f>IFERROR(__xludf.DUMMYFUNCTION("""COMPUTED_VALUE"""),0.0)</f>
        <v>0</v>
      </c>
      <c r="M103" s="5">
        <f>IFERROR(__xludf.DUMMYFUNCTION("""COMPUTED_VALUE"""),0.0)</f>
        <v>0</v>
      </c>
      <c r="N103" s="5">
        <f>IFERROR(__xludf.DUMMYFUNCTION("""COMPUTED_VALUE"""),0.0)</f>
        <v>0</v>
      </c>
      <c r="O103" s="5">
        <f>IFERROR(__xludf.DUMMYFUNCTION("""COMPUTED_VALUE"""),0.0)</f>
        <v>0</v>
      </c>
      <c r="P103" s="4"/>
      <c r="Q103" s="4"/>
      <c r="R103" s="4"/>
      <c r="S103" s="3" t="str">
        <f>IFERROR(__xludf.DUMMYFUNCTION("""COMPUTED_VALUE"""),"Lunas")</f>
        <v>Lunas</v>
      </c>
      <c r="T103" s="6">
        <f t="shared" si="2"/>
        <v>46206</v>
      </c>
      <c r="U103" s="3" t="str">
        <f>IF(ISNA(vlookup(B103,DataExport!$D$2:$D$496,1,false)), "Belum", "Sudah")</f>
        <v>Belum</v>
      </c>
    </row>
    <row r="104">
      <c r="A104" s="3">
        <f t="shared" si="1"/>
        <v>103</v>
      </c>
      <c r="B104" s="4" t="str">
        <f>IFERROR(__xludf.DUMMYFUNCTION("""COMPUTED_VALUE"""),"NAURAH KHUNI`ATUN MUBAYYINA")</f>
        <v>NAURAH KHUNI`ATUN MUBAYYINA</v>
      </c>
      <c r="C104" s="3">
        <f>IFERROR(__xludf.DUMMYFUNCTION("""COMPUTED_VALUE"""),2.024070623E9)</f>
        <v>2024070623</v>
      </c>
      <c r="D104" s="3" t="str">
        <f>IFERROR(__xludf.DUMMYFUNCTION("""COMPUTED_VALUE"""),"C")</f>
        <v>C</v>
      </c>
      <c r="E104" s="3" t="str">
        <f>IFERROR(__xludf.DUMMYFUNCTION("""COMPUTED_VALUE"""),"C-12")</f>
        <v>C-12</v>
      </c>
      <c r="F104" s="3">
        <f>IFERROR(__xludf.DUMMYFUNCTION("""COMPUTED_VALUE"""),3.0)</f>
        <v>3</v>
      </c>
      <c r="G104" s="3"/>
      <c r="H104" s="3" t="str">
        <f>IFERROR(__xludf.DUMMYFUNCTION("""COMPUTED_VALUE"""),"MTS-9 H")</f>
        <v>MTS-9 H</v>
      </c>
      <c r="I104" s="4" t="str">
        <f>IFERROR(__xludf.DUMMYFUNCTION("""COMPUTED_VALUE"""),"NANIK NURLISAH")</f>
        <v>NANIK NURLISAH</v>
      </c>
      <c r="J104" s="4" t="str">
        <f>IFERROR(__xludf.DUMMYFUNCTION("""COMPUTED_VALUE"""),"KULURAN RT 003 RW 001 KALITENGAH LAMONGAN")</f>
        <v>KULURAN RT 003 RW 001 KALITENGAH LAMONGAN</v>
      </c>
      <c r="K104" s="4" t="str">
        <f>IFERROR(__xludf.DUMMYFUNCTION("""COMPUTED_VALUE"""),"6285608954077")</f>
        <v>6285608954077</v>
      </c>
      <c r="L104" s="5">
        <f>IFERROR(__xludf.DUMMYFUNCTION("""COMPUTED_VALUE"""),0.0)</f>
        <v>0</v>
      </c>
      <c r="M104" s="5">
        <f>IFERROR(__xludf.DUMMYFUNCTION("""COMPUTED_VALUE"""),0.0)</f>
        <v>0</v>
      </c>
      <c r="N104" s="5">
        <f>IFERROR(__xludf.DUMMYFUNCTION("""COMPUTED_VALUE"""),0.0)</f>
        <v>0</v>
      </c>
      <c r="O104" s="5">
        <f>IFERROR(__xludf.DUMMYFUNCTION("""COMPUTED_VALUE"""),0.0)</f>
        <v>0</v>
      </c>
      <c r="P104" s="4"/>
      <c r="Q104" s="4"/>
      <c r="R104" s="4"/>
      <c r="S104" s="3" t="str">
        <f>IFERROR(__xludf.DUMMYFUNCTION("""COMPUTED_VALUE"""),"Lunas")</f>
        <v>Lunas</v>
      </c>
      <c r="T104" s="6">
        <f t="shared" si="2"/>
        <v>46206</v>
      </c>
      <c r="U104" s="3" t="str">
        <f>IF(ISNA(vlookup(B104,DataExport!$D$2:$D$496,1,false)), "Belum", "Sudah")</f>
        <v>Belum</v>
      </c>
    </row>
    <row r="105">
      <c r="A105" s="3">
        <f t="shared" si="1"/>
        <v>104</v>
      </c>
      <c r="B105" s="4" t="str">
        <f>IFERROR(__xludf.DUMMYFUNCTION("""COMPUTED_VALUE"""),"NAURIL ASTRA DIRGANTARA")</f>
        <v>NAURIL ASTRA DIRGANTARA</v>
      </c>
      <c r="C105" s="3">
        <f>IFERROR(__xludf.DUMMYFUNCTION("""COMPUTED_VALUE"""),2.024070713E9)</f>
        <v>2024070713</v>
      </c>
      <c r="D105" s="3" t="str">
        <f>IFERROR(__xludf.DUMMYFUNCTION("""COMPUTED_VALUE"""),"A")</f>
        <v>A</v>
      </c>
      <c r="E105" s="3" t="str">
        <f>IFERROR(__xludf.DUMMYFUNCTION("""COMPUTED_VALUE"""),"A-10")</f>
        <v>A-10</v>
      </c>
      <c r="F105" s="3">
        <f>IFERROR(__xludf.DUMMYFUNCTION("""COMPUTED_VALUE"""),3.0)</f>
        <v>3</v>
      </c>
      <c r="G105" s="3" t="str">
        <f>IFERROR(__xludf.DUMMYFUNCTION("""COMPUTED_VALUE"""),"3 WUSTHO PUTRA")</f>
        <v>3 WUSTHO PUTRA</v>
      </c>
      <c r="H105" s="3" t="str">
        <f>IFERROR(__xludf.DUMMYFUNCTION("""COMPUTED_VALUE"""),"SMK-XII TKJ 1")</f>
        <v>SMK-XII TKJ 1</v>
      </c>
      <c r="I105" s="4" t="str">
        <f>IFERROR(__xludf.DUMMYFUNCTION("""COMPUTED_VALUE"""),"ERTINA YAROH")</f>
        <v>ERTINA YAROH</v>
      </c>
      <c r="J105" s="4" t="str">
        <f>IFERROR(__xludf.DUMMYFUNCTION("""COMPUTED_VALUE"""),"BANJARANYAR RT 007 RW 002 BAURENO BOJONEGORO")</f>
        <v>BANJARANYAR RT 007 RW 002 BAURENO BOJONEGORO</v>
      </c>
      <c r="K105" s="4" t="str">
        <f>IFERROR(__xludf.DUMMYFUNCTION("""COMPUTED_VALUE"""),"6281286452697")</f>
        <v>6281286452697</v>
      </c>
      <c r="L105" s="5">
        <f>IFERROR(__xludf.DUMMYFUNCTION("""COMPUTED_VALUE"""),0.0)</f>
        <v>0</v>
      </c>
      <c r="M105" s="5">
        <f>IFERROR(__xludf.DUMMYFUNCTION("""COMPUTED_VALUE"""),0.0)</f>
        <v>0</v>
      </c>
      <c r="N105" s="5">
        <f>IFERROR(__xludf.DUMMYFUNCTION("""COMPUTED_VALUE"""),0.0)</f>
        <v>0</v>
      </c>
      <c r="O105" s="5">
        <f>IFERROR(__xludf.DUMMYFUNCTION("""COMPUTED_VALUE"""),0.0)</f>
        <v>0</v>
      </c>
      <c r="P105" s="4"/>
      <c r="Q105" s="4"/>
      <c r="R105" s="4"/>
      <c r="S105" s="3" t="str">
        <f>IFERROR(__xludf.DUMMYFUNCTION("""COMPUTED_VALUE"""),"Lunas")</f>
        <v>Lunas</v>
      </c>
      <c r="T105" s="6">
        <f t="shared" si="2"/>
        <v>46206</v>
      </c>
      <c r="U105" s="3" t="str">
        <f>IF(ISNA(vlookup(B105,DataExport!$D$2:$D$496,1,false)), "Belum", "Sudah")</f>
        <v>Belum</v>
      </c>
    </row>
    <row r="106">
      <c r="A106" s="3">
        <f t="shared" si="1"/>
        <v>105</v>
      </c>
      <c r="B106" s="4" t="str">
        <f>IFERROR(__xludf.DUMMYFUNCTION("""COMPUTED_VALUE"""),"NAYLA SALSABILA")</f>
        <v>NAYLA SALSABILA</v>
      </c>
      <c r="C106" s="3">
        <f>IFERROR(__xludf.DUMMYFUNCTION("""COMPUTED_VALUE"""),2.024070608E9)</f>
        <v>2024070608</v>
      </c>
      <c r="D106" s="3" t="str">
        <f>IFERROR(__xludf.DUMMYFUNCTION("""COMPUTED_VALUE"""),"C")</f>
        <v>C</v>
      </c>
      <c r="E106" s="3" t="str">
        <f>IFERROR(__xludf.DUMMYFUNCTION("""COMPUTED_VALUE"""),"C-12")</f>
        <v>C-12</v>
      </c>
      <c r="F106" s="3">
        <f>IFERROR(__xludf.DUMMYFUNCTION("""COMPUTED_VALUE"""),3.0)</f>
        <v>3</v>
      </c>
      <c r="G106" s="3"/>
      <c r="H106" s="3" t="str">
        <f>IFERROR(__xludf.DUMMYFUNCTION("""COMPUTED_VALUE"""),"MTS-9 D")</f>
        <v>MTS-9 D</v>
      </c>
      <c r="I106" s="4" t="str">
        <f>IFERROR(__xludf.DUMMYFUNCTION("""COMPUTED_VALUE"""),"MINTUTIK")</f>
        <v>MINTUTIK</v>
      </c>
      <c r="J106" s="4" t="str">
        <f>IFERROR(__xludf.DUMMYFUNCTION("""COMPUTED_VALUE"""),"KULURAN RT 002 RW 003 KALITENGAH LAMONGAN")</f>
        <v>KULURAN RT 002 RW 003 KALITENGAH LAMONGAN</v>
      </c>
      <c r="K106" s="4" t="str">
        <f>IFERROR(__xludf.DUMMYFUNCTION("""COMPUTED_VALUE"""),"6285755534024")</f>
        <v>6285755534024</v>
      </c>
      <c r="L106" s="5">
        <f>IFERROR(__xludf.DUMMYFUNCTION("""COMPUTED_VALUE"""),0.0)</f>
        <v>0</v>
      </c>
      <c r="M106" s="5">
        <f>IFERROR(__xludf.DUMMYFUNCTION("""COMPUTED_VALUE"""),0.0)</f>
        <v>0</v>
      </c>
      <c r="N106" s="5">
        <f>IFERROR(__xludf.DUMMYFUNCTION("""COMPUTED_VALUE"""),0.0)</f>
        <v>0</v>
      </c>
      <c r="O106" s="5">
        <f>IFERROR(__xludf.DUMMYFUNCTION("""COMPUTED_VALUE"""),0.0)</f>
        <v>0</v>
      </c>
      <c r="P106" s="4"/>
      <c r="Q106" s="4"/>
      <c r="R106" s="4"/>
      <c r="S106" s="3" t="str">
        <f>IFERROR(__xludf.DUMMYFUNCTION("""COMPUTED_VALUE"""),"Lunas")</f>
        <v>Lunas</v>
      </c>
      <c r="T106" s="6">
        <f t="shared" si="2"/>
        <v>46206</v>
      </c>
      <c r="U106" s="3" t="str">
        <f>IF(ISNA(vlookup(B106,DataExport!$D$2:$D$496,1,false)), "Belum", "Sudah")</f>
        <v>Belum</v>
      </c>
    </row>
    <row r="107">
      <c r="A107" s="3">
        <f t="shared" si="1"/>
        <v>106</v>
      </c>
      <c r="B107" s="4" t="str">
        <f>IFERROR(__xludf.DUMMYFUNCTION("""COMPUTED_VALUE"""),"NIMAS AMINAH AZ-ZAHRAH")</f>
        <v>NIMAS AMINAH AZ-ZAHRAH</v>
      </c>
      <c r="C107" s="3">
        <f>IFERROR(__xludf.DUMMYFUNCTION("""COMPUTED_VALUE"""),2.024070433E9)</f>
        <v>2024070433</v>
      </c>
      <c r="D107" s="3" t="str">
        <f>IFERROR(__xludf.DUMMYFUNCTION("""COMPUTED_VALUE"""),"D")</f>
        <v>D</v>
      </c>
      <c r="E107" s="3" t="str">
        <f>IFERROR(__xludf.DUMMYFUNCTION("""COMPUTED_VALUE"""),"D-7")</f>
        <v>D-7</v>
      </c>
      <c r="F107" s="3">
        <f>IFERROR(__xludf.DUMMYFUNCTION("""COMPUTED_VALUE"""),3.0)</f>
        <v>3</v>
      </c>
      <c r="G107" s="3" t="str">
        <f>IFERROR(__xludf.DUMMYFUNCTION("""COMPUTED_VALUE"""),"3 MAK PUTRI")</f>
        <v>3 MAK PUTRI</v>
      </c>
      <c r="H107" s="3" t="str">
        <f>IFERROR(__xludf.DUMMYFUNCTION("""COMPUTED_VALUE"""),"MA-XII.13")</f>
        <v>MA-XII.13</v>
      </c>
      <c r="I107" s="4" t="str">
        <f>IFERROR(__xludf.DUMMYFUNCTION("""COMPUTED_VALUE"""),"ZIYADATUR RIF`AH")</f>
        <v>ZIYADATUR RIF`AH</v>
      </c>
      <c r="J107" s="4" t="str">
        <f>IFERROR(__xludf.DUMMYFUNCTION("""COMPUTED_VALUE"""),"BUNGAH RT 17 RW 6 BUNGAH GRESIK")</f>
        <v>BUNGAH RT 17 RW 6 BUNGAH GRESIK</v>
      </c>
      <c r="K107" s="4" t="str">
        <f>IFERROR(__xludf.DUMMYFUNCTION("""COMPUTED_VALUE"""),"6285731322231")</f>
        <v>6285731322231</v>
      </c>
      <c r="L107" s="5">
        <f>IFERROR(__xludf.DUMMYFUNCTION("""COMPUTED_VALUE"""),0.0)</f>
        <v>0</v>
      </c>
      <c r="M107" s="5">
        <f>IFERROR(__xludf.DUMMYFUNCTION("""COMPUTED_VALUE"""),0.0)</f>
        <v>0</v>
      </c>
      <c r="N107" s="5">
        <f>IFERROR(__xludf.DUMMYFUNCTION("""COMPUTED_VALUE"""),0.0)</f>
        <v>0</v>
      </c>
      <c r="O107" s="5">
        <f>IFERROR(__xludf.DUMMYFUNCTION("""COMPUTED_VALUE"""),0.0)</f>
        <v>0</v>
      </c>
      <c r="P107" s="4"/>
      <c r="Q107" s="4"/>
      <c r="R107" s="4"/>
      <c r="S107" s="3" t="str">
        <f>IFERROR(__xludf.DUMMYFUNCTION("""COMPUTED_VALUE"""),"Lunas")</f>
        <v>Lunas</v>
      </c>
      <c r="T107" s="6">
        <f t="shared" si="2"/>
        <v>46206</v>
      </c>
      <c r="U107" s="3" t="str">
        <f>IF(ISNA(vlookup(B107,DataExport!$D$2:$D$496,1,false)), "Belum", "Sudah")</f>
        <v>Belum</v>
      </c>
    </row>
    <row r="108">
      <c r="A108" s="3">
        <f t="shared" si="1"/>
        <v>107</v>
      </c>
      <c r="B108" s="4" t="str">
        <f>IFERROR(__xludf.DUMMYFUNCTION("""COMPUTED_VALUE"""),"NISAUL MAGHFIROH")</f>
        <v>NISAUL MAGHFIROH</v>
      </c>
      <c r="C108" s="3">
        <f>IFERROR(__xludf.DUMMYFUNCTION("""COMPUTED_VALUE"""),2.024070435E9)</f>
        <v>2024070435</v>
      </c>
      <c r="D108" s="3" t="str">
        <f>IFERROR(__xludf.DUMMYFUNCTION("""COMPUTED_VALUE"""),"C")</f>
        <v>C</v>
      </c>
      <c r="E108" s="3" t="str">
        <f>IFERROR(__xludf.DUMMYFUNCTION("""COMPUTED_VALUE"""),"C-7")</f>
        <v>C-7</v>
      </c>
      <c r="F108" s="3">
        <f>IFERROR(__xludf.DUMMYFUNCTION("""COMPUTED_VALUE"""),3.0)</f>
        <v>3</v>
      </c>
      <c r="G108" s="3" t="str">
        <f>IFERROR(__xludf.DUMMYFUNCTION("""COMPUTED_VALUE"""),"3 MAK PUTRI")</f>
        <v>3 MAK PUTRI</v>
      </c>
      <c r="H108" s="3" t="str">
        <f>IFERROR(__xludf.DUMMYFUNCTION("""COMPUTED_VALUE"""),"MA-XII.13")</f>
        <v>MA-XII.13</v>
      </c>
      <c r="I108" s="4" t="str">
        <f>IFERROR(__xludf.DUMMYFUNCTION("""COMPUTED_VALUE"""),"FATIMAH")</f>
        <v>FATIMAH</v>
      </c>
      <c r="J108" s="4" t="str">
        <f>IFERROR(__xludf.DUMMYFUNCTION("""COMPUTED_VALUE"""),"GILIG SUGIHREJO RT 001 RW 004 SUKODADI LAMONGAN")</f>
        <v>GILIG SUGIHREJO RT 001 RW 004 SUKODADI LAMONGAN</v>
      </c>
      <c r="K108" s="4" t="str">
        <f>IFERROR(__xludf.DUMMYFUNCTION("""COMPUTED_VALUE"""),"6285732899224")</f>
        <v>6285732899224</v>
      </c>
      <c r="L108" s="5">
        <f>IFERROR(__xludf.DUMMYFUNCTION("""COMPUTED_VALUE"""),0.0)</f>
        <v>0</v>
      </c>
      <c r="M108" s="5">
        <f>IFERROR(__xludf.DUMMYFUNCTION("""COMPUTED_VALUE"""),0.0)</f>
        <v>0</v>
      </c>
      <c r="N108" s="5">
        <f>IFERROR(__xludf.DUMMYFUNCTION("""COMPUTED_VALUE"""),0.0)</f>
        <v>0</v>
      </c>
      <c r="O108" s="5">
        <f>IFERROR(__xludf.DUMMYFUNCTION("""COMPUTED_VALUE"""),0.0)</f>
        <v>0</v>
      </c>
      <c r="P108" s="4"/>
      <c r="Q108" s="4"/>
      <c r="R108" s="4"/>
      <c r="S108" s="3" t="str">
        <f>IFERROR(__xludf.DUMMYFUNCTION("""COMPUTED_VALUE"""),"Lunas")</f>
        <v>Lunas</v>
      </c>
      <c r="T108" s="6">
        <f t="shared" si="2"/>
        <v>46206</v>
      </c>
      <c r="U108" s="3" t="str">
        <f>IF(ISNA(vlookup(B108,DataExport!$D$2:$D$496,1,false)), "Belum", "Sudah")</f>
        <v>Belum</v>
      </c>
    </row>
    <row r="109">
      <c r="A109" s="3">
        <f t="shared" si="1"/>
        <v>108</v>
      </c>
      <c r="B109" s="4" t="str">
        <f>IFERROR(__xludf.DUMMYFUNCTION("""COMPUTED_VALUE"""),"NOOR SHANIA RAHMAWATI")</f>
        <v>NOOR SHANIA RAHMAWATI</v>
      </c>
      <c r="C109" s="3">
        <f>IFERROR(__xludf.DUMMYFUNCTION("""COMPUTED_VALUE"""),2.024070021E9)</f>
        <v>2024070021</v>
      </c>
      <c r="D109" s="3" t="str">
        <f>IFERROR(__xludf.DUMMYFUNCTION("""COMPUTED_VALUE"""),"C")</f>
        <v>C</v>
      </c>
      <c r="E109" s="3" t="str">
        <f>IFERROR(__xludf.DUMMYFUNCTION("""COMPUTED_VALUE"""),"C-2")</f>
        <v>C-2</v>
      </c>
      <c r="F109" s="3">
        <f>IFERROR(__xludf.DUMMYFUNCTION("""COMPUTED_VALUE"""),3.0)</f>
        <v>3</v>
      </c>
      <c r="G109" s="3"/>
      <c r="H109" s="3" t="str">
        <f>IFERROR(__xludf.DUMMYFUNCTION("""COMPUTED_VALUE"""),"MA-XII.1")</f>
        <v>MA-XII.1</v>
      </c>
      <c r="I109" s="4" t="str">
        <f>IFERROR(__xludf.DUMMYFUNCTION("""COMPUTED_VALUE"""),"ISMAWATUR ROHMAH")</f>
        <v>ISMAWATUR ROHMAH</v>
      </c>
      <c r="J109" s="4" t="str">
        <f>IFERROR(__xludf.DUMMYFUNCTION("""COMPUTED_VALUE"""),"GLATIK RT 009 RW 003 UJUNGPANGKAH GRESIK")</f>
        <v>GLATIK RT 009 RW 003 UJUNGPANGKAH GRESIK</v>
      </c>
      <c r="K109" s="4" t="str">
        <f>IFERROR(__xludf.DUMMYFUNCTION("""COMPUTED_VALUE"""),"62895385546488")</f>
        <v>62895385546488</v>
      </c>
      <c r="L109" s="5">
        <f>IFERROR(__xludf.DUMMYFUNCTION("""COMPUTED_VALUE"""),0.0)</f>
        <v>0</v>
      </c>
      <c r="M109" s="5">
        <f>IFERROR(__xludf.DUMMYFUNCTION("""COMPUTED_VALUE"""),0.0)</f>
        <v>0</v>
      </c>
      <c r="N109" s="5">
        <f>IFERROR(__xludf.DUMMYFUNCTION("""COMPUTED_VALUE"""),0.0)</f>
        <v>0</v>
      </c>
      <c r="O109" s="5">
        <f>IFERROR(__xludf.DUMMYFUNCTION("""COMPUTED_VALUE"""),0.0)</f>
        <v>0</v>
      </c>
      <c r="P109" s="4"/>
      <c r="Q109" s="4"/>
      <c r="R109" s="4"/>
      <c r="S109" s="3" t="str">
        <f>IFERROR(__xludf.DUMMYFUNCTION("""COMPUTED_VALUE"""),"Lunas")</f>
        <v>Lunas</v>
      </c>
      <c r="T109" s="6">
        <f t="shared" si="2"/>
        <v>46206</v>
      </c>
      <c r="U109" s="3" t="str">
        <f>IF(ISNA(vlookup(B109,DataExport!$D$2:$D$496,1,false)), "Belum", "Sudah")</f>
        <v>Belum</v>
      </c>
    </row>
    <row r="110">
      <c r="A110" s="3">
        <f t="shared" si="1"/>
        <v>109</v>
      </c>
      <c r="B110" s="4" t="str">
        <f>IFERROR(__xludf.DUMMYFUNCTION("""COMPUTED_VALUE"""),"NOVI ADELIA SALSABILLA")</f>
        <v>NOVI ADELIA SALSABILLA</v>
      </c>
      <c r="C110" s="3">
        <f>IFERROR(__xludf.DUMMYFUNCTION("""COMPUTED_VALUE"""),2.024070082E9)</f>
        <v>2024070082</v>
      </c>
      <c r="D110" s="3" t="str">
        <f>IFERROR(__xludf.DUMMYFUNCTION("""COMPUTED_VALUE"""),"B")</f>
        <v>B</v>
      </c>
      <c r="E110" s="3" t="str">
        <f>IFERROR(__xludf.DUMMYFUNCTION("""COMPUTED_VALUE"""),"B-5")</f>
        <v>B-5</v>
      </c>
      <c r="F110" s="3">
        <f>IFERROR(__xludf.DUMMYFUNCTION("""COMPUTED_VALUE"""),3.0)</f>
        <v>3</v>
      </c>
      <c r="G110" s="3" t="str">
        <f>IFERROR(__xludf.DUMMYFUNCTION("""COMPUTED_VALUE"""),"3 WUSTHO B PUTRI")</f>
        <v>3 WUSTHO B PUTRI</v>
      </c>
      <c r="H110" s="3" t="str">
        <f>IFERROR(__xludf.DUMMYFUNCTION("""COMPUTED_VALUE"""),"MA-XII.3")</f>
        <v>MA-XII.3</v>
      </c>
      <c r="I110" s="4" t="str">
        <f>IFERROR(__xludf.DUMMYFUNCTION("""COMPUTED_VALUE"""),"SUSMIYATIN")</f>
        <v>SUSMIYATIN</v>
      </c>
      <c r="J110" s="4" t="str">
        <f>IFERROR(__xludf.DUMMYFUNCTION("""COMPUTED_VALUE"""),"TENGGULUN RT 007 RW 003 SOLOKURO LAMONGAN")</f>
        <v>TENGGULUN RT 007 RW 003 SOLOKURO LAMONGAN</v>
      </c>
      <c r="K110" s="4" t="str">
        <f>IFERROR(__xludf.DUMMYFUNCTION("""COMPUTED_VALUE"""),"6285706307948")</f>
        <v>6285706307948</v>
      </c>
      <c r="L110" s="5">
        <f>IFERROR(__xludf.DUMMYFUNCTION("""COMPUTED_VALUE"""),0.0)</f>
        <v>0</v>
      </c>
      <c r="M110" s="5">
        <f>IFERROR(__xludf.DUMMYFUNCTION("""COMPUTED_VALUE"""),0.0)</f>
        <v>0</v>
      </c>
      <c r="N110" s="5">
        <f>IFERROR(__xludf.DUMMYFUNCTION("""COMPUTED_VALUE"""),0.0)</f>
        <v>0</v>
      </c>
      <c r="O110" s="5">
        <f>IFERROR(__xludf.DUMMYFUNCTION("""COMPUTED_VALUE"""),0.0)</f>
        <v>0</v>
      </c>
      <c r="P110" s="4"/>
      <c r="Q110" s="4"/>
      <c r="R110" s="4"/>
      <c r="S110" s="3" t="str">
        <f>IFERROR(__xludf.DUMMYFUNCTION("""COMPUTED_VALUE"""),"Lunas")</f>
        <v>Lunas</v>
      </c>
      <c r="T110" s="6">
        <f t="shared" si="2"/>
        <v>46206</v>
      </c>
      <c r="U110" s="3" t="str">
        <f>IF(ISNA(vlookup(B110,DataExport!$D$2:$D$496,1,false)), "Belum", "Sudah")</f>
        <v>Belum</v>
      </c>
    </row>
    <row r="111">
      <c r="A111" s="3">
        <f t="shared" si="1"/>
        <v>110</v>
      </c>
      <c r="B111" s="4" t="str">
        <f>IFERROR(__xludf.DUMMYFUNCTION("""COMPUTED_VALUE"""),"NUR AILATUN NAKHWA")</f>
        <v>NUR AILATUN NAKHWA</v>
      </c>
      <c r="C111" s="3">
        <f>IFERROR(__xludf.DUMMYFUNCTION("""COMPUTED_VALUE"""),2.024070196E9)</f>
        <v>2024070196</v>
      </c>
      <c r="D111" s="3" t="str">
        <f>IFERROR(__xludf.DUMMYFUNCTION("""COMPUTED_VALUE"""),"B")</f>
        <v>B</v>
      </c>
      <c r="E111" s="3" t="str">
        <f>IFERROR(__xludf.DUMMYFUNCTION("""COMPUTED_VALUE"""),"B-5")</f>
        <v>B-5</v>
      </c>
      <c r="F111" s="3">
        <f>IFERROR(__xludf.DUMMYFUNCTION("""COMPUTED_VALUE"""),3.0)</f>
        <v>3</v>
      </c>
      <c r="G111" s="3" t="str">
        <f>IFERROR(__xludf.DUMMYFUNCTION("""COMPUTED_VALUE"""),"3 WUSTHO B PUTRI")</f>
        <v>3 WUSTHO B PUTRI</v>
      </c>
      <c r="H111" s="3" t="str">
        <f>IFERROR(__xludf.DUMMYFUNCTION("""COMPUTED_VALUE"""),"MA-XII.7")</f>
        <v>MA-XII.7</v>
      </c>
      <c r="I111" s="4" t="str">
        <f>IFERROR(__xludf.DUMMYFUNCTION("""COMPUTED_VALUE"""),"QUROTUL UMMAH")</f>
        <v>QUROTUL UMMAH</v>
      </c>
      <c r="J111" s="4" t="str">
        <f>IFERROR(__xludf.DUMMYFUNCTION("""COMPUTED_VALUE"""),"TENGGULUN RT 007 RW 003 SOLOKURO LAMONGAN")</f>
        <v>TENGGULUN RT 007 RW 003 SOLOKURO LAMONGAN</v>
      </c>
      <c r="K111" s="4" t="str">
        <f>IFERROR(__xludf.DUMMYFUNCTION("""COMPUTED_VALUE"""),"6282338617496")</f>
        <v>6282338617496</v>
      </c>
      <c r="L111" s="5">
        <f>IFERROR(__xludf.DUMMYFUNCTION("""COMPUTED_VALUE"""),0.0)</f>
        <v>0</v>
      </c>
      <c r="M111" s="5">
        <f>IFERROR(__xludf.DUMMYFUNCTION("""COMPUTED_VALUE"""),0.0)</f>
        <v>0</v>
      </c>
      <c r="N111" s="5">
        <f>IFERROR(__xludf.DUMMYFUNCTION("""COMPUTED_VALUE"""),0.0)</f>
        <v>0</v>
      </c>
      <c r="O111" s="5">
        <f>IFERROR(__xludf.DUMMYFUNCTION("""COMPUTED_VALUE"""),0.0)</f>
        <v>0</v>
      </c>
      <c r="P111" s="4"/>
      <c r="Q111" s="4"/>
      <c r="R111" s="4"/>
      <c r="S111" s="3" t="str">
        <f>IFERROR(__xludf.DUMMYFUNCTION("""COMPUTED_VALUE"""),"Lunas")</f>
        <v>Lunas</v>
      </c>
      <c r="T111" s="6">
        <f t="shared" si="2"/>
        <v>46206</v>
      </c>
      <c r="U111" s="3" t="str">
        <f>IF(ISNA(vlookup(B111,DataExport!$D$2:$D$496,1,false)), "Belum", "Sudah")</f>
        <v>Belum</v>
      </c>
    </row>
    <row r="112">
      <c r="A112" s="3">
        <f t="shared" si="1"/>
        <v>111</v>
      </c>
      <c r="B112" s="4" t="str">
        <f>IFERROR(__xludf.DUMMYFUNCTION("""COMPUTED_VALUE"""),"NURUL SYARIFAH AMALIA")</f>
        <v>NURUL SYARIFAH AMALIA</v>
      </c>
      <c r="C112" s="3">
        <f>IFERROR(__xludf.DUMMYFUNCTION("""COMPUTED_VALUE"""),2.02407005E9)</f>
        <v>2024070050</v>
      </c>
      <c r="D112" s="3" t="str">
        <f>IFERROR(__xludf.DUMMYFUNCTION("""COMPUTED_VALUE"""),"C")</f>
        <v>C</v>
      </c>
      <c r="E112" s="3" t="str">
        <f>IFERROR(__xludf.DUMMYFUNCTION("""COMPUTED_VALUE"""),"C-8")</f>
        <v>C-8</v>
      </c>
      <c r="F112" s="3">
        <f>IFERROR(__xludf.DUMMYFUNCTION("""COMPUTED_VALUE"""),3.0)</f>
        <v>3</v>
      </c>
      <c r="G112" s="3"/>
      <c r="H112" s="3" t="str">
        <f>IFERROR(__xludf.DUMMYFUNCTION("""COMPUTED_VALUE"""),"MA-XII.2")</f>
        <v>MA-XII.2</v>
      </c>
      <c r="I112" s="4" t="str">
        <f>IFERROR(__xludf.DUMMYFUNCTION("""COMPUTED_VALUE"""),"MUSLIHATUN")</f>
        <v>MUSLIHATUN</v>
      </c>
      <c r="J112" s="4" t="str">
        <f>IFERROR(__xludf.DUMMYFUNCTION("""COMPUTED_VALUE"""),"SAWO RT 009 RW 005 DUKUN GRESIK")</f>
        <v>SAWO RT 009 RW 005 DUKUN GRESIK</v>
      </c>
      <c r="K112" s="4" t="str">
        <f>IFERROR(__xludf.DUMMYFUNCTION("""COMPUTED_VALUE"""),"6281554030081")</f>
        <v>6281554030081</v>
      </c>
      <c r="L112" s="5">
        <f>IFERROR(__xludf.DUMMYFUNCTION("""COMPUTED_VALUE"""),0.0)</f>
        <v>0</v>
      </c>
      <c r="M112" s="5">
        <f>IFERROR(__xludf.DUMMYFUNCTION("""COMPUTED_VALUE"""),0.0)</f>
        <v>0</v>
      </c>
      <c r="N112" s="5">
        <f>IFERROR(__xludf.DUMMYFUNCTION("""COMPUTED_VALUE"""),0.0)</f>
        <v>0</v>
      </c>
      <c r="O112" s="5">
        <f>IFERROR(__xludf.DUMMYFUNCTION("""COMPUTED_VALUE"""),0.0)</f>
        <v>0</v>
      </c>
      <c r="P112" s="4"/>
      <c r="Q112" s="4"/>
      <c r="R112" s="4"/>
      <c r="S112" s="3" t="str">
        <f>IFERROR(__xludf.DUMMYFUNCTION("""COMPUTED_VALUE"""),"Lunas")</f>
        <v>Lunas</v>
      </c>
      <c r="T112" s="6">
        <f t="shared" si="2"/>
        <v>46206</v>
      </c>
      <c r="U112" s="3" t="str">
        <f>IF(ISNA(vlookup(B112,DataExport!$D$2:$D$496,1,false)), "Belum", "Sudah")</f>
        <v>Belum</v>
      </c>
    </row>
    <row r="113">
      <c r="A113" s="3">
        <f t="shared" si="1"/>
        <v>112</v>
      </c>
      <c r="B113" s="4" t="str">
        <f>IFERROR(__xludf.DUMMYFUNCTION("""COMPUTED_VALUE"""),"PRADIPTA PUTRI ALIFIA")</f>
        <v>PRADIPTA PUTRI ALIFIA</v>
      </c>
      <c r="C113" s="3">
        <f>IFERROR(__xludf.DUMMYFUNCTION("""COMPUTED_VALUE"""),2.024070584E9)</f>
        <v>2024070584</v>
      </c>
      <c r="D113" s="3" t="str">
        <f>IFERROR(__xludf.DUMMYFUNCTION("""COMPUTED_VALUE"""),"C")</f>
        <v>C</v>
      </c>
      <c r="E113" s="3" t="str">
        <f>IFERROR(__xludf.DUMMYFUNCTION("""COMPUTED_VALUE"""),"C-13")</f>
        <v>C-13</v>
      </c>
      <c r="F113" s="3">
        <f>IFERROR(__xludf.DUMMYFUNCTION("""COMPUTED_VALUE"""),3.0)</f>
        <v>3</v>
      </c>
      <c r="G113" s="3" t="str">
        <f>IFERROR(__xludf.DUMMYFUNCTION("""COMPUTED_VALUE"""),"3 ULA A PUTRI")</f>
        <v>3 ULA A PUTRI</v>
      </c>
      <c r="H113" s="3" t="str">
        <f>IFERROR(__xludf.DUMMYFUNCTION("""COMPUTED_VALUE"""),"MTS-9 G")</f>
        <v>MTS-9 G</v>
      </c>
      <c r="I113" s="4" t="str">
        <f>IFERROR(__xludf.DUMMYFUNCTION("""COMPUTED_VALUE"""),"MU`ALIMAH")</f>
        <v>MU`ALIMAH</v>
      </c>
      <c r="J113" s="4" t="str">
        <f>IFERROR(__xludf.DUMMYFUNCTION("""COMPUTED_VALUE"""),"GETUNG TAWANGREJO RT 001 RW 001 TURI LAMONGAN")</f>
        <v>GETUNG TAWANGREJO RT 001 RW 001 TURI LAMONGAN</v>
      </c>
      <c r="K113" s="4" t="str">
        <f>IFERROR(__xludf.DUMMYFUNCTION("""COMPUTED_VALUE"""),"6287815912057")</f>
        <v>6287815912057</v>
      </c>
      <c r="L113" s="5">
        <f>IFERROR(__xludf.DUMMYFUNCTION("""COMPUTED_VALUE"""),0.0)</f>
        <v>0</v>
      </c>
      <c r="M113" s="5">
        <f>IFERROR(__xludf.DUMMYFUNCTION("""COMPUTED_VALUE"""),0.0)</f>
        <v>0</v>
      </c>
      <c r="N113" s="5">
        <f>IFERROR(__xludf.DUMMYFUNCTION("""COMPUTED_VALUE"""),0.0)</f>
        <v>0</v>
      </c>
      <c r="O113" s="5">
        <f>IFERROR(__xludf.DUMMYFUNCTION("""COMPUTED_VALUE"""),0.0)</f>
        <v>0</v>
      </c>
      <c r="P113" s="4"/>
      <c r="Q113" s="4"/>
      <c r="R113" s="4"/>
      <c r="S113" s="3" t="str">
        <f>IFERROR(__xludf.DUMMYFUNCTION("""COMPUTED_VALUE"""),"Lunas")</f>
        <v>Lunas</v>
      </c>
      <c r="T113" s="6">
        <f t="shared" si="2"/>
        <v>46206</v>
      </c>
      <c r="U113" s="3" t="str">
        <f>IF(ISNA(vlookup(B113,DataExport!$D$2:$D$496,1,false)), "Belum", "Sudah")</f>
        <v>Belum</v>
      </c>
    </row>
    <row r="114">
      <c r="A114" s="3">
        <f t="shared" si="1"/>
        <v>113</v>
      </c>
      <c r="B114" s="4" t="str">
        <f>IFERROR(__xludf.DUMMYFUNCTION("""COMPUTED_VALUE"""),"PRITA DEWI PUSPITA")</f>
        <v>PRITA DEWI PUSPITA</v>
      </c>
      <c r="C114" s="3">
        <f>IFERROR(__xludf.DUMMYFUNCTION("""COMPUTED_VALUE"""),2.024070358E9)</f>
        <v>2024070358</v>
      </c>
      <c r="D114" s="3" t="str">
        <f>IFERROR(__xludf.DUMMYFUNCTION("""COMPUTED_VALUE"""),"D")</f>
        <v>D</v>
      </c>
      <c r="E114" s="3" t="str">
        <f>IFERROR(__xludf.DUMMYFUNCTION("""COMPUTED_VALUE"""),"D-6")</f>
        <v>D-6</v>
      </c>
      <c r="F114" s="3">
        <f>IFERROR(__xludf.DUMMYFUNCTION("""COMPUTED_VALUE"""),3.0)</f>
        <v>3</v>
      </c>
      <c r="G114" s="3" t="str">
        <f>IFERROR(__xludf.DUMMYFUNCTION("""COMPUTED_VALUE"""),"3 WUSTHO C PUTRI")</f>
        <v>3 WUSTHO C PUTRI</v>
      </c>
      <c r="H114" s="3" t="str">
        <f>IFERROR(__xludf.DUMMYFUNCTION("""COMPUTED_VALUE"""),"MA-XII.11")</f>
        <v>MA-XII.11</v>
      </c>
      <c r="I114" s="4" t="str">
        <f>IFERROR(__xludf.DUMMYFUNCTION("""COMPUTED_VALUE"""),"SHOLIKHAH")</f>
        <v>SHOLIKHAH</v>
      </c>
      <c r="J114" s="4" t="str">
        <f>IFERROR(__xludf.DUMMYFUNCTION("""COMPUTED_VALUE"""),"KEDUNGKLANTING KEDUNGMEGARIH RT 017 RW 005 KEMBANGBAHU LAMONGAN")</f>
        <v>KEDUNGKLANTING KEDUNGMEGARIH RT 017 RW 005 KEMBANGBAHU LAMONGAN</v>
      </c>
      <c r="K114" s="4" t="str">
        <f>IFERROR(__xludf.DUMMYFUNCTION("""COMPUTED_VALUE"""),"6285785355522")</f>
        <v>6285785355522</v>
      </c>
      <c r="L114" s="5">
        <f>IFERROR(__xludf.DUMMYFUNCTION("""COMPUTED_VALUE"""),0.0)</f>
        <v>0</v>
      </c>
      <c r="M114" s="5">
        <f>IFERROR(__xludf.DUMMYFUNCTION("""COMPUTED_VALUE"""),0.0)</f>
        <v>0</v>
      </c>
      <c r="N114" s="5">
        <f>IFERROR(__xludf.DUMMYFUNCTION("""COMPUTED_VALUE"""),0.0)</f>
        <v>0</v>
      </c>
      <c r="O114" s="5">
        <f>IFERROR(__xludf.DUMMYFUNCTION("""COMPUTED_VALUE"""),0.0)</f>
        <v>0</v>
      </c>
      <c r="P114" s="4"/>
      <c r="Q114" s="4"/>
      <c r="R114" s="4"/>
      <c r="S114" s="3" t="str">
        <f>IFERROR(__xludf.DUMMYFUNCTION("""COMPUTED_VALUE"""),"Lunas")</f>
        <v>Lunas</v>
      </c>
      <c r="T114" s="6">
        <f t="shared" si="2"/>
        <v>46206</v>
      </c>
      <c r="U114" s="3" t="str">
        <f>IF(ISNA(vlookup(B114,DataExport!$D$2:$D$496,1,false)), "Belum", "Sudah")</f>
        <v>Belum</v>
      </c>
    </row>
    <row r="115">
      <c r="A115" s="3">
        <f t="shared" si="1"/>
        <v>114</v>
      </c>
      <c r="B115" s="4" t="str">
        <f>IFERROR(__xludf.DUMMYFUNCTION("""COMPUTED_VALUE"""),"PUTRI AYU RAMADHANI")</f>
        <v>PUTRI AYU RAMADHANI</v>
      </c>
      <c r="C115" s="3">
        <f>IFERROR(__xludf.DUMMYFUNCTION("""COMPUTED_VALUE"""),2.024070359E9)</f>
        <v>2024070359</v>
      </c>
      <c r="D115" s="3" t="str">
        <f>IFERROR(__xludf.DUMMYFUNCTION("""COMPUTED_VALUE"""),"D")</f>
        <v>D</v>
      </c>
      <c r="E115" s="3" t="str">
        <f>IFERROR(__xludf.DUMMYFUNCTION("""COMPUTED_VALUE"""),"D-6")</f>
        <v>D-6</v>
      </c>
      <c r="F115" s="3">
        <f>IFERROR(__xludf.DUMMYFUNCTION("""COMPUTED_VALUE"""),3.0)</f>
        <v>3</v>
      </c>
      <c r="G115" s="3" t="str">
        <f>IFERROR(__xludf.DUMMYFUNCTION("""COMPUTED_VALUE"""),"3 WUSTHO C PUTRI")</f>
        <v>3 WUSTHO C PUTRI</v>
      </c>
      <c r="H115" s="3" t="str">
        <f>IFERROR(__xludf.DUMMYFUNCTION("""COMPUTED_VALUE"""),"MA-XII.11")</f>
        <v>MA-XII.11</v>
      </c>
      <c r="I115" s="4" t="str">
        <f>IFERROR(__xludf.DUMMYFUNCTION("""COMPUTED_VALUE"""),"ROHAH")</f>
        <v>ROHAH</v>
      </c>
      <c r="J115" s="4" t="str">
        <f>IFERROR(__xludf.DUMMYFUNCTION("""COMPUTED_VALUE"""),"KEDUNGGLONGGONG SIDOMUKTI RT 003 RW 001 KEMBANGBAHU LAMONGAN")</f>
        <v>KEDUNGGLONGGONG SIDOMUKTI RT 003 RW 001 KEMBANGBAHU LAMONGAN</v>
      </c>
      <c r="K115" s="4" t="str">
        <f>IFERROR(__xludf.DUMMYFUNCTION("""COMPUTED_VALUE"""),"6285706372425")</f>
        <v>6285706372425</v>
      </c>
      <c r="L115" s="5">
        <f>IFERROR(__xludf.DUMMYFUNCTION("""COMPUTED_VALUE"""),0.0)</f>
        <v>0</v>
      </c>
      <c r="M115" s="5">
        <f>IFERROR(__xludf.DUMMYFUNCTION("""COMPUTED_VALUE"""),0.0)</f>
        <v>0</v>
      </c>
      <c r="N115" s="5">
        <f>IFERROR(__xludf.DUMMYFUNCTION("""COMPUTED_VALUE"""),0.0)</f>
        <v>0</v>
      </c>
      <c r="O115" s="5">
        <f>IFERROR(__xludf.DUMMYFUNCTION("""COMPUTED_VALUE"""),0.0)</f>
        <v>0</v>
      </c>
      <c r="P115" s="4"/>
      <c r="Q115" s="4"/>
      <c r="R115" s="4"/>
      <c r="S115" s="3" t="str">
        <f>IFERROR(__xludf.DUMMYFUNCTION("""COMPUTED_VALUE"""),"Lunas")</f>
        <v>Lunas</v>
      </c>
      <c r="T115" s="6">
        <f t="shared" si="2"/>
        <v>46206</v>
      </c>
      <c r="U115" s="3" t="str">
        <f>IF(ISNA(vlookup(B115,DataExport!$D$2:$D$496,1,false)), "Belum", "Sudah")</f>
        <v>Belum</v>
      </c>
    </row>
    <row r="116">
      <c r="A116" s="3">
        <f t="shared" si="1"/>
        <v>115</v>
      </c>
      <c r="B116" s="4" t="str">
        <f>IFERROR(__xludf.DUMMYFUNCTION("""COMPUTED_VALUE"""),"PUTRI FARHANA AMALIA")</f>
        <v>PUTRI FARHANA AMALIA</v>
      </c>
      <c r="C116" s="3">
        <f>IFERROR(__xludf.DUMMYFUNCTION("""COMPUTED_VALUE"""),2.024070084E9)</f>
        <v>2024070084</v>
      </c>
      <c r="D116" s="3" t="str">
        <f>IFERROR(__xludf.DUMMYFUNCTION("""COMPUTED_VALUE"""),"B")</f>
        <v>B</v>
      </c>
      <c r="E116" s="3" t="str">
        <f>IFERROR(__xludf.DUMMYFUNCTION("""COMPUTED_VALUE"""),"B-5")</f>
        <v>B-5</v>
      </c>
      <c r="F116" s="3">
        <f>IFERROR(__xludf.DUMMYFUNCTION("""COMPUTED_VALUE"""),3.0)</f>
        <v>3</v>
      </c>
      <c r="G116" s="3" t="str">
        <f>IFERROR(__xludf.DUMMYFUNCTION("""COMPUTED_VALUE"""),"3 WUSTHO B PUTRI")</f>
        <v>3 WUSTHO B PUTRI</v>
      </c>
      <c r="H116" s="3" t="str">
        <f>IFERROR(__xludf.DUMMYFUNCTION("""COMPUTED_VALUE"""),"MA-XII.3")</f>
        <v>MA-XII.3</v>
      </c>
      <c r="I116" s="4" t="str">
        <f>IFERROR(__xludf.DUMMYFUNCTION("""COMPUTED_VALUE"""),"SUNDARTI")</f>
        <v>SUNDARTI</v>
      </c>
      <c r="J116" s="4" t="str">
        <f>IFERROR(__xludf.DUMMYFUNCTION("""COMPUTED_VALUE"""),"TENGGULUN RT 003 RW 002 SOLOKURO LAMONGAN")</f>
        <v>TENGGULUN RT 003 RW 002 SOLOKURO LAMONGAN</v>
      </c>
      <c r="K116" s="4" t="str">
        <f>IFERROR(__xludf.DUMMYFUNCTION("""COMPUTED_VALUE"""),"6282245431749")</f>
        <v>6282245431749</v>
      </c>
      <c r="L116" s="5">
        <f>IFERROR(__xludf.DUMMYFUNCTION("""COMPUTED_VALUE"""),0.0)</f>
        <v>0</v>
      </c>
      <c r="M116" s="5">
        <f>IFERROR(__xludf.DUMMYFUNCTION("""COMPUTED_VALUE"""),0.0)</f>
        <v>0</v>
      </c>
      <c r="N116" s="5">
        <f>IFERROR(__xludf.DUMMYFUNCTION("""COMPUTED_VALUE"""),0.0)</f>
        <v>0</v>
      </c>
      <c r="O116" s="5">
        <f>IFERROR(__xludf.DUMMYFUNCTION("""COMPUTED_VALUE"""),0.0)</f>
        <v>0</v>
      </c>
      <c r="P116" s="4"/>
      <c r="Q116" s="4"/>
      <c r="R116" s="4"/>
      <c r="S116" s="3" t="str">
        <f>IFERROR(__xludf.DUMMYFUNCTION("""COMPUTED_VALUE"""),"Lunas")</f>
        <v>Lunas</v>
      </c>
      <c r="T116" s="6">
        <f t="shared" si="2"/>
        <v>46206</v>
      </c>
      <c r="U116" s="3" t="str">
        <f>IF(ISNA(vlookup(B116,DataExport!$D$2:$D$496,1,false)), "Belum", "Sudah")</f>
        <v>Belum</v>
      </c>
    </row>
    <row r="117">
      <c r="A117" s="3">
        <f t="shared" si="1"/>
        <v>116</v>
      </c>
      <c r="B117" s="4" t="str">
        <f>IFERROR(__xludf.DUMMYFUNCTION("""COMPUTED_VALUE"""),"QUEENSHA ALEA ARSYILA")</f>
        <v>QUEENSHA ALEA ARSYILA</v>
      </c>
      <c r="C117" s="3">
        <f>IFERROR(__xludf.DUMMYFUNCTION("""COMPUTED_VALUE"""),2.024070526E9)</f>
        <v>2024070526</v>
      </c>
      <c r="D117" s="3" t="str">
        <f>IFERROR(__xludf.DUMMYFUNCTION("""COMPUTED_VALUE"""),"C")</f>
        <v>C</v>
      </c>
      <c r="E117" s="3" t="str">
        <f>IFERROR(__xludf.DUMMYFUNCTION("""COMPUTED_VALUE"""),"C-12")</f>
        <v>C-12</v>
      </c>
      <c r="F117" s="3">
        <f>IFERROR(__xludf.DUMMYFUNCTION("""COMPUTED_VALUE"""),3.0)</f>
        <v>3</v>
      </c>
      <c r="G117" s="3" t="str">
        <f>IFERROR(__xludf.DUMMYFUNCTION("""COMPUTED_VALUE"""),"3 ULA A PUTRI")</f>
        <v>3 ULA A PUTRI</v>
      </c>
      <c r="H117" s="3" t="str">
        <f>IFERROR(__xludf.DUMMYFUNCTION("""COMPUTED_VALUE"""),"MTS-9 D")</f>
        <v>MTS-9 D</v>
      </c>
      <c r="I117" s="4" t="str">
        <f>IFERROR(__xludf.DUMMYFUNCTION("""COMPUTED_VALUE"""),"TANTI YUNI MUSFITA")</f>
        <v>TANTI YUNI MUSFITA</v>
      </c>
      <c r="J117" s="4" t="str">
        <f>IFERROR(__xludf.DUMMYFUNCTION("""COMPUTED_VALUE"""),"KRAJAN SUKOBENDU RT 003 RW 005 MANTUP LAMONGAN")</f>
        <v>KRAJAN SUKOBENDU RT 003 RW 005 MANTUP LAMONGAN</v>
      </c>
      <c r="K117" s="4" t="str">
        <f>IFERROR(__xludf.DUMMYFUNCTION("""COMPUTED_VALUE"""),"6285732838577")</f>
        <v>6285732838577</v>
      </c>
      <c r="L117" s="5">
        <f>IFERROR(__xludf.DUMMYFUNCTION("""COMPUTED_VALUE"""),0.0)</f>
        <v>0</v>
      </c>
      <c r="M117" s="5">
        <f>IFERROR(__xludf.DUMMYFUNCTION("""COMPUTED_VALUE"""),0.0)</f>
        <v>0</v>
      </c>
      <c r="N117" s="5">
        <f>IFERROR(__xludf.DUMMYFUNCTION("""COMPUTED_VALUE"""),0.0)</f>
        <v>0</v>
      </c>
      <c r="O117" s="5">
        <f>IFERROR(__xludf.DUMMYFUNCTION("""COMPUTED_VALUE"""),0.0)</f>
        <v>0</v>
      </c>
      <c r="P117" s="4"/>
      <c r="Q117" s="4"/>
      <c r="R117" s="4"/>
      <c r="S117" s="3" t="str">
        <f>IFERROR(__xludf.DUMMYFUNCTION("""COMPUTED_VALUE"""),"Lunas")</f>
        <v>Lunas</v>
      </c>
      <c r="T117" s="6">
        <f t="shared" si="2"/>
        <v>46206</v>
      </c>
      <c r="U117" s="3" t="str">
        <f>IF(ISNA(vlookup(B117,DataExport!$D$2:$D$496,1,false)), "Belum", "Sudah")</f>
        <v>Belum</v>
      </c>
    </row>
    <row r="118">
      <c r="A118" s="3">
        <f t="shared" si="1"/>
        <v>117</v>
      </c>
      <c r="B118" s="4" t="str">
        <f>IFERROR(__xludf.DUMMYFUNCTION("""COMPUTED_VALUE"""),"RAFIQA AZALIANA YUSUF")</f>
        <v>RAFIQA AZALIANA YUSUF</v>
      </c>
      <c r="C118" s="3">
        <f>IFERROR(__xludf.DUMMYFUNCTION("""COMPUTED_VALUE"""),2.024070481E9)</f>
        <v>2024070481</v>
      </c>
      <c r="D118" s="3" t="str">
        <f>IFERROR(__xludf.DUMMYFUNCTION("""COMPUTED_VALUE"""),"E")</f>
        <v>E</v>
      </c>
      <c r="E118" s="3" t="str">
        <f>IFERROR(__xludf.DUMMYFUNCTION("""COMPUTED_VALUE"""),"E-3")</f>
        <v>E-3</v>
      </c>
      <c r="F118" s="3">
        <f>IFERROR(__xludf.DUMMYFUNCTION("""COMPUTED_VALUE"""),3.0)</f>
        <v>3</v>
      </c>
      <c r="G118" s="3" t="str">
        <f>IFERROR(__xludf.DUMMYFUNCTION("""COMPUTED_VALUE"""),"3 ULA A PUTRI")</f>
        <v>3 ULA A PUTRI</v>
      </c>
      <c r="H118" s="3" t="str">
        <f>IFERROR(__xludf.DUMMYFUNCTION("""COMPUTED_VALUE"""),"MTS-9 C")</f>
        <v>MTS-9 C</v>
      </c>
      <c r="I118" s="4" t="str">
        <f>IFERROR(__xludf.DUMMYFUNCTION("""COMPUTED_VALUE"""),"HENIK IRAWATI")</f>
        <v>HENIK IRAWATI</v>
      </c>
      <c r="J118" s="4" t="str">
        <f>IFERROR(__xludf.DUMMYFUNCTION("""COMPUTED_VALUE"""),"JL.SISINGAMANGARAJA LRG. VIRGO NO.4 BESUSU TIMUR RT 001 RW 001 PALU TIMUR PALU")</f>
        <v>JL.SISINGAMANGARAJA LRG. VIRGO NO.4 BESUSU TIMUR RT 001 RW 001 PALU TIMUR PALU</v>
      </c>
      <c r="K118" s="4" t="str">
        <f>IFERROR(__xludf.DUMMYFUNCTION("""COMPUTED_VALUE"""),"6281337240354")</f>
        <v>6281337240354</v>
      </c>
      <c r="L118" s="5">
        <f>IFERROR(__xludf.DUMMYFUNCTION("""COMPUTED_VALUE"""),0.0)</f>
        <v>0</v>
      </c>
      <c r="M118" s="5">
        <f>IFERROR(__xludf.DUMMYFUNCTION("""COMPUTED_VALUE"""),0.0)</f>
        <v>0</v>
      </c>
      <c r="N118" s="5">
        <f>IFERROR(__xludf.DUMMYFUNCTION("""COMPUTED_VALUE"""),0.0)</f>
        <v>0</v>
      </c>
      <c r="O118" s="5">
        <f>IFERROR(__xludf.DUMMYFUNCTION("""COMPUTED_VALUE"""),0.0)</f>
        <v>0</v>
      </c>
      <c r="P118" s="4"/>
      <c r="Q118" s="4"/>
      <c r="R118" s="4"/>
      <c r="S118" s="3" t="str">
        <f>IFERROR(__xludf.DUMMYFUNCTION("""COMPUTED_VALUE"""),"Lunas")</f>
        <v>Lunas</v>
      </c>
      <c r="T118" s="6">
        <f t="shared" si="2"/>
        <v>46206</v>
      </c>
      <c r="U118" s="3" t="str">
        <f>IF(ISNA(vlookup(B118,DataExport!$D$2:$D$496,1,false)), "Belum", "Sudah")</f>
        <v>Belum</v>
      </c>
    </row>
    <row r="119">
      <c r="A119" s="3">
        <f t="shared" si="1"/>
        <v>118</v>
      </c>
      <c r="B119" s="4" t="str">
        <f>IFERROR(__xludf.DUMMYFUNCTION("""COMPUTED_VALUE"""),"RAHMAT NURRUZAMAN AL ALI")</f>
        <v>RAHMAT NURRUZAMAN AL ALI</v>
      </c>
      <c r="C119" s="3">
        <f>IFERROR(__xludf.DUMMYFUNCTION("""COMPUTED_VALUE"""),2.02407018E9)</f>
        <v>2024070180</v>
      </c>
      <c r="D119" s="3" t="str">
        <f>IFERROR(__xludf.DUMMYFUNCTION("""COMPUTED_VALUE"""),"A")</f>
        <v>A</v>
      </c>
      <c r="E119" s="3" t="str">
        <f>IFERROR(__xludf.DUMMYFUNCTION("""COMPUTED_VALUE"""),"A-2")</f>
        <v>A-2</v>
      </c>
      <c r="F119" s="3">
        <f>IFERROR(__xludf.DUMMYFUNCTION("""COMPUTED_VALUE"""),3.0)</f>
        <v>3</v>
      </c>
      <c r="G119" s="3" t="str">
        <f>IFERROR(__xludf.DUMMYFUNCTION("""COMPUTED_VALUE"""),"3 WUSTHO PUTRA")</f>
        <v>3 WUSTHO PUTRA</v>
      </c>
      <c r="H119" s="3" t="str">
        <f>IFERROR(__xludf.DUMMYFUNCTION("""COMPUTED_VALUE"""),"MA-XII.5")</f>
        <v>MA-XII.5</v>
      </c>
      <c r="I119" s="4" t="str">
        <f>IFERROR(__xludf.DUMMYFUNCTION("""COMPUTED_VALUE"""),"SITI MAIDAH")</f>
        <v>SITI MAIDAH</v>
      </c>
      <c r="J119" s="4" t="str">
        <f>IFERROR(__xludf.DUMMYFUNCTION("""COMPUTED_VALUE"""),"PUCANGRO RT 1 RW 1 KALITENGAH LAMONGAN")</f>
        <v>PUCANGRO RT 1 RW 1 KALITENGAH LAMONGAN</v>
      </c>
      <c r="K119" s="4" t="str">
        <f>IFERROR(__xludf.DUMMYFUNCTION("""COMPUTED_VALUE"""),"62895605958887")</f>
        <v>62895605958887</v>
      </c>
      <c r="L119" s="5">
        <f>IFERROR(__xludf.DUMMYFUNCTION("""COMPUTED_VALUE"""),0.0)</f>
        <v>0</v>
      </c>
      <c r="M119" s="5">
        <f>IFERROR(__xludf.DUMMYFUNCTION("""COMPUTED_VALUE"""),0.0)</f>
        <v>0</v>
      </c>
      <c r="N119" s="5">
        <f>IFERROR(__xludf.DUMMYFUNCTION("""COMPUTED_VALUE"""),0.0)</f>
        <v>0</v>
      </c>
      <c r="O119" s="5">
        <f>IFERROR(__xludf.DUMMYFUNCTION("""COMPUTED_VALUE"""),0.0)</f>
        <v>0</v>
      </c>
      <c r="P119" s="4"/>
      <c r="Q119" s="4"/>
      <c r="R119" s="4"/>
      <c r="S119" s="3" t="str">
        <f>IFERROR(__xludf.DUMMYFUNCTION("""COMPUTED_VALUE"""),"Lunas")</f>
        <v>Lunas</v>
      </c>
      <c r="T119" s="6">
        <f t="shared" si="2"/>
        <v>46206</v>
      </c>
      <c r="U119" s="3" t="str">
        <f>IF(ISNA(vlookup(B119,DataExport!$D$2:$D$496,1,false)), "Belum", "Sudah")</f>
        <v>Belum</v>
      </c>
    </row>
    <row r="120">
      <c r="A120" s="3">
        <f t="shared" si="1"/>
        <v>119</v>
      </c>
      <c r="B120" s="4" t="str">
        <f>IFERROR(__xludf.DUMMYFUNCTION("""COMPUTED_VALUE"""),"RAIHAN DWI WIRATAMA")</f>
        <v>RAIHAN DWI WIRATAMA</v>
      </c>
      <c r="C120" s="3">
        <f>IFERROR(__xludf.DUMMYFUNCTION("""COMPUTED_VALUE"""),2.024070478E9)</f>
        <v>2024070478</v>
      </c>
      <c r="D120" s="3" t="str">
        <f>IFERROR(__xludf.DUMMYFUNCTION("""COMPUTED_VALUE"""),"A")</f>
        <v>A</v>
      </c>
      <c r="E120" s="3" t="str">
        <f>IFERROR(__xludf.DUMMYFUNCTION("""COMPUTED_VALUE"""),"A-8")</f>
        <v>A-8</v>
      </c>
      <c r="F120" s="3">
        <f>IFERROR(__xludf.DUMMYFUNCTION("""COMPUTED_VALUE"""),3.0)</f>
        <v>3</v>
      </c>
      <c r="G120" s="3" t="str">
        <f>IFERROR(__xludf.DUMMYFUNCTION("""COMPUTED_VALUE"""),"3 ULA A PUTRA")</f>
        <v>3 ULA A PUTRA</v>
      </c>
      <c r="H120" s="3" t="str">
        <f>IFERROR(__xludf.DUMMYFUNCTION("""COMPUTED_VALUE"""),"MTS-9 E")</f>
        <v>MTS-9 E</v>
      </c>
      <c r="I120" s="4" t="str">
        <f>IFERROR(__xludf.DUMMYFUNCTION("""COMPUTED_VALUE"""),"ANI FATEMAHWATI")</f>
        <v>ANI FATEMAHWATI</v>
      </c>
      <c r="J120" s="4" t="str">
        <f>IFERROR(__xludf.DUMMYFUNCTION("""COMPUTED_VALUE"""),"BLANGIT KARANGLANGIT RT 001 RW 002 LAMONGAN LAMONGAN")</f>
        <v>BLANGIT KARANGLANGIT RT 001 RW 002 LAMONGAN LAMONGAN</v>
      </c>
      <c r="K120" s="4" t="str">
        <f>IFERROR(__xludf.DUMMYFUNCTION("""COMPUTED_VALUE"""),"6282337249449")</f>
        <v>6282337249449</v>
      </c>
      <c r="L120" s="5">
        <f>IFERROR(__xludf.DUMMYFUNCTION("""COMPUTED_VALUE"""),0.0)</f>
        <v>0</v>
      </c>
      <c r="M120" s="5">
        <f>IFERROR(__xludf.DUMMYFUNCTION("""COMPUTED_VALUE"""),0.0)</f>
        <v>0</v>
      </c>
      <c r="N120" s="5">
        <f>IFERROR(__xludf.DUMMYFUNCTION("""COMPUTED_VALUE"""),0.0)</f>
        <v>0</v>
      </c>
      <c r="O120" s="5">
        <f>IFERROR(__xludf.DUMMYFUNCTION("""COMPUTED_VALUE"""),0.0)</f>
        <v>0</v>
      </c>
      <c r="P120" s="4"/>
      <c r="Q120" s="4"/>
      <c r="R120" s="4"/>
      <c r="S120" s="3" t="str">
        <f>IFERROR(__xludf.DUMMYFUNCTION("""COMPUTED_VALUE"""),"Lunas")</f>
        <v>Lunas</v>
      </c>
      <c r="T120" s="6">
        <f t="shared" si="2"/>
        <v>46206</v>
      </c>
      <c r="U120" s="3" t="str">
        <f>IF(ISNA(vlookup(B120,DataExport!$D$2:$D$496,1,false)), "Belum", "Sudah")</f>
        <v>Belum</v>
      </c>
    </row>
    <row r="121">
      <c r="A121" s="3">
        <f t="shared" si="1"/>
        <v>120</v>
      </c>
      <c r="B121" s="4" t="str">
        <f>IFERROR(__xludf.DUMMYFUNCTION("""COMPUTED_VALUE"""),"RAUFA IKHSANUL ALIM")</f>
        <v>RAUFA IKHSANUL ALIM</v>
      </c>
      <c r="C121" s="3">
        <f>IFERROR(__xludf.DUMMYFUNCTION("""COMPUTED_VALUE"""),2.024070587E9)</f>
        <v>2024070587</v>
      </c>
      <c r="D121" s="3" t="str">
        <f>IFERROR(__xludf.DUMMYFUNCTION("""COMPUTED_VALUE"""),"A")</f>
        <v>A</v>
      </c>
      <c r="E121" s="3" t="str">
        <f>IFERROR(__xludf.DUMMYFUNCTION("""COMPUTED_VALUE"""),"A-7")</f>
        <v>A-7</v>
      </c>
      <c r="F121" s="3">
        <f>IFERROR(__xludf.DUMMYFUNCTION("""COMPUTED_VALUE"""),3.0)</f>
        <v>3</v>
      </c>
      <c r="G121" s="3" t="str">
        <f>IFERROR(__xludf.DUMMYFUNCTION("""COMPUTED_VALUE"""),"3 ULA B PUTRA")</f>
        <v>3 ULA B PUTRA</v>
      </c>
      <c r="H121" s="3" t="str">
        <f>IFERROR(__xludf.DUMMYFUNCTION("""COMPUTED_VALUE"""),"MTS-9 A")</f>
        <v>MTS-9 A</v>
      </c>
      <c r="I121" s="4" t="str">
        <f>IFERROR(__xludf.DUMMYFUNCTION("""COMPUTED_VALUE"""),"VIRGARIA SRI PURNAMAWATIK")</f>
        <v>VIRGARIA SRI PURNAMAWATIK</v>
      </c>
      <c r="J121" s="4" t="str">
        <f>IFERROR(__xludf.DUMMYFUNCTION("""COMPUTED_VALUE"""),"BANJARAN TURI RT 005 RW 002 MADURAN LAMONGAN")</f>
        <v>BANJARAN TURI RT 005 RW 002 MADURAN LAMONGAN</v>
      </c>
      <c r="K121" s="4" t="str">
        <f>IFERROR(__xludf.DUMMYFUNCTION("""COMPUTED_VALUE"""),"6285815312298")</f>
        <v>6285815312298</v>
      </c>
      <c r="L121" s="5">
        <f>IFERROR(__xludf.DUMMYFUNCTION("""COMPUTED_VALUE"""),0.0)</f>
        <v>0</v>
      </c>
      <c r="M121" s="5">
        <f>IFERROR(__xludf.DUMMYFUNCTION("""COMPUTED_VALUE"""),0.0)</f>
        <v>0</v>
      </c>
      <c r="N121" s="5">
        <f>IFERROR(__xludf.DUMMYFUNCTION("""COMPUTED_VALUE"""),0.0)</f>
        <v>0</v>
      </c>
      <c r="O121" s="5">
        <f>IFERROR(__xludf.DUMMYFUNCTION("""COMPUTED_VALUE"""),0.0)</f>
        <v>0</v>
      </c>
      <c r="P121" s="4"/>
      <c r="Q121" s="4"/>
      <c r="R121" s="4"/>
      <c r="S121" s="3" t="str">
        <f>IFERROR(__xludf.DUMMYFUNCTION("""COMPUTED_VALUE"""),"Lunas")</f>
        <v>Lunas</v>
      </c>
      <c r="T121" s="6">
        <f t="shared" si="2"/>
        <v>46206</v>
      </c>
      <c r="U121" s="3" t="str">
        <f>IF(ISNA(vlookup(B121,DataExport!$D$2:$D$496,1,false)), "Belum", "Sudah")</f>
        <v>Belum</v>
      </c>
    </row>
    <row r="122">
      <c r="A122" s="3">
        <f t="shared" si="1"/>
        <v>121</v>
      </c>
      <c r="B122" s="4" t="str">
        <f>IFERROR(__xludf.DUMMYFUNCTION("""COMPUTED_VALUE"""),"RIDHO BINTANG PAMUNGKAS")</f>
        <v>RIDHO BINTANG PAMUNGKAS</v>
      </c>
      <c r="C122" s="3">
        <f>IFERROR(__xludf.DUMMYFUNCTION("""COMPUTED_VALUE"""),2.024070181E9)</f>
        <v>2024070181</v>
      </c>
      <c r="D122" s="3" t="str">
        <f>IFERROR(__xludf.DUMMYFUNCTION("""COMPUTED_VALUE"""),"A")</f>
        <v>A</v>
      </c>
      <c r="E122" s="3" t="str">
        <f>IFERROR(__xludf.DUMMYFUNCTION("""COMPUTED_VALUE"""),"A-10")</f>
        <v>A-10</v>
      </c>
      <c r="F122" s="3">
        <f>IFERROR(__xludf.DUMMYFUNCTION("""COMPUTED_VALUE"""),3.0)</f>
        <v>3</v>
      </c>
      <c r="G122" s="3" t="str">
        <f>IFERROR(__xludf.DUMMYFUNCTION("""COMPUTED_VALUE"""),"3 WUSTHO PUTRA")</f>
        <v>3 WUSTHO PUTRA</v>
      </c>
      <c r="H122" s="3" t="str">
        <f>IFERROR(__xludf.DUMMYFUNCTION("""COMPUTED_VALUE"""),"MA-XII.5")</f>
        <v>MA-XII.5</v>
      </c>
      <c r="I122" s="4" t="str">
        <f>IFERROR(__xludf.DUMMYFUNCTION("""COMPUTED_VALUE"""),"SITI FATIMAH")</f>
        <v>SITI FATIMAH</v>
      </c>
      <c r="J122" s="4" t="str">
        <f>IFERROR(__xludf.DUMMYFUNCTION("""COMPUTED_VALUE"""),"PETIYIN TAKERHARJO RT 002 RW 005 SOLOKURO LAMONGAN")</f>
        <v>PETIYIN TAKERHARJO RT 002 RW 005 SOLOKURO LAMONGAN</v>
      </c>
      <c r="K122" s="4" t="str">
        <f>IFERROR(__xludf.DUMMYFUNCTION("""COMPUTED_VALUE"""),"6285732113931")</f>
        <v>6285732113931</v>
      </c>
      <c r="L122" s="5">
        <f>IFERROR(__xludf.DUMMYFUNCTION("""COMPUTED_VALUE"""),0.0)</f>
        <v>0</v>
      </c>
      <c r="M122" s="5">
        <f>IFERROR(__xludf.DUMMYFUNCTION("""COMPUTED_VALUE"""),0.0)</f>
        <v>0</v>
      </c>
      <c r="N122" s="5">
        <f>IFERROR(__xludf.DUMMYFUNCTION("""COMPUTED_VALUE"""),0.0)</f>
        <v>0</v>
      </c>
      <c r="O122" s="5">
        <f>IFERROR(__xludf.DUMMYFUNCTION("""COMPUTED_VALUE"""),0.0)</f>
        <v>0</v>
      </c>
      <c r="P122" s="4"/>
      <c r="Q122" s="4"/>
      <c r="R122" s="4"/>
      <c r="S122" s="3" t="str">
        <f>IFERROR(__xludf.DUMMYFUNCTION("""COMPUTED_VALUE"""),"Lunas")</f>
        <v>Lunas</v>
      </c>
      <c r="T122" s="6">
        <f t="shared" si="2"/>
        <v>46206</v>
      </c>
      <c r="U122" s="3" t="str">
        <f>IF(ISNA(vlookup(B122,DataExport!$D$2:$D$496,1,false)), "Belum", "Sudah")</f>
        <v>Belum</v>
      </c>
    </row>
    <row r="123">
      <c r="A123" s="3">
        <f t="shared" si="1"/>
        <v>122</v>
      </c>
      <c r="B123" s="4" t="str">
        <f>IFERROR(__xludf.DUMMYFUNCTION("""COMPUTED_VALUE"""),"RIJALU FACHRI NA`IM")</f>
        <v>RIJALU FACHRI NA`IM</v>
      </c>
      <c r="C123" s="3">
        <f>IFERROR(__xludf.DUMMYFUNCTION("""COMPUTED_VALUE"""),2.024070099E9)</f>
        <v>2024070099</v>
      </c>
      <c r="D123" s="3" t="str">
        <f>IFERROR(__xludf.DUMMYFUNCTION("""COMPUTED_VALUE"""),"A")</f>
        <v>A</v>
      </c>
      <c r="E123" s="3" t="str">
        <f>IFERROR(__xludf.DUMMYFUNCTION("""COMPUTED_VALUE"""),"A-10")</f>
        <v>A-10</v>
      </c>
      <c r="F123" s="3">
        <f>IFERROR(__xludf.DUMMYFUNCTION("""COMPUTED_VALUE"""),3.0)</f>
        <v>3</v>
      </c>
      <c r="G123" s="3" t="str">
        <f>IFERROR(__xludf.DUMMYFUNCTION("""COMPUTED_VALUE"""),"3 WUSTHO PUTRA")</f>
        <v>3 WUSTHO PUTRA</v>
      </c>
      <c r="H123" s="3" t="str">
        <f>IFERROR(__xludf.DUMMYFUNCTION("""COMPUTED_VALUE"""),"MA-XII.4")</f>
        <v>MA-XII.4</v>
      </c>
      <c r="I123" s="4" t="str">
        <f>IFERROR(__xludf.DUMMYFUNCTION("""COMPUTED_VALUE"""),"RIZKUL MAFTUHAH")</f>
        <v>RIZKUL MAFTUHAH</v>
      </c>
      <c r="J123" s="4" t="str">
        <f>IFERROR(__xludf.DUMMYFUNCTION("""COMPUTED_VALUE"""),"GENENG INDAH RT 5 RW 8 BRONDONG LAMONGAN")</f>
        <v>GENENG INDAH RT 5 RW 8 BRONDONG LAMONGAN</v>
      </c>
      <c r="K123" s="4" t="str">
        <f>IFERROR(__xludf.DUMMYFUNCTION("""COMPUTED_VALUE"""),"6281333389848")</f>
        <v>6281333389848</v>
      </c>
      <c r="L123" s="5">
        <f>IFERROR(__xludf.DUMMYFUNCTION("""COMPUTED_VALUE"""),0.0)</f>
        <v>0</v>
      </c>
      <c r="M123" s="5">
        <f>IFERROR(__xludf.DUMMYFUNCTION("""COMPUTED_VALUE"""),0.0)</f>
        <v>0</v>
      </c>
      <c r="N123" s="5">
        <f>IFERROR(__xludf.DUMMYFUNCTION("""COMPUTED_VALUE"""),0.0)</f>
        <v>0</v>
      </c>
      <c r="O123" s="5">
        <f>IFERROR(__xludf.DUMMYFUNCTION("""COMPUTED_VALUE"""),0.0)</f>
        <v>0</v>
      </c>
      <c r="P123" s="4"/>
      <c r="Q123" s="4"/>
      <c r="R123" s="4"/>
      <c r="S123" s="3" t="str">
        <f>IFERROR(__xludf.DUMMYFUNCTION("""COMPUTED_VALUE"""),"Lunas")</f>
        <v>Lunas</v>
      </c>
      <c r="T123" s="6">
        <f t="shared" si="2"/>
        <v>46206</v>
      </c>
      <c r="U123" s="3" t="str">
        <f>IF(ISNA(vlookup(B123,DataExport!$D$2:$D$496,1,false)), "Belum", "Sudah")</f>
        <v>Belum</v>
      </c>
    </row>
    <row r="124">
      <c r="A124" s="3">
        <f t="shared" si="1"/>
        <v>123</v>
      </c>
      <c r="B124" s="4" t="str">
        <f>IFERROR(__xludf.DUMMYFUNCTION("""COMPUTED_VALUE"""),"RIZQINA AYU CAHYA KAMILA")</f>
        <v>RIZQINA AYU CAHYA KAMILA</v>
      </c>
      <c r="C124" s="3">
        <f>IFERROR(__xludf.DUMMYFUNCTION("""COMPUTED_VALUE"""),2.024070594E9)</f>
        <v>2024070594</v>
      </c>
      <c r="D124" s="3" t="str">
        <f>IFERROR(__xludf.DUMMYFUNCTION("""COMPUTED_VALUE"""),"D")</f>
        <v>D</v>
      </c>
      <c r="E124" s="3" t="str">
        <f>IFERROR(__xludf.DUMMYFUNCTION("""COMPUTED_VALUE"""),"D-4")</f>
        <v>D-4</v>
      </c>
      <c r="F124" s="3">
        <f>IFERROR(__xludf.DUMMYFUNCTION("""COMPUTED_VALUE"""),3.0)</f>
        <v>3</v>
      </c>
      <c r="G124" s="3" t="str">
        <f>IFERROR(__xludf.DUMMYFUNCTION("""COMPUTED_VALUE"""),"3 ULA A PUTRI")</f>
        <v>3 ULA A PUTRI</v>
      </c>
      <c r="H124" s="3" t="str">
        <f>IFERROR(__xludf.DUMMYFUNCTION("""COMPUTED_VALUE"""),"MTS-9 B")</f>
        <v>MTS-9 B</v>
      </c>
      <c r="I124" s="4" t="str">
        <f>IFERROR(__xludf.DUMMYFUNCTION("""COMPUTED_VALUE"""),"MUHAIMINAH")</f>
        <v>MUHAIMINAH</v>
      </c>
      <c r="J124" s="4" t="str">
        <f>IFERROR(__xludf.DUMMYFUNCTION("""COMPUTED_VALUE"""),"GLUMO JELAKCATUR RT 002 RW 005 KALITENGAH LAMONGAN")</f>
        <v>GLUMO JELAKCATUR RT 002 RW 005 KALITENGAH LAMONGAN</v>
      </c>
      <c r="K124" s="4" t="str">
        <f>IFERROR(__xludf.DUMMYFUNCTION("""COMPUTED_VALUE"""),"6285746855951")</f>
        <v>6285746855951</v>
      </c>
      <c r="L124" s="5">
        <f>IFERROR(__xludf.DUMMYFUNCTION("""COMPUTED_VALUE"""),0.0)</f>
        <v>0</v>
      </c>
      <c r="M124" s="5">
        <f>IFERROR(__xludf.DUMMYFUNCTION("""COMPUTED_VALUE"""),0.0)</f>
        <v>0</v>
      </c>
      <c r="N124" s="5">
        <f>IFERROR(__xludf.DUMMYFUNCTION("""COMPUTED_VALUE"""),0.0)</f>
        <v>0</v>
      </c>
      <c r="O124" s="5">
        <f>IFERROR(__xludf.DUMMYFUNCTION("""COMPUTED_VALUE"""),0.0)</f>
        <v>0</v>
      </c>
      <c r="P124" s="4"/>
      <c r="Q124" s="4"/>
      <c r="R124" s="4"/>
      <c r="S124" s="3" t="str">
        <f>IFERROR(__xludf.DUMMYFUNCTION("""COMPUTED_VALUE"""),"Lunas")</f>
        <v>Lunas</v>
      </c>
      <c r="T124" s="6">
        <f t="shared" si="2"/>
        <v>46206</v>
      </c>
      <c r="U124" s="3" t="str">
        <f>IF(ISNA(vlookup(B124,DataExport!$D$2:$D$496,1,false)), "Belum", "Sudah")</f>
        <v>Belum</v>
      </c>
    </row>
    <row r="125">
      <c r="A125" s="3">
        <f t="shared" si="1"/>
        <v>124</v>
      </c>
      <c r="B125" s="4" t="str">
        <f>IFERROR(__xludf.DUMMYFUNCTION("""COMPUTED_VALUE"""),"ROKHMAT")</f>
        <v>ROKHMAT</v>
      </c>
      <c r="C125" s="3">
        <f>IFERROR(__xludf.DUMMYFUNCTION("""COMPUTED_VALUE"""),2.024070145E9)</f>
        <v>2024070145</v>
      </c>
      <c r="D125" s="3" t="str">
        <f>IFERROR(__xludf.DUMMYFUNCTION("""COMPUTED_VALUE"""),"A")</f>
        <v>A</v>
      </c>
      <c r="E125" s="3" t="str">
        <f>IFERROR(__xludf.DUMMYFUNCTION("""COMPUTED_VALUE"""),"A-10")</f>
        <v>A-10</v>
      </c>
      <c r="F125" s="3">
        <f>IFERROR(__xludf.DUMMYFUNCTION("""COMPUTED_VALUE"""),3.0)</f>
        <v>3</v>
      </c>
      <c r="G125" s="3" t="str">
        <f>IFERROR(__xludf.DUMMYFUNCTION("""COMPUTED_VALUE"""),"3 WUSTHO PUTRA")</f>
        <v>3 WUSTHO PUTRA</v>
      </c>
      <c r="H125" s="3" t="str">
        <f>IFERROR(__xludf.DUMMYFUNCTION("""COMPUTED_VALUE"""),"MA-XII.5")</f>
        <v>MA-XII.5</v>
      </c>
      <c r="I125" s="4" t="str">
        <f>IFERROR(__xludf.DUMMYFUNCTION("""COMPUTED_VALUE"""),"SITI AMINAH")</f>
        <v>SITI AMINAH</v>
      </c>
      <c r="J125" s="4" t="str">
        <f>IFERROR(__xludf.DUMMYFUNCTION("""COMPUTED_VALUE"""),"PERTANIAN RT 002 RW 002 SEKARAN LAMONGAN")</f>
        <v>PERTANIAN RT 002 RW 002 SEKARAN LAMONGAN</v>
      </c>
      <c r="K125" s="4" t="str">
        <f>IFERROR(__xludf.DUMMYFUNCTION("""COMPUTED_VALUE"""),"628564609510")</f>
        <v>628564609510</v>
      </c>
      <c r="L125" s="5">
        <f>IFERROR(__xludf.DUMMYFUNCTION("""COMPUTED_VALUE"""),0.0)</f>
        <v>0</v>
      </c>
      <c r="M125" s="5">
        <f>IFERROR(__xludf.DUMMYFUNCTION("""COMPUTED_VALUE"""),0.0)</f>
        <v>0</v>
      </c>
      <c r="N125" s="5">
        <f>IFERROR(__xludf.DUMMYFUNCTION("""COMPUTED_VALUE"""),0.0)</f>
        <v>0</v>
      </c>
      <c r="O125" s="5">
        <f>IFERROR(__xludf.DUMMYFUNCTION("""COMPUTED_VALUE"""),0.0)</f>
        <v>0</v>
      </c>
      <c r="P125" s="4"/>
      <c r="Q125" s="4"/>
      <c r="R125" s="4"/>
      <c r="S125" s="3" t="str">
        <f>IFERROR(__xludf.DUMMYFUNCTION("""COMPUTED_VALUE"""),"Lunas")</f>
        <v>Lunas</v>
      </c>
      <c r="T125" s="6">
        <f t="shared" si="2"/>
        <v>46206</v>
      </c>
      <c r="U125" s="3" t="str">
        <f>IF(ISNA(vlookup(B125,DataExport!$D$2:$D$496,1,false)), "Belum", "Sudah")</f>
        <v>Belum</v>
      </c>
    </row>
    <row r="126">
      <c r="A126" s="3">
        <f t="shared" si="1"/>
        <v>125</v>
      </c>
      <c r="B126" s="4" t="str">
        <f>IFERROR(__xludf.DUMMYFUNCTION("""COMPUTED_VALUE"""),"ROSSALIA BELLA RAISYA")</f>
        <v>ROSSALIA BELLA RAISYA</v>
      </c>
      <c r="C126" s="3">
        <f>IFERROR(__xludf.DUMMYFUNCTION("""COMPUTED_VALUE"""),2.024070443E9)</f>
        <v>2024070443</v>
      </c>
      <c r="D126" s="3" t="str">
        <f>IFERROR(__xludf.DUMMYFUNCTION("""COMPUTED_VALUE"""),"E")</f>
        <v>E</v>
      </c>
      <c r="E126" s="3" t="str">
        <f>IFERROR(__xludf.DUMMYFUNCTION("""COMPUTED_VALUE"""),"E-9")</f>
        <v>E-9</v>
      </c>
      <c r="F126" s="3">
        <f>IFERROR(__xludf.DUMMYFUNCTION("""COMPUTED_VALUE"""),3.0)</f>
        <v>3</v>
      </c>
      <c r="G126" s="3" t="str">
        <f>IFERROR(__xludf.DUMMYFUNCTION("""COMPUTED_VALUE"""),"3 ULA C PUTRI")</f>
        <v>3 ULA C PUTRI</v>
      </c>
      <c r="H126" s="3" t="str">
        <f>IFERROR(__xludf.DUMMYFUNCTION("""COMPUTED_VALUE"""),"MTS-9 A")</f>
        <v>MTS-9 A</v>
      </c>
      <c r="I126" s="4" t="str">
        <f>IFERROR(__xludf.DUMMYFUNCTION("""COMPUTED_VALUE"""),"TRIA VILIA")</f>
        <v>TRIA VILIA</v>
      </c>
      <c r="J126" s="4" t="str">
        <f>IFERROR(__xludf.DUMMYFUNCTION("""COMPUTED_VALUE"""),"LENJER DUKUHAGUNG RT 002 RW 002 TIKUNG LAMONGAN")</f>
        <v>LENJER DUKUHAGUNG RT 002 RW 002 TIKUNG LAMONGAN</v>
      </c>
      <c r="K126" s="4" t="str">
        <f>IFERROR(__xludf.DUMMYFUNCTION("""COMPUTED_VALUE"""),"6282175167141")</f>
        <v>6282175167141</v>
      </c>
      <c r="L126" s="5">
        <f>IFERROR(__xludf.DUMMYFUNCTION("""COMPUTED_VALUE"""),0.0)</f>
        <v>0</v>
      </c>
      <c r="M126" s="5">
        <f>IFERROR(__xludf.DUMMYFUNCTION("""COMPUTED_VALUE"""),0.0)</f>
        <v>0</v>
      </c>
      <c r="N126" s="5">
        <f>IFERROR(__xludf.DUMMYFUNCTION("""COMPUTED_VALUE"""),0.0)</f>
        <v>0</v>
      </c>
      <c r="O126" s="5">
        <f>IFERROR(__xludf.DUMMYFUNCTION("""COMPUTED_VALUE"""),0.0)</f>
        <v>0</v>
      </c>
      <c r="P126" s="4"/>
      <c r="Q126" s="4"/>
      <c r="R126" s="4"/>
      <c r="S126" s="3" t="str">
        <f>IFERROR(__xludf.DUMMYFUNCTION("""COMPUTED_VALUE"""),"Lunas")</f>
        <v>Lunas</v>
      </c>
      <c r="T126" s="6">
        <f t="shared" si="2"/>
        <v>46206</v>
      </c>
      <c r="U126" s="3" t="str">
        <f>IF(ISNA(vlookup(B126,DataExport!$D$2:$D$496,1,false)), "Belum", "Sudah")</f>
        <v>Belum</v>
      </c>
    </row>
    <row r="127">
      <c r="A127" s="3">
        <f t="shared" si="1"/>
        <v>126</v>
      </c>
      <c r="B127" s="4" t="str">
        <f>IFERROR(__xludf.DUMMYFUNCTION("""COMPUTED_VALUE"""),"SEPTIA ERRA RAMADHANI")</f>
        <v>SEPTIA ERRA RAMADHANI</v>
      </c>
      <c r="C127" s="3">
        <f>IFERROR(__xludf.DUMMYFUNCTION("""COMPUTED_VALUE"""),2.024070364E9)</f>
        <v>2024070364</v>
      </c>
      <c r="D127" s="3" t="str">
        <f>IFERROR(__xludf.DUMMYFUNCTION("""COMPUTED_VALUE"""),"C")</f>
        <v>C</v>
      </c>
      <c r="E127" s="3" t="str">
        <f>IFERROR(__xludf.DUMMYFUNCTION("""COMPUTED_VALUE"""),"C-8")</f>
        <v>C-8</v>
      </c>
      <c r="F127" s="3">
        <f>IFERROR(__xludf.DUMMYFUNCTION("""COMPUTED_VALUE"""),3.0)</f>
        <v>3</v>
      </c>
      <c r="G127" s="3" t="str">
        <f>IFERROR(__xludf.DUMMYFUNCTION("""COMPUTED_VALUE"""),"3 WUSTHO B PUTRI")</f>
        <v>3 WUSTHO B PUTRI</v>
      </c>
      <c r="H127" s="3" t="str">
        <f>IFERROR(__xludf.DUMMYFUNCTION("""COMPUTED_VALUE"""),"MA-XII.11")</f>
        <v>MA-XII.11</v>
      </c>
      <c r="I127" s="4" t="str">
        <f>IFERROR(__xludf.DUMMYFUNCTION("""COMPUTED_VALUE"""),"RINI SETYOWATI")</f>
        <v>RINI SETYOWATI</v>
      </c>
      <c r="J127" s="4" t="str">
        <f>IFERROR(__xludf.DUMMYFUNCTION("""COMPUTED_VALUE"""),"BAKALAN BANYUURIP RT 001 RW 003 KARANGBINANGUN LAMONGAN")</f>
        <v>BAKALAN BANYUURIP RT 001 RW 003 KARANGBINANGUN LAMONGAN</v>
      </c>
      <c r="K127" s="4" t="str">
        <f>IFERROR(__xludf.DUMMYFUNCTION("""COMPUTED_VALUE"""),"6285803383706")</f>
        <v>6285803383706</v>
      </c>
      <c r="L127" s="5">
        <f>IFERROR(__xludf.DUMMYFUNCTION("""COMPUTED_VALUE"""),0.0)</f>
        <v>0</v>
      </c>
      <c r="M127" s="5">
        <f>IFERROR(__xludf.DUMMYFUNCTION("""COMPUTED_VALUE"""),0.0)</f>
        <v>0</v>
      </c>
      <c r="N127" s="5">
        <f>IFERROR(__xludf.DUMMYFUNCTION("""COMPUTED_VALUE"""),0.0)</f>
        <v>0</v>
      </c>
      <c r="O127" s="5">
        <f>IFERROR(__xludf.DUMMYFUNCTION("""COMPUTED_VALUE"""),0.0)</f>
        <v>0</v>
      </c>
      <c r="P127" s="4"/>
      <c r="Q127" s="4"/>
      <c r="R127" s="4"/>
      <c r="S127" s="3" t="str">
        <f>IFERROR(__xludf.DUMMYFUNCTION("""COMPUTED_VALUE"""),"Lunas")</f>
        <v>Lunas</v>
      </c>
      <c r="T127" s="6">
        <f t="shared" si="2"/>
        <v>46206</v>
      </c>
      <c r="U127" s="3" t="str">
        <f>IF(ISNA(vlookup(B127,DataExport!$D$2:$D$496,1,false)), "Belum", "Sudah")</f>
        <v>Belum</v>
      </c>
    </row>
    <row r="128">
      <c r="A128" s="3" t="str">
        <f t="shared" si="1"/>
        <v/>
      </c>
      <c r="C128" s="3"/>
      <c r="D128" s="3"/>
      <c r="E128" s="3"/>
      <c r="F128" s="3"/>
      <c r="G128" s="3"/>
      <c r="H128" s="3"/>
      <c r="S128" s="3"/>
      <c r="T128" s="6">
        <f t="shared" si="2"/>
        <v>46206</v>
      </c>
      <c r="U128" s="3" t="str">
        <f>IF(ISNA(vlookup(B128,DataExport!$D$2:$D$496,1,false)), "Belum", "Sudah")</f>
        <v>Belum</v>
      </c>
    </row>
    <row r="129">
      <c r="A129" s="3" t="str">
        <f t="shared" si="1"/>
        <v/>
      </c>
      <c r="C129" s="3"/>
      <c r="D129" s="3"/>
      <c r="E129" s="3"/>
      <c r="F129" s="3"/>
      <c r="G129" s="3"/>
      <c r="H129" s="3"/>
      <c r="S129" s="3"/>
      <c r="T129" s="6">
        <f t="shared" si="2"/>
        <v>46206</v>
      </c>
      <c r="U129" s="3" t="str">
        <f>IF(ISNA(vlookup(B129,DataExport!$D$2:$D$496,1,false)), "Belum", "Sudah")</f>
        <v>Belum</v>
      </c>
    </row>
    <row r="130">
      <c r="A130" s="3" t="str">
        <f t="shared" si="1"/>
        <v/>
      </c>
      <c r="C130" s="3"/>
      <c r="D130" s="3"/>
      <c r="E130" s="3"/>
      <c r="F130" s="3"/>
      <c r="G130" s="3"/>
      <c r="H130" s="3"/>
      <c r="S130" s="3"/>
      <c r="T130" s="6">
        <f t="shared" si="2"/>
        <v>46206</v>
      </c>
      <c r="U130" s="3" t="str">
        <f>IF(ISNA(vlookup(B130,DataExport!$D$2:$D$496,1,false)), "Belum", "Sudah")</f>
        <v>Belum</v>
      </c>
    </row>
    <row r="131">
      <c r="A131" s="3" t="str">
        <f t="shared" si="1"/>
        <v/>
      </c>
      <c r="C131" s="3"/>
      <c r="D131" s="3"/>
      <c r="E131" s="3"/>
      <c r="F131" s="3"/>
      <c r="G131" s="3"/>
      <c r="H131" s="3"/>
      <c r="S131" s="3"/>
      <c r="T131" s="6">
        <f t="shared" si="2"/>
        <v>46206</v>
      </c>
      <c r="U131" s="3" t="str">
        <f>IF(ISNA(vlookup(B131,DataExport!$D$2:$D$496,1,false)), "Belum", "Sudah")</f>
        <v>Belum</v>
      </c>
    </row>
    <row r="132">
      <c r="A132" s="3" t="str">
        <f t="shared" si="1"/>
        <v/>
      </c>
      <c r="C132" s="3"/>
      <c r="D132" s="3"/>
      <c r="E132" s="3"/>
      <c r="F132" s="3"/>
      <c r="G132" s="3"/>
      <c r="H132" s="3"/>
      <c r="S132" s="3"/>
      <c r="T132" s="6">
        <f t="shared" si="2"/>
        <v>46206</v>
      </c>
      <c r="U132" s="3" t="str">
        <f>IF(ISNA(vlookup(B132,DataExport!$D$2:$D$496,1,false)), "Belum", "Sudah")</f>
        <v>Belum</v>
      </c>
    </row>
    <row r="133">
      <c r="A133" s="3" t="str">
        <f t="shared" si="1"/>
        <v/>
      </c>
      <c r="C133" s="3"/>
      <c r="D133" s="3"/>
      <c r="E133" s="3"/>
      <c r="F133" s="3"/>
      <c r="G133" s="3"/>
      <c r="H133" s="3"/>
      <c r="S133" s="3"/>
      <c r="T133" s="6">
        <f t="shared" si="2"/>
        <v>46206</v>
      </c>
      <c r="U133" s="3" t="str">
        <f>IF(ISNA(vlookup(B133,DataExport!$D$2:$D$496,1,false)), "Belum", "Sudah")</f>
        <v>Belum</v>
      </c>
    </row>
    <row r="134">
      <c r="A134" s="3" t="str">
        <f t="shared" si="1"/>
        <v/>
      </c>
      <c r="C134" s="3"/>
      <c r="D134" s="3"/>
      <c r="E134" s="3"/>
      <c r="F134" s="3"/>
      <c r="G134" s="3"/>
      <c r="H134" s="3"/>
      <c r="S134" s="3"/>
      <c r="T134" s="6">
        <f t="shared" si="2"/>
        <v>46206</v>
      </c>
      <c r="U134" s="3" t="str">
        <f>IF(ISNA(vlookup(B134,DataExport!$D$2:$D$496,1,false)), "Belum", "Sudah")</f>
        <v>Belum</v>
      </c>
    </row>
    <row r="135">
      <c r="A135" s="3" t="str">
        <f t="shared" si="1"/>
        <v/>
      </c>
      <c r="C135" s="3"/>
      <c r="D135" s="3"/>
      <c r="E135" s="3"/>
      <c r="F135" s="3"/>
      <c r="G135" s="3"/>
      <c r="H135" s="3"/>
      <c r="S135" s="3"/>
      <c r="T135" s="6">
        <f t="shared" si="2"/>
        <v>46206</v>
      </c>
      <c r="U135" s="3" t="str">
        <f>IF(ISNA(vlookup(B135,DataExport!$D$2:$D$496,1,false)), "Belum", "Sudah")</f>
        <v>Belum</v>
      </c>
    </row>
    <row r="136">
      <c r="A136" s="3" t="str">
        <f t="shared" si="1"/>
        <v/>
      </c>
      <c r="C136" s="3"/>
      <c r="D136" s="3"/>
      <c r="E136" s="3"/>
      <c r="F136" s="3"/>
      <c r="G136" s="3"/>
      <c r="H136" s="3"/>
      <c r="S136" s="3"/>
      <c r="T136" s="6">
        <f t="shared" si="2"/>
        <v>46206</v>
      </c>
      <c r="U136" s="3" t="str">
        <f>IF(ISNA(vlookup(B136,DataExport!$D$2:$D$496,1,false)), "Belum", "Sudah")</f>
        <v>Belum</v>
      </c>
    </row>
    <row r="137">
      <c r="A137" s="3" t="str">
        <f t="shared" si="1"/>
        <v/>
      </c>
      <c r="C137" s="3"/>
      <c r="D137" s="3"/>
      <c r="E137" s="3"/>
      <c r="F137" s="3"/>
      <c r="G137" s="3"/>
      <c r="H137" s="3"/>
      <c r="S137" s="3"/>
      <c r="T137" s="6">
        <f t="shared" si="2"/>
        <v>46206</v>
      </c>
      <c r="U137" s="3" t="str">
        <f>IF(ISNA(vlookup(B137,DataExport!$D$2:$D$496,1,false)), "Belum", "Sudah")</f>
        <v>Belum</v>
      </c>
    </row>
    <row r="138">
      <c r="A138" s="3" t="str">
        <f t="shared" si="1"/>
        <v/>
      </c>
      <c r="C138" s="3"/>
      <c r="D138" s="3"/>
      <c r="E138" s="3"/>
      <c r="F138" s="3"/>
      <c r="G138" s="3"/>
      <c r="H138" s="3"/>
      <c r="S138" s="3"/>
      <c r="T138" s="6">
        <f t="shared" si="2"/>
        <v>46206</v>
      </c>
      <c r="U138" s="3" t="str">
        <f>IF(ISNA(vlookup(B138,DataExport!$D$2:$D$496,1,false)), "Belum", "Sudah")</f>
        <v>Belum</v>
      </c>
    </row>
    <row r="139">
      <c r="A139" s="3" t="str">
        <f t="shared" si="1"/>
        <v/>
      </c>
      <c r="C139" s="3"/>
      <c r="D139" s="3"/>
      <c r="E139" s="3"/>
      <c r="F139" s="3"/>
      <c r="G139" s="3"/>
      <c r="H139" s="3"/>
      <c r="S139" s="3"/>
      <c r="T139" s="6">
        <f t="shared" si="2"/>
        <v>46206</v>
      </c>
      <c r="U139" s="3" t="str">
        <f>IF(ISNA(vlookup(B139,DataExport!$D$2:$D$496,1,false)), "Belum", "Sudah")</f>
        <v>Belum</v>
      </c>
    </row>
    <row r="140">
      <c r="A140" s="3" t="str">
        <f t="shared" si="1"/>
        <v/>
      </c>
      <c r="C140" s="3"/>
      <c r="D140" s="3"/>
      <c r="E140" s="3"/>
      <c r="F140" s="3"/>
      <c r="G140" s="3"/>
      <c r="H140" s="3"/>
      <c r="S140" s="3"/>
      <c r="T140" s="6">
        <f t="shared" si="2"/>
        <v>46206</v>
      </c>
      <c r="U140" s="3" t="str">
        <f>IF(ISNA(vlookup(B140,DataExport!$D$2:$D$496,1,false)), "Belum", "Sudah")</f>
        <v>Belum</v>
      </c>
    </row>
    <row r="141">
      <c r="A141" s="3" t="str">
        <f t="shared" si="1"/>
        <v/>
      </c>
      <c r="C141" s="3"/>
      <c r="D141" s="3"/>
      <c r="E141" s="3"/>
      <c r="F141" s="3"/>
      <c r="G141" s="3"/>
      <c r="H141" s="3"/>
      <c r="S141" s="3"/>
      <c r="T141" s="6">
        <f t="shared" si="2"/>
        <v>46206</v>
      </c>
      <c r="U141" s="3" t="str">
        <f>IF(ISNA(vlookup(B141,DataExport!$D$2:$D$496,1,false)), "Belum", "Sudah")</f>
        <v>Belum</v>
      </c>
    </row>
    <row r="142">
      <c r="A142" s="3" t="str">
        <f t="shared" si="1"/>
        <v/>
      </c>
      <c r="C142" s="3"/>
      <c r="D142" s="3"/>
      <c r="E142" s="3"/>
      <c r="F142" s="3"/>
      <c r="G142" s="3"/>
      <c r="H142" s="3"/>
      <c r="S142" s="3"/>
      <c r="T142" s="6">
        <f t="shared" si="2"/>
        <v>46206</v>
      </c>
      <c r="U142" s="3" t="str">
        <f>IF(ISNA(vlookup(B142,DataExport!$D$2:$D$496,1,false)), "Belum", "Sudah")</f>
        <v>Belum</v>
      </c>
    </row>
    <row r="143">
      <c r="A143" s="3" t="str">
        <f t="shared" si="1"/>
        <v/>
      </c>
      <c r="C143" s="3"/>
      <c r="D143" s="3"/>
      <c r="E143" s="3"/>
      <c r="F143" s="3"/>
      <c r="G143" s="3"/>
      <c r="H143" s="3"/>
      <c r="S143" s="3"/>
      <c r="T143" s="6">
        <f t="shared" si="2"/>
        <v>46206</v>
      </c>
      <c r="U143" s="3" t="str">
        <f>IF(ISNA(vlookup(B143,DataExport!$D$2:$D$496,1,false)), "Belum", "Sudah")</f>
        <v>Belum</v>
      </c>
    </row>
    <row r="144">
      <c r="A144" s="3" t="str">
        <f t="shared" si="1"/>
        <v/>
      </c>
      <c r="C144" s="3"/>
      <c r="D144" s="3"/>
      <c r="E144" s="3"/>
      <c r="F144" s="3"/>
      <c r="G144" s="3"/>
      <c r="H144" s="3"/>
      <c r="S144" s="3"/>
      <c r="T144" s="6">
        <f t="shared" si="2"/>
        <v>46206</v>
      </c>
      <c r="U144" s="3" t="str">
        <f>IF(ISNA(vlookup(B144,DataExport!$D$2:$D$496,1,false)), "Belum", "Sudah")</f>
        <v>Belum</v>
      </c>
    </row>
    <row r="145">
      <c r="A145" s="3" t="str">
        <f t="shared" si="1"/>
        <v/>
      </c>
      <c r="C145" s="3"/>
      <c r="D145" s="3"/>
      <c r="E145" s="3"/>
      <c r="F145" s="3"/>
      <c r="G145" s="3"/>
      <c r="H145" s="3"/>
      <c r="S145" s="3"/>
      <c r="T145" s="6">
        <f t="shared" si="2"/>
        <v>46206</v>
      </c>
      <c r="U145" s="3" t="str">
        <f>IF(ISNA(vlookup(B145,DataExport!$D$2:$D$496,1,false)), "Belum", "Sudah")</f>
        <v>Belum</v>
      </c>
    </row>
    <row r="146">
      <c r="A146" s="3" t="str">
        <f t="shared" si="1"/>
        <v/>
      </c>
      <c r="C146" s="3"/>
      <c r="D146" s="3"/>
      <c r="E146" s="3"/>
      <c r="F146" s="3"/>
      <c r="G146" s="3"/>
      <c r="H146" s="3"/>
      <c r="S146" s="3"/>
      <c r="T146" s="6">
        <f t="shared" si="2"/>
        <v>46206</v>
      </c>
      <c r="U146" s="3" t="str">
        <f>IF(ISNA(vlookup(B146,DataExport!$D$2:$D$496,1,false)), "Belum", "Sudah")</f>
        <v>Belum</v>
      </c>
    </row>
    <row r="147">
      <c r="A147" s="3" t="str">
        <f t="shared" si="1"/>
        <v/>
      </c>
      <c r="C147" s="3"/>
      <c r="D147" s="3"/>
      <c r="E147" s="3"/>
      <c r="F147" s="3"/>
      <c r="G147" s="3"/>
      <c r="H147" s="3"/>
      <c r="S147" s="3"/>
      <c r="T147" s="6">
        <f t="shared" si="2"/>
        <v>46206</v>
      </c>
      <c r="U147" s="3" t="str">
        <f>IF(ISNA(vlookup(B147,DataExport!$D$2:$D$496,1,false)), "Belum", "Sudah")</f>
        <v>Belum</v>
      </c>
    </row>
    <row r="148">
      <c r="A148" s="3" t="str">
        <f t="shared" si="1"/>
        <v/>
      </c>
      <c r="C148" s="3"/>
      <c r="D148" s="3"/>
      <c r="E148" s="3"/>
      <c r="F148" s="3"/>
      <c r="G148" s="3"/>
      <c r="H148" s="3"/>
      <c r="S148" s="3"/>
      <c r="T148" s="6">
        <f t="shared" si="2"/>
        <v>46206</v>
      </c>
      <c r="U148" s="3" t="str">
        <f>IF(ISNA(vlookup(B148,DataExport!$D$2:$D$496,1,false)), "Belum", "Sudah")</f>
        <v>Belum</v>
      </c>
    </row>
    <row r="149">
      <c r="A149" s="3" t="str">
        <f t="shared" si="1"/>
        <v/>
      </c>
      <c r="C149" s="3"/>
      <c r="D149" s="3"/>
      <c r="E149" s="3"/>
      <c r="F149" s="3"/>
      <c r="G149" s="3"/>
      <c r="H149" s="3"/>
      <c r="S149" s="3"/>
      <c r="T149" s="6">
        <f t="shared" si="2"/>
        <v>46206</v>
      </c>
      <c r="U149" s="3" t="str">
        <f>IF(ISNA(vlookup(B149,DataExport!$D$2:$D$496,1,false)), "Belum", "Sudah")</f>
        <v>Belum</v>
      </c>
    </row>
    <row r="150">
      <c r="A150" s="3" t="str">
        <f t="shared" si="1"/>
        <v/>
      </c>
      <c r="C150" s="3"/>
      <c r="D150" s="3"/>
      <c r="E150" s="3"/>
      <c r="F150" s="3"/>
      <c r="G150" s="3"/>
      <c r="H150" s="3"/>
      <c r="S150" s="3"/>
      <c r="T150" s="6">
        <f t="shared" si="2"/>
        <v>46206</v>
      </c>
      <c r="U150" s="3" t="str">
        <f>IF(ISNA(vlookup(B150,DataExport!$D$2:$D$496,1,false)), "Belum", "Sudah")</f>
        <v>Belum</v>
      </c>
    </row>
    <row r="151">
      <c r="A151" s="3" t="str">
        <f t="shared" si="1"/>
        <v/>
      </c>
      <c r="C151" s="3"/>
      <c r="D151" s="3"/>
      <c r="E151" s="3"/>
      <c r="F151" s="3"/>
      <c r="G151" s="3"/>
      <c r="H151" s="3"/>
      <c r="S151" s="3"/>
      <c r="T151" s="6">
        <f t="shared" si="2"/>
        <v>46206</v>
      </c>
      <c r="U151" s="3" t="str">
        <f>IF(ISNA(vlookup(B151,DataExport!$D$2:$D$496,1,false)), "Belum", "Sudah")</f>
        <v>Belum</v>
      </c>
    </row>
    <row r="152">
      <c r="A152" s="3" t="str">
        <f t="shared" si="1"/>
        <v/>
      </c>
      <c r="C152" s="3"/>
      <c r="D152" s="3"/>
      <c r="E152" s="3"/>
      <c r="F152" s="3"/>
      <c r="G152" s="3"/>
      <c r="H152" s="3"/>
      <c r="S152" s="3"/>
      <c r="T152" s="6">
        <f t="shared" si="2"/>
        <v>46206</v>
      </c>
      <c r="U152" s="3" t="str">
        <f>IF(ISNA(vlookup(B152,DataExport!$D$2:$D$496,1,false)), "Belum", "Sudah")</f>
        <v>Belum</v>
      </c>
    </row>
    <row r="153">
      <c r="A153" s="3" t="str">
        <f t="shared" si="1"/>
        <v/>
      </c>
      <c r="C153" s="3"/>
      <c r="D153" s="3"/>
      <c r="E153" s="3"/>
      <c r="F153" s="3"/>
      <c r="G153" s="3"/>
      <c r="H153" s="3"/>
      <c r="S153" s="3"/>
      <c r="T153" s="6">
        <f t="shared" si="2"/>
        <v>46206</v>
      </c>
      <c r="U153" s="3" t="str">
        <f>IF(ISNA(vlookup(B153,DataExport!$D$2:$D$496,1,false)), "Belum", "Sudah")</f>
        <v>Belum</v>
      </c>
    </row>
    <row r="154">
      <c r="A154" s="3" t="str">
        <f t="shared" si="1"/>
        <v/>
      </c>
      <c r="C154" s="3"/>
      <c r="D154" s="3"/>
      <c r="E154" s="3"/>
      <c r="F154" s="3"/>
      <c r="G154" s="3"/>
      <c r="H154" s="3"/>
      <c r="S154" s="3"/>
      <c r="T154" s="6">
        <f t="shared" si="2"/>
        <v>46206</v>
      </c>
      <c r="U154" s="3" t="str">
        <f>IF(ISNA(vlookup(B154,DataExport!$D$2:$D$496,1,false)), "Belum", "Sudah")</f>
        <v>Belum</v>
      </c>
    </row>
    <row r="155">
      <c r="A155" s="3" t="str">
        <f t="shared" si="1"/>
        <v/>
      </c>
      <c r="C155" s="3"/>
      <c r="D155" s="3"/>
      <c r="E155" s="3"/>
      <c r="F155" s="3"/>
      <c r="G155" s="3"/>
      <c r="H155" s="3"/>
      <c r="S155" s="3"/>
      <c r="T155" s="6">
        <f t="shared" si="2"/>
        <v>46206</v>
      </c>
      <c r="U155" s="3" t="str">
        <f>IF(ISNA(vlookup(B155,DataExport!$D$2:$D$496,1,false)), "Belum", "Sudah")</f>
        <v>Belum</v>
      </c>
    </row>
    <row r="156">
      <c r="A156" s="3" t="str">
        <f t="shared" si="1"/>
        <v/>
      </c>
      <c r="C156" s="3"/>
      <c r="D156" s="3"/>
      <c r="E156" s="3"/>
      <c r="F156" s="3"/>
      <c r="G156" s="3"/>
      <c r="H156" s="3"/>
      <c r="S156" s="3"/>
      <c r="T156" s="6">
        <f t="shared" si="2"/>
        <v>46206</v>
      </c>
      <c r="U156" s="3" t="str">
        <f>IF(ISNA(vlookup(B156,DataExport!$D$2:$D$496,1,false)), "Belum", "Sudah")</f>
        <v>Belum</v>
      </c>
    </row>
    <row r="157">
      <c r="A157" s="3" t="str">
        <f t="shared" si="1"/>
        <v/>
      </c>
      <c r="C157" s="3"/>
      <c r="D157" s="3"/>
      <c r="E157" s="3"/>
      <c r="F157" s="3"/>
      <c r="G157" s="3"/>
      <c r="H157" s="3"/>
      <c r="S157" s="3"/>
      <c r="T157" s="6">
        <f t="shared" si="2"/>
        <v>46206</v>
      </c>
      <c r="U157" s="3" t="str">
        <f>IF(ISNA(vlookup(B157,DataExport!$D$2:$D$496,1,false)), "Belum", "Sudah")</f>
        <v>Belum</v>
      </c>
    </row>
    <row r="158">
      <c r="A158" s="3" t="str">
        <f t="shared" si="1"/>
        <v/>
      </c>
      <c r="C158" s="3"/>
      <c r="D158" s="3"/>
      <c r="E158" s="3"/>
      <c r="F158" s="3"/>
      <c r="G158" s="3"/>
      <c r="H158" s="3"/>
      <c r="S158" s="3"/>
      <c r="T158" s="6">
        <f t="shared" si="2"/>
        <v>46206</v>
      </c>
      <c r="U158" s="3" t="str">
        <f>IF(ISNA(vlookup(B158,DataExport!$D$2:$D$496,1,false)), "Belum", "Sudah")</f>
        <v>Belum</v>
      </c>
    </row>
    <row r="159">
      <c r="A159" s="3" t="str">
        <f t="shared" si="1"/>
        <v/>
      </c>
      <c r="C159" s="3"/>
      <c r="D159" s="3"/>
      <c r="E159" s="3"/>
      <c r="F159" s="3"/>
      <c r="G159" s="3"/>
      <c r="H159" s="3"/>
      <c r="S159" s="3"/>
      <c r="T159" s="6">
        <f t="shared" si="2"/>
        <v>46206</v>
      </c>
      <c r="U159" s="3" t="str">
        <f>IF(ISNA(vlookup(B159,DataExport!$D$2:$D$496,1,false)), "Belum", "Sudah")</f>
        <v>Belum</v>
      </c>
    </row>
    <row r="160">
      <c r="A160" s="3" t="str">
        <f t="shared" si="1"/>
        <v/>
      </c>
      <c r="C160" s="3"/>
      <c r="D160" s="3"/>
      <c r="E160" s="3"/>
      <c r="F160" s="3"/>
      <c r="G160" s="3"/>
      <c r="H160" s="3"/>
      <c r="S160" s="3"/>
      <c r="T160" s="6">
        <f t="shared" si="2"/>
        <v>46206</v>
      </c>
      <c r="U160" s="3" t="str">
        <f>IF(ISNA(vlookup(B160,DataExport!$D$2:$D$496,1,false)), "Belum", "Sudah")</f>
        <v>Belum</v>
      </c>
    </row>
    <row r="161">
      <c r="A161" s="3" t="str">
        <f t="shared" si="1"/>
        <v/>
      </c>
      <c r="C161" s="3"/>
      <c r="D161" s="3"/>
      <c r="E161" s="3"/>
      <c r="F161" s="3"/>
      <c r="G161" s="3"/>
      <c r="H161" s="3"/>
      <c r="S161" s="3"/>
      <c r="T161" s="6">
        <f t="shared" si="2"/>
        <v>46206</v>
      </c>
      <c r="U161" s="3" t="str">
        <f>IF(ISNA(vlookup(B161,DataExport!$D$2:$D$496,1,false)), "Belum", "Sudah")</f>
        <v>Belum</v>
      </c>
    </row>
    <row r="162">
      <c r="A162" s="3" t="str">
        <f t="shared" si="1"/>
        <v/>
      </c>
      <c r="C162" s="3"/>
      <c r="D162" s="3"/>
      <c r="E162" s="3"/>
      <c r="F162" s="3"/>
      <c r="G162" s="3"/>
      <c r="H162" s="3"/>
      <c r="S162" s="3"/>
      <c r="T162" s="6">
        <f t="shared" si="2"/>
        <v>46206</v>
      </c>
      <c r="U162" s="3" t="str">
        <f>IF(ISNA(vlookup(B162,DataExport!$D$2:$D$496,1,false)), "Belum", "Sudah")</f>
        <v>Belum</v>
      </c>
    </row>
    <row r="163">
      <c r="A163" s="3" t="str">
        <f t="shared" si="1"/>
        <v/>
      </c>
      <c r="C163" s="3"/>
      <c r="D163" s="3"/>
      <c r="E163" s="3"/>
      <c r="F163" s="3"/>
      <c r="G163" s="3"/>
      <c r="H163" s="3"/>
      <c r="S163" s="3"/>
      <c r="T163" s="6">
        <f t="shared" si="2"/>
        <v>46206</v>
      </c>
      <c r="U163" s="3" t="str">
        <f>IF(ISNA(vlookup(B163,DataExport!$D$2:$D$496,1,false)), "Belum", "Sudah")</f>
        <v>Belum</v>
      </c>
    </row>
    <row r="164">
      <c r="A164" s="3" t="str">
        <f t="shared" si="1"/>
        <v/>
      </c>
      <c r="C164" s="3"/>
      <c r="D164" s="3"/>
      <c r="E164" s="3"/>
      <c r="F164" s="3"/>
      <c r="G164" s="3"/>
      <c r="H164" s="3"/>
      <c r="S164" s="3"/>
      <c r="T164" s="6">
        <f t="shared" si="2"/>
        <v>46206</v>
      </c>
      <c r="U164" s="3" t="str">
        <f>IF(ISNA(vlookup(B164,DataExport!$D$2:$D$496,1,false)), "Belum", "Sudah")</f>
        <v>Belum</v>
      </c>
    </row>
    <row r="165">
      <c r="A165" s="3" t="str">
        <f t="shared" si="1"/>
        <v/>
      </c>
      <c r="C165" s="3"/>
      <c r="D165" s="3"/>
      <c r="E165" s="3"/>
      <c r="F165" s="3"/>
      <c r="G165" s="3"/>
      <c r="H165" s="3"/>
      <c r="S165" s="3"/>
      <c r="T165" s="6">
        <f t="shared" si="2"/>
        <v>46206</v>
      </c>
      <c r="U165" s="3" t="str">
        <f>IF(ISNA(vlookup(B165,DataExport!$D$2:$D$496,1,false)), "Belum", "Sudah")</f>
        <v>Belum</v>
      </c>
    </row>
    <row r="166">
      <c r="A166" s="3" t="str">
        <f t="shared" si="1"/>
        <v/>
      </c>
      <c r="C166" s="3"/>
      <c r="D166" s="3"/>
      <c r="E166" s="3"/>
      <c r="F166" s="3"/>
      <c r="G166" s="3"/>
      <c r="H166" s="3"/>
      <c r="S166" s="3"/>
      <c r="T166" s="6">
        <f t="shared" si="2"/>
        <v>46206</v>
      </c>
      <c r="U166" s="3" t="str">
        <f>IF(ISNA(vlookup(B166,DataExport!$D$2:$D$496,1,false)), "Belum", "Sudah")</f>
        <v>Belum</v>
      </c>
    </row>
    <row r="167">
      <c r="A167" s="3" t="str">
        <f t="shared" si="1"/>
        <v/>
      </c>
      <c r="C167" s="3"/>
      <c r="D167" s="3"/>
      <c r="E167" s="3"/>
      <c r="F167" s="3"/>
      <c r="G167" s="3"/>
      <c r="H167" s="3"/>
      <c r="S167" s="3"/>
      <c r="T167" s="6">
        <f t="shared" si="2"/>
        <v>46206</v>
      </c>
      <c r="U167" s="3" t="str">
        <f>IF(ISNA(vlookup(B167,DataExport!$D$2:$D$496,1,false)), "Belum", "Sudah")</f>
        <v>Belum</v>
      </c>
    </row>
    <row r="168">
      <c r="A168" s="3" t="str">
        <f t="shared" si="1"/>
        <v/>
      </c>
      <c r="C168" s="3"/>
      <c r="D168" s="3"/>
      <c r="E168" s="3"/>
      <c r="F168" s="3"/>
      <c r="G168" s="3"/>
      <c r="H168" s="3"/>
      <c r="S168" s="3"/>
      <c r="T168" s="6">
        <f t="shared" si="2"/>
        <v>46206</v>
      </c>
      <c r="U168" s="3" t="str">
        <f>IF(ISNA(vlookup(B168,DataExport!$D$2:$D$496,1,false)), "Belum", "Sudah")</f>
        <v>Belum</v>
      </c>
    </row>
    <row r="169">
      <c r="A169" s="3" t="str">
        <f t="shared" si="1"/>
        <v/>
      </c>
      <c r="C169" s="3"/>
      <c r="D169" s="3"/>
      <c r="E169" s="3"/>
      <c r="F169" s="3"/>
      <c r="G169" s="3"/>
      <c r="H169" s="3"/>
      <c r="S169" s="3"/>
      <c r="T169" s="6">
        <f t="shared" si="2"/>
        <v>46206</v>
      </c>
      <c r="U169" s="3" t="str">
        <f>IF(ISNA(vlookup(B169,DataExport!$D$2:$D$496,1,false)), "Belum", "Sudah")</f>
        <v>Belum</v>
      </c>
    </row>
    <row r="170">
      <c r="A170" s="3" t="str">
        <f t="shared" si="1"/>
        <v/>
      </c>
      <c r="C170" s="3"/>
      <c r="D170" s="3"/>
      <c r="E170" s="3"/>
      <c r="F170" s="3"/>
      <c r="G170" s="3"/>
      <c r="H170" s="3"/>
      <c r="S170" s="3"/>
      <c r="T170" s="6">
        <f t="shared" si="2"/>
        <v>46206</v>
      </c>
      <c r="U170" s="3" t="str">
        <f>IF(ISNA(vlookup(B170,DataExport!$D$2:$D$496,1,false)), "Belum", "Sudah")</f>
        <v>Belum</v>
      </c>
    </row>
    <row r="171">
      <c r="A171" s="3" t="str">
        <f t="shared" si="1"/>
        <v/>
      </c>
      <c r="C171" s="3"/>
      <c r="D171" s="3"/>
      <c r="E171" s="3"/>
      <c r="F171" s="3"/>
      <c r="G171" s="3"/>
      <c r="H171" s="3"/>
      <c r="S171" s="3"/>
      <c r="T171" s="6">
        <f t="shared" si="2"/>
        <v>46206</v>
      </c>
      <c r="U171" s="3" t="str">
        <f>IF(ISNA(vlookup(B171,DataExport!$D$2:$D$496,1,false)), "Belum", "Sudah")</f>
        <v>Belum</v>
      </c>
    </row>
    <row r="172">
      <c r="A172" s="3" t="str">
        <f t="shared" si="1"/>
        <v/>
      </c>
      <c r="C172" s="3"/>
      <c r="D172" s="3"/>
      <c r="E172" s="3"/>
      <c r="F172" s="3"/>
      <c r="G172" s="3"/>
      <c r="H172" s="3"/>
      <c r="S172" s="3"/>
      <c r="T172" s="6">
        <f t="shared" si="2"/>
        <v>46206</v>
      </c>
      <c r="U172" s="3" t="str">
        <f>IF(ISNA(vlookup(B172,DataExport!$D$2:$D$496,1,false)), "Belum", "Sudah")</f>
        <v>Belum</v>
      </c>
    </row>
    <row r="173">
      <c r="A173" s="3" t="str">
        <f t="shared" si="1"/>
        <v/>
      </c>
      <c r="C173" s="3"/>
      <c r="D173" s="3"/>
      <c r="E173" s="3"/>
      <c r="F173" s="3"/>
      <c r="G173" s="3"/>
      <c r="H173" s="3"/>
      <c r="S173" s="3"/>
      <c r="T173" s="6">
        <f t="shared" si="2"/>
        <v>46206</v>
      </c>
      <c r="U173" s="3" t="str">
        <f>IF(ISNA(vlookup(B173,DataExport!$D$2:$D$496,1,false)), "Belum", "Sudah")</f>
        <v>Belum</v>
      </c>
    </row>
    <row r="174">
      <c r="A174" s="3" t="str">
        <f t="shared" si="1"/>
        <v/>
      </c>
      <c r="C174" s="3"/>
      <c r="D174" s="3"/>
      <c r="E174" s="3"/>
      <c r="F174" s="3"/>
      <c r="G174" s="3"/>
      <c r="H174" s="3"/>
      <c r="S174" s="3"/>
      <c r="T174" s="6">
        <f t="shared" si="2"/>
        <v>46206</v>
      </c>
      <c r="U174" s="3" t="str">
        <f>IF(ISNA(vlookup(B174,DataExport!$D$2:$D$496,1,false)), "Belum", "Sudah")</f>
        <v>Belum</v>
      </c>
    </row>
    <row r="175">
      <c r="A175" s="3" t="str">
        <f t="shared" si="1"/>
        <v/>
      </c>
      <c r="C175" s="3"/>
      <c r="D175" s="3"/>
      <c r="E175" s="3"/>
      <c r="F175" s="3"/>
      <c r="G175" s="3"/>
      <c r="H175" s="3"/>
      <c r="S175" s="3"/>
      <c r="T175" s="6">
        <f t="shared" si="2"/>
        <v>46206</v>
      </c>
      <c r="U175" s="3" t="str">
        <f>IF(ISNA(vlookup(B175,DataExport!$D$2:$D$496,1,false)), "Belum", "Sudah")</f>
        <v>Belum</v>
      </c>
    </row>
    <row r="176">
      <c r="A176" s="3" t="str">
        <f t="shared" si="1"/>
        <v/>
      </c>
      <c r="C176" s="3"/>
      <c r="D176" s="3"/>
      <c r="E176" s="3"/>
      <c r="F176" s="3"/>
      <c r="G176" s="3"/>
      <c r="H176" s="3"/>
      <c r="S176" s="3"/>
      <c r="T176" s="6">
        <f t="shared" si="2"/>
        <v>46206</v>
      </c>
      <c r="U176" s="3" t="str">
        <f>IF(ISNA(vlookup(B176,DataExport!$D$2:$D$496,1,false)), "Belum", "Sudah")</f>
        <v>Belum</v>
      </c>
    </row>
    <row r="177">
      <c r="A177" s="3" t="str">
        <f t="shared" si="1"/>
        <v/>
      </c>
      <c r="C177" s="3"/>
      <c r="D177" s="3"/>
      <c r="E177" s="3"/>
      <c r="F177" s="3"/>
      <c r="G177" s="3"/>
      <c r="H177" s="3"/>
      <c r="S177" s="3"/>
      <c r="T177" s="6">
        <f t="shared" si="2"/>
        <v>46206</v>
      </c>
      <c r="U177" s="3" t="str">
        <f>IF(ISNA(vlookup(B177,DataExport!$D$2:$D$496,1,false)), "Belum", "Sudah")</f>
        <v>Belum</v>
      </c>
    </row>
    <row r="178">
      <c r="A178" s="3" t="str">
        <f t="shared" si="1"/>
        <v/>
      </c>
      <c r="C178" s="3"/>
      <c r="D178" s="3"/>
      <c r="E178" s="3"/>
      <c r="F178" s="3"/>
      <c r="G178" s="3"/>
      <c r="H178" s="3"/>
      <c r="S178" s="3"/>
      <c r="T178" s="6">
        <f t="shared" si="2"/>
        <v>46206</v>
      </c>
      <c r="U178" s="3" t="str">
        <f>IF(ISNA(vlookup(B178,DataExport!$D$2:$D$496,1,false)), "Belum", "Sudah")</f>
        <v>Belum</v>
      </c>
    </row>
    <row r="179">
      <c r="A179" s="3" t="str">
        <f t="shared" si="1"/>
        <v/>
      </c>
      <c r="C179" s="3"/>
      <c r="D179" s="3"/>
      <c r="E179" s="3"/>
      <c r="F179" s="3"/>
      <c r="G179" s="3"/>
      <c r="H179" s="3"/>
      <c r="S179" s="3"/>
      <c r="T179" s="6">
        <f t="shared" si="2"/>
        <v>46206</v>
      </c>
      <c r="U179" s="3" t="str">
        <f>IF(ISNA(vlookup(B179,DataExport!$D$2:$D$496,1,false)), "Belum", "Sudah")</f>
        <v>Belum</v>
      </c>
    </row>
    <row r="180">
      <c r="A180" s="3" t="str">
        <f t="shared" si="1"/>
        <v/>
      </c>
      <c r="C180" s="3"/>
      <c r="D180" s="3"/>
      <c r="E180" s="3"/>
      <c r="F180" s="3"/>
      <c r="G180" s="3"/>
      <c r="H180" s="3"/>
      <c r="S180" s="3"/>
      <c r="T180" s="6">
        <f t="shared" si="2"/>
        <v>46206</v>
      </c>
      <c r="U180" s="3" t="str">
        <f>IF(ISNA(vlookup(B180,DataExport!$D$2:$D$496,1,false)), "Belum", "Sudah")</f>
        <v>Belum</v>
      </c>
    </row>
    <row r="181">
      <c r="A181" s="3" t="str">
        <f t="shared" si="1"/>
        <v/>
      </c>
      <c r="C181" s="3"/>
      <c r="D181" s="3"/>
      <c r="E181" s="3"/>
      <c r="F181" s="3"/>
      <c r="G181" s="3"/>
      <c r="H181" s="3"/>
      <c r="S181" s="3"/>
      <c r="T181" s="6">
        <f t="shared" si="2"/>
        <v>46206</v>
      </c>
      <c r="U181" s="3" t="str">
        <f>IF(ISNA(vlookup(B181,DataExport!$D$2:$D$496,1,false)), "Belum", "Sudah")</f>
        <v>Belum</v>
      </c>
    </row>
    <row r="182">
      <c r="A182" s="3" t="str">
        <f t="shared" si="1"/>
        <v/>
      </c>
      <c r="C182" s="3"/>
      <c r="D182" s="3"/>
      <c r="E182" s="3"/>
      <c r="F182" s="3"/>
      <c r="G182" s="3"/>
      <c r="H182" s="3"/>
      <c r="S182" s="3"/>
      <c r="T182" s="6">
        <f t="shared" si="2"/>
        <v>46206</v>
      </c>
      <c r="U182" s="3" t="str">
        <f>IF(ISNA(vlookup(B182,DataExport!$D$2:$D$496,1,false)), "Belum", "Sudah")</f>
        <v>Belum</v>
      </c>
    </row>
    <row r="183">
      <c r="A183" s="3" t="str">
        <f t="shared" si="1"/>
        <v/>
      </c>
      <c r="C183" s="3"/>
      <c r="D183" s="3"/>
      <c r="E183" s="3"/>
      <c r="F183" s="3"/>
      <c r="G183" s="3"/>
      <c r="H183" s="3"/>
      <c r="S183" s="3"/>
      <c r="T183" s="6">
        <f t="shared" si="2"/>
        <v>46206</v>
      </c>
      <c r="U183" s="3" t="str">
        <f>IF(ISNA(vlookup(B183,DataExport!$D$2:$D$496,1,false)), "Belum", "Sudah")</f>
        <v>Belum</v>
      </c>
    </row>
    <row r="184">
      <c r="A184" s="3" t="str">
        <f t="shared" si="1"/>
        <v/>
      </c>
      <c r="C184" s="3"/>
      <c r="D184" s="3"/>
      <c r="E184" s="3"/>
      <c r="F184" s="3"/>
      <c r="G184" s="3"/>
      <c r="H184" s="3"/>
      <c r="S184" s="3"/>
      <c r="T184" s="6">
        <f t="shared" si="2"/>
        <v>46206</v>
      </c>
      <c r="U184" s="3" t="str">
        <f>IF(ISNA(vlookup(B184,DataExport!$D$2:$D$496,1,false)), "Belum", "Sudah")</f>
        <v>Belum</v>
      </c>
    </row>
    <row r="185">
      <c r="A185" s="3" t="str">
        <f t="shared" si="1"/>
        <v/>
      </c>
      <c r="C185" s="3"/>
      <c r="D185" s="3"/>
      <c r="E185" s="3"/>
      <c r="F185" s="3"/>
      <c r="G185" s="3"/>
      <c r="H185" s="3"/>
      <c r="S185" s="3"/>
      <c r="T185" s="6">
        <f t="shared" si="2"/>
        <v>46206</v>
      </c>
      <c r="U185" s="3" t="str">
        <f>IF(ISNA(vlookup(B185,DataExport!$D$2:$D$496,1,false)), "Belum", "Sudah")</f>
        <v>Belum</v>
      </c>
    </row>
    <row r="186">
      <c r="A186" s="3" t="str">
        <f t="shared" si="1"/>
        <v/>
      </c>
      <c r="C186" s="3"/>
      <c r="D186" s="3"/>
      <c r="E186" s="3"/>
      <c r="F186" s="3"/>
      <c r="G186" s="3"/>
      <c r="H186" s="3"/>
      <c r="S186" s="3"/>
      <c r="T186" s="6">
        <f t="shared" si="2"/>
        <v>46206</v>
      </c>
      <c r="U186" s="3" t="str">
        <f>IF(ISNA(vlookup(B186,DataExport!$D$2:$D$496,1,false)), "Belum", "Sudah")</f>
        <v>Belum</v>
      </c>
    </row>
    <row r="187">
      <c r="A187" s="3" t="str">
        <f t="shared" si="1"/>
        <v/>
      </c>
      <c r="C187" s="3"/>
      <c r="D187" s="3"/>
      <c r="E187" s="3"/>
      <c r="F187" s="3"/>
      <c r="G187" s="3"/>
      <c r="H187" s="3"/>
      <c r="S187" s="3"/>
      <c r="T187" s="6">
        <f t="shared" si="2"/>
        <v>46206</v>
      </c>
      <c r="U187" s="3" t="str">
        <f>IF(ISNA(vlookup(B187,DataExport!$D$2:$D$496,1,false)), "Belum", "Sudah")</f>
        <v>Belum</v>
      </c>
    </row>
    <row r="188">
      <c r="A188" s="3" t="str">
        <f t="shared" si="1"/>
        <v/>
      </c>
      <c r="C188" s="3"/>
      <c r="D188" s="3"/>
      <c r="E188" s="3"/>
      <c r="F188" s="3"/>
      <c r="G188" s="3"/>
      <c r="H188" s="3"/>
      <c r="S188" s="3"/>
      <c r="T188" s="6">
        <f t="shared" si="2"/>
        <v>46206</v>
      </c>
      <c r="U188" s="3" t="str">
        <f>IF(ISNA(vlookup(B188,DataExport!$D$2:$D$496,1,false)), "Belum", "Sudah")</f>
        <v>Belum</v>
      </c>
    </row>
    <row r="189">
      <c r="A189" s="3" t="str">
        <f t="shared" si="1"/>
        <v/>
      </c>
      <c r="C189" s="3"/>
      <c r="D189" s="3"/>
      <c r="E189" s="3"/>
      <c r="F189" s="3"/>
      <c r="G189" s="3"/>
      <c r="H189" s="3"/>
      <c r="S189" s="3"/>
      <c r="T189" s="6">
        <f t="shared" si="2"/>
        <v>46206</v>
      </c>
      <c r="U189" s="3" t="str">
        <f>IF(ISNA(vlookup(B189,DataExport!$D$2:$D$496,1,false)), "Belum", "Sudah")</f>
        <v>Belum</v>
      </c>
    </row>
    <row r="190">
      <c r="A190" s="3" t="str">
        <f t="shared" si="1"/>
        <v/>
      </c>
      <c r="C190" s="3"/>
      <c r="D190" s="3"/>
      <c r="E190" s="3"/>
      <c r="F190" s="3"/>
      <c r="G190" s="3"/>
      <c r="H190" s="3"/>
      <c r="S190" s="3"/>
      <c r="T190" s="6">
        <f t="shared" si="2"/>
        <v>46206</v>
      </c>
      <c r="U190" s="3" t="str">
        <f>IF(ISNA(vlookup(B190,DataExport!$D$2:$D$496,1,false)), "Belum", "Sudah")</f>
        <v>Belum</v>
      </c>
    </row>
    <row r="191">
      <c r="A191" s="3" t="str">
        <f t="shared" si="1"/>
        <v/>
      </c>
      <c r="C191" s="3"/>
      <c r="D191" s="3"/>
      <c r="E191" s="3"/>
      <c r="F191" s="3"/>
      <c r="G191" s="3"/>
      <c r="H191" s="3"/>
      <c r="S191" s="3"/>
      <c r="T191" s="6">
        <f t="shared" si="2"/>
        <v>46206</v>
      </c>
      <c r="U191" s="3" t="str">
        <f>IF(ISNA(vlookup(B191,DataExport!$D$2:$D$496,1,false)), "Belum", "Sudah")</f>
        <v>Belum</v>
      </c>
    </row>
    <row r="192">
      <c r="A192" s="3" t="str">
        <f t="shared" si="1"/>
        <v/>
      </c>
      <c r="C192" s="3"/>
      <c r="D192" s="3"/>
      <c r="E192" s="3"/>
      <c r="F192" s="3"/>
      <c r="G192" s="3"/>
      <c r="H192" s="3"/>
      <c r="S192" s="3"/>
      <c r="T192" s="6">
        <f t="shared" si="2"/>
        <v>46206</v>
      </c>
      <c r="U192" s="3" t="str">
        <f>IF(ISNA(vlookup(B192,DataExport!$D$2:$D$496,1,false)), "Belum", "Sudah")</f>
        <v>Belum</v>
      </c>
    </row>
    <row r="193">
      <c r="A193" s="3" t="str">
        <f t="shared" si="1"/>
        <v/>
      </c>
      <c r="C193" s="3"/>
      <c r="D193" s="3"/>
      <c r="E193" s="3"/>
      <c r="F193" s="3"/>
      <c r="G193" s="3"/>
      <c r="H193" s="3"/>
      <c r="S193" s="3"/>
      <c r="T193" s="6">
        <f t="shared" si="2"/>
        <v>46206</v>
      </c>
      <c r="U193" s="3" t="str">
        <f>IF(ISNA(vlookup(B193,DataExport!$D$2:$D$496,1,false)), "Belum", "Sudah")</f>
        <v>Belum</v>
      </c>
    </row>
    <row r="194">
      <c r="A194" s="3" t="str">
        <f t="shared" si="1"/>
        <v/>
      </c>
      <c r="C194" s="3"/>
      <c r="D194" s="3"/>
      <c r="E194" s="3"/>
      <c r="F194" s="3"/>
      <c r="G194" s="3"/>
      <c r="H194" s="3"/>
      <c r="S194" s="3"/>
      <c r="T194" s="6">
        <f t="shared" si="2"/>
        <v>46206</v>
      </c>
      <c r="U194" s="3" t="str">
        <f>IF(ISNA(vlookup(B194,DataExport!$D$2:$D$496,1,false)), "Belum", "Sudah")</f>
        <v>Belum</v>
      </c>
    </row>
    <row r="195">
      <c r="A195" s="3" t="str">
        <f t="shared" si="1"/>
        <v/>
      </c>
      <c r="C195" s="3"/>
      <c r="D195" s="3"/>
      <c r="E195" s="3"/>
      <c r="F195" s="3"/>
      <c r="G195" s="3"/>
      <c r="H195" s="3"/>
      <c r="S195" s="3"/>
      <c r="T195" s="6">
        <f t="shared" si="2"/>
        <v>46206</v>
      </c>
      <c r="U195" s="3" t="str">
        <f>IF(ISNA(vlookup(B195,DataExport!$D$2:$D$496,1,false)), "Belum", "Sudah")</f>
        <v>Belum</v>
      </c>
    </row>
    <row r="196">
      <c r="A196" s="3" t="str">
        <f t="shared" si="1"/>
        <v/>
      </c>
      <c r="C196" s="3"/>
      <c r="D196" s="3"/>
      <c r="E196" s="3"/>
      <c r="F196" s="3"/>
      <c r="G196" s="3"/>
      <c r="H196" s="3"/>
      <c r="S196" s="3"/>
      <c r="T196" s="6">
        <f t="shared" si="2"/>
        <v>46206</v>
      </c>
      <c r="U196" s="3" t="str">
        <f>IF(ISNA(vlookup(B196,DataExport!$D$2:$D$496,1,false)), "Belum", "Sudah")</f>
        <v>Belum</v>
      </c>
    </row>
    <row r="197">
      <c r="A197" s="3" t="str">
        <f t="shared" si="1"/>
        <v/>
      </c>
      <c r="C197" s="3"/>
      <c r="D197" s="3"/>
      <c r="E197" s="3"/>
      <c r="F197" s="3"/>
      <c r="G197" s="3"/>
      <c r="H197" s="3"/>
      <c r="S197" s="3"/>
      <c r="T197" s="6">
        <f t="shared" si="2"/>
        <v>46206</v>
      </c>
      <c r="U197" s="3" t="str">
        <f>IF(ISNA(vlookup(B197,DataExport!$D$2:$D$496,1,false)), "Belum", "Sudah")</f>
        <v>Belum</v>
      </c>
    </row>
    <row r="198">
      <c r="A198" s="3" t="str">
        <f t="shared" si="1"/>
        <v/>
      </c>
      <c r="C198" s="3"/>
      <c r="D198" s="3"/>
      <c r="E198" s="3"/>
      <c r="F198" s="3"/>
      <c r="G198" s="3"/>
      <c r="H198" s="3"/>
      <c r="S198" s="3"/>
      <c r="T198" s="6">
        <f t="shared" si="2"/>
        <v>46206</v>
      </c>
      <c r="U198" s="3" t="str">
        <f>IF(ISNA(vlookup(B198,DataExport!$D$2:$D$496,1,false)), "Belum", "Sudah")</f>
        <v>Belum</v>
      </c>
    </row>
    <row r="199">
      <c r="A199" s="3" t="str">
        <f t="shared" si="1"/>
        <v/>
      </c>
      <c r="C199" s="3"/>
      <c r="D199" s="3"/>
      <c r="E199" s="3"/>
      <c r="F199" s="3"/>
      <c r="G199" s="3"/>
      <c r="H199" s="3"/>
      <c r="S199" s="3"/>
      <c r="T199" s="6">
        <f t="shared" si="2"/>
        <v>46206</v>
      </c>
      <c r="U199" s="3" t="str">
        <f>IF(ISNA(vlookup(B199,DataExport!$D$2:$D$496,1,false)), "Belum", "Sudah")</f>
        <v>Belum</v>
      </c>
    </row>
    <row r="200">
      <c r="A200" s="3" t="str">
        <f t="shared" si="1"/>
        <v/>
      </c>
      <c r="C200" s="3"/>
      <c r="D200" s="3"/>
      <c r="E200" s="3"/>
      <c r="F200" s="3"/>
      <c r="G200" s="3"/>
      <c r="H200" s="3"/>
      <c r="S200" s="3"/>
      <c r="T200" s="6">
        <f t="shared" si="2"/>
        <v>46206</v>
      </c>
      <c r="U200" s="3" t="str">
        <f>IF(ISNA(vlookup(B200,DataExport!$D$2:$D$496,1,false)), "Belum", "Sudah")</f>
        <v>Belum</v>
      </c>
    </row>
    <row r="201">
      <c r="A201" s="3" t="str">
        <f t="shared" si="1"/>
        <v/>
      </c>
      <c r="C201" s="3"/>
      <c r="D201" s="3"/>
      <c r="E201" s="3"/>
      <c r="F201" s="3"/>
      <c r="G201" s="3"/>
      <c r="H201" s="3"/>
      <c r="S201" s="3"/>
      <c r="T201" s="6">
        <f t="shared" si="2"/>
        <v>46206</v>
      </c>
      <c r="U201" s="3" t="str">
        <f>IF(ISNA(vlookup(B201,DataExport!$D$2:$D$496,1,false)), "Belum", "Sudah")</f>
        <v>Belum</v>
      </c>
    </row>
    <row r="202">
      <c r="A202" s="3" t="str">
        <f t="shared" si="1"/>
        <v/>
      </c>
      <c r="C202" s="3"/>
      <c r="D202" s="3"/>
      <c r="E202" s="3"/>
      <c r="F202" s="3"/>
      <c r="G202" s="3"/>
      <c r="H202" s="3"/>
      <c r="S202" s="3"/>
      <c r="T202" s="6">
        <f t="shared" si="2"/>
        <v>46206</v>
      </c>
      <c r="U202" s="3" t="str">
        <f>IF(ISNA(vlookup(B202,DataExport!$D$2:$D$496,1,false)), "Belum", "Sudah")</f>
        <v>Belum</v>
      </c>
    </row>
    <row r="203">
      <c r="A203" s="3" t="str">
        <f t="shared" si="1"/>
        <v/>
      </c>
      <c r="C203" s="3"/>
      <c r="D203" s="3"/>
      <c r="E203" s="3"/>
      <c r="F203" s="3"/>
      <c r="G203" s="3"/>
      <c r="H203" s="3"/>
      <c r="S203" s="3"/>
      <c r="T203" s="6">
        <f t="shared" si="2"/>
        <v>46206</v>
      </c>
      <c r="U203" s="3" t="str">
        <f>IF(ISNA(vlookup(B203,DataExport!$D$2:$D$496,1,false)), "Belum", "Sudah")</f>
        <v>Belum</v>
      </c>
    </row>
    <row r="204">
      <c r="A204" s="3" t="str">
        <f t="shared" si="1"/>
        <v/>
      </c>
      <c r="C204" s="3"/>
      <c r="D204" s="3"/>
      <c r="E204" s="3"/>
      <c r="F204" s="3"/>
      <c r="G204" s="3"/>
      <c r="H204" s="3"/>
      <c r="S204" s="3"/>
      <c r="T204" s="6">
        <f t="shared" si="2"/>
        <v>46206</v>
      </c>
      <c r="U204" s="3" t="str">
        <f>IF(ISNA(vlookup(B204,DataExport!$D$2:$D$496,1,false)), "Belum", "Sudah")</f>
        <v>Belum</v>
      </c>
    </row>
    <row r="205">
      <c r="A205" s="3" t="str">
        <f t="shared" si="1"/>
        <v/>
      </c>
      <c r="C205" s="3"/>
      <c r="D205" s="3"/>
      <c r="E205" s="3"/>
      <c r="F205" s="3"/>
      <c r="G205" s="3"/>
      <c r="H205" s="3"/>
      <c r="S205" s="3"/>
      <c r="T205" s="6">
        <f t="shared" si="2"/>
        <v>46206</v>
      </c>
      <c r="U205" s="3" t="str">
        <f>IF(ISNA(vlookup(B205,DataExport!$D$2:$D$496,1,false)), "Belum", "Sudah")</f>
        <v>Belum</v>
      </c>
    </row>
    <row r="206">
      <c r="A206" s="3" t="str">
        <f t="shared" si="1"/>
        <v/>
      </c>
      <c r="C206" s="3"/>
      <c r="D206" s="3"/>
      <c r="E206" s="3"/>
      <c r="F206" s="3"/>
      <c r="G206" s="3"/>
      <c r="H206" s="3"/>
      <c r="S206" s="3"/>
      <c r="T206" s="6">
        <f t="shared" si="2"/>
        <v>46206</v>
      </c>
      <c r="U206" s="3" t="str">
        <f>IF(ISNA(vlookup(B206,DataExport!$D$2:$D$496,1,false)), "Belum", "Sudah")</f>
        <v>Belum</v>
      </c>
    </row>
    <row r="207">
      <c r="A207" s="3" t="str">
        <f t="shared" si="1"/>
        <v/>
      </c>
      <c r="C207" s="3"/>
      <c r="D207" s="3"/>
      <c r="E207" s="3"/>
      <c r="F207" s="3"/>
      <c r="G207" s="3"/>
      <c r="H207" s="3"/>
      <c r="S207" s="3"/>
      <c r="T207" s="6">
        <f t="shared" si="2"/>
        <v>46206</v>
      </c>
      <c r="U207" s="3" t="str">
        <f>IF(ISNA(vlookup(B207,DataExport!$D$2:$D$496,1,false)), "Belum", "Sudah")</f>
        <v>Belum</v>
      </c>
    </row>
    <row r="208">
      <c r="A208" s="3" t="str">
        <f t="shared" si="1"/>
        <v/>
      </c>
      <c r="C208" s="3"/>
      <c r="D208" s="3"/>
      <c r="E208" s="3"/>
      <c r="F208" s="3"/>
      <c r="G208" s="3"/>
      <c r="H208" s="3"/>
      <c r="S208" s="3"/>
      <c r="T208" s="6">
        <f t="shared" si="2"/>
        <v>46206</v>
      </c>
      <c r="U208" s="3" t="str">
        <f>IF(ISNA(vlookup(B208,DataExport!$D$2:$D$496,1,false)), "Belum", "Sudah")</f>
        <v>Belum</v>
      </c>
    </row>
    <row r="209">
      <c r="A209" s="3" t="str">
        <f t="shared" si="1"/>
        <v/>
      </c>
      <c r="C209" s="3"/>
      <c r="D209" s="3"/>
      <c r="E209" s="3"/>
      <c r="F209" s="3"/>
      <c r="G209" s="3"/>
      <c r="H209" s="3"/>
      <c r="S209" s="3"/>
      <c r="T209" s="6">
        <f t="shared" si="2"/>
        <v>46206</v>
      </c>
      <c r="U209" s="3" t="str">
        <f>IF(ISNA(vlookup(B209,DataExport!$D$2:$D$496,1,false)), "Belum", "Sudah")</f>
        <v>Belum</v>
      </c>
    </row>
    <row r="210">
      <c r="A210" s="3" t="str">
        <f t="shared" si="1"/>
        <v/>
      </c>
      <c r="C210" s="3"/>
      <c r="D210" s="3"/>
      <c r="E210" s="3"/>
      <c r="F210" s="3"/>
      <c r="G210" s="3"/>
      <c r="H210" s="3"/>
      <c r="S210" s="3"/>
      <c r="T210" s="6">
        <f t="shared" si="2"/>
        <v>46206</v>
      </c>
      <c r="U210" s="3" t="str">
        <f>IF(ISNA(vlookup(B210,DataExport!$D$2:$D$496,1,false)), "Belum", "Sudah")</f>
        <v>Belum</v>
      </c>
    </row>
    <row r="211">
      <c r="A211" s="3" t="str">
        <f t="shared" si="1"/>
        <v/>
      </c>
      <c r="C211" s="3"/>
      <c r="D211" s="3"/>
      <c r="E211" s="3"/>
      <c r="F211" s="3"/>
      <c r="G211" s="3"/>
      <c r="H211" s="3"/>
      <c r="S211" s="3"/>
      <c r="T211" s="6">
        <f t="shared" si="2"/>
        <v>46206</v>
      </c>
      <c r="U211" s="3" t="str">
        <f>IF(ISNA(vlookup(B211,DataExport!$D$2:$D$496,1,false)), "Belum", "Sudah")</f>
        <v>Belum</v>
      </c>
    </row>
    <row r="212">
      <c r="A212" s="3" t="str">
        <f t="shared" si="1"/>
        <v/>
      </c>
      <c r="C212" s="3"/>
      <c r="D212" s="3"/>
      <c r="E212" s="3"/>
      <c r="F212" s="3"/>
      <c r="G212" s="3"/>
      <c r="H212" s="3"/>
      <c r="S212" s="3"/>
      <c r="T212" s="6">
        <f t="shared" si="2"/>
        <v>46206</v>
      </c>
      <c r="U212" s="3" t="str">
        <f>IF(ISNA(vlookup(B212,DataExport!$D$2:$D$496,1,false)), "Belum", "Sudah")</f>
        <v>Belum</v>
      </c>
    </row>
    <row r="213">
      <c r="A213" s="3" t="str">
        <f t="shared" si="1"/>
        <v/>
      </c>
      <c r="C213" s="3"/>
      <c r="D213" s="3"/>
      <c r="E213" s="3"/>
      <c r="F213" s="3"/>
      <c r="G213" s="3"/>
      <c r="H213" s="3"/>
      <c r="S213" s="3"/>
      <c r="T213" s="6">
        <f t="shared" si="2"/>
        <v>46206</v>
      </c>
      <c r="U213" s="3" t="str">
        <f>IF(ISNA(vlookup(B213,DataExport!$D$2:$D$496,1,false)), "Belum", "Sudah")</f>
        <v>Belum</v>
      </c>
    </row>
    <row r="214">
      <c r="A214" s="3" t="str">
        <f t="shared" si="1"/>
        <v/>
      </c>
      <c r="C214" s="3"/>
      <c r="D214" s="3"/>
      <c r="E214" s="3"/>
      <c r="F214" s="3"/>
      <c r="G214" s="3"/>
      <c r="H214" s="3"/>
      <c r="S214" s="3"/>
      <c r="T214" s="6">
        <f t="shared" si="2"/>
        <v>46206</v>
      </c>
      <c r="U214" s="3" t="str">
        <f>IF(ISNA(vlookup(B214,DataExport!$D$2:$D$496,1,false)), "Belum", "Sudah")</f>
        <v>Belum</v>
      </c>
    </row>
    <row r="215">
      <c r="A215" s="3" t="str">
        <f t="shared" si="1"/>
        <v/>
      </c>
      <c r="C215" s="3"/>
      <c r="D215" s="3"/>
      <c r="E215" s="3"/>
      <c r="F215" s="3"/>
      <c r="G215" s="3"/>
      <c r="H215" s="3"/>
      <c r="S215" s="3"/>
      <c r="T215" s="6">
        <f t="shared" si="2"/>
        <v>46206</v>
      </c>
      <c r="U215" s="3" t="str">
        <f>IF(ISNA(vlookup(B215,DataExport!$D$2:$D$496,1,false)), "Belum", "Sudah")</f>
        <v>Belum</v>
      </c>
    </row>
    <row r="216">
      <c r="A216" s="3" t="str">
        <f t="shared" si="1"/>
        <v/>
      </c>
      <c r="C216" s="3"/>
      <c r="D216" s="3"/>
      <c r="E216" s="3"/>
      <c r="F216" s="3"/>
      <c r="G216" s="3"/>
      <c r="H216" s="3"/>
      <c r="S216" s="3"/>
      <c r="T216" s="6">
        <f t="shared" si="2"/>
        <v>46206</v>
      </c>
      <c r="U216" s="3" t="str">
        <f>IF(ISNA(vlookup(B216,DataExport!$D$2:$D$496,1,false)), "Belum", "Sudah")</f>
        <v>Belum</v>
      </c>
    </row>
    <row r="217">
      <c r="A217" s="3" t="str">
        <f t="shared" si="1"/>
        <v/>
      </c>
      <c r="C217" s="3"/>
      <c r="D217" s="3"/>
      <c r="E217" s="3"/>
      <c r="F217" s="3"/>
      <c r="G217" s="3"/>
      <c r="H217" s="3"/>
      <c r="S217" s="3"/>
      <c r="T217" s="6">
        <f t="shared" si="2"/>
        <v>46206</v>
      </c>
      <c r="U217" s="3" t="str">
        <f>IF(ISNA(vlookup(B217,DataExport!$D$2:$D$496,1,false)), "Belum", "Sudah")</f>
        <v>Belum</v>
      </c>
    </row>
    <row r="218">
      <c r="A218" s="3" t="str">
        <f t="shared" si="1"/>
        <v/>
      </c>
      <c r="C218" s="3"/>
      <c r="D218" s="3"/>
      <c r="E218" s="3"/>
      <c r="F218" s="3"/>
      <c r="G218" s="3"/>
      <c r="H218" s="3"/>
      <c r="S218" s="3"/>
      <c r="T218" s="6">
        <f t="shared" si="2"/>
        <v>46206</v>
      </c>
      <c r="U218" s="3" t="str">
        <f>IF(ISNA(vlookup(B218,DataExport!$D$2:$D$496,1,false)), "Belum", "Sudah")</f>
        <v>Belum</v>
      </c>
    </row>
    <row r="219">
      <c r="A219" s="3" t="str">
        <f t="shared" si="1"/>
        <v/>
      </c>
      <c r="C219" s="3"/>
      <c r="D219" s="3"/>
      <c r="E219" s="3"/>
      <c r="F219" s="3"/>
      <c r="G219" s="3"/>
      <c r="H219" s="3"/>
      <c r="S219" s="3"/>
      <c r="T219" s="6">
        <f t="shared" si="2"/>
        <v>46206</v>
      </c>
      <c r="U219" s="3" t="str">
        <f>IF(ISNA(vlookup(B219,DataExport!$D$2:$D$496,1,false)), "Belum", "Sudah")</f>
        <v>Belum</v>
      </c>
    </row>
    <row r="220">
      <c r="A220" s="3" t="str">
        <f t="shared" si="1"/>
        <v/>
      </c>
      <c r="C220" s="3"/>
      <c r="D220" s="3"/>
      <c r="E220" s="3"/>
      <c r="F220" s="3"/>
      <c r="G220" s="3"/>
      <c r="H220" s="3"/>
      <c r="S220" s="3"/>
      <c r="T220" s="6">
        <f t="shared" si="2"/>
        <v>46206</v>
      </c>
      <c r="U220" s="3" t="str">
        <f>IF(ISNA(vlookup(B220,DataExport!$D$2:$D$496,1,false)), "Belum", "Sudah")</f>
        <v>Belum</v>
      </c>
    </row>
    <row r="221">
      <c r="A221" s="3" t="str">
        <f t="shared" si="1"/>
        <v/>
      </c>
      <c r="C221" s="3"/>
      <c r="D221" s="3"/>
      <c r="E221" s="3"/>
      <c r="F221" s="3"/>
      <c r="G221" s="3"/>
      <c r="H221" s="3"/>
      <c r="S221" s="3"/>
      <c r="T221" s="6">
        <f t="shared" si="2"/>
        <v>46206</v>
      </c>
      <c r="U221" s="3" t="str">
        <f>IF(ISNA(vlookup(B221,DataExport!$D$2:$D$496,1,false)), "Belum", "Sudah")</f>
        <v>Belum</v>
      </c>
    </row>
    <row r="222">
      <c r="A222" s="3" t="str">
        <f t="shared" si="1"/>
        <v/>
      </c>
      <c r="C222" s="3"/>
      <c r="D222" s="3"/>
      <c r="E222" s="3"/>
      <c r="F222" s="3"/>
      <c r="G222" s="3"/>
      <c r="H222" s="3"/>
      <c r="S222" s="3"/>
      <c r="T222" s="6">
        <f t="shared" si="2"/>
        <v>46206</v>
      </c>
      <c r="U222" s="3" t="str">
        <f>IF(ISNA(vlookup(B222,DataExport!$D$2:$D$496,1,false)), "Belum", "Sudah")</f>
        <v>Belum</v>
      </c>
    </row>
    <row r="223">
      <c r="A223" s="3" t="str">
        <f t="shared" si="1"/>
        <v/>
      </c>
      <c r="C223" s="3"/>
      <c r="D223" s="3"/>
      <c r="E223" s="3"/>
      <c r="F223" s="3"/>
      <c r="G223" s="3"/>
      <c r="H223" s="3"/>
      <c r="S223" s="3"/>
      <c r="T223" s="6">
        <f t="shared" si="2"/>
        <v>46206</v>
      </c>
      <c r="U223" s="3" t="str">
        <f>IF(ISNA(vlookup(B223,DataExport!$D$2:$D$496,1,false)), "Belum", "Sudah")</f>
        <v>Belum</v>
      </c>
    </row>
    <row r="224">
      <c r="A224" s="3" t="str">
        <f t="shared" si="1"/>
        <v/>
      </c>
      <c r="C224" s="3"/>
      <c r="D224" s="3"/>
      <c r="E224" s="3"/>
      <c r="F224" s="3"/>
      <c r="G224" s="3"/>
      <c r="H224" s="3"/>
      <c r="S224" s="3"/>
      <c r="T224" s="6">
        <f t="shared" si="2"/>
        <v>46206</v>
      </c>
      <c r="U224" s="3" t="str">
        <f>IF(ISNA(vlookup(B224,DataExport!$D$2:$D$496,1,false)), "Belum", "Sudah")</f>
        <v>Belum</v>
      </c>
    </row>
    <row r="225">
      <c r="A225" s="3" t="str">
        <f t="shared" si="1"/>
        <v/>
      </c>
      <c r="C225" s="3"/>
      <c r="D225" s="3"/>
      <c r="E225" s="3"/>
      <c r="F225" s="3"/>
      <c r="G225" s="3"/>
      <c r="H225" s="3"/>
      <c r="S225" s="3"/>
      <c r="T225" s="6">
        <f t="shared" si="2"/>
        <v>46206</v>
      </c>
      <c r="U225" s="3" t="str">
        <f>IF(ISNA(vlookup(B225,DataExport!$D$2:$D$496,1,false)), "Belum", "Sudah")</f>
        <v>Belum</v>
      </c>
    </row>
    <row r="226">
      <c r="A226" s="3" t="str">
        <f t="shared" si="1"/>
        <v/>
      </c>
      <c r="C226" s="3"/>
      <c r="D226" s="3"/>
      <c r="E226" s="3"/>
      <c r="F226" s="3"/>
      <c r="G226" s="3"/>
      <c r="H226" s="3"/>
      <c r="S226" s="3"/>
      <c r="T226" s="6">
        <f t="shared" si="2"/>
        <v>46206</v>
      </c>
      <c r="U226" s="3" t="str">
        <f>IF(ISNA(vlookup(B226,DataExport!$D$2:$D$496,1,false)), "Belum", "Sudah")</f>
        <v>Belum</v>
      </c>
    </row>
    <row r="227">
      <c r="A227" s="3" t="str">
        <f t="shared" si="1"/>
        <v/>
      </c>
      <c r="C227" s="3"/>
      <c r="D227" s="3"/>
      <c r="E227" s="3"/>
      <c r="F227" s="3"/>
      <c r="G227" s="3"/>
      <c r="H227" s="3"/>
      <c r="S227" s="3"/>
      <c r="T227" s="6">
        <f t="shared" si="2"/>
        <v>46206</v>
      </c>
      <c r="U227" s="3" t="str">
        <f>IF(ISNA(vlookup(B227,DataExport!$D$2:$D$496,1,false)), "Belum", "Sudah")</f>
        <v>Belum</v>
      </c>
    </row>
    <row r="228">
      <c r="A228" s="3" t="str">
        <f t="shared" si="1"/>
        <v/>
      </c>
      <c r="C228" s="3"/>
      <c r="D228" s="3"/>
      <c r="E228" s="3"/>
      <c r="F228" s="3"/>
      <c r="G228" s="3"/>
      <c r="H228" s="3"/>
      <c r="S228" s="3"/>
      <c r="T228" s="6">
        <f t="shared" si="2"/>
        <v>46206</v>
      </c>
      <c r="U228" s="3" t="str">
        <f>IF(ISNA(vlookup(B228,DataExport!$D$2:$D$496,1,false)), "Belum", "Sudah")</f>
        <v>Belum</v>
      </c>
    </row>
    <row r="229">
      <c r="A229" s="3" t="str">
        <f t="shared" si="1"/>
        <v/>
      </c>
      <c r="C229" s="3"/>
      <c r="D229" s="3"/>
      <c r="E229" s="3"/>
      <c r="F229" s="3"/>
      <c r="G229" s="3"/>
      <c r="H229" s="3"/>
      <c r="S229" s="3"/>
      <c r="T229" s="6">
        <f t="shared" si="2"/>
        <v>46206</v>
      </c>
      <c r="U229" s="3" t="str">
        <f>IF(ISNA(vlookup(B229,DataExport!$D$2:$D$496,1,false)), "Belum", "Sudah")</f>
        <v>Belum</v>
      </c>
    </row>
    <row r="230">
      <c r="A230" s="3" t="str">
        <f t="shared" si="1"/>
        <v/>
      </c>
      <c r="C230" s="3"/>
      <c r="D230" s="3"/>
      <c r="E230" s="3"/>
      <c r="F230" s="3"/>
      <c r="G230" s="3"/>
      <c r="H230" s="3"/>
      <c r="S230" s="3"/>
      <c r="T230" s="6">
        <f t="shared" si="2"/>
        <v>46206</v>
      </c>
      <c r="U230" s="3" t="str">
        <f>IF(ISNA(vlookup(B230,DataExport!$D$2:$D$496,1,false)), "Belum", "Sudah")</f>
        <v>Belum</v>
      </c>
    </row>
    <row r="231">
      <c r="A231" s="3" t="str">
        <f t="shared" si="1"/>
        <v/>
      </c>
      <c r="C231" s="3"/>
      <c r="D231" s="3"/>
      <c r="E231" s="3"/>
      <c r="F231" s="3"/>
      <c r="G231" s="3"/>
      <c r="H231" s="3"/>
      <c r="S231" s="3"/>
      <c r="T231" s="6">
        <f t="shared" si="2"/>
        <v>46206</v>
      </c>
      <c r="U231" s="3" t="str">
        <f>IF(ISNA(vlookup(B231,DataExport!$D$2:$D$496,1,false)), "Belum", "Sudah")</f>
        <v>Belum</v>
      </c>
    </row>
    <row r="232">
      <c r="A232" s="3" t="str">
        <f t="shared" si="1"/>
        <v/>
      </c>
      <c r="C232" s="3"/>
      <c r="D232" s="3"/>
      <c r="E232" s="3"/>
      <c r="F232" s="3"/>
      <c r="G232" s="3"/>
      <c r="H232" s="3"/>
      <c r="S232" s="3"/>
      <c r="T232" s="6">
        <f t="shared" si="2"/>
        <v>46206</v>
      </c>
      <c r="U232" s="3" t="str">
        <f>IF(ISNA(vlookup(B232,DataExport!$D$2:$D$496,1,false)), "Belum", "Sudah")</f>
        <v>Belum</v>
      </c>
    </row>
    <row r="233">
      <c r="A233" s="3" t="str">
        <f t="shared" si="1"/>
        <v/>
      </c>
      <c r="C233" s="3"/>
      <c r="D233" s="3"/>
      <c r="E233" s="3"/>
      <c r="F233" s="3"/>
      <c r="G233" s="3"/>
      <c r="H233" s="3"/>
      <c r="S233" s="3"/>
      <c r="T233" s="6">
        <f t="shared" si="2"/>
        <v>46206</v>
      </c>
      <c r="U233" s="3" t="str">
        <f>IF(ISNA(vlookup(B233,DataExport!$D$2:$D$496,1,false)), "Belum", "Sudah")</f>
        <v>Belum</v>
      </c>
    </row>
    <row r="234">
      <c r="A234" s="3" t="str">
        <f t="shared" si="1"/>
        <v/>
      </c>
      <c r="C234" s="3"/>
      <c r="D234" s="3"/>
      <c r="E234" s="3"/>
      <c r="F234" s="3"/>
      <c r="G234" s="3"/>
      <c r="H234" s="3"/>
      <c r="S234" s="3"/>
      <c r="T234" s="6">
        <f t="shared" si="2"/>
        <v>46206</v>
      </c>
      <c r="U234" s="3" t="str">
        <f>IF(ISNA(vlookup(B234,DataExport!$D$2:$D$496,1,false)), "Belum", "Sudah")</f>
        <v>Belum</v>
      </c>
    </row>
    <row r="235">
      <c r="A235" s="3" t="str">
        <f t="shared" si="1"/>
        <v/>
      </c>
      <c r="C235" s="3"/>
      <c r="D235" s="3"/>
      <c r="E235" s="3"/>
      <c r="F235" s="3"/>
      <c r="G235" s="3"/>
      <c r="H235" s="3"/>
      <c r="S235" s="3"/>
      <c r="T235" s="6">
        <f t="shared" si="2"/>
        <v>46206</v>
      </c>
      <c r="U235" s="3" t="str">
        <f>IF(ISNA(vlookup(B235,DataExport!$D$2:$D$496,1,false)), "Belum", "Sudah")</f>
        <v>Belum</v>
      </c>
    </row>
    <row r="236">
      <c r="A236" s="3" t="str">
        <f t="shared" si="1"/>
        <v/>
      </c>
      <c r="C236" s="3"/>
      <c r="D236" s="3"/>
      <c r="E236" s="3"/>
      <c r="F236" s="3"/>
      <c r="G236" s="3"/>
      <c r="H236" s="3"/>
      <c r="S236" s="3"/>
      <c r="T236" s="6">
        <f t="shared" si="2"/>
        <v>46206</v>
      </c>
      <c r="U236" s="3" t="str">
        <f>IF(ISNA(vlookup(B236,DataExport!$D$2:$D$496,1,false)), "Belum", "Sudah")</f>
        <v>Belum</v>
      </c>
    </row>
    <row r="237">
      <c r="A237" s="3" t="str">
        <f t="shared" si="1"/>
        <v/>
      </c>
      <c r="C237" s="3"/>
      <c r="D237" s="3"/>
      <c r="E237" s="3"/>
      <c r="F237" s="3"/>
      <c r="G237" s="3"/>
      <c r="H237" s="3"/>
      <c r="S237" s="3"/>
      <c r="T237" s="6">
        <f t="shared" si="2"/>
        <v>46206</v>
      </c>
      <c r="U237" s="3" t="str">
        <f>IF(ISNA(vlookup(B237,DataExport!$D$2:$D$496,1,false)), "Belum", "Sudah")</f>
        <v>Belum</v>
      </c>
    </row>
    <row r="238">
      <c r="A238" s="3" t="str">
        <f t="shared" si="1"/>
        <v/>
      </c>
      <c r="C238" s="3"/>
      <c r="D238" s="3"/>
      <c r="E238" s="3"/>
      <c r="F238" s="3"/>
      <c r="G238" s="3"/>
      <c r="H238" s="3"/>
      <c r="S238" s="3"/>
      <c r="T238" s="6">
        <f t="shared" si="2"/>
        <v>46206</v>
      </c>
      <c r="U238" s="3" t="str">
        <f>IF(ISNA(vlookup(B238,DataExport!$D$2:$D$496,1,false)), "Belum", "Sudah")</f>
        <v>Belum</v>
      </c>
    </row>
    <row r="239">
      <c r="A239" s="3" t="str">
        <f t="shared" si="1"/>
        <v/>
      </c>
      <c r="C239" s="3"/>
      <c r="D239" s="3"/>
      <c r="E239" s="3"/>
      <c r="F239" s="3"/>
      <c r="G239" s="3"/>
      <c r="H239" s="3"/>
      <c r="S239" s="3"/>
      <c r="T239" s="6">
        <f t="shared" si="2"/>
        <v>46206</v>
      </c>
      <c r="U239" s="3" t="str">
        <f>IF(ISNA(vlookup(B239,DataExport!$D$2:$D$496,1,false)), "Belum", "Sudah")</f>
        <v>Belum</v>
      </c>
    </row>
    <row r="240">
      <c r="A240" s="3" t="str">
        <f t="shared" si="1"/>
        <v/>
      </c>
      <c r="C240" s="3"/>
      <c r="D240" s="3"/>
      <c r="E240" s="3"/>
      <c r="F240" s="3"/>
      <c r="G240" s="3"/>
      <c r="H240" s="3"/>
      <c r="S240" s="3"/>
      <c r="T240" s="6">
        <f t="shared" si="2"/>
        <v>46206</v>
      </c>
      <c r="U240" s="3" t="str">
        <f>IF(ISNA(vlookup(B240,DataExport!$D$2:$D$496,1,false)), "Belum", "Sudah")</f>
        <v>Belum</v>
      </c>
    </row>
    <row r="241">
      <c r="A241" s="3" t="str">
        <f t="shared" si="1"/>
        <v/>
      </c>
      <c r="C241" s="3"/>
      <c r="D241" s="3"/>
      <c r="E241" s="3"/>
      <c r="F241" s="3"/>
      <c r="G241" s="3"/>
      <c r="H241" s="3"/>
      <c r="S241" s="3"/>
      <c r="T241" s="6">
        <f t="shared" si="2"/>
        <v>46206</v>
      </c>
      <c r="U241" s="3" t="str">
        <f>IF(ISNA(vlookup(B241,DataExport!$D$2:$D$496,1,false)), "Belum", "Sudah")</f>
        <v>Belum</v>
      </c>
    </row>
    <row r="242">
      <c r="A242" s="3" t="str">
        <f t="shared" si="1"/>
        <v/>
      </c>
      <c r="C242" s="3"/>
      <c r="D242" s="3"/>
      <c r="E242" s="3"/>
      <c r="F242" s="3"/>
      <c r="G242" s="3"/>
      <c r="H242" s="3"/>
      <c r="S242" s="3"/>
      <c r="T242" s="6">
        <f t="shared" si="2"/>
        <v>46206</v>
      </c>
      <c r="U242" s="3" t="str">
        <f>IF(ISNA(vlookup(B242,DataExport!$D$2:$D$496,1,false)), "Belum", "Sudah")</f>
        <v>Belum</v>
      </c>
    </row>
    <row r="243">
      <c r="A243" s="3" t="str">
        <f t="shared" si="1"/>
        <v/>
      </c>
      <c r="C243" s="3"/>
      <c r="D243" s="3"/>
      <c r="E243" s="3"/>
      <c r="F243" s="3"/>
      <c r="G243" s="3"/>
      <c r="H243" s="3"/>
      <c r="S243" s="3"/>
      <c r="T243" s="6">
        <f t="shared" si="2"/>
        <v>46206</v>
      </c>
      <c r="U243" s="3" t="str">
        <f>IF(ISNA(vlookup(B243,DataExport!$D$2:$D$496,1,false)), "Belum", "Sudah")</f>
        <v>Belum</v>
      </c>
    </row>
    <row r="244">
      <c r="A244" s="3" t="str">
        <f t="shared" si="1"/>
        <v/>
      </c>
      <c r="C244" s="3"/>
      <c r="D244" s="3"/>
      <c r="E244" s="3"/>
      <c r="F244" s="3"/>
      <c r="G244" s="3"/>
      <c r="H244" s="3"/>
      <c r="S244" s="3"/>
      <c r="T244" s="6">
        <f t="shared" si="2"/>
        <v>46206</v>
      </c>
      <c r="U244" s="3" t="str">
        <f>IF(ISNA(vlookup(B244,DataExport!$D$2:$D$496,1,false)), "Belum", "Sudah")</f>
        <v>Belum</v>
      </c>
    </row>
    <row r="245">
      <c r="A245" s="3" t="str">
        <f t="shared" si="1"/>
        <v/>
      </c>
      <c r="C245" s="3"/>
      <c r="D245" s="3"/>
      <c r="E245" s="3"/>
      <c r="F245" s="3"/>
      <c r="G245" s="3"/>
      <c r="H245" s="3"/>
      <c r="S245" s="3"/>
      <c r="T245" s="6">
        <f t="shared" si="2"/>
        <v>46206</v>
      </c>
      <c r="U245" s="3" t="str">
        <f>IF(ISNA(vlookup(B245,DataExport!$D$2:$D$496,1,false)), "Belum", "Sudah")</f>
        <v>Belum</v>
      </c>
    </row>
    <row r="246">
      <c r="A246" s="3" t="str">
        <f t="shared" si="1"/>
        <v/>
      </c>
      <c r="C246" s="3"/>
      <c r="D246" s="3"/>
      <c r="E246" s="3"/>
      <c r="F246" s="3"/>
      <c r="G246" s="3"/>
      <c r="H246" s="3"/>
      <c r="S246" s="3"/>
      <c r="T246" s="6">
        <f t="shared" si="2"/>
        <v>46206</v>
      </c>
      <c r="U246" s="3" t="str">
        <f>IF(ISNA(vlookup(B246,DataExport!$D$2:$D$496,1,false)), "Belum", "Sudah")</f>
        <v>Belum</v>
      </c>
    </row>
    <row r="247">
      <c r="A247" s="3" t="str">
        <f t="shared" si="1"/>
        <v/>
      </c>
      <c r="C247" s="3"/>
      <c r="D247" s="3"/>
      <c r="E247" s="3"/>
      <c r="F247" s="3"/>
      <c r="G247" s="3"/>
      <c r="H247" s="3"/>
      <c r="S247" s="3"/>
      <c r="T247" s="6">
        <f t="shared" si="2"/>
        <v>46206</v>
      </c>
      <c r="U247" s="3" t="str">
        <f>IF(ISNA(vlookup(B247,DataExport!$D$2:$D$496,1,false)), "Belum", "Sudah")</f>
        <v>Belum</v>
      </c>
    </row>
    <row r="248">
      <c r="A248" s="3" t="str">
        <f t="shared" si="1"/>
        <v/>
      </c>
      <c r="C248" s="3"/>
      <c r="D248" s="3"/>
      <c r="E248" s="3"/>
      <c r="F248" s="3"/>
      <c r="G248" s="3"/>
      <c r="H248" s="3"/>
      <c r="S248" s="3"/>
      <c r="T248" s="6">
        <f t="shared" si="2"/>
        <v>46206</v>
      </c>
      <c r="U248" s="3" t="str">
        <f>IF(ISNA(vlookup(B248,DataExport!$D$2:$D$496,1,false)), "Belum", "Sudah")</f>
        <v>Belum</v>
      </c>
    </row>
    <row r="249">
      <c r="A249" s="3" t="str">
        <f t="shared" si="1"/>
        <v/>
      </c>
      <c r="C249" s="3"/>
      <c r="D249" s="3"/>
      <c r="E249" s="3"/>
      <c r="F249" s="3"/>
      <c r="G249" s="3"/>
      <c r="H249" s="3"/>
      <c r="S249" s="3"/>
      <c r="T249" s="6">
        <f t="shared" si="2"/>
        <v>46206</v>
      </c>
      <c r="U249" s="3" t="str">
        <f>IF(ISNA(vlookup(B249,DataExport!$D$2:$D$496,1,false)), "Belum", "Sudah")</f>
        <v>Belum</v>
      </c>
    </row>
    <row r="250">
      <c r="A250" s="3" t="str">
        <f t="shared" si="1"/>
        <v/>
      </c>
      <c r="C250" s="3"/>
      <c r="D250" s="3"/>
      <c r="E250" s="3"/>
      <c r="F250" s="3"/>
      <c r="G250" s="3"/>
      <c r="H250" s="3"/>
      <c r="S250" s="3"/>
      <c r="T250" s="6">
        <f t="shared" si="2"/>
        <v>46206</v>
      </c>
      <c r="U250" s="3" t="str">
        <f>IF(ISNA(vlookup(B250,DataExport!$D$2:$D$496,1,false)), "Belum", "Sudah")</f>
        <v>Belum</v>
      </c>
    </row>
    <row r="251">
      <c r="A251" s="3" t="str">
        <f t="shared" si="1"/>
        <v/>
      </c>
      <c r="C251" s="3"/>
      <c r="D251" s="3"/>
      <c r="E251" s="3"/>
      <c r="F251" s="3"/>
      <c r="G251" s="3"/>
      <c r="H251" s="3"/>
      <c r="S251" s="3"/>
      <c r="T251" s="6">
        <f t="shared" si="2"/>
        <v>46206</v>
      </c>
      <c r="U251" s="3" t="str">
        <f>IF(ISNA(vlookup(B251,DataExport!$D$2:$D$496,1,false)), "Belum", "Sudah")</f>
        <v>Belum</v>
      </c>
    </row>
    <row r="252">
      <c r="A252" s="3" t="str">
        <f t="shared" si="1"/>
        <v/>
      </c>
      <c r="C252" s="3"/>
      <c r="D252" s="3"/>
      <c r="E252" s="3"/>
      <c r="F252" s="3"/>
      <c r="G252" s="3"/>
      <c r="H252" s="3"/>
      <c r="S252" s="3"/>
      <c r="T252" s="6">
        <f t="shared" si="2"/>
        <v>46206</v>
      </c>
      <c r="U252" s="3" t="str">
        <f>IF(ISNA(vlookup(B252,DataExport!$D$2:$D$496,1,false)), "Belum", "Sudah")</f>
        <v>Belum</v>
      </c>
    </row>
    <row r="253">
      <c r="A253" s="3" t="str">
        <f t="shared" si="1"/>
        <v/>
      </c>
      <c r="C253" s="3"/>
      <c r="D253" s="3"/>
      <c r="E253" s="3"/>
      <c r="F253" s="3"/>
      <c r="G253" s="3"/>
      <c r="H253" s="3"/>
      <c r="S253" s="3"/>
      <c r="T253" s="6">
        <f t="shared" si="2"/>
        <v>46206</v>
      </c>
      <c r="U253" s="3" t="str">
        <f>IF(ISNA(vlookup(B253,DataExport!$D$2:$D$496,1,false)), "Belum", "Sudah")</f>
        <v>Belum</v>
      </c>
    </row>
    <row r="254">
      <c r="A254" s="3" t="str">
        <f t="shared" si="1"/>
        <v/>
      </c>
      <c r="C254" s="3"/>
      <c r="D254" s="3"/>
      <c r="E254" s="3"/>
      <c r="F254" s="3"/>
      <c r="G254" s="3"/>
      <c r="H254" s="3"/>
      <c r="S254" s="3"/>
      <c r="T254" s="6">
        <f t="shared" si="2"/>
        <v>46206</v>
      </c>
      <c r="U254" s="3" t="str">
        <f>IF(ISNA(vlookup(B254,DataExport!$D$2:$D$496,1,false)), "Belum", "Sudah")</f>
        <v>Belum</v>
      </c>
    </row>
    <row r="255">
      <c r="A255" s="3" t="str">
        <f t="shared" si="1"/>
        <v/>
      </c>
      <c r="C255" s="3"/>
      <c r="D255" s="3"/>
      <c r="E255" s="3"/>
      <c r="F255" s="3"/>
      <c r="G255" s="3"/>
      <c r="H255" s="3"/>
      <c r="S255" s="3"/>
      <c r="T255" s="6">
        <f t="shared" si="2"/>
        <v>46206</v>
      </c>
      <c r="U255" s="3" t="str">
        <f>IF(ISNA(vlookup(B255,DataExport!$D$2:$D$496,1,false)), "Belum", "Sudah")</f>
        <v>Belum</v>
      </c>
    </row>
    <row r="256">
      <c r="A256" s="3" t="str">
        <f t="shared" si="1"/>
        <v/>
      </c>
      <c r="C256" s="3"/>
      <c r="D256" s="3"/>
      <c r="E256" s="3"/>
      <c r="F256" s="3"/>
      <c r="G256" s="3"/>
      <c r="H256" s="3"/>
      <c r="S256" s="3"/>
      <c r="T256" s="6">
        <f t="shared" si="2"/>
        <v>46206</v>
      </c>
      <c r="U256" s="3" t="str">
        <f>IF(ISNA(vlookup(B256,DataExport!$D$2:$D$496,1,false)), "Belum", "Sudah")</f>
        <v>Belum</v>
      </c>
    </row>
    <row r="257">
      <c r="A257" s="3" t="str">
        <f t="shared" si="1"/>
        <v/>
      </c>
      <c r="C257" s="3"/>
      <c r="D257" s="3"/>
      <c r="E257" s="3"/>
      <c r="F257" s="3"/>
      <c r="G257" s="3"/>
      <c r="H257" s="3"/>
      <c r="S257" s="3"/>
      <c r="T257" s="6">
        <f t="shared" si="2"/>
        <v>46206</v>
      </c>
      <c r="U257" s="3" t="str">
        <f>IF(ISNA(vlookup(B257,DataExport!$D$2:$D$496,1,false)), "Belum", "Sudah")</f>
        <v>Belum</v>
      </c>
    </row>
    <row r="258">
      <c r="A258" s="3" t="str">
        <f t="shared" si="1"/>
        <v/>
      </c>
      <c r="C258" s="3"/>
      <c r="D258" s="3"/>
      <c r="E258" s="3"/>
      <c r="F258" s="3"/>
      <c r="G258" s="3"/>
      <c r="H258" s="3"/>
      <c r="S258" s="3"/>
      <c r="T258" s="6">
        <f t="shared" si="2"/>
        <v>46206</v>
      </c>
      <c r="U258" s="3" t="str">
        <f>IF(ISNA(vlookup(B258,DataExport!$D$2:$D$496,1,false)), "Belum", "Sudah")</f>
        <v>Belum</v>
      </c>
    </row>
    <row r="259">
      <c r="A259" s="3" t="str">
        <f t="shared" si="1"/>
        <v/>
      </c>
      <c r="C259" s="3"/>
      <c r="D259" s="3"/>
      <c r="E259" s="3"/>
      <c r="F259" s="3"/>
      <c r="G259" s="3"/>
      <c r="H259" s="3"/>
      <c r="S259" s="3"/>
      <c r="T259" s="6">
        <f t="shared" si="2"/>
        <v>46206</v>
      </c>
      <c r="U259" s="3" t="str">
        <f>IF(ISNA(vlookup(B259,DataExport!$D$2:$D$496,1,false)), "Belum", "Sudah")</f>
        <v>Belum</v>
      </c>
    </row>
    <row r="260">
      <c r="A260" s="3" t="str">
        <f t="shared" si="1"/>
        <v/>
      </c>
      <c r="C260" s="3"/>
      <c r="D260" s="3"/>
      <c r="E260" s="3"/>
      <c r="F260" s="3"/>
      <c r="G260" s="3"/>
      <c r="H260" s="3"/>
      <c r="S260" s="3"/>
      <c r="T260" s="6">
        <f t="shared" si="2"/>
        <v>46206</v>
      </c>
      <c r="U260" s="3" t="str">
        <f>IF(ISNA(vlookup(B260,DataExport!$D$2:$D$496,1,false)), "Belum", "Sudah")</f>
        <v>Belum</v>
      </c>
    </row>
    <row r="261">
      <c r="A261" s="3" t="str">
        <f t="shared" si="1"/>
        <v/>
      </c>
      <c r="C261" s="3"/>
      <c r="D261" s="3"/>
      <c r="E261" s="3"/>
      <c r="F261" s="3"/>
      <c r="G261" s="3"/>
      <c r="H261" s="3"/>
      <c r="S261" s="3"/>
      <c r="T261" s="6">
        <f t="shared" si="2"/>
        <v>46206</v>
      </c>
      <c r="U261" s="3" t="str">
        <f>IF(ISNA(vlookup(B261,DataExport!$D$2:$D$496,1,false)), "Belum", "Sudah")</f>
        <v>Belum</v>
      </c>
    </row>
    <row r="262">
      <c r="A262" s="3" t="str">
        <f t="shared" si="1"/>
        <v/>
      </c>
      <c r="C262" s="3"/>
      <c r="D262" s="3"/>
      <c r="E262" s="3"/>
      <c r="F262" s="3"/>
      <c r="G262" s="3"/>
      <c r="H262" s="3"/>
      <c r="S262" s="3"/>
      <c r="T262" s="6">
        <f t="shared" si="2"/>
        <v>46206</v>
      </c>
      <c r="U262" s="3" t="str">
        <f>IF(ISNA(vlookup(B262,DataExport!$D$2:$D$496,1,false)), "Belum", "Sudah")</f>
        <v>Belum</v>
      </c>
    </row>
    <row r="263">
      <c r="A263" s="3" t="str">
        <f t="shared" si="1"/>
        <v/>
      </c>
      <c r="C263" s="3"/>
      <c r="D263" s="3"/>
      <c r="E263" s="3"/>
      <c r="F263" s="3"/>
      <c r="G263" s="3"/>
      <c r="H263" s="3"/>
      <c r="S263" s="3"/>
      <c r="T263" s="6">
        <f t="shared" si="2"/>
        <v>46206</v>
      </c>
      <c r="U263" s="3" t="str">
        <f>IF(ISNA(vlookup(B263,DataExport!$D$2:$D$496,1,false)), "Belum", "Sudah")</f>
        <v>Belum</v>
      </c>
    </row>
    <row r="264">
      <c r="A264" s="3" t="str">
        <f t="shared" si="1"/>
        <v/>
      </c>
      <c r="C264" s="3"/>
      <c r="D264" s="3"/>
      <c r="E264" s="3"/>
      <c r="F264" s="3"/>
      <c r="G264" s="3"/>
      <c r="H264" s="3"/>
      <c r="S264" s="3"/>
      <c r="T264" s="6">
        <f t="shared" si="2"/>
        <v>46206</v>
      </c>
      <c r="U264" s="3" t="str">
        <f>IF(ISNA(vlookup(B264,DataExport!$D$2:$D$496,1,false)), "Belum", "Sudah")</f>
        <v>Belum</v>
      </c>
    </row>
    <row r="265">
      <c r="A265" s="3" t="str">
        <f t="shared" si="1"/>
        <v/>
      </c>
      <c r="C265" s="3"/>
      <c r="D265" s="3"/>
      <c r="E265" s="3"/>
      <c r="F265" s="3"/>
      <c r="G265" s="3"/>
      <c r="H265" s="3"/>
      <c r="S265" s="3"/>
      <c r="T265" s="6">
        <f t="shared" si="2"/>
        <v>46206</v>
      </c>
      <c r="U265" s="3" t="str">
        <f>IF(ISNA(vlookup(B265,DataExport!$D$2:$D$496,1,false)), "Belum", "Sudah")</f>
        <v>Belum</v>
      </c>
    </row>
    <row r="266">
      <c r="A266" s="3" t="str">
        <f t="shared" si="1"/>
        <v/>
      </c>
      <c r="C266" s="3"/>
      <c r="D266" s="3"/>
      <c r="E266" s="3"/>
      <c r="F266" s="3"/>
      <c r="G266" s="3"/>
      <c r="H266" s="3"/>
      <c r="S266" s="3"/>
      <c r="T266" s="6">
        <f t="shared" si="2"/>
        <v>46206</v>
      </c>
      <c r="U266" s="3" t="str">
        <f>IF(ISNA(vlookup(B266,DataExport!$D$2:$D$496,1,false)), "Belum", "Sudah")</f>
        <v>Belum</v>
      </c>
    </row>
    <row r="267">
      <c r="A267" s="3" t="str">
        <f t="shared" si="1"/>
        <v/>
      </c>
      <c r="C267" s="3"/>
      <c r="D267" s="3"/>
      <c r="E267" s="3"/>
      <c r="F267" s="3"/>
      <c r="G267" s="3"/>
      <c r="H267" s="3"/>
      <c r="S267" s="3"/>
      <c r="T267" s="6">
        <f t="shared" si="2"/>
        <v>46206</v>
      </c>
      <c r="U267" s="3" t="str">
        <f>IF(ISNA(vlookup(B267,DataExport!$D$2:$D$496,1,false)), "Belum", "Sudah")</f>
        <v>Belum</v>
      </c>
    </row>
    <row r="268">
      <c r="A268" s="3" t="str">
        <f t="shared" si="1"/>
        <v/>
      </c>
      <c r="C268" s="3"/>
      <c r="D268" s="3"/>
      <c r="E268" s="3"/>
      <c r="F268" s="3"/>
      <c r="G268" s="3"/>
      <c r="H268" s="3"/>
      <c r="S268" s="3"/>
      <c r="T268" s="6">
        <f t="shared" si="2"/>
        <v>46206</v>
      </c>
      <c r="U268" s="3" t="str">
        <f>IF(ISNA(vlookup(B268,DataExport!$D$2:$D$496,1,false)), "Belum", "Sudah")</f>
        <v>Belum</v>
      </c>
    </row>
    <row r="269">
      <c r="A269" s="3" t="str">
        <f t="shared" si="1"/>
        <v/>
      </c>
      <c r="C269" s="3"/>
      <c r="D269" s="3"/>
      <c r="E269" s="3"/>
      <c r="F269" s="3"/>
      <c r="G269" s="3"/>
      <c r="H269" s="3"/>
      <c r="S269" s="3"/>
      <c r="T269" s="6">
        <f t="shared" si="2"/>
        <v>46206</v>
      </c>
      <c r="U269" s="3" t="str">
        <f>IF(ISNA(vlookup(B269,DataExport!$D$2:$D$496,1,false)), "Belum", "Sudah")</f>
        <v>Belum</v>
      </c>
    </row>
    <row r="270">
      <c r="A270" s="3" t="str">
        <f t="shared" si="1"/>
        <v/>
      </c>
      <c r="C270" s="3"/>
      <c r="D270" s="3"/>
      <c r="E270" s="3"/>
      <c r="F270" s="3"/>
      <c r="G270" s="3"/>
      <c r="H270" s="3"/>
      <c r="S270" s="3"/>
      <c r="T270" s="6">
        <f t="shared" si="2"/>
        <v>46206</v>
      </c>
      <c r="U270" s="3" t="str">
        <f>IF(ISNA(vlookup(B270,DataExport!$D$2:$D$496,1,false)), "Belum", "Sudah")</f>
        <v>Belum</v>
      </c>
    </row>
    <row r="271">
      <c r="A271" s="3" t="str">
        <f t="shared" si="1"/>
        <v/>
      </c>
      <c r="C271" s="3"/>
      <c r="D271" s="3"/>
      <c r="E271" s="3"/>
      <c r="F271" s="3"/>
      <c r="G271" s="3"/>
      <c r="H271" s="3"/>
      <c r="S271" s="3"/>
      <c r="T271" s="6">
        <f t="shared" si="2"/>
        <v>46206</v>
      </c>
      <c r="U271" s="3" t="str">
        <f>IF(ISNA(vlookup(B271,DataExport!$D$2:$D$496,1,false)), "Belum", "Sudah")</f>
        <v>Belum</v>
      </c>
    </row>
    <row r="272">
      <c r="A272" s="3" t="str">
        <f t="shared" si="1"/>
        <v/>
      </c>
      <c r="C272" s="3"/>
      <c r="D272" s="3"/>
      <c r="E272" s="3"/>
      <c r="F272" s="3"/>
      <c r="G272" s="3"/>
      <c r="H272" s="3"/>
      <c r="S272" s="3"/>
      <c r="T272" s="6">
        <f t="shared" si="2"/>
        <v>46206</v>
      </c>
      <c r="U272" s="3" t="str">
        <f>IF(ISNA(vlookup(B272,DataExport!$D$2:$D$496,1,false)), "Belum", "Sudah")</f>
        <v>Belum</v>
      </c>
    </row>
    <row r="273">
      <c r="A273" s="3" t="str">
        <f t="shared" si="1"/>
        <v/>
      </c>
      <c r="C273" s="3"/>
      <c r="D273" s="3"/>
      <c r="E273" s="3"/>
      <c r="F273" s="3"/>
      <c r="G273" s="3"/>
      <c r="H273" s="3"/>
      <c r="S273" s="3"/>
      <c r="T273" s="6">
        <f t="shared" si="2"/>
        <v>46206</v>
      </c>
      <c r="U273" s="3" t="str">
        <f>IF(ISNA(vlookup(B273,DataExport!$D$2:$D$496,1,false)), "Belum", "Sudah")</f>
        <v>Belum</v>
      </c>
    </row>
    <row r="274">
      <c r="A274" s="3" t="str">
        <f t="shared" si="1"/>
        <v/>
      </c>
      <c r="C274" s="3"/>
      <c r="D274" s="3"/>
      <c r="E274" s="3"/>
      <c r="F274" s="3"/>
      <c r="G274" s="3"/>
      <c r="H274" s="3"/>
      <c r="S274" s="3"/>
      <c r="T274" s="6">
        <f t="shared" si="2"/>
        <v>46206</v>
      </c>
      <c r="U274" s="3" t="str">
        <f>IF(ISNA(vlookup(B274,DataExport!$D$2:$D$496,1,false)), "Belum", "Sudah")</f>
        <v>Belum</v>
      </c>
    </row>
    <row r="275">
      <c r="A275" s="3" t="str">
        <f t="shared" si="1"/>
        <v/>
      </c>
      <c r="C275" s="3"/>
      <c r="D275" s="3"/>
      <c r="E275" s="3"/>
      <c r="F275" s="3"/>
      <c r="G275" s="3"/>
      <c r="H275" s="3"/>
      <c r="S275" s="3"/>
      <c r="T275" s="6">
        <f t="shared" si="2"/>
        <v>46206</v>
      </c>
      <c r="U275" s="3" t="str">
        <f>IF(ISNA(vlookup(B275,DataExport!$D$2:$D$496,1,false)), "Belum", "Sudah")</f>
        <v>Belum</v>
      </c>
    </row>
    <row r="276">
      <c r="A276" s="3" t="str">
        <f t="shared" si="1"/>
        <v/>
      </c>
      <c r="C276" s="3"/>
      <c r="D276" s="3"/>
      <c r="E276" s="3"/>
      <c r="F276" s="3"/>
      <c r="G276" s="3"/>
      <c r="H276" s="3"/>
      <c r="S276" s="3"/>
      <c r="T276" s="6">
        <f t="shared" si="2"/>
        <v>46206</v>
      </c>
      <c r="U276" s="3" t="str">
        <f>IF(ISNA(vlookup(B276,DataExport!$D$2:$D$496,1,false)), "Belum", "Sudah")</f>
        <v>Belum</v>
      </c>
    </row>
    <row r="277">
      <c r="A277" s="3" t="str">
        <f t="shared" si="1"/>
        <v/>
      </c>
      <c r="C277" s="3"/>
      <c r="D277" s="3"/>
      <c r="E277" s="3"/>
      <c r="F277" s="3"/>
      <c r="G277" s="3"/>
      <c r="H277" s="3"/>
      <c r="S277" s="3"/>
      <c r="T277" s="6">
        <f t="shared" si="2"/>
        <v>46206</v>
      </c>
      <c r="U277" s="3" t="str">
        <f>IF(ISNA(vlookup(B277,DataExport!$D$2:$D$496,1,false)), "Belum", "Sudah")</f>
        <v>Belum</v>
      </c>
    </row>
    <row r="278">
      <c r="A278" s="3" t="str">
        <f t="shared" si="1"/>
        <v/>
      </c>
      <c r="C278" s="3"/>
      <c r="D278" s="3"/>
      <c r="E278" s="3"/>
      <c r="F278" s="3"/>
      <c r="G278" s="3"/>
      <c r="H278" s="3"/>
      <c r="S278" s="3"/>
      <c r="T278" s="6">
        <f t="shared" si="2"/>
        <v>46206</v>
      </c>
      <c r="U278" s="3" t="str">
        <f>IF(ISNA(vlookup(B278,DataExport!$D$2:$D$496,1,false)), "Belum", "Sudah")</f>
        <v>Belum</v>
      </c>
    </row>
    <row r="279">
      <c r="A279" s="3" t="str">
        <f t="shared" si="1"/>
        <v/>
      </c>
      <c r="C279" s="3"/>
      <c r="D279" s="3"/>
      <c r="E279" s="3"/>
      <c r="F279" s="3"/>
      <c r="G279" s="3"/>
      <c r="H279" s="3"/>
      <c r="S279" s="3"/>
      <c r="T279" s="6">
        <f t="shared" si="2"/>
        <v>46206</v>
      </c>
      <c r="U279" s="3" t="str">
        <f>IF(ISNA(vlookup(B279,DataExport!$D$2:$D$496,1,false)), "Belum", "Sudah")</f>
        <v>Belum</v>
      </c>
    </row>
    <row r="280">
      <c r="A280" s="3" t="str">
        <f t="shared" si="1"/>
        <v/>
      </c>
      <c r="C280" s="3"/>
      <c r="D280" s="3"/>
      <c r="E280" s="3"/>
      <c r="F280" s="3"/>
      <c r="G280" s="3"/>
      <c r="H280" s="3"/>
      <c r="S280" s="3"/>
      <c r="T280" s="6">
        <f t="shared" si="2"/>
        <v>46206</v>
      </c>
      <c r="U280" s="3" t="str">
        <f>IF(ISNA(vlookup(B280,DataExport!$D$2:$D$496,1,false)), "Belum", "Sudah")</f>
        <v>Belum</v>
      </c>
    </row>
    <row r="281">
      <c r="A281" s="3" t="str">
        <f t="shared" si="1"/>
        <v/>
      </c>
      <c r="C281" s="3"/>
      <c r="D281" s="3"/>
      <c r="E281" s="3"/>
      <c r="F281" s="3"/>
      <c r="G281" s="3"/>
      <c r="H281" s="3"/>
      <c r="S281" s="3"/>
      <c r="T281" s="6">
        <f t="shared" si="2"/>
        <v>46206</v>
      </c>
      <c r="U281" s="3" t="str">
        <f>IF(ISNA(vlookup(B281,DataExport!$D$2:$D$496,1,false)), "Belum", "Sudah")</f>
        <v>Belum</v>
      </c>
    </row>
    <row r="282">
      <c r="A282" s="3" t="str">
        <f t="shared" si="1"/>
        <v/>
      </c>
      <c r="C282" s="3"/>
      <c r="D282" s="3"/>
      <c r="E282" s="3"/>
      <c r="F282" s="3"/>
      <c r="G282" s="3"/>
      <c r="H282" s="3"/>
      <c r="S282" s="3"/>
      <c r="T282" s="6">
        <f t="shared" si="2"/>
        <v>46206</v>
      </c>
      <c r="U282" s="3" t="str">
        <f>IF(ISNA(vlookup(B282,DataExport!$D$2:$D$496,1,false)), "Belum", "Sudah")</f>
        <v>Belum</v>
      </c>
    </row>
    <row r="283">
      <c r="A283" s="3" t="str">
        <f t="shared" si="1"/>
        <v/>
      </c>
      <c r="C283" s="3"/>
      <c r="D283" s="3"/>
      <c r="E283" s="3"/>
      <c r="F283" s="3"/>
      <c r="G283" s="3"/>
      <c r="H283" s="3"/>
      <c r="S283" s="3"/>
      <c r="T283" s="6">
        <f t="shared" si="2"/>
        <v>46206</v>
      </c>
      <c r="U283" s="3" t="str">
        <f>IF(ISNA(vlookup(B283,DataExport!$D$2:$D$496,1,false)), "Belum", "Sudah")</f>
        <v>Belum</v>
      </c>
    </row>
    <row r="284">
      <c r="A284" s="3" t="str">
        <f t="shared" si="1"/>
        <v/>
      </c>
      <c r="C284" s="3"/>
      <c r="D284" s="3"/>
      <c r="E284" s="3"/>
      <c r="F284" s="3"/>
      <c r="G284" s="3"/>
      <c r="H284" s="3"/>
      <c r="S284" s="3"/>
      <c r="T284" s="6">
        <f t="shared" si="2"/>
        <v>46206</v>
      </c>
      <c r="U284" s="3" t="str">
        <f>IF(ISNA(vlookup(B284,DataExport!$D$2:$D$496,1,false)), "Belum", "Sudah")</f>
        <v>Belum</v>
      </c>
    </row>
    <row r="285">
      <c r="A285" s="3" t="str">
        <f t="shared" si="1"/>
        <v/>
      </c>
      <c r="C285" s="3"/>
      <c r="D285" s="3"/>
      <c r="E285" s="3"/>
      <c r="F285" s="3"/>
      <c r="G285" s="3"/>
      <c r="H285" s="3"/>
      <c r="S285" s="3"/>
      <c r="T285" s="6">
        <f t="shared" si="2"/>
        <v>46206</v>
      </c>
      <c r="U285" s="3" t="str">
        <f>IF(ISNA(vlookup(B285,DataExport!$D$2:$D$496,1,false)), "Belum", "Sudah")</f>
        <v>Belum</v>
      </c>
    </row>
    <row r="286">
      <c r="A286" s="3" t="str">
        <f t="shared" si="1"/>
        <v/>
      </c>
      <c r="C286" s="3"/>
      <c r="D286" s="3"/>
      <c r="E286" s="3"/>
      <c r="F286" s="3"/>
      <c r="G286" s="3"/>
      <c r="H286" s="3"/>
      <c r="S286" s="3"/>
      <c r="T286" s="6">
        <f t="shared" si="2"/>
        <v>46206</v>
      </c>
      <c r="U286" s="3" t="str">
        <f>IF(ISNA(vlookup(B286,DataExport!$D$2:$D$496,1,false)), "Belum", "Sudah")</f>
        <v>Belum</v>
      </c>
    </row>
    <row r="287">
      <c r="A287" s="3" t="str">
        <f t="shared" si="1"/>
        <v/>
      </c>
      <c r="C287" s="3"/>
      <c r="D287" s="3"/>
      <c r="E287" s="3"/>
      <c r="F287" s="3"/>
      <c r="G287" s="3"/>
      <c r="H287" s="3"/>
      <c r="S287" s="3"/>
      <c r="T287" s="6">
        <f t="shared" si="2"/>
        <v>46206</v>
      </c>
      <c r="U287" s="3" t="str">
        <f>IF(ISNA(vlookup(B287,DataExport!$D$2:$D$496,1,false)), "Belum", "Sudah")</f>
        <v>Belum</v>
      </c>
    </row>
    <row r="288">
      <c r="A288" s="3" t="str">
        <f t="shared" si="1"/>
        <v/>
      </c>
      <c r="C288" s="3"/>
      <c r="D288" s="3"/>
      <c r="E288" s="3"/>
      <c r="F288" s="3"/>
      <c r="G288" s="3"/>
      <c r="H288" s="3"/>
      <c r="S288" s="3"/>
      <c r="T288" s="6">
        <f t="shared" si="2"/>
        <v>46206</v>
      </c>
      <c r="U288" s="3" t="str">
        <f>IF(ISNA(vlookup(B288,DataExport!$D$2:$D$496,1,false)), "Belum", "Sudah")</f>
        <v>Belum</v>
      </c>
    </row>
    <row r="289">
      <c r="A289" s="3" t="str">
        <f t="shared" si="1"/>
        <v/>
      </c>
      <c r="C289" s="3"/>
      <c r="D289" s="3"/>
      <c r="E289" s="3"/>
      <c r="F289" s="3"/>
      <c r="G289" s="3"/>
      <c r="H289" s="3"/>
      <c r="S289" s="3"/>
      <c r="T289" s="6">
        <f t="shared" si="2"/>
        <v>46206</v>
      </c>
      <c r="U289" s="3" t="str">
        <f>IF(ISNA(vlookup(B289,DataExport!$D$2:$D$496,1,false)), "Belum", "Sudah")</f>
        <v>Belum</v>
      </c>
    </row>
    <row r="290">
      <c r="A290" s="3" t="str">
        <f t="shared" si="1"/>
        <v/>
      </c>
      <c r="C290" s="3"/>
      <c r="D290" s="3"/>
      <c r="E290" s="3"/>
      <c r="F290" s="3"/>
      <c r="G290" s="3"/>
      <c r="H290" s="3"/>
      <c r="S290" s="3"/>
      <c r="T290" s="6">
        <f t="shared" si="2"/>
        <v>46206</v>
      </c>
      <c r="U290" s="3" t="str">
        <f>IF(ISNA(vlookup(B290,DataExport!$D$2:$D$496,1,false)), "Belum", "Sudah")</f>
        <v>Belum</v>
      </c>
    </row>
    <row r="291">
      <c r="A291" s="3" t="str">
        <f t="shared" si="1"/>
        <v/>
      </c>
      <c r="C291" s="3"/>
      <c r="D291" s="3"/>
      <c r="E291" s="3"/>
      <c r="F291" s="3"/>
      <c r="G291" s="3"/>
      <c r="H291" s="3"/>
      <c r="S291" s="3"/>
      <c r="T291" s="6">
        <f t="shared" si="2"/>
        <v>46206</v>
      </c>
      <c r="U291" s="3" t="str">
        <f>IF(ISNA(vlookup(B291,DataExport!$D$2:$D$496,1,false)), "Belum", "Sudah")</f>
        <v>Belum</v>
      </c>
    </row>
    <row r="292">
      <c r="A292" s="3" t="str">
        <f t="shared" si="1"/>
        <v/>
      </c>
      <c r="C292" s="3"/>
      <c r="D292" s="3"/>
      <c r="E292" s="3"/>
      <c r="F292" s="3"/>
      <c r="G292" s="3"/>
      <c r="H292" s="3"/>
      <c r="S292" s="3"/>
      <c r="T292" s="6">
        <f t="shared" si="2"/>
        <v>46206</v>
      </c>
      <c r="U292" s="3" t="str">
        <f>IF(ISNA(vlookup(B292,DataExport!$D$2:$D$496,1,false)), "Belum", "Sudah")</f>
        <v>Belum</v>
      </c>
    </row>
    <row r="293">
      <c r="A293" s="3" t="str">
        <f t="shared" si="1"/>
        <v/>
      </c>
      <c r="C293" s="3"/>
      <c r="D293" s="3"/>
      <c r="E293" s="3"/>
      <c r="F293" s="3"/>
      <c r="G293" s="3"/>
      <c r="H293" s="3"/>
      <c r="S293" s="3"/>
      <c r="T293" s="6">
        <f t="shared" si="2"/>
        <v>46206</v>
      </c>
      <c r="U293" s="3" t="str">
        <f>IF(ISNA(vlookup(B293,DataExport!$D$2:$D$496,1,false)), "Belum", "Sudah")</f>
        <v>Belum</v>
      </c>
    </row>
    <row r="294">
      <c r="A294" s="3" t="str">
        <f t="shared" si="1"/>
        <v/>
      </c>
      <c r="C294" s="3"/>
      <c r="D294" s="3"/>
      <c r="E294" s="3"/>
      <c r="F294" s="3"/>
      <c r="G294" s="3"/>
      <c r="H294" s="3"/>
      <c r="S294" s="3"/>
      <c r="T294" s="6">
        <f t="shared" si="2"/>
        <v>46206</v>
      </c>
      <c r="U294" s="3" t="str">
        <f>IF(ISNA(vlookup(B294,DataExport!$D$2:$D$496,1,false)), "Belum", "Sudah")</f>
        <v>Belum</v>
      </c>
    </row>
    <row r="295">
      <c r="A295" s="3" t="str">
        <f t="shared" si="1"/>
        <v/>
      </c>
      <c r="C295" s="3"/>
      <c r="D295" s="3"/>
      <c r="E295" s="3"/>
      <c r="F295" s="3"/>
      <c r="G295" s="3"/>
      <c r="H295" s="3"/>
      <c r="S295" s="3"/>
      <c r="T295" s="6">
        <f t="shared" si="2"/>
        <v>46206</v>
      </c>
      <c r="U295" s="3" t="str">
        <f>IF(ISNA(vlookup(B295,DataExport!$D$2:$D$496,1,false)), "Belum", "Sudah")</f>
        <v>Belum</v>
      </c>
    </row>
    <row r="296">
      <c r="A296" s="3" t="str">
        <f t="shared" si="1"/>
        <v/>
      </c>
      <c r="C296" s="3"/>
      <c r="D296" s="3"/>
      <c r="E296" s="3"/>
      <c r="F296" s="3"/>
      <c r="G296" s="3"/>
      <c r="H296" s="3"/>
      <c r="S296" s="3"/>
      <c r="T296" s="6">
        <f t="shared" si="2"/>
        <v>46206</v>
      </c>
      <c r="U296" s="3" t="str">
        <f>IF(ISNA(vlookup(B296,DataExport!$D$2:$D$496,1,false)), "Belum", "Sudah")</f>
        <v>Belum</v>
      </c>
    </row>
    <row r="297">
      <c r="A297" s="3" t="str">
        <f t="shared" si="1"/>
        <v/>
      </c>
      <c r="C297" s="3"/>
      <c r="D297" s="3"/>
      <c r="E297" s="3"/>
      <c r="F297" s="3"/>
      <c r="G297" s="3"/>
      <c r="H297" s="3"/>
      <c r="S297" s="3"/>
      <c r="T297" s="6">
        <f t="shared" si="2"/>
        <v>46206</v>
      </c>
      <c r="U297" s="3" t="str">
        <f>IF(ISNA(vlookup(B297,DataExport!$D$2:$D$496,1,false)), "Belum", "Sudah")</f>
        <v>Belum</v>
      </c>
    </row>
    <row r="298">
      <c r="A298" s="3" t="str">
        <f t="shared" si="1"/>
        <v/>
      </c>
      <c r="C298" s="3"/>
      <c r="D298" s="3"/>
      <c r="E298" s="3"/>
      <c r="F298" s="3"/>
      <c r="G298" s="3"/>
      <c r="H298" s="3"/>
      <c r="S298" s="3"/>
      <c r="T298" s="6">
        <f t="shared" si="2"/>
        <v>46206</v>
      </c>
      <c r="U298" s="3" t="str">
        <f>IF(ISNA(vlookup(B298,DataExport!$D$2:$D$496,1,false)), "Belum", "Sudah")</f>
        <v>Belum</v>
      </c>
    </row>
    <row r="299">
      <c r="A299" s="3" t="str">
        <f t="shared" si="1"/>
        <v/>
      </c>
      <c r="C299" s="3"/>
      <c r="D299" s="3"/>
      <c r="E299" s="3"/>
      <c r="F299" s="3"/>
      <c r="G299" s="3"/>
      <c r="H299" s="3"/>
      <c r="S299" s="3"/>
      <c r="T299" s="6">
        <f t="shared" si="2"/>
        <v>46206</v>
      </c>
      <c r="U299" s="3" t="str">
        <f>IF(ISNA(vlookup(B299,DataExport!$D$2:$D$496,1,false)), "Belum", "Sudah")</f>
        <v>Belum</v>
      </c>
    </row>
    <row r="300">
      <c r="A300" s="3" t="str">
        <f t="shared" si="1"/>
        <v/>
      </c>
      <c r="C300" s="3"/>
      <c r="D300" s="3"/>
      <c r="E300" s="3"/>
      <c r="F300" s="3"/>
      <c r="G300" s="3"/>
      <c r="H300" s="3"/>
      <c r="S300" s="3"/>
      <c r="T300" s="6">
        <f t="shared" si="2"/>
        <v>46206</v>
      </c>
      <c r="U300" s="3" t="str">
        <f>IF(ISNA(vlookup(B300,DataExport!$D$2:$D$496,1,false)), "Belum", "Sudah")</f>
        <v>Belum</v>
      </c>
    </row>
    <row r="301">
      <c r="A301" s="3" t="str">
        <f t="shared" si="1"/>
        <v/>
      </c>
      <c r="C301" s="3"/>
      <c r="D301" s="3"/>
      <c r="E301" s="3"/>
      <c r="F301" s="3"/>
      <c r="G301" s="3"/>
      <c r="H301" s="3"/>
      <c r="S301" s="3"/>
      <c r="T301" s="6">
        <f t="shared" si="2"/>
        <v>46206</v>
      </c>
      <c r="U301" s="3" t="str">
        <f>IF(ISNA(vlookup(B301,DataExport!$D$2:$D$496,1,false)), "Belum", "Sudah")</f>
        <v>Belum</v>
      </c>
    </row>
    <row r="302">
      <c r="A302" s="3" t="str">
        <f t="shared" si="1"/>
        <v/>
      </c>
      <c r="C302" s="3"/>
      <c r="D302" s="3"/>
      <c r="E302" s="3"/>
      <c r="F302" s="3"/>
      <c r="G302" s="3"/>
      <c r="H302" s="3"/>
      <c r="S302" s="3"/>
      <c r="T302" s="6">
        <f t="shared" si="2"/>
        <v>46206</v>
      </c>
      <c r="U302" s="3" t="str">
        <f>IF(ISNA(vlookup(B302,DataExport!$D$2:$D$496,1,false)), "Belum", "Sudah")</f>
        <v>Belum</v>
      </c>
    </row>
    <row r="303">
      <c r="A303" s="3" t="str">
        <f t="shared" si="1"/>
        <v/>
      </c>
      <c r="C303" s="3"/>
      <c r="D303" s="3"/>
      <c r="E303" s="3"/>
      <c r="F303" s="3"/>
      <c r="G303" s="3"/>
      <c r="H303" s="3"/>
      <c r="S303" s="3"/>
      <c r="T303" s="6">
        <f t="shared" si="2"/>
        <v>46206</v>
      </c>
      <c r="U303" s="3" t="str">
        <f>IF(ISNA(vlookup(B303,DataExport!$D$2:$D$496,1,false)), "Belum", "Sudah")</f>
        <v>Belum</v>
      </c>
    </row>
    <row r="304">
      <c r="A304" s="3" t="str">
        <f t="shared" si="1"/>
        <v/>
      </c>
      <c r="C304" s="3"/>
      <c r="D304" s="3"/>
      <c r="E304" s="3"/>
      <c r="F304" s="3"/>
      <c r="G304" s="3"/>
      <c r="H304" s="3"/>
      <c r="S304" s="3"/>
      <c r="T304" s="6">
        <f t="shared" si="2"/>
        <v>46206</v>
      </c>
      <c r="U304" s="3" t="str">
        <f>IF(ISNA(vlookup(B304,DataExport!$D$2:$D$496,1,false)), "Belum", "Sudah")</f>
        <v>Belum</v>
      </c>
    </row>
    <row r="305">
      <c r="A305" s="3" t="str">
        <f t="shared" si="1"/>
        <v/>
      </c>
      <c r="C305" s="3"/>
      <c r="D305" s="3"/>
      <c r="E305" s="3"/>
      <c r="F305" s="3"/>
      <c r="G305" s="3"/>
      <c r="H305" s="3"/>
      <c r="S305" s="3"/>
      <c r="T305" s="6">
        <f t="shared" si="2"/>
        <v>46206</v>
      </c>
      <c r="U305" s="3" t="str">
        <f>IF(ISNA(vlookup(B305,DataExport!$D$2:$D$496,1,false)), "Belum", "Sudah")</f>
        <v>Belum</v>
      </c>
    </row>
    <row r="306">
      <c r="A306" s="3" t="str">
        <f t="shared" si="1"/>
        <v/>
      </c>
      <c r="C306" s="3"/>
      <c r="D306" s="3"/>
      <c r="E306" s="3"/>
      <c r="F306" s="3"/>
      <c r="G306" s="3"/>
      <c r="H306" s="3"/>
      <c r="S306" s="3"/>
      <c r="T306" s="6">
        <f t="shared" si="2"/>
        <v>46206</v>
      </c>
      <c r="U306" s="3" t="str">
        <f>IF(ISNA(vlookup(B306,DataExport!$D$2:$D$496,1,false)), "Belum", "Sudah")</f>
        <v>Belum</v>
      </c>
    </row>
    <row r="307">
      <c r="A307" s="3" t="str">
        <f t="shared" si="1"/>
        <v/>
      </c>
      <c r="C307" s="3"/>
      <c r="D307" s="3"/>
      <c r="E307" s="3"/>
      <c r="F307" s="3"/>
      <c r="G307" s="3"/>
      <c r="H307" s="3"/>
      <c r="S307" s="3"/>
      <c r="T307" s="6">
        <f t="shared" si="2"/>
        <v>46206</v>
      </c>
      <c r="U307" s="3" t="str">
        <f>IF(ISNA(vlookup(B307,DataExport!$D$2:$D$496,1,false)), "Belum", "Sudah")</f>
        <v>Belum</v>
      </c>
    </row>
    <row r="308">
      <c r="A308" s="3" t="str">
        <f t="shared" si="1"/>
        <v/>
      </c>
      <c r="C308" s="3"/>
      <c r="D308" s="3"/>
      <c r="E308" s="3"/>
      <c r="F308" s="3"/>
      <c r="G308" s="3"/>
      <c r="H308" s="3"/>
      <c r="S308" s="3"/>
      <c r="T308" s="6">
        <f t="shared" si="2"/>
        <v>46206</v>
      </c>
      <c r="U308" s="3" t="str">
        <f>IF(ISNA(vlookup(B308,DataExport!$D$2:$D$496,1,false)), "Belum", "Sudah")</f>
        <v>Belum</v>
      </c>
    </row>
    <row r="309">
      <c r="A309" s="3" t="str">
        <f t="shared" si="1"/>
        <v/>
      </c>
      <c r="C309" s="3"/>
      <c r="D309" s="3"/>
      <c r="E309" s="3"/>
      <c r="F309" s="3"/>
      <c r="G309" s="3"/>
      <c r="H309" s="3"/>
      <c r="S309" s="3"/>
      <c r="T309" s="6">
        <f t="shared" si="2"/>
        <v>46206</v>
      </c>
      <c r="U309" s="3" t="str">
        <f>IF(ISNA(vlookup(B309,DataExport!$D$2:$D$496,1,false)), "Belum", "Sudah")</f>
        <v>Belum</v>
      </c>
    </row>
    <row r="310">
      <c r="A310" s="3" t="str">
        <f t="shared" si="1"/>
        <v/>
      </c>
      <c r="C310" s="3"/>
      <c r="D310" s="3"/>
      <c r="E310" s="3"/>
      <c r="F310" s="3"/>
      <c r="G310" s="3"/>
      <c r="H310" s="3"/>
      <c r="S310" s="3"/>
      <c r="T310" s="6">
        <f t="shared" si="2"/>
        <v>46206</v>
      </c>
      <c r="U310" s="3" t="str">
        <f>IF(ISNA(vlookup(B310,DataExport!$D$2:$D$496,1,false)), "Belum", "Sudah")</f>
        <v>Belum</v>
      </c>
    </row>
    <row r="311">
      <c r="A311" s="3" t="str">
        <f t="shared" si="1"/>
        <v/>
      </c>
      <c r="C311" s="3"/>
      <c r="D311" s="3"/>
      <c r="E311" s="3"/>
      <c r="F311" s="3"/>
      <c r="G311" s="3"/>
      <c r="H311" s="3"/>
      <c r="S311" s="3"/>
      <c r="T311" s="6">
        <f t="shared" si="2"/>
        <v>46206</v>
      </c>
      <c r="U311" s="3" t="str">
        <f>IF(ISNA(vlookup(B311,DataExport!$D$2:$D$496,1,false)), "Belum", "Sudah")</f>
        <v>Belum</v>
      </c>
    </row>
    <row r="312">
      <c r="A312" s="3" t="str">
        <f t="shared" si="1"/>
        <v/>
      </c>
      <c r="C312" s="3"/>
      <c r="D312" s="3"/>
      <c r="E312" s="3"/>
      <c r="F312" s="3"/>
      <c r="G312" s="3"/>
      <c r="H312" s="3"/>
      <c r="S312" s="3"/>
      <c r="T312" s="6">
        <f t="shared" si="2"/>
        <v>46206</v>
      </c>
      <c r="U312" s="3" t="str">
        <f>IF(ISNA(vlookup(B312,DataExport!$D$2:$D$496,1,false)), "Belum", "Sudah")</f>
        <v>Belum</v>
      </c>
    </row>
    <row r="313">
      <c r="A313" s="3" t="str">
        <f t="shared" si="1"/>
        <v/>
      </c>
      <c r="C313" s="3"/>
      <c r="D313" s="3"/>
      <c r="E313" s="3"/>
      <c r="F313" s="3"/>
      <c r="G313" s="3"/>
      <c r="H313" s="3"/>
      <c r="S313" s="3"/>
      <c r="T313" s="6">
        <f t="shared" si="2"/>
        <v>46206</v>
      </c>
      <c r="U313" s="3" t="str">
        <f>IF(ISNA(vlookup(B313,DataExport!$D$2:$D$496,1,false)), "Belum", "Sudah")</f>
        <v>Belum</v>
      </c>
    </row>
    <row r="314">
      <c r="A314" s="3" t="str">
        <f t="shared" si="1"/>
        <v/>
      </c>
      <c r="C314" s="3"/>
      <c r="D314" s="3"/>
      <c r="E314" s="3"/>
      <c r="F314" s="3"/>
      <c r="G314" s="3"/>
      <c r="H314" s="3"/>
      <c r="S314" s="3"/>
      <c r="T314" s="6">
        <f t="shared" si="2"/>
        <v>46206</v>
      </c>
      <c r="U314" s="3" t="str">
        <f>IF(ISNA(vlookup(B314,DataExport!$D$2:$D$496,1,false)), "Belum", "Sudah")</f>
        <v>Belum</v>
      </c>
    </row>
    <row r="315">
      <c r="A315" s="3" t="str">
        <f t="shared" si="1"/>
        <v/>
      </c>
      <c r="C315" s="3"/>
      <c r="D315" s="3"/>
      <c r="E315" s="3"/>
      <c r="F315" s="3"/>
      <c r="G315" s="3"/>
      <c r="H315" s="3"/>
      <c r="S315" s="3"/>
      <c r="T315" s="6">
        <f t="shared" si="2"/>
        <v>46206</v>
      </c>
      <c r="U315" s="3" t="str">
        <f>IF(ISNA(vlookup(B315,DataExport!$D$2:$D$496,1,false)), "Belum", "Sudah")</f>
        <v>Belum</v>
      </c>
    </row>
    <row r="316">
      <c r="A316" s="3" t="str">
        <f t="shared" si="1"/>
        <v/>
      </c>
      <c r="C316" s="3"/>
      <c r="D316" s="3"/>
      <c r="E316" s="3"/>
      <c r="F316" s="3"/>
      <c r="G316" s="3"/>
      <c r="H316" s="3"/>
      <c r="S316" s="3"/>
      <c r="T316" s="6">
        <f t="shared" si="2"/>
        <v>46206</v>
      </c>
      <c r="U316" s="3" t="str">
        <f>IF(ISNA(vlookup(B316,DataExport!$D$2:$D$496,1,false)), "Belum", "Sudah")</f>
        <v>Belum</v>
      </c>
    </row>
    <row r="317">
      <c r="A317" s="3" t="str">
        <f t="shared" si="1"/>
        <v/>
      </c>
      <c r="C317" s="3"/>
      <c r="D317" s="3"/>
      <c r="E317" s="3"/>
      <c r="F317" s="3"/>
      <c r="G317" s="3"/>
      <c r="H317" s="3"/>
      <c r="S317" s="3"/>
      <c r="T317" s="6">
        <f t="shared" si="2"/>
        <v>46206</v>
      </c>
      <c r="U317" s="3" t="str">
        <f>IF(ISNA(vlookup(B317,DataExport!$D$2:$D$496,1,false)), "Belum", "Sudah")</f>
        <v>Belum</v>
      </c>
    </row>
    <row r="318">
      <c r="A318" s="3" t="str">
        <f t="shared" si="1"/>
        <v/>
      </c>
      <c r="C318" s="3"/>
      <c r="D318" s="3"/>
      <c r="E318" s="3"/>
      <c r="F318" s="3"/>
      <c r="G318" s="3"/>
      <c r="H318" s="3"/>
      <c r="S318" s="3"/>
      <c r="T318" s="6">
        <f t="shared" si="2"/>
        <v>46206</v>
      </c>
      <c r="U318" s="3" t="str">
        <f>IF(ISNA(vlookup(B318,DataExport!$D$2:$D$496,1,false)), "Belum", "Sudah")</f>
        <v>Belum</v>
      </c>
    </row>
    <row r="319">
      <c r="A319" s="3" t="str">
        <f t="shared" si="1"/>
        <v/>
      </c>
      <c r="C319" s="3"/>
      <c r="D319" s="3"/>
      <c r="E319" s="3"/>
      <c r="F319" s="3"/>
      <c r="G319" s="3"/>
      <c r="H319" s="3"/>
      <c r="S319" s="3"/>
      <c r="T319" s="6">
        <f t="shared" si="2"/>
        <v>46206</v>
      </c>
      <c r="U319" s="3" t="str">
        <f>IF(ISNA(vlookup(B319,DataExport!$D$2:$D$496,1,false)), "Belum", "Sudah")</f>
        <v>Belum</v>
      </c>
    </row>
    <row r="320">
      <c r="A320" s="3" t="str">
        <f t="shared" si="1"/>
        <v/>
      </c>
      <c r="C320" s="3"/>
      <c r="D320" s="3"/>
      <c r="E320" s="3"/>
      <c r="F320" s="3"/>
      <c r="G320" s="3"/>
      <c r="H320" s="3"/>
      <c r="S320" s="3"/>
      <c r="T320" s="6">
        <f t="shared" si="2"/>
        <v>46206</v>
      </c>
      <c r="U320" s="3" t="str">
        <f>IF(ISNA(vlookup(B320,DataExport!$D$2:$D$496,1,false)), "Belum", "Sudah")</f>
        <v>Belum</v>
      </c>
    </row>
    <row r="321">
      <c r="A321" s="3" t="str">
        <f t="shared" si="1"/>
        <v/>
      </c>
      <c r="C321" s="3"/>
      <c r="D321" s="3"/>
      <c r="E321" s="3"/>
      <c r="F321" s="3"/>
      <c r="G321" s="3"/>
      <c r="H321" s="3"/>
      <c r="S321" s="3"/>
      <c r="T321" s="6">
        <f t="shared" si="2"/>
        <v>46206</v>
      </c>
      <c r="U321" s="3" t="str">
        <f>IF(ISNA(vlookup(B321,DataExport!$D$2:$D$496,1,false)), "Belum", "Sudah")</f>
        <v>Belum</v>
      </c>
    </row>
    <row r="322">
      <c r="A322" s="3" t="str">
        <f t="shared" si="1"/>
        <v/>
      </c>
      <c r="C322" s="3"/>
      <c r="D322" s="3"/>
      <c r="E322" s="3"/>
      <c r="F322" s="3"/>
      <c r="G322" s="3"/>
      <c r="H322" s="3"/>
      <c r="S322" s="3"/>
      <c r="T322" s="6">
        <f t="shared" si="2"/>
        <v>46206</v>
      </c>
      <c r="U322" s="3" t="str">
        <f>IF(ISNA(vlookup(B322,DataExport!$D$2:$D$496,1,false)), "Belum", "Sudah")</f>
        <v>Belum</v>
      </c>
    </row>
    <row r="323">
      <c r="A323" s="3" t="str">
        <f t="shared" si="1"/>
        <v/>
      </c>
      <c r="C323" s="3"/>
      <c r="D323" s="3"/>
      <c r="E323" s="3"/>
      <c r="F323" s="3"/>
      <c r="G323" s="3"/>
      <c r="H323" s="3"/>
      <c r="S323" s="3"/>
      <c r="T323" s="6">
        <f t="shared" si="2"/>
        <v>46206</v>
      </c>
      <c r="U323" s="3" t="str">
        <f>IF(ISNA(vlookup(B323,DataExport!$D$2:$D$496,1,false)), "Belum", "Sudah")</f>
        <v>Belum</v>
      </c>
    </row>
    <row r="324">
      <c r="A324" s="3" t="str">
        <f t="shared" si="1"/>
        <v/>
      </c>
      <c r="C324" s="3"/>
      <c r="D324" s="3"/>
      <c r="E324" s="3"/>
      <c r="F324" s="3"/>
      <c r="G324" s="3"/>
      <c r="H324" s="3"/>
      <c r="S324" s="3"/>
      <c r="T324" s="6">
        <f t="shared" si="2"/>
        <v>46206</v>
      </c>
      <c r="U324" s="3" t="str">
        <f>IF(ISNA(vlookup(B324,DataExport!$D$2:$D$496,1,false)), "Belum", "Sudah")</f>
        <v>Belum</v>
      </c>
    </row>
    <row r="325">
      <c r="A325" s="3" t="str">
        <f t="shared" si="1"/>
        <v/>
      </c>
      <c r="C325" s="3"/>
      <c r="D325" s="3"/>
      <c r="E325" s="3"/>
      <c r="F325" s="3"/>
      <c r="G325" s="3"/>
      <c r="H325" s="3"/>
      <c r="S325" s="3"/>
      <c r="T325" s="6">
        <f t="shared" si="2"/>
        <v>46206</v>
      </c>
      <c r="U325" s="3" t="str">
        <f>IF(ISNA(vlookup(B325,DataExport!$D$2:$D$496,1,false)), "Belum", "Sudah")</f>
        <v>Belum</v>
      </c>
    </row>
    <row r="326">
      <c r="A326" s="3" t="str">
        <f t="shared" si="1"/>
        <v/>
      </c>
      <c r="C326" s="3"/>
      <c r="D326" s="3"/>
      <c r="E326" s="3"/>
      <c r="F326" s="3"/>
      <c r="G326" s="3"/>
      <c r="H326" s="3"/>
      <c r="S326" s="3"/>
      <c r="T326" s="6">
        <f t="shared" si="2"/>
        <v>46206</v>
      </c>
      <c r="U326" s="3" t="str">
        <f>IF(ISNA(vlookup(B326,DataExport!$D$2:$D$496,1,false)), "Belum", "Sudah")</f>
        <v>Belum</v>
      </c>
    </row>
    <row r="327">
      <c r="A327" s="3" t="str">
        <f t="shared" si="1"/>
        <v/>
      </c>
      <c r="C327" s="3"/>
      <c r="D327" s="3"/>
      <c r="E327" s="3"/>
      <c r="F327" s="3"/>
      <c r="G327" s="3"/>
      <c r="H327" s="3"/>
      <c r="S327" s="3"/>
      <c r="T327" s="6">
        <f t="shared" si="2"/>
        <v>46206</v>
      </c>
      <c r="U327" s="3" t="str">
        <f>IF(ISNA(vlookup(B327,DataExport!$D$2:$D$496,1,false)), "Belum", "Sudah")</f>
        <v>Belum</v>
      </c>
    </row>
    <row r="328">
      <c r="A328" s="3" t="str">
        <f t="shared" si="1"/>
        <v/>
      </c>
      <c r="C328" s="3"/>
      <c r="D328" s="3"/>
      <c r="E328" s="3"/>
      <c r="F328" s="3"/>
      <c r="G328" s="3"/>
      <c r="H328" s="3"/>
      <c r="S328" s="3"/>
      <c r="T328" s="6">
        <f t="shared" si="2"/>
        <v>46206</v>
      </c>
      <c r="U328" s="3" t="str">
        <f>IF(ISNA(vlookup(B328,DataExport!$D$2:$D$496,1,false)), "Belum", "Sudah")</f>
        <v>Belum</v>
      </c>
    </row>
    <row r="329">
      <c r="A329" s="3" t="str">
        <f t="shared" si="1"/>
        <v/>
      </c>
      <c r="C329" s="3"/>
      <c r="D329" s="3"/>
      <c r="E329" s="3"/>
      <c r="F329" s="3"/>
      <c r="G329" s="3"/>
      <c r="H329" s="3"/>
      <c r="S329" s="3"/>
      <c r="T329" s="6">
        <f t="shared" si="2"/>
        <v>46206</v>
      </c>
      <c r="U329" s="3" t="str">
        <f>IF(ISNA(vlookup(B329,DataExport!$D$2:$D$496,1,false)), "Belum", "Sudah")</f>
        <v>Belum</v>
      </c>
    </row>
    <row r="330">
      <c r="A330" s="3" t="str">
        <f t="shared" si="1"/>
        <v/>
      </c>
      <c r="C330" s="3"/>
      <c r="D330" s="3"/>
      <c r="E330" s="3"/>
      <c r="F330" s="3"/>
      <c r="G330" s="3"/>
      <c r="H330" s="3"/>
      <c r="S330" s="3"/>
      <c r="T330" s="6">
        <f t="shared" si="2"/>
        <v>46206</v>
      </c>
      <c r="U330" s="3" t="str">
        <f>IF(ISNA(vlookup(B330,DataExport!$D$2:$D$496,1,false)), "Belum", "Sudah")</f>
        <v>Belum</v>
      </c>
    </row>
    <row r="331">
      <c r="A331" s="3" t="str">
        <f t="shared" si="1"/>
        <v/>
      </c>
      <c r="C331" s="3"/>
      <c r="D331" s="3"/>
      <c r="E331" s="3"/>
      <c r="F331" s="3"/>
      <c r="G331" s="3"/>
      <c r="H331" s="3"/>
      <c r="S331" s="3"/>
      <c r="T331" s="6">
        <f t="shared" si="2"/>
        <v>46206</v>
      </c>
      <c r="U331" s="3" t="str">
        <f>IF(ISNA(vlookup(B331,DataExport!$D$2:$D$496,1,false)), "Belum", "Sudah")</f>
        <v>Belum</v>
      </c>
    </row>
    <row r="332">
      <c r="A332" s="3" t="str">
        <f t="shared" si="1"/>
        <v/>
      </c>
      <c r="C332" s="3"/>
      <c r="D332" s="3"/>
      <c r="E332" s="3"/>
      <c r="F332" s="3"/>
      <c r="G332" s="3"/>
      <c r="H332" s="3"/>
      <c r="S332" s="3"/>
      <c r="T332" s="6">
        <f t="shared" si="2"/>
        <v>46206</v>
      </c>
      <c r="U332" s="3" t="str">
        <f>IF(ISNA(vlookup(B332,DataExport!$D$2:$D$496,1,false)), "Belum", "Sudah")</f>
        <v>Belum</v>
      </c>
    </row>
    <row r="333">
      <c r="A333" s="3" t="str">
        <f t="shared" si="1"/>
        <v/>
      </c>
      <c r="C333" s="3"/>
      <c r="D333" s="3"/>
      <c r="E333" s="3"/>
      <c r="F333" s="3"/>
      <c r="G333" s="3"/>
      <c r="H333" s="3"/>
      <c r="S333" s="3"/>
      <c r="T333" s="6">
        <f t="shared" si="2"/>
        <v>46206</v>
      </c>
      <c r="U333" s="3" t="str">
        <f>IF(ISNA(vlookup(B333,DataExport!$D$2:$D$496,1,false)), "Belum", "Sudah")</f>
        <v>Belum</v>
      </c>
    </row>
    <row r="334">
      <c r="A334" s="3" t="str">
        <f t="shared" si="1"/>
        <v/>
      </c>
      <c r="C334" s="3"/>
      <c r="D334" s="3"/>
      <c r="E334" s="3"/>
      <c r="F334" s="3"/>
      <c r="G334" s="3"/>
      <c r="H334" s="3"/>
      <c r="S334" s="3"/>
      <c r="T334" s="6">
        <f t="shared" si="2"/>
        <v>46206</v>
      </c>
      <c r="U334" s="3" t="str">
        <f>IF(ISNA(vlookup(B334,DataExport!$D$2:$D$496,1,false)), "Belum", "Sudah")</f>
        <v>Belum</v>
      </c>
    </row>
    <row r="335">
      <c r="A335" s="3" t="str">
        <f t="shared" si="1"/>
        <v/>
      </c>
      <c r="C335" s="3"/>
      <c r="D335" s="3"/>
      <c r="E335" s="3"/>
      <c r="F335" s="3"/>
      <c r="G335" s="3"/>
      <c r="H335" s="3"/>
      <c r="S335" s="3"/>
      <c r="T335" s="6">
        <f t="shared" si="2"/>
        <v>46206</v>
      </c>
      <c r="U335" s="3" t="str">
        <f>IF(ISNA(vlookup(B335,DataExport!$D$2:$D$496,1,false)), "Belum", "Sudah")</f>
        <v>Belum</v>
      </c>
    </row>
    <row r="336">
      <c r="A336" s="3" t="str">
        <f t="shared" si="1"/>
        <v/>
      </c>
      <c r="C336" s="3"/>
      <c r="D336" s="3"/>
      <c r="E336" s="3"/>
      <c r="F336" s="3"/>
      <c r="G336" s="3"/>
      <c r="H336" s="3"/>
      <c r="S336" s="3"/>
      <c r="T336" s="6">
        <f t="shared" si="2"/>
        <v>46206</v>
      </c>
      <c r="U336" s="3" t="str">
        <f>IF(ISNA(vlookup(B336,DataExport!$D$2:$D$496,1,false)), "Belum", "Sudah")</f>
        <v>Belum</v>
      </c>
    </row>
    <row r="337">
      <c r="A337" s="3" t="str">
        <f t="shared" si="1"/>
        <v/>
      </c>
      <c r="C337" s="3"/>
      <c r="D337" s="3"/>
      <c r="E337" s="3"/>
      <c r="F337" s="3"/>
      <c r="G337" s="3"/>
      <c r="H337" s="3"/>
      <c r="S337" s="3"/>
      <c r="T337" s="6">
        <f t="shared" si="2"/>
        <v>46206</v>
      </c>
      <c r="U337" s="3" t="str">
        <f>IF(ISNA(vlookup(B337,DataExport!$D$2:$D$496,1,false)), "Belum", "Sudah")</f>
        <v>Belum</v>
      </c>
    </row>
    <row r="338">
      <c r="A338" s="3" t="str">
        <f t="shared" si="1"/>
        <v/>
      </c>
      <c r="C338" s="3"/>
      <c r="D338" s="3"/>
      <c r="E338" s="3"/>
      <c r="F338" s="3"/>
      <c r="G338" s="3"/>
      <c r="H338" s="3"/>
      <c r="S338" s="3"/>
      <c r="T338" s="6">
        <f t="shared" si="2"/>
        <v>46206</v>
      </c>
      <c r="U338" s="3" t="str">
        <f>IF(ISNA(vlookup(B338,DataExport!$D$2:$D$496,1,false)), "Belum", "Sudah")</f>
        <v>Belum</v>
      </c>
    </row>
    <row r="339">
      <c r="A339" s="3" t="str">
        <f t="shared" si="1"/>
        <v/>
      </c>
      <c r="C339" s="3"/>
      <c r="D339" s="3"/>
      <c r="E339" s="3"/>
      <c r="F339" s="3"/>
      <c r="G339" s="3"/>
      <c r="H339" s="3"/>
      <c r="S339" s="3"/>
      <c r="T339" s="6">
        <f t="shared" si="2"/>
        <v>46206</v>
      </c>
      <c r="U339" s="3" t="str">
        <f>IF(ISNA(vlookup(B339,DataExport!$D$2:$D$496,1,false)), "Belum", "Sudah")</f>
        <v>Belum</v>
      </c>
    </row>
    <row r="340">
      <c r="A340" s="3" t="str">
        <f t="shared" si="1"/>
        <v/>
      </c>
      <c r="C340" s="3"/>
      <c r="D340" s="3"/>
      <c r="E340" s="3"/>
      <c r="F340" s="3"/>
      <c r="G340" s="3"/>
      <c r="H340" s="3"/>
      <c r="S340" s="3"/>
      <c r="T340" s="6">
        <f t="shared" si="2"/>
        <v>46206</v>
      </c>
      <c r="U340" s="3" t="str">
        <f>IF(ISNA(vlookup(B340,DataExport!$D$2:$D$496,1,false)), "Belum", "Sudah")</f>
        <v>Belum</v>
      </c>
    </row>
    <row r="341">
      <c r="A341" s="3" t="str">
        <f t="shared" si="1"/>
        <v/>
      </c>
      <c r="C341" s="3"/>
      <c r="D341" s="3"/>
      <c r="E341" s="3"/>
      <c r="F341" s="3"/>
      <c r="G341" s="3"/>
      <c r="H341" s="3"/>
      <c r="S341" s="3"/>
      <c r="T341" s="6">
        <f t="shared" si="2"/>
        <v>46206</v>
      </c>
      <c r="U341" s="3" t="str">
        <f>IF(ISNA(vlookup(B341,DataExport!$D$2:$D$496,1,false)), "Belum", "Sudah")</f>
        <v>Belum</v>
      </c>
    </row>
    <row r="342">
      <c r="A342" s="3" t="str">
        <f t="shared" si="1"/>
        <v/>
      </c>
      <c r="C342" s="3"/>
      <c r="D342" s="3"/>
      <c r="E342" s="3"/>
      <c r="F342" s="3"/>
      <c r="G342" s="3"/>
      <c r="H342" s="3"/>
      <c r="S342" s="3"/>
      <c r="T342" s="6">
        <f t="shared" si="2"/>
        <v>46206</v>
      </c>
      <c r="U342" s="3" t="str">
        <f>IF(ISNA(vlookup(B342,DataExport!$D$2:$D$496,1,false)), "Belum", "Sudah")</f>
        <v>Belum</v>
      </c>
    </row>
    <row r="343">
      <c r="A343" s="3" t="str">
        <f t="shared" si="1"/>
        <v/>
      </c>
      <c r="C343" s="3"/>
      <c r="D343" s="3"/>
      <c r="E343" s="3"/>
      <c r="F343" s="3"/>
      <c r="G343" s="3"/>
      <c r="H343" s="3"/>
      <c r="S343" s="3"/>
      <c r="T343" s="6">
        <f t="shared" si="2"/>
        <v>46206</v>
      </c>
      <c r="U343" s="3" t="str">
        <f>IF(ISNA(vlookup(B343,DataExport!$D$2:$D$496,1,false)), "Belum", "Sudah")</f>
        <v>Belum</v>
      </c>
    </row>
    <row r="344">
      <c r="A344" s="3" t="str">
        <f t="shared" si="1"/>
        <v/>
      </c>
      <c r="C344" s="3"/>
      <c r="D344" s="3"/>
      <c r="E344" s="3"/>
      <c r="F344" s="3"/>
      <c r="G344" s="3"/>
      <c r="H344" s="3"/>
      <c r="S344" s="3"/>
      <c r="T344" s="6">
        <f t="shared" si="2"/>
        <v>46206</v>
      </c>
      <c r="U344" s="3" t="str">
        <f>IF(ISNA(vlookup(B344,DataExport!$D$2:$D$496,1,false)), "Belum", "Sudah")</f>
        <v>Belum</v>
      </c>
    </row>
    <row r="345">
      <c r="A345" s="3" t="str">
        <f t="shared" si="1"/>
        <v/>
      </c>
      <c r="C345" s="3"/>
      <c r="D345" s="3"/>
      <c r="E345" s="3"/>
      <c r="F345" s="3"/>
      <c r="G345" s="3"/>
      <c r="H345" s="3"/>
      <c r="S345" s="3"/>
      <c r="T345" s="6">
        <f t="shared" si="2"/>
        <v>46206</v>
      </c>
      <c r="U345" s="3" t="str">
        <f>IF(ISNA(vlookup(B345,DataExport!$D$2:$D$496,1,false)), "Belum", "Sudah")</f>
        <v>Belum</v>
      </c>
    </row>
    <row r="346">
      <c r="A346" s="3" t="str">
        <f t="shared" si="1"/>
        <v/>
      </c>
      <c r="C346" s="3"/>
      <c r="D346" s="3"/>
      <c r="E346" s="3"/>
      <c r="F346" s="3"/>
      <c r="G346" s="3"/>
      <c r="H346" s="3"/>
      <c r="S346" s="3"/>
      <c r="T346" s="6">
        <f t="shared" si="2"/>
        <v>46206</v>
      </c>
      <c r="U346" s="3" t="str">
        <f>IF(ISNA(vlookup(B346,DataExport!$D$2:$D$496,1,false)), "Belum", "Sudah")</f>
        <v>Belum</v>
      </c>
    </row>
    <row r="347">
      <c r="A347" s="3" t="str">
        <f t="shared" si="1"/>
        <v/>
      </c>
      <c r="C347" s="3"/>
      <c r="D347" s="3"/>
      <c r="E347" s="3"/>
      <c r="F347" s="3"/>
      <c r="G347" s="3"/>
      <c r="H347" s="3"/>
      <c r="S347" s="3"/>
      <c r="T347" s="6">
        <f t="shared" si="2"/>
        <v>46206</v>
      </c>
      <c r="U347" s="3" t="str">
        <f>IF(ISNA(vlookup(B347,DataExport!$D$2:$D$496,1,false)), "Belum", "Sudah")</f>
        <v>Belum</v>
      </c>
    </row>
    <row r="348">
      <c r="A348" s="3" t="str">
        <f t="shared" si="1"/>
        <v/>
      </c>
      <c r="C348" s="3"/>
      <c r="D348" s="3"/>
      <c r="E348" s="3"/>
      <c r="F348" s="3"/>
      <c r="G348" s="3"/>
      <c r="H348" s="3"/>
      <c r="S348" s="3"/>
      <c r="T348" s="6">
        <f t="shared" si="2"/>
        <v>46206</v>
      </c>
      <c r="U348" s="3" t="str">
        <f>IF(ISNA(vlookup(B348,DataExport!$D$2:$D$496,1,false)), "Belum", "Sudah")</f>
        <v>Belum</v>
      </c>
    </row>
    <row r="349">
      <c r="A349" s="3" t="str">
        <f t="shared" si="1"/>
        <v/>
      </c>
      <c r="C349" s="3"/>
      <c r="D349" s="3"/>
      <c r="E349" s="3"/>
      <c r="F349" s="3"/>
      <c r="G349" s="3"/>
      <c r="H349" s="3"/>
      <c r="S349" s="3"/>
      <c r="T349" s="6">
        <f t="shared" si="2"/>
        <v>46206</v>
      </c>
      <c r="U349" s="3" t="str">
        <f>IF(ISNA(vlookup(B349,DataExport!$D$2:$D$496,1,false)), "Belum", "Sudah")</f>
        <v>Belum</v>
      </c>
    </row>
    <row r="350">
      <c r="A350" s="3" t="str">
        <f t="shared" si="1"/>
        <v/>
      </c>
      <c r="C350" s="3"/>
      <c r="D350" s="3"/>
      <c r="E350" s="3"/>
      <c r="F350" s="3"/>
      <c r="G350" s="3"/>
      <c r="H350" s="3"/>
      <c r="S350" s="3"/>
      <c r="T350" s="6">
        <f t="shared" si="2"/>
        <v>46206</v>
      </c>
      <c r="U350" s="3" t="str">
        <f>IF(ISNA(vlookup(B350,DataExport!$D$2:$D$496,1,false)), "Belum", "Sudah")</f>
        <v>Belum</v>
      </c>
    </row>
    <row r="351">
      <c r="A351" s="3" t="str">
        <f t="shared" si="1"/>
        <v/>
      </c>
      <c r="C351" s="3"/>
      <c r="D351" s="3"/>
      <c r="E351" s="3"/>
      <c r="F351" s="3"/>
      <c r="G351" s="3"/>
      <c r="H351" s="3"/>
      <c r="S351" s="3"/>
      <c r="T351" s="6">
        <f t="shared" si="2"/>
        <v>46206</v>
      </c>
      <c r="U351" s="3" t="str">
        <f>IF(ISNA(vlookup(B351,DataExport!$D$2:$D$496,1,false)), "Belum", "Sudah")</f>
        <v>Belum</v>
      </c>
    </row>
    <row r="352">
      <c r="A352" s="3" t="str">
        <f t="shared" si="1"/>
        <v/>
      </c>
      <c r="C352" s="3"/>
      <c r="D352" s="3"/>
      <c r="E352" s="3"/>
      <c r="F352" s="3"/>
      <c r="G352" s="3"/>
      <c r="H352" s="3"/>
      <c r="S352" s="3"/>
      <c r="T352" s="6">
        <f t="shared" si="2"/>
        <v>46206</v>
      </c>
      <c r="U352" s="3" t="str">
        <f>IF(ISNA(vlookup(B352,DataExport!$D$2:$D$496,1,false)), "Belum", "Sudah")</f>
        <v>Belum</v>
      </c>
    </row>
    <row r="353">
      <c r="A353" s="3" t="str">
        <f t="shared" si="1"/>
        <v/>
      </c>
      <c r="C353" s="3"/>
      <c r="D353" s="3"/>
      <c r="E353" s="3"/>
      <c r="F353" s="3"/>
      <c r="G353" s="3"/>
      <c r="H353" s="3"/>
      <c r="S353" s="3"/>
      <c r="T353" s="6">
        <f t="shared" si="2"/>
        <v>46206</v>
      </c>
      <c r="U353" s="3" t="str">
        <f>IF(ISNA(vlookup(B353,DataExport!$D$2:$D$496,1,false)), "Belum", "Sudah")</f>
        <v>Belum</v>
      </c>
    </row>
    <row r="354">
      <c r="A354" s="3" t="str">
        <f t="shared" si="1"/>
        <v/>
      </c>
      <c r="C354" s="3"/>
      <c r="D354" s="3"/>
      <c r="E354" s="3"/>
      <c r="F354" s="3"/>
      <c r="G354" s="3"/>
      <c r="H354" s="3"/>
      <c r="S354" s="3"/>
      <c r="T354" s="6">
        <f t="shared" si="2"/>
        <v>46206</v>
      </c>
      <c r="U354" s="3" t="str">
        <f>IF(ISNA(vlookup(B354,DataExport!$D$2:$D$496,1,false)), "Belum", "Sudah")</f>
        <v>Belum</v>
      </c>
    </row>
    <row r="355">
      <c r="A355" s="3" t="str">
        <f t="shared" si="1"/>
        <v/>
      </c>
      <c r="C355" s="3"/>
      <c r="D355" s="3"/>
      <c r="E355" s="3"/>
      <c r="F355" s="3"/>
      <c r="G355" s="3"/>
      <c r="H355" s="3"/>
      <c r="S355" s="3"/>
      <c r="T355" s="6">
        <f t="shared" si="2"/>
        <v>46206</v>
      </c>
      <c r="U355" s="3" t="str">
        <f>IF(ISNA(vlookup(B355,DataExport!$D$2:$D$496,1,false)), "Belum", "Sudah")</f>
        <v>Belum</v>
      </c>
    </row>
    <row r="356">
      <c r="A356" s="3" t="str">
        <f t="shared" si="1"/>
        <v/>
      </c>
      <c r="C356" s="3"/>
      <c r="D356" s="3"/>
      <c r="E356" s="3"/>
      <c r="F356" s="3"/>
      <c r="G356" s="3"/>
      <c r="H356" s="3"/>
      <c r="S356" s="3"/>
      <c r="T356" s="6">
        <f t="shared" si="2"/>
        <v>46206</v>
      </c>
      <c r="U356" s="3" t="str">
        <f>IF(ISNA(vlookup(B356,DataExport!$D$2:$D$496,1,false)), "Belum", "Sudah")</f>
        <v>Belum</v>
      </c>
    </row>
    <row r="357">
      <c r="A357" s="3" t="str">
        <f t="shared" si="1"/>
        <v/>
      </c>
      <c r="C357" s="3"/>
      <c r="D357" s="3"/>
      <c r="E357" s="3"/>
      <c r="F357" s="3"/>
      <c r="G357" s="3"/>
      <c r="H357" s="3"/>
      <c r="S357" s="3"/>
      <c r="T357" s="6">
        <f t="shared" si="2"/>
        <v>46206</v>
      </c>
      <c r="U357" s="3" t="str">
        <f>IF(ISNA(vlookup(B357,DataExport!$D$2:$D$496,1,false)), "Belum", "Sudah")</f>
        <v>Belum</v>
      </c>
    </row>
    <row r="358">
      <c r="A358" s="3" t="str">
        <f t="shared" si="1"/>
        <v/>
      </c>
      <c r="C358" s="3"/>
      <c r="D358" s="3"/>
      <c r="E358" s="3"/>
      <c r="F358" s="3"/>
      <c r="G358" s="3"/>
      <c r="H358" s="3"/>
      <c r="S358" s="3"/>
      <c r="T358" s="6">
        <f t="shared" si="2"/>
        <v>46206</v>
      </c>
      <c r="U358" s="3" t="str">
        <f>IF(ISNA(vlookup(B358,DataExport!$D$2:$D$496,1,false)), "Belum", "Sudah")</f>
        <v>Belum</v>
      </c>
    </row>
    <row r="359">
      <c r="A359" s="3" t="str">
        <f t="shared" si="1"/>
        <v/>
      </c>
      <c r="C359" s="3"/>
      <c r="D359" s="3"/>
      <c r="E359" s="3"/>
      <c r="F359" s="3"/>
      <c r="G359" s="3"/>
      <c r="H359" s="3"/>
      <c r="S359" s="3"/>
      <c r="T359" s="6">
        <f t="shared" si="2"/>
        <v>46206</v>
      </c>
      <c r="U359" s="3" t="str">
        <f>IF(ISNA(vlookup(B359,DataExport!$D$2:$D$496,1,false)), "Belum", "Sudah")</f>
        <v>Belum</v>
      </c>
    </row>
    <row r="360">
      <c r="A360" s="3" t="str">
        <f t="shared" si="1"/>
        <v/>
      </c>
      <c r="C360" s="3"/>
      <c r="D360" s="3"/>
      <c r="E360" s="3"/>
      <c r="F360" s="3"/>
      <c r="G360" s="3"/>
      <c r="H360" s="3"/>
      <c r="S360" s="3"/>
      <c r="T360" s="6">
        <f t="shared" si="2"/>
        <v>46206</v>
      </c>
      <c r="U360" s="3" t="str">
        <f>IF(ISNA(vlookup(B360,DataExport!$D$2:$D$496,1,false)), "Belum", "Sudah")</f>
        <v>Belum</v>
      </c>
    </row>
    <row r="361">
      <c r="A361" s="3" t="str">
        <f t="shared" si="1"/>
        <v/>
      </c>
      <c r="C361" s="3"/>
      <c r="D361" s="3"/>
      <c r="E361" s="3"/>
      <c r="F361" s="3"/>
      <c r="G361" s="3"/>
      <c r="H361" s="3"/>
      <c r="S361" s="3"/>
      <c r="T361" s="6">
        <f t="shared" si="2"/>
        <v>46206</v>
      </c>
      <c r="U361" s="3" t="str">
        <f>IF(ISNA(vlookup(B361,DataExport!$D$2:$D$496,1,false)), "Belum", "Sudah")</f>
        <v>Belum</v>
      </c>
    </row>
    <row r="362">
      <c r="A362" s="3" t="str">
        <f t="shared" si="1"/>
        <v/>
      </c>
      <c r="C362" s="3"/>
      <c r="D362" s="3"/>
      <c r="E362" s="3"/>
      <c r="F362" s="3"/>
      <c r="G362" s="3"/>
      <c r="H362" s="3"/>
      <c r="S362" s="3"/>
      <c r="T362" s="6">
        <f t="shared" si="2"/>
        <v>46206</v>
      </c>
      <c r="U362" s="3" t="str">
        <f>IF(ISNA(vlookup(B362,DataExport!$D$2:$D$496,1,false)), "Belum", "Sudah")</f>
        <v>Belum</v>
      </c>
    </row>
    <row r="363">
      <c r="A363" s="3" t="str">
        <f t="shared" si="1"/>
        <v/>
      </c>
      <c r="C363" s="3"/>
      <c r="D363" s="3"/>
      <c r="E363" s="3"/>
      <c r="F363" s="3"/>
      <c r="G363" s="3"/>
      <c r="H363" s="3"/>
      <c r="S363" s="3"/>
      <c r="T363" s="6">
        <f t="shared" si="2"/>
        <v>46206</v>
      </c>
      <c r="U363" s="3" t="str">
        <f>IF(ISNA(vlookup(B363,DataExport!$D$2:$D$496,1,false)), "Belum", "Sudah")</f>
        <v>Belum</v>
      </c>
    </row>
    <row r="364">
      <c r="A364" s="3" t="str">
        <f t="shared" si="1"/>
        <v/>
      </c>
      <c r="C364" s="3"/>
      <c r="D364" s="3"/>
      <c r="E364" s="3"/>
      <c r="F364" s="3"/>
      <c r="G364" s="3"/>
      <c r="H364" s="3"/>
      <c r="S364" s="3"/>
      <c r="T364" s="6">
        <f t="shared" si="2"/>
        <v>46206</v>
      </c>
      <c r="U364" s="3" t="str">
        <f>IF(ISNA(vlookup(B364,DataExport!$D$2:$D$496,1,false)), "Belum", "Sudah")</f>
        <v>Belum</v>
      </c>
    </row>
    <row r="365">
      <c r="A365" s="3" t="str">
        <f t="shared" si="1"/>
        <v/>
      </c>
      <c r="C365" s="3"/>
      <c r="D365" s="3"/>
      <c r="E365" s="3"/>
      <c r="F365" s="3"/>
      <c r="G365" s="3"/>
      <c r="H365" s="3"/>
      <c r="S365" s="3"/>
      <c r="T365" s="6">
        <f t="shared" si="2"/>
        <v>46206</v>
      </c>
      <c r="U365" s="3" t="str">
        <f>IF(ISNA(vlookup(B365,DataExport!$D$2:$D$496,1,false)), "Belum", "Sudah")</f>
        <v>Belum</v>
      </c>
    </row>
    <row r="366">
      <c r="A366" s="3" t="str">
        <f t="shared" si="1"/>
        <v/>
      </c>
      <c r="C366" s="3"/>
      <c r="D366" s="3"/>
      <c r="E366" s="3"/>
      <c r="F366" s="3"/>
      <c r="G366" s="3"/>
      <c r="H366" s="3"/>
      <c r="S366" s="3"/>
      <c r="T366" s="6">
        <f t="shared" si="2"/>
        <v>46206</v>
      </c>
      <c r="U366" s="3" t="str">
        <f>IF(ISNA(vlookup(B366,DataExport!$D$2:$D$496,1,false)), "Belum", "Sudah")</f>
        <v>Belum</v>
      </c>
    </row>
    <row r="367">
      <c r="A367" s="3" t="str">
        <f t="shared" si="1"/>
        <v/>
      </c>
      <c r="C367" s="3"/>
      <c r="D367" s="3"/>
      <c r="E367" s="3"/>
      <c r="F367" s="3"/>
      <c r="G367" s="3"/>
      <c r="H367" s="3"/>
      <c r="S367" s="3"/>
      <c r="T367" s="6">
        <f t="shared" si="2"/>
        <v>46206</v>
      </c>
      <c r="U367" s="3" t="str">
        <f>IF(ISNA(vlookup(B367,DataExport!$D$2:$D$496,1,false)), "Belum", "Sudah")</f>
        <v>Belum</v>
      </c>
    </row>
    <row r="368">
      <c r="A368" s="3" t="str">
        <f t="shared" si="1"/>
        <v/>
      </c>
      <c r="C368" s="3"/>
      <c r="D368" s="3"/>
      <c r="E368" s="3"/>
      <c r="F368" s="3"/>
      <c r="G368" s="3"/>
      <c r="H368" s="3"/>
      <c r="S368" s="3"/>
      <c r="T368" s="6">
        <f t="shared" si="2"/>
        <v>46206</v>
      </c>
      <c r="U368" s="3" t="str">
        <f>IF(ISNA(vlookup(B368,DataExport!$D$2:$D$496,1,false)), "Belum", "Sudah")</f>
        <v>Belum</v>
      </c>
    </row>
    <row r="369">
      <c r="A369" s="3" t="str">
        <f t="shared" si="1"/>
        <v/>
      </c>
      <c r="C369" s="3"/>
      <c r="D369" s="3"/>
      <c r="E369" s="3"/>
      <c r="F369" s="3"/>
      <c r="G369" s="3"/>
      <c r="H369" s="3"/>
      <c r="S369" s="3"/>
      <c r="T369" s="6">
        <f t="shared" si="2"/>
        <v>46206</v>
      </c>
      <c r="U369" s="3" t="str">
        <f>IF(ISNA(vlookup(B369,DataExport!$D$2:$D$496,1,false)), "Belum", "Sudah")</f>
        <v>Belum</v>
      </c>
    </row>
    <row r="370">
      <c r="A370" s="3" t="str">
        <f t="shared" si="1"/>
        <v/>
      </c>
      <c r="C370" s="3"/>
      <c r="D370" s="3"/>
      <c r="E370" s="3"/>
      <c r="F370" s="3"/>
      <c r="G370" s="3"/>
      <c r="H370" s="3"/>
      <c r="S370" s="3"/>
      <c r="T370" s="6">
        <f t="shared" si="2"/>
        <v>46206</v>
      </c>
      <c r="U370" s="3" t="str">
        <f>IF(ISNA(vlookup(B370,DataExport!$D$2:$D$496,1,false)), "Belum", "Sudah")</f>
        <v>Belum</v>
      </c>
    </row>
    <row r="371">
      <c r="A371" s="3" t="str">
        <f t="shared" si="1"/>
        <v/>
      </c>
      <c r="C371" s="3"/>
      <c r="D371" s="3"/>
      <c r="E371" s="3"/>
      <c r="F371" s="3"/>
      <c r="G371" s="3"/>
      <c r="H371" s="3"/>
      <c r="S371" s="3"/>
      <c r="T371" s="6">
        <f t="shared" si="2"/>
        <v>46206</v>
      </c>
      <c r="U371" s="3" t="str">
        <f>IF(ISNA(vlookup(B371,DataExport!$D$2:$D$496,1,false)), "Belum", "Sudah")</f>
        <v>Belum</v>
      </c>
    </row>
    <row r="372">
      <c r="A372" s="3" t="str">
        <f t="shared" si="1"/>
        <v/>
      </c>
      <c r="C372" s="3"/>
      <c r="D372" s="3"/>
      <c r="E372" s="3"/>
      <c r="F372" s="3"/>
      <c r="G372" s="3"/>
      <c r="H372" s="3"/>
      <c r="S372" s="3"/>
      <c r="T372" s="6">
        <f t="shared" si="2"/>
        <v>46206</v>
      </c>
      <c r="U372" s="3" t="str">
        <f>IF(ISNA(vlookup(B372,DataExport!$D$2:$D$496,1,false)), "Belum", "Sudah")</f>
        <v>Belum</v>
      </c>
    </row>
    <row r="373">
      <c r="A373" s="3" t="str">
        <f t="shared" si="1"/>
        <v/>
      </c>
      <c r="C373" s="3"/>
      <c r="D373" s="3"/>
      <c r="E373" s="3"/>
      <c r="F373" s="3"/>
      <c r="G373" s="3"/>
      <c r="H373" s="3"/>
      <c r="S373" s="3"/>
      <c r="T373" s="6">
        <f t="shared" si="2"/>
        <v>46206</v>
      </c>
      <c r="U373" s="3" t="str">
        <f>IF(ISNA(vlookup(B373,DataExport!$D$2:$D$496,1,false)), "Belum", "Sudah")</f>
        <v>Belum</v>
      </c>
    </row>
    <row r="374">
      <c r="A374" s="3" t="str">
        <f t="shared" si="1"/>
        <v/>
      </c>
      <c r="C374" s="3"/>
      <c r="D374" s="3"/>
      <c r="E374" s="3"/>
      <c r="F374" s="3"/>
      <c r="G374" s="3"/>
      <c r="H374" s="3"/>
      <c r="S374" s="3"/>
      <c r="T374" s="6">
        <f t="shared" si="2"/>
        <v>46206</v>
      </c>
      <c r="U374" s="3" t="str">
        <f>IF(ISNA(vlookup(B374,DataExport!$D$2:$D$496,1,false)), "Belum", "Sudah")</f>
        <v>Belum</v>
      </c>
    </row>
    <row r="375">
      <c r="A375" s="3" t="str">
        <f t="shared" si="1"/>
        <v/>
      </c>
      <c r="C375" s="3"/>
      <c r="D375" s="3"/>
      <c r="E375" s="3"/>
      <c r="F375" s="3"/>
      <c r="G375" s="3"/>
      <c r="H375" s="3"/>
      <c r="S375" s="3"/>
      <c r="T375" s="6">
        <f t="shared" si="2"/>
        <v>46206</v>
      </c>
      <c r="U375" s="3" t="str">
        <f>IF(ISNA(vlookup(B375,DataExport!$D$2:$D$496,1,false)), "Belum", "Sudah")</f>
        <v>Belum</v>
      </c>
    </row>
    <row r="376">
      <c r="A376" s="3" t="str">
        <f t="shared" si="1"/>
        <v/>
      </c>
      <c r="C376" s="3"/>
      <c r="D376" s="3"/>
      <c r="E376" s="3"/>
      <c r="F376" s="3"/>
      <c r="G376" s="3"/>
      <c r="H376" s="3"/>
      <c r="S376" s="3"/>
      <c r="T376" s="6">
        <f t="shared" si="2"/>
        <v>46206</v>
      </c>
      <c r="U376" s="3" t="str">
        <f>IF(ISNA(vlookup(B376,DataExport!$D$2:$D$496,1,false)), "Belum", "Sudah")</f>
        <v>Belum</v>
      </c>
    </row>
    <row r="377">
      <c r="A377" s="3" t="str">
        <f t="shared" si="1"/>
        <v/>
      </c>
      <c r="C377" s="3"/>
      <c r="D377" s="3"/>
      <c r="E377" s="3"/>
      <c r="F377" s="3"/>
      <c r="G377" s="3"/>
      <c r="H377" s="3"/>
      <c r="S377" s="3"/>
      <c r="T377" s="6">
        <f t="shared" si="2"/>
        <v>46206</v>
      </c>
      <c r="U377" s="3" t="str">
        <f>IF(ISNA(vlookup(B377,DataExport!$D$2:$D$496,1,false)), "Belum", "Sudah")</f>
        <v>Belum</v>
      </c>
    </row>
    <row r="378">
      <c r="A378" s="3" t="str">
        <f t="shared" si="1"/>
        <v/>
      </c>
      <c r="C378" s="3"/>
      <c r="D378" s="3"/>
      <c r="E378" s="3"/>
      <c r="F378" s="3"/>
      <c r="G378" s="3"/>
      <c r="H378" s="3"/>
      <c r="S378" s="3"/>
      <c r="T378" s="6">
        <f t="shared" si="2"/>
        <v>46206</v>
      </c>
      <c r="U378" s="3" t="str">
        <f>IF(ISNA(vlookup(B378,DataExport!$D$2:$D$496,1,false)), "Belum", "Sudah")</f>
        <v>Belum</v>
      </c>
    </row>
    <row r="379">
      <c r="A379" s="3" t="str">
        <f t="shared" si="1"/>
        <v/>
      </c>
      <c r="C379" s="3"/>
      <c r="D379" s="3"/>
      <c r="E379" s="3"/>
      <c r="F379" s="3"/>
      <c r="G379" s="3"/>
      <c r="H379" s="3"/>
      <c r="S379" s="3"/>
      <c r="T379" s="6">
        <f t="shared" si="2"/>
        <v>46206</v>
      </c>
      <c r="U379" s="3" t="str">
        <f>IF(ISNA(vlookup(B379,DataExport!$D$2:$D$496,1,false)), "Belum", "Sudah")</f>
        <v>Belum</v>
      </c>
    </row>
    <row r="380">
      <c r="A380" s="3" t="str">
        <f t="shared" si="1"/>
        <v/>
      </c>
      <c r="C380" s="3"/>
      <c r="D380" s="3"/>
      <c r="E380" s="3"/>
      <c r="F380" s="3"/>
      <c r="G380" s="3"/>
      <c r="H380" s="3"/>
      <c r="S380" s="3"/>
      <c r="T380" s="6">
        <f t="shared" si="2"/>
        <v>46206</v>
      </c>
      <c r="U380" s="3" t="str">
        <f>IF(ISNA(vlookup(B380,DataExport!$D$2:$D$496,1,false)), "Belum", "Sudah")</f>
        <v>Belum</v>
      </c>
    </row>
    <row r="381">
      <c r="A381" s="3" t="str">
        <f t="shared" si="1"/>
        <v/>
      </c>
      <c r="C381" s="3"/>
      <c r="D381" s="3"/>
      <c r="E381" s="3"/>
      <c r="F381" s="3"/>
      <c r="G381" s="3"/>
      <c r="H381" s="3"/>
      <c r="S381" s="3"/>
      <c r="T381" s="6">
        <f t="shared" si="2"/>
        <v>46206</v>
      </c>
      <c r="U381" s="3" t="str">
        <f>IF(ISNA(vlookup(B381,DataExport!$D$2:$D$496,1,false)), "Belum", "Sudah")</f>
        <v>Belum</v>
      </c>
    </row>
    <row r="382">
      <c r="A382" s="3" t="str">
        <f t="shared" si="1"/>
        <v/>
      </c>
      <c r="C382" s="3"/>
      <c r="D382" s="3"/>
      <c r="E382" s="3"/>
      <c r="F382" s="3"/>
      <c r="G382" s="3"/>
      <c r="H382" s="3"/>
      <c r="S382" s="3"/>
      <c r="T382" s="6">
        <f t="shared" si="2"/>
        <v>46206</v>
      </c>
      <c r="U382" s="3" t="str">
        <f>IF(ISNA(vlookup(B382,DataExport!$D$2:$D$496,1,false)), "Belum", "Sudah")</f>
        <v>Belum</v>
      </c>
    </row>
    <row r="383">
      <c r="A383" s="3" t="str">
        <f t="shared" si="1"/>
        <v/>
      </c>
      <c r="C383" s="3"/>
      <c r="D383" s="3"/>
      <c r="E383" s="3"/>
      <c r="F383" s="3"/>
      <c r="G383" s="3"/>
      <c r="H383" s="3"/>
      <c r="S383" s="3"/>
      <c r="T383" s="6">
        <f t="shared" si="2"/>
        <v>46206</v>
      </c>
      <c r="U383" s="3" t="str">
        <f>IF(ISNA(vlookup(B383,DataExport!$D$2:$D$496,1,false)), "Belum", "Sudah")</f>
        <v>Belum</v>
      </c>
    </row>
    <row r="384">
      <c r="A384" s="3" t="str">
        <f t="shared" si="1"/>
        <v/>
      </c>
      <c r="C384" s="3"/>
      <c r="D384" s="3"/>
      <c r="E384" s="3"/>
      <c r="F384" s="3"/>
      <c r="G384" s="3"/>
      <c r="H384" s="3"/>
      <c r="S384" s="3"/>
      <c r="T384" s="6">
        <f t="shared" si="2"/>
        <v>46206</v>
      </c>
      <c r="U384" s="3" t="str">
        <f>IF(ISNA(vlookup(B384,DataExport!$D$2:$D$496,1,false)), "Belum", "Sudah")</f>
        <v>Belum</v>
      </c>
    </row>
    <row r="385">
      <c r="A385" s="3" t="str">
        <f t="shared" si="1"/>
        <v/>
      </c>
      <c r="C385" s="3"/>
      <c r="D385" s="3"/>
      <c r="E385" s="3"/>
      <c r="F385" s="3"/>
      <c r="G385" s="3"/>
      <c r="H385" s="3"/>
      <c r="S385" s="3"/>
      <c r="T385" s="6">
        <f t="shared" si="2"/>
        <v>46206</v>
      </c>
      <c r="U385" s="3" t="str">
        <f>IF(ISNA(vlookup(B385,DataExport!$D$2:$D$496,1,false)), "Belum", "Sudah")</f>
        <v>Belum</v>
      </c>
    </row>
    <row r="386">
      <c r="A386" s="3" t="str">
        <f t="shared" si="1"/>
        <v/>
      </c>
      <c r="C386" s="3"/>
      <c r="D386" s="3"/>
      <c r="E386" s="3"/>
      <c r="F386" s="3"/>
      <c r="G386" s="3"/>
      <c r="H386" s="3"/>
      <c r="S386" s="3"/>
      <c r="T386" s="6">
        <f t="shared" si="2"/>
        <v>46206</v>
      </c>
      <c r="U386" s="3" t="str">
        <f>IF(ISNA(vlookup(B386,DataExport!$D$2:$D$496,1,false)), "Belum", "Sudah")</f>
        <v>Belum</v>
      </c>
    </row>
    <row r="387">
      <c r="A387" s="3" t="str">
        <f t="shared" si="1"/>
        <v/>
      </c>
      <c r="C387" s="3"/>
      <c r="D387" s="3"/>
      <c r="E387" s="3"/>
      <c r="F387" s="3"/>
      <c r="G387" s="3"/>
      <c r="H387" s="3"/>
      <c r="S387" s="3"/>
      <c r="T387" s="6">
        <f t="shared" si="2"/>
        <v>46206</v>
      </c>
      <c r="U387" s="3" t="str">
        <f>IF(ISNA(vlookup(B387,DataExport!$D$2:$D$496,1,false)), "Belum", "Sudah")</f>
        <v>Belum</v>
      </c>
    </row>
    <row r="388">
      <c r="A388" s="3" t="str">
        <f t="shared" si="1"/>
        <v/>
      </c>
      <c r="C388" s="3"/>
      <c r="D388" s="3"/>
      <c r="E388" s="3"/>
      <c r="F388" s="3"/>
      <c r="G388" s="3"/>
      <c r="H388" s="3"/>
      <c r="S388" s="3"/>
      <c r="T388" s="6">
        <f t="shared" si="2"/>
        <v>46206</v>
      </c>
      <c r="U388" s="3" t="str">
        <f>IF(ISNA(vlookup(B388,DataExport!$D$2:$D$496,1,false)), "Belum", "Sudah")</f>
        <v>Belum</v>
      </c>
    </row>
    <row r="389">
      <c r="A389" s="3" t="str">
        <f t="shared" si="1"/>
        <v/>
      </c>
      <c r="C389" s="3"/>
      <c r="D389" s="3"/>
      <c r="E389" s="3"/>
      <c r="F389" s="3"/>
      <c r="G389" s="3"/>
      <c r="H389" s="3"/>
      <c r="S389" s="3"/>
      <c r="T389" s="6">
        <f t="shared" si="2"/>
        <v>46206</v>
      </c>
      <c r="U389" s="3" t="str">
        <f>IF(ISNA(vlookup(B389,DataExport!$D$2:$D$496,1,false)), "Belum", "Sudah")</f>
        <v>Belum</v>
      </c>
    </row>
    <row r="390">
      <c r="A390" s="3" t="str">
        <f t="shared" si="1"/>
        <v/>
      </c>
      <c r="C390" s="3"/>
      <c r="D390" s="3"/>
      <c r="E390" s="3"/>
      <c r="F390" s="3"/>
      <c r="G390" s="3"/>
      <c r="H390" s="3"/>
      <c r="S390" s="3"/>
      <c r="T390" s="6">
        <f t="shared" si="2"/>
        <v>46206</v>
      </c>
      <c r="U390" s="3" t="str">
        <f>IF(ISNA(vlookup(B390,DataExport!$D$2:$D$496,1,false)), "Belum", "Sudah")</f>
        <v>Belum</v>
      </c>
    </row>
    <row r="391">
      <c r="A391" s="3" t="str">
        <f t="shared" si="1"/>
        <v/>
      </c>
      <c r="C391" s="3"/>
      <c r="D391" s="3"/>
      <c r="E391" s="3"/>
      <c r="F391" s="3"/>
      <c r="G391" s="3"/>
      <c r="H391" s="3"/>
      <c r="S391" s="3"/>
      <c r="T391" s="6">
        <f t="shared" si="2"/>
        <v>46206</v>
      </c>
      <c r="U391" s="3" t="str">
        <f>IF(ISNA(vlookup(B391,DataExport!$D$2:$D$496,1,false)), "Belum", "Sudah")</f>
        <v>Belum</v>
      </c>
    </row>
    <row r="392">
      <c r="A392" s="3" t="str">
        <f t="shared" si="1"/>
        <v/>
      </c>
      <c r="C392" s="3"/>
      <c r="D392" s="3"/>
      <c r="E392" s="3"/>
      <c r="F392" s="3"/>
      <c r="G392" s="3"/>
      <c r="H392" s="3"/>
      <c r="S392" s="3"/>
      <c r="T392" s="6">
        <f t="shared" si="2"/>
        <v>46206</v>
      </c>
      <c r="U392" s="3" t="str">
        <f>IF(ISNA(vlookup(B392,DataExport!$D$2:$D$496,1,false)), "Belum", "Sudah")</f>
        <v>Belum</v>
      </c>
    </row>
    <row r="393">
      <c r="A393" s="3" t="str">
        <f t="shared" si="1"/>
        <v/>
      </c>
      <c r="C393" s="3"/>
      <c r="D393" s="3"/>
      <c r="E393" s="3"/>
      <c r="F393" s="3"/>
      <c r="G393" s="3"/>
      <c r="H393" s="3"/>
      <c r="S393" s="3"/>
      <c r="T393" s="6">
        <f t="shared" si="2"/>
        <v>46206</v>
      </c>
      <c r="U393" s="3" t="str">
        <f>IF(ISNA(vlookup(B393,DataExport!$D$2:$D$496,1,false)), "Belum", "Sudah")</f>
        <v>Belum</v>
      </c>
    </row>
    <row r="394">
      <c r="A394" s="3" t="str">
        <f t="shared" si="1"/>
        <v/>
      </c>
      <c r="C394" s="3"/>
      <c r="D394" s="3"/>
      <c r="E394" s="3"/>
      <c r="F394" s="3"/>
      <c r="G394" s="3"/>
      <c r="H394" s="3"/>
      <c r="S394" s="3"/>
      <c r="T394" s="6">
        <f t="shared" si="2"/>
        <v>46206</v>
      </c>
      <c r="U394" s="3" t="str">
        <f>IF(ISNA(vlookup(B394,DataExport!$D$2:$D$496,1,false)), "Belum", "Sudah")</f>
        <v>Belum</v>
      </c>
    </row>
    <row r="395">
      <c r="A395" s="3" t="str">
        <f t="shared" si="1"/>
        <v/>
      </c>
      <c r="C395" s="3"/>
      <c r="D395" s="3"/>
      <c r="E395" s="3"/>
      <c r="F395" s="3"/>
      <c r="G395" s="3"/>
      <c r="H395" s="3"/>
      <c r="S395" s="3"/>
      <c r="T395" s="6">
        <f t="shared" si="2"/>
        <v>46206</v>
      </c>
      <c r="U395" s="3" t="str">
        <f>IF(ISNA(vlookup(B395,DataExport!$D$2:$D$496,1,false)), "Belum", "Sudah")</f>
        <v>Belum</v>
      </c>
    </row>
    <row r="396">
      <c r="A396" s="3" t="str">
        <f t="shared" si="1"/>
        <v/>
      </c>
      <c r="C396" s="3"/>
      <c r="D396" s="3"/>
      <c r="E396" s="3"/>
      <c r="F396" s="3"/>
      <c r="G396" s="3"/>
      <c r="H396" s="3"/>
      <c r="S396" s="3"/>
      <c r="T396" s="6">
        <f t="shared" si="2"/>
        <v>46206</v>
      </c>
      <c r="U396" s="3" t="str">
        <f>IF(ISNA(vlookup(B396,DataExport!$D$2:$D$496,1,false)), "Belum", "Sudah")</f>
        <v>Belum</v>
      </c>
    </row>
    <row r="397">
      <c r="A397" s="3" t="str">
        <f t="shared" si="1"/>
        <v/>
      </c>
      <c r="C397" s="3"/>
      <c r="D397" s="3"/>
      <c r="E397" s="3"/>
      <c r="F397" s="3"/>
      <c r="G397" s="3"/>
      <c r="H397" s="3"/>
      <c r="S397" s="3"/>
      <c r="T397" s="6">
        <f t="shared" si="2"/>
        <v>46206</v>
      </c>
      <c r="U397" s="3" t="str">
        <f>IF(ISNA(vlookup(B397,DataExport!$D$2:$D$496,1,false)), "Belum", "Sudah")</f>
        <v>Belum</v>
      </c>
    </row>
    <row r="398">
      <c r="A398" s="3" t="str">
        <f t="shared" si="1"/>
        <v/>
      </c>
      <c r="C398" s="3"/>
      <c r="D398" s="3"/>
      <c r="E398" s="3"/>
      <c r="F398" s="3"/>
      <c r="G398" s="3"/>
      <c r="H398" s="3"/>
      <c r="S398" s="3"/>
      <c r="T398" s="6">
        <f t="shared" si="2"/>
        <v>46206</v>
      </c>
      <c r="U398" s="3" t="str">
        <f>IF(ISNA(vlookup(B398,DataExport!$D$2:$D$496,1,false)), "Belum", "Sudah")</f>
        <v>Belum</v>
      </c>
    </row>
    <row r="399">
      <c r="A399" s="3" t="str">
        <f t="shared" si="1"/>
        <v/>
      </c>
      <c r="C399" s="3"/>
      <c r="D399" s="3"/>
      <c r="E399" s="3"/>
      <c r="F399" s="3"/>
      <c r="G399" s="3"/>
      <c r="H399" s="3"/>
      <c r="S399" s="3"/>
      <c r="T399" s="6">
        <f t="shared" si="2"/>
        <v>46206</v>
      </c>
      <c r="U399" s="3" t="str">
        <f>IF(ISNA(vlookup(B399,DataExport!$D$2:$D$496,1,false)), "Belum", "Sudah")</f>
        <v>Belum</v>
      </c>
    </row>
    <row r="400">
      <c r="A400" s="3" t="str">
        <f t="shared" si="1"/>
        <v/>
      </c>
      <c r="C400" s="3"/>
      <c r="D400" s="3"/>
      <c r="E400" s="3"/>
      <c r="F400" s="3"/>
      <c r="G400" s="3"/>
      <c r="H400" s="3"/>
      <c r="S400" s="3"/>
      <c r="T400" s="6">
        <f t="shared" si="2"/>
        <v>46206</v>
      </c>
      <c r="U400" s="3" t="str">
        <f>IF(ISNA(vlookup(B400,DataExport!$D$2:$D$496,1,false)), "Belum", "Sudah")</f>
        <v>Belum</v>
      </c>
    </row>
    <row r="401">
      <c r="A401" s="3" t="str">
        <f t="shared" si="1"/>
        <v/>
      </c>
      <c r="C401" s="3"/>
      <c r="D401" s="3"/>
      <c r="E401" s="3"/>
      <c r="F401" s="3"/>
      <c r="G401" s="3"/>
      <c r="H401" s="3"/>
      <c r="S401" s="3"/>
      <c r="T401" s="6">
        <f t="shared" si="2"/>
        <v>46206</v>
      </c>
      <c r="U401" s="3" t="str">
        <f>IF(ISNA(vlookup(B401,DataExport!$D$2:$D$496,1,false)), "Belum", "Sudah")</f>
        <v>Belum</v>
      </c>
    </row>
    <row r="402">
      <c r="A402" s="3" t="str">
        <f t="shared" si="1"/>
        <v/>
      </c>
      <c r="C402" s="3"/>
      <c r="D402" s="3"/>
      <c r="E402" s="3"/>
      <c r="F402" s="3"/>
      <c r="G402" s="3"/>
      <c r="H402" s="3"/>
      <c r="S402" s="3"/>
      <c r="T402" s="6">
        <f t="shared" si="2"/>
        <v>46206</v>
      </c>
      <c r="U402" s="3" t="str">
        <f>IF(ISNA(vlookup(B402,DataExport!$D$2:$D$496,1,false)), "Belum", "Sudah")</f>
        <v>Belum</v>
      </c>
    </row>
    <row r="403">
      <c r="A403" s="3" t="str">
        <f t="shared" si="1"/>
        <v/>
      </c>
      <c r="C403" s="3"/>
      <c r="D403" s="3"/>
      <c r="E403" s="3"/>
      <c r="F403" s="3"/>
      <c r="G403" s="3"/>
      <c r="H403" s="3"/>
      <c r="S403" s="3"/>
      <c r="T403" s="6">
        <f t="shared" si="2"/>
        <v>46206</v>
      </c>
      <c r="U403" s="3" t="str">
        <f>IF(ISNA(vlookup(B403,DataExport!$D$2:$D$496,1,false)), "Belum", "Sudah")</f>
        <v>Belum</v>
      </c>
    </row>
    <row r="404">
      <c r="A404" s="3" t="str">
        <f t="shared" si="1"/>
        <v/>
      </c>
      <c r="C404" s="3"/>
      <c r="D404" s="3"/>
      <c r="E404" s="3"/>
      <c r="F404" s="3"/>
      <c r="G404" s="3"/>
      <c r="H404" s="3"/>
      <c r="S404" s="3"/>
      <c r="T404" s="6">
        <f t="shared" si="2"/>
        <v>46206</v>
      </c>
      <c r="U404" s="3" t="str">
        <f>IF(ISNA(vlookup(B404,DataExport!$D$2:$D$496,1,false)), "Belum", "Sudah")</f>
        <v>Belum</v>
      </c>
    </row>
    <row r="405">
      <c r="A405" s="3" t="str">
        <f t="shared" si="1"/>
        <v/>
      </c>
      <c r="C405" s="3"/>
      <c r="D405" s="3"/>
      <c r="E405" s="3"/>
      <c r="F405" s="3"/>
      <c r="G405" s="3"/>
      <c r="H405" s="3"/>
      <c r="S405" s="3"/>
      <c r="T405" s="6">
        <f t="shared" si="2"/>
        <v>46206</v>
      </c>
      <c r="U405" s="3" t="str">
        <f>IF(ISNA(vlookup(B405,DataExport!$D$2:$D$496,1,false)), "Belum", "Sudah")</f>
        <v>Belum</v>
      </c>
    </row>
    <row r="406">
      <c r="A406" s="3" t="str">
        <f t="shared" si="1"/>
        <v/>
      </c>
      <c r="C406" s="3"/>
      <c r="D406" s="3"/>
      <c r="E406" s="3"/>
      <c r="F406" s="3"/>
      <c r="G406" s="3"/>
      <c r="H406" s="3"/>
      <c r="S406" s="3"/>
      <c r="T406" s="6">
        <f t="shared" si="2"/>
        <v>46206</v>
      </c>
      <c r="U406" s="3" t="str">
        <f>IF(ISNA(vlookup(B406,DataExport!$D$2:$D$496,1,false)), "Belum", "Sudah")</f>
        <v>Belum</v>
      </c>
    </row>
    <row r="407">
      <c r="A407" s="3" t="str">
        <f t="shared" si="1"/>
        <v/>
      </c>
      <c r="C407" s="3"/>
      <c r="D407" s="3"/>
      <c r="E407" s="3"/>
      <c r="F407" s="3"/>
      <c r="G407" s="3"/>
      <c r="H407" s="3"/>
      <c r="S407" s="3"/>
      <c r="T407" s="6">
        <f t="shared" si="2"/>
        <v>46206</v>
      </c>
      <c r="U407" s="3" t="str">
        <f>IF(ISNA(vlookup(B407,DataExport!$D$2:$D$496,1,false)), "Belum", "Sudah")</f>
        <v>Belum</v>
      </c>
    </row>
    <row r="408">
      <c r="A408" s="3" t="str">
        <f t="shared" si="1"/>
        <v/>
      </c>
      <c r="C408" s="3"/>
      <c r="D408" s="3"/>
      <c r="E408" s="3"/>
      <c r="F408" s="3"/>
      <c r="G408" s="3"/>
      <c r="H408" s="3"/>
      <c r="S408" s="3"/>
      <c r="T408" s="6">
        <f t="shared" si="2"/>
        <v>46206</v>
      </c>
      <c r="U408" s="3" t="str">
        <f>IF(ISNA(vlookup(B408,DataExport!$D$2:$D$496,1,false)), "Belum", "Sudah")</f>
        <v>Belum</v>
      </c>
    </row>
    <row r="409">
      <c r="A409" s="3" t="str">
        <f t="shared" si="1"/>
        <v/>
      </c>
      <c r="C409" s="3"/>
      <c r="D409" s="3"/>
      <c r="E409" s="3"/>
      <c r="F409" s="3"/>
      <c r="G409" s="3"/>
      <c r="H409" s="3"/>
      <c r="S409" s="3"/>
      <c r="T409" s="6">
        <f t="shared" si="2"/>
        <v>46206</v>
      </c>
      <c r="U409" s="3" t="str">
        <f>IF(ISNA(vlookup(B409,DataExport!$D$2:$D$496,1,false)), "Belum", "Sudah")</f>
        <v>Belum</v>
      </c>
    </row>
    <row r="410">
      <c r="A410" s="3" t="str">
        <f t="shared" si="1"/>
        <v/>
      </c>
      <c r="C410" s="3"/>
      <c r="D410" s="3"/>
      <c r="E410" s="3"/>
      <c r="F410" s="3"/>
      <c r="G410" s="3"/>
      <c r="H410" s="3"/>
      <c r="S410" s="3"/>
      <c r="T410" s="6">
        <f t="shared" si="2"/>
        <v>46206</v>
      </c>
      <c r="U410" s="3" t="str">
        <f>IF(ISNA(vlookup(B410,DataExport!$D$2:$D$496,1,false)), "Belum", "Sudah")</f>
        <v>Belum</v>
      </c>
    </row>
    <row r="411">
      <c r="A411" s="3" t="str">
        <f t="shared" si="1"/>
        <v/>
      </c>
      <c r="C411" s="3"/>
      <c r="D411" s="3"/>
      <c r="E411" s="3"/>
      <c r="F411" s="3"/>
      <c r="G411" s="3"/>
      <c r="H411" s="3"/>
      <c r="S411" s="3"/>
      <c r="T411" s="6">
        <f t="shared" si="2"/>
        <v>46206</v>
      </c>
      <c r="U411" s="3" t="str">
        <f>IF(ISNA(vlookup(B411,DataExport!$D$2:$D$496,1,false)), "Belum", "Sudah")</f>
        <v>Belum</v>
      </c>
    </row>
    <row r="412">
      <c r="A412" s="3" t="str">
        <f t="shared" si="1"/>
        <v/>
      </c>
      <c r="C412" s="3"/>
      <c r="D412" s="3"/>
      <c r="E412" s="3"/>
      <c r="F412" s="3"/>
      <c r="G412" s="3"/>
      <c r="H412" s="3"/>
      <c r="S412" s="3"/>
      <c r="T412" s="6">
        <f t="shared" si="2"/>
        <v>46206</v>
      </c>
      <c r="U412" s="3" t="str">
        <f>IF(ISNA(vlookup(B412,DataExport!$D$2:$D$496,1,false)), "Belum", "Sudah")</f>
        <v>Belum</v>
      </c>
    </row>
    <row r="413">
      <c r="A413" s="3" t="str">
        <f t="shared" si="1"/>
        <v/>
      </c>
      <c r="C413" s="3"/>
      <c r="D413" s="3"/>
      <c r="E413" s="3"/>
      <c r="F413" s="3"/>
      <c r="G413" s="3"/>
      <c r="H413" s="3"/>
      <c r="S413" s="3"/>
      <c r="T413" s="6">
        <f t="shared" si="2"/>
        <v>46206</v>
      </c>
      <c r="U413" s="3" t="str">
        <f>IF(ISNA(vlookup(B413,DataExport!$D$2:$D$496,1,false)), "Belum", "Sudah")</f>
        <v>Belum</v>
      </c>
    </row>
    <row r="414">
      <c r="A414" s="3" t="str">
        <f t="shared" si="1"/>
        <v/>
      </c>
      <c r="C414" s="3"/>
      <c r="D414" s="3"/>
      <c r="E414" s="3"/>
      <c r="F414" s="3"/>
      <c r="G414" s="3"/>
      <c r="H414" s="3"/>
      <c r="S414" s="3"/>
      <c r="T414" s="6">
        <f t="shared" si="2"/>
        <v>46206</v>
      </c>
      <c r="U414" s="3" t="str">
        <f>IF(ISNA(vlookup(B414,DataExport!$D$2:$D$496,1,false)), "Belum", "Sudah")</f>
        <v>Belum</v>
      </c>
    </row>
    <row r="415">
      <c r="A415" s="3" t="str">
        <f t="shared" si="1"/>
        <v/>
      </c>
      <c r="C415" s="3"/>
      <c r="D415" s="3"/>
      <c r="E415" s="3"/>
      <c r="F415" s="3"/>
      <c r="G415" s="3"/>
      <c r="H415" s="3"/>
      <c r="S415" s="3"/>
      <c r="T415" s="6">
        <f t="shared" si="2"/>
        <v>46206</v>
      </c>
      <c r="U415" s="3" t="str">
        <f>IF(ISNA(vlookup(B415,DataExport!$D$2:$D$496,1,false)), "Belum", "Sudah")</f>
        <v>Belum</v>
      </c>
    </row>
    <row r="416">
      <c r="A416" s="3" t="str">
        <f t="shared" si="1"/>
        <v/>
      </c>
      <c r="C416" s="3"/>
      <c r="D416" s="3"/>
      <c r="E416" s="3"/>
      <c r="F416" s="3"/>
      <c r="G416" s="3"/>
      <c r="H416" s="3"/>
      <c r="S416" s="3"/>
      <c r="T416" s="6">
        <f t="shared" si="2"/>
        <v>46206</v>
      </c>
      <c r="U416" s="3" t="str">
        <f>IF(ISNA(vlookup(B416,DataExport!$D$2:$D$496,1,false)), "Belum", "Sudah")</f>
        <v>Belum</v>
      </c>
    </row>
    <row r="417">
      <c r="A417" s="3" t="str">
        <f t="shared" si="1"/>
        <v/>
      </c>
      <c r="C417" s="3"/>
      <c r="D417" s="3"/>
      <c r="E417" s="3"/>
      <c r="F417" s="3"/>
      <c r="G417" s="3"/>
      <c r="H417" s="3"/>
      <c r="S417" s="3"/>
      <c r="T417" s="6">
        <f t="shared" si="2"/>
        <v>46206</v>
      </c>
      <c r="U417" s="3" t="str">
        <f>IF(ISNA(vlookup(B417,DataExport!$D$2:$D$496,1,false)), "Belum", "Sudah")</f>
        <v>Belum</v>
      </c>
    </row>
    <row r="418">
      <c r="A418" s="3" t="str">
        <f t="shared" si="1"/>
        <v/>
      </c>
      <c r="C418" s="3"/>
      <c r="D418" s="3"/>
      <c r="E418" s="3"/>
      <c r="F418" s="3"/>
      <c r="G418" s="3"/>
      <c r="H418" s="3"/>
      <c r="S418" s="3"/>
      <c r="T418" s="6">
        <f t="shared" si="2"/>
        <v>46206</v>
      </c>
      <c r="U418" s="3" t="str">
        <f>IF(ISNA(vlookup(B418,DataExport!$D$2:$D$496,1,false)), "Belum", "Sudah")</f>
        <v>Belum</v>
      </c>
    </row>
    <row r="419">
      <c r="A419" s="3" t="str">
        <f t="shared" si="1"/>
        <v/>
      </c>
      <c r="C419" s="3"/>
      <c r="D419" s="3"/>
      <c r="E419" s="3"/>
      <c r="F419" s="3"/>
      <c r="G419" s="3"/>
      <c r="H419" s="3"/>
      <c r="S419" s="3"/>
      <c r="T419" s="6">
        <f t="shared" si="2"/>
        <v>46206</v>
      </c>
      <c r="U419" s="3" t="str">
        <f>IF(ISNA(vlookup(B419,DataExport!$D$2:$D$496,1,false)), "Belum", "Sudah")</f>
        <v>Belum</v>
      </c>
    </row>
    <row r="420">
      <c r="A420" s="3" t="str">
        <f t="shared" si="1"/>
        <v/>
      </c>
      <c r="C420" s="3"/>
      <c r="D420" s="3"/>
      <c r="E420" s="3"/>
      <c r="F420" s="3"/>
      <c r="G420" s="3"/>
      <c r="H420" s="3"/>
      <c r="S420" s="3"/>
      <c r="T420" s="6">
        <f t="shared" si="2"/>
        <v>46206</v>
      </c>
      <c r="U420" s="3" t="str">
        <f>IF(ISNA(vlookup(B420,DataExport!$D$2:$D$496,1,false)), "Belum", "Sudah")</f>
        <v>Belum</v>
      </c>
    </row>
    <row r="421">
      <c r="A421" s="3" t="str">
        <f t="shared" si="1"/>
        <v/>
      </c>
      <c r="C421" s="3"/>
      <c r="D421" s="3"/>
      <c r="E421" s="3"/>
      <c r="F421" s="3"/>
      <c r="G421" s="3"/>
      <c r="H421" s="3"/>
      <c r="S421" s="3"/>
      <c r="T421" s="6">
        <f t="shared" si="2"/>
        <v>46206</v>
      </c>
      <c r="U421" s="3" t="str">
        <f>IF(ISNA(vlookup(B421,DataExport!$D$2:$D$496,1,false)), "Belum", "Sudah")</f>
        <v>Belum</v>
      </c>
    </row>
    <row r="422">
      <c r="A422" s="3" t="str">
        <f t="shared" si="1"/>
        <v/>
      </c>
      <c r="C422" s="3"/>
      <c r="D422" s="3"/>
      <c r="E422" s="3"/>
      <c r="F422" s="3"/>
      <c r="G422" s="3"/>
      <c r="H422" s="3"/>
      <c r="S422" s="3"/>
      <c r="T422" s="6">
        <f t="shared" si="2"/>
        <v>46206</v>
      </c>
      <c r="U422" s="3" t="str">
        <f>IF(ISNA(vlookup(B422,DataExport!$D$2:$D$496,1,false)), "Belum", "Sudah")</f>
        <v>Belum</v>
      </c>
    </row>
    <row r="423">
      <c r="A423" s="3" t="str">
        <f t="shared" si="1"/>
        <v/>
      </c>
      <c r="C423" s="3"/>
      <c r="D423" s="3"/>
      <c r="E423" s="3"/>
      <c r="F423" s="3"/>
      <c r="G423" s="3"/>
      <c r="H423" s="3"/>
      <c r="S423" s="3"/>
      <c r="T423" s="6">
        <f t="shared" si="2"/>
        <v>46206</v>
      </c>
      <c r="U423" s="3" t="str">
        <f>IF(ISNA(vlookup(B423,DataExport!$D$2:$D$496,1,false)), "Belum", "Sudah")</f>
        <v>Belum</v>
      </c>
    </row>
    <row r="424">
      <c r="A424" s="3" t="str">
        <f t="shared" si="1"/>
        <v/>
      </c>
      <c r="C424" s="3"/>
      <c r="D424" s="3"/>
      <c r="E424" s="3"/>
      <c r="F424" s="3"/>
      <c r="G424" s="3"/>
      <c r="H424" s="3"/>
      <c r="S424" s="3"/>
      <c r="T424" s="6">
        <f t="shared" si="2"/>
        <v>46206</v>
      </c>
      <c r="U424" s="3" t="str">
        <f>IF(ISNA(vlookup(B424,DataExport!$D$2:$D$496,1,false)), "Belum", "Sudah")</f>
        <v>Belum</v>
      </c>
    </row>
    <row r="425">
      <c r="A425" s="3" t="str">
        <f t="shared" si="1"/>
        <v/>
      </c>
      <c r="C425" s="3"/>
      <c r="D425" s="3"/>
      <c r="E425" s="3"/>
      <c r="F425" s="3"/>
      <c r="G425" s="3"/>
      <c r="H425" s="3"/>
      <c r="S425" s="3"/>
      <c r="T425" s="6">
        <f t="shared" si="2"/>
        <v>46206</v>
      </c>
      <c r="U425" s="3" t="str">
        <f>IF(ISNA(vlookup(B425,DataExport!$D$2:$D$496,1,false)), "Belum", "Sudah")</f>
        <v>Belum</v>
      </c>
    </row>
    <row r="426">
      <c r="A426" s="3" t="str">
        <f t="shared" si="1"/>
        <v/>
      </c>
      <c r="C426" s="3"/>
      <c r="D426" s="3"/>
      <c r="E426" s="3"/>
      <c r="F426" s="3"/>
      <c r="G426" s="3"/>
      <c r="H426" s="3"/>
      <c r="S426" s="3"/>
      <c r="T426" s="6">
        <f t="shared" si="2"/>
        <v>46206</v>
      </c>
      <c r="U426" s="3" t="str">
        <f>IF(ISNA(vlookup(B426,DataExport!$D$2:$D$496,1,false)), "Belum", "Sudah")</f>
        <v>Belum</v>
      </c>
    </row>
    <row r="427">
      <c r="A427" s="3" t="str">
        <f t="shared" si="1"/>
        <v/>
      </c>
      <c r="C427" s="3"/>
      <c r="D427" s="3"/>
      <c r="E427" s="3"/>
      <c r="F427" s="3"/>
      <c r="G427" s="3"/>
      <c r="H427" s="3"/>
      <c r="S427" s="3"/>
      <c r="T427" s="6">
        <f t="shared" si="2"/>
        <v>46206</v>
      </c>
      <c r="U427" s="3" t="str">
        <f>IF(ISNA(vlookup(B427,DataExport!$D$2:$D$496,1,false)), "Belum", "Sudah")</f>
        <v>Belum</v>
      </c>
    </row>
    <row r="428">
      <c r="A428" s="3" t="str">
        <f t="shared" si="1"/>
        <v/>
      </c>
      <c r="C428" s="3"/>
      <c r="D428" s="3"/>
      <c r="E428" s="3"/>
      <c r="F428" s="3"/>
      <c r="G428" s="3"/>
      <c r="H428" s="3"/>
      <c r="S428" s="3"/>
      <c r="T428" s="6">
        <f t="shared" si="2"/>
        <v>46206</v>
      </c>
      <c r="U428" s="3" t="str">
        <f>IF(ISNA(vlookup(B428,DataExport!$D$2:$D$496,1,false)), "Belum", "Sudah")</f>
        <v>Belum</v>
      </c>
    </row>
    <row r="429">
      <c r="A429" s="3" t="str">
        <f t="shared" si="1"/>
        <v/>
      </c>
      <c r="C429" s="3"/>
      <c r="D429" s="3"/>
      <c r="E429" s="3"/>
      <c r="F429" s="3"/>
      <c r="G429" s="3"/>
      <c r="H429" s="3"/>
      <c r="S429" s="3"/>
      <c r="T429" s="6">
        <f t="shared" si="2"/>
        <v>46206</v>
      </c>
      <c r="U429" s="3" t="str">
        <f>IF(ISNA(vlookup(B429,DataExport!$D$2:$D$496,1,false)), "Belum", "Sudah")</f>
        <v>Belum</v>
      </c>
    </row>
    <row r="430">
      <c r="A430" s="3" t="str">
        <f t="shared" si="1"/>
        <v/>
      </c>
      <c r="C430" s="3"/>
      <c r="D430" s="3"/>
      <c r="E430" s="3"/>
      <c r="F430" s="3"/>
      <c r="G430" s="3"/>
      <c r="H430" s="3"/>
      <c r="S430" s="3"/>
      <c r="T430" s="6">
        <f t="shared" si="2"/>
        <v>46206</v>
      </c>
      <c r="U430" s="3" t="str">
        <f>IF(ISNA(vlookup(B430,DataExport!$D$2:$D$496,1,false)), "Belum", "Sudah")</f>
        <v>Belum</v>
      </c>
    </row>
    <row r="431">
      <c r="A431" s="3" t="str">
        <f t="shared" si="1"/>
        <v/>
      </c>
      <c r="C431" s="3"/>
      <c r="D431" s="3"/>
      <c r="E431" s="3"/>
      <c r="F431" s="3"/>
      <c r="G431" s="3"/>
      <c r="H431" s="3"/>
      <c r="S431" s="3"/>
      <c r="T431" s="6">
        <f t="shared" si="2"/>
        <v>46206</v>
      </c>
      <c r="U431" s="3" t="str">
        <f>IF(ISNA(vlookup(B431,DataExport!$D$2:$D$496,1,false)), "Belum", "Sudah")</f>
        <v>Belum</v>
      </c>
    </row>
    <row r="432">
      <c r="A432" s="3" t="str">
        <f t="shared" si="1"/>
        <v/>
      </c>
      <c r="C432" s="3"/>
      <c r="D432" s="3"/>
      <c r="E432" s="3"/>
      <c r="F432" s="3"/>
      <c r="G432" s="3"/>
      <c r="H432" s="3"/>
      <c r="S432" s="3"/>
      <c r="T432" s="6">
        <f t="shared" si="2"/>
        <v>46206</v>
      </c>
      <c r="U432" s="3" t="str">
        <f>IF(ISNA(vlookup(B432,DataExport!$D$2:$D$496,1,false)), "Belum", "Sudah")</f>
        <v>Belum</v>
      </c>
    </row>
    <row r="433">
      <c r="A433" s="3" t="str">
        <f t="shared" si="1"/>
        <v/>
      </c>
      <c r="C433" s="3"/>
      <c r="D433" s="3"/>
      <c r="E433" s="3"/>
      <c r="F433" s="3"/>
      <c r="G433" s="3"/>
      <c r="H433" s="3"/>
      <c r="S433" s="3"/>
      <c r="T433" s="6">
        <f t="shared" si="2"/>
        <v>46206</v>
      </c>
      <c r="U433" s="3" t="str">
        <f>IF(ISNA(vlookup(B433,DataExport!$D$2:$D$496,1,false)), "Belum", "Sudah")</f>
        <v>Belum</v>
      </c>
    </row>
    <row r="434">
      <c r="A434" s="3" t="str">
        <f t="shared" si="1"/>
        <v/>
      </c>
      <c r="C434" s="3"/>
      <c r="D434" s="3"/>
      <c r="E434" s="3"/>
      <c r="F434" s="3"/>
      <c r="G434" s="3"/>
      <c r="H434" s="3"/>
      <c r="S434" s="3"/>
      <c r="T434" s="6">
        <f t="shared" si="2"/>
        <v>46206</v>
      </c>
      <c r="U434" s="3" t="str">
        <f>IF(ISNA(vlookup(B434,DataExport!$D$2:$D$496,1,false)), "Belum", "Sudah")</f>
        <v>Belum</v>
      </c>
    </row>
    <row r="435">
      <c r="A435" s="3" t="str">
        <f t="shared" si="1"/>
        <v/>
      </c>
      <c r="C435" s="3"/>
      <c r="D435" s="3"/>
      <c r="E435" s="3"/>
      <c r="F435" s="3"/>
      <c r="G435" s="3"/>
      <c r="H435" s="3"/>
      <c r="S435" s="3"/>
      <c r="T435" s="6">
        <f t="shared" si="2"/>
        <v>46206</v>
      </c>
      <c r="U435" s="3" t="str">
        <f>IF(ISNA(vlookup(B435,DataExport!$D$2:$D$496,1,false)), "Belum", "Sudah")</f>
        <v>Belum</v>
      </c>
    </row>
    <row r="436">
      <c r="A436" s="3" t="str">
        <f t="shared" si="1"/>
        <v/>
      </c>
      <c r="C436" s="3"/>
      <c r="D436" s="3"/>
      <c r="E436" s="3"/>
      <c r="F436" s="3"/>
      <c r="G436" s="3"/>
      <c r="H436" s="3"/>
      <c r="S436" s="3"/>
      <c r="T436" s="6">
        <f t="shared" si="2"/>
        <v>46206</v>
      </c>
      <c r="U436" s="3" t="str">
        <f>IF(ISNA(vlookup(B436,DataExport!$D$2:$D$496,1,false)), "Belum", "Sudah")</f>
        <v>Belum</v>
      </c>
    </row>
    <row r="437">
      <c r="A437" s="3" t="str">
        <f t="shared" si="1"/>
        <v/>
      </c>
      <c r="C437" s="3"/>
      <c r="D437" s="3"/>
      <c r="E437" s="3"/>
      <c r="F437" s="3"/>
      <c r="G437" s="3"/>
      <c r="H437" s="3"/>
      <c r="S437" s="3"/>
      <c r="T437" s="6">
        <f t="shared" si="2"/>
        <v>46206</v>
      </c>
      <c r="U437" s="3" t="str">
        <f>IF(ISNA(vlookup(B437,DataExport!$D$2:$D$496,1,false)), "Belum", "Sudah")</f>
        <v>Belum</v>
      </c>
    </row>
    <row r="438">
      <c r="A438" s="3" t="str">
        <f t="shared" si="1"/>
        <v/>
      </c>
      <c r="C438" s="3"/>
      <c r="D438" s="3"/>
      <c r="E438" s="3"/>
      <c r="F438" s="3"/>
      <c r="G438" s="3"/>
      <c r="H438" s="3"/>
      <c r="S438" s="3"/>
      <c r="T438" s="6">
        <f t="shared" si="2"/>
        <v>46206</v>
      </c>
      <c r="U438" s="3" t="str">
        <f>IF(ISNA(vlookup(B438,DataExport!$D$2:$D$496,1,false)), "Belum", "Sudah")</f>
        <v>Belum</v>
      </c>
    </row>
    <row r="439">
      <c r="A439" s="3" t="str">
        <f t="shared" si="1"/>
        <v/>
      </c>
      <c r="C439" s="3"/>
      <c r="D439" s="3"/>
      <c r="E439" s="3"/>
      <c r="F439" s="3"/>
      <c r="G439" s="3"/>
      <c r="H439" s="3"/>
      <c r="S439" s="3"/>
      <c r="T439" s="6">
        <f t="shared" si="2"/>
        <v>46206</v>
      </c>
      <c r="U439" s="3" t="str">
        <f>IF(ISNA(vlookup(B439,DataExport!$D$2:$D$496,1,false)), "Belum", "Sudah")</f>
        <v>Belum</v>
      </c>
    </row>
    <row r="440">
      <c r="A440" s="3" t="str">
        <f t="shared" si="1"/>
        <v/>
      </c>
      <c r="C440" s="3"/>
      <c r="D440" s="3"/>
      <c r="E440" s="3"/>
      <c r="F440" s="3"/>
      <c r="G440" s="3"/>
      <c r="H440" s="3"/>
      <c r="S440" s="3"/>
      <c r="T440" s="6">
        <f t="shared" si="2"/>
        <v>46206</v>
      </c>
      <c r="U440" s="3" t="str">
        <f>IF(ISNA(vlookup(B440,DataExport!$D$2:$D$496,1,false)), "Belum", "Sudah")</f>
        <v>Belum</v>
      </c>
    </row>
    <row r="441">
      <c r="A441" s="3" t="str">
        <f t="shared" si="1"/>
        <v/>
      </c>
      <c r="C441" s="3"/>
      <c r="D441" s="3"/>
      <c r="E441" s="3"/>
      <c r="F441" s="3"/>
      <c r="G441" s="3"/>
      <c r="H441" s="3"/>
      <c r="S441" s="3"/>
      <c r="T441" s="6">
        <f t="shared" si="2"/>
        <v>46206</v>
      </c>
      <c r="U441" s="3" t="str">
        <f>IF(ISNA(vlookup(B441,DataExport!$D$2:$D$496,1,false)), "Belum", "Sudah")</f>
        <v>Belum</v>
      </c>
    </row>
    <row r="442">
      <c r="A442" s="3" t="str">
        <f t="shared" si="1"/>
        <v/>
      </c>
      <c r="C442" s="3"/>
      <c r="D442" s="3"/>
      <c r="E442" s="3"/>
      <c r="F442" s="3"/>
      <c r="G442" s="3"/>
      <c r="H442" s="3"/>
      <c r="S442" s="3"/>
      <c r="T442" s="6">
        <f t="shared" si="2"/>
        <v>46206</v>
      </c>
      <c r="U442" s="3" t="str">
        <f>IF(ISNA(vlookup(B442,DataExport!$D$2:$D$496,1,false)), "Belum", "Sudah")</f>
        <v>Belum</v>
      </c>
    </row>
    <row r="443">
      <c r="A443" s="3" t="str">
        <f t="shared" si="1"/>
        <v/>
      </c>
      <c r="C443" s="3"/>
      <c r="D443" s="3"/>
      <c r="E443" s="3"/>
      <c r="F443" s="3"/>
      <c r="G443" s="3"/>
      <c r="H443" s="3"/>
      <c r="S443" s="3"/>
      <c r="T443" s="6">
        <f t="shared" si="2"/>
        <v>46206</v>
      </c>
      <c r="U443" s="3" t="str">
        <f>IF(ISNA(vlookup(B443,DataExport!$D$2:$D$496,1,false)), "Belum", "Sudah")</f>
        <v>Belum</v>
      </c>
    </row>
    <row r="444">
      <c r="A444" s="3" t="str">
        <f t="shared" si="1"/>
        <v/>
      </c>
      <c r="C444" s="3"/>
      <c r="D444" s="3"/>
      <c r="E444" s="3"/>
      <c r="F444" s="3"/>
      <c r="G444" s="3"/>
      <c r="H444" s="3"/>
      <c r="S444" s="3"/>
      <c r="T444" s="6">
        <f t="shared" si="2"/>
        <v>46206</v>
      </c>
      <c r="U444" s="3" t="str">
        <f>IF(ISNA(vlookup(B444,DataExport!$D$2:$D$496,1,false)), "Belum", "Sudah")</f>
        <v>Belum</v>
      </c>
    </row>
    <row r="445">
      <c r="A445" s="3" t="str">
        <f t="shared" si="1"/>
        <v/>
      </c>
      <c r="C445" s="3"/>
      <c r="D445" s="3"/>
      <c r="E445" s="3"/>
      <c r="F445" s="3"/>
      <c r="G445" s="3"/>
      <c r="H445" s="3"/>
      <c r="S445" s="3"/>
      <c r="T445" s="6">
        <f t="shared" si="2"/>
        <v>46206</v>
      </c>
      <c r="U445" s="3" t="str">
        <f>IF(ISNA(vlookup(B445,DataExport!$D$2:$D$496,1,false)), "Belum", "Sudah")</f>
        <v>Belum</v>
      </c>
    </row>
    <row r="446">
      <c r="A446" s="3" t="str">
        <f t="shared" si="1"/>
        <v/>
      </c>
      <c r="C446" s="3"/>
      <c r="D446" s="3"/>
      <c r="E446" s="3"/>
      <c r="F446" s="3"/>
      <c r="G446" s="3"/>
      <c r="H446" s="3"/>
      <c r="S446" s="3"/>
      <c r="T446" s="6">
        <f t="shared" si="2"/>
        <v>46206</v>
      </c>
      <c r="U446" s="3" t="str">
        <f>IF(ISNA(vlookup(B446,DataExport!$D$2:$D$496,1,false)), "Belum", "Sudah")</f>
        <v>Belum</v>
      </c>
    </row>
    <row r="447">
      <c r="A447" s="3" t="str">
        <f t="shared" si="1"/>
        <v/>
      </c>
      <c r="C447" s="3"/>
      <c r="D447" s="3"/>
      <c r="E447" s="3"/>
      <c r="F447" s="3"/>
      <c r="G447" s="3"/>
      <c r="H447" s="3"/>
      <c r="S447" s="3"/>
      <c r="T447" s="6">
        <f t="shared" si="2"/>
        <v>46206</v>
      </c>
      <c r="U447" s="3" t="str">
        <f>IF(ISNA(vlookup(B447,DataExport!$D$2:$D$496,1,false)), "Belum", "Sudah")</f>
        <v>Belum</v>
      </c>
    </row>
    <row r="448">
      <c r="A448" s="3" t="str">
        <f t="shared" si="1"/>
        <v/>
      </c>
      <c r="C448" s="3"/>
      <c r="D448" s="3"/>
      <c r="E448" s="3"/>
      <c r="F448" s="3"/>
      <c r="G448" s="3"/>
      <c r="H448" s="3"/>
      <c r="S448" s="3"/>
      <c r="T448" s="6">
        <f t="shared" si="2"/>
        <v>46206</v>
      </c>
      <c r="U448" s="3" t="str">
        <f>IF(ISNA(vlookup(B448,DataExport!$D$2:$D$496,1,false)), "Belum", "Sudah")</f>
        <v>Belum</v>
      </c>
    </row>
    <row r="449">
      <c r="A449" s="3" t="str">
        <f t="shared" si="1"/>
        <v/>
      </c>
      <c r="C449" s="3"/>
      <c r="D449" s="3"/>
      <c r="E449" s="3"/>
      <c r="F449" s="3"/>
      <c r="G449" s="3"/>
      <c r="H449" s="3"/>
      <c r="S449" s="3"/>
      <c r="T449" s="6">
        <f t="shared" si="2"/>
        <v>46206</v>
      </c>
      <c r="U449" s="3" t="str">
        <f>IF(ISNA(vlookup(B449,DataExport!$D$2:$D$496,1,false)), "Belum", "Sudah")</f>
        <v>Belum</v>
      </c>
    </row>
    <row r="450">
      <c r="A450" s="3" t="str">
        <f t="shared" si="1"/>
        <v/>
      </c>
      <c r="C450" s="3"/>
      <c r="D450" s="3"/>
      <c r="E450" s="3"/>
      <c r="F450" s="3"/>
      <c r="G450" s="3"/>
      <c r="H450" s="3"/>
      <c r="S450" s="3"/>
      <c r="T450" s="6">
        <f t="shared" si="2"/>
        <v>46206</v>
      </c>
      <c r="U450" s="3" t="str">
        <f>IF(ISNA(vlookup(B450,DataExport!$D$2:$D$496,1,false)), "Belum", "Sudah")</f>
        <v>Belum</v>
      </c>
    </row>
    <row r="451">
      <c r="A451" s="3" t="str">
        <f t="shared" si="1"/>
        <v/>
      </c>
      <c r="C451" s="3"/>
      <c r="D451" s="3"/>
      <c r="E451" s="3"/>
      <c r="F451" s="3"/>
      <c r="G451" s="3"/>
      <c r="H451" s="3"/>
      <c r="S451" s="3"/>
      <c r="T451" s="6">
        <f t="shared" si="2"/>
        <v>46206</v>
      </c>
      <c r="U451" s="3" t="str">
        <f>IF(ISNA(vlookup(B451,DataExport!$D$2:$D$496,1,false)), "Belum", "Sudah")</f>
        <v>Belum</v>
      </c>
    </row>
    <row r="452">
      <c r="A452" s="3" t="str">
        <f t="shared" si="1"/>
        <v/>
      </c>
      <c r="C452" s="3"/>
      <c r="D452" s="3"/>
      <c r="E452" s="3"/>
      <c r="F452" s="3"/>
      <c r="G452" s="3"/>
      <c r="H452" s="3"/>
      <c r="S452" s="3"/>
      <c r="T452" s="6">
        <f t="shared" si="2"/>
        <v>46206</v>
      </c>
      <c r="U452" s="3" t="str">
        <f>IF(ISNA(vlookup(B452,DataExport!$D$2:$D$496,1,false)), "Belum", "Sudah")</f>
        <v>Belum</v>
      </c>
    </row>
    <row r="453">
      <c r="A453" s="3" t="str">
        <f t="shared" si="1"/>
        <v/>
      </c>
      <c r="C453" s="3"/>
      <c r="D453" s="3"/>
      <c r="E453" s="3"/>
      <c r="F453" s="3"/>
      <c r="G453" s="3"/>
      <c r="H453" s="3"/>
      <c r="S453" s="3"/>
      <c r="T453" s="6">
        <f t="shared" si="2"/>
        <v>46206</v>
      </c>
      <c r="U453" s="3" t="str">
        <f>IF(ISNA(vlookup(B453,DataExport!$D$2:$D$496,1,false)), "Belum", "Sudah")</f>
        <v>Belum</v>
      </c>
    </row>
    <row r="454">
      <c r="A454" s="3" t="str">
        <f t="shared" si="1"/>
        <v/>
      </c>
      <c r="C454" s="3"/>
      <c r="D454" s="3"/>
      <c r="E454" s="3"/>
      <c r="F454" s="3"/>
      <c r="G454" s="3"/>
      <c r="H454" s="3"/>
      <c r="S454" s="3"/>
      <c r="T454" s="6">
        <f t="shared" si="2"/>
        <v>46206</v>
      </c>
      <c r="U454" s="3" t="str">
        <f>IF(ISNA(vlookup(B454,DataExport!$D$2:$D$496,1,false)), "Belum", "Sudah")</f>
        <v>Belum</v>
      </c>
    </row>
    <row r="455">
      <c r="A455" s="3" t="str">
        <f t="shared" si="1"/>
        <v/>
      </c>
      <c r="C455" s="3"/>
      <c r="D455" s="3"/>
      <c r="E455" s="3"/>
      <c r="F455" s="3"/>
      <c r="G455" s="3"/>
      <c r="H455" s="3"/>
      <c r="S455" s="3"/>
      <c r="T455" s="6">
        <f t="shared" si="2"/>
        <v>46206</v>
      </c>
      <c r="U455" s="3" t="str">
        <f>IF(ISNA(vlookup(B455,DataExport!$D$2:$D$496,1,false)), "Belum", "Sudah")</f>
        <v>Belum</v>
      </c>
    </row>
    <row r="456">
      <c r="A456" s="3" t="str">
        <f t="shared" si="1"/>
        <v/>
      </c>
      <c r="C456" s="3"/>
      <c r="D456" s="3"/>
      <c r="E456" s="3"/>
      <c r="F456" s="3"/>
      <c r="G456" s="3"/>
      <c r="H456" s="3"/>
      <c r="S456" s="3"/>
      <c r="T456" s="6">
        <f t="shared" si="2"/>
        <v>46206</v>
      </c>
      <c r="U456" s="3" t="str">
        <f>IF(ISNA(vlookup(B456,DataExport!$D$2:$D$496,1,false)), "Belum", "Sudah")</f>
        <v>Belum</v>
      </c>
    </row>
    <row r="457">
      <c r="A457" s="3" t="str">
        <f t="shared" si="1"/>
        <v/>
      </c>
      <c r="C457" s="3"/>
      <c r="D457" s="3"/>
      <c r="E457" s="3"/>
      <c r="F457" s="3"/>
      <c r="G457" s="3"/>
      <c r="H457" s="3"/>
      <c r="S457" s="3"/>
      <c r="T457" s="6">
        <f t="shared" si="2"/>
        <v>46206</v>
      </c>
      <c r="U457" s="3" t="str">
        <f>IF(ISNA(vlookup(B457,DataExport!$D$2:$D$496,1,false)), "Belum", "Sudah")</f>
        <v>Belum</v>
      </c>
    </row>
    <row r="458">
      <c r="A458" s="3" t="str">
        <f t="shared" si="1"/>
        <v/>
      </c>
      <c r="C458" s="3"/>
      <c r="D458" s="3"/>
      <c r="E458" s="3"/>
      <c r="F458" s="3"/>
      <c r="G458" s="3"/>
      <c r="H458" s="3"/>
      <c r="S458" s="3"/>
      <c r="T458" s="6">
        <f t="shared" si="2"/>
        <v>46206</v>
      </c>
      <c r="U458" s="3" t="str">
        <f>IF(ISNA(vlookup(B458,DataExport!$D$2:$D$496,1,false)), "Belum", "Sudah")</f>
        <v>Belum</v>
      </c>
    </row>
    <row r="459">
      <c r="A459" s="3" t="str">
        <f t="shared" si="1"/>
        <v/>
      </c>
      <c r="C459" s="3"/>
      <c r="D459" s="3"/>
      <c r="E459" s="3"/>
      <c r="F459" s="3"/>
      <c r="G459" s="3"/>
      <c r="H459" s="3"/>
      <c r="S459" s="3"/>
      <c r="T459" s="6">
        <f t="shared" si="2"/>
        <v>46206</v>
      </c>
      <c r="U459" s="3" t="str">
        <f>IF(ISNA(vlookup(B459,DataExport!$D$2:$D$496,1,false)), "Belum", "Sudah")</f>
        <v>Belum</v>
      </c>
    </row>
    <row r="460">
      <c r="A460" s="3" t="str">
        <f t="shared" si="1"/>
        <v/>
      </c>
      <c r="C460" s="3"/>
      <c r="D460" s="3"/>
      <c r="E460" s="3"/>
      <c r="F460" s="3"/>
      <c r="G460" s="3"/>
      <c r="H460" s="3"/>
      <c r="S460" s="3"/>
      <c r="T460" s="6">
        <f t="shared" si="2"/>
        <v>46206</v>
      </c>
      <c r="U460" s="3" t="str">
        <f>IF(ISNA(vlookup(B460,DataExport!$D$2:$D$496,1,false)), "Belum", "Sudah")</f>
        <v>Belum</v>
      </c>
    </row>
    <row r="461">
      <c r="A461" s="3" t="str">
        <f t="shared" si="1"/>
        <v/>
      </c>
      <c r="C461" s="3"/>
      <c r="D461" s="3"/>
      <c r="E461" s="3"/>
      <c r="F461" s="3"/>
      <c r="G461" s="3"/>
      <c r="H461" s="3"/>
      <c r="S461" s="3"/>
      <c r="T461" s="6">
        <f t="shared" si="2"/>
        <v>46206</v>
      </c>
      <c r="U461" s="3" t="str">
        <f>IF(ISNA(vlookup(B461,DataExport!$D$2:$D$496,1,false)), "Belum", "Sudah")</f>
        <v>Belum</v>
      </c>
    </row>
    <row r="462">
      <c r="A462" s="3" t="str">
        <f t="shared" si="1"/>
        <v/>
      </c>
      <c r="C462" s="3"/>
      <c r="D462" s="3"/>
      <c r="E462" s="3"/>
      <c r="F462" s="3"/>
      <c r="G462" s="3"/>
      <c r="H462" s="3"/>
      <c r="S462" s="3"/>
      <c r="T462" s="6">
        <f t="shared" si="2"/>
        <v>46206</v>
      </c>
      <c r="U462" s="3" t="str">
        <f>IF(ISNA(vlookup(B462,DataExport!$D$2:$D$496,1,false)), "Belum", "Sudah")</f>
        <v>Belum</v>
      </c>
    </row>
    <row r="463">
      <c r="A463" s="3" t="str">
        <f t="shared" si="1"/>
        <v/>
      </c>
      <c r="C463" s="3"/>
      <c r="D463" s="3"/>
      <c r="E463" s="3"/>
      <c r="F463" s="3"/>
      <c r="G463" s="3"/>
      <c r="H463" s="3"/>
      <c r="S463" s="3"/>
      <c r="T463" s="6">
        <f t="shared" si="2"/>
        <v>46206</v>
      </c>
      <c r="U463" s="3" t="str">
        <f>IF(ISNA(vlookup(B463,DataExport!$D$2:$D$496,1,false)), "Belum", "Sudah")</f>
        <v>Belum</v>
      </c>
    </row>
    <row r="464">
      <c r="A464" s="3" t="str">
        <f t="shared" si="1"/>
        <v/>
      </c>
      <c r="C464" s="3"/>
      <c r="D464" s="3"/>
      <c r="E464" s="3"/>
      <c r="F464" s="3"/>
      <c r="G464" s="3"/>
      <c r="H464" s="3"/>
      <c r="S464" s="3"/>
      <c r="T464" s="6">
        <f t="shared" si="2"/>
        <v>46206</v>
      </c>
      <c r="U464" s="3" t="str">
        <f>IF(ISNA(vlookup(B464,DataExport!$D$2:$D$496,1,false)), "Belum", "Sudah")</f>
        <v>Belum</v>
      </c>
    </row>
    <row r="465">
      <c r="A465" s="3" t="str">
        <f t="shared" si="1"/>
        <v/>
      </c>
      <c r="C465" s="3"/>
      <c r="D465" s="3"/>
      <c r="E465" s="3"/>
      <c r="F465" s="3"/>
      <c r="G465" s="3"/>
      <c r="H465" s="3"/>
      <c r="S465" s="3"/>
      <c r="T465" s="6">
        <f t="shared" si="2"/>
        <v>46206</v>
      </c>
      <c r="U465" s="3" t="str">
        <f>IF(ISNA(vlookup(B465,DataExport!$D$2:$D$496,1,false)), "Belum", "Sudah")</f>
        <v>Belum</v>
      </c>
    </row>
    <row r="466">
      <c r="A466" s="3" t="str">
        <f t="shared" si="1"/>
        <v/>
      </c>
      <c r="C466" s="3"/>
      <c r="D466" s="3"/>
      <c r="E466" s="3"/>
      <c r="F466" s="3"/>
      <c r="G466" s="3"/>
      <c r="H466" s="3"/>
      <c r="S466" s="3"/>
      <c r="T466" s="6">
        <f t="shared" si="2"/>
        <v>46206</v>
      </c>
      <c r="U466" s="3" t="str">
        <f>IF(ISNA(vlookup(B466,DataExport!$D$2:$D$496,1,false)), "Belum", "Sudah")</f>
        <v>Belum</v>
      </c>
    </row>
    <row r="467">
      <c r="A467" s="3" t="str">
        <f t="shared" si="1"/>
        <v/>
      </c>
      <c r="C467" s="3"/>
      <c r="D467" s="3"/>
      <c r="E467" s="3"/>
      <c r="F467" s="3"/>
      <c r="G467" s="3"/>
      <c r="H467" s="3"/>
      <c r="S467" s="3"/>
      <c r="T467" s="6">
        <f t="shared" si="2"/>
        <v>46206</v>
      </c>
      <c r="U467" s="3" t="str">
        <f>IF(ISNA(vlookup(B467,DataExport!$D$2:$D$496,1,false)), "Belum", "Sudah")</f>
        <v>Belum</v>
      </c>
    </row>
    <row r="468">
      <c r="A468" s="3" t="str">
        <f t="shared" si="1"/>
        <v/>
      </c>
      <c r="C468" s="3"/>
      <c r="D468" s="3"/>
      <c r="E468" s="3"/>
      <c r="F468" s="3"/>
      <c r="G468" s="3"/>
      <c r="H468" s="3"/>
      <c r="S468" s="3"/>
      <c r="T468" s="6">
        <f t="shared" si="2"/>
        <v>46206</v>
      </c>
      <c r="U468" s="3" t="str">
        <f>IF(ISNA(vlookup(B468,DataExport!$D$2:$D$496,1,false)), "Belum", "Sudah")</f>
        <v>Belum</v>
      </c>
    </row>
    <row r="469">
      <c r="A469" s="3" t="str">
        <f t="shared" si="1"/>
        <v/>
      </c>
      <c r="C469" s="3"/>
      <c r="D469" s="3"/>
      <c r="E469" s="3"/>
      <c r="F469" s="3"/>
      <c r="G469" s="3"/>
      <c r="H469" s="3"/>
      <c r="S469" s="3"/>
      <c r="T469" s="6">
        <f t="shared" si="2"/>
        <v>46206</v>
      </c>
      <c r="U469" s="3" t="str">
        <f>IF(ISNA(vlookup(B469,DataExport!$D$2:$D$496,1,false)), "Belum", "Sudah")</f>
        <v>Belum</v>
      </c>
    </row>
    <row r="470">
      <c r="A470" s="3" t="str">
        <f t="shared" si="1"/>
        <v/>
      </c>
      <c r="C470" s="3"/>
      <c r="D470" s="3"/>
      <c r="E470" s="3"/>
      <c r="F470" s="3"/>
      <c r="G470" s="3"/>
      <c r="H470" s="3"/>
      <c r="S470" s="3"/>
      <c r="T470" s="6">
        <f t="shared" si="2"/>
        <v>46206</v>
      </c>
      <c r="U470" s="3" t="str">
        <f>IF(ISNA(vlookup(B470,DataExport!$D$2:$D$496,1,false)), "Belum", "Sudah")</f>
        <v>Belum</v>
      </c>
    </row>
    <row r="471">
      <c r="A471" s="3" t="str">
        <f t="shared" si="1"/>
        <v/>
      </c>
      <c r="C471" s="3"/>
      <c r="D471" s="3"/>
      <c r="E471" s="3"/>
      <c r="F471" s="3"/>
      <c r="G471" s="3"/>
      <c r="H471" s="3"/>
      <c r="S471" s="3"/>
      <c r="T471" s="6">
        <f t="shared" si="2"/>
        <v>46206</v>
      </c>
      <c r="U471" s="3" t="str">
        <f>IF(ISNA(vlookup(B471,DataExport!$D$2:$D$496,1,false)), "Belum", "Sudah")</f>
        <v>Belum</v>
      </c>
    </row>
    <row r="472">
      <c r="A472" s="3" t="str">
        <f t="shared" si="1"/>
        <v/>
      </c>
      <c r="C472" s="3"/>
      <c r="D472" s="3"/>
      <c r="E472" s="3"/>
      <c r="F472" s="3"/>
      <c r="G472" s="3"/>
      <c r="H472" s="3"/>
      <c r="S472" s="3"/>
      <c r="T472" s="6">
        <f t="shared" si="2"/>
        <v>46206</v>
      </c>
      <c r="U472" s="3" t="str">
        <f>IF(ISNA(vlookup(B472,DataExport!$D$2:$D$496,1,false)), "Belum", "Sudah")</f>
        <v>Belum</v>
      </c>
    </row>
    <row r="473">
      <c r="A473" s="3" t="str">
        <f t="shared" si="1"/>
        <v/>
      </c>
      <c r="C473" s="3"/>
      <c r="D473" s="3"/>
      <c r="E473" s="3"/>
      <c r="F473" s="3"/>
      <c r="G473" s="3"/>
      <c r="H473" s="3"/>
      <c r="S473" s="3"/>
      <c r="T473" s="6">
        <f t="shared" si="2"/>
        <v>46206</v>
      </c>
      <c r="U473" s="3" t="str">
        <f>IF(ISNA(vlookup(B473,DataExport!$D$2:$D$496,1,false)), "Belum", "Sudah")</f>
        <v>Belum</v>
      </c>
    </row>
    <row r="474">
      <c r="A474" s="3" t="str">
        <f t="shared" si="1"/>
        <v/>
      </c>
      <c r="C474" s="3"/>
      <c r="D474" s="3"/>
      <c r="E474" s="3"/>
      <c r="F474" s="3"/>
      <c r="G474" s="3"/>
      <c r="H474" s="3"/>
      <c r="S474" s="3"/>
      <c r="T474" s="6">
        <f t="shared" si="2"/>
        <v>46206</v>
      </c>
      <c r="U474" s="3" t="str">
        <f>IF(ISNA(vlookup(B474,DataExport!$D$2:$D$496,1,false)), "Belum", "Sudah")</f>
        <v>Belum</v>
      </c>
    </row>
    <row r="475">
      <c r="A475" s="3" t="str">
        <f t="shared" si="1"/>
        <v/>
      </c>
      <c r="C475" s="3"/>
      <c r="D475" s="3"/>
      <c r="E475" s="3"/>
      <c r="F475" s="3"/>
      <c r="G475" s="3"/>
      <c r="H475" s="3"/>
      <c r="S475" s="3"/>
      <c r="T475" s="6">
        <f t="shared" si="2"/>
        <v>46206</v>
      </c>
      <c r="U475" s="3" t="str">
        <f>IF(ISNA(vlookup(B475,DataExport!$D$2:$D$496,1,false)), "Belum", "Sudah")</f>
        <v>Belum</v>
      </c>
    </row>
    <row r="476">
      <c r="A476" s="3" t="str">
        <f t="shared" si="1"/>
        <v/>
      </c>
      <c r="C476" s="3"/>
      <c r="D476" s="3"/>
      <c r="E476" s="3"/>
      <c r="F476" s="3"/>
      <c r="G476" s="3"/>
      <c r="H476" s="3"/>
      <c r="S476" s="3"/>
      <c r="T476" s="6">
        <f t="shared" si="2"/>
        <v>46206</v>
      </c>
      <c r="U476" s="3" t="str">
        <f>IF(ISNA(vlookup(B476,DataExport!$D$2:$D$496,1,false)), "Belum", "Sudah")</f>
        <v>Belum</v>
      </c>
    </row>
    <row r="477">
      <c r="A477" s="3" t="str">
        <f t="shared" si="1"/>
        <v/>
      </c>
      <c r="C477" s="3"/>
      <c r="D477" s="3"/>
      <c r="E477" s="3"/>
      <c r="F477" s="3"/>
      <c r="G477" s="3"/>
      <c r="H477" s="3"/>
      <c r="S477" s="3"/>
      <c r="T477" s="6">
        <f t="shared" si="2"/>
        <v>46206</v>
      </c>
      <c r="U477" s="3" t="str">
        <f>IF(ISNA(vlookup(B477,DataExport!$D$2:$D$496,1,false)), "Belum", "Sudah")</f>
        <v>Belum</v>
      </c>
    </row>
    <row r="478">
      <c r="A478" s="3" t="str">
        <f t="shared" si="1"/>
        <v/>
      </c>
      <c r="C478" s="3"/>
      <c r="D478" s="3"/>
      <c r="E478" s="3"/>
      <c r="F478" s="3"/>
      <c r="G478" s="3"/>
      <c r="H478" s="3"/>
      <c r="S478" s="3"/>
      <c r="T478" s="6">
        <f t="shared" si="2"/>
        <v>46206</v>
      </c>
      <c r="U478" s="3" t="str">
        <f>IF(ISNA(vlookup(B478,DataExport!$D$2:$D$496,1,false)), "Belum", "Sudah")</f>
        <v>Belum</v>
      </c>
    </row>
    <row r="479">
      <c r="A479" s="3" t="str">
        <f t="shared" si="1"/>
        <v/>
      </c>
      <c r="C479" s="3"/>
      <c r="D479" s="3"/>
      <c r="E479" s="3"/>
      <c r="F479" s="3"/>
      <c r="G479" s="3"/>
      <c r="H479" s="3"/>
      <c r="S479" s="3"/>
      <c r="T479" s="6">
        <f t="shared" si="2"/>
        <v>46206</v>
      </c>
      <c r="U479" s="3" t="str">
        <f>IF(ISNA(vlookup(B479,DataExport!$D$2:$D$496,1,false)), "Belum", "Sudah")</f>
        <v>Belum</v>
      </c>
    </row>
    <row r="480">
      <c r="A480" s="3" t="str">
        <f t="shared" si="1"/>
        <v/>
      </c>
      <c r="C480" s="3"/>
      <c r="D480" s="3"/>
      <c r="E480" s="3"/>
      <c r="F480" s="3"/>
      <c r="G480" s="3"/>
      <c r="H480" s="3"/>
      <c r="S480" s="3"/>
      <c r="T480" s="6">
        <f t="shared" si="2"/>
        <v>46206</v>
      </c>
      <c r="U480" s="3" t="str">
        <f>IF(ISNA(vlookup(B480,DataExport!$D$2:$D$496,1,false)), "Belum", "Sudah")</f>
        <v>Belum</v>
      </c>
    </row>
    <row r="481">
      <c r="A481" s="3" t="str">
        <f t="shared" si="1"/>
        <v/>
      </c>
      <c r="C481" s="3"/>
      <c r="D481" s="3"/>
      <c r="E481" s="3"/>
      <c r="F481" s="3"/>
      <c r="G481" s="3"/>
      <c r="H481" s="3"/>
      <c r="S481" s="3"/>
      <c r="T481" s="6">
        <f t="shared" si="2"/>
        <v>46206</v>
      </c>
      <c r="U481" s="3" t="str">
        <f>IF(ISNA(vlookup(B481,DataExport!$D$2:$D$496,1,false)), "Belum", "Sudah")</f>
        <v>Belum</v>
      </c>
    </row>
    <row r="482">
      <c r="A482" s="3" t="str">
        <f t="shared" si="1"/>
        <v/>
      </c>
      <c r="C482" s="3"/>
      <c r="D482" s="3"/>
      <c r="E482" s="3"/>
      <c r="F482" s="3"/>
      <c r="G482" s="3"/>
      <c r="H482" s="3"/>
      <c r="S482" s="3"/>
      <c r="T482" s="6">
        <f t="shared" si="2"/>
        <v>46206</v>
      </c>
      <c r="U482" s="3" t="str">
        <f>IF(ISNA(vlookup(B482,DataExport!$D$2:$D$496,1,false)), "Belum", "Sudah")</f>
        <v>Belum</v>
      </c>
    </row>
    <row r="483">
      <c r="A483" s="3" t="str">
        <f t="shared" si="1"/>
        <v/>
      </c>
      <c r="C483" s="3"/>
      <c r="D483" s="3"/>
      <c r="E483" s="3"/>
      <c r="F483" s="3"/>
      <c r="G483" s="3"/>
      <c r="H483" s="3"/>
      <c r="S483" s="3"/>
      <c r="T483" s="6">
        <f t="shared" si="2"/>
        <v>46206</v>
      </c>
      <c r="U483" s="3" t="str">
        <f>IF(ISNA(vlookup(B483,DataExport!$D$2:$D$496,1,false)), "Belum", "Sudah")</f>
        <v>Belum</v>
      </c>
    </row>
    <row r="484">
      <c r="A484" s="3" t="str">
        <f t="shared" si="1"/>
        <v/>
      </c>
      <c r="C484" s="3"/>
      <c r="D484" s="3"/>
      <c r="E484" s="3"/>
      <c r="F484" s="3"/>
      <c r="G484" s="3"/>
      <c r="H484" s="3"/>
      <c r="S484" s="3"/>
      <c r="T484" s="6">
        <f t="shared" si="2"/>
        <v>46206</v>
      </c>
      <c r="U484" s="3" t="str">
        <f>IF(ISNA(vlookup(B484,DataExport!$D$2:$D$496,1,false)), "Belum", "Sudah")</f>
        <v>Belum</v>
      </c>
    </row>
    <row r="485">
      <c r="A485" s="3" t="str">
        <f t="shared" si="1"/>
        <v/>
      </c>
      <c r="C485" s="3"/>
      <c r="D485" s="3"/>
      <c r="E485" s="3"/>
      <c r="F485" s="3"/>
      <c r="G485" s="3"/>
      <c r="H485" s="3"/>
      <c r="S485" s="3"/>
      <c r="T485" s="6">
        <f t="shared" si="2"/>
        <v>46206</v>
      </c>
      <c r="U485" s="3" t="str">
        <f>IF(ISNA(vlookup(B485,DataExport!$D$2:$D$496,1,false)), "Belum", "Sudah")</f>
        <v>Belum</v>
      </c>
    </row>
    <row r="486">
      <c r="A486" s="3" t="str">
        <f t="shared" si="1"/>
        <v/>
      </c>
      <c r="C486" s="3"/>
      <c r="D486" s="3"/>
      <c r="E486" s="3"/>
      <c r="F486" s="3"/>
      <c r="G486" s="3"/>
      <c r="H486" s="3"/>
      <c r="S486" s="3"/>
      <c r="T486" s="6">
        <f t="shared" si="2"/>
        <v>46206</v>
      </c>
      <c r="U486" s="3" t="str">
        <f>IF(ISNA(vlookup(B486,DataExport!$D$2:$D$496,1,false)), "Belum", "Sudah")</f>
        <v>Belum</v>
      </c>
    </row>
    <row r="487">
      <c r="A487" s="3" t="str">
        <f t="shared" si="1"/>
        <v/>
      </c>
      <c r="C487" s="3"/>
      <c r="D487" s="3"/>
      <c r="E487" s="3"/>
      <c r="F487" s="3"/>
      <c r="G487" s="3"/>
      <c r="H487" s="3"/>
      <c r="S487" s="3"/>
      <c r="T487" s="6">
        <f t="shared" si="2"/>
        <v>46206</v>
      </c>
      <c r="U487" s="3" t="str">
        <f>IF(ISNA(vlookup(B487,DataExport!$D$2:$D$496,1,false)), "Belum", "Sudah")</f>
        <v>Belum</v>
      </c>
    </row>
    <row r="488">
      <c r="A488" s="3"/>
      <c r="C488" s="3"/>
      <c r="D488" s="3"/>
      <c r="E488" s="3"/>
      <c r="F488" s="3"/>
      <c r="G488" s="3"/>
      <c r="H488" s="3"/>
      <c r="S488" s="3"/>
      <c r="T488" s="6">
        <f t="shared" si="2"/>
        <v>46206</v>
      </c>
      <c r="U488" s="3" t="str">
        <f>IF(ISNA(vlookup(B488,DataExport!$D$2:$D$496,1,false)), "Belum", "Sudah")</f>
        <v>Belum</v>
      </c>
    </row>
    <row r="489">
      <c r="A489" s="3"/>
      <c r="C489" s="3"/>
      <c r="D489" s="3"/>
      <c r="E489" s="3"/>
      <c r="F489" s="3"/>
      <c r="G489" s="3"/>
      <c r="H489" s="3"/>
      <c r="S489" s="3"/>
      <c r="T489" s="6">
        <f t="shared" si="2"/>
        <v>46206</v>
      </c>
      <c r="U489" s="3" t="str">
        <f>IF(ISNA(vlookup(B489,DataExport!$D$2:$D$496,1,false)), "Belum", "Sudah")</f>
        <v>Belum</v>
      </c>
    </row>
    <row r="490">
      <c r="A490" s="3"/>
      <c r="C490" s="3"/>
      <c r="D490" s="3"/>
      <c r="E490" s="3"/>
      <c r="F490" s="3"/>
      <c r="G490" s="3"/>
      <c r="H490" s="3"/>
      <c r="S490" s="3"/>
      <c r="T490" s="6">
        <f t="shared" si="2"/>
        <v>46206</v>
      </c>
      <c r="U490" s="3" t="str">
        <f>IF(ISNA(vlookup(B490,DataExport!$D$2:$D$496,1,false)), "Belum", "Sudah")</f>
        <v>Belum</v>
      </c>
    </row>
    <row r="491">
      <c r="A491" s="3"/>
      <c r="C491" s="3"/>
      <c r="D491" s="3"/>
      <c r="E491" s="3"/>
      <c r="F491" s="3"/>
      <c r="G491" s="3"/>
      <c r="H491" s="3"/>
      <c r="S491" s="3"/>
      <c r="T491" s="6">
        <f t="shared" si="2"/>
        <v>46206</v>
      </c>
      <c r="U491" s="3" t="str">
        <f>IF(ISNA(vlookup(B491,DataExport!$D$2:$D$496,1,false)), "Belum", "Sudah")</f>
        <v>Belum</v>
      </c>
    </row>
    <row r="492">
      <c r="A492" s="3"/>
      <c r="C492" s="3"/>
      <c r="D492" s="3"/>
      <c r="E492" s="3"/>
      <c r="F492" s="3"/>
      <c r="G492" s="3"/>
      <c r="H492" s="3"/>
      <c r="S492" s="3"/>
      <c r="T492" s="6">
        <f t="shared" si="2"/>
        <v>46206</v>
      </c>
      <c r="U492" s="3" t="str">
        <f>IF(ISNA(vlookup(B492,DataExport!$D$2:$D$496,1,false)), "Belum", "Sudah")</f>
        <v>Belum</v>
      </c>
    </row>
    <row r="493">
      <c r="A493" s="3"/>
      <c r="C493" s="3"/>
      <c r="D493" s="3"/>
      <c r="E493" s="3"/>
      <c r="F493" s="3"/>
      <c r="G493" s="3"/>
      <c r="H493" s="3"/>
      <c r="S493" s="3"/>
      <c r="T493" s="6">
        <f t="shared" si="2"/>
        <v>46206</v>
      </c>
      <c r="U493" s="3" t="str">
        <f>IF(ISNA(vlookup(B493,DataExport!$D$2:$D$496,1,false)), "Belum", "Sudah")</f>
        <v>Belum</v>
      </c>
    </row>
    <row r="494">
      <c r="A494" s="3"/>
      <c r="C494" s="3"/>
      <c r="D494" s="3"/>
      <c r="E494" s="3"/>
      <c r="F494" s="3"/>
      <c r="G494" s="3"/>
      <c r="H494" s="3"/>
      <c r="S494" s="3"/>
      <c r="T494" s="6">
        <f t="shared" si="2"/>
        <v>46206</v>
      </c>
      <c r="U494" s="3" t="str">
        <f>IF(ISNA(vlookup(B494,DataExport!$D$2:$D$496,1,false)), "Belum", "Sudah")</f>
        <v>Belum</v>
      </c>
    </row>
    <row r="495">
      <c r="A495" s="3"/>
      <c r="C495" s="3"/>
      <c r="D495" s="3"/>
      <c r="E495" s="3"/>
      <c r="F495" s="3"/>
      <c r="G495" s="3"/>
      <c r="H495" s="3"/>
      <c r="S495" s="3"/>
      <c r="T495" s="6">
        <f t="shared" si="2"/>
        <v>46206</v>
      </c>
      <c r="U495" s="3" t="str">
        <f>IF(ISNA(vlookup(B495,DataExport!$D$2:$D$496,1,false)), "Belum", "Sudah")</f>
        <v>Belum</v>
      </c>
    </row>
    <row r="496">
      <c r="A496" s="3"/>
      <c r="C496" s="3"/>
      <c r="D496" s="3"/>
      <c r="E496" s="3"/>
      <c r="F496" s="3"/>
      <c r="G496" s="3"/>
      <c r="H496" s="3"/>
      <c r="S496" s="3"/>
      <c r="T496" s="6">
        <f t="shared" si="2"/>
        <v>46206</v>
      </c>
      <c r="U496" s="3" t="str">
        <f>IF(ISNA(vlookup(B496,DataExport!$D$2:$D$496,1,false)), "Belum", "Sudah")</f>
        <v>Belum</v>
      </c>
    </row>
    <row r="497">
      <c r="A497" s="3"/>
      <c r="C497" s="3"/>
      <c r="D497" s="3"/>
      <c r="E497" s="3"/>
      <c r="F497" s="3"/>
      <c r="G497" s="3"/>
      <c r="H497" s="3"/>
      <c r="S497" s="3"/>
      <c r="T497" s="6">
        <f t="shared" si="2"/>
        <v>46206</v>
      </c>
      <c r="U497" s="3" t="str">
        <f>IF(ISNA(vlookup(B497,DataExport!$D$2:$D$496,1,false)), "Belum", "Sudah")</f>
        <v>Belum</v>
      </c>
    </row>
    <row r="498">
      <c r="A498" s="3"/>
      <c r="C498" s="3"/>
      <c r="D498" s="3"/>
      <c r="E498" s="3"/>
      <c r="F498" s="3"/>
      <c r="G498" s="3"/>
      <c r="H498" s="3"/>
      <c r="S498" s="3"/>
      <c r="T498" s="6">
        <f t="shared" si="2"/>
        <v>46206</v>
      </c>
      <c r="U498" s="3" t="str">
        <f>IF(ISNA(vlookup(B498,DataExport!$D$2:$D$496,1,false)), "Belum", "Sudah")</f>
        <v>Belum</v>
      </c>
    </row>
    <row r="499">
      <c r="A499" s="3"/>
      <c r="C499" s="3"/>
      <c r="D499" s="3"/>
      <c r="E499" s="3"/>
      <c r="F499" s="3"/>
      <c r="G499" s="3"/>
      <c r="H499" s="3"/>
      <c r="S499" s="3"/>
      <c r="T499" s="6">
        <f t="shared" si="2"/>
        <v>46206</v>
      </c>
      <c r="U499" s="3" t="str">
        <f>IF(ISNA(vlookup(B499,DataExport!$D$2:$D$496,1,false)), "Belum", "Sudah")</f>
        <v>Belum</v>
      </c>
    </row>
    <row r="500">
      <c r="A500" s="3"/>
      <c r="C500" s="3"/>
      <c r="D500" s="3"/>
      <c r="E500" s="3"/>
      <c r="F500" s="3"/>
      <c r="G500" s="3"/>
      <c r="H500" s="3"/>
      <c r="S500" s="3"/>
      <c r="T500" s="6">
        <f t="shared" si="2"/>
        <v>46206</v>
      </c>
      <c r="U500" s="3" t="str">
        <f>IF(ISNA(vlookup(B500,DataExport!$D$2:$D$496,1,false)), "Belum", "Sudah")</f>
        <v>Belum</v>
      </c>
    </row>
    <row r="501">
      <c r="A501" s="3"/>
      <c r="C501" s="3"/>
      <c r="D501" s="3"/>
      <c r="E501" s="3"/>
      <c r="F501" s="3"/>
      <c r="G501" s="3"/>
      <c r="H501" s="3"/>
      <c r="S501" s="3"/>
      <c r="T501" s="6">
        <f t="shared" si="2"/>
        <v>46206</v>
      </c>
      <c r="U501" s="3" t="str">
        <f>IF(ISNA(vlookup(B501,DataExport!$D$2:$D$496,1,false)), "Belum", "Sudah")</f>
        <v>Belum</v>
      </c>
    </row>
    <row r="502">
      <c r="A502" s="3"/>
      <c r="C502" s="3"/>
      <c r="D502" s="3"/>
      <c r="E502" s="3"/>
      <c r="F502" s="3"/>
      <c r="G502" s="3"/>
      <c r="H502" s="3"/>
      <c r="S502" s="3"/>
      <c r="T502" s="6">
        <f t="shared" si="2"/>
        <v>46206</v>
      </c>
      <c r="U502" s="3" t="str">
        <f>IF(ISNA(vlookup(B502,DataExport!$D$2:$D$496,1,false)), "Belum", "Sudah")</f>
        <v>Belum</v>
      </c>
    </row>
    <row r="503">
      <c r="A503" s="3"/>
      <c r="C503" s="3"/>
      <c r="D503" s="3"/>
      <c r="E503" s="3"/>
      <c r="F503" s="3"/>
      <c r="G503" s="3"/>
      <c r="H503" s="3"/>
      <c r="S503" s="3"/>
      <c r="T503" s="6">
        <f t="shared" si="2"/>
        <v>46206</v>
      </c>
      <c r="U503" s="3" t="str">
        <f>IF(ISNA(vlookup(B503,DataExport!$D$2:$D$496,1,false)), "Belum", "Sudah")</f>
        <v>Belum</v>
      </c>
    </row>
    <row r="504">
      <c r="A504" s="3"/>
      <c r="C504" s="3"/>
      <c r="D504" s="3"/>
      <c r="E504" s="3"/>
      <c r="F504" s="3"/>
      <c r="G504" s="3"/>
      <c r="H504" s="3"/>
      <c r="S504" s="3"/>
      <c r="T504" s="6">
        <f t="shared" si="2"/>
        <v>46206</v>
      </c>
      <c r="U504" s="3" t="str">
        <f>IF(ISNA(vlookup(B504,DataExport!$D$2:$D$496,1,false)), "Belum", "Sudah")</f>
        <v>Belum</v>
      </c>
    </row>
    <row r="505">
      <c r="A505" s="3"/>
      <c r="C505" s="3"/>
      <c r="D505" s="3"/>
      <c r="E505" s="3"/>
      <c r="F505" s="3"/>
      <c r="G505" s="3"/>
      <c r="H505" s="3"/>
      <c r="S505" s="3"/>
      <c r="T505" s="6">
        <f t="shared" si="2"/>
        <v>46206</v>
      </c>
      <c r="U505" s="3" t="str">
        <f>IF(ISNA(vlookup(B505,DataExport!$D$2:$D$496,1,false)), "Belum", "Sudah")</f>
        <v>Belum</v>
      </c>
    </row>
    <row r="506">
      <c r="A506" s="3"/>
      <c r="C506" s="3"/>
      <c r="D506" s="3"/>
      <c r="E506" s="3"/>
      <c r="F506" s="3"/>
      <c r="G506" s="3"/>
      <c r="H506" s="3"/>
      <c r="S506" s="3"/>
      <c r="T506" s="6">
        <f t="shared" si="2"/>
        <v>46206</v>
      </c>
      <c r="U506" s="3" t="str">
        <f>IF(ISNA(vlookup(B506,DataExport!$D$2:$D$496,1,false)), "Belum", "Sudah")</f>
        <v>Belum</v>
      </c>
    </row>
    <row r="507">
      <c r="A507" s="3"/>
      <c r="C507" s="3"/>
      <c r="D507" s="3"/>
      <c r="E507" s="3"/>
      <c r="F507" s="3"/>
      <c r="G507" s="3"/>
      <c r="H507" s="3"/>
      <c r="S507" s="3"/>
      <c r="T507" s="6">
        <f t="shared" si="2"/>
        <v>46206</v>
      </c>
      <c r="U507" s="3" t="str">
        <f>IF(ISNA(vlookup(B507,DataExport!$D$2:$D$496,1,false)), "Belum", "Sudah")</f>
        <v>Belum</v>
      </c>
    </row>
    <row r="508">
      <c r="A508" s="3"/>
      <c r="C508" s="3"/>
      <c r="D508" s="3"/>
      <c r="E508" s="3"/>
      <c r="F508" s="3"/>
      <c r="G508" s="3"/>
      <c r="H508" s="3"/>
      <c r="S508" s="3"/>
      <c r="T508" s="6">
        <f t="shared" si="2"/>
        <v>46206</v>
      </c>
      <c r="U508" s="3" t="str">
        <f>IF(ISNA(vlookup(B508,DataExport!$D$2:$D$496,1,false)), "Belum", "Sudah")</f>
        <v>Belum</v>
      </c>
    </row>
    <row r="509">
      <c r="A509" s="3"/>
      <c r="C509" s="3"/>
      <c r="D509" s="3"/>
      <c r="E509" s="3"/>
      <c r="F509" s="3"/>
      <c r="G509" s="3"/>
      <c r="H509" s="3"/>
      <c r="S509" s="3"/>
      <c r="T509" s="6">
        <f t="shared" si="2"/>
        <v>46206</v>
      </c>
      <c r="U509" s="3" t="str">
        <f>IF(ISNA(vlookup(B509,DataExport!$D$2:$D$496,1,false)), "Belum", "Sudah")</f>
        <v>Belum</v>
      </c>
    </row>
    <row r="510">
      <c r="A510" s="3"/>
      <c r="C510" s="3"/>
      <c r="D510" s="3"/>
      <c r="E510" s="3"/>
      <c r="F510" s="3"/>
      <c r="G510" s="3"/>
      <c r="H510" s="3"/>
      <c r="S510" s="3"/>
      <c r="T510" s="6">
        <f t="shared" si="2"/>
        <v>46206</v>
      </c>
      <c r="U510" s="3" t="str">
        <f>IF(ISNA(vlookup(B510,DataExport!$D$2:$D$496,1,false)), "Belum", "Sudah")</f>
        <v>Belum</v>
      </c>
    </row>
    <row r="511">
      <c r="A511" s="3"/>
      <c r="C511" s="3"/>
      <c r="D511" s="3"/>
      <c r="E511" s="3"/>
      <c r="F511" s="3"/>
      <c r="G511" s="3"/>
      <c r="H511" s="3"/>
      <c r="S511" s="3"/>
      <c r="T511" s="6">
        <f t="shared" si="2"/>
        <v>46206</v>
      </c>
      <c r="U511" s="3" t="str">
        <f>IF(ISNA(vlookup(B511,DataExport!$D$2:$D$496,1,false)), "Belum", "Sudah")</f>
        <v>Belum</v>
      </c>
    </row>
    <row r="512">
      <c r="A512" s="3"/>
      <c r="C512" s="3"/>
      <c r="D512" s="3"/>
      <c r="E512" s="3"/>
      <c r="F512" s="3"/>
      <c r="G512" s="3"/>
      <c r="H512" s="3"/>
      <c r="S512" s="3"/>
      <c r="T512" s="6">
        <f t="shared" si="2"/>
        <v>46206</v>
      </c>
      <c r="U512" s="3" t="str">
        <f>IF(ISNA(vlookup(B512,DataExport!$D$2:$D$496,1,false)), "Belum", "Sudah")</f>
        <v>Belum</v>
      </c>
    </row>
    <row r="513">
      <c r="A513" s="3"/>
      <c r="C513" s="3"/>
      <c r="D513" s="3"/>
      <c r="E513" s="3"/>
      <c r="F513" s="3"/>
      <c r="G513" s="3"/>
      <c r="H513" s="3"/>
      <c r="S513" s="3"/>
      <c r="T513" s="6">
        <f t="shared" si="2"/>
        <v>46206</v>
      </c>
      <c r="U513" s="3" t="str">
        <f>IF(ISNA(vlookup(B513,DataExport!$D$2:$D$496,1,false)), "Belum", "Sudah")</f>
        <v>Belum</v>
      </c>
    </row>
    <row r="514">
      <c r="A514" s="3"/>
      <c r="C514" s="3"/>
      <c r="D514" s="3"/>
      <c r="E514" s="3"/>
      <c r="F514" s="3"/>
      <c r="G514" s="3"/>
      <c r="H514" s="3"/>
      <c r="S514" s="3"/>
      <c r="T514" s="6">
        <f t="shared" si="2"/>
        <v>46206</v>
      </c>
      <c r="U514" s="3" t="str">
        <f>IF(ISNA(vlookup(B514,DataExport!$D$2:$D$496,1,false)), "Belum", "Sudah")</f>
        <v>Belum</v>
      </c>
    </row>
    <row r="515">
      <c r="A515" s="3"/>
      <c r="C515" s="3"/>
      <c r="D515" s="3"/>
      <c r="E515" s="3"/>
      <c r="F515" s="3"/>
      <c r="G515" s="3"/>
      <c r="H515" s="3"/>
      <c r="S515" s="3"/>
      <c r="T515" s="6">
        <f t="shared" si="2"/>
        <v>46206</v>
      </c>
      <c r="U515" s="3" t="str">
        <f>IF(ISNA(vlookup(B515,DataExport!$D$2:$D$496,1,false)), "Belum", "Sudah")</f>
        <v>Belum</v>
      </c>
    </row>
    <row r="516">
      <c r="A516" s="3" t="str">
        <f t="shared" ref="A516:A528" si="3">IF(B516="","",ROW(A516)-1)</f>
        <v/>
      </c>
      <c r="C516" s="3"/>
      <c r="D516" s="3"/>
      <c r="E516" s="3"/>
      <c r="F516" s="3"/>
      <c r="G516" s="3"/>
      <c r="H516" s="3"/>
      <c r="S516" s="3"/>
      <c r="T516" s="6">
        <f t="shared" si="2"/>
        <v>46206</v>
      </c>
      <c r="U516" s="3" t="str">
        <f>IF(ISNA(vlookup(B516,DataExport!$D$2:$D$496,1,false)), "Belum", "Sudah")</f>
        <v>Belum</v>
      </c>
    </row>
    <row r="517">
      <c r="A517" s="3" t="str">
        <f t="shared" si="3"/>
        <v/>
      </c>
      <c r="C517" s="3"/>
      <c r="D517" s="3"/>
      <c r="E517" s="3"/>
      <c r="F517" s="3"/>
      <c r="G517" s="3"/>
      <c r="H517" s="3"/>
      <c r="S517" s="3"/>
      <c r="T517" s="6">
        <f t="shared" si="2"/>
        <v>46206</v>
      </c>
      <c r="U517" s="3" t="str">
        <f>IF(ISNA(vlookup(B517,DataExport!$D$2:$D$496,1,false)), "Belum", "Sudah")</f>
        <v>Belum</v>
      </c>
    </row>
    <row r="518">
      <c r="A518" s="3" t="str">
        <f t="shared" si="3"/>
        <v/>
      </c>
      <c r="C518" s="3"/>
      <c r="D518" s="3"/>
      <c r="E518" s="3"/>
      <c r="F518" s="3"/>
      <c r="G518" s="3"/>
      <c r="H518" s="3"/>
      <c r="S518" s="3"/>
      <c r="T518" s="6">
        <f t="shared" si="2"/>
        <v>46206</v>
      </c>
      <c r="U518" s="3" t="str">
        <f>IF(ISNA(vlookup(B518,DataExport!$D$2:$D$496,1,false)), "Belum", "Sudah")</f>
        <v>Belum</v>
      </c>
    </row>
    <row r="519">
      <c r="A519" s="3" t="str">
        <f t="shared" si="3"/>
        <v/>
      </c>
      <c r="C519" s="3"/>
      <c r="D519" s="3"/>
      <c r="E519" s="3"/>
      <c r="F519" s="3"/>
      <c r="G519" s="3"/>
      <c r="H519" s="3"/>
      <c r="S519" s="3"/>
      <c r="T519" s="6">
        <f t="shared" si="2"/>
        <v>46206</v>
      </c>
      <c r="U519" s="3" t="str">
        <f>IF(ISNA(vlookup(B519,DataExport!$D$2:$D$496,1,false)), "Belum", "Sudah")</f>
        <v>Belum</v>
      </c>
    </row>
    <row r="520">
      <c r="A520" s="3" t="str">
        <f t="shared" si="3"/>
        <v/>
      </c>
      <c r="C520" s="3"/>
      <c r="D520" s="3"/>
      <c r="E520" s="3"/>
      <c r="F520" s="3"/>
      <c r="G520" s="3"/>
      <c r="H520" s="3"/>
      <c r="S520" s="3"/>
      <c r="T520" s="6">
        <f t="shared" si="2"/>
        <v>46206</v>
      </c>
      <c r="U520" s="3" t="str">
        <f>IF(ISNA(vlookup(B520,DataExport!$D$2:$D$496,1,false)), "Belum", "Sudah")</f>
        <v>Belum</v>
      </c>
    </row>
    <row r="521">
      <c r="A521" s="3" t="str">
        <f t="shared" si="3"/>
        <v/>
      </c>
      <c r="C521" s="3"/>
      <c r="D521" s="3"/>
      <c r="E521" s="3"/>
      <c r="F521" s="3"/>
      <c r="G521" s="3"/>
      <c r="H521" s="3"/>
      <c r="S521" s="3"/>
      <c r="T521" s="6">
        <f t="shared" si="2"/>
        <v>46206</v>
      </c>
      <c r="U521" s="3" t="str">
        <f>IF(ISNA(vlookup(B521,DataExport!$D$2:$D$496,1,false)), "Belum", "Sudah")</f>
        <v>Belum</v>
      </c>
    </row>
    <row r="522">
      <c r="A522" s="3" t="str">
        <f t="shared" si="3"/>
        <v/>
      </c>
      <c r="C522" s="3"/>
      <c r="D522" s="3"/>
      <c r="E522" s="3"/>
      <c r="F522" s="3"/>
      <c r="G522" s="3"/>
      <c r="H522" s="3"/>
      <c r="S522" s="3"/>
      <c r="T522" s="6">
        <f t="shared" si="2"/>
        <v>46206</v>
      </c>
      <c r="U522" s="3" t="str">
        <f>IF(ISNA(vlookup(B522,DataExport!$D$2:$D$496,1,false)), "Belum", "Sudah")</f>
        <v>Belum</v>
      </c>
    </row>
    <row r="523">
      <c r="A523" s="3" t="str">
        <f t="shared" si="3"/>
        <v/>
      </c>
      <c r="C523" s="3"/>
      <c r="D523" s="3"/>
      <c r="E523" s="3"/>
      <c r="F523" s="3"/>
      <c r="G523" s="3"/>
      <c r="H523" s="3"/>
      <c r="S523" s="3"/>
      <c r="T523" s="6">
        <f t="shared" si="2"/>
        <v>46206</v>
      </c>
      <c r="U523" s="3" t="str">
        <f>IF(ISNA(vlookup(B523,DataExport!$D$2:$D$496,1,false)), "Belum", "Sudah")</f>
        <v>Belum</v>
      </c>
    </row>
    <row r="524">
      <c r="A524" s="3" t="str">
        <f t="shared" si="3"/>
        <v/>
      </c>
      <c r="C524" s="3"/>
      <c r="D524" s="3"/>
      <c r="E524" s="3"/>
      <c r="F524" s="3"/>
      <c r="G524" s="3"/>
      <c r="H524" s="3"/>
      <c r="S524" s="3"/>
      <c r="T524" s="6">
        <f t="shared" si="2"/>
        <v>46206</v>
      </c>
      <c r="U524" s="3" t="str">
        <f>IF(ISNA(vlookup(B524,DataExport!$D$2:$D$496,1,false)), "Belum", "Sudah")</f>
        <v>Belum</v>
      </c>
    </row>
    <row r="525">
      <c r="A525" s="3" t="str">
        <f t="shared" si="3"/>
        <v/>
      </c>
      <c r="C525" s="3"/>
      <c r="D525" s="3"/>
      <c r="E525" s="3"/>
      <c r="F525" s="3"/>
      <c r="G525" s="3"/>
      <c r="H525" s="3"/>
      <c r="S525" s="3"/>
      <c r="T525" s="6">
        <f t="shared" si="2"/>
        <v>46206</v>
      </c>
      <c r="U525" s="3" t="str">
        <f>IF(ISNA(vlookup(B525,DataExport!$D$2:$D$496,1,false)), "Belum", "Sudah")</f>
        <v>Belum</v>
      </c>
    </row>
    <row r="526">
      <c r="A526" s="3" t="str">
        <f t="shared" si="3"/>
        <v/>
      </c>
      <c r="C526" s="3"/>
      <c r="D526" s="3"/>
      <c r="E526" s="3"/>
      <c r="F526" s="3"/>
      <c r="G526" s="3"/>
      <c r="H526" s="3"/>
      <c r="S526" s="3"/>
      <c r="T526" s="6">
        <f t="shared" si="2"/>
        <v>46206</v>
      </c>
      <c r="U526" s="3" t="str">
        <f>IF(ISNA(vlookup(B526,DataExport!$D$2:$D$496,1,false)), "Belum", "Sudah")</f>
        <v>Belum</v>
      </c>
    </row>
    <row r="527">
      <c r="A527" s="3" t="str">
        <f t="shared" si="3"/>
        <v/>
      </c>
      <c r="C527" s="3"/>
      <c r="D527" s="3"/>
      <c r="E527" s="3"/>
      <c r="F527" s="3"/>
      <c r="G527" s="3"/>
      <c r="H527" s="3"/>
      <c r="S527" s="3"/>
      <c r="T527" s="6">
        <f t="shared" si="2"/>
        <v>46206</v>
      </c>
      <c r="U527" s="3" t="str">
        <f>IF(ISNA(vlookup(B527,DataExport!$D$2:$D$496,1,false)), "Belum", "Sudah")</f>
        <v>Belum</v>
      </c>
    </row>
    <row r="528">
      <c r="A528" s="3" t="str">
        <f t="shared" si="3"/>
        <v/>
      </c>
      <c r="C528" s="3"/>
      <c r="D528" s="3"/>
      <c r="E528" s="3"/>
      <c r="F528" s="3"/>
      <c r="G528" s="3"/>
      <c r="H528" s="3"/>
      <c r="S528" s="3"/>
      <c r="T528" s="6">
        <f t="shared" si="2"/>
        <v>46206</v>
      </c>
      <c r="U528" s="3" t="str">
        <f>IF(ISNA(vlookup(B528,DataExport!$D$2:$D$496,1,false)), "Belum", "Sudah")</f>
        <v>Belum</v>
      </c>
    </row>
    <row r="529">
      <c r="A529" s="3"/>
      <c r="C529" s="3"/>
      <c r="D529" s="3"/>
      <c r="E529" s="3"/>
      <c r="F529" s="3"/>
      <c r="G529" s="3"/>
      <c r="H529" s="3"/>
      <c r="S529" s="3"/>
      <c r="U529" s="3"/>
    </row>
    <row r="530">
      <c r="A530" s="3"/>
      <c r="C530" s="3"/>
      <c r="D530" s="3"/>
      <c r="E530" s="3"/>
      <c r="F530" s="3"/>
      <c r="G530" s="3"/>
      <c r="H530" s="3"/>
      <c r="S530" s="3"/>
      <c r="U530" s="3"/>
    </row>
    <row r="531">
      <c r="A531" s="3"/>
      <c r="C531" s="3"/>
      <c r="D531" s="3"/>
      <c r="E531" s="3"/>
      <c r="F531" s="3"/>
      <c r="G531" s="3"/>
      <c r="H531" s="3"/>
      <c r="S531" s="3"/>
      <c r="U531" s="3"/>
    </row>
    <row r="532">
      <c r="A532" s="3"/>
      <c r="C532" s="3"/>
      <c r="D532" s="3"/>
      <c r="E532" s="3"/>
      <c r="F532" s="3"/>
      <c r="G532" s="3"/>
      <c r="H532" s="3"/>
      <c r="S532" s="3"/>
      <c r="U532" s="3"/>
    </row>
    <row r="533">
      <c r="A533" s="3"/>
      <c r="C533" s="3"/>
      <c r="D533" s="3"/>
      <c r="E533" s="3"/>
      <c r="F533" s="3"/>
      <c r="G533" s="3"/>
      <c r="H533" s="3"/>
      <c r="S533" s="3"/>
      <c r="U533" s="3"/>
    </row>
    <row r="534">
      <c r="A534" s="3"/>
      <c r="C534" s="3"/>
      <c r="D534" s="3"/>
      <c r="E534" s="3"/>
      <c r="F534" s="3"/>
      <c r="G534" s="3"/>
      <c r="H534" s="3"/>
      <c r="S534" s="3"/>
      <c r="U534" s="3"/>
    </row>
    <row r="535">
      <c r="A535" s="3"/>
      <c r="C535" s="3"/>
      <c r="D535" s="3"/>
      <c r="E535" s="3"/>
      <c r="F535" s="3"/>
      <c r="G535" s="3"/>
      <c r="H535" s="3"/>
      <c r="S535" s="3"/>
      <c r="U535" s="3"/>
    </row>
    <row r="536">
      <c r="A536" s="3"/>
      <c r="C536" s="3"/>
      <c r="D536" s="3"/>
      <c r="E536" s="3"/>
      <c r="F536" s="3"/>
      <c r="G536" s="3"/>
      <c r="H536" s="3"/>
      <c r="S536" s="3"/>
      <c r="U536" s="3"/>
    </row>
    <row r="537">
      <c r="A537" s="3"/>
      <c r="C537" s="3"/>
      <c r="D537" s="3"/>
      <c r="E537" s="3"/>
      <c r="F537" s="3"/>
      <c r="G537" s="3"/>
      <c r="H537" s="3"/>
      <c r="S537" s="3"/>
      <c r="U537" s="3"/>
    </row>
    <row r="538">
      <c r="A538" s="3"/>
      <c r="C538" s="3"/>
      <c r="D538" s="3"/>
      <c r="E538" s="3"/>
      <c r="F538" s="3"/>
      <c r="G538" s="3"/>
      <c r="H538" s="3"/>
      <c r="S538" s="3"/>
      <c r="U538" s="3"/>
    </row>
    <row r="539">
      <c r="A539" s="3"/>
      <c r="C539" s="3"/>
      <c r="D539" s="3"/>
      <c r="E539" s="3"/>
      <c r="F539" s="3"/>
      <c r="G539" s="3"/>
      <c r="H539" s="3"/>
      <c r="S539" s="3"/>
      <c r="U539" s="3"/>
    </row>
    <row r="540">
      <c r="A540" s="3"/>
      <c r="C540" s="3"/>
      <c r="D540" s="3"/>
      <c r="E540" s="3"/>
      <c r="F540" s="3"/>
      <c r="G540" s="3"/>
      <c r="H540" s="3"/>
      <c r="S540" s="3"/>
      <c r="U540" s="3"/>
    </row>
    <row r="541">
      <c r="A541" s="3"/>
      <c r="C541" s="3"/>
      <c r="D541" s="3"/>
      <c r="E541" s="3"/>
      <c r="F541" s="3"/>
      <c r="G541" s="3"/>
      <c r="H541" s="3"/>
      <c r="S541" s="3"/>
      <c r="U541" s="3"/>
    </row>
    <row r="542">
      <c r="A542" s="3"/>
      <c r="C542" s="3"/>
      <c r="D542" s="3"/>
      <c r="E542" s="3"/>
      <c r="F542" s="3"/>
      <c r="G542" s="3"/>
      <c r="H542" s="3"/>
      <c r="S542" s="3"/>
      <c r="U542" s="3"/>
    </row>
    <row r="543">
      <c r="A543" s="3"/>
      <c r="C543" s="3"/>
      <c r="D543" s="3"/>
      <c r="E543" s="3"/>
      <c r="F543" s="3"/>
      <c r="G543" s="3"/>
      <c r="H543" s="3"/>
      <c r="S543" s="3"/>
      <c r="U543" s="3"/>
    </row>
    <row r="544">
      <c r="A544" s="3"/>
      <c r="C544" s="3"/>
      <c r="D544" s="3"/>
      <c r="E544" s="3"/>
      <c r="F544" s="3"/>
      <c r="G544" s="3"/>
      <c r="H544" s="3"/>
      <c r="S544" s="3"/>
      <c r="U544" s="3"/>
    </row>
    <row r="545">
      <c r="A545" s="3"/>
      <c r="C545" s="3"/>
      <c r="D545" s="3"/>
      <c r="E545" s="3"/>
      <c r="F545" s="3"/>
      <c r="G545" s="3"/>
      <c r="H545" s="3"/>
      <c r="S545" s="3"/>
      <c r="U545" s="3"/>
    </row>
    <row r="546">
      <c r="A546" s="3"/>
      <c r="C546" s="3"/>
      <c r="D546" s="3"/>
      <c r="E546" s="3"/>
      <c r="F546" s="3"/>
      <c r="G546" s="3"/>
      <c r="H546" s="3"/>
      <c r="S546" s="3"/>
      <c r="U546" s="3"/>
    </row>
    <row r="547">
      <c r="A547" s="3"/>
      <c r="C547" s="3"/>
      <c r="D547" s="3"/>
      <c r="E547" s="3"/>
      <c r="F547" s="3"/>
      <c r="G547" s="3"/>
      <c r="H547" s="3"/>
      <c r="S547" s="3"/>
      <c r="U547" s="3"/>
    </row>
    <row r="548">
      <c r="A548" s="3"/>
      <c r="C548" s="3"/>
      <c r="D548" s="3"/>
      <c r="E548" s="3"/>
      <c r="F548" s="3"/>
      <c r="G548" s="3"/>
      <c r="H548" s="3"/>
      <c r="S548" s="3"/>
      <c r="U548" s="3"/>
    </row>
    <row r="549">
      <c r="A549" s="3"/>
      <c r="C549" s="3"/>
      <c r="D549" s="3"/>
      <c r="E549" s="3"/>
      <c r="F549" s="3"/>
      <c r="G549" s="3"/>
      <c r="H549" s="3"/>
      <c r="S549" s="3"/>
      <c r="U549" s="3"/>
    </row>
    <row r="550">
      <c r="A550" s="3"/>
      <c r="C550" s="3"/>
      <c r="D550" s="3"/>
      <c r="E550" s="3"/>
      <c r="F550" s="3"/>
      <c r="G550" s="3"/>
      <c r="H550" s="3"/>
      <c r="S550" s="3"/>
      <c r="U550" s="3"/>
    </row>
    <row r="551">
      <c r="A551" s="3"/>
      <c r="C551" s="3"/>
      <c r="D551" s="3"/>
      <c r="E551" s="3"/>
      <c r="F551" s="3"/>
      <c r="G551" s="3"/>
      <c r="H551" s="3"/>
      <c r="S551" s="3"/>
      <c r="U551" s="3"/>
    </row>
    <row r="552">
      <c r="A552" s="3"/>
      <c r="C552" s="3"/>
      <c r="D552" s="3"/>
      <c r="E552" s="3"/>
      <c r="F552" s="3"/>
      <c r="G552" s="3"/>
      <c r="H552" s="3"/>
      <c r="S552" s="3"/>
      <c r="U552" s="3"/>
    </row>
    <row r="553">
      <c r="A553" s="3"/>
      <c r="C553" s="3"/>
      <c r="D553" s="3"/>
      <c r="E553" s="3"/>
      <c r="F553" s="3"/>
      <c r="G553" s="3"/>
      <c r="H553" s="3"/>
      <c r="S553" s="3"/>
      <c r="U553" s="3"/>
    </row>
    <row r="554">
      <c r="A554" s="3"/>
      <c r="C554" s="3"/>
      <c r="D554" s="3"/>
      <c r="E554" s="3"/>
      <c r="F554" s="3"/>
      <c r="G554" s="3"/>
      <c r="H554" s="3"/>
      <c r="S554" s="3"/>
      <c r="U554" s="3"/>
    </row>
    <row r="555">
      <c r="A555" s="3"/>
      <c r="C555" s="3"/>
      <c r="D555" s="3"/>
      <c r="E555" s="3"/>
      <c r="F555" s="3"/>
      <c r="G555" s="3"/>
      <c r="H555" s="3"/>
      <c r="S555" s="3"/>
      <c r="U555" s="3"/>
    </row>
    <row r="556">
      <c r="A556" s="3"/>
      <c r="C556" s="3"/>
      <c r="D556" s="3"/>
      <c r="E556" s="3"/>
      <c r="F556" s="3"/>
      <c r="G556" s="3"/>
      <c r="H556" s="3"/>
      <c r="S556" s="3"/>
      <c r="U556" s="3"/>
    </row>
    <row r="557">
      <c r="A557" s="3"/>
      <c r="C557" s="3"/>
      <c r="D557" s="3"/>
      <c r="E557" s="3"/>
      <c r="F557" s="3"/>
      <c r="G557" s="3"/>
      <c r="H557" s="3"/>
      <c r="S557" s="3"/>
      <c r="U557" s="3"/>
    </row>
    <row r="558">
      <c r="A558" s="3"/>
      <c r="C558" s="3"/>
      <c r="D558" s="3"/>
      <c r="E558" s="3"/>
      <c r="F558" s="3"/>
      <c r="G558" s="3"/>
      <c r="H558" s="3"/>
      <c r="S558" s="3"/>
      <c r="U558" s="3"/>
    </row>
    <row r="559">
      <c r="A559" s="3"/>
      <c r="C559" s="3"/>
      <c r="D559" s="3"/>
      <c r="E559" s="3"/>
      <c r="F559" s="3"/>
      <c r="G559" s="3"/>
      <c r="H559" s="3"/>
      <c r="S559" s="3"/>
      <c r="U559" s="3"/>
    </row>
    <row r="560">
      <c r="A560" s="3"/>
      <c r="C560" s="3"/>
      <c r="D560" s="3"/>
      <c r="E560" s="3"/>
      <c r="F560" s="3"/>
      <c r="G560" s="3"/>
      <c r="H560" s="3"/>
      <c r="S560" s="3"/>
      <c r="U560" s="3"/>
    </row>
    <row r="561">
      <c r="A561" s="3"/>
      <c r="C561" s="3"/>
      <c r="D561" s="3"/>
      <c r="E561" s="3"/>
      <c r="F561" s="3"/>
      <c r="G561" s="3"/>
      <c r="H561" s="3"/>
      <c r="S561" s="3"/>
      <c r="U561" s="3"/>
    </row>
    <row r="562">
      <c r="A562" s="3"/>
      <c r="C562" s="3"/>
      <c r="D562" s="3"/>
      <c r="E562" s="3"/>
      <c r="F562" s="3"/>
      <c r="G562" s="3"/>
      <c r="H562" s="3"/>
      <c r="S562" s="3"/>
      <c r="U562" s="3"/>
    </row>
    <row r="563">
      <c r="A563" s="3"/>
      <c r="C563" s="3"/>
      <c r="D563" s="3"/>
      <c r="E563" s="3"/>
      <c r="F563" s="3"/>
      <c r="G563" s="3"/>
      <c r="H563" s="3"/>
      <c r="S563" s="3"/>
      <c r="U563" s="3"/>
    </row>
    <row r="564">
      <c r="A564" s="3"/>
      <c r="C564" s="3"/>
      <c r="D564" s="3"/>
      <c r="E564" s="3"/>
      <c r="F564" s="3"/>
      <c r="G564" s="3"/>
      <c r="H564" s="3"/>
      <c r="S564" s="3"/>
      <c r="U564" s="3"/>
    </row>
    <row r="565">
      <c r="A565" s="3"/>
      <c r="C565" s="3"/>
      <c r="D565" s="3"/>
      <c r="E565" s="3"/>
      <c r="F565" s="3"/>
      <c r="G565" s="3"/>
      <c r="H565" s="3"/>
      <c r="S565" s="3"/>
      <c r="U565" s="3"/>
    </row>
    <row r="566">
      <c r="A566" s="3"/>
      <c r="C566" s="3"/>
      <c r="D566" s="3"/>
      <c r="E566" s="3"/>
      <c r="F566" s="3"/>
      <c r="G566" s="3"/>
      <c r="H566" s="3"/>
      <c r="S566" s="3"/>
      <c r="U566" s="3"/>
    </row>
    <row r="567">
      <c r="A567" s="3"/>
      <c r="C567" s="3"/>
      <c r="D567" s="3"/>
      <c r="E567" s="3"/>
      <c r="F567" s="3"/>
      <c r="G567" s="3"/>
      <c r="H567" s="3"/>
      <c r="S567" s="3"/>
      <c r="U567" s="3"/>
    </row>
    <row r="568">
      <c r="A568" s="3"/>
      <c r="C568" s="3"/>
      <c r="D568" s="3"/>
      <c r="E568" s="3"/>
      <c r="F568" s="3"/>
      <c r="G568" s="3"/>
      <c r="H568" s="3"/>
      <c r="S568" s="3"/>
      <c r="U568" s="3"/>
    </row>
    <row r="569">
      <c r="A569" s="3"/>
      <c r="C569" s="3"/>
      <c r="D569" s="3"/>
      <c r="E569" s="3"/>
      <c r="F569" s="3"/>
      <c r="G569" s="3"/>
      <c r="H569" s="3"/>
      <c r="S569" s="3"/>
      <c r="U569" s="3"/>
    </row>
    <row r="570">
      <c r="A570" s="3"/>
      <c r="C570" s="3"/>
      <c r="D570" s="3"/>
      <c r="E570" s="3"/>
      <c r="F570" s="3"/>
      <c r="G570" s="3"/>
      <c r="H570" s="3"/>
      <c r="S570" s="3"/>
      <c r="U570" s="3"/>
    </row>
    <row r="571">
      <c r="A571" s="3"/>
      <c r="C571" s="3"/>
      <c r="D571" s="3"/>
      <c r="E571" s="3"/>
      <c r="F571" s="3"/>
      <c r="G571" s="3"/>
      <c r="H571" s="3"/>
      <c r="S571" s="3"/>
      <c r="U571" s="3"/>
    </row>
    <row r="572">
      <c r="A572" s="3"/>
      <c r="C572" s="3"/>
      <c r="D572" s="3"/>
      <c r="E572" s="3"/>
      <c r="F572" s="3"/>
      <c r="G572" s="3"/>
      <c r="H572" s="3"/>
      <c r="S572" s="3"/>
      <c r="U572" s="3"/>
    </row>
    <row r="573">
      <c r="A573" s="3"/>
      <c r="C573" s="3"/>
      <c r="D573" s="3"/>
      <c r="E573" s="3"/>
      <c r="F573" s="3"/>
      <c r="G573" s="3"/>
      <c r="H573" s="3"/>
      <c r="S573" s="3"/>
      <c r="U573" s="3"/>
    </row>
    <row r="574">
      <c r="A574" s="3"/>
      <c r="C574" s="3"/>
      <c r="D574" s="3"/>
      <c r="E574" s="3"/>
      <c r="F574" s="3"/>
      <c r="G574" s="3"/>
      <c r="H574" s="3"/>
      <c r="S574" s="3"/>
      <c r="U574" s="3"/>
    </row>
    <row r="575">
      <c r="A575" s="3"/>
      <c r="C575" s="3"/>
      <c r="D575" s="3"/>
      <c r="E575" s="3"/>
      <c r="F575" s="3"/>
      <c r="G575" s="3"/>
      <c r="H575" s="3"/>
      <c r="S575" s="3"/>
      <c r="U575" s="3"/>
    </row>
    <row r="576">
      <c r="A576" s="3"/>
      <c r="C576" s="3"/>
      <c r="D576" s="3"/>
      <c r="E576" s="3"/>
      <c r="F576" s="3"/>
      <c r="G576" s="3"/>
      <c r="H576" s="3"/>
      <c r="S576" s="3"/>
      <c r="U576" s="3"/>
    </row>
    <row r="577">
      <c r="A577" s="3"/>
      <c r="C577" s="3"/>
      <c r="D577" s="3"/>
      <c r="E577" s="3"/>
      <c r="F577" s="3"/>
      <c r="G577" s="3"/>
      <c r="H577" s="3"/>
      <c r="S577" s="3"/>
      <c r="U577" s="3"/>
    </row>
    <row r="578">
      <c r="A578" s="3"/>
      <c r="C578" s="3"/>
      <c r="D578" s="3"/>
      <c r="E578" s="3"/>
      <c r="F578" s="3"/>
      <c r="G578" s="3"/>
      <c r="H578" s="3"/>
      <c r="S578" s="3"/>
      <c r="U578" s="3"/>
    </row>
    <row r="579">
      <c r="A579" s="3"/>
      <c r="C579" s="3"/>
      <c r="D579" s="3"/>
      <c r="E579" s="3"/>
      <c r="F579" s="3"/>
      <c r="G579" s="3"/>
      <c r="H579" s="3"/>
      <c r="S579" s="3"/>
      <c r="U579" s="3"/>
    </row>
    <row r="580">
      <c r="A580" s="3"/>
      <c r="C580" s="3"/>
      <c r="D580" s="3"/>
      <c r="E580" s="3"/>
      <c r="F580" s="3"/>
      <c r="G580" s="3"/>
      <c r="H580" s="3"/>
      <c r="S580" s="3"/>
      <c r="U580" s="3"/>
    </row>
    <row r="581">
      <c r="A581" s="3"/>
      <c r="C581" s="3"/>
      <c r="D581" s="3"/>
      <c r="E581" s="3"/>
      <c r="F581" s="3"/>
      <c r="G581" s="3"/>
      <c r="H581" s="3"/>
      <c r="S581" s="3"/>
      <c r="U581" s="3"/>
    </row>
    <row r="582">
      <c r="A582" s="3"/>
      <c r="C582" s="3"/>
      <c r="D582" s="3"/>
      <c r="E582" s="3"/>
      <c r="F582" s="3"/>
      <c r="G582" s="3"/>
      <c r="H582" s="3"/>
      <c r="S582" s="3"/>
      <c r="U582" s="3"/>
    </row>
    <row r="583">
      <c r="A583" s="3"/>
      <c r="C583" s="3"/>
      <c r="D583" s="3"/>
      <c r="E583" s="3"/>
      <c r="F583" s="3"/>
      <c r="G583" s="3"/>
      <c r="H583" s="3"/>
      <c r="S583" s="3"/>
      <c r="U583" s="3"/>
    </row>
    <row r="584">
      <c r="A584" s="3"/>
      <c r="C584" s="3"/>
      <c r="D584" s="3"/>
      <c r="E584" s="3"/>
      <c r="F584" s="3"/>
      <c r="G584" s="3"/>
      <c r="H584" s="3"/>
      <c r="S584" s="3"/>
      <c r="U584" s="3"/>
    </row>
    <row r="585">
      <c r="A585" s="3"/>
      <c r="C585" s="3"/>
      <c r="D585" s="3"/>
      <c r="E585" s="3"/>
      <c r="F585" s="3"/>
      <c r="G585" s="3"/>
      <c r="H585" s="3"/>
      <c r="S585" s="3"/>
      <c r="U585" s="3"/>
    </row>
    <row r="586">
      <c r="A586" s="3"/>
      <c r="C586" s="3"/>
      <c r="D586" s="3"/>
      <c r="E586" s="3"/>
      <c r="F586" s="3"/>
      <c r="G586" s="3"/>
      <c r="H586" s="3"/>
      <c r="S586" s="3"/>
      <c r="U586" s="3"/>
    </row>
    <row r="587">
      <c r="A587" s="3"/>
      <c r="C587" s="3"/>
      <c r="D587" s="3"/>
      <c r="E587" s="3"/>
      <c r="F587" s="3"/>
      <c r="G587" s="3"/>
      <c r="H587" s="3"/>
      <c r="S587" s="3"/>
      <c r="U587" s="3"/>
    </row>
    <row r="588">
      <c r="A588" s="3"/>
      <c r="C588" s="3"/>
      <c r="D588" s="3"/>
      <c r="E588" s="3"/>
      <c r="F588" s="3"/>
      <c r="G588" s="3"/>
      <c r="H588" s="3"/>
      <c r="S588" s="3"/>
      <c r="U588" s="3"/>
    </row>
    <row r="589">
      <c r="A589" s="3"/>
      <c r="C589" s="3"/>
      <c r="D589" s="3"/>
      <c r="E589" s="3"/>
      <c r="F589" s="3"/>
      <c r="G589" s="3"/>
      <c r="H589" s="3"/>
      <c r="S589" s="3"/>
      <c r="U589" s="3"/>
    </row>
    <row r="590">
      <c r="A590" s="3"/>
      <c r="C590" s="3"/>
      <c r="D590" s="3"/>
      <c r="E590" s="3"/>
      <c r="F590" s="3"/>
      <c r="G590" s="3"/>
      <c r="H590" s="3"/>
      <c r="S590" s="3"/>
      <c r="U590" s="3"/>
    </row>
    <row r="591">
      <c r="A591" s="3"/>
      <c r="C591" s="3"/>
      <c r="D591" s="3"/>
      <c r="E591" s="3"/>
      <c r="F591" s="3"/>
      <c r="G591" s="3"/>
      <c r="H591" s="3"/>
      <c r="S591" s="3"/>
      <c r="U591" s="3"/>
    </row>
    <row r="592">
      <c r="A592" s="3"/>
      <c r="C592" s="3"/>
      <c r="D592" s="3"/>
      <c r="E592" s="3"/>
      <c r="F592" s="3"/>
      <c r="G592" s="3"/>
      <c r="H592" s="3"/>
      <c r="S592" s="3"/>
      <c r="U592" s="3"/>
    </row>
    <row r="593">
      <c r="A593" s="3"/>
      <c r="C593" s="3"/>
      <c r="D593" s="3"/>
      <c r="E593" s="3"/>
      <c r="F593" s="3"/>
      <c r="G593" s="3"/>
      <c r="H593" s="3"/>
      <c r="S593" s="3"/>
      <c r="U593" s="3"/>
    </row>
    <row r="594">
      <c r="A594" s="3"/>
      <c r="C594" s="3"/>
      <c r="D594" s="3"/>
      <c r="E594" s="3"/>
      <c r="F594" s="3"/>
      <c r="G594" s="3"/>
      <c r="H594" s="3"/>
      <c r="S594" s="3"/>
      <c r="U594" s="3"/>
    </row>
    <row r="595">
      <c r="A595" s="3"/>
      <c r="C595" s="3"/>
      <c r="D595" s="3"/>
      <c r="E595" s="3"/>
      <c r="F595" s="3"/>
      <c r="G595" s="3"/>
      <c r="H595" s="3"/>
      <c r="S595" s="3"/>
      <c r="U595" s="3"/>
    </row>
    <row r="596">
      <c r="A596" s="3"/>
      <c r="C596" s="3"/>
      <c r="D596" s="3"/>
      <c r="E596" s="3"/>
      <c r="F596" s="3"/>
      <c r="G596" s="3"/>
      <c r="H596" s="3"/>
      <c r="S596" s="3"/>
      <c r="U596" s="3"/>
    </row>
    <row r="597">
      <c r="A597" s="3"/>
      <c r="C597" s="3"/>
      <c r="D597" s="3"/>
      <c r="E597" s="3"/>
      <c r="F597" s="3"/>
      <c r="G597" s="3"/>
      <c r="H597" s="3"/>
      <c r="S597" s="3"/>
      <c r="U597" s="3"/>
    </row>
    <row r="598">
      <c r="A598" s="3"/>
      <c r="C598" s="3"/>
      <c r="D598" s="3"/>
      <c r="E598" s="3"/>
      <c r="F598" s="3"/>
      <c r="G598" s="3"/>
      <c r="H598" s="3"/>
      <c r="S598" s="3"/>
      <c r="U598" s="3"/>
    </row>
    <row r="599">
      <c r="A599" s="3"/>
      <c r="C599" s="3"/>
      <c r="D599" s="3"/>
      <c r="E599" s="3"/>
      <c r="F599" s="3"/>
      <c r="G599" s="3"/>
      <c r="H599" s="3"/>
      <c r="S599" s="3"/>
      <c r="U599" s="3"/>
    </row>
    <row r="600">
      <c r="A600" s="3"/>
      <c r="C600" s="3"/>
      <c r="D600" s="3"/>
      <c r="E600" s="3"/>
      <c r="F600" s="3"/>
      <c r="G600" s="3"/>
      <c r="H600" s="3"/>
      <c r="S600" s="3"/>
      <c r="U600" s="3"/>
    </row>
    <row r="601">
      <c r="A601" s="3"/>
      <c r="C601" s="3"/>
      <c r="D601" s="3"/>
      <c r="E601" s="3"/>
      <c r="F601" s="3"/>
      <c r="G601" s="3"/>
      <c r="H601" s="3"/>
      <c r="S601" s="3"/>
      <c r="U601" s="3"/>
    </row>
    <row r="602">
      <c r="A602" s="3"/>
      <c r="C602" s="3"/>
      <c r="D602" s="3"/>
      <c r="E602" s="3"/>
      <c r="F602" s="3"/>
      <c r="G602" s="3"/>
      <c r="H602" s="3"/>
      <c r="S602" s="3"/>
      <c r="U602" s="3"/>
    </row>
    <row r="603">
      <c r="A603" s="3"/>
      <c r="C603" s="3"/>
      <c r="D603" s="3"/>
      <c r="E603" s="3"/>
      <c r="F603" s="3"/>
      <c r="G603" s="3"/>
      <c r="H603" s="3"/>
      <c r="S603" s="3"/>
      <c r="U603" s="3"/>
    </row>
    <row r="604">
      <c r="A604" s="3"/>
      <c r="C604" s="3"/>
      <c r="D604" s="3"/>
      <c r="E604" s="3"/>
      <c r="F604" s="3"/>
      <c r="G604" s="3"/>
      <c r="H604" s="3"/>
      <c r="S604" s="3"/>
      <c r="U604" s="3"/>
    </row>
    <row r="605">
      <c r="A605" s="3"/>
      <c r="C605" s="3"/>
      <c r="D605" s="3"/>
      <c r="E605" s="3"/>
      <c r="F605" s="3"/>
      <c r="G605" s="3"/>
      <c r="H605" s="3"/>
      <c r="S605" s="3"/>
      <c r="U605" s="3"/>
    </row>
    <row r="606">
      <c r="A606" s="3"/>
      <c r="C606" s="3"/>
      <c r="D606" s="3"/>
      <c r="E606" s="3"/>
      <c r="F606" s="3"/>
      <c r="G606" s="3"/>
      <c r="H606" s="3"/>
      <c r="S606" s="3"/>
      <c r="U606" s="3"/>
    </row>
    <row r="607">
      <c r="A607" s="3"/>
      <c r="C607" s="3"/>
      <c r="D607" s="3"/>
      <c r="E607" s="3"/>
      <c r="F607" s="3"/>
      <c r="G607" s="3"/>
      <c r="H607" s="3"/>
      <c r="S607" s="3"/>
      <c r="U607" s="3"/>
    </row>
    <row r="608">
      <c r="A608" s="3"/>
      <c r="C608" s="3"/>
      <c r="D608" s="3"/>
      <c r="E608" s="3"/>
      <c r="F608" s="3"/>
      <c r="G608" s="3"/>
      <c r="H608" s="3"/>
      <c r="S608" s="3"/>
      <c r="U608" s="3"/>
    </row>
    <row r="609">
      <c r="A609" s="3"/>
      <c r="C609" s="3"/>
      <c r="D609" s="3"/>
      <c r="E609" s="3"/>
      <c r="F609" s="3"/>
      <c r="G609" s="3"/>
      <c r="H609" s="3"/>
      <c r="S609" s="3"/>
      <c r="U609" s="3"/>
    </row>
    <row r="610">
      <c r="A610" s="3"/>
      <c r="C610" s="3"/>
      <c r="D610" s="3"/>
      <c r="E610" s="3"/>
      <c r="F610" s="3"/>
      <c r="G610" s="3"/>
      <c r="H610" s="3"/>
      <c r="S610" s="3"/>
      <c r="U610" s="3"/>
    </row>
    <row r="611">
      <c r="A611" s="3"/>
      <c r="C611" s="3"/>
      <c r="D611" s="3"/>
      <c r="E611" s="3"/>
      <c r="F611" s="3"/>
      <c r="G611" s="3"/>
      <c r="H611" s="3"/>
      <c r="S611" s="3"/>
      <c r="U611" s="3"/>
    </row>
    <row r="612">
      <c r="A612" s="3"/>
      <c r="C612" s="3"/>
      <c r="D612" s="3"/>
      <c r="E612" s="3"/>
      <c r="F612" s="3"/>
      <c r="G612" s="3"/>
      <c r="H612" s="3"/>
      <c r="S612" s="3"/>
      <c r="U612" s="3"/>
    </row>
    <row r="613">
      <c r="A613" s="3"/>
      <c r="C613" s="3"/>
      <c r="D613" s="3"/>
      <c r="E613" s="3"/>
      <c r="F613" s="3"/>
      <c r="G613" s="3"/>
      <c r="H613" s="3"/>
      <c r="S613" s="3"/>
      <c r="U613" s="3"/>
    </row>
    <row r="614">
      <c r="A614" s="3"/>
      <c r="C614" s="3"/>
      <c r="D614" s="3"/>
      <c r="E614" s="3"/>
      <c r="F614" s="3"/>
      <c r="G614" s="3"/>
      <c r="H614" s="3"/>
      <c r="S614" s="3"/>
      <c r="U614" s="3"/>
    </row>
    <row r="615">
      <c r="A615" s="3"/>
      <c r="C615" s="3"/>
      <c r="D615" s="3"/>
      <c r="E615" s="3"/>
      <c r="F615" s="3"/>
      <c r="G615" s="3"/>
      <c r="H615" s="3"/>
      <c r="S615" s="3"/>
      <c r="U615" s="3"/>
    </row>
    <row r="616">
      <c r="A616" s="3"/>
      <c r="C616" s="3"/>
      <c r="D616" s="3"/>
      <c r="E616" s="3"/>
      <c r="F616" s="3"/>
      <c r="G616" s="3"/>
      <c r="H616" s="3"/>
      <c r="S616" s="3"/>
      <c r="U616" s="3"/>
    </row>
    <row r="617">
      <c r="A617" s="3"/>
      <c r="C617" s="3"/>
      <c r="D617" s="3"/>
      <c r="E617" s="3"/>
      <c r="F617" s="3"/>
      <c r="G617" s="3"/>
      <c r="H617" s="3"/>
      <c r="S617" s="3"/>
      <c r="U617" s="3"/>
    </row>
    <row r="618">
      <c r="A618" s="3"/>
      <c r="C618" s="3"/>
      <c r="D618" s="3"/>
      <c r="E618" s="3"/>
      <c r="F618" s="3"/>
      <c r="G618" s="3"/>
      <c r="H618" s="3"/>
      <c r="S618" s="3"/>
      <c r="U618" s="3"/>
    </row>
    <row r="619">
      <c r="A619" s="3"/>
      <c r="C619" s="3"/>
      <c r="D619" s="3"/>
      <c r="E619" s="3"/>
      <c r="F619" s="3"/>
      <c r="G619" s="3"/>
      <c r="H619" s="3"/>
      <c r="S619" s="3"/>
      <c r="U619" s="3"/>
    </row>
    <row r="620">
      <c r="A620" s="3"/>
      <c r="C620" s="3"/>
      <c r="D620" s="3"/>
      <c r="E620" s="3"/>
      <c r="F620" s="3"/>
      <c r="G620" s="3"/>
      <c r="H620" s="3"/>
      <c r="S620" s="3"/>
      <c r="U620" s="3"/>
    </row>
    <row r="621">
      <c r="A621" s="3"/>
      <c r="C621" s="3"/>
      <c r="D621" s="3"/>
      <c r="E621" s="3"/>
      <c r="F621" s="3"/>
      <c r="G621" s="3"/>
      <c r="H621" s="3"/>
      <c r="S621" s="3"/>
      <c r="U621" s="3"/>
    </row>
    <row r="622">
      <c r="A622" s="3"/>
      <c r="C622" s="3"/>
      <c r="D622" s="3"/>
      <c r="E622" s="3"/>
      <c r="F622" s="3"/>
      <c r="G622" s="3"/>
      <c r="H622" s="3"/>
      <c r="S622" s="3"/>
      <c r="U622" s="3"/>
    </row>
    <row r="623">
      <c r="A623" s="3"/>
      <c r="C623" s="3"/>
      <c r="D623" s="3"/>
      <c r="E623" s="3"/>
      <c r="F623" s="3"/>
      <c r="G623" s="3"/>
      <c r="H623" s="3"/>
      <c r="S623" s="3"/>
      <c r="U623" s="3"/>
    </row>
    <row r="624">
      <c r="A624" s="3"/>
      <c r="C624" s="3"/>
      <c r="D624" s="3"/>
      <c r="E624" s="3"/>
      <c r="F624" s="3"/>
      <c r="G624" s="3"/>
      <c r="H624" s="3"/>
      <c r="S624" s="3"/>
      <c r="U624" s="3"/>
    </row>
    <row r="625">
      <c r="A625" s="3"/>
      <c r="C625" s="3"/>
      <c r="D625" s="3"/>
      <c r="E625" s="3"/>
      <c r="F625" s="3"/>
      <c r="G625" s="3"/>
      <c r="H625" s="3"/>
      <c r="S625" s="3"/>
      <c r="U625" s="3"/>
    </row>
    <row r="626">
      <c r="A626" s="3"/>
      <c r="C626" s="3"/>
      <c r="D626" s="3"/>
      <c r="E626" s="3"/>
      <c r="F626" s="3"/>
      <c r="G626" s="3"/>
      <c r="H626" s="3"/>
      <c r="S626" s="3"/>
      <c r="U626" s="3"/>
    </row>
    <row r="627">
      <c r="A627" s="3"/>
      <c r="C627" s="3"/>
      <c r="D627" s="3"/>
      <c r="E627" s="3"/>
      <c r="F627" s="3"/>
      <c r="G627" s="3"/>
      <c r="H627" s="3"/>
      <c r="S627" s="3"/>
      <c r="U627" s="3"/>
    </row>
    <row r="628">
      <c r="A628" s="3"/>
      <c r="C628" s="3"/>
      <c r="D628" s="3"/>
      <c r="E628" s="3"/>
      <c r="F628" s="3"/>
      <c r="G628" s="3"/>
      <c r="H628" s="3"/>
      <c r="S628" s="3"/>
      <c r="U628" s="3"/>
    </row>
    <row r="629">
      <c r="A629" s="3"/>
      <c r="C629" s="3"/>
      <c r="D629" s="3"/>
      <c r="E629" s="3"/>
      <c r="F629" s="3"/>
      <c r="G629" s="3"/>
      <c r="H629" s="3"/>
      <c r="S629" s="3"/>
      <c r="U629" s="3"/>
    </row>
    <row r="630">
      <c r="A630" s="3"/>
      <c r="C630" s="3"/>
      <c r="D630" s="3"/>
      <c r="E630" s="3"/>
      <c r="F630" s="3"/>
      <c r="G630" s="3"/>
      <c r="H630" s="3"/>
      <c r="S630" s="3"/>
      <c r="U630" s="3"/>
    </row>
    <row r="631">
      <c r="A631" s="3"/>
      <c r="C631" s="3"/>
      <c r="D631" s="3"/>
      <c r="E631" s="3"/>
      <c r="F631" s="3"/>
      <c r="G631" s="3"/>
      <c r="H631" s="3"/>
      <c r="S631" s="3"/>
      <c r="U631" s="3"/>
    </row>
    <row r="632">
      <c r="A632" s="3"/>
      <c r="C632" s="3"/>
      <c r="D632" s="3"/>
      <c r="E632" s="3"/>
      <c r="F632" s="3"/>
      <c r="G632" s="3"/>
      <c r="H632" s="3"/>
      <c r="S632" s="3"/>
      <c r="U632" s="3"/>
    </row>
    <row r="633">
      <c r="A633" s="3"/>
      <c r="C633" s="3"/>
      <c r="D633" s="3"/>
      <c r="E633" s="3"/>
      <c r="F633" s="3"/>
      <c r="G633" s="3"/>
      <c r="H633" s="3"/>
      <c r="S633" s="3"/>
      <c r="U633" s="3"/>
    </row>
    <row r="634">
      <c r="A634" s="3"/>
      <c r="C634" s="3"/>
      <c r="D634" s="3"/>
      <c r="E634" s="3"/>
      <c r="F634" s="3"/>
      <c r="G634" s="3"/>
      <c r="H634" s="3"/>
      <c r="S634" s="3"/>
      <c r="U634" s="3"/>
    </row>
    <row r="635">
      <c r="A635" s="3"/>
      <c r="C635" s="3"/>
      <c r="D635" s="3"/>
      <c r="E635" s="3"/>
      <c r="F635" s="3"/>
      <c r="G635" s="3"/>
      <c r="H635" s="3"/>
      <c r="S635" s="3"/>
      <c r="U635" s="3"/>
    </row>
    <row r="636">
      <c r="A636" s="3"/>
      <c r="C636" s="3"/>
      <c r="D636" s="3"/>
      <c r="E636" s="3"/>
      <c r="F636" s="3"/>
      <c r="G636" s="3"/>
      <c r="H636" s="3"/>
      <c r="S636" s="3"/>
      <c r="U636" s="3"/>
    </row>
    <row r="637">
      <c r="A637" s="3"/>
      <c r="C637" s="3"/>
      <c r="D637" s="3"/>
      <c r="E637" s="3"/>
      <c r="F637" s="3"/>
      <c r="G637" s="3"/>
      <c r="H637" s="3"/>
      <c r="S637" s="3"/>
      <c r="U637" s="3"/>
    </row>
    <row r="638">
      <c r="A638" s="3"/>
      <c r="C638" s="3"/>
      <c r="D638" s="3"/>
      <c r="E638" s="3"/>
      <c r="F638" s="3"/>
      <c r="G638" s="3"/>
      <c r="H638" s="3"/>
      <c r="S638" s="3"/>
      <c r="U638" s="3"/>
    </row>
    <row r="639">
      <c r="A639" s="3"/>
      <c r="C639" s="3"/>
      <c r="D639" s="3"/>
      <c r="E639" s="3"/>
      <c r="F639" s="3"/>
      <c r="G639" s="3"/>
      <c r="H639" s="3"/>
      <c r="S639" s="3"/>
      <c r="U639" s="3"/>
    </row>
    <row r="640">
      <c r="A640" s="3"/>
      <c r="C640" s="3"/>
      <c r="D640" s="3"/>
      <c r="E640" s="3"/>
      <c r="F640" s="3"/>
      <c r="G640" s="3"/>
      <c r="H640" s="3"/>
      <c r="S640" s="3"/>
      <c r="U640" s="3"/>
    </row>
    <row r="641">
      <c r="A641" s="3"/>
      <c r="C641" s="3"/>
      <c r="D641" s="3"/>
      <c r="E641" s="3"/>
      <c r="F641" s="3"/>
      <c r="G641" s="3"/>
      <c r="H641" s="3"/>
      <c r="S641" s="3"/>
      <c r="U641" s="3"/>
    </row>
    <row r="642">
      <c r="A642" s="3"/>
      <c r="C642" s="3"/>
      <c r="D642" s="3"/>
      <c r="E642" s="3"/>
      <c r="F642" s="3"/>
      <c r="G642" s="3"/>
      <c r="H642" s="3"/>
      <c r="S642" s="3"/>
      <c r="U642" s="3"/>
    </row>
    <row r="643">
      <c r="A643" s="3"/>
      <c r="C643" s="3"/>
      <c r="D643" s="3"/>
      <c r="E643" s="3"/>
      <c r="F643" s="3"/>
      <c r="G643" s="3"/>
      <c r="H643" s="3"/>
      <c r="S643" s="3"/>
      <c r="U643" s="3"/>
    </row>
    <row r="644">
      <c r="A644" s="3"/>
      <c r="C644" s="3"/>
      <c r="D644" s="3"/>
      <c r="E644" s="3"/>
      <c r="F644" s="3"/>
      <c r="G644" s="3"/>
      <c r="H644" s="3"/>
      <c r="S644" s="3"/>
      <c r="U644" s="3"/>
    </row>
    <row r="645">
      <c r="A645" s="3"/>
      <c r="C645" s="3"/>
      <c r="D645" s="3"/>
      <c r="E645" s="3"/>
      <c r="F645" s="3"/>
      <c r="G645" s="3"/>
      <c r="H645" s="3"/>
      <c r="S645" s="3"/>
      <c r="U645" s="3"/>
    </row>
    <row r="646">
      <c r="A646" s="3"/>
      <c r="C646" s="3"/>
      <c r="D646" s="3"/>
      <c r="E646" s="3"/>
      <c r="F646" s="3"/>
      <c r="G646" s="3"/>
      <c r="H646" s="3"/>
      <c r="S646" s="3"/>
      <c r="U646" s="3"/>
    </row>
    <row r="647">
      <c r="A647" s="3"/>
      <c r="C647" s="3"/>
      <c r="D647" s="3"/>
      <c r="E647" s="3"/>
      <c r="F647" s="3"/>
      <c r="G647" s="3"/>
      <c r="H647" s="3"/>
      <c r="S647" s="3"/>
      <c r="U647" s="3"/>
    </row>
    <row r="648">
      <c r="A648" s="3"/>
      <c r="C648" s="3"/>
      <c r="D648" s="3"/>
      <c r="E648" s="3"/>
      <c r="F648" s="3"/>
      <c r="G648" s="3"/>
      <c r="H648" s="3"/>
      <c r="S648" s="3"/>
      <c r="U648" s="3"/>
    </row>
    <row r="649">
      <c r="A649" s="3"/>
      <c r="C649" s="3"/>
      <c r="D649" s="3"/>
      <c r="E649" s="3"/>
      <c r="F649" s="3"/>
      <c r="G649" s="3"/>
      <c r="H649" s="3"/>
      <c r="S649" s="3"/>
      <c r="U649" s="3"/>
    </row>
    <row r="650">
      <c r="A650" s="3"/>
      <c r="C650" s="3"/>
      <c r="D650" s="3"/>
      <c r="E650" s="3"/>
      <c r="F650" s="3"/>
      <c r="G650" s="3"/>
      <c r="H650" s="3"/>
      <c r="S650" s="3"/>
      <c r="U650" s="3"/>
    </row>
    <row r="651">
      <c r="A651" s="3"/>
      <c r="C651" s="3"/>
      <c r="D651" s="3"/>
      <c r="E651" s="3"/>
      <c r="F651" s="3"/>
      <c r="G651" s="3"/>
      <c r="H651" s="3"/>
      <c r="S651" s="3"/>
      <c r="U651" s="3"/>
    </row>
    <row r="652">
      <c r="A652" s="3"/>
      <c r="C652" s="3"/>
      <c r="D652" s="3"/>
      <c r="E652" s="3"/>
      <c r="F652" s="3"/>
      <c r="G652" s="3"/>
      <c r="H652" s="3"/>
      <c r="S652" s="3"/>
      <c r="U652" s="3"/>
    </row>
    <row r="653">
      <c r="A653" s="3"/>
      <c r="C653" s="3"/>
      <c r="D653" s="3"/>
      <c r="E653" s="3"/>
      <c r="F653" s="3"/>
      <c r="G653" s="3"/>
      <c r="H653" s="3"/>
      <c r="S653" s="3"/>
      <c r="U653" s="3"/>
    </row>
    <row r="654">
      <c r="A654" s="3"/>
      <c r="C654" s="3"/>
      <c r="D654" s="3"/>
      <c r="E654" s="3"/>
      <c r="F654" s="3"/>
      <c r="G654" s="3"/>
      <c r="H654" s="3"/>
      <c r="S654" s="3"/>
      <c r="U654" s="3"/>
    </row>
    <row r="655">
      <c r="A655" s="3"/>
      <c r="C655" s="3"/>
      <c r="D655" s="3"/>
      <c r="E655" s="3"/>
      <c r="F655" s="3"/>
      <c r="G655" s="3"/>
      <c r="H655" s="3"/>
      <c r="S655" s="3"/>
      <c r="U655" s="3"/>
    </row>
    <row r="656">
      <c r="A656" s="3"/>
      <c r="C656" s="3"/>
      <c r="D656" s="3"/>
      <c r="E656" s="3"/>
      <c r="F656" s="3"/>
      <c r="G656" s="3"/>
      <c r="H656" s="3"/>
      <c r="S656" s="3"/>
      <c r="U656" s="3"/>
    </row>
    <row r="657">
      <c r="A657" s="3"/>
      <c r="C657" s="3"/>
      <c r="D657" s="3"/>
      <c r="E657" s="3"/>
      <c r="F657" s="3"/>
      <c r="G657" s="3"/>
      <c r="H657" s="3"/>
      <c r="S657" s="3"/>
      <c r="U657" s="3"/>
    </row>
    <row r="658">
      <c r="A658" s="3"/>
      <c r="C658" s="3"/>
      <c r="D658" s="3"/>
      <c r="E658" s="3"/>
      <c r="F658" s="3"/>
      <c r="G658" s="3"/>
      <c r="H658" s="3"/>
      <c r="S658" s="3"/>
      <c r="U658" s="3"/>
    </row>
    <row r="659">
      <c r="A659" s="3"/>
      <c r="C659" s="3"/>
      <c r="D659" s="3"/>
      <c r="E659" s="3"/>
      <c r="F659" s="3"/>
      <c r="G659" s="3"/>
      <c r="H659" s="3"/>
      <c r="S659" s="3"/>
      <c r="U659" s="3"/>
    </row>
    <row r="660">
      <c r="A660" s="3"/>
      <c r="C660" s="3"/>
      <c r="D660" s="3"/>
      <c r="E660" s="3"/>
      <c r="F660" s="3"/>
      <c r="G660" s="3"/>
      <c r="H660" s="3"/>
      <c r="S660" s="3"/>
      <c r="U660" s="3"/>
    </row>
    <row r="661">
      <c r="A661" s="3"/>
      <c r="C661" s="3"/>
      <c r="D661" s="3"/>
      <c r="E661" s="3"/>
      <c r="F661" s="3"/>
      <c r="G661" s="3"/>
      <c r="H661" s="3"/>
      <c r="S661" s="3"/>
      <c r="U661" s="3"/>
    </row>
    <row r="662">
      <c r="A662" s="3"/>
      <c r="C662" s="3"/>
      <c r="D662" s="3"/>
      <c r="E662" s="3"/>
      <c r="F662" s="3"/>
      <c r="G662" s="3"/>
      <c r="H662" s="3"/>
      <c r="S662" s="3"/>
      <c r="U662" s="3"/>
    </row>
    <row r="663">
      <c r="A663" s="3"/>
      <c r="C663" s="3"/>
      <c r="D663" s="3"/>
      <c r="E663" s="3"/>
      <c r="F663" s="3"/>
      <c r="G663" s="3"/>
      <c r="H663" s="3"/>
      <c r="S663" s="3"/>
      <c r="U663" s="3"/>
    </row>
    <row r="664">
      <c r="A664" s="3"/>
      <c r="C664" s="3"/>
      <c r="D664" s="3"/>
      <c r="E664" s="3"/>
      <c r="F664" s="3"/>
      <c r="G664" s="3"/>
      <c r="H664" s="3"/>
      <c r="S664" s="3"/>
      <c r="U664" s="3"/>
    </row>
    <row r="665">
      <c r="A665" s="3"/>
      <c r="C665" s="3"/>
      <c r="D665" s="3"/>
      <c r="E665" s="3"/>
      <c r="F665" s="3"/>
      <c r="G665" s="3"/>
      <c r="H665" s="3"/>
      <c r="S665" s="3"/>
      <c r="U665" s="3"/>
    </row>
    <row r="666">
      <c r="A666" s="3"/>
      <c r="C666" s="3"/>
      <c r="D666" s="3"/>
      <c r="E666" s="3"/>
      <c r="F666" s="3"/>
      <c r="G666" s="3"/>
      <c r="H666" s="3"/>
      <c r="S666" s="3"/>
      <c r="U666" s="3"/>
    </row>
    <row r="667">
      <c r="A667" s="3"/>
      <c r="C667" s="3"/>
      <c r="D667" s="3"/>
      <c r="E667" s="3"/>
      <c r="F667" s="3"/>
      <c r="G667" s="3"/>
      <c r="H667" s="3"/>
      <c r="S667" s="3"/>
      <c r="U667" s="3"/>
    </row>
    <row r="668">
      <c r="A668" s="3"/>
      <c r="C668" s="3"/>
      <c r="D668" s="3"/>
      <c r="E668" s="3"/>
      <c r="F668" s="3"/>
      <c r="G668" s="3"/>
      <c r="H668" s="3"/>
      <c r="S668" s="3"/>
      <c r="U668" s="3"/>
    </row>
    <row r="669">
      <c r="A669" s="3"/>
      <c r="C669" s="3"/>
      <c r="D669" s="3"/>
      <c r="E669" s="3"/>
      <c r="F669" s="3"/>
      <c r="G669" s="3"/>
      <c r="H669" s="3"/>
      <c r="S669" s="3"/>
      <c r="U669" s="3"/>
    </row>
    <row r="670">
      <c r="A670" s="3"/>
      <c r="C670" s="3"/>
      <c r="D670" s="3"/>
      <c r="E670" s="3"/>
      <c r="F670" s="3"/>
      <c r="G670" s="3"/>
      <c r="H670" s="3"/>
      <c r="S670" s="3"/>
      <c r="U670" s="3"/>
    </row>
    <row r="671">
      <c r="A671" s="3"/>
      <c r="C671" s="3"/>
      <c r="D671" s="3"/>
      <c r="E671" s="3"/>
      <c r="F671" s="3"/>
      <c r="G671" s="3"/>
      <c r="H671" s="3"/>
      <c r="S671" s="3"/>
      <c r="U671" s="3"/>
    </row>
    <row r="672">
      <c r="A672" s="3"/>
      <c r="C672" s="3"/>
      <c r="D672" s="3"/>
      <c r="E672" s="3"/>
      <c r="F672" s="3"/>
      <c r="G672" s="3"/>
      <c r="H672" s="3"/>
      <c r="S672" s="3"/>
      <c r="U672" s="3"/>
    </row>
    <row r="673">
      <c r="A673" s="3"/>
      <c r="C673" s="3"/>
      <c r="D673" s="3"/>
      <c r="E673" s="3"/>
      <c r="F673" s="3"/>
      <c r="G673" s="3"/>
      <c r="H673" s="3"/>
      <c r="S673" s="3"/>
      <c r="U673" s="3"/>
    </row>
    <row r="674">
      <c r="A674" s="3"/>
      <c r="C674" s="3"/>
      <c r="D674" s="3"/>
      <c r="E674" s="3"/>
      <c r="F674" s="3"/>
      <c r="G674" s="3"/>
      <c r="H674" s="3"/>
      <c r="S674" s="3"/>
      <c r="U674" s="3"/>
    </row>
    <row r="675">
      <c r="A675" s="3"/>
      <c r="C675" s="3"/>
      <c r="D675" s="3"/>
      <c r="E675" s="3"/>
      <c r="F675" s="3"/>
      <c r="G675" s="3"/>
      <c r="H675" s="3"/>
      <c r="S675" s="3"/>
      <c r="U675" s="3"/>
    </row>
    <row r="676">
      <c r="A676" s="3"/>
      <c r="C676" s="3"/>
      <c r="D676" s="3"/>
      <c r="E676" s="3"/>
      <c r="F676" s="3"/>
      <c r="G676" s="3"/>
      <c r="H676" s="3"/>
      <c r="S676" s="3"/>
      <c r="U676" s="3"/>
    </row>
    <row r="677">
      <c r="A677" s="3"/>
      <c r="C677" s="3"/>
      <c r="D677" s="3"/>
      <c r="E677" s="3"/>
      <c r="F677" s="3"/>
      <c r="G677" s="3"/>
      <c r="H677" s="3"/>
      <c r="S677" s="3"/>
      <c r="U677" s="3"/>
    </row>
    <row r="678">
      <c r="A678" s="3"/>
      <c r="C678" s="3"/>
      <c r="D678" s="3"/>
      <c r="E678" s="3"/>
      <c r="F678" s="3"/>
      <c r="G678" s="3"/>
      <c r="H678" s="3"/>
      <c r="S678" s="3"/>
      <c r="U678" s="3"/>
    </row>
    <row r="679">
      <c r="A679" s="3"/>
      <c r="C679" s="3"/>
      <c r="D679" s="3"/>
      <c r="E679" s="3"/>
      <c r="F679" s="3"/>
      <c r="G679" s="3"/>
      <c r="H679" s="3"/>
      <c r="S679" s="3"/>
      <c r="U679" s="3"/>
    </row>
    <row r="680">
      <c r="A680" s="3"/>
      <c r="C680" s="3"/>
      <c r="D680" s="3"/>
      <c r="E680" s="3"/>
      <c r="F680" s="3"/>
      <c r="G680" s="3"/>
      <c r="H680" s="3"/>
      <c r="S680" s="3"/>
      <c r="U680" s="3"/>
    </row>
    <row r="681">
      <c r="A681" s="3"/>
      <c r="C681" s="3"/>
      <c r="D681" s="3"/>
      <c r="E681" s="3"/>
      <c r="F681" s="3"/>
      <c r="G681" s="3"/>
      <c r="H681" s="3"/>
      <c r="S681" s="3"/>
      <c r="U681" s="3"/>
    </row>
    <row r="682">
      <c r="A682" s="3"/>
      <c r="C682" s="3"/>
      <c r="D682" s="3"/>
      <c r="E682" s="3"/>
      <c r="F682" s="3"/>
      <c r="G682" s="3"/>
      <c r="H682" s="3"/>
      <c r="S682" s="3"/>
      <c r="U682" s="3"/>
    </row>
    <row r="683">
      <c r="A683" s="3"/>
      <c r="C683" s="3"/>
      <c r="D683" s="3"/>
      <c r="E683" s="3"/>
      <c r="F683" s="3"/>
      <c r="G683" s="3"/>
      <c r="H683" s="3"/>
      <c r="S683" s="3"/>
      <c r="U683" s="3"/>
    </row>
    <row r="684">
      <c r="A684" s="3"/>
      <c r="C684" s="3"/>
      <c r="D684" s="3"/>
      <c r="E684" s="3"/>
      <c r="F684" s="3"/>
      <c r="G684" s="3"/>
      <c r="H684" s="3"/>
      <c r="S684" s="3"/>
      <c r="U684" s="3"/>
    </row>
    <row r="685">
      <c r="A685" s="3"/>
      <c r="C685" s="3"/>
      <c r="D685" s="3"/>
      <c r="E685" s="3"/>
      <c r="F685" s="3"/>
      <c r="G685" s="3"/>
      <c r="H685" s="3"/>
      <c r="S685" s="3"/>
      <c r="U685" s="3"/>
    </row>
    <row r="686">
      <c r="A686" s="3"/>
      <c r="C686" s="3"/>
      <c r="D686" s="3"/>
      <c r="E686" s="3"/>
      <c r="F686" s="3"/>
      <c r="G686" s="3"/>
      <c r="H686" s="3"/>
      <c r="S686" s="3"/>
      <c r="U686" s="3"/>
    </row>
    <row r="687">
      <c r="A687" s="3"/>
      <c r="C687" s="3"/>
      <c r="D687" s="3"/>
      <c r="E687" s="3"/>
      <c r="F687" s="3"/>
      <c r="G687" s="3"/>
      <c r="H687" s="3"/>
      <c r="S687" s="3"/>
      <c r="U687" s="3"/>
    </row>
    <row r="688">
      <c r="A688" s="3"/>
      <c r="C688" s="3"/>
      <c r="D688" s="3"/>
      <c r="E688" s="3"/>
      <c r="F688" s="3"/>
      <c r="G688" s="3"/>
      <c r="H688" s="3"/>
      <c r="S688" s="3"/>
      <c r="U688" s="3"/>
    </row>
    <row r="689">
      <c r="A689" s="3"/>
      <c r="C689" s="3"/>
      <c r="D689" s="3"/>
      <c r="E689" s="3"/>
      <c r="F689" s="3"/>
      <c r="G689" s="3"/>
      <c r="H689" s="3"/>
      <c r="S689" s="3"/>
      <c r="U689" s="3"/>
    </row>
    <row r="690">
      <c r="A690" s="3"/>
      <c r="C690" s="3"/>
      <c r="D690" s="3"/>
      <c r="E690" s="3"/>
      <c r="F690" s="3"/>
      <c r="G690" s="3"/>
      <c r="H690" s="3"/>
      <c r="S690" s="3"/>
      <c r="U690" s="3"/>
    </row>
    <row r="691">
      <c r="A691" s="3"/>
      <c r="C691" s="3"/>
      <c r="D691" s="3"/>
      <c r="E691" s="3"/>
      <c r="F691" s="3"/>
      <c r="G691" s="3"/>
      <c r="H691" s="3"/>
      <c r="S691" s="3"/>
      <c r="U691" s="3"/>
    </row>
    <row r="692">
      <c r="A692" s="3"/>
      <c r="C692" s="3"/>
      <c r="D692" s="3"/>
      <c r="E692" s="3"/>
      <c r="F692" s="3"/>
      <c r="G692" s="3"/>
      <c r="H692" s="3"/>
      <c r="S692" s="3"/>
      <c r="U692" s="3"/>
    </row>
    <row r="693">
      <c r="A693" s="3"/>
      <c r="C693" s="3"/>
      <c r="D693" s="3"/>
      <c r="E693" s="3"/>
      <c r="F693" s="3"/>
      <c r="G693" s="3"/>
      <c r="H693" s="3"/>
      <c r="S693" s="3"/>
      <c r="U693" s="3"/>
    </row>
    <row r="694">
      <c r="A694" s="3"/>
      <c r="C694" s="3"/>
      <c r="D694" s="3"/>
      <c r="E694" s="3"/>
      <c r="F694" s="3"/>
      <c r="G694" s="3"/>
      <c r="H694" s="3"/>
      <c r="S694" s="3"/>
      <c r="U694" s="3"/>
    </row>
    <row r="695">
      <c r="A695" s="3"/>
      <c r="C695" s="3"/>
      <c r="D695" s="3"/>
      <c r="E695" s="3"/>
      <c r="F695" s="3"/>
      <c r="G695" s="3"/>
      <c r="H695" s="3"/>
      <c r="S695" s="3"/>
      <c r="U695" s="3"/>
    </row>
    <row r="696">
      <c r="A696" s="3"/>
      <c r="C696" s="3"/>
      <c r="D696" s="3"/>
      <c r="E696" s="3"/>
      <c r="F696" s="3"/>
      <c r="G696" s="3"/>
      <c r="H696" s="3"/>
      <c r="S696" s="3"/>
      <c r="U696" s="3"/>
    </row>
    <row r="697">
      <c r="A697" s="3"/>
      <c r="C697" s="3"/>
      <c r="D697" s="3"/>
      <c r="E697" s="3"/>
      <c r="F697" s="3"/>
      <c r="G697" s="3"/>
      <c r="H697" s="3"/>
      <c r="S697" s="3"/>
      <c r="U697" s="3"/>
    </row>
    <row r="698">
      <c r="A698" s="3"/>
      <c r="C698" s="3"/>
      <c r="D698" s="3"/>
      <c r="E698" s="3"/>
      <c r="F698" s="3"/>
      <c r="G698" s="3"/>
      <c r="H698" s="3"/>
      <c r="S698" s="3"/>
      <c r="U698" s="3"/>
    </row>
    <row r="699">
      <c r="A699" s="3"/>
      <c r="C699" s="3"/>
      <c r="D699" s="3"/>
      <c r="E699" s="3"/>
      <c r="F699" s="3"/>
      <c r="G699" s="3"/>
      <c r="H699" s="3"/>
      <c r="S699" s="3"/>
      <c r="U699" s="3"/>
    </row>
    <row r="700">
      <c r="A700" s="3"/>
      <c r="C700" s="3"/>
      <c r="D700" s="3"/>
      <c r="E700" s="3"/>
      <c r="F700" s="3"/>
      <c r="G700" s="3"/>
      <c r="H700" s="3"/>
      <c r="S700" s="3"/>
      <c r="U700" s="3"/>
    </row>
    <row r="701">
      <c r="A701" s="3"/>
      <c r="C701" s="3"/>
      <c r="D701" s="3"/>
      <c r="E701" s="3"/>
      <c r="F701" s="3"/>
      <c r="G701" s="3"/>
      <c r="H701" s="3"/>
      <c r="S701" s="3"/>
      <c r="U701" s="3"/>
    </row>
    <row r="702">
      <c r="A702" s="3"/>
      <c r="C702" s="3"/>
      <c r="D702" s="3"/>
      <c r="E702" s="3"/>
      <c r="F702" s="3"/>
      <c r="G702" s="3"/>
      <c r="H702" s="3"/>
      <c r="S702" s="3"/>
      <c r="U702" s="3"/>
    </row>
    <row r="703">
      <c r="A703" s="3"/>
      <c r="C703" s="3"/>
      <c r="D703" s="3"/>
      <c r="E703" s="3"/>
      <c r="F703" s="3"/>
      <c r="G703" s="3"/>
      <c r="H703" s="3"/>
      <c r="S703" s="3"/>
      <c r="U703" s="3"/>
    </row>
    <row r="704">
      <c r="A704" s="3"/>
      <c r="C704" s="3"/>
      <c r="D704" s="3"/>
      <c r="E704" s="3"/>
      <c r="F704" s="3"/>
      <c r="G704" s="3"/>
      <c r="H704" s="3"/>
      <c r="S704" s="3"/>
      <c r="U704" s="3"/>
    </row>
    <row r="705">
      <c r="A705" s="3"/>
      <c r="C705" s="3"/>
      <c r="D705" s="3"/>
      <c r="E705" s="3"/>
      <c r="F705" s="3"/>
      <c r="G705" s="3"/>
      <c r="H705" s="3"/>
      <c r="S705" s="3"/>
      <c r="U705" s="3"/>
    </row>
    <row r="706">
      <c r="A706" s="3"/>
      <c r="C706" s="3"/>
      <c r="D706" s="3"/>
      <c r="E706" s="3"/>
      <c r="F706" s="3"/>
      <c r="G706" s="3"/>
      <c r="H706" s="3"/>
      <c r="S706" s="3"/>
      <c r="U706" s="3"/>
    </row>
    <row r="707">
      <c r="A707" s="3"/>
      <c r="C707" s="3"/>
      <c r="D707" s="3"/>
      <c r="E707" s="3"/>
      <c r="F707" s="3"/>
      <c r="G707" s="3"/>
      <c r="H707" s="3"/>
      <c r="S707" s="3"/>
      <c r="U707" s="3"/>
    </row>
    <row r="708">
      <c r="A708" s="3"/>
      <c r="C708" s="3"/>
      <c r="D708" s="3"/>
      <c r="E708" s="3"/>
      <c r="F708" s="3"/>
      <c r="G708" s="3"/>
      <c r="H708" s="3"/>
      <c r="S708" s="3"/>
      <c r="U708" s="3"/>
    </row>
    <row r="709">
      <c r="A709" s="3"/>
      <c r="C709" s="3"/>
      <c r="D709" s="3"/>
      <c r="E709" s="3"/>
      <c r="F709" s="3"/>
      <c r="G709" s="3"/>
      <c r="H709" s="3"/>
      <c r="S709" s="3"/>
      <c r="U709" s="3"/>
    </row>
    <row r="710">
      <c r="A710" s="3"/>
      <c r="C710" s="3"/>
      <c r="D710" s="3"/>
      <c r="E710" s="3"/>
      <c r="F710" s="3"/>
      <c r="G710" s="3"/>
      <c r="H710" s="3"/>
      <c r="S710" s="3"/>
      <c r="U710" s="3"/>
    </row>
    <row r="711">
      <c r="A711" s="3"/>
      <c r="C711" s="3"/>
      <c r="D711" s="3"/>
      <c r="E711" s="3"/>
      <c r="F711" s="3"/>
      <c r="G711" s="3"/>
      <c r="H711" s="3"/>
      <c r="S711" s="3"/>
      <c r="U711" s="3"/>
    </row>
    <row r="712">
      <c r="A712" s="3"/>
      <c r="C712" s="3"/>
      <c r="D712" s="3"/>
      <c r="E712" s="3"/>
      <c r="F712" s="3"/>
      <c r="G712" s="3"/>
      <c r="H712" s="3"/>
      <c r="S712" s="3"/>
      <c r="U712" s="3"/>
    </row>
    <row r="713">
      <c r="A713" s="3"/>
      <c r="C713" s="3"/>
      <c r="D713" s="3"/>
      <c r="E713" s="3"/>
      <c r="F713" s="3"/>
      <c r="G713" s="3"/>
      <c r="H713" s="3"/>
      <c r="S713" s="3"/>
      <c r="U713" s="3"/>
    </row>
    <row r="714">
      <c r="A714" s="3"/>
      <c r="C714" s="3"/>
      <c r="D714" s="3"/>
      <c r="E714" s="3"/>
      <c r="F714" s="3"/>
      <c r="G714" s="3"/>
      <c r="H714" s="3"/>
      <c r="S714" s="3"/>
      <c r="U714" s="3"/>
    </row>
    <row r="715">
      <c r="A715" s="3"/>
      <c r="C715" s="3"/>
      <c r="D715" s="3"/>
      <c r="E715" s="3"/>
      <c r="F715" s="3"/>
      <c r="G715" s="3"/>
      <c r="H715" s="3"/>
      <c r="S715" s="3"/>
      <c r="U715" s="3"/>
    </row>
    <row r="716">
      <c r="A716" s="3"/>
      <c r="C716" s="3"/>
      <c r="D716" s="3"/>
      <c r="E716" s="3"/>
      <c r="F716" s="3"/>
      <c r="G716" s="3"/>
      <c r="H716" s="3"/>
      <c r="S716" s="3"/>
      <c r="U716" s="3"/>
    </row>
    <row r="717">
      <c r="A717" s="3"/>
      <c r="C717" s="3"/>
      <c r="D717" s="3"/>
      <c r="E717" s="3"/>
      <c r="F717" s="3"/>
      <c r="G717" s="3"/>
      <c r="H717" s="3"/>
      <c r="S717" s="3"/>
      <c r="U717" s="3"/>
    </row>
    <row r="718">
      <c r="A718" s="3"/>
      <c r="C718" s="3"/>
      <c r="D718" s="3"/>
      <c r="E718" s="3"/>
      <c r="F718" s="3"/>
      <c r="G718" s="3"/>
      <c r="H718" s="3"/>
      <c r="S718" s="3"/>
      <c r="U718" s="3"/>
    </row>
    <row r="719">
      <c r="A719" s="3"/>
      <c r="C719" s="3"/>
      <c r="D719" s="3"/>
      <c r="E719" s="3"/>
      <c r="F719" s="3"/>
      <c r="G719" s="3"/>
      <c r="H719" s="3"/>
      <c r="S719" s="3"/>
      <c r="U719" s="3"/>
    </row>
    <row r="720">
      <c r="A720" s="3"/>
      <c r="C720" s="3"/>
      <c r="D720" s="3"/>
      <c r="E720" s="3"/>
      <c r="F720" s="3"/>
      <c r="G720" s="3"/>
      <c r="H720" s="3"/>
      <c r="S720" s="3"/>
      <c r="U720" s="3"/>
    </row>
    <row r="721">
      <c r="A721" s="3"/>
      <c r="C721" s="3"/>
      <c r="D721" s="3"/>
      <c r="E721" s="3"/>
      <c r="F721" s="3"/>
      <c r="G721" s="3"/>
      <c r="H721" s="3"/>
      <c r="S721" s="3"/>
      <c r="U721" s="3"/>
    </row>
    <row r="722">
      <c r="A722" s="3"/>
      <c r="C722" s="3"/>
      <c r="D722" s="3"/>
      <c r="E722" s="3"/>
      <c r="F722" s="3"/>
      <c r="G722" s="3"/>
      <c r="H722" s="3"/>
      <c r="S722" s="3"/>
      <c r="U722" s="3"/>
    </row>
    <row r="723">
      <c r="A723" s="3"/>
      <c r="C723" s="3"/>
      <c r="D723" s="3"/>
      <c r="E723" s="3"/>
      <c r="F723" s="3"/>
      <c r="G723" s="3"/>
      <c r="H723" s="3"/>
      <c r="S723" s="3"/>
      <c r="U723" s="3"/>
    </row>
    <row r="724">
      <c r="A724" s="3"/>
      <c r="C724" s="3"/>
      <c r="D724" s="3"/>
      <c r="E724" s="3"/>
      <c r="F724" s="3"/>
      <c r="G724" s="3"/>
      <c r="H724" s="3"/>
      <c r="S724" s="3"/>
      <c r="U724" s="3"/>
    </row>
    <row r="725">
      <c r="A725" s="3"/>
      <c r="C725" s="3"/>
      <c r="D725" s="3"/>
      <c r="E725" s="3"/>
      <c r="F725" s="3"/>
      <c r="G725" s="3"/>
      <c r="H725" s="3"/>
      <c r="S725" s="3"/>
      <c r="U725" s="3"/>
    </row>
    <row r="726">
      <c r="A726" s="3"/>
      <c r="C726" s="3"/>
      <c r="D726" s="3"/>
      <c r="E726" s="3"/>
      <c r="F726" s="3"/>
      <c r="G726" s="3"/>
      <c r="H726" s="3"/>
      <c r="S726" s="3"/>
      <c r="U726" s="3"/>
    </row>
    <row r="727">
      <c r="A727" s="3"/>
      <c r="C727" s="3"/>
      <c r="D727" s="3"/>
      <c r="E727" s="3"/>
      <c r="F727" s="3"/>
      <c r="G727" s="3"/>
      <c r="H727" s="3"/>
      <c r="S727" s="3"/>
      <c r="U727" s="3"/>
    </row>
    <row r="728">
      <c r="A728" s="3"/>
      <c r="C728" s="3"/>
      <c r="D728" s="3"/>
      <c r="E728" s="3"/>
      <c r="F728" s="3"/>
      <c r="G728" s="3"/>
      <c r="H728" s="3"/>
      <c r="S728" s="3"/>
      <c r="U728" s="3"/>
    </row>
    <row r="729">
      <c r="A729" s="3"/>
      <c r="C729" s="3"/>
      <c r="D729" s="3"/>
      <c r="E729" s="3"/>
      <c r="F729" s="3"/>
      <c r="G729" s="3"/>
      <c r="H729" s="3"/>
      <c r="S729" s="3"/>
      <c r="U729" s="3"/>
    </row>
    <row r="730">
      <c r="A730" s="3"/>
      <c r="C730" s="3"/>
      <c r="D730" s="3"/>
      <c r="E730" s="3"/>
      <c r="F730" s="3"/>
      <c r="G730" s="3"/>
      <c r="H730" s="3"/>
      <c r="S730" s="3"/>
      <c r="U730" s="3"/>
    </row>
    <row r="731">
      <c r="A731" s="3"/>
      <c r="C731" s="3"/>
      <c r="D731" s="3"/>
      <c r="E731" s="3"/>
      <c r="F731" s="3"/>
      <c r="G731" s="3"/>
      <c r="H731" s="3"/>
      <c r="S731" s="3"/>
      <c r="U731" s="3"/>
    </row>
    <row r="732">
      <c r="A732" s="3"/>
      <c r="C732" s="3"/>
      <c r="D732" s="3"/>
      <c r="E732" s="3"/>
      <c r="F732" s="3"/>
      <c r="G732" s="3"/>
      <c r="H732" s="3"/>
      <c r="S732" s="3"/>
      <c r="U732" s="3"/>
    </row>
    <row r="733">
      <c r="A733" s="3"/>
      <c r="C733" s="3"/>
      <c r="D733" s="3"/>
      <c r="E733" s="3"/>
      <c r="F733" s="3"/>
      <c r="G733" s="3"/>
      <c r="H733" s="3"/>
      <c r="S733" s="3"/>
      <c r="U733" s="3"/>
    </row>
    <row r="734">
      <c r="A734" s="3"/>
      <c r="C734" s="3"/>
      <c r="D734" s="3"/>
      <c r="E734" s="3"/>
      <c r="F734" s="3"/>
      <c r="G734" s="3"/>
      <c r="H734" s="3"/>
      <c r="S734" s="3"/>
      <c r="U734" s="3"/>
    </row>
    <row r="735">
      <c r="A735" s="3"/>
      <c r="C735" s="3"/>
      <c r="D735" s="3"/>
      <c r="E735" s="3"/>
      <c r="F735" s="3"/>
      <c r="G735" s="3"/>
      <c r="H735" s="3"/>
      <c r="S735" s="3"/>
      <c r="U735" s="3"/>
    </row>
    <row r="736">
      <c r="A736" s="3"/>
      <c r="C736" s="3"/>
      <c r="D736" s="3"/>
      <c r="E736" s="3"/>
      <c r="F736" s="3"/>
      <c r="G736" s="3"/>
      <c r="H736" s="3"/>
      <c r="S736" s="3"/>
      <c r="U736" s="3"/>
    </row>
    <row r="737">
      <c r="A737" s="3"/>
      <c r="C737" s="3"/>
      <c r="D737" s="3"/>
      <c r="E737" s="3"/>
      <c r="F737" s="3"/>
      <c r="G737" s="3"/>
      <c r="H737" s="3"/>
      <c r="S737" s="3"/>
      <c r="U737" s="3"/>
    </row>
    <row r="738">
      <c r="A738" s="3"/>
      <c r="C738" s="3"/>
      <c r="D738" s="3"/>
      <c r="E738" s="3"/>
      <c r="F738" s="3"/>
      <c r="G738" s="3"/>
      <c r="H738" s="3"/>
      <c r="S738" s="3"/>
      <c r="U738" s="3"/>
    </row>
    <row r="739">
      <c r="A739" s="3"/>
      <c r="C739" s="3"/>
      <c r="D739" s="3"/>
      <c r="E739" s="3"/>
      <c r="F739" s="3"/>
      <c r="G739" s="3"/>
      <c r="H739" s="3"/>
      <c r="S739" s="3"/>
      <c r="U739" s="3"/>
    </row>
    <row r="740">
      <c r="A740" s="3"/>
      <c r="C740" s="3"/>
      <c r="D740" s="3"/>
      <c r="E740" s="3"/>
      <c r="F740" s="3"/>
      <c r="G740" s="3"/>
      <c r="H740" s="3"/>
      <c r="S740" s="3"/>
      <c r="U740" s="3"/>
    </row>
    <row r="741">
      <c r="A741" s="3"/>
      <c r="C741" s="3"/>
      <c r="D741" s="3"/>
      <c r="E741" s="3"/>
      <c r="F741" s="3"/>
      <c r="G741" s="3"/>
      <c r="H741" s="3"/>
      <c r="S741" s="3"/>
      <c r="U741" s="3"/>
    </row>
    <row r="742">
      <c r="A742" s="3"/>
      <c r="C742" s="3"/>
      <c r="D742" s="3"/>
      <c r="E742" s="3"/>
      <c r="F742" s="3"/>
      <c r="G742" s="3"/>
      <c r="H742" s="3"/>
      <c r="S742" s="3"/>
      <c r="U742" s="3"/>
    </row>
    <row r="743">
      <c r="A743" s="3"/>
      <c r="C743" s="3"/>
      <c r="D743" s="3"/>
      <c r="E743" s="3"/>
      <c r="F743" s="3"/>
      <c r="G743" s="3"/>
      <c r="H743" s="3"/>
      <c r="S743" s="3"/>
      <c r="U743" s="3"/>
    </row>
    <row r="744">
      <c r="A744" s="3"/>
      <c r="C744" s="3"/>
      <c r="D744" s="3"/>
      <c r="E744" s="3"/>
      <c r="F744" s="3"/>
      <c r="G744" s="3"/>
      <c r="H744" s="3"/>
      <c r="S744" s="3"/>
      <c r="U744" s="3"/>
    </row>
    <row r="745">
      <c r="A745" s="3"/>
      <c r="C745" s="3"/>
      <c r="D745" s="3"/>
      <c r="E745" s="3"/>
      <c r="F745" s="3"/>
      <c r="G745" s="3"/>
      <c r="H745" s="3"/>
      <c r="S745" s="3"/>
      <c r="U745" s="3"/>
    </row>
    <row r="746">
      <c r="A746" s="3"/>
      <c r="C746" s="3"/>
      <c r="D746" s="3"/>
      <c r="E746" s="3"/>
      <c r="F746" s="3"/>
      <c r="G746" s="3"/>
      <c r="H746" s="3"/>
      <c r="S746" s="3"/>
      <c r="U746" s="3"/>
    </row>
    <row r="747">
      <c r="A747" s="3"/>
      <c r="C747" s="3"/>
      <c r="D747" s="3"/>
      <c r="E747" s="3"/>
      <c r="F747" s="3"/>
      <c r="G747" s="3"/>
      <c r="H747" s="3"/>
      <c r="S747" s="3"/>
      <c r="U747" s="3"/>
    </row>
    <row r="748">
      <c r="A748" s="3"/>
      <c r="C748" s="3"/>
      <c r="D748" s="3"/>
      <c r="E748" s="3"/>
      <c r="F748" s="3"/>
      <c r="G748" s="3"/>
      <c r="H748" s="3"/>
      <c r="S748" s="3"/>
      <c r="U748" s="3"/>
    </row>
    <row r="749">
      <c r="A749" s="3"/>
      <c r="C749" s="3"/>
      <c r="D749" s="3"/>
      <c r="E749" s="3"/>
      <c r="F749" s="3"/>
      <c r="G749" s="3"/>
      <c r="H749" s="3"/>
      <c r="S749" s="3"/>
      <c r="U749" s="3"/>
    </row>
    <row r="750">
      <c r="A750" s="3"/>
      <c r="C750" s="3"/>
      <c r="D750" s="3"/>
      <c r="E750" s="3"/>
      <c r="F750" s="3"/>
      <c r="G750" s="3"/>
      <c r="H750" s="3"/>
      <c r="S750" s="3"/>
      <c r="U750" s="3"/>
    </row>
    <row r="751">
      <c r="A751" s="3"/>
      <c r="C751" s="3"/>
      <c r="D751" s="3"/>
      <c r="E751" s="3"/>
      <c r="F751" s="3"/>
      <c r="G751" s="3"/>
      <c r="H751" s="3"/>
      <c r="S751" s="3"/>
      <c r="U751" s="3"/>
    </row>
    <row r="752">
      <c r="A752" s="3"/>
      <c r="C752" s="3"/>
      <c r="D752" s="3"/>
      <c r="E752" s="3"/>
      <c r="F752" s="3"/>
      <c r="G752" s="3"/>
      <c r="H752" s="3"/>
      <c r="S752" s="3"/>
      <c r="U752" s="3"/>
    </row>
    <row r="753">
      <c r="A753" s="3"/>
      <c r="C753" s="3"/>
      <c r="D753" s="3"/>
      <c r="E753" s="3"/>
      <c r="F753" s="3"/>
      <c r="G753" s="3"/>
      <c r="H753" s="3"/>
      <c r="S753" s="3"/>
      <c r="U753" s="3"/>
    </row>
    <row r="754">
      <c r="A754" s="3"/>
      <c r="C754" s="3"/>
      <c r="D754" s="3"/>
      <c r="E754" s="3"/>
      <c r="F754" s="3"/>
      <c r="G754" s="3"/>
      <c r="H754" s="3"/>
      <c r="S754" s="3"/>
      <c r="U754" s="3"/>
    </row>
    <row r="755">
      <c r="A755" s="3"/>
      <c r="C755" s="3"/>
      <c r="D755" s="3"/>
      <c r="E755" s="3"/>
      <c r="F755" s="3"/>
      <c r="G755" s="3"/>
      <c r="H755" s="3"/>
      <c r="S755" s="3"/>
      <c r="U755" s="3"/>
    </row>
    <row r="756">
      <c r="A756" s="3"/>
      <c r="C756" s="3"/>
      <c r="D756" s="3"/>
      <c r="E756" s="3"/>
      <c r="F756" s="3"/>
      <c r="G756" s="3"/>
      <c r="H756" s="3"/>
      <c r="S756" s="3"/>
      <c r="U756" s="3"/>
    </row>
    <row r="757">
      <c r="A757" s="3"/>
      <c r="C757" s="3"/>
      <c r="D757" s="3"/>
      <c r="E757" s="3"/>
      <c r="F757" s="3"/>
      <c r="G757" s="3"/>
      <c r="H757" s="3"/>
      <c r="S757" s="3"/>
      <c r="U757" s="3"/>
    </row>
    <row r="758">
      <c r="A758" s="3"/>
      <c r="C758" s="3"/>
      <c r="D758" s="3"/>
      <c r="E758" s="3"/>
      <c r="F758" s="3"/>
      <c r="G758" s="3"/>
      <c r="H758" s="3"/>
      <c r="S758" s="3"/>
      <c r="U758" s="3"/>
    </row>
    <row r="759">
      <c r="A759" s="3"/>
      <c r="C759" s="3"/>
      <c r="D759" s="3"/>
      <c r="E759" s="3"/>
      <c r="F759" s="3"/>
      <c r="G759" s="3"/>
      <c r="H759" s="3"/>
      <c r="S759" s="3"/>
      <c r="U759" s="3"/>
    </row>
    <row r="760">
      <c r="A760" s="3"/>
      <c r="C760" s="3"/>
      <c r="D760" s="3"/>
      <c r="E760" s="3"/>
      <c r="F760" s="3"/>
      <c r="G760" s="3"/>
      <c r="H760" s="3"/>
      <c r="S760" s="3"/>
      <c r="U760" s="3"/>
    </row>
    <row r="761">
      <c r="A761" s="3"/>
      <c r="C761" s="3"/>
      <c r="D761" s="3"/>
      <c r="E761" s="3"/>
      <c r="F761" s="3"/>
      <c r="G761" s="3"/>
      <c r="H761" s="3"/>
      <c r="S761" s="3"/>
      <c r="U761" s="3"/>
    </row>
    <row r="762">
      <c r="A762" s="3"/>
      <c r="C762" s="3"/>
      <c r="D762" s="3"/>
      <c r="E762" s="3"/>
      <c r="F762" s="3"/>
      <c r="G762" s="3"/>
      <c r="H762" s="3"/>
      <c r="S762" s="3"/>
      <c r="U762" s="3"/>
    </row>
    <row r="763">
      <c r="A763" s="3"/>
      <c r="C763" s="3"/>
      <c r="D763" s="3"/>
      <c r="E763" s="3"/>
      <c r="F763" s="3"/>
      <c r="G763" s="3"/>
      <c r="H763" s="3"/>
      <c r="S763" s="3"/>
      <c r="U763" s="3"/>
    </row>
    <row r="764">
      <c r="A764" s="3"/>
      <c r="C764" s="3"/>
      <c r="D764" s="3"/>
      <c r="E764" s="3"/>
      <c r="F764" s="3"/>
      <c r="G764" s="3"/>
      <c r="H764" s="3"/>
      <c r="S764" s="3"/>
      <c r="U764" s="3"/>
    </row>
    <row r="765">
      <c r="A765" s="3"/>
      <c r="C765" s="3"/>
      <c r="D765" s="3"/>
      <c r="E765" s="3"/>
      <c r="F765" s="3"/>
      <c r="G765" s="3"/>
      <c r="H765" s="3"/>
      <c r="S765" s="3"/>
      <c r="U765" s="3"/>
    </row>
    <row r="766">
      <c r="A766" s="3"/>
      <c r="C766" s="3"/>
      <c r="D766" s="3"/>
      <c r="E766" s="3"/>
      <c r="F766" s="3"/>
      <c r="G766" s="3"/>
      <c r="H766" s="3"/>
      <c r="S766" s="3"/>
      <c r="U766" s="3"/>
    </row>
    <row r="767">
      <c r="A767" s="3"/>
      <c r="C767" s="3"/>
      <c r="D767" s="3"/>
      <c r="E767" s="3"/>
      <c r="F767" s="3"/>
      <c r="G767" s="3"/>
      <c r="H767" s="3"/>
      <c r="S767" s="3"/>
      <c r="U767" s="3"/>
    </row>
    <row r="768">
      <c r="A768" s="3"/>
      <c r="C768" s="3"/>
      <c r="D768" s="3"/>
      <c r="E768" s="3"/>
      <c r="F768" s="3"/>
      <c r="G768" s="3"/>
      <c r="H768" s="3"/>
      <c r="S768" s="3"/>
      <c r="U768" s="3"/>
    </row>
    <row r="769">
      <c r="A769" s="3"/>
      <c r="C769" s="3"/>
      <c r="D769" s="3"/>
      <c r="E769" s="3"/>
      <c r="F769" s="3"/>
      <c r="G769" s="3"/>
      <c r="H769" s="3"/>
      <c r="S769" s="3"/>
      <c r="U769" s="3"/>
    </row>
    <row r="770">
      <c r="A770" s="3"/>
      <c r="C770" s="3"/>
      <c r="D770" s="3"/>
      <c r="E770" s="3"/>
      <c r="F770" s="3"/>
      <c r="G770" s="3"/>
      <c r="H770" s="3"/>
      <c r="S770" s="3"/>
      <c r="U770" s="3"/>
    </row>
    <row r="771">
      <c r="A771" s="3"/>
      <c r="C771" s="3"/>
      <c r="D771" s="3"/>
      <c r="E771" s="3"/>
      <c r="F771" s="3"/>
      <c r="G771" s="3"/>
      <c r="H771" s="3"/>
      <c r="S771" s="3"/>
      <c r="U771" s="3"/>
    </row>
    <row r="772">
      <c r="A772" s="3"/>
      <c r="C772" s="3"/>
      <c r="D772" s="3"/>
      <c r="E772" s="3"/>
      <c r="F772" s="3"/>
      <c r="G772" s="3"/>
      <c r="H772" s="3"/>
      <c r="S772" s="3"/>
      <c r="U772" s="3"/>
    </row>
    <row r="773">
      <c r="A773" s="3"/>
      <c r="C773" s="3"/>
      <c r="D773" s="3"/>
      <c r="E773" s="3"/>
      <c r="F773" s="3"/>
      <c r="G773" s="3"/>
      <c r="H773" s="3"/>
      <c r="S773" s="3"/>
      <c r="U773" s="3"/>
    </row>
    <row r="774">
      <c r="A774" s="3"/>
      <c r="C774" s="3"/>
      <c r="D774" s="3"/>
      <c r="E774" s="3"/>
      <c r="F774" s="3"/>
      <c r="G774" s="3"/>
      <c r="H774" s="3"/>
      <c r="S774" s="3"/>
      <c r="U774" s="3"/>
    </row>
    <row r="775">
      <c r="A775" s="3"/>
      <c r="C775" s="3"/>
      <c r="D775" s="3"/>
      <c r="E775" s="3"/>
      <c r="F775" s="3"/>
      <c r="G775" s="3"/>
      <c r="H775" s="3"/>
      <c r="S775" s="3"/>
      <c r="U775" s="3"/>
    </row>
    <row r="776">
      <c r="A776" s="3"/>
      <c r="C776" s="3"/>
      <c r="D776" s="3"/>
      <c r="E776" s="3"/>
      <c r="F776" s="3"/>
      <c r="G776" s="3"/>
      <c r="H776" s="3"/>
      <c r="S776" s="3"/>
      <c r="U776" s="3"/>
    </row>
    <row r="777">
      <c r="A777" s="3"/>
      <c r="C777" s="3"/>
      <c r="D777" s="3"/>
      <c r="E777" s="3"/>
      <c r="F777" s="3"/>
      <c r="G777" s="3"/>
      <c r="H777" s="3"/>
      <c r="S777" s="3"/>
      <c r="U777" s="3"/>
    </row>
    <row r="778">
      <c r="A778" s="3"/>
      <c r="C778" s="3"/>
      <c r="D778" s="3"/>
      <c r="E778" s="3"/>
      <c r="F778" s="3"/>
      <c r="G778" s="3"/>
      <c r="H778" s="3"/>
      <c r="S778" s="3"/>
      <c r="U778" s="3"/>
    </row>
    <row r="779">
      <c r="A779" s="3"/>
      <c r="C779" s="3"/>
      <c r="D779" s="3"/>
      <c r="E779" s="3"/>
      <c r="F779" s="3"/>
      <c r="G779" s="3"/>
      <c r="H779" s="3"/>
      <c r="S779" s="3"/>
      <c r="U779" s="3"/>
    </row>
    <row r="780">
      <c r="A780" s="3"/>
      <c r="C780" s="3"/>
      <c r="D780" s="3"/>
      <c r="E780" s="3"/>
      <c r="F780" s="3"/>
      <c r="G780" s="3"/>
      <c r="H780" s="3"/>
      <c r="S780" s="3"/>
      <c r="U780" s="3"/>
    </row>
    <row r="781">
      <c r="A781" s="3"/>
      <c r="C781" s="3"/>
      <c r="D781" s="3"/>
      <c r="E781" s="3"/>
      <c r="F781" s="3"/>
      <c r="G781" s="3"/>
      <c r="H781" s="3"/>
      <c r="S781" s="3"/>
      <c r="U781" s="3"/>
    </row>
    <row r="782">
      <c r="A782" s="3"/>
      <c r="C782" s="3"/>
      <c r="D782" s="3"/>
      <c r="E782" s="3"/>
      <c r="F782" s="3"/>
      <c r="G782" s="3"/>
      <c r="H782" s="3"/>
      <c r="S782" s="3"/>
      <c r="U782" s="3"/>
    </row>
    <row r="783">
      <c r="A783" s="3"/>
      <c r="C783" s="3"/>
      <c r="D783" s="3"/>
      <c r="E783" s="3"/>
      <c r="F783" s="3"/>
      <c r="G783" s="3"/>
      <c r="H783" s="3"/>
      <c r="S783" s="3"/>
      <c r="U783" s="3"/>
    </row>
    <row r="784">
      <c r="A784" s="3"/>
      <c r="C784" s="3"/>
      <c r="D784" s="3"/>
      <c r="E784" s="3"/>
      <c r="F784" s="3"/>
      <c r="G784" s="3"/>
      <c r="H784" s="3"/>
      <c r="S784" s="3"/>
      <c r="U784" s="3"/>
    </row>
    <row r="785">
      <c r="A785" s="3"/>
      <c r="C785" s="3"/>
      <c r="D785" s="3"/>
      <c r="E785" s="3"/>
      <c r="F785" s="3"/>
      <c r="G785" s="3"/>
      <c r="H785" s="3"/>
      <c r="S785" s="3"/>
      <c r="U785" s="3"/>
    </row>
    <row r="786">
      <c r="A786" s="3"/>
      <c r="C786" s="3"/>
      <c r="D786" s="3"/>
      <c r="E786" s="3"/>
      <c r="F786" s="3"/>
      <c r="G786" s="3"/>
      <c r="H786" s="3"/>
      <c r="S786" s="3"/>
      <c r="U786" s="3"/>
    </row>
    <row r="787">
      <c r="A787" s="3"/>
      <c r="C787" s="3"/>
      <c r="D787" s="3"/>
      <c r="E787" s="3"/>
      <c r="F787" s="3"/>
      <c r="G787" s="3"/>
      <c r="H787" s="3"/>
      <c r="S787" s="3"/>
      <c r="U787" s="3"/>
    </row>
    <row r="788">
      <c r="A788" s="3"/>
      <c r="C788" s="3"/>
      <c r="D788" s="3"/>
      <c r="E788" s="3"/>
      <c r="F788" s="3"/>
      <c r="G788" s="3"/>
      <c r="H788" s="3"/>
      <c r="S788" s="3"/>
      <c r="U788" s="3"/>
    </row>
    <row r="789">
      <c r="A789" s="3"/>
      <c r="C789" s="3"/>
      <c r="D789" s="3"/>
      <c r="E789" s="3"/>
      <c r="F789" s="3"/>
      <c r="G789" s="3"/>
      <c r="H789" s="3"/>
      <c r="S789" s="3"/>
      <c r="U789" s="3"/>
    </row>
    <row r="790">
      <c r="A790" s="3"/>
      <c r="C790" s="3"/>
      <c r="D790" s="3"/>
      <c r="E790" s="3"/>
      <c r="F790" s="3"/>
      <c r="G790" s="3"/>
      <c r="H790" s="3"/>
      <c r="S790" s="3"/>
      <c r="U790" s="3"/>
    </row>
    <row r="791">
      <c r="A791" s="3"/>
      <c r="C791" s="3"/>
      <c r="D791" s="3"/>
      <c r="E791" s="3"/>
      <c r="F791" s="3"/>
      <c r="G791" s="3"/>
      <c r="H791" s="3"/>
      <c r="S791" s="3"/>
      <c r="U791" s="3"/>
    </row>
    <row r="792">
      <c r="A792" s="3"/>
      <c r="C792" s="3"/>
      <c r="D792" s="3"/>
      <c r="E792" s="3"/>
      <c r="F792" s="3"/>
      <c r="G792" s="3"/>
      <c r="H792" s="3"/>
      <c r="S792" s="3"/>
      <c r="U792" s="3"/>
    </row>
    <row r="793">
      <c r="A793" s="3"/>
      <c r="C793" s="3"/>
      <c r="D793" s="3"/>
      <c r="E793" s="3"/>
      <c r="F793" s="3"/>
      <c r="G793" s="3"/>
      <c r="H793" s="3"/>
      <c r="S793" s="3"/>
      <c r="U793" s="3"/>
    </row>
    <row r="794">
      <c r="A794" s="3"/>
      <c r="C794" s="3"/>
      <c r="D794" s="3"/>
      <c r="E794" s="3"/>
      <c r="F794" s="3"/>
      <c r="G794" s="3"/>
      <c r="H794" s="3"/>
      <c r="S794" s="3"/>
      <c r="U794" s="3"/>
    </row>
    <row r="795">
      <c r="A795" s="3"/>
      <c r="C795" s="3"/>
      <c r="D795" s="3"/>
      <c r="E795" s="3"/>
      <c r="F795" s="3"/>
      <c r="G795" s="3"/>
      <c r="H795" s="3"/>
      <c r="S795" s="3"/>
      <c r="U795" s="3"/>
    </row>
    <row r="796">
      <c r="A796" s="3"/>
      <c r="C796" s="3"/>
      <c r="D796" s="3"/>
      <c r="E796" s="3"/>
      <c r="F796" s="3"/>
      <c r="G796" s="3"/>
      <c r="H796" s="3"/>
      <c r="S796" s="3"/>
      <c r="U796" s="3"/>
    </row>
    <row r="797">
      <c r="A797" s="3"/>
      <c r="C797" s="3"/>
      <c r="D797" s="3"/>
      <c r="E797" s="3"/>
      <c r="F797" s="3"/>
      <c r="G797" s="3"/>
      <c r="H797" s="3"/>
      <c r="S797" s="3"/>
      <c r="U797" s="3"/>
    </row>
    <row r="798">
      <c r="A798" s="3"/>
      <c r="C798" s="3"/>
      <c r="D798" s="3"/>
      <c r="E798" s="3"/>
      <c r="F798" s="3"/>
      <c r="G798" s="3"/>
      <c r="H798" s="3"/>
      <c r="S798" s="3"/>
      <c r="U798" s="3"/>
    </row>
    <row r="799">
      <c r="A799" s="3"/>
      <c r="C799" s="3"/>
      <c r="D799" s="3"/>
      <c r="E799" s="3"/>
      <c r="F799" s="3"/>
      <c r="G799" s="3"/>
      <c r="H799" s="3"/>
      <c r="S799" s="3"/>
      <c r="U799" s="3"/>
    </row>
    <row r="800">
      <c r="A800" s="3"/>
      <c r="C800" s="3"/>
      <c r="D800" s="3"/>
      <c r="E800" s="3"/>
      <c r="F800" s="3"/>
      <c r="G800" s="3"/>
      <c r="H800" s="3"/>
      <c r="S800" s="3"/>
      <c r="U800" s="3"/>
    </row>
    <row r="801">
      <c r="A801" s="3"/>
      <c r="C801" s="3"/>
      <c r="D801" s="3"/>
      <c r="E801" s="3"/>
      <c r="F801" s="3"/>
      <c r="G801" s="3"/>
      <c r="H801" s="3"/>
      <c r="S801" s="3"/>
      <c r="U801" s="3"/>
    </row>
    <row r="802">
      <c r="A802" s="3"/>
      <c r="C802" s="3"/>
      <c r="D802" s="3"/>
      <c r="E802" s="3"/>
      <c r="F802" s="3"/>
      <c r="G802" s="3"/>
      <c r="H802" s="3"/>
      <c r="S802" s="3"/>
      <c r="U802" s="3"/>
    </row>
    <row r="803">
      <c r="A803" s="3"/>
      <c r="C803" s="3"/>
      <c r="D803" s="3"/>
      <c r="E803" s="3"/>
      <c r="F803" s="3"/>
      <c r="G803" s="3"/>
      <c r="H803" s="3"/>
      <c r="S803" s="3"/>
      <c r="U803" s="3"/>
    </row>
    <row r="804">
      <c r="A804" s="3"/>
      <c r="C804" s="3"/>
      <c r="D804" s="3"/>
      <c r="E804" s="3"/>
      <c r="F804" s="3"/>
      <c r="G804" s="3"/>
      <c r="H804" s="3"/>
      <c r="S804" s="3"/>
      <c r="U804" s="3"/>
    </row>
    <row r="805">
      <c r="A805" s="3"/>
      <c r="C805" s="3"/>
      <c r="D805" s="3"/>
      <c r="E805" s="3"/>
      <c r="F805" s="3"/>
      <c r="G805" s="3"/>
      <c r="H805" s="3"/>
      <c r="S805" s="3"/>
      <c r="U805" s="3"/>
    </row>
    <row r="806">
      <c r="A806" s="3"/>
      <c r="C806" s="3"/>
      <c r="D806" s="3"/>
      <c r="E806" s="3"/>
      <c r="F806" s="3"/>
      <c r="G806" s="3"/>
      <c r="H806" s="3"/>
      <c r="S806" s="3"/>
      <c r="U806" s="3"/>
    </row>
    <row r="807">
      <c r="A807" s="3"/>
      <c r="C807" s="3"/>
      <c r="D807" s="3"/>
      <c r="E807" s="3"/>
      <c r="F807" s="3"/>
      <c r="G807" s="3"/>
      <c r="H807" s="3"/>
      <c r="S807" s="3"/>
      <c r="U807" s="3"/>
    </row>
    <row r="808">
      <c r="A808" s="3"/>
      <c r="C808" s="3"/>
      <c r="D808" s="3"/>
      <c r="E808" s="3"/>
      <c r="F808" s="3"/>
      <c r="G808" s="3"/>
      <c r="H808" s="3"/>
      <c r="S808" s="3"/>
      <c r="U808" s="3"/>
    </row>
    <row r="809">
      <c r="A809" s="3"/>
      <c r="C809" s="3"/>
      <c r="D809" s="3"/>
      <c r="E809" s="3"/>
      <c r="F809" s="3"/>
      <c r="G809" s="3"/>
      <c r="H809" s="3"/>
      <c r="S809" s="3"/>
      <c r="U809" s="3"/>
    </row>
    <row r="810">
      <c r="A810" s="3"/>
      <c r="C810" s="3"/>
      <c r="D810" s="3"/>
      <c r="E810" s="3"/>
      <c r="F810" s="3"/>
      <c r="G810" s="3"/>
      <c r="H810" s="3"/>
      <c r="S810" s="3"/>
      <c r="U810" s="3"/>
    </row>
    <row r="811">
      <c r="A811" s="3"/>
      <c r="C811" s="3"/>
      <c r="D811" s="3"/>
      <c r="E811" s="3"/>
      <c r="F811" s="3"/>
      <c r="G811" s="3"/>
      <c r="H811" s="3"/>
      <c r="S811" s="3"/>
      <c r="U811" s="3"/>
    </row>
    <row r="812">
      <c r="A812" s="3"/>
      <c r="C812" s="3"/>
      <c r="D812" s="3"/>
      <c r="E812" s="3"/>
      <c r="F812" s="3"/>
      <c r="G812" s="3"/>
      <c r="H812" s="3"/>
      <c r="S812" s="3"/>
      <c r="U812" s="3"/>
    </row>
    <row r="813">
      <c r="A813" s="3"/>
      <c r="C813" s="3"/>
      <c r="D813" s="3"/>
      <c r="E813" s="3"/>
      <c r="F813" s="3"/>
      <c r="G813" s="3"/>
      <c r="H813" s="3"/>
      <c r="S813" s="3"/>
      <c r="U813" s="3"/>
    </row>
    <row r="814">
      <c r="A814" s="3"/>
      <c r="C814" s="3"/>
      <c r="D814" s="3"/>
      <c r="E814" s="3"/>
      <c r="F814" s="3"/>
      <c r="G814" s="3"/>
      <c r="H814" s="3"/>
      <c r="S814" s="3"/>
      <c r="U814" s="3"/>
    </row>
    <row r="815">
      <c r="A815" s="3"/>
      <c r="C815" s="3"/>
      <c r="D815" s="3"/>
      <c r="E815" s="3"/>
      <c r="F815" s="3"/>
      <c r="G815" s="3"/>
      <c r="H815" s="3"/>
      <c r="S815" s="3"/>
      <c r="U815" s="3"/>
    </row>
    <row r="816">
      <c r="A816" s="3"/>
      <c r="C816" s="3"/>
      <c r="D816" s="3"/>
      <c r="E816" s="3"/>
      <c r="F816" s="3"/>
      <c r="G816" s="3"/>
      <c r="H816" s="3"/>
      <c r="S816" s="3"/>
      <c r="U816" s="3"/>
    </row>
    <row r="817">
      <c r="A817" s="3"/>
      <c r="C817" s="3"/>
      <c r="D817" s="3"/>
      <c r="E817" s="3"/>
      <c r="F817" s="3"/>
      <c r="G817" s="3"/>
      <c r="H817" s="3"/>
      <c r="S817" s="3"/>
      <c r="U817" s="3"/>
    </row>
    <row r="818">
      <c r="A818" s="3"/>
      <c r="C818" s="3"/>
      <c r="D818" s="3"/>
      <c r="E818" s="3"/>
      <c r="F818" s="3"/>
      <c r="G818" s="3"/>
      <c r="H818" s="3"/>
      <c r="S818" s="3"/>
      <c r="U818" s="3"/>
    </row>
    <row r="819">
      <c r="A819" s="3"/>
      <c r="C819" s="3"/>
      <c r="D819" s="3"/>
      <c r="E819" s="3"/>
      <c r="F819" s="3"/>
      <c r="G819" s="3"/>
      <c r="H819" s="3"/>
      <c r="S819" s="3"/>
      <c r="U819" s="3"/>
    </row>
    <row r="820">
      <c r="A820" s="3"/>
      <c r="C820" s="3"/>
      <c r="D820" s="3"/>
      <c r="E820" s="3"/>
      <c r="F820" s="3"/>
      <c r="G820" s="3"/>
      <c r="H820" s="3"/>
      <c r="S820" s="3"/>
      <c r="U820" s="3"/>
    </row>
    <row r="821">
      <c r="A821" s="3"/>
      <c r="C821" s="3"/>
      <c r="D821" s="3"/>
      <c r="E821" s="3"/>
      <c r="F821" s="3"/>
      <c r="G821" s="3"/>
      <c r="H821" s="3"/>
      <c r="S821" s="3"/>
      <c r="U821" s="3"/>
    </row>
    <row r="822">
      <c r="A822" s="3"/>
      <c r="C822" s="3"/>
      <c r="D822" s="3"/>
      <c r="E822" s="3"/>
      <c r="F822" s="3"/>
      <c r="G822" s="3"/>
      <c r="H822" s="3"/>
      <c r="S822" s="3"/>
      <c r="U822" s="3"/>
    </row>
    <row r="823">
      <c r="A823" s="3"/>
      <c r="C823" s="3"/>
      <c r="D823" s="3"/>
      <c r="E823" s="3"/>
      <c r="F823" s="3"/>
      <c r="G823" s="3"/>
      <c r="H823" s="3"/>
      <c r="S823" s="3"/>
      <c r="U823" s="3"/>
    </row>
    <row r="824">
      <c r="A824" s="3"/>
      <c r="C824" s="3"/>
      <c r="D824" s="3"/>
      <c r="E824" s="3"/>
      <c r="F824" s="3"/>
      <c r="G824" s="3"/>
      <c r="H824" s="3"/>
      <c r="S824" s="3"/>
      <c r="U824" s="3"/>
    </row>
    <row r="825">
      <c r="A825" s="3"/>
      <c r="C825" s="3"/>
      <c r="D825" s="3"/>
      <c r="E825" s="3"/>
      <c r="F825" s="3"/>
      <c r="G825" s="3"/>
      <c r="H825" s="3"/>
      <c r="S825" s="3"/>
      <c r="U825" s="3"/>
    </row>
    <row r="826">
      <c r="A826" s="3"/>
      <c r="C826" s="3"/>
      <c r="D826" s="3"/>
      <c r="E826" s="3"/>
      <c r="F826" s="3"/>
      <c r="G826" s="3"/>
      <c r="H826" s="3"/>
      <c r="S826" s="3"/>
      <c r="U826" s="3"/>
    </row>
    <row r="827">
      <c r="A827" s="3"/>
      <c r="C827" s="3"/>
      <c r="D827" s="3"/>
      <c r="E827" s="3"/>
      <c r="F827" s="3"/>
      <c r="G827" s="3"/>
      <c r="H827" s="3"/>
      <c r="S827" s="3"/>
      <c r="U827" s="3"/>
    </row>
    <row r="828">
      <c r="A828" s="3"/>
      <c r="C828" s="3"/>
      <c r="D828" s="3"/>
      <c r="E828" s="3"/>
      <c r="F828" s="3"/>
      <c r="G828" s="3"/>
      <c r="H828" s="3"/>
      <c r="S828" s="3"/>
      <c r="U828" s="3"/>
    </row>
    <row r="829">
      <c r="A829" s="3"/>
      <c r="C829" s="3"/>
      <c r="D829" s="3"/>
      <c r="E829" s="3"/>
      <c r="F829" s="3"/>
      <c r="G829" s="3"/>
      <c r="H829" s="3"/>
      <c r="S829" s="3"/>
      <c r="U829" s="3"/>
    </row>
    <row r="830">
      <c r="A830" s="3"/>
      <c r="C830" s="3"/>
      <c r="D830" s="3"/>
      <c r="E830" s="3"/>
      <c r="F830" s="3"/>
      <c r="G830" s="3"/>
      <c r="H830" s="3"/>
      <c r="S830" s="3"/>
      <c r="U830" s="3"/>
    </row>
    <row r="831">
      <c r="A831" s="3"/>
      <c r="C831" s="3"/>
      <c r="D831" s="3"/>
      <c r="E831" s="3"/>
      <c r="F831" s="3"/>
      <c r="G831" s="3"/>
      <c r="H831" s="3"/>
      <c r="S831" s="3"/>
      <c r="U831" s="3"/>
    </row>
    <row r="832">
      <c r="A832" s="3"/>
      <c r="C832" s="3"/>
      <c r="D832" s="3"/>
      <c r="E832" s="3"/>
      <c r="F832" s="3"/>
      <c r="G832" s="3"/>
      <c r="H832" s="3"/>
      <c r="S832" s="3"/>
      <c r="U832" s="3"/>
    </row>
    <row r="833">
      <c r="A833" s="3"/>
      <c r="C833" s="3"/>
      <c r="D833" s="3"/>
      <c r="E833" s="3"/>
      <c r="F833" s="3"/>
      <c r="G833" s="3"/>
      <c r="H833" s="3"/>
      <c r="S833" s="3"/>
      <c r="U833" s="3"/>
    </row>
    <row r="834">
      <c r="A834" s="3"/>
      <c r="C834" s="3"/>
      <c r="D834" s="3"/>
      <c r="E834" s="3"/>
      <c r="F834" s="3"/>
      <c r="G834" s="3"/>
      <c r="H834" s="3"/>
      <c r="S834" s="3"/>
      <c r="U834" s="3"/>
    </row>
    <row r="835">
      <c r="A835" s="3"/>
      <c r="C835" s="3"/>
      <c r="D835" s="3"/>
      <c r="E835" s="3"/>
      <c r="F835" s="3"/>
      <c r="G835" s="3"/>
      <c r="H835" s="3"/>
      <c r="S835" s="3"/>
      <c r="U835" s="3"/>
    </row>
    <row r="836">
      <c r="A836" s="3"/>
      <c r="C836" s="3"/>
      <c r="D836" s="3"/>
      <c r="E836" s="3"/>
      <c r="F836" s="3"/>
      <c r="G836" s="3"/>
      <c r="H836" s="3"/>
      <c r="S836" s="3"/>
      <c r="U836" s="3"/>
    </row>
    <row r="837">
      <c r="A837" s="3"/>
      <c r="C837" s="3"/>
      <c r="D837" s="3"/>
      <c r="E837" s="3"/>
      <c r="F837" s="3"/>
      <c r="G837" s="3"/>
      <c r="H837" s="3"/>
      <c r="S837" s="3"/>
      <c r="U837" s="3"/>
    </row>
    <row r="838">
      <c r="A838" s="3"/>
      <c r="C838" s="3"/>
      <c r="D838" s="3"/>
      <c r="E838" s="3"/>
      <c r="F838" s="3"/>
      <c r="G838" s="3"/>
      <c r="H838" s="3"/>
      <c r="S838" s="3"/>
      <c r="U838" s="3"/>
    </row>
    <row r="839">
      <c r="A839" s="3"/>
      <c r="C839" s="3"/>
      <c r="D839" s="3"/>
      <c r="E839" s="3"/>
      <c r="F839" s="3"/>
      <c r="G839" s="3"/>
      <c r="H839" s="3"/>
      <c r="S839" s="3"/>
      <c r="U839" s="3"/>
    </row>
    <row r="840">
      <c r="A840" s="3"/>
      <c r="C840" s="3"/>
      <c r="D840" s="3"/>
      <c r="E840" s="3"/>
      <c r="F840" s="3"/>
      <c r="G840" s="3"/>
      <c r="H840" s="3"/>
      <c r="S840" s="3"/>
      <c r="U840" s="3"/>
    </row>
    <row r="841">
      <c r="A841" s="3"/>
      <c r="C841" s="3"/>
      <c r="D841" s="3"/>
      <c r="E841" s="3"/>
      <c r="F841" s="3"/>
      <c r="G841" s="3"/>
      <c r="H841" s="3"/>
      <c r="S841" s="3"/>
      <c r="U841" s="3"/>
    </row>
    <row r="842">
      <c r="A842" s="3"/>
      <c r="C842" s="3"/>
      <c r="D842" s="3"/>
      <c r="E842" s="3"/>
      <c r="F842" s="3"/>
      <c r="G842" s="3"/>
      <c r="H842" s="3"/>
      <c r="S842" s="3"/>
      <c r="U842" s="3"/>
    </row>
    <row r="843">
      <c r="A843" s="3"/>
      <c r="C843" s="3"/>
      <c r="D843" s="3"/>
      <c r="E843" s="3"/>
      <c r="F843" s="3"/>
      <c r="G843" s="3"/>
      <c r="H843" s="3"/>
      <c r="S843" s="3"/>
      <c r="U843" s="3"/>
    </row>
    <row r="844">
      <c r="A844" s="3"/>
      <c r="C844" s="3"/>
      <c r="D844" s="3"/>
      <c r="E844" s="3"/>
      <c r="F844" s="3"/>
      <c r="G844" s="3"/>
      <c r="H844" s="3"/>
      <c r="S844" s="3"/>
      <c r="U844" s="3"/>
    </row>
    <row r="845">
      <c r="A845" s="3"/>
      <c r="C845" s="3"/>
      <c r="D845" s="3"/>
      <c r="E845" s="3"/>
      <c r="F845" s="3"/>
      <c r="G845" s="3"/>
      <c r="H845" s="3"/>
      <c r="S845" s="3"/>
      <c r="U845" s="3"/>
    </row>
    <row r="846">
      <c r="A846" s="3"/>
      <c r="C846" s="3"/>
      <c r="D846" s="3"/>
      <c r="E846" s="3"/>
      <c r="F846" s="3"/>
      <c r="G846" s="3"/>
      <c r="H846" s="3"/>
      <c r="S846" s="3"/>
      <c r="U846" s="3"/>
    </row>
    <row r="847">
      <c r="A847" s="3"/>
      <c r="C847" s="3"/>
      <c r="D847" s="3"/>
      <c r="E847" s="3"/>
      <c r="F847" s="3"/>
      <c r="G847" s="3"/>
      <c r="H847" s="3"/>
      <c r="S847" s="3"/>
      <c r="U847" s="3"/>
    </row>
    <row r="848">
      <c r="A848" s="3"/>
      <c r="C848" s="3"/>
      <c r="D848" s="3"/>
      <c r="E848" s="3"/>
      <c r="F848" s="3"/>
      <c r="G848" s="3"/>
      <c r="H848" s="3"/>
      <c r="S848" s="3"/>
      <c r="U848" s="3"/>
    </row>
    <row r="849">
      <c r="A849" s="3"/>
      <c r="C849" s="3"/>
      <c r="D849" s="3"/>
      <c r="E849" s="3"/>
      <c r="F849" s="3"/>
      <c r="G849" s="3"/>
      <c r="H849" s="3"/>
      <c r="S849" s="3"/>
      <c r="U849" s="3"/>
    </row>
    <row r="850">
      <c r="A850" s="3"/>
      <c r="C850" s="3"/>
      <c r="D850" s="3"/>
      <c r="E850" s="3"/>
      <c r="F850" s="3"/>
      <c r="G850" s="3"/>
      <c r="H850" s="3"/>
      <c r="S850" s="3"/>
      <c r="U850" s="3"/>
    </row>
    <row r="851">
      <c r="A851" s="3"/>
      <c r="C851" s="3"/>
      <c r="D851" s="3"/>
      <c r="E851" s="3"/>
      <c r="F851" s="3"/>
      <c r="G851" s="3"/>
      <c r="H851" s="3"/>
      <c r="S851" s="3"/>
      <c r="U851" s="3"/>
    </row>
    <row r="852">
      <c r="A852" s="3"/>
      <c r="C852" s="3"/>
      <c r="D852" s="3"/>
      <c r="E852" s="3"/>
      <c r="F852" s="3"/>
      <c r="G852" s="3"/>
      <c r="H852" s="3"/>
      <c r="S852" s="3"/>
      <c r="U852" s="3"/>
    </row>
    <row r="853">
      <c r="A853" s="3"/>
      <c r="C853" s="3"/>
      <c r="D853" s="3"/>
      <c r="E853" s="3"/>
      <c r="F853" s="3"/>
      <c r="G853" s="3"/>
      <c r="H853" s="3"/>
      <c r="S853" s="3"/>
      <c r="U853" s="3"/>
    </row>
    <row r="854">
      <c r="A854" s="3"/>
      <c r="C854" s="3"/>
      <c r="D854" s="3"/>
      <c r="E854" s="3"/>
      <c r="F854" s="3"/>
      <c r="G854" s="3"/>
      <c r="H854" s="3"/>
      <c r="S854" s="3"/>
      <c r="U854" s="3"/>
    </row>
    <row r="855">
      <c r="A855" s="3"/>
      <c r="C855" s="3"/>
      <c r="D855" s="3"/>
      <c r="E855" s="3"/>
      <c r="F855" s="3"/>
      <c r="G855" s="3"/>
      <c r="H855" s="3"/>
      <c r="S855" s="3"/>
      <c r="U855" s="3"/>
    </row>
    <row r="856">
      <c r="A856" s="3"/>
      <c r="C856" s="3"/>
      <c r="D856" s="3"/>
      <c r="E856" s="3"/>
      <c r="F856" s="3"/>
      <c r="G856" s="3"/>
      <c r="H856" s="3"/>
      <c r="S856" s="3"/>
      <c r="U856" s="3"/>
    </row>
    <row r="857">
      <c r="A857" s="3"/>
      <c r="C857" s="3"/>
      <c r="D857" s="3"/>
      <c r="E857" s="3"/>
      <c r="F857" s="3"/>
      <c r="G857" s="3"/>
      <c r="H857" s="3"/>
      <c r="S857" s="3"/>
      <c r="U857" s="3"/>
    </row>
    <row r="858">
      <c r="A858" s="3"/>
      <c r="C858" s="3"/>
      <c r="D858" s="3"/>
      <c r="E858" s="3"/>
      <c r="F858" s="3"/>
      <c r="G858" s="3"/>
      <c r="H858" s="3"/>
      <c r="S858" s="3"/>
      <c r="U858" s="3"/>
    </row>
    <row r="859">
      <c r="A859" s="3"/>
      <c r="C859" s="3"/>
      <c r="D859" s="3"/>
      <c r="E859" s="3"/>
      <c r="F859" s="3"/>
      <c r="G859" s="3"/>
      <c r="H859" s="3"/>
      <c r="S859" s="3"/>
      <c r="U859" s="3"/>
    </row>
    <row r="860">
      <c r="A860" s="3"/>
      <c r="C860" s="3"/>
      <c r="D860" s="3"/>
      <c r="E860" s="3"/>
      <c r="F860" s="3"/>
      <c r="G860" s="3"/>
      <c r="H860" s="3"/>
      <c r="S860" s="3"/>
      <c r="U860" s="3"/>
    </row>
    <row r="861">
      <c r="A861" s="3"/>
      <c r="C861" s="3"/>
      <c r="D861" s="3"/>
      <c r="E861" s="3"/>
      <c r="F861" s="3"/>
      <c r="G861" s="3"/>
      <c r="H861" s="3"/>
      <c r="S861" s="3"/>
      <c r="U861" s="3"/>
    </row>
    <row r="862">
      <c r="A862" s="3"/>
      <c r="C862" s="3"/>
      <c r="D862" s="3"/>
      <c r="E862" s="3"/>
      <c r="F862" s="3"/>
      <c r="G862" s="3"/>
      <c r="H862" s="3"/>
      <c r="S862" s="3"/>
      <c r="U862" s="3"/>
    </row>
    <row r="863">
      <c r="A863" s="3"/>
      <c r="C863" s="3"/>
      <c r="D863" s="3"/>
      <c r="E863" s="3"/>
      <c r="F863" s="3"/>
      <c r="G863" s="3"/>
      <c r="H863" s="3"/>
      <c r="S863" s="3"/>
      <c r="U863" s="3"/>
    </row>
    <row r="864">
      <c r="A864" s="3"/>
      <c r="C864" s="3"/>
      <c r="D864" s="3"/>
      <c r="E864" s="3"/>
      <c r="F864" s="3"/>
      <c r="G864" s="3"/>
      <c r="H864" s="3"/>
      <c r="S864" s="3"/>
      <c r="U864" s="3"/>
    </row>
    <row r="865">
      <c r="A865" s="3"/>
      <c r="C865" s="3"/>
      <c r="D865" s="3"/>
      <c r="E865" s="3"/>
      <c r="F865" s="3"/>
      <c r="G865" s="3"/>
      <c r="H865" s="3"/>
      <c r="S865" s="3"/>
      <c r="U865" s="3"/>
    </row>
    <row r="866">
      <c r="A866" s="3"/>
      <c r="C866" s="3"/>
      <c r="D866" s="3"/>
      <c r="E866" s="3"/>
      <c r="F866" s="3"/>
      <c r="G866" s="3"/>
      <c r="H866" s="3"/>
      <c r="S866" s="3"/>
      <c r="U866" s="3"/>
    </row>
    <row r="867">
      <c r="A867" s="3"/>
      <c r="C867" s="3"/>
      <c r="D867" s="3"/>
      <c r="E867" s="3"/>
      <c r="F867" s="3"/>
      <c r="G867" s="3"/>
      <c r="H867" s="3"/>
      <c r="S867" s="3"/>
      <c r="U867" s="3"/>
    </row>
    <row r="868">
      <c r="A868" s="3"/>
      <c r="C868" s="3"/>
      <c r="D868" s="3"/>
      <c r="E868" s="3"/>
      <c r="F868" s="3"/>
      <c r="G868" s="3"/>
      <c r="H868" s="3"/>
      <c r="S868" s="3"/>
      <c r="U868" s="3"/>
    </row>
    <row r="869">
      <c r="A869" s="3"/>
      <c r="C869" s="3"/>
      <c r="D869" s="3"/>
      <c r="E869" s="3"/>
      <c r="F869" s="3"/>
      <c r="G869" s="3"/>
      <c r="H869" s="3"/>
      <c r="S869" s="3"/>
      <c r="U869" s="3"/>
    </row>
    <row r="870">
      <c r="A870" s="3"/>
      <c r="C870" s="3"/>
      <c r="D870" s="3"/>
      <c r="E870" s="3"/>
      <c r="F870" s="3"/>
      <c r="G870" s="3"/>
      <c r="H870" s="3"/>
      <c r="S870" s="3"/>
      <c r="U870" s="3"/>
    </row>
    <row r="871">
      <c r="A871" s="3"/>
      <c r="C871" s="3"/>
      <c r="D871" s="3"/>
      <c r="E871" s="3"/>
      <c r="F871" s="3"/>
      <c r="G871" s="3"/>
      <c r="H871" s="3"/>
      <c r="S871" s="3"/>
      <c r="U871" s="3"/>
    </row>
    <row r="872">
      <c r="A872" s="3"/>
      <c r="C872" s="3"/>
      <c r="D872" s="3"/>
      <c r="E872" s="3"/>
      <c r="F872" s="3"/>
      <c r="G872" s="3"/>
      <c r="H872" s="3"/>
      <c r="S872" s="3"/>
      <c r="U872" s="3"/>
    </row>
    <row r="873">
      <c r="A873" s="3"/>
      <c r="C873" s="3"/>
      <c r="D873" s="3"/>
      <c r="E873" s="3"/>
      <c r="F873" s="3"/>
      <c r="G873" s="3"/>
      <c r="H873" s="3"/>
      <c r="S873" s="3"/>
      <c r="U873" s="3"/>
    </row>
    <row r="874">
      <c r="A874" s="3"/>
      <c r="C874" s="3"/>
      <c r="D874" s="3"/>
      <c r="E874" s="3"/>
      <c r="F874" s="3"/>
      <c r="G874" s="3"/>
      <c r="H874" s="3"/>
      <c r="S874" s="3"/>
      <c r="U874" s="3"/>
    </row>
    <row r="875">
      <c r="A875" s="3"/>
      <c r="C875" s="3"/>
      <c r="D875" s="3"/>
      <c r="E875" s="3"/>
      <c r="F875" s="3"/>
      <c r="G875" s="3"/>
      <c r="H875" s="3"/>
      <c r="S875" s="3"/>
      <c r="U875" s="3"/>
    </row>
    <row r="876">
      <c r="A876" s="3"/>
      <c r="C876" s="3"/>
      <c r="D876" s="3"/>
      <c r="E876" s="3"/>
      <c r="F876" s="3"/>
      <c r="G876" s="3"/>
      <c r="H876" s="3"/>
      <c r="S876" s="3"/>
      <c r="U876" s="3"/>
    </row>
    <row r="877">
      <c r="A877" s="3"/>
      <c r="C877" s="3"/>
      <c r="D877" s="3"/>
      <c r="E877" s="3"/>
      <c r="F877" s="3"/>
      <c r="G877" s="3"/>
      <c r="H877" s="3"/>
      <c r="S877" s="3"/>
      <c r="U877" s="3"/>
    </row>
    <row r="878">
      <c r="A878" s="3"/>
      <c r="C878" s="3"/>
      <c r="D878" s="3"/>
      <c r="E878" s="3"/>
      <c r="F878" s="3"/>
      <c r="G878" s="3"/>
      <c r="H878" s="3"/>
      <c r="S878" s="3"/>
      <c r="U878" s="3"/>
    </row>
    <row r="879">
      <c r="A879" s="3"/>
      <c r="C879" s="3"/>
      <c r="D879" s="3"/>
      <c r="E879" s="3"/>
      <c r="F879" s="3"/>
      <c r="G879" s="3"/>
      <c r="H879" s="3"/>
      <c r="S879" s="3"/>
      <c r="U879" s="3"/>
    </row>
    <row r="880">
      <c r="A880" s="3"/>
      <c r="C880" s="3"/>
      <c r="D880" s="3"/>
      <c r="E880" s="3"/>
      <c r="F880" s="3"/>
      <c r="G880" s="3"/>
      <c r="H880" s="3"/>
      <c r="S880" s="3"/>
      <c r="U880" s="3"/>
    </row>
    <row r="881">
      <c r="A881" s="3"/>
      <c r="C881" s="3"/>
      <c r="D881" s="3"/>
      <c r="E881" s="3"/>
      <c r="F881" s="3"/>
      <c r="G881" s="3"/>
      <c r="H881" s="3"/>
      <c r="S881" s="3"/>
      <c r="U881" s="3"/>
    </row>
    <row r="882">
      <c r="A882" s="3"/>
      <c r="C882" s="3"/>
      <c r="D882" s="3"/>
      <c r="E882" s="3"/>
      <c r="F882" s="3"/>
      <c r="G882" s="3"/>
      <c r="H882" s="3"/>
      <c r="S882" s="3"/>
      <c r="U882" s="3"/>
    </row>
    <row r="883">
      <c r="A883" s="3"/>
      <c r="C883" s="3"/>
      <c r="D883" s="3"/>
      <c r="E883" s="3"/>
      <c r="F883" s="3"/>
      <c r="G883" s="3"/>
      <c r="H883" s="3"/>
      <c r="S883" s="3"/>
      <c r="U883" s="3"/>
    </row>
    <row r="884">
      <c r="A884" s="3"/>
      <c r="C884" s="3"/>
      <c r="D884" s="3"/>
      <c r="E884" s="3"/>
      <c r="F884" s="3"/>
      <c r="G884" s="3"/>
      <c r="H884" s="3"/>
      <c r="S884" s="3"/>
      <c r="U884" s="3"/>
    </row>
    <row r="885">
      <c r="A885" s="3"/>
      <c r="C885" s="3"/>
      <c r="D885" s="3"/>
      <c r="E885" s="3"/>
      <c r="F885" s="3"/>
      <c r="G885" s="3"/>
      <c r="H885" s="3"/>
      <c r="S885" s="3"/>
      <c r="U885" s="3"/>
    </row>
    <row r="886">
      <c r="A886" s="3"/>
      <c r="C886" s="3"/>
      <c r="D886" s="3"/>
      <c r="E886" s="3"/>
      <c r="F886" s="3"/>
      <c r="G886" s="3"/>
      <c r="H886" s="3"/>
      <c r="S886" s="3"/>
      <c r="U886" s="3"/>
    </row>
    <row r="887">
      <c r="A887" s="3"/>
      <c r="C887" s="3"/>
      <c r="D887" s="3"/>
      <c r="E887" s="3"/>
      <c r="F887" s="3"/>
      <c r="G887" s="3"/>
      <c r="H887" s="3"/>
      <c r="S887" s="3"/>
      <c r="U887" s="3"/>
    </row>
    <row r="888">
      <c r="A888" s="3"/>
      <c r="C888" s="3"/>
      <c r="D888" s="3"/>
      <c r="E888" s="3"/>
      <c r="F888" s="3"/>
      <c r="G888" s="3"/>
      <c r="H888" s="3"/>
      <c r="S888" s="3"/>
      <c r="U888" s="3"/>
    </row>
    <row r="889">
      <c r="A889" s="3"/>
      <c r="C889" s="3"/>
      <c r="D889" s="3"/>
      <c r="E889" s="3"/>
      <c r="F889" s="3"/>
      <c r="G889" s="3"/>
      <c r="H889" s="3"/>
      <c r="S889" s="3"/>
      <c r="U889" s="3"/>
    </row>
    <row r="890">
      <c r="A890" s="3"/>
      <c r="C890" s="3"/>
      <c r="D890" s="3"/>
      <c r="E890" s="3"/>
      <c r="F890" s="3"/>
      <c r="G890" s="3"/>
      <c r="H890" s="3"/>
      <c r="S890" s="3"/>
      <c r="U890" s="3"/>
    </row>
    <row r="891">
      <c r="A891" s="3"/>
      <c r="C891" s="3"/>
      <c r="D891" s="3"/>
      <c r="E891" s="3"/>
      <c r="F891" s="3"/>
      <c r="G891" s="3"/>
      <c r="H891" s="3"/>
      <c r="S891" s="3"/>
      <c r="U891" s="3"/>
    </row>
    <row r="892">
      <c r="A892" s="3"/>
      <c r="C892" s="3"/>
      <c r="D892" s="3"/>
      <c r="E892" s="3"/>
      <c r="F892" s="3"/>
      <c r="G892" s="3"/>
      <c r="H892" s="3"/>
      <c r="S892" s="3"/>
      <c r="U892" s="3"/>
    </row>
    <row r="893">
      <c r="A893" s="3"/>
      <c r="C893" s="3"/>
      <c r="D893" s="3"/>
      <c r="E893" s="3"/>
      <c r="F893" s="3"/>
      <c r="G893" s="3"/>
      <c r="H893" s="3"/>
      <c r="S893" s="3"/>
      <c r="U893" s="3"/>
    </row>
    <row r="894">
      <c r="A894" s="3"/>
      <c r="C894" s="3"/>
      <c r="D894" s="3"/>
      <c r="E894" s="3"/>
      <c r="F894" s="3"/>
      <c r="G894" s="3"/>
      <c r="H894" s="3"/>
      <c r="S894" s="3"/>
      <c r="U894" s="3"/>
    </row>
    <row r="895">
      <c r="A895" s="3"/>
      <c r="C895" s="3"/>
      <c r="D895" s="3"/>
      <c r="E895" s="3"/>
      <c r="F895" s="3"/>
      <c r="G895" s="3"/>
      <c r="H895" s="3"/>
      <c r="S895" s="3"/>
      <c r="U895" s="3"/>
    </row>
    <row r="896">
      <c r="A896" s="3"/>
      <c r="C896" s="3"/>
      <c r="D896" s="3"/>
      <c r="E896" s="3"/>
      <c r="F896" s="3"/>
      <c r="G896" s="3"/>
      <c r="H896" s="3"/>
      <c r="S896" s="3"/>
      <c r="U896" s="3"/>
    </row>
    <row r="897">
      <c r="A897" s="3"/>
      <c r="C897" s="3"/>
      <c r="D897" s="3"/>
      <c r="E897" s="3"/>
      <c r="F897" s="3"/>
      <c r="G897" s="3"/>
      <c r="H897" s="3"/>
      <c r="S897" s="3"/>
      <c r="U897" s="3"/>
    </row>
    <row r="898">
      <c r="A898" s="3"/>
      <c r="C898" s="3"/>
      <c r="D898" s="3"/>
      <c r="E898" s="3"/>
      <c r="F898" s="3"/>
      <c r="G898" s="3"/>
      <c r="H898" s="3"/>
      <c r="S898" s="3"/>
      <c r="U898" s="3"/>
    </row>
    <row r="899">
      <c r="A899" s="3"/>
      <c r="C899" s="3"/>
      <c r="D899" s="3"/>
      <c r="E899" s="3"/>
      <c r="F899" s="3"/>
      <c r="G899" s="3"/>
      <c r="H899" s="3"/>
      <c r="S899" s="3"/>
      <c r="U899" s="3"/>
    </row>
    <row r="900">
      <c r="A900" s="3"/>
      <c r="C900" s="3"/>
      <c r="D900" s="3"/>
      <c r="E900" s="3"/>
      <c r="F900" s="3"/>
      <c r="G900" s="3"/>
      <c r="H900" s="3"/>
      <c r="S900" s="3"/>
      <c r="U900" s="3"/>
    </row>
    <row r="901">
      <c r="A901" s="3"/>
      <c r="C901" s="3"/>
      <c r="D901" s="3"/>
      <c r="E901" s="3"/>
      <c r="F901" s="3"/>
      <c r="G901" s="3"/>
      <c r="H901" s="3"/>
      <c r="S901" s="3"/>
      <c r="U901" s="3"/>
    </row>
    <row r="902">
      <c r="A902" s="3"/>
      <c r="C902" s="3"/>
      <c r="D902" s="3"/>
      <c r="E902" s="3"/>
      <c r="F902" s="3"/>
      <c r="G902" s="3"/>
      <c r="H902" s="3"/>
      <c r="S902" s="3"/>
      <c r="U902" s="3"/>
    </row>
    <row r="903">
      <c r="A903" s="3"/>
      <c r="C903" s="3"/>
      <c r="D903" s="3"/>
      <c r="E903" s="3"/>
      <c r="F903" s="3"/>
      <c r="G903" s="3"/>
      <c r="H903" s="3"/>
      <c r="S903" s="3"/>
      <c r="U903" s="3"/>
    </row>
    <row r="904">
      <c r="A904" s="3"/>
      <c r="C904" s="3"/>
      <c r="D904" s="3"/>
      <c r="E904" s="3"/>
      <c r="F904" s="3"/>
      <c r="G904" s="3"/>
      <c r="H904" s="3"/>
      <c r="S904" s="3"/>
      <c r="U904" s="3"/>
    </row>
    <row r="905">
      <c r="A905" s="3"/>
      <c r="C905" s="3"/>
      <c r="D905" s="3"/>
      <c r="E905" s="3"/>
      <c r="F905" s="3"/>
      <c r="G905" s="3"/>
      <c r="H905" s="3"/>
      <c r="S905" s="3"/>
      <c r="U905" s="3"/>
    </row>
    <row r="906">
      <c r="A906" s="3"/>
      <c r="C906" s="3"/>
      <c r="D906" s="3"/>
      <c r="E906" s="3"/>
      <c r="F906" s="3"/>
      <c r="G906" s="3"/>
      <c r="H906" s="3"/>
      <c r="S906" s="3"/>
      <c r="U906" s="3"/>
    </row>
    <row r="907">
      <c r="A907" s="3"/>
      <c r="C907" s="3"/>
      <c r="D907" s="3"/>
      <c r="E907" s="3"/>
      <c r="F907" s="3"/>
      <c r="G907" s="3"/>
      <c r="H907" s="3"/>
      <c r="S907" s="3"/>
      <c r="U907" s="3"/>
    </row>
    <row r="908">
      <c r="A908" s="3"/>
      <c r="C908" s="3"/>
      <c r="D908" s="3"/>
      <c r="E908" s="3"/>
      <c r="F908" s="3"/>
      <c r="G908" s="3"/>
      <c r="H908" s="3"/>
      <c r="S908" s="3"/>
      <c r="U908" s="3"/>
    </row>
    <row r="909">
      <c r="A909" s="3"/>
      <c r="C909" s="3"/>
      <c r="D909" s="3"/>
      <c r="E909" s="3"/>
      <c r="F909" s="3"/>
      <c r="G909" s="3"/>
      <c r="H909" s="3"/>
      <c r="S909" s="3"/>
      <c r="U909" s="3"/>
    </row>
    <row r="910">
      <c r="A910" s="3"/>
      <c r="C910" s="3"/>
      <c r="D910" s="3"/>
      <c r="E910" s="3"/>
      <c r="F910" s="3"/>
      <c r="G910" s="3"/>
      <c r="H910" s="3"/>
      <c r="S910" s="3"/>
      <c r="U910" s="3"/>
    </row>
    <row r="911">
      <c r="A911" s="3"/>
      <c r="C911" s="3"/>
      <c r="D911" s="3"/>
      <c r="E911" s="3"/>
      <c r="F911" s="3"/>
      <c r="G911" s="3"/>
      <c r="H911" s="3"/>
      <c r="S911" s="3"/>
      <c r="U911" s="3"/>
    </row>
    <row r="912">
      <c r="A912" s="3"/>
      <c r="C912" s="3"/>
      <c r="D912" s="3"/>
      <c r="E912" s="3"/>
      <c r="F912" s="3"/>
      <c r="G912" s="3"/>
      <c r="H912" s="3"/>
      <c r="S912" s="3"/>
      <c r="U912" s="3"/>
    </row>
    <row r="913">
      <c r="A913" s="3"/>
      <c r="C913" s="3"/>
      <c r="D913" s="3"/>
      <c r="E913" s="3"/>
      <c r="F913" s="3"/>
      <c r="G913" s="3"/>
      <c r="H913" s="3"/>
      <c r="S913" s="3"/>
      <c r="U913" s="3"/>
    </row>
    <row r="914">
      <c r="A914" s="3"/>
      <c r="C914" s="3"/>
      <c r="D914" s="3"/>
      <c r="E914" s="3"/>
      <c r="F914" s="3"/>
      <c r="G914" s="3"/>
      <c r="H914" s="3"/>
      <c r="S914" s="3"/>
      <c r="U914" s="3"/>
    </row>
    <row r="915">
      <c r="A915" s="3"/>
      <c r="C915" s="3"/>
      <c r="D915" s="3"/>
      <c r="E915" s="3"/>
      <c r="F915" s="3"/>
      <c r="G915" s="3"/>
      <c r="H915" s="3"/>
      <c r="S915" s="3"/>
      <c r="U915" s="3"/>
    </row>
    <row r="916">
      <c r="A916" s="3"/>
      <c r="C916" s="3"/>
      <c r="D916" s="3"/>
      <c r="E916" s="3"/>
      <c r="F916" s="3"/>
      <c r="G916" s="3"/>
      <c r="H916" s="3"/>
      <c r="S916" s="3"/>
      <c r="U916" s="3"/>
    </row>
    <row r="917">
      <c r="A917" s="3"/>
      <c r="C917" s="3"/>
      <c r="D917" s="3"/>
      <c r="E917" s="3"/>
      <c r="F917" s="3"/>
      <c r="G917" s="3"/>
      <c r="H917" s="3"/>
      <c r="S917" s="3"/>
      <c r="U917" s="3"/>
    </row>
    <row r="918">
      <c r="A918" s="3"/>
      <c r="C918" s="3"/>
      <c r="D918" s="3"/>
      <c r="E918" s="3"/>
      <c r="F918" s="3"/>
      <c r="G918" s="3"/>
      <c r="H918" s="3"/>
      <c r="S918" s="3"/>
      <c r="U918" s="3"/>
    </row>
    <row r="919">
      <c r="A919" s="3"/>
      <c r="C919" s="3"/>
      <c r="D919" s="3"/>
      <c r="E919" s="3"/>
      <c r="F919" s="3"/>
      <c r="G919" s="3"/>
      <c r="H919" s="3"/>
      <c r="S919" s="3"/>
      <c r="U919" s="3"/>
    </row>
    <row r="920">
      <c r="A920" s="3"/>
      <c r="C920" s="3"/>
      <c r="D920" s="3"/>
      <c r="E920" s="3"/>
      <c r="F920" s="3"/>
      <c r="G920" s="3"/>
      <c r="H920" s="3"/>
      <c r="S920" s="3"/>
      <c r="U920" s="3"/>
    </row>
    <row r="921">
      <c r="A921" s="3"/>
      <c r="C921" s="3"/>
      <c r="D921" s="3"/>
      <c r="E921" s="3"/>
      <c r="F921" s="3"/>
      <c r="G921" s="3"/>
      <c r="H921" s="3"/>
      <c r="S921" s="3"/>
      <c r="U921" s="3"/>
    </row>
    <row r="922">
      <c r="A922" s="3"/>
      <c r="C922" s="3"/>
      <c r="D922" s="3"/>
      <c r="E922" s="3"/>
      <c r="F922" s="3"/>
      <c r="G922" s="3"/>
      <c r="H922" s="3"/>
      <c r="S922" s="3"/>
      <c r="U922" s="3"/>
    </row>
    <row r="923">
      <c r="A923" s="3"/>
      <c r="C923" s="3"/>
      <c r="D923" s="3"/>
      <c r="E923" s="3"/>
      <c r="F923" s="3"/>
      <c r="G923" s="3"/>
      <c r="H923" s="3"/>
      <c r="S923" s="3"/>
      <c r="U923" s="3"/>
    </row>
    <row r="924">
      <c r="A924" s="3"/>
      <c r="C924" s="3"/>
      <c r="D924" s="3"/>
      <c r="E924" s="3"/>
      <c r="F924" s="3"/>
      <c r="G924" s="3"/>
      <c r="H924" s="3"/>
      <c r="S924" s="3"/>
      <c r="U924" s="3"/>
    </row>
    <row r="925">
      <c r="A925" s="3"/>
      <c r="C925" s="3"/>
      <c r="D925" s="3"/>
      <c r="E925" s="3"/>
      <c r="F925" s="3"/>
      <c r="G925" s="3"/>
      <c r="H925" s="3"/>
      <c r="S925" s="3"/>
      <c r="U925" s="3"/>
    </row>
    <row r="926">
      <c r="A926" s="3"/>
      <c r="C926" s="3"/>
      <c r="D926" s="3"/>
      <c r="E926" s="3"/>
      <c r="F926" s="3"/>
      <c r="G926" s="3"/>
      <c r="H926" s="3"/>
      <c r="S926" s="3"/>
      <c r="U926" s="3"/>
    </row>
    <row r="927">
      <c r="A927" s="3"/>
      <c r="C927" s="3"/>
      <c r="D927" s="3"/>
      <c r="E927" s="3"/>
      <c r="F927" s="3"/>
      <c r="G927" s="3"/>
      <c r="H927" s="3"/>
      <c r="S927" s="3"/>
      <c r="U927" s="3"/>
    </row>
    <row r="928">
      <c r="A928" s="3"/>
      <c r="C928" s="3"/>
      <c r="D928" s="3"/>
      <c r="E928" s="3"/>
      <c r="F928" s="3"/>
      <c r="G928" s="3"/>
      <c r="H928" s="3"/>
      <c r="S928" s="3"/>
      <c r="U928" s="3"/>
    </row>
    <row r="929">
      <c r="A929" s="3"/>
      <c r="C929" s="3"/>
      <c r="D929" s="3"/>
      <c r="E929" s="3"/>
      <c r="F929" s="3"/>
      <c r="G929" s="3"/>
      <c r="H929" s="3"/>
      <c r="S929" s="3"/>
      <c r="U929" s="3"/>
    </row>
    <row r="930">
      <c r="A930" s="3"/>
      <c r="C930" s="3"/>
      <c r="D930" s="3"/>
      <c r="E930" s="3"/>
      <c r="F930" s="3"/>
      <c r="G930" s="3"/>
      <c r="H930" s="3"/>
      <c r="S930" s="3"/>
      <c r="U930" s="3"/>
    </row>
    <row r="931">
      <c r="A931" s="3"/>
      <c r="C931" s="3"/>
      <c r="D931" s="3"/>
      <c r="E931" s="3"/>
      <c r="F931" s="3"/>
      <c r="G931" s="3"/>
      <c r="H931" s="3"/>
      <c r="S931" s="3"/>
      <c r="U931" s="3"/>
    </row>
    <row r="932">
      <c r="A932" s="3"/>
      <c r="C932" s="3"/>
      <c r="D932" s="3"/>
      <c r="E932" s="3"/>
      <c r="F932" s="3"/>
      <c r="G932" s="3"/>
      <c r="H932" s="3"/>
      <c r="S932" s="3"/>
      <c r="U932" s="3"/>
    </row>
    <row r="933">
      <c r="A933" s="3"/>
      <c r="C933" s="3"/>
      <c r="D933" s="3"/>
      <c r="E933" s="3"/>
      <c r="F933" s="3"/>
      <c r="G933" s="3"/>
      <c r="H933" s="3"/>
      <c r="S933" s="3"/>
      <c r="U933" s="3"/>
    </row>
    <row r="934">
      <c r="A934" s="3"/>
      <c r="C934" s="3"/>
      <c r="D934" s="3"/>
      <c r="E934" s="3"/>
      <c r="F934" s="3"/>
      <c r="G934" s="3"/>
      <c r="H934" s="3"/>
      <c r="S934" s="3"/>
      <c r="U934" s="3"/>
    </row>
    <row r="935">
      <c r="A935" s="3"/>
      <c r="C935" s="3"/>
      <c r="D935" s="3"/>
      <c r="E935" s="3"/>
      <c r="F935" s="3"/>
      <c r="G935" s="3"/>
      <c r="H935" s="3"/>
      <c r="S935" s="3"/>
      <c r="U935" s="3"/>
    </row>
    <row r="936">
      <c r="A936" s="3"/>
      <c r="C936" s="3"/>
      <c r="D936" s="3"/>
      <c r="E936" s="3"/>
      <c r="F936" s="3"/>
      <c r="G936" s="3"/>
      <c r="H936" s="3"/>
      <c r="S936" s="3"/>
      <c r="U936" s="3"/>
    </row>
    <row r="937">
      <c r="A937" s="3"/>
      <c r="C937" s="3"/>
      <c r="D937" s="3"/>
      <c r="E937" s="3"/>
      <c r="F937" s="3"/>
      <c r="G937" s="3"/>
      <c r="H937" s="3"/>
      <c r="S937" s="3"/>
      <c r="U937" s="3"/>
    </row>
    <row r="938">
      <c r="A938" s="3"/>
      <c r="C938" s="3"/>
      <c r="D938" s="3"/>
      <c r="E938" s="3"/>
      <c r="F938" s="3"/>
      <c r="G938" s="3"/>
      <c r="H938" s="3"/>
      <c r="S938" s="3"/>
      <c r="U938" s="3"/>
    </row>
    <row r="939">
      <c r="A939" s="3"/>
      <c r="C939" s="3"/>
      <c r="D939" s="3"/>
      <c r="E939" s="3"/>
      <c r="F939" s="3"/>
      <c r="G939" s="3"/>
      <c r="H939" s="3"/>
      <c r="S939" s="3"/>
      <c r="U939" s="3"/>
    </row>
    <row r="940">
      <c r="A940" s="3"/>
      <c r="C940" s="3"/>
      <c r="D940" s="3"/>
      <c r="E940" s="3"/>
      <c r="F940" s="3"/>
      <c r="G940" s="3"/>
      <c r="H940" s="3"/>
      <c r="S940" s="3"/>
      <c r="U940" s="3"/>
    </row>
    <row r="941">
      <c r="A941" s="3"/>
      <c r="C941" s="3"/>
      <c r="D941" s="3"/>
      <c r="E941" s="3"/>
      <c r="F941" s="3"/>
      <c r="G941" s="3"/>
      <c r="H941" s="3"/>
      <c r="S941" s="3"/>
      <c r="U941" s="3"/>
    </row>
    <row r="942">
      <c r="A942" s="3"/>
      <c r="C942" s="3"/>
      <c r="D942" s="3"/>
      <c r="E942" s="3"/>
      <c r="F942" s="3"/>
      <c r="G942" s="3"/>
      <c r="H942" s="3"/>
      <c r="S942" s="3"/>
      <c r="U942" s="3"/>
    </row>
    <row r="943">
      <c r="A943" s="3"/>
      <c r="C943" s="3"/>
      <c r="D943" s="3"/>
      <c r="E943" s="3"/>
      <c r="F943" s="3"/>
      <c r="G943" s="3"/>
      <c r="H943" s="3"/>
      <c r="S943" s="3"/>
      <c r="U943" s="3"/>
    </row>
    <row r="944">
      <c r="A944" s="3"/>
      <c r="C944" s="3"/>
      <c r="D944" s="3"/>
      <c r="E944" s="3"/>
      <c r="F944" s="3"/>
      <c r="G944" s="3"/>
      <c r="H944" s="3"/>
      <c r="S944" s="3"/>
      <c r="U944" s="3"/>
    </row>
    <row r="945">
      <c r="A945" s="3"/>
      <c r="C945" s="3"/>
      <c r="D945" s="3"/>
      <c r="E945" s="3"/>
      <c r="F945" s="3"/>
      <c r="G945" s="3"/>
      <c r="H945" s="3"/>
      <c r="S945" s="3"/>
      <c r="U945" s="3"/>
    </row>
    <row r="946">
      <c r="A946" s="3"/>
      <c r="C946" s="3"/>
      <c r="D946" s="3"/>
      <c r="E946" s="3"/>
      <c r="F946" s="3"/>
      <c r="G946" s="3"/>
      <c r="H946" s="3"/>
      <c r="S946" s="3"/>
      <c r="U946" s="3"/>
    </row>
    <row r="947">
      <c r="A947" s="3"/>
      <c r="C947" s="3"/>
      <c r="D947" s="3"/>
      <c r="E947" s="3"/>
      <c r="F947" s="3"/>
      <c r="G947" s="3"/>
      <c r="H947" s="3"/>
      <c r="S947" s="3"/>
      <c r="U947" s="3"/>
    </row>
    <row r="948">
      <c r="A948" s="3"/>
      <c r="C948" s="3"/>
      <c r="D948" s="3"/>
      <c r="E948" s="3"/>
      <c r="F948" s="3"/>
      <c r="G948" s="3"/>
      <c r="H948" s="3"/>
      <c r="S948" s="3"/>
      <c r="U948" s="3"/>
    </row>
    <row r="949">
      <c r="A949" s="3"/>
      <c r="C949" s="3"/>
      <c r="D949" s="3"/>
      <c r="E949" s="3"/>
      <c r="F949" s="3"/>
      <c r="G949" s="3"/>
      <c r="H949" s="3"/>
      <c r="S949" s="3"/>
      <c r="U949" s="3"/>
    </row>
    <row r="950">
      <c r="A950" s="3"/>
      <c r="C950" s="3"/>
      <c r="D950" s="3"/>
      <c r="E950" s="3"/>
      <c r="F950" s="3"/>
      <c r="G950" s="3"/>
      <c r="H950" s="3"/>
      <c r="S950" s="3"/>
      <c r="U950" s="3"/>
    </row>
    <row r="951">
      <c r="A951" s="3"/>
      <c r="C951" s="3"/>
      <c r="D951" s="3"/>
      <c r="E951" s="3"/>
      <c r="F951" s="3"/>
      <c r="G951" s="3"/>
      <c r="H951" s="3"/>
      <c r="S951" s="3"/>
      <c r="U951" s="3"/>
    </row>
    <row r="952">
      <c r="A952" s="3"/>
      <c r="C952" s="3"/>
      <c r="D952" s="3"/>
      <c r="E952" s="3"/>
      <c r="F952" s="3"/>
      <c r="G952" s="3"/>
      <c r="H952" s="3"/>
      <c r="S952" s="3"/>
      <c r="U952" s="3"/>
    </row>
    <row r="953">
      <c r="A953" s="3"/>
      <c r="C953" s="3"/>
      <c r="D953" s="3"/>
      <c r="E953" s="3"/>
      <c r="F953" s="3"/>
      <c r="G953" s="3"/>
      <c r="H953" s="3"/>
      <c r="S953" s="3"/>
      <c r="U953" s="3"/>
    </row>
    <row r="954">
      <c r="A954" s="3"/>
      <c r="C954" s="3"/>
      <c r="D954" s="3"/>
      <c r="E954" s="3"/>
      <c r="F954" s="3"/>
      <c r="G954" s="3"/>
      <c r="H954" s="3"/>
      <c r="S954" s="3"/>
      <c r="U954" s="3"/>
    </row>
    <row r="955">
      <c r="A955" s="3"/>
      <c r="C955" s="3"/>
      <c r="D955" s="3"/>
      <c r="E955" s="3"/>
      <c r="F955" s="3"/>
      <c r="G955" s="3"/>
      <c r="H955" s="3"/>
      <c r="S955" s="3"/>
      <c r="U955" s="3"/>
    </row>
    <row r="956">
      <c r="A956" s="3"/>
      <c r="C956" s="3"/>
      <c r="D956" s="3"/>
      <c r="E956" s="3"/>
      <c r="F956" s="3"/>
      <c r="G956" s="3"/>
      <c r="H956" s="3"/>
      <c r="S956" s="3"/>
      <c r="U956" s="3"/>
    </row>
    <row r="957">
      <c r="A957" s="3"/>
      <c r="C957" s="3"/>
      <c r="D957" s="3"/>
      <c r="E957" s="3"/>
      <c r="F957" s="3"/>
      <c r="G957" s="3"/>
      <c r="H957" s="3"/>
      <c r="S957" s="3"/>
      <c r="U957" s="3"/>
    </row>
    <row r="958">
      <c r="A958" s="3"/>
      <c r="C958" s="3"/>
      <c r="D958" s="3"/>
      <c r="E958" s="3"/>
      <c r="F958" s="3"/>
      <c r="G958" s="3"/>
      <c r="H958" s="3"/>
      <c r="S958" s="3"/>
      <c r="U958" s="3"/>
    </row>
    <row r="959">
      <c r="A959" s="3"/>
      <c r="C959" s="3"/>
      <c r="D959" s="3"/>
      <c r="E959" s="3"/>
      <c r="F959" s="3"/>
      <c r="G959" s="3"/>
      <c r="H959" s="3"/>
      <c r="S959" s="3"/>
      <c r="U959" s="3"/>
    </row>
    <row r="960">
      <c r="A960" s="3"/>
      <c r="C960" s="3"/>
      <c r="D960" s="3"/>
      <c r="E960" s="3"/>
      <c r="F960" s="3"/>
      <c r="G960" s="3"/>
      <c r="H960" s="3"/>
      <c r="S960" s="3"/>
      <c r="U960" s="3"/>
    </row>
    <row r="961">
      <c r="A961" s="3"/>
      <c r="C961" s="3"/>
      <c r="D961" s="3"/>
      <c r="E961" s="3"/>
      <c r="F961" s="3"/>
      <c r="G961" s="3"/>
      <c r="H961" s="3"/>
      <c r="S961" s="3"/>
      <c r="U961" s="3"/>
    </row>
    <row r="962">
      <c r="A962" s="3"/>
      <c r="C962" s="3"/>
      <c r="D962" s="3"/>
      <c r="E962" s="3"/>
      <c r="F962" s="3"/>
      <c r="G962" s="3"/>
      <c r="H962" s="3"/>
      <c r="S962" s="3"/>
      <c r="U962" s="3"/>
    </row>
    <row r="963">
      <c r="A963" s="3"/>
      <c r="C963" s="3"/>
      <c r="D963" s="3"/>
      <c r="E963" s="3"/>
      <c r="F963" s="3"/>
      <c r="G963" s="3"/>
      <c r="H963" s="3"/>
      <c r="S963" s="3"/>
      <c r="U963" s="3"/>
    </row>
    <row r="964">
      <c r="A964" s="3"/>
      <c r="C964" s="3"/>
      <c r="D964" s="3"/>
      <c r="E964" s="3"/>
      <c r="F964" s="3"/>
      <c r="G964" s="3"/>
      <c r="H964" s="3"/>
      <c r="S964" s="3"/>
      <c r="U964" s="3"/>
    </row>
    <row r="965">
      <c r="A965" s="3"/>
      <c r="C965" s="3"/>
      <c r="D965" s="3"/>
      <c r="E965" s="3"/>
      <c r="F965" s="3"/>
      <c r="G965" s="3"/>
      <c r="H965" s="3"/>
      <c r="S965" s="3"/>
      <c r="U965" s="3"/>
    </row>
    <row r="966">
      <c r="A966" s="3"/>
      <c r="C966" s="3"/>
      <c r="D966" s="3"/>
      <c r="E966" s="3"/>
      <c r="F966" s="3"/>
      <c r="G966" s="3"/>
      <c r="H966" s="3"/>
      <c r="S966" s="3"/>
      <c r="U966" s="3"/>
    </row>
    <row r="967">
      <c r="A967" s="3"/>
      <c r="C967" s="3"/>
      <c r="D967" s="3"/>
      <c r="E967" s="3"/>
      <c r="F967" s="3"/>
      <c r="G967" s="3"/>
      <c r="H967" s="3"/>
      <c r="S967" s="3"/>
      <c r="U967" s="3"/>
    </row>
    <row r="968">
      <c r="A968" s="3"/>
      <c r="C968" s="3"/>
      <c r="D968" s="3"/>
      <c r="E968" s="3"/>
      <c r="F968" s="3"/>
      <c r="G968" s="3"/>
      <c r="H968" s="3"/>
      <c r="S968" s="3"/>
      <c r="U968" s="3"/>
    </row>
    <row r="969">
      <c r="A969" s="3"/>
      <c r="C969" s="3"/>
      <c r="D969" s="3"/>
      <c r="E969" s="3"/>
      <c r="F969" s="3"/>
      <c r="G969" s="3"/>
      <c r="H969" s="3"/>
      <c r="S969" s="3"/>
      <c r="U969" s="3"/>
    </row>
    <row r="970">
      <c r="A970" s="3"/>
      <c r="C970" s="3"/>
      <c r="D970" s="3"/>
      <c r="E970" s="3"/>
      <c r="F970" s="3"/>
      <c r="G970" s="3"/>
      <c r="H970" s="3"/>
      <c r="S970" s="3"/>
      <c r="U970" s="3"/>
    </row>
    <row r="971">
      <c r="A971" s="3"/>
      <c r="C971" s="3"/>
      <c r="D971" s="3"/>
      <c r="E971" s="3"/>
      <c r="F971" s="3"/>
      <c r="G971" s="3"/>
      <c r="H971" s="3"/>
      <c r="S971" s="3"/>
      <c r="U971" s="3"/>
    </row>
    <row r="972">
      <c r="A972" s="3"/>
      <c r="C972" s="3"/>
      <c r="D972" s="3"/>
      <c r="E972" s="3"/>
      <c r="F972" s="3"/>
      <c r="G972" s="3"/>
      <c r="H972" s="3"/>
      <c r="S972" s="3"/>
      <c r="U972" s="3"/>
    </row>
    <row r="973">
      <c r="A973" s="3"/>
      <c r="C973" s="3"/>
      <c r="D973" s="3"/>
      <c r="E973" s="3"/>
      <c r="F973" s="3"/>
      <c r="G973" s="3"/>
      <c r="H973" s="3"/>
      <c r="S973" s="3"/>
      <c r="U973" s="3"/>
    </row>
    <row r="974">
      <c r="A974" s="3"/>
      <c r="C974" s="3"/>
      <c r="D974" s="3"/>
      <c r="E974" s="3"/>
      <c r="F974" s="3"/>
      <c r="G974" s="3"/>
      <c r="H974" s="3"/>
      <c r="S974" s="3"/>
      <c r="U974" s="3"/>
    </row>
    <row r="975">
      <c r="A975" s="3"/>
      <c r="C975" s="3"/>
      <c r="D975" s="3"/>
      <c r="E975" s="3"/>
      <c r="F975" s="3"/>
      <c r="G975" s="3"/>
      <c r="H975" s="3"/>
      <c r="S975" s="3"/>
      <c r="U975" s="3"/>
    </row>
    <row r="976">
      <c r="A976" s="3"/>
      <c r="C976" s="3"/>
      <c r="D976" s="3"/>
      <c r="E976" s="3"/>
      <c r="F976" s="3"/>
      <c r="G976" s="3"/>
      <c r="H976" s="3"/>
      <c r="S976" s="3"/>
      <c r="U976" s="3"/>
    </row>
    <row r="977">
      <c r="A977" s="3"/>
      <c r="C977" s="3"/>
      <c r="D977" s="3"/>
      <c r="E977" s="3"/>
      <c r="F977" s="3"/>
      <c r="G977" s="3"/>
      <c r="H977" s="3"/>
      <c r="S977" s="3"/>
      <c r="U977" s="3"/>
    </row>
    <row r="978">
      <c r="A978" s="3"/>
      <c r="C978" s="3"/>
      <c r="D978" s="3"/>
      <c r="E978" s="3"/>
      <c r="F978" s="3"/>
      <c r="G978" s="3"/>
      <c r="H978" s="3"/>
      <c r="S978" s="3"/>
      <c r="U978" s="3"/>
    </row>
    <row r="979">
      <c r="A979" s="3"/>
      <c r="C979" s="3"/>
      <c r="D979" s="3"/>
      <c r="E979" s="3"/>
      <c r="F979" s="3"/>
      <c r="G979" s="3"/>
      <c r="H979" s="3"/>
      <c r="S979" s="3"/>
      <c r="U979" s="3"/>
    </row>
    <row r="980">
      <c r="A980" s="3"/>
      <c r="C980" s="3"/>
      <c r="D980" s="3"/>
      <c r="E980" s="3"/>
      <c r="F980" s="3"/>
      <c r="G980" s="3"/>
      <c r="H980" s="3"/>
      <c r="S980" s="3"/>
      <c r="U980" s="3"/>
    </row>
    <row r="981">
      <c r="A981" s="3"/>
      <c r="C981" s="3"/>
      <c r="D981" s="3"/>
      <c r="E981" s="3"/>
      <c r="F981" s="3"/>
      <c r="G981" s="3"/>
      <c r="H981" s="3"/>
      <c r="S981" s="3"/>
      <c r="U981" s="3"/>
    </row>
    <row r="982">
      <c r="A982" s="3"/>
      <c r="C982" s="3"/>
      <c r="D982" s="3"/>
      <c r="E982" s="3"/>
      <c r="F982" s="3"/>
      <c r="G982" s="3"/>
      <c r="H982" s="3"/>
      <c r="S982" s="3"/>
      <c r="U982" s="3"/>
    </row>
    <row r="983">
      <c r="A983" s="3"/>
      <c r="C983" s="3"/>
      <c r="D983" s="3"/>
      <c r="E983" s="3"/>
      <c r="F983" s="3"/>
      <c r="G983" s="3"/>
      <c r="H983" s="3"/>
      <c r="S983" s="3"/>
      <c r="U983" s="3"/>
    </row>
    <row r="984">
      <c r="A984" s="3"/>
      <c r="C984" s="3"/>
      <c r="D984" s="3"/>
      <c r="E984" s="3"/>
      <c r="F984" s="3"/>
      <c r="G984" s="3"/>
      <c r="H984" s="3"/>
      <c r="S984" s="3"/>
      <c r="U984" s="3"/>
    </row>
    <row r="985">
      <c r="A985" s="3"/>
      <c r="C985" s="3"/>
      <c r="D985" s="3"/>
      <c r="E985" s="3"/>
      <c r="F985" s="3"/>
      <c r="G985" s="3"/>
      <c r="H985" s="3"/>
      <c r="S985" s="3"/>
      <c r="U985" s="3"/>
    </row>
    <row r="986">
      <c r="A986" s="3"/>
      <c r="C986" s="3"/>
      <c r="D986" s="3"/>
      <c r="E986" s="3"/>
      <c r="F986" s="3"/>
      <c r="G986" s="3"/>
      <c r="H986" s="3"/>
      <c r="S986" s="3"/>
      <c r="U986" s="3"/>
    </row>
    <row r="987">
      <c r="A987" s="3"/>
      <c r="C987" s="3"/>
      <c r="D987" s="3"/>
      <c r="E987" s="3"/>
      <c r="F987" s="3"/>
      <c r="G987" s="3"/>
      <c r="H987" s="3"/>
      <c r="S987" s="3"/>
      <c r="U987" s="3"/>
    </row>
    <row r="988">
      <c r="A988" s="3"/>
      <c r="C988" s="3"/>
      <c r="D988" s="3"/>
      <c r="E988" s="3"/>
      <c r="F988" s="3"/>
      <c r="G988" s="3"/>
      <c r="H988" s="3"/>
      <c r="S988" s="3"/>
      <c r="U988" s="3"/>
    </row>
    <row r="989">
      <c r="A989" s="3"/>
      <c r="C989" s="3"/>
      <c r="D989" s="3"/>
      <c r="E989" s="3"/>
      <c r="F989" s="3"/>
      <c r="G989" s="3"/>
      <c r="H989" s="3"/>
      <c r="S989" s="3"/>
      <c r="U989" s="3"/>
    </row>
    <row r="990">
      <c r="A990" s="3"/>
      <c r="C990" s="3"/>
      <c r="D990" s="3"/>
      <c r="E990" s="3"/>
      <c r="F990" s="3"/>
      <c r="G990" s="3"/>
      <c r="H990" s="3"/>
      <c r="S990" s="3"/>
      <c r="U990" s="3"/>
    </row>
    <row r="991">
      <c r="A991" s="3"/>
      <c r="C991" s="3"/>
      <c r="D991" s="3"/>
      <c r="E991" s="3"/>
      <c r="F991" s="3"/>
      <c r="G991" s="3"/>
      <c r="H991" s="3"/>
      <c r="S991" s="3"/>
      <c r="U991" s="3"/>
    </row>
    <row r="992">
      <c r="A992" s="3"/>
      <c r="C992" s="3"/>
      <c r="D992" s="3"/>
      <c r="E992" s="3"/>
      <c r="F992" s="3"/>
      <c r="G992" s="3"/>
      <c r="H992" s="3"/>
      <c r="S992" s="3"/>
      <c r="U992" s="3"/>
    </row>
    <row r="993">
      <c r="A993" s="3"/>
      <c r="C993" s="3"/>
      <c r="D993" s="3"/>
      <c r="E993" s="3"/>
      <c r="F993" s="3"/>
      <c r="G993" s="3"/>
      <c r="H993" s="3"/>
      <c r="S993" s="3"/>
      <c r="U993" s="3"/>
    </row>
    <row r="994">
      <c r="A994" s="3"/>
      <c r="C994" s="3"/>
      <c r="D994" s="3"/>
      <c r="E994" s="3"/>
      <c r="F994" s="3"/>
      <c r="G994" s="3"/>
      <c r="H994" s="3"/>
      <c r="S994" s="3"/>
      <c r="U994" s="3"/>
    </row>
    <row r="995">
      <c r="A995" s="3"/>
      <c r="C995" s="3"/>
      <c r="D995" s="3"/>
      <c r="E995" s="3"/>
      <c r="F995" s="3"/>
      <c r="G995" s="3"/>
      <c r="H995" s="3"/>
      <c r="S995" s="3"/>
      <c r="U995" s="3"/>
    </row>
    <row r="996">
      <c r="A996" s="3"/>
      <c r="C996" s="3"/>
      <c r="D996" s="3"/>
      <c r="E996" s="3"/>
      <c r="F996" s="3"/>
      <c r="G996" s="3"/>
      <c r="H996" s="3"/>
      <c r="S996" s="3"/>
      <c r="U996" s="3"/>
    </row>
    <row r="997">
      <c r="A997" s="3"/>
      <c r="C997" s="3"/>
      <c r="D997" s="3"/>
      <c r="E997" s="3"/>
      <c r="F997" s="3"/>
      <c r="G997" s="3"/>
      <c r="H997" s="3"/>
      <c r="S997" s="3"/>
      <c r="U997" s="3"/>
    </row>
    <row r="998">
      <c r="A998" s="3"/>
      <c r="C998" s="3"/>
      <c r="D998" s="3"/>
      <c r="E998" s="3"/>
      <c r="F998" s="3"/>
      <c r="G998" s="3"/>
      <c r="H998" s="3"/>
      <c r="S998" s="3"/>
      <c r="U998" s="3"/>
    </row>
    <row r="999">
      <c r="A999" s="3"/>
      <c r="C999" s="3"/>
      <c r="D999" s="3"/>
      <c r="E999" s="3"/>
      <c r="F999" s="3"/>
      <c r="G999" s="3"/>
      <c r="H999" s="3"/>
      <c r="S999" s="3"/>
      <c r="U999" s="3"/>
    </row>
    <row r="1000">
      <c r="A1000" s="3"/>
      <c r="C1000" s="3"/>
      <c r="D1000" s="3"/>
      <c r="E1000" s="3"/>
      <c r="F1000" s="3"/>
      <c r="G1000" s="3"/>
      <c r="H1000" s="3"/>
      <c r="S1000" s="3"/>
      <c r="U1000" s="3"/>
    </row>
  </sheetData>
  <autoFilter ref="$A$1:$CG$528">
    <sortState ref="A1:CG528">
      <sortCondition ref="U1:U528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34.25"/>
    <col customWidth="1" min="3" max="3" width="71.0"/>
    <col customWidth="1" min="4" max="4" width="26.63"/>
    <col customWidth="1" min="5" max="5" width="40.75"/>
    <col customWidth="1" min="6" max="6" width="13.0"/>
    <col customWidth="1" min="7" max="7" width="5.88"/>
  </cols>
  <sheetData>
    <row r="1" ht="34.5" customHeight="1">
      <c r="A1" s="8" t="s">
        <v>3</v>
      </c>
      <c r="B1" s="8" t="s">
        <v>4</v>
      </c>
      <c r="C1" s="8" t="s">
        <v>5</v>
      </c>
      <c r="D1" s="8" t="s">
        <v>6</v>
      </c>
      <c r="E1" s="8" t="s">
        <v>7</v>
      </c>
      <c r="F1" s="8" t="s">
        <v>8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3" t="str">
        <f t="shared" ref="A2:A511" si="1">IF(B2="","",ROW(A2)-1)</f>
        <v/>
      </c>
      <c r="F2" s="4" t="str">
        <f>iferror(vlookup(D2,Sheet1!$B$2:$K$500,10,false),"")</f>
        <v/>
      </c>
      <c r="G2" s="4" t="str">
        <f>IF(ISNA(vlookup(D2,DataExport!$D$2:$D$481,1,false)), "Belum", "Sudah")</f>
        <v>Belum</v>
      </c>
    </row>
    <row r="3">
      <c r="A3" s="3" t="str">
        <f t="shared" si="1"/>
        <v/>
      </c>
      <c r="F3" s="4" t="str">
        <f>iferror(vlookup(D3,Sheet1!$B$2:$K$500,10,false),"")</f>
        <v/>
      </c>
      <c r="G3" s="4" t="str">
        <f>IF(ISNA(vlookup(D3,DataExport!$D$2:$D$481,1,false)), "Belum", "Sudah")</f>
        <v>Belum</v>
      </c>
    </row>
    <row r="4">
      <c r="A4" s="3" t="str">
        <f t="shared" si="1"/>
        <v/>
      </c>
      <c r="F4" s="4" t="str">
        <f>iferror(vlookup(D4,Sheet1!$B$2:$K$500,10,false),"")</f>
        <v/>
      </c>
      <c r="G4" s="4" t="str">
        <f>IF(ISNA(vlookup(D4,DataExport!$D$2:$D$481,1,false)), "Belum", "Sudah")</f>
        <v>Belum</v>
      </c>
    </row>
    <row r="5">
      <c r="A5" s="3" t="str">
        <f t="shared" si="1"/>
        <v/>
      </c>
      <c r="F5" s="4" t="str">
        <f>iferror(vlookup(D5,Sheet1!$B$2:$K$500,10,false),"")</f>
        <v/>
      </c>
      <c r="G5" s="4" t="str">
        <f>IF(ISNA(vlookup(D5,DataExport!$D$2:$D$481,1,false)), "Belum", "Sudah")</f>
        <v>Belum</v>
      </c>
    </row>
    <row r="6">
      <c r="A6" s="3" t="str">
        <f t="shared" si="1"/>
        <v/>
      </c>
      <c r="F6" s="4" t="str">
        <f>iferror(vlookup(D6,Sheet1!$B$2:$K$500,10,false),"")</f>
        <v/>
      </c>
      <c r="G6" s="4" t="str">
        <f>IF(ISNA(vlookup(D6,DataExport!$D$2:$D$481,1,false)), "Belum", "Sudah")</f>
        <v>Belum</v>
      </c>
    </row>
    <row r="7">
      <c r="A7" s="3" t="str">
        <f t="shared" si="1"/>
        <v/>
      </c>
      <c r="F7" s="4" t="str">
        <f>iferror(vlookup(D7,Sheet1!$B$2:$K$500,10,false),"")</f>
        <v/>
      </c>
      <c r="G7" s="4" t="str">
        <f>IF(ISNA(vlookup(D7,DataExport!$D$2:$D$481,1,false)), "Belum", "Sudah")</f>
        <v>Belum</v>
      </c>
    </row>
    <row r="8">
      <c r="A8" s="3" t="str">
        <f t="shared" si="1"/>
        <v/>
      </c>
      <c r="F8" s="4" t="str">
        <f>iferror(vlookup(D8,Sheet1!$B$2:$K$500,10,false),"")</f>
        <v/>
      </c>
      <c r="G8" s="4" t="str">
        <f>IF(ISNA(vlookup(D8,DataExport!$D$2:$D$481,1,false)), "Belum", "Sudah")</f>
        <v>Belum</v>
      </c>
    </row>
    <row r="9">
      <c r="A9" s="3" t="str">
        <f t="shared" si="1"/>
        <v/>
      </c>
      <c r="F9" s="4" t="str">
        <f>iferror(vlookup(D9,Sheet1!$B$2:$K$500,10,false),"")</f>
        <v/>
      </c>
      <c r="G9" s="4" t="str">
        <f>IF(ISNA(vlookup(D9,DataExport!$D$2:$D$481,1,false)), "Belum", "Sudah")</f>
        <v>Belum</v>
      </c>
    </row>
    <row r="10">
      <c r="A10" s="3" t="str">
        <f t="shared" si="1"/>
        <v/>
      </c>
      <c r="C10" s="10"/>
      <c r="F10" s="4" t="str">
        <f>iferror(vlookup(D10,Sheet1!$B$2:$K$500,10,false),"")</f>
        <v/>
      </c>
      <c r="G10" s="4" t="str">
        <f>IF(ISNA(vlookup(D10,DataExport!$D$2:$D$481,1,false)), "Belum", "Sudah")</f>
        <v>Belum</v>
      </c>
    </row>
    <row r="11">
      <c r="A11" s="3" t="str">
        <f t="shared" si="1"/>
        <v/>
      </c>
      <c r="F11" s="4" t="str">
        <f>iferror(vlookup(D11,Sheet1!$B$2:$K$500,10,false),"")</f>
        <v/>
      </c>
      <c r="G11" s="4" t="str">
        <f>IF(ISNA(vlookup(D11,DataExport!$D$2:$D$481,1,false)), "Belum", "Sudah")</f>
        <v>Belum</v>
      </c>
    </row>
    <row r="12">
      <c r="A12" s="3" t="str">
        <f t="shared" si="1"/>
        <v/>
      </c>
      <c r="F12" s="4" t="str">
        <f>iferror(vlookup(D12,Sheet1!$B$2:$K$500,10,false),"")</f>
        <v/>
      </c>
      <c r="G12" s="4" t="str">
        <f>IF(ISNA(vlookup(D12,DataExport!$D$2:$D$481,1,false)), "Belum", "Sudah")</f>
        <v>Belum</v>
      </c>
    </row>
    <row r="13">
      <c r="A13" s="3" t="str">
        <f t="shared" si="1"/>
        <v/>
      </c>
      <c r="F13" s="4" t="str">
        <f>iferror(vlookup(D13,Sheet1!$B$2:$K$500,10,false),"")</f>
        <v/>
      </c>
      <c r="G13" s="4" t="str">
        <f>IF(ISNA(vlookup(D13,DataExport!$D$2:$D$481,1,false)), "Belum", "Sudah")</f>
        <v>Belum</v>
      </c>
    </row>
    <row r="14">
      <c r="A14" s="3" t="str">
        <f t="shared" si="1"/>
        <v/>
      </c>
      <c r="F14" s="4" t="str">
        <f>iferror(vlookup(D14,Sheet1!$B$2:$K$500,10,false),"")</f>
        <v/>
      </c>
      <c r="G14" s="4" t="str">
        <f>IF(ISNA(vlookup(D14,DataExport!$D$2:$D$481,1,false)), "Belum", "Sudah")</f>
        <v>Belum</v>
      </c>
    </row>
    <row r="15">
      <c r="A15" s="3" t="str">
        <f t="shared" si="1"/>
        <v/>
      </c>
      <c r="F15" s="4" t="str">
        <f>iferror(vlookup(D15,Sheet1!$B$2:$K$500,10,false),"")</f>
        <v/>
      </c>
      <c r="G15" s="4" t="str">
        <f>IF(ISNA(vlookup(D15,DataExport!$D$2:$D$481,1,false)), "Belum", "Sudah")</f>
        <v>Belum</v>
      </c>
    </row>
    <row r="16">
      <c r="A16" s="3" t="str">
        <f t="shared" si="1"/>
        <v/>
      </c>
      <c r="F16" s="4" t="str">
        <f>iferror(vlookup(D16,Sheet1!$B$2:$K$500,10,false),"")</f>
        <v/>
      </c>
      <c r="G16" s="4" t="str">
        <f>IF(ISNA(vlookup(D16,DataExport!$D$2:$D$481,1,false)), "Belum", "Sudah")</f>
        <v>Belum</v>
      </c>
    </row>
    <row r="17">
      <c r="A17" s="3" t="str">
        <f t="shared" si="1"/>
        <v/>
      </c>
      <c r="F17" s="4" t="str">
        <f>iferror(vlookup(D17,Sheet1!$B$2:$K$500,10,false),"")</f>
        <v/>
      </c>
      <c r="G17" s="4" t="str">
        <f>IF(ISNA(vlookup(D17,DataExport!$D$2:$D$481,1,false)), "Belum", "Sudah")</f>
        <v>Belum</v>
      </c>
    </row>
    <row r="18">
      <c r="A18" s="3" t="str">
        <f t="shared" si="1"/>
        <v/>
      </c>
      <c r="F18" s="4" t="str">
        <f>iferror(vlookup(D18,Sheet1!$B$2:$K$500,10,false),"")</f>
        <v/>
      </c>
      <c r="G18" s="4" t="str">
        <f>IF(ISNA(vlookup(D18,DataExport!$D$2:$D$481,1,false)), "Belum", "Sudah")</f>
        <v>Belum</v>
      </c>
    </row>
    <row r="19">
      <c r="A19" s="3" t="str">
        <f t="shared" si="1"/>
        <v/>
      </c>
      <c r="F19" s="4" t="str">
        <f>iferror(vlookup(D19,Sheet1!$B$2:$K$500,10,false),"")</f>
        <v/>
      </c>
      <c r="G19" s="4" t="str">
        <f>IF(ISNA(vlookup(D19,DataExport!$D$2:$D$481,1,false)), "Belum", "Sudah")</f>
        <v>Belum</v>
      </c>
    </row>
    <row r="20">
      <c r="A20" s="3" t="str">
        <f t="shared" si="1"/>
        <v/>
      </c>
      <c r="C20" s="10"/>
      <c r="F20" s="4" t="str">
        <f>iferror(vlookup(D20,Sheet1!$B$2:$K$500,10,false),"")</f>
        <v/>
      </c>
      <c r="G20" s="4" t="str">
        <f>IF(ISNA(vlookup(D20,DataExport!$D$2:$D$481,1,false)), "Belum", "Sudah")</f>
        <v>Belum</v>
      </c>
    </row>
    <row r="21">
      <c r="A21" s="3" t="str">
        <f t="shared" si="1"/>
        <v/>
      </c>
      <c r="F21" s="4" t="str">
        <f>iferror(vlookup(D21,Sheet1!$B$2:$K$500,10,false),"")</f>
        <v/>
      </c>
      <c r="G21" s="4" t="str">
        <f>IF(ISNA(vlookup(D21,DataExport!$D$2:$D$481,1,false)), "Belum", "Sudah")</f>
        <v>Belum</v>
      </c>
    </row>
    <row r="22">
      <c r="A22" s="3" t="str">
        <f t="shared" si="1"/>
        <v/>
      </c>
      <c r="F22" s="4" t="str">
        <f>iferror(vlookup(D22,Sheet1!$B$2:$K$500,10,false),"")</f>
        <v/>
      </c>
      <c r="G22" s="4" t="str">
        <f>IF(ISNA(vlookup(D22,DataExport!$D$2:$D$481,1,false)), "Belum", "Sudah")</f>
        <v>Belum</v>
      </c>
    </row>
    <row r="23">
      <c r="A23" s="3" t="str">
        <f t="shared" si="1"/>
        <v/>
      </c>
      <c r="C23" s="10"/>
      <c r="F23" s="4" t="str">
        <f>iferror(vlookup(D23,Sheet1!$B$2:$K$500,10,false),"")</f>
        <v/>
      </c>
      <c r="G23" s="4" t="str">
        <f>IF(ISNA(vlookup(D23,DataExport!$D$2:$D$481,1,false)), "Belum", "Sudah")</f>
        <v>Belum</v>
      </c>
    </row>
    <row r="24">
      <c r="A24" s="3" t="str">
        <f t="shared" si="1"/>
        <v/>
      </c>
      <c r="F24" s="4" t="str">
        <f>iferror(vlookup(D24,Sheet1!$B$2:$K$500,10,false),"")</f>
        <v/>
      </c>
      <c r="G24" s="4" t="str">
        <f>IF(ISNA(vlookup(D24,DataExport!$D$2:$D$481,1,false)), "Belum", "Sudah")</f>
        <v>Belum</v>
      </c>
    </row>
    <row r="25">
      <c r="A25" s="3" t="str">
        <f t="shared" si="1"/>
        <v/>
      </c>
      <c r="F25" s="4" t="str">
        <f>iferror(vlookup(D25,Sheet1!$B$2:$K$500,10,false),"")</f>
        <v/>
      </c>
      <c r="G25" s="4" t="str">
        <f>IF(ISNA(vlookup(D25,DataExport!$D$2:$D$481,1,false)), "Belum", "Sudah")</f>
        <v>Belum</v>
      </c>
    </row>
    <row r="26">
      <c r="A26" s="3" t="str">
        <f t="shared" si="1"/>
        <v/>
      </c>
      <c r="F26" s="4" t="str">
        <f>iferror(vlookup(D26,Sheet1!$B$2:$K$500,10,false),"")</f>
        <v/>
      </c>
      <c r="G26" s="4" t="str">
        <f>IF(ISNA(vlookup(D26,DataExport!$D$2:$D$481,1,false)), "Belum", "Sudah")</f>
        <v>Belum</v>
      </c>
    </row>
    <row r="27">
      <c r="A27" s="3" t="str">
        <f t="shared" si="1"/>
        <v/>
      </c>
      <c r="F27" s="4" t="str">
        <f>iferror(vlookup(D27,Sheet1!$B$2:$K$500,10,false),"")</f>
        <v/>
      </c>
      <c r="G27" s="4" t="str">
        <f>IF(ISNA(vlookup(D27,DataExport!$D$2:$D$481,1,false)), "Belum", "Sudah")</f>
        <v>Belum</v>
      </c>
    </row>
    <row r="28">
      <c r="A28" s="3" t="str">
        <f t="shared" si="1"/>
        <v/>
      </c>
      <c r="F28" s="4" t="str">
        <f>iferror(vlookup(D28,Sheet1!$B$2:$K$500,10,false),"")</f>
        <v/>
      </c>
      <c r="G28" s="4" t="str">
        <f>IF(ISNA(vlookup(D28,DataExport!$D$2:$D$481,1,false)), "Belum", "Sudah")</f>
        <v>Belum</v>
      </c>
    </row>
    <row r="29">
      <c r="A29" s="3" t="str">
        <f t="shared" si="1"/>
        <v/>
      </c>
      <c r="F29" s="4" t="str">
        <f>iferror(vlookup(D29,Sheet1!$B$2:$K$500,10,false),"")</f>
        <v/>
      </c>
      <c r="G29" s="4" t="str">
        <f>IF(ISNA(vlookup(D29,DataExport!$D$2:$D$481,1,false)), "Belum", "Sudah")</f>
        <v>Belum</v>
      </c>
    </row>
    <row r="30">
      <c r="A30" s="3" t="str">
        <f t="shared" si="1"/>
        <v/>
      </c>
      <c r="F30" s="4" t="str">
        <f>iferror(vlookup(D30,Sheet1!$B$2:$K$500,10,false),"")</f>
        <v/>
      </c>
      <c r="G30" s="4" t="str">
        <f>IF(ISNA(vlookup(D30,DataExport!$D$2:$D$481,1,false)), "Belum", "Sudah")</f>
        <v>Belum</v>
      </c>
    </row>
    <row r="31">
      <c r="A31" s="3" t="str">
        <f t="shared" si="1"/>
        <v/>
      </c>
      <c r="C31" s="10"/>
      <c r="F31" s="4" t="str">
        <f>iferror(vlookup(D31,Sheet1!$B$2:$K$500,10,false),"")</f>
        <v/>
      </c>
      <c r="G31" s="4" t="str">
        <f>IF(ISNA(vlookup(D31,DataExport!$D$2:$D$481,1,false)), "Belum", "Sudah")</f>
        <v>Belum</v>
      </c>
    </row>
    <row r="32">
      <c r="A32" s="3" t="str">
        <f t="shared" si="1"/>
        <v/>
      </c>
      <c r="F32" s="4" t="str">
        <f>iferror(vlookup(D32,Sheet1!$B$2:$K$500,10,false),"")</f>
        <v/>
      </c>
      <c r="G32" s="4" t="str">
        <f>IF(ISNA(vlookup(D32,DataExport!$D$2:$D$481,1,false)), "Belum", "Sudah")</f>
        <v>Belum</v>
      </c>
    </row>
    <row r="33">
      <c r="A33" s="3" t="str">
        <f t="shared" si="1"/>
        <v/>
      </c>
      <c r="F33" s="4" t="str">
        <f>iferror(vlookup(D33,Sheet1!$B$2:$K$500,10,false),"")</f>
        <v/>
      </c>
      <c r="G33" s="4" t="str">
        <f>IF(ISNA(vlookup(D33,DataExport!$D$2:$D$481,1,false)), "Belum", "Sudah")</f>
        <v>Belum</v>
      </c>
    </row>
    <row r="34">
      <c r="A34" s="3" t="str">
        <f t="shared" si="1"/>
        <v/>
      </c>
      <c r="F34" s="4" t="str">
        <f>iferror(vlookup(D34,Sheet1!$B$2:$K$500,10,false),"")</f>
        <v/>
      </c>
      <c r="G34" s="4" t="str">
        <f>IF(ISNA(vlookup(D34,DataExport!$D$2:$D$481,1,false)), "Belum", "Sudah")</f>
        <v>Belum</v>
      </c>
    </row>
    <row r="35">
      <c r="A35" s="3" t="str">
        <f t="shared" si="1"/>
        <v/>
      </c>
      <c r="F35" s="4" t="str">
        <f>iferror(vlookup(D35,Sheet1!$B$2:$K$500,10,false),"")</f>
        <v/>
      </c>
      <c r="G35" s="4" t="str">
        <f>IF(ISNA(vlookup(D35,DataExport!$D$2:$D$481,1,false)), "Belum", "Sudah")</f>
        <v>Belum</v>
      </c>
    </row>
    <row r="36">
      <c r="A36" s="3" t="str">
        <f t="shared" si="1"/>
        <v/>
      </c>
      <c r="F36" s="4" t="str">
        <f>iferror(vlookup(D36,Sheet1!$B$2:$K$500,10,false),"")</f>
        <v/>
      </c>
      <c r="G36" s="4" t="str">
        <f>IF(ISNA(vlookup(D36,DataExport!$D$2:$D$481,1,false)), "Belum", "Sudah")</f>
        <v>Belum</v>
      </c>
    </row>
    <row r="37">
      <c r="A37" s="3" t="str">
        <f t="shared" si="1"/>
        <v/>
      </c>
      <c r="C37" s="10"/>
      <c r="F37" s="4" t="str">
        <f>iferror(vlookup(D37,Sheet1!$B$2:$K$500,10,false),"")</f>
        <v/>
      </c>
      <c r="G37" s="4" t="str">
        <f>IF(ISNA(vlookup(D37,DataExport!$D$2:$D$481,1,false)), "Belum", "Sudah")</f>
        <v>Belum</v>
      </c>
    </row>
    <row r="38">
      <c r="A38" s="3" t="str">
        <f t="shared" si="1"/>
        <v/>
      </c>
      <c r="F38" s="4" t="str">
        <f>iferror(vlookup(D38,Sheet1!$B$2:$K$500,10,false),"")</f>
        <v/>
      </c>
      <c r="G38" s="4" t="str">
        <f>IF(ISNA(vlookup(D38,DataExport!$D$2:$D$481,1,false)), "Belum", "Sudah")</f>
        <v>Belum</v>
      </c>
    </row>
    <row r="39">
      <c r="A39" s="3" t="str">
        <f t="shared" si="1"/>
        <v/>
      </c>
      <c r="F39" s="4" t="str">
        <f>iferror(vlookup(D39,Sheet1!$B$2:$K$500,10,false),"")</f>
        <v/>
      </c>
      <c r="G39" s="4" t="str">
        <f>IF(ISNA(vlookup(D39,DataExport!$D$2:$D$481,1,false)), "Belum", "Sudah")</f>
        <v>Belum</v>
      </c>
    </row>
    <row r="40">
      <c r="A40" s="3" t="str">
        <f t="shared" si="1"/>
        <v/>
      </c>
      <c r="C40" s="10"/>
      <c r="F40" s="4" t="str">
        <f>iferror(vlookup(D40,Sheet1!$B$2:$K$500,10,false),"")</f>
        <v/>
      </c>
      <c r="G40" s="4" t="str">
        <f>IF(ISNA(vlookup(D40,DataExport!$D$2:$D$481,1,false)), "Belum", "Sudah")</f>
        <v>Belum</v>
      </c>
    </row>
    <row r="41">
      <c r="A41" s="3" t="str">
        <f t="shared" si="1"/>
        <v/>
      </c>
      <c r="F41" s="4" t="str">
        <f>iferror(vlookup(D41,Sheet1!$B$2:$K$500,10,false),"")</f>
        <v/>
      </c>
      <c r="G41" s="4" t="str">
        <f>IF(ISNA(vlookup(D41,DataExport!$D$2:$D$481,1,false)), "Belum", "Sudah")</f>
        <v>Belum</v>
      </c>
    </row>
    <row r="42">
      <c r="A42" s="3" t="str">
        <f t="shared" si="1"/>
        <v/>
      </c>
      <c r="F42" s="4" t="str">
        <f>iferror(vlookup(D42,Sheet1!$B$2:$K$500,10,false),"")</f>
        <v/>
      </c>
      <c r="G42" s="4" t="str">
        <f>IF(ISNA(vlookup(D42,DataExport!$D$2:$D$481,1,false)), "Belum", "Sudah")</f>
        <v>Belum</v>
      </c>
    </row>
    <row r="43">
      <c r="A43" s="3" t="str">
        <f t="shared" si="1"/>
        <v/>
      </c>
      <c r="F43" s="4" t="str">
        <f>iferror(vlookup(D43,Sheet1!$B$2:$K$500,10,false),"")</f>
        <v/>
      </c>
      <c r="G43" s="4" t="str">
        <f>IF(ISNA(vlookup(D43,DataExport!$D$2:$D$481,1,false)), "Belum", "Sudah")</f>
        <v>Belum</v>
      </c>
    </row>
    <row r="44">
      <c r="A44" s="3" t="str">
        <f t="shared" si="1"/>
        <v/>
      </c>
      <c r="F44" s="4" t="str">
        <f>iferror(vlookup(D44,Sheet1!$B$2:$K$500,10,false),"")</f>
        <v/>
      </c>
      <c r="G44" s="4" t="str">
        <f>IF(ISNA(vlookup(D44,DataExport!$D$2:$D$481,1,false)), "Belum", "Sudah")</f>
        <v>Belum</v>
      </c>
    </row>
    <row r="45">
      <c r="A45" s="3" t="str">
        <f t="shared" si="1"/>
        <v/>
      </c>
      <c r="C45" s="10"/>
      <c r="F45" s="4" t="str">
        <f>iferror(vlookup(D45,Sheet1!$B$2:$K$500,10,false),"")</f>
        <v/>
      </c>
      <c r="G45" s="4" t="str">
        <f>IF(ISNA(vlookup(D45,DataExport!$D$2:$D$481,1,false)), "Belum", "Sudah")</f>
        <v>Belum</v>
      </c>
    </row>
    <row r="46">
      <c r="A46" s="3" t="str">
        <f t="shared" si="1"/>
        <v/>
      </c>
      <c r="F46" s="4" t="str">
        <f>iferror(vlookup(D46,Sheet1!$B$2:$K$500,10,false),"")</f>
        <v/>
      </c>
      <c r="G46" s="4" t="str">
        <f>IF(ISNA(vlookup(D46,DataExport!$D$2:$D$481,1,false)), "Belum", "Sudah")</f>
        <v>Belum</v>
      </c>
    </row>
    <row r="47">
      <c r="A47" s="3" t="str">
        <f t="shared" si="1"/>
        <v/>
      </c>
      <c r="F47" s="4" t="str">
        <f>iferror(vlookup(D47,Sheet1!$B$2:$K$500,10,false),"")</f>
        <v/>
      </c>
      <c r="G47" s="4" t="str">
        <f>IF(ISNA(vlookup(D47,DataExport!$D$2:$D$481,1,false)), "Belum", "Sudah")</f>
        <v>Belum</v>
      </c>
    </row>
    <row r="48">
      <c r="A48" s="3" t="str">
        <f t="shared" si="1"/>
        <v/>
      </c>
      <c r="F48" s="4" t="str">
        <f>iferror(vlookup(D48,Sheet1!$B$2:$K$500,10,false),"")</f>
        <v/>
      </c>
      <c r="G48" s="4" t="str">
        <f>IF(ISNA(vlookup(D48,DataExport!$D$2:$D$481,1,false)), "Belum", "Sudah")</f>
        <v>Belum</v>
      </c>
    </row>
    <row r="49">
      <c r="A49" s="3" t="str">
        <f t="shared" si="1"/>
        <v/>
      </c>
      <c r="F49" s="4" t="str">
        <f>iferror(vlookup(D49,Sheet1!$B$2:$K$500,10,false),"")</f>
        <v/>
      </c>
      <c r="G49" s="4" t="str">
        <f>IF(ISNA(vlookup(D49,DataExport!$D$2:$D$481,1,false)), "Belum", "Sudah")</f>
        <v>Belum</v>
      </c>
    </row>
    <row r="50">
      <c r="A50" s="3" t="str">
        <f t="shared" si="1"/>
        <v/>
      </c>
      <c r="F50" s="4" t="str">
        <f>iferror(vlookup(D50,Sheet1!$B$2:$K$500,10,false),"")</f>
        <v/>
      </c>
      <c r="G50" s="4" t="str">
        <f>IF(ISNA(vlookup(D50,DataExport!$D$2:$D$481,1,false)), "Belum", "Sudah")</f>
        <v>Belum</v>
      </c>
    </row>
    <row r="51">
      <c r="A51" s="3" t="str">
        <f t="shared" si="1"/>
        <v/>
      </c>
      <c r="F51" s="4" t="str">
        <f>iferror(vlookup(D51,Sheet1!$B$2:$K$500,10,false),"")</f>
        <v/>
      </c>
      <c r="G51" s="4" t="str">
        <f>IF(ISNA(vlookup(D51,DataExport!$D$2:$D$481,1,false)), "Belum", "Sudah")</f>
        <v>Belum</v>
      </c>
    </row>
    <row r="52">
      <c r="A52" s="3" t="str">
        <f t="shared" si="1"/>
        <v/>
      </c>
      <c r="F52" s="4" t="str">
        <f>iferror(vlookup(D52,Sheet1!$B$2:$K$500,10,false),"")</f>
        <v/>
      </c>
      <c r="G52" s="4" t="str">
        <f>IF(ISNA(vlookup(D52,DataExport!$D$2:$D$481,1,false)), "Belum", "Sudah")</f>
        <v>Belum</v>
      </c>
    </row>
    <row r="53">
      <c r="A53" s="3" t="str">
        <f t="shared" si="1"/>
        <v/>
      </c>
      <c r="F53" s="4" t="str">
        <f>iferror(vlookup(D53,Sheet1!$B$2:$K$500,10,false),"")</f>
        <v/>
      </c>
      <c r="G53" s="4" t="str">
        <f>IF(ISNA(vlookup(D53,DataExport!$D$2:$D$481,1,false)), "Belum", "Sudah")</f>
        <v>Belum</v>
      </c>
    </row>
    <row r="54">
      <c r="A54" s="3" t="str">
        <f t="shared" si="1"/>
        <v/>
      </c>
      <c r="F54" s="4" t="str">
        <f>iferror(vlookup(D54,Sheet1!$B$2:$K$500,10,false),"")</f>
        <v/>
      </c>
      <c r="G54" s="4" t="str">
        <f>IF(ISNA(vlookup(D54,DataExport!$D$2:$D$481,1,false)), "Belum", "Sudah")</f>
        <v>Belum</v>
      </c>
    </row>
    <row r="55">
      <c r="A55" s="3" t="str">
        <f t="shared" si="1"/>
        <v/>
      </c>
      <c r="F55" s="4" t="str">
        <f>iferror(vlookup(D55,Sheet1!$B$2:$K$500,10,false),"")</f>
        <v/>
      </c>
      <c r="G55" s="4" t="str">
        <f>IF(ISNA(vlookup(D55,DataExport!$D$2:$D$481,1,false)), "Belum", "Sudah")</f>
        <v>Belum</v>
      </c>
    </row>
    <row r="56">
      <c r="A56" s="3" t="str">
        <f t="shared" si="1"/>
        <v/>
      </c>
      <c r="F56" s="4" t="str">
        <f>iferror(vlookup(D56,Sheet1!$B$2:$K$500,10,false),"")</f>
        <v/>
      </c>
      <c r="G56" s="4" t="str">
        <f>IF(ISNA(vlookup(D56,DataExport!$D$2:$D$481,1,false)), "Belum", "Sudah")</f>
        <v>Belum</v>
      </c>
    </row>
    <row r="57">
      <c r="A57" s="3" t="str">
        <f t="shared" si="1"/>
        <v/>
      </c>
      <c r="F57" s="4" t="str">
        <f>iferror(vlookup(D57,Sheet1!$B$2:$K$500,10,false),"")</f>
        <v/>
      </c>
      <c r="G57" s="4" t="str">
        <f>IF(ISNA(vlookup(D57,DataExport!$D$2:$D$481,1,false)), "Belum", "Sudah")</f>
        <v>Belum</v>
      </c>
    </row>
    <row r="58">
      <c r="A58" s="3" t="str">
        <f t="shared" si="1"/>
        <v/>
      </c>
      <c r="F58" s="4" t="str">
        <f>iferror(vlookup(D58,Sheet1!$B$2:$K$500,10,false),"")</f>
        <v/>
      </c>
      <c r="G58" s="4" t="str">
        <f>IF(ISNA(vlookup(D58,DataExport!$D$2:$D$481,1,false)), "Belum", "Sudah")</f>
        <v>Belum</v>
      </c>
    </row>
    <row r="59">
      <c r="A59" s="3" t="str">
        <f t="shared" si="1"/>
        <v/>
      </c>
      <c r="F59" s="4" t="str">
        <f>iferror(vlookup(D59,Sheet1!$B$2:$K$500,10,false),"")</f>
        <v/>
      </c>
      <c r="G59" s="4" t="str">
        <f>IF(ISNA(vlookup(D59,DataExport!$D$2:$D$481,1,false)), "Belum", "Sudah")</f>
        <v>Belum</v>
      </c>
    </row>
    <row r="60">
      <c r="A60" s="3" t="str">
        <f t="shared" si="1"/>
        <v/>
      </c>
      <c r="F60" s="4" t="str">
        <f>iferror(vlookup(D60,Sheet1!$B$2:$K$500,10,false),"")</f>
        <v/>
      </c>
      <c r="G60" s="4" t="str">
        <f>IF(ISNA(vlookup(D60,DataExport!$D$2:$D$481,1,false)), "Belum", "Sudah")</f>
        <v>Belum</v>
      </c>
    </row>
    <row r="61">
      <c r="A61" s="3" t="str">
        <f t="shared" si="1"/>
        <v/>
      </c>
      <c r="F61" s="4" t="str">
        <f>iferror(vlookup(D61,Sheet1!$B$2:$K$500,10,false),"")</f>
        <v/>
      </c>
      <c r="G61" s="4" t="str">
        <f>IF(ISNA(vlookup(D61,DataExport!$D$2:$D$481,1,false)), "Belum", "Sudah")</f>
        <v>Belum</v>
      </c>
    </row>
    <row r="62">
      <c r="A62" s="3" t="str">
        <f t="shared" si="1"/>
        <v/>
      </c>
      <c r="F62" s="4" t="str">
        <f>iferror(vlookup(D62,Sheet1!$B$2:$K$500,10,false),"")</f>
        <v/>
      </c>
      <c r="G62" s="4" t="str">
        <f>IF(ISNA(vlookup(D62,DataExport!$D$2:$D$481,1,false)), "Belum", "Sudah")</f>
        <v>Belum</v>
      </c>
    </row>
    <row r="63">
      <c r="A63" s="3" t="str">
        <f t="shared" si="1"/>
        <v/>
      </c>
      <c r="F63" s="4" t="str">
        <f>iferror(vlookup(D63,Sheet1!$B$2:$K$500,10,false),"")</f>
        <v/>
      </c>
      <c r="G63" s="4" t="str">
        <f>IF(ISNA(vlookup(D63,DataExport!$D$2:$D$481,1,false)), "Belum", "Sudah")</f>
        <v>Belum</v>
      </c>
    </row>
    <row r="64">
      <c r="A64" s="3" t="str">
        <f t="shared" si="1"/>
        <v/>
      </c>
      <c r="F64" s="4" t="str">
        <f>iferror(vlookup(D64,Sheet1!$B$2:$K$500,10,false),"")</f>
        <v/>
      </c>
      <c r="G64" s="4" t="str">
        <f>IF(ISNA(vlookup(D64,DataExport!$D$2:$D$481,1,false)), "Belum", "Sudah")</f>
        <v>Belum</v>
      </c>
    </row>
    <row r="65">
      <c r="A65" s="3" t="str">
        <f t="shared" si="1"/>
        <v/>
      </c>
      <c r="F65" s="4" t="str">
        <f>iferror(vlookup(D65,Sheet1!$B$2:$K$500,10,false),"")</f>
        <v/>
      </c>
      <c r="G65" s="4" t="str">
        <f>IF(ISNA(vlookup(D65,DataExport!$D$2:$D$481,1,false)), "Belum", "Sudah")</f>
        <v>Belum</v>
      </c>
    </row>
    <row r="66">
      <c r="A66" s="3" t="str">
        <f t="shared" si="1"/>
        <v/>
      </c>
      <c r="F66" s="4" t="str">
        <f>iferror(vlookup(D66,Sheet1!$B$2:$K$500,10,false),"")</f>
        <v/>
      </c>
      <c r="G66" s="4" t="str">
        <f>IF(ISNA(vlookup(D66,DataExport!$D$2:$D$481,1,false)), "Belum", "Sudah")</f>
        <v>Belum</v>
      </c>
    </row>
    <row r="67">
      <c r="A67" s="3" t="str">
        <f t="shared" si="1"/>
        <v/>
      </c>
      <c r="F67" s="4" t="str">
        <f>iferror(vlookup(D67,Sheet1!$B$2:$K$500,10,false),"")</f>
        <v/>
      </c>
      <c r="G67" s="4" t="str">
        <f>IF(ISNA(vlookup(D67,DataExport!$D$2:$D$481,1,false)), "Belum", "Sudah")</f>
        <v>Belum</v>
      </c>
    </row>
    <row r="68">
      <c r="A68" s="3" t="str">
        <f t="shared" si="1"/>
        <v/>
      </c>
      <c r="F68" s="4" t="str">
        <f>iferror(vlookup(D68,Sheet1!$B$2:$K$500,10,false),"")</f>
        <v/>
      </c>
      <c r="G68" s="4" t="str">
        <f>IF(ISNA(vlookup(D68,DataExport!$D$2:$D$481,1,false)), "Belum", "Sudah")</f>
        <v>Belum</v>
      </c>
    </row>
    <row r="69">
      <c r="A69" s="3" t="str">
        <f t="shared" si="1"/>
        <v/>
      </c>
      <c r="F69" s="4" t="str">
        <f>iferror(vlookup(D69,Sheet1!$B$2:$K$500,10,false),"")</f>
        <v/>
      </c>
      <c r="G69" s="4" t="str">
        <f>IF(ISNA(vlookup(D69,DataExport!$D$2:$D$481,1,false)), "Belum", "Sudah")</f>
        <v>Belum</v>
      </c>
    </row>
    <row r="70">
      <c r="A70" s="3" t="str">
        <f t="shared" si="1"/>
        <v/>
      </c>
      <c r="F70" s="4" t="str">
        <f>iferror(vlookup(D70,Sheet1!$B$2:$K$500,10,false),"")</f>
        <v/>
      </c>
      <c r="G70" s="4" t="str">
        <f>IF(ISNA(vlookup(D70,DataExport!$D$2:$D$481,1,false)), "Belum", "Sudah")</f>
        <v>Belum</v>
      </c>
    </row>
    <row r="71">
      <c r="A71" s="3" t="str">
        <f t="shared" si="1"/>
        <v/>
      </c>
      <c r="F71" s="4" t="str">
        <f>iferror(vlookup(D71,Sheet1!$B$2:$K$500,10,false),"")</f>
        <v/>
      </c>
      <c r="G71" s="4" t="str">
        <f>IF(ISNA(vlookup(D71,DataExport!$D$2:$D$481,1,false)), "Belum", "Sudah")</f>
        <v>Belum</v>
      </c>
    </row>
    <row r="72">
      <c r="A72" s="3" t="str">
        <f t="shared" si="1"/>
        <v/>
      </c>
      <c r="F72" s="4" t="str">
        <f>iferror(vlookup(D72,Sheet1!$B$2:$K$500,10,false),"")</f>
        <v/>
      </c>
      <c r="G72" s="4" t="str">
        <f>IF(ISNA(vlookup(D72,DataExport!$D$2:$D$481,1,false)), "Belum", "Sudah")</f>
        <v>Belum</v>
      </c>
    </row>
    <row r="73">
      <c r="A73" s="3" t="str">
        <f t="shared" si="1"/>
        <v/>
      </c>
      <c r="F73" s="4" t="str">
        <f>iferror(vlookup(D73,Sheet1!$B$2:$K$500,10,false),"")</f>
        <v/>
      </c>
      <c r="G73" s="4" t="str">
        <f>IF(ISNA(vlookup(D73,DataExport!$D$2:$D$481,1,false)), "Belum", "Sudah")</f>
        <v>Belum</v>
      </c>
    </row>
    <row r="74">
      <c r="A74" s="3" t="str">
        <f t="shared" si="1"/>
        <v/>
      </c>
      <c r="F74" s="4" t="str">
        <f>iferror(vlookup(D74,Sheet1!$B$2:$K$500,10,false),"")</f>
        <v/>
      </c>
      <c r="G74" s="4" t="str">
        <f>IF(ISNA(vlookup(D74,DataExport!$D$2:$D$481,1,false)), "Belum", "Sudah")</f>
        <v>Belum</v>
      </c>
    </row>
    <row r="75">
      <c r="A75" s="3" t="str">
        <f t="shared" si="1"/>
        <v/>
      </c>
      <c r="F75" s="4" t="str">
        <f>iferror(vlookup(D75,Sheet1!$B$2:$K$500,10,false),"")</f>
        <v/>
      </c>
      <c r="G75" s="4" t="str">
        <f>IF(ISNA(vlookup(D75,DataExport!$D$2:$D$481,1,false)), "Belum", "Sudah")</f>
        <v>Belum</v>
      </c>
    </row>
    <row r="76">
      <c r="A76" s="3" t="str">
        <f t="shared" si="1"/>
        <v/>
      </c>
      <c r="F76" s="4" t="str">
        <f>iferror(vlookup(D76,Sheet1!$B$2:$K$500,10,false),"")</f>
        <v/>
      </c>
      <c r="G76" s="4" t="str">
        <f>IF(ISNA(vlookup(D76,DataExport!$D$2:$D$481,1,false)), "Belum", "Sudah")</f>
        <v>Belum</v>
      </c>
    </row>
    <row r="77">
      <c r="A77" s="3" t="str">
        <f t="shared" si="1"/>
        <v/>
      </c>
      <c r="F77" s="4" t="str">
        <f>iferror(vlookup(D77,Sheet1!$B$2:$K$500,10,false),"")</f>
        <v/>
      </c>
      <c r="G77" s="4" t="str">
        <f>IF(ISNA(vlookup(D77,DataExport!$D$2:$D$481,1,false)), "Belum", "Sudah")</f>
        <v>Belum</v>
      </c>
    </row>
    <row r="78">
      <c r="A78" s="3" t="str">
        <f t="shared" si="1"/>
        <v/>
      </c>
      <c r="F78" s="4" t="str">
        <f>iferror(vlookup(D78,Sheet1!$B$2:$K$500,10,false),"")</f>
        <v/>
      </c>
      <c r="G78" s="4" t="str">
        <f>IF(ISNA(vlookup(D78,DataExport!$D$2:$D$481,1,false)), "Belum", "Sudah")</f>
        <v>Belum</v>
      </c>
    </row>
    <row r="79">
      <c r="A79" s="3" t="str">
        <f t="shared" si="1"/>
        <v/>
      </c>
      <c r="F79" s="4" t="str">
        <f>iferror(vlookup(D79,Sheet1!$B$2:$K$500,10,false),"")</f>
        <v/>
      </c>
      <c r="G79" s="4" t="str">
        <f>IF(ISNA(vlookup(D79,DataExport!$D$2:$D$481,1,false)), "Belum", "Sudah")</f>
        <v>Belum</v>
      </c>
    </row>
    <row r="80">
      <c r="A80" s="3" t="str">
        <f t="shared" si="1"/>
        <v/>
      </c>
      <c r="F80" s="4" t="str">
        <f>iferror(vlookup(D80,Sheet1!$B$2:$K$500,10,false),"")</f>
        <v/>
      </c>
      <c r="G80" s="4" t="str">
        <f>IF(ISNA(vlookup(D80,DataExport!$D$2:$D$481,1,false)), "Belum", "Sudah")</f>
        <v>Belum</v>
      </c>
    </row>
    <row r="81">
      <c r="A81" s="3" t="str">
        <f t="shared" si="1"/>
        <v/>
      </c>
      <c r="F81" s="4" t="str">
        <f>iferror(vlookup(D81,Sheet1!$B$2:$K$500,10,false),"")</f>
        <v/>
      </c>
      <c r="G81" s="4" t="str">
        <f>IF(ISNA(vlookup(D81,DataExport!$D$2:$D$481,1,false)), "Belum", "Sudah")</f>
        <v>Belum</v>
      </c>
    </row>
    <row r="82">
      <c r="A82" s="3" t="str">
        <f t="shared" si="1"/>
        <v/>
      </c>
      <c r="F82" s="4" t="str">
        <f>iferror(vlookup(D82,Sheet1!$B$2:$K$500,10,false),"")</f>
        <v/>
      </c>
      <c r="G82" s="4" t="str">
        <f>IF(ISNA(vlookup(D82,DataExport!$D$2:$D$481,1,false)), "Belum", "Sudah")</f>
        <v>Belum</v>
      </c>
    </row>
    <row r="83">
      <c r="A83" s="3" t="str">
        <f t="shared" si="1"/>
        <v/>
      </c>
      <c r="F83" s="4" t="str">
        <f>iferror(vlookup(D83,Sheet1!$B$2:$K$500,10,false),"")</f>
        <v/>
      </c>
      <c r="G83" s="4" t="str">
        <f>IF(ISNA(vlookup(D83,DataExport!$D$2:$D$481,1,false)), "Belum", "Sudah")</f>
        <v>Belum</v>
      </c>
    </row>
    <row r="84">
      <c r="A84" s="3" t="str">
        <f t="shared" si="1"/>
        <v/>
      </c>
      <c r="F84" s="4" t="str">
        <f>iferror(vlookup(D84,Sheet1!$B$2:$K$500,10,false),"")</f>
        <v/>
      </c>
      <c r="G84" s="4" t="str">
        <f>IF(ISNA(vlookup(D84,DataExport!$D$2:$D$481,1,false)), "Belum", "Sudah")</f>
        <v>Belum</v>
      </c>
    </row>
    <row r="85">
      <c r="A85" s="3" t="str">
        <f t="shared" si="1"/>
        <v/>
      </c>
      <c r="F85" s="4" t="str">
        <f>iferror(vlookup(D85,Sheet1!$B$2:$K$500,10,false),"")</f>
        <v/>
      </c>
      <c r="G85" s="4" t="str">
        <f>IF(ISNA(vlookup(D85,DataExport!$D$2:$D$481,1,false)), "Belum", "Sudah")</f>
        <v>Belum</v>
      </c>
    </row>
    <row r="86">
      <c r="A86" s="3" t="str">
        <f t="shared" si="1"/>
        <v/>
      </c>
      <c r="F86" s="4" t="str">
        <f>iferror(vlookup(D86,Sheet1!$B$2:$K$500,10,false),"")</f>
        <v/>
      </c>
      <c r="G86" s="4" t="str">
        <f>IF(ISNA(vlookup(D86,DataExport!$D$2:$D$481,1,false)), "Belum", "Sudah")</f>
        <v>Belum</v>
      </c>
    </row>
    <row r="87">
      <c r="A87" s="3" t="str">
        <f t="shared" si="1"/>
        <v/>
      </c>
      <c r="F87" s="4" t="str">
        <f>iferror(vlookup(D87,Sheet1!$B$2:$K$500,10,false),"")</f>
        <v/>
      </c>
      <c r="G87" s="4" t="str">
        <f>IF(ISNA(vlookup(D87,DataExport!$D$2:$D$481,1,false)), "Belum", "Sudah")</f>
        <v>Belum</v>
      </c>
    </row>
    <row r="88">
      <c r="A88" s="3" t="str">
        <f t="shared" si="1"/>
        <v/>
      </c>
      <c r="F88" s="4" t="str">
        <f>iferror(vlookup(D88,Sheet1!$B$2:$K$500,10,false),"")</f>
        <v/>
      </c>
      <c r="G88" s="4" t="str">
        <f>IF(ISNA(vlookup(D88,DataExport!$D$2:$D$481,1,false)), "Belum", "Sudah")</f>
        <v>Belum</v>
      </c>
    </row>
    <row r="89">
      <c r="A89" s="3" t="str">
        <f t="shared" si="1"/>
        <v/>
      </c>
      <c r="F89" s="4" t="str">
        <f>iferror(vlookup(D89,Sheet1!$B$2:$K$500,10,false),"")</f>
        <v/>
      </c>
      <c r="G89" s="4" t="str">
        <f>IF(ISNA(vlookup(D89,DataExport!$D$2:$D$481,1,false)), "Belum", "Sudah")</f>
        <v>Belum</v>
      </c>
    </row>
    <row r="90">
      <c r="A90" s="3" t="str">
        <f t="shared" si="1"/>
        <v/>
      </c>
      <c r="F90" s="4" t="str">
        <f>iferror(vlookup(D90,Sheet1!$B$2:$K$500,10,false),"")</f>
        <v/>
      </c>
      <c r="G90" s="4" t="str">
        <f>IF(ISNA(vlookup(D90,DataExport!$D$2:$D$481,1,false)), "Belum", "Sudah")</f>
        <v>Belum</v>
      </c>
    </row>
    <row r="91">
      <c r="A91" s="3" t="str">
        <f t="shared" si="1"/>
        <v/>
      </c>
      <c r="F91" s="4" t="str">
        <f>iferror(vlookup(D91,Sheet1!$B$2:$K$500,10,false),"")</f>
        <v/>
      </c>
      <c r="G91" s="4" t="str">
        <f>IF(ISNA(vlookup(D91,DataExport!$D$2:$D$481,1,false)), "Belum", "Sudah")</f>
        <v>Belum</v>
      </c>
    </row>
    <row r="92">
      <c r="A92" s="3" t="str">
        <f t="shared" si="1"/>
        <v/>
      </c>
      <c r="F92" s="4" t="str">
        <f>iferror(vlookup(D92,Sheet1!$B$2:$K$500,10,false),"")</f>
        <v/>
      </c>
      <c r="G92" s="4" t="str">
        <f>IF(ISNA(vlookup(D92,DataExport!$D$2:$D$481,1,false)), "Belum", "Sudah")</f>
        <v>Belum</v>
      </c>
    </row>
    <row r="93">
      <c r="A93" s="3" t="str">
        <f t="shared" si="1"/>
        <v/>
      </c>
      <c r="F93" s="4" t="str">
        <f>iferror(vlookup(D93,Sheet1!$B$2:$K$500,10,false),"")</f>
        <v/>
      </c>
      <c r="G93" s="4" t="str">
        <f>IF(ISNA(vlookup(D93,DataExport!$D$2:$D$481,1,false)), "Belum", "Sudah")</f>
        <v>Belum</v>
      </c>
    </row>
    <row r="94">
      <c r="A94" s="3" t="str">
        <f t="shared" si="1"/>
        <v/>
      </c>
      <c r="F94" s="4" t="str">
        <f>iferror(vlookup(D94,Sheet1!$B$2:$K$500,10,false),"")</f>
        <v/>
      </c>
      <c r="G94" s="4" t="str">
        <f>IF(ISNA(vlookup(D94,DataExport!$D$2:$D$481,1,false)), "Belum", "Sudah")</f>
        <v>Belum</v>
      </c>
    </row>
    <row r="95">
      <c r="A95" s="3" t="str">
        <f t="shared" si="1"/>
        <v/>
      </c>
      <c r="F95" s="4" t="str">
        <f>iferror(vlookup(D95,Sheet1!$B$2:$K$500,10,false),"")</f>
        <v/>
      </c>
      <c r="G95" s="4" t="str">
        <f>IF(ISNA(vlookup(D95,DataExport!$D$2:$D$481,1,false)), "Belum", "Sudah")</f>
        <v>Belum</v>
      </c>
    </row>
    <row r="96">
      <c r="A96" s="3" t="str">
        <f t="shared" si="1"/>
        <v/>
      </c>
      <c r="F96" s="4" t="str">
        <f>iferror(vlookup(D96,Sheet1!$B$2:$K$500,10,false),"")</f>
        <v/>
      </c>
      <c r="G96" s="4" t="str">
        <f>IF(ISNA(vlookup(D96,DataExport!$D$2:$D$481,1,false)), "Belum", "Sudah")</f>
        <v>Belum</v>
      </c>
    </row>
    <row r="97">
      <c r="A97" s="3" t="str">
        <f t="shared" si="1"/>
        <v/>
      </c>
      <c r="F97" s="4" t="str">
        <f>iferror(vlookup(D97,Sheet1!$B$2:$K$500,10,false),"")</f>
        <v/>
      </c>
      <c r="G97" s="4" t="str">
        <f>IF(ISNA(vlookup(D97,DataExport!$D$2:$D$481,1,false)), "Belum", "Sudah")</f>
        <v>Belum</v>
      </c>
    </row>
    <row r="98">
      <c r="A98" s="3" t="str">
        <f t="shared" si="1"/>
        <v/>
      </c>
      <c r="F98" s="4" t="str">
        <f>iferror(vlookup(D98,Sheet1!$B$2:$K$500,10,false),"")</f>
        <v/>
      </c>
      <c r="G98" s="4" t="str">
        <f>IF(ISNA(vlookup(D98,DataExport!$D$2:$D$481,1,false)), "Belum", "Sudah")</f>
        <v>Belum</v>
      </c>
    </row>
    <row r="99">
      <c r="A99" s="3" t="str">
        <f t="shared" si="1"/>
        <v/>
      </c>
      <c r="F99" s="4" t="str">
        <f>iferror(vlookup(D99,Sheet1!$B$2:$K$500,10,false),"")</f>
        <v/>
      </c>
      <c r="G99" s="4" t="str">
        <f>IF(ISNA(vlookup(D99,DataExport!$D$2:$D$481,1,false)), "Belum", "Sudah")</f>
        <v>Belum</v>
      </c>
    </row>
    <row r="100">
      <c r="A100" s="3" t="str">
        <f t="shared" si="1"/>
        <v/>
      </c>
      <c r="F100" s="4" t="str">
        <f>iferror(vlookup(D100,Sheet1!$B$2:$K$500,10,false),"")</f>
        <v/>
      </c>
      <c r="G100" s="4" t="str">
        <f>IF(ISNA(vlookup(D100,DataExport!$D$2:$D$481,1,false)), "Belum", "Sudah")</f>
        <v>Belum</v>
      </c>
    </row>
    <row r="101">
      <c r="A101" s="3" t="str">
        <f t="shared" si="1"/>
        <v/>
      </c>
      <c r="F101" s="4" t="str">
        <f>iferror(vlookup(D101,Sheet1!$B$2:$K$500,10,false),"")</f>
        <v/>
      </c>
      <c r="G101" s="4" t="str">
        <f>IF(ISNA(vlookup(D101,DataExport!$D$2:$D$481,1,false)), "Belum", "Sudah")</f>
        <v>Belum</v>
      </c>
    </row>
    <row r="102">
      <c r="A102" s="3" t="str">
        <f t="shared" si="1"/>
        <v/>
      </c>
      <c r="F102" s="4" t="str">
        <f>iferror(vlookup(D102,Sheet1!$B$2:$K$500,10,false),"")</f>
        <v/>
      </c>
      <c r="G102" s="4" t="str">
        <f>IF(ISNA(vlookup(D102,DataExport!$D$2:$D$481,1,false)), "Belum", "Sudah")</f>
        <v>Belum</v>
      </c>
    </row>
    <row r="103">
      <c r="A103" s="3" t="str">
        <f t="shared" si="1"/>
        <v/>
      </c>
      <c r="F103" s="4" t="str">
        <f>iferror(vlookup(D103,Sheet1!$B$2:$K$500,10,false),"")</f>
        <v/>
      </c>
      <c r="G103" s="4" t="str">
        <f>IF(ISNA(vlookup(D103,DataExport!$D$2:$D$481,1,false)), "Belum", "Sudah")</f>
        <v>Belum</v>
      </c>
    </row>
    <row r="104">
      <c r="A104" s="3" t="str">
        <f t="shared" si="1"/>
        <v/>
      </c>
      <c r="F104" s="4" t="str">
        <f>iferror(vlookup(D104,Sheet1!$B$2:$K$500,10,false),"")</f>
        <v/>
      </c>
      <c r="G104" s="4" t="str">
        <f>IF(ISNA(vlookup(D104,DataExport!$D$2:$D$481,1,false)), "Belum", "Sudah")</f>
        <v>Belum</v>
      </c>
    </row>
    <row r="105">
      <c r="A105" s="3" t="str">
        <f t="shared" si="1"/>
        <v/>
      </c>
      <c r="F105" s="4" t="str">
        <f>iferror(vlookup(D105,Sheet1!$B$2:$K$500,10,false),"")</f>
        <v/>
      </c>
      <c r="G105" s="4" t="str">
        <f>IF(ISNA(vlookup(D105,DataExport!$D$2:$D$481,1,false)), "Belum", "Sudah")</f>
        <v>Belum</v>
      </c>
    </row>
    <row r="106">
      <c r="A106" s="3" t="str">
        <f t="shared" si="1"/>
        <v/>
      </c>
      <c r="F106" s="4" t="str">
        <f>iferror(vlookup(D106,Sheet1!$B$2:$K$500,10,false),"")</f>
        <v/>
      </c>
      <c r="G106" s="4" t="str">
        <f>IF(ISNA(vlookup(D106,DataExport!$D$2:$D$481,1,false)), "Belum", "Sudah")</f>
        <v>Belum</v>
      </c>
    </row>
    <row r="107">
      <c r="A107" s="3" t="str">
        <f t="shared" si="1"/>
        <v/>
      </c>
      <c r="F107" s="4" t="str">
        <f>iferror(vlookup(D107,Sheet1!$B$2:$K$500,10,false),"")</f>
        <v/>
      </c>
      <c r="G107" s="4" t="str">
        <f>IF(ISNA(vlookup(D107,DataExport!$D$2:$D$481,1,false)), "Belum", "Sudah")</f>
        <v>Belum</v>
      </c>
    </row>
    <row r="108">
      <c r="A108" s="3" t="str">
        <f t="shared" si="1"/>
        <v/>
      </c>
      <c r="F108" s="4" t="str">
        <f>iferror(vlookup(D108,Sheet1!$B$2:$K$500,10,false),"")</f>
        <v/>
      </c>
      <c r="G108" s="4" t="str">
        <f>IF(ISNA(vlookup(D108,DataExport!$D$2:$D$481,1,false)), "Belum", "Sudah")</f>
        <v>Belum</v>
      </c>
    </row>
    <row r="109">
      <c r="A109" s="3" t="str">
        <f t="shared" si="1"/>
        <v/>
      </c>
      <c r="F109" s="4" t="str">
        <f>iferror(vlookup(D109,Sheet1!$B$2:$K$500,10,false),"")</f>
        <v/>
      </c>
      <c r="G109" s="4" t="str">
        <f>IF(ISNA(vlookup(D109,DataExport!$D$2:$D$481,1,false)), "Belum", "Sudah")</f>
        <v>Belum</v>
      </c>
    </row>
    <row r="110">
      <c r="A110" s="3" t="str">
        <f t="shared" si="1"/>
        <v/>
      </c>
      <c r="F110" s="4" t="str">
        <f>iferror(vlookup(D110,Sheet1!$B$2:$K$500,10,false),"")</f>
        <v/>
      </c>
      <c r="G110" s="4" t="str">
        <f>IF(ISNA(vlookup(D110,DataExport!$D$2:$D$481,1,false)), "Belum", "Sudah")</f>
        <v>Belum</v>
      </c>
    </row>
    <row r="111">
      <c r="A111" s="3" t="str">
        <f t="shared" si="1"/>
        <v/>
      </c>
      <c r="F111" s="4" t="str">
        <f>iferror(vlookup(D111,Sheet1!$B$2:$K$500,10,false),"")</f>
        <v/>
      </c>
      <c r="G111" s="4" t="str">
        <f>IF(ISNA(vlookup(D111,DataExport!$D$2:$D$481,1,false)), "Belum", "Sudah")</f>
        <v>Belum</v>
      </c>
    </row>
    <row r="112">
      <c r="A112" s="3" t="str">
        <f t="shared" si="1"/>
        <v/>
      </c>
      <c r="F112" s="4" t="str">
        <f>iferror(vlookup(D112,Sheet1!$B$2:$K$500,10,false),"")</f>
        <v/>
      </c>
      <c r="G112" s="4" t="str">
        <f>IF(ISNA(vlookup(D112,DataExport!$D$2:$D$481,1,false)), "Belum", "Sudah")</f>
        <v>Belum</v>
      </c>
    </row>
    <row r="113">
      <c r="A113" s="3" t="str">
        <f t="shared" si="1"/>
        <v/>
      </c>
      <c r="F113" s="4" t="str">
        <f>iferror(vlookup(D113,Sheet1!$B$2:$K$500,10,false),"")</f>
        <v/>
      </c>
      <c r="G113" s="4" t="str">
        <f>IF(ISNA(vlookup(D113,DataExport!$D$2:$D$481,1,false)), "Belum", "Sudah")</f>
        <v>Belum</v>
      </c>
    </row>
    <row r="114">
      <c r="A114" s="3" t="str">
        <f t="shared" si="1"/>
        <v/>
      </c>
      <c r="F114" s="4" t="str">
        <f>iferror(vlookup(D114,Sheet1!$B$2:$K$500,10,false),"")</f>
        <v/>
      </c>
      <c r="G114" s="4" t="str">
        <f>IF(ISNA(vlookup(D114,DataExport!$D$2:$D$481,1,false)), "Belum", "Sudah")</f>
        <v>Belum</v>
      </c>
    </row>
    <row r="115">
      <c r="A115" s="3" t="str">
        <f t="shared" si="1"/>
        <v/>
      </c>
      <c r="F115" s="4" t="str">
        <f>iferror(vlookup(D115,Sheet1!$B$2:$K$500,10,false),"")</f>
        <v/>
      </c>
      <c r="G115" s="4" t="str">
        <f>IF(ISNA(vlookup(D115,DataExport!$D$2:$D$481,1,false)), "Belum", "Sudah")</f>
        <v>Belum</v>
      </c>
    </row>
    <row r="116">
      <c r="A116" s="3" t="str">
        <f t="shared" si="1"/>
        <v/>
      </c>
      <c r="F116" s="4" t="str">
        <f>iferror(vlookup(D116,Sheet1!$B$2:$K$500,10,false),"")</f>
        <v/>
      </c>
      <c r="G116" s="4" t="str">
        <f>IF(ISNA(vlookup(D116,DataExport!$D$2:$D$481,1,false)), "Belum", "Sudah")</f>
        <v>Belum</v>
      </c>
    </row>
    <row r="117">
      <c r="A117" s="3" t="str">
        <f t="shared" si="1"/>
        <v/>
      </c>
      <c r="F117" s="4" t="str">
        <f>iferror(vlookup(D117,Sheet1!$B$2:$K$500,10,false),"")</f>
        <v/>
      </c>
      <c r="G117" s="4" t="str">
        <f>IF(ISNA(vlookup(D117,DataExport!$D$2:$D$481,1,false)), "Belum", "Sudah")</f>
        <v>Belum</v>
      </c>
    </row>
    <row r="118">
      <c r="A118" s="3" t="str">
        <f t="shared" si="1"/>
        <v/>
      </c>
      <c r="F118" s="4" t="str">
        <f>iferror(vlookup(D118,Sheet1!$B$2:$K$500,10,false),"")</f>
        <v/>
      </c>
      <c r="G118" s="4" t="str">
        <f>IF(ISNA(vlookup(D118,DataExport!$D$2:$D$481,1,false)), "Belum", "Sudah")</f>
        <v>Belum</v>
      </c>
    </row>
    <row r="119">
      <c r="A119" s="3" t="str">
        <f t="shared" si="1"/>
        <v/>
      </c>
      <c r="F119" s="4" t="str">
        <f>iferror(vlookup(D119,Sheet1!$B$2:$K$500,10,false),"")</f>
        <v/>
      </c>
      <c r="G119" s="4" t="str">
        <f>IF(ISNA(vlookup(D119,DataExport!$D$2:$D$481,1,false)), "Belum", "Sudah")</f>
        <v>Belum</v>
      </c>
    </row>
    <row r="120">
      <c r="A120" s="3" t="str">
        <f t="shared" si="1"/>
        <v/>
      </c>
      <c r="F120" s="4" t="str">
        <f>iferror(vlookup(D120,Sheet1!$B$2:$K$500,10,false),"")</f>
        <v/>
      </c>
      <c r="G120" s="4" t="str">
        <f>IF(ISNA(vlookup(D120,DataExport!$D$2:$D$481,1,false)), "Belum", "Sudah")</f>
        <v>Belum</v>
      </c>
    </row>
    <row r="121">
      <c r="A121" s="3" t="str">
        <f t="shared" si="1"/>
        <v/>
      </c>
      <c r="F121" s="4" t="str">
        <f>iferror(vlookup(D121,Sheet1!$B$2:$K$500,10,false),"")</f>
        <v/>
      </c>
      <c r="G121" s="4" t="str">
        <f>IF(ISNA(vlookup(D121,DataExport!$D$2:$D$481,1,false)), "Belum", "Sudah")</f>
        <v>Belum</v>
      </c>
    </row>
    <row r="122">
      <c r="A122" s="3" t="str">
        <f t="shared" si="1"/>
        <v/>
      </c>
      <c r="F122" s="4" t="str">
        <f>iferror(vlookup(D122,Sheet1!$B$2:$K$500,10,false),"")</f>
        <v/>
      </c>
      <c r="G122" s="4" t="str">
        <f>IF(ISNA(vlookup(D122,DataExport!$D$2:$D$481,1,false)), "Belum", "Sudah")</f>
        <v>Belum</v>
      </c>
    </row>
    <row r="123">
      <c r="A123" s="3" t="str">
        <f t="shared" si="1"/>
        <v/>
      </c>
      <c r="F123" s="4" t="str">
        <f>iferror(vlookup(D123,Sheet1!$B$2:$K$500,10,false),"")</f>
        <v/>
      </c>
      <c r="G123" s="4" t="str">
        <f>IF(ISNA(vlookup(D123,DataExport!$D$2:$D$481,1,false)), "Belum", "Sudah")</f>
        <v>Belum</v>
      </c>
    </row>
    <row r="124">
      <c r="A124" s="3" t="str">
        <f t="shared" si="1"/>
        <v/>
      </c>
      <c r="F124" s="4" t="str">
        <f>iferror(vlookup(D124,Sheet1!$B$2:$K$500,10,false),"")</f>
        <v/>
      </c>
      <c r="G124" s="4" t="str">
        <f>IF(ISNA(vlookup(D124,DataExport!$D$2:$D$481,1,false)), "Belum", "Sudah")</f>
        <v>Belum</v>
      </c>
    </row>
    <row r="125">
      <c r="A125" s="3" t="str">
        <f t="shared" si="1"/>
        <v/>
      </c>
      <c r="C125" s="10"/>
      <c r="F125" s="4" t="str">
        <f>iferror(vlookup(D125,Sheet1!$B$2:$K$500,10,false),"")</f>
        <v/>
      </c>
      <c r="G125" s="4" t="str">
        <f>IF(ISNA(vlookup(D125,DataExport!$D$2:$D$481,1,false)), "Belum", "Sudah")</f>
        <v>Belum</v>
      </c>
    </row>
    <row r="126">
      <c r="A126" s="3" t="str">
        <f t="shared" si="1"/>
        <v/>
      </c>
      <c r="F126" s="4" t="str">
        <f>iferror(vlookup(D126,Sheet1!$B$2:$K$500,10,false),"")</f>
        <v/>
      </c>
      <c r="G126" s="4" t="str">
        <f>IF(ISNA(vlookup(D126,DataExport!$D$2:$D$481,1,false)), "Belum", "Sudah")</f>
        <v>Belum</v>
      </c>
    </row>
    <row r="127">
      <c r="A127" s="3" t="str">
        <f t="shared" si="1"/>
        <v/>
      </c>
      <c r="F127" s="4" t="str">
        <f>iferror(vlookup(D127,Sheet1!$B$2:$K$500,10,false),"")</f>
        <v/>
      </c>
      <c r="G127" s="4" t="str">
        <f>IF(ISNA(vlookup(D127,DataExport!$D$2:$D$481,1,false)), "Belum", "Sudah")</f>
        <v>Belum</v>
      </c>
    </row>
    <row r="128">
      <c r="A128" s="3" t="str">
        <f t="shared" si="1"/>
        <v/>
      </c>
      <c r="F128" s="4" t="str">
        <f>iferror(vlookup(D128,Sheet1!$B$2:$K$500,10,false),"")</f>
        <v/>
      </c>
      <c r="G128" s="4" t="str">
        <f>IF(ISNA(vlookup(D128,DataExport!$D$2:$D$481,1,false)), "Belum", "Sudah")</f>
        <v>Belum</v>
      </c>
    </row>
    <row r="129">
      <c r="A129" s="3" t="str">
        <f t="shared" si="1"/>
        <v/>
      </c>
      <c r="F129" s="4" t="str">
        <f>iferror(vlookup(D129,Sheet1!$B$2:$K$500,10,false),"")</f>
        <v/>
      </c>
      <c r="G129" s="4" t="str">
        <f>IF(ISNA(vlookup(D129,DataExport!$D$2:$D$481,1,false)), "Belum", "Sudah")</f>
        <v>Belum</v>
      </c>
    </row>
    <row r="130">
      <c r="A130" s="3" t="str">
        <f t="shared" si="1"/>
        <v/>
      </c>
      <c r="F130" s="4" t="str">
        <f>iferror(vlookup(D130,Sheet1!$B$2:$K$500,10,false),"")</f>
        <v/>
      </c>
      <c r="G130" s="4" t="str">
        <f>IF(ISNA(vlookup(D130,DataExport!$D$2:$D$481,1,false)), "Belum", "Sudah")</f>
        <v>Belum</v>
      </c>
    </row>
    <row r="131">
      <c r="A131" s="3" t="str">
        <f t="shared" si="1"/>
        <v/>
      </c>
      <c r="F131" s="4" t="str">
        <f>iferror(vlookup(D131,Sheet1!$B$2:$K$500,10,false),"")</f>
        <v/>
      </c>
      <c r="G131" s="4" t="str">
        <f>IF(ISNA(vlookup(D131,DataExport!$D$2:$D$481,1,false)), "Belum", "Sudah")</f>
        <v>Belum</v>
      </c>
    </row>
    <row r="132">
      <c r="A132" s="3" t="str">
        <f t="shared" si="1"/>
        <v/>
      </c>
      <c r="F132" s="4" t="str">
        <f>iferror(vlookup(D132,Sheet1!$B$2:$K$500,10,false),"")</f>
        <v/>
      </c>
      <c r="G132" s="4" t="str">
        <f>IF(ISNA(vlookup(D132,DataExport!$D$2:$D$481,1,false)), "Belum", "Sudah")</f>
        <v>Belum</v>
      </c>
    </row>
    <row r="133">
      <c r="A133" s="3" t="str">
        <f t="shared" si="1"/>
        <v/>
      </c>
      <c r="F133" s="4" t="str">
        <f>iferror(vlookup(D133,Sheet1!$B$2:$K$500,10,false),"")</f>
        <v/>
      </c>
      <c r="G133" s="4" t="str">
        <f>IF(ISNA(vlookup(D133,DataExport!$D$2:$D$481,1,false)), "Belum", "Sudah")</f>
        <v>Belum</v>
      </c>
    </row>
    <row r="134">
      <c r="A134" s="3" t="str">
        <f t="shared" si="1"/>
        <v/>
      </c>
      <c r="F134" s="4" t="str">
        <f>iferror(vlookup(D134,Sheet1!$B$2:$K$500,10,false),"")</f>
        <v/>
      </c>
      <c r="G134" s="4" t="str">
        <f>IF(ISNA(vlookup(D134,DataExport!$D$2:$D$481,1,false)), "Belum", "Sudah")</f>
        <v>Belum</v>
      </c>
    </row>
    <row r="135">
      <c r="A135" s="3" t="str">
        <f t="shared" si="1"/>
        <v/>
      </c>
      <c r="F135" s="4" t="str">
        <f>iferror(vlookup(D135,Sheet1!$B$2:$K$500,10,false),"")</f>
        <v/>
      </c>
      <c r="G135" s="4" t="str">
        <f>IF(ISNA(vlookup(D135,DataExport!$D$2:$D$481,1,false)), "Belum", "Sudah")</f>
        <v>Belum</v>
      </c>
    </row>
    <row r="136">
      <c r="A136" s="3" t="str">
        <f t="shared" si="1"/>
        <v/>
      </c>
      <c r="F136" s="4" t="str">
        <f>iferror(vlookup(D136,Sheet1!$B$2:$K$500,10,false),"")</f>
        <v/>
      </c>
      <c r="G136" s="4" t="str">
        <f>IF(ISNA(vlookup(D136,DataExport!$D$2:$D$481,1,false)), "Belum", "Sudah")</f>
        <v>Belum</v>
      </c>
    </row>
    <row r="137">
      <c r="A137" s="3" t="str">
        <f t="shared" si="1"/>
        <v/>
      </c>
      <c r="F137" s="4" t="str">
        <f>iferror(vlookup(D137,Sheet1!$B$2:$K$500,10,false),"")</f>
        <v/>
      </c>
      <c r="G137" s="4" t="str">
        <f>IF(ISNA(vlookup(D137,DataExport!$D$2:$D$481,1,false)), "Belum", "Sudah")</f>
        <v>Belum</v>
      </c>
    </row>
    <row r="138">
      <c r="A138" s="3" t="str">
        <f t="shared" si="1"/>
        <v/>
      </c>
      <c r="C138" s="10"/>
      <c r="F138" s="4" t="str">
        <f>iferror(vlookup(D138,Sheet1!$B$2:$K$500,10,false),"")</f>
        <v/>
      </c>
      <c r="G138" s="4" t="str">
        <f>IF(ISNA(vlookup(D138,DataExport!$D$2:$D$481,1,false)), "Belum", "Sudah")</f>
        <v>Belum</v>
      </c>
    </row>
    <row r="139">
      <c r="A139" s="3" t="str">
        <f t="shared" si="1"/>
        <v/>
      </c>
      <c r="F139" s="4" t="str">
        <f>iferror(vlookup(D139,Sheet1!$B$2:$K$500,10,false),"")</f>
        <v/>
      </c>
      <c r="G139" s="4" t="str">
        <f>IF(ISNA(vlookup(D139,DataExport!$D$2:$D$481,1,false)), "Belum", "Sudah")</f>
        <v>Belum</v>
      </c>
    </row>
    <row r="140">
      <c r="A140" s="3" t="str">
        <f t="shared" si="1"/>
        <v/>
      </c>
      <c r="F140" s="4" t="str">
        <f>iferror(vlookup(D140,Sheet1!$B$2:$K$500,10,false),"")</f>
        <v/>
      </c>
      <c r="G140" s="4" t="str">
        <f>IF(ISNA(vlookup(D140,DataExport!$D$2:$D$481,1,false)), "Belum", "Sudah")</f>
        <v>Belum</v>
      </c>
    </row>
    <row r="141">
      <c r="A141" s="3" t="str">
        <f t="shared" si="1"/>
        <v/>
      </c>
      <c r="F141" s="4" t="str">
        <f>iferror(vlookup(D141,Sheet1!$B$2:$K$500,10,false),"")</f>
        <v/>
      </c>
      <c r="G141" s="4" t="str">
        <f>IF(ISNA(vlookup(D141,DataExport!$D$2:$D$481,1,false)), "Belum", "Sudah")</f>
        <v>Belum</v>
      </c>
    </row>
    <row r="142">
      <c r="A142" s="3" t="str">
        <f t="shared" si="1"/>
        <v/>
      </c>
      <c r="F142" s="4" t="str">
        <f>iferror(vlookup(D142,Sheet1!$B$2:$K$500,10,false),"")</f>
        <v/>
      </c>
      <c r="G142" s="4" t="str">
        <f>IF(ISNA(vlookup(D142,DataExport!$D$2:$D$481,1,false)), "Belum", "Sudah")</f>
        <v>Belum</v>
      </c>
    </row>
    <row r="143">
      <c r="A143" s="3" t="str">
        <f t="shared" si="1"/>
        <v/>
      </c>
      <c r="F143" s="4" t="str">
        <f>iferror(vlookup(D143,Sheet1!$B$2:$K$500,10,false),"")</f>
        <v/>
      </c>
      <c r="G143" s="4" t="str">
        <f>IF(ISNA(vlookup(D143,DataExport!$D$2:$D$481,1,false)), "Belum", "Sudah")</f>
        <v>Belum</v>
      </c>
    </row>
    <row r="144">
      <c r="A144" s="3" t="str">
        <f t="shared" si="1"/>
        <v/>
      </c>
      <c r="F144" s="4" t="str">
        <f>iferror(vlookup(D144,Sheet1!$B$2:$K$500,10,false),"")</f>
        <v/>
      </c>
      <c r="G144" s="4" t="str">
        <f>IF(ISNA(vlookup(D144,DataExport!$D$2:$D$481,1,false)), "Belum", "Sudah")</f>
        <v>Belum</v>
      </c>
    </row>
    <row r="145">
      <c r="A145" s="3" t="str">
        <f t="shared" si="1"/>
        <v/>
      </c>
      <c r="F145" s="4" t="str">
        <f>iferror(vlookup(D145,Sheet1!$B$2:$K$500,10,false),"")</f>
        <v/>
      </c>
      <c r="G145" s="4" t="str">
        <f>IF(ISNA(vlookup(D145,DataExport!$D$2:$D$481,1,false)), "Belum", "Sudah")</f>
        <v>Belum</v>
      </c>
    </row>
    <row r="146">
      <c r="A146" s="3" t="str">
        <f t="shared" si="1"/>
        <v/>
      </c>
      <c r="F146" s="4" t="str">
        <f>iferror(vlookup(D146,Sheet1!$B$2:$K$500,10,false),"")</f>
        <v/>
      </c>
      <c r="G146" s="4" t="str">
        <f>IF(ISNA(vlookup(D146,DataExport!$D$2:$D$481,1,false)), "Belum", "Sudah")</f>
        <v>Belum</v>
      </c>
    </row>
    <row r="147">
      <c r="A147" s="3" t="str">
        <f t="shared" si="1"/>
        <v/>
      </c>
      <c r="C147" s="10"/>
      <c r="F147" s="4" t="str">
        <f>iferror(vlookup(D147,Sheet1!$B$2:$K$500,10,false),"")</f>
        <v/>
      </c>
      <c r="G147" s="4" t="str">
        <f>IF(ISNA(vlookup(D147,DataExport!$D$2:$D$481,1,false)), "Belum", "Sudah")</f>
        <v>Belum</v>
      </c>
    </row>
    <row r="148">
      <c r="A148" s="3" t="str">
        <f t="shared" si="1"/>
        <v/>
      </c>
      <c r="F148" s="4" t="str">
        <f>iferror(vlookup(D148,Sheet1!$B$2:$K$500,10,false),"")</f>
        <v/>
      </c>
      <c r="G148" s="4" t="str">
        <f>IF(ISNA(vlookup(D148,DataExport!$D$2:$D$481,1,false)), "Belum", "Sudah")</f>
        <v>Belum</v>
      </c>
    </row>
    <row r="149">
      <c r="A149" s="3" t="str">
        <f t="shared" si="1"/>
        <v/>
      </c>
      <c r="F149" s="4" t="str">
        <f>iferror(vlookup(D149,Sheet1!$B$2:$K$500,10,false),"")</f>
        <v/>
      </c>
      <c r="G149" s="4" t="str">
        <f>IF(ISNA(vlookup(D149,DataExport!$D$2:$D$481,1,false)), "Belum", "Sudah")</f>
        <v>Belum</v>
      </c>
    </row>
    <row r="150">
      <c r="A150" s="3" t="str">
        <f t="shared" si="1"/>
        <v/>
      </c>
      <c r="F150" s="4" t="str">
        <f>iferror(vlookup(D150,Sheet1!$B$2:$K$500,10,false),"")</f>
        <v/>
      </c>
      <c r="G150" s="4" t="str">
        <f>IF(ISNA(vlookup(D150,DataExport!$D$2:$D$481,1,false)), "Belum", "Sudah")</f>
        <v>Belum</v>
      </c>
    </row>
    <row r="151">
      <c r="A151" s="3" t="str">
        <f t="shared" si="1"/>
        <v/>
      </c>
      <c r="F151" s="4" t="str">
        <f>iferror(vlookup(D151,Sheet1!$B$2:$K$500,10,false),"")</f>
        <v/>
      </c>
      <c r="G151" s="4" t="str">
        <f>IF(ISNA(vlookup(D151,DataExport!$D$2:$D$481,1,false)), "Belum", "Sudah")</f>
        <v>Belum</v>
      </c>
    </row>
    <row r="152">
      <c r="A152" s="3" t="str">
        <f t="shared" si="1"/>
        <v/>
      </c>
      <c r="F152" s="4" t="str">
        <f>iferror(vlookup(D152,Sheet1!$B$2:$K$500,10,false),"")</f>
        <v/>
      </c>
      <c r="G152" s="4" t="str">
        <f>IF(ISNA(vlookup(D152,DataExport!$D$2:$D$481,1,false)), "Belum", "Sudah")</f>
        <v>Belum</v>
      </c>
    </row>
    <row r="153">
      <c r="A153" s="3" t="str">
        <f t="shared" si="1"/>
        <v/>
      </c>
      <c r="F153" s="4" t="str">
        <f>iferror(vlookup(D153,Sheet1!$B$2:$K$500,10,false),"")</f>
        <v/>
      </c>
      <c r="G153" s="4" t="str">
        <f>IF(ISNA(vlookup(D153,DataExport!$D$2:$D$481,1,false)), "Belum", "Sudah")</f>
        <v>Belum</v>
      </c>
    </row>
    <row r="154">
      <c r="A154" s="3" t="str">
        <f t="shared" si="1"/>
        <v/>
      </c>
      <c r="F154" s="4" t="str">
        <f>iferror(vlookup(D154,Sheet1!$B$2:$K$500,10,false),"")</f>
        <v/>
      </c>
      <c r="G154" s="4" t="str">
        <f>IF(ISNA(vlookup(D154,DataExport!$D$2:$D$481,1,false)), "Belum", "Sudah")</f>
        <v>Belum</v>
      </c>
    </row>
    <row r="155">
      <c r="A155" s="3" t="str">
        <f t="shared" si="1"/>
        <v/>
      </c>
      <c r="F155" s="4" t="str">
        <f>iferror(vlookup(D155,Sheet1!$B$2:$K$500,10,false),"")</f>
        <v/>
      </c>
      <c r="G155" s="4" t="str">
        <f>IF(ISNA(vlookup(D155,DataExport!$D$2:$D$481,1,false)), "Belum", "Sudah")</f>
        <v>Belum</v>
      </c>
    </row>
    <row r="156">
      <c r="A156" s="3" t="str">
        <f t="shared" si="1"/>
        <v/>
      </c>
      <c r="F156" s="4" t="str">
        <f>iferror(vlookup(D156,Sheet1!$B$2:$K$500,10,false),"")</f>
        <v/>
      </c>
      <c r="G156" s="4" t="str">
        <f>IF(ISNA(vlookup(D156,DataExport!$D$2:$D$481,1,false)), "Belum", "Sudah")</f>
        <v>Belum</v>
      </c>
    </row>
    <row r="157">
      <c r="A157" s="3" t="str">
        <f t="shared" si="1"/>
        <v/>
      </c>
      <c r="F157" s="4" t="str">
        <f>iferror(vlookup(D157,Sheet1!$B$2:$K$500,10,false),"")</f>
        <v/>
      </c>
      <c r="G157" s="4" t="str">
        <f>IF(ISNA(vlookup(D157,DataExport!$D$2:$D$481,1,false)), "Belum", "Sudah")</f>
        <v>Belum</v>
      </c>
    </row>
    <row r="158">
      <c r="A158" s="3" t="str">
        <f t="shared" si="1"/>
        <v/>
      </c>
      <c r="F158" s="4" t="str">
        <f>iferror(vlookup(D158,Sheet1!$B$2:$K$500,10,false),"")</f>
        <v/>
      </c>
      <c r="G158" s="4" t="str">
        <f>IF(ISNA(vlookup(D158,DataExport!$D$2:$D$481,1,false)), "Belum", "Sudah")</f>
        <v>Belum</v>
      </c>
    </row>
    <row r="159">
      <c r="A159" s="3" t="str">
        <f t="shared" si="1"/>
        <v/>
      </c>
      <c r="F159" s="4" t="str">
        <f>iferror(vlookup(D159,Sheet1!$B$2:$K$500,10,false),"")</f>
        <v/>
      </c>
      <c r="G159" s="4" t="str">
        <f>IF(ISNA(vlookup(D159,DataExport!$D$2:$D$481,1,false)), "Belum", "Sudah")</f>
        <v>Belum</v>
      </c>
    </row>
    <row r="160">
      <c r="A160" s="3" t="str">
        <f t="shared" si="1"/>
        <v/>
      </c>
      <c r="F160" s="4" t="str">
        <f>iferror(vlookup(D160,Sheet1!$B$2:$K$500,10,false),"")</f>
        <v/>
      </c>
      <c r="G160" s="4" t="str">
        <f>IF(ISNA(vlookup(D160,DataExport!$D$2:$D$481,1,false)), "Belum", "Sudah")</f>
        <v>Belum</v>
      </c>
    </row>
    <row r="161">
      <c r="A161" s="3" t="str">
        <f t="shared" si="1"/>
        <v/>
      </c>
      <c r="F161" s="4" t="str">
        <f>iferror(vlookup(D161,Sheet1!$B$2:$K$500,10,false),"")</f>
        <v/>
      </c>
      <c r="G161" s="4" t="str">
        <f>IF(ISNA(vlookup(D161,DataExport!$D$2:$D$481,1,false)), "Belum", "Sudah")</f>
        <v>Belum</v>
      </c>
    </row>
    <row r="162">
      <c r="A162" s="3" t="str">
        <f t="shared" si="1"/>
        <v/>
      </c>
      <c r="F162" s="4" t="str">
        <f>iferror(vlookup(D162,Sheet1!$B$2:$K$500,10,false),"")</f>
        <v/>
      </c>
      <c r="G162" s="4" t="str">
        <f>IF(ISNA(vlookup(D162,DataExport!$D$2:$D$481,1,false)), "Belum", "Sudah")</f>
        <v>Belum</v>
      </c>
    </row>
    <row r="163">
      <c r="A163" s="3" t="str">
        <f t="shared" si="1"/>
        <v/>
      </c>
      <c r="F163" s="4" t="str">
        <f>iferror(vlookup(D163,Sheet1!$B$2:$K$500,10,false),"")</f>
        <v/>
      </c>
      <c r="G163" s="4" t="str">
        <f>IF(ISNA(vlookup(D163,DataExport!$D$2:$D$481,1,false)), "Belum", "Sudah")</f>
        <v>Belum</v>
      </c>
    </row>
    <row r="164">
      <c r="A164" s="3" t="str">
        <f t="shared" si="1"/>
        <v/>
      </c>
      <c r="F164" s="4" t="str">
        <f>iferror(vlookup(D164,Sheet1!$B$2:$K$500,10,false),"")</f>
        <v/>
      </c>
      <c r="G164" s="4" t="str">
        <f>IF(ISNA(vlookup(D164,DataExport!$D$2:$D$481,1,false)), "Belum", "Sudah")</f>
        <v>Belum</v>
      </c>
    </row>
    <row r="165">
      <c r="A165" s="3" t="str">
        <f t="shared" si="1"/>
        <v/>
      </c>
      <c r="F165" s="4" t="str">
        <f>iferror(vlookup(D165,Sheet1!$B$2:$K$500,10,false),"")</f>
        <v/>
      </c>
      <c r="G165" s="4" t="str">
        <f>IF(ISNA(vlookup(D165,DataExport!$D$2:$D$481,1,false)), "Belum", "Sudah")</f>
        <v>Belum</v>
      </c>
    </row>
    <row r="166">
      <c r="A166" s="3" t="str">
        <f t="shared" si="1"/>
        <v/>
      </c>
      <c r="F166" s="4" t="str">
        <f>iferror(vlookup(D166,Sheet1!$B$2:$K$500,10,false),"")</f>
        <v/>
      </c>
      <c r="G166" s="4" t="str">
        <f>IF(ISNA(vlookup(D166,DataExport!$D$2:$D$481,1,false)), "Belum", "Sudah")</f>
        <v>Belum</v>
      </c>
    </row>
    <row r="167">
      <c r="A167" s="3" t="str">
        <f t="shared" si="1"/>
        <v/>
      </c>
      <c r="F167" s="4" t="str">
        <f>iferror(vlookup(D167,Sheet1!$B$2:$K$500,10,false),"")</f>
        <v/>
      </c>
      <c r="G167" s="4" t="str">
        <f>IF(ISNA(vlookup(D167,DataExport!$D$2:$D$481,1,false)), "Belum", "Sudah")</f>
        <v>Belum</v>
      </c>
    </row>
    <row r="168">
      <c r="A168" s="3" t="str">
        <f t="shared" si="1"/>
        <v/>
      </c>
      <c r="F168" s="4" t="str">
        <f>iferror(vlookup(D168,Sheet1!$B$2:$K$500,10,false),"")</f>
        <v/>
      </c>
      <c r="G168" s="4" t="str">
        <f>IF(ISNA(vlookup(D168,DataExport!$D$2:$D$481,1,false)), "Belum", "Sudah")</f>
        <v>Belum</v>
      </c>
    </row>
    <row r="169">
      <c r="A169" s="3" t="str">
        <f t="shared" si="1"/>
        <v/>
      </c>
      <c r="F169" s="4" t="str">
        <f>iferror(vlookup(D169,Sheet1!$B$2:$K$500,10,false),"")</f>
        <v/>
      </c>
      <c r="G169" s="4" t="str">
        <f>IF(ISNA(vlookup(D169,DataExport!$D$2:$D$481,1,false)), "Belum", "Sudah")</f>
        <v>Belum</v>
      </c>
    </row>
    <row r="170">
      <c r="A170" s="3" t="str">
        <f t="shared" si="1"/>
        <v/>
      </c>
      <c r="F170" s="4" t="str">
        <f>iferror(vlookup(D170,Sheet1!$B$2:$K$500,10,false),"")</f>
        <v/>
      </c>
      <c r="G170" s="4" t="str">
        <f>IF(ISNA(vlookup(D170,DataExport!$D$2:$D$481,1,false)), "Belum", "Sudah")</f>
        <v>Belum</v>
      </c>
    </row>
    <row r="171">
      <c r="A171" s="3" t="str">
        <f t="shared" si="1"/>
        <v/>
      </c>
      <c r="F171" s="4" t="str">
        <f>iferror(vlookup(D171,Sheet1!$B$2:$K$500,10,false),"")</f>
        <v/>
      </c>
      <c r="G171" s="4" t="str">
        <f>IF(ISNA(vlookup(D171,DataExport!$D$2:$D$481,1,false)), "Belum", "Sudah")</f>
        <v>Belum</v>
      </c>
    </row>
    <row r="172">
      <c r="A172" s="3" t="str">
        <f t="shared" si="1"/>
        <v/>
      </c>
      <c r="F172" s="4" t="str">
        <f>iferror(vlookup(D172,Sheet1!$B$2:$K$500,10,false),"")</f>
        <v/>
      </c>
      <c r="G172" s="4" t="str">
        <f>IF(ISNA(vlookup(D172,DataExport!$D$2:$D$481,1,false)), "Belum", "Sudah")</f>
        <v>Belum</v>
      </c>
    </row>
    <row r="173">
      <c r="A173" s="3" t="str">
        <f t="shared" si="1"/>
        <v/>
      </c>
      <c r="F173" s="4" t="str">
        <f>iferror(vlookup(D173,Sheet1!$B$2:$K$500,10,false),"")</f>
        <v/>
      </c>
      <c r="G173" s="4" t="str">
        <f>IF(ISNA(vlookup(D173,DataExport!$D$2:$D$481,1,false)), "Belum", "Sudah")</f>
        <v>Belum</v>
      </c>
    </row>
    <row r="174">
      <c r="A174" s="3" t="str">
        <f t="shared" si="1"/>
        <v/>
      </c>
      <c r="F174" s="4" t="str">
        <f>iferror(vlookup(D174,Sheet1!$B$2:$K$500,10,false),"")</f>
        <v/>
      </c>
      <c r="G174" s="4" t="str">
        <f>IF(ISNA(vlookup(D174,DataExport!$D$2:$D$481,1,false)), "Belum", "Sudah")</f>
        <v>Belum</v>
      </c>
    </row>
    <row r="175">
      <c r="A175" s="3" t="str">
        <f t="shared" si="1"/>
        <v/>
      </c>
      <c r="F175" s="4" t="str">
        <f>iferror(vlookup(D175,Sheet1!$B$2:$K$500,10,false),"")</f>
        <v/>
      </c>
      <c r="G175" s="4" t="str">
        <f>IF(ISNA(vlookup(D175,DataExport!$D$2:$D$481,1,false)), "Belum", "Sudah")</f>
        <v>Belum</v>
      </c>
    </row>
    <row r="176">
      <c r="A176" s="3" t="str">
        <f t="shared" si="1"/>
        <v/>
      </c>
      <c r="F176" s="4" t="str">
        <f>iferror(vlookup(D176,Sheet1!$B$2:$K$500,10,false),"")</f>
        <v/>
      </c>
      <c r="G176" s="4" t="str">
        <f>IF(ISNA(vlookup(D176,DataExport!$D$2:$D$481,1,false)), "Belum", "Sudah")</f>
        <v>Belum</v>
      </c>
    </row>
    <row r="177">
      <c r="A177" s="3" t="str">
        <f t="shared" si="1"/>
        <v/>
      </c>
      <c r="F177" s="4" t="str">
        <f>iferror(vlookup(D177,Sheet1!$B$2:$K$500,10,false),"")</f>
        <v/>
      </c>
      <c r="G177" s="4" t="str">
        <f>IF(ISNA(vlookup(D177,DataExport!$D$2:$D$481,1,false)), "Belum", "Sudah")</f>
        <v>Belum</v>
      </c>
    </row>
    <row r="178">
      <c r="A178" s="3" t="str">
        <f t="shared" si="1"/>
        <v/>
      </c>
      <c r="F178" s="4" t="str">
        <f>iferror(vlookup(D178,Sheet1!$B$2:$K$500,10,false),"")</f>
        <v/>
      </c>
      <c r="G178" s="4" t="str">
        <f>IF(ISNA(vlookup(D178,DataExport!$D$2:$D$481,1,false)), "Belum", "Sudah")</f>
        <v>Belum</v>
      </c>
    </row>
    <row r="179">
      <c r="A179" s="3" t="str">
        <f t="shared" si="1"/>
        <v/>
      </c>
      <c r="F179" s="4" t="str">
        <f>iferror(vlookup(D179,Sheet1!$B$2:$K$500,10,false),"")</f>
        <v/>
      </c>
      <c r="G179" s="4" t="str">
        <f>IF(ISNA(vlookup(D179,DataExport!$D$2:$D$481,1,false)), "Belum", "Sudah")</f>
        <v>Belum</v>
      </c>
    </row>
    <row r="180">
      <c r="A180" s="3" t="str">
        <f t="shared" si="1"/>
        <v/>
      </c>
      <c r="F180" s="4" t="str">
        <f>iferror(vlookup(D180,Sheet1!$B$2:$K$500,10,false),"")</f>
        <v/>
      </c>
      <c r="G180" s="4" t="str">
        <f>IF(ISNA(vlookup(D180,DataExport!$D$2:$D$481,1,false)), "Belum", "Sudah")</f>
        <v>Belum</v>
      </c>
    </row>
    <row r="181">
      <c r="A181" s="3" t="str">
        <f t="shared" si="1"/>
        <v/>
      </c>
      <c r="F181" s="4" t="str">
        <f>iferror(vlookup(D181,Sheet1!$B$2:$K$500,10,false),"")</f>
        <v/>
      </c>
      <c r="G181" s="4" t="str">
        <f>IF(ISNA(vlookup(D181,DataExport!$D$2:$D$481,1,false)), "Belum", "Sudah")</f>
        <v>Belum</v>
      </c>
    </row>
    <row r="182">
      <c r="A182" s="3" t="str">
        <f t="shared" si="1"/>
        <v/>
      </c>
      <c r="F182" s="4" t="str">
        <f>iferror(vlookup(D182,Sheet1!$B$2:$K$500,10,false),"")</f>
        <v/>
      </c>
      <c r="G182" s="4" t="str">
        <f>IF(ISNA(vlookup(D182,DataExport!$D$2:$D$481,1,false)), "Belum", "Sudah")</f>
        <v>Belum</v>
      </c>
    </row>
    <row r="183">
      <c r="A183" s="3" t="str">
        <f t="shared" si="1"/>
        <v/>
      </c>
      <c r="F183" s="4" t="str">
        <f>iferror(vlookup(D183,Sheet1!$B$2:$K$500,10,false),"")</f>
        <v/>
      </c>
      <c r="G183" s="4" t="str">
        <f>IF(ISNA(vlookup(D183,DataExport!$D$2:$D$481,1,false)), "Belum", "Sudah")</f>
        <v>Belum</v>
      </c>
    </row>
    <row r="184">
      <c r="A184" s="3" t="str">
        <f t="shared" si="1"/>
        <v/>
      </c>
      <c r="F184" s="4" t="str">
        <f>iferror(vlookup(D184,Sheet1!$B$2:$K$500,10,false),"")</f>
        <v/>
      </c>
      <c r="G184" s="4" t="str">
        <f>IF(ISNA(vlookup(D184,DataExport!$D$2:$D$481,1,false)), "Belum", "Sudah")</f>
        <v>Belum</v>
      </c>
    </row>
    <row r="185">
      <c r="A185" s="3" t="str">
        <f t="shared" si="1"/>
        <v/>
      </c>
      <c r="F185" s="4" t="str">
        <f>iferror(vlookup(D185,Sheet1!$B$2:$K$500,10,false),"")</f>
        <v/>
      </c>
      <c r="G185" s="4" t="str">
        <f>IF(ISNA(vlookup(D185,DataExport!$D$2:$D$481,1,false)), "Belum", "Sudah")</f>
        <v>Belum</v>
      </c>
    </row>
    <row r="186">
      <c r="A186" s="3" t="str">
        <f t="shared" si="1"/>
        <v/>
      </c>
      <c r="F186" s="4" t="str">
        <f>iferror(vlookup(D186,Sheet1!$B$2:$K$500,10,false),"")</f>
        <v/>
      </c>
      <c r="G186" s="4" t="str">
        <f>IF(ISNA(vlookup(D186,DataExport!$D$2:$D$481,1,false)), "Belum", "Sudah")</f>
        <v>Belum</v>
      </c>
    </row>
    <row r="187">
      <c r="A187" s="3" t="str">
        <f t="shared" si="1"/>
        <v/>
      </c>
      <c r="F187" s="4" t="str">
        <f>iferror(vlookup(D187,Sheet1!$B$2:$K$500,10,false),"")</f>
        <v/>
      </c>
      <c r="G187" s="4" t="str">
        <f>IF(ISNA(vlookup(D187,DataExport!$D$2:$D$481,1,false)), "Belum", "Sudah")</f>
        <v>Belum</v>
      </c>
    </row>
    <row r="188">
      <c r="A188" s="3" t="str">
        <f t="shared" si="1"/>
        <v/>
      </c>
      <c r="F188" s="4" t="str">
        <f>iferror(vlookup(D188,Sheet1!$B$2:$K$500,10,false),"")</f>
        <v/>
      </c>
      <c r="G188" s="4" t="str">
        <f>IF(ISNA(vlookup(D188,DataExport!$D$2:$D$481,1,false)), "Belum", "Sudah")</f>
        <v>Belum</v>
      </c>
    </row>
    <row r="189">
      <c r="A189" s="3" t="str">
        <f t="shared" si="1"/>
        <v/>
      </c>
      <c r="F189" s="4" t="str">
        <f>iferror(vlookup(D189,Sheet1!$B$2:$K$500,10,false),"")</f>
        <v/>
      </c>
      <c r="G189" s="4" t="str">
        <f>IF(ISNA(vlookup(D189,DataExport!$D$2:$D$481,1,false)), "Belum", "Sudah")</f>
        <v>Belum</v>
      </c>
    </row>
    <row r="190">
      <c r="A190" s="3" t="str">
        <f t="shared" si="1"/>
        <v/>
      </c>
      <c r="F190" s="4" t="str">
        <f>iferror(vlookup(D190,Sheet1!$B$2:$K$500,10,false),"")</f>
        <v/>
      </c>
      <c r="G190" s="4" t="str">
        <f>IF(ISNA(vlookup(D190,DataExport!$D$2:$D$481,1,false)), "Belum", "Sudah")</f>
        <v>Belum</v>
      </c>
    </row>
    <row r="191">
      <c r="A191" s="3" t="str">
        <f t="shared" si="1"/>
        <v/>
      </c>
      <c r="F191" s="4" t="str">
        <f>iferror(vlookup(D191,Sheet1!$B$2:$K$500,10,false),"")</f>
        <v/>
      </c>
      <c r="G191" s="4" t="str">
        <f>IF(ISNA(vlookup(D191,DataExport!$D$2:$D$481,1,false)), "Belum", "Sudah")</f>
        <v>Belum</v>
      </c>
    </row>
    <row r="192">
      <c r="A192" s="3" t="str">
        <f t="shared" si="1"/>
        <v/>
      </c>
      <c r="F192" s="4" t="str">
        <f>iferror(vlookup(D192,Sheet1!$B$2:$K$500,10,false),"")</f>
        <v/>
      </c>
      <c r="G192" s="4" t="str">
        <f>IF(ISNA(vlookup(D192,DataExport!$D$2:$D$481,1,false)), "Belum", "Sudah")</f>
        <v>Belum</v>
      </c>
    </row>
    <row r="193">
      <c r="A193" s="3" t="str">
        <f t="shared" si="1"/>
        <v/>
      </c>
      <c r="F193" s="4" t="str">
        <f>iferror(vlookup(D193,Sheet1!$B$2:$K$500,10,false),"")</f>
        <v/>
      </c>
      <c r="G193" s="4" t="str">
        <f>IF(ISNA(vlookup(D193,DataExport!$D$2:$D$481,1,false)), "Belum", "Sudah")</f>
        <v>Belum</v>
      </c>
    </row>
    <row r="194">
      <c r="A194" s="3" t="str">
        <f t="shared" si="1"/>
        <v/>
      </c>
      <c r="F194" s="4" t="str">
        <f>iferror(vlookup(D194,Sheet1!$B$2:$K$500,10,false),"")</f>
        <v/>
      </c>
      <c r="G194" s="4" t="str">
        <f>IF(ISNA(vlookup(D194,DataExport!$D$2:$D$481,1,false)), "Belum", "Sudah")</f>
        <v>Belum</v>
      </c>
    </row>
    <row r="195">
      <c r="A195" s="3" t="str">
        <f t="shared" si="1"/>
        <v/>
      </c>
      <c r="F195" s="4" t="str">
        <f>iferror(vlookup(D195,Sheet1!$B$2:$K$500,10,false),"")</f>
        <v/>
      </c>
      <c r="G195" s="4" t="str">
        <f>IF(ISNA(vlookup(D195,DataExport!$D$2:$D$481,1,false)), "Belum", "Sudah")</f>
        <v>Belum</v>
      </c>
    </row>
    <row r="196">
      <c r="A196" s="3" t="str">
        <f t="shared" si="1"/>
        <v/>
      </c>
      <c r="F196" s="4" t="str">
        <f>iferror(vlookup(D196,Sheet1!$B$2:$K$500,10,false),"")</f>
        <v/>
      </c>
      <c r="G196" s="4" t="str">
        <f>IF(ISNA(vlookup(D196,DataExport!$D$2:$D$481,1,false)), "Belum", "Sudah")</f>
        <v>Belum</v>
      </c>
    </row>
    <row r="197">
      <c r="A197" s="3" t="str">
        <f t="shared" si="1"/>
        <v/>
      </c>
      <c r="F197" s="4" t="str">
        <f>iferror(vlookup(D197,Sheet1!$B$2:$K$500,10,false),"")</f>
        <v/>
      </c>
      <c r="G197" s="4" t="str">
        <f>IF(ISNA(vlookup(D197,DataExport!$D$2:$D$481,1,false)), "Belum", "Sudah")</f>
        <v>Belum</v>
      </c>
    </row>
    <row r="198">
      <c r="A198" s="3" t="str">
        <f t="shared" si="1"/>
        <v/>
      </c>
      <c r="F198" s="4" t="str">
        <f>iferror(vlookup(D198,Sheet1!$B$2:$K$500,10,false),"")</f>
        <v/>
      </c>
      <c r="G198" s="4" t="str">
        <f>IF(ISNA(vlookup(D198,DataExport!$D$2:$D$481,1,false)), "Belum", "Sudah")</f>
        <v>Belum</v>
      </c>
    </row>
    <row r="199">
      <c r="A199" s="3" t="str">
        <f t="shared" si="1"/>
        <v/>
      </c>
      <c r="F199" s="4" t="str">
        <f>iferror(vlookup(D199,Sheet1!$B$2:$K$500,10,false),"")</f>
        <v/>
      </c>
      <c r="G199" s="4" t="str">
        <f>IF(ISNA(vlookup(D199,DataExport!$D$2:$D$481,1,false)), "Belum", "Sudah")</f>
        <v>Belum</v>
      </c>
    </row>
    <row r="200">
      <c r="A200" s="3" t="str">
        <f t="shared" si="1"/>
        <v/>
      </c>
      <c r="F200" s="4" t="str">
        <f>iferror(vlookup(D200,Sheet1!$B$2:$K$500,10,false),"")</f>
        <v/>
      </c>
      <c r="G200" s="4" t="str">
        <f>IF(ISNA(vlookup(D200,DataExport!$D$2:$D$481,1,false)), "Belum", "Sudah")</f>
        <v>Belum</v>
      </c>
    </row>
    <row r="201">
      <c r="A201" s="3" t="str">
        <f t="shared" si="1"/>
        <v/>
      </c>
      <c r="F201" s="4" t="str">
        <f>iferror(vlookup(D201,Sheet1!$B$2:$K$500,10,false),"")</f>
        <v/>
      </c>
      <c r="G201" s="4" t="str">
        <f>IF(ISNA(vlookup(D201,DataExport!$D$2:$D$481,1,false)), "Belum", "Sudah")</f>
        <v>Belum</v>
      </c>
    </row>
    <row r="202">
      <c r="A202" s="3" t="str">
        <f t="shared" si="1"/>
        <v/>
      </c>
      <c r="F202" s="4" t="str">
        <f>iferror(vlookup(D202,Sheet1!$B$2:$K$500,10,false),"")</f>
        <v/>
      </c>
      <c r="G202" s="4" t="str">
        <f>IF(ISNA(vlookup(D202,DataExport!$D$2:$D$481,1,false)), "Belum", "Sudah")</f>
        <v>Belum</v>
      </c>
    </row>
    <row r="203">
      <c r="A203" s="3" t="str">
        <f t="shared" si="1"/>
        <v/>
      </c>
      <c r="F203" s="4" t="str">
        <f>iferror(vlookup(D203,Sheet1!$B$2:$K$500,10,false),"")</f>
        <v/>
      </c>
      <c r="G203" s="4" t="str">
        <f>IF(ISNA(vlookup(D203,DataExport!$D$2:$D$481,1,false)), "Belum", "Sudah")</f>
        <v>Belum</v>
      </c>
    </row>
    <row r="204">
      <c r="A204" s="3" t="str">
        <f t="shared" si="1"/>
        <v/>
      </c>
      <c r="F204" s="4" t="str">
        <f>iferror(vlookup(D204,Sheet1!$B$2:$K$500,10,false),"")</f>
        <v/>
      </c>
      <c r="G204" s="4" t="str">
        <f>IF(ISNA(vlookup(D204,DataExport!$D$2:$D$481,1,false)), "Belum", "Sudah")</f>
        <v>Belum</v>
      </c>
    </row>
    <row r="205">
      <c r="A205" s="3" t="str">
        <f t="shared" si="1"/>
        <v/>
      </c>
      <c r="F205" s="4" t="str">
        <f>iferror(vlookup(D205,Sheet1!$B$2:$K$500,10,false),"")</f>
        <v/>
      </c>
      <c r="G205" s="4" t="str">
        <f>IF(ISNA(vlookup(D205,DataExport!$D$2:$D$481,1,false)), "Belum", "Sudah")</f>
        <v>Belum</v>
      </c>
    </row>
    <row r="206">
      <c r="A206" s="3" t="str">
        <f t="shared" si="1"/>
        <v/>
      </c>
      <c r="F206" s="4" t="str">
        <f>iferror(vlookup(D206,Sheet1!$B$2:$K$500,10,false),"")</f>
        <v/>
      </c>
      <c r="G206" s="4" t="str">
        <f>IF(ISNA(vlookup(D206,DataExport!$D$2:$D$481,1,false)), "Belum", "Sudah")</f>
        <v>Belum</v>
      </c>
    </row>
    <row r="207">
      <c r="A207" s="3" t="str">
        <f t="shared" si="1"/>
        <v/>
      </c>
      <c r="F207" s="4" t="str">
        <f>iferror(vlookup(D207,Sheet1!$B$2:$K$500,10,false),"")</f>
        <v/>
      </c>
      <c r="G207" s="4" t="str">
        <f>IF(ISNA(vlookup(D207,DataExport!$D$2:$D$481,1,false)), "Belum", "Sudah")</f>
        <v>Belum</v>
      </c>
    </row>
    <row r="208">
      <c r="A208" s="3" t="str">
        <f t="shared" si="1"/>
        <v/>
      </c>
      <c r="F208" s="4" t="str">
        <f>iferror(vlookup(D208,Sheet1!$B$2:$K$500,10,false),"")</f>
        <v/>
      </c>
      <c r="G208" s="4" t="str">
        <f>IF(ISNA(vlookup(D208,DataExport!$D$2:$D$481,1,false)), "Belum", "Sudah")</f>
        <v>Belum</v>
      </c>
    </row>
    <row r="209">
      <c r="A209" s="3" t="str">
        <f t="shared" si="1"/>
        <v/>
      </c>
      <c r="F209" s="4" t="str">
        <f>iferror(vlookup(D209,Sheet1!$B$2:$K$500,10,false),"")</f>
        <v/>
      </c>
      <c r="G209" s="4" t="str">
        <f>IF(ISNA(vlookup(D209,DataExport!$D$2:$D$481,1,false)), "Belum", "Sudah")</f>
        <v>Belum</v>
      </c>
    </row>
    <row r="210">
      <c r="A210" s="3" t="str">
        <f t="shared" si="1"/>
        <v/>
      </c>
      <c r="F210" s="4" t="str">
        <f>iferror(vlookup(D210,Sheet1!$B$2:$K$500,10,false),"")</f>
        <v/>
      </c>
      <c r="G210" s="4" t="str">
        <f>IF(ISNA(vlookup(D210,DataExport!$D$2:$D$481,1,false)), "Belum", "Sudah")</f>
        <v>Belum</v>
      </c>
    </row>
    <row r="211">
      <c r="A211" s="3" t="str">
        <f t="shared" si="1"/>
        <v/>
      </c>
      <c r="F211" s="4" t="str">
        <f>iferror(vlookup(D211,Sheet1!$B$2:$K$500,10,false),"")</f>
        <v/>
      </c>
      <c r="G211" s="4" t="str">
        <f>IF(ISNA(vlookup(D211,DataExport!$D$2:$D$481,1,false)), "Belum", "Sudah")</f>
        <v>Belum</v>
      </c>
    </row>
    <row r="212">
      <c r="A212" s="3" t="str">
        <f t="shared" si="1"/>
        <v/>
      </c>
      <c r="F212" s="4" t="str">
        <f>iferror(vlookup(D212,Sheet1!$B$2:$K$500,10,false),"")</f>
        <v/>
      </c>
      <c r="G212" s="4" t="str">
        <f>IF(ISNA(vlookup(D212,DataExport!$D$2:$D$481,1,false)), "Belum", "Sudah")</f>
        <v>Belum</v>
      </c>
    </row>
    <row r="213">
      <c r="A213" s="3" t="str">
        <f t="shared" si="1"/>
        <v/>
      </c>
      <c r="F213" s="4" t="str">
        <f>iferror(vlookup(D213,Sheet1!$B$2:$K$500,10,false),"")</f>
        <v/>
      </c>
      <c r="G213" s="4" t="str">
        <f>IF(ISNA(vlookup(D213,DataExport!$D$2:$D$481,1,false)), "Belum", "Sudah")</f>
        <v>Belum</v>
      </c>
    </row>
    <row r="214">
      <c r="A214" s="3" t="str">
        <f t="shared" si="1"/>
        <v/>
      </c>
      <c r="F214" s="4" t="str">
        <f>iferror(vlookup(D214,Sheet1!$B$2:$K$500,10,false),"")</f>
        <v/>
      </c>
      <c r="G214" s="4" t="str">
        <f>IF(ISNA(vlookup(D214,DataExport!$D$2:$D$481,1,false)), "Belum", "Sudah")</f>
        <v>Belum</v>
      </c>
    </row>
    <row r="215">
      <c r="A215" s="3" t="str">
        <f t="shared" si="1"/>
        <v/>
      </c>
      <c r="F215" s="4" t="str">
        <f>iferror(vlookup(D215,Sheet1!$B$2:$K$500,10,false),"")</f>
        <v/>
      </c>
      <c r="G215" s="4" t="str">
        <f>IF(ISNA(vlookup(D215,DataExport!$D$2:$D$481,1,false)), "Belum", "Sudah")</f>
        <v>Belum</v>
      </c>
    </row>
    <row r="216">
      <c r="A216" s="3" t="str">
        <f t="shared" si="1"/>
        <v/>
      </c>
      <c r="F216" s="4" t="str">
        <f>iferror(vlookup(D216,Sheet1!$B$2:$K$500,10,false),"")</f>
        <v/>
      </c>
      <c r="G216" s="4" t="str">
        <f>IF(ISNA(vlookup(D216,DataExport!$D$2:$D$481,1,false)), "Belum", "Sudah")</f>
        <v>Belum</v>
      </c>
    </row>
    <row r="217">
      <c r="A217" s="3" t="str">
        <f t="shared" si="1"/>
        <v/>
      </c>
      <c r="F217" s="4" t="str">
        <f>iferror(vlookup(D217,Sheet1!$B$2:$K$500,10,false),"")</f>
        <v/>
      </c>
      <c r="G217" s="4" t="str">
        <f>IF(ISNA(vlookup(D217,DataExport!$D$2:$D$481,1,false)), "Belum", "Sudah")</f>
        <v>Belum</v>
      </c>
    </row>
    <row r="218">
      <c r="A218" s="3" t="str">
        <f t="shared" si="1"/>
        <v/>
      </c>
      <c r="F218" s="4" t="str">
        <f>iferror(vlookup(D218,Sheet1!$B$2:$K$500,10,false),"")</f>
        <v/>
      </c>
      <c r="G218" s="4" t="str">
        <f>IF(ISNA(vlookup(D218,DataExport!$D$2:$D$481,1,false)), "Belum", "Sudah")</f>
        <v>Belum</v>
      </c>
    </row>
    <row r="219">
      <c r="A219" s="3" t="str">
        <f t="shared" si="1"/>
        <v/>
      </c>
      <c r="F219" s="4" t="str">
        <f>iferror(vlookup(D219,Sheet1!$B$2:$K$500,10,false),"")</f>
        <v/>
      </c>
      <c r="G219" s="4" t="str">
        <f>IF(ISNA(vlookup(D219,DataExport!$D$2:$D$481,1,false)), "Belum", "Sudah")</f>
        <v>Belum</v>
      </c>
    </row>
    <row r="220">
      <c r="A220" s="3" t="str">
        <f t="shared" si="1"/>
        <v/>
      </c>
      <c r="F220" s="4" t="str">
        <f>iferror(vlookup(D220,Sheet1!$B$2:$K$500,10,false),"")</f>
        <v/>
      </c>
      <c r="G220" s="4" t="str">
        <f>IF(ISNA(vlookup(D220,DataExport!$D$2:$D$481,1,false)), "Belum", "Sudah")</f>
        <v>Belum</v>
      </c>
    </row>
    <row r="221">
      <c r="A221" s="3" t="str">
        <f t="shared" si="1"/>
        <v/>
      </c>
      <c r="F221" s="4" t="str">
        <f>iferror(vlookup(D221,Sheet1!$B$2:$K$500,10,false),"")</f>
        <v/>
      </c>
      <c r="G221" s="4" t="str">
        <f>IF(ISNA(vlookup(D221,DataExport!$D$2:$D$481,1,false)), "Belum", "Sudah")</f>
        <v>Belum</v>
      </c>
    </row>
    <row r="222">
      <c r="A222" s="3" t="str">
        <f t="shared" si="1"/>
        <v/>
      </c>
      <c r="F222" s="4" t="str">
        <f>iferror(vlookup(D222,Sheet1!$B$2:$K$500,10,false),"")</f>
        <v/>
      </c>
      <c r="G222" s="4" t="str">
        <f>IF(ISNA(vlookup(D222,DataExport!$D$2:$D$481,1,false)), "Belum", "Sudah")</f>
        <v>Belum</v>
      </c>
    </row>
    <row r="223">
      <c r="A223" s="3" t="str">
        <f t="shared" si="1"/>
        <v/>
      </c>
      <c r="F223" s="4" t="str">
        <f>iferror(vlookup(D223,Sheet1!$B$2:$K$500,10,false),"")</f>
        <v/>
      </c>
      <c r="G223" s="4" t="str">
        <f>IF(ISNA(vlookup(D223,DataExport!$D$2:$D$481,1,false)), "Belum", "Sudah")</f>
        <v>Belum</v>
      </c>
    </row>
    <row r="224">
      <c r="A224" s="3" t="str">
        <f t="shared" si="1"/>
        <v/>
      </c>
      <c r="F224" s="4" t="str">
        <f>iferror(vlookup(D224,Sheet1!$B$2:$K$500,10,false),"")</f>
        <v/>
      </c>
      <c r="G224" s="4" t="str">
        <f>IF(ISNA(vlookup(D224,DataExport!$D$2:$D$481,1,false)), "Belum", "Sudah")</f>
        <v>Belum</v>
      </c>
    </row>
    <row r="225">
      <c r="A225" s="3" t="str">
        <f t="shared" si="1"/>
        <v/>
      </c>
      <c r="F225" s="4" t="str">
        <f>iferror(vlookup(D225,Sheet1!$B$2:$K$500,10,false),"")</f>
        <v/>
      </c>
      <c r="G225" s="4" t="str">
        <f>IF(ISNA(vlookup(D225,DataExport!$D$2:$D$481,1,false)), "Belum", "Sudah")</f>
        <v>Belum</v>
      </c>
    </row>
    <row r="226">
      <c r="A226" s="3" t="str">
        <f t="shared" si="1"/>
        <v/>
      </c>
      <c r="F226" s="4" t="str">
        <f>iferror(vlookup(D226,Sheet1!$B$2:$K$500,10,false),"")</f>
        <v/>
      </c>
      <c r="G226" s="4" t="str">
        <f>IF(ISNA(vlookup(D226,DataExport!$D$2:$D$481,1,false)), "Belum", "Sudah")</f>
        <v>Belum</v>
      </c>
    </row>
    <row r="227">
      <c r="A227" s="3" t="str">
        <f t="shared" si="1"/>
        <v/>
      </c>
      <c r="F227" s="4" t="str">
        <f>iferror(vlookup(D227,Sheet1!$B$2:$K$500,10,false),"")</f>
        <v/>
      </c>
      <c r="G227" s="4" t="str">
        <f>IF(ISNA(vlookup(D227,DataExport!$D$2:$D$481,1,false)), "Belum", "Sudah")</f>
        <v>Belum</v>
      </c>
    </row>
    <row r="228">
      <c r="A228" s="3" t="str">
        <f t="shared" si="1"/>
        <v/>
      </c>
      <c r="F228" s="4" t="str">
        <f>iferror(vlookup(D228,Sheet1!$B$2:$K$500,10,false),"")</f>
        <v/>
      </c>
      <c r="G228" s="4" t="str">
        <f>IF(ISNA(vlookup(D228,DataExport!$D$2:$D$481,1,false)), "Belum", "Sudah")</f>
        <v>Belum</v>
      </c>
    </row>
    <row r="229">
      <c r="A229" s="3" t="str">
        <f t="shared" si="1"/>
        <v/>
      </c>
      <c r="F229" s="4" t="str">
        <f>iferror(vlookup(D229,Sheet1!$B$2:$K$500,10,false),"")</f>
        <v/>
      </c>
      <c r="G229" s="4" t="str">
        <f>IF(ISNA(vlookup(D229,DataExport!$D$2:$D$481,1,false)), "Belum", "Sudah")</f>
        <v>Belum</v>
      </c>
    </row>
    <row r="230">
      <c r="A230" s="3" t="str">
        <f t="shared" si="1"/>
        <v/>
      </c>
      <c r="F230" s="4" t="str">
        <f>iferror(vlookup(D230,Sheet1!$B$2:$K$500,10,false),"")</f>
        <v/>
      </c>
      <c r="G230" s="4" t="str">
        <f>IF(ISNA(vlookup(D230,DataExport!$D$2:$D$481,1,false)), "Belum", "Sudah")</f>
        <v>Belum</v>
      </c>
    </row>
    <row r="231">
      <c r="A231" s="3" t="str">
        <f t="shared" si="1"/>
        <v/>
      </c>
      <c r="F231" s="4" t="str">
        <f>iferror(vlookup(D231,Sheet1!$B$2:$K$500,10,false),"")</f>
        <v/>
      </c>
      <c r="G231" s="4" t="str">
        <f>IF(ISNA(vlookup(D231,DataExport!$D$2:$D$481,1,false)), "Belum", "Sudah")</f>
        <v>Belum</v>
      </c>
    </row>
    <row r="232">
      <c r="A232" s="3" t="str">
        <f t="shared" si="1"/>
        <v/>
      </c>
      <c r="F232" s="4" t="str">
        <f>iferror(vlookup(D232,Sheet1!$B$2:$K$500,10,false),"")</f>
        <v/>
      </c>
      <c r="G232" s="4" t="str">
        <f>IF(ISNA(vlookup(D232,DataExport!$D$2:$D$481,1,false)), "Belum", "Sudah")</f>
        <v>Belum</v>
      </c>
    </row>
    <row r="233">
      <c r="A233" s="3" t="str">
        <f t="shared" si="1"/>
        <v/>
      </c>
      <c r="F233" s="4" t="str">
        <f>iferror(vlookup(D233,Sheet1!$B$2:$K$500,10,false),"")</f>
        <v/>
      </c>
      <c r="G233" s="4" t="str">
        <f>IF(ISNA(vlookup(D233,DataExport!$D$2:$D$481,1,false)), "Belum", "Sudah")</f>
        <v>Belum</v>
      </c>
    </row>
    <row r="234">
      <c r="A234" s="3" t="str">
        <f t="shared" si="1"/>
        <v/>
      </c>
      <c r="F234" s="4" t="str">
        <f>iferror(vlookup(D234,Sheet1!$B$2:$K$500,10,false),"")</f>
        <v/>
      </c>
      <c r="G234" s="4" t="str">
        <f>IF(ISNA(vlookup(D234,DataExport!$D$2:$D$481,1,false)), "Belum", "Sudah")</f>
        <v>Belum</v>
      </c>
    </row>
    <row r="235">
      <c r="A235" s="3" t="str">
        <f t="shared" si="1"/>
        <v/>
      </c>
      <c r="F235" s="4" t="str">
        <f>iferror(vlookup(D235,Sheet1!$B$2:$K$500,10,false),"")</f>
        <v/>
      </c>
      <c r="G235" s="4" t="str">
        <f>IF(ISNA(vlookup(D235,DataExport!$D$2:$D$481,1,false)), "Belum", "Sudah")</f>
        <v>Belum</v>
      </c>
    </row>
    <row r="236">
      <c r="A236" s="3" t="str">
        <f t="shared" si="1"/>
        <v/>
      </c>
      <c r="F236" s="4" t="str">
        <f>iferror(vlookup(D236,Sheet1!$B$2:$K$500,10,false),"")</f>
        <v/>
      </c>
      <c r="G236" s="4" t="str">
        <f>IF(ISNA(vlookup(D236,DataExport!$D$2:$D$481,1,false)), "Belum", "Sudah")</f>
        <v>Belum</v>
      </c>
    </row>
    <row r="237">
      <c r="A237" s="3" t="str">
        <f t="shared" si="1"/>
        <v/>
      </c>
      <c r="F237" s="4" t="str">
        <f>iferror(vlookup(D237,Sheet1!$B$2:$K$500,10,false),"")</f>
        <v/>
      </c>
      <c r="G237" s="4" t="str">
        <f>IF(ISNA(vlookup(D237,DataExport!$D$2:$D$481,1,false)), "Belum", "Sudah")</f>
        <v>Belum</v>
      </c>
    </row>
    <row r="238">
      <c r="A238" s="3" t="str">
        <f t="shared" si="1"/>
        <v/>
      </c>
      <c r="F238" s="4" t="str">
        <f>iferror(vlookup(D238,Sheet1!$B$2:$K$500,10,false),"")</f>
        <v/>
      </c>
      <c r="G238" s="4" t="str">
        <f>IF(ISNA(vlookup(D238,DataExport!$D$2:$D$481,1,false)), "Belum", "Sudah")</f>
        <v>Belum</v>
      </c>
    </row>
    <row r="239">
      <c r="A239" s="3" t="str">
        <f t="shared" si="1"/>
        <v/>
      </c>
      <c r="F239" s="4" t="str">
        <f>iferror(vlookup(D239,Sheet1!$B$2:$K$500,10,false),"")</f>
        <v/>
      </c>
      <c r="G239" s="4" t="str">
        <f>IF(ISNA(vlookup(D239,DataExport!$D$2:$D$481,1,false)), "Belum", "Sudah")</f>
        <v>Belum</v>
      </c>
    </row>
    <row r="240">
      <c r="A240" s="3" t="str">
        <f t="shared" si="1"/>
        <v/>
      </c>
      <c r="F240" s="4" t="str">
        <f>iferror(vlookup(D240,Sheet1!$B$2:$K$500,10,false),"")</f>
        <v/>
      </c>
      <c r="G240" s="4" t="str">
        <f>IF(ISNA(vlookup(D240,DataExport!$D$2:$D$481,1,false)), "Belum", "Sudah")</f>
        <v>Belum</v>
      </c>
    </row>
    <row r="241">
      <c r="A241" s="3" t="str">
        <f t="shared" si="1"/>
        <v/>
      </c>
      <c r="F241" s="4" t="str">
        <f>iferror(vlookup(D241,Sheet1!$B$2:$K$500,10,false),"")</f>
        <v/>
      </c>
      <c r="G241" s="4" t="str">
        <f>IF(ISNA(vlookup(D241,DataExport!$D$2:$D$481,1,false)), "Belum", "Sudah")</f>
        <v>Belum</v>
      </c>
    </row>
    <row r="242">
      <c r="A242" s="3" t="str">
        <f t="shared" si="1"/>
        <v/>
      </c>
      <c r="F242" s="4" t="str">
        <f>iferror(vlookup(D242,Sheet1!$B$2:$K$500,10,false),"")</f>
        <v/>
      </c>
      <c r="G242" s="4" t="str">
        <f>IF(ISNA(vlookup(D242,DataExport!$D$2:$D$481,1,false)), "Belum", "Sudah")</f>
        <v>Belum</v>
      </c>
    </row>
    <row r="243">
      <c r="A243" s="3" t="str">
        <f t="shared" si="1"/>
        <v/>
      </c>
      <c r="F243" s="4" t="str">
        <f>iferror(vlookup(D243,Sheet1!$B$2:$K$500,10,false),"")</f>
        <v/>
      </c>
      <c r="G243" s="4" t="str">
        <f>IF(ISNA(vlookup(D243,DataExport!$D$2:$D$481,1,false)), "Belum", "Sudah")</f>
        <v>Belum</v>
      </c>
    </row>
    <row r="244">
      <c r="A244" s="3" t="str">
        <f t="shared" si="1"/>
        <v/>
      </c>
      <c r="F244" s="4" t="str">
        <f>iferror(vlookup(D244,Sheet1!$B$2:$K$500,10,false),"")</f>
        <v/>
      </c>
      <c r="G244" s="4" t="str">
        <f>IF(ISNA(vlookup(D244,DataExport!$D$2:$D$481,1,false)), "Belum", "Sudah")</f>
        <v>Belum</v>
      </c>
    </row>
    <row r="245">
      <c r="A245" s="3" t="str">
        <f t="shared" si="1"/>
        <v/>
      </c>
      <c r="F245" s="4" t="str">
        <f>iferror(vlookup(D245,Sheet1!$B$2:$K$500,10,false),"")</f>
        <v/>
      </c>
      <c r="G245" s="4" t="str">
        <f>IF(ISNA(vlookup(D245,DataExport!$D$2:$D$481,1,false)), "Belum", "Sudah")</f>
        <v>Belum</v>
      </c>
    </row>
    <row r="246">
      <c r="A246" s="3" t="str">
        <f t="shared" si="1"/>
        <v/>
      </c>
      <c r="F246" s="4" t="str">
        <f>iferror(vlookup(D246,Sheet1!$B$2:$K$500,10,false),"")</f>
        <v/>
      </c>
      <c r="G246" s="4" t="str">
        <f>IF(ISNA(vlookup(D246,DataExport!$D$2:$D$481,1,false)), "Belum", "Sudah")</f>
        <v>Belum</v>
      </c>
    </row>
    <row r="247">
      <c r="A247" s="3" t="str">
        <f t="shared" si="1"/>
        <v/>
      </c>
      <c r="F247" s="4" t="str">
        <f>iferror(vlookup(D247,Sheet1!$B$2:$K$500,10,false),"")</f>
        <v/>
      </c>
      <c r="G247" s="4" t="str">
        <f>IF(ISNA(vlookup(D247,DataExport!$D$2:$D$481,1,false)), "Belum", "Sudah")</f>
        <v>Belum</v>
      </c>
    </row>
    <row r="248">
      <c r="A248" s="3" t="str">
        <f t="shared" si="1"/>
        <v/>
      </c>
      <c r="F248" s="4" t="str">
        <f>iferror(vlookup(D248,Sheet1!$B$2:$K$500,10,false),"")</f>
        <v/>
      </c>
      <c r="G248" s="4" t="str">
        <f>IF(ISNA(vlookup(D248,DataExport!$D$2:$D$481,1,false)), "Belum", "Sudah")</f>
        <v>Belum</v>
      </c>
    </row>
    <row r="249">
      <c r="A249" s="3" t="str">
        <f t="shared" si="1"/>
        <v/>
      </c>
      <c r="F249" s="4" t="str">
        <f>iferror(vlookup(D249,Sheet1!$B$2:$K$500,10,false),"")</f>
        <v/>
      </c>
      <c r="G249" s="4" t="str">
        <f>IF(ISNA(vlookup(D249,DataExport!$D$2:$D$481,1,false)), "Belum", "Sudah")</f>
        <v>Belum</v>
      </c>
    </row>
    <row r="250">
      <c r="A250" s="3" t="str">
        <f t="shared" si="1"/>
        <v/>
      </c>
      <c r="F250" s="4" t="str">
        <f>iferror(vlookup(D250,Sheet1!$B$2:$K$500,10,false),"")</f>
        <v/>
      </c>
      <c r="G250" s="4" t="str">
        <f>IF(ISNA(vlookup(D250,DataExport!$D$2:$D$481,1,false)), "Belum", "Sudah")</f>
        <v>Belum</v>
      </c>
    </row>
    <row r="251">
      <c r="A251" s="3" t="str">
        <f t="shared" si="1"/>
        <v/>
      </c>
      <c r="F251" s="4" t="str">
        <f>iferror(vlookup(D251,Sheet1!$B$2:$K$500,10,false),"")</f>
        <v/>
      </c>
      <c r="G251" s="4" t="str">
        <f>IF(ISNA(vlookup(D251,DataExport!$D$2:$D$481,1,false)), "Belum", "Sudah")</f>
        <v>Belum</v>
      </c>
    </row>
    <row r="252">
      <c r="A252" s="3" t="str">
        <f t="shared" si="1"/>
        <v/>
      </c>
      <c r="F252" s="4" t="str">
        <f>iferror(vlookup(D252,Sheet1!$B$2:$K$500,10,false),"")</f>
        <v/>
      </c>
      <c r="G252" s="4" t="str">
        <f>IF(ISNA(vlookup(D252,DataExport!$D$2:$D$481,1,false)), "Belum", "Sudah")</f>
        <v>Belum</v>
      </c>
    </row>
    <row r="253">
      <c r="A253" s="3" t="str">
        <f t="shared" si="1"/>
        <v/>
      </c>
      <c r="F253" s="4" t="str">
        <f>iferror(vlookup(D253,Sheet1!$B$2:$K$500,10,false),"")</f>
        <v/>
      </c>
      <c r="G253" s="4" t="str">
        <f>IF(ISNA(vlookup(D253,DataExport!$D$2:$D$481,1,false)), "Belum", "Sudah")</f>
        <v>Belum</v>
      </c>
    </row>
    <row r="254">
      <c r="A254" s="3" t="str">
        <f t="shared" si="1"/>
        <v/>
      </c>
      <c r="F254" s="4" t="str">
        <f>iferror(vlookup(D254,Sheet1!$B$2:$K$500,10,false),"")</f>
        <v/>
      </c>
      <c r="G254" s="4" t="str">
        <f>IF(ISNA(vlookup(D254,DataExport!$D$2:$D$481,1,false)), "Belum", "Sudah")</f>
        <v>Belum</v>
      </c>
    </row>
    <row r="255">
      <c r="A255" s="3" t="str">
        <f t="shared" si="1"/>
        <v/>
      </c>
      <c r="F255" s="4" t="str">
        <f>iferror(vlookup(D255,Sheet1!$B$2:$K$500,10,false),"")</f>
        <v/>
      </c>
      <c r="G255" s="4" t="str">
        <f>IF(ISNA(vlookup(D255,DataExport!$D$2:$D$481,1,false)), "Belum", "Sudah")</f>
        <v>Belum</v>
      </c>
    </row>
    <row r="256">
      <c r="A256" s="3" t="str">
        <f t="shared" si="1"/>
        <v/>
      </c>
      <c r="F256" s="4" t="str">
        <f>iferror(vlookup(D256,Sheet1!$B$2:$K$500,10,false),"")</f>
        <v/>
      </c>
      <c r="G256" s="4" t="str">
        <f>IF(ISNA(vlookup(D256,DataExport!$D$2:$D$481,1,false)), "Belum", "Sudah")</f>
        <v>Belum</v>
      </c>
    </row>
    <row r="257">
      <c r="A257" s="3" t="str">
        <f t="shared" si="1"/>
        <v/>
      </c>
      <c r="F257" s="4" t="str">
        <f>iferror(vlookup(D257,Sheet1!$B$2:$K$500,10,false),"")</f>
        <v/>
      </c>
      <c r="G257" s="4" t="str">
        <f>IF(ISNA(vlookup(D257,DataExport!$D$2:$D$481,1,false)), "Belum", "Sudah")</f>
        <v>Belum</v>
      </c>
    </row>
    <row r="258">
      <c r="A258" s="3" t="str">
        <f t="shared" si="1"/>
        <v/>
      </c>
      <c r="F258" s="4" t="str">
        <f>iferror(vlookup(D258,Sheet1!$B$2:$K$500,10,false),"")</f>
        <v/>
      </c>
      <c r="G258" s="4" t="str">
        <f>IF(ISNA(vlookup(D258,DataExport!$D$2:$D$481,1,false)), "Belum", "Sudah")</f>
        <v>Belum</v>
      </c>
    </row>
    <row r="259">
      <c r="A259" s="3" t="str">
        <f t="shared" si="1"/>
        <v/>
      </c>
      <c r="F259" s="4" t="str">
        <f>iferror(vlookup(D259,Sheet1!$B$2:$K$500,10,false),"")</f>
        <v/>
      </c>
      <c r="G259" s="4" t="str">
        <f>IF(ISNA(vlookup(D259,DataExport!$D$2:$D$481,1,false)), "Belum", "Sudah")</f>
        <v>Belum</v>
      </c>
    </row>
    <row r="260">
      <c r="A260" s="3" t="str">
        <f t="shared" si="1"/>
        <v/>
      </c>
      <c r="F260" s="4" t="str">
        <f>iferror(vlookup(D260,Sheet1!$B$2:$K$500,10,false),"")</f>
        <v/>
      </c>
      <c r="G260" s="4" t="str">
        <f>IF(ISNA(vlookup(D260,DataExport!$D$2:$D$481,1,false)), "Belum", "Sudah")</f>
        <v>Belum</v>
      </c>
    </row>
    <row r="261">
      <c r="A261" s="3" t="str">
        <f t="shared" si="1"/>
        <v/>
      </c>
      <c r="F261" s="4" t="str">
        <f>iferror(vlookup(D261,Sheet1!$B$2:$K$500,10,false),"")</f>
        <v/>
      </c>
      <c r="G261" s="4" t="str">
        <f>IF(ISNA(vlookup(D261,DataExport!$D$2:$D$481,1,false)), "Belum", "Sudah")</f>
        <v>Belum</v>
      </c>
    </row>
    <row r="262">
      <c r="A262" s="3" t="str">
        <f t="shared" si="1"/>
        <v/>
      </c>
      <c r="F262" s="4" t="str">
        <f>iferror(vlookup(D262,Sheet1!$B$2:$K$500,10,false),"")</f>
        <v/>
      </c>
      <c r="G262" s="4" t="str">
        <f>IF(ISNA(vlookup(D262,DataExport!$D$2:$D$481,1,false)), "Belum", "Sudah")</f>
        <v>Belum</v>
      </c>
    </row>
    <row r="263">
      <c r="A263" s="3" t="str">
        <f t="shared" si="1"/>
        <v/>
      </c>
      <c r="F263" s="4" t="str">
        <f>iferror(vlookup(D263,Sheet1!$B$2:$K$500,10,false),"")</f>
        <v/>
      </c>
      <c r="G263" s="4" t="str">
        <f>IF(ISNA(vlookup(D263,DataExport!$D$2:$D$481,1,false)), "Belum", "Sudah")</f>
        <v>Belum</v>
      </c>
    </row>
    <row r="264">
      <c r="A264" s="3" t="str">
        <f t="shared" si="1"/>
        <v/>
      </c>
      <c r="F264" s="4" t="str">
        <f>iferror(vlookup(D264,Sheet1!$B$2:$K$500,10,false),"")</f>
        <v/>
      </c>
      <c r="G264" s="4" t="str">
        <f>IF(ISNA(vlookup(D264,DataExport!$D$2:$D$481,1,false)), "Belum", "Sudah")</f>
        <v>Belum</v>
      </c>
    </row>
    <row r="265">
      <c r="A265" s="3" t="str">
        <f t="shared" si="1"/>
        <v/>
      </c>
      <c r="F265" s="4" t="str">
        <f>iferror(vlookup(D265,Sheet1!$B$2:$K$500,10,false),"")</f>
        <v/>
      </c>
      <c r="G265" s="4" t="str">
        <f>IF(ISNA(vlookup(D265,DataExport!$D$2:$D$481,1,false)), "Belum", "Sudah")</f>
        <v>Belum</v>
      </c>
    </row>
    <row r="266">
      <c r="A266" s="3" t="str">
        <f t="shared" si="1"/>
        <v/>
      </c>
      <c r="F266" s="4" t="str">
        <f>iferror(vlookup(D266,Sheet1!$B$2:$K$500,10,false),"")</f>
        <v/>
      </c>
      <c r="G266" s="4" t="str">
        <f>IF(ISNA(vlookup(D266,DataExport!$D$2:$D$481,1,false)), "Belum", "Sudah")</f>
        <v>Belum</v>
      </c>
    </row>
    <row r="267">
      <c r="A267" s="3" t="str">
        <f t="shared" si="1"/>
        <v/>
      </c>
      <c r="F267" s="4" t="str">
        <f>iferror(vlookup(D267,Sheet1!$B$2:$K$500,10,false),"")</f>
        <v/>
      </c>
      <c r="G267" s="4" t="str">
        <f>IF(ISNA(vlookup(D267,DataExport!$D$2:$D$481,1,false)), "Belum", "Sudah")</f>
        <v>Belum</v>
      </c>
    </row>
    <row r="268">
      <c r="A268" s="3" t="str">
        <f t="shared" si="1"/>
        <v/>
      </c>
      <c r="F268" s="4" t="str">
        <f>iferror(vlookup(D268,Sheet1!$B$2:$K$500,10,false),"")</f>
        <v/>
      </c>
      <c r="G268" s="4" t="str">
        <f>IF(ISNA(vlookup(D268,DataExport!$D$2:$D$481,1,false)), "Belum", "Sudah")</f>
        <v>Belum</v>
      </c>
    </row>
    <row r="269">
      <c r="A269" s="3" t="str">
        <f t="shared" si="1"/>
        <v/>
      </c>
      <c r="F269" s="4" t="str">
        <f>iferror(vlookup(D269,Sheet1!$B$2:$K$500,10,false),"")</f>
        <v/>
      </c>
      <c r="G269" s="4" t="str">
        <f>IF(ISNA(vlookup(D269,DataExport!$D$2:$D$481,1,false)), "Belum", "Sudah")</f>
        <v>Belum</v>
      </c>
    </row>
    <row r="270">
      <c r="A270" s="3" t="str">
        <f t="shared" si="1"/>
        <v/>
      </c>
      <c r="F270" s="4" t="str">
        <f>iferror(vlookup(D270,Sheet1!$B$2:$K$500,10,false),"")</f>
        <v/>
      </c>
      <c r="G270" s="4" t="str">
        <f>IF(ISNA(vlookup(D270,DataExport!$D$2:$D$481,1,false)), "Belum", "Sudah")</f>
        <v>Belum</v>
      </c>
    </row>
    <row r="271">
      <c r="A271" s="3" t="str">
        <f t="shared" si="1"/>
        <v/>
      </c>
      <c r="F271" s="4" t="str">
        <f>iferror(vlookup(D271,Sheet1!$B$2:$K$500,10,false),"")</f>
        <v/>
      </c>
      <c r="G271" s="4" t="str">
        <f>IF(ISNA(vlookup(D271,DataExport!$D$2:$D$481,1,false)), "Belum", "Sudah")</f>
        <v>Belum</v>
      </c>
    </row>
    <row r="272">
      <c r="A272" s="3" t="str">
        <f t="shared" si="1"/>
        <v/>
      </c>
      <c r="F272" s="4" t="str">
        <f>iferror(vlookup(D272,Sheet1!$B$2:$K$500,10,false),"")</f>
        <v/>
      </c>
      <c r="G272" s="4" t="str">
        <f>IF(ISNA(vlookup(D272,DataExport!$D$2:$D$481,1,false)), "Belum", "Sudah")</f>
        <v>Belum</v>
      </c>
    </row>
    <row r="273">
      <c r="A273" s="3" t="str">
        <f t="shared" si="1"/>
        <v/>
      </c>
      <c r="F273" s="4" t="str">
        <f>iferror(vlookup(D273,Sheet1!$B$2:$K$500,10,false),"")</f>
        <v/>
      </c>
      <c r="G273" s="4" t="str">
        <f>IF(ISNA(vlookup(D273,DataExport!$D$2:$D$481,1,false)), "Belum", "Sudah")</f>
        <v>Belum</v>
      </c>
    </row>
    <row r="274">
      <c r="A274" s="3" t="str">
        <f t="shared" si="1"/>
        <v/>
      </c>
      <c r="F274" s="4" t="str">
        <f>iferror(vlookup(D274,Sheet1!$B$2:$K$500,10,false),"")</f>
        <v/>
      </c>
      <c r="G274" s="4" t="str">
        <f>IF(ISNA(vlookup(D274,DataExport!$D$2:$D$481,1,false)), "Belum", "Sudah")</f>
        <v>Belum</v>
      </c>
    </row>
    <row r="275">
      <c r="A275" s="3" t="str">
        <f t="shared" si="1"/>
        <v/>
      </c>
      <c r="F275" s="4" t="str">
        <f>iferror(vlookup(D275,Sheet1!$B$2:$K$500,10,false),"")</f>
        <v/>
      </c>
      <c r="G275" s="4" t="str">
        <f>IF(ISNA(vlookup(D275,DataExport!$D$2:$D$481,1,false)), "Belum", "Sudah")</f>
        <v>Belum</v>
      </c>
    </row>
    <row r="276">
      <c r="A276" s="3" t="str">
        <f t="shared" si="1"/>
        <v/>
      </c>
      <c r="F276" s="4" t="str">
        <f>iferror(vlookup(D276,Sheet1!$B$2:$K$500,10,false),"")</f>
        <v/>
      </c>
      <c r="G276" s="4" t="str">
        <f>IF(ISNA(vlookup(D276,DataExport!$D$2:$D$481,1,false)), "Belum", "Sudah")</f>
        <v>Belum</v>
      </c>
    </row>
    <row r="277">
      <c r="A277" s="3" t="str">
        <f t="shared" si="1"/>
        <v/>
      </c>
      <c r="F277" s="4" t="str">
        <f>iferror(vlookup(D277,Sheet1!$B$2:$K$500,10,false),"")</f>
        <v/>
      </c>
      <c r="G277" s="4" t="str">
        <f>IF(ISNA(vlookup(D277,DataExport!$D$2:$D$481,1,false)), "Belum", "Sudah")</f>
        <v>Belum</v>
      </c>
    </row>
    <row r="278">
      <c r="A278" s="3" t="str">
        <f t="shared" si="1"/>
        <v/>
      </c>
      <c r="F278" s="4" t="str">
        <f>iferror(vlookup(D278,Sheet1!$B$2:$K$500,10,false),"")</f>
        <v/>
      </c>
      <c r="G278" s="4" t="str">
        <f>IF(ISNA(vlookup(D278,DataExport!$D$2:$D$481,1,false)), "Belum", "Sudah")</f>
        <v>Belum</v>
      </c>
    </row>
    <row r="279">
      <c r="A279" s="3" t="str">
        <f t="shared" si="1"/>
        <v/>
      </c>
      <c r="F279" s="4" t="str">
        <f>iferror(vlookup(D279,Sheet1!$B$2:$K$500,10,false),"")</f>
        <v/>
      </c>
      <c r="G279" s="4" t="str">
        <f>IF(ISNA(vlookup(D279,DataExport!$D$2:$D$481,1,false)), "Belum", "Sudah")</f>
        <v>Belum</v>
      </c>
    </row>
    <row r="280">
      <c r="A280" s="3" t="str">
        <f t="shared" si="1"/>
        <v/>
      </c>
      <c r="F280" s="4" t="str">
        <f>iferror(vlookup(D280,Sheet1!$B$2:$K$500,10,false),"")</f>
        <v/>
      </c>
      <c r="G280" s="4" t="str">
        <f>IF(ISNA(vlookup(D280,DataExport!$D$2:$D$481,1,false)), "Belum", "Sudah")</f>
        <v>Belum</v>
      </c>
    </row>
    <row r="281">
      <c r="A281" s="3" t="str">
        <f t="shared" si="1"/>
        <v/>
      </c>
      <c r="F281" s="4" t="str">
        <f>iferror(vlookup(D281,Sheet1!$B$2:$K$500,10,false),"")</f>
        <v/>
      </c>
      <c r="G281" s="4" t="str">
        <f>IF(ISNA(vlookup(D281,DataExport!$D$2:$D$481,1,false)), "Belum", "Sudah")</f>
        <v>Belum</v>
      </c>
    </row>
    <row r="282">
      <c r="A282" s="3" t="str">
        <f t="shared" si="1"/>
        <v/>
      </c>
      <c r="F282" s="4" t="str">
        <f>iferror(vlookup(D282,Sheet1!$B$2:$K$500,10,false),"")</f>
        <v/>
      </c>
      <c r="G282" s="4" t="str">
        <f>IF(ISNA(vlookup(D282,DataExport!$D$2:$D$481,1,false)), "Belum", "Sudah")</f>
        <v>Belum</v>
      </c>
    </row>
    <row r="283">
      <c r="A283" s="3" t="str">
        <f t="shared" si="1"/>
        <v/>
      </c>
      <c r="F283" s="4" t="str">
        <f>iferror(vlookup(D283,Sheet1!$B$2:$K$500,10,false),"")</f>
        <v/>
      </c>
      <c r="G283" s="4" t="str">
        <f>IF(ISNA(vlookup(D283,DataExport!$D$2:$D$481,1,false)), "Belum", "Sudah")</f>
        <v>Belum</v>
      </c>
    </row>
    <row r="284">
      <c r="A284" s="3" t="str">
        <f t="shared" si="1"/>
        <v/>
      </c>
      <c r="F284" s="4" t="str">
        <f>iferror(vlookup(D284,Sheet1!$B$2:$K$500,10,false),"")</f>
        <v/>
      </c>
      <c r="G284" s="4" t="str">
        <f>IF(ISNA(vlookup(D284,DataExport!$D$2:$D$481,1,false)), "Belum", "Sudah")</f>
        <v>Belum</v>
      </c>
    </row>
    <row r="285">
      <c r="A285" s="3" t="str">
        <f t="shared" si="1"/>
        <v/>
      </c>
      <c r="F285" s="4" t="str">
        <f>iferror(vlookup(D285,Sheet1!$B$2:$K$500,10,false),"")</f>
        <v/>
      </c>
      <c r="G285" s="4" t="str">
        <f>IF(ISNA(vlookup(D285,DataExport!$D$2:$D$481,1,false)), "Belum", "Sudah")</f>
        <v>Belum</v>
      </c>
    </row>
    <row r="286">
      <c r="A286" s="3" t="str">
        <f t="shared" si="1"/>
        <v/>
      </c>
      <c r="F286" s="4" t="str">
        <f>iferror(vlookup(D286,Sheet1!$B$2:$K$500,10,false),"")</f>
        <v/>
      </c>
      <c r="G286" s="4" t="str">
        <f>IF(ISNA(vlookup(D286,DataExport!$D$2:$D$481,1,false)), "Belum", "Sudah")</f>
        <v>Belum</v>
      </c>
    </row>
    <row r="287">
      <c r="A287" s="3" t="str">
        <f t="shared" si="1"/>
        <v/>
      </c>
      <c r="F287" s="4" t="str">
        <f>iferror(vlookup(D287,Sheet1!$B$2:$K$500,10,false),"")</f>
        <v/>
      </c>
      <c r="G287" s="4" t="str">
        <f>IF(ISNA(vlookup(D287,DataExport!$D$2:$D$481,1,false)), "Belum", "Sudah")</f>
        <v>Belum</v>
      </c>
    </row>
    <row r="288">
      <c r="A288" s="3" t="str">
        <f t="shared" si="1"/>
        <v/>
      </c>
      <c r="F288" s="4" t="str">
        <f>iferror(vlookup(D288,Sheet1!$B$2:$K$500,10,false),"")</f>
        <v/>
      </c>
      <c r="G288" s="4" t="str">
        <f>IF(ISNA(vlookup(D288,DataExport!$D$2:$D$481,1,false)), "Belum", "Sudah")</f>
        <v>Belum</v>
      </c>
    </row>
    <row r="289">
      <c r="A289" s="3" t="str">
        <f t="shared" si="1"/>
        <v/>
      </c>
      <c r="F289" s="4" t="str">
        <f>iferror(vlookup(D289,Sheet1!$B$2:$K$500,10,false),"")</f>
        <v/>
      </c>
      <c r="G289" s="4" t="str">
        <f>IF(ISNA(vlookup(D289,DataExport!$D$2:$D$481,1,false)), "Belum", "Sudah")</f>
        <v>Belum</v>
      </c>
    </row>
    <row r="290">
      <c r="A290" s="3" t="str">
        <f t="shared" si="1"/>
        <v/>
      </c>
      <c r="F290" s="4" t="str">
        <f>iferror(vlookup(D290,Sheet1!$B$2:$K$500,10,false),"")</f>
        <v/>
      </c>
      <c r="G290" s="4" t="str">
        <f>IF(ISNA(vlookup(D290,DataExport!$D$2:$D$481,1,false)), "Belum", "Sudah")</f>
        <v>Belum</v>
      </c>
    </row>
    <row r="291">
      <c r="A291" s="3" t="str">
        <f t="shared" si="1"/>
        <v/>
      </c>
      <c r="F291" s="4" t="str">
        <f>iferror(vlookup(D291,Sheet1!$B$2:$K$500,10,false),"")</f>
        <v/>
      </c>
      <c r="G291" s="4" t="str">
        <f>IF(ISNA(vlookup(D291,DataExport!$D$2:$D$481,1,false)), "Belum", "Sudah")</f>
        <v>Belum</v>
      </c>
    </row>
    <row r="292">
      <c r="A292" s="3" t="str">
        <f t="shared" si="1"/>
        <v/>
      </c>
      <c r="F292" s="4" t="str">
        <f>iferror(vlookup(D292,Sheet1!$B$2:$K$500,10,false),"")</f>
        <v/>
      </c>
      <c r="G292" s="4" t="str">
        <f>IF(ISNA(vlookup(D292,DataExport!$D$2:$D$481,1,false)), "Belum", "Sudah")</f>
        <v>Belum</v>
      </c>
    </row>
    <row r="293">
      <c r="A293" s="3" t="str">
        <f t="shared" si="1"/>
        <v/>
      </c>
      <c r="F293" s="4" t="str">
        <f>iferror(vlookup(D293,Sheet1!$B$2:$K$500,10,false),"")</f>
        <v/>
      </c>
      <c r="G293" s="4" t="str">
        <f>IF(ISNA(vlookup(D293,DataExport!$D$2:$D$481,1,false)), "Belum", "Sudah")</f>
        <v>Belum</v>
      </c>
    </row>
    <row r="294">
      <c r="A294" s="3" t="str">
        <f t="shared" si="1"/>
        <v/>
      </c>
      <c r="F294" s="4" t="str">
        <f>iferror(vlookup(D294,Sheet1!$B$2:$K$500,10,false),"")</f>
        <v/>
      </c>
      <c r="G294" s="4" t="str">
        <f>IF(ISNA(vlookup(D294,DataExport!$D$2:$D$481,1,false)), "Belum", "Sudah")</f>
        <v>Belum</v>
      </c>
    </row>
    <row r="295">
      <c r="A295" s="3" t="str">
        <f t="shared" si="1"/>
        <v/>
      </c>
      <c r="F295" s="4" t="str">
        <f>iferror(vlookup(D295,Sheet1!$B$2:$K$500,10,false),"")</f>
        <v/>
      </c>
      <c r="G295" s="4" t="str">
        <f>IF(ISNA(vlookup(D295,DataExport!$D$2:$D$481,1,false)), "Belum", "Sudah")</f>
        <v>Belum</v>
      </c>
    </row>
    <row r="296">
      <c r="A296" s="3" t="str">
        <f t="shared" si="1"/>
        <v/>
      </c>
      <c r="F296" s="4" t="str">
        <f>iferror(vlookup(D296,Sheet1!$B$2:$K$500,10,false),"")</f>
        <v/>
      </c>
      <c r="G296" s="4" t="str">
        <f>IF(ISNA(vlookup(D296,DataExport!$D$2:$D$481,1,false)), "Belum", "Sudah")</f>
        <v>Belum</v>
      </c>
    </row>
    <row r="297">
      <c r="A297" s="3" t="str">
        <f t="shared" si="1"/>
        <v/>
      </c>
      <c r="F297" s="4" t="str">
        <f>iferror(vlookup(D297,Sheet1!$B$2:$K$500,10,false),"")</f>
        <v/>
      </c>
      <c r="G297" s="4" t="str">
        <f>IF(ISNA(vlookup(D297,DataExport!$D$2:$D$481,1,false)), "Belum", "Sudah")</f>
        <v>Belum</v>
      </c>
    </row>
    <row r="298">
      <c r="A298" s="3" t="str">
        <f t="shared" si="1"/>
        <v/>
      </c>
      <c r="F298" s="4" t="str">
        <f>iferror(vlookup(D298,Sheet1!$B$2:$K$500,10,false),"")</f>
        <v/>
      </c>
      <c r="G298" s="4" t="str">
        <f>IF(ISNA(vlookup(D298,DataExport!$D$2:$D$481,1,false)), "Belum", "Sudah")</f>
        <v>Belum</v>
      </c>
    </row>
    <row r="299">
      <c r="A299" s="3" t="str">
        <f t="shared" si="1"/>
        <v/>
      </c>
      <c r="F299" s="4" t="str">
        <f>iferror(vlookup(D299,Sheet1!$B$2:$K$500,10,false),"")</f>
        <v/>
      </c>
      <c r="G299" s="4" t="str">
        <f>IF(ISNA(vlookup(D299,DataExport!$D$2:$D$481,1,false)), "Belum", "Sudah")</f>
        <v>Belum</v>
      </c>
    </row>
    <row r="300">
      <c r="A300" s="3" t="str">
        <f t="shared" si="1"/>
        <v/>
      </c>
      <c r="F300" s="4" t="str">
        <f>iferror(vlookup(D300,Sheet1!$B$2:$K$500,10,false),"")</f>
        <v/>
      </c>
      <c r="G300" s="4" t="str">
        <f>IF(ISNA(vlookup(D300,DataExport!$D$2:$D$481,1,false)), "Belum", "Sudah")</f>
        <v>Belum</v>
      </c>
    </row>
    <row r="301">
      <c r="A301" s="3" t="str">
        <f t="shared" si="1"/>
        <v/>
      </c>
      <c r="F301" s="4" t="str">
        <f>iferror(vlookup(D301,Sheet1!$B$2:$K$500,10,false),"")</f>
        <v/>
      </c>
      <c r="G301" s="4" t="str">
        <f>IF(ISNA(vlookup(D301,DataExport!$D$2:$D$481,1,false)), "Belum", "Sudah")</f>
        <v>Belum</v>
      </c>
    </row>
    <row r="302">
      <c r="A302" s="3" t="str">
        <f t="shared" si="1"/>
        <v/>
      </c>
      <c r="F302" s="4" t="str">
        <f>iferror(vlookup(D302,Sheet1!$B$2:$K$500,10,false),"")</f>
        <v/>
      </c>
      <c r="G302" s="4" t="str">
        <f>IF(ISNA(vlookup(D302,DataExport!$D$2:$D$481,1,false)), "Belum", "Sudah")</f>
        <v>Belum</v>
      </c>
    </row>
    <row r="303">
      <c r="A303" s="3" t="str">
        <f t="shared" si="1"/>
        <v/>
      </c>
      <c r="F303" s="4" t="str">
        <f>iferror(vlookup(D303,Sheet1!$B$2:$K$500,10,false),"")</f>
        <v/>
      </c>
      <c r="G303" s="4" t="str">
        <f>IF(ISNA(vlookup(D303,DataExport!$D$2:$D$481,1,false)), "Belum", "Sudah")</f>
        <v>Belum</v>
      </c>
    </row>
    <row r="304">
      <c r="A304" s="3" t="str">
        <f t="shared" si="1"/>
        <v/>
      </c>
      <c r="F304" s="4" t="str">
        <f>iferror(vlookup(D304,Sheet1!$B$2:$K$500,10,false),"")</f>
        <v/>
      </c>
      <c r="G304" s="4" t="str">
        <f>IF(ISNA(vlookup(D304,DataExport!$D$2:$D$481,1,false)), "Belum", "Sudah")</f>
        <v>Belum</v>
      </c>
    </row>
    <row r="305">
      <c r="A305" s="3" t="str">
        <f t="shared" si="1"/>
        <v/>
      </c>
      <c r="F305" s="4" t="str">
        <f>iferror(vlookup(D305,Sheet1!$B$2:$K$500,10,false),"")</f>
        <v/>
      </c>
      <c r="G305" s="4" t="str">
        <f>IF(ISNA(vlookup(D305,DataExport!$D$2:$D$481,1,false)), "Belum", "Sudah")</f>
        <v>Belum</v>
      </c>
    </row>
    <row r="306">
      <c r="A306" s="3" t="str">
        <f t="shared" si="1"/>
        <v/>
      </c>
      <c r="F306" s="4" t="str">
        <f>iferror(vlookup(D306,Sheet1!$B$2:$K$500,10,false),"")</f>
        <v/>
      </c>
      <c r="G306" s="4" t="str">
        <f>IF(ISNA(vlookup(D306,DataExport!$D$2:$D$481,1,false)), "Belum", "Sudah")</f>
        <v>Belum</v>
      </c>
    </row>
    <row r="307">
      <c r="A307" s="3" t="str">
        <f t="shared" si="1"/>
        <v/>
      </c>
      <c r="F307" s="4" t="str">
        <f>iferror(vlookup(D307,Sheet1!$B$2:$K$500,10,false),"")</f>
        <v/>
      </c>
      <c r="G307" s="4" t="str">
        <f>IF(ISNA(vlookup(D307,DataExport!$D$2:$D$481,1,false)), "Belum", "Sudah")</f>
        <v>Belum</v>
      </c>
    </row>
    <row r="308">
      <c r="A308" s="3" t="str">
        <f t="shared" si="1"/>
        <v/>
      </c>
      <c r="F308" s="4" t="str">
        <f>iferror(vlookup(D308,Sheet1!$B$2:$K$500,10,false),"")</f>
        <v/>
      </c>
      <c r="G308" s="4" t="str">
        <f>IF(ISNA(vlookup(D308,DataExport!$D$2:$D$481,1,false)), "Belum", "Sudah")</f>
        <v>Belum</v>
      </c>
    </row>
    <row r="309">
      <c r="A309" s="3" t="str">
        <f t="shared" si="1"/>
        <v/>
      </c>
      <c r="F309" s="4" t="str">
        <f>iferror(vlookup(D309,Sheet1!$B$2:$K$500,10,false),"")</f>
        <v/>
      </c>
      <c r="G309" s="4" t="str">
        <f>IF(ISNA(vlookup(D309,DataExport!$D$2:$D$481,1,false)), "Belum", "Sudah")</f>
        <v>Belum</v>
      </c>
    </row>
    <row r="310">
      <c r="A310" s="3" t="str">
        <f t="shared" si="1"/>
        <v/>
      </c>
      <c r="F310" s="4" t="str">
        <f>iferror(vlookup(D310,Sheet1!$B$2:$K$500,10,false),"")</f>
        <v/>
      </c>
      <c r="G310" s="4" t="str">
        <f>IF(ISNA(vlookup(D310,DataExport!$D$2:$D$481,1,false)), "Belum", "Sudah")</f>
        <v>Belum</v>
      </c>
    </row>
    <row r="311">
      <c r="A311" s="3" t="str">
        <f t="shared" si="1"/>
        <v/>
      </c>
      <c r="F311" s="4" t="str">
        <f>iferror(vlookup(D311,Sheet1!$B$2:$K$500,10,false),"")</f>
        <v/>
      </c>
      <c r="G311" s="4" t="str">
        <f>IF(ISNA(vlookup(D311,DataExport!$D$2:$D$481,1,false)), "Belum", "Sudah")</f>
        <v>Belum</v>
      </c>
    </row>
    <row r="312">
      <c r="A312" s="3" t="str">
        <f t="shared" si="1"/>
        <v/>
      </c>
      <c r="F312" s="4" t="str">
        <f>iferror(vlookup(D312,Sheet1!$B$2:$K$500,10,false),"")</f>
        <v/>
      </c>
      <c r="G312" s="4" t="str">
        <f>IF(ISNA(vlookup(D312,DataExport!$D$2:$D$481,1,false)), "Belum", "Sudah")</f>
        <v>Belum</v>
      </c>
    </row>
    <row r="313">
      <c r="A313" s="3" t="str">
        <f t="shared" si="1"/>
        <v/>
      </c>
      <c r="F313" s="4" t="str">
        <f>iferror(vlookup(D313,Sheet1!$B$2:$K$500,10,false),"")</f>
        <v/>
      </c>
      <c r="G313" s="4" t="str">
        <f>IF(ISNA(vlookup(D313,DataExport!$D$2:$D$481,1,false)), "Belum", "Sudah")</f>
        <v>Belum</v>
      </c>
    </row>
    <row r="314">
      <c r="A314" s="3" t="str">
        <f t="shared" si="1"/>
        <v/>
      </c>
      <c r="F314" s="4" t="str">
        <f>iferror(vlookup(D314,Sheet1!$B$2:$K$500,10,false),"")</f>
        <v/>
      </c>
      <c r="G314" s="4" t="str">
        <f>IF(ISNA(vlookup(D314,DataExport!$D$2:$D$481,1,false)), "Belum", "Sudah")</f>
        <v>Belum</v>
      </c>
    </row>
    <row r="315">
      <c r="A315" s="3" t="str">
        <f t="shared" si="1"/>
        <v/>
      </c>
      <c r="F315" s="4" t="str">
        <f>iferror(vlookup(D315,Sheet1!$B$2:$K$500,10,false),"")</f>
        <v/>
      </c>
      <c r="G315" s="4" t="str">
        <f>IF(ISNA(vlookup(D315,DataExport!$D$2:$D$481,1,false)), "Belum", "Sudah")</f>
        <v>Belum</v>
      </c>
    </row>
    <row r="316">
      <c r="A316" s="3" t="str">
        <f t="shared" si="1"/>
        <v/>
      </c>
      <c r="F316" s="4" t="str">
        <f>iferror(vlookup(D316,Sheet1!$B$2:$K$500,10,false),"")</f>
        <v/>
      </c>
      <c r="G316" s="4" t="str">
        <f>IF(ISNA(vlookup(D316,DataExport!$D$2:$D$481,1,false)), "Belum", "Sudah")</f>
        <v>Belum</v>
      </c>
    </row>
    <row r="317">
      <c r="A317" s="3" t="str">
        <f t="shared" si="1"/>
        <v/>
      </c>
      <c r="F317" s="4" t="str">
        <f>iferror(vlookup(D317,Sheet1!$B$2:$K$500,10,false),"")</f>
        <v/>
      </c>
      <c r="G317" s="4" t="str">
        <f>IF(ISNA(vlookup(D317,DataExport!$D$2:$D$481,1,false)), "Belum", "Sudah")</f>
        <v>Belum</v>
      </c>
    </row>
    <row r="318">
      <c r="A318" s="3" t="str">
        <f t="shared" si="1"/>
        <v/>
      </c>
      <c r="F318" s="4" t="str">
        <f>iferror(vlookup(D318,Sheet1!$B$2:$K$500,10,false),"")</f>
        <v/>
      </c>
      <c r="G318" s="4" t="str">
        <f>IF(ISNA(vlookup(D318,DataExport!$D$2:$D$481,1,false)), "Belum", "Sudah")</f>
        <v>Belum</v>
      </c>
    </row>
    <row r="319">
      <c r="A319" s="3" t="str">
        <f t="shared" si="1"/>
        <v/>
      </c>
      <c r="F319" s="4" t="str">
        <f>iferror(vlookup(D319,Sheet1!$B$2:$K$500,10,false),"")</f>
        <v/>
      </c>
      <c r="G319" s="4" t="str">
        <f>IF(ISNA(vlookup(D319,DataExport!$D$2:$D$481,1,false)), "Belum", "Sudah")</f>
        <v>Belum</v>
      </c>
    </row>
    <row r="320">
      <c r="A320" s="3" t="str">
        <f t="shared" si="1"/>
        <v/>
      </c>
      <c r="F320" s="4" t="str">
        <f>iferror(vlookup(D320,Sheet1!$B$2:$K$500,10,false),"")</f>
        <v/>
      </c>
      <c r="G320" s="4" t="str">
        <f>IF(ISNA(vlookup(D320,DataExport!$D$2:$D$481,1,false)), "Belum", "Sudah")</f>
        <v>Belum</v>
      </c>
    </row>
    <row r="321">
      <c r="A321" s="3" t="str">
        <f t="shared" si="1"/>
        <v/>
      </c>
      <c r="F321" s="4" t="str">
        <f>iferror(vlookup(D321,Sheet1!$B$2:$K$500,10,false),"")</f>
        <v/>
      </c>
      <c r="G321" s="4" t="str">
        <f>IF(ISNA(vlookup(D321,DataExport!$D$2:$D$481,1,false)), "Belum", "Sudah")</f>
        <v>Belum</v>
      </c>
    </row>
    <row r="322">
      <c r="A322" s="3" t="str">
        <f t="shared" si="1"/>
        <v/>
      </c>
      <c r="F322" s="4" t="str">
        <f>iferror(vlookup(D322,Sheet1!$B$2:$K$500,10,false),"")</f>
        <v/>
      </c>
      <c r="G322" s="4" t="str">
        <f>IF(ISNA(vlookup(D322,DataExport!$D$2:$D$481,1,false)), "Belum", "Sudah")</f>
        <v>Belum</v>
      </c>
    </row>
    <row r="323">
      <c r="A323" s="3" t="str">
        <f t="shared" si="1"/>
        <v/>
      </c>
      <c r="F323" s="4" t="str">
        <f>iferror(vlookup(D323,Sheet1!$B$2:$K$500,10,false),"")</f>
        <v/>
      </c>
      <c r="G323" s="4" t="str">
        <f>IF(ISNA(vlookup(D323,DataExport!$D$2:$D$481,1,false)), "Belum", "Sudah")</f>
        <v>Belum</v>
      </c>
    </row>
    <row r="324">
      <c r="A324" s="3" t="str">
        <f t="shared" si="1"/>
        <v/>
      </c>
      <c r="F324" s="4" t="str">
        <f>iferror(vlookup(D324,Sheet1!$B$2:$K$500,10,false),"")</f>
        <v/>
      </c>
      <c r="G324" s="4" t="str">
        <f>IF(ISNA(vlookup(D324,DataExport!$D$2:$D$481,1,false)), "Belum", "Sudah")</f>
        <v>Belum</v>
      </c>
    </row>
    <row r="325">
      <c r="A325" s="3" t="str">
        <f t="shared" si="1"/>
        <v/>
      </c>
      <c r="F325" s="4" t="str">
        <f>iferror(vlookup(D325,Sheet1!$B$2:$K$500,10,false),"")</f>
        <v/>
      </c>
      <c r="G325" s="4" t="str">
        <f>IF(ISNA(vlookup(D325,DataExport!$D$2:$D$481,1,false)), "Belum", "Sudah")</f>
        <v>Belum</v>
      </c>
    </row>
    <row r="326">
      <c r="A326" s="3" t="str">
        <f t="shared" si="1"/>
        <v/>
      </c>
      <c r="F326" s="4" t="str">
        <f>iferror(vlookup(D326,Sheet1!$B$2:$K$500,10,false),"")</f>
        <v/>
      </c>
      <c r="G326" s="4" t="str">
        <f>IF(ISNA(vlookup(D326,DataExport!$D$2:$D$481,1,false)), "Belum", "Sudah")</f>
        <v>Belum</v>
      </c>
    </row>
    <row r="327">
      <c r="A327" s="3" t="str">
        <f t="shared" si="1"/>
        <v/>
      </c>
      <c r="F327" s="4" t="str">
        <f>iferror(vlookup(D327,Sheet1!$B$2:$K$500,10,false),"")</f>
        <v/>
      </c>
      <c r="G327" s="4" t="str">
        <f>IF(ISNA(vlookup(D327,DataExport!$D$2:$D$481,1,false)), "Belum", "Sudah")</f>
        <v>Belum</v>
      </c>
    </row>
    <row r="328">
      <c r="A328" s="3" t="str">
        <f t="shared" si="1"/>
        <v/>
      </c>
      <c r="F328" s="4" t="str">
        <f>iferror(vlookup(D328,Sheet1!$B$2:$K$500,10,false),"")</f>
        <v/>
      </c>
      <c r="G328" s="4" t="str">
        <f>IF(ISNA(vlookup(D328,DataExport!$D$2:$D$481,1,false)), "Belum", "Sudah")</f>
        <v>Belum</v>
      </c>
    </row>
    <row r="329">
      <c r="A329" s="3" t="str">
        <f t="shared" si="1"/>
        <v/>
      </c>
      <c r="F329" s="4" t="str">
        <f>iferror(vlookup(D329,Sheet1!$B$2:$K$500,10,false),"")</f>
        <v/>
      </c>
      <c r="G329" s="4" t="str">
        <f>IF(ISNA(vlookup(D329,DataExport!$D$2:$D$481,1,false)), "Belum", "Sudah")</f>
        <v>Belum</v>
      </c>
    </row>
    <row r="330">
      <c r="A330" s="3" t="str">
        <f t="shared" si="1"/>
        <v/>
      </c>
      <c r="F330" s="4" t="str">
        <f>iferror(vlookup(D330,Sheet1!$B$2:$K$500,10,false),"")</f>
        <v/>
      </c>
      <c r="G330" s="4" t="str">
        <f>IF(ISNA(vlookup(D330,DataExport!$D$2:$D$481,1,false)), "Belum", "Sudah")</f>
        <v>Belum</v>
      </c>
    </row>
    <row r="331">
      <c r="A331" s="3" t="str">
        <f t="shared" si="1"/>
        <v/>
      </c>
      <c r="F331" s="4" t="str">
        <f>iferror(vlookup(D331,Sheet1!$B$2:$K$500,10,false),"")</f>
        <v/>
      </c>
      <c r="G331" s="4" t="str">
        <f>IF(ISNA(vlookup(D331,DataExport!$D$2:$D$481,1,false)), "Belum", "Sudah")</f>
        <v>Belum</v>
      </c>
    </row>
    <row r="332">
      <c r="A332" s="3" t="str">
        <f t="shared" si="1"/>
        <v/>
      </c>
      <c r="F332" s="4" t="str">
        <f>iferror(vlookup(D332,Sheet1!$B$2:$K$500,10,false),"")</f>
        <v/>
      </c>
      <c r="G332" s="4" t="str">
        <f>IF(ISNA(vlookup(D332,DataExport!$D$2:$D$481,1,false)), "Belum", "Sudah")</f>
        <v>Belum</v>
      </c>
    </row>
    <row r="333">
      <c r="A333" s="3" t="str">
        <f t="shared" si="1"/>
        <v/>
      </c>
      <c r="F333" s="4" t="str">
        <f>iferror(vlookup(D333,Sheet1!$B$2:$K$500,10,false),"")</f>
        <v/>
      </c>
      <c r="G333" s="4" t="str">
        <f>IF(ISNA(vlookup(D333,DataExport!$D$2:$D$481,1,false)), "Belum", "Sudah")</f>
        <v>Belum</v>
      </c>
    </row>
    <row r="334">
      <c r="A334" s="3" t="str">
        <f t="shared" si="1"/>
        <v/>
      </c>
      <c r="F334" s="4" t="str">
        <f>iferror(vlookup(D334,Sheet1!$B$2:$K$500,10,false),"")</f>
        <v/>
      </c>
      <c r="G334" s="4" t="str">
        <f>IF(ISNA(vlookup(D334,DataExport!$D$2:$D$481,1,false)), "Belum", "Sudah")</f>
        <v>Belum</v>
      </c>
    </row>
    <row r="335">
      <c r="A335" s="3" t="str">
        <f t="shared" si="1"/>
        <v/>
      </c>
      <c r="F335" s="4" t="str">
        <f>iferror(vlookup(D335,Sheet1!$B$2:$K$500,10,false),"")</f>
        <v/>
      </c>
      <c r="G335" s="4" t="str">
        <f>IF(ISNA(vlookup(D335,DataExport!$D$2:$D$481,1,false)), "Belum", "Sudah")</f>
        <v>Belum</v>
      </c>
    </row>
    <row r="336">
      <c r="A336" s="3" t="str">
        <f t="shared" si="1"/>
        <v/>
      </c>
      <c r="F336" s="4" t="str">
        <f>iferror(vlookup(D336,Sheet1!$B$2:$K$500,10,false),"")</f>
        <v/>
      </c>
      <c r="G336" s="4" t="str">
        <f>IF(ISNA(vlookup(D336,DataExport!$D$2:$D$481,1,false)), "Belum", "Sudah")</f>
        <v>Belum</v>
      </c>
    </row>
    <row r="337">
      <c r="A337" s="3" t="str">
        <f t="shared" si="1"/>
        <v/>
      </c>
      <c r="F337" s="4" t="str">
        <f>iferror(vlookup(D337,Sheet1!$B$2:$K$500,10,false),"")</f>
        <v/>
      </c>
      <c r="G337" s="4" t="str">
        <f>IF(ISNA(vlookup(D337,DataExport!$D$2:$D$481,1,false)), "Belum", "Sudah")</f>
        <v>Belum</v>
      </c>
    </row>
    <row r="338">
      <c r="A338" s="3" t="str">
        <f t="shared" si="1"/>
        <v/>
      </c>
      <c r="F338" s="4" t="str">
        <f>iferror(vlookup(D338,Sheet1!$B$2:$K$500,10,false),"")</f>
        <v/>
      </c>
      <c r="G338" s="4" t="str">
        <f>IF(ISNA(vlookup(D338,DataExport!$D$2:$D$481,1,false)), "Belum", "Sudah")</f>
        <v>Belum</v>
      </c>
    </row>
    <row r="339">
      <c r="A339" s="3" t="str">
        <f t="shared" si="1"/>
        <v/>
      </c>
      <c r="F339" s="4" t="str">
        <f>iferror(vlookup(D339,Sheet1!$B$2:$K$500,10,false),"")</f>
        <v/>
      </c>
      <c r="G339" s="4" t="str">
        <f>IF(ISNA(vlookup(D339,DataExport!$D$2:$D$481,1,false)), "Belum", "Sudah")</f>
        <v>Belum</v>
      </c>
    </row>
    <row r="340">
      <c r="A340" s="3" t="str">
        <f t="shared" si="1"/>
        <v/>
      </c>
      <c r="F340" s="4" t="str">
        <f>iferror(vlookup(D340,Sheet1!$B$2:$K$500,10,false),"")</f>
        <v/>
      </c>
      <c r="G340" s="4" t="str">
        <f>IF(ISNA(vlookup(D340,DataExport!$D$2:$D$481,1,false)), "Belum", "Sudah")</f>
        <v>Belum</v>
      </c>
    </row>
    <row r="341">
      <c r="A341" s="3" t="str">
        <f t="shared" si="1"/>
        <v/>
      </c>
      <c r="F341" s="4" t="str">
        <f>iferror(vlookup(D341,Sheet1!$B$2:$K$500,10,false),"")</f>
        <v/>
      </c>
      <c r="G341" s="4" t="str">
        <f>IF(ISNA(vlookup(D341,DataExport!$D$2:$D$481,1,false)), "Belum", "Sudah")</f>
        <v>Belum</v>
      </c>
    </row>
    <row r="342">
      <c r="A342" s="3" t="str">
        <f t="shared" si="1"/>
        <v/>
      </c>
      <c r="F342" s="4" t="str">
        <f>iferror(vlookup(D342,Sheet1!$B$2:$K$500,10,false),"")</f>
        <v/>
      </c>
      <c r="G342" s="4" t="str">
        <f>IF(ISNA(vlookup(D342,DataExport!$D$2:$D$481,1,false)), "Belum", "Sudah")</f>
        <v>Belum</v>
      </c>
    </row>
    <row r="343">
      <c r="A343" s="3" t="str">
        <f t="shared" si="1"/>
        <v/>
      </c>
      <c r="F343" s="4" t="str">
        <f>iferror(vlookup(D343,Sheet1!$B$2:$K$500,10,false),"")</f>
        <v/>
      </c>
      <c r="G343" s="4" t="str">
        <f>IF(ISNA(vlookup(D343,DataExport!$D$2:$D$481,1,false)), "Belum", "Sudah")</f>
        <v>Belum</v>
      </c>
    </row>
    <row r="344">
      <c r="A344" s="3" t="str">
        <f t="shared" si="1"/>
        <v/>
      </c>
      <c r="F344" s="4" t="str">
        <f>iferror(vlookup(D344,Sheet1!$B$2:$K$500,10,false),"")</f>
        <v/>
      </c>
      <c r="G344" s="4" t="str">
        <f>IF(ISNA(vlookup(D344,DataExport!$D$2:$D$481,1,false)), "Belum", "Sudah")</f>
        <v>Belum</v>
      </c>
    </row>
    <row r="345">
      <c r="A345" s="3" t="str">
        <f t="shared" si="1"/>
        <v/>
      </c>
      <c r="F345" s="4" t="str">
        <f>iferror(vlookup(D345,Sheet1!$B$2:$K$500,10,false),"")</f>
        <v/>
      </c>
      <c r="G345" s="4" t="str">
        <f>IF(ISNA(vlookup(D345,DataExport!$D$2:$D$481,1,false)), "Belum", "Sudah")</f>
        <v>Belum</v>
      </c>
    </row>
    <row r="346">
      <c r="A346" s="3" t="str">
        <f t="shared" si="1"/>
        <v/>
      </c>
      <c r="F346" s="4" t="str">
        <f>iferror(vlookup(D346,Sheet1!$B$2:$K$500,10,false),"")</f>
        <v/>
      </c>
      <c r="G346" s="4" t="str">
        <f>IF(ISNA(vlookup(D346,DataExport!$D$2:$D$481,1,false)), "Belum", "Sudah")</f>
        <v>Belum</v>
      </c>
    </row>
    <row r="347">
      <c r="A347" s="3" t="str">
        <f t="shared" si="1"/>
        <v/>
      </c>
      <c r="F347" s="4" t="str">
        <f>iferror(vlookup(D347,Sheet1!$B$2:$K$500,10,false),"")</f>
        <v/>
      </c>
      <c r="G347" s="4" t="str">
        <f>IF(ISNA(vlookup(D347,DataExport!$D$2:$D$481,1,false)), "Belum", "Sudah")</f>
        <v>Belum</v>
      </c>
    </row>
    <row r="348">
      <c r="A348" s="3" t="str">
        <f t="shared" si="1"/>
        <v/>
      </c>
      <c r="F348" s="4" t="str">
        <f>iferror(vlookup(D348,Sheet1!$B$2:$K$500,10,false),"")</f>
        <v/>
      </c>
      <c r="G348" s="4" t="str">
        <f>IF(ISNA(vlookup(D348,DataExport!$D$2:$D$481,1,false)), "Belum", "Sudah")</f>
        <v>Belum</v>
      </c>
    </row>
    <row r="349">
      <c r="A349" s="3" t="str">
        <f t="shared" si="1"/>
        <v/>
      </c>
      <c r="F349" s="4" t="str">
        <f>iferror(vlookup(D349,Sheet1!$B$2:$K$500,10,false),"")</f>
        <v/>
      </c>
      <c r="G349" s="4" t="str">
        <f>IF(ISNA(vlookup(D349,DataExport!$D$2:$D$481,1,false)), "Belum", "Sudah")</f>
        <v>Belum</v>
      </c>
    </row>
    <row r="350">
      <c r="A350" s="3" t="str">
        <f t="shared" si="1"/>
        <v/>
      </c>
      <c r="F350" s="4" t="str">
        <f>iferror(vlookup(D350,Sheet1!$B$2:$K$500,10,false),"")</f>
        <v/>
      </c>
      <c r="G350" s="4" t="str">
        <f>IF(ISNA(vlookup(D350,DataExport!$D$2:$D$481,1,false)), "Belum", "Sudah")</f>
        <v>Belum</v>
      </c>
    </row>
    <row r="351">
      <c r="A351" s="3" t="str">
        <f t="shared" si="1"/>
        <v/>
      </c>
      <c r="F351" s="4" t="str">
        <f>iferror(vlookup(D351,Sheet1!$B$2:$K$500,10,false),"")</f>
        <v/>
      </c>
      <c r="G351" s="4" t="str">
        <f>IF(ISNA(vlookup(D351,DataExport!$D$2:$D$481,1,false)), "Belum", "Sudah")</f>
        <v>Belum</v>
      </c>
    </row>
    <row r="352">
      <c r="A352" s="3" t="str">
        <f t="shared" si="1"/>
        <v/>
      </c>
      <c r="F352" s="4" t="str">
        <f>iferror(vlookup(D352,Sheet1!$B$2:$K$500,10,false),"")</f>
        <v/>
      </c>
      <c r="G352" s="4" t="str">
        <f>IF(ISNA(vlookup(D352,DataExport!$D$2:$D$481,1,false)), "Belum", "Sudah")</f>
        <v>Belum</v>
      </c>
    </row>
    <row r="353">
      <c r="A353" s="3" t="str">
        <f t="shared" si="1"/>
        <v/>
      </c>
      <c r="F353" s="4" t="str">
        <f>iferror(vlookup(D353,Sheet1!$B$2:$K$500,10,false),"")</f>
        <v/>
      </c>
      <c r="G353" s="4" t="str">
        <f>IF(ISNA(vlookup(D353,DataExport!$D$2:$D$481,1,false)), "Belum", "Sudah")</f>
        <v>Belum</v>
      </c>
    </row>
    <row r="354">
      <c r="A354" s="3" t="str">
        <f t="shared" si="1"/>
        <v/>
      </c>
      <c r="F354" s="4" t="str">
        <f>iferror(vlookup(D354,Sheet1!$B$2:$K$500,10,false),"")</f>
        <v/>
      </c>
      <c r="G354" s="4" t="str">
        <f>IF(ISNA(vlookup(D354,DataExport!$D$2:$D$481,1,false)), "Belum", "Sudah")</f>
        <v>Belum</v>
      </c>
    </row>
    <row r="355">
      <c r="A355" s="3" t="str">
        <f t="shared" si="1"/>
        <v/>
      </c>
      <c r="F355" s="4" t="str">
        <f>iferror(vlookup(D355,Sheet1!$B$2:$K$500,10,false),"")</f>
        <v/>
      </c>
      <c r="G355" s="4" t="str">
        <f>IF(ISNA(vlookup(D355,DataExport!$D$2:$D$481,1,false)), "Belum", "Sudah")</f>
        <v>Belum</v>
      </c>
    </row>
    <row r="356">
      <c r="A356" s="3" t="str">
        <f t="shared" si="1"/>
        <v/>
      </c>
      <c r="F356" s="4" t="str">
        <f>iferror(vlookup(D356,Sheet1!$B$2:$K$500,10,false),"")</f>
        <v/>
      </c>
      <c r="G356" s="4" t="str">
        <f>IF(ISNA(vlookup(D356,DataExport!$D$2:$D$481,1,false)), "Belum", "Sudah")</f>
        <v>Belum</v>
      </c>
    </row>
    <row r="357">
      <c r="A357" s="3" t="str">
        <f t="shared" si="1"/>
        <v/>
      </c>
      <c r="F357" s="4" t="str">
        <f>iferror(vlookup(D357,Sheet1!$B$2:$K$500,10,false),"")</f>
        <v/>
      </c>
      <c r="G357" s="4" t="str">
        <f>IF(ISNA(vlookup(D357,DataExport!$D$2:$D$481,1,false)), "Belum", "Sudah")</f>
        <v>Belum</v>
      </c>
    </row>
    <row r="358">
      <c r="A358" s="3" t="str">
        <f t="shared" si="1"/>
        <v/>
      </c>
      <c r="F358" s="4" t="str">
        <f>iferror(vlookup(D358,Sheet1!$B$2:$K$500,10,false),"")</f>
        <v/>
      </c>
      <c r="G358" s="4" t="str">
        <f>IF(ISNA(vlookup(D358,DataExport!$D$2:$D$481,1,false)), "Belum", "Sudah")</f>
        <v>Belum</v>
      </c>
    </row>
    <row r="359">
      <c r="A359" s="3" t="str">
        <f t="shared" si="1"/>
        <v/>
      </c>
      <c r="F359" s="4" t="str">
        <f>iferror(vlookup(D359,Sheet1!$B$2:$K$500,10,false),"")</f>
        <v/>
      </c>
      <c r="G359" s="4" t="str">
        <f>IF(ISNA(vlookup(D359,DataExport!$D$2:$D$481,1,false)), "Belum", "Sudah")</f>
        <v>Belum</v>
      </c>
    </row>
    <row r="360">
      <c r="A360" s="3" t="str">
        <f t="shared" si="1"/>
        <v/>
      </c>
      <c r="F360" s="4" t="str">
        <f>iferror(vlookup(D360,Sheet1!$B$2:$K$500,10,false),"")</f>
        <v/>
      </c>
      <c r="G360" s="4" t="str">
        <f>IF(ISNA(vlookup(D360,DataExport!$D$2:$D$481,1,false)), "Belum", "Sudah")</f>
        <v>Belum</v>
      </c>
    </row>
    <row r="361">
      <c r="A361" s="3" t="str">
        <f t="shared" si="1"/>
        <v/>
      </c>
      <c r="F361" s="4" t="str">
        <f>iferror(vlookup(D361,Sheet1!$B$2:$K$500,10,false),"")</f>
        <v/>
      </c>
      <c r="G361" s="4" t="str">
        <f>IF(ISNA(vlookup(D361,DataExport!$D$2:$D$481,1,false)), "Belum", "Sudah")</f>
        <v>Belum</v>
      </c>
    </row>
    <row r="362">
      <c r="A362" s="3" t="str">
        <f t="shared" si="1"/>
        <v/>
      </c>
      <c r="F362" s="4" t="str">
        <f>iferror(vlookup(D362,Sheet1!$B$2:$K$500,10,false),"")</f>
        <v/>
      </c>
      <c r="G362" s="4" t="str">
        <f>IF(ISNA(vlookup(D362,DataExport!$D$2:$D$481,1,false)), "Belum", "Sudah")</f>
        <v>Belum</v>
      </c>
    </row>
    <row r="363">
      <c r="A363" s="3" t="str">
        <f t="shared" si="1"/>
        <v/>
      </c>
      <c r="F363" s="4" t="str">
        <f>iferror(vlookup(D363,Sheet1!$B$2:$K$500,10,false),"")</f>
        <v/>
      </c>
      <c r="G363" s="4" t="str">
        <f>IF(ISNA(vlookup(D363,DataExport!$D$2:$D$481,1,false)), "Belum", "Sudah")</f>
        <v>Belum</v>
      </c>
    </row>
    <row r="364">
      <c r="A364" s="3" t="str">
        <f t="shared" si="1"/>
        <v/>
      </c>
      <c r="F364" s="4" t="str">
        <f>iferror(vlookup(D364,Sheet1!$B$2:$K$500,10,false),"")</f>
        <v/>
      </c>
      <c r="G364" s="4" t="str">
        <f>IF(ISNA(vlookup(D364,DataExport!$D$2:$D$481,1,false)), "Belum", "Sudah")</f>
        <v>Belum</v>
      </c>
    </row>
    <row r="365">
      <c r="A365" s="3" t="str">
        <f t="shared" si="1"/>
        <v/>
      </c>
      <c r="F365" s="4" t="str">
        <f>iferror(vlookup(D365,Sheet1!$B$2:$K$500,10,false),"")</f>
        <v/>
      </c>
      <c r="G365" s="4" t="str">
        <f>IF(ISNA(vlookup(D365,DataExport!$D$2:$D$481,1,false)), "Belum", "Sudah")</f>
        <v>Belum</v>
      </c>
    </row>
    <row r="366">
      <c r="A366" s="3" t="str">
        <f t="shared" si="1"/>
        <v/>
      </c>
      <c r="F366" s="4" t="str">
        <f>iferror(vlookup(D366,Sheet1!$B$2:$K$500,10,false),"")</f>
        <v/>
      </c>
      <c r="G366" s="4" t="str">
        <f>IF(ISNA(vlookup(D366,DataExport!$D$2:$D$481,1,false)), "Belum", "Sudah")</f>
        <v>Belum</v>
      </c>
    </row>
    <row r="367">
      <c r="A367" s="3" t="str">
        <f t="shared" si="1"/>
        <v/>
      </c>
      <c r="F367" s="4" t="str">
        <f>iferror(vlookup(D367,Sheet1!$B$2:$K$500,10,false),"")</f>
        <v/>
      </c>
      <c r="G367" s="4" t="str">
        <f>IF(ISNA(vlookup(D367,DataExport!$D$2:$D$481,1,false)), "Belum", "Sudah")</f>
        <v>Belum</v>
      </c>
    </row>
    <row r="368">
      <c r="A368" s="3" t="str">
        <f t="shared" si="1"/>
        <v/>
      </c>
      <c r="F368" s="4" t="str">
        <f>iferror(vlookup(D368,Sheet1!$B$2:$K$500,10,false),"")</f>
        <v/>
      </c>
      <c r="G368" s="4" t="str">
        <f>IF(ISNA(vlookup(D368,DataExport!$D$2:$D$481,1,false)), "Belum", "Sudah")</f>
        <v>Belum</v>
      </c>
    </row>
    <row r="369">
      <c r="A369" s="3" t="str">
        <f t="shared" si="1"/>
        <v/>
      </c>
      <c r="F369" s="4" t="str">
        <f>iferror(vlookup(D369,Sheet1!$B$2:$K$500,10,false),"")</f>
        <v/>
      </c>
      <c r="G369" s="4" t="str">
        <f>IF(ISNA(vlookup(D369,DataExport!$D$2:$D$481,1,false)), "Belum", "Sudah")</f>
        <v>Belum</v>
      </c>
    </row>
    <row r="370">
      <c r="A370" s="3" t="str">
        <f t="shared" si="1"/>
        <v/>
      </c>
      <c r="F370" s="4" t="str">
        <f>iferror(vlookup(D370,Sheet1!$B$2:$K$500,10,false),"")</f>
        <v/>
      </c>
      <c r="G370" s="4" t="str">
        <f>IF(ISNA(vlookup(D370,DataExport!$D$2:$D$481,1,false)), "Belum", "Sudah")</f>
        <v>Belum</v>
      </c>
    </row>
    <row r="371">
      <c r="A371" s="3" t="str">
        <f t="shared" si="1"/>
        <v/>
      </c>
      <c r="F371" s="4" t="str">
        <f>iferror(vlookup(D371,Sheet1!$B$2:$K$500,10,false),"")</f>
        <v/>
      </c>
      <c r="G371" s="4" t="str">
        <f>IF(ISNA(vlookup(D371,DataExport!$D$2:$D$481,1,false)), "Belum", "Sudah")</f>
        <v>Belum</v>
      </c>
    </row>
    <row r="372">
      <c r="A372" s="3" t="str">
        <f t="shared" si="1"/>
        <v/>
      </c>
      <c r="F372" s="4" t="str">
        <f>iferror(vlookup(D372,Sheet1!$B$2:$K$500,10,false),"")</f>
        <v/>
      </c>
      <c r="G372" s="4" t="str">
        <f>IF(ISNA(vlookup(D372,DataExport!$D$2:$D$481,1,false)), "Belum", "Sudah")</f>
        <v>Belum</v>
      </c>
    </row>
    <row r="373">
      <c r="A373" s="3" t="str">
        <f t="shared" si="1"/>
        <v/>
      </c>
      <c r="F373" s="4" t="str">
        <f>iferror(vlookup(D373,Sheet1!$B$2:$K$500,10,false),"")</f>
        <v/>
      </c>
      <c r="G373" s="4" t="str">
        <f>IF(ISNA(vlookup(D373,DataExport!$D$2:$D$481,1,false)), "Belum", "Sudah")</f>
        <v>Belum</v>
      </c>
    </row>
    <row r="374">
      <c r="A374" s="3" t="str">
        <f t="shared" si="1"/>
        <v/>
      </c>
      <c r="F374" s="4" t="str">
        <f>iferror(vlookup(D374,Sheet1!$B$2:$K$500,10,false),"")</f>
        <v/>
      </c>
      <c r="G374" s="4" t="str">
        <f>IF(ISNA(vlookup(D374,DataExport!$D$2:$D$481,1,false)), "Belum", "Sudah")</f>
        <v>Belum</v>
      </c>
    </row>
    <row r="375">
      <c r="A375" s="3" t="str">
        <f t="shared" si="1"/>
        <v/>
      </c>
      <c r="F375" s="4" t="str">
        <f>iferror(vlookup(D375,Sheet1!$B$2:$K$500,10,false),"")</f>
        <v/>
      </c>
      <c r="G375" s="4" t="str">
        <f>IF(ISNA(vlookup(D375,DataExport!$D$2:$D$481,1,false)), "Belum", "Sudah")</f>
        <v>Belum</v>
      </c>
    </row>
    <row r="376">
      <c r="A376" s="3" t="str">
        <f t="shared" si="1"/>
        <v/>
      </c>
      <c r="F376" s="4" t="str">
        <f>iferror(vlookup(D376,Sheet1!$B$2:$K$500,10,false),"")</f>
        <v/>
      </c>
      <c r="G376" s="4" t="str">
        <f>IF(ISNA(vlookup(D376,DataExport!$D$2:$D$481,1,false)), "Belum", "Sudah")</f>
        <v>Belum</v>
      </c>
    </row>
    <row r="377">
      <c r="A377" s="3" t="str">
        <f t="shared" si="1"/>
        <v/>
      </c>
      <c r="F377" s="4" t="str">
        <f>iferror(vlookup(D377,Sheet1!$B$2:$K$500,10,false),"")</f>
        <v/>
      </c>
      <c r="G377" s="4" t="str">
        <f>IF(ISNA(vlookup(D377,DataExport!$D$2:$D$481,1,false)), "Belum", "Sudah")</f>
        <v>Belum</v>
      </c>
    </row>
    <row r="378">
      <c r="A378" s="3" t="str">
        <f t="shared" si="1"/>
        <v/>
      </c>
      <c r="F378" s="4" t="str">
        <f>iferror(vlookup(D378,Sheet1!$B$2:$K$500,10,false),"")</f>
        <v/>
      </c>
      <c r="G378" s="4" t="str">
        <f>IF(ISNA(vlookup(D378,DataExport!$D$2:$D$481,1,false)), "Belum", "Sudah")</f>
        <v>Belum</v>
      </c>
    </row>
    <row r="379">
      <c r="A379" s="3" t="str">
        <f t="shared" si="1"/>
        <v/>
      </c>
      <c r="F379" s="4" t="str">
        <f>iferror(vlookup(D379,Sheet1!$B$2:$K$500,10,false),"")</f>
        <v/>
      </c>
      <c r="G379" s="4" t="str">
        <f>IF(ISNA(vlookup(D379,DataExport!$D$2:$D$481,1,false)), "Belum", "Sudah")</f>
        <v>Belum</v>
      </c>
    </row>
    <row r="380">
      <c r="A380" s="3" t="str">
        <f t="shared" si="1"/>
        <v/>
      </c>
      <c r="F380" s="4" t="str">
        <f>iferror(vlookup(D380,Sheet1!$B$2:$K$500,10,false),"")</f>
        <v/>
      </c>
      <c r="G380" s="4" t="str">
        <f>IF(ISNA(vlookup(D380,DataExport!$D$2:$D$481,1,false)), "Belum", "Sudah")</f>
        <v>Belum</v>
      </c>
    </row>
    <row r="381">
      <c r="A381" s="3" t="str">
        <f t="shared" si="1"/>
        <v/>
      </c>
      <c r="F381" s="4" t="str">
        <f>iferror(vlookup(D381,Sheet1!$B$2:$K$500,10,false),"")</f>
        <v/>
      </c>
      <c r="G381" s="4" t="str">
        <f>IF(ISNA(vlookup(D381,DataExport!$D$2:$D$481,1,false)), "Belum", "Sudah")</f>
        <v>Belum</v>
      </c>
    </row>
    <row r="382">
      <c r="A382" s="3" t="str">
        <f t="shared" si="1"/>
        <v/>
      </c>
      <c r="F382" s="4" t="str">
        <f>iferror(vlookup(D382,Sheet1!$B$2:$K$500,10,false),"")</f>
        <v/>
      </c>
      <c r="G382" s="4" t="str">
        <f>IF(ISNA(vlookup(D382,DataExport!$D$2:$D$481,1,false)), "Belum", "Sudah")</f>
        <v>Belum</v>
      </c>
    </row>
    <row r="383">
      <c r="A383" s="3" t="str">
        <f t="shared" si="1"/>
        <v/>
      </c>
      <c r="F383" s="4" t="str">
        <f>iferror(vlookup(D383,Sheet1!$B$2:$K$500,10,false),"")</f>
        <v/>
      </c>
      <c r="G383" s="4" t="str">
        <f>IF(ISNA(vlookup(D383,DataExport!$D$2:$D$481,1,false)), "Belum", "Sudah")</f>
        <v>Belum</v>
      </c>
    </row>
    <row r="384">
      <c r="A384" s="3" t="str">
        <f t="shared" si="1"/>
        <v/>
      </c>
      <c r="F384" s="4" t="str">
        <f>iferror(vlookup(D384,Sheet1!$B$2:$K$500,10,false),"")</f>
        <v/>
      </c>
      <c r="G384" s="4" t="str">
        <f>IF(ISNA(vlookup(D384,DataExport!$D$2:$D$481,1,false)), "Belum", "Sudah")</f>
        <v>Belum</v>
      </c>
    </row>
    <row r="385">
      <c r="A385" s="3" t="str">
        <f t="shared" si="1"/>
        <v/>
      </c>
      <c r="F385" s="4" t="str">
        <f>iferror(vlookup(D385,Sheet1!$B$2:$K$500,10,false),"")</f>
        <v/>
      </c>
      <c r="G385" s="4" t="str">
        <f>IF(ISNA(vlookup(D385,DataExport!$D$2:$D$481,1,false)), "Belum", "Sudah")</f>
        <v>Belum</v>
      </c>
    </row>
    <row r="386">
      <c r="A386" s="3" t="str">
        <f t="shared" si="1"/>
        <v/>
      </c>
      <c r="F386" s="4" t="str">
        <f>iferror(vlookup(D386,Sheet1!$B$2:$K$500,10,false),"")</f>
        <v/>
      </c>
      <c r="G386" s="4" t="str">
        <f>IF(ISNA(vlookup(D386,DataExport!$D$2:$D$481,1,false)), "Belum", "Sudah")</f>
        <v>Belum</v>
      </c>
    </row>
    <row r="387">
      <c r="A387" s="3" t="str">
        <f t="shared" si="1"/>
        <v/>
      </c>
      <c r="F387" s="4" t="str">
        <f>iferror(vlookup(D387,Sheet1!$B$2:$K$500,10,false),"")</f>
        <v/>
      </c>
      <c r="G387" s="4" t="str">
        <f>IF(ISNA(vlookup(D387,DataExport!$D$2:$D$481,1,false)), "Belum", "Sudah")</f>
        <v>Belum</v>
      </c>
    </row>
    <row r="388">
      <c r="A388" s="3" t="str">
        <f t="shared" si="1"/>
        <v/>
      </c>
      <c r="F388" s="4" t="str">
        <f>iferror(vlookup(D388,Sheet1!$B$2:$K$500,10,false),"")</f>
        <v/>
      </c>
      <c r="G388" s="4" t="str">
        <f>IF(ISNA(vlookup(D388,DataExport!$D$2:$D$481,1,false)), "Belum", "Sudah")</f>
        <v>Belum</v>
      </c>
    </row>
    <row r="389">
      <c r="A389" s="3" t="str">
        <f t="shared" si="1"/>
        <v/>
      </c>
      <c r="F389" s="4" t="str">
        <f>iferror(vlookup(D389,Sheet1!$B$2:$K$500,10,false),"")</f>
        <v/>
      </c>
      <c r="G389" s="4" t="str">
        <f>IF(ISNA(vlookup(D389,DataExport!$D$2:$D$481,1,false)), "Belum", "Sudah")</f>
        <v>Belum</v>
      </c>
    </row>
    <row r="390">
      <c r="A390" s="3" t="str">
        <f t="shared" si="1"/>
        <v/>
      </c>
      <c r="F390" s="4" t="str">
        <f>iferror(vlookup(D390,Sheet1!$B$2:$K$500,10,false),"")</f>
        <v/>
      </c>
      <c r="G390" s="4" t="str">
        <f>IF(ISNA(vlookup(D390,DataExport!$D$2:$D$481,1,false)), "Belum", "Sudah")</f>
        <v>Belum</v>
      </c>
    </row>
    <row r="391">
      <c r="A391" s="3" t="str">
        <f t="shared" si="1"/>
        <v/>
      </c>
      <c r="F391" s="4" t="str">
        <f>iferror(vlookup(D391,Sheet1!$B$2:$K$500,10,false),"")</f>
        <v/>
      </c>
      <c r="G391" s="4" t="str">
        <f>IF(ISNA(vlookup(D391,DataExport!$D$2:$D$481,1,false)), "Belum", "Sudah")</f>
        <v>Belum</v>
      </c>
    </row>
    <row r="392">
      <c r="A392" s="3" t="str">
        <f t="shared" si="1"/>
        <v/>
      </c>
      <c r="F392" s="4" t="str">
        <f>iferror(vlookup(D392,Sheet1!$B$2:$K$500,10,false),"")</f>
        <v/>
      </c>
      <c r="G392" s="4" t="str">
        <f>IF(ISNA(vlookup(D392,DataExport!$D$2:$D$481,1,false)), "Belum", "Sudah")</f>
        <v>Belum</v>
      </c>
    </row>
    <row r="393">
      <c r="A393" s="3" t="str">
        <f t="shared" si="1"/>
        <v/>
      </c>
      <c r="F393" s="4" t="str">
        <f>iferror(vlookup(D393,Sheet1!$B$2:$K$500,10,false),"")</f>
        <v/>
      </c>
      <c r="G393" s="4" t="str">
        <f>IF(ISNA(vlookup(D393,DataExport!$D$2:$D$481,1,false)), "Belum", "Sudah")</f>
        <v>Belum</v>
      </c>
    </row>
    <row r="394">
      <c r="A394" s="3" t="str">
        <f t="shared" si="1"/>
        <v/>
      </c>
      <c r="F394" s="4" t="str">
        <f>iferror(vlookup(D394,Sheet1!$B$2:$K$500,10,false),"")</f>
        <v/>
      </c>
      <c r="G394" s="4" t="str">
        <f>IF(ISNA(vlookup(D394,DataExport!$D$2:$D$481,1,false)), "Belum", "Sudah")</f>
        <v>Belum</v>
      </c>
    </row>
    <row r="395">
      <c r="A395" s="3" t="str">
        <f t="shared" si="1"/>
        <v/>
      </c>
      <c r="F395" s="4" t="str">
        <f>iferror(vlookup(D395,Sheet1!$B$2:$K$500,10,false),"")</f>
        <v/>
      </c>
      <c r="G395" s="4" t="str">
        <f>IF(ISNA(vlookup(D395,DataExport!$D$2:$D$481,1,false)), "Belum", "Sudah")</f>
        <v>Belum</v>
      </c>
    </row>
    <row r="396">
      <c r="A396" s="3" t="str">
        <f t="shared" si="1"/>
        <v/>
      </c>
      <c r="F396" s="4" t="str">
        <f>iferror(vlookup(D396,Sheet1!$B$2:$K$500,10,false),"")</f>
        <v/>
      </c>
      <c r="G396" s="4" t="str">
        <f>IF(ISNA(vlookup(D396,DataExport!$D$2:$D$481,1,false)), "Belum", "Sudah")</f>
        <v>Belum</v>
      </c>
    </row>
    <row r="397">
      <c r="A397" s="3" t="str">
        <f t="shared" si="1"/>
        <v/>
      </c>
      <c r="F397" s="4" t="str">
        <f>iferror(vlookup(D397,Sheet1!$B$2:$K$500,10,false),"")</f>
        <v/>
      </c>
      <c r="G397" s="4" t="str">
        <f>IF(ISNA(vlookup(D397,DataExport!$D$2:$D$481,1,false)), "Belum", "Sudah")</f>
        <v>Belum</v>
      </c>
    </row>
    <row r="398">
      <c r="A398" s="3" t="str">
        <f t="shared" si="1"/>
        <v/>
      </c>
      <c r="F398" s="4" t="str">
        <f>iferror(vlookup(D398,Sheet1!$B$2:$K$500,10,false),"")</f>
        <v/>
      </c>
      <c r="G398" s="4" t="str">
        <f>IF(ISNA(vlookup(D398,DataExport!$D$2:$D$481,1,false)), "Belum", "Sudah")</f>
        <v>Belum</v>
      </c>
    </row>
    <row r="399">
      <c r="A399" s="3" t="str">
        <f t="shared" si="1"/>
        <v/>
      </c>
      <c r="F399" s="4" t="str">
        <f>iferror(vlookup(D399,Sheet1!$B$2:$K$500,10,false),"")</f>
        <v/>
      </c>
      <c r="G399" s="4" t="str">
        <f>IF(ISNA(vlookup(D399,DataExport!$D$2:$D$481,1,false)), "Belum", "Sudah")</f>
        <v>Belum</v>
      </c>
    </row>
    <row r="400">
      <c r="A400" s="3" t="str">
        <f t="shared" si="1"/>
        <v/>
      </c>
      <c r="F400" s="4" t="str">
        <f>iferror(vlookup(D400,Sheet1!$B$2:$K$500,10,false),"")</f>
        <v/>
      </c>
      <c r="G400" s="4" t="str">
        <f>IF(ISNA(vlookup(D400,DataExport!$D$2:$D$481,1,false)), "Belum", "Sudah")</f>
        <v>Belum</v>
      </c>
    </row>
    <row r="401">
      <c r="A401" s="3" t="str">
        <f t="shared" si="1"/>
        <v/>
      </c>
      <c r="F401" s="4" t="str">
        <f>iferror(vlookup(D401,Sheet1!$B$2:$K$500,10,false),"")</f>
        <v/>
      </c>
      <c r="G401" s="4" t="str">
        <f>IF(ISNA(vlookup(D401,DataExport!$D$2:$D$481,1,false)), "Belum", "Sudah")</f>
        <v>Belum</v>
      </c>
    </row>
    <row r="402">
      <c r="A402" s="3" t="str">
        <f t="shared" si="1"/>
        <v/>
      </c>
      <c r="F402" s="4" t="str">
        <f>iferror(vlookup(D402,Sheet1!$B$2:$K$500,10,false),"")</f>
        <v/>
      </c>
      <c r="G402" s="4" t="str">
        <f>IF(ISNA(vlookup(D402,DataExport!$D$2:$D$481,1,false)), "Belum", "Sudah")</f>
        <v>Belum</v>
      </c>
    </row>
    <row r="403">
      <c r="A403" s="3" t="str">
        <f t="shared" si="1"/>
        <v/>
      </c>
      <c r="F403" s="4" t="str">
        <f>iferror(vlookup(D403,Sheet1!$B$2:$K$500,10,false),"")</f>
        <v/>
      </c>
      <c r="G403" s="4" t="str">
        <f>IF(ISNA(vlookup(D403,DataExport!$D$2:$D$481,1,false)), "Belum", "Sudah")</f>
        <v>Belum</v>
      </c>
    </row>
    <row r="404">
      <c r="A404" s="3" t="str">
        <f t="shared" si="1"/>
        <v/>
      </c>
      <c r="F404" s="4" t="str">
        <f>iferror(vlookup(D404,Sheet1!$B$2:$K$500,10,false),"")</f>
        <v/>
      </c>
      <c r="G404" s="4" t="str">
        <f>IF(ISNA(vlookup(D404,DataExport!$D$2:$D$481,1,false)), "Belum", "Sudah")</f>
        <v>Belum</v>
      </c>
    </row>
    <row r="405">
      <c r="A405" s="3" t="str">
        <f t="shared" si="1"/>
        <v/>
      </c>
      <c r="F405" s="4" t="str">
        <f>iferror(vlookup(D405,Sheet1!$B$2:$K$500,10,false),"")</f>
        <v/>
      </c>
      <c r="G405" s="4" t="str">
        <f>IF(ISNA(vlookup(D405,DataExport!$D$2:$D$481,1,false)), "Belum", "Sudah")</f>
        <v>Belum</v>
      </c>
    </row>
    <row r="406">
      <c r="A406" s="3" t="str">
        <f t="shared" si="1"/>
        <v/>
      </c>
      <c r="F406" s="4" t="str">
        <f>iferror(vlookup(D406,Sheet1!$B$2:$K$500,10,false),"")</f>
        <v/>
      </c>
      <c r="G406" s="4" t="str">
        <f>IF(ISNA(vlookup(D406,DataExport!$D$2:$D$481,1,false)), "Belum", "Sudah")</f>
        <v>Belum</v>
      </c>
    </row>
    <row r="407">
      <c r="A407" s="3" t="str">
        <f t="shared" si="1"/>
        <v/>
      </c>
      <c r="F407" s="4" t="str">
        <f>iferror(vlookup(D407,Sheet1!$B$2:$K$500,10,false),"")</f>
        <v/>
      </c>
      <c r="G407" s="4" t="str">
        <f>IF(ISNA(vlookup(D407,DataExport!$D$2:$D$481,1,false)), "Belum", "Sudah")</f>
        <v>Belum</v>
      </c>
    </row>
    <row r="408">
      <c r="A408" s="3" t="str">
        <f t="shared" si="1"/>
        <v/>
      </c>
      <c r="F408" s="4" t="str">
        <f>iferror(vlookup(D408,Sheet1!$B$2:$K$500,10,false),"")</f>
        <v/>
      </c>
      <c r="G408" s="4" t="str">
        <f>IF(ISNA(vlookup(D408,DataExport!$D$2:$D$481,1,false)), "Belum", "Sudah")</f>
        <v>Belum</v>
      </c>
    </row>
    <row r="409">
      <c r="A409" s="3" t="str">
        <f t="shared" si="1"/>
        <v/>
      </c>
      <c r="F409" s="4" t="str">
        <f>iferror(vlookup(D409,Sheet1!$B$2:$K$500,10,false),"")</f>
        <v/>
      </c>
      <c r="G409" s="4" t="str">
        <f>IF(ISNA(vlookup(D409,DataExport!$D$2:$D$481,1,false)), "Belum", "Sudah")</f>
        <v>Belum</v>
      </c>
    </row>
    <row r="410">
      <c r="A410" s="3" t="str">
        <f t="shared" si="1"/>
        <v/>
      </c>
      <c r="F410" s="4" t="str">
        <f>iferror(vlookup(D410,Sheet1!$B$2:$K$500,10,false),"")</f>
        <v/>
      </c>
      <c r="G410" s="4" t="str">
        <f>IF(ISNA(vlookup(D410,DataExport!$D$2:$D$481,1,false)), "Belum", "Sudah")</f>
        <v>Belum</v>
      </c>
    </row>
    <row r="411">
      <c r="A411" s="3" t="str">
        <f t="shared" si="1"/>
        <v/>
      </c>
      <c r="F411" s="4" t="str">
        <f>iferror(vlookup(D411,Sheet1!$B$2:$K$500,10,false),"")</f>
        <v/>
      </c>
      <c r="G411" s="4" t="str">
        <f>IF(ISNA(vlookup(D411,DataExport!$D$2:$D$481,1,false)), "Belum", "Sudah")</f>
        <v>Belum</v>
      </c>
    </row>
    <row r="412">
      <c r="A412" s="3" t="str">
        <f t="shared" si="1"/>
        <v/>
      </c>
      <c r="F412" s="4" t="str">
        <f>iferror(vlookup(D412,Sheet1!$B$2:$K$500,10,false),"")</f>
        <v/>
      </c>
      <c r="G412" s="4" t="str">
        <f>IF(ISNA(vlookup(D412,DataExport!$D$2:$D$481,1,false)), "Belum", "Sudah")</f>
        <v>Belum</v>
      </c>
    </row>
    <row r="413">
      <c r="A413" s="3" t="str">
        <f t="shared" si="1"/>
        <v/>
      </c>
      <c r="F413" s="4" t="str">
        <f>iferror(vlookup(D413,Sheet1!$B$2:$K$500,10,false),"")</f>
        <v/>
      </c>
      <c r="G413" s="4" t="str">
        <f>IF(ISNA(vlookup(D413,DataExport!$D$2:$D$481,1,false)), "Belum", "Sudah")</f>
        <v>Belum</v>
      </c>
    </row>
    <row r="414">
      <c r="A414" s="3" t="str">
        <f t="shared" si="1"/>
        <v/>
      </c>
      <c r="F414" s="4" t="str">
        <f>iferror(vlookup(D414,Sheet1!$B$2:$K$500,10,false),"")</f>
        <v/>
      </c>
      <c r="G414" s="4" t="str">
        <f>IF(ISNA(vlookup(D414,DataExport!$D$2:$D$481,1,false)), "Belum", "Sudah")</f>
        <v>Belum</v>
      </c>
    </row>
    <row r="415">
      <c r="A415" s="3" t="str">
        <f t="shared" si="1"/>
        <v/>
      </c>
      <c r="F415" s="4" t="str">
        <f>iferror(vlookup(D415,Sheet1!$B$2:$K$500,10,false),"")</f>
        <v/>
      </c>
      <c r="G415" s="4" t="str">
        <f>IF(ISNA(vlookup(D415,DataExport!$D$2:$D$481,1,false)), "Belum", "Sudah")</f>
        <v>Belum</v>
      </c>
    </row>
    <row r="416">
      <c r="A416" s="3" t="str">
        <f t="shared" si="1"/>
        <v/>
      </c>
      <c r="F416" s="4" t="str">
        <f>iferror(vlookup(D416,Sheet1!$B$2:$K$500,10,false),"")</f>
        <v/>
      </c>
      <c r="G416" s="4" t="str">
        <f>IF(ISNA(vlookup(D416,DataExport!$D$2:$D$481,1,false)), "Belum", "Sudah")</f>
        <v>Belum</v>
      </c>
    </row>
    <row r="417">
      <c r="A417" s="3" t="str">
        <f t="shared" si="1"/>
        <v/>
      </c>
      <c r="F417" s="4" t="str">
        <f>iferror(vlookup(D417,Sheet1!$B$2:$K$500,10,false),"")</f>
        <v/>
      </c>
      <c r="G417" s="4" t="str">
        <f>IF(ISNA(vlookup(D417,DataExport!$D$2:$D$481,1,false)), "Belum", "Sudah")</f>
        <v>Belum</v>
      </c>
    </row>
    <row r="418">
      <c r="A418" s="3" t="str">
        <f t="shared" si="1"/>
        <v/>
      </c>
      <c r="F418" s="4" t="str">
        <f>iferror(vlookup(D418,Sheet1!$B$2:$K$500,10,false),"")</f>
        <v/>
      </c>
      <c r="G418" s="4" t="str">
        <f>IF(ISNA(vlookup(D418,DataExport!$D$2:$D$481,1,false)), "Belum", "Sudah")</f>
        <v>Belum</v>
      </c>
    </row>
    <row r="419">
      <c r="A419" s="3" t="str">
        <f t="shared" si="1"/>
        <v/>
      </c>
      <c r="F419" s="4" t="str">
        <f>iferror(vlookup(D419,Sheet1!$B$2:$K$500,10,false),"")</f>
        <v/>
      </c>
      <c r="G419" s="4" t="str">
        <f>IF(ISNA(vlookup(D419,DataExport!$D$2:$D$481,1,false)), "Belum", "Sudah")</f>
        <v>Belum</v>
      </c>
    </row>
    <row r="420">
      <c r="A420" s="3" t="str">
        <f t="shared" si="1"/>
        <v/>
      </c>
      <c r="F420" s="4" t="str">
        <f>iferror(vlookup(D420,Sheet1!$B$2:$K$500,10,false),"")</f>
        <v/>
      </c>
      <c r="G420" s="4" t="str">
        <f>IF(ISNA(vlookup(D420,DataExport!$D$2:$D$481,1,false)), "Belum", "Sudah")</f>
        <v>Belum</v>
      </c>
    </row>
    <row r="421">
      <c r="A421" s="3" t="str">
        <f t="shared" si="1"/>
        <v/>
      </c>
      <c r="F421" s="4" t="str">
        <f>iferror(vlookup(D421,Sheet1!$B$2:$K$500,10,false),"")</f>
        <v/>
      </c>
      <c r="G421" s="4" t="str">
        <f>IF(ISNA(vlookup(D421,DataExport!$D$2:$D$481,1,false)), "Belum", "Sudah")</f>
        <v>Belum</v>
      </c>
    </row>
    <row r="422">
      <c r="A422" s="3" t="str">
        <f t="shared" si="1"/>
        <v/>
      </c>
      <c r="F422" s="4" t="str">
        <f>iferror(vlookup(D422,Sheet1!$B$2:$K$500,10,false),"")</f>
        <v/>
      </c>
      <c r="G422" s="4" t="str">
        <f>IF(ISNA(vlookup(D422,DataExport!$D$2:$D$481,1,false)), "Belum", "Sudah")</f>
        <v>Belum</v>
      </c>
    </row>
    <row r="423">
      <c r="A423" s="3" t="str">
        <f t="shared" si="1"/>
        <v/>
      </c>
      <c r="F423" s="4" t="str">
        <f>iferror(vlookup(D423,Sheet1!$B$2:$K$500,10,false),"")</f>
        <v/>
      </c>
      <c r="G423" s="4" t="str">
        <f>IF(ISNA(vlookup(D423,DataExport!$D$2:$D$481,1,false)), "Belum", "Sudah")</f>
        <v>Belum</v>
      </c>
    </row>
    <row r="424">
      <c r="A424" s="3" t="str">
        <f t="shared" si="1"/>
        <v/>
      </c>
      <c r="F424" s="4" t="str">
        <f>iferror(vlookup(D424,Sheet1!$B$2:$K$500,10,false),"")</f>
        <v/>
      </c>
      <c r="G424" s="4" t="str">
        <f>IF(ISNA(vlookup(D424,DataExport!$D$2:$D$481,1,false)), "Belum", "Sudah")</f>
        <v>Belum</v>
      </c>
    </row>
    <row r="425">
      <c r="A425" s="3" t="str">
        <f t="shared" si="1"/>
        <v/>
      </c>
      <c r="F425" s="4" t="str">
        <f>iferror(vlookup(D425,Sheet1!$B$2:$K$500,10,false),"")</f>
        <v/>
      </c>
      <c r="G425" s="4" t="str">
        <f>IF(ISNA(vlookup(D425,DataExport!$D$2:$D$481,1,false)), "Belum", "Sudah")</f>
        <v>Belum</v>
      </c>
    </row>
    <row r="426">
      <c r="A426" s="3" t="str">
        <f t="shared" si="1"/>
        <v/>
      </c>
      <c r="F426" s="4" t="str">
        <f>iferror(vlookup(D426,Sheet1!$B$2:$K$500,10,false),"")</f>
        <v/>
      </c>
      <c r="G426" s="4" t="str">
        <f>IF(ISNA(vlookup(D426,DataExport!$D$2:$D$481,1,false)), "Belum", "Sudah")</f>
        <v>Belum</v>
      </c>
    </row>
    <row r="427">
      <c r="A427" s="3" t="str">
        <f t="shared" si="1"/>
        <v/>
      </c>
      <c r="F427" s="4" t="str">
        <f>iferror(vlookup(D427,Sheet1!$B$2:$K$500,10,false),"")</f>
        <v/>
      </c>
      <c r="G427" s="4" t="str">
        <f>IF(ISNA(vlookup(D427,DataExport!$D$2:$D$481,1,false)), "Belum", "Sudah")</f>
        <v>Belum</v>
      </c>
    </row>
    <row r="428">
      <c r="A428" s="3" t="str">
        <f t="shared" si="1"/>
        <v/>
      </c>
      <c r="F428" s="4" t="str">
        <f>iferror(vlookup(D428,Sheet1!$B$2:$K$500,10,false),"")</f>
        <v/>
      </c>
      <c r="G428" s="4" t="str">
        <f>IF(ISNA(vlookup(D428,DataExport!$D$2:$D$481,1,false)), "Belum", "Sudah")</f>
        <v>Belum</v>
      </c>
    </row>
    <row r="429">
      <c r="A429" s="3" t="str">
        <f t="shared" si="1"/>
        <v/>
      </c>
      <c r="F429" s="4" t="str">
        <f>iferror(vlookup(D429,Sheet1!$B$2:$K$500,10,false),"")</f>
        <v/>
      </c>
      <c r="G429" s="4" t="str">
        <f>IF(ISNA(vlookup(D429,DataExport!$D$2:$D$481,1,false)), "Belum", "Sudah")</f>
        <v>Belum</v>
      </c>
    </row>
    <row r="430">
      <c r="A430" s="3" t="str">
        <f t="shared" si="1"/>
        <v/>
      </c>
      <c r="F430" s="4" t="str">
        <f>iferror(vlookup(D430,Sheet1!$B$2:$K$500,10,false),"")</f>
        <v/>
      </c>
      <c r="G430" s="4" t="str">
        <f>IF(ISNA(vlookup(D430,DataExport!$D$2:$D$481,1,false)), "Belum", "Sudah")</f>
        <v>Belum</v>
      </c>
    </row>
    <row r="431">
      <c r="A431" s="3" t="str">
        <f t="shared" si="1"/>
        <v/>
      </c>
      <c r="F431" s="4" t="str">
        <f>iferror(vlookup(D431,Sheet1!$B$2:$K$500,10,false),"")</f>
        <v/>
      </c>
      <c r="G431" s="4" t="str">
        <f>IF(ISNA(vlookup(D431,DataExport!$D$2:$D$481,1,false)), "Belum", "Sudah")</f>
        <v>Belum</v>
      </c>
    </row>
    <row r="432">
      <c r="A432" s="3" t="str">
        <f t="shared" si="1"/>
        <v/>
      </c>
      <c r="F432" s="4" t="str">
        <f>iferror(vlookup(D432,Sheet1!$B$2:$K$500,10,false),"")</f>
        <v/>
      </c>
      <c r="G432" s="4" t="str">
        <f>IF(ISNA(vlookup(D432,DataExport!$D$2:$D$481,1,false)), "Belum", "Sudah")</f>
        <v>Belum</v>
      </c>
    </row>
    <row r="433">
      <c r="A433" s="3" t="str">
        <f t="shared" si="1"/>
        <v/>
      </c>
      <c r="F433" s="4" t="str">
        <f>iferror(vlookup(D433,Sheet1!$B$2:$K$500,10,false),"")</f>
        <v/>
      </c>
      <c r="G433" s="4" t="str">
        <f>IF(ISNA(vlookup(D433,DataExport!$D$2:$D$481,1,false)), "Belum", "Sudah")</f>
        <v>Belum</v>
      </c>
    </row>
    <row r="434">
      <c r="A434" s="3" t="str">
        <f t="shared" si="1"/>
        <v/>
      </c>
      <c r="F434" s="4" t="str">
        <f>iferror(vlookup(D434,Sheet1!$B$2:$K$500,10,false),"")</f>
        <v/>
      </c>
      <c r="G434" s="4" t="str">
        <f>IF(ISNA(vlookup(D434,DataExport!$D$2:$D$481,1,false)), "Belum", "Sudah")</f>
        <v>Belum</v>
      </c>
    </row>
    <row r="435">
      <c r="A435" s="3" t="str">
        <f t="shared" si="1"/>
        <v/>
      </c>
      <c r="F435" s="4" t="str">
        <f>iferror(vlookup(D435,Sheet1!$B$2:$K$500,10,false),"")</f>
        <v/>
      </c>
      <c r="G435" s="4" t="str">
        <f>IF(ISNA(vlookup(D435,DataExport!$D$2:$D$481,1,false)), "Belum", "Sudah")</f>
        <v>Belum</v>
      </c>
    </row>
    <row r="436">
      <c r="A436" s="3" t="str">
        <f t="shared" si="1"/>
        <v/>
      </c>
      <c r="F436" s="4" t="str">
        <f>iferror(vlookup(D436,Sheet1!$B$2:$K$500,10,false),"")</f>
        <v/>
      </c>
      <c r="G436" s="4" t="str">
        <f>IF(ISNA(vlookup(D436,DataExport!$D$2:$D$481,1,false)), "Belum", "Sudah")</f>
        <v>Belum</v>
      </c>
    </row>
    <row r="437">
      <c r="A437" s="3" t="str">
        <f t="shared" si="1"/>
        <v/>
      </c>
      <c r="F437" s="4" t="str">
        <f>iferror(vlookup(D437,Sheet1!$B$2:$K$500,10,false),"")</f>
        <v/>
      </c>
      <c r="G437" s="4" t="str">
        <f>IF(ISNA(vlookup(D437,DataExport!$D$2:$D$481,1,false)), "Belum", "Sudah")</f>
        <v>Belum</v>
      </c>
    </row>
    <row r="438">
      <c r="A438" s="3" t="str">
        <f t="shared" si="1"/>
        <v/>
      </c>
      <c r="F438" s="4" t="str">
        <f>iferror(vlookup(D438,Sheet1!$B$2:$K$500,10,false),"")</f>
        <v/>
      </c>
      <c r="G438" s="4" t="str">
        <f>IF(ISNA(vlookup(D438,DataExport!$D$2:$D$481,1,false)), "Belum", "Sudah")</f>
        <v>Belum</v>
      </c>
    </row>
    <row r="439">
      <c r="A439" s="3" t="str">
        <f t="shared" si="1"/>
        <v/>
      </c>
      <c r="F439" s="4" t="str">
        <f>iferror(vlookup(D439,Sheet1!$B$2:$K$500,10,false),"")</f>
        <v/>
      </c>
      <c r="G439" s="4" t="str">
        <f>IF(ISNA(vlookup(D439,DataExport!$D$2:$D$481,1,false)), "Belum", "Sudah")</f>
        <v>Belum</v>
      </c>
    </row>
    <row r="440">
      <c r="A440" s="3" t="str">
        <f t="shared" si="1"/>
        <v/>
      </c>
      <c r="F440" s="4" t="str">
        <f>iferror(vlookup(D440,Sheet1!$B$2:$K$500,10,false),"")</f>
        <v/>
      </c>
      <c r="G440" s="4" t="str">
        <f>IF(ISNA(vlookup(D440,DataExport!$D$2:$D$481,1,false)), "Belum", "Sudah")</f>
        <v>Belum</v>
      </c>
    </row>
    <row r="441">
      <c r="A441" s="3" t="str">
        <f t="shared" si="1"/>
        <v/>
      </c>
      <c r="F441" s="4" t="str">
        <f>iferror(vlookup(D441,Sheet1!$B$2:$K$500,10,false),"")</f>
        <v/>
      </c>
      <c r="G441" s="4" t="str">
        <f>IF(ISNA(vlookup(D441,DataExport!$D$2:$D$481,1,false)), "Belum", "Sudah")</f>
        <v>Belum</v>
      </c>
    </row>
    <row r="442">
      <c r="A442" s="3" t="str">
        <f t="shared" si="1"/>
        <v/>
      </c>
      <c r="F442" s="4" t="str">
        <f>iferror(vlookup(D442,Sheet1!$B$2:$K$500,10,false),"")</f>
        <v/>
      </c>
      <c r="G442" s="4" t="str">
        <f>IF(ISNA(vlookup(D442,DataExport!$D$2:$D$481,1,false)), "Belum", "Sudah")</f>
        <v>Belum</v>
      </c>
    </row>
    <row r="443">
      <c r="A443" s="3" t="str">
        <f t="shared" si="1"/>
        <v/>
      </c>
      <c r="F443" s="4" t="str">
        <f>iferror(vlookup(D443,Sheet1!$B$2:$K$500,10,false),"")</f>
        <v/>
      </c>
      <c r="G443" s="4" t="str">
        <f>IF(ISNA(vlookup(D443,DataExport!$D$2:$D$481,1,false)), "Belum", "Sudah")</f>
        <v>Belum</v>
      </c>
    </row>
    <row r="444">
      <c r="A444" s="3" t="str">
        <f t="shared" si="1"/>
        <v/>
      </c>
      <c r="F444" s="4" t="str">
        <f>iferror(vlookup(D444,Sheet1!$B$2:$K$500,10,false),"")</f>
        <v/>
      </c>
      <c r="G444" s="4" t="str">
        <f>IF(ISNA(vlookup(D444,DataExport!$D$2:$D$481,1,false)), "Belum", "Sudah")</f>
        <v>Belum</v>
      </c>
    </row>
    <row r="445">
      <c r="A445" s="3" t="str">
        <f t="shared" si="1"/>
        <v/>
      </c>
      <c r="F445" s="4" t="str">
        <f>iferror(vlookup(D445,Sheet1!$B$2:$K$500,10,false),"")</f>
        <v/>
      </c>
      <c r="G445" s="4" t="str">
        <f>IF(ISNA(vlookup(D445,DataExport!$D$2:$D$481,1,false)), "Belum", "Sudah")</f>
        <v>Belum</v>
      </c>
    </row>
    <row r="446">
      <c r="A446" s="3" t="str">
        <f t="shared" si="1"/>
        <v/>
      </c>
      <c r="F446" s="4" t="str">
        <f>iferror(vlookup(D446,Sheet1!$B$2:$K$500,10,false),"")</f>
        <v/>
      </c>
      <c r="G446" s="4" t="str">
        <f>IF(ISNA(vlookup(D446,DataExport!$D$2:$D$481,1,false)), "Belum", "Sudah")</f>
        <v>Belum</v>
      </c>
    </row>
    <row r="447">
      <c r="A447" s="3" t="str">
        <f t="shared" si="1"/>
        <v/>
      </c>
      <c r="F447" s="4" t="str">
        <f>iferror(vlookup(D447,Sheet1!$B$2:$K$500,10,false),"")</f>
        <v/>
      </c>
      <c r="G447" s="4" t="str">
        <f>IF(ISNA(vlookup(D447,DataExport!$D$2:$D$481,1,false)), "Belum", "Sudah")</f>
        <v>Belum</v>
      </c>
    </row>
    <row r="448">
      <c r="A448" s="3" t="str">
        <f t="shared" si="1"/>
        <v/>
      </c>
      <c r="F448" s="4" t="str">
        <f>iferror(vlookup(D448,Sheet1!$B$2:$K$500,10,false),"")</f>
        <v/>
      </c>
      <c r="G448" s="4" t="str">
        <f>IF(ISNA(vlookup(D448,DataExport!$D$2:$D$481,1,false)), "Belum", "Sudah")</f>
        <v>Belum</v>
      </c>
    </row>
    <row r="449">
      <c r="A449" s="3" t="str">
        <f t="shared" si="1"/>
        <v/>
      </c>
      <c r="F449" s="4" t="str">
        <f>iferror(vlookup(D449,Sheet1!$B$2:$K$500,10,false),"")</f>
        <v/>
      </c>
      <c r="G449" s="4" t="str">
        <f>IF(ISNA(vlookup(D449,DataExport!$D$2:$D$481,1,false)), "Belum", "Sudah")</f>
        <v>Belum</v>
      </c>
    </row>
    <row r="450">
      <c r="A450" s="3" t="str">
        <f t="shared" si="1"/>
        <v/>
      </c>
      <c r="F450" s="4" t="str">
        <f>iferror(vlookup(D450,Sheet1!$B$2:$K$500,10,false),"")</f>
        <v/>
      </c>
      <c r="G450" s="4" t="str">
        <f>IF(ISNA(vlookup(D450,DataExport!$D$2:$D$481,1,false)), "Belum", "Sudah")</f>
        <v>Belum</v>
      </c>
    </row>
    <row r="451">
      <c r="A451" s="3" t="str">
        <f t="shared" si="1"/>
        <v/>
      </c>
      <c r="F451" s="4" t="str">
        <f>iferror(vlookup(D451,Sheet1!$B$2:$K$500,10,false),"")</f>
        <v/>
      </c>
      <c r="G451" s="4" t="str">
        <f>IF(ISNA(vlookup(D451,DataExport!$D$2:$D$481,1,false)), "Belum", "Sudah")</f>
        <v>Belum</v>
      </c>
    </row>
    <row r="452">
      <c r="A452" s="3" t="str">
        <f t="shared" si="1"/>
        <v/>
      </c>
      <c r="F452" s="4" t="str">
        <f>iferror(vlookup(D452,Sheet1!$B$2:$K$500,10,false),"")</f>
        <v/>
      </c>
      <c r="G452" s="4" t="str">
        <f>IF(ISNA(vlookup(D452,DataExport!$D$2:$D$481,1,false)), "Belum", "Sudah")</f>
        <v>Belum</v>
      </c>
    </row>
    <row r="453">
      <c r="A453" s="3" t="str">
        <f t="shared" si="1"/>
        <v/>
      </c>
      <c r="F453" s="4" t="str">
        <f>iferror(vlookup(D453,Sheet1!$B$2:$K$500,10,false),"")</f>
        <v/>
      </c>
      <c r="G453" s="4" t="str">
        <f>IF(ISNA(vlookup(D453,DataExport!$D$2:$D$481,1,false)), "Belum", "Sudah")</f>
        <v>Belum</v>
      </c>
    </row>
    <row r="454">
      <c r="A454" s="3" t="str">
        <f t="shared" si="1"/>
        <v/>
      </c>
      <c r="F454" s="4" t="str">
        <f>iferror(vlookup(D454,Sheet1!$B$2:$K$500,10,false),"")</f>
        <v/>
      </c>
      <c r="G454" s="4" t="str">
        <f>IF(ISNA(vlookup(D454,DataExport!$D$2:$D$481,1,false)), "Belum", "Sudah")</f>
        <v>Belum</v>
      </c>
    </row>
    <row r="455">
      <c r="A455" s="3" t="str">
        <f t="shared" si="1"/>
        <v/>
      </c>
      <c r="F455" s="4" t="str">
        <f>iferror(vlookup(D455,Sheet1!$B$2:$K$500,10,false),"")</f>
        <v/>
      </c>
      <c r="G455" s="4" t="str">
        <f>IF(ISNA(vlookup(D455,DataExport!$D$2:$D$481,1,false)), "Belum", "Sudah")</f>
        <v>Belum</v>
      </c>
    </row>
    <row r="456">
      <c r="A456" s="3" t="str">
        <f t="shared" si="1"/>
        <v/>
      </c>
      <c r="F456" s="4" t="str">
        <f>iferror(vlookup(D456,Sheet1!$B$2:$K$500,10,false),"")</f>
        <v/>
      </c>
      <c r="G456" s="4" t="str">
        <f>IF(ISNA(vlookup(D456,DataExport!$D$2:$D$481,1,false)), "Belum", "Sudah")</f>
        <v>Belum</v>
      </c>
    </row>
    <row r="457">
      <c r="A457" s="3" t="str">
        <f t="shared" si="1"/>
        <v/>
      </c>
      <c r="F457" s="4" t="str">
        <f>iferror(vlookup(D457,Sheet1!$B$2:$K$500,10,false),"")</f>
        <v/>
      </c>
      <c r="G457" s="4" t="str">
        <f>IF(ISNA(vlookup(D457,DataExport!$D$2:$D$481,1,false)), "Belum", "Sudah")</f>
        <v>Belum</v>
      </c>
    </row>
    <row r="458">
      <c r="A458" s="3" t="str">
        <f t="shared" si="1"/>
        <v/>
      </c>
      <c r="F458" s="4" t="str">
        <f>iferror(vlookup(D458,Sheet1!$B$2:$K$500,10,false),"")</f>
        <v/>
      </c>
      <c r="G458" s="4" t="str">
        <f>IF(ISNA(vlookup(D458,DataExport!$D$2:$D$481,1,false)), "Belum", "Sudah")</f>
        <v>Belum</v>
      </c>
    </row>
    <row r="459">
      <c r="A459" s="3" t="str">
        <f t="shared" si="1"/>
        <v/>
      </c>
      <c r="F459" s="4" t="str">
        <f>iferror(vlookup(D459,Sheet1!$B$2:$K$500,10,false),"")</f>
        <v/>
      </c>
      <c r="G459" s="4" t="str">
        <f>IF(ISNA(vlookup(D459,DataExport!$D$2:$D$481,1,false)), "Belum", "Sudah")</f>
        <v>Belum</v>
      </c>
    </row>
    <row r="460">
      <c r="A460" s="3" t="str">
        <f t="shared" si="1"/>
        <v/>
      </c>
      <c r="F460" s="4" t="str">
        <f>iferror(vlookup(D460,Sheet1!$B$2:$K$500,10,false),"")</f>
        <v/>
      </c>
      <c r="G460" s="4" t="str">
        <f>IF(ISNA(vlookup(D460,DataExport!$D$2:$D$481,1,false)), "Belum", "Sudah")</f>
        <v>Belum</v>
      </c>
    </row>
    <row r="461">
      <c r="A461" s="3" t="str">
        <f t="shared" si="1"/>
        <v/>
      </c>
      <c r="F461" s="4" t="str">
        <f>iferror(vlookup(D461,Sheet1!$B$2:$K$500,10,false),"")</f>
        <v/>
      </c>
      <c r="G461" s="4" t="str">
        <f>IF(ISNA(vlookup(D461,DataExport!$D$2:$D$481,1,false)), "Belum", "Sudah")</f>
        <v>Belum</v>
      </c>
    </row>
    <row r="462">
      <c r="A462" s="3" t="str">
        <f t="shared" si="1"/>
        <v/>
      </c>
      <c r="F462" s="4" t="str">
        <f>iferror(vlookup(D462,Sheet1!$B$2:$K$500,10,false),"")</f>
        <v/>
      </c>
      <c r="G462" s="4" t="str">
        <f>IF(ISNA(vlookup(D462,DataExport!$D$2:$D$481,1,false)), "Belum", "Sudah")</f>
        <v>Belum</v>
      </c>
    </row>
    <row r="463">
      <c r="A463" s="3" t="str">
        <f t="shared" si="1"/>
        <v/>
      </c>
      <c r="F463" s="4" t="str">
        <f>iferror(vlookup(D463,Sheet1!$B$2:$K$500,10,false),"")</f>
        <v/>
      </c>
      <c r="G463" s="4" t="str">
        <f>IF(ISNA(vlookup(D463,DataExport!$D$2:$D$481,1,false)), "Belum", "Sudah")</f>
        <v>Belum</v>
      </c>
    </row>
    <row r="464">
      <c r="A464" s="3" t="str">
        <f t="shared" si="1"/>
        <v/>
      </c>
      <c r="F464" s="4" t="str">
        <f>iferror(vlookup(D464,Sheet1!$B$2:$K$500,10,false),"")</f>
        <v/>
      </c>
      <c r="G464" s="4" t="str">
        <f>IF(ISNA(vlookup(D464,DataExport!$D$2:$D$481,1,false)), "Belum", "Sudah")</f>
        <v>Belum</v>
      </c>
    </row>
    <row r="465">
      <c r="A465" s="3" t="str">
        <f t="shared" si="1"/>
        <v/>
      </c>
      <c r="F465" s="4" t="str">
        <f>iferror(vlookup(D465,Sheet1!$B$2:$K$500,10,false),"")</f>
        <v/>
      </c>
      <c r="G465" s="4" t="str">
        <f>IF(ISNA(vlookup(D465,DataExport!$D$2:$D$481,1,false)), "Belum", "Sudah")</f>
        <v>Belum</v>
      </c>
    </row>
    <row r="466">
      <c r="A466" s="3" t="str">
        <f t="shared" si="1"/>
        <v/>
      </c>
      <c r="F466" s="4" t="str">
        <f>iferror(vlookup(D466,Sheet1!$B$2:$K$500,10,false),"")</f>
        <v/>
      </c>
      <c r="G466" s="4" t="str">
        <f>IF(ISNA(vlookup(D466,DataExport!$D$2:$D$481,1,false)), "Belum", "Sudah")</f>
        <v>Belum</v>
      </c>
    </row>
    <row r="467">
      <c r="A467" s="3" t="str">
        <f t="shared" si="1"/>
        <v/>
      </c>
      <c r="F467" s="4" t="str">
        <f>iferror(vlookup(D467,Sheet1!$B$2:$K$500,10,false),"")</f>
        <v/>
      </c>
      <c r="G467" s="4" t="str">
        <f>IF(ISNA(vlookup(D467,DataExport!$D$2:$D$481,1,false)), "Belum", "Sudah")</f>
        <v>Belum</v>
      </c>
    </row>
    <row r="468">
      <c r="A468" s="3" t="str">
        <f t="shared" si="1"/>
        <v/>
      </c>
      <c r="F468" s="4" t="str">
        <f>iferror(vlookup(D468,Sheet1!$B$2:$K$500,10,false),"")</f>
        <v/>
      </c>
      <c r="G468" s="4" t="str">
        <f>IF(ISNA(vlookup(D468,DataExport!$D$2:$D$481,1,false)), "Belum", "Sudah")</f>
        <v>Belum</v>
      </c>
    </row>
    <row r="469">
      <c r="A469" s="3" t="str">
        <f t="shared" si="1"/>
        <v/>
      </c>
      <c r="F469" s="4" t="str">
        <f>iferror(vlookup(D469,Sheet1!$B$2:$K$500,10,false),"")</f>
        <v/>
      </c>
      <c r="G469" s="4" t="str">
        <f>IF(ISNA(vlookup(D469,DataExport!$D$2:$D$481,1,false)), "Belum", "Sudah")</f>
        <v>Belum</v>
      </c>
    </row>
    <row r="470">
      <c r="A470" s="3" t="str">
        <f t="shared" si="1"/>
        <v/>
      </c>
      <c r="F470" s="4" t="str">
        <f>iferror(vlookup(D470,Sheet1!$B$2:$K$500,10,false),"")</f>
        <v/>
      </c>
      <c r="G470" s="4" t="str">
        <f>IF(ISNA(vlookup(D470,DataExport!$D$2:$D$481,1,false)), "Belum", "Sudah")</f>
        <v>Belum</v>
      </c>
    </row>
    <row r="471">
      <c r="A471" s="3" t="str">
        <f t="shared" si="1"/>
        <v/>
      </c>
      <c r="F471" s="4" t="str">
        <f>iferror(vlookup(D471,Sheet1!$B$2:$K$500,10,false),"")</f>
        <v/>
      </c>
      <c r="G471" s="4" t="str">
        <f>IF(ISNA(vlookup(D471,DataExport!$D$2:$D$481,1,false)), "Belum", "Sudah")</f>
        <v>Belum</v>
      </c>
    </row>
    <row r="472">
      <c r="A472" s="3" t="str">
        <f t="shared" si="1"/>
        <v/>
      </c>
      <c r="F472" s="4" t="str">
        <f>iferror(vlookup(D472,Sheet1!$B$2:$K$500,10,false),"")</f>
        <v/>
      </c>
      <c r="G472" s="4" t="str">
        <f>IF(ISNA(vlookup(D472,DataExport!$D$2:$D$481,1,false)), "Belum", "Sudah")</f>
        <v>Belum</v>
      </c>
    </row>
    <row r="473">
      <c r="A473" s="3" t="str">
        <f t="shared" si="1"/>
        <v/>
      </c>
      <c r="F473" s="4" t="str">
        <f>iferror(vlookup(D473,Sheet1!$B$2:$K$500,10,false),"")</f>
        <v/>
      </c>
      <c r="G473" s="4" t="str">
        <f>IF(ISNA(vlookup(D473,DataExport!$D$2:$D$481,1,false)), "Belum", "Sudah")</f>
        <v>Belum</v>
      </c>
    </row>
    <row r="474">
      <c r="A474" s="3" t="str">
        <f t="shared" si="1"/>
        <v/>
      </c>
      <c r="F474" s="4" t="str">
        <f>iferror(vlookup(D474,Sheet1!$B$2:$K$500,10,false),"")</f>
        <v/>
      </c>
      <c r="G474" s="4" t="str">
        <f>IF(ISNA(vlookup(D474,DataExport!$D$2:$D$481,1,false)), "Belum", "Sudah")</f>
        <v>Belum</v>
      </c>
    </row>
    <row r="475">
      <c r="A475" s="3" t="str">
        <f t="shared" si="1"/>
        <v/>
      </c>
      <c r="F475" s="4" t="str">
        <f>iferror(vlookup(D475,Sheet1!$B$2:$K$500,10,false),"")</f>
        <v/>
      </c>
      <c r="G475" s="4" t="str">
        <f>IF(ISNA(vlookup(D475,DataExport!$D$2:$D$481,1,false)), "Belum", "Sudah")</f>
        <v>Belum</v>
      </c>
    </row>
    <row r="476">
      <c r="A476" s="3" t="str">
        <f t="shared" si="1"/>
        <v/>
      </c>
      <c r="F476" s="4" t="str">
        <f>iferror(vlookup(D476,Sheet1!$B$2:$K$500,10,false),"")</f>
        <v/>
      </c>
      <c r="G476" s="4" t="str">
        <f>IF(ISNA(vlookup(D476,DataExport!$D$2:$D$481,1,false)), "Belum", "Sudah")</f>
        <v>Belum</v>
      </c>
    </row>
    <row r="477">
      <c r="A477" s="3" t="str">
        <f t="shared" si="1"/>
        <v/>
      </c>
      <c r="F477" s="4" t="str">
        <f>iferror(vlookup(D477,Sheet1!$B$2:$K$500,10,false),"")</f>
        <v/>
      </c>
      <c r="G477" s="4" t="str">
        <f>IF(ISNA(vlookup(D477,DataExport!$D$2:$D$481,1,false)), "Belum", "Sudah")</f>
        <v>Belum</v>
      </c>
    </row>
    <row r="478">
      <c r="A478" s="3" t="str">
        <f t="shared" si="1"/>
        <v/>
      </c>
      <c r="F478" s="4" t="str">
        <f>iferror(vlookup(D478,Sheet1!$B$2:$K$500,10,false),"")</f>
        <v/>
      </c>
      <c r="G478" s="4" t="str">
        <f>IF(ISNA(vlookup(D478,DataExport!$D$2:$D$481,1,false)), "Belum", "Sudah")</f>
        <v>Belum</v>
      </c>
    </row>
    <row r="479">
      <c r="A479" s="3" t="str">
        <f t="shared" si="1"/>
        <v/>
      </c>
      <c r="F479" s="4" t="str">
        <f>iferror(vlookup(D479,Sheet1!$B$2:$K$500,10,false),"")</f>
        <v/>
      </c>
      <c r="G479" s="4" t="str">
        <f>IF(ISNA(vlookup(D479,DataExport!$D$2:$D$481,1,false)), "Belum", "Sudah")</f>
        <v>Belum</v>
      </c>
    </row>
    <row r="480">
      <c r="A480" s="3" t="str">
        <f t="shared" si="1"/>
        <v/>
      </c>
      <c r="F480" s="4" t="str">
        <f>iferror(vlookup(D480,Sheet1!$B$2:$K$500,10,false),"")</f>
        <v/>
      </c>
      <c r="G480" s="4" t="str">
        <f>IF(ISNA(vlookup(D480,DataExport!$D$2:$D$481,1,false)), "Belum", "Sudah")</f>
        <v>Belum</v>
      </c>
    </row>
    <row r="481">
      <c r="A481" s="3" t="str">
        <f t="shared" si="1"/>
        <v/>
      </c>
      <c r="F481" s="4" t="str">
        <f>iferror(vlookup(D481,Sheet1!$B$2:$K$500,10,false),"")</f>
        <v/>
      </c>
      <c r="G481" s="4" t="str">
        <f>IF(ISNA(vlookup(D481,DataExport!$D$2:$D$481,1,false)), "Belum", "Sudah")</f>
        <v>Belum</v>
      </c>
    </row>
    <row r="482">
      <c r="A482" s="3" t="str">
        <f t="shared" si="1"/>
        <v/>
      </c>
      <c r="F482" s="4" t="str">
        <f>iferror(vlookup(D482,Sheet1!$B$2:$K$500,10,false),"")</f>
        <v/>
      </c>
      <c r="G482" s="4" t="str">
        <f>IF(ISNA(vlookup(D482,DataExport!$D$2:$D$481,1,false)), "Belum", "Sudah")</f>
        <v>Belum</v>
      </c>
    </row>
    <row r="483">
      <c r="A483" s="3" t="str">
        <f t="shared" si="1"/>
        <v/>
      </c>
      <c r="F483" s="4" t="str">
        <f>iferror(vlookup(D483,Sheet1!$B$2:$K$500,10,false),"")</f>
        <v/>
      </c>
      <c r="G483" s="4" t="str">
        <f>IF(ISNA(vlookup(D483,DataExport!$D$2:$D$481,1,false)), "Belum", "Sudah")</f>
        <v>Belum</v>
      </c>
    </row>
    <row r="484">
      <c r="A484" s="3" t="str">
        <f t="shared" si="1"/>
        <v/>
      </c>
      <c r="F484" s="4" t="str">
        <f>iferror(vlookup(D484,Sheet1!$B$2:$K$500,10,false),"")</f>
        <v/>
      </c>
      <c r="G484" s="4" t="str">
        <f>IF(ISNA(vlookup(D484,DataExport!$D$2:$D$481,1,false)), "Belum", "Sudah")</f>
        <v>Belum</v>
      </c>
    </row>
    <row r="485">
      <c r="A485" s="3" t="str">
        <f t="shared" si="1"/>
        <v/>
      </c>
      <c r="F485" s="4" t="str">
        <f>iferror(vlookup(D485,Sheet1!$B$2:$K$500,10,false),"")</f>
        <v/>
      </c>
      <c r="G485" s="4" t="str">
        <f>IF(ISNA(vlookup(D485,DataExport!$D$2:$D$481,1,false)), "Belum", "Sudah")</f>
        <v>Belum</v>
      </c>
    </row>
    <row r="486">
      <c r="A486" s="3" t="str">
        <f t="shared" si="1"/>
        <v/>
      </c>
      <c r="F486" s="4" t="str">
        <f>iferror(vlookup(D486,Sheet1!$B$2:$K$500,10,false),"")</f>
        <v/>
      </c>
      <c r="G486" s="4" t="str">
        <f>IF(ISNA(vlookup(D486,DataExport!$D$2:$D$481,1,false)), "Belum", "Sudah")</f>
        <v>Belum</v>
      </c>
    </row>
    <row r="487">
      <c r="A487" s="3" t="str">
        <f t="shared" si="1"/>
        <v/>
      </c>
      <c r="F487" s="4" t="str">
        <f>iferror(vlookup(D487,Sheet1!$B$2:$K$500,10,false),"")</f>
        <v/>
      </c>
      <c r="G487" s="4" t="str">
        <f>IF(ISNA(vlookup(D487,DataExport!$D$2:$D$481,1,false)), "Belum", "Sudah")</f>
        <v>Belum</v>
      </c>
    </row>
    <row r="488">
      <c r="A488" s="3" t="str">
        <f t="shared" si="1"/>
        <v/>
      </c>
      <c r="F488" s="4" t="str">
        <f>iferror(vlookup(D488,Sheet1!$B$2:$K$500,10,false),"")</f>
        <v/>
      </c>
      <c r="G488" s="4" t="str">
        <f>IF(ISNA(vlookup(D488,DataExport!$D$2:$D$481,1,false)), "Belum", "Sudah")</f>
        <v>Belum</v>
      </c>
    </row>
    <row r="489">
      <c r="A489" s="3" t="str">
        <f t="shared" si="1"/>
        <v/>
      </c>
      <c r="F489" s="4" t="str">
        <f>iferror(vlookup(D489,Sheet1!$B$2:$K$500,10,false),"")</f>
        <v/>
      </c>
      <c r="G489" s="4" t="str">
        <f>IF(ISNA(vlookup(D489,DataExport!$D$2:$D$481,1,false)), "Belum", "Sudah")</f>
        <v>Belum</v>
      </c>
    </row>
    <row r="490">
      <c r="A490" s="3" t="str">
        <f t="shared" si="1"/>
        <v/>
      </c>
      <c r="F490" s="4" t="str">
        <f>iferror(vlookup(D490,Sheet1!$B$2:$K$500,10,false),"")</f>
        <v/>
      </c>
      <c r="G490" s="4" t="str">
        <f>IF(ISNA(vlookup(D490,DataExport!$D$2:$D$481,1,false)), "Belum", "Sudah")</f>
        <v>Belum</v>
      </c>
    </row>
    <row r="491">
      <c r="A491" s="3" t="str">
        <f t="shared" si="1"/>
        <v/>
      </c>
      <c r="F491" s="4" t="str">
        <f>iferror(vlookup(D491,Sheet1!$B$2:$K$500,10,false),"")</f>
        <v/>
      </c>
      <c r="G491" s="4" t="str">
        <f>IF(ISNA(vlookup(D491,DataExport!$D$2:$D$481,1,false)), "Belum", "Sudah")</f>
        <v>Belum</v>
      </c>
    </row>
    <row r="492">
      <c r="A492" s="3" t="str">
        <f t="shared" si="1"/>
        <v/>
      </c>
      <c r="F492" s="4" t="str">
        <f>iferror(vlookup(D492,Sheet1!$B$2:$K$500,10,false),"")</f>
        <v/>
      </c>
      <c r="G492" s="4" t="str">
        <f>IF(ISNA(vlookup(D492,DataExport!$D$2:$D$481,1,false)), "Belum", "Sudah")</f>
        <v>Belum</v>
      </c>
    </row>
    <row r="493">
      <c r="A493" s="3" t="str">
        <f t="shared" si="1"/>
        <v/>
      </c>
      <c r="F493" s="4" t="str">
        <f>iferror(vlookup(D493,Sheet1!$B$2:$K$500,10,false),"")</f>
        <v/>
      </c>
      <c r="G493" s="4" t="str">
        <f>IF(ISNA(vlookup(D493,DataExport!$D$2:$D$481,1,false)), "Belum", "Sudah")</f>
        <v>Belum</v>
      </c>
    </row>
    <row r="494">
      <c r="A494" s="3" t="str">
        <f t="shared" si="1"/>
        <v/>
      </c>
      <c r="F494" s="4" t="str">
        <f>iferror(vlookup(D494,Sheet1!$B$2:$K$500,10,false),"")</f>
        <v/>
      </c>
      <c r="G494" s="4" t="str">
        <f>IF(ISNA(vlookup(D494,DataExport!$D$2:$D$481,1,false)), "Belum", "Sudah")</f>
        <v>Belum</v>
      </c>
    </row>
    <row r="495">
      <c r="A495" s="3" t="str">
        <f t="shared" si="1"/>
        <v/>
      </c>
      <c r="F495" s="4" t="str">
        <f>iferror(vlookup(D495,Sheet1!$B$2:$K$500,10,false),"")</f>
        <v/>
      </c>
      <c r="G495" s="4" t="str">
        <f>IF(ISNA(vlookup(D495,DataExport!$D$2:$D$481,1,false)), "Belum", "Sudah")</f>
        <v>Belum</v>
      </c>
    </row>
    <row r="496">
      <c r="A496" s="3" t="str">
        <f t="shared" si="1"/>
        <v/>
      </c>
      <c r="F496" s="4" t="str">
        <f>iferror(vlookup(D496,Sheet1!$B$2:$K$500,10,false),"")</f>
        <v/>
      </c>
      <c r="G496" s="4" t="str">
        <f>IF(ISNA(vlookup(D496,DataExport!$D$2:$D$481,1,false)), "Belum", "Sudah")</f>
        <v>Belum</v>
      </c>
    </row>
    <row r="497">
      <c r="A497" s="3" t="str">
        <f t="shared" si="1"/>
        <v/>
      </c>
      <c r="F497" s="4" t="str">
        <f>iferror(vlookup(D497,Sheet1!$B$2:$K$500,10,false),"")</f>
        <v/>
      </c>
      <c r="G497" s="4" t="str">
        <f>IF(ISNA(vlookup(D497,DataExport!$D$2:$D$481,1,false)), "Belum", "Sudah")</f>
        <v>Belum</v>
      </c>
    </row>
    <row r="498">
      <c r="A498" s="3" t="str">
        <f t="shared" si="1"/>
        <v/>
      </c>
      <c r="F498" s="4" t="str">
        <f>iferror(vlookup(D498,Sheet1!$B$2:$K$500,10,false),"")</f>
        <v/>
      </c>
      <c r="G498" s="4" t="str">
        <f>IF(ISNA(vlookup(D498,DataExport!$D$2:$D$481,1,false)), "Belum", "Sudah")</f>
        <v>Belum</v>
      </c>
    </row>
    <row r="499">
      <c r="A499" s="3" t="str">
        <f t="shared" si="1"/>
        <v/>
      </c>
      <c r="F499" s="4" t="str">
        <f>iferror(vlookup(D499,Sheet1!$B$2:$K$500,10,false),"")</f>
        <v/>
      </c>
      <c r="G499" s="4" t="str">
        <f>IF(ISNA(vlookup(D499,DataExport!$D$2:$D$481,1,false)), "Belum", "Sudah")</f>
        <v>Belum</v>
      </c>
    </row>
    <row r="500">
      <c r="A500" s="3" t="str">
        <f t="shared" si="1"/>
        <v/>
      </c>
      <c r="F500" s="4" t="str">
        <f>iferror(vlookup(D500,Sheet1!$B$2:$K$500,10,false),"")</f>
        <v/>
      </c>
      <c r="G500" s="4" t="str">
        <f>IF(ISNA(vlookup(D500,DataExport!$D$2:$D$481,1,false)), "Belum", "Sudah")</f>
        <v>Belum</v>
      </c>
    </row>
    <row r="501">
      <c r="A501" s="3" t="str">
        <f t="shared" si="1"/>
        <v/>
      </c>
      <c r="F501" s="4" t="str">
        <f>iferror(vlookup(D501,Sheet1!$B$2:$K$500,10,false),"")</f>
        <v/>
      </c>
      <c r="G501" s="4" t="str">
        <f>IF(ISNA(vlookup(D501,DataExport!$D$2:$D$481,1,false)), "Belum", "Sudah")</f>
        <v>Belum</v>
      </c>
    </row>
    <row r="502">
      <c r="A502" s="3" t="str">
        <f t="shared" si="1"/>
        <v/>
      </c>
      <c r="F502" s="4" t="str">
        <f>iferror(vlookup(D502,Sheet1!$B$2:$K$500,10,false),"")</f>
        <v/>
      </c>
      <c r="G502" s="4" t="str">
        <f>IF(ISNA(vlookup(D502,DataExport!$D$2:$D$481,1,false)), "Belum", "Sudah")</f>
        <v>Belum</v>
      </c>
    </row>
    <row r="503">
      <c r="A503" s="3" t="str">
        <f t="shared" si="1"/>
        <v/>
      </c>
      <c r="F503" s="4" t="str">
        <f>iferror(vlookup(D503,Sheet1!$B$2:$K$500,10,false),"")</f>
        <v/>
      </c>
      <c r="G503" s="4" t="str">
        <f>IF(ISNA(vlookup(D503,DataExport!$D$2:$D$481,1,false)), "Belum", "Sudah")</f>
        <v>Belum</v>
      </c>
    </row>
    <row r="504">
      <c r="A504" s="3" t="str">
        <f t="shared" si="1"/>
        <v/>
      </c>
      <c r="F504" s="4" t="str">
        <f>iferror(vlookup(D504,Sheet1!$B$2:$K$500,10,false),"")</f>
        <v/>
      </c>
      <c r="G504" s="4" t="str">
        <f>IF(ISNA(vlookup(D504,DataExport!$D$2:$D$481,1,false)), "Belum", "Sudah")</f>
        <v>Belum</v>
      </c>
    </row>
    <row r="505">
      <c r="A505" s="3" t="str">
        <f t="shared" si="1"/>
        <v/>
      </c>
      <c r="F505" s="4" t="str">
        <f>iferror(vlookup(D505,Sheet1!$B$2:$K$500,10,false),"")</f>
        <v/>
      </c>
      <c r="G505" s="4" t="str">
        <f>IF(ISNA(vlookup(D505,DataExport!$D$2:$D$481,1,false)), "Belum", "Sudah")</f>
        <v>Belum</v>
      </c>
    </row>
    <row r="506">
      <c r="A506" s="3" t="str">
        <f t="shared" si="1"/>
        <v/>
      </c>
      <c r="F506" s="4" t="str">
        <f>iferror(vlookup(D506,Sheet1!$B$2:$K$500,10,false),"")</f>
        <v/>
      </c>
      <c r="G506" s="4" t="str">
        <f>IF(ISNA(vlookup(D506,DataExport!$D$2:$D$481,1,false)), "Belum", "Sudah")</f>
        <v>Belum</v>
      </c>
    </row>
    <row r="507">
      <c r="A507" s="3" t="str">
        <f t="shared" si="1"/>
        <v/>
      </c>
      <c r="F507" s="4" t="str">
        <f>iferror(vlookup(D507,Sheet1!$B$2:$K$500,10,false),"")</f>
        <v/>
      </c>
      <c r="G507" s="4" t="str">
        <f>IF(ISNA(vlookup(D507,DataExport!$D$2:$D$481,1,false)), "Belum", "Sudah")</f>
        <v>Belum</v>
      </c>
    </row>
    <row r="508">
      <c r="A508" s="3" t="str">
        <f t="shared" si="1"/>
        <v/>
      </c>
      <c r="F508" s="4" t="str">
        <f>iferror(vlookup(D508,Sheet1!$B$2:$K$500,10,false),"")</f>
        <v/>
      </c>
      <c r="G508" s="4" t="str">
        <f>IF(ISNA(vlookup(D508,DataExport!$D$2:$D$481,1,false)), "Belum", "Sudah")</f>
        <v>Belum</v>
      </c>
    </row>
    <row r="509">
      <c r="A509" s="3" t="str">
        <f t="shared" si="1"/>
        <v/>
      </c>
      <c r="F509" s="4" t="str">
        <f>iferror(vlookup(D509,Sheet1!$B$2:$K$500,10,false),"")</f>
        <v/>
      </c>
      <c r="G509" s="4" t="str">
        <f>IF(ISNA(vlookup(D509,DataExport!$D$2:$D$481,1,false)), "Belum", "Sudah")</f>
        <v>Belum</v>
      </c>
    </row>
    <row r="510">
      <c r="A510" s="3" t="str">
        <f t="shared" si="1"/>
        <v/>
      </c>
      <c r="F510" s="4" t="str">
        <f>iferror(vlookup(D510,Sheet1!$B$2:$K$500,10,false),"")</f>
        <v/>
      </c>
      <c r="G510" s="4" t="str">
        <f>IF(ISNA(vlookup(D510,DataExport!$D$2:$D$481,1,false)), "Belum", "Sudah")</f>
        <v>Belum</v>
      </c>
    </row>
    <row r="511">
      <c r="A511" s="3" t="str">
        <f t="shared" si="1"/>
        <v/>
      </c>
      <c r="F511" s="4" t="str">
        <f>iferror(vlookup(D511,Sheet1!$B$2:$K$500,10,false),"")</f>
        <v/>
      </c>
      <c r="G511" s="4" t="str">
        <f>IF(ISNA(vlookup(D511,DataExport!$D$2:$D$481,1,false)), "Belum", "Sudah")</f>
        <v>Belum</v>
      </c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  <row r="1001">
      <c r="A1001" s="3"/>
    </row>
    <row r="1002">
      <c r="A1002" s="3"/>
    </row>
    <row r="1003">
      <c r="A1003" s="3"/>
    </row>
    <row r="1004">
      <c r="A1004" s="3"/>
    </row>
    <row r="1005">
      <c r="A1005" s="3"/>
    </row>
    <row r="1006">
      <c r="A1006" s="3"/>
    </row>
    <row r="1007">
      <c r="A1007" s="3"/>
    </row>
    <row r="1008">
      <c r="A1008" s="3"/>
    </row>
    <row r="1009">
      <c r="A1009" s="3"/>
    </row>
    <row r="1010">
      <c r="A1010" s="3"/>
    </row>
    <row r="1011">
      <c r="A1011" s="3"/>
    </row>
    <row r="1012">
      <c r="A1012" s="3"/>
    </row>
    <row r="1013">
      <c r="A1013" s="3"/>
    </row>
    <row r="1014">
      <c r="A1014" s="3"/>
    </row>
    <row r="1015">
      <c r="A1015" s="3"/>
    </row>
    <row r="1016">
      <c r="A1016" s="3"/>
    </row>
  </sheetData>
  <autoFilter ref="$A$1:$G$511">
    <sortState ref="A1:G511">
      <sortCondition ref="B1:B511"/>
      <sortCondition ref="C1:C511"/>
      <sortCondition ref="E1:E511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4.25"/>
    <col customWidth="1" min="3" max="3" width="71.0"/>
    <col customWidth="1" min="4" max="4" width="26.63"/>
    <col customWidth="1" min="5" max="5" width="41.63"/>
    <col customWidth="1" min="6" max="6" width="14.0"/>
  </cols>
  <sheetData>
    <row r="1" ht="34.5" customHeight="1">
      <c r="A1" s="8" t="s">
        <v>3</v>
      </c>
      <c r="B1" s="8" t="s">
        <v>4</v>
      </c>
      <c r="C1" s="8" t="s">
        <v>5</v>
      </c>
      <c r="D1" s="8" t="s">
        <v>6</v>
      </c>
      <c r="E1" s="8" t="s">
        <v>7</v>
      </c>
      <c r="F1" s="8" t="s">
        <v>8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3" t="str">
        <f t="shared" ref="A2:A315" si="1">IF(B2="","",ROW(A2)-1)</f>
        <v/>
      </c>
      <c r="F2" s="4" t="str">
        <f>iferror(vlookup(D2,Sheet1!$B$2:$K$500,10,false),"")</f>
        <v/>
      </c>
    </row>
    <row r="3">
      <c r="A3" s="3" t="str">
        <f t="shared" si="1"/>
        <v/>
      </c>
      <c r="F3" s="4" t="str">
        <f>iferror(vlookup(D3,Sheet1!$B$2:$K$500,10,false),"")</f>
        <v/>
      </c>
    </row>
    <row r="4">
      <c r="A4" s="3" t="str">
        <f t="shared" si="1"/>
        <v/>
      </c>
      <c r="F4" s="4" t="str">
        <f>iferror(vlookup(D4,Sheet1!$B$2:$K$500,10,false),"")</f>
        <v/>
      </c>
    </row>
    <row r="5">
      <c r="A5" s="3" t="str">
        <f t="shared" si="1"/>
        <v/>
      </c>
      <c r="F5" s="4" t="str">
        <f>iferror(vlookup(D5,Sheet1!$B$2:$K$500,10,false),"")</f>
        <v/>
      </c>
    </row>
    <row r="6">
      <c r="A6" s="3" t="str">
        <f t="shared" si="1"/>
        <v/>
      </c>
      <c r="F6" s="4" t="str">
        <f>iferror(vlookup(D6,Sheet1!$B$2:$K$500,10,false),"")</f>
        <v/>
      </c>
    </row>
    <row r="7">
      <c r="A7" s="3" t="str">
        <f t="shared" si="1"/>
        <v/>
      </c>
      <c r="F7" s="4" t="str">
        <f>iferror(vlookup(D7,Sheet1!$B$2:$K$500,10,false),"")</f>
        <v/>
      </c>
    </row>
    <row r="8">
      <c r="A8" s="3" t="str">
        <f t="shared" si="1"/>
        <v/>
      </c>
      <c r="F8" s="4" t="str">
        <f>iferror(vlookup(D8,Sheet1!$B$2:$K$500,10,false),"")</f>
        <v/>
      </c>
    </row>
    <row r="9">
      <c r="A9" s="3" t="str">
        <f t="shared" si="1"/>
        <v/>
      </c>
      <c r="F9" s="4" t="str">
        <f>iferror(vlookup(D9,Sheet1!$B$2:$K$500,10,false),"")</f>
        <v/>
      </c>
    </row>
    <row r="10">
      <c r="A10" s="3" t="str">
        <f t="shared" si="1"/>
        <v/>
      </c>
      <c r="F10" s="4" t="str">
        <f>iferror(vlookup(D10,Sheet1!$B$2:$K$500,10,false),"")</f>
        <v/>
      </c>
    </row>
    <row r="11">
      <c r="A11" s="3" t="str">
        <f t="shared" si="1"/>
        <v/>
      </c>
      <c r="F11" s="4" t="str">
        <f>iferror(vlookup(D11,Sheet1!$B$2:$K$500,10,false),"")</f>
        <v/>
      </c>
    </row>
    <row r="12">
      <c r="A12" s="3" t="str">
        <f t="shared" si="1"/>
        <v/>
      </c>
      <c r="F12" s="4" t="str">
        <f>iferror(vlookup(D12,Sheet1!$B$2:$K$500,10,false),"")</f>
        <v/>
      </c>
    </row>
    <row r="13">
      <c r="A13" s="3" t="str">
        <f t="shared" si="1"/>
        <v/>
      </c>
      <c r="F13" s="4" t="str">
        <f>iferror(vlookup(D13,Sheet1!$B$2:$K$500,10,false),"")</f>
        <v/>
      </c>
    </row>
    <row r="14">
      <c r="A14" s="3" t="str">
        <f t="shared" si="1"/>
        <v/>
      </c>
      <c r="F14" s="4" t="str">
        <f>iferror(vlookup(D14,Sheet1!$B$2:$K$500,10,false),"")</f>
        <v/>
      </c>
    </row>
    <row r="15">
      <c r="A15" s="3" t="str">
        <f t="shared" si="1"/>
        <v/>
      </c>
      <c r="F15" s="4" t="str">
        <f>iferror(vlookup(D15,Sheet1!$B$2:$K$500,10,false),"")</f>
        <v/>
      </c>
    </row>
    <row r="16">
      <c r="A16" s="3" t="str">
        <f t="shared" si="1"/>
        <v/>
      </c>
      <c r="F16" s="4" t="str">
        <f>iferror(vlookup(D16,Sheet1!$B$2:$K$500,10,false),"")</f>
        <v/>
      </c>
    </row>
    <row r="17">
      <c r="A17" s="3" t="str">
        <f t="shared" si="1"/>
        <v/>
      </c>
      <c r="F17" s="4" t="str">
        <f>iferror(vlookup(D17,Sheet1!$B$2:$K$500,10,false),"")</f>
        <v/>
      </c>
    </row>
    <row r="18">
      <c r="A18" s="3" t="str">
        <f t="shared" si="1"/>
        <v/>
      </c>
      <c r="F18" s="4" t="str">
        <f>iferror(vlookup(D18,Sheet1!$B$2:$K$500,10,false),"")</f>
        <v/>
      </c>
    </row>
    <row r="19">
      <c r="A19" s="3" t="str">
        <f t="shared" si="1"/>
        <v/>
      </c>
      <c r="F19" s="4" t="str">
        <f>iferror(vlookup(D19,Sheet1!$B$2:$K$500,10,false),"")</f>
        <v/>
      </c>
    </row>
    <row r="20">
      <c r="A20" s="3" t="str">
        <f t="shared" si="1"/>
        <v/>
      </c>
      <c r="F20" s="4" t="str">
        <f>iferror(vlookup(D20,Sheet1!$B$2:$K$500,10,false),"")</f>
        <v/>
      </c>
    </row>
    <row r="21">
      <c r="A21" s="3" t="str">
        <f t="shared" si="1"/>
        <v/>
      </c>
      <c r="F21" s="4" t="str">
        <f>iferror(vlookup(D21,Sheet1!$B$2:$K$500,10,false),"")</f>
        <v/>
      </c>
    </row>
    <row r="22">
      <c r="A22" s="3" t="str">
        <f t="shared" si="1"/>
        <v/>
      </c>
      <c r="F22" s="4" t="str">
        <f>iferror(vlookup(D22,Sheet1!$B$2:$K$500,10,false),"")</f>
        <v/>
      </c>
    </row>
    <row r="23">
      <c r="A23" s="3" t="str">
        <f t="shared" si="1"/>
        <v/>
      </c>
      <c r="F23" s="4" t="str">
        <f>iferror(vlookup(D23,Sheet1!$B$2:$K$500,10,false),"")</f>
        <v/>
      </c>
    </row>
    <row r="24">
      <c r="A24" s="3" t="str">
        <f t="shared" si="1"/>
        <v/>
      </c>
      <c r="F24" s="4" t="str">
        <f>iferror(vlookup(D24,Sheet1!$B$2:$K$500,10,false),"")</f>
        <v/>
      </c>
    </row>
    <row r="25">
      <c r="A25" s="3" t="str">
        <f t="shared" si="1"/>
        <v/>
      </c>
      <c r="F25" s="4" t="str">
        <f>iferror(vlookup(D25,Sheet1!$B$2:$K$500,10,false),"")</f>
        <v/>
      </c>
    </row>
    <row r="26">
      <c r="A26" s="3" t="str">
        <f t="shared" si="1"/>
        <v/>
      </c>
      <c r="F26" s="4" t="str">
        <f>iferror(vlookup(D26,Sheet1!$B$2:$K$500,10,false),"")</f>
        <v/>
      </c>
    </row>
    <row r="27">
      <c r="A27" s="3" t="str">
        <f t="shared" si="1"/>
        <v/>
      </c>
      <c r="F27" s="4" t="str">
        <f>iferror(vlookup(D27,Sheet1!$B$2:$K$500,10,false),"")</f>
        <v/>
      </c>
    </row>
    <row r="28">
      <c r="A28" s="3" t="str">
        <f t="shared" si="1"/>
        <v/>
      </c>
      <c r="F28" s="4" t="str">
        <f>iferror(vlookup(D28,Sheet1!$B$2:$K$500,10,false),"")</f>
        <v/>
      </c>
    </row>
    <row r="29">
      <c r="A29" s="3" t="str">
        <f t="shared" si="1"/>
        <v/>
      </c>
      <c r="F29" s="4" t="str">
        <f>iferror(vlookup(D29,Sheet1!$B$2:$K$500,10,false),"")</f>
        <v/>
      </c>
    </row>
    <row r="30">
      <c r="A30" s="3" t="str">
        <f t="shared" si="1"/>
        <v/>
      </c>
      <c r="F30" s="4" t="str">
        <f>iferror(vlookup(D30,Sheet1!$B$2:$K$500,10,false),"")</f>
        <v/>
      </c>
    </row>
    <row r="31">
      <c r="A31" s="3" t="str">
        <f t="shared" si="1"/>
        <v/>
      </c>
      <c r="F31" s="4" t="str">
        <f>iferror(vlookup(D31,Sheet1!$B$2:$K$500,10,false),"")</f>
        <v/>
      </c>
    </row>
    <row r="32">
      <c r="A32" s="3" t="str">
        <f t="shared" si="1"/>
        <v/>
      </c>
      <c r="F32" s="4" t="str">
        <f>iferror(vlookup(D32,Sheet1!$B$2:$K$500,10,false),"")</f>
        <v/>
      </c>
    </row>
    <row r="33">
      <c r="A33" s="3" t="str">
        <f t="shared" si="1"/>
        <v/>
      </c>
      <c r="F33" s="4" t="str">
        <f>iferror(vlookup(D33,Sheet1!$B$2:$K$500,10,false),"")</f>
        <v/>
      </c>
    </row>
    <row r="34">
      <c r="A34" s="3" t="str">
        <f t="shared" si="1"/>
        <v/>
      </c>
      <c r="F34" s="4" t="str">
        <f>iferror(vlookup(D34,Sheet1!$B$2:$K$500,10,false),"")</f>
        <v/>
      </c>
    </row>
    <row r="35">
      <c r="A35" s="3" t="str">
        <f t="shared" si="1"/>
        <v/>
      </c>
      <c r="F35" s="4" t="str">
        <f>iferror(vlookup(D35,Sheet1!$B$2:$K$500,10,false),"")</f>
        <v/>
      </c>
    </row>
    <row r="36">
      <c r="A36" s="3" t="str">
        <f t="shared" si="1"/>
        <v/>
      </c>
      <c r="F36" s="4" t="str">
        <f>iferror(vlookup(D36,Sheet1!$B$2:$K$500,10,false),"")</f>
        <v/>
      </c>
    </row>
    <row r="37">
      <c r="A37" s="3" t="str">
        <f t="shared" si="1"/>
        <v/>
      </c>
      <c r="F37" s="4" t="str">
        <f>iferror(vlookup(D37,Sheet1!$B$2:$K$500,10,false),"")</f>
        <v/>
      </c>
    </row>
    <row r="38">
      <c r="A38" s="3" t="str">
        <f t="shared" si="1"/>
        <v/>
      </c>
      <c r="F38" s="4" t="str">
        <f>iferror(vlookup(D38,Sheet1!$B$2:$K$500,10,false),"")</f>
        <v/>
      </c>
    </row>
    <row r="39">
      <c r="A39" s="3" t="str">
        <f t="shared" si="1"/>
        <v/>
      </c>
      <c r="F39" s="4" t="str">
        <f>iferror(vlookup(D39,Sheet1!$B$2:$K$500,10,false),"")</f>
        <v/>
      </c>
    </row>
    <row r="40">
      <c r="A40" s="3" t="str">
        <f t="shared" si="1"/>
        <v/>
      </c>
      <c r="F40" s="4" t="str">
        <f>iferror(vlookup(D40,Sheet1!$B$2:$K$500,10,false),"")</f>
        <v/>
      </c>
    </row>
    <row r="41">
      <c r="A41" s="3" t="str">
        <f t="shared" si="1"/>
        <v/>
      </c>
      <c r="F41" s="4" t="str">
        <f>iferror(vlookup(D41,Sheet1!$B$2:$K$500,10,false),"")</f>
        <v/>
      </c>
    </row>
    <row r="42">
      <c r="A42" s="3" t="str">
        <f t="shared" si="1"/>
        <v/>
      </c>
      <c r="F42" s="4" t="str">
        <f>iferror(vlookup(D42,Sheet1!$B$2:$K$500,10,false),"")</f>
        <v/>
      </c>
    </row>
    <row r="43">
      <c r="A43" s="3" t="str">
        <f t="shared" si="1"/>
        <v/>
      </c>
      <c r="F43" s="4" t="str">
        <f>iferror(vlookup(D43,Sheet1!$B$2:$K$500,10,false),"")</f>
        <v/>
      </c>
    </row>
    <row r="44">
      <c r="A44" s="3" t="str">
        <f t="shared" si="1"/>
        <v/>
      </c>
      <c r="F44" s="4" t="str">
        <f>iferror(vlookup(D44,Sheet1!$B$2:$K$500,10,false),"")</f>
        <v/>
      </c>
    </row>
    <row r="45">
      <c r="A45" s="3" t="str">
        <f t="shared" si="1"/>
        <v/>
      </c>
      <c r="F45" s="4" t="str">
        <f>iferror(vlookup(D45,Sheet1!$B$2:$K$500,10,false),"")</f>
        <v/>
      </c>
    </row>
    <row r="46">
      <c r="A46" s="3" t="str">
        <f t="shared" si="1"/>
        <v/>
      </c>
      <c r="F46" s="4" t="str">
        <f>iferror(vlookup(D46,Sheet1!$B$2:$K$500,10,false),"")</f>
        <v/>
      </c>
    </row>
    <row r="47">
      <c r="A47" s="3" t="str">
        <f t="shared" si="1"/>
        <v/>
      </c>
      <c r="F47" s="4" t="str">
        <f>iferror(vlookup(D47,Sheet1!$B$2:$K$500,10,false),"")</f>
        <v/>
      </c>
    </row>
    <row r="48">
      <c r="A48" s="3" t="str">
        <f t="shared" si="1"/>
        <v/>
      </c>
      <c r="F48" s="4" t="str">
        <f>iferror(vlookup(D48,Sheet1!$B$2:$K$500,10,false),"")</f>
        <v/>
      </c>
    </row>
    <row r="49">
      <c r="A49" s="3" t="str">
        <f t="shared" si="1"/>
        <v/>
      </c>
      <c r="F49" s="4" t="str">
        <f>iferror(vlookup(D49,Sheet1!$B$2:$K$500,10,false),"")</f>
        <v/>
      </c>
    </row>
    <row r="50">
      <c r="A50" s="3" t="str">
        <f t="shared" si="1"/>
        <v/>
      </c>
      <c r="F50" s="4" t="str">
        <f>iferror(vlookup(D50,Sheet1!$B$2:$K$500,10,false),"")</f>
        <v/>
      </c>
    </row>
    <row r="51">
      <c r="A51" s="3" t="str">
        <f t="shared" si="1"/>
        <v/>
      </c>
      <c r="F51" s="4" t="str">
        <f>iferror(vlookup(D51,Sheet1!$B$2:$K$500,10,false),"")</f>
        <v/>
      </c>
    </row>
    <row r="52">
      <c r="A52" s="3" t="str">
        <f t="shared" si="1"/>
        <v/>
      </c>
      <c r="F52" s="4" t="str">
        <f>iferror(vlookup(D52,Sheet1!$B$2:$K$500,10,false),"")</f>
        <v/>
      </c>
    </row>
    <row r="53">
      <c r="A53" s="3" t="str">
        <f t="shared" si="1"/>
        <v/>
      </c>
      <c r="F53" s="4" t="str">
        <f>iferror(vlookup(D53,Sheet1!$B$2:$K$500,10,false),"")</f>
        <v/>
      </c>
    </row>
    <row r="54">
      <c r="A54" s="3" t="str">
        <f t="shared" si="1"/>
        <v/>
      </c>
      <c r="F54" s="4" t="str">
        <f>iferror(vlookup(D54,Sheet1!$B$2:$K$500,10,false),"")</f>
        <v/>
      </c>
    </row>
    <row r="55">
      <c r="A55" s="3" t="str">
        <f t="shared" si="1"/>
        <v/>
      </c>
      <c r="F55" s="4" t="str">
        <f>iferror(vlookup(D55,Sheet1!$B$2:$K$500,10,false),"")</f>
        <v/>
      </c>
    </row>
    <row r="56">
      <c r="A56" s="3" t="str">
        <f t="shared" si="1"/>
        <v/>
      </c>
      <c r="F56" s="4" t="str">
        <f>iferror(vlookup(D56,Sheet1!$B$2:$K$500,10,false),"")</f>
        <v/>
      </c>
    </row>
    <row r="57">
      <c r="A57" s="3" t="str">
        <f t="shared" si="1"/>
        <v/>
      </c>
      <c r="F57" s="4" t="str">
        <f>iferror(vlookup(D57,Sheet1!$B$2:$K$500,10,false),"")</f>
        <v/>
      </c>
    </row>
    <row r="58">
      <c r="A58" s="3" t="str">
        <f t="shared" si="1"/>
        <v/>
      </c>
      <c r="F58" s="4" t="str">
        <f>iferror(vlookup(D58,Sheet1!$B$2:$K$500,10,false),"")</f>
        <v/>
      </c>
    </row>
    <row r="59">
      <c r="A59" s="3" t="str">
        <f t="shared" si="1"/>
        <v/>
      </c>
      <c r="F59" s="4" t="str">
        <f>iferror(vlookup(D59,Sheet1!$B$2:$K$500,10,false),"")</f>
        <v/>
      </c>
    </row>
    <row r="60">
      <c r="A60" s="3" t="str">
        <f t="shared" si="1"/>
        <v/>
      </c>
      <c r="F60" s="4" t="str">
        <f>iferror(vlookup(D60,Sheet1!$B$2:$K$500,10,false),"")</f>
        <v/>
      </c>
    </row>
    <row r="61">
      <c r="A61" s="3" t="str">
        <f t="shared" si="1"/>
        <v/>
      </c>
      <c r="F61" s="4" t="str">
        <f>iferror(vlookup(D61,Sheet1!$B$2:$K$500,10,false),"")</f>
        <v/>
      </c>
    </row>
    <row r="62">
      <c r="A62" s="3" t="str">
        <f t="shared" si="1"/>
        <v/>
      </c>
      <c r="F62" s="4" t="str">
        <f>iferror(vlookup(D62,Sheet1!$B$2:$K$500,10,false),"")</f>
        <v/>
      </c>
    </row>
    <row r="63">
      <c r="A63" s="3" t="str">
        <f t="shared" si="1"/>
        <v/>
      </c>
      <c r="F63" s="4" t="str">
        <f>iferror(vlookup(D63,Sheet1!$B$2:$K$500,10,false),"")</f>
        <v/>
      </c>
    </row>
    <row r="64">
      <c r="A64" s="3" t="str">
        <f t="shared" si="1"/>
        <v/>
      </c>
      <c r="F64" s="4" t="str">
        <f>iferror(vlookup(D64,Sheet1!$B$2:$K$500,10,false),"")</f>
        <v/>
      </c>
    </row>
    <row r="65">
      <c r="A65" s="3" t="str">
        <f t="shared" si="1"/>
        <v/>
      </c>
      <c r="F65" s="4" t="str">
        <f>iferror(vlookup(D65,Sheet1!$B$2:$K$500,10,false),"")</f>
        <v/>
      </c>
    </row>
    <row r="66">
      <c r="A66" s="3" t="str">
        <f t="shared" si="1"/>
        <v/>
      </c>
      <c r="F66" s="4" t="str">
        <f>iferror(vlookup(D66,Sheet1!$B$2:$K$500,10,false),"")</f>
        <v/>
      </c>
    </row>
    <row r="67">
      <c r="A67" s="3" t="str">
        <f t="shared" si="1"/>
        <v/>
      </c>
      <c r="F67" s="4" t="str">
        <f>iferror(vlookup(D67,Sheet1!$B$2:$K$500,10,false),"")</f>
        <v/>
      </c>
    </row>
    <row r="68">
      <c r="A68" s="3" t="str">
        <f t="shared" si="1"/>
        <v/>
      </c>
      <c r="F68" s="4" t="str">
        <f>iferror(vlookup(D68,Sheet1!$B$2:$K$500,10,false),"")</f>
        <v/>
      </c>
    </row>
    <row r="69">
      <c r="A69" s="3" t="str">
        <f t="shared" si="1"/>
        <v/>
      </c>
      <c r="F69" s="4" t="str">
        <f>iferror(vlookup(D69,Sheet1!$B$2:$K$500,10,false),"")</f>
        <v/>
      </c>
    </row>
    <row r="70">
      <c r="A70" s="3" t="str">
        <f t="shared" si="1"/>
        <v/>
      </c>
      <c r="F70" s="4" t="str">
        <f>iferror(vlookup(D70,Sheet1!$B$2:$K$500,10,false),"")</f>
        <v/>
      </c>
    </row>
    <row r="71">
      <c r="A71" s="3" t="str">
        <f t="shared" si="1"/>
        <v/>
      </c>
      <c r="F71" s="4" t="str">
        <f>iferror(vlookup(D71,Sheet1!$B$2:$K$500,10,false),"")</f>
        <v/>
      </c>
    </row>
    <row r="72">
      <c r="A72" s="3" t="str">
        <f t="shared" si="1"/>
        <v/>
      </c>
      <c r="F72" s="4" t="str">
        <f>iferror(vlookup(D72,Sheet1!$B$2:$K$500,10,false),"")</f>
        <v/>
      </c>
    </row>
    <row r="73">
      <c r="A73" s="3" t="str">
        <f t="shared" si="1"/>
        <v/>
      </c>
      <c r="F73" s="4" t="str">
        <f>iferror(vlookup(D73,Sheet1!$B$2:$K$500,10,false),"")</f>
        <v/>
      </c>
    </row>
    <row r="74">
      <c r="A74" s="3" t="str">
        <f t="shared" si="1"/>
        <v/>
      </c>
      <c r="F74" s="4" t="str">
        <f>iferror(vlookup(D74,Sheet1!$B$2:$K$500,10,false),"")</f>
        <v/>
      </c>
    </row>
    <row r="75">
      <c r="A75" s="3" t="str">
        <f t="shared" si="1"/>
        <v/>
      </c>
      <c r="F75" s="4" t="str">
        <f>iferror(vlookup(D75,Sheet1!$B$2:$K$500,10,false),"")</f>
        <v/>
      </c>
    </row>
    <row r="76">
      <c r="A76" s="3" t="str">
        <f t="shared" si="1"/>
        <v/>
      </c>
      <c r="F76" s="4" t="str">
        <f>iferror(vlookup(D76,Sheet1!$B$2:$K$500,10,false),"")</f>
        <v/>
      </c>
    </row>
    <row r="77">
      <c r="A77" s="3" t="str">
        <f t="shared" si="1"/>
        <v/>
      </c>
      <c r="F77" s="4" t="str">
        <f>iferror(vlookup(D77,Sheet1!$B$2:$K$500,10,false),"")</f>
        <v/>
      </c>
    </row>
    <row r="78">
      <c r="A78" s="3" t="str">
        <f t="shared" si="1"/>
        <v/>
      </c>
      <c r="F78" s="4" t="str">
        <f>iferror(vlookup(D78,Sheet1!$B$2:$K$500,10,false),"")</f>
        <v/>
      </c>
    </row>
    <row r="79">
      <c r="A79" s="3" t="str">
        <f t="shared" si="1"/>
        <v/>
      </c>
      <c r="F79" s="4" t="str">
        <f>iferror(vlookup(D79,Sheet1!$B$2:$K$500,10,false),"")</f>
        <v/>
      </c>
    </row>
    <row r="80">
      <c r="A80" s="3" t="str">
        <f t="shared" si="1"/>
        <v/>
      </c>
      <c r="F80" s="4" t="str">
        <f>iferror(vlookup(D80,Sheet1!$B$2:$K$500,10,false),"")</f>
        <v/>
      </c>
    </row>
    <row r="81">
      <c r="A81" s="3" t="str">
        <f t="shared" si="1"/>
        <v/>
      </c>
      <c r="F81" s="4" t="str">
        <f>iferror(vlookup(D81,Sheet1!$B$2:$K$500,10,false),"")</f>
        <v/>
      </c>
    </row>
    <row r="82">
      <c r="A82" s="3" t="str">
        <f t="shared" si="1"/>
        <v/>
      </c>
      <c r="F82" s="4" t="str">
        <f>iferror(vlookup(D82,Sheet1!$B$2:$K$500,10,false),"")</f>
        <v/>
      </c>
    </row>
    <row r="83">
      <c r="A83" s="3" t="str">
        <f t="shared" si="1"/>
        <v/>
      </c>
      <c r="F83" s="4" t="str">
        <f>iferror(vlookup(D83,Sheet1!$B$2:$K$500,10,false),"")</f>
        <v/>
      </c>
    </row>
    <row r="84">
      <c r="A84" s="3" t="str">
        <f t="shared" si="1"/>
        <v/>
      </c>
      <c r="F84" s="4" t="str">
        <f>iferror(vlookup(D84,Sheet1!$B$2:$K$500,10,false),"")</f>
        <v/>
      </c>
    </row>
    <row r="85">
      <c r="A85" s="3" t="str">
        <f t="shared" si="1"/>
        <v/>
      </c>
      <c r="F85" s="4" t="str">
        <f>iferror(vlookup(D85,Sheet1!$B$2:$K$500,10,false),"")</f>
        <v/>
      </c>
    </row>
    <row r="86">
      <c r="A86" s="3" t="str">
        <f t="shared" si="1"/>
        <v/>
      </c>
      <c r="F86" s="4" t="str">
        <f>iferror(vlookup(D86,Sheet1!$B$2:$K$500,10,false),"")</f>
        <v/>
      </c>
    </row>
    <row r="87">
      <c r="A87" s="3" t="str">
        <f t="shared" si="1"/>
        <v/>
      </c>
      <c r="F87" s="4" t="str">
        <f>iferror(vlookup(D87,Sheet1!$B$2:$K$500,10,false),"")</f>
        <v/>
      </c>
    </row>
    <row r="88">
      <c r="A88" s="3" t="str">
        <f t="shared" si="1"/>
        <v/>
      </c>
      <c r="F88" s="4" t="str">
        <f>iferror(vlookup(D88,Sheet1!$B$2:$K$500,10,false),"")</f>
        <v/>
      </c>
    </row>
    <row r="89">
      <c r="A89" s="3" t="str">
        <f t="shared" si="1"/>
        <v/>
      </c>
      <c r="F89" s="4" t="str">
        <f>iferror(vlookup(D89,Sheet1!$B$2:$K$500,10,false),"")</f>
        <v/>
      </c>
    </row>
    <row r="90">
      <c r="A90" s="3" t="str">
        <f t="shared" si="1"/>
        <v/>
      </c>
      <c r="F90" s="4" t="str">
        <f>iferror(vlookup(D90,Sheet1!$B$2:$K$500,10,false),"")</f>
        <v/>
      </c>
    </row>
    <row r="91">
      <c r="A91" s="3" t="str">
        <f t="shared" si="1"/>
        <v/>
      </c>
      <c r="F91" s="4" t="str">
        <f>iferror(vlookup(D91,Sheet1!$B$2:$K$500,10,false),"")</f>
        <v/>
      </c>
    </row>
    <row r="92">
      <c r="A92" s="3" t="str">
        <f t="shared" si="1"/>
        <v/>
      </c>
      <c r="F92" s="4" t="str">
        <f>iferror(vlookup(D92,Sheet1!$B$2:$K$500,10,false),"")</f>
        <v/>
      </c>
    </row>
    <row r="93">
      <c r="A93" s="3" t="str">
        <f t="shared" si="1"/>
        <v/>
      </c>
      <c r="F93" s="4" t="str">
        <f>iferror(vlookup(D93,Sheet1!$B$2:$K$500,10,false),"")</f>
        <v/>
      </c>
    </row>
    <row r="94">
      <c r="A94" s="3" t="str">
        <f t="shared" si="1"/>
        <v/>
      </c>
      <c r="F94" s="4" t="str">
        <f>iferror(vlookup(D94,Sheet1!$B$2:$K$500,10,false),"")</f>
        <v/>
      </c>
    </row>
    <row r="95">
      <c r="A95" s="3" t="str">
        <f t="shared" si="1"/>
        <v/>
      </c>
      <c r="F95" s="4" t="str">
        <f>iferror(vlookup(D95,Sheet1!$B$2:$K$500,10,false),"")</f>
        <v/>
      </c>
    </row>
    <row r="96">
      <c r="A96" s="3" t="str">
        <f t="shared" si="1"/>
        <v/>
      </c>
      <c r="F96" s="4" t="str">
        <f>iferror(vlookup(D96,Sheet1!$B$2:$K$500,10,false),"")</f>
        <v/>
      </c>
    </row>
    <row r="97">
      <c r="A97" s="3" t="str">
        <f t="shared" si="1"/>
        <v/>
      </c>
      <c r="F97" s="4" t="str">
        <f>iferror(vlookup(D97,Sheet1!$B$2:$K$500,10,false),"")</f>
        <v/>
      </c>
    </row>
    <row r="98">
      <c r="A98" s="3" t="str">
        <f t="shared" si="1"/>
        <v/>
      </c>
      <c r="F98" s="4" t="str">
        <f>iferror(vlookup(D98,Sheet1!$B$2:$K$500,10,false),"")</f>
        <v/>
      </c>
    </row>
    <row r="99">
      <c r="A99" s="3" t="str">
        <f t="shared" si="1"/>
        <v/>
      </c>
      <c r="F99" s="4" t="str">
        <f>iferror(vlookup(D99,Sheet1!$B$2:$K$500,10,false),"")</f>
        <v/>
      </c>
    </row>
    <row r="100">
      <c r="A100" s="3" t="str">
        <f t="shared" si="1"/>
        <v/>
      </c>
      <c r="F100" s="4" t="str">
        <f>iferror(vlookup(D100,Sheet1!$B$2:$K$500,10,false),"")</f>
        <v/>
      </c>
    </row>
    <row r="101">
      <c r="A101" s="3" t="str">
        <f t="shared" si="1"/>
        <v/>
      </c>
      <c r="F101" s="4" t="str">
        <f>iferror(vlookup(D101,Sheet1!$B$2:$K$500,10,false),"")</f>
        <v/>
      </c>
    </row>
    <row r="102">
      <c r="A102" s="3" t="str">
        <f t="shared" si="1"/>
        <v/>
      </c>
      <c r="F102" s="4" t="str">
        <f>iferror(vlookup(D102,Sheet1!$B$2:$K$500,10,false),"")</f>
        <v/>
      </c>
    </row>
    <row r="103">
      <c r="A103" s="3" t="str">
        <f t="shared" si="1"/>
        <v/>
      </c>
      <c r="F103" s="4" t="str">
        <f>iferror(vlookup(D103,Sheet1!$B$2:$K$500,10,false),"")</f>
        <v/>
      </c>
    </row>
    <row r="104">
      <c r="A104" s="3" t="str">
        <f t="shared" si="1"/>
        <v/>
      </c>
      <c r="F104" s="4" t="str">
        <f>iferror(vlookup(D104,Sheet1!$B$2:$K$500,10,false),"")</f>
        <v/>
      </c>
    </row>
    <row r="105">
      <c r="A105" s="3" t="str">
        <f t="shared" si="1"/>
        <v/>
      </c>
      <c r="F105" s="4" t="str">
        <f>iferror(vlookup(D105,Sheet1!$B$2:$K$500,10,false),"")</f>
        <v/>
      </c>
    </row>
    <row r="106">
      <c r="A106" s="3" t="str">
        <f t="shared" si="1"/>
        <v/>
      </c>
      <c r="F106" s="4" t="str">
        <f>iferror(vlookup(D106,Sheet1!$B$2:$K$500,10,false),"")</f>
        <v/>
      </c>
    </row>
    <row r="107">
      <c r="A107" s="3" t="str">
        <f t="shared" si="1"/>
        <v/>
      </c>
      <c r="F107" s="4" t="str">
        <f>iferror(vlookup(D107,Sheet1!$B$2:$K$500,10,false),"")</f>
        <v/>
      </c>
    </row>
    <row r="108">
      <c r="A108" s="3" t="str">
        <f t="shared" si="1"/>
        <v/>
      </c>
      <c r="F108" s="4" t="str">
        <f>iferror(vlookup(D108,Sheet1!$B$2:$K$500,10,false),"")</f>
        <v/>
      </c>
    </row>
    <row r="109">
      <c r="A109" s="3" t="str">
        <f t="shared" si="1"/>
        <v/>
      </c>
      <c r="F109" s="4" t="str">
        <f>iferror(vlookup(D109,Sheet1!$B$2:$K$500,10,false),"")</f>
        <v/>
      </c>
    </row>
    <row r="110">
      <c r="A110" s="3" t="str">
        <f t="shared" si="1"/>
        <v/>
      </c>
      <c r="F110" s="4" t="str">
        <f>iferror(vlookup(D110,Sheet1!$B$2:$K$500,10,false),"")</f>
        <v/>
      </c>
    </row>
    <row r="111">
      <c r="A111" s="3" t="str">
        <f t="shared" si="1"/>
        <v/>
      </c>
      <c r="F111" s="4" t="str">
        <f>iferror(vlookup(D111,Sheet1!$B$2:$K$500,10,false),"")</f>
        <v/>
      </c>
    </row>
    <row r="112">
      <c r="A112" s="3" t="str">
        <f t="shared" si="1"/>
        <v/>
      </c>
      <c r="F112" s="4" t="str">
        <f>iferror(vlookup(D112,Sheet1!$B$2:$K$500,10,false),"")</f>
        <v/>
      </c>
    </row>
    <row r="113">
      <c r="A113" s="3" t="str">
        <f t="shared" si="1"/>
        <v/>
      </c>
      <c r="F113" s="11">
        <v>6.282333096212E12</v>
      </c>
    </row>
    <row r="114">
      <c r="A114" s="3" t="str">
        <f t="shared" si="1"/>
        <v/>
      </c>
      <c r="F114" s="11">
        <v>6.282337249449E12</v>
      </c>
    </row>
    <row r="115">
      <c r="A115" s="3" t="str">
        <f t="shared" si="1"/>
        <v/>
      </c>
      <c r="F115" s="11">
        <v>6.285731777938E12</v>
      </c>
    </row>
    <row r="116">
      <c r="A116" s="3" t="str">
        <f t="shared" si="1"/>
        <v/>
      </c>
      <c r="F116" s="11">
        <v>6.287776345195E12</v>
      </c>
    </row>
    <row r="117">
      <c r="A117" s="3" t="str">
        <f t="shared" si="1"/>
        <v/>
      </c>
      <c r="F117" s="11">
        <v>6.285606025308E12</v>
      </c>
    </row>
    <row r="118">
      <c r="A118" s="3" t="str">
        <f t="shared" si="1"/>
        <v/>
      </c>
      <c r="F118" s="11">
        <v>6.285853917961E12</v>
      </c>
    </row>
    <row r="119">
      <c r="A119" s="3" t="str">
        <f t="shared" si="1"/>
        <v/>
      </c>
      <c r="F119" s="11">
        <v>6.28564801114E12</v>
      </c>
    </row>
    <row r="120">
      <c r="A120" s="3" t="str">
        <f t="shared" si="1"/>
        <v/>
      </c>
      <c r="F120" s="11">
        <v>6.285731341447E12</v>
      </c>
    </row>
    <row r="121">
      <c r="A121" s="3" t="str">
        <f t="shared" si="1"/>
        <v/>
      </c>
      <c r="F121" s="11">
        <v>6.281252465178E12</v>
      </c>
    </row>
    <row r="122">
      <c r="A122" s="3" t="str">
        <f t="shared" si="1"/>
        <v/>
      </c>
      <c r="F122" s="11">
        <v>6.285804861495E12</v>
      </c>
    </row>
    <row r="123">
      <c r="A123" s="3" t="str">
        <f t="shared" si="1"/>
        <v/>
      </c>
      <c r="F123" s="11">
        <v>6.282334811031E12</v>
      </c>
    </row>
    <row r="124">
      <c r="A124" s="3" t="str">
        <f t="shared" si="1"/>
        <v/>
      </c>
      <c r="F124" s="11">
        <v>6.2895805063355E13</v>
      </c>
    </row>
    <row r="125">
      <c r="A125" s="3" t="str">
        <f t="shared" si="1"/>
        <v/>
      </c>
      <c r="B125" s="12"/>
      <c r="C125" s="13"/>
      <c r="D125" s="13"/>
      <c r="E125" s="12"/>
      <c r="F125" s="14" t="str">
        <f>iferror(vlookup(D125,Sheet1!$B$2:$K$500,10,false),"")</f>
        <v/>
      </c>
      <c r="G125" s="12" t="str">
        <f>IF(ISNA(vlookup(D125,DataExport!$D$2:$D$481,1,false)), "Belum", "Sudah")</f>
        <v>Belum</v>
      </c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3" t="str">
        <f t="shared" si="1"/>
        <v/>
      </c>
      <c r="F126" s="4" t="str">
        <f>iferror(vlookup(D126,Sheet1!$B$2:$K$500,10,false),"")</f>
        <v/>
      </c>
      <c r="G126" s="4" t="str">
        <f>IF(ISNA(vlookup(D126,DataExport!$D$2:$D$481,1,false)), "Belum", "Sudah")</f>
        <v>Belum</v>
      </c>
    </row>
    <row r="127">
      <c r="A127" s="3" t="str">
        <f t="shared" si="1"/>
        <v/>
      </c>
      <c r="F127" s="4" t="str">
        <f>iferror(vlookup(D127,Sheet1!$B$2:$K$500,10,false),"")</f>
        <v/>
      </c>
      <c r="G127" s="4" t="str">
        <f>IF(ISNA(vlookup(D127,DataExport!$D$2:$D$481,1,false)), "Belum", "Sudah")</f>
        <v>Belum</v>
      </c>
    </row>
    <row r="128">
      <c r="A128" s="3" t="str">
        <f t="shared" si="1"/>
        <v/>
      </c>
      <c r="F128" s="4" t="str">
        <f>iferror(vlookup(D128,Sheet1!$B$2:$K$500,10,false),"")</f>
        <v/>
      </c>
      <c r="G128" s="4" t="str">
        <f>IF(ISNA(vlookup(D128,DataExport!$D$2:$D$481,1,false)), "Belum", "Sudah")</f>
        <v>Belum</v>
      </c>
    </row>
    <row r="129">
      <c r="A129" s="3" t="str">
        <f t="shared" si="1"/>
        <v/>
      </c>
      <c r="F129" s="4" t="str">
        <f>iferror(vlookup(D129,Sheet1!$B$2:$K$500,10,false),"")</f>
        <v/>
      </c>
      <c r="G129" s="4" t="str">
        <f>IF(ISNA(vlookup(D129,DataExport!$D$2:$D$481,1,false)), "Belum", "Sudah")</f>
        <v>Belum</v>
      </c>
    </row>
    <row r="130">
      <c r="A130" s="3" t="str">
        <f t="shared" si="1"/>
        <v/>
      </c>
      <c r="F130" s="4" t="str">
        <f>iferror(vlookup(D130,Sheet1!$B$2:$K$500,10,false),"")</f>
        <v/>
      </c>
      <c r="G130" s="4" t="str">
        <f>IF(ISNA(vlookup(D130,DataExport!$D$2:$D$481,1,false)), "Belum", "Sudah")</f>
        <v>Belum</v>
      </c>
    </row>
    <row r="131">
      <c r="A131" s="3" t="str">
        <f t="shared" si="1"/>
        <v/>
      </c>
      <c r="F131" s="4" t="str">
        <f>iferror(vlookup(D131,Sheet1!$B$2:$K$500,10,false),"")</f>
        <v/>
      </c>
      <c r="G131" s="4" t="str">
        <f>IF(ISNA(vlookup(D131,DataExport!$D$2:$D$481,1,false)), "Belum", "Sudah")</f>
        <v>Belum</v>
      </c>
    </row>
    <row r="132">
      <c r="A132" s="3" t="str">
        <f t="shared" si="1"/>
        <v/>
      </c>
      <c r="F132" s="4" t="str">
        <f>iferror(vlookup(D132,Sheet1!$B$2:$K$500,10,false),"")</f>
        <v/>
      </c>
      <c r="G132" s="4" t="str">
        <f>IF(ISNA(vlookup(D132,DataExport!$D$2:$D$481,1,false)), "Belum", "Sudah")</f>
        <v>Belum</v>
      </c>
    </row>
    <row r="133">
      <c r="A133" s="3" t="str">
        <f t="shared" si="1"/>
        <v/>
      </c>
      <c r="F133" s="4" t="str">
        <f>iferror(vlookup(D133,Sheet1!$B$2:$K$500,10,false),"")</f>
        <v/>
      </c>
      <c r="G133" s="4" t="str">
        <f>IF(ISNA(vlookup(D133,DataExport!$D$2:$D$481,1,false)), "Belum", "Sudah")</f>
        <v>Belum</v>
      </c>
    </row>
    <row r="134">
      <c r="A134" s="3" t="str">
        <f t="shared" si="1"/>
        <v/>
      </c>
      <c r="F134" s="4" t="str">
        <f>iferror(vlookup(D134,Sheet1!$B$2:$K$500,10,false),"")</f>
        <v/>
      </c>
      <c r="G134" s="4" t="str">
        <f>IF(ISNA(vlookup(D134,DataExport!$D$2:$D$481,1,false)), "Belum", "Sudah")</f>
        <v>Belum</v>
      </c>
    </row>
    <row r="135">
      <c r="A135" s="3" t="str">
        <f t="shared" si="1"/>
        <v/>
      </c>
      <c r="F135" s="4" t="str">
        <f>iferror(vlookup(D135,Sheet1!$B$2:$K$500,10,false),"")</f>
        <v/>
      </c>
      <c r="G135" s="4" t="str">
        <f>IF(ISNA(vlookup(D135,DataExport!$D$2:$D$481,1,false)), "Belum", "Sudah")</f>
        <v>Belum</v>
      </c>
    </row>
    <row r="136">
      <c r="A136" s="3" t="str">
        <f t="shared" si="1"/>
        <v/>
      </c>
      <c r="F136" s="4" t="str">
        <f>iferror(vlookup(D136,Sheet1!$B$2:$K$500,10,false),"")</f>
        <v/>
      </c>
      <c r="G136" s="4" t="str">
        <f>IF(ISNA(vlookup(D136,DataExport!$D$2:$D$481,1,false)), "Belum", "Sudah")</f>
        <v>Belum</v>
      </c>
    </row>
    <row r="137">
      <c r="A137" s="3" t="str">
        <f t="shared" si="1"/>
        <v/>
      </c>
      <c r="F137" s="4" t="str">
        <f>iferror(vlookup(D137,Sheet1!$B$2:$K$500,10,false),"")</f>
        <v/>
      </c>
      <c r="G137" s="4" t="str">
        <f>IF(ISNA(vlookup(D137,DataExport!$D$2:$D$481,1,false)), "Belum", "Sudah")</f>
        <v>Belum</v>
      </c>
    </row>
    <row r="138">
      <c r="A138" s="3" t="str">
        <f t="shared" si="1"/>
        <v/>
      </c>
      <c r="F138" s="4" t="str">
        <f>iferror(vlookup(D138,Sheet1!$B$2:$K$500,10,false),"")</f>
        <v/>
      </c>
      <c r="G138" s="4" t="str">
        <f>IF(ISNA(vlookup(D138,DataExport!$D$2:$D$481,1,false)), "Belum", "Sudah")</f>
        <v>Belum</v>
      </c>
    </row>
    <row r="139">
      <c r="A139" s="3" t="str">
        <f t="shared" si="1"/>
        <v/>
      </c>
      <c r="F139" s="4" t="str">
        <f>iferror(vlookup(D139,Sheet1!$B$2:$K$500,10,false),"")</f>
        <v/>
      </c>
      <c r="G139" s="4" t="str">
        <f>IF(ISNA(vlookup(D139,DataExport!$D$2:$D$481,1,false)), "Belum", "Sudah")</f>
        <v>Belum</v>
      </c>
    </row>
    <row r="140">
      <c r="A140" s="3" t="str">
        <f t="shared" si="1"/>
        <v/>
      </c>
      <c r="F140" s="4" t="str">
        <f>iferror(vlookup(D140,Sheet1!$B$2:$K$500,10,false),"")</f>
        <v/>
      </c>
      <c r="G140" s="4" t="str">
        <f>IF(ISNA(vlookup(D140,DataExport!$D$2:$D$481,1,false)), "Belum", "Sudah")</f>
        <v>Belum</v>
      </c>
    </row>
    <row r="141">
      <c r="A141" s="3" t="str">
        <f t="shared" si="1"/>
        <v/>
      </c>
      <c r="F141" s="4" t="str">
        <f>iferror(vlookup(D141,Sheet1!$B$2:$K$500,10,false),"")</f>
        <v/>
      </c>
      <c r="G141" s="4" t="str">
        <f>IF(ISNA(vlookup(D141,DataExport!$D$2:$D$481,1,false)), "Belum", "Sudah")</f>
        <v>Belum</v>
      </c>
    </row>
    <row r="142">
      <c r="A142" s="3" t="str">
        <f t="shared" si="1"/>
        <v/>
      </c>
      <c r="F142" s="4" t="str">
        <f>iferror(vlookup(D142,Sheet1!$B$2:$K$500,10,false),"")</f>
        <v/>
      </c>
      <c r="G142" s="4" t="str">
        <f>IF(ISNA(vlookup(D142,DataExport!$D$2:$D$481,1,false)), "Belum", "Sudah")</f>
        <v>Belum</v>
      </c>
    </row>
    <row r="143">
      <c r="A143" s="3" t="str">
        <f t="shared" si="1"/>
        <v/>
      </c>
      <c r="F143" s="4" t="str">
        <f>iferror(vlookup(D143,Sheet1!$B$2:$K$500,10,false),"")</f>
        <v/>
      </c>
      <c r="G143" s="4" t="str">
        <f>IF(ISNA(vlookup(D143,DataExport!$D$2:$D$481,1,false)), "Belum", "Sudah")</f>
        <v>Belum</v>
      </c>
    </row>
    <row r="144">
      <c r="A144" s="3" t="str">
        <f t="shared" si="1"/>
        <v/>
      </c>
      <c r="F144" s="4" t="str">
        <f>iferror(vlookup(D144,Sheet1!$B$2:$K$500,10,false),"")</f>
        <v/>
      </c>
      <c r="G144" s="4" t="str">
        <f>IF(ISNA(vlookup(D144,DataExport!$D$2:$D$481,1,false)), "Belum", "Sudah")</f>
        <v>Belum</v>
      </c>
    </row>
    <row r="145">
      <c r="A145" s="3" t="str">
        <f t="shared" si="1"/>
        <v/>
      </c>
      <c r="F145" s="4" t="str">
        <f>iferror(vlookup(D145,Sheet1!$B$2:$K$500,10,false),"")</f>
        <v/>
      </c>
      <c r="G145" s="4" t="str">
        <f>IF(ISNA(vlookup(D145,DataExport!$D$2:$D$481,1,false)), "Belum", "Sudah")</f>
        <v>Belum</v>
      </c>
    </row>
    <row r="146">
      <c r="A146" s="3" t="str">
        <f t="shared" si="1"/>
        <v/>
      </c>
      <c r="F146" s="4" t="str">
        <f>iferror(vlookup(D146,Sheet1!$B$2:$K$500,10,false),"")</f>
        <v/>
      </c>
      <c r="G146" s="4" t="str">
        <f>IF(ISNA(vlookup(D146,DataExport!$D$2:$D$481,1,false)), "Belum", "Sudah")</f>
        <v>Belum</v>
      </c>
    </row>
    <row r="147">
      <c r="A147" s="3" t="str">
        <f t="shared" si="1"/>
        <v/>
      </c>
      <c r="F147" s="4" t="str">
        <f>iferror(vlookup(D147,Sheet1!$B$2:$K$500,10,false),"")</f>
        <v/>
      </c>
      <c r="G147" s="4" t="str">
        <f>IF(ISNA(vlookup(D147,DataExport!$D$2:$D$481,1,false)), "Belum", "Sudah")</f>
        <v>Belum</v>
      </c>
    </row>
    <row r="148">
      <c r="A148" s="3" t="str">
        <f t="shared" si="1"/>
        <v/>
      </c>
      <c r="F148" s="4" t="str">
        <f>iferror(vlookup(D148,Sheet1!$B$2:$K$500,10,false),"")</f>
        <v/>
      </c>
      <c r="G148" s="4" t="str">
        <f>IF(ISNA(vlookup(D148,DataExport!$D$2:$D$481,1,false)), "Belum", "Sudah")</f>
        <v>Belum</v>
      </c>
    </row>
    <row r="149">
      <c r="A149" s="3" t="str">
        <f t="shared" si="1"/>
        <v/>
      </c>
      <c r="F149" s="4" t="str">
        <f>iferror(vlookup(D149,Sheet1!$B$2:$K$500,10,false),"")</f>
        <v/>
      </c>
      <c r="G149" s="4" t="str">
        <f>IF(ISNA(vlookup(D149,DataExport!$D$2:$D$481,1,false)), "Belum", "Sudah")</f>
        <v>Belum</v>
      </c>
    </row>
    <row r="150">
      <c r="A150" s="3" t="str">
        <f t="shared" si="1"/>
        <v/>
      </c>
      <c r="F150" s="4" t="str">
        <f>iferror(vlookup(D150,Sheet1!$B$2:$K$500,10,false),"")</f>
        <v/>
      </c>
      <c r="G150" s="4" t="str">
        <f>IF(ISNA(vlookup(D150,DataExport!$D$2:$D$481,1,false)), "Belum", "Sudah")</f>
        <v>Belum</v>
      </c>
    </row>
    <row r="151">
      <c r="A151" s="3" t="str">
        <f t="shared" si="1"/>
        <v/>
      </c>
      <c r="F151" s="4" t="str">
        <f>iferror(vlookup(D151,Sheet1!$B$2:$K$500,10,false),"")</f>
        <v/>
      </c>
      <c r="G151" s="4" t="str">
        <f>IF(ISNA(vlookup(D151,DataExport!$D$2:$D$481,1,false)), "Belum", "Sudah")</f>
        <v>Belum</v>
      </c>
    </row>
    <row r="152">
      <c r="A152" s="3" t="str">
        <f t="shared" si="1"/>
        <v/>
      </c>
      <c r="F152" s="4" t="str">
        <f>iferror(vlookup(D152,Sheet1!$B$2:$K$500,10,false),"")</f>
        <v/>
      </c>
      <c r="G152" s="4" t="str">
        <f>IF(ISNA(vlookup(D152,DataExport!$D$2:$D$481,1,false)), "Belum", "Sudah")</f>
        <v>Belum</v>
      </c>
    </row>
    <row r="153">
      <c r="A153" s="3" t="str">
        <f t="shared" si="1"/>
        <v/>
      </c>
      <c r="F153" s="4" t="str">
        <f>iferror(vlookup(D153,Sheet1!$B$2:$K$500,10,false),"")</f>
        <v/>
      </c>
      <c r="G153" s="4" t="str">
        <f>IF(ISNA(vlookup(D153,DataExport!$D$2:$D$481,1,false)), "Belum", "Sudah")</f>
        <v>Belum</v>
      </c>
    </row>
    <row r="154">
      <c r="A154" s="3" t="str">
        <f t="shared" si="1"/>
        <v/>
      </c>
      <c r="F154" s="4" t="str">
        <f>iferror(vlookup(D154,Sheet1!$B$2:$K$500,10,false),"")</f>
        <v/>
      </c>
      <c r="G154" s="4" t="str">
        <f>IF(ISNA(vlookup(D154,DataExport!$D$2:$D$481,1,false)), "Belum", "Sudah")</f>
        <v>Belum</v>
      </c>
    </row>
    <row r="155">
      <c r="A155" s="3" t="str">
        <f t="shared" si="1"/>
        <v/>
      </c>
      <c r="F155" s="4" t="str">
        <f>iferror(vlookup(D155,Sheet1!$B$2:$K$500,10,false),"")</f>
        <v/>
      </c>
      <c r="G155" s="4" t="str">
        <f>IF(ISNA(vlookup(D155,DataExport!$D$2:$D$481,1,false)), "Belum", "Sudah")</f>
        <v>Belum</v>
      </c>
    </row>
    <row r="156">
      <c r="A156" s="3" t="str">
        <f t="shared" si="1"/>
        <v/>
      </c>
      <c r="F156" s="4" t="str">
        <f>iferror(vlookup(D156,Sheet1!$B$2:$K$500,10,false),"")</f>
        <v/>
      </c>
      <c r="G156" s="4" t="str">
        <f>IF(ISNA(vlookup(D156,DataExport!$D$2:$D$481,1,false)), "Belum", "Sudah")</f>
        <v>Belum</v>
      </c>
    </row>
    <row r="157">
      <c r="A157" s="3" t="str">
        <f t="shared" si="1"/>
        <v/>
      </c>
      <c r="F157" s="4" t="str">
        <f>iferror(vlookup(D157,Sheet1!$B$2:$K$500,10,false),"")</f>
        <v/>
      </c>
      <c r="G157" s="4" t="str">
        <f>IF(ISNA(vlookup(D157,DataExport!$D$2:$D$481,1,false)), "Belum", "Sudah")</f>
        <v>Belum</v>
      </c>
    </row>
    <row r="158">
      <c r="A158" s="3" t="str">
        <f t="shared" si="1"/>
        <v/>
      </c>
      <c r="F158" s="4" t="str">
        <f>iferror(vlookup(D158,Sheet1!$B$2:$K$500,10,false),"")</f>
        <v/>
      </c>
      <c r="G158" s="4" t="str">
        <f>IF(ISNA(vlookup(D158,DataExport!$D$2:$D$481,1,false)), "Belum", "Sudah")</f>
        <v>Belum</v>
      </c>
    </row>
    <row r="159">
      <c r="A159" s="3" t="str">
        <f t="shared" si="1"/>
        <v/>
      </c>
      <c r="F159" s="4" t="str">
        <f>iferror(vlookup(D159,Sheet1!$B$2:$K$500,10,false),"")</f>
        <v/>
      </c>
      <c r="G159" s="4" t="str">
        <f>IF(ISNA(vlookup(D159,DataExport!$D$2:$D$481,1,false)), "Belum", "Sudah")</f>
        <v>Belum</v>
      </c>
    </row>
    <row r="160">
      <c r="A160" s="3" t="str">
        <f t="shared" si="1"/>
        <v/>
      </c>
      <c r="F160" s="4" t="str">
        <f>iferror(vlookup(D160,Sheet1!$B$2:$K$500,10,false),"")</f>
        <v/>
      </c>
      <c r="G160" s="4" t="str">
        <f>IF(ISNA(vlookup(D160,DataExport!$D$2:$D$481,1,false)), "Belum", "Sudah")</f>
        <v>Belum</v>
      </c>
    </row>
    <row r="161">
      <c r="A161" s="3" t="str">
        <f t="shared" si="1"/>
        <v/>
      </c>
      <c r="F161" s="4" t="str">
        <f>iferror(vlookup(D161,Sheet1!$B$2:$K$500,10,false),"")</f>
        <v/>
      </c>
      <c r="G161" s="4" t="str">
        <f>IF(ISNA(vlookup(D161,DataExport!$D$2:$D$481,1,false)), "Belum", "Sudah")</f>
        <v>Belum</v>
      </c>
    </row>
    <row r="162">
      <c r="A162" s="3" t="str">
        <f t="shared" si="1"/>
        <v/>
      </c>
      <c r="F162" s="4" t="str">
        <f>iferror(vlookup(D162,Sheet1!$B$2:$K$500,10,false),"")</f>
        <v/>
      </c>
      <c r="G162" s="4" t="str">
        <f>IF(ISNA(vlookup(D162,DataExport!$D$2:$D$481,1,false)), "Belum", "Sudah")</f>
        <v>Belum</v>
      </c>
    </row>
    <row r="163">
      <c r="A163" s="3" t="str">
        <f t="shared" si="1"/>
        <v/>
      </c>
      <c r="F163" s="4" t="str">
        <f>iferror(vlookup(D163,Sheet1!$B$2:$K$500,10,false),"")</f>
        <v/>
      </c>
      <c r="G163" s="4" t="str">
        <f>IF(ISNA(vlookup(D163,DataExport!$D$2:$D$481,1,false)), "Belum", "Sudah")</f>
        <v>Belum</v>
      </c>
    </row>
    <row r="164">
      <c r="A164" s="3" t="str">
        <f t="shared" si="1"/>
        <v/>
      </c>
      <c r="F164" s="4" t="str">
        <f>iferror(vlookup(D164,Sheet1!$B$2:$K$500,10,false),"")</f>
        <v/>
      </c>
      <c r="G164" s="4" t="str">
        <f>IF(ISNA(vlookup(D164,DataExport!$D$2:$D$481,1,false)), "Belum", "Sudah")</f>
        <v>Belum</v>
      </c>
    </row>
    <row r="165">
      <c r="A165" s="3" t="str">
        <f t="shared" si="1"/>
        <v/>
      </c>
      <c r="F165" s="4" t="str">
        <f>iferror(vlookup(D165,Sheet1!$B$2:$K$500,10,false),"")</f>
        <v/>
      </c>
      <c r="G165" s="4" t="str">
        <f>IF(ISNA(vlookup(D165,DataExport!$D$2:$D$481,1,false)), "Belum", "Sudah")</f>
        <v>Belum</v>
      </c>
    </row>
    <row r="166">
      <c r="A166" s="3" t="str">
        <f t="shared" si="1"/>
        <v/>
      </c>
      <c r="F166" s="4" t="str">
        <f>iferror(vlookup(D166,Sheet1!$B$2:$K$500,10,false),"")</f>
        <v/>
      </c>
      <c r="G166" s="4" t="str">
        <f>IF(ISNA(vlookup(D166,DataExport!$D$2:$D$481,1,false)), "Belum", "Sudah")</f>
        <v>Belum</v>
      </c>
    </row>
    <row r="167">
      <c r="A167" s="3" t="str">
        <f t="shared" si="1"/>
        <v/>
      </c>
      <c r="F167" s="4" t="str">
        <f>iferror(vlookup(D167,Sheet1!$B$2:$K$500,10,false),"")</f>
        <v/>
      </c>
      <c r="G167" s="4" t="str">
        <f>IF(ISNA(vlookup(D167,DataExport!$D$2:$D$481,1,false)), "Belum", "Sudah")</f>
        <v>Belum</v>
      </c>
    </row>
    <row r="168">
      <c r="A168" s="3" t="str">
        <f t="shared" si="1"/>
        <v/>
      </c>
      <c r="F168" s="4" t="str">
        <f>iferror(vlookup(D168,Sheet1!$B$2:$K$500,10,false),"")</f>
        <v/>
      </c>
      <c r="G168" s="4" t="str">
        <f>IF(ISNA(vlookup(D168,DataExport!$D$2:$D$481,1,false)), "Belum", "Sudah")</f>
        <v>Belum</v>
      </c>
    </row>
    <row r="169">
      <c r="A169" s="3" t="str">
        <f t="shared" si="1"/>
        <v/>
      </c>
      <c r="F169" s="4" t="str">
        <f>iferror(vlookup(D169,Sheet1!$B$2:$K$500,10,false),"")</f>
        <v/>
      </c>
      <c r="G169" s="4" t="str">
        <f>IF(ISNA(vlookup(D169,DataExport!$D$2:$D$481,1,false)), "Belum", "Sudah")</f>
        <v>Belum</v>
      </c>
    </row>
    <row r="170">
      <c r="A170" s="3" t="str">
        <f t="shared" si="1"/>
        <v/>
      </c>
      <c r="F170" s="4" t="str">
        <f>iferror(vlookup(D170,Sheet1!$B$2:$K$500,10,false),"")</f>
        <v/>
      </c>
      <c r="G170" s="4" t="str">
        <f>IF(ISNA(vlookup(D170,DataExport!$D$2:$D$481,1,false)), "Belum", "Sudah")</f>
        <v>Belum</v>
      </c>
    </row>
    <row r="171">
      <c r="A171" s="3" t="str">
        <f t="shared" si="1"/>
        <v/>
      </c>
      <c r="F171" s="4" t="str">
        <f>iferror(vlookup(D171,Sheet1!$B$2:$K$500,10,false),"")</f>
        <v/>
      </c>
      <c r="G171" s="4" t="str">
        <f>IF(ISNA(vlookup(D171,DataExport!$D$2:$D$481,1,false)), "Belum", "Sudah")</f>
        <v>Belum</v>
      </c>
    </row>
    <row r="172">
      <c r="A172" s="3" t="str">
        <f t="shared" si="1"/>
        <v/>
      </c>
      <c r="F172" s="4" t="str">
        <f>iferror(vlookup(D172,Sheet1!$B$2:$K$500,10,false),"")</f>
        <v/>
      </c>
      <c r="G172" s="4" t="str">
        <f>IF(ISNA(vlookup(D172,DataExport!$D$2:$D$481,1,false)), "Belum", "Sudah")</f>
        <v>Belum</v>
      </c>
    </row>
    <row r="173">
      <c r="A173" s="3" t="str">
        <f t="shared" si="1"/>
        <v/>
      </c>
      <c r="F173" s="4" t="str">
        <f>iferror(vlookup(D173,Sheet1!$B$2:$K$500,10,false),"")</f>
        <v/>
      </c>
      <c r="G173" s="4" t="str">
        <f>IF(ISNA(vlookup(D173,DataExport!$D$2:$D$481,1,false)), "Belum", "Sudah")</f>
        <v>Belum</v>
      </c>
    </row>
    <row r="174">
      <c r="A174" s="3" t="str">
        <f t="shared" si="1"/>
        <v/>
      </c>
      <c r="F174" s="4" t="str">
        <f>iferror(vlookup(D174,Sheet1!$B$2:$K$500,10,false),"")</f>
        <v/>
      </c>
      <c r="G174" s="4" t="str">
        <f>IF(ISNA(vlookup(D174,DataExport!$D$2:$D$481,1,false)), "Belum", "Sudah")</f>
        <v>Belum</v>
      </c>
    </row>
    <row r="175">
      <c r="A175" s="3" t="str">
        <f t="shared" si="1"/>
        <v/>
      </c>
      <c r="F175" s="4" t="str">
        <f>iferror(vlookup(D175,Sheet1!$B$2:$K$500,10,false),"")</f>
        <v/>
      </c>
      <c r="G175" s="4" t="str">
        <f>IF(ISNA(vlookup(D175,DataExport!$D$2:$D$481,1,false)), "Belum", "Sudah")</f>
        <v>Belum</v>
      </c>
    </row>
    <row r="176">
      <c r="A176" s="3" t="str">
        <f t="shared" si="1"/>
        <v/>
      </c>
      <c r="F176" s="4" t="str">
        <f>iferror(vlookup(D176,Sheet1!$B$2:$K$500,10,false),"")</f>
        <v/>
      </c>
      <c r="G176" s="4" t="str">
        <f>IF(ISNA(vlookup(D176,DataExport!$D$2:$D$481,1,false)), "Belum", "Sudah")</f>
        <v>Belum</v>
      </c>
    </row>
    <row r="177">
      <c r="A177" s="3" t="str">
        <f t="shared" si="1"/>
        <v/>
      </c>
      <c r="F177" s="4" t="str">
        <f>iferror(vlookup(D177,Sheet1!$B$2:$K$500,10,false),"")</f>
        <v/>
      </c>
      <c r="G177" s="4" t="str">
        <f>IF(ISNA(vlookup(D177,DataExport!$D$2:$D$481,1,false)), "Belum", "Sudah")</f>
        <v>Belum</v>
      </c>
    </row>
    <row r="178">
      <c r="A178" s="3" t="str">
        <f t="shared" si="1"/>
        <v/>
      </c>
      <c r="F178" s="4" t="str">
        <f>iferror(vlookup(D178,Sheet1!$B$2:$K$500,10,false),"")</f>
        <v/>
      </c>
      <c r="G178" s="4" t="str">
        <f>IF(ISNA(vlookup(D178,DataExport!$D$2:$D$481,1,false)), "Belum", "Sudah")</f>
        <v>Belum</v>
      </c>
    </row>
    <row r="179">
      <c r="A179" s="3" t="str">
        <f t="shared" si="1"/>
        <v/>
      </c>
      <c r="F179" s="4" t="str">
        <f>iferror(vlookup(D179,Sheet1!$B$2:$K$500,10,false),"")</f>
        <v/>
      </c>
      <c r="G179" s="4" t="str">
        <f>IF(ISNA(vlookup(D179,DataExport!$D$2:$D$481,1,false)), "Belum", "Sudah")</f>
        <v>Belum</v>
      </c>
    </row>
    <row r="180">
      <c r="A180" s="3" t="str">
        <f t="shared" si="1"/>
        <v/>
      </c>
      <c r="F180" s="4" t="str">
        <f>iferror(vlookup(D180,Sheet1!$B$2:$K$500,10,false),"")</f>
        <v/>
      </c>
      <c r="G180" s="4" t="str">
        <f>IF(ISNA(vlookup(D180,DataExport!$D$2:$D$481,1,false)), "Belum", "Sudah")</f>
        <v>Belum</v>
      </c>
    </row>
    <row r="181">
      <c r="A181" s="3" t="str">
        <f t="shared" si="1"/>
        <v/>
      </c>
      <c r="F181" s="4" t="str">
        <f>iferror(vlookup(D181,Sheet1!$B$2:$K$500,10,false),"")</f>
        <v/>
      </c>
      <c r="G181" s="4" t="str">
        <f>IF(ISNA(vlookup(D181,DataExport!$D$2:$D$481,1,false)), "Belum", "Sudah")</f>
        <v>Belum</v>
      </c>
    </row>
    <row r="182">
      <c r="A182" s="3" t="str">
        <f t="shared" si="1"/>
        <v/>
      </c>
      <c r="F182" s="4" t="str">
        <f>iferror(vlookup(D182,Sheet1!$B$2:$K$500,10,false),"")</f>
        <v/>
      </c>
      <c r="G182" s="4" t="str">
        <f>IF(ISNA(vlookup(D182,DataExport!$D$2:$D$481,1,false)), "Belum", "Sudah")</f>
        <v>Belum</v>
      </c>
    </row>
    <row r="183">
      <c r="A183" s="3" t="str">
        <f t="shared" si="1"/>
        <v/>
      </c>
      <c r="F183" s="4" t="str">
        <f>iferror(vlookup(D183,Sheet1!$B$2:$K$500,10,false),"")</f>
        <v/>
      </c>
      <c r="G183" s="4" t="str">
        <f>IF(ISNA(vlookup(D183,DataExport!$D$2:$D$481,1,false)), "Belum", "Sudah")</f>
        <v>Belum</v>
      </c>
    </row>
    <row r="184">
      <c r="A184" s="3" t="str">
        <f t="shared" si="1"/>
        <v/>
      </c>
      <c r="F184" s="4" t="str">
        <f>iferror(vlookup(D184,Sheet1!$B$2:$K$500,10,false),"")</f>
        <v/>
      </c>
      <c r="G184" s="4" t="str">
        <f>IF(ISNA(vlookup(D184,DataExport!$D$2:$D$481,1,false)), "Belum", "Sudah")</f>
        <v>Belum</v>
      </c>
    </row>
    <row r="185">
      <c r="A185" s="3" t="str">
        <f t="shared" si="1"/>
        <v/>
      </c>
      <c r="F185" s="4" t="str">
        <f>iferror(vlookup(D185,Sheet1!$B$2:$K$500,10,false),"")</f>
        <v/>
      </c>
    </row>
    <row r="186">
      <c r="A186" s="3" t="str">
        <f t="shared" si="1"/>
        <v/>
      </c>
      <c r="F186" s="4" t="str">
        <f>iferror(vlookup(D186,Sheet1!$B$2:$K$500,10,false),"")</f>
        <v/>
      </c>
    </row>
    <row r="187">
      <c r="A187" s="3" t="str">
        <f t="shared" si="1"/>
        <v/>
      </c>
      <c r="F187" s="4" t="str">
        <f>iferror(vlookup(D187,Sheet1!$B$2:$K$500,10,false),"")</f>
        <v/>
      </c>
    </row>
    <row r="188">
      <c r="A188" s="3" t="str">
        <f t="shared" si="1"/>
        <v/>
      </c>
      <c r="F188" s="4" t="str">
        <f>iferror(vlookup(D188,Sheet1!$B$2:$K$500,10,false),"")</f>
        <v/>
      </c>
    </row>
    <row r="189">
      <c r="A189" s="3" t="str">
        <f t="shared" si="1"/>
        <v/>
      </c>
      <c r="F189" s="4" t="str">
        <f>iferror(vlookup(D189,Sheet1!$B$2:$K$500,10,false),"")</f>
        <v/>
      </c>
    </row>
    <row r="190">
      <c r="A190" s="3" t="str">
        <f t="shared" si="1"/>
        <v/>
      </c>
      <c r="F190" s="4" t="str">
        <f>iferror(vlookup(D190,Sheet1!$B$2:$K$500,10,false),"")</f>
        <v/>
      </c>
    </row>
    <row r="191">
      <c r="A191" s="3" t="str">
        <f t="shared" si="1"/>
        <v/>
      </c>
      <c r="F191" s="4" t="str">
        <f>iferror(vlookup(D191,Sheet1!$B$2:$K$500,10,false),"")</f>
        <v/>
      </c>
    </row>
    <row r="192">
      <c r="A192" s="3" t="str">
        <f t="shared" si="1"/>
        <v/>
      </c>
      <c r="F192" s="4" t="str">
        <f>iferror(vlookup(D192,Sheet1!$B$2:$K$500,10,false),"")</f>
        <v/>
      </c>
    </row>
    <row r="193">
      <c r="A193" s="3" t="str">
        <f t="shared" si="1"/>
        <v/>
      </c>
      <c r="F193" s="4" t="str">
        <f>iferror(vlookup(D193,Sheet1!$B$2:$K$500,10,false),"")</f>
        <v/>
      </c>
    </row>
    <row r="194">
      <c r="A194" s="3" t="str">
        <f t="shared" si="1"/>
        <v/>
      </c>
      <c r="F194" s="4" t="str">
        <f>iferror(vlookup(D194,Sheet1!$B$2:$K$500,10,false),"")</f>
        <v/>
      </c>
    </row>
    <row r="195">
      <c r="A195" s="3" t="str">
        <f t="shared" si="1"/>
        <v/>
      </c>
      <c r="F195" s="4" t="str">
        <f>iferror(vlookup(D195,Sheet1!$B$2:$K$500,10,false),"")</f>
        <v/>
      </c>
    </row>
    <row r="196">
      <c r="A196" s="3" t="str">
        <f t="shared" si="1"/>
        <v/>
      </c>
      <c r="F196" s="4" t="str">
        <f>iferror(vlookup(D196,Sheet1!$B$2:$K$500,10,false),"")</f>
        <v/>
      </c>
    </row>
    <row r="197">
      <c r="A197" s="3" t="str">
        <f t="shared" si="1"/>
        <v/>
      </c>
      <c r="F197" s="4" t="str">
        <f>iferror(vlookup(D197,Sheet1!$B$2:$K$500,10,false),"")</f>
        <v/>
      </c>
    </row>
    <row r="198">
      <c r="A198" s="3" t="str">
        <f t="shared" si="1"/>
        <v/>
      </c>
      <c r="F198" s="4" t="str">
        <f>iferror(vlookup(D198,Sheet1!$B$2:$K$500,10,false),"")</f>
        <v/>
      </c>
    </row>
    <row r="199">
      <c r="A199" s="3" t="str">
        <f t="shared" si="1"/>
        <v/>
      </c>
      <c r="F199" s="4" t="str">
        <f>iferror(vlookup(D199,Sheet1!$B$2:$K$500,10,false),"")</f>
        <v/>
      </c>
    </row>
    <row r="200">
      <c r="A200" s="3" t="str">
        <f t="shared" si="1"/>
        <v/>
      </c>
      <c r="F200" s="4" t="str">
        <f>iferror(vlookup(D200,Sheet1!$B$2:$K$500,10,false),"")</f>
        <v/>
      </c>
    </row>
    <row r="201">
      <c r="A201" s="3" t="str">
        <f t="shared" si="1"/>
        <v/>
      </c>
      <c r="F201" s="4" t="str">
        <f>iferror(vlookup(D201,Sheet1!$B$2:$K$500,10,false),"")</f>
        <v/>
      </c>
    </row>
    <row r="202">
      <c r="A202" s="3" t="str">
        <f t="shared" si="1"/>
        <v/>
      </c>
      <c r="F202" s="4" t="str">
        <f>iferror(vlookup(D202,Sheet1!$B$2:$K$500,10,false),"")</f>
        <v/>
      </c>
    </row>
    <row r="203">
      <c r="A203" s="3" t="str">
        <f t="shared" si="1"/>
        <v/>
      </c>
      <c r="F203" s="4" t="str">
        <f>iferror(vlookup(D203,Sheet1!$B$2:$K$500,10,false),"")</f>
        <v/>
      </c>
    </row>
    <row r="204">
      <c r="A204" s="3" t="str">
        <f t="shared" si="1"/>
        <v/>
      </c>
      <c r="F204" s="4" t="str">
        <f>iferror(vlookup(D204,Sheet1!$B$2:$K$500,10,false),"")</f>
        <v/>
      </c>
    </row>
    <row r="205">
      <c r="A205" s="3" t="str">
        <f t="shared" si="1"/>
        <v/>
      </c>
      <c r="F205" s="4" t="str">
        <f>iferror(vlookup(D205,Sheet1!$B$2:$K$500,10,false),"")</f>
        <v/>
      </c>
    </row>
    <row r="206">
      <c r="A206" s="3" t="str">
        <f t="shared" si="1"/>
        <v/>
      </c>
      <c r="F206" s="4" t="str">
        <f>iferror(vlookup(D206,Sheet1!$B$2:$K$500,10,false),"")</f>
        <v/>
      </c>
    </row>
    <row r="207">
      <c r="A207" s="3" t="str">
        <f t="shared" si="1"/>
        <v/>
      </c>
      <c r="F207" s="4" t="str">
        <f>iferror(vlookup(D207,Sheet1!$B$2:$K$500,10,false),"")</f>
        <v/>
      </c>
    </row>
    <row r="208">
      <c r="A208" s="3" t="str">
        <f t="shared" si="1"/>
        <v/>
      </c>
      <c r="F208" s="4" t="str">
        <f>iferror(vlookup(D208,Sheet1!$B$2:$K$500,10,false),"")</f>
        <v/>
      </c>
    </row>
    <row r="209">
      <c r="A209" s="3" t="str">
        <f t="shared" si="1"/>
        <v/>
      </c>
      <c r="F209" s="4" t="str">
        <f>iferror(vlookup(D209,Sheet1!$B$2:$K$500,10,false),"")</f>
        <v/>
      </c>
    </row>
    <row r="210">
      <c r="A210" s="3" t="str">
        <f t="shared" si="1"/>
        <v/>
      </c>
      <c r="F210" s="4" t="str">
        <f>iferror(vlookup(D210,Sheet1!$B$2:$K$500,10,false),"")</f>
        <v/>
      </c>
    </row>
    <row r="211">
      <c r="A211" s="3" t="str">
        <f t="shared" si="1"/>
        <v/>
      </c>
      <c r="F211" s="4" t="str">
        <f>iferror(vlookup(D211,Sheet1!$B$2:$K$500,10,false),"")</f>
        <v/>
      </c>
    </row>
    <row r="212">
      <c r="A212" s="3" t="str">
        <f t="shared" si="1"/>
        <v/>
      </c>
      <c r="F212" s="4" t="str">
        <f>iferror(vlookup(D212,Sheet1!$B$2:$K$500,10,false),"")</f>
        <v/>
      </c>
    </row>
    <row r="213">
      <c r="A213" s="3" t="str">
        <f t="shared" si="1"/>
        <v/>
      </c>
      <c r="F213" s="4" t="str">
        <f>iferror(vlookup(D213,Sheet1!$B$2:$K$500,10,false),"")</f>
        <v/>
      </c>
    </row>
    <row r="214">
      <c r="A214" s="3" t="str">
        <f t="shared" si="1"/>
        <v/>
      </c>
      <c r="F214" s="4" t="str">
        <f>iferror(vlookup(D214,Sheet1!$B$2:$K$500,10,false),"")</f>
        <v/>
      </c>
    </row>
    <row r="215">
      <c r="A215" s="3" t="str">
        <f t="shared" si="1"/>
        <v/>
      </c>
      <c r="F215" s="4" t="str">
        <f>iferror(vlookup(D215,Sheet1!$B$2:$K$500,10,false),"")</f>
        <v/>
      </c>
    </row>
    <row r="216">
      <c r="A216" s="3" t="str">
        <f t="shared" si="1"/>
        <v/>
      </c>
      <c r="F216" s="4" t="str">
        <f>iferror(vlookup(D216,Sheet1!$B$2:$K$500,10,false),"")</f>
        <v/>
      </c>
    </row>
    <row r="217">
      <c r="A217" s="3" t="str">
        <f t="shared" si="1"/>
        <v/>
      </c>
      <c r="F217" s="4" t="str">
        <f>iferror(vlookup(D217,Sheet1!$B$2:$K$500,10,false),"")</f>
        <v/>
      </c>
    </row>
    <row r="218">
      <c r="A218" s="3" t="str">
        <f t="shared" si="1"/>
        <v/>
      </c>
      <c r="F218" s="4" t="str">
        <f>iferror(vlookup(D218,Sheet1!$B$2:$K$500,10,false),"")</f>
        <v/>
      </c>
    </row>
    <row r="219">
      <c r="A219" s="3" t="str">
        <f t="shared" si="1"/>
        <v/>
      </c>
      <c r="F219" s="4" t="str">
        <f>iferror(vlookup(D219,Sheet1!$B$2:$K$500,10,false),"")</f>
        <v/>
      </c>
    </row>
    <row r="220">
      <c r="A220" s="3" t="str">
        <f t="shared" si="1"/>
        <v/>
      </c>
      <c r="F220" s="4" t="str">
        <f>iferror(vlookup(D220,Sheet1!$B$2:$K$500,10,false),"")</f>
        <v/>
      </c>
    </row>
    <row r="221">
      <c r="A221" s="3" t="str">
        <f t="shared" si="1"/>
        <v/>
      </c>
      <c r="F221" s="4" t="str">
        <f>iferror(vlookup(D221,Sheet1!$B$2:$K$500,10,false),"")</f>
        <v/>
      </c>
    </row>
    <row r="222">
      <c r="A222" s="3" t="str">
        <f t="shared" si="1"/>
        <v/>
      </c>
      <c r="F222" s="4" t="str">
        <f>iferror(vlookup(D222,Sheet1!$B$2:$K$500,10,false),"")</f>
        <v/>
      </c>
    </row>
    <row r="223">
      <c r="A223" s="3" t="str">
        <f t="shared" si="1"/>
        <v/>
      </c>
      <c r="F223" s="4" t="str">
        <f>iferror(vlookup(D223,Sheet1!$B$2:$K$500,10,false),"")</f>
        <v/>
      </c>
    </row>
    <row r="224">
      <c r="A224" s="3" t="str">
        <f t="shared" si="1"/>
        <v/>
      </c>
      <c r="F224" s="4" t="str">
        <f>iferror(vlookup(D224,Sheet1!$B$2:$K$500,10,false),"")</f>
        <v/>
      </c>
    </row>
    <row r="225">
      <c r="A225" s="3" t="str">
        <f t="shared" si="1"/>
        <v/>
      </c>
      <c r="F225" s="4" t="str">
        <f>iferror(vlookup(D225,Sheet1!$B$2:$K$500,10,false),"")</f>
        <v/>
      </c>
    </row>
    <row r="226">
      <c r="A226" s="3" t="str">
        <f t="shared" si="1"/>
        <v/>
      </c>
      <c r="F226" s="4" t="str">
        <f>iferror(vlookup(D226,Sheet1!$B$2:$K$500,10,false),"")</f>
        <v/>
      </c>
    </row>
    <row r="227">
      <c r="A227" s="3" t="str">
        <f t="shared" si="1"/>
        <v/>
      </c>
      <c r="F227" s="4" t="str">
        <f>iferror(vlookup(D227,Sheet1!$B$2:$K$500,10,false),"")</f>
        <v/>
      </c>
    </row>
    <row r="228">
      <c r="A228" s="3" t="str">
        <f t="shared" si="1"/>
        <v/>
      </c>
      <c r="F228" s="4" t="str">
        <f>iferror(vlookup(D228,Sheet1!$B$2:$K$500,10,false),"")</f>
        <v/>
      </c>
    </row>
    <row r="229">
      <c r="A229" s="3" t="str">
        <f t="shared" si="1"/>
        <v/>
      </c>
      <c r="F229" s="4" t="str">
        <f>iferror(vlookup(D229,Sheet1!$B$2:$K$500,10,false),"")</f>
        <v/>
      </c>
    </row>
    <row r="230">
      <c r="A230" s="3" t="str">
        <f t="shared" si="1"/>
        <v/>
      </c>
      <c r="F230" s="4" t="str">
        <f>iferror(vlookup(D230,Sheet1!$B$2:$K$500,10,false),"")</f>
        <v/>
      </c>
    </row>
    <row r="231">
      <c r="A231" s="3" t="str">
        <f t="shared" si="1"/>
        <v/>
      </c>
      <c r="F231" s="4" t="str">
        <f>iferror(vlookup(D231,Sheet1!$B$2:$K$500,10,false),"")</f>
        <v/>
      </c>
    </row>
    <row r="232">
      <c r="A232" s="3" t="str">
        <f t="shared" si="1"/>
        <v/>
      </c>
      <c r="F232" s="4" t="str">
        <f>iferror(vlookup(D232,Sheet1!$B$2:$K$500,10,false),"")</f>
        <v/>
      </c>
    </row>
    <row r="233">
      <c r="A233" s="3" t="str">
        <f t="shared" si="1"/>
        <v/>
      </c>
      <c r="F233" s="4" t="str">
        <f>iferror(vlookup(D233,Sheet1!$B$2:$K$500,10,false),"")</f>
        <v/>
      </c>
    </row>
    <row r="234">
      <c r="A234" s="3" t="str">
        <f t="shared" si="1"/>
        <v/>
      </c>
      <c r="F234" s="4" t="str">
        <f>iferror(vlookup(D234,Sheet1!$B$2:$K$500,10,false),"")</f>
        <v/>
      </c>
    </row>
    <row r="235">
      <c r="A235" s="3" t="str">
        <f t="shared" si="1"/>
        <v/>
      </c>
      <c r="F235" s="4" t="str">
        <f>iferror(vlookup(D235,Sheet1!$B$2:$K$500,10,false),"")</f>
        <v/>
      </c>
    </row>
    <row r="236">
      <c r="A236" s="3" t="str">
        <f t="shared" si="1"/>
        <v/>
      </c>
      <c r="F236" s="4" t="str">
        <f>iferror(vlookup(D236,Sheet1!$B$2:$K$500,10,false),"")</f>
        <v/>
      </c>
    </row>
    <row r="237">
      <c r="A237" s="3" t="str">
        <f t="shared" si="1"/>
        <v/>
      </c>
      <c r="F237" s="4" t="str">
        <f>iferror(vlookup(D237,Sheet1!$B$2:$K$500,10,false),"")</f>
        <v/>
      </c>
    </row>
    <row r="238">
      <c r="A238" s="3" t="str">
        <f t="shared" si="1"/>
        <v/>
      </c>
      <c r="F238" s="4" t="str">
        <f>iferror(vlookup(D238,Sheet1!$B$2:$K$500,10,false),"")</f>
        <v/>
      </c>
    </row>
    <row r="239">
      <c r="A239" s="3" t="str">
        <f t="shared" si="1"/>
        <v/>
      </c>
      <c r="F239" s="4" t="str">
        <f>iferror(vlookup(D239,Sheet1!$B$2:$K$500,10,false),"")</f>
        <v/>
      </c>
    </row>
    <row r="240">
      <c r="A240" s="3" t="str">
        <f t="shared" si="1"/>
        <v/>
      </c>
      <c r="F240" s="4" t="str">
        <f>iferror(vlookup(D240,Sheet1!$B$2:$K$500,10,false),"")</f>
        <v/>
      </c>
    </row>
    <row r="241">
      <c r="A241" s="3" t="str">
        <f t="shared" si="1"/>
        <v/>
      </c>
      <c r="F241" s="4" t="str">
        <f>iferror(vlookup(D241,Sheet1!$B$2:$K$500,10,false),"")</f>
        <v/>
      </c>
    </row>
    <row r="242">
      <c r="A242" s="3" t="str">
        <f t="shared" si="1"/>
        <v/>
      </c>
      <c r="F242" s="4" t="str">
        <f>iferror(vlookup(D242,Sheet1!$B$2:$K$500,10,false),"")</f>
        <v/>
      </c>
    </row>
    <row r="243">
      <c r="A243" s="3" t="str">
        <f t="shared" si="1"/>
        <v/>
      </c>
      <c r="F243" s="4" t="str">
        <f>iferror(vlookup(D243,Sheet1!$B$2:$K$500,10,false),"")</f>
        <v/>
      </c>
    </row>
    <row r="244">
      <c r="A244" s="3" t="str">
        <f t="shared" si="1"/>
        <v/>
      </c>
      <c r="F244" s="4" t="str">
        <f>iferror(vlookup(D244,Sheet1!$B$2:$K$500,10,false),"")</f>
        <v/>
      </c>
    </row>
    <row r="245">
      <c r="A245" s="3" t="str">
        <f t="shared" si="1"/>
        <v/>
      </c>
      <c r="F245" s="4" t="str">
        <f>iferror(vlookup(D245,Sheet1!$B$2:$K$500,10,false),"")</f>
        <v/>
      </c>
    </row>
    <row r="246">
      <c r="A246" s="3" t="str">
        <f t="shared" si="1"/>
        <v/>
      </c>
      <c r="F246" s="4" t="str">
        <f>iferror(vlookup(D246,Sheet1!$B$2:$K$500,10,false),"")</f>
        <v/>
      </c>
    </row>
    <row r="247">
      <c r="A247" s="3" t="str">
        <f t="shared" si="1"/>
        <v/>
      </c>
      <c r="F247" s="4" t="str">
        <f>iferror(vlookup(D247,Sheet1!$B$2:$K$500,10,false),"")</f>
        <v/>
      </c>
    </row>
    <row r="248">
      <c r="A248" s="3" t="str">
        <f t="shared" si="1"/>
        <v/>
      </c>
      <c r="F248" s="4" t="str">
        <f>iferror(vlookup(D248,Sheet1!$B$2:$K$500,10,false),"")</f>
        <v/>
      </c>
    </row>
    <row r="249">
      <c r="A249" s="3" t="str">
        <f t="shared" si="1"/>
        <v/>
      </c>
      <c r="F249" s="4" t="str">
        <f>iferror(vlookup(D249,Sheet1!$B$2:$K$500,10,false),"")</f>
        <v/>
      </c>
    </row>
    <row r="250">
      <c r="A250" s="3" t="str">
        <f t="shared" si="1"/>
        <v/>
      </c>
      <c r="C250" s="10"/>
      <c r="F250" s="4" t="str">
        <f>iferror(vlookup(D250,Sheet1!$B$2:$K$500,10,false),"")</f>
        <v/>
      </c>
    </row>
    <row r="251">
      <c r="A251" s="3" t="str">
        <f t="shared" si="1"/>
        <v/>
      </c>
      <c r="C251" s="10"/>
      <c r="F251" s="4" t="str">
        <f>iferror(vlookup(D251,Sheet1!$B$2:$K$500,10,false),"")</f>
        <v/>
      </c>
    </row>
    <row r="252">
      <c r="A252" s="3" t="str">
        <f t="shared" si="1"/>
        <v/>
      </c>
      <c r="C252" s="10"/>
      <c r="F252" s="4" t="str">
        <f>iferror(vlookup(D252,Sheet1!$B$2:$K$500,10,false),"")</f>
        <v/>
      </c>
    </row>
    <row r="253">
      <c r="A253" s="3" t="str">
        <f t="shared" si="1"/>
        <v/>
      </c>
      <c r="C253" s="10"/>
      <c r="F253" s="4" t="str">
        <f>iferror(vlookup(D253,Sheet1!$B$2:$K$500,10,false),"")</f>
        <v/>
      </c>
    </row>
    <row r="254">
      <c r="A254" s="3" t="str">
        <f t="shared" si="1"/>
        <v/>
      </c>
      <c r="F254" s="4" t="str">
        <f>iferror(vlookup(D254,Sheet1!$B$2:$K$500,10,false),"")</f>
        <v/>
      </c>
    </row>
    <row r="255">
      <c r="A255" s="3" t="str">
        <f t="shared" si="1"/>
        <v/>
      </c>
      <c r="F255" s="4" t="str">
        <f>iferror(vlookup(D255,Sheet1!$B$2:$K$500,10,false),"")</f>
        <v/>
      </c>
    </row>
    <row r="256">
      <c r="A256" s="3" t="str">
        <f t="shared" si="1"/>
        <v/>
      </c>
      <c r="F256" s="4" t="str">
        <f>iferror(vlookup(D256,Sheet1!$B$2:$K$500,10,false),"")</f>
        <v/>
      </c>
    </row>
    <row r="257">
      <c r="A257" s="3" t="str">
        <f t="shared" si="1"/>
        <v/>
      </c>
      <c r="F257" s="4" t="str">
        <f>iferror(vlookup(D257,Sheet1!$B$2:$K$500,10,false),"")</f>
        <v/>
      </c>
    </row>
    <row r="258">
      <c r="A258" s="3" t="str">
        <f t="shared" si="1"/>
        <v/>
      </c>
      <c r="F258" s="4" t="str">
        <f>iferror(vlookup(D258,Sheet1!$B$2:$K$500,10,false),"")</f>
        <v/>
      </c>
    </row>
    <row r="259">
      <c r="A259" s="3" t="str">
        <f t="shared" si="1"/>
        <v/>
      </c>
      <c r="F259" s="4" t="str">
        <f>iferror(vlookup(D259,Sheet1!$B$2:$K$500,10,false),"")</f>
        <v/>
      </c>
    </row>
    <row r="260">
      <c r="A260" s="3" t="str">
        <f t="shared" si="1"/>
        <v/>
      </c>
      <c r="F260" s="4" t="str">
        <f>iferror(vlookup(D260,Sheet1!$B$2:$K$500,10,false),"")</f>
        <v/>
      </c>
    </row>
    <row r="261">
      <c r="A261" s="3" t="str">
        <f t="shared" si="1"/>
        <v/>
      </c>
      <c r="F261" s="4" t="str">
        <f>iferror(vlookup(D261,Sheet1!$B$2:$K$500,10,false),"")</f>
        <v/>
      </c>
    </row>
    <row r="262">
      <c r="A262" s="3" t="str">
        <f t="shared" si="1"/>
        <v/>
      </c>
      <c r="F262" s="4" t="str">
        <f>iferror(vlookup(D262,Sheet1!$B$2:$K$500,10,false),"")</f>
        <v/>
      </c>
    </row>
    <row r="263">
      <c r="A263" s="3" t="str">
        <f t="shared" si="1"/>
        <v/>
      </c>
      <c r="F263" s="4" t="str">
        <f>iferror(vlookup(D263,Sheet1!$B$2:$K$500,10,false),"")</f>
        <v/>
      </c>
    </row>
    <row r="264">
      <c r="A264" s="3" t="str">
        <f t="shared" si="1"/>
        <v/>
      </c>
      <c r="C264" s="10"/>
      <c r="F264" s="4" t="str">
        <f>iferror(vlookup(D264,Sheet1!$B$2:$K$500,10,false),"")</f>
        <v/>
      </c>
    </row>
    <row r="265">
      <c r="A265" s="3" t="str">
        <f t="shared" si="1"/>
        <v/>
      </c>
      <c r="F265" s="4" t="str">
        <f>iferror(vlookup(D265,Sheet1!$B$2:$K$500,10,false),"")</f>
        <v/>
      </c>
    </row>
    <row r="266">
      <c r="A266" s="3" t="str">
        <f t="shared" si="1"/>
        <v/>
      </c>
      <c r="F266" s="4" t="str">
        <f>iferror(vlookup(D266,Sheet1!$B$2:$K$500,10,false),"")</f>
        <v/>
      </c>
    </row>
    <row r="267">
      <c r="A267" s="3" t="str">
        <f t="shared" si="1"/>
        <v/>
      </c>
      <c r="F267" s="4" t="str">
        <f>iferror(vlookup(D267,Sheet1!$B$2:$K$500,10,false),"")</f>
        <v/>
      </c>
    </row>
    <row r="268">
      <c r="A268" s="3" t="str">
        <f t="shared" si="1"/>
        <v/>
      </c>
      <c r="F268" s="4" t="str">
        <f>iferror(vlookup(D268,Sheet1!$B$2:$K$500,10,false),"")</f>
        <v/>
      </c>
    </row>
    <row r="269">
      <c r="A269" s="3" t="str">
        <f t="shared" si="1"/>
        <v/>
      </c>
      <c r="F269" s="4" t="str">
        <f>iferror(vlookup(D269,Sheet1!$B$2:$K$500,10,false),"")</f>
        <v/>
      </c>
    </row>
    <row r="270">
      <c r="A270" s="3" t="str">
        <f t="shared" si="1"/>
        <v/>
      </c>
      <c r="F270" s="4" t="str">
        <f>iferror(vlookup(D270,Sheet1!$B$2:$K$500,10,false),"")</f>
        <v/>
      </c>
    </row>
    <row r="271">
      <c r="A271" s="3" t="str">
        <f t="shared" si="1"/>
        <v/>
      </c>
      <c r="F271" s="4" t="str">
        <f>iferror(vlookup(D271,Sheet1!$B$2:$K$500,10,false),"")</f>
        <v/>
      </c>
    </row>
    <row r="272">
      <c r="A272" s="3" t="str">
        <f t="shared" si="1"/>
        <v/>
      </c>
      <c r="F272" s="4" t="str">
        <f>iferror(vlookup(D272,Sheet1!$B$2:$K$500,10,false),"")</f>
        <v/>
      </c>
    </row>
    <row r="273">
      <c r="A273" s="3" t="str">
        <f t="shared" si="1"/>
        <v/>
      </c>
      <c r="F273" s="4" t="str">
        <f>iferror(vlookup(D273,Sheet1!$B$2:$K$500,10,false),"")</f>
        <v/>
      </c>
    </row>
    <row r="274">
      <c r="A274" s="3" t="str">
        <f t="shared" si="1"/>
        <v/>
      </c>
      <c r="C274" s="10"/>
      <c r="F274" s="4" t="str">
        <f>iferror(vlookup(D274,Sheet1!$B$2:$K$500,10,false),"")</f>
        <v/>
      </c>
    </row>
    <row r="275">
      <c r="A275" s="3" t="str">
        <f t="shared" si="1"/>
        <v/>
      </c>
      <c r="F275" s="4" t="str">
        <f>iferror(vlookup(D275,Sheet1!$B$2:$K$500,10,false),"")</f>
        <v/>
      </c>
    </row>
    <row r="276">
      <c r="A276" s="3" t="str">
        <f t="shared" si="1"/>
        <v/>
      </c>
      <c r="F276" s="4" t="str">
        <f>iferror(vlookup(D276,Sheet1!$B$2:$K$500,10,false),"")</f>
        <v/>
      </c>
    </row>
    <row r="277">
      <c r="A277" s="3" t="str">
        <f t="shared" si="1"/>
        <v/>
      </c>
      <c r="C277" s="10"/>
      <c r="F277" s="4" t="str">
        <f>iferror(vlookup(D277,Sheet1!$B$2:$K$500,10,false),"")</f>
        <v/>
      </c>
    </row>
    <row r="278">
      <c r="A278" s="3" t="str">
        <f t="shared" si="1"/>
        <v/>
      </c>
      <c r="F278" s="4" t="str">
        <f>iferror(vlookup(D278,Sheet1!$B$2:$K$500,10,false),"")</f>
        <v/>
      </c>
    </row>
    <row r="279">
      <c r="A279" s="3" t="str">
        <f t="shared" si="1"/>
        <v/>
      </c>
      <c r="F279" s="4" t="str">
        <f>iferror(vlookup(D279,Sheet1!$B$2:$K$500,10,false),"")</f>
        <v/>
      </c>
    </row>
    <row r="280">
      <c r="A280" s="3" t="str">
        <f t="shared" si="1"/>
        <v/>
      </c>
      <c r="F280" s="4" t="str">
        <f>iferror(vlookup(D280,Sheet1!$B$2:$K$500,10,false),"")</f>
        <v/>
      </c>
    </row>
    <row r="281">
      <c r="A281" s="3" t="str">
        <f t="shared" si="1"/>
        <v/>
      </c>
      <c r="F281" s="4" t="str">
        <f>iferror(vlookup(D281,Sheet1!$B$2:$K$500,10,false),"")</f>
        <v/>
      </c>
    </row>
    <row r="282">
      <c r="A282" s="3" t="str">
        <f t="shared" si="1"/>
        <v/>
      </c>
      <c r="F282" s="4" t="str">
        <f>iferror(vlookup(D282,Sheet1!$B$2:$K$500,10,false),"")</f>
        <v/>
      </c>
    </row>
    <row r="283">
      <c r="A283" s="3" t="str">
        <f t="shared" si="1"/>
        <v/>
      </c>
      <c r="F283" s="4" t="str">
        <f>iferror(vlookup(D283,Sheet1!$B$2:$K$500,10,false),"")</f>
        <v/>
      </c>
    </row>
    <row r="284">
      <c r="A284" s="3" t="str">
        <f t="shared" si="1"/>
        <v/>
      </c>
      <c r="F284" s="4" t="str">
        <f>iferror(vlookup(D284,Sheet1!$B$2:$K$500,10,false),"")</f>
        <v/>
      </c>
    </row>
    <row r="285">
      <c r="A285" s="3" t="str">
        <f t="shared" si="1"/>
        <v/>
      </c>
      <c r="C285" s="10"/>
      <c r="F285" s="4" t="str">
        <f>iferror(vlookup(D285,Sheet1!$B$2:$K$500,10,false),"")</f>
        <v/>
      </c>
    </row>
    <row r="286">
      <c r="A286" s="3" t="str">
        <f t="shared" si="1"/>
        <v/>
      </c>
      <c r="F286" s="4" t="str">
        <f>iferror(vlookup(D286,Sheet1!$B$2:$K$500,10,false),"")</f>
        <v/>
      </c>
    </row>
    <row r="287">
      <c r="A287" s="3" t="str">
        <f t="shared" si="1"/>
        <v/>
      </c>
      <c r="F287" s="4" t="str">
        <f>iferror(vlookup(D287,Sheet1!$B$2:$K$500,10,false),"")</f>
        <v/>
      </c>
    </row>
    <row r="288">
      <c r="A288" s="3" t="str">
        <f t="shared" si="1"/>
        <v/>
      </c>
      <c r="F288" s="4" t="str">
        <f>iferror(vlookup(D288,Sheet1!$B$2:$K$500,10,false),"")</f>
        <v/>
      </c>
    </row>
    <row r="289">
      <c r="A289" s="3" t="str">
        <f t="shared" si="1"/>
        <v/>
      </c>
      <c r="F289" s="4" t="str">
        <f>iferror(vlookup(D289,Sheet1!$B$2:$K$500,10,false),"")</f>
        <v/>
      </c>
    </row>
    <row r="290">
      <c r="A290" s="3" t="str">
        <f t="shared" si="1"/>
        <v/>
      </c>
      <c r="F290" s="4" t="str">
        <f>iferror(vlookup(D290,Sheet1!$B$2:$K$500,10,false),"")</f>
        <v/>
      </c>
    </row>
    <row r="291">
      <c r="A291" s="3" t="str">
        <f t="shared" si="1"/>
        <v/>
      </c>
      <c r="C291" s="10"/>
      <c r="F291" s="4" t="str">
        <f>iferror(vlookup(D291,Sheet1!$B$2:$K$500,10,false),"")</f>
        <v/>
      </c>
    </row>
    <row r="292">
      <c r="A292" s="3" t="str">
        <f t="shared" si="1"/>
        <v/>
      </c>
      <c r="F292" s="4" t="str">
        <f>iferror(vlookup(D292,Sheet1!$B$2:$K$500,10,false),"")</f>
        <v/>
      </c>
    </row>
    <row r="293">
      <c r="A293" s="3" t="str">
        <f t="shared" si="1"/>
        <v/>
      </c>
      <c r="F293" s="4" t="str">
        <f>iferror(vlookup(D293,Sheet1!$B$2:$K$500,10,false),"")</f>
        <v/>
      </c>
    </row>
    <row r="294">
      <c r="A294" s="3" t="str">
        <f t="shared" si="1"/>
        <v/>
      </c>
      <c r="C294" s="10"/>
      <c r="F294" s="4" t="str">
        <f>iferror(vlookup(D294,Sheet1!$B$2:$K$500,10,false),"")</f>
        <v/>
      </c>
    </row>
    <row r="295">
      <c r="A295" s="3" t="str">
        <f t="shared" si="1"/>
        <v/>
      </c>
      <c r="F295" s="4" t="str">
        <f>iferror(vlookup(D295,Sheet1!$B$2:$K$500,10,false),"")</f>
        <v/>
      </c>
    </row>
    <row r="296">
      <c r="A296" s="3" t="str">
        <f t="shared" si="1"/>
        <v/>
      </c>
      <c r="F296" s="4" t="str">
        <f>iferror(vlookup(D296,Sheet1!$B$2:$K$500,10,false),"")</f>
        <v/>
      </c>
    </row>
    <row r="297">
      <c r="A297" s="3" t="str">
        <f t="shared" si="1"/>
        <v/>
      </c>
      <c r="F297" s="4" t="str">
        <f>iferror(vlookup(D297,Sheet1!$B$2:$K$500,10,false),"")</f>
        <v/>
      </c>
    </row>
    <row r="298">
      <c r="A298" s="3" t="str">
        <f t="shared" si="1"/>
        <v/>
      </c>
      <c r="F298" s="4" t="str">
        <f>iferror(vlookup(D298,Sheet1!$B$2:$K$500,10,false),"")</f>
        <v/>
      </c>
    </row>
    <row r="299">
      <c r="A299" s="3" t="str">
        <f t="shared" si="1"/>
        <v/>
      </c>
      <c r="C299" s="10"/>
      <c r="F299" s="4" t="str">
        <f>iferror(vlookup(D299,Sheet1!$B$2:$K$500,10,false),"")</f>
        <v/>
      </c>
    </row>
    <row r="300">
      <c r="A300" s="3" t="str">
        <f t="shared" si="1"/>
        <v/>
      </c>
      <c r="F300" s="4" t="str">
        <f>iferror(vlookup(D300,Sheet1!$B$2:$K$500,10,false),"")</f>
        <v/>
      </c>
    </row>
    <row r="301">
      <c r="A301" s="3" t="str">
        <f t="shared" si="1"/>
        <v/>
      </c>
    </row>
    <row r="302">
      <c r="A302" s="3" t="str">
        <f t="shared" si="1"/>
        <v/>
      </c>
    </row>
    <row r="303">
      <c r="A303" s="3" t="str">
        <f t="shared" si="1"/>
        <v/>
      </c>
    </row>
    <row r="304">
      <c r="A304" s="3" t="str">
        <f t="shared" si="1"/>
        <v/>
      </c>
    </row>
    <row r="305">
      <c r="A305" s="3" t="str">
        <f t="shared" si="1"/>
        <v/>
      </c>
    </row>
    <row r="306">
      <c r="A306" s="3" t="str">
        <f t="shared" si="1"/>
        <v/>
      </c>
    </row>
    <row r="307">
      <c r="A307" s="3" t="str">
        <f t="shared" si="1"/>
        <v/>
      </c>
    </row>
    <row r="308">
      <c r="A308" s="3" t="str">
        <f t="shared" si="1"/>
        <v/>
      </c>
    </row>
    <row r="309">
      <c r="A309" s="3" t="str">
        <f t="shared" si="1"/>
        <v/>
      </c>
    </row>
    <row r="310">
      <c r="A310" s="3" t="str">
        <f t="shared" si="1"/>
        <v/>
      </c>
    </row>
    <row r="311">
      <c r="A311" s="3" t="str">
        <f t="shared" si="1"/>
        <v/>
      </c>
    </row>
    <row r="312">
      <c r="A312" s="3" t="str">
        <f t="shared" si="1"/>
        <v/>
      </c>
    </row>
    <row r="313">
      <c r="A313" s="3" t="str">
        <f t="shared" si="1"/>
        <v/>
      </c>
    </row>
    <row r="314">
      <c r="A314" s="3" t="str">
        <f t="shared" si="1"/>
        <v/>
      </c>
    </row>
    <row r="315">
      <c r="A315" s="3" t="str">
        <f t="shared" si="1"/>
        <v/>
      </c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50.25"/>
  </cols>
  <sheetData>
    <row r="1">
      <c r="A1" s="15" t="s">
        <v>9</v>
      </c>
      <c r="B1" s="16"/>
    </row>
    <row r="2">
      <c r="A2" s="17" t="s">
        <v>10</v>
      </c>
      <c r="B2" s="18" t="s">
        <v>11</v>
      </c>
    </row>
    <row r="3">
      <c r="A3" s="19" t="s">
        <v>12</v>
      </c>
      <c r="B3" s="20">
        <v>129.0</v>
      </c>
    </row>
    <row r="4">
      <c r="A4" s="19" t="s">
        <v>13</v>
      </c>
      <c r="B4" s="20">
        <v>129.0</v>
      </c>
    </row>
    <row r="5">
      <c r="A5" s="19" t="s">
        <v>14</v>
      </c>
      <c r="B5" s="21" t="s">
        <v>15</v>
      </c>
    </row>
    <row r="6">
      <c r="A6" s="19" t="s">
        <v>16</v>
      </c>
      <c r="B6" s="21" t="s">
        <v>17</v>
      </c>
    </row>
    <row r="7">
      <c r="A7" s="19" t="s">
        <v>18</v>
      </c>
      <c r="B7" s="21" t="s">
        <v>19</v>
      </c>
    </row>
    <row r="11">
      <c r="B11" s="10"/>
    </row>
    <row r="14">
      <c r="B14" s="10"/>
    </row>
  </sheetData>
  <drawing r:id="rId1"/>
</worksheet>
</file>
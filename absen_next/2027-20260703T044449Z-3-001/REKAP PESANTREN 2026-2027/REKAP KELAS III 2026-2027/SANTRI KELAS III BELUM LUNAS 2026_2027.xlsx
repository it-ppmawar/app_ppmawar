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extvalue" sheetId="2" r:id="rId6"/>
    <sheet state="visible" name="merge" sheetId="3" r:id="rId7"/>
    <sheet state="visible" name="Setting" sheetId="4" r:id="rId8"/>
    <sheet state="visible" name="Sheet3" sheetId="5" r:id="rId9"/>
    <sheet state="visible" name="WaTagihan" sheetId="6" r:id="rId10"/>
    <sheet state="visible" name="Watagihannolink" sheetId="7" r:id="rId11"/>
  </sheets>
  <definedNames>
    <definedName hidden="1" localSheetId="0" name="_xlnm._FilterDatabase">Sheet1!$A$1:$GI$198</definedName>
  </definedNames>
  <calcPr/>
</workbook>
</file>

<file path=xl/sharedStrings.xml><?xml version="1.0" encoding="utf-8"?>
<sst xmlns="http://schemas.openxmlformats.org/spreadsheetml/2006/main" count="42" uniqueCount="33">
  <si>
    <t>NO</t>
  </si>
  <si>
    <t>NAMA</t>
  </si>
  <si>
    <t>NIS</t>
  </si>
  <si>
    <t>ASRAMA</t>
  </si>
  <si>
    <t>KAMAR</t>
  </si>
  <si>
    <t>TINGKAT</t>
  </si>
  <si>
    <t>MADRASIAH</t>
  </si>
  <si>
    <t>HP</t>
  </si>
  <si>
    <t>JUMLAH SYAHRIYAH</t>
  </si>
  <si>
    <t>JUMLAH JARIYAH</t>
  </si>
  <si>
    <t>JUMLAH DAFTAR ULANG</t>
  </si>
  <si>
    <t>JUMLAH TOTAL TUNGGAKAN</t>
  </si>
  <si>
    <t>Syahriyah</t>
  </si>
  <si>
    <t>Jariyah</t>
  </si>
  <si>
    <t>Daftar Ulang</t>
  </si>
  <si>
    <t>Total</t>
  </si>
  <si>
    <t>Rincian &amp; Total</t>
  </si>
  <si>
    <t>Setting</t>
  </si>
  <si>
    <t>Nama</t>
  </si>
  <si>
    <t>Nilai</t>
  </si>
  <si>
    <t>Baris Mulai (Opsional)</t>
  </si>
  <si>
    <t>Baris Finish (Opsional)</t>
  </si>
  <si>
    <t>Nama Sheet Data</t>
  </si>
  <si>
    <t>Merge</t>
  </si>
  <si>
    <t>ID Template  Document</t>
  </si>
  <si>
    <t>1aYV8IwyQBsKPlXJvjyQs8P0tTSNOblux5ojWzSYVOkY</t>
  </si>
  <si>
    <t>ID Folder Hasil PDF</t>
  </si>
  <si>
    <t>177Fel47SMI_zwZV6W3-qEIToJpy_3gsk</t>
  </si>
  <si>
    <t>WhatsApp Number(with country code)</t>
  </si>
  <si>
    <t>First Name</t>
  </si>
  <si>
    <t>Last Name</t>
  </si>
  <si>
    <t>Other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</si>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</sst>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Calibri"/>
    </font>
    <font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FFFFFF"/>
      <name val="Arial"/>
    </font>
    <font>
      <b/>
      <color theme="1"/>
      <name val="Arial"/>
    </font>
    <font>
      <b/>
      <sz val="12.0"/>
      <color theme="1"/>
      <name val="Arial Regular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3D297"/>
        <bgColor rgb="FF63D297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  <xf borderId="0" fillId="2" fontId="2" numFmtId="0" xfId="0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4" numFmtId="3" xfId="0" applyAlignment="1" applyFont="1" applyNumberFormat="1">
      <alignment horizontal="center" shrinkToFit="0" wrapText="0"/>
    </xf>
    <xf borderId="0" fillId="0" fontId="4" numFmtId="3" xfId="0" applyAlignment="1" applyFont="1" applyNumberFormat="1">
      <alignment horizontal="right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3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5" fontId="8" numFmtId="0" xfId="0" applyAlignment="1" applyFill="1" applyFont="1">
      <alignment vertical="bottom"/>
    </xf>
    <xf borderId="0" fillId="0" fontId="8" numFmtId="0" xfId="0" applyAlignment="1" applyFont="1">
      <alignment horizontal="center" readingOrder="0" vertical="bottom"/>
    </xf>
    <xf borderId="0" fillId="6" fontId="9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textval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Q1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extval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3.75"/>
    <col customWidth="1" min="2" max="2" width="38.63"/>
    <col customWidth="1" min="3" max="3" width="10.25"/>
    <col customWidth="1" min="4" max="4" width="8.38"/>
    <col customWidth="1" min="5" max="5" width="7.25"/>
    <col customWidth="1" min="6" max="6" width="8.25"/>
    <col customWidth="1" min="7" max="7" width="16.88"/>
    <col customWidth="1" min="8" max="8" width="12.38"/>
    <col customWidth="1" min="9" max="9" width="30.88"/>
    <col customWidth="1" min="10" max="10" width="86.63"/>
    <col customWidth="1" min="11" max="11" width="14.0"/>
    <col customWidth="1" min="12" max="12" width="10.5"/>
    <col customWidth="1" min="13" max="13" width="11.0"/>
    <col customWidth="1" min="14" max="14" width="10.25"/>
    <col hidden="1" min="16" max="18" width="12.63"/>
    <col customWidth="1" min="19" max="19" width="13.0"/>
    <col customWidth="1" min="80" max="80" width="33.38"/>
    <col customWidth="1" min="81" max="81" width="70.13"/>
    <col customWidth="1" min="83" max="83" width="25.5"/>
    <col customWidth="1" min="84" max="84" width="43.88"/>
  </cols>
  <sheetData>
    <row r="1" ht="40.5" customHeight="1">
      <c r="A1" s="1" t="s">
        <v>0</v>
      </c>
      <c r="B1" s="2" t="str">
        <f>IFERROR(__xludf.DUMMYFUNCTION("QUERY(IMPORTRANGE(""1AzTji2sW29mb6q5i6lLp4OT4kZtfXWmm_A7yA3mApUg"",""Sheet1!B1:S750""), ""SELECT * WHERE Col18 = 'Belum Lunas'ORDER BY Col14 ASC"")"),"NAMA")</f>
        <v>NAMA</v>
      </c>
      <c r="C1" s="2" t="str">
        <f>IFERROR(__xludf.DUMMYFUNCTION("""COMPUTED_VALUE"""),"NIS")</f>
        <v>NIS</v>
      </c>
      <c r="D1" s="2" t="str">
        <f>IFERROR(__xludf.DUMMYFUNCTION("""COMPUTED_VALUE"""),"ASRAMA")</f>
        <v>ASRAMA</v>
      </c>
      <c r="E1" s="2" t="str">
        <f>IFERROR(__xludf.DUMMYFUNCTION("""COMPUTED_VALUE"""),"KAMAR")</f>
        <v>KAMAR</v>
      </c>
      <c r="F1" s="2" t="str">
        <f>IFERROR(__xludf.DUMMYFUNCTION("""COMPUTED_VALUE"""),"TINGKAT")</f>
        <v>TINGKAT</v>
      </c>
      <c r="G1" s="2" t="str">
        <f>IFERROR(__xludf.DUMMYFUNCTION("""COMPUTED_VALUE"""),"MADRASIAH")</f>
        <v>MADRASIAH</v>
      </c>
      <c r="H1" s="2" t="str">
        <f>IFERROR(__xludf.DUMMYFUNCTION("""COMPUTED_VALUE"""),"SEKOLAH")</f>
        <v>SEKOLAH</v>
      </c>
      <c r="I1" s="2" t="str">
        <f>IFERROR(__xludf.DUMMYFUNCTION("""COMPUTED_VALUE"""),"IBU")</f>
        <v>IBU</v>
      </c>
      <c r="J1" s="2" t="str">
        <f>IFERROR(__xludf.DUMMYFUNCTION("""COMPUTED_VALUE"""),"ALAMAT")</f>
        <v>ALAMAT</v>
      </c>
      <c r="K1" s="2" t="str">
        <f>IFERROR(__xludf.DUMMYFUNCTION("""COMPUTED_VALUE"""),"WA")</f>
        <v>WA</v>
      </c>
      <c r="L1" s="2" t="str">
        <f>IFERROR(__xludf.DUMMYFUNCTION("""COMPUTED_VALUE"""),"JUMLAH SYAHRIYAH")</f>
        <v>JUMLAH SYAHRIYAH</v>
      </c>
      <c r="M1" s="2" t="str">
        <f>IFERROR(__xludf.DUMMYFUNCTION("""COMPUTED_VALUE"""),"JUMLAH JARIYAH")</f>
        <v>JUMLAH JARIYAH</v>
      </c>
      <c r="N1" s="2" t="str">
        <f>IFERROR(__xludf.DUMMYFUNCTION("""COMPUTED_VALUE"""),"JUMLAH DAFTAR ULANG")</f>
        <v>JUMLAH DAFTAR ULANG</v>
      </c>
      <c r="O1" s="2" t="str">
        <f>IFERROR(__xludf.DUMMYFUNCTION("""COMPUTED_VALUE"""),"JUMLAH TOTAL TUNGGAKAN")</f>
        <v>JUMLAH TOTAL TUNGGAKAN</v>
      </c>
      <c r="P1" s="2" t="str">
        <f>IFERROR(__xludf.DUMMYFUNCTION("""COMPUTED_VALUE"""),"")</f>
        <v/>
      </c>
      <c r="Q1" s="2" t="str">
        <f>IFERROR(__xludf.DUMMYFUNCTION("""COMPUTED_VALUE"""),"")</f>
        <v/>
      </c>
      <c r="R1" s="2" t="str">
        <f>IFERROR(__xludf.DUMMYFUNCTION("""COMPUTED_VALUE"""),"")</f>
        <v/>
      </c>
      <c r="S1" s="2" t="str">
        <f>IFERROR(__xludf.DUMMYFUNCTION("""COMPUTED_VALUE"""),"STATUS ADMINISTRASI")</f>
        <v>STATUS ADMINISTRASI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1"/>
      <c r="CC1" s="1"/>
      <c r="CD1" s="2"/>
      <c r="CE1" s="2"/>
      <c r="CF1" s="1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</row>
    <row r="2">
      <c r="A2" s="3">
        <f t="shared" ref="A2:A500" si="1">IF(B2="","",ROW(A2)-1)</f>
        <v>1</v>
      </c>
      <c r="B2" s="4" t="str">
        <f>IFERROR(__xludf.DUMMYFUNCTION("""COMPUTED_VALUE"""),"DWI MAULIDIYAH")</f>
        <v>DWI MAULIDIYAH</v>
      </c>
      <c r="C2" s="3">
        <f>IFERROR(__xludf.DUMMYFUNCTION("""COMPUTED_VALUE"""),2.024070596E9)</f>
        <v>2024070596</v>
      </c>
      <c r="D2" s="3" t="str">
        <f>IFERROR(__xludf.DUMMYFUNCTION("""COMPUTED_VALUE"""),"E")</f>
        <v>E</v>
      </c>
      <c r="E2" s="3" t="str">
        <f>IFERROR(__xludf.DUMMYFUNCTION("""COMPUTED_VALUE"""),"E-9")</f>
        <v>E-9</v>
      </c>
      <c r="F2" s="3">
        <f>IFERROR(__xludf.DUMMYFUNCTION("""COMPUTED_VALUE"""),3.0)</f>
        <v>3</v>
      </c>
      <c r="G2" s="3" t="str">
        <f>IFERROR(__xludf.DUMMYFUNCTION("""COMPUTED_VALUE"""),"3 ULA B PUTRI")</f>
        <v>3 ULA B PUTRI</v>
      </c>
      <c r="H2" s="3" t="str">
        <f>IFERROR(__xludf.DUMMYFUNCTION("""COMPUTED_VALUE"""),"MTS-9 A")</f>
        <v>MTS-9 A</v>
      </c>
      <c r="I2" s="4" t="str">
        <f>IFERROR(__xludf.DUMMYFUNCTION("""COMPUTED_VALUE"""),"ISLAMIYAH")</f>
        <v>ISLAMIYAH</v>
      </c>
      <c r="J2" s="4" t="str">
        <f>IFERROR(__xludf.DUMMYFUNCTION("""COMPUTED_VALUE"""),"KARANGTAPEN KARANGLANGIT RT 001 RW 003 LAMONGAN LAMONGAN")</f>
        <v>KARANGTAPEN KARANGLANGIT RT 001 RW 003 LAMONGAN LAMONGAN</v>
      </c>
      <c r="K2" s="4" t="str">
        <f>IFERROR(__xludf.DUMMYFUNCTION("""COMPUTED_VALUE"""),"6285853420436")</f>
        <v>6285853420436</v>
      </c>
      <c r="L2" s="5">
        <f>IFERROR(__xludf.DUMMYFUNCTION("""COMPUTED_VALUE"""),270000.0)</f>
        <v>270000</v>
      </c>
      <c r="M2" s="5">
        <f>IFERROR(__xludf.DUMMYFUNCTION("""COMPUTED_VALUE"""),0.0)</f>
        <v>0</v>
      </c>
      <c r="N2" s="5">
        <f>IFERROR(__xludf.DUMMYFUNCTION("""COMPUTED_VALUE"""),0.0)</f>
        <v>0</v>
      </c>
      <c r="O2" s="5">
        <f>IFERROR(__xludf.DUMMYFUNCTION("""COMPUTED_VALUE"""),270000.0)</f>
        <v>270000</v>
      </c>
      <c r="P2" s="4"/>
      <c r="Q2" s="4"/>
      <c r="R2" s="4"/>
      <c r="S2" s="3" t="str">
        <f>IFERROR(__xludf.DUMMYFUNCTION("""COMPUTED_VALUE"""),"Belum Lunas")</f>
        <v>Belum Lunas</v>
      </c>
    </row>
    <row r="3">
      <c r="A3" s="3">
        <f t="shared" si="1"/>
        <v>2</v>
      </c>
      <c r="B3" s="4" t="str">
        <f>IFERROR(__xludf.DUMMYFUNCTION("""COMPUTED_VALUE"""),"M. FAHMI ALFIYAN NURIL HAQ")</f>
        <v>M. FAHMI ALFIYAN NURIL HAQ</v>
      </c>
      <c r="C3" s="3">
        <f>IFERROR(__xludf.DUMMYFUNCTION("""COMPUTED_VALUE"""),2.024070718E9)</f>
        <v>2024070718</v>
      </c>
      <c r="D3" s="3" t="str">
        <f>IFERROR(__xludf.DUMMYFUNCTION("""COMPUTED_VALUE"""),"A")</f>
        <v>A</v>
      </c>
      <c r="E3" s="3" t="str">
        <f>IFERROR(__xludf.DUMMYFUNCTION("""COMPUTED_VALUE"""),"A-13")</f>
        <v>A-13</v>
      </c>
      <c r="F3" s="3">
        <f>IFERROR(__xludf.DUMMYFUNCTION("""COMPUTED_VALUE"""),3.0)</f>
        <v>3</v>
      </c>
      <c r="G3" s="3"/>
      <c r="H3" s="3" t="str">
        <f>IFERROR(__xludf.DUMMYFUNCTION("""COMPUTED_VALUE"""),"SMK-XII DKV")</f>
        <v>SMK-XII DKV</v>
      </c>
      <c r="I3" s="4" t="str">
        <f>IFERROR(__xludf.DUMMYFUNCTION("""COMPUTED_VALUE"""),"SUKARTI")</f>
        <v>SUKARTI</v>
      </c>
      <c r="J3" s="4" t="str">
        <f>IFERROR(__xludf.DUMMYFUNCTION("""COMPUTED_VALUE"""),"PLAKARAN SOMOSARI RT 3 RW 2 KALITENGAH LAMONGAN")</f>
        <v>PLAKARAN SOMOSARI RT 3 RW 2 KALITENGAH LAMONGAN</v>
      </c>
      <c r="K3" s="4" t="str">
        <f>IFERROR(__xludf.DUMMYFUNCTION("""COMPUTED_VALUE"""),"6289677807375")</f>
        <v>6289677807375</v>
      </c>
      <c r="L3" s="5">
        <f>IFERROR(__xludf.DUMMYFUNCTION("""COMPUTED_VALUE"""),410000.0)</f>
        <v>410000</v>
      </c>
      <c r="M3" s="5">
        <f>IFERROR(__xludf.DUMMYFUNCTION("""COMPUTED_VALUE"""),0.0)</f>
        <v>0</v>
      </c>
      <c r="N3" s="5">
        <f>IFERROR(__xludf.DUMMYFUNCTION("""COMPUTED_VALUE"""),0.0)</f>
        <v>0</v>
      </c>
      <c r="O3" s="5">
        <f>IFERROR(__xludf.DUMMYFUNCTION("""COMPUTED_VALUE"""),410000.0)</f>
        <v>410000</v>
      </c>
      <c r="P3" s="4"/>
      <c r="Q3" s="4"/>
      <c r="R3" s="4"/>
      <c r="S3" s="3" t="str">
        <f>IFERROR(__xludf.DUMMYFUNCTION("""COMPUTED_VALUE"""),"Belum Lunas")</f>
        <v>Belum Lunas</v>
      </c>
    </row>
    <row r="4">
      <c r="A4" s="3">
        <f t="shared" si="1"/>
        <v>3</v>
      </c>
      <c r="B4" s="4" t="str">
        <f>IFERROR(__xludf.DUMMYFUNCTION("""COMPUTED_VALUE"""),"MIRZA ATHA HIBATULLAH")</f>
        <v>MIRZA ATHA HIBATULLAH</v>
      </c>
      <c r="C4" s="3">
        <f>IFERROR(__xludf.DUMMYFUNCTION("""COMPUTED_VALUE"""),2.0240706E9)</f>
        <v>2024070600</v>
      </c>
      <c r="D4" s="3" t="str">
        <f>IFERROR(__xludf.DUMMYFUNCTION("""COMPUTED_VALUE"""),"A")</f>
        <v>A</v>
      </c>
      <c r="E4" s="3" t="str">
        <f>IFERROR(__xludf.DUMMYFUNCTION("""COMPUTED_VALUE"""),"A-13")</f>
        <v>A-13</v>
      </c>
      <c r="F4" s="3">
        <f>IFERROR(__xludf.DUMMYFUNCTION("""COMPUTED_VALUE"""),3.0)</f>
        <v>3</v>
      </c>
      <c r="G4" s="3"/>
      <c r="H4" s="3" t="str">
        <f>IFERROR(__xludf.DUMMYFUNCTION("""COMPUTED_VALUE"""),"MTS-9 E")</f>
        <v>MTS-9 E</v>
      </c>
      <c r="I4" s="4" t="str">
        <f>IFERROR(__xludf.DUMMYFUNCTION("""COMPUTED_VALUE"""),"HARWATI, S,SOS I")</f>
        <v>HARWATI, S,SOS I</v>
      </c>
      <c r="J4" s="4" t="str">
        <f>IFERROR(__xludf.DUMMYFUNCTION("""COMPUTED_VALUE"""),"BADAN BOGOBABADAN RT 001 RW 004 KARANGBINANGUN LAMONGAN")</f>
        <v>BADAN BOGOBABADAN RT 001 RW 004 KARANGBINANGUN LAMONGAN</v>
      </c>
      <c r="K4" s="4" t="str">
        <f>IFERROR(__xludf.DUMMYFUNCTION("""COMPUTED_VALUE"""),"6285731205500")</f>
        <v>6285731205500</v>
      </c>
      <c r="L4" s="5">
        <f>IFERROR(__xludf.DUMMYFUNCTION("""COMPUTED_VALUE"""),410000.0)</f>
        <v>410000</v>
      </c>
      <c r="M4" s="5">
        <f>IFERROR(__xludf.DUMMYFUNCTION("""COMPUTED_VALUE"""),0.0)</f>
        <v>0</v>
      </c>
      <c r="N4" s="5">
        <f>IFERROR(__xludf.DUMMYFUNCTION("""COMPUTED_VALUE"""),0.0)</f>
        <v>0</v>
      </c>
      <c r="O4" s="5">
        <f>IFERROR(__xludf.DUMMYFUNCTION("""COMPUTED_VALUE"""),410000.0)</f>
        <v>410000</v>
      </c>
      <c r="P4" s="4"/>
      <c r="Q4" s="4"/>
      <c r="R4" s="4"/>
      <c r="S4" s="3" t="str">
        <f>IFERROR(__xludf.DUMMYFUNCTION("""COMPUTED_VALUE"""),"Belum Lunas")</f>
        <v>Belum Lunas</v>
      </c>
    </row>
    <row r="5">
      <c r="A5" s="3">
        <f t="shared" si="1"/>
        <v>4</v>
      </c>
      <c r="B5" s="4" t="str">
        <f>IFERROR(__xludf.DUMMYFUNCTION("""COMPUTED_VALUE"""),"ABIDAH OKTA SALSABILA")</f>
        <v>ABIDAH OKTA SALSABILA</v>
      </c>
      <c r="C5" s="3">
        <f>IFERROR(__xludf.DUMMYFUNCTION("""COMPUTED_VALUE"""),2.024070146E9)</f>
        <v>2024070146</v>
      </c>
      <c r="D5" s="3" t="str">
        <f>IFERROR(__xludf.DUMMYFUNCTION("""COMPUTED_VALUE"""),"C")</f>
        <v>C</v>
      </c>
      <c r="E5" s="3" t="str">
        <f>IFERROR(__xludf.DUMMYFUNCTION("""COMPUTED_VALUE"""),"C-9")</f>
        <v>C-9</v>
      </c>
      <c r="F5" s="3">
        <f>IFERROR(__xludf.DUMMYFUNCTION("""COMPUTED_VALUE"""),3.0)</f>
        <v>3</v>
      </c>
      <c r="G5" s="3" t="str">
        <f>IFERROR(__xludf.DUMMYFUNCTION("""COMPUTED_VALUE"""),"3 WUSTHO B PUTRI")</f>
        <v>3 WUSTHO B PUTRI</v>
      </c>
      <c r="H5" s="3" t="str">
        <f>IFERROR(__xludf.DUMMYFUNCTION("""COMPUTED_VALUE"""),"MA-XII.5")</f>
        <v>MA-XII.5</v>
      </c>
      <c r="I5" s="4" t="str">
        <f>IFERROR(__xludf.DUMMYFUNCTION("""COMPUTED_VALUE"""),"CICIK LUTFIANAH")</f>
        <v>CICIK LUTFIANAH</v>
      </c>
      <c r="J5" s="4" t="str">
        <f>IFERROR(__xludf.DUMMYFUNCTION("""COMPUTED_VALUE"""),"RANDEKAN RT 001 RW 001 KEMBANGBAHU LAMONGAN")</f>
        <v>RANDEKAN RT 001 RW 001 KEMBANGBAHU LAMONGAN</v>
      </c>
      <c r="K5" s="4" t="str">
        <f>IFERROR(__xludf.DUMMYFUNCTION("""COMPUTED_VALUE"""),"6285649525237")</f>
        <v>6285649525237</v>
      </c>
      <c r="L5" s="5">
        <f>IFERROR(__xludf.DUMMYFUNCTION("""COMPUTED_VALUE"""),450000.0)</f>
        <v>450000</v>
      </c>
      <c r="M5" s="5">
        <f>IFERROR(__xludf.DUMMYFUNCTION("""COMPUTED_VALUE"""),0.0)</f>
        <v>0</v>
      </c>
      <c r="N5" s="5">
        <f>IFERROR(__xludf.DUMMYFUNCTION("""COMPUTED_VALUE"""),0.0)</f>
        <v>0</v>
      </c>
      <c r="O5" s="5">
        <f>IFERROR(__xludf.DUMMYFUNCTION("""COMPUTED_VALUE"""),450000.0)</f>
        <v>450000</v>
      </c>
      <c r="P5" s="4"/>
      <c r="Q5" s="4"/>
      <c r="R5" s="4"/>
      <c r="S5" s="3" t="str">
        <f>IFERROR(__xludf.DUMMYFUNCTION("""COMPUTED_VALUE"""),"Belum Lunas")</f>
        <v>Belum Lunas</v>
      </c>
    </row>
    <row r="6">
      <c r="A6" s="3">
        <f t="shared" si="1"/>
        <v>5</v>
      </c>
      <c r="B6" s="4" t="str">
        <f>IFERROR(__xludf.DUMMYFUNCTION("""COMPUTED_VALUE"""),"AHMAD SUSETO ANGGA SUKMA")</f>
        <v>AHMAD SUSETO ANGGA SUKMA</v>
      </c>
      <c r="C6" s="3">
        <f>IFERROR(__xludf.DUMMYFUNCTION("""COMPUTED_VALUE"""),2.024070601E9)</f>
        <v>2024070601</v>
      </c>
      <c r="D6" s="3" t="str">
        <f>IFERROR(__xludf.DUMMYFUNCTION("""COMPUTED_VALUE"""),"A")</f>
        <v>A</v>
      </c>
      <c r="E6" s="3" t="str">
        <f>IFERROR(__xludf.DUMMYFUNCTION("""COMPUTED_VALUE"""),"A-7")</f>
        <v>A-7</v>
      </c>
      <c r="F6" s="3">
        <f>IFERROR(__xludf.DUMMYFUNCTION("""COMPUTED_VALUE"""),3.0)</f>
        <v>3</v>
      </c>
      <c r="G6" s="3" t="str">
        <f>IFERROR(__xludf.DUMMYFUNCTION("""COMPUTED_VALUE"""),"3 ULA B PUTRA")</f>
        <v>3 ULA B PUTRA</v>
      </c>
      <c r="H6" s="3" t="str">
        <f>IFERROR(__xludf.DUMMYFUNCTION("""COMPUTED_VALUE"""),"MTS-9 E")</f>
        <v>MTS-9 E</v>
      </c>
      <c r="I6" s="4" t="str">
        <f>IFERROR(__xludf.DUMMYFUNCTION("""COMPUTED_VALUE"""),"MUSYAFAAH")</f>
        <v>MUSYAFAAH</v>
      </c>
      <c r="J6" s="4" t="str">
        <f>IFERROR(__xludf.DUMMYFUNCTION("""COMPUTED_VALUE"""),"WEDENG SUKOREJO RT 001 RW 003 KARANGBINANGUN LAMONGAN")</f>
        <v>WEDENG SUKOREJO RT 001 RW 003 KARANGBINANGUN LAMONGAN</v>
      </c>
      <c r="K6" s="4" t="str">
        <f>IFERROR(__xludf.DUMMYFUNCTION("""COMPUTED_VALUE"""),"6281330117049")</f>
        <v>6281330117049</v>
      </c>
      <c r="L6" s="5">
        <f>IFERROR(__xludf.DUMMYFUNCTION("""COMPUTED_VALUE"""),450000.0)</f>
        <v>450000</v>
      </c>
      <c r="M6" s="5">
        <f>IFERROR(__xludf.DUMMYFUNCTION("""COMPUTED_VALUE"""),0.0)</f>
        <v>0</v>
      </c>
      <c r="N6" s="5">
        <f>IFERROR(__xludf.DUMMYFUNCTION("""COMPUTED_VALUE"""),0.0)</f>
        <v>0</v>
      </c>
      <c r="O6" s="5">
        <f>IFERROR(__xludf.DUMMYFUNCTION("""COMPUTED_VALUE"""),450000.0)</f>
        <v>450000</v>
      </c>
      <c r="P6" s="4"/>
      <c r="Q6" s="4"/>
      <c r="R6" s="4"/>
      <c r="S6" s="3" t="str">
        <f>IFERROR(__xludf.DUMMYFUNCTION("""COMPUTED_VALUE"""),"Belum Lunas")</f>
        <v>Belum Lunas</v>
      </c>
    </row>
    <row r="7">
      <c r="A7" s="3">
        <f t="shared" si="1"/>
        <v>6</v>
      </c>
      <c r="B7" s="4" t="str">
        <f>IFERROR(__xludf.DUMMYFUNCTION("""COMPUTED_VALUE"""),"ALFA FALAJ SALSABILA")</f>
        <v>ALFA FALAJ SALSABILA</v>
      </c>
      <c r="C7" s="3">
        <f>IFERROR(__xludf.DUMMYFUNCTION("""COMPUTED_VALUE"""),2.024070611E9)</f>
        <v>2024070611</v>
      </c>
      <c r="D7" s="3" t="str">
        <f>IFERROR(__xludf.DUMMYFUNCTION("""COMPUTED_VALUE"""),"C")</f>
        <v>C</v>
      </c>
      <c r="E7" s="3" t="str">
        <f>IFERROR(__xludf.DUMMYFUNCTION("""COMPUTED_VALUE"""),"C-3")</f>
        <v>C-3</v>
      </c>
      <c r="F7" s="3">
        <f>IFERROR(__xludf.DUMMYFUNCTION("""COMPUTED_VALUE"""),3.0)</f>
        <v>3</v>
      </c>
      <c r="G7" s="3" t="str">
        <f>IFERROR(__xludf.DUMMYFUNCTION("""COMPUTED_VALUE"""),"3 ULA C PUTRI")</f>
        <v>3 ULA C PUTRI</v>
      </c>
      <c r="H7" s="3" t="str">
        <f>IFERROR(__xludf.DUMMYFUNCTION("""COMPUTED_VALUE"""),"MTS-9 A")</f>
        <v>MTS-9 A</v>
      </c>
      <c r="I7" s="4" t="str">
        <f>IFERROR(__xludf.DUMMYFUNCTION("""COMPUTED_VALUE"""),"SUMIANAH")</f>
        <v>SUMIANAH</v>
      </c>
      <c r="J7" s="4" t="str">
        <f>IFERROR(__xludf.DUMMYFUNCTION("""COMPUTED_VALUE"""),"KULURAN RT 005 RW 001 KALITENGAH LAMONGAN")</f>
        <v>KULURAN RT 005 RW 001 KALITENGAH LAMONGAN</v>
      </c>
      <c r="K7" s="4" t="str">
        <f>IFERROR(__xludf.DUMMYFUNCTION("""COMPUTED_VALUE"""),"6285859539394")</f>
        <v>6285859539394</v>
      </c>
      <c r="L7" s="5">
        <f>IFERROR(__xludf.DUMMYFUNCTION("""COMPUTED_VALUE"""),450000.0)</f>
        <v>450000</v>
      </c>
      <c r="M7" s="5">
        <f>IFERROR(__xludf.DUMMYFUNCTION("""COMPUTED_VALUE"""),0.0)</f>
        <v>0</v>
      </c>
      <c r="N7" s="5">
        <f>IFERROR(__xludf.DUMMYFUNCTION("""COMPUTED_VALUE"""),0.0)</f>
        <v>0</v>
      </c>
      <c r="O7" s="5">
        <f>IFERROR(__xludf.DUMMYFUNCTION("""COMPUTED_VALUE"""),450000.0)</f>
        <v>450000</v>
      </c>
      <c r="P7" s="4"/>
      <c r="Q7" s="4"/>
      <c r="R7" s="4"/>
      <c r="S7" s="3" t="str">
        <f>IFERROR(__xludf.DUMMYFUNCTION("""COMPUTED_VALUE"""),"Belum Lunas")</f>
        <v>Belum Lunas</v>
      </c>
    </row>
    <row r="8">
      <c r="A8" s="3">
        <f t="shared" si="1"/>
        <v>7</v>
      </c>
      <c r="B8" s="4" t="str">
        <f>IFERROR(__xludf.DUMMYFUNCTION("""COMPUTED_VALUE"""),"AZZA IBNU ARJUN")</f>
        <v>AZZA IBNU ARJUN</v>
      </c>
      <c r="C8" s="3">
        <f>IFERROR(__xludf.DUMMYFUNCTION("""COMPUTED_VALUE"""),2.024090771E9)</f>
        <v>2024090771</v>
      </c>
      <c r="D8" s="3" t="str">
        <f>IFERROR(__xludf.DUMMYFUNCTION("""COMPUTED_VALUE"""),"A")</f>
        <v>A</v>
      </c>
      <c r="E8" s="3" t="str">
        <f>IFERROR(__xludf.DUMMYFUNCTION("""COMPUTED_VALUE"""),"A-8")</f>
        <v>A-8</v>
      </c>
      <c r="F8" s="3">
        <f>IFERROR(__xludf.DUMMYFUNCTION("""COMPUTED_VALUE"""),3.0)</f>
        <v>3</v>
      </c>
      <c r="G8" s="3" t="str">
        <f>IFERROR(__xludf.DUMMYFUNCTION("""COMPUTED_VALUE"""),"3 ULA A PUTRA")</f>
        <v>3 ULA A PUTRA</v>
      </c>
      <c r="H8" s="3" t="str">
        <f>IFERROR(__xludf.DUMMYFUNCTION("""COMPUTED_VALUE"""),"SMP-IX A")</f>
        <v>SMP-IX A</v>
      </c>
      <c r="I8" s="4" t="str">
        <f>IFERROR(__xludf.DUMMYFUNCTION("""COMPUTED_VALUE"""),"IKA NUR KHOLIFAH")</f>
        <v>IKA NUR KHOLIFAH</v>
      </c>
      <c r="J8" s="4" t="str">
        <f>IFERROR(__xludf.DUMMYFUNCTION("""COMPUTED_VALUE"""),"MALINAU HULU RT 009 RW 000 MALINAU KOTA MALINAU")</f>
        <v>MALINAU HULU RT 009 RW 000 MALINAU KOTA MALINAU</v>
      </c>
      <c r="K8" s="4" t="str">
        <f>IFERROR(__xludf.DUMMYFUNCTION("""COMPUTED_VALUE"""),"6282234721856")</f>
        <v>6282234721856</v>
      </c>
      <c r="L8" s="5">
        <f>IFERROR(__xludf.DUMMYFUNCTION("""COMPUTED_VALUE"""),450000.0)</f>
        <v>450000</v>
      </c>
      <c r="M8" s="5">
        <f>IFERROR(__xludf.DUMMYFUNCTION("""COMPUTED_VALUE"""),0.0)</f>
        <v>0</v>
      </c>
      <c r="N8" s="5">
        <f>IFERROR(__xludf.DUMMYFUNCTION("""COMPUTED_VALUE"""),0.0)</f>
        <v>0</v>
      </c>
      <c r="O8" s="5">
        <f>IFERROR(__xludf.DUMMYFUNCTION("""COMPUTED_VALUE"""),450000.0)</f>
        <v>450000</v>
      </c>
      <c r="P8" s="4"/>
      <c r="Q8" s="4"/>
      <c r="R8" s="4"/>
      <c r="S8" s="3" t="str">
        <f>IFERROR(__xludf.DUMMYFUNCTION("""COMPUTED_VALUE"""),"Belum Lunas")</f>
        <v>Belum Lunas</v>
      </c>
    </row>
    <row r="9">
      <c r="A9" s="3">
        <f t="shared" si="1"/>
        <v>8</v>
      </c>
      <c r="B9" s="4" t="str">
        <f>IFERROR(__xludf.DUMMYFUNCTION("""COMPUTED_VALUE"""),"BINTANG FARSYA HUSBANA")</f>
        <v>BINTANG FARSYA HUSBANA</v>
      </c>
      <c r="C9" s="3">
        <f>IFERROR(__xludf.DUMMYFUNCTION("""COMPUTED_VALUE"""),2.024070646E9)</f>
        <v>2024070646</v>
      </c>
      <c r="D9" s="3" t="str">
        <f>IFERROR(__xludf.DUMMYFUNCTION("""COMPUTED_VALUE"""),"A")</f>
        <v>A</v>
      </c>
      <c r="E9" s="3" t="str">
        <f>IFERROR(__xludf.DUMMYFUNCTION("""COMPUTED_VALUE"""),"A-7")</f>
        <v>A-7</v>
      </c>
      <c r="F9" s="3">
        <f>IFERROR(__xludf.DUMMYFUNCTION("""COMPUTED_VALUE"""),3.0)</f>
        <v>3</v>
      </c>
      <c r="G9" s="3" t="str">
        <f>IFERROR(__xludf.DUMMYFUNCTION("""COMPUTED_VALUE"""),"3 ULA A PUTRA")</f>
        <v>3 ULA A PUTRA</v>
      </c>
      <c r="H9" s="3" t="str">
        <f>IFERROR(__xludf.DUMMYFUNCTION("""COMPUTED_VALUE"""),"MTS-9 F")</f>
        <v>MTS-9 F</v>
      </c>
      <c r="I9" s="4" t="str">
        <f>IFERROR(__xludf.DUMMYFUNCTION("""COMPUTED_VALUE"""),"SITI MUNFARIDA")</f>
        <v>SITI MUNFARIDA</v>
      </c>
      <c r="J9" s="4" t="str">
        <f>IFERROR(__xludf.DUMMYFUNCTION("""COMPUTED_VALUE"""),"SEREN JATIPANDAK RT 007 RW 003 SAMBENG LAMONGAN")</f>
        <v>SEREN JATIPANDAK RT 007 RW 003 SAMBENG LAMONGAN</v>
      </c>
      <c r="K9" s="4" t="str">
        <f>IFERROR(__xludf.DUMMYFUNCTION("""COMPUTED_VALUE"""),"6285851833747")</f>
        <v>6285851833747</v>
      </c>
      <c r="L9" s="5">
        <f>IFERROR(__xludf.DUMMYFUNCTION("""COMPUTED_VALUE"""),450000.0)</f>
        <v>450000</v>
      </c>
      <c r="M9" s="5">
        <f>IFERROR(__xludf.DUMMYFUNCTION("""COMPUTED_VALUE"""),0.0)</f>
        <v>0</v>
      </c>
      <c r="N9" s="5">
        <f>IFERROR(__xludf.DUMMYFUNCTION("""COMPUTED_VALUE"""),0.0)</f>
        <v>0</v>
      </c>
      <c r="O9" s="5">
        <f>IFERROR(__xludf.DUMMYFUNCTION("""COMPUTED_VALUE"""),450000.0)</f>
        <v>450000</v>
      </c>
      <c r="P9" s="4"/>
      <c r="Q9" s="4"/>
      <c r="R9" s="4"/>
      <c r="S9" s="3" t="str">
        <f>IFERROR(__xludf.DUMMYFUNCTION("""COMPUTED_VALUE"""),"Belum Lunas")</f>
        <v>Belum Lunas</v>
      </c>
    </row>
    <row r="10">
      <c r="A10" s="3">
        <f t="shared" si="1"/>
        <v>9</v>
      </c>
      <c r="B10" s="4" t="str">
        <f>IFERROR(__xludf.DUMMYFUNCTION("""COMPUTED_VALUE"""),"DILLA AGUSTIAWATI PUTRI")</f>
        <v>DILLA AGUSTIAWATI PUTRI</v>
      </c>
      <c r="C10" s="3">
        <f>IFERROR(__xludf.DUMMYFUNCTION("""COMPUTED_VALUE"""),2.024070532E9)</f>
        <v>2024070532</v>
      </c>
      <c r="D10" s="3" t="str">
        <f>IFERROR(__xludf.DUMMYFUNCTION("""COMPUTED_VALUE"""),"C")</f>
        <v>C</v>
      </c>
      <c r="E10" s="3" t="str">
        <f>IFERROR(__xludf.DUMMYFUNCTION("""COMPUTED_VALUE"""),"C-13")</f>
        <v>C-13</v>
      </c>
      <c r="F10" s="3">
        <f>IFERROR(__xludf.DUMMYFUNCTION("""COMPUTED_VALUE"""),3.0)</f>
        <v>3</v>
      </c>
      <c r="G10" s="3" t="str">
        <f>IFERROR(__xludf.DUMMYFUNCTION("""COMPUTED_VALUE"""),"3 ULA C PUTRI")</f>
        <v>3 ULA C PUTRI</v>
      </c>
      <c r="H10" s="3" t="str">
        <f>IFERROR(__xludf.DUMMYFUNCTION("""COMPUTED_VALUE"""),"MTS-9 D")</f>
        <v>MTS-9 D</v>
      </c>
      <c r="I10" s="4" t="str">
        <f>IFERROR(__xludf.DUMMYFUNCTION("""COMPUTED_VALUE"""),"IRA RAHMATUS SAADA")</f>
        <v>IRA RAHMATUS SAADA</v>
      </c>
      <c r="J10" s="4" t="str">
        <f>IFERROR(__xludf.DUMMYFUNCTION("""COMPUTED_VALUE"""),"SEPAT TAMBAKMENJANGAN RT 001 RW 007 SARIREJO LAMONGAN")</f>
        <v>SEPAT TAMBAKMENJANGAN RT 001 RW 007 SARIREJO LAMONGAN</v>
      </c>
      <c r="K10" s="4" t="str">
        <f>IFERROR(__xludf.DUMMYFUNCTION("""COMPUTED_VALUE"""),"6285808407652")</f>
        <v>6285808407652</v>
      </c>
      <c r="L10" s="5">
        <f>IFERROR(__xludf.DUMMYFUNCTION("""COMPUTED_VALUE"""),450000.0)</f>
        <v>450000</v>
      </c>
      <c r="M10" s="5">
        <f>IFERROR(__xludf.DUMMYFUNCTION("""COMPUTED_VALUE"""),0.0)</f>
        <v>0</v>
      </c>
      <c r="N10" s="5">
        <f>IFERROR(__xludf.DUMMYFUNCTION("""COMPUTED_VALUE"""),0.0)</f>
        <v>0</v>
      </c>
      <c r="O10" s="5">
        <f>IFERROR(__xludf.DUMMYFUNCTION("""COMPUTED_VALUE"""),450000.0)</f>
        <v>450000</v>
      </c>
      <c r="P10" s="4"/>
      <c r="Q10" s="4"/>
      <c r="R10" s="4"/>
      <c r="S10" s="3" t="str">
        <f>IFERROR(__xludf.DUMMYFUNCTION("""COMPUTED_VALUE"""),"Belum Lunas")</f>
        <v>Belum Lunas</v>
      </c>
    </row>
    <row r="11">
      <c r="A11" s="3">
        <f t="shared" si="1"/>
        <v>10</v>
      </c>
      <c r="B11" s="4" t="str">
        <f>IFERROR(__xludf.DUMMYFUNCTION("""COMPUTED_VALUE"""),"FATMA NAJWA ZAHIRA")</f>
        <v>FATMA NAJWA ZAHIRA</v>
      </c>
      <c r="C11" s="3">
        <f>IFERROR(__xludf.DUMMYFUNCTION("""COMPUTED_VALUE"""),2.024070497E9)</f>
        <v>2024070497</v>
      </c>
      <c r="D11" s="3" t="str">
        <f>IFERROR(__xludf.DUMMYFUNCTION("""COMPUTED_VALUE"""),"C")</f>
        <v>C</v>
      </c>
      <c r="E11" s="3" t="str">
        <f>IFERROR(__xludf.DUMMYFUNCTION("""COMPUTED_VALUE"""),"C-12")</f>
        <v>C-12</v>
      </c>
      <c r="F11" s="3">
        <f>IFERROR(__xludf.DUMMYFUNCTION("""COMPUTED_VALUE"""),3.0)</f>
        <v>3</v>
      </c>
      <c r="G11" s="3" t="str">
        <f>IFERROR(__xludf.DUMMYFUNCTION("""COMPUTED_VALUE"""),"3 ULA B PUTRI")</f>
        <v>3 ULA B PUTRI</v>
      </c>
      <c r="H11" s="3" t="str">
        <f>IFERROR(__xludf.DUMMYFUNCTION("""COMPUTED_VALUE"""),"MTS-9 D")</f>
        <v>MTS-9 D</v>
      </c>
      <c r="I11" s="4" t="str">
        <f>IFERROR(__xludf.DUMMYFUNCTION("""COMPUTED_VALUE"""),"SITI NURIYAH")</f>
        <v>SITI NURIYAH</v>
      </c>
      <c r="J11" s="4" t="str">
        <f>IFERROR(__xludf.DUMMYFUNCTION("""COMPUTED_VALUE"""),"NGUWOK RT 004 RW 002 MODO LAMONGAN")</f>
        <v>NGUWOK RT 004 RW 002 MODO LAMONGAN</v>
      </c>
      <c r="K11" s="4" t="str">
        <f>IFERROR(__xludf.DUMMYFUNCTION("""COMPUTED_VALUE"""),"6282337956113")</f>
        <v>6282337956113</v>
      </c>
      <c r="L11" s="5">
        <f>IFERROR(__xludf.DUMMYFUNCTION("""COMPUTED_VALUE"""),450000.0)</f>
        <v>450000</v>
      </c>
      <c r="M11" s="5">
        <f>IFERROR(__xludf.DUMMYFUNCTION("""COMPUTED_VALUE"""),0.0)</f>
        <v>0</v>
      </c>
      <c r="N11" s="5">
        <f>IFERROR(__xludf.DUMMYFUNCTION("""COMPUTED_VALUE"""),0.0)</f>
        <v>0</v>
      </c>
      <c r="O11" s="5">
        <f>IFERROR(__xludf.DUMMYFUNCTION("""COMPUTED_VALUE"""),450000.0)</f>
        <v>450000</v>
      </c>
      <c r="P11" s="4"/>
      <c r="Q11" s="4"/>
      <c r="R11" s="4"/>
      <c r="S11" s="3" t="str">
        <f>IFERROR(__xludf.DUMMYFUNCTION("""COMPUTED_VALUE"""),"Belum Lunas")</f>
        <v>Belum Lunas</v>
      </c>
    </row>
    <row r="12">
      <c r="A12" s="3">
        <f t="shared" si="1"/>
        <v>11</v>
      </c>
      <c r="B12" s="4" t="str">
        <f>IFERROR(__xludf.DUMMYFUNCTION("""COMPUTED_VALUE"""),"LABIB AZAM")</f>
        <v>LABIB AZAM</v>
      </c>
      <c r="C12" s="3">
        <f>IFERROR(__xludf.DUMMYFUNCTION("""COMPUTED_VALUE"""),2.024070756E9)</f>
        <v>2024070756</v>
      </c>
      <c r="D12" s="3" t="str">
        <f>IFERROR(__xludf.DUMMYFUNCTION("""COMPUTED_VALUE"""),"A")</f>
        <v>A</v>
      </c>
      <c r="E12" s="3" t="str">
        <f>IFERROR(__xludf.DUMMYFUNCTION("""COMPUTED_VALUE"""),"A-7")</f>
        <v>A-7</v>
      </c>
      <c r="F12" s="3">
        <f>IFERROR(__xludf.DUMMYFUNCTION("""COMPUTED_VALUE"""),3.0)</f>
        <v>3</v>
      </c>
      <c r="G12" s="3" t="str">
        <f>IFERROR(__xludf.DUMMYFUNCTION("""COMPUTED_VALUE"""),"3 ULA A PUTRA")</f>
        <v>3 ULA A PUTRA</v>
      </c>
      <c r="H12" s="3" t="str">
        <f>IFERROR(__xludf.DUMMYFUNCTION("""COMPUTED_VALUE"""),"SMP-IX B")</f>
        <v>SMP-IX B</v>
      </c>
      <c r="I12" s="4" t="str">
        <f>IFERROR(__xludf.DUMMYFUNCTION("""COMPUTED_VALUE"""),"EVA YUNIARTI")</f>
        <v>EVA YUNIARTI</v>
      </c>
      <c r="J12" s="4" t="str">
        <f>IFERROR(__xludf.DUMMYFUNCTION("""COMPUTED_VALUE"""),"TENGGER RAYA 1 KANDANGAN RT 007 RW 002 BENOWO SURABAYA")</f>
        <v>TENGGER RAYA 1 KANDANGAN RT 007 RW 002 BENOWO SURABAYA</v>
      </c>
      <c r="K12" s="4" t="str">
        <f>IFERROR(__xludf.DUMMYFUNCTION("""COMPUTED_VALUE"""),"6282333086607")</f>
        <v>6282333086607</v>
      </c>
      <c r="L12" s="5">
        <f>IFERROR(__xludf.DUMMYFUNCTION("""COMPUTED_VALUE"""),450000.0)</f>
        <v>450000</v>
      </c>
      <c r="M12" s="5">
        <f>IFERROR(__xludf.DUMMYFUNCTION("""COMPUTED_VALUE"""),0.0)</f>
        <v>0</v>
      </c>
      <c r="N12" s="5">
        <f>IFERROR(__xludf.DUMMYFUNCTION("""COMPUTED_VALUE"""),0.0)</f>
        <v>0</v>
      </c>
      <c r="O12" s="5">
        <f>IFERROR(__xludf.DUMMYFUNCTION("""COMPUTED_VALUE"""),450000.0)</f>
        <v>450000</v>
      </c>
      <c r="P12" s="4"/>
      <c r="Q12" s="4"/>
      <c r="R12" s="4"/>
      <c r="S12" s="3" t="str">
        <f>IFERROR(__xludf.DUMMYFUNCTION("""COMPUTED_VALUE"""),"Belum Lunas")</f>
        <v>Belum Lunas</v>
      </c>
    </row>
    <row r="13">
      <c r="A13" s="3">
        <f t="shared" si="1"/>
        <v>12</v>
      </c>
      <c r="B13" s="4" t="str">
        <f>IFERROR(__xludf.DUMMYFUNCTION("""COMPUTED_VALUE"""),"M. SATRIA PUTRA AMILINA")</f>
        <v>M. SATRIA PUTRA AMILINA</v>
      </c>
      <c r="C13" s="3">
        <f>IFERROR(__xludf.DUMMYFUNCTION("""COMPUTED_VALUE"""),2.024070092E9)</f>
        <v>2024070092</v>
      </c>
      <c r="D13" s="3" t="str">
        <f>IFERROR(__xludf.DUMMYFUNCTION("""COMPUTED_VALUE"""),"A")</f>
        <v>A</v>
      </c>
      <c r="E13" s="3" t="str">
        <f>IFERROR(__xludf.DUMMYFUNCTION("""COMPUTED_VALUE"""),"A-10")</f>
        <v>A-10</v>
      </c>
      <c r="F13" s="3">
        <f>IFERROR(__xludf.DUMMYFUNCTION("""COMPUTED_VALUE"""),3.0)</f>
        <v>3</v>
      </c>
      <c r="G13" s="3" t="str">
        <f>IFERROR(__xludf.DUMMYFUNCTION("""COMPUTED_VALUE"""),"3 WUSTHO PUTRA")</f>
        <v>3 WUSTHO PUTRA</v>
      </c>
      <c r="H13" s="3" t="str">
        <f>IFERROR(__xludf.DUMMYFUNCTION("""COMPUTED_VALUE"""),"MA-XII.4")</f>
        <v>MA-XII.4</v>
      </c>
      <c r="I13" s="4" t="str">
        <f>IFERROR(__xludf.DUMMYFUNCTION("""COMPUTED_VALUE"""),"LINA ANGGRAINI")</f>
        <v>LINA ANGGRAINI</v>
      </c>
      <c r="J13" s="4" t="str">
        <f>IFERROR(__xludf.DUMMYFUNCTION("""COMPUTED_VALUE"""),"TALUN RT 4 RW 1 SUMBERREJO BOJONEGORO")</f>
        <v>TALUN RT 4 RW 1 SUMBERREJO BOJONEGORO</v>
      </c>
      <c r="K13" s="4" t="str">
        <f>IFERROR(__xludf.DUMMYFUNCTION("""COMPUTED_VALUE"""),"628568406710")</f>
        <v>628568406710</v>
      </c>
      <c r="L13" s="5">
        <f>IFERROR(__xludf.DUMMYFUNCTION("""COMPUTED_VALUE"""),450000.0)</f>
        <v>450000</v>
      </c>
      <c r="M13" s="5">
        <f>IFERROR(__xludf.DUMMYFUNCTION("""COMPUTED_VALUE"""),0.0)</f>
        <v>0</v>
      </c>
      <c r="N13" s="5">
        <f>IFERROR(__xludf.DUMMYFUNCTION("""COMPUTED_VALUE"""),0.0)</f>
        <v>0</v>
      </c>
      <c r="O13" s="5">
        <f>IFERROR(__xludf.DUMMYFUNCTION("""COMPUTED_VALUE"""),450000.0)</f>
        <v>450000</v>
      </c>
      <c r="P13" s="4"/>
      <c r="Q13" s="4"/>
      <c r="R13" s="4"/>
      <c r="S13" s="3" t="str">
        <f>IFERROR(__xludf.DUMMYFUNCTION("""COMPUTED_VALUE"""),"Belum Lunas")</f>
        <v>Belum Lunas</v>
      </c>
    </row>
    <row r="14">
      <c r="A14" s="3">
        <f t="shared" si="1"/>
        <v>13</v>
      </c>
      <c r="B14" s="4" t="str">
        <f>IFERROR(__xludf.DUMMYFUNCTION("""COMPUTED_VALUE"""),"MAHATMA SATYA GRAHA")</f>
        <v>MAHATMA SATYA GRAHA</v>
      </c>
      <c r="C14" s="3">
        <f>IFERROR(__xludf.DUMMYFUNCTION("""COMPUTED_VALUE"""),2.024070407E9)</f>
        <v>2024070407</v>
      </c>
      <c r="D14" s="3" t="str">
        <f>IFERROR(__xludf.DUMMYFUNCTION("""COMPUTED_VALUE"""),"A")</f>
        <v>A</v>
      </c>
      <c r="E14" s="3" t="str">
        <f>IFERROR(__xludf.DUMMYFUNCTION("""COMPUTED_VALUE"""),"A-10")</f>
        <v>A-10</v>
      </c>
      <c r="F14" s="3">
        <f>IFERROR(__xludf.DUMMYFUNCTION("""COMPUTED_VALUE"""),3.0)</f>
        <v>3</v>
      </c>
      <c r="G14" s="3" t="str">
        <f>IFERROR(__xludf.DUMMYFUNCTION("""COMPUTED_VALUE"""),"3 WUSTHO PUTRA")</f>
        <v>3 WUSTHO PUTRA</v>
      </c>
      <c r="H14" s="3" t="str">
        <f>IFERROR(__xludf.DUMMYFUNCTION("""COMPUTED_VALUE"""),"MA-XII.9")</f>
        <v>MA-XII.9</v>
      </c>
      <c r="I14" s="4" t="str">
        <f>IFERROR(__xludf.DUMMYFUNCTION("""COMPUTED_VALUE"""),"AIYINATUL JAMILAH")</f>
        <v>AIYINATUL JAMILAH</v>
      </c>
      <c r="J14" s="4" t="str">
        <f>IFERROR(__xludf.DUMMYFUNCTION("""COMPUTED_VALUE"""),"JELAK JELAKCATUR RT 001 RW 004 KALITENGAH LAMONGAN")</f>
        <v>JELAK JELAKCATUR RT 001 RW 004 KALITENGAH LAMONGAN</v>
      </c>
      <c r="K14" s="4" t="str">
        <f>IFERROR(__xludf.DUMMYFUNCTION("""COMPUTED_VALUE"""),"628557692330")</f>
        <v>628557692330</v>
      </c>
      <c r="L14" s="5">
        <f>IFERROR(__xludf.DUMMYFUNCTION("""COMPUTED_VALUE"""),450000.0)</f>
        <v>450000</v>
      </c>
      <c r="M14" s="5">
        <f>IFERROR(__xludf.DUMMYFUNCTION("""COMPUTED_VALUE"""),0.0)</f>
        <v>0</v>
      </c>
      <c r="N14" s="5">
        <f>IFERROR(__xludf.DUMMYFUNCTION("""COMPUTED_VALUE"""),0.0)</f>
        <v>0</v>
      </c>
      <c r="O14" s="5">
        <f>IFERROR(__xludf.DUMMYFUNCTION("""COMPUTED_VALUE"""),450000.0)</f>
        <v>450000</v>
      </c>
      <c r="P14" s="4"/>
      <c r="Q14" s="4"/>
      <c r="R14" s="4"/>
      <c r="S14" s="3" t="str">
        <f>IFERROR(__xludf.DUMMYFUNCTION("""COMPUTED_VALUE"""),"Belum Lunas")</f>
        <v>Belum Lunas</v>
      </c>
    </row>
    <row r="15">
      <c r="A15" s="3">
        <f t="shared" si="1"/>
        <v>14</v>
      </c>
      <c r="B15" s="4" t="str">
        <f>IFERROR(__xludf.DUMMYFUNCTION("""COMPUTED_VALUE"""),"MOCHAMMAD NEIZTAHUL HUDA")</f>
        <v>MOCHAMMAD NEIZTAHUL HUDA</v>
      </c>
      <c r="C15" s="3">
        <f>IFERROR(__xludf.DUMMYFUNCTION("""COMPUTED_VALUE"""),2.024070626E9)</f>
        <v>2024070626</v>
      </c>
      <c r="D15" s="3" t="str">
        <f>IFERROR(__xludf.DUMMYFUNCTION("""COMPUTED_VALUE"""),"A")</f>
        <v>A</v>
      </c>
      <c r="E15" s="3" t="str">
        <f>IFERROR(__xludf.DUMMYFUNCTION("""COMPUTED_VALUE"""),"A-8")</f>
        <v>A-8</v>
      </c>
      <c r="F15" s="3">
        <f>IFERROR(__xludf.DUMMYFUNCTION("""COMPUTED_VALUE"""),3.0)</f>
        <v>3</v>
      </c>
      <c r="G15" s="3" t="str">
        <f>IFERROR(__xludf.DUMMYFUNCTION("""COMPUTED_VALUE"""),"3 ULA B PUTRA")</f>
        <v>3 ULA B PUTRA</v>
      </c>
      <c r="H15" s="3" t="str">
        <f>IFERROR(__xludf.DUMMYFUNCTION("""COMPUTED_VALUE"""),"MTS-9 B")</f>
        <v>MTS-9 B</v>
      </c>
      <c r="I15" s="4" t="str">
        <f>IFERROR(__xludf.DUMMYFUNCTION("""COMPUTED_VALUE"""),"RIYAYUK")</f>
        <v>RIYAYUK</v>
      </c>
      <c r="J15" s="4" t="str">
        <f>IFERROR(__xludf.DUMMYFUNCTION("""COMPUTED_VALUE"""),"NGAYUNG RT 007 RW 002 MADURAN LAMONGAN")</f>
        <v>NGAYUNG RT 007 RW 002 MADURAN LAMONGAN</v>
      </c>
      <c r="K15" s="4" t="str">
        <f>IFERROR(__xludf.DUMMYFUNCTION("""COMPUTED_VALUE"""),"6282237520701")</f>
        <v>6282237520701</v>
      </c>
      <c r="L15" s="5">
        <f>IFERROR(__xludf.DUMMYFUNCTION("""COMPUTED_VALUE"""),450000.0)</f>
        <v>450000</v>
      </c>
      <c r="M15" s="5">
        <f>IFERROR(__xludf.DUMMYFUNCTION("""COMPUTED_VALUE"""),0.0)</f>
        <v>0</v>
      </c>
      <c r="N15" s="5">
        <f>IFERROR(__xludf.DUMMYFUNCTION("""COMPUTED_VALUE"""),0.0)</f>
        <v>0</v>
      </c>
      <c r="O15" s="5">
        <f>IFERROR(__xludf.DUMMYFUNCTION("""COMPUTED_VALUE"""),450000.0)</f>
        <v>450000</v>
      </c>
      <c r="P15" s="4"/>
      <c r="Q15" s="4"/>
      <c r="R15" s="4"/>
      <c r="S15" s="3" t="str">
        <f>IFERROR(__xludf.DUMMYFUNCTION("""COMPUTED_VALUE"""),"Belum Lunas")</f>
        <v>Belum Lunas</v>
      </c>
    </row>
    <row r="16">
      <c r="A16" s="3">
        <f t="shared" si="1"/>
        <v>15</v>
      </c>
      <c r="B16" s="4" t="str">
        <f>IFERROR(__xludf.DUMMYFUNCTION("""COMPUTED_VALUE"""),"MUHAMMAD ALAM FIRMANSYAH")</f>
        <v>MUHAMMAD ALAM FIRMANSYAH</v>
      </c>
      <c r="C16" s="3">
        <f>IFERROR(__xludf.DUMMYFUNCTION("""COMPUTED_VALUE"""),2.024070506E9)</f>
        <v>2024070506</v>
      </c>
      <c r="D16" s="3" t="str">
        <f>IFERROR(__xludf.DUMMYFUNCTION("""COMPUTED_VALUE"""),"A")</f>
        <v>A</v>
      </c>
      <c r="E16" s="3" t="str">
        <f>IFERROR(__xludf.DUMMYFUNCTION("""COMPUTED_VALUE"""),"A-8")</f>
        <v>A-8</v>
      </c>
      <c r="F16" s="3">
        <f>IFERROR(__xludf.DUMMYFUNCTION("""COMPUTED_VALUE"""),3.0)</f>
        <v>3</v>
      </c>
      <c r="G16" s="3" t="str">
        <f>IFERROR(__xludf.DUMMYFUNCTION("""COMPUTED_VALUE"""),"3 ULA A PUTRA")</f>
        <v>3 ULA A PUTRA</v>
      </c>
      <c r="H16" s="3" t="str">
        <f>IFERROR(__xludf.DUMMYFUNCTION("""COMPUTED_VALUE"""),"MTS-9 F")</f>
        <v>MTS-9 F</v>
      </c>
      <c r="I16" s="4" t="str">
        <f>IFERROR(__xludf.DUMMYFUNCTION("""COMPUTED_VALUE"""),"MUFA ROKAH")</f>
        <v>MUFA ROKAH</v>
      </c>
      <c r="J16" s="4" t="str">
        <f>IFERROR(__xludf.DUMMYFUNCTION("""COMPUTED_VALUE"""),"KAMAL RT 004 RW 000 KAIRATU BARAT SERAM BAGIAN BARAT")</f>
        <v>KAMAL RT 004 RW 000 KAIRATU BARAT SERAM BAGIAN BARAT</v>
      </c>
      <c r="K16" s="4" t="str">
        <f>IFERROR(__xludf.DUMMYFUNCTION("""COMPUTED_VALUE"""),"6282199817002")</f>
        <v>6282199817002</v>
      </c>
      <c r="L16" s="5">
        <f>IFERROR(__xludf.DUMMYFUNCTION("""COMPUTED_VALUE"""),450000.0)</f>
        <v>450000</v>
      </c>
      <c r="M16" s="5">
        <f>IFERROR(__xludf.DUMMYFUNCTION("""COMPUTED_VALUE"""),0.0)</f>
        <v>0</v>
      </c>
      <c r="N16" s="5">
        <f>IFERROR(__xludf.DUMMYFUNCTION("""COMPUTED_VALUE"""),0.0)</f>
        <v>0</v>
      </c>
      <c r="O16" s="5">
        <f>IFERROR(__xludf.DUMMYFUNCTION("""COMPUTED_VALUE"""),450000.0)</f>
        <v>450000</v>
      </c>
      <c r="P16" s="4"/>
      <c r="Q16" s="4"/>
      <c r="R16" s="4"/>
      <c r="S16" s="3" t="str">
        <f>IFERROR(__xludf.DUMMYFUNCTION("""COMPUTED_VALUE"""),"Belum Lunas")</f>
        <v>Belum Lunas</v>
      </c>
    </row>
    <row r="17">
      <c r="A17" s="3">
        <f t="shared" si="1"/>
        <v>16</v>
      </c>
      <c r="B17" s="4" t="str">
        <f>IFERROR(__xludf.DUMMYFUNCTION("""COMPUTED_VALUE"""),"MUHAMMAD SYA`DANA")</f>
        <v>MUHAMMAD SYA`DANA</v>
      </c>
      <c r="C17" s="3">
        <f>IFERROR(__xludf.DUMMYFUNCTION("""COMPUTED_VALUE"""),2.024070715E9)</f>
        <v>2024070715</v>
      </c>
      <c r="D17" s="3" t="str">
        <f>IFERROR(__xludf.DUMMYFUNCTION("""COMPUTED_VALUE"""),"A")</f>
        <v>A</v>
      </c>
      <c r="E17" s="3" t="str">
        <f>IFERROR(__xludf.DUMMYFUNCTION("""COMPUTED_VALUE"""),"A-10")</f>
        <v>A-10</v>
      </c>
      <c r="F17" s="3">
        <f>IFERROR(__xludf.DUMMYFUNCTION("""COMPUTED_VALUE"""),3.0)</f>
        <v>3</v>
      </c>
      <c r="G17" s="3" t="str">
        <f>IFERROR(__xludf.DUMMYFUNCTION("""COMPUTED_VALUE"""),"3 WUSTHO PUTRA")</f>
        <v>3 WUSTHO PUTRA</v>
      </c>
      <c r="H17" s="3" t="str">
        <f>IFERROR(__xludf.DUMMYFUNCTION("""COMPUTED_VALUE"""),"SMK-XII TKJ 2")</f>
        <v>SMK-XII TKJ 2</v>
      </c>
      <c r="I17" s="4" t="str">
        <f>IFERROR(__xludf.DUMMYFUNCTION("""COMPUTED_VALUE"""),"FATMAWATI")</f>
        <v>FATMAWATI</v>
      </c>
      <c r="J17" s="4" t="str">
        <f>IFERROR(__xludf.DUMMYFUNCTION("""COMPUTED_VALUE"""),"PARENGAN RT 4 RW 3 MADURAN LAMONGAN")</f>
        <v>PARENGAN RT 4 RW 3 MADURAN LAMONGAN</v>
      </c>
      <c r="K17" s="4" t="str">
        <f>IFERROR(__xludf.DUMMYFUNCTION("""COMPUTED_VALUE"""),"6281216068509")</f>
        <v>6281216068509</v>
      </c>
      <c r="L17" s="5">
        <f>IFERROR(__xludf.DUMMYFUNCTION("""COMPUTED_VALUE"""),450000.0)</f>
        <v>450000</v>
      </c>
      <c r="M17" s="5">
        <f>IFERROR(__xludf.DUMMYFUNCTION("""COMPUTED_VALUE"""),0.0)</f>
        <v>0</v>
      </c>
      <c r="N17" s="5">
        <f>IFERROR(__xludf.DUMMYFUNCTION("""COMPUTED_VALUE"""),0.0)</f>
        <v>0</v>
      </c>
      <c r="O17" s="5">
        <f>IFERROR(__xludf.DUMMYFUNCTION("""COMPUTED_VALUE"""),450000.0)</f>
        <v>450000</v>
      </c>
      <c r="P17" s="4"/>
      <c r="Q17" s="4"/>
      <c r="R17" s="4"/>
      <c r="S17" s="3" t="str">
        <f>IFERROR(__xludf.DUMMYFUNCTION("""COMPUTED_VALUE"""),"Belum Lunas")</f>
        <v>Belum Lunas</v>
      </c>
    </row>
    <row r="18">
      <c r="A18" s="3">
        <f t="shared" si="1"/>
        <v>17</v>
      </c>
      <c r="B18" s="4" t="str">
        <f>IFERROR(__xludf.DUMMYFUNCTION("""COMPUTED_VALUE"""),"AHMAD BAHRUL FITRONI")</f>
        <v>AHMAD BAHRUL FITRONI</v>
      </c>
      <c r="C18" s="3">
        <f>IFERROR(__xludf.DUMMYFUNCTION("""COMPUTED_VALUE"""),2.024070534E9)</f>
        <v>2024070534</v>
      </c>
      <c r="D18" s="3" t="str">
        <f>IFERROR(__xludf.DUMMYFUNCTION("""COMPUTED_VALUE"""),"A")</f>
        <v>A</v>
      </c>
      <c r="E18" s="3" t="str">
        <f>IFERROR(__xludf.DUMMYFUNCTION("""COMPUTED_VALUE"""),"A-8")</f>
        <v>A-8</v>
      </c>
      <c r="F18" s="3">
        <f>IFERROR(__xludf.DUMMYFUNCTION("""COMPUTED_VALUE"""),3.0)</f>
        <v>3</v>
      </c>
      <c r="G18" s="3" t="str">
        <f>IFERROR(__xludf.DUMMYFUNCTION("""COMPUTED_VALUE"""),"3 ULA B PUTRA")</f>
        <v>3 ULA B PUTRA</v>
      </c>
      <c r="H18" s="3" t="str">
        <f>IFERROR(__xludf.DUMMYFUNCTION("""COMPUTED_VALUE"""),"MTS-9 E")</f>
        <v>MTS-9 E</v>
      </c>
      <c r="I18" s="4" t="str">
        <f>IFERROR(__xludf.DUMMYFUNCTION("""COMPUTED_VALUE"""),"SRI MULYATI")</f>
        <v>SRI MULYATI</v>
      </c>
      <c r="J18" s="4" t="str">
        <f>IFERROR(__xludf.DUMMYFUNCTION("""COMPUTED_VALUE"""),"KEBET RT 005 RW 001 LAMONGAN LAMONGAN")</f>
        <v>KEBET RT 005 RW 001 LAMONGAN LAMONGAN</v>
      </c>
      <c r="K18" s="4" t="str">
        <f>IFERROR(__xludf.DUMMYFUNCTION("""COMPUTED_VALUE"""),"6285812677937")</f>
        <v>6285812677937</v>
      </c>
      <c r="L18" s="5">
        <f>IFERROR(__xludf.DUMMYFUNCTION("""COMPUTED_VALUE"""),0.0)</f>
        <v>0</v>
      </c>
      <c r="M18" s="5">
        <f>IFERROR(__xludf.DUMMYFUNCTION("""COMPUTED_VALUE"""),500000.0)</f>
        <v>500000</v>
      </c>
      <c r="N18" s="5">
        <f>IFERROR(__xludf.DUMMYFUNCTION("""COMPUTED_VALUE"""),0.0)</f>
        <v>0</v>
      </c>
      <c r="O18" s="5">
        <f>IFERROR(__xludf.DUMMYFUNCTION("""COMPUTED_VALUE"""),500000.0)</f>
        <v>500000</v>
      </c>
      <c r="P18" s="4"/>
      <c r="Q18" s="4"/>
      <c r="R18" s="4"/>
      <c r="S18" s="3" t="str">
        <f>IFERROR(__xludf.DUMMYFUNCTION("""COMPUTED_VALUE"""),"Belum Lunas")</f>
        <v>Belum Lunas</v>
      </c>
    </row>
    <row r="19">
      <c r="A19" s="3">
        <f t="shared" si="1"/>
        <v>18</v>
      </c>
      <c r="B19" s="4" t="str">
        <f>IFERROR(__xludf.DUMMYFUNCTION("""COMPUTED_VALUE"""),"AIDZILA DHEA ANANTA")</f>
        <v>AIDZILA DHEA ANANTA</v>
      </c>
      <c r="C19" s="3">
        <f>IFERROR(__xludf.DUMMYFUNCTION("""COMPUTED_VALUE"""),2.024070495E9)</f>
        <v>2024070495</v>
      </c>
      <c r="D19" s="3" t="str">
        <f>IFERROR(__xludf.DUMMYFUNCTION("""COMPUTED_VALUE"""),"C")</f>
        <v>C</v>
      </c>
      <c r="E19" s="3" t="str">
        <f>IFERROR(__xludf.DUMMYFUNCTION("""COMPUTED_VALUE"""),"C-12")</f>
        <v>C-12</v>
      </c>
      <c r="F19" s="3">
        <f>IFERROR(__xludf.DUMMYFUNCTION("""COMPUTED_VALUE"""),3.0)</f>
        <v>3</v>
      </c>
      <c r="G19" s="3" t="str">
        <f>IFERROR(__xludf.DUMMYFUNCTION("""COMPUTED_VALUE"""),"3 ULA C PUTRI")</f>
        <v>3 ULA C PUTRI</v>
      </c>
      <c r="H19" s="3" t="str">
        <f>IFERROR(__xludf.DUMMYFUNCTION("""COMPUTED_VALUE"""),"MTS-9 D")</f>
        <v>MTS-9 D</v>
      </c>
      <c r="I19" s="4" t="str">
        <f>IFERROR(__xludf.DUMMYFUNCTION("""COMPUTED_VALUE"""),"MARATUS SHOLICHAH")</f>
        <v>MARATUS SHOLICHAH</v>
      </c>
      <c r="J19" s="4" t="str">
        <f>IFERROR(__xludf.DUMMYFUNCTION("""COMPUTED_VALUE"""),"NGUWOK RT 004 RW 002 MODO LAMONGAN")</f>
        <v>NGUWOK RT 004 RW 002 MODO LAMONGAN</v>
      </c>
      <c r="K19" s="4" t="str">
        <f>IFERROR(__xludf.DUMMYFUNCTION("""COMPUTED_VALUE"""),"6281559586998")</f>
        <v>6281559586998</v>
      </c>
      <c r="L19" s="5">
        <f>IFERROR(__xludf.DUMMYFUNCTION("""COMPUTED_VALUE"""),0.0)</f>
        <v>0</v>
      </c>
      <c r="M19" s="5">
        <f>IFERROR(__xludf.DUMMYFUNCTION("""COMPUTED_VALUE"""),500000.0)</f>
        <v>500000</v>
      </c>
      <c r="N19" s="5">
        <f>IFERROR(__xludf.DUMMYFUNCTION("""COMPUTED_VALUE"""),0.0)</f>
        <v>0</v>
      </c>
      <c r="O19" s="5">
        <f>IFERROR(__xludf.DUMMYFUNCTION("""COMPUTED_VALUE"""),500000.0)</f>
        <v>500000</v>
      </c>
      <c r="P19" s="4"/>
      <c r="Q19" s="4"/>
      <c r="R19" s="4"/>
      <c r="S19" s="3" t="str">
        <f>IFERROR(__xludf.DUMMYFUNCTION("""COMPUTED_VALUE"""),"Belum Lunas")</f>
        <v>Belum Lunas</v>
      </c>
    </row>
    <row r="20">
      <c r="A20" s="3">
        <f t="shared" si="1"/>
        <v>19</v>
      </c>
      <c r="B20" s="4" t="str">
        <f>IFERROR(__xludf.DUMMYFUNCTION("""COMPUTED_VALUE"""),"ATHIIYAH AULIYA`UL MUSHOFAROH")</f>
        <v>ATHIIYAH AULIYA`UL MUSHOFAROH</v>
      </c>
      <c r="C20" s="3">
        <f>IFERROR(__xludf.DUMMYFUNCTION("""COMPUTED_VALUE"""),2.024070631E9)</f>
        <v>2024070631</v>
      </c>
      <c r="D20" s="3" t="str">
        <f>IFERROR(__xludf.DUMMYFUNCTION("""COMPUTED_VALUE"""),"C")</f>
        <v>C</v>
      </c>
      <c r="E20" s="3" t="str">
        <f>IFERROR(__xludf.DUMMYFUNCTION("""COMPUTED_VALUE"""),"C-3")</f>
        <v>C-3</v>
      </c>
      <c r="F20" s="3">
        <f>IFERROR(__xludf.DUMMYFUNCTION("""COMPUTED_VALUE"""),3.0)</f>
        <v>3</v>
      </c>
      <c r="G20" s="3"/>
      <c r="H20" s="3" t="str">
        <f>IFERROR(__xludf.DUMMYFUNCTION("""COMPUTED_VALUE"""),"MTS-9 A")</f>
        <v>MTS-9 A</v>
      </c>
      <c r="I20" s="4" t="str">
        <f>IFERROR(__xludf.DUMMYFUNCTION("""COMPUTED_VALUE"""),"NUR KHOMSATUN FINARIYAH")</f>
        <v>NUR KHOMSATUN FINARIYAH</v>
      </c>
      <c r="J20" s="4" t="str">
        <f>IFERROR(__xludf.DUMMYFUNCTION("""COMPUTED_VALUE"""),"KEDIREN RT 003 RW 001 KALITENGAH LAMONGAN")</f>
        <v>KEDIREN RT 003 RW 001 KALITENGAH LAMONGAN</v>
      </c>
      <c r="K20" s="4" t="str">
        <f>IFERROR(__xludf.DUMMYFUNCTION("""COMPUTED_VALUE"""),"6285731317533")</f>
        <v>6285731317533</v>
      </c>
      <c r="L20" s="5">
        <f>IFERROR(__xludf.DUMMYFUNCTION("""COMPUTED_VALUE"""),0.0)</f>
        <v>0</v>
      </c>
      <c r="M20" s="5">
        <f>IFERROR(__xludf.DUMMYFUNCTION("""COMPUTED_VALUE"""),500000.0)</f>
        <v>500000</v>
      </c>
      <c r="N20" s="5">
        <f>IFERROR(__xludf.DUMMYFUNCTION("""COMPUTED_VALUE"""),0.0)</f>
        <v>0</v>
      </c>
      <c r="O20" s="5">
        <f>IFERROR(__xludf.DUMMYFUNCTION("""COMPUTED_VALUE"""),500000.0)</f>
        <v>500000</v>
      </c>
      <c r="P20" s="4"/>
      <c r="Q20" s="4"/>
      <c r="R20" s="4"/>
      <c r="S20" s="3" t="str">
        <f>IFERROR(__xludf.DUMMYFUNCTION("""COMPUTED_VALUE"""),"Belum Lunas")</f>
        <v>Belum Lunas</v>
      </c>
    </row>
    <row r="21">
      <c r="A21" s="3">
        <f t="shared" si="1"/>
        <v>20</v>
      </c>
      <c r="B21" s="4" t="str">
        <f>IFERROR(__xludf.DUMMYFUNCTION("""COMPUTED_VALUE"""),"ATINA AZKAL FUADAH")</f>
        <v>ATINA AZKAL FUADAH</v>
      </c>
      <c r="C21" s="3">
        <f>IFERROR(__xludf.DUMMYFUNCTION("""COMPUTED_VALUE"""),2.024070474E9)</f>
        <v>2024070474</v>
      </c>
      <c r="D21" s="3" t="str">
        <f>IFERROR(__xludf.DUMMYFUNCTION("""COMPUTED_VALUE"""),"E")</f>
        <v>E</v>
      </c>
      <c r="E21" s="3" t="str">
        <f>IFERROR(__xludf.DUMMYFUNCTION("""COMPUTED_VALUE"""),"E-3")</f>
        <v>E-3</v>
      </c>
      <c r="F21" s="3">
        <f>IFERROR(__xludf.DUMMYFUNCTION("""COMPUTED_VALUE"""),3.0)</f>
        <v>3</v>
      </c>
      <c r="G21" s="3" t="str">
        <f>IFERROR(__xludf.DUMMYFUNCTION("""COMPUTED_VALUE"""),"3 ULA B PUTRI")</f>
        <v>3 ULA B PUTRI</v>
      </c>
      <c r="H21" s="3" t="str">
        <f>IFERROR(__xludf.DUMMYFUNCTION("""COMPUTED_VALUE"""),"MTS-9 B")</f>
        <v>MTS-9 B</v>
      </c>
      <c r="I21" s="4" t="str">
        <f>IFERROR(__xludf.DUMMYFUNCTION("""COMPUTED_VALUE"""),"KHAULA ANIS")</f>
        <v>KHAULA ANIS</v>
      </c>
      <c r="J21" s="4" t="str">
        <f>IFERROR(__xludf.DUMMYFUNCTION("""COMPUTED_VALUE"""),"NGAYUNG RT 006 RW 002 MADURAN LAMONGAN")</f>
        <v>NGAYUNG RT 006 RW 002 MADURAN LAMONGAN</v>
      </c>
      <c r="K21" s="4" t="str">
        <f>IFERROR(__xludf.DUMMYFUNCTION("""COMPUTED_VALUE"""),"6281554492983")</f>
        <v>6281554492983</v>
      </c>
      <c r="L21" s="5">
        <f>IFERROR(__xludf.DUMMYFUNCTION("""COMPUTED_VALUE"""),500000.0)</f>
        <v>500000</v>
      </c>
      <c r="M21" s="5">
        <f>IFERROR(__xludf.DUMMYFUNCTION("""COMPUTED_VALUE"""),0.0)</f>
        <v>0</v>
      </c>
      <c r="N21" s="5">
        <f>IFERROR(__xludf.DUMMYFUNCTION("""COMPUTED_VALUE"""),0.0)</f>
        <v>0</v>
      </c>
      <c r="O21" s="5">
        <f>IFERROR(__xludf.DUMMYFUNCTION("""COMPUTED_VALUE"""),500000.0)</f>
        <v>500000</v>
      </c>
      <c r="P21" s="4"/>
      <c r="Q21" s="4"/>
      <c r="R21" s="4"/>
      <c r="S21" s="3" t="str">
        <f>IFERROR(__xludf.DUMMYFUNCTION("""COMPUTED_VALUE"""),"Belum Lunas")</f>
        <v>Belum Lunas</v>
      </c>
    </row>
    <row r="22">
      <c r="A22" s="3">
        <f t="shared" si="1"/>
        <v>21</v>
      </c>
      <c r="B22" s="4" t="str">
        <f>IFERROR(__xludf.DUMMYFUNCTION("""COMPUTED_VALUE"""),"AZZAM ABDILLAH SAPTA")</f>
        <v>AZZAM ABDILLAH SAPTA</v>
      </c>
      <c r="C22" s="3">
        <f>IFERROR(__xludf.DUMMYFUNCTION("""COMPUTED_VALUE"""),2.02407059E9)</f>
        <v>2024070590</v>
      </c>
      <c r="D22" s="3" t="str">
        <f>IFERROR(__xludf.DUMMYFUNCTION("""COMPUTED_VALUE"""),"A")</f>
        <v>A</v>
      </c>
      <c r="E22" s="3" t="str">
        <f>IFERROR(__xludf.DUMMYFUNCTION("""COMPUTED_VALUE"""),"A-8")</f>
        <v>A-8</v>
      </c>
      <c r="F22" s="3">
        <f>IFERROR(__xludf.DUMMYFUNCTION("""COMPUTED_VALUE"""),3.0)</f>
        <v>3</v>
      </c>
      <c r="G22" s="3" t="str">
        <f>IFERROR(__xludf.DUMMYFUNCTION("""COMPUTED_VALUE"""),"3 ULA B PUTRA")</f>
        <v>3 ULA B PUTRA</v>
      </c>
      <c r="H22" s="3" t="str">
        <f>IFERROR(__xludf.DUMMYFUNCTION("""COMPUTED_VALUE"""),"MTS-9 D")</f>
        <v>MTS-9 D</v>
      </c>
      <c r="I22" s="4" t="str">
        <f>IFERROR(__xludf.DUMMYFUNCTION("""COMPUTED_VALUE"""),"MUIYATI")</f>
        <v>MUIYATI</v>
      </c>
      <c r="J22" s="4" t="str">
        <f>IFERROR(__xludf.DUMMYFUNCTION("""COMPUTED_VALUE"""),"NGAYUNG RT 005 RW 002 MADURAN LAMONGAN")</f>
        <v>NGAYUNG RT 005 RW 002 MADURAN LAMONGAN</v>
      </c>
      <c r="K22" s="4" t="str">
        <f>IFERROR(__xludf.DUMMYFUNCTION("""COMPUTED_VALUE"""),"6282143068892")</f>
        <v>6282143068892</v>
      </c>
      <c r="L22" s="5">
        <f>IFERROR(__xludf.DUMMYFUNCTION("""COMPUTED_VALUE"""),0.0)</f>
        <v>0</v>
      </c>
      <c r="M22" s="5">
        <f>IFERROR(__xludf.DUMMYFUNCTION("""COMPUTED_VALUE"""),500000.0)</f>
        <v>500000</v>
      </c>
      <c r="N22" s="5">
        <f>IFERROR(__xludf.DUMMYFUNCTION("""COMPUTED_VALUE"""),0.0)</f>
        <v>0</v>
      </c>
      <c r="O22" s="5">
        <f>IFERROR(__xludf.DUMMYFUNCTION("""COMPUTED_VALUE"""),500000.0)</f>
        <v>500000</v>
      </c>
      <c r="P22" s="4"/>
      <c r="Q22" s="4"/>
      <c r="R22" s="4"/>
      <c r="S22" s="3" t="str">
        <f>IFERROR(__xludf.DUMMYFUNCTION("""COMPUTED_VALUE"""),"Belum Lunas")</f>
        <v>Belum Lunas</v>
      </c>
    </row>
    <row r="23">
      <c r="A23" s="3">
        <f t="shared" si="1"/>
        <v>22</v>
      </c>
      <c r="B23" s="4" t="str">
        <f>IFERROR(__xludf.DUMMYFUNCTION("""COMPUTED_VALUE"""),"BAGAS KHOIRUL AZAM")</f>
        <v>BAGAS KHOIRUL AZAM</v>
      </c>
      <c r="C23" s="3">
        <f>IFERROR(__xludf.DUMMYFUNCTION("""COMPUTED_VALUE"""),2.024070452E9)</f>
        <v>2024070452</v>
      </c>
      <c r="D23" s="3" t="str">
        <f>IFERROR(__xludf.DUMMYFUNCTION("""COMPUTED_VALUE"""),"A")</f>
        <v>A</v>
      </c>
      <c r="E23" s="3" t="str">
        <f>IFERROR(__xludf.DUMMYFUNCTION("""COMPUTED_VALUE"""),"A-8")</f>
        <v>A-8</v>
      </c>
      <c r="F23" s="3">
        <f>IFERROR(__xludf.DUMMYFUNCTION("""COMPUTED_VALUE"""),3.0)</f>
        <v>3</v>
      </c>
      <c r="G23" s="3" t="str">
        <f>IFERROR(__xludf.DUMMYFUNCTION("""COMPUTED_VALUE"""),"3 ULA A PUTRA")</f>
        <v>3 ULA A PUTRA</v>
      </c>
      <c r="H23" s="3" t="str">
        <f>IFERROR(__xludf.DUMMYFUNCTION("""COMPUTED_VALUE"""),"MTS-9 D")</f>
        <v>MTS-9 D</v>
      </c>
      <c r="I23" s="4" t="str">
        <f>IFERROR(__xludf.DUMMYFUNCTION("""COMPUTED_VALUE"""),"SUKANI")</f>
        <v>SUKANI</v>
      </c>
      <c r="J23" s="4" t="str">
        <f>IFERROR(__xludf.DUMMYFUNCTION("""COMPUTED_VALUE"""),"WONOSARI MULYO 5/37 WONOKUSUMO RT 017 RW 007 SEMAMPIR SURABAYA")</f>
        <v>WONOSARI MULYO 5/37 WONOKUSUMO RT 017 RW 007 SEMAMPIR SURABAYA</v>
      </c>
      <c r="K23" s="4" t="str">
        <f>IFERROR(__xludf.DUMMYFUNCTION("""COMPUTED_VALUE"""),"6285738565150")</f>
        <v>6285738565150</v>
      </c>
      <c r="L23" s="5">
        <f>IFERROR(__xludf.DUMMYFUNCTION("""COMPUTED_VALUE"""),0.0)</f>
        <v>0</v>
      </c>
      <c r="M23" s="5">
        <f>IFERROR(__xludf.DUMMYFUNCTION("""COMPUTED_VALUE"""),500000.0)</f>
        <v>500000</v>
      </c>
      <c r="N23" s="5">
        <f>IFERROR(__xludf.DUMMYFUNCTION("""COMPUTED_VALUE"""),0.0)</f>
        <v>0</v>
      </c>
      <c r="O23" s="5">
        <f>IFERROR(__xludf.DUMMYFUNCTION("""COMPUTED_VALUE"""),500000.0)</f>
        <v>500000</v>
      </c>
      <c r="P23" s="4"/>
      <c r="Q23" s="4"/>
      <c r="R23" s="4"/>
      <c r="S23" s="3" t="str">
        <f>IFERROR(__xludf.DUMMYFUNCTION("""COMPUTED_VALUE"""),"Belum Lunas")</f>
        <v>Belum Lunas</v>
      </c>
    </row>
    <row r="24">
      <c r="A24" s="3">
        <f t="shared" si="1"/>
        <v>23</v>
      </c>
      <c r="B24" s="4" t="str">
        <f>IFERROR(__xludf.DUMMYFUNCTION("""COMPUTED_VALUE"""),"BATRISYIA ALFILZAH")</f>
        <v>BATRISYIA ALFILZAH</v>
      </c>
      <c r="C24" s="3">
        <f>IFERROR(__xludf.DUMMYFUNCTION("""COMPUTED_VALUE"""),2.024070634E9)</f>
        <v>2024070634</v>
      </c>
      <c r="D24" s="3" t="str">
        <f>IFERROR(__xludf.DUMMYFUNCTION("""COMPUTED_VALUE"""),"E")</f>
        <v>E</v>
      </c>
      <c r="E24" s="3" t="str">
        <f>IFERROR(__xludf.DUMMYFUNCTION("""COMPUTED_VALUE"""),"E-2")</f>
        <v>E-2</v>
      </c>
      <c r="F24" s="3">
        <f>IFERROR(__xludf.DUMMYFUNCTION("""COMPUTED_VALUE"""),3.0)</f>
        <v>3</v>
      </c>
      <c r="G24" s="3" t="str">
        <f>IFERROR(__xludf.DUMMYFUNCTION("""COMPUTED_VALUE"""),"3 ULA A PUTRI")</f>
        <v>3 ULA A PUTRI</v>
      </c>
      <c r="H24" s="3" t="str">
        <f>IFERROR(__xludf.DUMMYFUNCTION("""COMPUTED_VALUE"""),"MTS-9 H")</f>
        <v>MTS-9 H</v>
      </c>
      <c r="I24" s="4" t="str">
        <f>IFERROR(__xludf.DUMMYFUNCTION("""COMPUTED_VALUE"""),"LILIS")</f>
        <v>LILIS</v>
      </c>
      <c r="J24" s="4" t="str">
        <f>IFERROR(__xludf.DUMMYFUNCTION("""COMPUTED_VALUE"""),"KAWISTOLEGI RT 001 RW 001 KARANGGENENG LAMONGAN")</f>
        <v>KAWISTOLEGI RT 001 RW 001 KARANGGENENG LAMONGAN</v>
      </c>
      <c r="K24" s="4" t="str">
        <f>IFERROR(__xludf.DUMMYFUNCTION("""COMPUTED_VALUE"""),"62895801050384")</f>
        <v>62895801050384</v>
      </c>
      <c r="L24" s="5">
        <f>IFERROR(__xludf.DUMMYFUNCTION("""COMPUTED_VALUE"""),500000.0)</f>
        <v>500000</v>
      </c>
      <c r="M24" s="5">
        <f>IFERROR(__xludf.DUMMYFUNCTION("""COMPUTED_VALUE"""),0.0)</f>
        <v>0</v>
      </c>
      <c r="N24" s="5">
        <f>IFERROR(__xludf.DUMMYFUNCTION("""COMPUTED_VALUE"""),0.0)</f>
        <v>0</v>
      </c>
      <c r="O24" s="5">
        <f>IFERROR(__xludf.DUMMYFUNCTION("""COMPUTED_VALUE"""),500000.0)</f>
        <v>500000</v>
      </c>
      <c r="P24" s="4"/>
      <c r="Q24" s="4"/>
      <c r="R24" s="4"/>
      <c r="S24" s="3" t="str">
        <f>IFERROR(__xludf.DUMMYFUNCTION("""COMPUTED_VALUE"""),"Belum Lunas")</f>
        <v>Belum Lunas</v>
      </c>
    </row>
    <row r="25">
      <c r="A25" s="3">
        <f t="shared" si="1"/>
        <v>24</v>
      </c>
      <c r="B25" s="4" t="str">
        <f>IFERROR(__xludf.DUMMYFUNCTION("""COMPUTED_VALUE"""),"DEWI LAILA ANISAH SHOFIYAH")</f>
        <v>DEWI LAILA ANISAH SHOFIYAH</v>
      </c>
      <c r="C25" s="3">
        <f>IFERROR(__xludf.DUMMYFUNCTION("""COMPUTED_VALUE"""),2.024070373E9)</f>
        <v>2024070373</v>
      </c>
      <c r="D25" s="3" t="str">
        <f>IFERROR(__xludf.DUMMYFUNCTION("""COMPUTED_VALUE"""),"C")</f>
        <v>C</v>
      </c>
      <c r="E25" s="3" t="str">
        <f>IFERROR(__xludf.DUMMYFUNCTION("""COMPUTED_VALUE"""),"C-9")</f>
        <v>C-9</v>
      </c>
      <c r="F25" s="3">
        <f>IFERROR(__xludf.DUMMYFUNCTION("""COMPUTED_VALUE"""),3.0)</f>
        <v>3</v>
      </c>
      <c r="G25" s="3" t="str">
        <f>IFERROR(__xludf.DUMMYFUNCTION("""COMPUTED_VALUE"""),"3 WUSTHO A PUTRI")</f>
        <v>3 WUSTHO A PUTRI</v>
      </c>
      <c r="H25" s="3" t="str">
        <f>IFERROR(__xludf.DUMMYFUNCTION("""COMPUTED_VALUE"""),"MA-XII.12")</f>
        <v>MA-XII.12</v>
      </c>
      <c r="I25" s="4" t="str">
        <f>IFERROR(__xludf.DUMMYFUNCTION("""COMPUTED_VALUE"""),"SITI ROKANI")</f>
        <v>SITI ROKANI</v>
      </c>
      <c r="J25" s="4" t="str">
        <f>IFERROR(__xludf.DUMMYFUNCTION("""COMPUTED_VALUE"""),"KADUNG KADUNGREMBUG RT 001 RW 005 SUKODADI LAMONGAN")</f>
        <v>KADUNG KADUNGREMBUG RT 001 RW 005 SUKODADI LAMONGAN</v>
      </c>
      <c r="K25" s="4" t="str">
        <f>IFERROR(__xludf.DUMMYFUNCTION("""COMPUTED_VALUE"""),"6285748023154")</f>
        <v>6285748023154</v>
      </c>
      <c r="L25" s="5">
        <f>IFERROR(__xludf.DUMMYFUNCTION("""COMPUTED_VALUE"""),0.0)</f>
        <v>0</v>
      </c>
      <c r="M25" s="5">
        <f>IFERROR(__xludf.DUMMYFUNCTION("""COMPUTED_VALUE"""),500000.0)</f>
        <v>500000</v>
      </c>
      <c r="N25" s="5">
        <f>IFERROR(__xludf.DUMMYFUNCTION("""COMPUTED_VALUE"""),0.0)</f>
        <v>0</v>
      </c>
      <c r="O25" s="5">
        <f>IFERROR(__xludf.DUMMYFUNCTION("""COMPUTED_VALUE"""),500000.0)</f>
        <v>500000</v>
      </c>
      <c r="P25" s="4"/>
      <c r="Q25" s="4"/>
      <c r="R25" s="4"/>
      <c r="S25" s="3" t="str">
        <f>IFERROR(__xludf.DUMMYFUNCTION("""COMPUTED_VALUE"""),"Belum Lunas")</f>
        <v>Belum Lunas</v>
      </c>
    </row>
    <row r="26">
      <c r="A26" s="3">
        <f t="shared" si="1"/>
        <v>25</v>
      </c>
      <c r="B26" s="4" t="str">
        <f>IFERROR(__xludf.DUMMYFUNCTION("""COMPUTED_VALUE"""),"DINI WAHYU NINGTYAS")</f>
        <v>DINI WAHYU NINGTYAS</v>
      </c>
      <c r="C26" s="3">
        <f>IFERROR(__xludf.DUMMYFUNCTION("""COMPUTED_VALUE"""),2.024070688E9)</f>
        <v>2024070688</v>
      </c>
      <c r="D26" s="3" t="str">
        <f>IFERROR(__xludf.DUMMYFUNCTION("""COMPUTED_VALUE"""),"B")</f>
        <v>B</v>
      </c>
      <c r="E26" s="3" t="str">
        <f>IFERROR(__xludf.DUMMYFUNCTION("""COMPUTED_VALUE"""),"B-4")</f>
        <v>B-4</v>
      </c>
      <c r="F26" s="3">
        <f>IFERROR(__xludf.DUMMYFUNCTION("""COMPUTED_VALUE"""),3.0)</f>
        <v>3</v>
      </c>
      <c r="G26" s="3" t="str">
        <f>IFERROR(__xludf.DUMMYFUNCTION("""COMPUTED_VALUE"""),"3 WUSTHO C PUTRI")</f>
        <v>3 WUSTHO C PUTRI</v>
      </c>
      <c r="H26" s="3" t="str">
        <f>IFERROR(__xludf.DUMMYFUNCTION("""COMPUTED_VALUE"""),"SMK-XII DKV")</f>
        <v>SMK-XII DKV</v>
      </c>
      <c r="I26" s="4" t="str">
        <f>IFERROR(__xludf.DUMMYFUNCTION("""COMPUTED_VALUE"""),"YA ANTI")</f>
        <v>YA ANTI</v>
      </c>
      <c r="J26" s="4" t="str">
        <f>IFERROR(__xludf.DUMMYFUNCTION("""COMPUTED_VALUE"""),"TIRTA MULIA BATU MERANTI RT 011 RW 005 SUNGAILOBAN TANAH BUMBU")</f>
        <v>TIRTA MULIA BATU MERANTI RT 011 RW 005 SUNGAILOBAN TANAH BUMBU</v>
      </c>
      <c r="K26" s="4" t="str">
        <f>IFERROR(__xludf.DUMMYFUNCTION("""COMPUTED_VALUE"""),"6281255133458")</f>
        <v>6281255133458</v>
      </c>
      <c r="L26" s="5">
        <f>IFERROR(__xludf.DUMMYFUNCTION("""COMPUTED_VALUE"""),0.0)</f>
        <v>0</v>
      </c>
      <c r="M26" s="5">
        <f>IFERROR(__xludf.DUMMYFUNCTION("""COMPUTED_VALUE"""),500000.0)</f>
        <v>500000</v>
      </c>
      <c r="N26" s="5">
        <f>IFERROR(__xludf.DUMMYFUNCTION("""COMPUTED_VALUE"""),0.0)</f>
        <v>0</v>
      </c>
      <c r="O26" s="5">
        <f>IFERROR(__xludf.DUMMYFUNCTION("""COMPUTED_VALUE"""),500000.0)</f>
        <v>500000</v>
      </c>
      <c r="P26" s="4"/>
      <c r="Q26" s="4"/>
      <c r="R26" s="4"/>
      <c r="S26" s="3" t="str">
        <f>IFERROR(__xludf.DUMMYFUNCTION("""COMPUTED_VALUE"""),"Belum Lunas")</f>
        <v>Belum Lunas</v>
      </c>
    </row>
    <row r="27">
      <c r="A27" s="3">
        <f t="shared" si="1"/>
        <v>26</v>
      </c>
      <c r="B27" s="4" t="str">
        <f>IFERROR(__xludf.DUMMYFUNCTION("""COMPUTED_VALUE"""),"DIVA APRILIA SHOLIKHA")</f>
        <v>DIVA APRILIA SHOLIKHA</v>
      </c>
      <c r="C27" s="3">
        <f>IFERROR(__xludf.DUMMYFUNCTION("""COMPUTED_VALUE"""),2.024070223E9)</f>
        <v>2024070223</v>
      </c>
      <c r="D27" s="3" t="str">
        <f>IFERROR(__xludf.DUMMYFUNCTION("""COMPUTED_VALUE"""),"C")</f>
        <v>C</v>
      </c>
      <c r="E27" s="3" t="str">
        <f>IFERROR(__xludf.DUMMYFUNCTION("""COMPUTED_VALUE"""),"C-8")</f>
        <v>C-8</v>
      </c>
      <c r="F27" s="3">
        <f>IFERROR(__xludf.DUMMYFUNCTION("""COMPUTED_VALUE"""),3.0)</f>
        <v>3</v>
      </c>
      <c r="G27" s="3" t="str">
        <f>IFERROR(__xludf.DUMMYFUNCTION("""COMPUTED_VALUE"""),"3 WUSTHO A PUTRI")</f>
        <v>3 WUSTHO A PUTRI</v>
      </c>
      <c r="H27" s="3" t="str">
        <f>IFERROR(__xludf.DUMMYFUNCTION("""COMPUTED_VALUE"""),"MA-XII.6")</f>
        <v>MA-XII.6</v>
      </c>
      <c r="I27" s="4" t="str">
        <f>IFERROR(__xludf.DUMMYFUNCTION("""COMPUTED_VALUE"""),"KHOTIM SUNARIYAH")</f>
        <v>KHOTIM SUNARIYAH</v>
      </c>
      <c r="J27" s="4" t="str">
        <f>IFERROR(__xludf.DUMMYFUNCTION("""COMPUTED_VALUE"""),"KARANGCANGKRING RT 7 RW 3 DUKUN GRESIK")</f>
        <v>KARANGCANGKRING RT 7 RW 3 DUKUN GRESIK</v>
      </c>
      <c r="K27" s="4" t="str">
        <f>IFERROR(__xludf.DUMMYFUNCTION("""COMPUTED_VALUE"""),"6281553483950")</f>
        <v>6281553483950</v>
      </c>
      <c r="L27" s="5">
        <f>IFERROR(__xludf.DUMMYFUNCTION("""COMPUTED_VALUE"""),0.0)</f>
        <v>0</v>
      </c>
      <c r="M27" s="5">
        <f>IFERROR(__xludf.DUMMYFUNCTION("""COMPUTED_VALUE"""),500000.0)</f>
        <v>500000</v>
      </c>
      <c r="N27" s="5">
        <f>IFERROR(__xludf.DUMMYFUNCTION("""COMPUTED_VALUE"""),0.0)</f>
        <v>0</v>
      </c>
      <c r="O27" s="5">
        <f>IFERROR(__xludf.DUMMYFUNCTION("""COMPUTED_VALUE"""),500000.0)</f>
        <v>500000</v>
      </c>
      <c r="P27" s="4"/>
      <c r="Q27" s="4"/>
      <c r="R27" s="4"/>
      <c r="S27" s="3" t="str">
        <f>IFERROR(__xludf.DUMMYFUNCTION("""COMPUTED_VALUE"""),"Belum Lunas")</f>
        <v>Belum Lunas</v>
      </c>
    </row>
    <row r="28">
      <c r="A28" s="3">
        <f t="shared" si="1"/>
        <v>27</v>
      </c>
      <c r="B28" s="4" t="str">
        <f>IFERROR(__xludf.DUMMYFUNCTION("""COMPUTED_VALUE"""),"ELSA LAILATUN NIHAYAH")</f>
        <v>ELSA LAILATUN NIHAYAH</v>
      </c>
      <c r="C28" s="3">
        <f>IFERROR(__xludf.DUMMYFUNCTION("""COMPUTED_VALUE"""),2.024070112E9)</f>
        <v>2024070112</v>
      </c>
      <c r="D28" s="3" t="str">
        <f>IFERROR(__xludf.DUMMYFUNCTION("""COMPUTED_VALUE"""),"C")</f>
        <v>C</v>
      </c>
      <c r="E28" s="3" t="str">
        <f>IFERROR(__xludf.DUMMYFUNCTION("""COMPUTED_VALUE"""),"C-9")</f>
        <v>C-9</v>
      </c>
      <c r="F28" s="3">
        <f>IFERROR(__xludf.DUMMYFUNCTION("""COMPUTED_VALUE"""),3.0)</f>
        <v>3</v>
      </c>
      <c r="G28" s="3" t="str">
        <f>IFERROR(__xludf.DUMMYFUNCTION("""COMPUTED_VALUE"""),"3 WUSTHO B PUTRI")</f>
        <v>3 WUSTHO B PUTRI</v>
      </c>
      <c r="H28" s="3" t="str">
        <f>IFERROR(__xludf.DUMMYFUNCTION("""COMPUTED_VALUE"""),"MA-XII.4")</f>
        <v>MA-XII.4</v>
      </c>
      <c r="I28" s="4" t="str">
        <f>IFERROR(__xludf.DUMMYFUNCTION("""COMPUTED_VALUE"""),"KARMU")</f>
        <v>KARMU</v>
      </c>
      <c r="J28" s="4" t="str">
        <f>IFERROR(__xludf.DUMMYFUNCTION("""COMPUTED_VALUE"""),"CLURING RT 002 RW 002 KALITENGAH LAMONGAN")</f>
        <v>CLURING RT 002 RW 002 KALITENGAH LAMONGAN</v>
      </c>
      <c r="K28" s="4" t="str">
        <f>IFERROR(__xludf.DUMMYFUNCTION("""COMPUTED_VALUE"""),"6287794103025")</f>
        <v>6287794103025</v>
      </c>
      <c r="L28" s="5">
        <f>IFERROR(__xludf.DUMMYFUNCTION("""COMPUTED_VALUE"""),0.0)</f>
        <v>0</v>
      </c>
      <c r="M28" s="5">
        <f>IFERROR(__xludf.DUMMYFUNCTION("""COMPUTED_VALUE"""),500000.0)</f>
        <v>500000</v>
      </c>
      <c r="N28" s="5">
        <f>IFERROR(__xludf.DUMMYFUNCTION("""COMPUTED_VALUE"""),0.0)</f>
        <v>0</v>
      </c>
      <c r="O28" s="5">
        <f>IFERROR(__xludf.DUMMYFUNCTION("""COMPUTED_VALUE"""),500000.0)</f>
        <v>500000</v>
      </c>
      <c r="P28" s="4"/>
      <c r="Q28" s="4"/>
      <c r="R28" s="4"/>
      <c r="S28" s="3" t="str">
        <f>IFERROR(__xludf.DUMMYFUNCTION("""COMPUTED_VALUE"""),"Belum Lunas")</f>
        <v>Belum Lunas</v>
      </c>
    </row>
    <row r="29">
      <c r="A29" s="3">
        <f t="shared" si="1"/>
        <v>28</v>
      </c>
      <c r="B29" s="4" t="str">
        <f>IFERROR(__xludf.DUMMYFUNCTION("""COMPUTED_VALUE"""),"ERIN MAULIDIAH")</f>
        <v>ERIN MAULIDIAH</v>
      </c>
      <c r="C29" s="3">
        <f>IFERROR(__xludf.DUMMYFUNCTION("""COMPUTED_VALUE"""),2.024070475E9)</f>
        <v>2024070475</v>
      </c>
      <c r="D29" s="3" t="str">
        <f>IFERROR(__xludf.DUMMYFUNCTION("""COMPUTED_VALUE"""),"E")</f>
        <v>E</v>
      </c>
      <c r="E29" s="3" t="str">
        <f>IFERROR(__xludf.DUMMYFUNCTION("""COMPUTED_VALUE"""),"E-3")</f>
        <v>E-3</v>
      </c>
      <c r="F29" s="3">
        <f>IFERROR(__xludf.DUMMYFUNCTION("""COMPUTED_VALUE"""),3.0)</f>
        <v>3</v>
      </c>
      <c r="G29" s="3" t="str">
        <f>IFERROR(__xludf.DUMMYFUNCTION("""COMPUTED_VALUE"""),"3 ULA B PUTRI")</f>
        <v>3 ULA B PUTRI</v>
      </c>
      <c r="H29" s="3" t="str">
        <f>IFERROR(__xludf.DUMMYFUNCTION("""COMPUTED_VALUE"""),"MTS-9 B")</f>
        <v>MTS-9 B</v>
      </c>
      <c r="I29" s="4" t="str">
        <f>IFERROR(__xludf.DUMMYFUNCTION("""COMPUTED_VALUE"""),"ASMAUS SHOFIYANAH")</f>
        <v>ASMAUS SHOFIYANAH</v>
      </c>
      <c r="J29" s="4" t="str">
        <f>IFERROR(__xludf.DUMMYFUNCTION("""COMPUTED_VALUE"""),"NGAYUNG RT 005 RW 002 MADURAN LAMONGAN")</f>
        <v>NGAYUNG RT 005 RW 002 MADURAN LAMONGAN</v>
      </c>
      <c r="K29" s="4" t="str">
        <f>IFERROR(__xludf.DUMMYFUNCTION("""COMPUTED_VALUE"""),"6282233810314")</f>
        <v>6282233810314</v>
      </c>
      <c r="L29" s="5">
        <f>IFERROR(__xludf.DUMMYFUNCTION("""COMPUTED_VALUE"""),0.0)</f>
        <v>0</v>
      </c>
      <c r="M29" s="5">
        <f>IFERROR(__xludf.DUMMYFUNCTION("""COMPUTED_VALUE"""),500000.0)</f>
        <v>500000</v>
      </c>
      <c r="N29" s="5">
        <f>IFERROR(__xludf.DUMMYFUNCTION("""COMPUTED_VALUE"""),0.0)</f>
        <v>0</v>
      </c>
      <c r="O29" s="5">
        <f>IFERROR(__xludf.DUMMYFUNCTION("""COMPUTED_VALUE"""),500000.0)</f>
        <v>500000</v>
      </c>
      <c r="P29" s="4"/>
      <c r="Q29" s="4"/>
      <c r="R29" s="4"/>
      <c r="S29" s="3" t="str">
        <f>IFERROR(__xludf.DUMMYFUNCTION("""COMPUTED_VALUE"""),"Belum Lunas")</f>
        <v>Belum Lunas</v>
      </c>
    </row>
    <row r="30">
      <c r="A30" s="3">
        <f t="shared" si="1"/>
        <v>29</v>
      </c>
      <c r="B30" s="4" t="str">
        <f>IFERROR(__xludf.DUMMYFUNCTION("""COMPUTED_VALUE"""),"FAIQOTUR RIFDAH AL ABIDAH")</f>
        <v>FAIQOTUR RIFDAH AL ABIDAH</v>
      </c>
      <c r="C30" s="3">
        <f>IFERROR(__xludf.DUMMYFUNCTION("""COMPUTED_VALUE"""),2.024070487E9)</f>
        <v>2024070487</v>
      </c>
      <c r="D30" s="3" t="str">
        <f>IFERROR(__xludf.DUMMYFUNCTION("""COMPUTED_VALUE"""),"E")</f>
        <v>E</v>
      </c>
      <c r="E30" s="3" t="str">
        <f>IFERROR(__xludf.DUMMYFUNCTION("""COMPUTED_VALUE"""),"E-2")</f>
        <v>E-2</v>
      </c>
      <c r="F30" s="3">
        <f>IFERROR(__xludf.DUMMYFUNCTION("""COMPUTED_VALUE"""),3.0)</f>
        <v>3</v>
      </c>
      <c r="G30" s="3" t="str">
        <f>IFERROR(__xludf.DUMMYFUNCTION("""COMPUTED_VALUE"""),"3 ULA B PUTRI")</f>
        <v>3 ULA B PUTRI</v>
      </c>
      <c r="H30" s="3" t="str">
        <f>IFERROR(__xludf.DUMMYFUNCTION("""COMPUTED_VALUE"""),"MTS-9 C")</f>
        <v>MTS-9 C</v>
      </c>
      <c r="I30" s="4" t="str">
        <f>IFERROR(__xludf.DUMMYFUNCTION("""COMPUTED_VALUE"""),"CHAMIMAH")</f>
        <v>CHAMIMAH</v>
      </c>
      <c r="J30" s="4" t="str">
        <f>IFERROR(__xludf.DUMMYFUNCTION("""COMPUTED_VALUE"""),"PLOSOSETRO RT 008 RW 002 PUCUK LAMONGAN")</f>
        <v>PLOSOSETRO RT 008 RW 002 PUCUK LAMONGAN</v>
      </c>
      <c r="K30" s="4" t="str">
        <f>IFERROR(__xludf.DUMMYFUNCTION("""COMPUTED_VALUE"""),"6285791612653")</f>
        <v>6285791612653</v>
      </c>
      <c r="L30" s="5">
        <f>IFERROR(__xludf.DUMMYFUNCTION("""COMPUTED_VALUE"""),0.0)</f>
        <v>0</v>
      </c>
      <c r="M30" s="5">
        <f>IFERROR(__xludf.DUMMYFUNCTION("""COMPUTED_VALUE"""),500000.0)</f>
        <v>500000</v>
      </c>
      <c r="N30" s="5">
        <f>IFERROR(__xludf.DUMMYFUNCTION("""COMPUTED_VALUE"""),0.0)</f>
        <v>0</v>
      </c>
      <c r="O30" s="5">
        <f>IFERROR(__xludf.DUMMYFUNCTION("""COMPUTED_VALUE"""),500000.0)</f>
        <v>500000</v>
      </c>
      <c r="P30" s="4"/>
      <c r="Q30" s="4"/>
      <c r="R30" s="4"/>
      <c r="S30" s="3" t="str">
        <f>IFERROR(__xludf.DUMMYFUNCTION("""COMPUTED_VALUE"""),"Belum Lunas")</f>
        <v>Belum Lunas</v>
      </c>
    </row>
    <row r="31">
      <c r="A31" s="3">
        <f t="shared" si="1"/>
        <v>30</v>
      </c>
      <c r="B31" s="4" t="str">
        <f>IFERROR(__xludf.DUMMYFUNCTION("""COMPUTED_VALUE"""),"FAIRUZZABADI WAHYU MAHFUL")</f>
        <v>FAIRUZZABADI WAHYU MAHFUL</v>
      </c>
      <c r="C31" s="3">
        <f>IFERROR(__xludf.DUMMYFUNCTION("""COMPUTED_VALUE"""),2.024070458E9)</f>
        <v>2024070458</v>
      </c>
      <c r="D31" s="3" t="str">
        <f>IFERROR(__xludf.DUMMYFUNCTION("""COMPUTED_VALUE"""),"A")</f>
        <v>A</v>
      </c>
      <c r="E31" s="3" t="str">
        <f>IFERROR(__xludf.DUMMYFUNCTION("""COMPUTED_VALUE"""),"A-7")</f>
        <v>A-7</v>
      </c>
      <c r="F31" s="3">
        <f>IFERROR(__xludf.DUMMYFUNCTION("""COMPUTED_VALUE"""),3.0)</f>
        <v>3</v>
      </c>
      <c r="G31" s="3" t="str">
        <f>IFERROR(__xludf.DUMMYFUNCTION("""COMPUTED_VALUE"""),"3 ULA A PUTRA")</f>
        <v>3 ULA A PUTRA</v>
      </c>
      <c r="H31" s="3" t="str">
        <f>IFERROR(__xludf.DUMMYFUNCTION("""COMPUTED_VALUE"""),"MTS-9 E")</f>
        <v>MTS-9 E</v>
      </c>
      <c r="I31" s="4" t="str">
        <f>IFERROR(__xludf.DUMMYFUNCTION("""COMPUTED_VALUE"""),"TRI UTAMI")</f>
        <v>TRI UTAMI</v>
      </c>
      <c r="J31" s="4" t="str">
        <f>IFERROR(__xludf.DUMMYFUNCTION("""COMPUTED_VALUE"""),"PAJANGAN RT 001 RW 002 SUKODADI LAMONGAN")</f>
        <v>PAJANGAN RT 001 RW 002 SUKODADI LAMONGAN</v>
      </c>
      <c r="K31" s="4" t="str">
        <f>IFERROR(__xludf.DUMMYFUNCTION("""COMPUTED_VALUE"""),"6285730482785")</f>
        <v>6285730482785</v>
      </c>
      <c r="L31" s="5">
        <f>IFERROR(__xludf.DUMMYFUNCTION("""COMPUTED_VALUE"""),0.0)</f>
        <v>0</v>
      </c>
      <c r="M31" s="5">
        <f>IFERROR(__xludf.DUMMYFUNCTION("""COMPUTED_VALUE"""),500000.0)</f>
        <v>500000</v>
      </c>
      <c r="N31" s="5">
        <f>IFERROR(__xludf.DUMMYFUNCTION("""COMPUTED_VALUE"""),0.0)</f>
        <v>0</v>
      </c>
      <c r="O31" s="5">
        <f>IFERROR(__xludf.DUMMYFUNCTION("""COMPUTED_VALUE"""),500000.0)</f>
        <v>500000</v>
      </c>
      <c r="P31" s="4"/>
      <c r="Q31" s="4"/>
      <c r="R31" s="4"/>
      <c r="S31" s="3" t="str">
        <f>IFERROR(__xludf.DUMMYFUNCTION("""COMPUTED_VALUE"""),"Belum Lunas")</f>
        <v>Belum Lunas</v>
      </c>
    </row>
    <row r="32">
      <c r="A32" s="3">
        <f t="shared" si="1"/>
        <v>31</v>
      </c>
      <c r="B32" s="4" t="str">
        <f>IFERROR(__xludf.DUMMYFUNCTION("""COMPUTED_VALUE"""),"FARAH OKTARIAN SYAHPUTRI")</f>
        <v>FARAH OKTARIAN SYAHPUTRI</v>
      </c>
      <c r="C32" s="3">
        <f>IFERROR(__xludf.DUMMYFUNCTION("""COMPUTED_VALUE"""),2.024070466E9)</f>
        <v>2024070466</v>
      </c>
      <c r="D32" s="3" t="str">
        <f>IFERROR(__xludf.DUMMYFUNCTION("""COMPUTED_VALUE"""),"E")</f>
        <v>E</v>
      </c>
      <c r="E32" s="3" t="str">
        <f>IFERROR(__xludf.DUMMYFUNCTION("""COMPUTED_VALUE"""),"E-9")</f>
        <v>E-9</v>
      </c>
      <c r="F32" s="3">
        <f>IFERROR(__xludf.DUMMYFUNCTION("""COMPUTED_VALUE"""),3.0)</f>
        <v>3</v>
      </c>
      <c r="G32" s="3" t="str">
        <f>IFERROR(__xludf.DUMMYFUNCTION("""COMPUTED_VALUE"""),"3 ULA C PUTRI")</f>
        <v>3 ULA C PUTRI</v>
      </c>
      <c r="H32" s="3" t="str">
        <f>IFERROR(__xludf.DUMMYFUNCTION("""COMPUTED_VALUE"""),"MTS-9 A")</f>
        <v>MTS-9 A</v>
      </c>
      <c r="I32" s="4" t="str">
        <f>IFERROR(__xludf.DUMMYFUNCTION("""COMPUTED_VALUE"""),"HUSNUL MUSTAFIDAH")</f>
        <v>HUSNUL MUSTAFIDAH</v>
      </c>
      <c r="J32" s="4" t="str">
        <f>IFERROR(__xludf.DUMMYFUNCTION("""COMPUTED_VALUE"""),"JL. RAYA SUGIO NO. 53 KEBET RT 004 RW 001 LAMONGAN LAMONGAN")</f>
        <v>JL. RAYA SUGIO NO. 53 KEBET RT 004 RW 001 LAMONGAN LAMONGAN</v>
      </c>
      <c r="K32" s="4" t="str">
        <f>IFERROR(__xludf.DUMMYFUNCTION("""COMPUTED_VALUE"""),"6281332772930")</f>
        <v>6281332772930</v>
      </c>
      <c r="L32" s="5">
        <f>IFERROR(__xludf.DUMMYFUNCTION("""COMPUTED_VALUE"""),0.0)</f>
        <v>0</v>
      </c>
      <c r="M32" s="5">
        <f>IFERROR(__xludf.DUMMYFUNCTION("""COMPUTED_VALUE"""),500000.0)</f>
        <v>500000</v>
      </c>
      <c r="N32" s="5">
        <f>IFERROR(__xludf.DUMMYFUNCTION("""COMPUTED_VALUE"""),0.0)</f>
        <v>0</v>
      </c>
      <c r="O32" s="5">
        <f>IFERROR(__xludf.DUMMYFUNCTION("""COMPUTED_VALUE"""),500000.0)</f>
        <v>500000</v>
      </c>
      <c r="P32" s="4"/>
      <c r="Q32" s="4"/>
      <c r="R32" s="4"/>
      <c r="S32" s="3" t="str">
        <f>IFERROR(__xludf.DUMMYFUNCTION("""COMPUTED_VALUE"""),"Belum Lunas")</f>
        <v>Belum Lunas</v>
      </c>
    </row>
    <row r="33">
      <c r="A33" s="3">
        <f t="shared" si="1"/>
        <v>32</v>
      </c>
      <c r="B33" s="4" t="str">
        <f>IFERROR(__xludf.DUMMYFUNCTION("""COMPUTED_VALUE"""),"FARIKHA AULIA SALSABILLAH")</f>
        <v>FARIKHA AULIA SALSABILLAH</v>
      </c>
      <c r="C33" s="3">
        <f>IFERROR(__xludf.DUMMYFUNCTION("""COMPUTED_VALUE"""),2.024070074E9)</f>
        <v>2024070074</v>
      </c>
      <c r="D33" s="3" t="str">
        <f>IFERROR(__xludf.DUMMYFUNCTION("""COMPUTED_VALUE"""),"C")</f>
        <v>C</v>
      </c>
      <c r="E33" s="3" t="str">
        <f>IFERROR(__xludf.DUMMYFUNCTION("""COMPUTED_VALUE"""),"C-4")</f>
        <v>C-4</v>
      </c>
      <c r="F33" s="3">
        <f>IFERROR(__xludf.DUMMYFUNCTION("""COMPUTED_VALUE"""),3.0)</f>
        <v>3</v>
      </c>
      <c r="G33" s="3" t="str">
        <f>IFERROR(__xludf.DUMMYFUNCTION("""COMPUTED_VALUE"""),"3 WUSTHO B PUTRI")</f>
        <v>3 WUSTHO B PUTRI</v>
      </c>
      <c r="H33" s="3" t="str">
        <f>IFERROR(__xludf.DUMMYFUNCTION("""COMPUTED_VALUE"""),"MA-XII.3")</f>
        <v>MA-XII.3</v>
      </c>
      <c r="I33" s="4" t="str">
        <f>IFERROR(__xludf.DUMMYFUNCTION("""COMPUTED_VALUE"""),"SUNARTI")</f>
        <v>SUNARTI</v>
      </c>
      <c r="J33" s="4" t="str">
        <f>IFERROR(__xludf.DUMMYFUNCTION("""COMPUTED_VALUE"""),"WEDENG SUKOREJO RT 001 RW 003 KARANGBINANGUN LAMONGAN")</f>
        <v>WEDENG SUKOREJO RT 001 RW 003 KARANGBINANGUN LAMONGAN</v>
      </c>
      <c r="K33" s="4" t="str">
        <f>IFERROR(__xludf.DUMMYFUNCTION("""COMPUTED_VALUE"""),"6285645468404")</f>
        <v>6285645468404</v>
      </c>
      <c r="L33" s="5">
        <f>IFERROR(__xludf.DUMMYFUNCTION("""COMPUTED_VALUE"""),0.0)</f>
        <v>0</v>
      </c>
      <c r="M33" s="5">
        <f>IFERROR(__xludf.DUMMYFUNCTION("""COMPUTED_VALUE"""),500000.0)</f>
        <v>500000</v>
      </c>
      <c r="N33" s="5">
        <f>IFERROR(__xludf.DUMMYFUNCTION("""COMPUTED_VALUE"""),0.0)</f>
        <v>0</v>
      </c>
      <c r="O33" s="5">
        <f>IFERROR(__xludf.DUMMYFUNCTION("""COMPUTED_VALUE"""),500000.0)</f>
        <v>500000</v>
      </c>
      <c r="P33" s="4"/>
      <c r="Q33" s="4"/>
      <c r="R33" s="4"/>
      <c r="S33" s="3" t="str">
        <f>IFERROR(__xludf.DUMMYFUNCTION("""COMPUTED_VALUE"""),"Belum Lunas")</f>
        <v>Belum Lunas</v>
      </c>
    </row>
    <row r="34">
      <c r="A34" s="3">
        <f t="shared" si="1"/>
        <v>33</v>
      </c>
      <c r="B34" s="4" t="str">
        <f>IFERROR(__xludf.DUMMYFUNCTION("""COMPUTED_VALUE"""),"FATIMAH AZ-ZAHRAH")</f>
        <v>FATIMAH AZ-ZAHRAH</v>
      </c>
      <c r="C34" s="3">
        <f>IFERROR(__xludf.DUMMYFUNCTION("""COMPUTED_VALUE"""),2.024070507E9)</f>
        <v>2024070507</v>
      </c>
      <c r="D34" s="3" t="str">
        <f>IFERROR(__xludf.DUMMYFUNCTION("""COMPUTED_VALUE"""),"B")</f>
        <v>B</v>
      </c>
      <c r="E34" s="3" t="str">
        <f>IFERROR(__xludf.DUMMYFUNCTION("""COMPUTED_VALUE"""),"B-9")</f>
        <v>B-9</v>
      </c>
      <c r="F34" s="3">
        <f>IFERROR(__xludf.DUMMYFUNCTION("""COMPUTED_VALUE"""),3.0)</f>
        <v>3</v>
      </c>
      <c r="G34" s="3" t="str">
        <f>IFERROR(__xludf.DUMMYFUNCTION("""COMPUTED_VALUE"""),"3 ULA B PUTRI")</f>
        <v>3 ULA B PUTRI</v>
      </c>
      <c r="H34" s="3" t="str">
        <f>IFERROR(__xludf.DUMMYFUNCTION("""COMPUTED_VALUE"""),"MTS-9 H")</f>
        <v>MTS-9 H</v>
      </c>
      <c r="I34" s="4" t="str">
        <f>IFERROR(__xludf.DUMMYFUNCTION("""COMPUTED_VALUE"""),"SITI LUTHFIYAH")</f>
        <v>SITI LUTHFIYAH</v>
      </c>
      <c r="J34" s="4" t="str">
        <f>IFERROR(__xludf.DUMMYFUNCTION("""COMPUTED_VALUE"""),"SONGO SUKOSONGO RT 013 RW 006 KEMBANGBAHU LAMONGAN")</f>
        <v>SONGO SUKOSONGO RT 013 RW 006 KEMBANGBAHU LAMONGAN</v>
      </c>
      <c r="K34" s="4" t="str">
        <f>IFERROR(__xludf.DUMMYFUNCTION("""COMPUTED_VALUE"""),"6285706056735")</f>
        <v>6285706056735</v>
      </c>
      <c r="L34" s="5">
        <f>IFERROR(__xludf.DUMMYFUNCTION("""COMPUTED_VALUE"""),0.0)</f>
        <v>0</v>
      </c>
      <c r="M34" s="5">
        <f>IFERROR(__xludf.DUMMYFUNCTION("""COMPUTED_VALUE"""),500000.0)</f>
        <v>500000</v>
      </c>
      <c r="N34" s="5">
        <f>IFERROR(__xludf.DUMMYFUNCTION("""COMPUTED_VALUE"""),0.0)</f>
        <v>0</v>
      </c>
      <c r="O34" s="5">
        <f>IFERROR(__xludf.DUMMYFUNCTION("""COMPUTED_VALUE"""),500000.0)</f>
        <v>500000</v>
      </c>
      <c r="P34" s="4"/>
      <c r="Q34" s="4"/>
      <c r="R34" s="4"/>
      <c r="S34" s="3" t="str">
        <f>IFERROR(__xludf.DUMMYFUNCTION("""COMPUTED_VALUE"""),"Belum Lunas")</f>
        <v>Belum Lunas</v>
      </c>
    </row>
    <row r="35">
      <c r="A35" s="3">
        <f t="shared" si="1"/>
        <v>34</v>
      </c>
      <c r="B35" s="4" t="str">
        <f>IFERROR(__xludf.DUMMYFUNCTION("""COMPUTED_VALUE"""),"GALANG SAPUTRA")</f>
        <v>GALANG SAPUTRA</v>
      </c>
      <c r="C35" s="3">
        <f>IFERROR(__xludf.DUMMYFUNCTION("""COMPUTED_VALUE"""),2.02407073E9)</f>
        <v>2024070730</v>
      </c>
      <c r="D35" s="3" t="str">
        <f>IFERROR(__xludf.DUMMYFUNCTION("""COMPUTED_VALUE"""),"A")</f>
        <v>A</v>
      </c>
      <c r="E35" s="3" t="str">
        <f>IFERROR(__xludf.DUMMYFUNCTION("""COMPUTED_VALUE"""),"A-8")</f>
        <v>A-8</v>
      </c>
      <c r="F35" s="3">
        <f>IFERROR(__xludf.DUMMYFUNCTION("""COMPUTED_VALUE"""),3.0)</f>
        <v>3</v>
      </c>
      <c r="G35" s="3" t="str">
        <f>IFERROR(__xludf.DUMMYFUNCTION("""COMPUTED_VALUE"""),"3 ULA A PUTRA")</f>
        <v>3 ULA A PUTRA</v>
      </c>
      <c r="H35" s="3" t="str">
        <f>IFERROR(__xludf.DUMMYFUNCTION("""COMPUTED_VALUE"""),"SMP-IX A")</f>
        <v>SMP-IX A</v>
      </c>
      <c r="I35" s="4" t="str">
        <f>IFERROR(__xludf.DUMMYFUNCTION("""COMPUTED_VALUE"""),"SULIYATI")</f>
        <v>SULIYATI</v>
      </c>
      <c r="J35" s="4" t="str">
        <f>IFERROR(__xludf.DUMMYFUNCTION("""COMPUTED_VALUE"""),"DORO KARANGWEDORO RT 009 RW 003 TURI LAMONGAN")</f>
        <v>DORO KARANGWEDORO RT 009 RW 003 TURI LAMONGAN</v>
      </c>
      <c r="K35" s="4" t="str">
        <f>IFERROR(__xludf.DUMMYFUNCTION("""COMPUTED_VALUE"""),"6285756513128")</f>
        <v>6285756513128</v>
      </c>
      <c r="L35" s="5">
        <f>IFERROR(__xludf.DUMMYFUNCTION("""COMPUTED_VALUE"""),0.0)</f>
        <v>0</v>
      </c>
      <c r="M35" s="5">
        <f>IFERROR(__xludf.DUMMYFUNCTION("""COMPUTED_VALUE"""),500000.0)</f>
        <v>500000</v>
      </c>
      <c r="N35" s="5">
        <f>IFERROR(__xludf.DUMMYFUNCTION("""COMPUTED_VALUE"""),0.0)</f>
        <v>0</v>
      </c>
      <c r="O35" s="5">
        <f>IFERROR(__xludf.DUMMYFUNCTION("""COMPUTED_VALUE"""),500000.0)</f>
        <v>500000</v>
      </c>
      <c r="P35" s="4"/>
      <c r="Q35" s="4"/>
      <c r="R35" s="4"/>
      <c r="S35" s="3" t="str">
        <f>IFERROR(__xludf.DUMMYFUNCTION("""COMPUTED_VALUE"""),"Belum Lunas")</f>
        <v>Belum Lunas</v>
      </c>
    </row>
    <row r="36">
      <c r="A36" s="3">
        <f t="shared" si="1"/>
        <v>35</v>
      </c>
      <c r="B36" s="4" t="str">
        <f>IFERROR(__xludf.DUMMYFUNCTION("""COMPUTED_VALUE"""),"GHITA RAINA AZZAHRA PRIYANTO")</f>
        <v>GHITA RAINA AZZAHRA PRIYANTO</v>
      </c>
      <c r="C36" s="3">
        <f>IFERROR(__xludf.DUMMYFUNCTION("""COMPUTED_VALUE"""),2.024070636E9)</f>
        <v>2024070636</v>
      </c>
      <c r="D36" s="3" t="str">
        <f>IFERROR(__xludf.DUMMYFUNCTION("""COMPUTED_VALUE"""),"C")</f>
        <v>C</v>
      </c>
      <c r="E36" s="3" t="str">
        <f>IFERROR(__xludf.DUMMYFUNCTION("""COMPUTED_VALUE"""),"C-12")</f>
        <v>C-12</v>
      </c>
      <c r="F36" s="3">
        <f>IFERROR(__xludf.DUMMYFUNCTION("""COMPUTED_VALUE"""),3.0)</f>
        <v>3</v>
      </c>
      <c r="G36" s="3" t="str">
        <f>IFERROR(__xludf.DUMMYFUNCTION("""COMPUTED_VALUE"""),"3 ULA C PUTRI")</f>
        <v>3 ULA C PUTRI</v>
      </c>
      <c r="H36" s="3" t="str">
        <f>IFERROR(__xludf.DUMMYFUNCTION("""COMPUTED_VALUE"""),"MTS-9 H")</f>
        <v>MTS-9 H</v>
      </c>
      <c r="I36" s="4" t="str">
        <f>IFERROR(__xludf.DUMMYFUNCTION("""COMPUTED_VALUE"""),"ANIS ROHMAWATI")</f>
        <v>ANIS ROHMAWATI</v>
      </c>
      <c r="J36" s="4" t="str">
        <f>IFERROR(__xludf.DUMMYFUNCTION("""COMPUTED_VALUE"""),"TULUNG WANAR RT 004 RW 005 PUCUK LAMONGAN")</f>
        <v>TULUNG WANAR RT 004 RW 005 PUCUK LAMONGAN</v>
      </c>
      <c r="K36" s="4" t="str">
        <f>IFERROR(__xludf.DUMMYFUNCTION("""COMPUTED_VALUE"""),"6281260170147")</f>
        <v>6281260170147</v>
      </c>
      <c r="L36" s="5">
        <f>IFERROR(__xludf.DUMMYFUNCTION("""COMPUTED_VALUE"""),0.0)</f>
        <v>0</v>
      </c>
      <c r="M36" s="5">
        <f>IFERROR(__xludf.DUMMYFUNCTION("""COMPUTED_VALUE"""),500000.0)</f>
        <v>500000</v>
      </c>
      <c r="N36" s="5">
        <f>IFERROR(__xludf.DUMMYFUNCTION("""COMPUTED_VALUE"""),0.0)</f>
        <v>0</v>
      </c>
      <c r="O36" s="5">
        <f>IFERROR(__xludf.DUMMYFUNCTION("""COMPUTED_VALUE"""),500000.0)</f>
        <v>500000</v>
      </c>
      <c r="P36" s="4"/>
      <c r="Q36" s="4"/>
      <c r="R36" s="4"/>
      <c r="S36" s="3" t="str">
        <f>IFERROR(__xludf.DUMMYFUNCTION("""COMPUTED_VALUE"""),"Belum Lunas")</f>
        <v>Belum Lunas</v>
      </c>
    </row>
    <row r="37">
      <c r="A37" s="3">
        <f t="shared" si="1"/>
        <v>36</v>
      </c>
      <c r="B37" s="4" t="str">
        <f>IFERROR(__xludf.DUMMYFUNCTION("""COMPUTED_VALUE"""),"HAMDAN ALIEF")</f>
        <v>HAMDAN ALIEF</v>
      </c>
      <c r="C37" s="3">
        <f>IFERROR(__xludf.DUMMYFUNCTION("""COMPUTED_VALUE"""),2.024070663E9)</f>
        <v>2024070663</v>
      </c>
      <c r="D37" s="3" t="str">
        <f>IFERROR(__xludf.DUMMYFUNCTION("""COMPUTED_VALUE"""),"A")</f>
        <v>A</v>
      </c>
      <c r="E37" s="3" t="str">
        <f>IFERROR(__xludf.DUMMYFUNCTION("""COMPUTED_VALUE"""),"A-7")</f>
        <v>A-7</v>
      </c>
      <c r="F37" s="3">
        <f>IFERROR(__xludf.DUMMYFUNCTION("""COMPUTED_VALUE"""),3.0)</f>
        <v>3</v>
      </c>
      <c r="G37" s="3" t="str">
        <f>IFERROR(__xludf.DUMMYFUNCTION("""COMPUTED_VALUE"""),"3 ULA A PUTRA")</f>
        <v>3 ULA A PUTRA</v>
      </c>
      <c r="H37" s="3" t="str">
        <f>IFERROR(__xludf.DUMMYFUNCTION("""COMPUTED_VALUE"""),"MTS-9 D")</f>
        <v>MTS-9 D</v>
      </c>
      <c r="I37" s="4" t="str">
        <f>IFERROR(__xludf.DUMMYFUNCTION("""COMPUTED_VALUE"""),"NUR AMALAH")</f>
        <v>NUR AMALAH</v>
      </c>
      <c r="J37" s="4" t="str">
        <f>IFERROR(__xludf.DUMMYFUNCTION("""COMPUTED_VALUE"""),"SEMOLOWARU UTARA 1/31 RT 005 RW 001 SUKOLILO SURABAYA")</f>
        <v>SEMOLOWARU UTARA 1/31 RT 005 RW 001 SUKOLILO SURABAYA</v>
      </c>
      <c r="K37" s="4" t="str">
        <f>IFERROR(__xludf.DUMMYFUNCTION("""COMPUTED_VALUE"""),"6281216694589")</f>
        <v>6281216694589</v>
      </c>
      <c r="L37" s="5">
        <f>IFERROR(__xludf.DUMMYFUNCTION("""COMPUTED_VALUE"""),0.0)</f>
        <v>0</v>
      </c>
      <c r="M37" s="5">
        <f>IFERROR(__xludf.DUMMYFUNCTION("""COMPUTED_VALUE"""),500000.0)</f>
        <v>500000</v>
      </c>
      <c r="N37" s="5">
        <f>IFERROR(__xludf.DUMMYFUNCTION("""COMPUTED_VALUE"""),0.0)</f>
        <v>0</v>
      </c>
      <c r="O37" s="5">
        <f>IFERROR(__xludf.DUMMYFUNCTION("""COMPUTED_VALUE"""),500000.0)</f>
        <v>500000</v>
      </c>
      <c r="P37" s="4"/>
      <c r="Q37" s="4"/>
      <c r="R37" s="4"/>
      <c r="S37" s="3" t="str">
        <f>IFERROR(__xludf.DUMMYFUNCTION("""COMPUTED_VALUE"""),"Belum Lunas")</f>
        <v>Belum Lunas</v>
      </c>
    </row>
    <row r="38">
      <c r="A38" s="3">
        <f t="shared" si="1"/>
        <v>37</v>
      </c>
      <c r="B38" s="4" t="str">
        <f>IFERROR(__xludf.DUMMYFUNCTION("""COMPUTED_VALUE"""),"HILDA AFRILLIA SALSA FUNNY")</f>
        <v>HILDA AFRILLIA SALSA FUNNY</v>
      </c>
      <c r="C38" s="3">
        <f>IFERROR(__xludf.DUMMYFUNCTION("""COMPUTED_VALUE"""),2.024070609E9)</f>
        <v>2024070609</v>
      </c>
      <c r="D38" s="3" t="str">
        <f>IFERROR(__xludf.DUMMYFUNCTION("""COMPUTED_VALUE"""),"C")</f>
        <v>C</v>
      </c>
      <c r="E38" s="3" t="str">
        <f>IFERROR(__xludf.DUMMYFUNCTION("""COMPUTED_VALUE"""),"C-12")</f>
        <v>C-12</v>
      </c>
      <c r="F38" s="3">
        <f>IFERROR(__xludf.DUMMYFUNCTION("""COMPUTED_VALUE"""),3.0)</f>
        <v>3</v>
      </c>
      <c r="G38" s="3" t="str">
        <f>IFERROR(__xludf.DUMMYFUNCTION("""COMPUTED_VALUE"""),"3 ULA C PUTRI")</f>
        <v>3 ULA C PUTRI</v>
      </c>
      <c r="H38" s="3" t="str">
        <f>IFERROR(__xludf.DUMMYFUNCTION("""COMPUTED_VALUE"""),"MTS-9 D")</f>
        <v>MTS-9 D</v>
      </c>
      <c r="I38" s="4" t="str">
        <f>IFERROR(__xludf.DUMMYFUNCTION("""COMPUTED_VALUE"""),"SUNTIANAH")</f>
        <v>SUNTIANAH</v>
      </c>
      <c r="J38" s="4" t="str">
        <f>IFERROR(__xludf.DUMMYFUNCTION("""COMPUTED_VALUE"""),"KULURAN RT 004 RW 003 KALITENGAH LAMONGAN")</f>
        <v>KULURAN RT 004 RW 003 KALITENGAH LAMONGAN</v>
      </c>
      <c r="K38" s="4" t="str">
        <f>IFERROR(__xludf.DUMMYFUNCTION("""COMPUTED_VALUE"""),"628570216013")</f>
        <v>628570216013</v>
      </c>
      <c r="L38" s="5">
        <f>IFERROR(__xludf.DUMMYFUNCTION("""COMPUTED_VALUE"""),0.0)</f>
        <v>0</v>
      </c>
      <c r="M38" s="5">
        <f>IFERROR(__xludf.DUMMYFUNCTION("""COMPUTED_VALUE"""),500000.0)</f>
        <v>500000</v>
      </c>
      <c r="N38" s="5">
        <f>IFERROR(__xludf.DUMMYFUNCTION("""COMPUTED_VALUE"""),0.0)</f>
        <v>0</v>
      </c>
      <c r="O38" s="5">
        <f>IFERROR(__xludf.DUMMYFUNCTION("""COMPUTED_VALUE"""),500000.0)</f>
        <v>500000</v>
      </c>
      <c r="P38" s="4"/>
      <c r="Q38" s="4"/>
      <c r="R38" s="4"/>
      <c r="S38" s="3" t="str">
        <f>IFERROR(__xludf.DUMMYFUNCTION("""COMPUTED_VALUE"""),"Belum Lunas")</f>
        <v>Belum Lunas</v>
      </c>
    </row>
    <row r="39">
      <c r="A39" s="3">
        <f t="shared" si="1"/>
        <v>38</v>
      </c>
      <c r="B39" s="4" t="str">
        <f>IFERROR(__xludf.DUMMYFUNCTION("""COMPUTED_VALUE"""),"KEYSHA BRILLYAN FEBIANA")</f>
        <v>KEYSHA BRILLYAN FEBIANA</v>
      </c>
      <c r="C39" s="3">
        <f>IFERROR(__xludf.DUMMYFUNCTION("""COMPUTED_VALUE"""),2.024070513E9)</f>
        <v>2024070513</v>
      </c>
      <c r="D39" s="3" t="str">
        <f>IFERROR(__xludf.DUMMYFUNCTION("""COMPUTED_VALUE"""),"E")</f>
        <v>E</v>
      </c>
      <c r="E39" s="3" t="str">
        <f>IFERROR(__xludf.DUMMYFUNCTION("""COMPUTED_VALUE"""),"E-3")</f>
        <v>E-3</v>
      </c>
      <c r="F39" s="3">
        <f>IFERROR(__xludf.DUMMYFUNCTION("""COMPUTED_VALUE"""),3.0)</f>
        <v>3</v>
      </c>
      <c r="G39" s="3" t="str">
        <f>IFERROR(__xludf.DUMMYFUNCTION("""COMPUTED_VALUE"""),"3 ULA C PUTRI")</f>
        <v>3 ULA C PUTRI</v>
      </c>
      <c r="H39" s="3" t="str">
        <f>IFERROR(__xludf.DUMMYFUNCTION("""COMPUTED_VALUE"""),"MTS-9 G")</f>
        <v>MTS-9 G</v>
      </c>
      <c r="I39" s="4" t="str">
        <f>IFERROR(__xludf.DUMMYFUNCTION("""COMPUTED_VALUE"""),"SISKA APRILIA")</f>
        <v>SISKA APRILIA</v>
      </c>
      <c r="J39" s="4" t="str">
        <f>IFERROR(__xludf.DUMMYFUNCTION("""COMPUTED_VALUE"""),"PENGANGSALAN RT 001 RW 001 KALITENGAH LAMONGAN")</f>
        <v>PENGANGSALAN RT 001 RW 001 KALITENGAH LAMONGAN</v>
      </c>
      <c r="K39" s="4" t="str">
        <f>IFERROR(__xludf.DUMMYFUNCTION("""COMPUTED_VALUE"""),"628564039966")</f>
        <v>628564039966</v>
      </c>
      <c r="L39" s="5">
        <f>IFERROR(__xludf.DUMMYFUNCTION("""COMPUTED_VALUE"""),0.0)</f>
        <v>0</v>
      </c>
      <c r="M39" s="5">
        <f>IFERROR(__xludf.DUMMYFUNCTION("""COMPUTED_VALUE"""),500000.0)</f>
        <v>500000</v>
      </c>
      <c r="N39" s="5">
        <f>IFERROR(__xludf.DUMMYFUNCTION("""COMPUTED_VALUE"""),0.0)</f>
        <v>0</v>
      </c>
      <c r="O39" s="5">
        <f>IFERROR(__xludf.DUMMYFUNCTION("""COMPUTED_VALUE"""),500000.0)</f>
        <v>500000</v>
      </c>
      <c r="P39" s="4"/>
      <c r="Q39" s="4"/>
      <c r="R39" s="4"/>
      <c r="S39" s="3" t="str">
        <f>IFERROR(__xludf.DUMMYFUNCTION("""COMPUTED_VALUE"""),"Belum Lunas")</f>
        <v>Belum Lunas</v>
      </c>
    </row>
    <row r="40">
      <c r="A40" s="3">
        <f t="shared" si="1"/>
        <v>39</v>
      </c>
      <c r="B40" s="4" t="str">
        <f>IFERROR(__xludf.DUMMYFUNCTION("""COMPUTED_VALUE"""),"LALUNA NAYRA KAMILA")</f>
        <v>LALUNA NAYRA KAMILA</v>
      </c>
      <c r="C40" s="3">
        <f>IFERROR(__xludf.DUMMYFUNCTION("""COMPUTED_VALUE"""),2.025070425E9)</f>
        <v>2025070425</v>
      </c>
      <c r="D40" s="3" t="str">
        <f>IFERROR(__xludf.DUMMYFUNCTION("""COMPUTED_VALUE"""),"D")</f>
        <v>D</v>
      </c>
      <c r="E40" s="3" t="str">
        <f>IFERROR(__xludf.DUMMYFUNCTION("""COMPUTED_VALUE"""),"D-6")</f>
        <v>D-6</v>
      </c>
      <c r="F40" s="3">
        <f>IFERROR(__xludf.DUMMYFUNCTION("""COMPUTED_VALUE"""),3.0)</f>
        <v>3</v>
      </c>
      <c r="G40" s="3" t="str">
        <f>IFERROR(__xludf.DUMMYFUNCTION("""COMPUTED_VALUE"""),"3 WUSTHO C PUTRI")</f>
        <v>3 WUSTHO C PUTRI</v>
      </c>
      <c r="H40" s="3" t="str">
        <f>IFERROR(__xludf.DUMMYFUNCTION("""COMPUTED_VALUE"""),"MA-XII.12")</f>
        <v>MA-XII.12</v>
      </c>
      <c r="I40" s="4" t="str">
        <f>IFERROR(__xludf.DUMMYFUNCTION("""COMPUTED_VALUE"""),"ISTIADATUR RIZA")</f>
        <v>ISTIADATUR RIZA</v>
      </c>
      <c r="J40" s="4" t="str">
        <f>IFERROR(__xludf.DUMMYFUNCTION("""COMPUTED_VALUE"""),"NGILANG RT 002 RW 001 KALEN KEDUNGPRING LAMONGAN")</f>
        <v>NGILANG RT 002 RW 001 KALEN KEDUNGPRING LAMONGAN</v>
      </c>
      <c r="K40" s="4" t="str">
        <f>IFERROR(__xludf.DUMMYFUNCTION("""COMPUTED_VALUE"""),"6281331012600")</f>
        <v>6281331012600</v>
      </c>
      <c r="L40" s="5">
        <f>IFERROR(__xludf.DUMMYFUNCTION("""COMPUTED_VALUE"""),0.0)</f>
        <v>0</v>
      </c>
      <c r="M40" s="5">
        <f>IFERROR(__xludf.DUMMYFUNCTION("""COMPUTED_VALUE"""),500000.0)</f>
        <v>500000</v>
      </c>
      <c r="N40" s="5">
        <f>IFERROR(__xludf.DUMMYFUNCTION("""COMPUTED_VALUE"""),0.0)</f>
        <v>0</v>
      </c>
      <c r="O40" s="5">
        <f>IFERROR(__xludf.DUMMYFUNCTION("""COMPUTED_VALUE"""),500000.0)</f>
        <v>500000</v>
      </c>
      <c r="P40" s="4"/>
      <c r="Q40" s="4"/>
      <c r="R40" s="4"/>
      <c r="S40" s="3" t="str">
        <f>IFERROR(__xludf.DUMMYFUNCTION("""COMPUTED_VALUE"""),"Belum Lunas")</f>
        <v>Belum Lunas</v>
      </c>
    </row>
    <row r="41">
      <c r="A41" s="3">
        <f t="shared" si="1"/>
        <v>40</v>
      </c>
      <c r="B41" s="4" t="str">
        <f>IFERROR(__xludf.DUMMYFUNCTION("""COMPUTED_VALUE"""),"M. SYAHRUL BAHRI ALSYAFIK")</f>
        <v>M. SYAHRUL BAHRI ALSYAFIK</v>
      </c>
      <c r="C41" s="3">
        <f>IFERROR(__xludf.DUMMYFUNCTION("""COMPUTED_VALUE"""),2.024070628E9)</f>
        <v>2024070628</v>
      </c>
      <c r="D41" s="3" t="str">
        <f>IFERROR(__xludf.DUMMYFUNCTION("""COMPUTED_VALUE"""),"A")</f>
        <v>A</v>
      </c>
      <c r="E41" s="3" t="str">
        <f>IFERROR(__xludf.DUMMYFUNCTION("""COMPUTED_VALUE"""),"A-8")</f>
        <v>A-8</v>
      </c>
      <c r="F41" s="3">
        <f>IFERROR(__xludf.DUMMYFUNCTION("""COMPUTED_VALUE"""),3.0)</f>
        <v>3</v>
      </c>
      <c r="G41" s="3" t="str">
        <f>IFERROR(__xludf.DUMMYFUNCTION("""COMPUTED_VALUE"""),"3 ULA B PUTRA")</f>
        <v>3 ULA B PUTRA</v>
      </c>
      <c r="H41" s="3" t="str">
        <f>IFERROR(__xludf.DUMMYFUNCTION("""COMPUTED_VALUE"""),"MTS-9 E")</f>
        <v>MTS-9 E</v>
      </c>
      <c r="I41" s="4" t="str">
        <f>IFERROR(__xludf.DUMMYFUNCTION("""COMPUTED_VALUE"""),"ETIK NUR KUMALA")</f>
        <v>ETIK NUR KUMALA</v>
      </c>
      <c r="J41" s="4" t="str">
        <f>IFERROR(__xludf.DUMMYFUNCTION("""COMPUTED_VALUE"""),"PENDOWO LIMO RT 001 RW 003 KARANGBINANGUN LAMONGAN")</f>
        <v>PENDOWO LIMO RT 001 RW 003 KARANGBINANGUN LAMONGAN</v>
      </c>
      <c r="K41" s="4" t="str">
        <f>IFERROR(__xludf.DUMMYFUNCTION("""COMPUTED_VALUE"""),"6285704248674")</f>
        <v>6285704248674</v>
      </c>
      <c r="L41" s="5">
        <f>IFERROR(__xludf.DUMMYFUNCTION("""COMPUTED_VALUE"""),0.0)</f>
        <v>0</v>
      </c>
      <c r="M41" s="5">
        <f>IFERROR(__xludf.DUMMYFUNCTION("""COMPUTED_VALUE"""),500000.0)</f>
        <v>500000</v>
      </c>
      <c r="N41" s="5">
        <f>IFERROR(__xludf.DUMMYFUNCTION("""COMPUTED_VALUE"""),0.0)</f>
        <v>0</v>
      </c>
      <c r="O41" s="5">
        <f>IFERROR(__xludf.DUMMYFUNCTION("""COMPUTED_VALUE"""),500000.0)</f>
        <v>500000</v>
      </c>
      <c r="P41" s="4"/>
      <c r="Q41" s="4"/>
      <c r="R41" s="4"/>
      <c r="S41" s="3" t="str">
        <f>IFERROR(__xludf.DUMMYFUNCTION("""COMPUTED_VALUE"""),"Belum Lunas")</f>
        <v>Belum Lunas</v>
      </c>
    </row>
    <row r="42">
      <c r="A42" s="3">
        <f t="shared" si="1"/>
        <v>41</v>
      </c>
      <c r="B42" s="4" t="str">
        <f>IFERROR(__xludf.DUMMYFUNCTION("""COMPUTED_VALUE"""),"MALICHAH KAMILA ARIANI")</f>
        <v>MALICHAH KAMILA ARIANI</v>
      </c>
      <c r="C42" s="3">
        <f>IFERROR(__xludf.DUMMYFUNCTION("""COMPUTED_VALUE"""),2.024070331E9)</f>
        <v>2024070331</v>
      </c>
      <c r="D42" s="3" t="str">
        <f>IFERROR(__xludf.DUMMYFUNCTION("""COMPUTED_VALUE"""),"C")</f>
        <v>C</v>
      </c>
      <c r="E42" s="3" t="str">
        <f>IFERROR(__xludf.DUMMYFUNCTION("""COMPUTED_VALUE"""),"C-9")</f>
        <v>C-9</v>
      </c>
      <c r="F42" s="3">
        <f>IFERROR(__xludf.DUMMYFUNCTION("""COMPUTED_VALUE"""),3.0)</f>
        <v>3</v>
      </c>
      <c r="G42" s="3"/>
      <c r="H42" s="3" t="str">
        <f>IFERROR(__xludf.DUMMYFUNCTION("""COMPUTED_VALUE"""),"MA-XII.10")</f>
        <v>MA-XII.10</v>
      </c>
      <c r="I42" s="4" t="str">
        <f>IFERROR(__xludf.DUMMYFUNCTION("""COMPUTED_VALUE"""),"MACHMUDATUN NI`MAH")</f>
        <v>MACHMUDATUN NI`MAH</v>
      </c>
      <c r="J42" s="4" t="str">
        <f>IFERROR(__xludf.DUMMYFUNCTION("""COMPUTED_VALUE"""),"WONOKERTO RT 002 RW 001 DUKUN GRESIK")</f>
        <v>WONOKERTO RT 002 RW 001 DUKUN GRESIK</v>
      </c>
      <c r="K42" s="4" t="str">
        <f>IFERROR(__xludf.DUMMYFUNCTION("""COMPUTED_VALUE"""),"6285859618682")</f>
        <v>6285859618682</v>
      </c>
      <c r="L42" s="5">
        <f>IFERROR(__xludf.DUMMYFUNCTION("""COMPUTED_VALUE"""),0.0)</f>
        <v>0</v>
      </c>
      <c r="M42" s="5">
        <f>IFERROR(__xludf.DUMMYFUNCTION("""COMPUTED_VALUE"""),500000.0)</f>
        <v>500000</v>
      </c>
      <c r="N42" s="5">
        <f>IFERROR(__xludf.DUMMYFUNCTION("""COMPUTED_VALUE"""),0.0)</f>
        <v>0</v>
      </c>
      <c r="O42" s="5">
        <f>IFERROR(__xludf.DUMMYFUNCTION("""COMPUTED_VALUE"""),500000.0)</f>
        <v>500000</v>
      </c>
      <c r="P42" s="4"/>
      <c r="Q42" s="4"/>
      <c r="R42" s="4"/>
      <c r="S42" s="3" t="str">
        <f>IFERROR(__xludf.DUMMYFUNCTION("""COMPUTED_VALUE"""),"Belum Lunas")</f>
        <v>Belum Lunas</v>
      </c>
    </row>
    <row r="43">
      <c r="A43" s="3">
        <f t="shared" si="1"/>
        <v>42</v>
      </c>
      <c r="B43" s="4" t="str">
        <f>IFERROR(__xludf.DUMMYFUNCTION("""COMPUTED_VALUE"""),"MUHAMMAD ALFIN JAMIL")</f>
        <v>MUHAMMAD ALFIN JAMIL</v>
      </c>
      <c r="C43" s="3">
        <f>IFERROR(__xludf.DUMMYFUNCTION("""COMPUTED_VALUE"""),2.024070503E9)</f>
        <v>2024070503</v>
      </c>
      <c r="D43" s="3" t="str">
        <f>IFERROR(__xludf.DUMMYFUNCTION("""COMPUTED_VALUE"""),"A")</f>
        <v>A</v>
      </c>
      <c r="E43" s="3" t="str">
        <f>IFERROR(__xludf.DUMMYFUNCTION("""COMPUTED_VALUE"""),"A-7")</f>
        <v>A-7</v>
      </c>
      <c r="F43" s="3">
        <f>IFERROR(__xludf.DUMMYFUNCTION("""COMPUTED_VALUE"""),3.0)</f>
        <v>3</v>
      </c>
      <c r="G43" s="3" t="str">
        <f>IFERROR(__xludf.DUMMYFUNCTION("""COMPUTED_VALUE"""),"3 ULA A PUTRA")</f>
        <v>3 ULA A PUTRA</v>
      </c>
      <c r="H43" s="3" t="str">
        <f>IFERROR(__xludf.DUMMYFUNCTION("""COMPUTED_VALUE"""),"MTS-9 C")</f>
        <v>MTS-9 C</v>
      </c>
      <c r="I43" s="4" t="str">
        <f>IFERROR(__xludf.DUMMYFUNCTION("""COMPUTED_VALUE"""),"DAROAINI")</f>
        <v>DAROAINI</v>
      </c>
      <c r="J43" s="4" t="str">
        <f>IFERROR(__xludf.DUMMYFUNCTION("""COMPUTED_VALUE"""),"PRINGGOBOYO RT 009 RW 001 MADURAN LAMONGAN")</f>
        <v>PRINGGOBOYO RT 009 RW 001 MADURAN LAMONGAN</v>
      </c>
      <c r="K43" s="4" t="str">
        <f>IFERROR(__xludf.DUMMYFUNCTION("""COMPUTED_VALUE"""),"6281230455748")</f>
        <v>6281230455748</v>
      </c>
      <c r="L43" s="5">
        <f>IFERROR(__xludf.DUMMYFUNCTION("""COMPUTED_VALUE"""),0.0)</f>
        <v>0</v>
      </c>
      <c r="M43" s="5">
        <f>IFERROR(__xludf.DUMMYFUNCTION("""COMPUTED_VALUE"""),500000.0)</f>
        <v>500000</v>
      </c>
      <c r="N43" s="5">
        <f>IFERROR(__xludf.DUMMYFUNCTION("""COMPUTED_VALUE"""),0.0)</f>
        <v>0</v>
      </c>
      <c r="O43" s="5">
        <f>IFERROR(__xludf.DUMMYFUNCTION("""COMPUTED_VALUE"""),500000.0)</f>
        <v>500000</v>
      </c>
      <c r="P43" s="4"/>
      <c r="Q43" s="4"/>
      <c r="R43" s="4"/>
      <c r="S43" s="3" t="str">
        <f>IFERROR(__xludf.DUMMYFUNCTION("""COMPUTED_VALUE"""),"Belum Lunas")</f>
        <v>Belum Lunas</v>
      </c>
    </row>
    <row r="44">
      <c r="A44" s="3">
        <f t="shared" si="1"/>
        <v>43</v>
      </c>
      <c r="B44" s="4" t="str">
        <f>IFERROR(__xludf.DUMMYFUNCTION("""COMPUTED_VALUE"""),"MUHAMMAD FADLY HANANIA RABBANI")</f>
        <v>MUHAMMAD FADLY HANANIA RABBANI</v>
      </c>
      <c r="C44" s="3">
        <f>IFERROR(__xludf.DUMMYFUNCTION("""COMPUTED_VALUE"""),2.024070457E9)</f>
        <v>2024070457</v>
      </c>
      <c r="D44" s="3" t="str">
        <f>IFERROR(__xludf.DUMMYFUNCTION("""COMPUTED_VALUE"""),"A")</f>
        <v>A</v>
      </c>
      <c r="E44" s="3" t="str">
        <f>IFERROR(__xludf.DUMMYFUNCTION("""COMPUTED_VALUE"""),"A-8")</f>
        <v>A-8</v>
      </c>
      <c r="F44" s="3">
        <f>IFERROR(__xludf.DUMMYFUNCTION("""COMPUTED_VALUE"""),3.0)</f>
        <v>3</v>
      </c>
      <c r="G44" s="3" t="str">
        <f>IFERROR(__xludf.DUMMYFUNCTION("""COMPUTED_VALUE"""),"3 ULA A PUTRA")</f>
        <v>3 ULA A PUTRA</v>
      </c>
      <c r="H44" s="3" t="str">
        <f>IFERROR(__xludf.DUMMYFUNCTION("""COMPUTED_VALUE"""),"MTS-9 B")</f>
        <v>MTS-9 B</v>
      </c>
      <c r="I44" s="4" t="str">
        <f>IFERROR(__xludf.DUMMYFUNCTION("""COMPUTED_VALUE"""),"FITRI JULIANA")</f>
        <v>FITRI JULIANA</v>
      </c>
      <c r="J44" s="4" t="str">
        <f>IFERROR(__xludf.DUMMYFUNCTION("""COMPUTED_VALUE"""),"PERUM GRAND GRESIK HARMONI BLOK B-6/9 KEMBANGAN RT 001 RW 003 KEBOMAS GRESIK")</f>
        <v>PERUM GRAND GRESIK HARMONI BLOK B-6/9 KEMBANGAN RT 001 RW 003 KEBOMAS GRESIK</v>
      </c>
      <c r="K44" s="4" t="str">
        <f>IFERROR(__xludf.DUMMYFUNCTION("""COMPUTED_VALUE"""),"6289533798465")</f>
        <v>6289533798465</v>
      </c>
      <c r="L44" s="5">
        <f>IFERROR(__xludf.DUMMYFUNCTION("""COMPUTED_VALUE"""),0.0)</f>
        <v>0</v>
      </c>
      <c r="M44" s="5">
        <f>IFERROR(__xludf.DUMMYFUNCTION("""COMPUTED_VALUE"""),500000.0)</f>
        <v>500000</v>
      </c>
      <c r="N44" s="5">
        <f>IFERROR(__xludf.DUMMYFUNCTION("""COMPUTED_VALUE"""),0.0)</f>
        <v>0</v>
      </c>
      <c r="O44" s="5">
        <f>IFERROR(__xludf.DUMMYFUNCTION("""COMPUTED_VALUE"""),500000.0)</f>
        <v>500000</v>
      </c>
      <c r="P44" s="4"/>
      <c r="Q44" s="4"/>
      <c r="R44" s="4"/>
      <c r="S44" s="3" t="str">
        <f>IFERROR(__xludf.DUMMYFUNCTION("""COMPUTED_VALUE"""),"Belum Lunas")</f>
        <v>Belum Lunas</v>
      </c>
    </row>
    <row r="45">
      <c r="A45" s="3">
        <f t="shared" si="1"/>
        <v>44</v>
      </c>
      <c r="B45" s="4" t="str">
        <f>IFERROR(__xludf.DUMMYFUNCTION("""COMPUTED_VALUE"""),"MUHAMMAD HANIF AFIYAN")</f>
        <v>MUHAMMAD HANIF AFIYAN</v>
      </c>
      <c r="C45" s="3">
        <f>IFERROR(__xludf.DUMMYFUNCTION("""COMPUTED_VALUE"""),2.024070486E9)</f>
        <v>2024070486</v>
      </c>
      <c r="D45" s="3" t="str">
        <f>IFERROR(__xludf.DUMMYFUNCTION("""COMPUTED_VALUE"""),"A")</f>
        <v>A</v>
      </c>
      <c r="E45" s="3" t="str">
        <f>IFERROR(__xludf.DUMMYFUNCTION("""COMPUTED_VALUE"""),"A-7")</f>
        <v>A-7</v>
      </c>
      <c r="F45" s="3">
        <f>IFERROR(__xludf.DUMMYFUNCTION("""COMPUTED_VALUE"""),3.0)</f>
        <v>3</v>
      </c>
      <c r="G45" s="3" t="str">
        <f>IFERROR(__xludf.DUMMYFUNCTION("""COMPUTED_VALUE"""),"3 ULA A PUTRA")</f>
        <v>3 ULA A PUTRA</v>
      </c>
      <c r="H45" s="3" t="str">
        <f>IFERROR(__xludf.DUMMYFUNCTION("""COMPUTED_VALUE"""),"MTS-9 C")</f>
        <v>MTS-9 C</v>
      </c>
      <c r="I45" s="4" t="str">
        <f>IFERROR(__xludf.DUMMYFUNCTION("""COMPUTED_VALUE"""),"FARIDATUZ ZUHRIYAH")</f>
        <v>FARIDATUZ ZUHRIYAH</v>
      </c>
      <c r="J45" s="4" t="str">
        <f>IFERROR(__xludf.DUMMYFUNCTION("""COMPUTED_VALUE"""),"RINGIN TLOGOREJO RT 002 RW 002 SUKODADI LAMONGAN")</f>
        <v>RINGIN TLOGOREJO RT 002 RW 002 SUKODADI LAMONGAN</v>
      </c>
      <c r="K45" s="4" t="str">
        <f>IFERROR(__xludf.DUMMYFUNCTION("""COMPUTED_VALUE"""),"6285748905402")</f>
        <v>6285748905402</v>
      </c>
      <c r="L45" s="5">
        <f>IFERROR(__xludf.DUMMYFUNCTION("""COMPUTED_VALUE"""),0.0)</f>
        <v>0</v>
      </c>
      <c r="M45" s="5">
        <f>IFERROR(__xludf.DUMMYFUNCTION("""COMPUTED_VALUE"""),500000.0)</f>
        <v>500000</v>
      </c>
      <c r="N45" s="5">
        <f>IFERROR(__xludf.DUMMYFUNCTION("""COMPUTED_VALUE"""),0.0)</f>
        <v>0</v>
      </c>
      <c r="O45" s="5">
        <f>IFERROR(__xludf.DUMMYFUNCTION("""COMPUTED_VALUE"""),500000.0)</f>
        <v>500000</v>
      </c>
      <c r="P45" s="4"/>
      <c r="Q45" s="4"/>
      <c r="R45" s="4"/>
      <c r="S45" s="3" t="str">
        <f>IFERROR(__xludf.DUMMYFUNCTION("""COMPUTED_VALUE"""),"Belum Lunas")</f>
        <v>Belum Lunas</v>
      </c>
    </row>
    <row r="46">
      <c r="A46" s="3">
        <f t="shared" si="1"/>
        <v>45</v>
      </c>
      <c r="B46" s="4" t="str">
        <f>IFERROR(__xludf.DUMMYFUNCTION("""COMPUTED_VALUE"""),"MUHAMMAD RISKI MISHBAHUL MUNIR")</f>
        <v>MUHAMMAD RISKI MISHBAHUL MUNIR</v>
      </c>
      <c r="C46" s="3">
        <f>IFERROR(__xludf.DUMMYFUNCTION("""COMPUTED_VALUE"""),2.024070535E9)</f>
        <v>2024070535</v>
      </c>
      <c r="D46" s="3" t="str">
        <f>IFERROR(__xludf.DUMMYFUNCTION("""COMPUTED_VALUE"""),"A")</f>
        <v>A</v>
      </c>
      <c r="E46" s="3" t="str">
        <f>IFERROR(__xludf.DUMMYFUNCTION("""COMPUTED_VALUE"""),"A-8")</f>
        <v>A-8</v>
      </c>
      <c r="F46" s="3">
        <f>IFERROR(__xludf.DUMMYFUNCTION("""COMPUTED_VALUE"""),3.0)</f>
        <v>3</v>
      </c>
      <c r="G46" s="3" t="str">
        <f>IFERROR(__xludf.DUMMYFUNCTION("""COMPUTED_VALUE"""),"3 ULA B PUTRA")</f>
        <v>3 ULA B PUTRA</v>
      </c>
      <c r="H46" s="3" t="str">
        <f>IFERROR(__xludf.DUMMYFUNCTION("""COMPUTED_VALUE"""),"MTS-9 E")</f>
        <v>MTS-9 E</v>
      </c>
      <c r="I46" s="4" t="str">
        <f>IFERROR(__xludf.DUMMYFUNCTION("""COMPUTED_VALUE"""),"KASIYATUN")</f>
        <v>KASIYATUN</v>
      </c>
      <c r="J46" s="4" t="str">
        <f>IFERROR(__xludf.DUMMYFUNCTION("""COMPUTED_VALUE"""),"NGUJUNG NGUJUNGREJO RT 005 RW 002 TURI LAMONGAN")</f>
        <v>NGUJUNG NGUJUNGREJO RT 005 RW 002 TURI LAMONGAN</v>
      </c>
      <c r="K46" s="4" t="str">
        <f>IFERROR(__xludf.DUMMYFUNCTION("""COMPUTED_VALUE"""),"6285648380596")</f>
        <v>6285648380596</v>
      </c>
      <c r="L46" s="5">
        <f>IFERROR(__xludf.DUMMYFUNCTION("""COMPUTED_VALUE"""),0.0)</f>
        <v>0</v>
      </c>
      <c r="M46" s="5">
        <f>IFERROR(__xludf.DUMMYFUNCTION("""COMPUTED_VALUE"""),500000.0)</f>
        <v>500000</v>
      </c>
      <c r="N46" s="5">
        <f>IFERROR(__xludf.DUMMYFUNCTION("""COMPUTED_VALUE"""),0.0)</f>
        <v>0</v>
      </c>
      <c r="O46" s="5">
        <f>IFERROR(__xludf.DUMMYFUNCTION("""COMPUTED_VALUE"""),500000.0)</f>
        <v>500000</v>
      </c>
      <c r="P46" s="4"/>
      <c r="Q46" s="4"/>
      <c r="R46" s="4"/>
      <c r="S46" s="3" t="str">
        <f>IFERROR(__xludf.DUMMYFUNCTION("""COMPUTED_VALUE"""),"Belum Lunas")</f>
        <v>Belum Lunas</v>
      </c>
    </row>
    <row r="47">
      <c r="A47" s="3">
        <f t="shared" si="1"/>
        <v>46</v>
      </c>
      <c r="B47" s="4" t="str">
        <f>IFERROR(__xludf.DUMMYFUNCTION("""COMPUTED_VALUE"""),"NADIYATAN NAQI`")</f>
        <v>NADIYATAN NAQI`</v>
      </c>
      <c r="C47" s="3">
        <f>IFERROR(__xludf.DUMMYFUNCTION("""COMPUTED_VALUE"""),2.024070017E9)</f>
        <v>2024070017</v>
      </c>
      <c r="D47" s="3" t="str">
        <f>IFERROR(__xludf.DUMMYFUNCTION("""COMPUTED_VALUE"""),"C")</f>
        <v>C</v>
      </c>
      <c r="E47" s="3" t="str">
        <f>IFERROR(__xludf.DUMMYFUNCTION("""COMPUTED_VALUE"""),"C-2")</f>
        <v>C-2</v>
      </c>
      <c r="F47" s="3">
        <f>IFERROR(__xludf.DUMMYFUNCTION("""COMPUTED_VALUE"""),3.0)</f>
        <v>3</v>
      </c>
      <c r="G47" s="3"/>
      <c r="H47" s="3" t="str">
        <f>IFERROR(__xludf.DUMMYFUNCTION("""COMPUTED_VALUE"""),"MA-XII.1")</f>
        <v>MA-XII.1</v>
      </c>
      <c r="I47" s="4" t="str">
        <f>IFERROR(__xludf.DUMMYFUNCTION("""COMPUTED_VALUE"""),"YAYUK WAHIBAH")</f>
        <v>YAYUK WAHIBAH</v>
      </c>
      <c r="J47" s="4" t="str">
        <f>IFERROR(__xludf.DUMMYFUNCTION("""COMPUTED_VALUE"""),"JL. KH. WAHID HASYIM 12 KULURAN RT 001 RW 001 KALITENGAH LAMONGAN")</f>
        <v>JL. KH. WAHID HASYIM 12 KULURAN RT 001 RW 001 KALITENGAH LAMONGAN</v>
      </c>
      <c r="K47" s="4" t="str">
        <f>IFERROR(__xludf.DUMMYFUNCTION("""COMPUTED_VALUE"""),"6281331944544")</f>
        <v>6281331944544</v>
      </c>
      <c r="L47" s="5">
        <f>IFERROR(__xludf.DUMMYFUNCTION("""COMPUTED_VALUE"""),0.0)</f>
        <v>0</v>
      </c>
      <c r="M47" s="5">
        <f>IFERROR(__xludf.DUMMYFUNCTION("""COMPUTED_VALUE"""),500000.0)</f>
        <v>500000</v>
      </c>
      <c r="N47" s="5">
        <f>IFERROR(__xludf.DUMMYFUNCTION("""COMPUTED_VALUE"""),0.0)</f>
        <v>0</v>
      </c>
      <c r="O47" s="5">
        <f>IFERROR(__xludf.DUMMYFUNCTION("""COMPUTED_VALUE"""),500000.0)</f>
        <v>500000</v>
      </c>
      <c r="P47" s="4"/>
      <c r="Q47" s="4"/>
      <c r="R47" s="4"/>
      <c r="S47" s="3" t="str">
        <f>IFERROR(__xludf.DUMMYFUNCTION("""COMPUTED_VALUE"""),"Belum Lunas")</f>
        <v>Belum Lunas</v>
      </c>
    </row>
    <row r="48">
      <c r="A48" s="3">
        <f t="shared" si="1"/>
        <v>47</v>
      </c>
      <c r="B48" s="4" t="str">
        <f>IFERROR(__xludf.DUMMYFUNCTION("""COMPUTED_VALUE"""),"NAILA MALIHA PUTRI")</f>
        <v>NAILA MALIHA PUTRI</v>
      </c>
      <c r="C48" s="3">
        <f>IFERROR(__xludf.DUMMYFUNCTION("""COMPUTED_VALUE"""),2.024070161E9)</f>
        <v>2024070161</v>
      </c>
      <c r="D48" s="3" t="str">
        <f>IFERROR(__xludf.DUMMYFUNCTION("""COMPUTED_VALUE"""),"B")</f>
        <v>B</v>
      </c>
      <c r="E48" s="3" t="str">
        <f>IFERROR(__xludf.DUMMYFUNCTION("""COMPUTED_VALUE"""),"B-5")</f>
        <v>B-5</v>
      </c>
      <c r="F48" s="3">
        <f>IFERROR(__xludf.DUMMYFUNCTION("""COMPUTED_VALUE"""),3.0)</f>
        <v>3</v>
      </c>
      <c r="G48" s="3" t="str">
        <f>IFERROR(__xludf.DUMMYFUNCTION("""COMPUTED_VALUE"""),"3 WUSTHO C PUTRI")</f>
        <v>3 WUSTHO C PUTRI</v>
      </c>
      <c r="H48" s="3" t="str">
        <f>IFERROR(__xludf.DUMMYFUNCTION("""COMPUTED_VALUE"""),"MA-XII.7")</f>
        <v>MA-XII.7</v>
      </c>
      <c r="I48" s="4" t="str">
        <f>IFERROR(__xludf.DUMMYFUNCTION("""COMPUTED_VALUE"""),"KHOMSATUN")</f>
        <v>KHOMSATUN</v>
      </c>
      <c r="J48" s="4" t="str">
        <f>IFERROR(__xludf.DUMMYFUNCTION("""COMPUTED_VALUE"""),"TENGGULUN RT 006 RW 003 SOLOKURO LAMONGAN")</f>
        <v>TENGGULUN RT 006 RW 003 SOLOKURO LAMONGAN</v>
      </c>
      <c r="K48" s="4" t="str">
        <f>IFERROR(__xludf.DUMMYFUNCTION("""COMPUTED_VALUE"""),"6285804308769")</f>
        <v>6285804308769</v>
      </c>
      <c r="L48" s="5">
        <f>IFERROR(__xludf.DUMMYFUNCTION("""COMPUTED_VALUE"""),0.0)</f>
        <v>0</v>
      </c>
      <c r="M48" s="5">
        <f>IFERROR(__xludf.DUMMYFUNCTION("""COMPUTED_VALUE"""),500000.0)</f>
        <v>500000</v>
      </c>
      <c r="N48" s="5">
        <f>IFERROR(__xludf.DUMMYFUNCTION("""COMPUTED_VALUE"""),0.0)</f>
        <v>0</v>
      </c>
      <c r="O48" s="5">
        <f>IFERROR(__xludf.DUMMYFUNCTION("""COMPUTED_VALUE"""),500000.0)</f>
        <v>500000</v>
      </c>
      <c r="P48" s="4"/>
      <c r="Q48" s="4"/>
      <c r="R48" s="4"/>
      <c r="S48" s="3" t="str">
        <f>IFERROR(__xludf.DUMMYFUNCTION("""COMPUTED_VALUE"""),"Belum Lunas")</f>
        <v>Belum Lunas</v>
      </c>
    </row>
    <row r="49">
      <c r="A49" s="3">
        <f t="shared" si="1"/>
        <v>48</v>
      </c>
      <c r="B49" s="4" t="str">
        <f>IFERROR(__xludf.DUMMYFUNCTION("""COMPUTED_VALUE"""),"NAILATUN NUR LAILATUL QUDSIYAH")</f>
        <v>NAILATUN NUR LAILATUL QUDSIYAH</v>
      </c>
      <c r="C49" s="3">
        <f>IFERROR(__xludf.DUMMYFUNCTION("""COMPUTED_VALUE"""),2.024070726E9)</f>
        <v>2024070726</v>
      </c>
      <c r="D49" s="3" t="str">
        <f>IFERROR(__xludf.DUMMYFUNCTION("""COMPUTED_VALUE"""),"B")</f>
        <v>B</v>
      </c>
      <c r="E49" s="3" t="str">
        <f>IFERROR(__xludf.DUMMYFUNCTION("""COMPUTED_VALUE"""),"B-10")</f>
        <v>B-10</v>
      </c>
      <c r="F49" s="3">
        <f>IFERROR(__xludf.DUMMYFUNCTION("""COMPUTED_VALUE"""),3.0)</f>
        <v>3</v>
      </c>
      <c r="G49" s="3" t="str">
        <f>IFERROR(__xludf.DUMMYFUNCTION("""COMPUTED_VALUE"""),"3 ULA A PUTRI")</f>
        <v>3 ULA A PUTRI</v>
      </c>
      <c r="H49" s="3" t="str">
        <f>IFERROR(__xludf.DUMMYFUNCTION("""COMPUTED_VALUE"""),"SMP-IX B")</f>
        <v>SMP-IX B</v>
      </c>
      <c r="I49" s="4" t="str">
        <f>IFERROR(__xludf.DUMMYFUNCTION("""COMPUTED_VALUE"""),"HARTATIK")</f>
        <v>HARTATIK</v>
      </c>
      <c r="J49" s="4" t="str">
        <f>IFERROR(__xludf.DUMMYFUNCTION("""COMPUTED_VALUE"""),"WONOSARI SEKARBAGUS RT 003 RW 001 SUGIO LAMONGAN")</f>
        <v>WONOSARI SEKARBAGUS RT 003 RW 001 SUGIO LAMONGAN</v>
      </c>
      <c r="K49" s="4" t="str">
        <f>IFERROR(__xludf.DUMMYFUNCTION("""COMPUTED_VALUE"""),"6285785360969")</f>
        <v>6285785360969</v>
      </c>
      <c r="L49" s="5">
        <f>IFERROR(__xludf.DUMMYFUNCTION("""COMPUTED_VALUE"""),0.0)</f>
        <v>0</v>
      </c>
      <c r="M49" s="5">
        <f>IFERROR(__xludf.DUMMYFUNCTION("""COMPUTED_VALUE"""),500000.0)</f>
        <v>500000</v>
      </c>
      <c r="N49" s="5">
        <f>IFERROR(__xludf.DUMMYFUNCTION("""COMPUTED_VALUE"""),0.0)</f>
        <v>0</v>
      </c>
      <c r="O49" s="5">
        <f>IFERROR(__xludf.DUMMYFUNCTION("""COMPUTED_VALUE"""),500000.0)</f>
        <v>500000</v>
      </c>
      <c r="P49" s="4"/>
      <c r="Q49" s="4"/>
      <c r="R49" s="4"/>
      <c r="S49" s="3" t="str">
        <f>IFERROR(__xludf.DUMMYFUNCTION("""COMPUTED_VALUE"""),"Belum Lunas")</f>
        <v>Belum Lunas</v>
      </c>
    </row>
    <row r="50">
      <c r="A50" s="3">
        <f t="shared" si="1"/>
        <v>49</v>
      </c>
      <c r="B50" s="4" t="str">
        <f>IFERROR(__xludf.DUMMYFUNCTION("""COMPUTED_VALUE"""),"NIKMAH PUTRI ISMAWATI")</f>
        <v>NIKMAH PUTRI ISMAWATI</v>
      </c>
      <c r="C50" s="3">
        <f>IFERROR(__xludf.DUMMYFUNCTION("""COMPUTED_VALUE"""),2.024070432E9)</f>
        <v>2024070432</v>
      </c>
      <c r="D50" s="3" t="str">
        <f>IFERROR(__xludf.DUMMYFUNCTION("""COMPUTED_VALUE"""),"D")</f>
        <v>D</v>
      </c>
      <c r="E50" s="3" t="str">
        <f>IFERROR(__xludf.DUMMYFUNCTION("""COMPUTED_VALUE"""),"D-6")</f>
        <v>D-6</v>
      </c>
      <c r="F50" s="3">
        <f>IFERROR(__xludf.DUMMYFUNCTION("""COMPUTED_VALUE"""),3.0)</f>
        <v>3</v>
      </c>
      <c r="G50" s="3" t="str">
        <f>IFERROR(__xludf.DUMMYFUNCTION("""COMPUTED_VALUE"""),"3 MAK PUTRI")</f>
        <v>3 MAK PUTRI</v>
      </c>
      <c r="H50" s="3" t="str">
        <f>IFERROR(__xludf.DUMMYFUNCTION("""COMPUTED_VALUE"""),"MA-XII.13")</f>
        <v>MA-XII.13</v>
      </c>
      <c r="I50" s="4" t="str">
        <f>IFERROR(__xludf.DUMMYFUNCTION("""COMPUTED_VALUE"""),"RUKIYATI")</f>
        <v>RUKIYATI</v>
      </c>
      <c r="J50" s="4" t="str">
        <f>IFERROR(__xludf.DUMMYFUNCTION("""COMPUTED_VALUE"""),"TAMAN TAMANPRIJEG RT 003 RW 001 LAREN LAMONGAN")</f>
        <v>TAMAN TAMANPRIJEG RT 003 RW 001 LAREN LAMONGAN</v>
      </c>
      <c r="K50" s="4" t="str">
        <f>IFERROR(__xludf.DUMMYFUNCTION("""COMPUTED_VALUE"""),"6281455138598")</f>
        <v>6281455138598</v>
      </c>
      <c r="L50" s="5">
        <f>IFERROR(__xludf.DUMMYFUNCTION("""COMPUTED_VALUE"""),0.0)</f>
        <v>0</v>
      </c>
      <c r="M50" s="5">
        <f>IFERROR(__xludf.DUMMYFUNCTION("""COMPUTED_VALUE"""),500000.0)</f>
        <v>500000</v>
      </c>
      <c r="N50" s="5">
        <f>IFERROR(__xludf.DUMMYFUNCTION("""COMPUTED_VALUE"""),0.0)</f>
        <v>0</v>
      </c>
      <c r="O50" s="5">
        <f>IFERROR(__xludf.DUMMYFUNCTION("""COMPUTED_VALUE"""),500000.0)</f>
        <v>500000</v>
      </c>
      <c r="P50" s="4"/>
      <c r="Q50" s="4"/>
      <c r="R50" s="4"/>
      <c r="S50" s="3" t="str">
        <f>IFERROR(__xludf.DUMMYFUNCTION("""COMPUTED_VALUE"""),"Belum Lunas")</f>
        <v>Belum Lunas</v>
      </c>
    </row>
    <row r="51">
      <c r="A51" s="3">
        <f t="shared" si="1"/>
        <v>50</v>
      </c>
      <c r="B51" s="4" t="str">
        <f>IFERROR(__xludf.DUMMYFUNCTION("""COMPUTED_VALUE"""),"NINDY AULIA PUTRI")</f>
        <v>NINDY AULIA PUTRI</v>
      </c>
      <c r="C51" s="3">
        <f>IFERROR(__xludf.DUMMYFUNCTION("""COMPUTED_VALUE"""),2.024070434E9)</f>
        <v>2024070434</v>
      </c>
      <c r="D51" s="3" t="str">
        <f>IFERROR(__xludf.DUMMYFUNCTION("""COMPUTED_VALUE"""),"C")</f>
        <v>C</v>
      </c>
      <c r="E51" s="3" t="str">
        <f>IFERROR(__xludf.DUMMYFUNCTION("""COMPUTED_VALUE"""),"C-7")</f>
        <v>C-7</v>
      </c>
      <c r="F51" s="3">
        <f>IFERROR(__xludf.DUMMYFUNCTION("""COMPUTED_VALUE"""),3.0)</f>
        <v>3</v>
      </c>
      <c r="G51" s="3" t="str">
        <f>IFERROR(__xludf.DUMMYFUNCTION("""COMPUTED_VALUE"""),"3 MAK PUTRI")</f>
        <v>3 MAK PUTRI</v>
      </c>
      <c r="H51" s="3" t="str">
        <f>IFERROR(__xludf.DUMMYFUNCTION("""COMPUTED_VALUE"""),"MA-XII.13")</f>
        <v>MA-XII.13</v>
      </c>
      <c r="I51" s="4" t="str">
        <f>IFERROR(__xludf.DUMMYFUNCTION("""COMPUTED_VALUE"""),"SRI ANITA")</f>
        <v>SRI ANITA</v>
      </c>
      <c r="J51" s="4" t="str">
        <f>IFERROR(__xludf.DUMMYFUNCTION("""COMPUTED_VALUE"""),"MOROGO PUTATKUMPUL RT 003 RW 005 TURI LAMONGAN")</f>
        <v>MOROGO PUTATKUMPUL RT 003 RW 005 TURI LAMONGAN</v>
      </c>
      <c r="K51" s="4" t="str">
        <f>IFERROR(__xludf.DUMMYFUNCTION("""COMPUTED_VALUE"""),"6285732999616")</f>
        <v>6285732999616</v>
      </c>
      <c r="L51" s="5">
        <f>IFERROR(__xludf.DUMMYFUNCTION("""COMPUTED_VALUE"""),0.0)</f>
        <v>0</v>
      </c>
      <c r="M51" s="5">
        <f>IFERROR(__xludf.DUMMYFUNCTION("""COMPUTED_VALUE"""),500000.0)</f>
        <v>500000</v>
      </c>
      <c r="N51" s="5">
        <f>IFERROR(__xludf.DUMMYFUNCTION("""COMPUTED_VALUE"""),0.0)</f>
        <v>0</v>
      </c>
      <c r="O51" s="5">
        <f>IFERROR(__xludf.DUMMYFUNCTION("""COMPUTED_VALUE"""),500000.0)</f>
        <v>500000</v>
      </c>
      <c r="P51" s="4"/>
      <c r="Q51" s="4"/>
      <c r="R51" s="4"/>
      <c r="S51" s="3" t="str">
        <f>IFERROR(__xludf.DUMMYFUNCTION("""COMPUTED_VALUE"""),"Belum Lunas")</f>
        <v>Belum Lunas</v>
      </c>
    </row>
    <row r="52">
      <c r="A52" s="3">
        <f t="shared" si="1"/>
        <v>51</v>
      </c>
      <c r="B52" s="4" t="str">
        <f>IFERROR(__xludf.DUMMYFUNCTION("""COMPUTED_VALUE"""),"NUR AWWALIN AFIDATUSSOFA")</f>
        <v>NUR AWWALIN AFIDATUSSOFA</v>
      </c>
      <c r="C52" s="3">
        <f>IFERROR(__xludf.DUMMYFUNCTION("""COMPUTED_VALUE"""),2.024070518E9)</f>
        <v>2024070518</v>
      </c>
      <c r="D52" s="3" t="str">
        <f>IFERROR(__xludf.DUMMYFUNCTION("""COMPUTED_VALUE"""),"E")</f>
        <v>E</v>
      </c>
      <c r="E52" s="3" t="str">
        <f>IFERROR(__xludf.DUMMYFUNCTION("""COMPUTED_VALUE"""),"E-2")</f>
        <v>E-2</v>
      </c>
      <c r="F52" s="3">
        <f>IFERROR(__xludf.DUMMYFUNCTION("""COMPUTED_VALUE"""),3.0)</f>
        <v>3</v>
      </c>
      <c r="G52" s="3" t="str">
        <f>IFERROR(__xludf.DUMMYFUNCTION("""COMPUTED_VALUE"""),"3 ULA B PUTRI")</f>
        <v>3 ULA B PUTRI</v>
      </c>
      <c r="H52" s="3" t="str">
        <f>IFERROR(__xludf.DUMMYFUNCTION("""COMPUTED_VALUE"""),"MTS-9 B")</f>
        <v>MTS-9 B</v>
      </c>
      <c r="I52" s="4" t="str">
        <f>IFERROR(__xludf.DUMMYFUNCTION("""COMPUTED_VALUE"""),"MUALIYAH")</f>
        <v>MUALIYAH</v>
      </c>
      <c r="J52" s="4" t="str">
        <f>IFERROR(__xludf.DUMMYFUNCTION("""COMPUTED_VALUE"""),"SUNAN AMPEL LATUKAN RT 003 RW 001 KARANGGENENG LAMONGAN")</f>
        <v>SUNAN AMPEL LATUKAN RT 003 RW 001 KARANGGENENG LAMONGAN</v>
      </c>
      <c r="K52" s="4" t="str">
        <f>IFERROR(__xludf.DUMMYFUNCTION("""COMPUTED_VALUE"""),"6285746646918")</f>
        <v>6285746646918</v>
      </c>
      <c r="L52" s="5">
        <f>IFERROR(__xludf.DUMMYFUNCTION("""COMPUTED_VALUE"""),0.0)</f>
        <v>0</v>
      </c>
      <c r="M52" s="5">
        <f>IFERROR(__xludf.DUMMYFUNCTION("""COMPUTED_VALUE"""),500000.0)</f>
        <v>500000</v>
      </c>
      <c r="N52" s="5">
        <f>IFERROR(__xludf.DUMMYFUNCTION("""COMPUTED_VALUE"""),0.0)</f>
        <v>0</v>
      </c>
      <c r="O52" s="5">
        <f>IFERROR(__xludf.DUMMYFUNCTION("""COMPUTED_VALUE"""),500000.0)</f>
        <v>500000</v>
      </c>
      <c r="P52" s="4"/>
      <c r="Q52" s="4"/>
      <c r="R52" s="4"/>
      <c r="S52" s="3" t="str">
        <f>IFERROR(__xludf.DUMMYFUNCTION("""COMPUTED_VALUE"""),"Belum Lunas")</f>
        <v>Belum Lunas</v>
      </c>
    </row>
    <row r="53">
      <c r="A53" s="3">
        <f t="shared" si="1"/>
        <v>52</v>
      </c>
      <c r="B53" s="4" t="str">
        <f>IFERROR(__xludf.DUMMYFUNCTION("""COMPUTED_VALUE"""),"NUR IZZAH SYAFIRAH")</f>
        <v>NUR IZZAH SYAFIRAH</v>
      </c>
      <c r="C53" s="3">
        <f>IFERROR(__xludf.DUMMYFUNCTION("""COMPUTED_VALUE"""),2.024070234E9)</f>
        <v>2024070234</v>
      </c>
      <c r="D53" s="3" t="str">
        <f>IFERROR(__xludf.DUMMYFUNCTION("""COMPUTED_VALUE"""),"C")</f>
        <v>C</v>
      </c>
      <c r="E53" s="3" t="str">
        <f>IFERROR(__xludf.DUMMYFUNCTION("""COMPUTED_VALUE"""),"C-9")</f>
        <v>C-9</v>
      </c>
      <c r="F53" s="3">
        <f>IFERROR(__xludf.DUMMYFUNCTION("""COMPUTED_VALUE"""),3.0)</f>
        <v>3</v>
      </c>
      <c r="G53" s="3" t="str">
        <f>IFERROR(__xludf.DUMMYFUNCTION("""COMPUTED_VALUE"""),"3 WUSTHO B PUTRI")</f>
        <v>3 WUSTHO B PUTRI</v>
      </c>
      <c r="H53" s="3" t="str">
        <f>IFERROR(__xludf.DUMMYFUNCTION("""COMPUTED_VALUE"""),"MA-XII.6")</f>
        <v>MA-XII.6</v>
      </c>
      <c r="I53" s="4" t="str">
        <f>IFERROR(__xludf.DUMMYFUNCTION("""COMPUTED_VALUE"""),"UMU SAADAH")</f>
        <v>UMU SAADAH</v>
      </c>
      <c r="J53" s="4" t="str">
        <f>IFERROR(__xludf.DUMMYFUNCTION("""COMPUTED_VALUE"""),"KARANGCANGKRING RT 1 RW 1 DUKUN GRESIK")</f>
        <v>KARANGCANGKRING RT 1 RW 1 DUKUN GRESIK</v>
      </c>
      <c r="K53" s="4" t="str">
        <f>IFERROR(__xludf.DUMMYFUNCTION("""COMPUTED_VALUE"""),"6288235840830")</f>
        <v>6288235840830</v>
      </c>
      <c r="L53" s="5">
        <f>IFERROR(__xludf.DUMMYFUNCTION("""COMPUTED_VALUE"""),0.0)</f>
        <v>0</v>
      </c>
      <c r="M53" s="5">
        <f>IFERROR(__xludf.DUMMYFUNCTION("""COMPUTED_VALUE"""),500000.0)</f>
        <v>500000</v>
      </c>
      <c r="N53" s="5">
        <f>IFERROR(__xludf.DUMMYFUNCTION("""COMPUTED_VALUE"""),0.0)</f>
        <v>0</v>
      </c>
      <c r="O53" s="5">
        <f>IFERROR(__xludf.DUMMYFUNCTION("""COMPUTED_VALUE"""),500000.0)</f>
        <v>500000</v>
      </c>
      <c r="P53" s="4"/>
      <c r="Q53" s="4"/>
      <c r="R53" s="4"/>
      <c r="S53" s="3" t="str">
        <f>IFERROR(__xludf.DUMMYFUNCTION("""COMPUTED_VALUE"""),"Belum Lunas")</f>
        <v>Belum Lunas</v>
      </c>
    </row>
    <row r="54">
      <c r="A54" s="3">
        <f t="shared" si="1"/>
        <v>53</v>
      </c>
      <c r="B54" s="4" t="str">
        <f>IFERROR(__xludf.DUMMYFUNCTION("""COMPUTED_VALUE"""),"NUR MA`RIFAH")</f>
        <v>NUR MA`RIFAH</v>
      </c>
      <c r="C54" s="3">
        <f>IFERROR(__xludf.DUMMYFUNCTION("""COMPUTED_VALUE"""),2.024070578E9)</f>
        <v>2024070578</v>
      </c>
      <c r="D54" s="3" t="str">
        <f>IFERROR(__xludf.DUMMYFUNCTION("""COMPUTED_VALUE"""),"B")</f>
        <v>B</v>
      </c>
      <c r="E54" s="3" t="str">
        <f>IFERROR(__xludf.DUMMYFUNCTION("""COMPUTED_VALUE"""),"B-9")</f>
        <v>B-9</v>
      </c>
      <c r="F54" s="3">
        <f>IFERROR(__xludf.DUMMYFUNCTION("""COMPUTED_VALUE"""),3.0)</f>
        <v>3</v>
      </c>
      <c r="G54" s="3" t="str">
        <f>IFERROR(__xludf.DUMMYFUNCTION("""COMPUTED_VALUE"""),"3 ULA B PUTRI")</f>
        <v>3 ULA B PUTRI</v>
      </c>
      <c r="H54" s="3" t="str">
        <f>IFERROR(__xludf.DUMMYFUNCTION("""COMPUTED_VALUE"""),"MTS-9 G")</f>
        <v>MTS-9 G</v>
      </c>
      <c r="I54" s="4" t="str">
        <f>IFERROR(__xludf.DUMMYFUNCTION("""COMPUTED_VALUE"""),"SUMA`IDAH")</f>
        <v>SUMA`IDAH</v>
      </c>
      <c r="J54" s="4" t="str">
        <f>IFERROR(__xludf.DUMMYFUNCTION("""COMPUTED_VALUE"""),"BANJARAN TURI RT 006 RW 002 MADURAN LAMONGAN")</f>
        <v>BANJARAN TURI RT 006 RW 002 MADURAN LAMONGAN</v>
      </c>
      <c r="K54" s="4" t="str">
        <f>IFERROR(__xludf.DUMMYFUNCTION("""COMPUTED_VALUE"""),"6285730196160")</f>
        <v>6285730196160</v>
      </c>
      <c r="L54" s="5">
        <f>IFERROR(__xludf.DUMMYFUNCTION("""COMPUTED_VALUE"""),0.0)</f>
        <v>0</v>
      </c>
      <c r="M54" s="5">
        <f>IFERROR(__xludf.DUMMYFUNCTION("""COMPUTED_VALUE"""),500000.0)</f>
        <v>500000</v>
      </c>
      <c r="N54" s="5">
        <f>IFERROR(__xludf.DUMMYFUNCTION("""COMPUTED_VALUE"""),0.0)</f>
        <v>0</v>
      </c>
      <c r="O54" s="5">
        <f>IFERROR(__xludf.DUMMYFUNCTION("""COMPUTED_VALUE"""),500000.0)</f>
        <v>500000</v>
      </c>
      <c r="P54" s="4"/>
      <c r="Q54" s="4"/>
      <c r="R54" s="4"/>
      <c r="S54" s="3" t="str">
        <f>IFERROR(__xludf.DUMMYFUNCTION("""COMPUTED_VALUE"""),"Belum Lunas")</f>
        <v>Belum Lunas</v>
      </c>
    </row>
    <row r="55">
      <c r="A55" s="3">
        <f t="shared" si="1"/>
        <v>54</v>
      </c>
      <c r="B55" s="4" t="str">
        <f>IFERROR(__xludf.DUMMYFUNCTION("""COMPUTED_VALUE"""),"NUR RIZKI FEBRIAN WAHYU PUTRA")</f>
        <v>NUR RIZKI FEBRIAN WAHYU PUTRA</v>
      </c>
      <c r="C55" s="3">
        <f>IFERROR(__xludf.DUMMYFUNCTION("""COMPUTED_VALUE"""),2.024070516E9)</f>
        <v>2024070516</v>
      </c>
      <c r="D55" s="3" t="str">
        <f>IFERROR(__xludf.DUMMYFUNCTION("""COMPUTED_VALUE"""),"A")</f>
        <v>A</v>
      </c>
      <c r="E55" s="3" t="str">
        <f>IFERROR(__xludf.DUMMYFUNCTION("""COMPUTED_VALUE"""),"A-8")</f>
        <v>A-8</v>
      </c>
      <c r="F55" s="3">
        <f>IFERROR(__xludf.DUMMYFUNCTION("""COMPUTED_VALUE"""),3.0)</f>
        <v>3</v>
      </c>
      <c r="G55" s="3" t="str">
        <f>IFERROR(__xludf.DUMMYFUNCTION("""COMPUTED_VALUE"""),"3 ULA A PUTRA")</f>
        <v>3 ULA A PUTRA</v>
      </c>
      <c r="H55" s="3" t="str">
        <f>IFERROR(__xludf.DUMMYFUNCTION("""COMPUTED_VALUE"""),"SMP-IX A")</f>
        <v>SMP-IX A</v>
      </c>
      <c r="I55" s="4" t="str">
        <f>IFERROR(__xludf.DUMMYFUNCTION("""COMPUTED_VALUE"""),"NANIK SURYANI")</f>
        <v>NANIK SURYANI</v>
      </c>
      <c r="J55" s="4" t="str">
        <f>IFERROR(__xludf.DUMMYFUNCTION("""COMPUTED_VALUE"""),"BLAJO RT 005 RW 003 KALITENGAH LAMONGAN")</f>
        <v>BLAJO RT 005 RW 003 KALITENGAH LAMONGAN</v>
      </c>
      <c r="K55" s="4" t="str">
        <f>IFERROR(__xludf.DUMMYFUNCTION("""COMPUTED_VALUE"""),"6285546527780")</f>
        <v>6285546527780</v>
      </c>
      <c r="L55" s="5">
        <f>IFERROR(__xludf.DUMMYFUNCTION("""COMPUTED_VALUE"""),0.0)</f>
        <v>0</v>
      </c>
      <c r="M55" s="5">
        <f>IFERROR(__xludf.DUMMYFUNCTION("""COMPUTED_VALUE"""),500000.0)</f>
        <v>500000</v>
      </c>
      <c r="N55" s="5">
        <f>IFERROR(__xludf.DUMMYFUNCTION("""COMPUTED_VALUE"""),0.0)</f>
        <v>0</v>
      </c>
      <c r="O55" s="5">
        <f>IFERROR(__xludf.DUMMYFUNCTION("""COMPUTED_VALUE"""),500000.0)</f>
        <v>500000</v>
      </c>
      <c r="P55" s="4"/>
      <c r="Q55" s="4"/>
      <c r="R55" s="4"/>
      <c r="S55" s="3" t="str">
        <f>IFERROR(__xludf.DUMMYFUNCTION("""COMPUTED_VALUE"""),"Belum Lunas")</f>
        <v>Belum Lunas</v>
      </c>
    </row>
    <row r="56">
      <c r="A56" s="3">
        <f t="shared" si="1"/>
        <v>55</v>
      </c>
      <c r="B56" s="4" t="str">
        <f>IFERROR(__xludf.DUMMYFUNCTION("""COMPUTED_VALUE"""),"NURUN NAJWA ARROHMANIYAH")</f>
        <v>NURUN NAJWA ARROHMANIYAH</v>
      </c>
      <c r="C56" s="3">
        <f>IFERROR(__xludf.DUMMYFUNCTION("""COMPUTED_VALUE"""),2.024070119E9)</f>
        <v>2024070119</v>
      </c>
      <c r="D56" s="3" t="str">
        <f>IFERROR(__xludf.DUMMYFUNCTION("""COMPUTED_VALUE"""),"C")</f>
        <v>C</v>
      </c>
      <c r="E56" s="3" t="str">
        <f>IFERROR(__xludf.DUMMYFUNCTION("""COMPUTED_VALUE"""),"C-8")</f>
        <v>C-8</v>
      </c>
      <c r="F56" s="3">
        <f>IFERROR(__xludf.DUMMYFUNCTION("""COMPUTED_VALUE"""),3.0)</f>
        <v>3</v>
      </c>
      <c r="G56" s="3"/>
      <c r="H56" s="3" t="str">
        <f>IFERROR(__xludf.DUMMYFUNCTION("""COMPUTED_VALUE"""),"MA-XII.4")</f>
        <v>MA-XII.4</v>
      </c>
      <c r="I56" s="4" t="str">
        <f>IFERROR(__xludf.DUMMYFUNCTION("""COMPUTED_VALUE"""),"ZUBAIDAH")</f>
        <v>ZUBAIDAH</v>
      </c>
      <c r="J56" s="4" t="str">
        <f>IFERROR(__xludf.DUMMYFUNCTION("""COMPUTED_VALUE"""),"TRACAL RT 003 RW 002 KARANGGENENG LAMONGAN")</f>
        <v>TRACAL RT 003 RW 002 KARANGGENENG LAMONGAN</v>
      </c>
      <c r="K56" s="4" t="str">
        <f>IFERROR(__xludf.DUMMYFUNCTION("""COMPUTED_VALUE"""),"6285731338909")</f>
        <v>6285731338909</v>
      </c>
      <c r="L56" s="5">
        <f>IFERROR(__xludf.DUMMYFUNCTION("""COMPUTED_VALUE"""),0.0)</f>
        <v>0</v>
      </c>
      <c r="M56" s="5">
        <f>IFERROR(__xludf.DUMMYFUNCTION("""COMPUTED_VALUE"""),500000.0)</f>
        <v>500000</v>
      </c>
      <c r="N56" s="5">
        <f>IFERROR(__xludf.DUMMYFUNCTION("""COMPUTED_VALUE"""),0.0)</f>
        <v>0</v>
      </c>
      <c r="O56" s="5">
        <f>IFERROR(__xludf.DUMMYFUNCTION("""COMPUTED_VALUE"""),500000.0)</f>
        <v>500000</v>
      </c>
      <c r="P56" s="4"/>
      <c r="Q56" s="4"/>
      <c r="R56" s="4"/>
      <c r="S56" s="3" t="str">
        <f>IFERROR(__xludf.DUMMYFUNCTION("""COMPUTED_VALUE"""),"Belum Lunas")</f>
        <v>Belum Lunas</v>
      </c>
    </row>
    <row r="57">
      <c r="A57" s="3">
        <f t="shared" si="1"/>
        <v>56</v>
      </c>
      <c r="B57" s="4" t="str">
        <f>IFERROR(__xludf.DUMMYFUNCTION("""COMPUTED_VALUE"""),"RHEISYA BRILIANT OKTAVIANI")</f>
        <v>RHEISYA BRILIANT OKTAVIANI</v>
      </c>
      <c r="C57" s="3">
        <f>IFERROR(__xludf.DUMMYFUNCTION("""COMPUTED_VALUE"""),2.024070536E9)</f>
        <v>2024070536</v>
      </c>
      <c r="D57" s="3" t="str">
        <f>IFERROR(__xludf.DUMMYFUNCTION("""COMPUTED_VALUE"""),"E")</f>
        <v>E</v>
      </c>
      <c r="E57" s="3" t="str">
        <f>IFERROR(__xludf.DUMMYFUNCTION("""COMPUTED_VALUE"""),"E-9")</f>
        <v>E-9</v>
      </c>
      <c r="F57" s="3">
        <f>IFERROR(__xludf.DUMMYFUNCTION("""COMPUTED_VALUE"""),3.0)</f>
        <v>3</v>
      </c>
      <c r="G57" s="3" t="str">
        <f>IFERROR(__xludf.DUMMYFUNCTION("""COMPUTED_VALUE"""),"3 ULA C PUTRI")</f>
        <v>3 ULA C PUTRI</v>
      </c>
      <c r="H57" s="3" t="str">
        <f>IFERROR(__xludf.DUMMYFUNCTION("""COMPUTED_VALUE"""),"MTS-9 A")</f>
        <v>MTS-9 A</v>
      </c>
      <c r="I57" s="4" t="str">
        <f>IFERROR(__xludf.DUMMYFUNCTION("""COMPUTED_VALUE"""),"SITI QONIATIN NADZIROH")</f>
        <v>SITI QONIATIN NADZIROH</v>
      </c>
      <c r="J57" s="4" t="str">
        <f>IFERROR(__xludf.DUMMYFUNCTION("""COMPUTED_VALUE"""),"DAMPIT SUMBEREJO RT 001 RW 004 LAMONGAN LAMONGAN")</f>
        <v>DAMPIT SUMBEREJO RT 001 RW 004 LAMONGAN LAMONGAN</v>
      </c>
      <c r="K57" s="4" t="str">
        <f>IFERROR(__xludf.DUMMYFUNCTION("""COMPUTED_VALUE"""),"6289535203055")</f>
        <v>6289535203055</v>
      </c>
      <c r="L57" s="5">
        <f>IFERROR(__xludf.DUMMYFUNCTION("""COMPUTED_VALUE"""),0.0)</f>
        <v>0</v>
      </c>
      <c r="M57" s="5">
        <f>IFERROR(__xludf.DUMMYFUNCTION("""COMPUTED_VALUE"""),500000.0)</f>
        <v>500000</v>
      </c>
      <c r="N57" s="5">
        <f>IFERROR(__xludf.DUMMYFUNCTION("""COMPUTED_VALUE"""),0.0)</f>
        <v>0</v>
      </c>
      <c r="O57" s="5">
        <f>IFERROR(__xludf.DUMMYFUNCTION("""COMPUTED_VALUE"""),500000.0)</f>
        <v>500000</v>
      </c>
      <c r="P57" s="4"/>
      <c r="Q57" s="4"/>
      <c r="R57" s="4"/>
      <c r="S57" s="3" t="str">
        <f>IFERROR(__xludf.DUMMYFUNCTION("""COMPUTED_VALUE"""),"Belum Lunas")</f>
        <v>Belum Lunas</v>
      </c>
    </row>
    <row r="58">
      <c r="A58" s="3">
        <f t="shared" si="1"/>
        <v>57</v>
      </c>
      <c r="B58" s="4" t="str">
        <f>IFERROR(__xludf.DUMMYFUNCTION("""COMPUTED_VALUE"""),"RIZATUL ZAMIRA ATMAJA")</f>
        <v>RIZATUL ZAMIRA ATMAJA</v>
      </c>
      <c r="C58" s="3">
        <f>IFERROR(__xludf.DUMMYFUNCTION("""COMPUTED_VALUE"""),2.024070493E9)</f>
        <v>2024070493</v>
      </c>
      <c r="D58" s="3" t="str">
        <f>IFERROR(__xludf.DUMMYFUNCTION("""COMPUTED_VALUE"""),"C")</f>
        <v>C</v>
      </c>
      <c r="E58" s="3" t="str">
        <f>IFERROR(__xludf.DUMMYFUNCTION("""COMPUTED_VALUE"""),"C-13")</f>
        <v>C-13</v>
      </c>
      <c r="F58" s="3">
        <f>IFERROR(__xludf.DUMMYFUNCTION("""COMPUTED_VALUE"""),3.0)</f>
        <v>3</v>
      </c>
      <c r="G58" s="3" t="str">
        <f>IFERROR(__xludf.DUMMYFUNCTION("""COMPUTED_VALUE"""),"3 ULA C PUTRI")</f>
        <v>3 ULA C PUTRI</v>
      </c>
      <c r="H58" s="3" t="str">
        <f>IFERROR(__xludf.DUMMYFUNCTION("""COMPUTED_VALUE"""),"MTS-9 D")</f>
        <v>MTS-9 D</v>
      </c>
      <c r="I58" s="4" t="str">
        <f>IFERROR(__xludf.DUMMYFUNCTION("""COMPUTED_VALUE"""),"ELI ROCHIANAH")</f>
        <v>ELI ROCHIANAH</v>
      </c>
      <c r="J58" s="4" t="str">
        <f>IFERROR(__xludf.DUMMYFUNCTION("""COMPUTED_VALUE"""),"BANJARMADU RT 001 RW 004 KARANGGENENG LAMONGAN")</f>
        <v>BANJARMADU RT 001 RW 004 KARANGGENENG LAMONGAN</v>
      </c>
      <c r="K58" s="4" t="str">
        <f>IFERROR(__xludf.DUMMYFUNCTION("""COMPUTED_VALUE"""),"6285234346480")</f>
        <v>6285234346480</v>
      </c>
      <c r="L58" s="5">
        <f>IFERROR(__xludf.DUMMYFUNCTION("""COMPUTED_VALUE"""),0.0)</f>
        <v>0</v>
      </c>
      <c r="M58" s="5">
        <f>IFERROR(__xludf.DUMMYFUNCTION("""COMPUTED_VALUE"""),500000.0)</f>
        <v>500000</v>
      </c>
      <c r="N58" s="5">
        <f>IFERROR(__xludf.DUMMYFUNCTION("""COMPUTED_VALUE"""),0.0)</f>
        <v>0</v>
      </c>
      <c r="O58" s="5">
        <f>IFERROR(__xludf.DUMMYFUNCTION("""COMPUTED_VALUE"""),500000.0)</f>
        <v>500000</v>
      </c>
      <c r="P58" s="4"/>
      <c r="Q58" s="4"/>
      <c r="R58" s="4"/>
      <c r="S58" s="3" t="str">
        <f>IFERROR(__xludf.DUMMYFUNCTION("""COMPUTED_VALUE"""),"Belum Lunas")</f>
        <v>Belum Lunas</v>
      </c>
    </row>
    <row r="59">
      <c r="A59" s="3">
        <f t="shared" si="1"/>
        <v>58</v>
      </c>
      <c r="B59" s="4" t="str">
        <f>IFERROR(__xludf.DUMMYFUNCTION("""COMPUTED_VALUE"""),"SELLY NOVI ANDINI")</f>
        <v>SELLY NOVI ANDINI</v>
      </c>
      <c r="C59" s="3">
        <f>IFERROR(__xludf.DUMMYFUNCTION("""COMPUTED_VALUE"""),2.024070727E9)</f>
        <v>2024070727</v>
      </c>
      <c r="D59" s="3" t="str">
        <f>IFERROR(__xludf.DUMMYFUNCTION("""COMPUTED_VALUE"""),"B")</f>
        <v>B</v>
      </c>
      <c r="E59" s="3" t="str">
        <f>IFERROR(__xludf.DUMMYFUNCTION("""COMPUTED_VALUE"""),"B-10")</f>
        <v>B-10</v>
      </c>
      <c r="F59" s="3">
        <f>IFERROR(__xludf.DUMMYFUNCTION("""COMPUTED_VALUE"""),3.0)</f>
        <v>3</v>
      </c>
      <c r="G59" s="3" t="str">
        <f>IFERROR(__xludf.DUMMYFUNCTION("""COMPUTED_VALUE"""),"3 ULA A PUTRI")</f>
        <v>3 ULA A PUTRI</v>
      </c>
      <c r="H59" s="3" t="str">
        <f>IFERROR(__xludf.DUMMYFUNCTION("""COMPUTED_VALUE"""),"SMP-IX B")</f>
        <v>SMP-IX B</v>
      </c>
      <c r="I59" s="4" t="str">
        <f>IFERROR(__xludf.DUMMYFUNCTION("""COMPUTED_VALUE"""),"ELI KUSUMAWATI")</f>
        <v>ELI KUSUMAWATI</v>
      </c>
      <c r="J59" s="4" t="str">
        <f>IFERROR(__xludf.DUMMYFUNCTION("""COMPUTED_VALUE"""),"PUCANGRO RT 001 RW 001 KALITENGAH LAMONGAN")</f>
        <v>PUCANGRO RT 001 RW 001 KALITENGAH LAMONGAN</v>
      </c>
      <c r="K59" s="4" t="str">
        <f>IFERROR(__xludf.DUMMYFUNCTION("""COMPUTED_VALUE"""),"6285788313508")</f>
        <v>6285788313508</v>
      </c>
      <c r="L59" s="5">
        <f>IFERROR(__xludf.DUMMYFUNCTION("""COMPUTED_VALUE"""),0.0)</f>
        <v>0</v>
      </c>
      <c r="M59" s="5">
        <f>IFERROR(__xludf.DUMMYFUNCTION("""COMPUTED_VALUE"""),500000.0)</f>
        <v>500000</v>
      </c>
      <c r="N59" s="5">
        <f>IFERROR(__xludf.DUMMYFUNCTION("""COMPUTED_VALUE"""),0.0)</f>
        <v>0</v>
      </c>
      <c r="O59" s="5">
        <f>IFERROR(__xludf.DUMMYFUNCTION("""COMPUTED_VALUE"""),500000.0)</f>
        <v>500000</v>
      </c>
      <c r="P59" s="4"/>
      <c r="Q59" s="4"/>
      <c r="R59" s="4"/>
      <c r="S59" s="3" t="str">
        <f>IFERROR(__xludf.DUMMYFUNCTION("""COMPUTED_VALUE"""),"Belum Lunas")</f>
        <v>Belum Lunas</v>
      </c>
    </row>
    <row r="60">
      <c r="A60" s="3">
        <f t="shared" si="1"/>
        <v>59</v>
      </c>
      <c r="B60" s="4" t="str">
        <f>IFERROR(__xludf.DUMMYFUNCTION("""COMPUTED_VALUE"""),"AHMAD AGUS JAZULI IRFAN")</f>
        <v>AHMAD AGUS JAZULI IRFAN</v>
      </c>
      <c r="C60" s="3">
        <f>IFERROR(__xludf.DUMMYFUNCTION("""COMPUTED_VALUE"""),2.024070719E9)</f>
        <v>2024070719</v>
      </c>
      <c r="D60" s="3" t="str">
        <f>IFERROR(__xludf.DUMMYFUNCTION("""COMPUTED_VALUE"""),"A")</f>
        <v>A</v>
      </c>
      <c r="E60" s="3" t="str">
        <f>IFERROR(__xludf.DUMMYFUNCTION("""COMPUTED_VALUE"""),"A-10")</f>
        <v>A-10</v>
      </c>
      <c r="F60" s="3">
        <f>IFERROR(__xludf.DUMMYFUNCTION("""COMPUTED_VALUE"""),3.0)</f>
        <v>3</v>
      </c>
      <c r="G60" s="3" t="str">
        <f>IFERROR(__xludf.DUMMYFUNCTION("""COMPUTED_VALUE"""),"3 WUSTHO PUTRA")</f>
        <v>3 WUSTHO PUTRA</v>
      </c>
      <c r="H60" s="3" t="str">
        <f>IFERROR(__xludf.DUMMYFUNCTION("""COMPUTED_VALUE"""),"SMK-XII TKJ 1")</f>
        <v>SMK-XII TKJ 1</v>
      </c>
      <c r="I60" s="4" t="str">
        <f>IFERROR(__xludf.DUMMYFUNCTION("""COMPUTED_VALUE"""),"IMROATIN JALILAH")</f>
        <v>IMROATIN JALILAH</v>
      </c>
      <c r="J60" s="4" t="str">
        <f>IFERROR(__xludf.DUMMYFUNCTION("""COMPUTED_VALUE"""),"BOJOASRI RT  RW  KALITENGAH LAMONGAN")</f>
        <v>BOJOASRI RT  RW  KALITENGAH LAMONGAN</v>
      </c>
      <c r="K60" s="4" t="str">
        <f>IFERROR(__xludf.DUMMYFUNCTION("""COMPUTED_VALUE"""),"6285648607075")</f>
        <v>6285648607075</v>
      </c>
      <c r="L60" s="5">
        <f>IFERROR(__xludf.DUMMYFUNCTION("""COMPUTED_VALUE"""),900000.0)</f>
        <v>900000</v>
      </c>
      <c r="M60" s="5">
        <f>IFERROR(__xludf.DUMMYFUNCTION("""COMPUTED_VALUE"""),0.0)</f>
        <v>0</v>
      </c>
      <c r="N60" s="5">
        <f>IFERROR(__xludf.DUMMYFUNCTION("""COMPUTED_VALUE"""),0.0)</f>
        <v>0</v>
      </c>
      <c r="O60" s="5">
        <f>IFERROR(__xludf.DUMMYFUNCTION("""COMPUTED_VALUE"""),900000.0)</f>
        <v>900000</v>
      </c>
      <c r="P60" s="4"/>
      <c r="Q60" s="4"/>
      <c r="R60" s="4"/>
      <c r="S60" s="3" t="str">
        <f>IFERROR(__xludf.DUMMYFUNCTION("""COMPUTED_VALUE"""),"Belum Lunas")</f>
        <v>Belum Lunas</v>
      </c>
    </row>
    <row r="61">
      <c r="A61" s="3">
        <f t="shared" si="1"/>
        <v>60</v>
      </c>
      <c r="B61" s="4" t="str">
        <f>IFERROR(__xludf.DUMMYFUNCTION("""COMPUTED_VALUE"""),"BELLA KAMALIA AISYI")</f>
        <v>BELLA KAMALIA AISYI</v>
      </c>
      <c r="C61" s="3">
        <f>IFERROR(__xludf.DUMMYFUNCTION("""COMPUTED_VALUE"""),2.024070595E9)</f>
        <v>2024070595</v>
      </c>
      <c r="D61" s="3" t="str">
        <f>IFERROR(__xludf.DUMMYFUNCTION("""COMPUTED_VALUE"""),"D")</f>
        <v>D</v>
      </c>
      <c r="E61" s="3" t="str">
        <f>IFERROR(__xludf.DUMMYFUNCTION("""COMPUTED_VALUE"""),"D-4")</f>
        <v>D-4</v>
      </c>
      <c r="F61" s="3">
        <f>IFERROR(__xludf.DUMMYFUNCTION("""COMPUTED_VALUE"""),3.0)</f>
        <v>3</v>
      </c>
      <c r="G61" s="3" t="str">
        <f>IFERROR(__xludf.DUMMYFUNCTION("""COMPUTED_VALUE"""),"3 ULA A PUTRI")</f>
        <v>3 ULA A PUTRI</v>
      </c>
      <c r="H61" s="3" t="str">
        <f>IFERROR(__xludf.DUMMYFUNCTION("""COMPUTED_VALUE"""),"MTS-9 D")</f>
        <v>MTS-9 D</v>
      </c>
      <c r="I61" s="4" t="str">
        <f>IFERROR(__xludf.DUMMYFUNCTION("""COMPUTED_VALUE"""),"ITA DESI HERFIANA")</f>
        <v>ITA DESI HERFIANA</v>
      </c>
      <c r="J61" s="4" t="str">
        <f>IFERROR(__xludf.DUMMYFUNCTION("""COMPUTED_VALUE"""),"BANYUBANG RT 002 RW 001 SOLOKURO LAMONGAN")</f>
        <v>BANYUBANG RT 002 RW 001 SOLOKURO LAMONGAN</v>
      </c>
      <c r="K61" s="4" t="str">
        <f>IFERROR(__xludf.DUMMYFUNCTION("""COMPUTED_VALUE"""),"6281555999169")</f>
        <v>6281555999169</v>
      </c>
      <c r="L61" s="5">
        <f>IFERROR(__xludf.DUMMYFUNCTION("""COMPUTED_VALUE"""),900000.0)</f>
        <v>900000</v>
      </c>
      <c r="M61" s="5">
        <f>IFERROR(__xludf.DUMMYFUNCTION("""COMPUTED_VALUE"""),0.0)</f>
        <v>0</v>
      </c>
      <c r="N61" s="5">
        <f>IFERROR(__xludf.DUMMYFUNCTION("""COMPUTED_VALUE"""),0.0)</f>
        <v>0</v>
      </c>
      <c r="O61" s="5">
        <f>IFERROR(__xludf.DUMMYFUNCTION("""COMPUTED_VALUE"""),900000.0)</f>
        <v>900000</v>
      </c>
      <c r="P61" s="4"/>
      <c r="Q61" s="4"/>
      <c r="R61" s="4"/>
      <c r="S61" s="3" t="str">
        <f>IFERROR(__xludf.DUMMYFUNCTION("""COMPUTED_VALUE"""),"Belum Lunas")</f>
        <v>Belum Lunas</v>
      </c>
    </row>
    <row r="62">
      <c r="A62" s="3">
        <f t="shared" si="1"/>
        <v>61</v>
      </c>
      <c r="B62" s="4" t="str">
        <f>IFERROR(__xludf.DUMMYFUNCTION("""COMPUTED_VALUE"""),"DZULFIKAR KEIMAL ALAWY")</f>
        <v>DZULFIKAR KEIMAL ALAWY</v>
      </c>
      <c r="C62" s="3">
        <f>IFERROR(__xludf.DUMMYFUNCTION("""COMPUTED_VALUE"""),2.025070661E9)</f>
        <v>2025070661</v>
      </c>
      <c r="D62" s="3" t="str">
        <f>IFERROR(__xludf.DUMMYFUNCTION("""COMPUTED_VALUE"""),"A")</f>
        <v>A</v>
      </c>
      <c r="E62" s="3" t="str">
        <f>IFERROR(__xludf.DUMMYFUNCTION("""COMPUTED_VALUE"""),"A-10")</f>
        <v>A-10</v>
      </c>
      <c r="F62" s="3">
        <f>IFERROR(__xludf.DUMMYFUNCTION("""COMPUTED_VALUE"""),3.0)</f>
        <v>3</v>
      </c>
      <c r="G62" s="3" t="str">
        <f>IFERROR(__xludf.DUMMYFUNCTION("""COMPUTED_VALUE"""),"3 ULA A PUTRA")</f>
        <v>3 ULA A PUTRA</v>
      </c>
      <c r="H62" s="3" t="str">
        <f>IFERROR(__xludf.DUMMYFUNCTION("""COMPUTED_VALUE"""),"MTS-9 C")</f>
        <v>MTS-9 C</v>
      </c>
      <c r="I62" s="4" t="str">
        <f>IFERROR(__xludf.DUMMYFUNCTION("""COMPUTED_VALUE"""),"MAHFUDLOTIN NI`MAH")</f>
        <v>MAHFUDLOTIN NI`MAH</v>
      </c>
      <c r="J62" s="4" t="str">
        <f>IFERROR(__xludf.DUMMYFUNCTION("""COMPUTED_VALUE"""),"GEDONGKEDOAN RT 002 RW 001 DUKUN GRESIK")</f>
        <v>GEDONGKEDOAN RT 002 RW 001 DUKUN GRESIK</v>
      </c>
      <c r="K62" s="4" t="str">
        <f>IFERROR(__xludf.DUMMYFUNCTION("""COMPUTED_VALUE"""),"6285738157018")</f>
        <v>6285738157018</v>
      </c>
      <c r="L62" s="5">
        <f>IFERROR(__xludf.DUMMYFUNCTION("""COMPUTED_VALUE"""),900000.0)</f>
        <v>900000</v>
      </c>
      <c r="M62" s="5">
        <f>IFERROR(__xludf.DUMMYFUNCTION("""COMPUTED_VALUE"""),0.0)</f>
        <v>0</v>
      </c>
      <c r="N62" s="5">
        <f>IFERROR(__xludf.DUMMYFUNCTION("""COMPUTED_VALUE"""),0.0)</f>
        <v>0</v>
      </c>
      <c r="O62" s="5">
        <f>IFERROR(__xludf.DUMMYFUNCTION("""COMPUTED_VALUE"""),900000.0)</f>
        <v>900000</v>
      </c>
      <c r="P62" s="4"/>
      <c r="Q62" s="4"/>
      <c r="R62" s="4"/>
      <c r="S62" s="3" t="str">
        <f>IFERROR(__xludf.DUMMYFUNCTION("""COMPUTED_VALUE"""),"Belum Lunas")</f>
        <v>Belum Lunas</v>
      </c>
    </row>
    <row r="63">
      <c r="A63" s="3">
        <f t="shared" si="1"/>
        <v>62</v>
      </c>
      <c r="B63" s="4" t="str">
        <f>IFERROR(__xludf.DUMMYFUNCTION("""COMPUTED_VALUE"""),"FAIQOTU NABILA")</f>
        <v>FAIQOTU NABILA</v>
      </c>
      <c r="C63" s="3">
        <f>IFERROR(__xludf.DUMMYFUNCTION("""COMPUTED_VALUE"""),2.024070346E9)</f>
        <v>2024070346</v>
      </c>
      <c r="D63" s="3" t="str">
        <f>IFERROR(__xludf.DUMMYFUNCTION("""COMPUTED_VALUE"""),"C")</f>
        <v>C</v>
      </c>
      <c r="E63" s="3" t="str">
        <f>IFERROR(__xludf.DUMMYFUNCTION("""COMPUTED_VALUE"""),"C-9")</f>
        <v>C-9</v>
      </c>
      <c r="F63" s="3">
        <f>IFERROR(__xludf.DUMMYFUNCTION("""COMPUTED_VALUE"""),3.0)</f>
        <v>3</v>
      </c>
      <c r="G63" s="3"/>
      <c r="H63" s="3" t="str">
        <f>IFERROR(__xludf.DUMMYFUNCTION("""COMPUTED_VALUE"""),"MA-XII.11")</f>
        <v>MA-XII.11</v>
      </c>
      <c r="I63" s="4" t="str">
        <f>IFERROR(__xludf.DUMMYFUNCTION("""COMPUTED_VALUE"""),"KASMUDAH")</f>
        <v>KASMUDAH</v>
      </c>
      <c r="J63" s="4" t="str">
        <f>IFERROR(__xludf.DUMMYFUNCTION("""COMPUTED_VALUE"""),"WEDENG SUKOREJO RT 001 RW 003 KARANGBINANGUNG LAMONGAN")</f>
        <v>WEDENG SUKOREJO RT 001 RW 003 KARANGBINANGUNG LAMONGAN</v>
      </c>
      <c r="K63" s="4" t="str">
        <f>IFERROR(__xludf.DUMMYFUNCTION("""COMPUTED_VALUE"""),"6285791219990")</f>
        <v>6285791219990</v>
      </c>
      <c r="L63" s="5">
        <f>IFERROR(__xludf.DUMMYFUNCTION("""COMPUTED_VALUE"""),900000.0)</f>
        <v>900000</v>
      </c>
      <c r="M63" s="5">
        <f>IFERROR(__xludf.DUMMYFUNCTION("""COMPUTED_VALUE"""),0.0)</f>
        <v>0</v>
      </c>
      <c r="N63" s="5">
        <f>IFERROR(__xludf.DUMMYFUNCTION("""COMPUTED_VALUE"""),0.0)</f>
        <v>0</v>
      </c>
      <c r="O63" s="5">
        <f>IFERROR(__xludf.DUMMYFUNCTION("""COMPUTED_VALUE"""),900000.0)</f>
        <v>900000</v>
      </c>
      <c r="P63" s="4"/>
      <c r="Q63" s="4"/>
      <c r="R63" s="4"/>
      <c r="S63" s="3" t="str">
        <f>IFERROR(__xludf.DUMMYFUNCTION("""COMPUTED_VALUE"""),"Belum Lunas")</f>
        <v>Belum Lunas</v>
      </c>
    </row>
    <row r="64">
      <c r="A64" s="3">
        <f t="shared" si="1"/>
        <v>63</v>
      </c>
      <c r="B64" s="4" t="str">
        <f>IFERROR(__xludf.DUMMYFUNCTION("""COMPUTED_VALUE"""),"ISMAUL HUSNAH")</f>
        <v>ISMAUL HUSNAH</v>
      </c>
      <c r="C64" s="3">
        <f>IFERROR(__xludf.DUMMYFUNCTION("""COMPUTED_VALUE"""),2.024070704E9)</f>
        <v>2024070704</v>
      </c>
      <c r="D64" s="3" t="str">
        <f>IFERROR(__xludf.DUMMYFUNCTION("""COMPUTED_VALUE"""),"C")</f>
        <v>C</v>
      </c>
      <c r="E64" s="3" t="str">
        <f>IFERROR(__xludf.DUMMYFUNCTION("""COMPUTED_VALUE"""),"C-8")</f>
        <v>C-8</v>
      </c>
      <c r="F64" s="3">
        <f>IFERROR(__xludf.DUMMYFUNCTION("""COMPUTED_VALUE"""),3.0)</f>
        <v>3</v>
      </c>
      <c r="G64" s="3" t="str">
        <f>IFERROR(__xludf.DUMMYFUNCTION("""COMPUTED_VALUE"""),"3 WUSTHO A PUTRI")</f>
        <v>3 WUSTHO A PUTRI</v>
      </c>
      <c r="H64" s="3" t="str">
        <f>IFERROR(__xludf.DUMMYFUNCTION("""COMPUTED_VALUE"""),"SMK-XII LPb")</f>
        <v>SMK-XII LPb</v>
      </c>
      <c r="I64" s="4" t="str">
        <f>IFERROR(__xludf.DUMMYFUNCTION("""COMPUTED_VALUE"""),"AMINAH")</f>
        <v>AMINAH</v>
      </c>
      <c r="J64" s="4" t="str">
        <f>IFERROR(__xludf.DUMMYFUNCTION("""COMPUTED_VALUE"""),"KLATING TAKERANKLATING RT 002 RW 001 TIKUNG LAMONGAN")</f>
        <v>KLATING TAKERANKLATING RT 002 RW 001 TIKUNG LAMONGAN</v>
      </c>
      <c r="K64" s="4" t="str">
        <f>IFERROR(__xludf.DUMMYFUNCTION("""COMPUTED_VALUE"""),"6285604656734")</f>
        <v>6285604656734</v>
      </c>
      <c r="L64" s="5">
        <f>IFERROR(__xludf.DUMMYFUNCTION("""COMPUTED_VALUE"""),900000.0)</f>
        <v>900000</v>
      </c>
      <c r="M64" s="5">
        <f>IFERROR(__xludf.DUMMYFUNCTION("""COMPUTED_VALUE"""),0.0)</f>
        <v>0</v>
      </c>
      <c r="N64" s="5">
        <f>IFERROR(__xludf.DUMMYFUNCTION("""COMPUTED_VALUE"""),0.0)</f>
        <v>0</v>
      </c>
      <c r="O64" s="5">
        <f>IFERROR(__xludf.DUMMYFUNCTION("""COMPUTED_VALUE"""),900000.0)</f>
        <v>900000</v>
      </c>
      <c r="P64" s="4"/>
      <c r="Q64" s="4"/>
      <c r="R64" s="4"/>
      <c r="S64" s="3" t="str">
        <f>IFERROR(__xludf.DUMMYFUNCTION("""COMPUTED_VALUE"""),"Belum Lunas")</f>
        <v>Belum Lunas</v>
      </c>
    </row>
    <row r="65">
      <c r="A65" s="3">
        <f t="shared" si="1"/>
        <v>64</v>
      </c>
      <c r="B65" s="4" t="str">
        <f>IFERROR(__xludf.DUMMYFUNCTION("""COMPUTED_VALUE"""),"MEIRZA TRISNA DWI ANDINI")</f>
        <v>MEIRZA TRISNA DWI ANDINI</v>
      </c>
      <c r="C65" s="3">
        <f>IFERROR(__xludf.DUMMYFUNCTION("""COMPUTED_VALUE"""),2.024070732E9)</f>
        <v>2024070732</v>
      </c>
      <c r="D65" s="3" t="str">
        <f>IFERROR(__xludf.DUMMYFUNCTION("""COMPUTED_VALUE"""),"C")</f>
        <v>C</v>
      </c>
      <c r="E65" s="3" t="str">
        <f>IFERROR(__xludf.DUMMYFUNCTION("""COMPUTED_VALUE"""),"C-3")</f>
        <v>C-3</v>
      </c>
      <c r="F65" s="3">
        <f>IFERROR(__xludf.DUMMYFUNCTION("""COMPUTED_VALUE"""),3.0)</f>
        <v>3</v>
      </c>
      <c r="G65" s="3" t="str">
        <f>IFERROR(__xludf.DUMMYFUNCTION("""COMPUTED_VALUE"""),"3 ULA C PUTRI")</f>
        <v>3 ULA C PUTRI</v>
      </c>
      <c r="H65" s="3" t="str">
        <f>IFERROR(__xludf.DUMMYFUNCTION("""COMPUTED_VALUE"""),"SMP-IX C")</f>
        <v>SMP-IX C</v>
      </c>
      <c r="I65" s="4" t="str">
        <f>IFERROR(__xludf.DUMMYFUNCTION("""COMPUTED_VALUE"""),"NUR HIDAYATI")</f>
        <v>NUR HIDAYATI</v>
      </c>
      <c r="J65" s="4" t="str">
        <f>IFERROR(__xludf.DUMMYFUNCTION("""COMPUTED_VALUE"""),"KEDIREN RT 001 RW 002 KALITENGAH LAMONGAN")</f>
        <v>KEDIREN RT 001 RW 002 KALITENGAH LAMONGAN</v>
      </c>
      <c r="K65" s="4" t="str">
        <f>IFERROR(__xludf.DUMMYFUNCTION("""COMPUTED_VALUE"""),"6285815031286")</f>
        <v>6285815031286</v>
      </c>
      <c r="L65" s="5">
        <f>IFERROR(__xludf.DUMMYFUNCTION("""COMPUTED_VALUE"""),900000.0)</f>
        <v>900000</v>
      </c>
      <c r="M65" s="5">
        <f>IFERROR(__xludf.DUMMYFUNCTION("""COMPUTED_VALUE"""),0.0)</f>
        <v>0</v>
      </c>
      <c r="N65" s="5">
        <f>IFERROR(__xludf.DUMMYFUNCTION("""COMPUTED_VALUE"""),0.0)</f>
        <v>0</v>
      </c>
      <c r="O65" s="5">
        <f>IFERROR(__xludf.DUMMYFUNCTION("""COMPUTED_VALUE"""),900000.0)</f>
        <v>900000</v>
      </c>
      <c r="P65" s="4"/>
      <c r="Q65" s="4"/>
      <c r="R65" s="4"/>
      <c r="S65" s="3" t="str">
        <f>IFERROR(__xludf.DUMMYFUNCTION("""COMPUTED_VALUE"""),"Belum Lunas")</f>
        <v>Belum Lunas</v>
      </c>
    </row>
    <row r="66">
      <c r="A66" s="3">
        <f t="shared" si="1"/>
        <v>65</v>
      </c>
      <c r="B66" s="4" t="str">
        <f>IFERROR(__xludf.DUMMYFUNCTION("""COMPUTED_VALUE"""),"ALFIYAN NADA FIRDAUS")</f>
        <v>ALFIYAN NADA FIRDAUS</v>
      </c>
      <c r="C66" s="3">
        <f>IFERROR(__xludf.DUMMYFUNCTION("""COMPUTED_VALUE"""),2.024070566E9)</f>
        <v>2024070566</v>
      </c>
      <c r="D66" s="3" t="str">
        <f>IFERROR(__xludf.DUMMYFUNCTION("""COMPUTED_VALUE"""),"A")</f>
        <v>A</v>
      </c>
      <c r="E66" s="3" t="str">
        <f>IFERROR(__xludf.DUMMYFUNCTION("""COMPUTED_VALUE"""),"A-13")</f>
        <v>A-13</v>
      </c>
      <c r="F66" s="3">
        <f>IFERROR(__xludf.DUMMYFUNCTION("""COMPUTED_VALUE"""),3.0)</f>
        <v>3</v>
      </c>
      <c r="G66" s="3"/>
      <c r="H66" s="3" t="str">
        <f>IFERROR(__xludf.DUMMYFUNCTION("""COMPUTED_VALUE"""),"MTS-9 A")</f>
        <v>MTS-9 A</v>
      </c>
      <c r="I66" s="4" t="str">
        <f>IFERROR(__xludf.DUMMYFUNCTION("""COMPUTED_VALUE"""),"KHUSNIYAH")</f>
        <v>KHUSNIYAH</v>
      </c>
      <c r="J66" s="4" t="str">
        <f>IFERROR(__xludf.DUMMYFUNCTION("""COMPUTED_VALUE"""),"BANGO PAYAMAN RT 004 RW 015 SOLOKURO LAMONGAN")</f>
        <v>BANGO PAYAMAN RT 004 RW 015 SOLOKURO LAMONGAN</v>
      </c>
      <c r="K66" s="4" t="str">
        <f>IFERROR(__xludf.DUMMYFUNCTION("""COMPUTED_VALUE"""),"6285733111734")</f>
        <v>6285733111734</v>
      </c>
      <c r="L66" s="5">
        <f>IFERROR(__xludf.DUMMYFUNCTION("""COMPUTED_VALUE"""),410000.0)</f>
        <v>410000</v>
      </c>
      <c r="M66" s="5">
        <f>IFERROR(__xludf.DUMMYFUNCTION("""COMPUTED_VALUE"""),500000.0)</f>
        <v>500000</v>
      </c>
      <c r="N66" s="5">
        <f>IFERROR(__xludf.DUMMYFUNCTION("""COMPUTED_VALUE"""),0.0)</f>
        <v>0</v>
      </c>
      <c r="O66" s="5">
        <f>IFERROR(__xludf.DUMMYFUNCTION("""COMPUTED_VALUE"""),910000.0)</f>
        <v>910000</v>
      </c>
      <c r="P66" s="4"/>
      <c r="Q66" s="4"/>
      <c r="R66" s="4"/>
      <c r="S66" s="3" t="str">
        <f>IFERROR(__xludf.DUMMYFUNCTION("""COMPUTED_VALUE"""),"Belum Lunas")</f>
        <v>Belum Lunas</v>
      </c>
    </row>
    <row r="67">
      <c r="A67" s="3">
        <f t="shared" si="1"/>
        <v>66</v>
      </c>
      <c r="B67" s="4" t="str">
        <f>IFERROR(__xludf.DUMMYFUNCTION("""COMPUTED_VALUE"""),"ADELIAH PUTRI FEBRIANI")</f>
        <v>ADELIAH PUTRI FEBRIANI</v>
      </c>
      <c r="C67" s="3">
        <f>IFERROR(__xludf.DUMMYFUNCTION("""COMPUTED_VALUE"""),2.024070735E9)</f>
        <v>2024070735</v>
      </c>
      <c r="D67" s="3" t="str">
        <f>IFERROR(__xludf.DUMMYFUNCTION("""COMPUTED_VALUE"""),"B")</f>
        <v>B</v>
      </c>
      <c r="E67" s="3" t="str">
        <f>IFERROR(__xludf.DUMMYFUNCTION("""COMPUTED_VALUE"""),"B-9")</f>
        <v>B-9</v>
      </c>
      <c r="F67" s="3">
        <f>IFERROR(__xludf.DUMMYFUNCTION("""COMPUTED_VALUE"""),3.0)</f>
        <v>3</v>
      </c>
      <c r="G67" s="3" t="str">
        <f>IFERROR(__xludf.DUMMYFUNCTION("""COMPUTED_VALUE"""),"3 ULA C PUTRI")</f>
        <v>3 ULA C PUTRI</v>
      </c>
      <c r="H67" s="3" t="str">
        <f>IFERROR(__xludf.DUMMYFUNCTION("""COMPUTED_VALUE"""),"SMP-IX C")</f>
        <v>SMP-IX C</v>
      </c>
      <c r="I67" s="4" t="str">
        <f>IFERROR(__xludf.DUMMYFUNCTION("""COMPUTED_VALUE"""),"NASHOHAH")</f>
        <v>NASHOHAH</v>
      </c>
      <c r="J67" s="4" t="str">
        <f>IFERROR(__xludf.DUMMYFUNCTION("""COMPUTED_VALUE"""),"DORO KARANGWEDORO RT 001 RW 001 TURI LAMONGAN")</f>
        <v>DORO KARANGWEDORO RT 001 RW 001 TURI LAMONGAN</v>
      </c>
      <c r="K67" s="4" t="str">
        <f>IFERROR(__xludf.DUMMYFUNCTION("""COMPUTED_VALUE"""),"6285706603124")</f>
        <v>6285706603124</v>
      </c>
      <c r="L67" s="5">
        <f>IFERROR(__xludf.DUMMYFUNCTION("""COMPUTED_VALUE"""),450000.0)</f>
        <v>450000</v>
      </c>
      <c r="M67" s="5">
        <f>IFERROR(__xludf.DUMMYFUNCTION("""COMPUTED_VALUE"""),500000.0)</f>
        <v>500000</v>
      </c>
      <c r="N67" s="5">
        <f>IFERROR(__xludf.DUMMYFUNCTION("""COMPUTED_VALUE"""),0.0)</f>
        <v>0</v>
      </c>
      <c r="O67" s="5">
        <f>IFERROR(__xludf.DUMMYFUNCTION("""COMPUTED_VALUE"""),950000.0)</f>
        <v>950000</v>
      </c>
      <c r="P67" s="4"/>
      <c r="Q67" s="4"/>
      <c r="R67" s="4"/>
      <c r="S67" s="3" t="str">
        <f>IFERROR(__xludf.DUMMYFUNCTION("""COMPUTED_VALUE"""),"Belum Lunas")</f>
        <v>Belum Lunas</v>
      </c>
    </row>
    <row r="68">
      <c r="A68" s="3">
        <f t="shared" si="1"/>
        <v>67</v>
      </c>
      <c r="B68" s="4" t="str">
        <f>IFERROR(__xludf.DUMMYFUNCTION("""COMPUTED_VALUE"""),"AININ QORIROH UMMU SALWA")</f>
        <v>AININ QORIROH UMMU SALWA</v>
      </c>
      <c r="C68" s="3">
        <f>IFERROR(__xludf.DUMMYFUNCTION("""COMPUTED_VALUE"""),2.024070338E9)</f>
        <v>2024070338</v>
      </c>
      <c r="D68" s="3" t="str">
        <f>IFERROR(__xludf.DUMMYFUNCTION("""COMPUTED_VALUE"""),"C")</f>
        <v>C</v>
      </c>
      <c r="E68" s="3" t="str">
        <f>IFERROR(__xludf.DUMMYFUNCTION("""COMPUTED_VALUE"""),"C-8")</f>
        <v>C-8</v>
      </c>
      <c r="F68" s="3">
        <f>IFERROR(__xludf.DUMMYFUNCTION("""COMPUTED_VALUE"""),3.0)</f>
        <v>3</v>
      </c>
      <c r="G68" s="3" t="str">
        <f>IFERROR(__xludf.DUMMYFUNCTION("""COMPUTED_VALUE"""),"3 WUSTHO C PUTRI")</f>
        <v>3 WUSTHO C PUTRI</v>
      </c>
      <c r="H68" s="3" t="str">
        <f>IFERROR(__xludf.DUMMYFUNCTION("""COMPUTED_VALUE"""),"MA-XII.11")</f>
        <v>MA-XII.11</v>
      </c>
      <c r="I68" s="4" t="str">
        <f>IFERROR(__xludf.DUMMYFUNCTION("""COMPUTED_VALUE"""),"NUR JANNAH")</f>
        <v>NUR JANNAH</v>
      </c>
      <c r="J68" s="4" t="str">
        <f>IFERROR(__xludf.DUMMYFUNCTION("""COMPUTED_VALUE"""),"PLOSO BUDEN RT 003 RW 003 DEKET LAMONGAN")</f>
        <v>PLOSO BUDEN RT 003 RW 003 DEKET LAMONGAN</v>
      </c>
      <c r="K68" s="4" t="str">
        <f>IFERROR(__xludf.DUMMYFUNCTION("""COMPUTED_VALUE"""),"6287844690419")</f>
        <v>6287844690419</v>
      </c>
      <c r="L68" s="5">
        <f>IFERROR(__xludf.DUMMYFUNCTION("""COMPUTED_VALUE"""),450000.0)</f>
        <v>450000</v>
      </c>
      <c r="M68" s="5">
        <f>IFERROR(__xludf.DUMMYFUNCTION("""COMPUTED_VALUE"""),500000.0)</f>
        <v>500000</v>
      </c>
      <c r="N68" s="5">
        <f>IFERROR(__xludf.DUMMYFUNCTION("""COMPUTED_VALUE"""),0.0)</f>
        <v>0</v>
      </c>
      <c r="O68" s="5">
        <f>IFERROR(__xludf.DUMMYFUNCTION("""COMPUTED_VALUE"""),950000.0)</f>
        <v>950000</v>
      </c>
      <c r="P68" s="4"/>
      <c r="Q68" s="4"/>
      <c r="R68" s="4"/>
      <c r="S68" s="3" t="str">
        <f>IFERROR(__xludf.DUMMYFUNCTION("""COMPUTED_VALUE"""),"Belum Lunas")</f>
        <v>Belum Lunas</v>
      </c>
    </row>
    <row r="69">
      <c r="A69" s="3">
        <f t="shared" si="1"/>
        <v>68</v>
      </c>
      <c r="B69" s="4" t="str">
        <f>IFERROR(__xludf.DUMMYFUNCTION("""COMPUTED_VALUE"""),"ALVELLYTA APRILIA KIRANA")</f>
        <v>ALVELLYTA APRILIA KIRANA</v>
      </c>
      <c r="C69" s="3">
        <f>IFERROR(__xludf.DUMMYFUNCTION("""COMPUTED_VALUE"""),2.024070527E9)</f>
        <v>2024070527</v>
      </c>
      <c r="D69" s="3" t="str">
        <f>IFERROR(__xludf.DUMMYFUNCTION("""COMPUTED_VALUE"""),"C")</f>
        <v>C</v>
      </c>
      <c r="E69" s="3" t="str">
        <f>IFERROR(__xludf.DUMMYFUNCTION("""COMPUTED_VALUE"""),"C-12")</f>
        <v>C-12</v>
      </c>
      <c r="F69" s="3">
        <f>IFERROR(__xludf.DUMMYFUNCTION("""COMPUTED_VALUE"""),3.0)</f>
        <v>3</v>
      </c>
      <c r="G69" s="3"/>
      <c r="H69" s="3" t="str">
        <f>IFERROR(__xludf.DUMMYFUNCTION("""COMPUTED_VALUE"""),"MTS-9 C")</f>
        <v>MTS-9 C</v>
      </c>
      <c r="I69" s="4" t="str">
        <f>IFERROR(__xludf.DUMMYFUNCTION("""COMPUTED_VALUE"""),"ITA NURO")</f>
        <v>ITA NURO</v>
      </c>
      <c r="J69" s="4" t="str">
        <f>IFERROR(__xludf.DUMMYFUNCTION("""COMPUTED_VALUE"""),"KRAJAN SUKOBENDU RT 002 RW 001 MANTUP LAMONGAN")</f>
        <v>KRAJAN SUKOBENDU RT 002 RW 001 MANTUP LAMONGAN</v>
      </c>
      <c r="K69" s="4" t="str">
        <f>IFERROR(__xludf.DUMMYFUNCTION("""COMPUTED_VALUE"""),"6281537636395")</f>
        <v>6281537636395</v>
      </c>
      <c r="L69" s="5">
        <f>IFERROR(__xludf.DUMMYFUNCTION("""COMPUTED_VALUE"""),450000.0)</f>
        <v>450000</v>
      </c>
      <c r="M69" s="5">
        <f>IFERROR(__xludf.DUMMYFUNCTION("""COMPUTED_VALUE"""),500000.0)</f>
        <v>500000</v>
      </c>
      <c r="N69" s="5">
        <f>IFERROR(__xludf.DUMMYFUNCTION("""COMPUTED_VALUE"""),0.0)</f>
        <v>0</v>
      </c>
      <c r="O69" s="5">
        <f>IFERROR(__xludf.DUMMYFUNCTION("""COMPUTED_VALUE"""),950000.0)</f>
        <v>950000</v>
      </c>
      <c r="P69" s="4"/>
      <c r="Q69" s="4"/>
      <c r="R69" s="4"/>
      <c r="S69" s="3" t="str">
        <f>IFERROR(__xludf.DUMMYFUNCTION("""COMPUTED_VALUE"""),"Belum Lunas")</f>
        <v>Belum Lunas</v>
      </c>
    </row>
    <row r="70">
      <c r="A70" s="3">
        <f t="shared" si="1"/>
        <v>69</v>
      </c>
      <c r="B70" s="4" t="str">
        <f>IFERROR(__xludf.DUMMYFUNCTION("""COMPUTED_VALUE"""),"DESTIYA NUR LAILI")</f>
        <v>DESTIYA NUR LAILI</v>
      </c>
      <c r="C70" s="3">
        <f>IFERROR(__xludf.DUMMYFUNCTION("""COMPUTED_VALUE"""),2.024070758E9)</f>
        <v>2024070758</v>
      </c>
      <c r="D70" s="3" t="str">
        <f>IFERROR(__xludf.DUMMYFUNCTION("""COMPUTED_VALUE"""),"B")</f>
        <v>B</v>
      </c>
      <c r="E70" s="3" t="str">
        <f>IFERROR(__xludf.DUMMYFUNCTION("""COMPUTED_VALUE"""),"B-9")</f>
        <v>B-9</v>
      </c>
      <c r="F70" s="3">
        <f>IFERROR(__xludf.DUMMYFUNCTION("""COMPUTED_VALUE"""),3.0)</f>
        <v>3</v>
      </c>
      <c r="G70" s="3" t="str">
        <f>IFERROR(__xludf.DUMMYFUNCTION("""COMPUTED_VALUE"""),"3 ULA B PUTRI")</f>
        <v>3 ULA B PUTRI</v>
      </c>
      <c r="H70" s="3" t="str">
        <f>IFERROR(__xludf.DUMMYFUNCTION("""COMPUTED_VALUE"""),"SMP-IX C")</f>
        <v>SMP-IX C</v>
      </c>
      <c r="I70" s="4" t="str">
        <f>IFERROR(__xludf.DUMMYFUNCTION("""COMPUTED_VALUE"""),"LUTFI NUR ROHMAWATI")</f>
        <v>LUTFI NUR ROHMAWATI</v>
      </c>
      <c r="J70" s="4" t="str">
        <f>IFERROR(__xludf.DUMMYFUNCTION("""COMPUTED_VALUE"""),"LERAN BARU KEYONGAN RT 003 RW 006 BABAT LAMONGAN")</f>
        <v>LERAN BARU KEYONGAN RT 003 RW 006 BABAT LAMONGAN</v>
      </c>
      <c r="K70" s="4" t="str">
        <f>IFERROR(__xludf.DUMMYFUNCTION("""COMPUTED_VALUE"""),"6285745740702")</f>
        <v>6285745740702</v>
      </c>
      <c r="L70" s="5">
        <f>IFERROR(__xludf.DUMMYFUNCTION("""COMPUTED_VALUE"""),450000.0)</f>
        <v>450000</v>
      </c>
      <c r="M70" s="5">
        <f>IFERROR(__xludf.DUMMYFUNCTION("""COMPUTED_VALUE"""),500000.0)</f>
        <v>500000</v>
      </c>
      <c r="N70" s="5">
        <f>IFERROR(__xludf.DUMMYFUNCTION("""COMPUTED_VALUE"""),0.0)</f>
        <v>0</v>
      </c>
      <c r="O70" s="5">
        <f>IFERROR(__xludf.DUMMYFUNCTION("""COMPUTED_VALUE"""),950000.0)</f>
        <v>950000</v>
      </c>
      <c r="P70" s="4"/>
      <c r="Q70" s="4"/>
      <c r="R70" s="4"/>
      <c r="S70" s="3" t="str">
        <f>IFERROR(__xludf.DUMMYFUNCTION("""COMPUTED_VALUE"""),"Belum Lunas")</f>
        <v>Belum Lunas</v>
      </c>
    </row>
    <row r="71">
      <c r="A71" s="3">
        <f t="shared" si="1"/>
        <v>70</v>
      </c>
      <c r="B71" s="4" t="str">
        <f>IFERROR(__xludf.DUMMYFUNCTION("""COMPUTED_VALUE"""),"JANEETA EMIRA SHABRIYA")</f>
        <v>JANEETA EMIRA SHABRIYA</v>
      </c>
      <c r="C71" s="3">
        <f>IFERROR(__xludf.DUMMYFUNCTION("""COMPUTED_VALUE"""),2.024070521E9)</f>
        <v>2024070521</v>
      </c>
      <c r="D71" s="3" t="str">
        <f>IFERROR(__xludf.DUMMYFUNCTION("""COMPUTED_VALUE"""),"D")</f>
        <v>D</v>
      </c>
      <c r="E71" s="3" t="str">
        <f>IFERROR(__xludf.DUMMYFUNCTION("""COMPUTED_VALUE"""),"D-4")</f>
        <v>D-4</v>
      </c>
      <c r="F71" s="3">
        <f>IFERROR(__xludf.DUMMYFUNCTION("""COMPUTED_VALUE"""),3.0)</f>
        <v>3</v>
      </c>
      <c r="G71" s="3" t="str">
        <f>IFERROR(__xludf.DUMMYFUNCTION("""COMPUTED_VALUE"""),"3 ULA B PUTRI")</f>
        <v>3 ULA B PUTRI</v>
      </c>
      <c r="H71" s="3" t="str">
        <f>IFERROR(__xludf.DUMMYFUNCTION("""COMPUTED_VALUE"""),"MTS-9 B")</f>
        <v>MTS-9 B</v>
      </c>
      <c r="I71" s="4" t="str">
        <f>IFERROR(__xludf.DUMMYFUNCTION("""COMPUTED_VALUE"""),"AINI ZAHIDAH")</f>
        <v>AINI ZAHIDAH</v>
      </c>
      <c r="J71" s="4" t="str">
        <f>IFERROR(__xludf.DUMMYFUNCTION("""COMPUTED_VALUE"""),"SUMURBER RT 010 RW 003 PANCENG GRESIK")</f>
        <v>SUMURBER RT 010 RW 003 PANCENG GRESIK</v>
      </c>
      <c r="K71" s="4" t="str">
        <f>IFERROR(__xludf.DUMMYFUNCTION("""COMPUTED_VALUE"""),"628563173399")</f>
        <v>628563173399</v>
      </c>
      <c r="L71" s="5">
        <f>IFERROR(__xludf.DUMMYFUNCTION("""COMPUTED_VALUE"""),450000.0)</f>
        <v>450000</v>
      </c>
      <c r="M71" s="5">
        <f>IFERROR(__xludf.DUMMYFUNCTION("""COMPUTED_VALUE"""),500000.0)</f>
        <v>500000</v>
      </c>
      <c r="N71" s="5">
        <f>IFERROR(__xludf.DUMMYFUNCTION("""COMPUTED_VALUE"""),0.0)</f>
        <v>0</v>
      </c>
      <c r="O71" s="5">
        <f>IFERROR(__xludf.DUMMYFUNCTION("""COMPUTED_VALUE"""),950000.0)</f>
        <v>950000</v>
      </c>
      <c r="P71" s="4"/>
      <c r="Q71" s="4"/>
      <c r="R71" s="4"/>
      <c r="S71" s="3" t="str">
        <f>IFERROR(__xludf.DUMMYFUNCTION("""COMPUTED_VALUE"""),"Belum Lunas")</f>
        <v>Belum Lunas</v>
      </c>
    </row>
    <row r="72">
      <c r="A72" s="3">
        <f t="shared" si="1"/>
        <v>71</v>
      </c>
      <c r="B72" s="4" t="str">
        <f>IFERROR(__xludf.DUMMYFUNCTION("""COMPUTED_VALUE"""),"KURNIA MUFIDATUL FATIHAH")</f>
        <v>KURNIA MUFIDATUL FATIHAH</v>
      </c>
      <c r="C72" s="3">
        <f>IFERROR(__xludf.DUMMYFUNCTION("""COMPUTED_VALUE"""),2.024070641E9)</f>
        <v>2024070641</v>
      </c>
      <c r="D72" s="3" t="str">
        <f>IFERROR(__xludf.DUMMYFUNCTION("""COMPUTED_VALUE"""),"B")</f>
        <v>B</v>
      </c>
      <c r="E72" s="3" t="str">
        <f>IFERROR(__xludf.DUMMYFUNCTION("""COMPUTED_VALUE"""),"B-9")</f>
        <v>B-9</v>
      </c>
      <c r="F72" s="3">
        <f>IFERROR(__xludf.DUMMYFUNCTION("""COMPUTED_VALUE"""),3.0)</f>
        <v>3</v>
      </c>
      <c r="G72" s="3" t="str">
        <f>IFERROR(__xludf.DUMMYFUNCTION("""COMPUTED_VALUE"""),"3 ULA B PUTRI")</f>
        <v>3 ULA B PUTRI</v>
      </c>
      <c r="H72" s="3" t="str">
        <f>IFERROR(__xludf.DUMMYFUNCTION("""COMPUTED_VALUE"""),"MTS-9 G")</f>
        <v>MTS-9 G</v>
      </c>
      <c r="I72" s="4" t="str">
        <f>IFERROR(__xludf.DUMMYFUNCTION("""COMPUTED_VALUE"""),"FARIHATUS SHOLIHAH")</f>
        <v>FARIHATUS SHOLIHAH</v>
      </c>
      <c r="J72" s="4" t="str">
        <f>IFERROR(__xludf.DUMMYFUNCTION("""COMPUTED_VALUE"""),"BOJOASRI RT 005 RW 002 KALITENGAH LAMONGAN")</f>
        <v>BOJOASRI RT 005 RW 002 KALITENGAH LAMONGAN</v>
      </c>
      <c r="K72" s="4" t="str">
        <f>IFERROR(__xludf.DUMMYFUNCTION("""COMPUTED_VALUE"""),"6285748349331")</f>
        <v>6285748349331</v>
      </c>
      <c r="L72" s="5">
        <f>IFERROR(__xludf.DUMMYFUNCTION("""COMPUTED_VALUE"""),450000.0)</f>
        <v>450000</v>
      </c>
      <c r="M72" s="5">
        <f>IFERROR(__xludf.DUMMYFUNCTION("""COMPUTED_VALUE"""),500000.0)</f>
        <v>500000</v>
      </c>
      <c r="N72" s="5">
        <f>IFERROR(__xludf.DUMMYFUNCTION("""COMPUTED_VALUE"""),0.0)</f>
        <v>0</v>
      </c>
      <c r="O72" s="5">
        <f>IFERROR(__xludf.DUMMYFUNCTION("""COMPUTED_VALUE"""),950000.0)</f>
        <v>950000</v>
      </c>
      <c r="P72" s="4"/>
      <c r="Q72" s="4"/>
      <c r="R72" s="4"/>
      <c r="S72" s="3" t="str">
        <f>IFERROR(__xludf.DUMMYFUNCTION("""COMPUTED_VALUE"""),"Belum Lunas")</f>
        <v>Belum Lunas</v>
      </c>
    </row>
    <row r="73">
      <c r="A73" s="3">
        <f t="shared" si="1"/>
        <v>72</v>
      </c>
      <c r="B73" s="4" t="str">
        <f>IFERROR(__xludf.DUMMYFUNCTION("""COMPUTED_VALUE"""),"M. RADIFQI ALFARISTY")</f>
        <v>M. RADIFQI ALFARISTY</v>
      </c>
      <c r="C73" s="3">
        <f>IFERROR(__xludf.DUMMYFUNCTION("""COMPUTED_VALUE"""),2.024070747E9)</f>
        <v>2024070747</v>
      </c>
      <c r="D73" s="3" t="str">
        <f>IFERROR(__xludf.DUMMYFUNCTION("""COMPUTED_VALUE"""),"A")</f>
        <v>A</v>
      </c>
      <c r="E73" s="3" t="str">
        <f>IFERROR(__xludf.DUMMYFUNCTION("""COMPUTED_VALUE"""),"A-8")</f>
        <v>A-8</v>
      </c>
      <c r="F73" s="3">
        <f>IFERROR(__xludf.DUMMYFUNCTION("""COMPUTED_VALUE"""),3.0)</f>
        <v>3</v>
      </c>
      <c r="G73" s="3" t="str">
        <f>IFERROR(__xludf.DUMMYFUNCTION("""COMPUTED_VALUE"""),"3 ULA A PUTRA")</f>
        <v>3 ULA A PUTRA</v>
      </c>
      <c r="H73" s="3" t="str">
        <f>IFERROR(__xludf.DUMMYFUNCTION("""COMPUTED_VALUE"""),"SMP-IX C")</f>
        <v>SMP-IX C</v>
      </c>
      <c r="I73" s="4" t="str">
        <f>IFERROR(__xludf.DUMMYFUNCTION("""COMPUTED_VALUE"""),"KUSNAWATI")</f>
        <v>KUSNAWATI</v>
      </c>
      <c r="J73" s="4" t="str">
        <f>IFERROR(__xludf.DUMMYFUNCTION("""COMPUTED_VALUE"""),"DORO KARANGWEDORO RT 001 RW 001 TURI LAMONGAN")</f>
        <v>DORO KARANGWEDORO RT 001 RW 001 TURI LAMONGAN</v>
      </c>
      <c r="K73" s="4" t="str">
        <f>IFERROR(__xludf.DUMMYFUNCTION("""COMPUTED_VALUE"""),"6285649740556")</f>
        <v>6285649740556</v>
      </c>
      <c r="L73" s="5">
        <f>IFERROR(__xludf.DUMMYFUNCTION("""COMPUTED_VALUE"""),450000.0)</f>
        <v>450000</v>
      </c>
      <c r="M73" s="5">
        <f>IFERROR(__xludf.DUMMYFUNCTION("""COMPUTED_VALUE"""),500000.0)</f>
        <v>500000</v>
      </c>
      <c r="N73" s="5">
        <f>IFERROR(__xludf.DUMMYFUNCTION("""COMPUTED_VALUE"""),0.0)</f>
        <v>0</v>
      </c>
      <c r="O73" s="5">
        <f>IFERROR(__xludf.DUMMYFUNCTION("""COMPUTED_VALUE"""),950000.0)</f>
        <v>950000</v>
      </c>
      <c r="P73" s="4"/>
      <c r="Q73" s="4"/>
      <c r="R73" s="4"/>
      <c r="S73" s="3" t="str">
        <f>IFERROR(__xludf.DUMMYFUNCTION("""COMPUTED_VALUE"""),"Belum Lunas")</f>
        <v>Belum Lunas</v>
      </c>
    </row>
    <row r="74">
      <c r="A74" s="3">
        <f t="shared" si="1"/>
        <v>73</v>
      </c>
      <c r="B74" s="4" t="str">
        <f>IFERROR(__xludf.DUMMYFUNCTION("""COMPUTED_VALUE"""),"M. SAFIUL REZA SELOHANDOYO")</f>
        <v>M. SAFIUL REZA SELOHANDOYO</v>
      </c>
      <c r="C74" s="3">
        <f>IFERROR(__xludf.DUMMYFUNCTION("""COMPUTED_VALUE"""),2.024070406E9)</f>
        <v>2024070406</v>
      </c>
      <c r="D74" s="3" t="str">
        <f>IFERROR(__xludf.DUMMYFUNCTION("""COMPUTED_VALUE"""),"A")</f>
        <v>A</v>
      </c>
      <c r="E74" s="3" t="str">
        <f>IFERROR(__xludf.DUMMYFUNCTION("""COMPUTED_VALUE"""),"A-2")</f>
        <v>A-2</v>
      </c>
      <c r="F74" s="3">
        <f>IFERROR(__xludf.DUMMYFUNCTION("""COMPUTED_VALUE"""),3.0)</f>
        <v>3</v>
      </c>
      <c r="G74" s="3" t="str">
        <f>IFERROR(__xludf.DUMMYFUNCTION("""COMPUTED_VALUE"""),"3 MAK PUTRA")</f>
        <v>3 MAK PUTRA</v>
      </c>
      <c r="H74" s="3" t="str">
        <f>IFERROR(__xludf.DUMMYFUNCTION("""COMPUTED_VALUE"""),"MA-XII.13")</f>
        <v>MA-XII.13</v>
      </c>
      <c r="I74" s="4" t="str">
        <f>IFERROR(__xludf.DUMMYFUNCTION("""COMPUTED_VALUE"""),"SITI HALIMAH")</f>
        <v>SITI HALIMAH</v>
      </c>
      <c r="J74" s="4" t="str">
        <f>IFERROR(__xludf.DUMMYFUNCTION("""COMPUTED_VALUE"""),"GOWAH POMAHANJANGGAN RT 002 RW 001 TURI LAMONGAN")</f>
        <v>GOWAH POMAHANJANGGAN RT 002 RW 001 TURI LAMONGAN</v>
      </c>
      <c r="K74" s="4" t="str">
        <f>IFERROR(__xludf.DUMMYFUNCTION("""COMPUTED_VALUE"""),"6282229847381")</f>
        <v>6282229847381</v>
      </c>
      <c r="L74" s="5">
        <f>IFERROR(__xludf.DUMMYFUNCTION("""COMPUTED_VALUE"""),450000.0)</f>
        <v>450000</v>
      </c>
      <c r="M74" s="5">
        <f>IFERROR(__xludf.DUMMYFUNCTION("""COMPUTED_VALUE"""),500000.0)</f>
        <v>500000</v>
      </c>
      <c r="N74" s="5">
        <f>IFERROR(__xludf.DUMMYFUNCTION("""COMPUTED_VALUE"""),0.0)</f>
        <v>0</v>
      </c>
      <c r="O74" s="5">
        <f>IFERROR(__xludf.DUMMYFUNCTION("""COMPUTED_VALUE"""),950000.0)</f>
        <v>950000</v>
      </c>
      <c r="P74" s="4"/>
      <c r="Q74" s="4"/>
      <c r="R74" s="4"/>
      <c r="S74" s="3" t="str">
        <f>IFERROR(__xludf.DUMMYFUNCTION("""COMPUTED_VALUE"""),"Belum Lunas")</f>
        <v>Belum Lunas</v>
      </c>
    </row>
    <row r="75">
      <c r="A75" s="3">
        <f t="shared" si="1"/>
        <v>74</v>
      </c>
      <c r="B75" s="4" t="str">
        <f>IFERROR(__xludf.DUMMYFUNCTION("""COMPUTED_VALUE"""),"MEILANI PUTRI ARINIL WAFA`")</f>
        <v>MEILANI PUTRI ARINIL WAFA`</v>
      </c>
      <c r="C75" s="3">
        <f>IFERROR(__xludf.DUMMYFUNCTION("""COMPUTED_VALUE"""),2.024070015E9)</f>
        <v>2024070015</v>
      </c>
      <c r="D75" s="3" t="str">
        <f>IFERROR(__xludf.DUMMYFUNCTION("""COMPUTED_VALUE"""),"C")</f>
        <v>C</v>
      </c>
      <c r="E75" s="3" t="str">
        <f>IFERROR(__xludf.DUMMYFUNCTION("""COMPUTED_VALUE"""),"C-2")</f>
        <v>C-2</v>
      </c>
      <c r="F75" s="3">
        <f>IFERROR(__xludf.DUMMYFUNCTION("""COMPUTED_VALUE"""),3.0)</f>
        <v>3</v>
      </c>
      <c r="G75" s="3"/>
      <c r="H75" s="3" t="str">
        <f>IFERROR(__xludf.DUMMYFUNCTION("""COMPUTED_VALUE"""),"MA-XII.1")</f>
        <v>MA-XII.1</v>
      </c>
      <c r="I75" s="4" t="str">
        <f>IFERROR(__xludf.DUMMYFUNCTION("""COMPUTED_VALUE"""),"NURASIATIN")</f>
        <v>NURASIATIN</v>
      </c>
      <c r="J75" s="4" t="str">
        <f>IFERROR(__xludf.DUMMYFUNCTION("""COMPUTED_VALUE"""),"KENDALKEMLAGI RT 002 RW 005 KARANGGENENG LAMONGAN")</f>
        <v>KENDALKEMLAGI RT 002 RW 005 KARANGGENENG LAMONGAN</v>
      </c>
      <c r="K75" s="4" t="str">
        <f>IFERROR(__xludf.DUMMYFUNCTION("""COMPUTED_VALUE"""),"6285733138071")</f>
        <v>6285733138071</v>
      </c>
      <c r="L75" s="5">
        <f>IFERROR(__xludf.DUMMYFUNCTION("""COMPUTED_VALUE"""),450000.0)</f>
        <v>450000</v>
      </c>
      <c r="M75" s="5">
        <f>IFERROR(__xludf.DUMMYFUNCTION("""COMPUTED_VALUE"""),500000.0)</f>
        <v>500000</v>
      </c>
      <c r="N75" s="5">
        <f>IFERROR(__xludf.DUMMYFUNCTION("""COMPUTED_VALUE"""),0.0)</f>
        <v>0</v>
      </c>
      <c r="O75" s="5">
        <f>IFERROR(__xludf.DUMMYFUNCTION("""COMPUTED_VALUE"""),950000.0)</f>
        <v>950000</v>
      </c>
      <c r="P75" s="4"/>
      <c r="Q75" s="4"/>
      <c r="R75" s="4"/>
      <c r="S75" s="3" t="str">
        <f>IFERROR(__xludf.DUMMYFUNCTION("""COMPUTED_VALUE"""),"Belum Lunas")</f>
        <v>Belum Lunas</v>
      </c>
    </row>
    <row r="76">
      <c r="A76" s="3">
        <f t="shared" si="1"/>
        <v>75</v>
      </c>
      <c r="B76" s="4" t="str">
        <f>IFERROR(__xludf.DUMMYFUNCTION("""COMPUTED_VALUE"""),"MUHAMMAD RAFA AL KAUTSAR")</f>
        <v>MUHAMMAD RAFA AL KAUTSAR</v>
      </c>
      <c r="C76" s="3">
        <f>IFERROR(__xludf.DUMMYFUNCTION("""COMPUTED_VALUE"""),2.024070648E9)</f>
        <v>2024070648</v>
      </c>
      <c r="D76" s="3" t="str">
        <f>IFERROR(__xludf.DUMMYFUNCTION("""COMPUTED_VALUE"""),"A")</f>
        <v>A</v>
      </c>
      <c r="E76" s="3" t="str">
        <f>IFERROR(__xludf.DUMMYFUNCTION("""COMPUTED_VALUE"""),"A-8")</f>
        <v>A-8</v>
      </c>
      <c r="F76" s="3">
        <f>IFERROR(__xludf.DUMMYFUNCTION("""COMPUTED_VALUE"""),3.0)</f>
        <v>3</v>
      </c>
      <c r="G76" s="3" t="str">
        <f>IFERROR(__xludf.DUMMYFUNCTION("""COMPUTED_VALUE"""),"3 ULA B PUTRA")</f>
        <v>3 ULA B PUTRA</v>
      </c>
      <c r="H76" s="3" t="str">
        <f>IFERROR(__xludf.DUMMYFUNCTION("""COMPUTED_VALUE"""),"MTS-9 C")</f>
        <v>MTS-9 C</v>
      </c>
      <c r="I76" s="4" t="str">
        <f>IFERROR(__xludf.DUMMYFUNCTION("""COMPUTED_VALUE"""),"SHOIFAH")</f>
        <v>SHOIFAH</v>
      </c>
      <c r="J76" s="4" t="str">
        <f>IFERROR(__xludf.DUMMYFUNCTION("""COMPUTED_VALUE"""),"BANJARANYAR BANJARWATI RT 002 RW 002 PACIRAN LAMONGAN")</f>
        <v>BANJARANYAR BANJARWATI RT 002 RW 002 PACIRAN LAMONGAN</v>
      </c>
      <c r="K76" s="4" t="str">
        <f>IFERROR(__xludf.DUMMYFUNCTION("""COMPUTED_VALUE"""),"6285859853448")</f>
        <v>6285859853448</v>
      </c>
      <c r="L76" s="5">
        <f>IFERROR(__xludf.DUMMYFUNCTION("""COMPUTED_VALUE"""),450000.0)</f>
        <v>450000</v>
      </c>
      <c r="M76" s="5">
        <f>IFERROR(__xludf.DUMMYFUNCTION("""COMPUTED_VALUE"""),500000.0)</f>
        <v>500000</v>
      </c>
      <c r="N76" s="5">
        <f>IFERROR(__xludf.DUMMYFUNCTION("""COMPUTED_VALUE"""),0.0)</f>
        <v>0</v>
      </c>
      <c r="O76" s="5">
        <f>IFERROR(__xludf.DUMMYFUNCTION("""COMPUTED_VALUE"""),950000.0)</f>
        <v>950000</v>
      </c>
      <c r="P76" s="4"/>
      <c r="Q76" s="4"/>
      <c r="R76" s="4"/>
      <c r="S76" s="3" t="str">
        <f>IFERROR(__xludf.DUMMYFUNCTION("""COMPUTED_VALUE"""),"Belum Lunas")</f>
        <v>Belum Lunas</v>
      </c>
    </row>
    <row r="77">
      <c r="A77" s="3">
        <f t="shared" si="1"/>
        <v>76</v>
      </c>
      <c r="B77" s="4" t="str">
        <f>IFERROR(__xludf.DUMMYFUNCTION("""COMPUTED_VALUE"""),"MUHYIDDIN FAQIH")</f>
        <v>MUHYIDDIN FAQIH</v>
      </c>
      <c r="C77" s="3">
        <f>IFERROR(__xludf.DUMMYFUNCTION("""COMPUTED_VALUE"""),2.024070299E9)</f>
        <v>2024070299</v>
      </c>
      <c r="D77" s="3" t="str">
        <f>IFERROR(__xludf.DUMMYFUNCTION("""COMPUTED_VALUE"""),"A")</f>
        <v>A</v>
      </c>
      <c r="E77" s="3" t="str">
        <f>IFERROR(__xludf.DUMMYFUNCTION("""COMPUTED_VALUE"""),"A-10")</f>
        <v>A-10</v>
      </c>
      <c r="F77" s="3">
        <f>IFERROR(__xludf.DUMMYFUNCTION("""COMPUTED_VALUE"""),3.0)</f>
        <v>3</v>
      </c>
      <c r="G77" s="3" t="str">
        <f>IFERROR(__xludf.DUMMYFUNCTION("""COMPUTED_VALUE"""),"3 WUSTHO PUTRA")</f>
        <v>3 WUSTHO PUTRA</v>
      </c>
      <c r="H77" s="3" t="str">
        <f>IFERROR(__xludf.DUMMYFUNCTION("""COMPUTED_VALUE"""),"MA-XII.9")</f>
        <v>MA-XII.9</v>
      </c>
      <c r="I77" s="4" t="str">
        <f>IFERROR(__xludf.DUMMYFUNCTION("""COMPUTED_VALUE"""),"SUHARNIK")</f>
        <v>SUHARNIK</v>
      </c>
      <c r="J77" s="4" t="str">
        <f>IFERROR(__xludf.DUMMYFUNCTION("""COMPUTED_VALUE"""),"SAWO RT 003 RW 002 DUKUN GRESIK")</f>
        <v>SAWO RT 003 RW 002 DUKUN GRESIK</v>
      </c>
      <c r="K77" s="4" t="str">
        <f>IFERROR(__xludf.DUMMYFUNCTION("""COMPUTED_VALUE"""),"6281554403924")</f>
        <v>6281554403924</v>
      </c>
      <c r="L77" s="5">
        <f>IFERROR(__xludf.DUMMYFUNCTION("""COMPUTED_VALUE"""),450000.0)</f>
        <v>450000</v>
      </c>
      <c r="M77" s="5">
        <f>IFERROR(__xludf.DUMMYFUNCTION("""COMPUTED_VALUE"""),500000.0)</f>
        <v>500000</v>
      </c>
      <c r="N77" s="5">
        <f>IFERROR(__xludf.DUMMYFUNCTION("""COMPUTED_VALUE"""),0.0)</f>
        <v>0</v>
      </c>
      <c r="O77" s="5">
        <f>IFERROR(__xludf.DUMMYFUNCTION("""COMPUTED_VALUE"""),950000.0)</f>
        <v>950000</v>
      </c>
      <c r="P77" s="4"/>
      <c r="Q77" s="4"/>
      <c r="R77" s="4"/>
      <c r="S77" s="3" t="str">
        <f>IFERROR(__xludf.DUMMYFUNCTION("""COMPUTED_VALUE"""),"Belum Lunas")</f>
        <v>Belum Lunas</v>
      </c>
    </row>
    <row r="78">
      <c r="A78" s="3">
        <f t="shared" si="1"/>
        <v>77</v>
      </c>
      <c r="B78" s="4" t="str">
        <f>IFERROR(__xludf.DUMMYFUNCTION("""COMPUTED_VALUE"""),"NAYLATUL MAWADDAH")</f>
        <v>NAYLATUL MAWADDAH</v>
      </c>
      <c r="C78" s="3">
        <f>IFERROR(__xludf.DUMMYFUNCTION("""COMPUTED_VALUE"""),2.024070682E9)</f>
        <v>2024070682</v>
      </c>
      <c r="D78" s="3" t="str">
        <f>IFERROR(__xludf.DUMMYFUNCTION("""COMPUTED_VALUE"""),"C")</f>
        <v>C</v>
      </c>
      <c r="E78" s="3" t="str">
        <f>IFERROR(__xludf.DUMMYFUNCTION("""COMPUTED_VALUE"""),"C-8")</f>
        <v>C-8</v>
      </c>
      <c r="F78" s="3">
        <f>IFERROR(__xludf.DUMMYFUNCTION("""COMPUTED_VALUE"""),3.0)</f>
        <v>3</v>
      </c>
      <c r="G78" s="3" t="str">
        <f>IFERROR(__xludf.DUMMYFUNCTION("""COMPUTED_VALUE"""),"3 WUSTHO C PUTRI")</f>
        <v>3 WUSTHO C PUTRI</v>
      </c>
      <c r="H78" s="3" t="str">
        <f>IFERROR(__xludf.DUMMYFUNCTION("""COMPUTED_VALUE"""),"SMK-XII DKV")</f>
        <v>SMK-XII DKV</v>
      </c>
      <c r="I78" s="4" t="str">
        <f>IFERROR(__xludf.DUMMYFUNCTION("""COMPUTED_VALUE"""),"ZULIYATIN")</f>
        <v>ZULIYATIN</v>
      </c>
      <c r="J78" s="4" t="str">
        <f>IFERROR(__xludf.DUMMYFUNCTION("""COMPUTED_VALUE"""),"BANGERAN RT 006 RW 003 DUKUN GRESIK")</f>
        <v>BANGERAN RT 006 RW 003 DUKUN GRESIK</v>
      </c>
      <c r="K78" s="4" t="str">
        <f>IFERROR(__xludf.DUMMYFUNCTION("""COMPUTED_VALUE"""),"6285608738797")</f>
        <v>6285608738797</v>
      </c>
      <c r="L78" s="5">
        <f>IFERROR(__xludf.DUMMYFUNCTION("""COMPUTED_VALUE"""),450000.0)</f>
        <v>450000</v>
      </c>
      <c r="M78" s="5">
        <f>IFERROR(__xludf.DUMMYFUNCTION("""COMPUTED_VALUE"""),500000.0)</f>
        <v>500000</v>
      </c>
      <c r="N78" s="5">
        <f>IFERROR(__xludf.DUMMYFUNCTION("""COMPUTED_VALUE"""),0.0)</f>
        <v>0</v>
      </c>
      <c r="O78" s="5">
        <f>IFERROR(__xludf.DUMMYFUNCTION("""COMPUTED_VALUE"""),950000.0)</f>
        <v>950000</v>
      </c>
      <c r="P78" s="4"/>
      <c r="Q78" s="4"/>
      <c r="R78" s="4"/>
      <c r="S78" s="3" t="str">
        <f>IFERROR(__xludf.DUMMYFUNCTION("""COMPUTED_VALUE"""),"Belum Lunas")</f>
        <v>Belum Lunas</v>
      </c>
    </row>
    <row r="79">
      <c r="A79" s="3">
        <f t="shared" si="1"/>
        <v>78</v>
      </c>
      <c r="B79" s="4" t="str">
        <f>IFERROR(__xludf.DUMMYFUNCTION("""COMPUTED_VALUE"""),"NESYA AURA BUNGA")</f>
        <v>NESYA AURA BUNGA</v>
      </c>
      <c r="C79" s="3">
        <f>IFERROR(__xludf.DUMMYFUNCTION("""COMPUTED_VALUE"""),2.024070659E9)</f>
        <v>2024070659</v>
      </c>
      <c r="D79" s="3" t="str">
        <f>IFERROR(__xludf.DUMMYFUNCTION("""COMPUTED_VALUE"""),"D")</f>
        <v>D</v>
      </c>
      <c r="E79" s="3" t="str">
        <f>IFERROR(__xludf.DUMMYFUNCTION("""COMPUTED_VALUE"""),"D-4")</f>
        <v>D-4</v>
      </c>
      <c r="F79" s="3">
        <f>IFERROR(__xludf.DUMMYFUNCTION("""COMPUTED_VALUE"""),3.0)</f>
        <v>3</v>
      </c>
      <c r="G79" s="3" t="str">
        <f>IFERROR(__xludf.DUMMYFUNCTION("""COMPUTED_VALUE"""),"3 ULA C PUTRI")</f>
        <v>3 ULA C PUTRI</v>
      </c>
      <c r="H79" s="3" t="str">
        <f>IFERROR(__xludf.DUMMYFUNCTION("""COMPUTED_VALUE"""),"MTS-9 H")</f>
        <v>MTS-9 H</v>
      </c>
      <c r="I79" s="4" t="str">
        <f>IFERROR(__xludf.DUMMYFUNCTION("""COMPUTED_VALUE"""),"SITI NAILUL ROFIQ")</f>
        <v>SITI NAILUL ROFIQ</v>
      </c>
      <c r="J79" s="4" t="str">
        <f>IFERROR(__xludf.DUMMYFUNCTION("""COMPUTED_VALUE"""),"GEGER RT 002 RW 003 TURI LAMONGAN")</f>
        <v>GEGER RT 002 RW 003 TURI LAMONGAN</v>
      </c>
      <c r="K79" s="4" t="str">
        <f>IFERROR(__xludf.DUMMYFUNCTION("""COMPUTED_VALUE"""),"6285852070153")</f>
        <v>6285852070153</v>
      </c>
      <c r="L79" s="5">
        <f>IFERROR(__xludf.DUMMYFUNCTION("""COMPUTED_VALUE"""),450000.0)</f>
        <v>450000</v>
      </c>
      <c r="M79" s="5">
        <f>IFERROR(__xludf.DUMMYFUNCTION("""COMPUTED_VALUE"""),500000.0)</f>
        <v>500000</v>
      </c>
      <c r="N79" s="5">
        <f>IFERROR(__xludf.DUMMYFUNCTION("""COMPUTED_VALUE"""),0.0)</f>
        <v>0</v>
      </c>
      <c r="O79" s="5">
        <f>IFERROR(__xludf.DUMMYFUNCTION("""COMPUTED_VALUE"""),950000.0)</f>
        <v>950000</v>
      </c>
      <c r="P79" s="4"/>
      <c r="Q79" s="4"/>
      <c r="R79" s="4"/>
      <c r="S79" s="3" t="str">
        <f>IFERROR(__xludf.DUMMYFUNCTION("""COMPUTED_VALUE"""),"Belum Lunas")</f>
        <v>Belum Lunas</v>
      </c>
    </row>
    <row r="80">
      <c r="A80" s="3">
        <f t="shared" si="1"/>
        <v>79</v>
      </c>
      <c r="B80" s="4" t="str">
        <f>IFERROR(__xludf.DUMMYFUNCTION("""COMPUTED_VALUE"""),"NOVAL ARYA PRATAMA")</f>
        <v>NOVAL ARYA PRATAMA</v>
      </c>
      <c r="C80" s="3">
        <f>IFERROR(__xludf.DUMMYFUNCTION("""COMPUTED_VALUE"""),2.024070468E9)</f>
        <v>2024070468</v>
      </c>
      <c r="D80" s="3" t="str">
        <f>IFERROR(__xludf.DUMMYFUNCTION("""COMPUTED_VALUE"""),"A")</f>
        <v>A</v>
      </c>
      <c r="E80" s="3" t="str">
        <f>IFERROR(__xludf.DUMMYFUNCTION("""COMPUTED_VALUE"""),"A-8")</f>
        <v>A-8</v>
      </c>
      <c r="F80" s="3">
        <f>IFERROR(__xludf.DUMMYFUNCTION("""COMPUTED_VALUE"""),3.0)</f>
        <v>3</v>
      </c>
      <c r="G80" s="3" t="str">
        <f>IFERROR(__xludf.DUMMYFUNCTION("""COMPUTED_VALUE"""),"3 ULA A PUTRA")</f>
        <v>3 ULA A PUTRA</v>
      </c>
      <c r="H80" s="3" t="str">
        <f>IFERROR(__xludf.DUMMYFUNCTION("""COMPUTED_VALUE"""),"MTS-9 B")</f>
        <v>MTS-9 B</v>
      </c>
      <c r="I80" s="4" t="str">
        <f>IFERROR(__xludf.DUMMYFUNCTION("""COMPUTED_VALUE"""),"NURANITA LARASATI")</f>
        <v>NURANITA LARASATI</v>
      </c>
      <c r="J80" s="4" t="str">
        <f>IFERROR(__xludf.DUMMYFUNCTION("""COMPUTED_VALUE"""),"BULAKWATU BANJAREJO RT 003 RW 001 SUKODADI LAMONGAN")</f>
        <v>BULAKWATU BANJAREJO RT 003 RW 001 SUKODADI LAMONGAN</v>
      </c>
      <c r="K80" s="4" t="str">
        <f>IFERROR(__xludf.DUMMYFUNCTION("""COMPUTED_VALUE"""),"6285707106640")</f>
        <v>6285707106640</v>
      </c>
      <c r="L80" s="5">
        <f>IFERROR(__xludf.DUMMYFUNCTION("""COMPUTED_VALUE"""),450000.0)</f>
        <v>450000</v>
      </c>
      <c r="M80" s="5">
        <f>IFERROR(__xludf.DUMMYFUNCTION("""COMPUTED_VALUE"""),500000.0)</f>
        <v>500000</v>
      </c>
      <c r="N80" s="5">
        <f>IFERROR(__xludf.DUMMYFUNCTION("""COMPUTED_VALUE"""),0.0)</f>
        <v>0</v>
      </c>
      <c r="O80" s="5">
        <f>IFERROR(__xludf.DUMMYFUNCTION("""COMPUTED_VALUE"""),950000.0)</f>
        <v>950000</v>
      </c>
      <c r="P80" s="4"/>
      <c r="Q80" s="4"/>
      <c r="R80" s="4"/>
      <c r="S80" s="3" t="str">
        <f>IFERROR(__xludf.DUMMYFUNCTION("""COMPUTED_VALUE"""),"Belum Lunas")</f>
        <v>Belum Lunas</v>
      </c>
    </row>
    <row r="81">
      <c r="A81" s="3">
        <f t="shared" si="1"/>
        <v>80</v>
      </c>
      <c r="B81" s="4" t="str">
        <f>IFERROR(__xludf.DUMMYFUNCTION("""COMPUTED_VALUE"""),"NURFUIMA LINDA HIDAYATI")</f>
        <v>NURFUIMA LINDA HIDAYATI</v>
      </c>
      <c r="C81" s="3">
        <f>IFERROR(__xludf.DUMMYFUNCTION("""COMPUTED_VALUE"""),2.024070357E9)</f>
        <v>2024070357</v>
      </c>
      <c r="D81" s="3" t="str">
        <f>IFERROR(__xludf.DUMMYFUNCTION("""COMPUTED_VALUE"""),"C")</f>
        <v>C</v>
      </c>
      <c r="E81" s="3" t="str">
        <f>IFERROR(__xludf.DUMMYFUNCTION("""COMPUTED_VALUE"""),"C-8")</f>
        <v>C-8</v>
      </c>
      <c r="F81" s="3">
        <f>IFERROR(__xludf.DUMMYFUNCTION("""COMPUTED_VALUE"""),3.0)</f>
        <v>3</v>
      </c>
      <c r="G81" s="3"/>
      <c r="H81" s="3" t="str">
        <f>IFERROR(__xludf.DUMMYFUNCTION("""COMPUTED_VALUE"""),"MA-XII.11")</f>
        <v>MA-XII.11</v>
      </c>
      <c r="I81" s="4" t="str">
        <f>IFERROR(__xludf.DUMMYFUNCTION("""COMPUTED_VALUE"""),"UMAIPAH")</f>
        <v>UMAIPAH</v>
      </c>
      <c r="J81" s="4" t="str">
        <f>IFERROR(__xludf.DUMMYFUNCTION("""COMPUTED_VALUE"""),"SAWO RT 009 RW 005 DUKUN GRESIK")</f>
        <v>SAWO RT 009 RW 005 DUKUN GRESIK</v>
      </c>
      <c r="K81" s="4" t="str">
        <f>IFERROR(__xludf.DUMMYFUNCTION("""COMPUTED_VALUE"""),"6285606170861")</f>
        <v>6285606170861</v>
      </c>
      <c r="L81" s="5">
        <f>IFERROR(__xludf.DUMMYFUNCTION("""COMPUTED_VALUE"""),450000.0)</f>
        <v>450000</v>
      </c>
      <c r="M81" s="5">
        <f>IFERROR(__xludf.DUMMYFUNCTION("""COMPUTED_VALUE"""),500000.0)</f>
        <v>500000</v>
      </c>
      <c r="N81" s="5">
        <f>IFERROR(__xludf.DUMMYFUNCTION("""COMPUTED_VALUE"""),0.0)</f>
        <v>0</v>
      </c>
      <c r="O81" s="5">
        <f>IFERROR(__xludf.DUMMYFUNCTION("""COMPUTED_VALUE"""),950000.0)</f>
        <v>950000</v>
      </c>
      <c r="P81" s="4"/>
      <c r="Q81" s="4"/>
      <c r="R81" s="4"/>
      <c r="S81" s="3" t="str">
        <f>IFERROR(__xludf.DUMMYFUNCTION("""COMPUTED_VALUE"""),"Belum Lunas")</f>
        <v>Belum Lunas</v>
      </c>
    </row>
    <row r="82">
      <c r="A82" s="3">
        <f t="shared" si="1"/>
        <v>81</v>
      </c>
      <c r="B82" s="4" t="str">
        <f>IFERROR(__xludf.DUMMYFUNCTION("""COMPUTED_VALUE"""),"AIDA NURUL AINI")</f>
        <v>AIDA NURUL AINI</v>
      </c>
      <c r="C82" s="3">
        <f>IFERROR(__xludf.DUMMYFUNCTION("""COMPUTED_VALUE"""),2.024070582E9)</f>
        <v>2024070582</v>
      </c>
      <c r="D82" s="3" t="str">
        <f>IFERROR(__xludf.DUMMYFUNCTION("""COMPUTED_VALUE"""),"E")</f>
        <v>E</v>
      </c>
      <c r="E82" s="3" t="str">
        <f>IFERROR(__xludf.DUMMYFUNCTION("""COMPUTED_VALUE"""),"E-9")</f>
        <v>E-9</v>
      </c>
      <c r="F82" s="3">
        <f>IFERROR(__xludf.DUMMYFUNCTION("""COMPUTED_VALUE"""),3.0)</f>
        <v>3</v>
      </c>
      <c r="G82" s="3" t="str">
        <f>IFERROR(__xludf.DUMMYFUNCTION("""COMPUTED_VALUE"""),"3 ULA A PUTRI")</f>
        <v>3 ULA A PUTRI</v>
      </c>
      <c r="H82" s="3" t="str">
        <f>IFERROR(__xludf.DUMMYFUNCTION("""COMPUTED_VALUE"""),"MTS-9 A")</f>
        <v>MTS-9 A</v>
      </c>
      <c r="I82" s="4" t="str">
        <f>IFERROR(__xludf.DUMMYFUNCTION("""COMPUTED_VALUE"""),"ZAINATUR ROBIHAH")</f>
        <v>ZAINATUR ROBIHAH</v>
      </c>
      <c r="J82" s="4" t="str">
        <f>IFERROR(__xludf.DUMMYFUNCTION("""COMPUTED_VALUE"""),"BANGERAN GENENG RT 003 RW 002 DUKUN GRESIK")</f>
        <v>BANGERAN GENENG RT 003 RW 002 DUKUN GRESIK</v>
      </c>
      <c r="K82" s="4" t="str">
        <f>IFERROR(__xludf.DUMMYFUNCTION("""COMPUTED_VALUE"""),"6285732704608")</f>
        <v>6285732704608</v>
      </c>
      <c r="L82" s="5">
        <f>IFERROR(__xludf.DUMMYFUNCTION("""COMPUTED_VALUE"""),0.0)</f>
        <v>0</v>
      </c>
      <c r="M82" s="5">
        <f>IFERROR(__xludf.DUMMYFUNCTION("""COMPUTED_VALUE"""),1000000.0)</f>
        <v>1000000</v>
      </c>
      <c r="N82" s="5">
        <f>IFERROR(__xludf.DUMMYFUNCTION("""COMPUTED_VALUE"""),0.0)</f>
        <v>0</v>
      </c>
      <c r="O82" s="5">
        <f>IFERROR(__xludf.DUMMYFUNCTION("""COMPUTED_VALUE"""),1000000.0)</f>
        <v>1000000</v>
      </c>
      <c r="P82" s="4"/>
      <c r="Q82" s="4"/>
      <c r="R82" s="4"/>
      <c r="S82" s="3" t="str">
        <f>IFERROR(__xludf.DUMMYFUNCTION("""COMPUTED_VALUE"""),"Belum Lunas")</f>
        <v>Belum Lunas</v>
      </c>
    </row>
    <row r="83">
      <c r="A83" s="3">
        <f t="shared" si="1"/>
        <v>82</v>
      </c>
      <c r="B83" s="4" t="str">
        <f>IFERROR(__xludf.DUMMYFUNCTION("""COMPUTED_VALUE"""),"ASYIFATUL LAILI")</f>
        <v>ASYIFATUL LAILI</v>
      </c>
      <c r="C83" s="3">
        <f>IFERROR(__xludf.DUMMYFUNCTION("""COMPUTED_VALUE"""),2.02407052E9)</f>
        <v>2024070520</v>
      </c>
      <c r="D83" s="3" t="str">
        <f>IFERROR(__xludf.DUMMYFUNCTION("""COMPUTED_VALUE"""),"C")</f>
        <v>C</v>
      </c>
      <c r="E83" s="3" t="str">
        <f>IFERROR(__xludf.DUMMYFUNCTION("""COMPUTED_VALUE"""),"C-13")</f>
        <v>C-13</v>
      </c>
      <c r="F83" s="3">
        <f>IFERROR(__xludf.DUMMYFUNCTION("""COMPUTED_VALUE"""),3.0)</f>
        <v>3</v>
      </c>
      <c r="G83" s="3" t="str">
        <f>IFERROR(__xludf.DUMMYFUNCTION("""COMPUTED_VALUE"""),"3 ULA B PUTRI")</f>
        <v>3 ULA B PUTRI</v>
      </c>
      <c r="H83" s="3" t="str">
        <f>IFERROR(__xludf.DUMMYFUNCTION("""COMPUTED_VALUE"""),"MTS-9 C")</f>
        <v>MTS-9 C</v>
      </c>
      <c r="I83" s="4" t="str">
        <f>IFERROR(__xludf.DUMMYFUNCTION("""COMPUTED_VALUE"""),"NUR MARDLIYAH")</f>
        <v>NUR MARDLIYAH</v>
      </c>
      <c r="J83" s="4" t="str">
        <f>IFERROR(__xludf.DUMMYFUNCTION("""COMPUTED_VALUE"""),"KUBANG LABAN PANGGUNG RAWI RT 003 RW 002 JOMBANG CILEGON")</f>
        <v>KUBANG LABAN PANGGUNG RAWI RT 003 RW 002 JOMBANG CILEGON</v>
      </c>
      <c r="K83" s="4" t="str">
        <f>IFERROR(__xludf.DUMMYFUNCTION("""COMPUTED_VALUE"""),"6281946613922")</f>
        <v>6281946613922</v>
      </c>
      <c r="L83" s="5">
        <f>IFERROR(__xludf.DUMMYFUNCTION("""COMPUTED_VALUE"""),0.0)</f>
        <v>0</v>
      </c>
      <c r="M83" s="5">
        <f>IFERROR(__xludf.DUMMYFUNCTION("""COMPUTED_VALUE"""),1000000.0)</f>
        <v>1000000</v>
      </c>
      <c r="N83" s="5">
        <f>IFERROR(__xludf.DUMMYFUNCTION("""COMPUTED_VALUE"""),0.0)</f>
        <v>0</v>
      </c>
      <c r="O83" s="5">
        <f>IFERROR(__xludf.DUMMYFUNCTION("""COMPUTED_VALUE"""),1000000.0)</f>
        <v>1000000</v>
      </c>
      <c r="P83" s="4"/>
      <c r="Q83" s="4"/>
      <c r="R83" s="4"/>
      <c r="S83" s="3" t="str">
        <f>IFERROR(__xludf.DUMMYFUNCTION("""COMPUTED_VALUE"""),"Belum Lunas")</f>
        <v>Belum Lunas</v>
      </c>
    </row>
    <row r="84">
      <c r="A84" s="3">
        <f t="shared" si="1"/>
        <v>83</v>
      </c>
      <c r="B84" s="4" t="str">
        <f>IFERROR(__xludf.DUMMYFUNCTION("""COMPUTED_VALUE"""),"DAVINA RATNANDITA")</f>
        <v>DAVINA RATNANDITA</v>
      </c>
      <c r="C84" s="3">
        <f>IFERROR(__xludf.DUMMYFUNCTION("""COMPUTED_VALUE"""),2.024070445E9)</f>
        <v>2024070445</v>
      </c>
      <c r="D84" s="3" t="str">
        <f>IFERROR(__xludf.DUMMYFUNCTION("""COMPUTED_VALUE"""),"E")</f>
        <v>E</v>
      </c>
      <c r="E84" s="3" t="str">
        <f>IFERROR(__xludf.DUMMYFUNCTION("""COMPUTED_VALUE"""),"E-2")</f>
        <v>E-2</v>
      </c>
      <c r="F84" s="3">
        <f>IFERROR(__xludf.DUMMYFUNCTION("""COMPUTED_VALUE"""),3.0)</f>
        <v>3</v>
      </c>
      <c r="G84" s="3" t="str">
        <f>IFERROR(__xludf.DUMMYFUNCTION("""COMPUTED_VALUE"""),"3 ULA A PUTRI")</f>
        <v>3 ULA A PUTRI</v>
      </c>
      <c r="H84" s="3" t="str">
        <f>IFERROR(__xludf.DUMMYFUNCTION("""COMPUTED_VALUE"""),"MTS-9 B")</f>
        <v>MTS-9 B</v>
      </c>
      <c r="I84" s="4" t="str">
        <f>IFERROR(__xludf.DUMMYFUNCTION("""COMPUTED_VALUE"""),"SUWATUN")</f>
        <v>SUWATUN</v>
      </c>
      <c r="J84" s="4" t="str">
        <f>IFERROR(__xludf.DUMMYFUNCTION("""COMPUTED_VALUE"""),"TEMBOK PENDOWOLIMO RT 002 RW 003 KARANGBINANGUN LAMONGAN")</f>
        <v>TEMBOK PENDOWOLIMO RT 002 RW 003 KARANGBINANGUN LAMONGAN</v>
      </c>
      <c r="K84" s="4" t="str">
        <f>IFERROR(__xludf.DUMMYFUNCTION("""COMPUTED_VALUE"""),"6282131864843")</f>
        <v>6282131864843</v>
      </c>
      <c r="L84" s="5">
        <f>IFERROR(__xludf.DUMMYFUNCTION("""COMPUTED_VALUE"""),0.0)</f>
        <v>0</v>
      </c>
      <c r="M84" s="5">
        <f>IFERROR(__xludf.DUMMYFUNCTION("""COMPUTED_VALUE"""),1000000.0)</f>
        <v>1000000</v>
      </c>
      <c r="N84" s="5">
        <f>IFERROR(__xludf.DUMMYFUNCTION("""COMPUTED_VALUE"""),0.0)</f>
        <v>0</v>
      </c>
      <c r="O84" s="5">
        <f>IFERROR(__xludf.DUMMYFUNCTION("""COMPUTED_VALUE"""),1000000.0)</f>
        <v>1000000</v>
      </c>
      <c r="P84" s="4"/>
      <c r="Q84" s="4"/>
      <c r="R84" s="4"/>
      <c r="S84" s="3" t="str">
        <f>IFERROR(__xludf.DUMMYFUNCTION("""COMPUTED_VALUE"""),"Belum Lunas")</f>
        <v>Belum Lunas</v>
      </c>
    </row>
    <row r="85">
      <c r="A85" s="3">
        <f t="shared" si="1"/>
        <v>84</v>
      </c>
      <c r="B85" s="4" t="str">
        <f>IFERROR(__xludf.DUMMYFUNCTION("""COMPUTED_VALUE"""),"DIVA EKA LESTARI")</f>
        <v>DIVA EKA LESTARI</v>
      </c>
      <c r="C85" s="3">
        <f>IFERROR(__xludf.DUMMYFUNCTION("""COMPUTED_VALUE"""),2.024070006E9)</f>
        <v>2024070006</v>
      </c>
      <c r="D85" s="3" t="str">
        <f>IFERROR(__xludf.DUMMYFUNCTION("""COMPUTED_VALUE"""),"C")</f>
        <v>C</v>
      </c>
      <c r="E85" s="3" t="str">
        <f>IFERROR(__xludf.DUMMYFUNCTION("""COMPUTED_VALUE"""),"C-2")</f>
        <v>C-2</v>
      </c>
      <c r="F85" s="3">
        <f>IFERROR(__xludf.DUMMYFUNCTION("""COMPUTED_VALUE"""),3.0)</f>
        <v>3</v>
      </c>
      <c r="G85" s="3"/>
      <c r="H85" s="3" t="str">
        <f>IFERROR(__xludf.DUMMYFUNCTION("""COMPUTED_VALUE"""),"MA-XII.1")</f>
        <v>MA-XII.1</v>
      </c>
      <c r="I85" s="4" t="str">
        <f>IFERROR(__xludf.DUMMYFUNCTION("""COMPUTED_VALUE"""),"NING MINARSIH")</f>
        <v>NING MINARSIH</v>
      </c>
      <c r="J85" s="4" t="str">
        <f>IFERROR(__xludf.DUMMYFUNCTION("""COMPUTED_VALUE"""),"P. TENDEAN 24 KULURAN RT 004 RW 004 KALITENGAH LAMONGAN")</f>
        <v>P. TENDEAN 24 KULURAN RT 004 RW 004 KALITENGAH LAMONGAN</v>
      </c>
      <c r="K85" s="4" t="str">
        <f>IFERROR(__xludf.DUMMYFUNCTION("""COMPUTED_VALUE"""),"6285755339391")</f>
        <v>6285755339391</v>
      </c>
      <c r="L85" s="5">
        <f>IFERROR(__xludf.DUMMYFUNCTION("""COMPUTED_VALUE"""),0.0)</f>
        <v>0</v>
      </c>
      <c r="M85" s="5">
        <f>IFERROR(__xludf.DUMMYFUNCTION("""COMPUTED_VALUE"""),1000000.0)</f>
        <v>1000000</v>
      </c>
      <c r="N85" s="5">
        <f>IFERROR(__xludf.DUMMYFUNCTION("""COMPUTED_VALUE"""),0.0)</f>
        <v>0</v>
      </c>
      <c r="O85" s="5">
        <f>IFERROR(__xludf.DUMMYFUNCTION("""COMPUTED_VALUE"""),1000000.0)</f>
        <v>1000000</v>
      </c>
      <c r="P85" s="4"/>
      <c r="Q85" s="4"/>
      <c r="R85" s="4"/>
      <c r="S85" s="3" t="str">
        <f>IFERROR(__xludf.DUMMYFUNCTION("""COMPUTED_VALUE"""),"Belum Lunas")</f>
        <v>Belum Lunas</v>
      </c>
    </row>
    <row r="86">
      <c r="A86" s="3">
        <f t="shared" si="1"/>
        <v>85</v>
      </c>
      <c r="B86" s="4" t="str">
        <f>IFERROR(__xludf.DUMMYFUNCTION("""COMPUTED_VALUE"""),"FATIMATUZZAHROH MUSOFFA")</f>
        <v>FATIMATUZZAHROH MUSOFFA</v>
      </c>
      <c r="C86" s="3">
        <f>IFERROR(__xludf.DUMMYFUNCTION("""COMPUTED_VALUE"""),2.024070045E9)</f>
        <v>2024070045</v>
      </c>
      <c r="D86" s="3" t="str">
        <f>IFERROR(__xludf.DUMMYFUNCTION("""COMPUTED_VALUE"""),"C")</f>
        <v>C</v>
      </c>
      <c r="E86" s="3" t="str">
        <f>IFERROR(__xludf.DUMMYFUNCTION("""COMPUTED_VALUE"""),"C-9")</f>
        <v>C-9</v>
      </c>
      <c r="F86" s="3">
        <f>IFERROR(__xludf.DUMMYFUNCTION("""COMPUTED_VALUE"""),3.0)</f>
        <v>3</v>
      </c>
      <c r="G86" s="3"/>
      <c r="H86" s="3" t="str">
        <f>IFERROR(__xludf.DUMMYFUNCTION("""COMPUTED_VALUE"""),"MA-XII.2")</f>
        <v>MA-XII.2</v>
      </c>
      <c r="I86" s="4" t="str">
        <f>IFERROR(__xludf.DUMMYFUNCTION("""COMPUTED_VALUE"""),"MUSLIMAH")</f>
        <v>MUSLIMAH</v>
      </c>
      <c r="J86" s="4" t="str">
        <f>IFERROR(__xludf.DUMMYFUNCTION("""COMPUTED_VALUE"""),"WEDENG SUKOREJO RT 002 RW 003 KARANGBINANGUN LAMONGAN")</f>
        <v>WEDENG SUKOREJO RT 002 RW 003 KARANGBINANGUN LAMONGAN</v>
      </c>
      <c r="K86" s="4" t="str">
        <f>IFERROR(__xludf.DUMMYFUNCTION("""COMPUTED_VALUE"""),"6285893727203")</f>
        <v>6285893727203</v>
      </c>
      <c r="L86" s="5">
        <f>IFERROR(__xludf.DUMMYFUNCTION("""COMPUTED_VALUE"""),0.0)</f>
        <v>0</v>
      </c>
      <c r="M86" s="5">
        <f>IFERROR(__xludf.DUMMYFUNCTION("""COMPUTED_VALUE"""),1000000.0)</f>
        <v>1000000</v>
      </c>
      <c r="N86" s="5">
        <f>IFERROR(__xludf.DUMMYFUNCTION("""COMPUTED_VALUE"""),0.0)</f>
        <v>0</v>
      </c>
      <c r="O86" s="5">
        <f>IFERROR(__xludf.DUMMYFUNCTION("""COMPUTED_VALUE"""),1000000.0)</f>
        <v>1000000</v>
      </c>
      <c r="P86" s="4"/>
      <c r="Q86" s="4"/>
      <c r="R86" s="4"/>
      <c r="S86" s="3" t="str">
        <f>IFERROR(__xludf.DUMMYFUNCTION("""COMPUTED_VALUE"""),"Belum Lunas")</f>
        <v>Belum Lunas</v>
      </c>
    </row>
    <row r="87">
      <c r="A87" s="3">
        <f t="shared" si="1"/>
        <v>86</v>
      </c>
      <c r="B87" s="4" t="str">
        <f>IFERROR(__xludf.DUMMYFUNCTION("""COMPUTED_VALUE"""),"FLORETA NAFISHA PUTRI")</f>
        <v>FLORETA NAFISHA PUTRI</v>
      </c>
      <c r="C87" s="3">
        <f>IFERROR(__xludf.DUMMYFUNCTION("""COMPUTED_VALUE"""),2.024070422E9)</f>
        <v>2024070422</v>
      </c>
      <c r="D87" s="3" t="str">
        <f>IFERROR(__xludf.DUMMYFUNCTION("""COMPUTED_VALUE"""),"C")</f>
        <v>C</v>
      </c>
      <c r="E87" s="3" t="str">
        <f>IFERROR(__xludf.DUMMYFUNCTION("""COMPUTED_VALUE"""),"C-7")</f>
        <v>C-7</v>
      </c>
      <c r="F87" s="3">
        <f>IFERROR(__xludf.DUMMYFUNCTION("""COMPUTED_VALUE"""),3.0)</f>
        <v>3</v>
      </c>
      <c r="G87" s="3" t="str">
        <f>IFERROR(__xludf.DUMMYFUNCTION("""COMPUTED_VALUE"""),"3 MAK PUTRI")</f>
        <v>3 MAK PUTRI</v>
      </c>
      <c r="H87" s="3" t="str">
        <f>IFERROR(__xludf.DUMMYFUNCTION("""COMPUTED_VALUE"""),"MA-XII.13")</f>
        <v>MA-XII.13</v>
      </c>
      <c r="I87" s="4" t="str">
        <f>IFERROR(__xludf.DUMMYFUNCTION("""COMPUTED_VALUE"""),"PUTRI NINGSIH")</f>
        <v>PUTRI NINGSIH</v>
      </c>
      <c r="J87" s="4" t="str">
        <f>IFERROR(__xludf.DUMMYFUNCTION("""COMPUTED_VALUE"""),"JL. MAWAR NO. 047 SIMBATAN RT 001 RW 001 SARIREJO LAMONGAN")</f>
        <v>JL. MAWAR NO. 047 SIMBATAN RT 001 RW 001 SARIREJO LAMONGAN</v>
      </c>
      <c r="K87" s="4" t="str">
        <f>IFERROR(__xludf.DUMMYFUNCTION("""COMPUTED_VALUE"""),"6281559946320")</f>
        <v>6281559946320</v>
      </c>
      <c r="L87" s="5">
        <f>IFERROR(__xludf.DUMMYFUNCTION("""COMPUTED_VALUE"""),0.0)</f>
        <v>0</v>
      </c>
      <c r="M87" s="5">
        <f>IFERROR(__xludf.DUMMYFUNCTION("""COMPUTED_VALUE"""),1000000.0)</f>
        <v>1000000</v>
      </c>
      <c r="N87" s="5">
        <f>IFERROR(__xludf.DUMMYFUNCTION("""COMPUTED_VALUE"""),0.0)</f>
        <v>0</v>
      </c>
      <c r="O87" s="5">
        <f>IFERROR(__xludf.DUMMYFUNCTION("""COMPUTED_VALUE"""),1000000.0)</f>
        <v>1000000</v>
      </c>
      <c r="P87" s="4"/>
      <c r="Q87" s="4"/>
      <c r="R87" s="4"/>
      <c r="S87" s="3" t="str">
        <f>IFERROR(__xludf.DUMMYFUNCTION("""COMPUTED_VALUE"""),"Belum Lunas")</f>
        <v>Belum Lunas</v>
      </c>
    </row>
    <row r="88">
      <c r="A88" s="3">
        <f t="shared" si="1"/>
        <v>87</v>
      </c>
      <c r="B88" s="4" t="str">
        <f>IFERROR(__xludf.DUMMYFUNCTION("""COMPUTED_VALUE"""),"KHANSA ZARINA MISBACH")</f>
        <v>KHANSA ZARINA MISBACH</v>
      </c>
      <c r="C88" s="3">
        <f>IFERROR(__xludf.DUMMYFUNCTION("""COMPUTED_VALUE"""),2.024070585E9)</f>
        <v>2024070585</v>
      </c>
      <c r="D88" s="3" t="str">
        <f>IFERROR(__xludf.DUMMYFUNCTION("""COMPUTED_VALUE"""),"E")</f>
        <v>E</v>
      </c>
      <c r="E88" s="3" t="str">
        <f>IFERROR(__xludf.DUMMYFUNCTION("""COMPUTED_VALUE"""),"E-3")</f>
        <v>E-3</v>
      </c>
      <c r="F88" s="3">
        <f>IFERROR(__xludf.DUMMYFUNCTION("""COMPUTED_VALUE"""),3.0)</f>
        <v>3</v>
      </c>
      <c r="G88" s="3" t="str">
        <f>IFERROR(__xludf.DUMMYFUNCTION("""COMPUTED_VALUE"""),"3 ULA A PUTRI")</f>
        <v>3 ULA A PUTRI</v>
      </c>
      <c r="H88" s="3" t="str">
        <f>IFERROR(__xludf.DUMMYFUNCTION("""COMPUTED_VALUE"""),"MTS-9 B")</f>
        <v>MTS-9 B</v>
      </c>
      <c r="I88" s="4" t="str">
        <f>IFERROR(__xludf.DUMMYFUNCTION("""COMPUTED_VALUE"""),"MASLIHATIN")</f>
        <v>MASLIHATIN</v>
      </c>
      <c r="J88" s="4" t="str">
        <f>IFERROR(__xludf.DUMMYFUNCTION("""COMPUTED_VALUE"""),"BANGERAN RT 003 RW 002 DUKUN GRESIK")</f>
        <v>BANGERAN RT 003 RW 002 DUKUN GRESIK</v>
      </c>
      <c r="K88" s="4" t="str">
        <f>IFERROR(__xludf.DUMMYFUNCTION("""COMPUTED_VALUE"""),"6285784480833")</f>
        <v>6285784480833</v>
      </c>
      <c r="L88" s="5">
        <f>IFERROR(__xludf.DUMMYFUNCTION("""COMPUTED_VALUE"""),0.0)</f>
        <v>0</v>
      </c>
      <c r="M88" s="5">
        <f>IFERROR(__xludf.DUMMYFUNCTION("""COMPUTED_VALUE"""),1000000.0)</f>
        <v>1000000</v>
      </c>
      <c r="N88" s="5">
        <f>IFERROR(__xludf.DUMMYFUNCTION("""COMPUTED_VALUE"""),0.0)</f>
        <v>0</v>
      </c>
      <c r="O88" s="5">
        <f>IFERROR(__xludf.DUMMYFUNCTION("""COMPUTED_VALUE"""),1000000.0)</f>
        <v>1000000</v>
      </c>
      <c r="P88" s="4"/>
      <c r="Q88" s="4"/>
      <c r="R88" s="4"/>
      <c r="S88" s="3" t="str">
        <f>IFERROR(__xludf.DUMMYFUNCTION("""COMPUTED_VALUE"""),"Belum Lunas")</f>
        <v>Belum Lunas</v>
      </c>
    </row>
    <row r="89">
      <c r="A89" s="3">
        <f t="shared" si="1"/>
        <v>88</v>
      </c>
      <c r="B89" s="4" t="str">
        <f>IFERROR(__xludf.DUMMYFUNCTION("""COMPUTED_VALUE"""),"LAILA AININ NAF`AH")</f>
        <v>LAILA AININ NAF`AH</v>
      </c>
      <c r="C89" s="3">
        <f>IFERROR(__xludf.DUMMYFUNCTION("""COMPUTED_VALUE"""),2.024080769E9)</f>
        <v>2024080769</v>
      </c>
      <c r="D89" s="3" t="str">
        <f>IFERROR(__xludf.DUMMYFUNCTION("""COMPUTED_VALUE"""),"D")</f>
        <v>D</v>
      </c>
      <c r="E89" s="3" t="str">
        <f>IFERROR(__xludf.DUMMYFUNCTION("""COMPUTED_VALUE"""),"D-7")</f>
        <v>D-7</v>
      </c>
      <c r="F89" s="3">
        <f>IFERROR(__xludf.DUMMYFUNCTION("""COMPUTED_VALUE"""),3.0)</f>
        <v>3</v>
      </c>
      <c r="G89" s="3"/>
      <c r="H89" s="3" t="str">
        <f>IFERROR(__xludf.DUMMYFUNCTION("""COMPUTED_VALUE"""),"MTS-9 B")</f>
        <v>MTS-9 B</v>
      </c>
      <c r="I89" s="4" t="str">
        <f>IFERROR(__xludf.DUMMYFUNCTION("""COMPUTED_VALUE"""),"IFATUL AINIYAH")</f>
        <v>IFATUL AINIYAH</v>
      </c>
      <c r="J89" s="4" t="str">
        <f>IFERROR(__xludf.DUMMYFUNCTION("""COMPUTED_VALUE"""),"SUNGELEBAK RT 013 RW 004 KARANGGENENG LAMONGAN")</f>
        <v>SUNGELEBAK RT 013 RW 004 KARANGGENENG LAMONGAN</v>
      </c>
      <c r="K89" s="4" t="str">
        <f>IFERROR(__xludf.DUMMYFUNCTION("""COMPUTED_VALUE"""),"6289636729723")</f>
        <v>6289636729723</v>
      </c>
      <c r="L89" s="5">
        <f>IFERROR(__xludf.DUMMYFUNCTION("""COMPUTED_VALUE"""),0.0)</f>
        <v>0</v>
      </c>
      <c r="M89" s="5">
        <f>IFERROR(__xludf.DUMMYFUNCTION("""COMPUTED_VALUE"""),1000000.0)</f>
        <v>1000000</v>
      </c>
      <c r="N89" s="5">
        <f>IFERROR(__xludf.DUMMYFUNCTION("""COMPUTED_VALUE"""),0.0)</f>
        <v>0</v>
      </c>
      <c r="O89" s="5">
        <f>IFERROR(__xludf.DUMMYFUNCTION("""COMPUTED_VALUE"""),1000000.0)</f>
        <v>1000000</v>
      </c>
      <c r="P89" s="4"/>
      <c r="Q89" s="4"/>
      <c r="R89" s="4"/>
      <c r="S89" s="3" t="str">
        <f>IFERROR(__xludf.DUMMYFUNCTION("""COMPUTED_VALUE"""),"Belum Lunas")</f>
        <v>Belum Lunas</v>
      </c>
    </row>
    <row r="90">
      <c r="A90" s="3">
        <f t="shared" si="1"/>
        <v>89</v>
      </c>
      <c r="B90" s="4" t="str">
        <f>IFERROR(__xludf.DUMMYFUNCTION("""COMPUTED_VALUE"""),"M. FAHRY SATRIA KURNIAWAN")</f>
        <v>M. FAHRY SATRIA KURNIAWAN</v>
      </c>
      <c r="C90" s="3">
        <f>IFERROR(__xludf.DUMMYFUNCTION("""COMPUTED_VALUE"""),2.024070477E9)</f>
        <v>2024070477</v>
      </c>
      <c r="D90" s="3" t="str">
        <f>IFERROR(__xludf.DUMMYFUNCTION("""COMPUTED_VALUE"""),"A")</f>
        <v>A</v>
      </c>
      <c r="E90" s="3" t="str">
        <f>IFERROR(__xludf.DUMMYFUNCTION("""COMPUTED_VALUE"""),"A-8")</f>
        <v>A-8</v>
      </c>
      <c r="F90" s="3">
        <f>IFERROR(__xludf.DUMMYFUNCTION("""COMPUTED_VALUE"""),3.0)</f>
        <v>3</v>
      </c>
      <c r="G90" s="3" t="str">
        <f>IFERROR(__xludf.DUMMYFUNCTION("""COMPUTED_VALUE"""),"3 ULA A PUTRA")</f>
        <v>3 ULA A PUTRA</v>
      </c>
      <c r="H90" s="3" t="str">
        <f>IFERROR(__xludf.DUMMYFUNCTION("""COMPUTED_VALUE"""),"MTS-9 E")</f>
        <v>MTS-9 E</v>
      </c>
      <c r="I90" s="4" t="str">
        <f>IFERROR(__xludf.DUMMYFUNCTION("""COMPUTED_VALUE"""),"IVA WAHYU NINGSIH")</f>
        <v>IVA WAHYU NINGSIH</v>
      </c>
      <c r="J90" s="4" t="str">
        <f>IFERROR(__xludf.DUMMYFUNCTION("""COMPUTED_VALUE"""),"SUGIHWARAS RT 002 RW 001 DEKET LAMONGAN")</f>
        <v>SUGIHWARAS RT 002 RW 001 DEKET LAMONGAN</v>
      </c>
      <c r="K90" s="4" t="str">
        <f>IFERROR(__xludf.DUMMYFUNCTION("""COMPUTED_VALUE"""),"6282143497363")</f>
        <v>6282143497363</v>
      </c>
      <c r="L90" s="5">
        <f>IFERROR(__xludf.DUMMYFUNCTION("""COMPUTED_VALUE"""),0.0)</f>
        <v>0</v>
      </c>
      <c r="M90" s="5">
        <f>IFERROR(__xludf.DUMMYFUNCTION("""COMPUTED_VALUE"""),1000000.0)</f>
        <v>1000000</v>
      </c>
      <c r="N90" s="5">
        <f>IFERROR(__xludf.DUMMYFUNCTION("""COMPUTED_VALUE"""),0.0)</f>
        <v>0</v>
      </c>
      <c r="O90" s="5">
        <f>IFERROR(__xludf.DUMMYFUNCTION("""COMPUTED_VALUE"""),1000000.0)</f>
        <v>1000000</v>
      </c>
      <c r="P90" s="4"/>
      <c r="Q90" s="4"/>
      <c r="R90" s="4"/>
      <c r="S90" s="3" t="str">
        <f>IFERROR(__xludf.DUMMYFUNCTION("""COMPUTED_VALUE"""),"Belum Lunas")</f>
        <v>Belum Lunas</v>
      </c>
    </row>
    <row r="91">
      <c r="A91" s="3">
        <f t="shared" si="1"/>
        <v>90</v>
      </c>
      <c r="B91" s="4" t="str">
        <f>IFERROR(__xludf.DUMMYFUNCTION("""COMPUTED_VALUE"""),"MARCELIA CRENATA SHINTA DEWI")</f>
        <v>MARCELIA CRENATA SHINTA DEWI</v>
      </c>
      <c r="C91" s="3">
        <f>IFERROR(__xludf.DUMMYFUNCTION("""COMPUTED_VALUE"""),2.024070426E9)</f>
        <v>2024070426</v>
      </c>
      <c r="D91" s="3" t="str">
        <f>IFERROR(__xludf.DUMMYFUNCTION("""COMPUTED_VALUE"""),"D")</f>
        <v>D</v>
      </c>
      <c r="E91" s="3" t="str">
        <f>IFERROR(__xludf.DUMMYFUNCTION("""COMPUTED_VALUE"""),"D-7")</f>
        <v>D-7</v>
      </c>
      <c r="F91" s="3">
        <f>IFERROR(__xludf.DUMMYFUNCTION("""COMPUTED_VALUE"""),3.0)</f>
        <v>3</v>
      </c>
      <c r="G91" s="3" t="str">
        <f>IFERROR(__xludf.DUMMYFUNCTION("""COMPUTED_VALUE"""),"3 MAK PUTRI")</f>
        <v>3 MAK PUTRI</v>
      </c>
      <c r="H91" s="3" t="str">
        <f>IFERROR(__xludf.DUMMYFUNCTION("""COMPUTED_VALUE"""),"MA-XII.13")</f>
        <v>MA-XII.13</v>
      </c>
      <c r="I91" s="4" t="str">
        <f>IFERROR(__xludf.DUMMYFUNCTION("""COMPUTED_VALUE"""),"YULIATI")</f>
        <v>YULIATI</v>
      </c>
      <c r="J91" s="4" t="str">
        <f>IFERROR(__xludf.DUMMYFUNCTION("""COMPUTED_VALUE"""),"GEDANGAN RT 004 RW 003 GEDANGAN SIDOARJO")</f>
        <v>GEDANGAN RT 004 RW 003 GEDANGAN SIDOARJO</v>
      </c>
      <c r="K91" s="4" t="str">
        <f>IFERROR(__xludf.DUMMYFUNCTION("""COMPUTED_VALUE"""),"6281312701983")</f>
        <v>6281312701983</v>
      </c>
      <c r="L91" s="5">
        <f>IFERROR(__xludf.DUMMYFUNCTION("""COMPUTED_VALUE"""),0.0)</f>
        <v>0</v>
      </c>
      <c r="M91" s="5">
        <f>IFERROR(__xludf.DUMMYFUNCTION("""COMPUTED_VALUE"""),1000000.0)</f>
        <v>1000000</v>
      </c>
      <c r="N91" s="5">
        <f>IFERROR(__xludf.DUMMYFUNCTION("""COMPUTED_VALUE"""),0.0)</f>
        <v>0</v>
      </c>
      <c r="O91" s="5">
        <f>IFERROR(__xludf.DUMMYFUNCTION("""COMPUTED_VALUE"""),1000000.0)</f>
        <v>1000000</v>
      </c>
      <c r="P91" s="4"/>
      <c r="Q91" s="4"/>
      <c r="R91" s="4"/>
      <c r="S91" s="3" t="str">
        <f>IFERROR(__xludf.DUMMYFUNCTION("""COMPUTED_VALUE"""),"Belum Lunas")</f>
        <v>Belum Lunas</v>
      </c>
    </row>
    <row r="92">
      <c r="A92" s="3">
        <f t="shared" si="1"/>
        <v>91</v>
      </c>
      <c r="B92" s="4" t="str">
        <f>IFERROR(__xludf.DUMMYFUNCTION("""COMPUTED_VALUE"""),"MECCA MIKAILA")</f>
        <v>MECCA MIKAILA</v>
      </c>
      <c r="C92" s="3">
        <f>IFERROR(__xludf.DUMMYFUNCTION("""COMPUTED_VALUE"""),2.024070539E9)</f>
        <v>2024070539</v>
      </c>
      <c r="D92" s="3" t="str">
        <f>IFERROR(__xludf.DUMMYFUNCTION("""COMPUTED_VALUE"""),"C")</f>
        <v>C</v>
      </c>
      <c r="E92" s="3" t="str">
        <f>IFERROR(__xludf.DUMMYFUNCTION("""COMPUTED_VALUE"""),"C-13")</f>
        <v>C-13</v>
      </c>
      <c r="F92" s="3">
        <f>IFERROR(__xludf.DUMMYFUNCTION("""COMPUTED_VALUE"""),3.0)</f>
        <v>3</v>
      </c>
      <c r="G92" s="3" t="str">
        <f>IFERROR(__xludf.DUMMYFUNCTION("""COMPUTED_VALUE"""),"3 ULA B PUTRI")</f>
        <v>3 ULA B PUTRI</v>
      </c>
      <c r="H92" s="3" t="str">
        <f>IFERROR(__xludf.DUMMYFUNCTION("""COMPUTED_VALUE"""),"MTS-9 H")</f>
        <v>MTS-9 H</v>
      </c>
      <c r="I92" s="4" t="str">
        <f>IFERROR(__xludf.DUMMYFUNCTION("""COMPUTED_VALUE"""),"SUSIAMI KHOIRUL UYUN")</f>
        <v>SUSIAMI KHOIRUL UYUN</v>
      </c>
      <c r="J92" s="4" t="str">
        <f>IFERROR(__xludf.DUMMYFUNCTION("""COMPUTED_VALUE"""),"KARANGCANGKRING RT 004 RW 002 DUKUN GRESIK")</f>
        <v>KARANGCANGKRING RT 004 RW 002 DUKUN GRESIK</v>
      </c>
      <c r="K92" s="4" t="str">
        <f>IFERROR(__xludf.DUMMYFUNCTION("""COMPUTED_VALUE"""),"6285843253842")</f>
        <v>6285843253842</v>
      </c>
      <c r="L92" s="5">
        <f>IFERROR(__xludf.DUMMYFUNCTION("""COMPUTED_VALUE"""),0.0)</f>
        <v>0</v>
      </c>
      <c r="M92" s="5">
        <f>IFERROR(__xludf.DUMMYFUNCTION("""COMPUTED_VALUE"""),1000000.0)</f>
        <v>1000000</v>
      </c>
      <c r="N92" s="5">
        <f>IFERROR(__xludf.DUMMYFUNCTION("""COMPUTED_VALUE"""),0.0)</f>
        <v>0</v>
      </c>
      <c r="O92" s="5">
        <f>IFERROR(__xludf.DUMMYFUNCTION("""COMPUTED_VALUE"""),1000000.0)</f>
        <v>1000000</v>
      </c>
      <c r="P92" s="4"/>
      <c r="Q92" s="4"/>
      <c r="R92" s="4"/>
      <c r="S92" s="3" t="str">
        <f>IFERROR(__xludf.DUMMYFUNCTION("""COMPUTED_VALUE"""),"Belum Lunas")</f>
        <v>Belum Lunas</v>
      </c>
    </row>
    <row r="93">
      <c r="A93" s="3">
        <f t="shared" si="1"/>
        <v>92</v>
      </c>
      <c r="B93" s="4" t="str">
        <f>IFERROR(__xludf.DUMMYFUNCTION("""COMPUTED_VALUE"""),"MOHAMAD ARZAQ DWI SAPUTRA")</f>
        <v>MOHAMAD ARZAQ DWI SAPUTRA</v>
      </c>
      <c r="C93" s="3">
        <f>IFERROR(__xludf.DUMMYFUNCTION("""COMPUTED_VALUE"""),2.024070529E9)</f>
        <v>2024070529</v>
      </c>
      <c r="D93" s="3" t="str">
        <f>IFERROR(__xludf.DUMMYFUNCTION("""COMPUTED_VALUE"""),"A")</f>
        <v>A</v>
      </c>
      <c r="E93" s="3" t="str">
        <f>IFERROR(__xludf.DUMMYFUNCTION("""COMPUTED_VALUE"""),"A-8")</f>
        <v>A-8</v>
      </c>
      <c r="F93" s="3">
        <f>IFERROR(__xludf.DUMMYFUNCTION("""COMPUTED_VALUE"""),3.0)</f>
        <v>3</v>
      </c>
      <c r="G93" s="3" t="str">
        <f>IFERROR(__xludf.DUMMYFUNCTION("""COMPUTED_VALUE"""),"3 ULA A PUTRA")</f>
        <v>3 ULA A PUTRA</v>
      </c>
      <c r="H93" s="3" t="str">
        <f>IFERROR(__xludf.DUMMYFUNCTION("""COMPUTED_VALUE"""),"MTS-9 D")</f>
        <v>MTS-9 D</v>
      </c>
      <c r="I93" s="4" t="str">
        <f>IFERROR(__xludf.DUMMYFUNCTION("""COMPUTED_VALUE"""),"UMMU ZAHROTIN")</f>
        <v>UMMU ZAHROTIN</v>
      </c>
      <c r="J93" s="4" t="str">
        <f>IFERROR(__xludf.DUMMYFUNCTION("""COMPUTED_VALUE"""),"TRACAL RT 003 RW 003 KARANGGENENG LAMONGAN")</f>
        <v>TRACAL RT 003 RW 003 KARANGGENENG LAMONGAN</v>
      </c>
      <c r="K93" s="4" t="str">
        <f>IFERROR(__xludf.DUMMYFUNCTION("""COMPUTED_VALUE"""),"6287794604684")</f>
        <v>6287794604684</v>
      </c>
      <c r="L93" s="5">
        <f>IFERROR(__xludf.DUMMYFUNCTION("""COMPUTED_VALUE"""),0.0)</f>
        <v>0</v>
      </c>
      <c r="M93" s="5">
        <f>IFERROR(__xludf.DUMMYFUNCTION("""COMPUTED_VALUE"""),1000000.0)</f>
        <v>1000000</v>
      </c>
      <c r="N93" s="5">
        <f>IFERROR(__xludf.DUMMYFUNCTION("""COMPUTED_VALUE"""),0.0)</f>
        <v>0</v>
      </c>
      <c r="O93" s="5">
        <f>IFERROR(__xludf.DUMMYFUNCTION("""COMPUTED_VALUE"""),1000000.0)</f>
        <v>1000000</v>
      </c>
      <c r="P93" s="4"/>
      <c r="Q93" s="4"/>
      <c r="R93" s="4"/>
      <c r="S93" s="3" t="str">
        <f>IFERROR(__xludf.DUMMYFUNCTION("""COMPUTED_VALUE"""),"Belum Lunas")</f>
        <v>Belum Lunas</v>
      </c>
    </row>
    <row r="94">
      <c r="A94" s="3">
        <f t="shared" si="1"/>
        <v>93</v>
      </c>
      <c r="B94" s="4" t="str">
        <f>IFERROR(__xludf.DUMMYFUNCTION("""COMPUTED_VALUE"""),"MUHAMMAD NASRUL FALAQ")</f>
        <v>MUHAMMAD NASRUL FALAQ</v>
      </c>
      <c r="C94" s="3">
        <f>IFERROR(__xludf.DUMMYFUNCTION("""COMPUTED_VALUE"""),2.024070695E9)</f>
        <v>2024070695</v>
      </c>
      <c r="D94" s="3" t="str">
        <f>IFERROR(__xludf.DUMMYFUNCTION("""COMPUTED_VALUE"""),"A")</f>
        <v>A</v>
      </c>
      <c r="E94" s="3" t="str">
        <f>IFERROR(__xludf.DUMMYFUNCTION("""COMPUTED_VALUE"""),"A-12")</f>
        <v>A-12</v>
      </c>
      <c r="F94" s="3">
        <f>IFERROR(__xludf.DUMMYFUNCTION("""COMPUTED_VALUE"""),3.0)</f>
        <v>3</v>
      </c>
      <c r="G94" s="3" t="str">
        <f>IFERROR(__xludf.DUMMYFUNCTION("""COMPUTED_VALUE"""),"3 WUSTHO PUTRA")</f>
        <v>3 WUSTHO PUTRA</v>
      </c>
      <c r="H94" s="3" t="str">
        <f>IFERROR(__xludf.DUMMYFUNCTION("""COMPUTED_VALUE"""),"SMK-XII TKJ 1")</f>
        <v>SMK-XII TKJ 1</v>
      </c>
      <c r="I94" s="4" t="str">
        <f>IFERROR(__xludf.DUMMYFUNCTION("""COMPUTED_VALUE"""),"IFA TRIANA")</f>
        <v>IFA TRIANA</v>
      </c>
      <c r="J94" s="4" t="str">
        <f>IFERROR(__xludf.DUMMYFUNCTION("""COMPUTED_VALUE"""),"WONOKERTO RT 017 RW 003 DUKUN GRESIK")</f>
        <v>WONOKERTO RT 017 RW 003 DUKUN GRESIK</v>
      </c>
      <c r="K94" s="4" t="str">
        <f>IFERROR(__xludf.DUMMYFUNCTION("""COMPUTED_VALUE"""),"6285602657179")</f>
        <v>6285602657179</v>
      </c>
      <c r="L94" s="5">
        <f>IFERROR(__xludf.DUMMYFUNCTION("""COMPUTED_VALUE"""),0.0)</f>
        <v>0</v>
      </c>
      <c r="M94" s="5">
        <f>IFERROR(__xludf.DUMMYFUNCTION("""COMPUTED_VALUE"""),1000000.0)</f>
        <v>1000000</v>
      </c>
      <c r="N94" s="5">
        <f>IFERROR(__xludf.DUMMYFUNCTION("""COMPUTED_VALUE"""),0.0)</f>
        <v>0</v>
      </c>
      <c r="O94" s="5">
        <f>IFERROR(__xludf.DUMMYFUNCTION("""COMPUTED_VALUE"""),1000000.0)</f>
        <v>1000000</v>
      </c>
      <c r="P94" s="4"/>
      <c r="Q94" s="4"/>
      <c r="R94" s="4"/>
      <c r="S94" s="3" t="str">
        <f>IFERROR(__xludf.DUMMYFUNCTION("""COMPUTED_VALUE"""),"Belum Lunas")</f>
        <v>Belum Lunas</v>
      </c>
    </row>
    <row r="95">
      <c r="A95" s="3">
        <f t="shared" si="1"/>
        <v>94</v>
      </c>
      <c r="B95" s="4" t="str">
        <f>IFERROR(__xludf.DUMMYFUNCTION("""COMPUTED_VALUE"""),"NAALAT SYAFA`ATUL UDHMA")</f>
        <v>NAALAT SYAFA`ATUL UDHMA</v>
      </c>
      <c r="C95" s="3">
        <f>IFERROR(__xludf.DUMMYFUNCTION("""COMPUTED_VALUE"""),2.024070604E9)</f>
        <v>2024070604</v>
      </c>
      <c r="D95" s="3" t="str">
        <f>IFERROR(__xludf.DUMMYFUNCTION("""COMPUTED_VALUE"""),"E")</f>
        <v>E</v>
      </c>
      <c r="E95" s="3" t="str">
        <f>IFERROR(__xludf.DUMMYFUNCTION("""COMPUTED_VALUE"""),"E-3")</f>
        <v>E-3</v>
      </c>
      <c r="F95" s="3">
        <f>IFERROR(__xludf.DUMMYFUNCTION("""COMPUTED_VALUE"""),3.0)</f>
        <v>3</v>
      </c>
      <c r="G95" s="3" t="str">
        <f>IFERROR(__xludf.DUMMYFUNCTION("""COMPUTED_VALUE"""),"3 ULA A PUTRI")</f>
        <v>3 ULA A PUTRI</v>
      </c>
      <c r="H95" s="3" t="str">
        <f>IFERROR(__xludf.DUMMYFUNCTION("""COMPUTED_VALUE"""),"MTS-9 D")</f>
        <v>MTS-9 D</v>
      </c>
      <c r="I95" s="4" t="str">
        <f>IFERROR(__xludf.DUMMYFUNCTION("""COMPUTED_VALUE"""),"MAFTUHATUL AFLAHAH")</f>
        <v>MAFTUHATUL AFLAHAH</v>
      </c>
      <c r="J95" s="4" t="str">
        <f>IFERROR(__xludf.DUMMYFUNCTION("""COMPUTED_VALUE"""),"BANGERAN RT 006 RW 002 DUKUN GRESIK")</f>
        <v>BANGERAN RT 006 RW 002 DUKUN GRESIK</v>
      </c>
      <c r="K95" s="4" t="str">
        <f>IFERROR(__xludf.DUMMYFUNCTION("""COMPUTED_VALUE"""),"6285749469938")</f>
        <v>6285749469938</v>
      </c>
      <c r="L95" s="5">
        <f>IFERROR(__xludf.DUMMYFUNCTION("""COMPUTED_VALUE"""),0.0)</f>
        <v>0</v>
      </c>
      <c r="M95" s="5">
        <f>IFERROR(__xludf.DUMMYFUNCTION("""COMPUTED_VALUE"""),1000000.0)</f>
        <v>1000000</v>
      </c>
      <c r="N95" s="5">
        <f>IFERROR(__xludf.DUMMYFUNCTION("""COMPUTED_VALUE"""),0.0)</f>
        <v>0</v>
      </c>
      <c r="O95" s="5">
        <f>IFERROR(__xludf.DUMMYFUNCTION("""COMPUTED_VALUE"""),1000000.0)</f>
        <v>1000000</v>
      </c>
      <c r="P95" s="4"/>
      <c r="Q95" s="4"/>
      <c r="R95" s="4"/>
      <c r="S95" s="3" t="str">
        <f>IFERROR(__xludf.DUMMYFUNCTION("""COMPUTED_VALUE"""),"Belum Lunas")</f>
        <v>Belum Lunas</v>
      </c>
    </row>
    <row r="96">
      <c r="A96" s="3">
        <f t="shared" si="1"/>
        <v>95</v>
      </c>
      <c r="B96" s="4" t="str">
        <f>IFERROR(__xludf.DUMMYFUNCTION("""COMPUTED_VALUE"""),"NIRMA LAILATUL AIDA")</f>
        <v>NIRMA LAILATUL AIDA</v>
      </c>
      <c r="C96" s="3">
        <f>IFERROR(__xludf.DUMMYFUNCTION("""COMPUTED_VALUE"""),2.024070541E9)</f>
        <v>2024070541</v>
      </c>
      <c r="D96" s="3" t="str">
        <f>IFERROR(__xludf.DUMMYFUNCTION("""COMPUTED_VALUE"""),"E")</f>
        <v>E</v>
      </c>
      <c r="E96" s="3" t="str">
        <f>IFERROR(__xludf.DUMMYFUNCTION("""COMPUTED_VALUE"""),"E-2")</f>
        <v>E-2</v>
      </c>
      <c r="F96" s="3">
        <f>IFERROR(__xludf.DUMMYFUNCTION("""COMPUTED_VALUE"""),3.0)</f>
        <v>3</v>
      </c>
      <c r="G96" s="3" t="str">
        <f>IFERROR(__xludf.DUMMYFUNCTION("""COMPUTED_VALUE"""),"3 ULA A PUTRI")</f>
        <v>3 ULA A PUTRI</v>
      </c>
      <c r="H96" s="3" t="str">
        <f>IFERROR(__xludf.DUMMYFUNCTION("""COMPUTED_VALUE"""),"MTS-9 B")</f>
        <v>MTS-9 B</v>
      </c>
      <c r="I96" s="4" t="str">
        <f>IFERROR(__xludf.DUMMYFUNCTION("""COMPUTED_VALUE"""),"SITI RIFATIN")</f>
        <v>SITI RIFATIN</v>
      </c>
      <c r="J96" s="4" t="str">
        <f>IFERROR(__xludf.DUMMYFUNCTION("""COMPUTED_VALUE"""),"DAGAN RT 005 RW 001 SOLOKURO LAMONGAN")</f>
        <v>DAGAN RT 005 RW 001 SOLOKURO LAMONGAN</v>
      </c>
      <c r="K96" s="4" t="str">
        <f>IFERROR(__xludf.DUMMYFUNCTION("""COMPUTED_VALUE"""),"6285855714013")</f>
        <v>6285855714013</v>
      </c>
      <c r="L96" s="5">
        <f>IFERROR(__xludf.DUMMYFUNCTION("""COMPUTED_VALUE"""),0.0)</f>
        <v>0</v>
      </c>
      <c r="M96" s="5">
        <f>IFERROR(__xludf.DUMMYFUNCTION("""COMPUTED_VALUE"""),1000000.0)</f>
        <v>1000000</v>
      </c>
      <c r="N96" s="5">
        <f>IFERROR(__xludf.DUMMYFUNCTION("""COMPUTED_VALUE"""),0.0)</f>
        <v>0</v>
      </c>
      <c r="O96" s="5">
        <f>IFERROR(__xludf.DUMMYFUNCTION("""COMPUTED_VALUE"""),1000000.0)</f>
        <v>1000000</v>
      </c>
      <c r="P96" s="4"/>
      <c r="Q96" s="4"/>
      <c r="R96" s="4"/>
      <c r="S96" s="3" t="str">
        <f>IFERROR(__xludf.DUMMYFUNCTION("""COMPUTED_VALUE"""),"Belum Lunas")</f>
        <v>Belum Lunas</v>
      </c>
    </row>
    <row r="97">
      <c r="A97" s="3">
        <f t="shared" si="1"/>
        <v>96</v>
      </c>
      <c r="B97" s="4" t="str">
        <f>IFERROR(__xludf.DUMMYFUNCTION("""COMPUTED_VALUE"""),"NUR LABIBATUS SHOLIHAH")</f>
        <v>NUR LABIBATUS SHOLIHAH</v>
      </c>
      <c r="C97" s="3">
        <f>IFERROR(__xludf.DUMMYFUNCTION("""COMPUTED_VALUE"""),2.024070568E9)</f>
        <v>2024070568</v>
      </c>
      <c r="D97" s="3" t="str">
        <f>IFERROR(__xludf.DUMMYFUNCTION("""COMPUTED_VALUE"""),"E")</f>
        <v>E</v>
      </c>
      <c r="E97" s="3" t="str">
        <f>IFERROR(__xludf.DUMMYFUNCTION("""COMPUTED_VALUE"""),"E-3")</f>
        <v>E-3</v>
      </c>
      <c r="F97" s="3">
        <f>IFERROR(__xludf.DUMMYFUNCTION("""COMPUTED_VALUE"""),3.0)</f>
        <v>3</v>
      </c>
      <c r="G97" s="3" t="str">
        <f>IFERROR(__xludf.DUMMYFUNCTION("""COMPUTED_VALUE"""),"3 ULA A PUTRI")</f>
        <v>3 ULA A PUTRI</v>
      </c>
      <c r="H97" s="3" t="str">
        <f>IFERROR(__xludf.DUMMYFUNCTION("""COMPUTED_VALUE"""),"MTS-9 D")</f>
        <v>MTS-9 D</v>
      </c>
      <c r="I97" s="4" t="str">
        <f>IFERROR(__xludf.DUMMYFUNCTION("""COMPUTED_VALUE"""),"SITI MAIMANAH")</f>
        <v>SITI MAIMANAH</v>
      </c>
      <c r="J97" s="4" t="str">
        <f>IFERROR(__xludf.DUMMYFUNCTION("""COMPUTED_VALUE"""),"TINARO DUKUHAGUNG RT 005 RW 004 TIKUNG LAMONGAN")</f>
        <v>TINARO DUKUHAGUNG RT 005 RW 004 TIKUNG LAMONGAN</v>
      </c>
      <c r="K97" s="4" t="str">
        <f>IFERROR(__xludf.DUMMYFUNCTION("""COMPUTED_VALUE"""),"6285853423327")</f>
        <v>6285853423327</v>
      </c>
      <c r="L97" s="5">
        <f>IFERROR(__xludf.DUMMYFUNCTION("""COMPUTED_VALUE"""),0.0)</f>
        <v>0</v>
      </c>
      <c r="M97" s="5">
        <f>IFERROR(__xludf.DUMMYFUNCTION("""COMPUTED_VALUE"""),1000000.0)</f>
        <v>1000000</v>
      </c>
      <c r="N97" s="5">
        <f>IFERROR(__xludf.DUMMYFUNCTION("""COMPUTED_VALUE"""),0.0)</f>
        <v>0</v>
      </c>
      <c r="O97" s="5">
        <f>IFERROR(__xludf.DUMMYFUNCTION("""COMPUTED_VALUE"""),1000000.0)</f>
        <v>1000000</v>
      </c>
      <c r="P97" s="4"/>
      <c r="Q97" s="4"/>
      <c r="R97" s="4"/>
      <c r="S97" s="3" t="str">
        <f>IFERROR(__xludf.DUMMYFUNCTION("""COMPUTED_VALUE"""),"Belum Lunas")</f>
        <v>Belum Lunas</v>
      </c>
    </row>
    <row r="98">
      <c r="A98" s="3">
        <f t="shared" si="1"/>
        <v>97</v>
      </c>
      <c r="B98" s="4" t="str">
        <f>IFERROR(__xludf.DUMMYFUNCTION("""COMPUTED_VALUE"""),"NURUL IFADATUL HASANAH")</f>
        <v>NURUL IFADATUL HASANAH</v>
      </c>
      <c r="C98" s="3">
        <f>IFERROR(__xludf.DUMMYFUNCTION("""COMPUTED_VALUE"""),2.024070542E9)</f>
        <v>2024070542</v>
      </c>
      <c r="D98" s="3" t="str">
        <f>IFERROR(__xludf.DUMMYFUNCTION("""COMPUTED_VALUE"""),"E")</f>
        <v>E</v>
      </c>
      <c r="E98" s="3" t="str">
        <f>IFERROR(__xludf.DUMMYFUNCTION("""COMPUTED_VALUE"""),"E-3")</f>
        <v>E-3</v>
      </c>
      <c r="F98" s="3">
        <f>IFERROR(__xludf.DUMMYFUNCTION("""COMPUTED_VALUE"""),3.0)</f>
        <v>3</v>
      </c>
      <c r="G98" s="3" t="str">
        <f>IFERROR(__xludf.DUMMYFUNCTION("""COMPUTED_VALUE"""),"3 ULA B PUTRI")</f>
        <v>3 ULA B PUTRI</v>
      </c>
      <c r="H98" s="3" t="str">
        <f>IFERROR(__xludf.DUMMYFUNCTION("""COMPUTED_VALUE"""),"MTS-9 B")</f>
        <v>MTS-9 B</v>
      </c>
      <c r="I98" s="4" t="str">
        <f>IFERROR(__xludf.DUMMYFUNCTION("""COMPUTED_VALUE"""),"SUTU MUNTASIROH")</f>
        <v>SUTU MUNTASIROH</v>
      </c>
      <c r="J98" s="4" t="str">
        <f>IFERROR(__xludf.DUMMYFUNCTION("""COMPUTED_VALUE"""),"DAGAN RT 005 RW 001 SOLOKURO LAMONGAN")</f>
        <v>DAGAN RT 005 RW 001 SOLOKURO LAMONGAN</v>
      </c>
      <c r="K98" s="4" t="str">
        <f>IFERROR(__xludf.DUMMYFUNCTION("""COMPUTED_VALUE"""),"6282230412303")</f>
        <v>6282230412303</v>
      </c>
      <c r="L98" s="5">
        <f>IFERROR(__xludf.DUMMYFUNCTION("""COMPUTED_VALUE"""),0.0)</f>
        <v>0</v>
      </c>
      <c r="M98" s="5">
        <f>IFERROR(__xludf.DUMMYFUNCTION("""COMPUTED_VALUE"""),1000000.0)</f>
        <v>1000000</v>
      </c>
      <c r="N98" s="5">
        <f>IFERROR(__xludf.DUMMYFUNCTION("""COMPUTED_VALUE"""),0.0)</f>
        <v>0</v>
      </c>
      <c r="O98" s="5">
        <f>IFERROR(__xludf.DUMMYFUNCTION("""COMPUTED_VALUE"""),1000000.0)</f>
        <v>1000000</v>
      </c>
      <c r="P98" s="4"/>
      <c r="Q98" s="4"/>
      <c r="R98" s="4"/>
      <c r="S98" s="3" t="str">
        <f>IFERROR(__xludf.DUMMYFUNCTION("""COMPUTED_VALUE"""),"Belum Lunas")</f>
        <v>Belum Lunas</v>
      </c>
    </row>
    <row r="99">
      <c r="A99" s="3">
        <f t="shared" si="1"/>
        <v>98</v>
      </c>
      <c r="B99" s="4" t="str">
        <f>IFERROR(__xludf.DUMMYFUNCTION("""COMPUTED_VALUE"""),"QUEENSHA KHAURA AFIQAH AL AZIFA")</f>
        <v>QUEENSHA KHAURA AFIQAH AL AZIFA</v>
      </c>
      <c r="C99" s="3">
        <f>IFERROR(__xludf.DUMMYFUNCTION("""COMPUTED_VALUE"""),2.024070647E9)</f>
        <v>2024070647</v>
      </c>
      <c r="D99" s="3" t="str">
        <f>IFERROR(__xludf.DUMMYFUNCTION("""COMPUTED_VALUE"""),"E")</f>
        <v>E</v>
      </c>
      <c r="E99" s="3" t="str">
        <f>IFERROR(__xludf.DUMMYFUNCTION("""COMPUTED_VALUE"""),"E-9")</f>
        <v>E-9</v>
      </c>
      <c r="F99" s="3">
        <f>IFERROR(__xludf.DUMMYFUNCTION("""COMPUTED_VALUE"""),3.0)</f>
        <v>3</v>
      </c>
      <c r="G99" s="3" t="str">
        <f>IFERROR(__xludf.DUMMYFUNCTION("""COMPUTED_VALUE"""),"3 ULA B PUTRI")</f>
        <v>3 ULA B PUTRI</v>
      </c>
      <c r="H99" s="3" t="str">
        <f>IFERROR(__xludf.DUMMYFUNCTION("""COMPUTED_VALUE"""),"MTS-9 A")</f>
        <v>MTS-9 A</v>
      </c>
      <c r="I99" s="4" t="str">
        <f>IFERROR(__xludf.DUMMYFUNCTION("""COMPUTED_VALUE"""),"FARIHATUN NI`MAH")</f>
        <v>FARIHATUN NI`MAH</v>
      </c>
      <c r="J99" s="4" t="str">
        <f>IFERROR(__xludf.DUMMYFUNCTION("""COMPUTED_VALUE"""),"JABANG LOR SIDOMULYO RT 002 RW 006 SEMEN KEDIRI")</f>
        <v>JABANG LOR SIDOMULYO RT 002 RW 006 SEMEN KEDIRI</v>
      </c>
      <c r="K99" s="4" t="str">
        <f>IFERROR(__xludf.DUMMYFUNCTION("""COMPUTED_VALUE"""),"628573050168")</f>
        <v>628573050168</v>
      </c>
      <c r="L99" s="5">
        <f>IFERROR(__xludf.DUMMYFUNCTION("""COMPUTED_VALUE"""),0.0)</f>
        <v>0</v>
      </c>
      <c r="M99" s="5">
        <f>IFERROR(__xludf.DUMMYFUNCTION("""COMPUTED_VALUE"""),1000000.0)</f>
        <v>1000000</v>
      </c>
      <c r="N99" s="5">
        <f>IFERROR(__xludf.DUMMYFUNCTION("""COMPUTED_VALUE"""),0.0)</f>
        <v>0</v>
      </c>
      <c r="O99" s="5">
        <f>IFERROR(__xludf.DUMMYFUNCTION("""COMPUTED_VALUE"""),1000000.0)</f>
        <v>1000000</v>
      </c>
      <c r="P99" s="4"/>
      <c r="Q99" s="4"/>
      <c r="R99" s="4"/>
      <c r="S99" s="3" t="str">
        <f>IFERROR(__xludf.DUMMYFUNCTION("""COMPUTED_VALUE"""),"Belum Lunas")</f>
        <v>Belum Lunas</v>
      </c>
    </row>
    <row r="100">
      <c r="A100" s="3">
        <f t="shared" si="1"/>
        <v>99</v>
      </c>
      <c r="B100" s="4" t="str">
        <f>IFERROR(__xludf.DUMMYFUNCTION("""COMPUTED_VALUE"""),"RENY ARYSTA MIERZA")</f>
        <v>RENY ARYSTA MIERZA</v>
      </c>
      <c r="C100" s="3">
        <f>IFERROR(__xludf.DUMMYFUNCTION("""COMPUTED_VALUE"""),2.024070583E9)</f>
        <v>2024070583</v>
      </c>
      <c r="D100" s="3" t="str">
        <f>IFERROR(__xludf.DUMMYFUNCTION("""COMPUTED_VALUE"""),"E")</f>
        <v>E</v>
      </c>
      <c r="E100" s="3" t="str">
        <f>IFERROR(__xludf.DUMMYFUNCTION("""COMPUTED_VALUE"""),"E-9")</f>
        <v>E-9</v>
      </c>
      <c r="F100" s="3">
        <f>IFERROR(__xludf.DUMMYFUNCTION("""COMPUTED_VALUE"""),3.0)</f>
        <v>3</v>
      </c>
      <c r="G100" s="3" t="str">
        <f>IFERROR(__xludf.DUMMYFUNCTION("""COMPUTED_VALUE"""),"3 ULA B PUTRI")</f>
        <v>3 ULA B PUTRI</v>
      </c>
      <c r="H100" s="3" t="str">
        <f>IFERROR(__xludf.DUMMYFUNCTION("""COMPUTED_VALUE"""),"MTS-9 A")</f>
        <v>MTS-9 A</v>
      </c>
      <c r="I100" s="4" t="str">
        <f>IFERROR(__xludf.DUMMYFUNCTION("""COMPUTED_VALUE"""),"MARDLUYATUS SHOIFAH")</f>
        <v>MARDLUYATUS SHOIFAH</v>
      </c>
      <c r="J100" s="4" t="str">
        <f>IFERROR(__xludf.DUMMYFUNCTION("""COMPUTED_VALUE"""),"BANGERAN GENENG RT 005 RW 003 DUKUN GRESIK")</f>
        <v>BANGERAN GENENG RT 005 RW 003 DUKUN GRESIK</v>
      </c>
      <c r="K100" s="4" t="str">
        <f>IFERROR(__xludf.DUMMYFUNCTION("""COMPUTED_VALUE"""),"6285655316635")</f>
        <v>6285655316635</v>
      </c>
      <c r="L100" s="5">
        <f>IFERROR(__xludf.DUMMYFUNCTION("""COMPUTED_VALUE"""),0.0)</f>
        <v>0</v>
      </c>
      <c r="M100" s="5">
        <f>IFERROR(__xludf.DUMMYFUNCTION("""COMPUTED_VALUE"""),1000000.0)</f>
        <v>1000000</v>
      </c>
      <c r="N100" s="5">
        <f>IFERROR(__xludf.DUMMYFUNCTION("""COMPUTED_VALUE"""),0.0)</f>
        <v>0</v>
      </c>
      <c r="O100" s="5">
        <f>IFERROR(__xludf.DUMMYFUNCTION("""COMPUTED_VALUE"""),1000000.0)</f>
        <v>1000000</v>
      </c>
      <c r="P100" s="4"/>
      <c r="Q100" s="4"/>
      <c r="R100" s="4"/>
      <c r="S100" s="3" t="str">
        <f>IFERROR(__xludf.DUMMYFUNCTION("""COMPUTED_VALUE"""),"Belum Lunas")</f>
        <v>Belum Lunas</v>
      </c>
    </row>
    <row r="101">
      <c r="A101" s="3">
        <f t="shared" si="1"/>
        <v>100</v>
      </c>
      <c r="B101" s="4" t="str">
        <f>IFERROR(__xludf.DUMMYFUNCTION("""COMPUTED_VALUE"""),"SALSABILLA DWI APRILLIA")</f>
        <v>SALSABILLA DWI APRILLIA</v>
      </c>
      <c r="C101" s="3">
        <f>IFERROR(__xludf.DUMMYFUNCTION("""COMPUTED_VALUE"""),2.024090774E9)</f>
        <v>2024090774</v>
      </c>
      <c r="D101" s="3" t="str">
        <f>IFERROR(__xludf.DUMMYFUNCTION("""COMPUTED_VALUE"""),"D")</f>
        <v>D</v>
      </c>
      <c r="E101" s="3" t="str">
        <f>IFERROR(__xludf.DUMMYFUNCTION("""COMPUTED_VALUE"""),"D-4")</f>
        <v>D-4</v>
      </c>
      <c r="F101" s="3">
        <f>IFERROR(__xludf.DUMMYFUNCTION("""COMPUTED_VALUE"""),3.0)</f>
        <v>3</v>
      </c>
      <c r="G101" s="3"/>
      <c r="H101" s="3" t="str">
        <f>IFERROR(__xludf.DUMMYFUNCTION("""COMPUTED_VALUE"""),"MTS-9 H")</f>
        <v>MTS-9 H</v>
      </c>
      <c r="I101" s="4" t="str">
        <f>IFERROR(__xludf.DUMMYFUNCTION("""COMPUTED_VALUE"""),"ERNA WATI")</f>
        <v>ERNA WATI</v>
      </c>
      <c r="J101" s="4" t="str">
        <f>IFERROR(__xludf.DUMMYFUNCTION("""COMPUTED_VALUE"""),"DORO KARANGWEDORO RT 006 RW 004 TURI LAMONGAN")</f>
        <v>DORO KARANGWEDORO RT 006 RW 004 TURI LAMONGAN</v>
      </c>
      <c r="K101" s="4" t="str">
        <f>IFERROR(__xludf.DUMMYFUNCTION("""COMPUTED_VALUE"""),"6285648660015")</f>
        <v>6285648660015</v>
      </c>
      <c r="L101" s="5">
        <f>IFERROR(__xludf.DUMMYFUNCTION("""COMPUTED_VALUE"""),0.0)</f>
        <v>0</v>
      </c>
      <c r="M101" s="5">
        <f>IFERROR(__xludf.DUMMYFUNCTION("""COMPUTED_VALUE"""),1000000.0)</f>
        <v>1000000</v>
      </c>
      <c r="N101" s="5">
        <f>IFERROR(__xludf.DUMMYFUNCTION("""COMPUTED_VALUE"""),0.0)</f>
        <v>0</v>
      </c>
      <c r="O101" s="5">
        <f>IFERROR(__xludf.DUMMYFUNCTION("""COMPUTED_VALUE"""),1000000.0)</f>
        <v>1000000</v>
      </c>
      <c r="P101" s="4"/>
      <c r="Q101" s="4"/>
      <c r="R101" s="4"/>
      <c r="S101" s="3" t="str">
        <f>IFERROR(__xludf.DUMMYFUNCTION("""COMPUTED_VALUE"""),"Belum Lunas")</f>
        <v>Belum Lunas</v>
      </c>
    </row>
    <row r="102">
      <c r="A102" s="3">
        <f t="shared" si="1"/>
        <v>101</v>
      </c>
      <c r="B102" s="4" t="str">
        <f>IFERROR(__xludf.DUMMYFUNCTION("""COMPUTED_VALUE"""),"BENY OCKTA")</f>
        <v>BENY OCKTA</v>
      </c>
      <c r="C102" s="3">
        <f>IFERROR(__xludf.DUMMYFUNCTION("""COMPUTED_VALUE"""),2.024070602E9)</f>
        <v>2024070602</v>
      </c>
      <c r="D102" s="3" t="str">
        <f>IFERROR(__xludf.DUMMYFUNCTION("""COMPUTED_VALUE"""),"A")</f>
        <v>A</v>
      </c>
      <c r="E102" s="3" t="str">
        <f>IFERROR(__xludf.DUMMYFUNCTION("""COMPUTED_VALUE"""),"A-7")</f>
        <v>A-7</v>
      </c>
      <c r="F102" s="3">
        <f>IFERROR(__xludf.DUMMYFUNCTION("""COMPUTED_VALUE"""),3.0)</f>
        <v>3</v>
      </c>
      <c r="G102" s="3" t="str">
        <f>IFERROR(__xludf.DUMMYFUNCTION("""COMPUTED_VALUE"""),"3 ULA B PUTRA")</f>
        <v>3 ULA B PUTRA</v>
      </c>
      <c r="H102" s="3" t="str">
        <f>IFERROR(__xludf.DUMMYFUNCTION("""COMPUTED_VALUE"""),"MTS-9 F")</f>
        <v>MTS-9 F</v>
      </c>
      <c r="I102" s="4" t="str">
        <f>IFERROR(__xludf.DUMMYFUNCTION("""COMPUTED_VALUE"""),"SUSANTI")</f>
        <v>SUSANTI</v>
      </c>
      <c r="J102" s="4" t="str">
        <f>IFERROR(__xludf.DUMMYFUNCTION("""COMPUTED_VALUE"""),"WEDENG SUKOREJO RT 001 RW 003 KARANGBINANGUN LAMONGAN")</f>
        <v>WEDENG SUKOREJO RT 001 RW 003 KARANGBINANGUN LAMONGAN</v>
      </c>
      <c r="K102" s="4" t="str">
        <f>IFERROR(__xludf.DUMMYFUNCTION("""COMPUTED_VALUE"""),"6285252386649")</f>
        <v>6285252386649</v>
      </c>
      <c r="L102" s="5">
        <f>IFERROR(__xludf.DUMMYFUNCTION("""COMPUTED_VALUE"""),0.0)</f>
        <v>0</v>
      </c>
      <c r="M102" s="5">
        <f>IFERROR(__xludf.DUMMYFUNCTION("""COMPUTED_VALUE"""),1000000.0)</f>
        <v>1000000</v>
      </c>
      <c r="N102" s="5">
        <f>IFERROR(__xludf.DUMMYFUNCTION("""COMPUTED_VALUE"""),250000.0)</f>
        <v>250000</v>
      </c>
      <c r="O102" s="5">
        <f>IFERROR(__xludf.DUMMYFUNCTION("""COMPUTED_VALUE"""),1250000.0)</f>
        <v>1250000</v>
      </c>
      <c r="P102" s="4"/>
      <c r="Q102" s="4"/>
      <c r="R102" s="4"/>
      <c r="S102" s="3" t="str">
        <f>IFERROR(__xludf.DUMMYFUNCTION("""COMPUTED_VALUE"""),"Belum Lunas")</f>
        <v>Belum Lunas</v>
      </c>
    </row>
    <row r="103">
      <c r="A103" s="3">
        <f t="shared" si="1"/>
        <v>102</v>
      </c>
      <c r="B103" s="4" t="str">
        <f>IFERROR(__xludf.DUMMYFUNCTION("""COMPUTED_VALUE"""),"A`ISY SANIYA AZZAM")</f>
        <v>A`ISY SANIYA AZZAM</v>
      </c>
      <c r="C103" s="3">
        <f>IFERROR(__xludf.DUMMYFUNCTION("""COMPUTED_VALUE"""),2.02407037E9)</f>
        <v>2024070370</v>
      </c>
      <c r="D103" s="3" t="str">
        <f>IFERROR(__xludf.DUMMYFUNCTION("""COMPUTED_VALUE"""),"D")</f>
        <v>D</v>
      </c>
      <c r="E103" s="3" t="str">
        <f>IFERROR(__xludf.DUMMYFUNCTION("""COMPUTED_VALUE"""),"D-6")</f>
        <v>D-6</v>
      </c>
      <c r="F103" s="3">
        <f>IFERROR(__xludf.DUMMYFUNCTION("""COMPUTED_VALUE"""),3.0)</f>
        <v>3</v>
      </c>
      <c r="G103" s="3"/>
      <c r="H103" s="3" t="str">
        <f>IFERROR(__xludf.DUMMYFUNCTION("""COMPUTED_VALUE"""),"MA-XII.12")</f>
        <v>MA-XII.12</v>
      </c>
      <c r="I103" s="4" t="str">
        <f>IFERROR(__xludf.DUMMYFUNCTION("""COMPUTED_VALUE"""),"ANISWATUL HASANAH")</f>
        <v>ANISWATUL HASANAH</v>
      </c>
      <c r="J103" s="4" t="str">
        <f>IFERROR(__xludf.DUMMYFUNCTION("""COMPUTED_VALUE"""),"BALAN BANJAREJO RT 4 RW 6 SUKODADI LAMONGAN")</f>
        <v>BALAN BANJAREJO RT 4 RW 6 SUKODADI LAMONGAN</v>
      </c>
      <c r="K103" s="4" t="str">
        <f>IFERROR(__xludf.DUMMYFUNCTION("""COMPUTED_VALUE"""),"6285645020382")</f>
        <v>6285645020382</v>
      </c>
      <c r="L103" s="5">
        <f>IFERROR(__xludf.DUMMYFUNCTION("""COMPUTED_VALUE"""),1350000.0)</f>
        <v>1350000</v>
      </c>
      <c r="M103" s="5">
        <f>IFERROR(__xludf.DUMMYFUNCTION("""COMPUTED_VALUE"""),0.0)</f>
        <v>0</v>
      </c>
      <c r="N103" s="5">
        <f>IFERROR(__xludf.DUMMYFUNCTION("""COMPUTED_VALUE"""),0.0)</f>
        <v>0</v>
      </c>
      <c r="O103" s="5">
        <f>IFERROR(__xludf.DUMMYFUNCTION("""COMPUTED_VALUE"""),1350000.0)</f>
        <v>1350000</v>
      </c>
      <c r="P103" s="4"/>
      <c r="Q103" s="4"/>
      <c r="R103" s="4"/>
      <c r="S103" s="3" t="str">
        <f>IFERROR(__xludf.DUMMYFUNCTION("""COMPUTED_VALUE"""),"Belum Lunas")</f>
        <v>Belum Lunas</v>
      </c>
    </row>
    <row r="104">
      <c r="A104" s="3">
        <f t="shared" si="1"/>
        <v>103</v>
      </c>
      <c r="B104" s="4" t="str">
        <f>IFERROR(__xludf.DUMMYFUNCTION("""COMPUTED_VALUE"""),"DIAH MAHARANI ARDININGRUM")</f>
        <v>DIAH MAHARANI ARDININGRUM</v>
      </c>
      <c r="C104" s="3">
        <f>IFERROR(__xludf.DUMMYFUNCTION("""COMPUTED_VALUE"""),2.024080767E9)</f>
        <v>2024080767</v>
      </c>
      <c r="D104" s="3" t="str">
        <f>IFERROR(__xludf.DUMMYFUNCTION("""COMPUTED_VALUE"""),"D")</f>
        <v>D</v>
      </c>
      <c r="E104" s="3" t="str">
        <f>IFERROR(__xludf.DUMMYFUNCTION("""COMPUTED_VALUE"""),"D-7")</f>
        <v>D-7</v>
      </c>
      <c r="F104" s="3">
        <f>IFERROR(__xludf.DUMMYFUNCTION("""COMPUTED_VALUE"""),3.0)</f>
        <v>3</v>
      </c>
      <c r="G104" s="3" t="str">
        <f>IFERROR(__xludf.DUMMYFUNCTION("""COMPUTED_VALUE"""),"3 ULA B PUTRI")</f>
        <v>3 ULA B PUTRI</v>
      </c>
      <c r="H104" s="3" t="str">
        <f>IFERROR(__xludf.DUMMYFUNCTION("""COMPUTED_VALUE"""),"MTS-9 A")</f>
        <v>MTS-9 A</v>
      </c>
      <c r="I104" s="4" t="str">
        <f>IFERROR(__xludf.DUMMYFUNCTION("""COMPUTED_VALUE"""),"KHUSNUL KHOTIMAH")</f>
        <v>KHUSNUL KHOTIMAH</v>
      </c>
      <c r="J104" s="4" t="str">
        <f>IFERROR(__xludf.DUMMYFUNCTION("""COMPUTED_VALUE"""),"PRAMBON PUCANGTELU RT 005 RW 002 KALITENGAH LAMONGAN")</f>
        <v>PRAMBON PUCANGTELU RT 005 RW 002 KALITENGAH LAMONGAN</v>
      </c>
      <c r="K104" s="4" t="str">
        <f>IFERROR(__xludf.DUMMYFUNCTION("""COMPUTED_VALUE"""),"62881217430350")</f>
        <v>62881217430350</v>
      </c>
      <c r="L104" s="5">
        <f>IFERROR(__xludf.DUMMYFUNCTION("""COMPUTED_VALUE"""),1350000.0)</f>
        <v>1350000</v>
      </c>
      <c r="M104" s="5">
        <f>IFERROR(__xludf.DUMMYFUNCTION("""COMPUTED_VALUE"""),0.0)</f>
        <v>0</v>
      </c>
      <c r="N104" s="5">
        <f>IFERROR(__xludf.DUMMYFUNCTION("""COMPUTED_VALUE"""),0.0)</f>
        <v>0</v>
      </c>
      <c r="O104" s="5">
        <f>IFERROR(__xludf.DUMMYFUNCTION("""COMPUTED_VALUE"""),1350000.0)</f>
        <v>1350000</v>
      </c>
      <c r="P104" s="4"/>
      <c r="Q104" s="4"/>
      <c r="R104" s="4"/>
      <c r="S104" s="3" t="str">
        <f>IFERROR(__xludf.DUMMYFUNCTION("""COMPUTED_VALUE"""),"Belum Lunas")</f>
        <v>Belum Lunas</v>
      </c>
    </row>
    <row r="105">
      <c r="A105" s="3">
        <f t="shared" si="1"/>
        <v>104</v>
      </c>
      <c r="B105" s="4" t="str">
        <f>IFERROR(__xludf.DUMMYFUNCTION("""COMPUTED_VALUE"""),"FILDZAH ALTOFUN NESA")</f>
        <v>FILDZAH ALTOFUN NESA</v>
      </c>
      <c r="C105" s="3">
        <f>IFERROR(__xludf.DUMMYFUNCTION("""COMPUTED_VALUE"""),2.024070549E9)</f>
        <v>2024070549</v>
      </c>
      <c r="D105" s="3" t="str">
        <f>IFERROR(__xludf.DUMMYFUNCTION("""COMPUTED_VALUE"""),"C")</f>
        <v>C</v>
      </c>
      <c r="E105" s="3" t="str">
        <f>IFERROR(__xludf.DUMMYFUNCTION("""COMPUTED_VALUE"""),"C-12")</f>
        <v>C-12</v>
      </c>
      <c r="F105" s="3">
        <f>IFERROR(__xludf.DUMMYFUNCTION("""COMPUTED_VALUE"""),3.0)</f>
        <v>3</v>
      </c>
      <c r="G105" s="3" t="str">
        <f>IFERROR(__xludf.DUMMYFUNCTION("""COMPUTED_VALUE"""),"3 ULA B PUTRI")</f>
        <v>3 ULA B PUTRI</v>
      </c>
      <c r="H105" s="3" t="str">
        <f>IFERROR(__xludf.DUMMYFUNCTION("""COMPUTED_VALUE"""),"MTS-9 G")</f>
        <v>MTS-9 G</v>
      </c>
      <c r="I105" s="4" t="str">
        <f>IFERROR(__xludf.DUMMYFUNCTION("""COMPUTED_VALUE"""),"LUSIANA DWININGTIAS")</f>
        <v>LUSIANA DWININGTIAS</v>
      </c>
      <c r="J105" s="4" t="str">
        <f>IFERROR(__xludf.DUMMYFUNCTION("""COMPUTED_VALUE"""),"NGULEK KALIREJO RT 003 RW 002 DUKUN GRESIK")</f>
        <v>NGULEK KALIREJO RT 003 RW 002 DUKUN GRESIK</v>
      </c>
      <c r="K105" s="4" t="str">
        <f>IFERROR(__xludf.DUMMYFUNCTION("""COMPUTED_VALUE"""),"628121719135")</f>
        <v>628121719135</v>
      </c>
      <c r="L105" s="5">
        <f>IFERROR(__xludf.DUMMYFUNCTION("""COMPUTED_VALUE"""),1350000.0)</f>
        <v>1350000</v>
      </c>
      <c r="M105" s="5">
        <f>IFERROR(__xludf.DUMMYFUNCTION("""COMPUTED_VALUE"""),0.0)</f>
        <v>0</v>
      </c>
      <c r="N105" s="5">
        <f>IFERROR(__xludf.DUMMYFUNCTION("""COMPUTED_VALUE"""),0.0)</f>
        <v>0</v>
      </c>
      <c r="O105" s="5">
        <f>IFERROR(__xludf.DUMMYFUNCTION("""COMPUTED_VALUE"""),1350000.0)</f>
        <v>1350000</v>
      </c>
      <c r="P105" s="4"/>
      <c r="Q105" s="4"/>
      <c r="R105" s="4"/>
      <c r="S105" s="3" t="str">
        <f>IFERROR(__xludf.DUMMYFUNCTION("""COMPUTED_VALUE"""),"Belum Lunas")</f>
        <v>Belum Lunas</v>
      </c>
    </row>
    <row r="106">
      <c r="A106" s="3">
        <f t="shared" si="1"/>
        <v>105</v>
      </c>
      <c r="B106" s="4" t="str">
        <f>IFERROR(__xludf.DUMMYFUNCTION("""COMPUTED_VALUE"""),"MUHAMMAD VICTOR NAJIB BAIHAQI")</f>
        <v>MUHAMMAD VICTOR NAJIB BAIHAQI</v>
      </c>
      <c r="C106" s="3">
        <f>IFERROR(__xludf.DUMMYFUNCTION("""COMPUTED_VALUE"""),2.024070217E9)</f>
        <v>2024070217</v>
      </c>
      <c r="D106" s="3" t="str">
        <f>IFERROR(__xludf.DUMMYFUNCTION("""COMPUTED_VALUE"""),"A")</f>
        <v>A</v>
      </c>
      <c r="E106" s="3" t="str">
        <f>IFERROR(__xludf.DUMMYFUNCTION("""COMPUTED_VALUE"""),"A-12")</f>
        <v>A-12</v>
      </c>
      <c r="F106" s="3">
        <f>IFERROR(__xludf.DUMMYFUNCTION("""COMPUTED_VALUE"""),3.0)</f>
        <v>3</v>
      </c>
      <c r="G106" s="3" t="str">
        <f>IFERROR(__xludf.DUMMYFUNCTION("""COMPUTED_VALUE"""),"3 WUSTHO PUTRA")</f>
        <v>3 WUSTHO PUTRA</v>
      </c>
      <c r="H106" s="3" t="str">
        <f>IFERROR(__xludf.DUMMYFUNCTION("""COMPUTED_VALUE"""),"MA-XII.6")</f>
        <v>MA-XII.6</v>
      </c>
      <c r="I106" s="4" t="str">
        <f>IFERROR(__xludf.DUMMYFUNCTION("""COMPUTED_VALUE"""),"RENI FATMAWATI")</f>
        <v>RENI FATMAWATI</v>
      </c>
      <c r="J106" s="4" t="str">
        <f>IFERROR(__xludf.DUMMYFUNCTION("""COMPUTED_VALUE"""),"WEDENG SUKOREJO RT 002 RW 002 KARANGBINANGUN LAMONGAN")</f>
        <v>WEDENG SUKOREJO RT 002 RW 002 KARANGBINANGUN LAMONGAN</v>
      </c>
      <c r="K106" s="4" t="str">
        <f>IFERROR(__xludf.DUMMYFUNCTION("""COMPUTED_VALUE"""),"6285646194740")</f>
        <v>6285646194740</v>
      </c>
      <c r="L106" s="5">
        <f>IFERROR(__xludf.DUMMYFUNCTION("""COMPUTED_VALUE"""),1350000.0)</f>
        <v>1350000</v>
      </c>
      <c r="M106" s="5">
        <f>IFERROR(__xludf.DUMMYFUNCTION("""COMPUTED_VALUE"""),0.0)</f>
        <v>0</v>
      </c>
      <c r="N106" s="5">
        <f>IFERROR(__xludf.DUMMYFUNCTION("""COMPUTED_VALUE"""),0.0)</f>
        <v>0</v>
      </c>
      <c r="O106" s="5">
        <f>IFERROR(__xludf.DUMMYFUNCTION("""COMPUTED_VALUE"""),1350000.0)</f>
        <v>1350000</v>
      </c>
      <c r="P106" s="4"/>
      <c r="Q106" s="4"/>
      <c r="R106" s="4"/>
      <c r="S106" s="3" t="str">
        <f>IFERROR(__xludf.DUMMYFUNCTION("""COMPUTED_VALUE"""),"Belum Lunas")</f>
        <v>Belum Lunas</v>
      </c>
    </row>
    <row r="107">
      <c r="A107" s="3">
        <f t="shared" si="1"/>
        <v>106</v>
      </c>
      <c r="B107" s="4" t="str">
        <f>IFERROR(__xludf.DUMMYFUNCTION("""COMPUTED_VALUE"""),"ALIFIA SEPTIANI AZ ZAHRA")</f>
        <v>ALIFIA SEPTIANI AZ ZAHRA</v>
      </c>
      <c r="C107" s="3">
        <f>IFERROR(__xludf.DUMMYFUNCTION("""COMPUTED_VALUE"""),2.024090773E9)</f>
        <v>2024090773</v>
      </c>
      <c r="D107" s="3" t="str">
        <f>IFERROR(__xludf.DUMMYFUNCTION("""COMPUTED_VALUE"""),"B")</f>
        <v>B</v>
      </c>
      <c r="E107" s="3" t="str">
        <f>IFERROR(__xludf.DUMMYFUNCTION("""COMPUTED_VALUE"""),"B-9")</f>
        <v>B-9</v>
      </c>
      <c r="F107" s="3">
        <f>IFERROR(__xludf.DUMMYFUNCTION("""COMPUTED_VALUE"""),3.0)</f>
        <v>3</v>
      </c>
      <c r="G107" s="3" t="str">
        <f>IFERROR(__xludf.DUMMYFUNCTION("""COMPUTED_VALUE"""),"3 ULA C PUTRI")</f>
        <v>3 ULA C PUTRI</v>
      </c>
      <c r="H107" s="3" t="str">
        <f>IFERROR(__xludf.DUMMYFUNCTION("""COMPUTED_VALUE"""),"MTS-9 C")</f>
        <v>MTS-9 C</v>
      </c>
      <c r="I107" s="4" t="str">
        <f>IFERROR(__xludf.DUMMYFUNCTION("""COMPUTED_VALUE"""),"KHOIRUL FITRI")</f>
        <v>KHOIRUL FITRI</v>
      </c>
      <c r="J107" s="4" t="str">
        <f>IFERROR(__xludf.DUMMYFUNCTION("""COMPUTED_VALUE"""),"DORO KARANGWEDORO RT 006 RW 002 TURI LAMONGAN")</f>
        <v>DORO KARANGWEDORO RT 006 RW 002 TURI LAMONGAN</v>
      </c>
      <c r="K107" s="4" t="str">
        <f>IFERROR(__xludf.DUMMYFUNCTION("""COMPUTED_VALUE"""),"6281556637615")</f>
        <v>6281556637615</v>
      </c>
      <c r="L107" s="5">
        <f>IFERROR(__xludf.DUMMYFUNCTION("""COMPUTED_VALUE"""),900000.0)</f>
        <v>900000</v>
      </c>
      <c r="M107" s="5">
        <f>IFERROR(__xludf.DUMMYFUNCTION("""COMPUTED_VALUE"""),500000.0)</f>
        <v>500000</v>
      </c>
      <c r="N107" s="5">
        <f>IFERROR(__xludf.DUMMYFUNCTION("""COMPUTED_VALUE"""),0.0)</f>
        <v>0</v>
      </c>
      <c r="O107" s="5">
        <f>IFERROR(__xludf.DUMMYFUNCTION("""COMPUTED_VALUE"""),1400000.0)</f>
        <v>1400000</v>
      </c>
      <c r="P107" s="4"/>
      <c r="Q107" s="4"/>
      <c r="R107" s="4"/>
      <c r="S107" s="3" t="str">
        <f>IFERROR(__xludf.DUMMYFUNCTION("""COMPUTED_VALUE"""),"Belum Lunas")</f>
        <v>Belum Lunas</v>
      </c>
    </row>
    <row r="108">
      <c r="A108" s="3">
        <f t="shared" si="1"/>
        <v>107</v>
      </c>
      <c r="B108" s="4" t="str">
        <f>IFERROR(__xludf.DUMMYFUNCTION("""COMPUTED_VALUE"""),"ANINDYA FAZURA RAHMA")</f>
        <v>ANINDYA FAZURA RAHMA</v>
      </c>
      <c r="C108" s="3">
        <f>IFERROR(__xludf.DUMMYFUNCTION("""COMPUTED_VALUE"""),2.024070675E9)</f>
        <v>2024070675</v>
      </c>
      <c r="D108" s="3" t="str">
        <f>IFERROR(__xludf.DUMMYFUNCTION("""COMPUTED_VALUE"""),"B")</f>
        <v>B</v>
      </c>
      <c r="E108" s="3" t="str">
        <f>IFERROR(__xludf.DUMMYFUNCTION("""COMPUTED_VALUE"""),"B-4")</f>
        <v>B-4</v>
      </c>
      <c r="F108" s="3">
        <f>IFERROR(__xludf.DUMMYFUNCTION("""COMPUTED_VALUE"""),3.0)</f>
        <v>3</v>
      </c>
      <c r="G108" s="3" t="str">
        <f>IFERROR(__xludf.DUMMYFUNCTION("""COMPUTED_VALUE"""),"3 WUSTHO C PUTRI")</f>
        <v>3 WUSTHO C PUTRI</v>
      </c>
      <c r="H108" s="3" t="str">
        <f>IFERROR(__xludf.DUMMYFUNCTION("""COMPUTED_VALUE"""),"SMK-XII BD")</f>
        <v>SMK-XII BD</v>
      </c>
      <c r="I108" s="4" t="str">
        <f>IFERROR(__xludf.DUMMYFUNCTION("""COMPUTED_VALUE"""),"HUBBATUN NAJAH")</f>
        <v>HUBBATUN NAJAH</v>
      </c>
      <c r="J108" s="4" t="str">
        <f>IFERROR(__xludf.DUMMYFUNCTION("""COMPUTED_VALUE"""),"BANGERAN RT 001 RW 001 DUKUN GRESIK")</f>
        <v>BANGERAN RT 001 RW 001 DUKUN GRESIK</v>
      </c>
      <c r="K108" s="4" t="str">
        <f>IFERROR(__xludf.DUMMYFUNCTION("""COMPUTED_VALUE"""),"6281357042388")</f>
        <v>6281357042388</v>
      </c>
      <c r="L108" s="5">
        <f>IFERROR(__xludf.DUMMYFUNCTION("""COMPUTED_VALUE"""),900000.0)</f>
        <v>900000</v>
      </c>
      <c r="M108" s="5">
        <f>IFERROR(__xludf.DUMMYFUNCTION("""COMPUTED_VALUE"""),500000.0)</f>
        <v>500000</v>
      </c>
      <c r="N108" s="5">
        <f>IFERROR(__xludf.DUMMYFUNCTION("""COMPUTED_VALUE"""),0.0)</f>
        <v>0</v>
      </c>
      <c r="O108" s="5">
        <f>IFERROR(__xludf.DUMMYFUNCTION("""COMPUTED_VALUE"""),1400000.0)</f>
        <v>1400000</v>
      </c>
      <c r="P108" s="4"/>
      <c r="Q108" s="4"/>
      <c r="R108" s="4"/>
      <c r="S108" s="3" t="str">
        <f>IFERROR(__xludf.DUMMYFUNCTION("""COMPUTED_VALUE"""),"Belum Lunas")</f>
        <v>Belum Lunas</v>
      </c>
    </row>
    <row r="109">
      <c r="A109" s="3">
        <f t="shared" si="1"/>
        <v>108</v>
      </c>
      <c r="B109" s="4" t="str">
        <f>IFERROR(__xludf.DUMMYFUNCTION("""COMPUTED_VALUE"""),"ARVEL ALIF SYAIFULLAH")</f>
        <v>ARVEL ALIF SYAIFULLAH</v>
      </c>
      <c r="C109" s="3">
        <f>IFERROR(__xludf.DUMMYFUNCTION("""COMPUTED_VALUE"""),2.024070652E9)</f>
        <v>2024070652</v>
      </c>
      <c r="D109" s="3" t="str">
        <f>IFERROR(__xludf.DUMMYFUNCTION("""COMPUTED_VALUE"""),"A")</f>
        <v>A</v>
      </c>
      <c r="E109" s="3" t="str">
        <f>IFERROR(__xludf.DUMMYFUNCTION("""COMPUTED_VALUE"""),"A-7")</f>
        <v>A-7</v>
      </c>
      <c r="F109" s="3">
        <f>IFERROR(__xludf.DUMMYFUNCTION("""COMPUTED_VALUE"""),3.0)</f>
        <v>3</v>
      </c>
      <c r="G109" s="3" t="str">
        <f>IFERROR(__xludf.DUMMYFUNCTION("""COMPUTED_VALUE"""),"3 ULA A PUTRA")</f>
        <v>3 ULA A PUTRA</v>
      </c>
      <c r="H109" s="3" t="str">
        <f>IFERROR(__xludf.DUMMYFUNCTION("""COMPUTED_VALUE"""),"MTS-9 F")</f>
        <v>MTS-9 F</v>
      </c>
      <c r="I109" s="4" t="str">
        <f>IFERROR(__xludf.DUMMYFUNCTION("""COMPUTED_VALUE"""),"DEWI IRMAWATI")</f>
        <v>DEWI IRMAWATI</v>
      </c>
      <c r="J109" s="4" t="str">
        <f>IFERROR(__xludf.DUMMYFUNCTION("""COMPUTED_VALUE"""),"DUKUH GEMPOL PENDOWO RT 004 RW 002 GLAGAH LAMONGAN")</f>
        <v>DUKUH GEMPOL PENDOWO RT 004 RW 002 GLAGAH LAMONGAN</v>
      </c>
      <c r="K109" s="4" t="str">
        <f>IFERROR(__xludf.DUMMYFUNCTION("""COMPUTED_VALUE"""),"6282139016910")</f>
        <v>6282139016910</v>
      </c>
      <c r="L109" s="5">
        <f>IFERROR(__xludf.DUMMYFUNCTION("""COMPUTED_VALUE"""),900000.0)</f>
        <v>900000</v>
      </c>
      <c r="M109" s="5">
        <f>IFERROR(__xludf.DUMMYFUNCTION("""COMPUTED_VALUE"""),500000.0)</f>
        <v>500000</v>
      </c>
      <c r="N109" s="5">
        <f>IFERROR(__xludf.DUMMYFUNCTION("""COMPUTED_VALUE"""),0.0)</f>
        <v>0</v>
      </c>
      <c r="O109" s="5">
        <f>IFERROR(__xludf.DUMMYFUNCTION("""COMPUTED_VALUE"""),1400000.0)</f>
        <v>1400000</v>
      </c>
      <c r="P109" s="4"/>
      <c r="Q109" s="4"/>
      <c r="R109" s="4"/>
      <c r="S109" s="3" t="str">
        <f>IFERROR(__xludf.DUMMYFUNCTION("""COMPUTED_VALUE"""),"Belum Lunas")</f>
        <v>Belum Lunas</v>
      </c>
    </row>
    <row r="110">
      <c r="A110" s="3">
        <f t="shared" si="1"/>
        <v>109</v>
      </c>
      <c r="B110" s="4" t="str">
        <f>IFERROR(__xludf.DUMMYFUNCTION("""COMPUTED_VALUE"""),"JESSICA SALSABILA")</f>
        <v>JESSICA SALSABILA</v>
      </c>
      <c r="C110" s="3">
        <f>IFERROR(__xludf.DUMMYFUNCTION("""COMPUTED_VALUE"""),2.024070564E9)</f>
        <v>2024070564</v>
      </c>
      <c r="D110" s="3" t="str">
        <f>IFERROR(__xludf.DUMMYFUNCTION("""COMPUTED_VALUE"""),"B")</f>
        <v>B</v>
      </c>
      <c r="E110" s="3" t="str">
        <f>IFERROR(__xludf.DUMMYFUNCTION("""COMPUTED_VALUE"""),"B-9")</f>
        <v>B-9</v>
      </c>
      <c r="F110" s="3">
        <f>IFERROR(__xludf.DUMMYFUNCTION("""COMPUTED_VALUE"""),3.0)</f>
        <v>3</v>
      </c>
      <c r="G110" s="3" t="str">
        <f>IFERROR(__xludf.DUMMYFUNCTION("""COMPUTED_VALUE"""),"3 ULA A PUTRI")</f>
        <v>3 ULA A PUTRI</v>
      </c>
      <c r="H110" s="3" t="str">
        <f>IFERROR(__xludf.DUMMYFUNCTION("""COMPUTED_VALUE"""),"MTS-9 H")</f>
        <v>MTS-9 H</v>
      </c>
      <c r="I110" s="4" t="str">
        <f>IFERROR(__xludf.DUMMYFUNCTION("""COMPUTED_VALUE"""),"NUR MILA")</f>
        <v>NUR MILA</v>
      </c>
      <c r="J110" s="4" t="str">
        <f>IFERROR(__xludf.DUMMYFUNCTION("""COMPUTED_VALUE"""),"KEDUNG KAMPIL SUKOSONGO RT - RW - KEMBANGBAHU LAMONGAN")</f>
        <v>KEDUNG KAMPIL SUKOSONGO RT - RW - KEMBANGBAHU LAMONGAN</v>
      </c>
      <c r="K110" s="4" t="str">
        <f>IFERROR(__xludf.DUMMYFUNCTION("""COMPUTED_VALUE"""),"628585260032")</f>
        <v>628585260032</v>
      </c>
      <c r="L110" s="5">
        <f>IFERROR(__xludf.DUMMYFUNCTION("""COMPUTED_VALUE"""),900000.0)</f>
        <v>900000</v>
      </c>
      <c r="M110" s="5">
        <f>IFERROR(__xludf.DUMMYFUNCTION("""COMPUTED_VALUE"""),500000.0)</f>
        <v>500000</v>
      </c>
      <c r="N110" s="5">
        <f>IFERROR(__xludf.DUMMYFUNCTION("""COMPUTED_VALUE"""),0.0)</f>
        <v>0</v>
      </c>
      <c r="O110" s="5">
        <f>IFERROR(__xludf.DUMMYFUNCTION("""COMPUTED_VALUE"""),1400000.0)</f>
        <v>1400000</v>
      </c>
      <c r="P110" s="4"/>
      <c r="Q110" s="4"/>
      <c r="R110" s="4"/>
      <c r="S110" s="3" t="str">
        <f>IFERROR(__xludf.DUMMYFUNCTION("""COMPUTED_VALUE"""),"Belum Lunas")</f>
        <v>Belum Lunas</v>
      </c>
    </row>
    <row r="111">
      <c r="A111" s="3">
        <f t="shared" si="1"/>
        <v>110</v>
      </c>
      <c r="B111" s="4" t="str">
        <f>IFERROR(__xludf.DUMMYFUNCTION("""COMPUTED_VALUE"""),"KHAYLA NOVITA PUTRI")</f>
        <v>KHAYLA NOVITA PUTRI</v>
      </c>
      <c r="C111" s="3">
        <f>IFERROR(__xludf.DUMMYFUNCTION("""COMPUTED_VALUE"""),2.0240705E9)</f>
        <v>2024070500</v>
      </c>
      <c r="D111" s="3" t="str">
        <f>IFERROR(__xludf.DUMMYFUNCTION("""COMPUTED_VALUE"""),"B")</f>
        <v>B</v>
      </c>
      <c r="E111" s="3" t="str">
        <f>IFERROR(__xludf.DUMMYFUNCTION("""COMPUTED_VALUE"""),"B-9")</f>
        <v>B-9</v>
      </c>
      <c r="F111" s="3">
        <f>IFERROR(__xludf.DUMMYFUNCTION("""COMPUTED_VALUE"""),3.0)</f>
        <v>3</v>
      </c>
      <c r="G111" s="3" t="str">
        <f>IFERROR(__xludf.DUMMYFUNCTION("""COMPUTED_VALUE"""),"3 ULA B PUTRI")</f>
        <v>3 ULA B PUTRI</v>
      </c>
      <c r="H111" s="3" t="str">
        <f>IFERROR(__xludf.DUMMYFUNCTION("""COMPUTED_VALUE"""),"MTS-9 D")</f>
        <v>MTS-9 D</v>
      </c>
      <c r="I111" s="4" t="str">
        <f>IFERROR(__xludf.DUMMYFUNCTION("""COMPUTED_VALUE"""),"DWI KRISTINA")</f>
        <v>DWI KRISTINA</v>
      </c>
      <c r="J111" s="4" t="str">
        <f>IFERROR(__xludf.DUMMYFUNCTION("""COMPUTED_VALUE"""),"BUCUKIDUL MENGANTI RT 004 RW 001 GLAGAH LAMONGAN")</f>
        <v>BUCUKIDUL MENGANTI RT 004 RW 001 GLAGAH LAMONGAN</v>
      </c>
      <c r="K111" s="4" t="str">
        <f>IFERROR(__xludf.DUMMYFUNCTION("""COMPUTED_VALUE"""),"6281259310643")</f>
        <v>6281259310643</v>
      </c>
      <c r="L111" s="5">
        <f>IFERROR(__xludf.DUMMYFUNCTION("""COMPUTED_VALUE"""),900000.0)</f>
        <v>900000</v>
      </c>
      <c r="M111" s="5">
        <f>IFERROR(__xludf.DUMMYFUNCTION("""COMPUTED_VALUE"""),500000.0)</f>
        <v>500000</v>
      </c>
      <c r="N111" s="5">
        <f>IFERROR(__xludf.DUMMYFUNCTION("""COMPUTED_VALUE"""),0.0)</f>
        <v>0</v>
      </c>
      <c r="O111" s="5">
        <f>IFERROR(__xludf.DUMMYFUNCTION("""COMPUTED_VALUE"""),1400000.0)</f>
        <v>1400000</v>
      </c>
      <c r="P111" s="4"/>
      <c r="Q111" s="4"/>
      <c r="R111" s="4"/>
      <c r="S111" s="3" t="str">
        <f>IFERROR(__xludf.DUMMYFUNCTION("""COMPUTED_VALUE"""),"Belum Lunas")</f>
        <v>Belum Lunas</v>
      </c>
    </row>
    <row r="112">
      <c r="A112" s="3">
        <f t="shared" si="1"/>
        <v>111</v>
      </c>
      <c r="B112" s="4" t="str">
        <f>IFERROR(__xludf.DUMMYFUNCTION("""COMPUTED_VALUE"""),"LELYANA DWI ROHMAWATIN")</f>
        <v>LELYANA DWI ROHMAWATIN</v>
      </c>
      <c r="C112" s="3">
        <f>IFERROR(__xludf.DUMMYFUNCTION("""COMPUTED_VALUE"""),2.024070014E9)</f>
        <v>2024070014</v>
      </c>
      <c r="D112" s="3" t="str">
        <f>IFERROR(__xludf.DUMMYFUNCTION("""COMPUTED_VALUE"""),"C")</f>
        <v>C</v>
      </c>
      <c r="E112" s="3" t="str">
        <f>IFERROR(__xludf.DUMMYFUNCTION("""COMPUTED_VALUE"""),"C-2")</f>
        <v>C-2</v>
      </c>
      <c r="F112" s="3">
        <f>IFERROR(__xludf.DUMMYFUNCTION("""COMPUTED_VALUE"""),3.0)</f>
        <v>3</v>
      </c>
      <c r="G112" s="3"/>
      <c r="H112" s="3" t="str">
        <f>IFERROR(__xludf.DUMMYFUNCTION("""COMPUTED_VALUE"""),"MA-XII.1")</f>
        <v>MA-XII.1</v>
      </c>
      <c r="I112" s="4" t="str">
        <f>IFERROR(__xludf.DUMMYFUNCTION("""COMPUTED_VALUE"""),"SAMINING")</f>
        <v>SAMINING</v>
      </c>
      <c r="J112" s="4" t="str">
        <f>IFERROR(__xludf.DUMMYFUNCTION("""COMPUTED_VALUE"""),"KARANGWUNGU RT 005 RW 001 KARANGGENENG LAMONGAN")</f>
        <v>KARANGWUNGU RT 005 RW 001 KARANGGENENG LAMONGAN</v>
      </c>
      <c r="K112" s="4" t="str">
        <f>IFERROR(__xludf.DUMMYFUNCTION("""COMPUTED_VALUE"""),"6285735756658")</f>
        <v>6285735756658</v>
      </c>
      <c r="L112" s="5">
        <f>IFERROR(__xludf.DUMMYFUNCTION("""COMPUTED_VALUE"""),900000.0)</f>
        <v>900000</v>
      </c>
      <c r="M112" s="5">
        <f>IFERROR(__xludf.DUMMYFUNCTION("""COMPUTED_VALUE"""),500000.0)</f>
        <v>500000</v>
      </c>
      <c r="N112" s="5">
        <f>IFERROR(__xludf.DUMMYFUNCTION("""COMPUTED_VALUE"""),0.0)</f>
        <v>0</v>
      </c>
      <c r="O112" s="5">
        <f>IFERROR(__xludf.DUMMYFUNCTION("""COMPUTED_VALUE"""),1400000.0)</f>
        <v>1400000</v>
      </c>
      <c r="P112" s="4"/>
      <c r="Q112" s="4"/>
      <c r="R112" s="4"/>
      <c r="S112" s="3" t="str">
        <f>IFERROR(__xludf.DUMMYFUNCTION("""COMPUTED_VALUE"""),"Belum Lunas")</f>
        <v>Belum Lunas</v>
      </c>
    </row>
    <row r="113">
      <c r="A113" s="3">
        <f t="shared" si="1"/>
        <v>112</v>
      </c>
      <c r="B113" s="4" t="str">
        <f>IFERROR(__xludf.DUMMYFUNCTION("""COMPUTED_VALUE"""),"NASHIH AMIN")</f>
        <v>NASHIH AMIN</v>
      </c>
      <c r="C113" s="3">
        <f>IFERROR(__xludf.DUMMYFUNCTION("""COMPUTED_VALUE"""),2.024070409E9)</f>
        <v>2024070409</v>
      </c>
      <c r="D113" s="3" t="str">
        <f>IFERROR(__xludf.DUMMYFUNCTION("""COMPUTED_VALUE"""),"A")</f>
        <v>A</v>
      </c>
      <c r="E113" s="3" t="str">
        <f>IFERROR(__xludf.DUMMYFUNCTION("""COMPUTED_VALUE"""),"A-2")</f>
        <v>A-2</v>
      </c>
      <c r="F113" s="3">
        <f>IFERROR(__xludf.DUMMYFUNCTION("""COMPUTED_VALUE"""),3.0)</f>
        <v>3</v>
      </c>
      <c r="G113" s="3" t="str">
        <f>IFERROR(__xludf.DUMMYFUNCTION("""COMPUTED_VALUE"""),"3 MAK PUTRA")</f>
        <v>3 MAK PUTRA</v>
      </c>
      <c r="H113" s="3" t="str">
        <f>IFERROR(__xludf.DUMMYFUNCTION("""COMPUTED_VALUE"""),"MA-XII.13")</f>
        <v>MA-XII.13</v>
      </c>
      <c r="I113" s="4" t="str">
        <f>IFERROR(__xludf.DUMMYFUNCTION("""COMPUTED_VALUE"""),"LISTIANAH")</f>
        <v>LISTIANAH</v>
      </c>
      <c r="J113" s="4" t="str">
        <f>IFERROR(__xludf.DUMMYFUNCTION("""COMPUTED_VALUE"""),"TAMBAK ASRI 262-C MOROKREMBANGAN RT 008 RW 009 KREMBANGAN SURABAYA")</f>
        <v>TAMBAK ASRI 262-C MOROKREMBANGAN RT 008 RW 009 KREMBANGAN SURABAYA</v>
      </c>
      <c r="K113" s="4" t="str">
        <f>IFERROR(__xludf.DUMMYFUNCTION("""COMPUTED_VALUE"""),"6285715548194")</f>
        <v>6285715548194</v>
      </c>
      <c r="L113" s="5">
        <f>IFERROR(__xludf.DUMMYFUNCTION("""COMPUTED_VALUE"""),900000.0)</f>
        <v>900000</v>
      </c>
      <c r="M113" s="5">
        <f>IFERROR(__xludf.DUMMYFUNCTION("""COMPUTED_VALUE"""),500000.0)</f>
        <v>500000</v>
      </c>
      <c r="N113" s="5">
        <f>IFERROR(__xludf.DUMMYFUNCTION("""COMPUTED_VALUE"""),0.0)</f>
        <v>0</v>
      </c>
      <c r="O113" s="5">
        <f>IFERROR(__xludf.DUMMYFUNCTION("""COMPUTED_VALUE"""),1400000.0)</f>
        <v>1400000</v>
      </c>
      <c r="P113" s="4"/>
      <c r="Q113" s="4"/>
      <c r="R113" s="4"/>
      <c r="S113" s="3" t="str">
        <f>IFERROR(__xludf.DUMMYFUNCTION("""COMPUTED_VALUE"""),"Belum Lunas")</f>
        <v>Belum Lunas</v>
      </c>
    </row>
    <row r="114">
      <c r="A114" s="3">
        <f t="shared" si="1"/>
        <v>113</v>
      </c>
      <c r="B114" s="4" t="str">
        <f>IFERROR(__xludf.DUMMYFUNCTION("""COMPUTED_VALUE"""),"ABDULLAH FAIZ")</f>
        <v>ABDULLAH FAIZ</v>
      </c>
      <c r="C114" s="3">
        <f>IFERROR(__xludf.DUMMYFUNCTION("""COMPUTED_VALUE"""),2.025070617E9)</f>
        <v>2025070617</v>
      </c>
      <c r="D114" s="3" t="str">
        <f>IFERROR(__xludf.DUMMYFUNCTION("""COMPUTED_VALUE"""),"A")</f>
        <v>A</v>
      </c>
      <c r="E114" s="3" t="str">
        <f>IFERROR(__xludf.DUMMYFUNCTION("""COMPUTED_VALUE"""),"A-8")</f>
        <v>A-8</v>
      </c>
      <c r="F114" s="3">
        <f>IFERROR(__xludf.DUMMYFUNCTION("""COMPUTED_VALUE"""),3.0)</f>
        <v>3</v>
      </c>
      <c r="G114" s="3" t="str">
        <f>IFERROR(__xludf.DUMMYFUNCTION("""COMPUTED_VALUE"""),"3 ULA A PUTRA")</f>
        <v>3 ULA A PUTRA</v>
      </c>
      <c r="H114" s="3" t="str">
        <f>IFERROR(__xludf.DUMMYFUNCTION("""COMPUTED_VALUE"""),"MTS-9 B")</f>
        <v>MTS-9 B</v>
      </c>
      <c r="I114" s="4" t="str">
        <f>IFERROR(__xludf.DUMMYFUNCTION("""COMPUTED_VALUE"""),"NUR FARIDAH")</f>
        <v>NUR FARIDAH</v>
      </c>
      <c r="J114" s="4" t="str">
        <f>IFERROR(__xludf.DUMMYFUNCTION("""COMPUTED_VALUE"""),"GEDONGKEDOAN RT 001 RW 001 DUKUN GRESIK")</f>
        <v>GEDONGKEDOAN RT 001 RW 001 DUKUN GRESIK</v>
      </c>
      <c r="K114" s="4" t="str">
        <f>IFERROR(__xludf.DUMMYFUNCTION("""COMPUTED_VALUE"""),"6281553874448")</f>
        <v>6281553874448</v>
      </c>
      <c r="L114" s="5">
        <f>IFERROR(__xludf.DUMMYFUNCTION("""COMPUTED_VALUE"""),450000.0)</f>
        <v>450000</v>
      </c>
      <c r="M114" s="5">
        <f>IFERROR(__xludf.DUMMYFUNCTION("""COMPUTED_VALUE"""),1000000.0)</f>
        <v>1000000</v>
      </c>
      <c r="N114" s="5">
        <f>IFERROR(__xludf.DUMMYFUNCTION("""COMPUTED_VALUE"""),0.0)</f>
        <v>0</v>
      </c>
      <c r="O114" s="5">
        <f>IFERROR(__xludf.DUMMYFUNCTION("""COMPUTED_VALUE"""),1450000.0)</f>
        <v>1450000</v>
      </c>
      <c r="P114" s="4"/>
      <c r="Q114" s="4"/>
      <c r="R114" s="4"/>
      <c r="S114" s="3" t="str">
        <f>IFERROR(__xludf.DUMMYFUNCTION("""COMPUTED_VALUE"""),"Belum Lunas")</f>
        <v>Belum Lunas</v>
      </c>
    </row>
    <row r="115">
      <c r="A115" s="3">
        <f t="shared" si="1"/>
        <v>114</v>
      </c>
      <c r="B115" s="4" t="str">
        <f>IFERROR(__xludf.DUMMYFUNCTION("""COMPUTED_VALUE"""),"ALMAIR FADHIL ABID ALHAQ")</f>
        <v>ALMAIR FADHIL ABID ALHAQ</v>
      </c>
      <c r="C115" s="3">
        <f>IFERROR(__xludf.DUMMYFUNCTION("""COMPUTED_VALUE"""),2.024070508E9)</f>
        <v>2024070508</v>
      </c>
      <c r="D115" s="3" t="str">
        <f>IFERROR(__xludf.DUMMYFUNCTION("""COMPUTED_VALUE"""),"A")</f>
        <v>A</v>
      </c>
      <c r="E115" s="3" t="str">
        <f>IFERROR(__xludf.DUMMYFUNCTION("""COMPUTED_VALUE"""),"A-7")</f>
        <v>A-7</v>
      </c>
      <c r="F115" s="3">
        <f>IFERROR(__xludf.DUMMYFUNCTION("""COMPUTED_VALUE"""),3.0)</f>
        <v>3</v>
      </c>
      <c r="G115" s="3" t="str">
        <f>IFERROR(__xludf.DUMMYFUNCTION("""COMPUTED_VALUE"""),"3 ULA A PUTRA")</f>
        <v>3 ULA A PUTRA</v>
      </c>
      <c r="H115" s="3" t="str">
        <f>IFERROR(__xludf.DUMMYFUNCTION("""COMPUTED_VALUE"""),"MTS-9 C")</f>
        <v>MTS-9 C</v>
      </c>
      <c r="I115" s="4" t="str">
        <f>IFERROR(__xludf.DUMMYFUNCTION("""COMPUTED_VALUE"""),"IIN UMAYYAH")</f>
        <v>IIN UMAYYAH</v>
      </c>
      <c r="J115" s="4" t="str">
        <f>IFERROR(__xludf.DUMMYFUNCTION("""COMPUTED_VALUE"""),"JL. PENDIDIKAN 20 B RT 001 RW 005 BABAT LAMONGAN")</f>
        <v>JL. PENDIDIKAN 20 B RT 001 RW 005 BABAT LAMONGAN</v>
      </c>
      <c r="K115" s="4" t="str">
        <f>IFERROR(__xludf.DUMMYFUNCTION("""COMPUTED_VALUE"""),"6285230844686")</f>
        <v>6285230844686</v>
      </c>
      <c r="L115" s="5">
        <f>IFERROR(__xludf.DUMMYFUNCTION("""COMPUTED_VALUE"""),450000.0)</f>
        <v>450000</v>
      </c>
      <c r="M115" s="5">
        <f>IFERROR(__xludf.DUMMYFUNCTION("""COMPUTED_VALUE"""),1000000.0)</f>
        <v>1000000</v>
      </c>
      <c r="N115" s="5">
        <f>IFERROR(__xludf.DUMMYFUNCTION("""COMPUTED_VALUE"""),0.0)</f>
        <v>0</v>
      </c>
      <c r="O115" s="5">
        <f>IFERROR(__xludf.DUMMYFUNCTION("""COMPUTED_VALUE"""),1450000.0)</f>
        <v>1450000</v>
      </c>
      <c r="P115" s="4"/>
      <c r="Q115" s="4"/>
      <c r="R115" s="4"/>
      <c r="S115" s="3" t="str">
        <f>IFERROR(__xludf.DUMMYFUNCTION("""COMPUTED_VALUE"""),"Belum Lunas")</f>
        <v>Belum Lunas</v>
      </c>
    </row>
    <row r="116">
      <c r="A116" s="3">
        <f t="shared" si="1"/>
        <v>115</v>
      </c>
      <c r="B116" s="4" t="str">
        <f>IFERROR(__xludf.DUMMYFUNCTION("""COMPUTED_VALUE"""),"BALQIS FITHROTUN NUFUS")</f>
        <v>BALQIS FITHROTUN NUFUS</v>
      </c>
      <c r="C116" s="3">
        <f>IFERROR(__xludf.DUMMYFUNCTION("""COMPUTED_VALUE"""),2.024070703E9)</f>
        <v>2024070703</v>
      </c>
      <c r="D116" s="3" t="str">
        <f>IFERROR(__xludf.DUMMYFUNCTION("""COMPUTED_VALUE"""),"C")</f>
        <v>C</v>
      </c>
      <c r="E116" s="3" t="str">
        <f>IFERROR(__xludf.DUMMYFUNCTION("""COMPUTED_VALUE"""),"C-4")</f>
        <v>C-4</v>
      </c>
      <c r="F116" s="3">
        <f>IFERROR(__xludf.DUMMYFUNCTION("""COMPUTED_VALUE"""),3.0)</f>
        <v>3</v>
      </c>
      <c r="G116" s="3"/>
      <c r="H116" s="3" t="str">
        <f>IFERROR(__xludf.DUMMYFUNCTION("""COMPUTED_VALUE"""),"SMK-XII DKV")</f>
        <v>SMK-XII DKV</v>
      </c>
      <c r="I116" s="4" t="str">
        <f>IFERROR(__xludf.DUMMYFUNCTION("""COMPUTED_VALUE"""),"SU`IMAH")</f>
        <v>SU`IMAH</v>
      </c>
      <c r="J116" s="4" t="str">
        <f>IFERROR(__xludf.DUMMYFUNCTION("""COMPUTED_VALUE"""),"BARON RT 003 RW 002 DUKUN GRESIK")</f>
        <v>BARON RT 003 RW 002 DUKUN GRESIK</v>
      </c>
      <c r="K116" s="4" t="str">
        <f>IFERROR(__xludf.DUMMYFUNCTION("""COMPUTED_VALUE"""),"6281357024383")</f>
        <v>6281357024383</v>
      </c>
      <c r="L116" s="5">
        <f>IFERROR(__xludf.DUMMYFUNCTION("""COMPUTED_VALUE"""),450000.0)</f>
        <v>450000</v>
      </c>
      <c r="M116" s="5">
        <f>IFERROR(__xludf.DUMMYFUNCTION("""COMPUTED_VALUE"""),1000000.0)</f>
        <v>1000000</v>
      </c>
      <c r="N116" s="5">
        <f>IFERROR(__xludf.DUMMYFUNCTION("""COMPUTED_VALUE"""),0.0)</f>
        <v>0</v>
      </c>
      <c r="O116" s="5">
        <f>IFERROR(__xludf.DUMMYFUNCTION("""COMPUTED_VALUE"""),1450000.0)</f>
        <v>1450000</v>
      </c>
      <c r="P116" s="4"/>
      <c r="Q116" s="4"/>
      <c r="R116" s="4"/>
      <c r="S116" s="3" t="str">
        <f>IFERROR(__xludf.DUMMYFUNCTION("""COMPUTED_VALUE"""),"Belum Lunas")</f>
        <v>Belum Lunas</v>
      </c>
    </row>
    <row r="117">
      <c r="A117" s="3">
        <f t="shared" si="1"/>
        <v>116</v>
      </c>
      <c r="B117" s="4" t="str">
        <f>IFERROR(__xludf.DUMMYFUNCTION("""COMPUTED_VALUE"""),"FARADIVA AQILLA ELFARIANI")</f>
        <v>FARADIVA AQILLA ELFARIANI</v>
      </c>
      <c r="C117" s="3">
        <f>IFERROR(__xludf.DUMMYFUNCTION("""COMPUTED_VALUE"""),2.024070073E9)</f>
        <v>2024070073</v>
      </c>
      <c r="D117" s="3" t="str">
        <f>IFERROR(__xludf.DUMMYFUNCTION("""COMPUTED_VALUE"""),"C")</f>
        <v>C</v>
      </c>
      <c r="E117" s="3" t="str">
        <f>IFERROR(__xludf.DUMMYFUNCTION("""COMPUTED_VALUE"""),"C-9")</f>
        <v>C-9</v>
      </c>
      <c r="F117" s="3">
        <f>IFERROR(__xludf.DUMMYFUNCTION("""COMPUTED_VALUE"""),3.0)</f>
        <v>3</v>
      </c>
      <c r="G117" s="3" t="str">
        <f>IFERROR(__xludf.DUMMYFUNCTION("""COMPUTED_VALUE"""),"3 WUSTHO A PUTRI")</f>
        <v>3 WUSTHO A PUTRI</v>
      </c>
      <c r="H117" s="3" t="str">
        <f>IFERROR(__xludf.DUMMYFUNCTION("""COMPUTED_VALUE"""),"MA-XII.3")</f>
        <v>MA-XII.3</v>
      </c>
      <c r="I117" s="4" t="str">
        <f>IFERROR(__xludf.DUMMYFUNCTION("""COMPUTED_VALUE"""),"SRI PURWANI")</f>
        <v>SRI PURWANI</v>
      </c>
      <c r="J117" s="4" t="str">
        <f>IFERROR(__xludf.DUMMYFUNCTION("""COMPUTED_VALUE"""),"KAWISTOLEGI RT 002 RW 001 KARANGGENENG LAMONGAN")</f>
        <v>KAWISTOLEGI RT 002 RW 001 KARANGGENENG LAMONGAN</v>
      </c>
      <c r="K117" s="4" t="str">
        <f>IFERROR(__xludf.DUMMYFUNCTION("""COMPUTED_VALUE"""),"6285648727712")</f>
        <v>6285648727712</v>
      </c>
      <c r="L117" s="5">
        <f>IFERROR(__xludf.DUMMYFUNCTION("""COMPUTED_VALUE"""),450000.0)</f>
        <v>450000</v>
      </c>
      <c r="M117" s="5">
        <f>IFERROR(__xludf.DUMMYFUNCTION("""COMPUTED_VALUE"""),1000000.0)</f>
        <v>1000000</v>
      </c>
      <c r="N117" s="5">
        <f>IFERROR(__xludf.DUMMYFUNCTION("""COMPUTED_VALUE"""),0.0)</f>
        <v>0</v>
      </c>
      <c r="O117" s="5">
        <f>IFERROR(__xludf.DUMMYFUNCTION("""COMPUTED_VALUE"""),1450000.0)</f>
        <v>1450000</v>
      </c>
      <c r="P117" s="4"/>
      <c r="Q117" s="4"/>
      <c r="R117" s="4"/>
      <c r="S117" s="3" t="str">
        <f>IFERROR(__xludf.DUMMYFUNCTION("""COMPUTED_VALUE"""),"Belum Lunas")</f>
        <v>Belum Lunas</v>
      </c>
    </row>
    <row r="118">
      <c r="A118" s="3">
        <f t="shared" si="1"/>
        <v>117</v>
      </c>
      <c r="B118" s="4" t="str">
        <f>IFERROR(__xludf.DUMMYFUNCTION("""COMPUTED_VALUE"""),"MOCH. RAYYAN ZIDNY IRHAMNI")</f>
        <v>MOCH. RAYYAN ZIDNY IRHAMNI</v>
      </c>
      <c r="C118" s="3">
        <f>IFERROR(__xludf.DUMMYFUNCTION("""COMPUTED_VALUE"""),2.024070649E9)</f>
        <v>2024070649</v>
      </c>
      <c r="D118" s="3" t="str">
        <f>IFERROR(__xludf.DUMMYFUNCTION("""COMPUTED_VALUE"""),"A")</f>
        <v>A</v>
      </c>
      <c r="E118" s="3" t="str">
        <f>IFERROR(__xludf.DUMMYFUNCTION("""COMPUTED_VALUE"""),"A-7")</f>
        <v>A-7</v>
      </c>
      <c r="F118" s="3">
        <f>IFERROR(__xludf.DUMMYFUNCTION("""COMPUTED_VALUE"""),3.0)</f>
        <v>3</v>
      </c>
      <c r="G118" s="3" t="str">
        <f>IFERROR(__xludf.DUMMYFUNCTION("""COMPUTED_VALUE"""),"3 ULA B PUTRA")</f>
        <v>3 ULA B PUTRA</v>
      </c>
      <c r="H118" s="3" t="str">
        <f>IFERROR(__xludf.DUMMYFUNCTION("""COMPUTED_VALUE"""),"MTS-9 D")</f>
        <v>MTS-9 D</v>
      </c>
      <c r="I118" s="4" t="str">
        <f>IFERROR(__xludf.DUMMYFUNCTION("""COMPUTED_VALUE"""),"ERNAWATI")</f>
        <v>ERNAWATI</v>
      </c>
      <c r="J118" s="4" t="str">
        <f>IFERROR(__xludf.DUMMYFUNCTION("""COMPUTED_VALUE"""),"WONOKERTO RT 015 RW 003 DUKUN GRESIK")</f>
        <v>WONOKERTO RT 015 RW 003 DUKUN GRESIK</v>
      </c>
      <c r="K118" s="4" t="str">
        <f>IFERROR(__xludf.DUMMYFUNCTION("""COMPUTED_VALUE"""),"6285708249869")</f>
        <v>6285708249869</v>
      </c>
      <c r="L118" s="5">
        <f>IFERROR(__xludf.DUMMYFUNCTION("""COMPUTED_VALUE"""),450000.0)</f>
        <v>450000</v>
      </c>
      <c r="M118" s="5">
        <f>IFERROR(__xludf.DUMMYFUNCTION("""COMPUTED_VALUE"""),1000000.0)</f>
        <v>1000000</v>
      </c>
      <c r="N118" s="5">
        <f>IFERROR(__xludf.DUMMYFUNCTION("""COMPUTED_VALUE"""),0.0)</f>
        <v>0</v>
      </c>
      <c r="O118" s="5">
        <f>IFERROR(__xludf.DUMMYFUNCTION("""COMPUTED_VALUE"""),1450000.0)</f>
        <v>1450000</v>
      </c>
      <c r="P118" s="4"/>
      <c r="Q118" s="4"/>
      <c r="R118" s="4"/>
      <c r="S118" s="3" t="str">
        <f>IFERROR(__xludf.DUMMYFUNCTION("""COMPUTED_VALUE"""),"Belum Lunas")</f>
        <v>Belum Lunas</v>
      </c>
    </row>
    <row r="119">
      <c r="A119" s="3">
        <f t="shared" si="1"/>
        <v>118</v>
      </c>
      <c r="B119" s="4" t="str">
        <f>IFERROR(__xludf.DUMMYFUNCTION("""COMPUTED_VALUE"""),"MUHAMMAD ZAKI ABIYASA")</f>
        <v>MUHAMMAD ZAKI ABIYASA</v>
      </c>
      <c r="C119" s="3">
        <f>IFERROR(__xludf.DUMMYFUNCTION("""COMPUTED_VALUE"""),2.02510068E9)</f>
        <v>2025100680</v>
      </c>
      <c r="D119" s="3" t="str">
        <f>IFERROR(__xludf.DUMMYFUNCTION("""COMPUTED_VALUE"""),"A")</f>
        <v>A</v>
      </c>
      <c r="E119" s="3" t="str">
        <f>IFERROR(__xludf.DUMMYFUNCTION("""COMPUTED_VALUE"""),"A-1")</f>
        <v>A-1</v>
      </c>
      <c r="F119" s="3">
        <f>IFERROR(__xludf.DUMMYFUNCTION("""COMPUTED_VALUE"""),3.0)</f>
        <v>3</v>
      </c>
      <c r="G119" s="3" t="str">
        <f>IFERROR(__xludf.DUMMYFUNCTION("""COMPUTED_VALUE"""),"3 ULA A PUTRA")</f>
        <v>3 ULA A PUTRA</v>
      </c>
      <c r="H119" s="3" t="str">
        <f>IFERROR(__xludf.DUMMYFUNCTION("""COMPUTED_VALUE"""),"#N/A")</f>
        <v>#N/A</v>
      </c>
      <c r="I119" s="4" t="str">
        <f>IFERROR(__xludf.DUMMYFUNCTION("""COMPUTED_VALUE"""),"ELNA RUSMA WATI")</f>
        <v>ELNA RUSMA WATI</v>
      </c>
      <c r="J119" s="4" t="str">
        <f>IFERROR(__xludf.DUMMYFUNCTION("""COMPUTED_VALUE"""),"PUCUK RT 005 RW 001 PUCUK LAMONGAN")</f>
        <v>PUCUK RT 005 RW 001 PUCUK LAMONGAN</v>
      </c>
      <c r="K119" s="4" t="str">
        <f>IFERROR(__xludf.DUMMYFUNCTION("""COMPUTED_VALUE"""),"6289513220988")</f>
        <v>6289513220988</v>
      </c>
      <c r="L119" s="5">
        <f>IFERROR(__xludf.DUMMYFUNCTION("""COMPUTED_VALUE"""),450000.0)</f>
        <v>450000</v>
      </c>
      <c r="M119" s="5">
        <f>IFERROR(__xludf.DUMMYFUNCTION("""COMPUTED_VALUE"""),1000000.0)</f>
        <v>1000000</v>
      </c>
      <c r="N119" s="5">
        <f>IFERROR(__xludf.DUMMYFUNCTION("""COMPUTED_VALUE"""),0.0)</f>
        <v>0</v>
      </c>
      <c r="O119" s="5">
        <f>IFERROR(__xludf.DUMMYFUNCTION("""COMPUTED_VALUE"""),1450000.0)</f>
        <v>1450000</v>
      </c>
      <c r="P119" s="4"/>
      <c r="Q119" s="4"/>
      <c r="R119" s="4"/>
      <c r="S119" s="3" t="str">
        <f>IFERROR(__xludf.DUMMYFUNCTION("""COMPUTED_VALUE"""),"Belum Lunas")</f>
        <v>Belum Lunas</v>
      </c>
    </row>
    <row r="120">
      <c r="A120" s="3">
        <f t="shared" si="1"/>
        <v>119</v>
      </c>
      <c r="B120" s="4" t="str">
        <f>IFERROR(__xludf.DUMMYFUNCTION("""COMPUTED_VALUE"""),"NURUL QHOIYIMATUL ALFIYAH")</f>
        <v>NURUL QHOIYIMATUL ALFIYAH</v>
      </c>
      <c r="C120" s="3">
        <f>IFERROR(__xludf.DUMMYFUNCTION("""COMPUTED_VALUE"""),2.024070436E9)</f>
        <v>2024070436</v>
      </c>
      <c r="D120" s="3" t="str">
        <f>IFERROR(__xludf.DUMMYFUNCTION("""COMPUTED_VALUE"""),"B")</f>
        <v>B</v>
      </c>
      <c r="E120" s="3" t="str">
        <f>IFERROR(__xludf.DUMMYFUNCTION("""COMPUTED_VALUE"""),"B-7")</f>
        <v>B-7</v>
      </c>
      <c r="F120" s="3">
        <f>IFERROR(__xludf.DUMMYFUNCTION("""COMPUTED_VALUE"""),3.0)</f>
        <v>3</v>
      </c>
      <c r="G120" s="3" t="str">
        <f>IFERROR(__xludf.DUMMYFUNCTION("""COMPUTED_VALUE"""),"3 MAK PUTRI")</f>
        <v>3 MAK PUTRI</v>
      </c>
      <c r="H120" s="3" t="str">
        <f>IFERROR(__xludf.DUMMYFUNCTION("""COMPUTED_VALUE"""),"MA-XII.13")</f>
        <v>MA-XII.13</v>
      </c>
      <c r="I120" s="4" t="str">
        <f>IFERROR(__xludf.DUMMYFUNCTION("""COMPUTED_VALUE"""),"MA`RIFAH")</f>
        <v>MA`RIFAH</v>
      </c>
      <c r="J120" s="4" t="str">
        <f>IFERROR(__xludf.DUMMYFUNCTION("""COMPUTED_VALUE"""),"TENGGULUN RT 008 RW 003 SOLOKURO LAMONGAN")</f>
        <v>TENGGULUN RT 008 RW 003 SOLOKURO LAMONGAN</v>
      </c>
      <c r="K120" s="4" t="str">
        <f>IFERROR(__xludf.DUMMYFUNCTION("""COMPUTED_VALUE"""),"628812496056661")</f>
        <v>628812496056661</v>
      </c>
      <c r="L120" s="5">
        <f>IFERROR(__xludf.DUMMYFUNCTION("""COMPUTED_VALUE"""),450000.0)</f>
        <v>450000</v>
      </c>
      <c r="M120" s="5">
        <f>IFERROR(__xludf.DUMMYFUNCTION("""COMPUTED_VALUE"""),1000000.0)</f>
        <v>1000000</v>
      </c>
      <c r="N120" s="5">
        <f>IFERROR(__xludf.DUMMYFUNCTION("""COMPUTED_VALUE"""),0.0)</f>
        <v>0</v>
      </c>
      <c r="O120" s="5">
        <f>IFERROR(__xludf.DUMMYFUNCTION("""COMPUTED_VALUE"""),1450000.0)</f>
        <v>1450000</v>
      </c>
      <c r="P120" s="4"/>
      <c r="Q120" s="4"/>
      <c r="R120" s="4"/>
      <c r="S120" s="3" t="str">
        <f>IFERROR(__xludf.DUMMYFUNCTION("""COMPUTED_VALUE"""),"Belum Lunas")</f>
        <v>Belum Lunas</v>
      </c>
    </row>
    <row r="121">
      <c r="A121" s="3">
        <f t="shared" si="1"/>
        <v>120</v>
      </c>
      <c r="B121" s="4" t="str">
        <f>IFERROR(__xludf.DUMMYFUNCTION("""COMPUTED_VALUE"""),"ANUGRAH RAFIKHA DEWANI")</f>
        <v>ANUGRAH RAFIKHA DEWANI</v>
      </c>
      <c r="C121" s="3">
        <f>IFERROR(__xludf.DUMMYFUNCTION("""COMPUTED_VALUE"""),2.024070618E9)</f>
        <v>2024070618</v>
      </c>
      <c r="D121" s="3" t="str">
        <f>IFERROR(__xludf.DUMMYFUNCTION("""COMPUTED_VALUE"""),"E")</f>
        <v>E</v>
      </c>
      <c r="E121" s="3" t="str">
        <f>IFERROR(__xludf.DUMMYFUNCTION("""COMPUTED_VALUE"""),"E-2")</f>
        <v>E-2</v>
      </c>
      <c r="F121" s="3">
        <f>IFERROR(__xludf.DUMMYFUNCTION("""COMPUTED_VALUE"""),3.0)</f>
        <v>3</v>
      </c>
      <c r="G121" s="3" t="str">
        <f>IFERROR(__xludf.DUMMYFUNCTION("""COMPUTED_VALUE"""),"3 ULA C PUTRI")</f>
        <v>3 ULA C PUTRI</v>
      </c>
      <c r="H121" s="3" t="str">
        <f>IFERROR(__xludf.DUMMYFUNCTION("""COMPUTED_VALUE"""),"MTS-9 C")</f>
        <v>MTS-9 C</v>
      </c>
      <c r="I121" s="4" t="str">
        <f>IFERROR(__xludf.DUMMYFUNCTION("""COMPUTED_VALUE"""),"MUNAFI'AH")</f>
        <v>MUNAFI'AH</v>
      </c>
      <c r="J121" s="4" t="str">
        <f>IFERROR(__xludf.DUMMYFUNCTION("""COMPUTED_VALUE"""),"BUNGKAWAK TEJOASRI RT 003 RW 004 LAREN LAMONGAN")</f>
        <v>BUNGKAWAK TEJOASRI RT 003 RW 004 LAREN LAMONGAN</v>
      </c>
      <c r="K121" s="4" t="str">
        <f>IFERROR(__xludf.DUMMYFUNCTION("""COMPUTED_VALUE"""),"6281311516716")</f>
        <v>6281311516716</v>
      </c>
      <c r="L121" s="5">
        <f>IFERROR(__xludf.DUMMYFUNCTION("""COMPUTED_VALUE"""),1000000.0)</f>
        <v>1000000</v>
      </c>
      <c r="M121" s="5">
        <f>IFERROR(__xludf.DUMMYFUNCTION("""COMPUTED_VALUE"""),500000.0)</f>
        <v>500000</v>
      </c>
      <c r="N121" s="5">
        <f>IFERROR(__xludf.DUMMYFUNCTION("""COMPUTED_VALUE"""),0.0)</f>
        <v>0</v>
      </c>
      <c r="O121" s="5">
        <f>IFERROR(__xludf.DUMMYFUNCTION("""COMPUTED_VALUE"""),1500000.0)</f>
        <v>1500000</v>
      </c>
      <c r="P121" s="4"/>
      <c r="Q121" s="4"/>
      <c r="R121" s="4"/>
      <c r="S121" s="3" t="str">
        <f>IFERROR(__xludf.DUMMYFUNCTION("""COMPUTED_VALUE"""),"Belum Lunas")</f>
        <v>Belum Lunas</v>
      </c>
    </row>
    <row r="122">
      <c r="A122" s="3">
        <f t="shared" si="1"/>
        <v>121</v>
      </c>
      <c r="B122" s="4" t="str">
        <f>IFERROR(__xludf.DUMMYFUNCTION("""COMPUTED_VALUE"""),"FANY MUFIDAH SARI")</f>
        <v>FANY MUFIDAH SARI</v>
      </c>
      <c r="C122" s="3">
        <f>IFERROR(__xludf.DUMMYFUNCTION("""COMPUTED_VALUE"""),2.024070329E9)</f>
        <v>2024070329</v>
      </c>
      <c r="D122" s="3" t="str">
        <f>IFERROR(__xludf.DUMMYFUNCTION("""COMPUTED_VALUE"""),"E")</f>
        <v>E</v>
      </c>
      <c r="E122" s="3" t="str">
        <f>IFERROR(__xludf.DUMMYFUNCTION("""COMPUTED_VALUE"""),"E-2")</f>
        <v>E-2</v>
      </c>
      <c r="F122" s="3">
        <f>IFERROR(__xludf.DUMMYFUNCTION("""COMPUTED_VALUE"""),3.0)</f>
        <v>3</v>
      </c>
      <c r="G122" s="3" t="str">
        <f>IFERROR(__xludf.DUMMYFUNCTION("""COMPUTED_VALUE"""),"3 WUSTHO A PUTRI")</f>
        <v>3 WUSTHO A PUTRI</v>
      </c>
      <c r="H122" s="3" t="str">
        <f>IFERROR(__xludf.DUMMYFUNCTION("""COMPUTED_VALUE"""),"MA-XII.10")</f>
        <v>MA-XII.10</v>
      </c>
      <c r="I122" s="4" t="str">
        <f>IFERROR(__xludf.DUMMYFUNCTION("""COMPUTED_VALUE"""),"ROJIYAH")</f>
        <v>ROJIYAH</v>
      </c>
      <c r="J122" s="4" t="str">
        <f>IFERROR(__xludf.DUMMYFUNCTION("""COMPUTED_VALUE"""),"SAWO RT 013 RW 007 DUKUN GRESIK")</f>
        <v>SAWO RT 013 RW 007 DUKUN GRESIK</v>
      </c>
      <c r="K122" s="4" t="str">
        <f>IFERROR(__xludf.DUMMYFUNCTION("""COMPUTED_VALUE"""),"6285731554886")</f>
        <v>6285731554886</v>
      </c>
      <c r="L122" s="5">
        <f>IFERROR(__xludf.DUMMYFUNCTION("""COMPUTED_VALUE"""),500000.0)</f>
        <v>500000</v>
      </c>
      <c r="M122" s="5">
        <f>IFERROR(__xludf.DUMMYFUNCTION("""COMPUTED_VALUE"""),1000000.0)</f>
        <v>1000000</v>
      </c>
      <c r="N122" s="5">
        <f>IFERROR(__xludf.DUMMYFUNCTION("""COMPUTED_VALUE"""),0.0)</f>
        <v>0</v>
      </c>
      <c r="O122" s="5">
        <f>IFERROR(__xludf.DUMMYFUNCTION("""COMPUTED_VALUE"""),1500000.0)</f>
        <v>1500000</v>
      </c>
      <c r="P122" s="4"/>
      <c r="Q122" s="4"/>
      <c r="R122" s="4"/>
      <c r="S122" s="3" t="str">
        <f>IFERROR(__xludf.DUMMYFUNCTION("""COMPUTED_VALUE"""),"Belum Lunas")</f>
        <v>Belum Lunas</v>
      </c>
    </row>
    <row r="123">
      <c r="A123" s="3">
        <f t="shared" si="1"/>
        <v>122</v>
      </c>
      <c r="B123" s="4" t="str">
        <f>IFERROR(__xludf.DUMMYFUNCTION("""COMPUTED_VALUE"""),"NOUR ALIFATURR DHEA VANESYA")</f>
        <v>NOUR ALIFATURR DHEA VANESYA</v>
      </c>
      <c r="C123" s="3">
        <f>IFERROR(__xludf.DUMMYFUNCTION("""COMPUTED_VALUE"""),2.024070613E9)</f>
        <v>2024070613</v>
      </c>
      <c r="D123" s="3" t="str">
        <f>IFERROR(__xludf.DUMMYFUNCTION("""COMPUTED_VALUE"""),"E")</f>
        <v>E</v>
      </c>
      <c r="E123" s="3" t="str">
        <f>IFERROR(__xludf.DUMMYFUNCTION("""COMPUTED_VALUE"""),"E-3")</f>
        <v>E-3</v>
      </c>
      <c r="F123" s="3">
        <f>IFERROR(__xludf.DUMMYFUNCTION("""COMPUTED_VALUE"""),3.0)</f>
        <v>3</v>
      </c>
      <c r="G123" s="3" t="str">
        <f>IFERROR(__xludf.DUMMYFUNCTION("""COMPUTED_VALUE"""),"3 ULA C PUTRI")</f>
        <v>3 ULA C PUTRI</v>
      </c>
      <c r="H123" s="3" t="str">
        <f>IFERROR(__xludf.DUMMYFUNCTION("""COMPUTED_VALUE"""),"MTS-9 H")</f>
        <v>MTS-9 H</v>
      </c>
      <c r="I123" s="4" t="str">
        <f>IFERROR(__xludf.DUMMYFUNCTION("""COMPUTED_VALUE"""),"YUNI")</f>
        <v>YUNI</v>
      </c>
      <c r="J123" s="4" t="str">
        <f>IFERROR(__xludf.DUMMYFUNCTION("""COMPUTED_VALUE"""),"MUMBULAN PENGUMBULANADI  RT 001 RW 004 TIKUNG LAMONGAN")</f>
        <v>MUMBULAN PENGUMBULANADI  RT 001 RW 004 TIKUNG LAMONGAN</v>
      </c>
      <c r="K123" s="4" t="str">
        <f>IFERROR(__xludf.DUMMYFUNCTION("""COMPUTED_VALUE"""),"6285815030873")</f>
        <v>6285815030873</v>
      </c>
      <c r="L123" s="5">
        <f>IFERROR(__xludf.DUMMYFUNCTION("""COMPUTED_VALUE"""),500000.0)</f>
        <v>500000</v>
      </c>
      <c r="M123" s="5">
        <f>IFERROR(__xludf.DUMMYFUNCTION("""COMPUTED_VALUE"""),1000000.0)</f>
        <v>1000000</v>
      </c>
      <c r="N123" s="5">
        <f>IFERROR(__xludf.DUMMYFUNCTION("""COMPUTED_VALUE"""),0.0)</f>
        <v>0</v>
      </c>
      <c r="O123" s="5">
        <f>IFERROR(__xludf.DUMMYFUNCTION("""COMPUTED_VALUE"""),1500000.0)</f>
        <v>1500000</v>
      </c>
      <c r="P123" s="4"/>
      <c r="Q123" s="4"/>
      <c r="R123" s="4"/>
      <c r="S123" s="3" t="str">
        <f>IFERROR(__xludf.DUMMYFUNCTION("""COMPUTED_VALUE"""),"Belum Lunas")</f>
        <v>Belum Lunas</v>
      </c>
    </row>
    <row r="124">
      <c r="A124" s="3">
        <f t="shared" si="1"/>
        <v>123</v>
      </c>
      <c r="B124" s="4" t="str">
        <f>IFERROR(__xludf.DUMMYFUNCTION("""COMPUTED_VALUE"""),"NUR FAZA KAMILA")</f>
        <v>NUR FAZA KAMILA</v>
      </c>
      <c r="C124" s="3">
        <f>IFERROR(__xludf.DUMMYFUNCTION("""COMPUTED_VALUE"""),2.024070467E9)</f>
        <v>2024070467</v>
      </c>
      <c r="D124" s="3" t="str">
        <f>IFERROR(__xludf.DUMMYFUNCTION("""COMPUTED_VALUE"""),"E")</f>
        <v>E</v>
      </c>
      <c r="E124" s="3" t="str">
        <f>IFERROR(__xludf.DUMMYFUNCTION("""COMPUTED_VALUE"""),"E-2")</f>
        <v>E-2</v>
      </c>
      <c r="F124" s="3">
        <f>IFERROR(__xludf.DUMMYFUNCTION("""COMPUTED_VALUE"""),3.0)</f>
        <v>3</v>
      </c>
      <c r="G124" s="3" t="str">
        <f>IFERROR(__xludf.DUMMYFUNCTION("""COMPUTED_VALUE"""),"3 ULA C PUTRI")</f>
        <v>3 ULA C PUTRI</v>
      </c>
      <c r="H124" s="3" t="str">
        <f>IFERROR(__xludf.DUMMYFUNCTION("""COMPUTED_VALUE"""),"MTS-9 A")</f>
        <v>MTS-9 A</v>
      </c>
      <c r="I124" s="4" t="str">
        <f>IFERROR(__xludf.DUMMYFUNCTION("""COMPUTED_VALUE"""),"IFFAH FIRDAUSI NUZULA")</f>
        <v>IFFAH FIRDAUSI NUZULA</v>
      </c>
      <c r="J124" s="4" t="str">
        <f>IFERROR(__xludf.DUMMYFUNCTION("""COMPUTED_VALUE"""),"KEMLAGIGEDE RT 012 RW 003 TURI LAMONGAN")</f>
        <v>KEMLAGIGEDE RT 012 RW 003 TURI LAMONGAN</v>
      </c>
      <c r="K124" s="4" t="str">
        <f>IFERROR(__xludf.DUMMYFUNCTION("""COMPUTED_VALUE"""),"6285855700260")</f>
        <v>6285855700260</v>
      </c>
      <c r="L124" s="5">
        <f>IFERROR(__xludf.DUMMYFUNCTION("""COMPUTED_VALUE"""),500000.0)</f>
        <v>500000</v>
      </c>
      <c r="M124" s="5">
        <f>IFERROR(__xludf.DUMMYFUNCTION("""COMPUTED_VALUE"""),1000000.0)</f>
        <v>1000000</v>
      </c>
      <c r="N124" s="5">
        <f>IFERROR(__xludf.DUMMYFUNCTION("""COMPUTED_VALUE"""),0.0)</f>
        <v>0</v>
      </c>
      <c r="O124" s="5">
        <f>IFERROR(__xludf.DUMMYFUNCTION("""COMPUTED_VALUE"""),1500000.0)</f>
        <v>1500000</v>
      </c>
      <c r="P124" s="4"/>
      <c r="Q124" s="4"/>
      <c r="R124" s="4"/>
      <c r="S124" s="3" t="str">
        <f>IFERROR(__xludf.DUMMYFUNCTION("""COMPUTED_VALUE"""),"Belum Lunas")</f>
        <v>Belum Lunas</v>
      </c>
    </row>
    <row r="125">
      <c r="A125" s="3">
        <f t="shared" si="1"/>
        <v>124</v>
      </c>
      <c r="B125" s="4" t="str">
        <f>IFERROR(__xludf.DUMMYFUNCTION("""COMPUTED_VALUE"""),"DILLA ADHATUL FITRI")</f>
        <v>DILLA ADHATUL FITRI</v>
      </c>
      <c r="C125" s="3">
        <f>IFERROR(__xludf.DUMMYFUNCTION("""COMPUTED_VALUE"""),2.024070004E9)</f>
        <v>2024070004</v>
      </c>
      <c r="D125" s="3" t="str">
        <f>IFERROR(__xludf.DUMMYFUNCTION("""COMPUTED_VALUE"""),"D")</f>
        <v>D</v>
      </c>
      <c r="E125" s="3" t="str">
        <f>IFERROR(__xludf.DUMMYFUNCTION("""COMPUTED_VALUE"""),"D-7")</f>
        <v>D-7</v>
      </c>
      <c r="F125" s="3">
        <f>IFERROR(__xludf.DUMMYFUNCTION("""COMPUTED_VALUE"""),3.0)</f>
        <v>3</v>
      </c>
      <c r="G125" s="3"/>
      <c r="H125" s="3" t="str">
        <f>IFERROR(__xludf.DUMMYFUNCTION("""COMPUTED_VALUE"""),"MA-XII.1")</f>
        <v>MA-XII.1</v>
      </c>
      <c r="I125" s="4" t="str">
        <f>IFERROR(__xludf.DUMMYFUNCTION("""COMPUTED_VALUE"""),"MUKHOLISUN")</f>
        <v>MUKHOLISUN</v>
      </c>
      <c r="J125" s="4" t="str">
        <f>IFERROR(__xludf.DUMMYFUNCTION("""COMPUTED_VALUE"""),"PILANG TEJOASRI RT 1 RW 2 LAREN LAMONGAN")</f>
        <v>PILANG TEJOASRI RT 1 RW 2 LAREN LAMONGAN</v>
      </c>
      <c r="K125" s="4" t="str">
        <f>IFERROR(__xludf.DUMMYFUNCTION("""COMPUTED_VALUE"""),"6282198021057")</f>
        <v>6282198021057</v>
      </c>
      <c r="L125" s="5">
        <f>IFERROR(__xludf.DUMMYFUNCTION("""COMPUTED_VALUE"""),0.0)</f>
        <v>0</v>
      </c>
      <c r="M125" s="5">
        <f>IFERROR(__xludf.DUMMYFUNCTION("""COMPUTED_VALUE"""),1600000.0)</f>
        <v>1600000</v>
      </c>
      <c r="N125" s="5">
        <f>IFERROR(__xludf.DUMMYFUNCTION("""COMPUTED_VALUE"""),0.0)</f>
        <v>0</v>
      </c>
      <c r="O125" s="5">
        <f>IFERROR(__xludf.DUMMYFUNCTION("""COMPUTED_VALUE"""),1600000.0)</f>
        <v>1600000</v>
      </c>
      <c r="P125" s="4"/>
      <c r="Q125" s="4"/>
      <c r="R125" s="4"/>
      <c r="S125" s="3" t="str">
        <f>IFERROR(__xludf.DUMMYFUNCTION("""COMPUTED_VALUE"""),"Belum Lunas")</f>
        <v>Belum Lunas</v>
      </c>
    </row>
    <row r="126">
      <c r="A126" s="3">
        <f t="shared" si="1"/>
        <v>125</v>
      </c>
      <c r="B126" s="4" t="str">
        <f>IFERROR(__xludf.DUMMYFUNCTION("""COMPUTED_VALUE"""),"FATIR APRILIANT SYAH")</f>
        <v>FATIR APRILIANT SYAH</v>
      </c>
      <c r="C126" s="3">
        <f>IFERROR(__xludf.DUMMYFUNCTION("""COMPUTED_VALUE"""),2.02407066E9)</f>
        <v>2024070660</v>
      </c>
      <c r="D126" s="3" t="str">
        <f>IFERROR(__xludf.DUMMYFUNCTION("""COMPUTED_VALUE"""),"A")</f>
        <v>A</v>
      </c>
      <c r="E126" s="3" t="str">
        <f>IFERROR(__xludf.DUMMYFUNCTION("""COMPUTED_VALUE"""),"A-7")</f>
        <v>A-7</v>
      </c>
      <c r="F126" s="3">
        <f>IFERROR(__xludf.DUMMYFUNCTION("""COMPUTED_VALUE"""),3.0)</f>
        <v>3</v>
      </c>
      <c r="G126" s="3" t="str">
        <f>IFERROR(__xludf.DUMMYFUNCTION("""COMPUTED_VALUE"""),"3 ULA A PUTRA")</f>
        <v>3 ULA A PUTRA</v>
      </c>
      <c r="H126" s="3" t="str">
        <f>IFERROR(__xludf.DUMMYFUNCTION("""COMPUTED_VALUE"""),"MTS-9 A")</f>
        <v>MTS-9 A</v>
      </c>
      <c r="I126" s="4" t="str">
        <f>IFERROR(__xludf.DUMMYFUNCTION("""COMPUTED_VALUE"""),"SUGIATI")</f>
        <v>SUGIATI</v>
      </c>
      <c r="J126" s="4" t="str">
        <f>IFERROR(__xludf.DUMMYFUNCTION("""COMPUTED_VALUE"""),"GANGIN JELAKCATUR RT 004 RW 003 KALITENGAH LAMONGAN")</f>
        <v>GANGIN JELAKCATUR RT 004 RW 003 KALITENGAH LAMONGAN</v>
      </c>
      <c r="K126" s="4" t="str">
        <f>IFERROR(__xludf.DUMMYFUNCTION("""COMPUTED_VALUE"""),"6285853949817")</f>
        <v>6285853949817</v>
      </c>
      <c r="L126" s="5">
        <f>IFERROR(__xludf.DUMMYFUNCTION("""COMPUTED_VALUE"""),1230000.0)</f>
        <v>1230000</v>
      </c>
      <c r="M126" s="5">
        <f>IFERROR(__xludf.DUMMYFUNCTION("""COMPUTED_VALUE"""),500000.0)</f>
        <v>500000</v>
      </c>
      <c r="N126" s="5">
        <f>IFERROR(__xludf.DUMMYFUNCTION("""COMPUTED_VALUE"""),0.0)</f>
        <v>0</v>
      </c>
      <c r="O126" s="5">
        <f>IFERROR(__xludf.DUMMYFUNCTION("""COMPUTED_VALUE"""),1730000.0)</f>
        <v>1730000</v>
      </c>
      <c r="P126" s="4"/>
      <c r="Q126" s="4"/>
      <c r="R126" s="4"/>
      <c r="S126" s="3" t="str">
        <f>IFERROR(__xludf.DUMMYFUNCTION("""COMPUTED_VALUE"""),"Belum Lunas")</f>
        <v>Belum Lunas</v>
      </c>
    </row>
    <row r="127">
      <c r="A127" s="3">
        <f t="shared" si="1"/>
        <v>126</v>
      </c>
      <c r="B127" s="4" t="str">
        <f>IFERROR(__xludf.DUMMYFUNCTION("""COMPUTED_VALUE"""),"DZAKIR ZAMAHSARI EL GHIFARI ZEIN")</f>
        <v>DZAKIR ZAMAHSARI EL GHIFARI ZEIN</v>
      </c>
      <c r="C127" s="3">
        <f>IFERROR(__xludf.DUMMYFUNCTION("""COMPUTED_VALUE"""),2.024070624E9)</f>
        <v>2024070624</v>
      </c>
      <c r="D127" s="3" t="str">
        <f>IFERROR(__xludf.DUMMYFUNCTION("""COMPUTED_VALUE"""),"A")</f>
        <v>A</v>
      </c>
      <c r="E127" s="3" t="str">
        <f>IFERROR(__xludf.DUMMYFUNCTION("""COMPUTED_VALUE"""),"A-8")</f>
        <v>A-8</v>
      </c>
      <c r="F127" s="3">
        <f>IFERROR(__xludf.DUMMYFUNCTION("""COMPUTED_VALUE"""),3.0)</f>
        <v>3</v>
      </c>
      <c r="G127" s="3" t="str">
        <f>IFERROR(__xludf.DUMMYFUNCTION("""COMPUTED_VALUE"""),"3 ULA B PUTRA")</f>
        <v>3 ULA B PUTRA</v>
      </c>
      <c r="H127" s="3" t="str">
        <f>IFERROR(__xludf.DUMMYFUNCTION("""COMPUTED_VALUE"""),"MTS-9 D")</f>
        <v>MTS-9 D</v>
      </c>
      <c r="I127" s="4" t="str">
        <f>IFERROR(__xludf.DUMMYFUNCTION("""COMPUTED_VALUE"""),"SITI ZUBAIDAH")</f>
        <v>SITI ZUBAIDAH</v>
      </c>
      <c r="J127" s="4" t="str">
        <f>IFERROR(__xludf.DUMMYFUNCTION("""COMPUTED_VALUE"""),"JL. MESDJID NO. 4 CIPULIR RT 011 RW 001 KEBAYORAN LAMA JAKARTA SELATAN")</f>
        <v>JL. MESDJID NO. 4 CIPULIR RT 011 RW 001 KEBAYORAN LAMA JAKARTA SELATAN</v>
      </c>
      <c r="K127" s="4" t="str">
        <f>IFERROR(__xludf.DUMMYFUNCTION("""COMPUTED_VALUE"""),"6281779129473")</f>
        <v>6281779129473</v>
      </c>
      <c r="L127" s="5">
        <f>IFERROR(__xludf.DUMMYFUNCTION("""COMPUTED_VALUE"""),1800000.0)</f>
        <v>1800000</v>
      </c>
      <c r="M127" s="5">
        <f>IFERROR(__xludf.DUMMYFUNCTION("""COMPUTED_VALUE"""),0.0)</f>
        <v>0</v>
      </c>
      <c r="N127" s="5">
        <f>IFERROR(__xludf.DUMMYFUNCTION("""COMPUTED_VALUE"""),0.0)</f>
        <v>0</v>
      </c>
      <c r="O127" s="5">
        <f>IFERROR(__xludf.DUMMYFUNCTION("""COMPUTED_VALUE"""),1800000.0)</f>
        <v>1800000</v>
      </c>
      <c r="P127" s="4"/>
      <c r="Q127" s="4"/>
      <c r="R127" s="4"/>
      <c r="S127" s="3" t="str">
        <f>IFERROR(__xludf.DUMMYFUNCTION("""COMPUTED_VALUE"""),"Belum Lunas")</f>
        <v>Belum Lunas</v>
      </c>
    </row>
    <row r="128">
      <c r="A128" s="3">
        <f t="shared" si="1"/>
        <v>127</v>
      </c>
      <c r="B128" s="4" t="str">
        <f>IFERROR(__xludf.DUMMYFUNCTION("""COMPUTED_VALUE"""),"RIZKY ADITYA")</f>
        <v>RIZKY ADITYA</v>
      </c>
      <c r="C128" s="3">
        <f>IFERROR(__xludf.DUMMYFUNCTION("""COMPUTED_VALUE"""),2.024070592E9)</f>
        <v>2024070592</v>
      </c>
      <c r="D128" s="3" t="str">
        <f>IFERROR(__xludf.DUMMYFUNCTION("""COMPUTED_VALUE"""),"A")</f>
        <v>A</v>
      </c>
      <c r="E128" s="3" t="str">
        <f>IFERROR(__xludf.DUMMYFUNCTION("""COMPUTED_VALUE"""),"A-7")</f>
        <v>A-7</v>
      </c>
      <c r="F128" s="3">
        <f>IFERROR(__xludf.DUMMYFUNCTION("""COMPUTED_VALUE"""),3.0)</f>
        <v>3</v>
      </c>
      <c r="G128" s="3" t="str">
        <f>IFERROR(__xludf.DUMMYFUNCTION("""COMPUTED_VALUE"""),"3 ULA B PUTRA")</f>
        <v>3 ULA B PUTRA</v>
      </c>
      <c r="H128" s="3" t="str">
        <f>IFERROR(__xludf.DUMMYFUNCTION("""COMPUTED_VALUE"""),"MTS-9 F")</f>
        <v>MTS-9 F</v>
      </c>
      <c r="I128" s="4" t="str">
        <f>IFERROR(__xludf.DUMMYFUNCTION("""COMPUTED_VALUE"""),"ANISA SARI")</f>
        <v>ANISA SARI</v>
      </c>
      <c r="J128" s="4" t="str">
        <f>IFERROR(__xludf.DUMMYFUNCTION("""COMPUTED_VALUE"""),"PARANGA KAPITA RT - RW - BANGKALA JENEPONTO")</f>
        <v>PARANGA KAPITA RT - RW - BANGKALA JENEPONTO</v>
      </c>
      <c r="K128" s="4" t="str">
        <f>IFERROR(__xludf.DUMMYFUNCTION("""COMPUTED_VALUE"""),"6282255832815")</f>
        <v>6282255832815</v>
      </c>
      <c r="L128" s="5">
        <f>IFERROR(__xludf.DUMMYFUNCTION("""COMPUTED_VALUE"""),1350000.0)</f>
        <v>1350000</v>
      </c>
      <c r="M128" s="5">
        <f>IFERROR(__xludf.DUMMYFUNCTION("""COMPUTED_VALUE"""),500000.0)</f>
        <v>500000</v>
      </c>
      <c r="N128" s="5">
        <f>IFERROR(__xludf.DUMMYFUNCTION("""COMPUTED_VALUE"""),0.0)</f>
        <v>0</v>
      </c>
      <c r="O128" s="5">
        <f>IFERROR(__xludf.DUMMYFUNCTION("""COMPUTED_VALUE"""),1850000.0)</f>
        <v>1850000</v>
      </c>
      <c r="P128" s="4"/>
      <c r="Q128" s="4"/>
      <c r="R128" s="4"/>
      <c r="S128" s="3" t="str">
        <f>IFERROR(__xludf.DUMMYFUNCTION("""COMPUTED_VALUE"""),"Belum Lunas")</f>
        <v>Belum Lunas</v>
      </c>
    </row>
    <row r="129">
      <c r="A129" s="3">
        <f t="shared" si="1"/>
        <v>128</v>
      </c>
      <c r="B129" s="4" t="str">
        <f>IFERROR(__xludf.DUMMYFUNCTION("""COMPUTED_VALUE"""),"SELVIA DEWI ASMAUL KHUSNADA")</f>
        <v>SELVIA DEWI ASMAUL KHUSNADA</v>
      </c>
      <c r="C129" s="3">
        <f>IFERROR(__xludf.DUMMYFUNCTION("""COMPUTED_VALUE"""),2.024070511E9)</f>
        <v>2024070511</v>
      </c>
      <c r="D129" s="3" t="str">
        <f>IFERROR(__xludf.DUMMYFUNCTION("""COMPUTED_VALUE"""),"C")</f>
        <v>C</v>
      </c>
      <c r="E129" s="3" t="str">
        <f>IFERROR(__xludf.DUMMYFUNCTION("""COMPUTED_VALUE"""),"C-12")</f>
        <v>C-12</v>
      </c>
      <c r="F129" s="3">
        <f>IFERROR(__xludf.DUMMYFUNCTION("""COMPUTED_VALUE"""),3.0)</f>
        <v>3</v>
      </c>
      <c r="G129" s="3"/>
      <c r="H129" s="3" t="str">
        <f>IFERROR(__xludf.DUMMYFUNCTION("""COMPUTED_VALUE"""),"MTS-9 G")</f>
        <v>MTS-9 G</v>
      </c>
      <c r="I129" s="4" t="str">
        <f>IFERROR(__xludf.DUMMYFUNCTION("""COMPUTED_VALUE"""),"SUKARSIH")</f>
        <v>SUKARSIH</v>
      </c>
      <c r="J129" s="4" t="str">
        <f>IFERROR(__xludf.DUMMYFUNCTION("""COMPUTED_VALUE"""),"PETIYIN PETIYINTUNGGAL RT 007 RW 003 DUKUN GRESIK")</f>
        <v>PETIYIN PETIYINTUNGGAL RT 007 RW 003 DUKUN GRESIK</v>
      </c>
      <c r="K129" s="4" t="str">
        <f>IFERROR(__xludf.DUMMYFUNCTION("""COMPUTED_VALUE"""),"6281252102661")</f>
        <v>6281252102661</v>
      </c>
      <c r="L129" s="5">
        <f>IFERROR(__xludf.DUMMYFUNCTION("""COMPUTED_VALUE"""),1350000.0)</f>
        <v>1350000</v>
      </c>
      <c r="M129" s="5">
        <f>IFERROR(__xludf.DUMMYFUNCTION("""COMPUTED_VALUE"""),500000.0)</f>
        <v>500000</v>
      </c>
      <c r="N129" s="5">
        <f>IFERROR(__xludf.DUMMYFUNCTION("""COMPUTED_VALUE"""),0.0)</f>
        <v>0</v>
      </c>
      <c r="O129" s="5">
        <f>IFERROR(__xludf.DUMMYFUNCTION("""COMPUTED_VALUE"""),1850000.0)</f>
        <v>1850000</v>
      </c>
      <c r="P129" s="4"/>
      <c r="Q129" s="4"/>
      <c r="R129" s="4"/>
      <c r="S129" s="3" t="str">
        <f>IFERROR(__xludf.DUMMYFUNCTION("""COMPUTED_VALUE"""),"Belum Lunas")</f>
        <v>Belum Lunas</v>
      </c>
    </row>
    <row r="130">
      <c r="A130" s="3">
        <f t="shared" si="1"/>
        <v>129</v>
      </c>
      <c r="B130" s="4" t="str">
        <f>IFERROR(__xludf.DUMMYFUNCTION("""COMPUTED_VALUE"""),"FARIKHATUL ISTIMAROH")</f>
        <v>FARIKHATUL ISTIMAROH</v>
      </c>
      <c r="C130" s="3">
        <f>IFERROR(__xludf.DUMMYFUNCTION("""COMPUTED_VALUE"""),2.024070419E9)</f>
        <v>2024070419</v>
      </c>
      <c r="D130" s="3" t="str">
        <f>IFERROR(__xludf.DUMMYFUNCTION("""COMPUTED_VALUE"""),"C")</f>
        <v>C</v>
      </c>
      <c r="E130" s="3" t="str">
        <f>IFERROR(__xludf.DUMMYFUNCTION("""COMPUTED_VALUE"""),"C-7")</f>
        <v>C-7</v>
      </c>
      <c r="F130" s="3">
        <f>IFERROR(__xludf.DUMMYFUNCTION("""COMPUTED_VALUE"""),3.0)</f>
        <v>3</v>
      </c>
      <c r="G130" s="3" t="str">
        <f>IFERROR(__xludf.DUMMYFUNCTION("""COMPUTED_VALUE"""),"3 MAK PUTRI")</f>
        <v>3 MAK PUTRI</v>
      </c>
      <c r="H130" s="3" t="str">
        <f>IFERROR(__xludf.DUMMYFUNCTION("""COMPUTED_VALUE"""),"MA-XII.13")</f>
        <v>MA-XII.13</v>
      </c>
      <c r="I130" s="4" t="str">
        <f>IFERROR(__xludf.DUMMYFUNCTION("""COMPUTED_VALUE"""),"MURNI")</f>
        <v>MURNI</v>
      </c>
      <c r="J130" s="4" t="str">
        <f>IFERROR(__xludf.DUMMYFUNCTION("""COMPUTED_VALUE"""),"MOROGO PUTATKUMPUL RT 003 RW 005 TURI LAMONGAN")</f>
        <v>MOROGO PUTATKUMPUL RT 003 RW 005 TURI LAMONGAN</v>
      </c>
      <c r="K130" s="4" t="str">
        <f>IFERROR(__xludf.DUMMYFUNCTION("""COMPUTED_VALUE"""),"6285648855706")</f>
        <v>6285648855706</v>
      </c>
      <c r="L130" s="5">
        <f>IFERROR(__xludf.DUMMYFUNCTION("""COMPUTED_VALUE"""),900000.0)</f>
        <v>900000</v>
      </c>
      <c r="M130" s="5">
        <f>IFERROR(__xludf.DUMMYFUNCTION("""COMPUTED_VALUE"""),1000000.0)</f>
        <v>1000000</v>
      </c>
      <c r="N130" s="5">
        <f>IFERROR(__xludf.DUMMYFUNCTION("""COMPUTED_VALUE"""),0.0)</f>
        <v>0</v>
      </c>
      <c r="O130" s="5">
        <f>IFERROR(__xludf.DUMMYFUNCTION("""COMPUTED_VALUE"""),1900000.0)</f>
        <v>1900000</v>
      </c>
      <c r="P130" s="4"/>
      <c r="Q130" s="4"/>
      <c r="R130" s="4"/>
      <c r="S130" s="3" t="str">
        <f>IFERROR(__xludf.DUMMYFUNCTION("""COMPUTED_VALUE"""),"Belum Lunas")</f>
        <v>Belum Lunas</v>
      </c>
    </row>
    <row r="131">
      <c r="A131" s="3">
        <f t="shared" si="1"/>
        <v>130</v>
      </c>
      <c r="B131" s="4" t="str">
        <f>IFERROR(__xludf.DUMMYFUNCTION("""COMPUTED_VALUE"""),"FITA ARUMNI SEPTHIANY")</f>
        <v>FITA ARUMNI SEPTHIANY</v>
      </c>
      <c r="C131" s="3">
        <f>IFERROR(__xludf.DUMMYFUNCTION("""COMPUTED_VALUE"""),2.024070008E9)</f>
        <v>2024070008</v>
      </c>
      <c r="D131" s="3" t="str">
        <f>IFERROR(__xludf.DUMMYFUNCTION("""COMPUTED_VALUE"""),"C")</f>
        <v>C</v>
      </c>
      <c r="E131" s="3" t="str">
        <f>IFERROR(__xludf.DUMMYFUNCTION("""COMPUTED_VALUE"""),"C-2")</f>
        <v>C-2</v>
      </c>
      <c r="F131" s="3">
        <f>IFERROR(__xludf.DUMMYFUNCTION("""COMPUTED_VALUE"""),3.0)</f>
        <v>3</v>
      </c>
      <c r="G131" s="3"/>
      <c r="H131" s="3" t="str">
        <f>IFERROR(__xludf.DUMMYFUNCTION("""COMPUTED_VALUE"""),"MA-XII.1")</f>
        <v>MA-XII.1</v>
      </c>
      <c r="I131" s="4" t="str">
        <f>IFERROR(__xludf.DUMMYFUNCTION("""COMPUTED_VALUE"""),"KASTILAH")</f>
        <v>KASTILAH</v>
      </c>
      <c r="J131" s="4" t="str">
        <f>IFERROR(__xludf.DUMMYFUNCTION("""COMPUTED_VALUE"""),"KULURAN RT 4 RW 4 KALITENGAH LAMONGAN")</f>
        <v>KULURAN RT 4 RW 4 KALITENGAH LAMONGAN</v>
      </c>
      <c r="K131" s="4" t="str">
        <f>IFERROR(__xludf.DUMMYFUNCTION("""COMPUTED_VALUE"""),"6285707808910")</f>
        <v>6285707808910</v>
      </c>
      <c r="L131" s="5">
        <f>IFERROR(__xludf.DUMMYFUNCTION("""COMPUTED_VALUE"""),900000.0)</f>
        <v>900000</v>
      </c>
      <c r="M131" s="5">
        <f>IFERROR(__xludf.DUMMYFUNCTION("""COMPUTED_VALUE"""),1000000.0)</f>
        <v>1000000</v>
      </c>
      <c r="N131" s="5">
        <f>IFERROR(__xludf.DUMMYFUNCTION("""COMPUTED_VALUE"""),0.0)</f>
        <v>0</v>
      </c>
      <c r="O131" s="5">
        <f>IFERROR(__xludf.DUMMYFUNCTION("""COMPUTED_VALUE"""),1900000.0)</f>
        <v>1900000</v>
      </c>
      <c r="P131" s="4"/>
      <c r="Q131" s="4"/>
      <c r="R131" s="4"/>
      <c r="S131" s="3" t="str">
        <f>IFERROR(__xludf.DUMMYFUNCTION("""COMPUTED_VALUE"""),"Belum Lunas")</f>
        <v>Belum Lunas</v>
      </c>
    </row>
    <row r="132">
      <c r="A132" s="3">
        <f t="shared" si="1"/>
        <v>131</v>
      </c>
      <c r="B132" s="4" t="str">
        <f>IFERROR(__xludf.DUMMYFUNCTION("""COMPUTED_VALUE"""),"PUTRI SALSABILA RAHMA NOVALITA")</f>
        <v>PUTRI SALSABILA RAHMA NOVALITA</v>
      </c>
      <c r="C132" s="3">
        <f>IFERROR(__xludf.DUMMYFUNCTION("""COMPUTED_VALUE"""),2.024070545E9)</f>
        <v>2024070545</v>
      </c>
      <c r="D132" s="3" t="str">
        <f>IFERROR(__xludf.DUMMYFUNCTION("""COMPUTED_VALUE"""),"C")</f>
        <v>C</v>
      </c>
      <c r="E132" s="3" t="str">
        <f>IFERROR(__xludf.DUMMYFUNCTION("""COMPUTED_VALUE"""),"C-3")</f>
        <v>C-3</v>
      </c>
      <c r="F132" s="3">
        <f>IFERROR(__xludf.DUMMYFUNCTION("""COMPUTED_VALUE"""),3.0)</f>
        <v>3</v>
      </c>
      <c r="G132" s="3"/>
      <c r="H132" s="3" t="str">
        <f>IFERROR(__xludf.DUMMYFUNCTION("""COMPUTED_VALUE"""),"MTS-9 G")</f>
        <v>MTS-9 G</v>
      </c>
      <c r="I132" s="4" t="str">
        <f>IFERROR(__xludf.DUMMYFUNCTION("""COMPUTED_VALUE"""),"NUR HASANAH")</f>
        <v>NUR HASANAH</v>
      </c>
      <c r="J132" s="4" t="str">
        <f>IFERROR(__xludf.DUMMYFUNCTION("""COMPUTED_VALUE"""),"SEMBUNGAN KIDUL RT 004 RW 002 DUKUN GRESIK")</f>
        <v>SEMBUNGAN KIDUL RT 004 RW 002 DUKUN GRESIK</v>
      </c>
      <c r="K132" s="4" t="str">
        <f>IFERROR(__xludf.DUMMYFUNCTION("""COMPUTED_VALUE"""),"6285755578060")</f>
        <v>6285755578060</v>
      </c>
      <c r="L132" s="5">
        <f>IFERROR(__xludf.DUMMYFUNCTION("""COMPUTED_VALUE"""),900000.0)</f>
        <v>900000</v>
      </c>
      <c r="M132" s="5">
        <f>IFERROR(__xludf.DUMMYFUNCTION("""COMPUTED_VALUE"""),1000000.0)</f>
        <v>1000000</v>
      </c>
      <c r="N132" s="5">
        <f>IFERROR(__xludf.DUMMYFUNCTION("""COMPUTED_VALUE"""),0.0)</f>
        <v>0</v>
      </c>
      <c r="O132" s="5">
        <f>IFERROR(__xludf.DUMMYFUNCTION("""COMPUTED_VALUE"""),1900000.0)</f>
        <v>1900000</v>
      </c>
      <c r="P132" s="4"/>
      <c r="Q132" s="4"/>
      <c r="R132" s="4"/>
      <c r="S132" s="3" t="str">
        <f>IFERROR(__xludf.DUMMYFUNCTION("""COMPUTED_VALUE"""),"Belum Lunas")</f>
        <v>Belum Lunas</v>
      </c>
    </row>
    <row r="133">
      <c r="A133" s="3">
        <f t="shared" si="1"/>
        <v>132</v>
      </c>
      <c r="B133" s="4" t="str">
        <f>IFERROR(__xludf.DUMMYFUNCTION("""COMPUTED_VALUE"""),"SAHRUL DICKY ARDIANSYAH")</f>
        <v>SAHRUL DICKY ARDIANSYAH</v>
      </c>
      <c r="C133" s="3">
        <f>IFERROR(__xludf.DUMMYFUNCTION("""COMPUTED_VALUE"""),2.024070616E9)</f>
        <v>2024070616</v>
      </c>
      <c r="D133" s="3" t="str">
        <f>IFERROR(__xludf.DUMMYFUNCTION("""COMPUTED_VALUE"""),"A")</f>
        <v>A</v>
      </c>
      <c r="E133" s="3" t="str">
        <f>IFERROR(__xludf.DUMMYFUNCTION("""COMPUTED_VALUE"""),"A-7")</f>
        <v>A-7</v>
      </c>
      <c r="F133" s="3">
        <f>IFERROR(__xludf.DUMMYFUNCTION("""COMPUTED_VALUE"""),3.0)</f>
        <v>3</v>
      </c>
      <c r="G133" s="3" t="str">
        <f>IFERROR(__xludf.DUMMYFUNCTION("""COMPUTED_VALUE"""),"3 ULA B PUTRA")</f>
        <v>3 ULA B PUTRA</v>
      </c>
      <c r="H133" s="3" t="str">
        <f>IFERROR(__xludf.DUMMYFUNCTION("""COMPUTED_VALUE"""),"MTS-9 E")</f>
        <v>MTS-9 E</v>
      </c>
      <c r="I133" s="4" t="str">
        <f>IFERROR(__xludf.DUMMYFUNCTION("""COMPUTED_VALUE"""),"MASRIFAH")</f>
        <v>MASRIFAH</v>
      </c>
      <c r="J133" s="4" t="str">
        <f>IFERROR(__xludf.DUMMYFUNCTION("""COMPUTED_VALUE"""),"GLUMO JELAKCATUR RT 002 RW 005 KALITENGAH LAMONGAN")</f>
        <v>GLUMO JELAKCATUR RT 002 RW 005 KALITENGAH LAMONGAN</v>
      </c>
      <c r="K133" s="4" t="str">
        <f>IFERROR(__xludf.DUMMYFUNCTION("""COMPUTED_VALUE"""),"6285645276494")</f>
        <v>6285645276494</v>
      </c>
      <c r="L133" s="5">
        <f>IFERROR(__xludf.DUMMYFUNCTION("""COMPUTED_VALUE"""),900000.0)</f>
        <v>900000</v>
      </c>
      <c r="M133" s="5">
        <f>IFERROR(__xludf.DUMMYFUNCTION("""COMPUTED_VALUE"""),1000000.0)</f>
        <v>1000000</v>
      </c>
      <c r="N133" s="5">
        <f>IFERROR(__xludf.DUMMYFUNCTION("""COMPUTED_VALUE"""),0.0)</f>
        <v>0</v>
      </c>
      <c r="O133" s="5">
        <f>IFERROR(__xludf.DUMMYFUNCTION("""COMPUTED_VALUE"""),1900000.0)</f>
        <v>1900000</v>
      </c>
      <c r="P133" s="4"/>
      <c r="Q133" s="4"/>
      <c r="R133" s="4"/>
      <c r="S133" s="3" t="str">
        <f>IFERROR(__xludf.DUMMYFUNCTION("""COMPUTED_VALUE"""),"Belum Lunas")</f>
        <v>Belum Lunas</v>
      </c>
    </row>
    <row r="134">
      <c r="A134" s="3">
        <f t="shared" si="1"/>
        <v>133</v>
      </c>
      <c r="B134" s="4" t="str">
        <f>IFERROR(__xludf.DUMMYFUNCTION("""COMPUTED_VALUE"""),"AL IMROTUL KUSNIA")</f>
        <v>AL IMROTUL KUSNIA</v>
      </c>
      <c r="C134" s="3">
        <f>IFERROR(__xludf.DUMMYFUNCTION("""COMPUTED_VALUE"""),2.024070483E9)</f>
        <v>2024070483</v>
      </c>
      <c r="D134" s="3" t="str">
        <f>IFERROR(__xludf.DUMMYFUNCTION("""COMPUTED_VALUE"""),"E")</f>
        <v>E</v>
      </c>
      <c r="E134" s="3" t="str">
        <f>IFERROR(__xludf.DUMMYFUNCTION("""COMPUTED_VALUE"""),"E-2")</f>
        <v>E-2</v>
      </c>
      <c r="F134" s="3">
        <f>IFERROR(__xludf.DUMMYFUNCTION("""COMPUTED_VALUE"""),3.0)</f>
        <v>3</v>
      </c>
      <c r="G134" s="3" t="str">
        <f>IFERROR(__xludf.DUMMYFUNCTION("""COMPUTED_VALUE"""),"3 ULA C PUTRI")</f>
        <v>3 ULA C PUTRI</v>
      </c>
      <c r="H134" s="3" t="str">
        <f>IFERROR(__xludf.DUMMYFUNCTION("""COMPUTED_VALUE"""),"MTS-9 C")</f>
        <v>MTS-9 C</v>
      </c>
      <c r="I134" s="4" t="str">
        <f>IFERROR(__xludf.DUMMYFUNCTION("""COMPUTED_VALUE"""),"ROSYIDAH")</f>
        <v>ROSYIDAH</v>
      </c>
      <c r="J134" s="4" t="str">
        <f>IFERROR(__xludf.DUMMYFUNCTION("""COMPUTED_VALUE"""),"NGAYUNG RT 007 RW 002 MADURAN LAMONGAN")</f>
        <v>NGAYUNG RT 007 RW 002 MADURAN LAMONGAN</v>
      </c>
      <c r="K134" s="4" t="str">
        <f>IFERROR(__xludf.DUMMYFUNCTION("""COMPUTED_VALUE"""),"6282330812041")</f>
        <v>6282330812041</v>
      </c>
      <c r="L134" s="5">
        <f>IFERROR(__xludf.DUMMYFUNCTION("""COMPUTED_VALUE"""),2000000.0)</f>
        <v>2000000</v>
      </c>
      <c r="M134" s="5">
        <f>IFERROR(__xludf.DUMMYFUNCTION("""COMPUTED_VALUE"""),0.0)</f>
        <v>0</v>
      </c>
      <c r="N134" s="5">
        <f>IFERROR(__xludf.DUMMYFUNCTION("""COMPUTED_VALUE"""),0.0)</f>
        <v>0</v>
      </c>
      <c r="O134" s="5">
        <f>IFERROR(__xludf.DUMMYFUNCTION("""COMPUTED_VALUE"""),2000000.0)</f>
        <v>2000000</v>
      </c>
      <c r="P134" s="4"/>
      <c r="Q134" s="4"/>
      <c r="R134" s="4"/>
      <c r="S134" s="3" t="str">
        <f>IFERROR(__xludf.DUMMYFUNCTION("""COMPUTED_VALUE"""),"Belum Lunas")</f>
        <v>Belum Lunas</v>
      </c>
    </row>
    <row r="135">
      <c r="A135" s="3">
        <f t="shared" si="1"/>
        <v>134</v>
      </c>
      <c r="B135" s="4" t="str">
        <f>IFERROR(__xludf.DUMMYFUNCTION("""COMPUTED_VALUE"""),"NILLA ADDINIA KHAFSOH")</f>
        <v>NILLA ADDINIA KHAFSOH</v>
      </c>
      <c r="C135" s="3">
        <f>IFERROR(__xludf.DUMMYFUNCTION("""COMPUTED_VALUE"""),2.024070195E9)</f>
        <v>2024070195</v>
      </c>
      <c r="D135" s="3" t="str">
        <f>IFERROR(__xludf.DUMMYFUNCTION("""COMPUTED_VALUE"""),"E")</f>
        <v>E</v>
      </c>
      <c r="E135" s="3" t="str">
        <f>IFERROR(__xludf.DUMMYFUNCTION("""COMPUTED_VALUE"""),"E-3")</f>
        <v>E-3</v>
      </c>
      <c r="F135" s="3">
        <f>IFERROR(__xludf.DUMMYFUNCTION("""COMPUTED_VALUE"""),3.0)</f>
        <v>3</v>
      </c>
      <c r="G135" s="3" t="str">
        <f>IFERROR(__xludf.DUMMYFUNCTION("""COMPUTED_VALUE"""),"3 WUSTHO C PUTRI")</f>
        <v>3 WUSTHO C PUTRI</v>
      </c>
      <c r="H135" s="3" t="str">
        <f>IFERROR(__xludf.DUMMYFUNCTION("""COMPUTED_VALUE"""),"MA-XII.7")</f>
        <v>MA-XII.7</v>
      </c>
      <c r="I135" s="4" t="str">
        <f>IFERROR(__xludf.DUMMYFUNCTION("""COMPUTED_VALUE"""),"NUR HASANAH")</f>
        <v>NUR HASANAH</v>
      </c>
      <c r="J135" s="4" t="str">
        <f>IFERROR(__xludf.DUMMYFUNCTION("""COMPUTED_VALUE"""),"KETAPANG LOR RT 001 RW 002 UJUNGPANGKAH GRESIK")</f>
        <v>KETAPANG LOR RT 001 RW 002 UJUNGPANGKAH GRESIK</v>
      </c>
      <c r="K135" s="4" t="str">
        <f>IFERROR(__xludf.DUMMYFUNCTION("""COMPUTED_VALUE"""),"6285813135311")</f>
        <v>6285813135311</v>
      </c>
      <c r="L135" s="5">
        <f>IFERROR(__xludf.DUMMYFUNCTION("""COMPUTED_VALUE"""),1000000.0)</f>
        <v>1000000</v>
      </c>
      <c r="M135" s="5">
        <f>IFERROR(__xludf.DUMMYFUNCTION("""COMPUTED_VALUE"""),1000000.0)</f>
        <v>1000000</v>
      </c>
      <c r="N135" s="5">
        <f>IFERROR(__xludf.DUMMYFUNCTION("""COMPUTED_VALUE"""),0.0)</f>
        <v>0</v>
      </c>
      <c r="O135" s="5">
        <f>IFERROR(__xludf.DUMMYFUNCTION("""COMPUTED_VALUE"""),2000000.0)</f>
        <v>2000000</v>
      </c>
      <c r="P135" s="4"/>
      <c r="Q135" s="4"/>
      <c r="R135" s="4"/>
      <c r="S135" s="3" t="str">
        <f>IFERROR(__xludf.DUMMYFUNCTION("""COMPUTED_VALUE"""),"Belum Lunas")</f>
        <v>Belum Lunas</v>
      </c>
    </row>
    <row r="136">
      <c r="A136" s="3">
        <f t="shared" si="1"/>
        <v>135</v>
      </c>
      <c r="B136" s="4" t="str">
        <f>IFERROR(__xludf.DUMMYFUNCTION("""COMPUTED_VALUE"""),"MOCH. FAJAR QOMARUDIN FEBRIAN")</f>
        <v>MOCH. FAJAR QOMARUDIN FEBRIAN</v>
      </c>
      <c r="C136" s="3">
        <f>IFERROR(__xludf.DUMMYFUNCTION("""COMPUTED_VALUE"""),2.024070678E9)</f>
        <v>2024070678</v>
      </c>
      <c r="D136" s="3" t="str">
        <f>IFERROR(__xludf.DUMMYFUNCTION("""COMPUTED_VALUE"""),"A")</f>
        <v>A</v>
      </c>
      <c r="E136" s="3" t="str">
        <f>IFERROR(__xludf.DUMMYFUNCTION("""COMPUTED_VALUE"""),"A-10")</f>
        <v>A-10</v>
      </c>
      <c r="F136" s="3">
        <f>IFERROR(__xludf.DUMMYFUNCTION("""COMPUTED_VALUE"""),3.0)</f>
        <v>3</v>
      </c>
      <c r="G136" s="3" t="str">
        <f>IFERROR(__xludf.DUMMYFUNCTION("""COMPUTED_VALUE"""),"3 WUSTHO PUTRA")</f>
        <v>3 WUSTHO PUTRA</v>
      </c>
      <c r="H136" s="3" t="str">
        <f>IFERROR(__xludf.DUMMYFUNCTION("""COMPUTED_VALUE"""),"SMK-XII TKJ 1")</f>
        <v>SMK-XII TKJ 1</v>
      </c>
      <c r="I136" s="4" t="str">
        <f>IFERROR(__xludf.DUMMYFUNCTION("""COMPUTED_VALUE"""),"SA'ADATUN NI'MAH")</f>
        <v>SA'ADATUN NI'MAH</v>
      </c>
      <c r="J136" s="4" t="str">
        <f>IFERROR(__xludf.DUMMYFUNCTION("""COMPUTED_VALUE"""),"KANDANGAN CANDISARI RT 012 RW 002 SAMBENG LAMONGAN")</f>
        <v>KANDANGAN CANDISARI RT 012 RW 002 SAMBENG LAMONGAN</v>
      </c>
      <c r="K136" s="4" t="str">
        <f>IFERROR(__xludf.DUMMYFUNCTION("""COMPUTED_VALUE"""),"6285809004813")</f>
        <v>6285809004813</v>
      </c>
      <c r="L136" s="5">
        <f>IFERROR(__xludf.DUMMYFUNCTION("""COMPUTED_VALUE"""),1890000.0)</f>
        <v>1890000</v>
      </c>
      <c r="M136" s="5">
        <f>IFERROR(__xludf.DUMMYFUNCTION("""COMPUTED_VALUE"""),0.0)</f>
        <v>0</v>
      </c>
      <c r="N136" s="5">
        <f>IFERROR(__xludf.DUMMYFUNCTION("""COMPUTED_VALUE"""),250000.0)</f>
        <v>250000</v>
      </c>
      <c r="O136" s="5">
        <f>IFERROR(__xludf.DUMMYFUNCTION("""COMPUTED_VALUE"""),2140000.0)</f>
        <v>2140000</v>
      </c>
      <c r="P136" s="4"/>
      <c r="Q136" s="4"/>
      <c r="R136" s="4"/>
      <c r="S136" s="3" t="str">
        <f>IFERROR(__xludf.DUMMYFUNCTION("""COMPUTED_VALUE"""),"Belum Lunas")</f>
        <v>Belum Lunas</v>
      </c>
    </row>
    <row r="137">
      <c r="A137" s="3">
        <f t="shared" si="1"/>
        <v>136</v>
      </c>
      <c r="B137" s="4" t="str">
        <f>IFERROR(__xludf.DUMMYFUNCTION("""COMPUTED_VALUE"""),"HUSNADYAH FATMAHWATI")</f>
        <v>HUSNADYAH FATMAHWATI</v>
      </c>
      <c r="C137" s="3">
        <f>IFERROR(__xludf.DUMMYFUNCTION("""COMPUTED_VALUE"""),2.024070115E9)</f>
        <v>2024070115</v>
      </c>
      <c r="D137" s="3" t="str">
        <f>IFERROR(__xludf.DUMMYFUNCTION("""COMPUTED_VALUE"""),"D")</f>
        <v>D</v>
      </c>
      <c r="E137" s="3" t="str">
        <f>IFERROR(__xludf.DUMMYFUNCTION("""COMPUTED_VALUE"""),"D-6")</f>
        <v>D-6</v>
      </c>
      <c r="F137" s="3">
        <f>IFERROR(__xludf.DUMMYFUNCTION("""COMPUTED_VALUE"""),3.0)</f>
        <v>3</v>
      </c>
      <c r="G137" s="3" t="str">
        <f>IFERROR(__xludf.DUMMYFUNCTION("""COMPUTED_VALUE"""),"3 WUSTHO C PUTRI")</f>
        <v>3 WUSTHO C PUTRI</v>
      </c>
      <c r="H137" s="3" t="str">
        <f>IFERROR(__xludf.DUMMYFUNCTION("""COMPUTED_VALUE"""),"MA-XII.4")</f>
        <v>MA-XII.4</v>
      </c>
      <c r="I137" s="4" t="str">
        <f>IFERROR(__xludf.DUMMYFUNCTION("""COMPUTED_VALUE"""),"KURNIA NIKDA RETNANI")</f>
        <v>KURNIA NIKDA RETNANI</v>
      </c>
      <c r="J137" s="4" t="str">
        <f>IFERROR(__xludf.DUMMYFUNCTION("""COMPUTED_VALUE"""),"LUMBANGAN PENDOWOLIMO RT 3 RW 1 KARANGBINANGUN LAMONGAN")</f>
        <v>LUMBANGAN PENDOWOLIMO RT 3 RW 1 KARANGBINANGUN LAMONGAN</v>
      </c>
      <c r="K137" s="4" t="str">
        <f>IFERROR(__xludf.DUMMYFUNCTION("""COMPUTED_VALUE"""),"6285731755110")</f>
        <v>6285731755110</v>
      </c>
      <c r="L137" s="5">
        <f>IFERROR(__xludf.DUMMYFUNCTION("""COMPUTED_VALUE"""),2250000.0)</f>
        <v>2250000</v>
      </c>
      <c r="M137" s="5">
        <f>IFERROR(__xludf.DUMMYFUNCTION("""COMPUTED_VALUE"""),0.0)</f>
        <v>0</v>
      </c>
      <c r="N137" s="5">
        <f>IFERROR(__xludf.DUMMYFUNCTION("""COMPUTED_VALUE"""),0.0)</f>
        <v>0</v>
      </c>
      <c r="O137" s="5">
        <f>IFERROR(__xludf.DUMMYFUNCTION("""COMPUTED_VALUE"""),2250000.0)</f>
        <v>2250000</v>
      </c>
      <c r="P137" s="4"/>
      <c r="Q137" s="4"/>
      <c r="R137" s="4"/>
      <c r="S137" s="3" t="str">
        <f>IFERROR(__xludf.DUMMYFUNCTION("""COMPUTED_VALUE"""),"Belum Lunas")</f>
        <v>Belum Lunas</v>
      </c>
    </row>
    <row r="138">
      <c r="A138" s="3">
        <f t="shared" si="1"/>
        <v>137</v>
      </c>
      <c r="B138" s="4" t="str">
        <f>IFERROR(__xludf.DUMMYFUNCTION("""COMPUTED_VALUE"""),"SAFIRA FIDIYASARI")</f>
        <v>SAFIRA FIDIYASARI</v>
      </c>
      <c r="C138" s="3">
        <f>IFERROR(__xludf.DUMMYFUNCTION("""COMPUTED_VALUE"""),2.024070632E9)</f>
        <v>2024070632</v>
      </c>
      <c r="D138" s="3" t="str">
        <f>IFERROR(__xludf.DUMMYFUNCTION("""COMPUTED_VALUE"""),"C")</f>
        <v>C</v>
      </c>
      <c r="E138" s="3" t="str">
        <f>IFERROR(__xludf.DUMMYFUNCTION("""COMPUTED_VALUE"""),"C-3")</f>
        <v>C-3</v>
      </c>
      <c r="F138" s="3">
        <f>IFERROR(__xludf.DUMMYFUNCTION("""COMPUTED_VALUE"""),3.0)</f>
        <v>3</v>
      </c>
      <c r="G138" s="3"/>
      <c r="H138" s="3" t="str">
        <f>IFERROR(__xludf.DUMMYFUNCTION("""COMPUTED_VALUE"""),"MTS-9 H")</f>
        <v>MTS-9 H</v>
      </c>
      <c r="I138" s="4" t="str">
        <f>IFERROR(__xludf.DUMMYFUNCTION("""COMPUTED_VALUE"""),"SOFIYA WIDIYAWATI")</f>
        <v>SOFIYA WIDIYAWATI</v>
      </c>
      <c r="J138" s="4" t="str">
        <f>IFERROR(__xludf.DUMMYFUNCTION("""COMPUTED_VALUE"""),"KULURAN RT 004 RW 003 KALITENGAH LAMONGAN")</f>
        <v>KULURAN RT 004 RW 003 KALITENGAH LAMONGAN</v>
      </c>
      <c r="K138" s="4" t="str">
        <f>IFERROR(__xludf.DUMMYFUNCTION("""COMPUTED_VALUE"""),"6285732998926")</f>
        <v>6285732998926</v>
      </c>
      <c r="L138" s="5">
        <f>IFERROR(__xludf.DUMMYFUNCTION("""COMPUTED_VALUE"""),1800000.0)</f>
        <v>1800000</v>
      </c>
      <c r="M138" s="5">
        <f>IFERROR(__xludf.DUMMYFUNCTION("""COMPUTED_VALUE"""),500000.0)</f>
        <v>500000</v>
      </c>
      <c r="N138" s="5">
        <f>IFERROR(__xludf.DUMMYFUNCTION("""COMPUTED_VALUE"""),0.0)</f>
        <v>0</v>
      </c>
      <c r="O138" s="5">
        <f>IFERROR(__xludf.DUMMYFUNCTION("""COMPUTED_VALUE"""),2300000.0)</f>
        <v>2300000</v>
      </c>
      <c r="P138" s="4"/>
      <c r="Q138" s="4"/>
      <c r="R138" s="4"/>
      <c r="S138" s="3" t="str">
        <f>IFERROR(__xludf.DUMMYFUNCTION("""COMPUTED_VALUE"""),"Belum Lunas")</f>
        <v>Belum Lunas</v>
      </c>
    </row>
    <row r="139">
      <c r="A139" s="3">
        <f t="shared" si="1"/>
        <v>138</v>
      </c>
      <c r="B139" s="4" t="str">
        <f>IFERROR(__xludf.DUMMYFUNCTION("""COMPUTED_VALUE"""),"AMINATUS SALMA")</f>
        <v>AMINATUS SALMA</v>
      </c>
      <c r="C139" s="3">
        <f>IFERROR(__xludf.DUMMYFUNCTION("""COMPUTED_VALUE"""),2.024070186E9)</f>
        <v>2024070186</v>
      </c>
      <c r="D139" s="3" t="str">
        <f>IFERROR(__xludf.DUMMYFUNCTION("""COMPUTED_VALUE"""),"D")</f>
        <v>D</v>
      </c>
      <c r="E139" s="3" t="str">
        <f>IFERROR(__xludf.DUMMYFUNCTION("""COMPUTED_VALUE"""),"D-6")</f>
        <v>D-6</v>
      </c>
      <c r="F139" s="3">
        <f>IFERROR(__xludf.DUMMYFUNCTION("""COMPUTED_VALUE"""),3.0)</f>
        <v>3</v>
      </c>
      <c r="G139" s="3" t="str">
        <f>IFERROR(__xludf.DUMMYFUNCTION("""COMPUTED_VALUE"""),"3 WUSTHO C PUTRI")</f>
        <v>3 WUSTHO C PUTRI</v>
      </c>
      <c r="H139" s="3" t="str">
        <f>IFERROR(__xludf.DUMMYFUNCTION("""COMPUTED_VALUE"""),"MA-XII.7")</f>
        <v>MA-XII.7</v>
      </c>
      <c r="I139" s="4" t="str">
        <f>IFERROR(__xludf.DUMMYFUNCTION("""COMPUTED_VALUE"""),"SYAMSIAMAH")</f>
        <v>SYAMSIAMAH</v>
      </c>
      <c r="J139" s="4" t="str">
        <f>IFERROR(__xludf.DUMMYFUNCTION("""COMPUTED_VALUE"""),"KEBONSARI PALANGAN RT 2 RW 1 KARANGBINANGUN LAMONGAN")</f>
        <v>KEBONSARI PALANGAN RT 2 RW 1 KARANGBINANGUN LAMONGAN</v>
      </c>
      <c r="K139" s="4" t="str">
        <f>IFERROR(__xludf.DUMMYFUNCTION("""COMPUTED_VALUE"""),"6285608570934")</f>
        <v>6285608570934</v>
      </c>
      <c r="L139" s="5">
        <f>IFERROR(__xludf.DUMMYFUNCTION("""COMPUTED_VALUE"""),1350000.0)</f>
        <v>1350000</v>
      </c>
      <c r="M139" s="5">
        <f>IFERROR(__xludf.DUMMYFUNCTION("""COMPUTED_VALUE"""),1000000.0)</f>
        <v>1000000</v>
      </c>
      <c r="N139" s="5">
        <f>IFERROR(__xludf.DUMMYFUNCTION("""COMPUTED_VALUE"""),0.0)</f>
        <v>0</v>
      </c>
      <c r="O139" s="5">
        <f>IFERROR(__xludf.DUMMYFUNCTION("""COMPUTED_VALUE"""),2350000.0)</f>
        <v>2350000</v>
      </c>
      <c r="P139" s="4"/>
      <c r="Q139" s="4"/>
      <c r="R139" s="4"/>
      <c r="S139" s="3" t="str">
        <f>IFERROR(__xludf.DUMMYFUNCTION("""COMPUTED_VALUE"""),"Belum Lunas")</f>
        <v>Belum Lunas</v>
      </c>
    </row>
    <row r="140">
      <c r="A140" s="3">
        <f t="shared" si="1"/>
        <v>139</v>
      </c>
      <c r="B140" s="4" t="str">
        <f>IFERROR(__xludf.DUMMYFUNCTION("""COMPUTED_VALUE"""),"BUNGA SALSABILA RAHMAH")</f>
        <v>BUNGA SALSABILA RAHMAH</v>
      </c>
      <c r="C140" s="3">
        <f>IFERROR(__xludf.DUMMYFUNCTION("""COMPUTED_VALUE"""),2.02407152E9)</f>
        <v>2024071520</v>
      </c>
      <c r="D140" s="3" t="str">
        <f>IFERROR(__xludf.DUMMYFUNCTION("""COMPUTED_VALUE"""),"C")</f>
        <v>C</v>
      </c>
      <c r="E140" s="3" t="str">
        <f>IFERROR(__xludf.DUMMYFUNCTION("""COMPUTED_VALUE"""),"C-7")</f>
        <v>C-7</v>
      </c>
      <c r="F140" s="3">
        <f>IFERROR(__xludf.DUMMYFUNCTION("""COMPUTED_VALUE"""),3.0)</f>
        <v>3</v>
      </c>
      <c r="G140" s="3"/>
      <c r="H140" s="3" t="str">
        <f>IFERROR(__xludf.DUMMYFUNCTION("""COMPUTED_VALUE"""),"MA-XIII.13")</f>
        <v>MA-XIII.13</v>
      </c>
      <c r="I140" s="4" t="str">
        <f>IFERROR(__xludf.DUMMYFUNCTION("""COMPUTED_VALUE"""),"USWATUN HASANAH")</f>
        <v>USWATUN HASANAH</v>
      </c>
      <c r="J140" s="4" t="str">
        <f>IFERROR(__xludf.DUMMYFUNCTION("""COMPUTED_VALUE"""),"SEMEMI JAYA 10 LANGGAR NO. 21 RT 005 RW 001 BENOWO SURABAYA")</f>
        <v>SEMEMI JAYA 10 LANGGAR NO. 21 RT 005 RW 001 BENOWO SURABAYA</v>
      </c>
      <c r="K140" s="4" t="str">
        <f>IFERROR(__xludf.DUMMYFUNCTION("""COMPUTED_VALUE"""),"6285102700597")</f>
        <v>6285102700597</v>
      </c>
      <c r="L140" s="5">
        <f>IFERROR(__xludf.DUMMYFUNCTION("""COMPUTED_VALUE"""),1350000.0)</f>
        <v>1350000</v>
      </c>
      <c r="M140" s="5">
        <f>IFERROR(__xludf.DUMMYFUNCTION("""COMPUTED_VALUE"""),1000000.0)</f>
        <v>1000000</v>
      </c>
      <c r="N140" s="5">
        <f>IFERROR(__xludf.DUMMYFUNCTION("""COMPUTED_VALUE"""),0.0)</f>
        <v>0</v>
      </c>
      <c r="O140" s="5">
        <f>IFERROR(__xludf.DUMMYFUNCTION("""COMPUTED_VALUE"""),2350000.0)</f>
        <v>2350000</v>
      </c>
      <c r="P140" s="4"/>
      <c r="Q140" s="4"/>
      <c r="R140" s="4"/>
      <c r="S140" s="3" t="str">
        <f>IFERROR(__xludf.DUMMYFUNCTION("""COMPUTED_VALUE"""),"Belum Lunas")</f>
        <v>Belum Lunas</v>
      </c>
    </row>
    <row r="141">
      <c r="A141" s="3">
        <f t="shared" si="1"/>
        <v>140</v>
      </c>
      <c r="B141" s="4" t="str">
        <f>IFERROR(__xludf.DUMMYFUNCTION("""COMPUTED_VALUE"""),"NAJWA ERILAH")</f>
        <v>NAJWA ERILAH</v>
      </c>
      <c r="C141" s="3">
        <f>IFERROR(__xludf.DUMMYFUNCTION("""COMPUTED_VALUE"""),2.02407002E9)</f>
        <v>2024070020</v>
      </c>
      <c r="D141" s="3" t="str">
        <f>IFERROR(__xludf.DUMMYFUNCTION("""COMPUTED_VALUE"""),"D")</f>
        <v>D</v>
      </c>
      <c r="E141" s="3" t="str">
        <f>IFERROR(__xludf.DUMMYFUNCTION("""COMPUTED_VALUE"""),"D-7")</f>
        <v>D-7</v>
      </c>
      <c r="F141" s="3">
        <f>IFERROR(__xludf.DUMMYFUNCTION("""COMPUTED_VALUE"""),3.0)</f>
        <v>3</v>
      </c>
      <c r="G141" s="3"/>
      <c r="H141" s="3" t="str">
        <f>IFERROR(__xludf.DUMMYFUNCTION("""COMPUTED_VALUE"""),"MA-XII.1")</f>
        <v>MA-XII.1</v>
      </c>
      <c r="I141" s="4" t="str">
        <f>IFERROR(__xludf.DUMMYFUNCTION("""COMPUTED_VALUE"""),"MUNZILAH")</f>
        <v>MUNZILAH</v>
      </c>
      <c r="J141" s="4" t="str">
        <f>IFERROR(__xludf.DUMMYFUNCTION("""COMPUTED_VALUE"""),"PETIYIN TAKERHARJO RT 1 RW 5 SOLOKURO LAMONGAN")</f>
        <v>PETIYIN TAKERHARJO RT 1 RW 5 SOLOKURO LAMONGAN</v>
      </c>
      <c r="K141" s="4" t="str">
        <f>IFERROR(__xludf.DUMMYFUNCTION("""COMPUTED_VALUE"""),"6285736463854")</f>
        <v>6285736463854</v>
      </c>
      <c r="L141" s="5">
        <f>IFERROR(__xludf.DUMMYFUNCTION("""COMPUTED_VALUE"""),1350000.0)</f>
        <v>1350000</v>
      </c>
      <c r="M141" s="5">
        <f>IFERROR(__xludf.DUMMYFUNCTION("""COMPUTED_VALUE"""),1000000.0)</f>
        <v>1000000</v>
      </c>
      <c r="N141" s="5">
        <f>IFERROR(__xludf.DUMMYFUNCTION("""COMPUTED_VALUE"""),0.0)</f>
        <v>0</v>
      </c>
      <c r="O141" s="5">
        <f>IFERROR(__xludf.DUMMYFUNCTION("""COMPUTED_VALUE"""),2350000.0)</f>
        <v>2350000</v>
      </c>
      <c r="P141" s="4"/>
      <c r="Q141" s="4"/>
      <c r="R141" s="4"/>
      <c r="S141" s="3" t="str">
        <f>IFERROR(__xludf.DUMMYFUNCTION("""COMPUTED_VALUE"""),"Belum Lunas")</f>
        <v>Belum Lunas</v>
      </c>
    </row>
    <row r="142">
      <c r="A142" s="3">
        <f t="shared" si="1"/>
        <v>141</v>
      </c>
      <c r="B142" s="4" t="str">
        <f>IFERROR(__xludf.DUMMYFUNCTION("""COMPUTED_VALUE"""),"ILHAFAH ARYA NOVRYANI")</f>
        <v>ILHAFAH ARYA NOVRYANI</v>
      </c>
      <c r="C142" s="3">
        <f>IFERROR(__xludf.DUMMYFUNCTION("""COMPUTED_VALUE"""),2.024070617E9)</f>
        <v>2024070617</v>
      </c>
      <c r="D142" s="3" t="str">
        <f>IFERROR(__xludf.DUMMYFUNCTION("""COMPUTED_VALUE"""),"E")</f>
        <v>E</v>
      </c>
      <c r="E142" s="3" t="str">
        <f>IFERROR(__xludf.DUMMYFUNCTION("""COMPUTED_VALUE"""),"E-3")</f>
        <v>E-3</v>
      </c>
      <c r="F142" s="3">
        <f>IFERROR(__xludf.DUMMYFUNCTION("""COMPUTED_VALUE"""),3.0)</f>
        <v>3</v>
      </c>
      <c r="G142" s="3" t="str">
        <f>IFERROR(__xludf.DUMMYFUNCTION("""COMPUTED_VALUE"""),"3 ULA B PUTRI")</f>
        <v>3 ULA B PUTRI</v>
      </c>
      <c r="H142" s="3" t="str">
        <f>IFERROR(__xludf.DUMMYFUNCTION("""COMPUTED_VALUE"""),"MTS-9 G")</f>
        <v>MTS-9 G</v>
      </c>
      <c r="I142" s="4" t="str">
        <f>IFERROR(__xludf.DUMMYFUNCTION("""COMPUTED_VALUE"""),"NGATMIATUN")</f>
        <v>NGATMIATUN</v>
      </c>
      <c r="J142" s="4" t="str">
        <f>IFERROR(__xludf.DUMMYFUNCTION("""COMPUTED_VALUE"""),"TEJOASRI RT 003 RW 005 LAREN LAMONGAN")</f>
        <v>TEJOASRI RT 003 RW 005 LAREN LAMONGAN</v>
      </c>
      <c r="K142" s="4" t="str">
        <f>IFERROR(__xludf.DUMMYFUNCTION("""COMPUTED_VALUE"""),"6285735467317")</f>
        <v>6285735467317</v>
      </c>
      <c r="L142" s="5">
        <f>IFERROR(__xludf.DUMMYFUNCTION("""COMPUTED_VALUE"""),1500000.0)</f>
        <v>1500000</v>
      </c>
      <c r="M142" s="5">
        <f>IFERROR(__xludf.DUMMYFUNCTION("""COMPUTED_VALUE"""),1000000.0)</f>
        <v>1000000</v>
      </c>
      <c r="N142" s="5">
        <f>IFERROR(__xludf.DUMMYFUNCTION("""COMPUTED_VALUE"""),0.0)</f>
        <v>0</v>
      </c>
      <c r="O142" s="5">
        <f>IFERROR(__xludf.DUMMYFUNCTION("""COMPUTED_VALUE"""),2500000.0)</f>
        <v>2500000</v>
      </c>
      <c r="P142" s="4"/>
      <c r="Q142" s="4"/>
      <c r="R142" s="4"/>
      <c r="S142" s="3" t="str">
        <f>IFERROR(__xludf.DUMMYFUNCTION("""COMPUTED_VALUE"""),"Belum Lunas")</f>
        <v>Belum Lunas</v>
      </c>
    </row>
    <row r="143">
      <c r="A143" s="3">
        <f t="shared" si="1"/>
        <v>142</v>
      </c>
      <c r="B143" s="4" t="str">
        <f>IFERROR(__xludf.DUMMYFUNCTION("""COMPUTED_VALUE"""),"DAVINA NANGSYA AZZAHRAH")</f>
        <v>DAVINA NANGSYA AZZAHRAH</v>
      </c>
      <c r="C143" s="3">
        <f>IFERROR(__xludf.DUMMYFUNCTION("""COMPUTED_VALUE"""),2.024070415E9)</f>
        <v>2024070415</v>
      </c>
      <c r="D143" s="3" t="str">
        <f>IFERROR(__xludf.DUMMYFUNCTION("""COMPUTED_VALUE"""),"E")</f>
        <v>E</v>
      </c>
      <c r="E143" s="3" t="str">
        <f>IFERROR(__xludf.DUMMYFUNCTION("""COMPUTED_VALUE"""),"E-3")</f>
        <v>E-3</v>
      </c>
      <c r="F143" s="3">
        <f>IFERROR(__xludf.DUMMYFUNCTION("""COMPUTED_VALUE"""),3.0)</f>
        <v>3</v>
      </c>
      <c r="G143" s="3" t="str">
        <f>IFERROR(__xludf.DUMMYFUNCTION("""COMPUTED_VALUE"""),"3 WUSTHO A PUTRI")</f>
        <v>3 WUSTHO A PUTRI</v>
      </c>
      <c r="H143" s="3" t="str">
        <f>IFERROR(__xludf.DUMMYFUNCTION("""COMPUTED_VALUE"""),"MA-XII.2")</f>
        <v>MA-XII.2</v>
      </c>
      <c r="I143" s="4" t="str">
        <f>IFERROR(__xludf.DUMMYFUNCTION("""COMPUTED_VALUE"""),"SAFI`AH")</f>
        <v>SAFI`AH</v>
      </c>
      <c r="J143" s="4" t="str">
        <f>IFERROR(__xludf.DUMMYFUNCTION("""COMPUTED_VALUE"""),"RANDUBENER RT 13 RW 2 KEMBANGBAHU LAMONGAN")</f>
        <v>RANDUBENER RT 13 RW 2 KEMBANGBAHU LAMONGAN</v>
      </c>
      <c r="K143" s="4" t="str">
        <f>IFERROR(__xludf.DUMMYFUNCTION("""COMPUTED_VALUE"""),"6289537096560")</f>
        <v>6289537096560</v>
      </c>
      <c r="L143" s="5">
        <f>IFERROR(__xludf.DUMMYFUNCTION("""COMPUTED_VALUE"""),2160000.0)</f>
        <v>2160000</v>
      </c>
      <c r="M143" s="5">
        <f>IFERROR(__xludf.DUMMYFUNCTION("""COMPUTED_VALUE"""),0.0)</f>
        <v>0</v>
      </c>
      <c r="N143" s="5">
        <f>IFERROR(__xludf.DUMMYFUNCTION("""COMPUTED_VALUE"""),350000.0)</f>
        <v>350000</v>
      </c>
      <c r="O143" s="5">
        <f>IFERROR(__xludf.DUMMYFUNCTION("""COMPUTED_VALUE"""),2510000.0)</f>
        <v>2510000</v>
      </c>
      <c r="P143" s="4"/>
      <c r="Q143" s="4"/>
      <c r="R143" s="4"/>
      <c r="S143" s="3" t="str">
        <f>IFERROR(__xludf.DUMMYFUNCTION("""COMPUTED_VALUE"""),"Belum Lunas")</f>
        <v>Belum Lunas</v>
      </c>
    </row>
    <row r="144">
      <c r="A144" s="3">
        <f t="shared" si="1"/>
        <v>143</v>
      </c>
      <c r="B144" s="4" t="str">
        <f>IFERROR(__xludf.DUMMYFUNCTION("""COMPUTED_VALUE"""),"DEWI SHOFIYAH NUR HIMMATUSSALAFIYA")</f>
        <v>DEWI SHOFIYAH NUR HIMMATUSSALAFIYA</v>
      </c>
      <c r="C144" s="3">
        <f>IFERROR(__xludf.DUMMYFUNCTION("""COMPUTED_VALUE"""),2.024070416E9)</f>
        <v>2024070416</v>
      </c>
      <c r="D144" s="3" t="str">
        <f>IFERROR(__xludf.DUMMYFUNCTION("""COMPUTED_VALUE"""),"D")</f>
        <v>D</v>
      </c>
      <c r="E144" s="3" t="str">
        <f>IFERROR(__xludf.DUMMYFUNCTION("""COMPUTED_VALUE"""),"D-6")</f>
        <v>D-6</v>
      </c>
      <c r="F144" s="3">
        <f>IFERROR(__xludf.DUMMYFUNCTION("""COMPUTED_VALUE"""),3.0)</f>
        <v>3</v>
      </c>
      <c r="G144" s="3" t="str">
        <f>IFERROR(__xludf.DUMMYFUNCTION("""COMPUTED_VALUE"""),"3 MAK PUTRI")</f>
        <v>3 MAK PUTRI</v>
      </c>
      <c r="H144" s="3" t="str">
        <f>IFERROR(__xludf.DUMMYFUNCTION("""COMPUTED_VALUE"""),"MA-XII.13")</f>
        <v>MA-XII.13</v>
      </c>
      <c r="I144" s="4" t="str">
        <f>IFERROR(__xludf.DUMMYFUNCTION("""COMPUTED_VALUE"""),"SUMIYAH")</f>
        <v>SUMIYAH</v>
      </c>
      <c r="J144" s="4" t="str">
        <f>IFERROR(__xludf.DUMMYFUNCTION("""COMPUTED_VALUE"""),"GLUMO RT 005 RW 001 JELAKCATUR KALITENGAH LAMONGAN")</f>
        <v>GLUMO RT 005 RW 001 JELAKCATUR KALITENGAH LAMONGAN</v>
      </c>
      <c r="K144" s="4" t="str">
        <f>IFERROR(__xludf.DUMMYFUNCTION("""COMPUTED_VALUE"""),"6285792978952")</f>
        <v>6285792978952</v>
      </c>
      <c r="L144" s="5">
        <f>IFERROR(__xludf.DUMMYFUNCTION("""COMPUTED_VALUE"""),2700000.0)</f>
        <v>2700000</v>
      </c>
      <c r="M144" s="5">
        <f>IFERROR(__xludf.DUMMYFUNCTION("""COMPUTED_VALUE"""),0.0)</f>
        <v>0</v>
      </c>
      <c r="N144" s="5">
        <f>IFERROR(__xludf.DUMMYFUNCTION("""COMPUTED_VALUE"""),0.0)</f>
        <v>0</v>
      </c>
      <c r="O144" s="5">
        <f>IFERROR(__xludf.DUMMYFUNCTION("""COMPUTED_VALUE"""),2700000.0)</f>
        <v>2700000</v>
      </c>
      <c r="P144" s="4"/>
      <c r="Q144" s="4"/>
      <c r="R144" s="4"/>
      <c r="S144" s="3" t="str">
        <f>IFERROR(__xludf.DUMMYFUNCTION("""COMPUTED_VALUE"""),"Belum Lunas")</f>
        <v>Belum Lunas</v>
      </c>
    </row>
    <row r="145">
      <c r="A145" s="3">
        <f t="shared" si="1"/>
        <v>144</v>
      </c>
      <c r="B145" s="4" t="str">
        <f>IFERROR(__xludf.DUMMYFUNCTION("""COMPUTED_VALUE"""),"EIRMA NAFISYAH ADILLAH")</f>
        <v>EIRMA NAFISYAH ADILLAH</v>
      </c>
      <c r="C145" s="3">
        <f>IFERROR(__xludf.DUMMYFUNCTION("""COMPUTED_VALUE"""),2.02407019E9)</f>
        <v>2024070190</v>
      </c>
      <c r="D145" s="3" t="str">
        <f>IFERROR(__xludf.DUMMYFUNCTION("""COMPUTED_VALUE"""),"C")</f>
        <v>C</v>
      </c>
      <c r="E145" s="3" t="str">
        <f>IFERROR(__xludf.DUMMYFUNCTION("""COMPUTED_VALUE"""),"C-9")</f>
        <v>C-9</v>
      </c>
      <c r="F145" s="3">
        <f>IFERROR(__xludf.DUMMYFUNCTION("""COMPUTED_VALUE"""),3.0)</f>
        <v>3</v>
      </c>
      <c r="G145" s="3" t="str">
        <f>IFERROR(__xludf.DUMMYFUNCTION("""COMPUTED_VALUE"""),"3 WUSTHO B PUTRI")</f>
        <v>3 WUSTHO B PUTRI</v>
      </c>
      <c r="H145" s="3" t="str">
        <f>IFERROR(__xludf.DUMMYFUNCTION("""COMPUTED_VALUE"""),"MA-XII.7")</f>
        <v>MA-XII.7</v>
      </c>
      <c r="I145" s="4" t="str">
        <f>IFERROR(__xludf.DUMMYFUNCTION("""COMPUTED_VALUE"""),"ENDANG SUGIARTI")</f>
        <v>ENDANG SUGIARTI</v>
      </c>
      <c r="J145" s="4" t="str">
        <f>IFERROR(__xludf.DUMMYFUNCTION("""COMPUTED_VALUE"""),"SHOBEROH DALEGAN RT 003 RW 009 PANCENG GRESIK")</f>
        <v>SHOBEROH DALEGAN RT 003 RW 009 PANCENG GRESIK</v>
      </c>
      <c r="K145" s="4" t="str">
        <f>IFERROR(__xludf.DUMMYFUNCTION("""COMPUTED_VALUE"""),"601163973701")</f>
        <v>601163973701</v>
      </c>
      <c r="L145" s="5">
        <f>IFERROR(__xludf.DUMMYFUNCTION("""COMPUTED_VALUE"""),2700000.0)</f>
        <v>2700000</v>
      </c>
      <c r="M145" s="5">
        <f>IFERROR(__xludf.DUMMYFUNCTION("""COMPUTED_VALUE"""),0.0)</f>
        <v>0</v>
      </c>
      <c r="N145" s="5">
        <f>IFERROR(__xludf.DUMMYFUNCTION("""COMPUTED_VALUE"""),0.0)</f>
        <v>0</v>
      </c>
      <c r="O145" s="5">
        <f>IFERROR(__xludf.DUMMYFUNCTION("""COMPUTED_VALUE"""),2700000.0)</f>
        <v>2700000</v>
      </c>
      <c r="P145" s="4"/>
      <c r="Q145" s="4"/>
      <c r="R145" s="4"/>
      <c r="S145" s="3" t="str">
        <f>IFERROR(__xludf.DUMMYFUNCTION("""COMPUTED_VALUE"""),"Belum Lunas")</f>
        <v>Belum Lunas</v>
      </c>
    </row>
    <row r="146">
      <c r="A146" s="3">
        <f t="shared" si="1"/>
        <v>145</v>
      </c>
      <c r="B146" s="6" t="str">
        <f>IFERROR(__xludf.DUMMYFUNCTION("""COMPUTED_VALUE"""),"HARITSATUN NAJWA ABIDAH ALBANAN")</f>
        <v>HARITSATUN NAJWA ABIDAH ALBANAN</v>
      </c>
      <c r="C146" s="3">
        <f>IFERROR(__xludf.DUMMYFUNCTION("""COMPUTED_VALUE"""),2.024070569E9)</f>
        <v>2024070569</v>
      </c>
      <c r="D146" s="3" t="str">
        <f>IFERROR(__xludf.DUMMYFUNCTION("""COMPUTED_VALUE"""),"C")</f>
        <v>C</v>
      </c>
      <c r="E146" s="3" t="str">
        <f>IFERROR(__xludf.DUMMYFUNCTION("""COMPUTED_VALUE"""),"C-3")</f>
        <v>C-3</v>
      </c>
      <c r="F146" s="3">
        <f>IFERROR(__xludf.DUMMYFUNCTION("""COMPUTED_VALUE"""),3.0)</f>
        <v>3</v>
      </c>
      <c r="G146" s="3"/>
      <c r="H146" s="3" t="str">
        <f>IFERROR(__xludf.DUMMYFUNCTION("""COMPUTED_VALUE"""),"MTS-9 C")</f>
        <v>MTS-9 C</v>
      </c>
      <c r="I146" s="4" t="str">
        <f>IFERROR(__xludf.DUMMYFUNCTION("""COMPUTED_VALUE"""),"HIDAYATUL ABIDAH")</f>
        <v>HIDAYATUL ABIDAH</v>
      </c>
      <c r="J146" s="4" t="str">
        <f>IFERROR(__xludf.DUMMYFUNCTION("""COMPUTED_VALUE"""),"JANGGAN POMAHANJANGGAN RT 007 RW 003 TURI LAMONGAN")</f>
        <v>JANGGAN POMAHANJANGGAN RT 007 RW 003 TURI LAMONGAN</v>
      </c>
      <c r="K146" s="4" t="str">
        <f>IFERROR(__xludf.DUMMYFUNCTION("""COMPUTED_VALUE"""),"6285655438946")</f>
        <v>6285655438946</v>
      </c>
      <c r="L146" s="5">
        <f>IFERROR(__xludf.DUMMYFUNCTION("""COMPUTED_VALUE"""),2700000.0)</f>
        <v>2700000</v>
      </c>
      <c r="M146" s="5">
        <f>IFERROR(__xludf.DUMMYFUNCTION("""COMPUTED_VALUE"""),0.0)</f>
        <v>0</v>
      </c>
      <c r="N146" s="5">
        <f>IFERROR(__xludf.DUMMYFUNCTION("""COMPUTED_VALUE"""),0.0)</f>
        <v>0</v>
      </c>
      <c r="O146" s="5">
        <f>IFERROR(__xludf.DUMMYFUNCTION("""COMPUTED_VALUE"""),2700000.0)</f>
        <v>2700000</v>
      </c>
      <c r="P146" s="4"/>
      <c r="Q146" s="4"/>
      <c r="R146" s="4"/>
      <c r="S146" s="3" t="str">
        <f>IFERROR(__xludf.DUMMYFUNCTION("""COMPUTED_VALUE"""),"Belum Lunas")</f>
        <v>Belum Lunas</v>
      </c>
    </row>
    <row r="147">
      <c r="A147" s="3">
        <f t="shared" si="1"/>
        <v>146</v>
      </c>
      <c r="B147" s="4" t="str">
        <f>IFERROR(__xludf.DUMMYFUNCTION("""COMPUTED_VALUE"""),"NUR IFATURAHMAH")</f>
        <v>NUR IFATURAHMAH</v>
      </c>
      <c r="C147" s="3">
        <f>IFERROR(__xludf.DUMMYFUNCTION("""COMPUTED_VALUE"""),2.024070505E9)</f>
        <v>2024070505</v>
      </c>
      <c r="D147" s="3" t="str">
        <f>IFERROR(__xludf.DUMMYFUNCTION("""COMPUTED_VALUE"""),"D")</f>
        <v>D</v>
      </c>
      <c r="E147" s="3" t="str">
        <f>IFERROR(__xludf.DUMMYFUNCTION("""COMPUTED_VALUE"""),"D-7")</f>
        <v>D-7</v>
      </c>
      <c r="F147" s="3">
        <f>IFERROR(__xludf.DUMMYFUNCTION("""COMPUTED_VALUE"""),3.0)</f>
        <v>3</v>
      </c>
      <c r="G147" s="3" t="str">
        <f>IFERROR(__xludf.DUMMYFUNCTION("""COMPUTED_VALUE"""),"3 ULA B PUTRI")</f>
        <v>3 ULA B PUTRI</v>
      </c>
      <c r="H147" s="3" t="str">
        <f>IFERROR(__xludf.DUMMYFUNCTION("""COMPUTED_VALUE"""),"MTS-9 A")</f>
        <v>MTS-9 A</v>
      </c>
      <c r="I147" s="4" t="str">
        <f>IFERROR(__xludf.DUMMYFUNCTION("""COMPUTED_VALUE"""),"EKA RAKHMAWATI")</f>
        <v>EKA RAKHMAWATI</v>
      </c>
      <c r="J147" s="4" t="str">
        <f>IFERROR(__xludf.DUMMYFUNCTION("""COMPUTED_VALUE"""),"BESUSUL SUMBERAJI RT 002 RW 003 SUKODADI LAMONGAN")</f>
        <v>BESUSUL SUMBERAJI RT 002 RW 003 SUKODADI LAMONGAN</v>
      </c>
      <c r="K147" s="4" t="str">
        <f>IFERROR(__xludf.DUMMYFUNCTION("""COMPUTED_VALUE"""),"6285648312663")</f>
        <v>6285648312663</v>
      </c>
      <c r="L147" s="5">
        <f>IFERROR(__xludf.DUMMYFUNCTION("""COMPUTED_VALUE"""),2700000.0)</f>
        <v>2700000</v>
      </c>
      <c r="M147" s="5">
        <f>IFERROR(__xludf.DUMMYFUNCTION("""COMPUTED_VALUE"""),0.0)</f>
        <v>0</v>
      </c>
      <c r="N147" s="5">
        <f>IFERROR(__xludf.DUMMYFUNCTION("""COMPUTED_VALUE"""),0.0)</f>
        <v>0</v>
      </c>
      <c r="O147" s="5">
        <f>IFERROR(__xludf.DUMMYFUNCTION("""COMPUTED_VALUE"""),2700000.0)</f>
        <v>2700000</v>
      </c>
      <c r="P147" s="4"/>
      <c r="Q147" s="4"/>
      <c r="R147" s="4"/>
      <c r="S147" s="3" t="str">
        <f>IFERROR(__xludf.DUMMYFUNCTION("""COMPUTED_VALUE"""),"Belum Lunas")</f>
        <v>Belum Lunas</v>
      </c>
    </row>
    <row r="148">
      <c r="A148" s="3">
        <f t="shared" si="1"/>
        <v>147</v>
      </c>
      <c r="B148" s="4" t="str">
        <f>IFERROR(__xludf.DUMMYFUNCTION("""COMPUTED_VALUE"""),"KHARIS DWI FIRMANA")</f>
        <v>KHARIS DWI FIRMANA</v>
      </c>
      <c r="C148" s="3">
        <f>IFERROR(__xludf.DUMMYFUNCTION("""COMPUTED_VALUE"""),2.024070627E9)</f>
        <v>2024070627</v>
      </c>
      <c r="D148" s="3" t="str">
        <f>IFERROR(__xludf.DUMMYFUNCTION("""COMPUTED_VALUE"""),"A")</f>
        <v>A</v>
      </c>
      <c r="E148" s="3" t="str">
        <f>IFERROR(__xludf.DUMMYFUNCTION("""COMPUTED_VALUE"""),"A-8")</f>
        <v>A-8</v>
      </c>
      <c r="F148" s="3">
        <f>IFERROR(__xludf.DUMMYFUNCTION("""COMPUTED_VALUE"""),3.0)</f>
        <v>3</v>
      </c>
      <c r="G148" s="3" t="str">
        <f>IFERROR(__xludf.DUMMYFUNCTION("""COMPUTED_VALUE"""),"3 ULA B PUTRA")</f>
        <v>3 ULA B PUTRA</v>
      </c>
      <c r="H148" s="3" t="str">
        <f>IFERROR(__xludf.DUMMYFUNCTION("""COMPUTED_VALUE"""),"MTS-9 F")</f>
        <v>MTS-9 F</v>
      </c>
      <c r="I148" s="4" t="str">
        <f>IFERROR(__xludf.DUMMYFUNCTION("""COMPUTED_VALUE"""),"KHOLIFAH")</f>
        <v>KHOLIFAH</v>
      </c>
      <c r="J148" s="4" t="str">
        <f>IFERROR(__xludf.DUMMYFUNCTION("""COMPUTED_VALUE"""),"NGAYUNG RT 010 RW 003 MADURAN LAMONGAN")</f>
        <v>NGAYUNG RT 010 RW 003 MADURAN LAMONGAN</v>
      </c>
      <c r="K148" s="4" t="str">
        <f>IFERROR(__xludf.DUMMYFUNCTION("""COMPUTED_VALUE"""),"6285777721366")</f>
        <v>6285777721366</v>
      </c>
      <c r="L148" s="5">
        <f>IFERROR(__xludf.DUMMYFUNCTION("""COMPUTED_VALUE"""),2250000.0)</f>
        <v>2250000</v>
      </c>
      <c r="M148" s="5">
        <f>IFERROR(__xludf.DUMMYFUNCTION("""COMPUTED_VALUE"""),500000.0)</f>
        <v>500000</v>
      </c>
      <c r="N148" s="5">
        <f>IFERROR(__xludf.DUMMYFUNCTION("""COMPUTED_VALUE"""),0.0)</f>
        <v>0</v>
      </c>
      <c r="O148" s="5">
        <f>IFERROR(__xludf.DUMMYFUNCTION("""COMPUTED_VALUE"""),2750000.0)</f>
        <v>2750000</v>
      </c>
      <c r="P148" s="4"/>
      <c r="Q148" s="4"/>
      <c r="R148" s="4"/>
      <c r="S148" s="3" t="str">
        <f>IFERROR(__xludf.DUMMYFUNCTION("""COMPUTED_VALUE"""),"Belum Lunas")</f>
        <v>Belum Lunas</v>
      </c>
    </row>
    <row r="149">
      <c r="A149" s="3">
        <f t="shared" si="1"/>
        <v>148</v>
      </c>
      <c r="B149" s="4" t="str">
        <f>IFERROR(__xludf.DUMMYFUNCTION("""COMPUTED_VALUE"""),"ADELIA YULIANTI PUTRI")</f>
        <v>ADELIA YULIANTI PUTRI</v>
      </c>
      <c r="C149" s="3">
        <f>IFERROR(__xludf.DUMMYFUNCTION("""COMPUTED_VALUE"""),2.024070492E9)</f>
        <v>2024070492</v>
      </c>
      <c r="D149" s="3" t="str">
        <f>IFERROR(__xludf.DUMMYFUNCTION("""COMPUTED_VALUE"""),"C")</f>
        <v>C</v>
      </c>
      <c r="E149" s="3" t="str">
        <f>IFERROR(__xludf.DUMMYFUNCTION("""COMPUTED_VALUE"""),"C-12")</f>
        <v>C-12</v>
      </c>
      <c r="F149" s="3">
        <f>IFERROR(__xludf.DUMMYFUNCTION("""COMPUTED_VALUE"""),3.0)</f>
        <v>3</v>
      </c>
      <c r="G149" s="3" t="str">
        <f>IFERROR(__xludf.DUMMYFUNCTION("""COMPUTED_VALUE"""),"3 ULA A PUTRI")</f>
        <v>3 ULA A PUTRI</v>
      </c>
      <c r="H149" s="3" t="str">
        <f>IFERROR(__xludf.DUMMYFUNCTION("""COMPUTED_VALUE"""),"MTS-9 G")</f>
        <v>MTS-9 G</v>
      </c>
      <c r="I149" s="4" t="str">
        <f>IFERROR(__xludf.DUMMYFUNCTION("""COMPUTED_VALUE"""),"ENDANG MAYAWATI")</f>
        <v>ENDANG MAYAWATI</v>
      </c>
      <c r="J149" s="4" t="str">
        <f>IFERROR(__xludf.DUMMYFUNCTION("""COMPUTED_VALUE"""),"ASEMROWO II NO. 19 RT 002 RW 001 ASEM ROWO SURABAYA")</f>
        <v>ASEMROWO II NO. 19 RT 002 RW 001 ASEM ROWO SURABAYA</v>
      </c>
      <c r="K149" s="4" t="str">
        <f>IFERROR(__xludf.DUMMYFUNCTION("""COMPUTED_VALUE"""),"6285808721207")</f>
        <v>6285808721207</v>
      </c>
      <c r="L149" s="5">
        <f>IFERROR(__xludf.DUMMYFUNCTION("""COMPUTED_VALUE"""),1800000.0)</f>
        <v>1800000</v>
      </c>
      <c r="M149" s="5">
        <f>IFERROR(__xludf.DUMMYFUNCTION("""COMPUTED_VALUE"""),1000000.0)</f>
        <v>1000000</v>
      </c>
      <c r="N149" s="5">
        <f>IFERROR(__xludf.DUMMYFUNCTION("""COMPUTED_VALUE"""),0.0)</f>
        <v>0</v>
      </c>
      <c r="O149" s="5">
        <f>IFERROR(__xludf.DUMMYFUNCTION("""COMPUTED_VALUE"""),2800000.0)</f>
        <v>2800000</v>
      </c>
      <c r="P149" s="4"/>
      <c r="Q149" s="4"/>
      <c r="R149" s="4"/>
      <c r="S149" s="3" t="str">
        <f>IFERROR(__xludf.DUMMYFUNCTION("""COMPUTED_VALUE"""),"Belum Lunas")</f>
        <v>Belum Lunas</v>
      </c>
    </row>
    <row r="150">
      <c r="A150" s="3">
        <f t="shared" si="1"/>
        <v>149</v>
      </c>
      <c r="B150" s="4" t="str">
        <f>IFERROR(__xludf.DUMMYFUNCTION("""COMPUTED_VALUE"""),"ATIQAH FAIRUZAH")</f>
        <v>ATIQAH FAIRUZAH</v>
      </c>
      <c r="C150" s="3">
        <f>IFERROR(__xludf.DUMMYFUNCTION("""COMPUTED_VALUE"""),2.024070544E9)</f>
        <v>2024070544</v>
      </c>
      <c r="D150" s="3" t="str">
        <f>IFERROR(__xludf.DUMMYFUNCTION("""COMPUTED_VALUE"""),"C")</f>
        <v>C</v>
      </c>
      <c r="E150" s="3" t="str">
        <f>IFERROR(__xludf.DUMMYFUNCTION("""COMPUTED_VALUE"""),"C-3")</f>
        <v>C-3</v>
      </c>
      <c r="F150" s="3">
        <f>IFERROR(__xludf.DUMMYFUNCTION("""COMPUTED_VALUE"""),3.0)</f>
        <v>3</v>
      </c>
      <c r="G150" s="3" t="str">
        <f>IFERROR(__xludf.DUMMYFUNCTION("""COMPUTED_VALUE"""),"3 ULA A PUTRI")</f>
        <v>3 ULA A PUTRI</v>
      </c>
      <c r="H150" s="3" t="str">
        <f>IFERROR(__xludf.DUMMYFUNCTION("""COMPUTED_VALUE"""),"MTS-9 G")</f>
        <v>MTS-9 G</v>
      </c>
      <c r="I150" s="4" t="str">
        <f>IFERROR(__xludf.DUMMYFUNCTION("""COMPUTED_VALUE"""),"TISATUL AQOBAH")</f>
        <v>TISATUL AQOBAH</v>
      </c>
      <c r="J150" s="4" t="str">
        <f>IFERROR(__xludf.DUMMYFUNCTION("""COMPUTED_VALUE"""),"SEMBUNGAN KIDUL RT 003 RW 002 DUKUN GRESIK")</f>
        <v>SEMBUNGAN KIDUL RT 003 RW 002 DUKUN GRESIK</v>
      </c>
      <c r="K150" s="4" t="str">
        <f>IFERROR(__xludf.DUMMYFUNCTION("""COMPUTED_VALUE"""),"6285731022920")</f>
        <v>6285731022920</v>
      </c>
      <c r="L150" s="5">
        <f>IFERROR(__xludf.DUMMYFUNCTION("""COMPUTED_VALUE"""),1800000.0)</f>
        <v>1800000</v>
      </c>
      <c r="M150" s="5">
        <f>IFERROR(__xludf.DUMMYFUNCTION("""COMPUTED_VALUE"""),1000000.0)</f>
        <v>1000000</v>
      </c>
      <c r="N150" s="5">
        <f>IFERROR(__xludf.DUMMYFUNCTION("""COMPUTED_VALUE"""),0.0)</f>
        <v>0</v>
      </c>
      <c r="O150" s="5">
        <f>IFERROR(__xludf.DUMMYFUNCTION("""COMPUTED_VALUE"""),2800000.0)</f>
        <v>2800000</v>
      </c>
      <c r="P150" s="4"/>
      <c r="Q150" s="4"/>
      <c r="R150" s="4"/>
      <c r="S150" s="3" t="str">
        <f>IFERROR(__xludf.DUMMYFUNCTION("""COMPUTED_VALUE"""),"Belum Lunas")</f>
        <v>Belum Lunas</v>
      </c>
    </row>
    <row r="151">
      <c r="A151" s="3">
        <f t="shared" si="1"/>
        <v>150</v>
      </c>
      <c r="B151" s="4" t="str">
        <f>IFERROR(__xludf.DUMMYFUNCTION("""COMPUTED_VALUE"""),"FAQUR ROZIQ MAULUDI")</f>
        <v>FAQUR ROZIQ MAULUDI</v>
      </c>
      <c r="C151" s="3">
        <f>IFERROR(__xludf.DUMMYFUNCTION("""COMPUTED_VALUE"""),2.024070556E9)</f>
        <v>2024070556</v>
      </c>
      <c r="D151" s="3" t="str">
        <f>IFERROR(__xludf.DUMMYFUNCTION("""COMPUTED_VALUE"""),"A")</f>
        <v>A</v>
      </c>
      <c r="E151" s="3" t="str">
        <f>IFERROR(__xludf.DUMMYFUNCTION("""COMPUTED_VALUE"""),"A-7")</f>
        <v>A-7</v>
      </c>
      <c r="F151" s="3">
        <f>IFERROR(__xludf.DUMMYFUNCTION("""COMPUTED_VALUE"""),3.0)</f>
        <v>3</v>
      </c>
      <c r="G151" s="3" t="str">
        <f>IFERROR(__xludf.DUMMYFUNCTION("""COMPUTED_VALUE"""),"3 ULA B PUTRA")</f>
        <v>3 ULA B PUTRA</v>
      </c>
      <c r="H151" s="3" t="str">
        <f>IFERROR(__xludf.DUMMYFUNCTION("""COMPUTED_VALUE"""),"MTS-9 E")</f>
        <v>MTS-9 E</v>
      </c>
      <c r="I151" s="4" t="str">
        <f>IFERROR(__xludf.DUMMYFUNCTION("""COMPUTED_VALUE"""),"LASIANAH")</f>
        <v>LASIANAH</v>
      </c>
      <c r="J151" s="4" t="str">
        <f>IFERROR(__xludf.DUMMYFUNCTION("""COMPUTED_VALUE"""),"GANGIN JELAKCATUR RT 004 RW 003 KALITENGAH LAMONGAN")</f>
        <v>GANGIN JELAKCATUR RT 004 RW 003 KALITENGAH LAMONGAN</v>
      </c>
      <c r="K151" s="4" t="str">
        <f>IFERROR(__xludf.DUMMYFUNCTION("""COMPUTED_VALUE"""),"6285871052078")</f>
        <v>6285871052078</v>
      </c>
      <c r="L151" s="5">
        <f>IFERROR(__xludf.DUMMYFUNCTION("""COMPUTED_VALUE"""),1800000.0)</f>
        <v>1800000</v>
      </c>
      <c r="M151" s="5">
        <f>IFERROR(__xludf.DUMMYFUNCTION("""COMPUTED_VALUE"""),1000000.0)</f>
        <v>1000000</v>
      </c>
      <c r="N151" s="5">
        <f>IFERROR(__xludf.DUMMYFUNCTION("""COMPUTED_VALUE"""),0.0)</f>
        <v>0</v>
      </c>
      <c r="O151" s="5">
        <f>IFERROR(__xludf.DUMMYFUNCTION("""COMPUTED_VALUE"""),2800000.0)</f>
        <v>2800000</v>
      </c>
      <c r="P151" s="4"/>
      <c r="Q151" s="4"/>
      <c r="R151" s="4"/>
      <c r="S151" s="3" t="str">
        <f>IFERROR(__xludf.DUMMYFUNCTION("""COMPUTED_VALUE"""),"Belum Lunas")</f>
        <v>Belum Lunas</v>
      </c>
    </row>
    <row r="152">
      <c r="A152" s="3">
        <f t="shared" si="1"/>
        <v>151</v>
      </c>
      <c r="B152" s="4" t="str">
        <f>IFERROR(__xludf.DUMMYFUNCTION("""COMPUTED_VALUE"""),"HANIK FARKHATUS SHOLIKHAH")</f>
        <v>HANIK FARKHATUS SHOLIKHAH</v>
      </c>
      <c r="C152" s="3">
        <f>IFERROR(__xludf.DUMMYFUNCTION("""COMPUTED_VALUE"""),2.024070547E9)</f>
        <v>2024070547</v>
      </c>
      <c r="D152" s="3" t="str">
        <f>IFERROR(__xludf.DUMMYFUNCTION("""COMPUTED_VALUE"""),"C")</f>
        <v>C</v>
      </c>
      <c r="E152" s="3" t="str">
        <f>IFERROR(__xludf.DUMMYFUNCTION("""COMPUTED_VALUE"""),"C-13")</f>
        <v>C-13</v>
      </c>
      <c r="F152" s="3">
        <f>IFERROR(__xludf.DUMMYFUNCTION("""COMPUTED_VALUE"""),3.0)</f>
        <v>3</v>
      </c>
      <c r="G152" s="3" t="str">
        <f>IFERROR(__xludf.DUMMYFUNCTION("""COMPUTED_VALUE"""),"3 ULA B PUTRI")</f>
        <v>3 ULA B PUTRI</v>
      </c>
      <c r="H152" s="3" t="str">
        <f>IFERROR(__xludf.DUMMYFUNCTION("""COMPUTED_VALUE"""),"MTS-9 D")</f>
        <v>MTS-9 D</v>
      </c>
      <c r="I152" s="4" t="str">
        <f>IFERROR(__xludf.DUMMYFUNCTION("""COMPUTED_VALUE"""),"WIWIT")</f>
        <v>WIWIT</v>
      </c>
      <c r="J152" s="4" t="str">
        <f>IFERROR(__xludf.DUMMYFUNCTION("""COMPUTED_VALUE"""),"KARANGCANGKRING RT 006 RW 003 DUKUN GRESIK")</f>
        <v>KARANGCANGKRING RT 006 RW 003 DUKUN GRESIK</v>
      </c>
      <c r="K152" s="4" t="str">
        <f>IFERROR(__xludf.DUMMYFUNCTION("""COMPUTED_VALUE"""),"6285731327129")</f>
        <v>6285731327129</v>
      </c>
      <c r="L152" s="5">
        <f>IFERROR(__xludf.DUMMYFUNCTION("""COMPUTED_VALUE"""),1800000.0)</f>
        <v>1800000</v>
      </c>
      <c r="M152" s="5">
        <f>IFERROR(__xludf.DUMMYFUNCTION("""COMPUTED_VALUE"""),1000000.0)</f>
        <v>1000000</v>
      </c>
      <c r="N152" s="5">
        <f>IFERROR(__xludf.DUMMYFUNCTION("""COMPUTED_VALUE"""),0.0)</f>
        <v>0</v>
      </c>
      <c r="O152" s="5">
        <f>IFERROR(__xludf.DUMMYFUNCTION("""COMPUTED_VALUE"""),2800000.0)</f>
        <v>2800000</v>
      </c>
      <c r="P152" s="4"/>
      <c r="Q152" s="4"/>
      <c r="R152" s="4"/>
      <c r="S152" s="3" t="str">
        <f>IFERROR(__xludf.DUMMYFUNCTION("""COMPUTED_VALUE"""),"Belum Lunas")</f>
        <v>Belum Lunas</v>
      </c>
    </row>
    <row r="153">
      <c r="A153" s="3">
        <f t="shared" si="1"/>
        <v>152</v>
      </c>
      <c r="B153" s="4" t="str">
        <f>IFERROR(__xludf.DUMMYFUNCTION("""COMPUTED_VALUE"""),"MUHAMMAD EZA AL`IMRON")</f>
        <v>MUHAMMAD EZA AL`IMRON</v>
      </c>
      <c r="C153" s="3">
        <f>IFERROR(__xludf.DUMMYFUNCTION("""COMPUTED_VALUE"""),2.024070653E9)</f>
        <v>2024070653</v>
      </c>
      <c r="D153" s="3" t="str">
        <f>IFERROR(__xludf.DUMMYFUNCTION("""COMPUTED_VALUE"""),"A")</f>
        <v>A</v>
      </c>
      <c r="E153" s="3" t="str">
        <f>IFERROR(__xludf.DUMMYFUNCTION("""COMPUTED_VALUE"""),"A-7")</f>
        <v>A-7</v>
      </c>
      <c r="F153" s="3">
        <f>IFERROR(__xludf.DUMMYFUNCTION("""COMPUTED_VALUE"""),3.0)</f>
        <v>3</v>
      </c>
      <c r="G153" s="3" t="str">
        <f>IFERROR(__xludf.DUMMYFUNCTION("""COMPUTED_VALUE"""),"3 ULA B PUTRA")</f>
        <v>3 ULA B PUTRA</v>
      </c>
      <c r="H153" s="3" t="str">
        <f>IFERROR(__xludf.DUMMYFUNCTION("""COMPUTED_VALUE"""),"MTS-9 F")</f>
        <v>MTS-9 F</v>
      </c>
      <c r="I153" s="4" t="str">
        <f>IFERROR(__xludf.DUMMYFUNCTION("""COMPUTED_VALUE"""),"MAESAROH")</f>
        <v>MAESAROH</v>
      </c>
      <c r="J153" s="4" t="str">
        <f>IFERROR(__xludf.DUMMYFUNCTION("""COMPUTED_VALUE"""),"KEMLAGIGEDE RT 012 RW 002 TURI LAMONGAN")</f>
        <v>KEMLAGIGEDE RT 012 RW 002 TURI LAMONGAN</v>
      </c>
      <c r="K153" s="4" t="str">
        <f>IFERROR(__xludf.DUMMYFUNCTION("""COMPUTED_VALUE"""),"6285755534326")</f>
        <v>6285755534326</v>
      </c>
      <c r="L153" s="5">
        <f>IFERROR(__xludf.DUMMYFUNCTION("""COMPUTED_VALUE"""),1800000.0)</f>
        <v>1800000</v>
      </c>
      <c r="M153" s="5">
        <f>IFERROR(__xludf.DUMMYFUNCTION("""COMPUTED_VALUE"""),1000000.0)</f>
        <v>1000000</v>
      </c>
      <c r="N153" s="5">
        <f>IFERROR(__xludf.DUMMYFUNCTION("""COMPUTED_VALUE"""),0.0)</f>
        <v>0</v>
      </c>
      <c r="O153" s="5">
        <f>IFERROR(__xludf.DUMMYFUNCTION("""COMPUTED_VALUE"""),2800000.0)</f>
        <v>2800000</v>
      </c>
      <c r="P153" s="4"/>
      <c r="Q153" s="4"/>
      <c r="R153" s="4"/>
      <c r="S153" s="3" t="str">
        <f>IFERROR(__xludf.DUMMYFUNCTION("""COMPUTED_VALUE"""),"Belum Lunas")</f>
        <v>Belum Lunas</v>
      </c>
    </row>
    <row r="154">
      <c r="A154" s="3">
        <f t="shared" si="1"/>
        <v>153</v>
      </c>
      <c r="B154" s="4" t="str">
        <f>IFERROR(__xludf.DUMMYFUNCTION("""COMPUTED_VALUE"""),"AZURO SABILA FAZZA MAULIDAH")</f>
        <v>AZURO SABILA FAZZA MAULIDAH</v>
      </c>
      <c r="C154" s="3">
        <f>IFERROR(__xludf.DUMMYFUNCTION("""COMPUTED_VALUE"""),2.024070573E9)</f>
        <v>2024070573</v>
      </c>
      <c r="D154" s="3" t="str">
        <f>IFERROR(__xludf.DUMMYFUNCTION("""COMPUTED_VALUE"""),"E")</f>
        <v>E</v>
      </c>
      <c r="E154" s="3" t="str">
        <f>IFERROR(__xludf.DUMMYFUNCTION("""COMPUTED_VALUE"""),"E-2")</f>
        <v>E-2</v>
      </c>
      <c r="F154" s="3">
        <f>IFERROR(__xludf.DUMMYFUNCTION("""COMPUTED_VALUE"""),3.0)</f>
        <v>3</v>
      </c>
      <c r="G154" s="3" t="str">
        <f>IFERROR(__xludf.DUMMYFUNCTION("""COMPUTED_VALUE"""),"3 ULA C PUTRI")</f>
        <v>3 ULA C PUTRI</v>
      </c>
      <c r="H154" s="3" t="str">
        <f>IFERROR(__xludf.DUMMYFUNCTION("""COMPUTED_VALUE"""),"MTS-9 C")</f>
        <v>MTS-9 C</v>
      </c>
      <c r="I154" s="4" t="str">
        <f>IFERROR(__xludf.DUMMYFUNCTION("""COMPUTED_VALUE"""),"ZUZUN LAILUFAR")</f>
        <v>ZUZUN LAILUFAR</v>
      </c>
      <c r="J154" s="4" t="str">
        <f>IFERROR(__xludf.DUMMYFUNCTION("""COMPUTED_VALUE"""),"GERMAN RT 001 RW 002 SUGIO LAMONGAN")</f>
        <v>GERMAN RT 001 RW 002 SUGIO LAMONGAN</v>
      </c>
      <c r="K154" s="4" t="str">
        <f>IFERROR(__xludf.DUMMYFUNCTION("""COMPUTED_VALUE"""),"6285707564507")</f>
        <v>6285707564507</v>
      </c>
      <c r="L154" s="5">
        <f>IFERROR(__xludf.DUMMYFUNCTION("""COMPUTED_VALUE"""),2000000.0)</f>
        <v>2000000</v>
      </c>
      <c r="M154" s="5">
        <f>IFERROR(__xludf.DUMMYFUNCTION("""COMPUTED_VALUE"""),1000000.0)</f>
        <v>1000000</v>
      </c>
      <c r="N154" s="5">
        <f>IFERROR(__xludf.DUMMYFUNCTION("""COMPUTED_VALUE"""),0.0)</f>
        <v>0</v>
      </c>
      <c r="O154" s="5">
        <f>IFERROR(__xludf.DUMMYFUNCTION("""COMPUTED_VALUE"""),3000000.0)</f>
        <v>3000000</v>
      </c>
      <c r="P154" s="4"/>
      <c r="Q154" s="4"/>
      <c r="R154" s="4"/>
      <c r="S154" s="3" t="str">
        <f>IFERROR(__xludf.DUMMYFUNCTION("""COMPUTED_VALUE"""),"Belum Lunas")</f>
        <v>Belum Lunas</v>
      </c>
    </row>
    <row r="155">
      <c r="A155" s="3">
        <f t="shared" si="1"/>
        <v>154</v>
      </c>
      <c r="B155" s="4" t="str">
        <f>IFERROR(__xludf.DUMMYFUNCTION("""COMPUTED_VALUE"""),"KHARISYAH NADYATUR ROHMAH")</f>
        <v>KHARISYAH NADYATUR ROHMAH</v>
      </c>
      <c r="C155" s="3">
        <f>IFERROR(__xludf.DUMMYFUNCTION("""COMPUTED_VALUE"""),2.024070635E9)</f>
        <v>2024070635</v>
      </c>
      <c r="D155" s="3" t="str">
        <f>IFERROR(__xludf.DUMMYFUNCTION("""COMPUTED_VALUE"""),"E")</f>
        <v>E</v>
      </c>
      <c r="E155" s="3" t="str">
        <f>IFERROR(__xludf.DUMMYFUNCTION("""COMPUTED_VALUE"""),"E-2")</f>
        <v>E-2</v>
      </c>
      <c r="F155" s="3">
        <f>IFERROR(__xludf.DUMMYFUNCTION("""COMPUTED_VALUE"""),3.0)</f>
        <v>3</v>
      </c>
      <c r="G155" s="3" t="str">
        <f>IFERROR(__xludf.DUMMYFUNCTION("""COMPUTED_VALUE"""),"3 ULA C PUTRI")</f>
        <v>3 ULA C PUTRI</v>
      </c>
      <c r="H155" s="3" t="str">
        <f>IFERROR(__xludf.DUMMYFUNCTION("""COMPUTED_VALUE"""),"MTS-9 C")</f>
        <v>MTS-9 C</v>
      </c>
      <c r="I155" s="4" t="str">
        <f>IFERROR(__xludf.DUMMYFUNCTION("""COMPUTED_VALUE"""),"NUR AZIZAH ROHMAH")</f>
        <v>NUR AZIZAH ROHMAH</v>
      </c>
      <c r="J155" s="4" t="str">
        <f>IFERROR(__xludf.DUMMYFUNCTION("""COMPUTED_VALUE"""),"DADUNGAN RT 002 RW 004 KALITENGAH LAMONGAN")</f>
        <v>DADUNGAN RT 002 RW 004 KALITENGAH LAMONGAN</v>
      </c>
      <c r="K155" s="4" t="str">
        <f>IFERROR(__xludf.DUMMYFUNCTION("""COMPUTED_VALUE"""),"6285649089570")</f>
        <v>6285649089570</v>
      </c>
      <c r="L155" s="5">
        <f>IFERROR(__xludf.DUMMYFUNCTION("""COMPUTED_VALUE"""),3000000.0)</f>
        <v>3000000</v>
      </c>
      <c r="M155" s="5">
        <f>IFERROR(__xludf.DUMMYFUNCTION("""COMPUTED_VALUE"""),0.0)</f>
        <v>0</v>
      </c>
      <c r="N155" s="5">
        <f>IFERROR(__xludf.DUMMYFUNCTION("""COMPUTED_VALUE"""),0.0)</f>
        <v>0</v>
      </c>
      <c r="O155" s="5">
        <f>IFERROR(__xludf.DUMMYFUNCTION("""COMPUTED_VALUE"""),3000000.0)</f>
        <v>3000000</v>
      </c>
      <c r="P155" s="4"/>
      <c r="Q155" s="4"/>
      <c r="R155" s="4"/>
      <c r="S155" s="3" t="str">
        <f>IFERROR(__xludf.DUMMYFUNCTION("""COMPUTED_VALUE"""),"Belum Lunas")</f>
        <v>Belum Lunas</v>
      </c>
    </row>
    <row r="156">
      <c r="A156" s="3">
        <f t="shared" si="1"/>
        <v>155</v>
      </c>
      <c r="B156" s="4" t="str">
        <f>IFERROR(__xludf.DUMMYFUNCTION("""COMPUTED_VALUE"""),"MAZIDATUL ILMI OKTARISA DINI")</f>
        <v>MAZIDATUL ILMI OKTARISA DINI</v>
      </c>
      <c r="C156" s="3">
        <f>IFERROR(__xludf.DUMMYFUNCTION("""COMPUTED_VALUE"""),2.024070427E9)</f>
        <v>2024070427</v>
      </c>
      <c r="D156" s="3" t="str">
        <f>IFERROR(__xludf.DUMMYFUNCTION("""COMPUTED_VALUE"""),"D")</f>
        <v>D</v>
      </c>
      <c r="E156" s="3" t="str">
        <f>IFERROR(__xludf.DUMMYFUNCTION("""COMPUTED_VALUE"""),"D-7")</f>
        <v>D-7</v>
      </c>
      <c r="F156" s="3">
        <f>IFERROR(__xludf.DUMMYFUNCTION("""COMPUTED_VALUE"""),3.0)</f>
        <v>3</v>
      </c>
      <c r="G156" s="3" t="str">
        <f>IFERROR(__xludf.DUMMYFUNCTION("""COMPUTED_VALUE"""),"3 MAK PUTRI")</f>
        <v>3 MAK PUTRI</v>
      </c>
      <c r="H156" s="3" t="str">
        <f>IFERROR(__xludf.DUMMYFUNCTION("""COMPUTED_VALUE"""),"MA-XII.13")</f>
        <v>MA-XII.13</v>
      </c>
      <c r="I156" s="4" t="str">
        <f>IFERROR(__xludf.DUMMYFUNCTION("""COMPUTED_VALUE"""),"YENI VIDIAWATI")</f>
        <v>YENI VIDIAWATI</v>
      </c>
      <c r="J156" s="4" t="str">
        <f>IFERROR(__xludf.DUMMYFUNCTION("""COMPUTED_VALUE"""),"BANJARMADU BANJARMADU RT 2 RW 2 KARANGGENENG LAMONGAN")</f>
        <v>BANJARMADU BANJARMADU RT 2 RW 2 KARANGGENENG LAMONGAN</v>
      </c>
      <c r="K156" s="4" t="str">
        <f>IFERROR(__xludf.DUMMYFUNCTION("""COMPUTED_VALUE"""),"6285748191884")</f>
        <v>6285748191884</v>
      </c>
      <c r="L156" s="5">
        <f>IFERROR(__xludf.DUMMYFUNCTION("""COMPUTED_VALUE"""),3150000.0)</f>
        <v>3150000</v>
      </c>
      <c r="M156" s="5">
        <f>IFERROR(__xludf.DUMMYFUNCTION("""COMPUTED_VALUE"""),0.0)</f>
        <v>0</v>
      </c>
      <c r="N156" s="5">
        <f>IFERROR(__xludf.DUMMYFUNCTION("""COMPUTED_VALUE"""),0.0)</f>
        <v>0</v>
      </c>
      <c r="O156" s="5">
        <f>IFERROR(__xludf.DUMMYFUNCTION("""COMPUTED_VALUE"""),3150000.0)</f>
        <v>3150000</v>
      </c>
      <c r="P156" s="4"/>
      <c r="Q156" s="4"/>
      <c r="R156" s="4"/>
      <c r="S156" s="3" t="str">
        <f>IFERROR(__xludf.DUMMYFUNCTION("""COMPUTED_VALUE"""),"Belum Lunas")</f>
        <v>Belum Lunas</v>
      </c>
    </row>
    <row r="157">
      <c r="A157" s="3">
        <f t="shared" si="1"/>
        <v>156</v>
      </c>
      <c r="B157" s="4" t="str">
        <f>IFERROR(__xludf.DUMMYFUNCTION("""COMPUTED_VALUE"""),"FARAH ALTHAFUN NISA`")</f>
        <v>FARAH ALTHAFUN NISA`</v>
      </c>
      <c r="C157" s="3">
        <f>IFERROR(__xludf.DUMMYFUNCTION("""COMPUTED_VALUE"""),2.024070633E9)</f>
        <v>2024070633</v>
      </c>
      <c r="D157" s="3" t="str">
        <f>IFERROR(__xludf.DUMMYFUNCTION("""COMPUTED_VALUE"""),"C")</f>
        <v>C</v>
      </c>
      <c r="E157" s="3" t="str">
        <f>IFERROR(__xludf.DUMMYFUNCTION("""COMPUTED_VALUE"""),"C-12")</f>
        <v>C-12</v>
      </c>
      <c r="F157" s="3">
        <f>IFERROR(__xludf.DUMMYFUNCTION("""COMPUTED_VALUE"""),3.0)</f>
        <v>3</v>
      </c>
      <c r="G157" s="3"/>
      <c r="H157" s="3" t="str">
        <f>IFERROR(__xludf.DUMMYFUNCTION("""COMPUTED_VALUE"""),"MTS-9 C")</f>
        <v>MTS-9 C</v>
      </c>
      <c r="I157" s="4" t="str">
        <f>IFERROR(__xludf.DUMMYFUNCTION("""COMPUTED_VALUE"""),"NURUL HIDAYAH")</f>
        <v>NURUL HIDAYAH</v>
      </c>
      <c r="J157" s="4" t="str">
        <f>IFERROR(__xludf.DUMMYFUNCTION("""COMPUTED_VALUE"""),"WONOKERTO RT 012 RW 003 DUKUN GRESIK")</f>
        <v>WONOKERTO RT 012 RW 003 DUKUN GRESIK</v>
      </c>
      <c r="K157" s="4" t="str">
        <f>IFERROR(__xludf.DUMMYFUNCTION("""COMPUTED_VALUE"""),"6281615233482")</f>
        <v>6281615233482</v>
      </c>
      <c r="L157" s="5">
        <f>IFERROR(__xludf.DUMMYFUNCTION("""COMPUTED_VALUE"""),2250000.0)</f>
        <v>2250000</v>
      </c>
      <c r="M157" s="5">
        <f>IFERROR(__xludf.DUMMYFUNCTION("""COMPUTED_VALUE"""),1000000.0)</f>
        <v>1000000</v>
      </c>
      <c r="N157" s="5">
        <f>IFERROR(__xludf.DUMMYFUNCTION("""COMPUTED_VALUE"""),0.0)</f>
        <v>0</v>
      </c>
      <c r="O157" s="5">
        <f>IFERROR(__xludf.DUMMYFUNCTION("""COMPUTED_VALUE"""),3250000.0)</f>
        <v>3250000</v>
      </c>
      <c r="P157" s="4"/>
      <c r="Q157" s="4"/>
      <c r="R157" s="4"/>
      <c r="S157" s="3" t="str">
        <f>IFERROR(__xludf.DUMMYFUNCTION("""COMPUTED_VALUE"""),"Belum Lunas")</f>
        <v>Belum Lunas</v>
      </c>
    </row>
    <row r="158">
      <c r="A158" s="3">
        <f t="shared" si="1"/>
        <v>157</v>
      </c>
      <c r="B158" s="4" t="str">
        <f>IFERROR(__xludf.DUMMYFUNCTION("""COMPUTED_VALUE"""),"SALWA EKA SAFITRI")</f>
        <v>SALWA EKA SAFITRI</v>
      </c>
      <c r="C158" s="3">
        <f>IFERROR(__xludf.DUMMYFUNCTION("""COMPUTED_VALUE"""),2.024070724E9)</f>
        <v>2024070724</v>
      </c>
      <c r="D158" s="3" t="str">
        <f>IFERROR(__xludf.DUMMYFUNCTION("""COMPUTED_VALUE"""),"B")</f>
        <v>B</v>
      </c>
      <c r="E158" s="3" t="str">
        <f>IFERROR(__xludf.DUMMYFUNCTION("""COMPUTED_VALUE"""),"B-10")</f>
        <v>B-10</v>
      </c>
      <c r="F158" s="3">
        <f>IFERROR(__xludf.DUMMYFUNCTION("""COMPUTED_VALUE"""),3.0)</f>
        <v>3</v>
      </c>
      <c r="G158" s="3" t="str">
        <f>IFERROR(__xludf.DUMMYFUNCTION("""COMPUTED_VALUE"""),"3 ULA C PUTRI")</f>
        <v>3 ULA C PUTRI</v>
      </c>
      <c r="H158" s="3" t="str">
        <f>IFERROR(__xludf.DUMMYFUNCTION("""COMPUTED_VALUE"""),"SMP-IX B")</f>
        <v>SMP-IX B</v>
      </c>
      <c r="I158" s="4" t="str">
        <f>IFERROR(__xludf.DUMMYFUNCTION("""COMPUTED_VALUE"""),"DJUWARIYAH")</f>
        <v>DJUWARIYAH</v>
      </c>
      <c r="J158" s="4" t="str">
        <f>IFERROR(__xludf.DUMMYFUNCTION("""COMPUTED_VALUE"""),"TIWET RT 002 RW 002 KALITENGAH LAMONGAN")</f>
        <v>TIWET RT 002 RW 002 KALITENGAH LAMONGAN</v>
      </c>
      <c r="K158" s="4" t="str">
        <f>IFERROR(__xludf.DUMMYFUNCTION("""COMPUTED_VALUE"""),"6289653941550")</f>
        <v>6289653941550</v>
      </c>
      <c r="L158" s="5">
        <f>IFERROR(__xludf.DUMMYFUNCTION("""COMPUTED_VALUE"""),2250000.0)</f>
        <v>2250000</v>
      </c>
      <c r="M158" s="5">
        <f>IFERROR(__xludf.DUMMYFUNCTION("""COMPUTED_VALUE"""),1000000.0)</f>
        <v>1000000</v>
      </c>
      <c r="N158" s="5">
        <f>IFERROR(__xludf.DUMMYFUNCTION("""COMPUTED_VALUE"""),0.0)</f>
        <v>0</v>
      </c>
      <c r="O158" s="5">
        <f>IFERROR(__xludf.DUMMYFUNCTION("""COMPUTED_VALUE"""),3250000.0)</f>
        <v>3250000</v>
      </c>
      <c r="P158" s="4"/>
      <c r="Q158" s="4"/>
      <c r="R158" s="4"/>
      <c r="S158" s="3" t="str">
        <f>IFERROR(__xludf.DUMMYFUNCTION("""COMPUTED_VALUE"""),"Belum Lunas")</f>
        <v>Belum Lunas</v>
      </c>
    </row>
    <row r="159">
      <c r="A159" s="3">
        <f t="shared" si="1"/>
        <v>158</v>
      </c>
      <c r="B159" s="4" t="str">
        <f>IFERROR(__xludf.DUMMYFUNCTION("""COMPUTED_VALUE"""),"RAISA PUTRI ELYSIA SADIRA")</f>
        <v>RAISA PUTRI ELYSIA SADIRA</v>
      </c>
      <c r="C159" s="3">
        <f>IFERROR(__xludf.DUMMYFUNCTION("""COMPUTED_VALUE"""),2.02407075E9)</f>
        <v>2024070750</v>
      </c>
      <c r="D159" s="3" t="str">
        <f>IFERROR(__xludf.DUMMYFUNCTION("""COMPUTED_VALUE"""),"B")</f>
        <v>B</v>
      </c>
      <c r="E159" s="3" t="str">
        <f>IFERROR(__xludf.DUMMYFUNCTION("""COMPUTED_VALUE"""),"B-10")</f>
        <v>B-10</v>
      </c>
      <c r="F159" s="3">
        <f>IFERROR(__xludf.DUMMYFUNCTION("""COMPUTED_VALUE"""),3.0)</f>
        <v>3</v>
      </c>
      <c r="G159" s="3" t="str">
        <f>IFERROR(__xludf.DUMMYFUNCTION("""COMPUTED_VALUE"""),"3 ULA A PUTRI")</f>
        <v>3 ULA A PUTRI</v>
      </c>
      <c r="H159" s="3" t="str">
        <f>IFERROR(__xludf.DUMMYFUNCTION("""COMPUTED_VALUE"""),"SMP-IX B")</f>
        <v>SMP-IX B</v>
      </c>
      <c r="I159" s="4" t="str">
        <f>IFERROR(__xludf.DUMMYFUNCTION("""COMPUTED_VALUE"""),"YANA")</f>
        <v>YANA</v>
      </c>
      <c r="J159" s="4" t="str">
        <f>IFERROR(__xludf.DUMMYFUNCTION("""COMPUTED_VALUE"""),"TIREMRNGGAL RT 011 RW 004 DUKUN GRESIK")</f>
        <v>TIREMRNGGAL RT 011 RW 004 DUKUN GRESIK</v>
      </c>
      <c r="K159" s="4" t="str">
        <f>IFERROR(__xludf.DUMMYFUNCTION("""COMPUTED_VALUE"""),"6285805516619")</f>
        <v>6285805516619</v>
      </c>
      <c r="L159" s="5">
        <f>IFERROR(__xludf.DUMMYFUNCTION("""COMPUTED_VALUE"""),1800000.0)</f>
        <v>1800000</v>
      </c>
      <c r="M159" s="5">
        <f>IFERROR(__xludf.DUMMYFUNCTION("""COMPUTED_VALUE"""),1600000.0)</f>
        <v>1600000</v>
      </c>
      <c r="N159" s="5">
        <f>IFERROR(__xludf.DUMMYFUNCTION("""COMPUTED_VALUE"""),0.0)</f>
        <v>0</v>
      </c>
      <c r="O159" s="5">
        <f>IFERROR(__xludf.DUMMYFUNCTION("""COMPUTED_VALUE"""),3400000.0)</f>
        <v>3400000</v>
      </c>
      <c r="P159" s="4"/>
      <c r="Q159" s="4"/>
      <c r="R159" s="4"/>
      <c r="S159" s="3" t="str">
        <f>IFERROR(__xludf.DUMMYFUNCTION("""COMPUTED_VALUE"""),"Belum Lunas")</f>
        <v>Belum Lunas</v>
      </c>
    </row>
    <row r="160">
      <c r="A160" s="3">
        <f t="shared" si="1"/>
        <v>159</v>
      </c>
      <c r="B160" s="4" t="str">
        <f>IFERROR(__xludf.DUMMYFUNCTION("""COMPUTED_VALUE"""),"ANGELINA KIBRIYAH SAFITRI")</f>
        <v>ANGELINA KIBRIYAH SAFITRI</v>
      </c>
      <c r="C160" s="3">
        <f>IFERROR(__xludf.DUMMYFUNCTION("""COMPUTED_VALUE"""),2.02407034E9)</f>
        <v>2024070340</v>
      </c>
      <c r="D160" s="3" t="str">
        <f>IFERROR(__xludf.DUMMYFUNCTION("""COMPUTED_VALUE"""),"E")</f>
        <v>E</v>
      </c>
      <c r="E160" s="3" t="str">
        <f>IFERROR(__xludf.DUMMYFUNCTION("""COMPUTED_VALUE"""),"E-3")</f>
        <v>E-3</v>
      </c>
      <c r="F160" s="3">
        <f>IFERROR(__xludf.DUMMYFUNCTION("""COMPUTED_VALUE"""),3.0)</f>
        <v>3</v>
      </c>
      <c r="G160" s="3" t="str">
        <f>IFERROR(__xludf.DUMMYFUNCTION("""COMPUTED_VALUE"""),"3 WUSTHO B PUTRI")</f>
        <v>3 WUSTHO B PUTRI</v>
      </c>
      <c r="H160" s="3" t="str">
        <f>IFERROR(__xludf.DUMMYFUNCTION("""COMPUTED_VALUE"""),"MA-XII.11")</f>
        <v>MA-XII.11</v>
      </c>
      <c r="I160" s="4" t="str">
        <f>IFERROR(__xludf.DUMMYFUNCTION("""COMPUTED_VALUE"""),"WARDATUL KHUMAIROH")</f>
        <v>WARDATUL KHUMAIROH</v>
      </c>
      <c r="J160" s="4" t="str">
        <f>IFERROR(__xludf.DUMMYFUNCTION("""COMPUTED_VALUE"""),"KETAPANGLOR RT 004 RW 003 UJUNGPANGKAH GRESIK")</f>
        <v>KETAPANGLOR RT 004 RW 003 UJUNGPANGKAH GRESIK</v>
      </c>
      <c r="K160" s="4" t="str">
        <f>IFERROR(__xludf.DUMMYFUNCTION("""COMPUTED_VALUE"""),"6285707549770")</f>
        <v>6285707549770</v>
      </c>
      <c r="L160" s="5">
        <f>IFERROR(__xludf.DUMMYFUNCTION("""COMPUTED_VALUE"""),3000000.0)</f>
        <v>3000000</v>
      </c>
      <c r="M160" s="5">
        <f>IFERROR(__xludf.DUMMYFUNCTION("""COMPUTED_VALUE"""),500000.0)</f>
        <v>500000</v>
      </c>
      <c r="N160" s="5">
        <f>IFERROR(__xludf.DUMMYFUNCTION("""COMPUTED_VALUE"""),0.0)</f>
        <v>0</v>
      </c>
      <c r="O160" s="5">
        <f>IFERROR(__xludf.DUMMYFUNCTION("""COMPUTED_VALUE"""),3500000.0)</f>
        <v>3500000</v>
      </c>
      <c r="P160" s="4"/>
      <c r="Q160" s="4"/>
      <c r="R160" s="4"/>
      <c r="S160" s="3" t="str">
        <f>IFERROR(__xludf.DUMMYFUNCTION("""COMPUTED_VALUE"""),"Belum Lunas")</f>
        <v>Belum Lunas</v>
      </c>
    </row>
    <row r="161">
      <c r="A161" s="3">
        <f t="shared" si="1"/>
        <v>160</v>
      </c>
      <c r="B161" s="4" t="str">
        <f>IFERROR(__xludf.DUMMYFUNCTION("""COMPUTED_VALUE"""),"MOH. RAFY ANDIKA ROHMAN")</f>
        <v>MOH. RAFY ANDIKA ROHMAN</v>
      </c>
      <c r="C161" s="3">
        <f>IFERROR(__xludf.DUMMYFUNCTION("""COMPUTED_VALUE"""),2.024070676E9)</f>
        <v>2024070676</v>
      </c>
      <c r="D161" s="3" t="str">
        <f>IFERROR(__xludf.DUMMYFUNCTION("""COMPUTED_VALUE"""),"A")</f>
        <v>A</v>
      </c>
      <c r="E161" s="3" t="str">
        <f>IFERROR(__xludf.DUMMYFUNCTION("""COMPUTED_VALUE"""),"A-10")</f>
        <v>A-10</v>
      </c>
      <c r="F161" s="3">
        <f>IFERROR(__xludf.DUMMYFUNCTION("""COMPUTED_VALUE"""),3.0)</f>
        <v>3</v>
      </c>
      <c r="G161" s="3" t="str">
        <f>IFERROR(__xludf.DUMMYFUNCTION("""COMPUTED_VALUE"""),"3 WUSTHO PUTRA")</f>
        <v>3 WUSTHO PUTRA</v>
      </c>
      <c r="H161" s="3" t="str">
        <f>IFERROR(__xludf.DUMMYFUNCTION("""COMPUTED_VALUE"""),"SMK-XII TKR 2")</f>
        <v>SMK-XII TKR 2</v>
      </c>
      <c r="I161" s="4" t="str">
        <f>IFERROR(__xludf.DUMMYFUNCTION("""COMPUTED_VALUE"""),"SUTATIK")</f>
        <v>SUTATIK</v>
      </c>
      <c r="J161" s="4" t="str">
        <f>IFERROR(__xludf.DUMMYFUNCTION("""COMPUTED_VALUE"""),"PUTATREJO PUTATBANGAH RT 002 RW 003 KARANGBINANGUN LAMONGAN")</f>
        <v>PUTATREJO PUTATBANGAH RT 002 RW 003 KARANGBINANGUN LAMONGAN</v>
      </c>
      <c r="K161" s="4" t="str">
        <f>IFERROR(__xludf.DUMMYFUNCTION("""COMPUTED_VALUE"""),"6285730854693")</f>
        <v>6285730854693</v>
      </c>
      <c r="L161" s="5">
        <f>IFERROR(__xludf.DUMMYFUNCTION("""COMPUTED_VALUE"""),3600000.0)</f>
        <v>3600000</v>
      </c>
      <c r="M161" s="5">
        <f>IFERROR(__xludf.DUMMYFUNCTION("""COMPUTED_VALUE"""),0.0)</f>
        <v>0</v>
      </c>
      <c r="N161" s="5">
        <f>IFERROR(__xludf.DUMMYFUNCTION("""COMPUTED_VALUE"""),0.0)</f>
        <v>0</v>
      </c>
      <c r="O161" s="5">
        <f>IFERROR(__xludf.DUMMYFUNCTION("""COMPUTED_VALUE"""),3600000.0)</f>
        <v>3600000</v>
      </c>
      <c r="P161" s="4"/>
      <c r="Q161" s="4"/>
      <c r="R161" s="4"/>
      <c r="S161" s="3" t="str">
        <f>IFERROR(__xludf.DUMMYFUNCTION("""COMPUTED_VALUE"""),"Belum Lunas")</f>
        <v>Belum Lunas</v>
      </c>
    </row>
    <row r="162">
      <c r="A162" s="3">
        <f t="shared" si="1"/>
        <v>161</v>
      </c>
      <c r="B162" s="4" t="str">
        <f>IFERROR(__xludf.DUMMYFUNCTION("""COMPUTED_VALUE"""),"ROBI`AH AL-ADHAWIYAH")</f>
        <v>ROBI`AH AL-ADHAWIYAH</v>
      </c>
      <c r="C162" s="3">
        <f>IFERROR(__xludf.DUMMYFUNCTION("""COMPUTED_VALUE"""),2.024070022E9)</f>
        <v>2024070022</v>
      </c>
      <c r="D162" s="3" t="str">
        <f>IFERROR(__xludf.DUMMYFUNCTION("""COMPUTED_VALUE"""),"D")</f>
        <v>D</v>
      </c>
      <c r="E162" s="3" t="str">
        <f>IFERROR(__xludf.DUMMYFUNCTION("""COMPUTED_VALUE"""),"D-7")</f>
        <v>D-7</v>
      </c>
      <c r="F162" s="3">
        <f>IFERROR(__xludf.DUMMYFUNCTION("""COMPUTED_VALUE"""),3.0)</f>
        <v>3</v>
      </c>
      <c r="G162" s="3"/>
      <c r="H162" s="3" t="str">
        <f>IFERROR(__xludf.DUMMYFUNCTION("""COMPUTED_VALUE"""),"MA-XII.1")</f>
        <v>MA-XII.1</v>
      </c>
      <c r="I162" s="4" t="str">
        <f>IFERROR(__xludf.DUMMYFUNCTION("""COMPUTED_VALUE"""),"SURATI")</f>
        <v>SURATI</v>
      </c>
      <c r="J162" s="4" t="str">
        <f>IFERROR(__xludf.DUMMYFUNCTION("""COMPUTED_VALUE"""),"KRAJAN 1 SUKOBENDU RT 1 RW 2 MANTUP LAMONGAN")</f>
        <v>KRAJAN 1 SUKOBENDU RT 1 RW 2 MANTUP LAMONGAN</v>
      </c>
      <c r="K162" s="4" t="str">
        <f>IFERROR(__xludf.DUMMYFUNCTION("""COMPUTED_VALUE"""),"6285133823392")</f>
        <v>6285133823392</v>
      </c>
      <c r="L162" s="5">
        <f>IFERROR(__xludf.DUMMYFUNCTION("""COMPUTED_VALUE"""),2700000.0)</f>
        <v>2700000</v>
      </c>
      <c r="M162" s="5">
        <f>IFERROR(__xludf.DUMMYFUNCTION("""COMPUTED_VALUE"""),1000000.0)</f>
        <v>1000000</v>
      </c>
      <c r="N162" s="5">
        <f>IFERROR(__xludf.DUMMYFUNCTION("""COMPUTED_VALUE"""),0.0)</f>
        <v>0</v>
      </c>
      <c r="O162" s="5">
        <f>IFERROR(__xludf.DUMMYFUNCTION("""COMPUTED_VALUE"""),3700000.0)</f>
        <v>3700000</v>
      </c>
      <c r="P162" s="4"/>
      <c r="Q162" s="4"/>
      <c r="R162" s="4"/>
      <c r="S162" s="3" t="str">
        <f>IFERROR(__xludf.DUMMYFUNCTION("""COMPUTED_VALUE"""),"Belum Lunas")</f>
        <v>Belum Lunas</v>
      </c>
    </row>
    <row r="163">
      <c r="A163" s="3">
        <f t="shared" si="1"/>
        <v>162</v>
      </c>
      <c r="B163" s="4" t="str">
        <f>IFERROR(__xludf.DUMMYFUNCTION("""COMPUTED_VALUE"""),"HIMMATU ZAWA ARRIFA")</f>
        <v>HIMMATU ZAWA ARRIFA</v>
      </c>
      <c r="C163" s="3">
        <f>IFERROR(__xludf.DUMMYFUNCTION("""COMPUTED_VALUE"""),2.024070076E9)</f>
        <v>2024070076</v>
      </c>
      <c r="D163" s="3" t="str">
        <f>IFERROR(__xludf.DUMMYFUNCTION("""COMPUTED_VALUE"""),"C")</f>
        <v>C</v>
      </c>
      <c r="E163" s="3" t="str">
        <f>IFERROR(__xludf.DUMMYFUNCTION("""COMPUTED_VALUE"""),"C-8")</f>
        <v>C-8</v>
      </c>
      <c r="F163" s="3">
        <f>IFERROR(__xludf.DUMMYFUNCTION("""COMPUTED_VALUE"""),3.0)</f>
        <v>3</v>
      </c>
      <c r="G163" s="3" t="str">
        <f>IFERROR(__xludf.DUMMYFUNCTION("""COMPUTED_VALUE"""),"3 WUSTHO B PUTRI")</f>
        <v>3 WUSTHO B PUTRI</v>
      </c>
      <c r="H163" s="3" t="str">
        <f>IFERROR(__xludf.DUMMYFUNCTION("""COMPUTED_VALUE"""),"MA-XII.3")</f>
        <v>MA-XII.3</v>
      </c>
      <c r="I163" s="4" t="str">
        <f>IFERROR(__xludf.DUMMYFUNCTION("""COMPUTED_VALUE"""),"SITI HALIMAH")</f>
        <v>SITI HALIMAH</v>
      </c>
      <c r="J163" s="4" t="str">
        <f>IFERROR(__xludf.DUMMYFUNCTION("""COMPUTED_VALUE"""),"SIDOMULYO RT 003 RW 003 DEKET LAMONGAN")</f>
        <v>SIDOMULYO RT 003 RW 003 DEKET LAMONGAN</v>
      </c>
      <c r="K163" s="4" t="str">
        <f>IFERROR(__xludf.DUMMYFUNCTION("""COMPUTED_VALUE"""),"6285748986490")</f>
        <v>6285748986490</v>
      </c>
      <c r="L163" s="5">
        <f>IFERROR(__xludf.DUMMYFUNCTION("""COMPUTED_VALUE"""),3150000.0)</f>
        <v>3150000</v>
      </c>
      <c r="M163" s="5">
        <f>IFERROR(__xludf.DUMMYFUNCTION("""COMPUTED_VALUE"""),1000000.0)</f>
        <v>1000000</v>
      </c>
      <c r="N163" s="5">
        <f>IFERROR(__xludf.DUMMYFUNCTION("""COMPUTED_VALUE"""),0.0)</f>
        <v>0</v>
      </c>
      <c r="O163" s="5">
        <f>IFERROR(__xludf.DUMMYFUNCTION("""COMPUTED_VALUE"""),4150000.0)</f>
        <v>4150000</v>
      </c>
      <c r="P163" s="4"/>
      <c r="Q163" s="4"/>
      <c r="R163" s="4"/>
      <c r="S163" s="3" t="str">
        <f>IFERROR(__xludf.DUMMYFUNCTION("""COMPUTED_VALUE"""),"Belum Lunas")</f>
        <v>Belum Lunas</v>
      </c>
    </row>
    <row r="164">
      <c r="A164" s="3">
        <f t="shared" si="1"/>
        <v>163</v>
      </c>
      <c r="B164" s="4" t="str">
        <f>IFERROR(__xludf.DUMMYFUNCTION("""COMPUTED_VALUE"""),"RIZKY YUSUF MAULANA")</f>
        <v>RIZKY YUSUF MAULANA</v>
      </c>
      <c r="C164" s="3">
        <f>IFERROR(__xludf.DUMMYFUNCTION("""COMPUTED_VALUE"""),2.024070453E9)</f>
        <v>2024070453</v>
      </c>
      <c r="D164" s="3" t="str">
        <f>IFERROR(__xludf.DUMMYFUNCTION("""COMPUTED_VALUE"""),"A")</f>
        <v>A</v>
      </c>
      <c r="E164" s="3" t="str">
        <f>IFERROR(__xludf.DUMMYFUNCTION("""COMPUTED_VALUE"""),"A-7")</f>
        <v>A-7</v>
      </c>
      <c r="F164" s="3">
        <f>IFERROR(__xludf.DUMMYFUNCTION("""COMPUTED_VALUE"""),3.0)</f>
        <v>3</v>
      </c>
      <c r="G164" s="3" t="str">
        <f>IFERROR(__xludf.DUMMYFUNCTION("""COMPUTED_VALUE"""),"3 ULA A PUTRA")</f>
        <v>3 ULA A PUTRA</v>
      </c>
      <c r="H164" s="3" t="str">
        <f>IFERROR(__xludf.DUMMYFUNCTION("""COMPUTED_VALUE"""),"MTS-9 E")</f>
        <v>MTS-9 E</v>
      </c>
      <c r="I164" s="4" t="str">
        <f>IFERROR(__xludf.DUMMYFUNCTION("""COMPUTED_VALUE"""),"SRI KUSTINIAH")</f>
        <v>SRI KUSTINIAH</v>
      </c>
      <c r="J164" s="4" t="str">
        <f>IFERROR(__xludf.DUMMYFUNCTION("""COMPUTED_VALUE"""),"TEJOASRI RT 003 RW 005 LAREN LAMONGAN")</f>
        <v>TEJOASRI RT 003 RW 005 LAREN LAMONGAN</v>
      </c>
      <c r="K164" s="4"/>
      <c r="L164" s="5">
        <f>IFERROR(__xludf.DUMMYFUNCTION("""COMPUTED_VALUE"""),3150000.0)</f>
        <v>3150000</v>
      </c>
      <c r="M164" s="5">
        <f>IFERROR(__xludf.DUMMYFUNCTION("""COMPUTED_VALUE"""),1000000.0)</f>
        <v>1000000</v>
      </c>
      <c r="N164" s="5">
        <f>IFERROR(__xludf.DUMMYFUNCTION("""COMPUTED_VALUE"""),0.0)</f>
        <v>0</v>
      </c>
      <c r="O164" s="5">
        <f>IFERROR(__xludf.DUMMYFUNCTION("""COMPUTED_VALUE"""),4150000.0)</f>
        <v>4150000</v>
      </c>
      <c r="P164" s="4"/>
      <c r="Q164" s="4"/>
      <c r="R164" s="4"/>
      <c r="S164" s="3" t="str">
        <f>IFERROR(__xludf.DUMMYFUNCTION("""COMPUTED_VALUE"""),"Belum Lunas")</f>
        <v>Belum Lunas</v>
      </c>
    </row>
    <row r="165">
      <c r="A165" s="3">
        <f t="shared" si="1"/>
        <v>164</v>
      </c>
      <c r="B165" s="4" t="str">
        <f>IFERROR(__xludf.DUMMYFUNCTION("""COMPUTED_VALUE"""),"MUHAMMAD HAIKAL JAMALUDDIN RUMMY")</f>
        <v>MUHAMMAD HAIKAL JAMALUDDIN RUMMY</v>
      </c>
      <c r="C165" s="3">
        <f>IFERROR(__xludf.DUMMYFUNCTION("""COMPUTED_VALUE"""),2.024070612E9)</f>
        <v>2024070612</v>
      </c>
      <c r="D165" s="3" t="str">
        <f>IFERROR(__xludf.DUMMYFUNCTION("""COMPUTED_VALUE"""),"A")</f>
        <v>A</v>
      </c>
      <c r="E165" s="3" t="str">
        <f>IFERROR(__xludf.DUMMYFUNCTION("""COMPUTED_VALUE"""),"A-8")</f>
        <v>A-8</v>
      </c>
      <c r="F165" s="3">
        <f>IFERROR(__xludf.DUMMYFUNCTION("""COMPUTED_VALUE"""),3.0)</f>
        <v>3</v>
      </c>
      <c r="G165" s="3" t="str">
        <f>IFERROR(__xludf.DUMMYFUNCTION("""COMPUTED_VALUE"""),"3 ULA B PUTRA")</f>
        <v>3 ULA B PUTRA</v>
      </c>
      <c r="H165" s="3" t="str">
        <f>IFERROR(__xludf.DUMMYFUNCTION("""COMPUTED_VALUE"""),"MTS-9 E")</f>
        <v>MTS-9 E</v>
      </c>
      <c r="I165" s="4" t="str">
        <f>IFERROR(__xludf.DUMMYFUNCTION("""COMPUTED_VALUE"""),"YENNY FIRDIANING TYAS")</f>
        <v>YENNY FIRDIANING TYAS</v>
      </c>
      <c r="J165" s="4" t="str">
        <f>IFERROR(__xludf.DUMMYFUNCTION("""COMPUTED_VALUE"""),"WARU KULON RT 002 RW 005 PUCUK LAMONGAN")</f>
        <v>WARU KULON RT 002 RW 005 PUCUK LAMONGAN</v>
      </c>
      <c r="K165" s="4" t="str">
        <f>IFERROR(__xludf.DUMMYFUNCTION("""COMPUTED_VALUE"""),"6285536895754")</f>
        <v>6285536895754</v>
      </c>
      <c r="L165" s="5">
        <f>IFERROR(__xludf.DUMMYFUNCTION("""COMPUTED_VALUE"""),4050000.0)</f>
        <v>4050000</v>
      </c>
      <c r="M165" s="5">
        <f>IFERROR(__xludf.DUMMYFUNCTION("""COMPUTED_VALUE"""),1000000.0)</f>
        <v>1000000</v>
      </c>
      <c r="N165" s="5">
        <f>IFERROR(__xludf.DUMMYFUNCTION("""COMPUTED_VALUE"""),0.0)</f>
        <v>0</v>
      </c>
      <c r="O165" s="5">
        <f>IFERROR(__xludf.DUMMYFUNCTION("""COMPUTED_VALUE"""),5050000.0)</f>
        <v>5050000</v>
      </c>
      <c r="P165" s="4"/>
      <c r="Q165" s="4"/>
      <c r="R165" s="4"/>
      <c r="S165" s="3" t="str">
        <f>IFERROR(__xludf.DUMMYFUNCTION("""COMPUTED_VALUE"""),"Belum Lunas")</f>
        <v>Belum Lunas</v>
      </c>
    </row>
    <row r="166">
      <c r="A166" s="3">
        <f t="shared" si="1"/>
        <v>165</v>
      </c>
      <c r="B166" s="4" t="str">
        <f>IFERROR(__xludf.DUMMYFUNCTION("""COMPUTED_VALUE"""),"FIRNANDA KHOLAGUL HIDAYATUS MUAWIYAH")</f>
        <v>FIRNANDA KHOLAGUL HIDAYATUS MUAWIYAH</v>
      </c>
      <c r="C166" s="3">
        <f>IFERROR(__xludf.DUMMYFUNCTION("""COMPUTED_VALUE"""),2.024070421E9)</f>
        <v>2024070421</v>
      </c>
      <c r="D166" s="3" t="str">
        <f>IFERROR(__xludf.DUMMYFUNCTION("""COMPUTED_VALUE"""),"C")</f>
        <v>C</v>
      </c>
      <c r="E166" s="3" t="str">
        <f>IFERROR(__xludf.DUMMYFUNCTION("""COMPUTED_VALUE"""),"C-7")</f>
        <v>C-7</v>
      </c>
      <c r="F166" s="3">
        <f>IFERROR(__xludf.DUMMYFUNCTION("""COMPUTED_VALUE"""),3.0)</f>
        <v>3</v>
      </c>
      <c r="G166" s="3"/>
      <c r="H166" s="3" t="str">
        <f>IFERROR(__xludf.DUMMYFUNCTION("""COMPUTED_VALUE"""),"MA-XII.13")</f>
        <v>MA-XII.13</v>
      </c>
      <c r="I166" s="4" t="str">
        <f>IFERROR(__xludf.DUMMYFUNCTION("""COMPUTED_VALUE"""),"MU'INAH")</f>
        <v>MU'INAH</v>
      </c>
      <c r="J166" s="4" t="str">
        <f>IFERROR(__xludf.DUMMYFUNCTION("""COMPUTED_VALUE"""),"WEDENG SUKOREJO RT 001 RW 001 KARANGBINANGUN LAMONGAN")</f>
        <v>WEDENG SUKOREJO RT 001 RW 001 KARANGBINANGUN LAMONGAN</v>
      </c>
      <c r="K166" s="4" t="str">
        <f>IFERROR(__xludf.DUMMYFUNCTION("""COMPUTED_VALUE"""),"628564085976")</f>
        <v>628564085976</v>
      </c>
      <c r="L166" s="5">
        <f>IFERROR(__xludf.DUMMYFUNCTION("""COMPUTED_VALUE"""),3600000.0)</f>
        <v>3600000</v>
      </c>
      <c r="M166" s="5">
        <f>IFERROR(__xludf.DUMMYFUNCTION("""COMPUTED_VALUE"""),1600000.0)</f>
        <v>1600000</v>
      </c>
      <c r="N166" s="5">
        <f>IFERROR(__xludf.DUMMYFUNCTION("""COMPUTED_VALUE"""),0.0)</f>
        <v>0</v>
      </c>
      <c r="O166" s="5">
        <f>IFERROR(__xludf.DUMMYFUNCTION("""COMPUTED_VALUE"""),5200000.0)</f>
        <v>5200000</v>
      </c>
      <c r="P166" s="4"/>
      <c r="Q166" s="4"/>
      <c r="R166" s="4"/>
      <c r="S166" s="3" t="str">
        <f>IFERROR(__xludf.DUMMYFUNCTION("""COMPUTED_VALUE"""),"Belum Lunas")</f>
        <v>Belum Lunas</v>
      </c>
    </row>
    <row r="167">
      <c r="A167" s="3">
        <f t="shared" si="1"/>
        <v>166</v>
      </c>
      <c r="B167" s="4" t="str">
        <f>IFERROR(__xludf.DUMMYFUNCTION("""COMPUTED_VALUE"""),"RAVAUL ZAHIDAH")</f>
        <v>RAVAUL ZAHIDAH</v>
      </c>
      <c r="C167" s="3">
        <f>IFERROR(__xludf.DUMMYFUNCTION("""COMPUTED_VALUE"""),2.02407058E9)</f>
        <v>2024070580</v>
      </c>
      <c r="D167" s="3" t="str">
        <f>IFERROR(__xludf.DUMMYFUNCTION("""COMPUTED_VALUE"""),"C")</f>
        <v>C</v>
      </c>
      <c r="E167" s="3" t="str">
        <f>IFERROR(__xludf.DUMMYFUNCTION("""COMPUTED_VALUE"""),"C-3")</f>
        <v>C-3</v>
      </c>
      <c r="F167" s="3">
        <f>IFERROR(__xludf.DUMMYFUNCTION("""COMPUTED_VALUE"""),3.0)</f>
        <v>3</v>
      </c>
      <c r="G167" s="3" t="str">
        <f>IFERROR(__xludf.DUMMYFUNCTION("""COMPUTED_VALUE"""),"3 ULA B PUTRI")</f>
        <v>3 ULA B PUTRI</v>
      </c>
      <c r="H167" s="3" t="str">
        <f>IFERROR(__xludf.DUMMYFUNCTION("""COMPUTED_VALUE"""),"MTS-9 A")</f>
        <v>MTS-9 A</v>
      </c>
      <c r="I167" s="4" t="str">
        <f>IFERROR(__xludf.DUMMYFUNCTION("""COMPUTED_VALUE"""),"ULIN NI`MAH")</f>
        <v>ULIN NI`MAH</v>
      </c>
      <c r="J167" s="4" t="str">
        <f>IFERROR(__xludf.DUMMYFUNCTION("""COMPUTED_VALUE"""),"PENCARAN BLAWI RT 002 RW 005 KARANGBINANGUN LAMONGAN")</f>
        <v>PENCARAN BLAWI RT 002 RW 005 KARANGBINANGUN LAMONGAN</v>
      </c>
      <c r="K167" s="4" t="str">
        <f>IFERROR(__xludf.DUMMYFUNCTION("""COMPUTED_VALUE"""),"6282231516103")</f>
        <v>6282231516103</v>
      </c>
      <c r="L167" s="5">
        <f>IFERROR(__xludf.DUMMYFUNCTION("""COMPUTED_VALUE"""),4500000.0)</f>
        <v>4500000</v>
      </c>
      <c r="M167" s="5">
        <f>IFERROR(__xludf.DUMMYFUNCTION("""COMPUTED_VALUE"""),1000000.0)</f>
        <v>1000000</v>
      </c>
      <c r="N167" s="5">
        <f>IFERROR(__xludf.DUMMYFUNCTION("""COMPUTED_VALUE"""),0.0)</f>
        <v>0</v>
      </c>
      <c r="O167" s="5">
        <f>IFERROR(__xludf.DUMMYFUNCTION("""COMPUTED_VALUE"""),5500000.0)</f>
        <v>5500000</v>
      </c>
      <c r="P167" s="4"/>
      <c r="Q167" s="4"/>
      <c r="R167" s="4"/>
      <c r="S167" s="3" t="str">
        <f>IFERROR(__xludf.DUMMYFUNCTION("""COMPUTED_VALUE"""),"Belum Lunas")</f>
        <v>Belum Lunas</v>
      </c>
    </row>
    <row r="168">
      <c r="A168" s="3">
        <f t="shared" si="1"/>
        <v>167</v>
      </c>
      <c r="B168" s="4" t="str">
        <f>IFERROR(__xludf.DUMMYFUNCTION("""COMPUTED_VALUE"""),"ILHAM AWALUDDIN RIJALUL BARPI")</f>
        <v>ILHAM AWALUDDIN RIJALUL BARPI</v>
      </c>
      <c r="C168" s="3">
        <f>IFERROR(__xludf.DUMMYFUNCTION("""COMPUTED_VALUE"""),2.024070512E9)</f>
        <v>2024070512</v>
      </c>
      <c r="D168" s="3" t="str">
        <f>IFERROR(__xludf.DUMMYFUNCTION("""COMPUTED_VALUE"""),"A")</f>
        <v>A</v>
      </c>
      <c r="E168" s="3" t="str">
        <f>IFERROR(__xludf.DUMMYFUNCTION("""COMPUTED_VALUE"""),"A-13")</f>
        <v>A-13</v>
      </c>
      <c r="F168" s="3">
        <f>IFERROR(__xludf.DUMMYFUNCTION("""COMPUTED_VALUE"""),3.0)</f>
        <v>3</v>
      </c>
      <c r="G168" s="3"/>
      <c r="H168" s="3" t="str">
        <f>IFERROR(__xludf.DUMMYFUNCTION("""COMPUTED_VALUE"""),"MTS-9 A")</f>
        <v>MTS-9 A</v>
      </c>
      <c r="I168" s="4" t="str">
        <f>IFERROR(__xludf.DUMMYFUNCTION("""COMPUTED_VALUE"""),"ROKHMAWATI")</f>
        <v>ROKHMAWATI</v>
      </c>
      <c r="J168" s="4" t="str">
        <f>IFERROR(__xludf.DUMMYFUNCTION("""COMPUTED_VALUE"""),"DEKETWETAN RT 001 RW 005 DEKET LAMONGAN")</f>
        <v>DEKETWETAN RT 001 RW 005 DEKET LAMONGAN</v>
      </c>
      <c r="K168" s="4" t="str">
        <f>IFERROR(__xludf.DUMMYFUNCTION("""COMPUTED_VALUE"""),"6285748111696")</f>
        <v>6285748111696</v>
      </c>
      <c r="L168" s="5">
        <f>IFERROR(__xludf.DUMMYFUNCTION("""COMPUTED_VALUE"""),4510000.0)</f>
        <v>4510000</v>
      </c>
      <c r="M168" s="5">
        <f>IFERROR(__xludf.DUMMYFUNCTION("""COMPUTED_VALUE"""),1000000.0)</f>
        <v>1000000</v>
      </c>
      <c r="N168" s="5">
        <f>IFERROR(__xludf.DUMMYFUNCTION("""COMPUTED_VALUE"""),0.0)</f>
        <v>0</v>
      </c>
      <c r="O168" s="5">
        <f>IFERROR(__xludf.DUMMYFUNCTION("""COMPUTED_VALUE"""),5510000.0)</f>
        <v>5510000</v>
      </c>
      <c r="P168" s="4"/>
      <c r="Q168" s="4"/>
      <c r="R168" s="4"/>
      <c r="S168" s="3" t="str">
        <f>IFERROR(__xludf.DUMMYFUNCTION("""COMPUTED_VALUE"""),"Belum Lunas")</f>
        <v>Belum Lunas</v>
      </c>
    </row>
    <row r="169">
      <c r="A169" s="3">
        <f t="shared" si="1"/>
        <v>168</v>
      </c>
      <c r="B169" s="4" t="str">
        <f>IFERROR(__xludf.DUMMYFUNCTION("""COMPUTED_VALUE"""),"HAFIDZ ALFITO ZAEIN")</f>
        <v>HAFIDZ ALFITO ZAEIN</v>
      </c>
      <c r="C169" s="3">
        <f>IFERROR(__xludf.DUMMYFUNCTION("""COMPUTED_VALUE"""),2.024070619E9)</f>
        <v>2024070619</v>
      </c>
      <c r="D169" s="3" t="str">
        <f>IFERROR(__xludf.DUMMYFUNCTION("""COMPUTED_VALUE"""),"A")</f>
        <v>A</v>
      </c>
      <c r="E169" s="3" t="str">
        <f>IFERROR(__xludf.DUMMYFUNCTION("""COMPUTED_VALUE"""),"A-7")</f>
        <v>A-7</v>
      </c>
      <c r="F169" s="3">
        <f>IFERROR(__xludf.DUMMYFUNCTION("""COMPUTED_VALUE"""),3.0)</f>
        <v>3</v>
      </c>
      <c r="G169" s="3" t="str">
        <f>IFERROR(__xludf.DUMMYFUNCTION("""COMPUTED_VALUE"""),"3 ULA B PUTRA")</f>
        <v>3 ULA B PUTRA</v>
      </c>
      <c r="H169" s="3" t="str">
        <f>IFERROR(__xludf.DUMMYFUNCTION("""COMPUTED_VALUE"""),"MTS-9 F")</f>
        <v>MTS-9 F</v>
      </c>
      <c r="I169" s="4" t="str">
        <f>IFERROR(__xludf.DUMMYFUNCTION("""COMPUTED_VALUE"""),"TAYEM")</f>
        <v>TAYEM</v>
      </c>
      <c r="J169" s="4" t="str">
        <f>IFERROR(__xludf.DUMMYFUNCTION("""COMPUTED_VALUE"""),"JELAKCATUR RT 001 RW 004 KALITENGAH LAMONGAN")</f>
        <v>JELAKCATUR RT 001 RW 004 KALITENGAH LAMONGAN</v>
      </c>
      <c r="K169" s="4" t="str">
        <f>IFERROR(__xludf.DUMMYFUNCTION("""COMPUTED_VALUE"""),"628130372202")</f>
        <v>628130372202</v>
      </c>
      <c r="L169" s="5">
        <f>IFERROR(__xludf.DUMMYFUNCTION("""COMPUTED_VALUE"""),4050000.0)</f>
        <v>4050000</v>
      </c>
      <c r="M169" s="5">
        <f>IFERROR(__xludf.DUMMYFUNCTION("""COMPUTED_VALUE"""),1600000.0)</f>
        <v>1600000</v>
      </c>
      <c r="N169" s="5">
        <f>IFERROR(__xludf.DUMMYFUNCTION("""COMPUTED_VALUE"""),0.0)</f>
        <v>0</v>
      </c>
      <c r="O169" s="5">
        <f>IFERROR(__xludf.DUMMYFUNCTION("""COMPUTED_VALUE"""),5650000.0)</f>
        <v>5650000</v>
      </c>
      <c r="P169" s="4"/>
      <c r="Q169" s="4"/>
      <c r="R169" s="4"/>
      <c r="S169" s="3" t="str">
        <f>IFERROR(__xludf.DUMMYFUNCTION("""COMPUTED_VALUE"""),"Belum Lunas")</f>
        <v>Belum Lunas</v>
      </c>
    </row>
    <row r="170">
      <c r="A170" s="3">
        <f t="shared" si="1"/>
        <v>169</v>
      </c>
      <c r="B170" s="4" t="str">
        <f>IFERROR(__xludf.DUMMYFUNCTION("""COMPUTED_VALUE"""),"AHMAD BAKER ADLAN")</f>
        <v>AHMAD BAKER ADLAN</v>
      </c>
      <c r="C170" s="3">
        <f>IFERROR(__xludf.DUMMYFUNCTION("""COMPUTED_VALUE"""),2.02407065E9)</f>
        <v>2024070650</v>
      </c>
      <c r="D170" s="3" t="str">
        <f>IFERROR(__xludf.DUMMYFUNCTION("""COMPUTED_VALUE"""),"A")</f>
        <v>A</v>
      </c>
      <c r="E170" s="3" t="str">
        <f>IFERROR(__xludf.DUMMYFUNCTION("""COMPUTED_VALUE"""),"A-7")</f>
        <v>A-7</v>
      </c>
      <c r="F170" s="3">
        <f>IFERROR(__xludf.DUMMYFUNCTION("""COMPUTED_VALUE"""),3.0)</f>
        <v>3</v>
      </c>
      <c r="G170" s="3" t="str">
        <f>IFERROR(__xludf.DUMMYFUNCTION("""COMPUTED_VALUE"""),"3 ULA A PUTRA")</f>
        <v>3 ULA A PUTRA</v>
      </c>
      <c r="H170" s="3" t="str">
        <f>IFERROR(__xludf.DUMMYFUNCTION("""COMPUTED_VALUE"""),"MTS-9 B")</f>
        <v>MTS-9 B</v>
      </c>
      <c r="I170" s="4" t="str">
        <f>IFERROR(__xludf.DUMMYFUNCTION("""COMPUTED_VALUE"""),"NOVRI YANTI")</f>
        <v>NOVRI YANTI</v>
      </c>
      <c r="J170" s="4" t="str">
        <f>IFERROR(__xludf.DUMMYFUNCTION("""COMPUTED_VALUE"""),"DAGAN RT 003 RW 003 SOLOKURO LAMONGAN")</f>
        <v>DAGAN RT 003 RW 003 SOLOKURO LAMONGAN</v>
      </c>
      <c r="K170" s="4" t="str">
        <f>IFERROR(__xludf.DUMMYFUNCTION("""COMPUTED_VALUE"""),"6285765987279")</f>
        <v>6285765987279</v>
      </c>
      <c r="L170" s="5">
        <f>IFERROR(__xludf.DUMMYFUNCTION("""COMPUTED_VALUE"""),4950000.0)</f>
        <v>4950000</v>
      </c>
      <c r="M170" s="5">
        <f>IFERROR(__xludf.DUMMYFUNCTION("""COMPUTED_VALUE"""),1000000.0)</f>
        <v>1000000</v>
      </c>
      <c r="N170" s="5">
        <f>IFERROR(__xludf.DUMMYFUNCTION("""COMPUTED_VALUE"""),0.0)</f>
        <v>0</v>
      </c>
      <c r="O170" s="5">
        <f>IFERROR(__xludf.DUMMYFUNCTION("""COMPUTED_VALUE"""),5950000.0)</f>
        <v>5950000</v>
      </c>
      <c r="P170" s="4"/>
      <c r="Q170" s="4"/>
      <c r="R170" s="4"/>
      <c r="S170" s="3" t="str">
        <f>IFERROR(__xludf.DUMMYFUNCTION("""COMPUTED_VALUE"""),"Belum Lunas")</f>
        <v>Belum Lunas</v>
      </c>
    </row>
    <row r="171">
      <c r="A171" s="3">
        <f t="shared" si="1"/>
        <v>170</v>
      </c>
      <c r="B171" s="4" t="str">
        <f>IFERROR(__xludf.DUMMYFUNCTION("""COMPUTED_VALUE"""),"ANDIKA CAHYO BUDI LAKSONO")</f>
        <v>ANDIKA CAHYO BUDI LAKSONO</v>
      </c>
      <c r="C171" s="3">
        <f>IFERROR(__xludf.DUMMYFUNCTION("""COMPUTED_VALUE"""),2.024070654E9)</f>
        <v>2024070654</v>
      </c>
      <c r="D171" s="3" t="str">
        <f>IFERROR(__xludf.DUMMYFUNCTION("""COMPUTED_VALUE"""),"A")</f>
        <v>A</v>
      </c>
      <c r="E171" s="3" t="str">
        <f>IFERROR(__xludf.DUMMYFUNCTION("""COMPUTED_VALUE"""),"A-7")</f>
        <v>A-7</v>
      </c>
      <c r="F171" s="3">
        <f>IFERROR(__xludf.DUMMYFUNCTION("""COMPUTED_VALUE"""),3.0)</f>
        <v>3</v>
      </c>
      <c r="G171" s="3" t="str">
        <f>IFERROR(__xludf.DUMMYFUNCTION("""COMPUTED_VALUE"""),"3 ULA A PUTRA")</f>
        <v>3 ULA A PUTRA</v>
      </c>
      <c r="H171" s="3" t="str">
        <f>IFERROR(__xludf.DUMMYFUNCTION("""COMPUTED_VALUE"""),"MTS-9 F")</f>
        <v>MTS-9 F</v>
      </c>
      <c r="I171" s="4" t="str">
        <f>IFERROR(__xludf.DUMMYFUNCTION("""COMPUTED_VALUE"""),"USWATUN HASANAH")</f>
        <v>USWATUN HASANAH</v>
      </c>
      <c r="J171" s="4" t="str">
        <f>IFERROR(__xludf.DUMMYFUNCTION("""COMPUTED_VALUE"""),"KEMLAGIGEDE RT 007 RW 002 TURI LAMONGAN")</f>
        <v>KEMLAGIGEDE RT 007 RW 002 TURI LAMONGAN</v>
      </c>
      <c r="K171" s="4" t="str">
        <f>IFERROR(__xludf.DUMMYFUNCTION("""COMPUTED_VALUE"""),"628579002358")</f>
        <v>628579002358</v>
      </c>
      <c r="L171" s="5">
        <f>IFERROR(__xludf.DUMMYFUNCTION("""COMPUTED_VALUE"""),4950000.0)</f>
        <v>4950000</v>
      </c>
      <c r="M171" s="5">
        <f>IFERROR(__xludf.DUMMYFUNCTION("""COMPUTED_VALUE"""),1000000.0)</f>
        <v>1000000</v>
      </c>
      <c r="N171" s="5">
        <f>IFERROR(__xludf.DUMMYFUNCTION("""COMPUTED_VALUE"""),0.0)</f>
        <v>0</v>
      </c>
      <c r="O171" s="5">
        <f>IFERROR(__xludf.DUMMYFUNCTION("""COMPUTED_VALUE"""),5950000.0)</f>
        <v>5950000</v>
      </c>
      <c r="P171" s="4"/>
      <c r="Q171" s="4"/>
      <c r="R171" s="4"/>
      <c r="S171" s="3" t="str">
        <f>IFERROR(__xludf.DUMMYFUNCTION("""COMPUTED_VALUE"""),"Belum Lunas")</f>
        <v>Belum Lunas</v>
      </c>
    </row>
    <row r="172">
      <c r="A172" s="3">
        <f t="shared" si="1"/>
        <v>171</v>
      </c>
      <c r="B172" s="4" t="str">
        <f>IFERROR(__xludf.DUMMYFUNCTION("""COMPUTED_VALUE"""),"MOHAMAD NOVAL JALALUDIN")</f>
        <v>MOHAMAD NOVAL JALALUDIN</v>
      </c>
      <c r="C172" s="3">
        <f>IFERROR(__xludf.DUMMYFUNCTION("""COMPUTED_VALUE"""),2.024070485E9)</f>
        <v>2024070485</v>
      </c>
      <c r="D172" s="3" t="str">
        <f>IFERROR(__xludf.DUMMYFUNCTION("""COMPUTED_VALUE"""),"A")</f>
        <v>A</v>
      </c>
      <c r="E172" s="3" t="str">
        <f>IFERROR(__xludf.DUMMYFUNCTION("""COMPUTED_VALUE"""),"A-8")</f>
        <v>A-8</v>
      </c>
      <c r="F172" s="3">
        <f>IFERROR(__xludf.DUMMYFUNCTION("""COMPUTED_VALUE"""),3.0)</f>
        <v>3</v>
      </c>
      <c r="G172" s="3" t="str">
        <f>IFERROR(__xludf.DUMMYFUNCTION("""COMPUTED_VALUE"""),"3 ULA A PUTRA")</f>
        <v>3 ULA A PUTRA</v>
      </c>
      <c r="H172" s="3" t="str">
        <f>IFERROR(__xludf.DUMMYFUNCTION("""COMPUTED_VALUE"""),"MTS-9 E")</f>
        <v>MTS-9 E</v>
      </c>
      <c r="I172" s="4" t="str">
        <f>IFERROR(__xludf.DUMMYFUNCTION("""COMPUTED_VALUE"""),"NURUL LAILI")</f>
        <v>NURUL LAILI</v>
      </c>
      <c r="J172" s="4" t="str">
        <f>IFERROR(__xludf.DUMMYFUNCTION("""COMPUTED_VALUE"""),"SUGIHWARAS RT 002 RW 001 DEKET LAMONGAN")</f>
        <v>SUGIHWARAS RT 002 RW 001 DEKET LAMONGAN</v>
      </c>
      <c r="K172" s="4" t="str">
        <f>IFERROR(__xludf.DUMMYFUNCTION("""COMPUTED_VALUE"""),"6281237377978")</f>
        <v>6281237377978</v>
      </c>
      <c r="L172" s="5">
        <f>IFERROR(__xludf.DUMMYFUNCTION("""COMPUTED_VALUE"""),4950000.0)</f>
        <v>4950000</v>
      </c>
      <c r="M172" s="5">
        <f>IFERROR(__xludf.DUMMYFUNCTION("""COMPUTED_VALUE"""),1000000.0)</f>
        <v>1000000</v>
      </c>
      <c r="N172" s="5">
        <f>IFERROR(__xludf.DUMMYFUNCTION("""COMPUTED_VALUE"""),0.0)</f>
        <v>0</v>
      </c>
      <c r="O172" s="5">
        <f>IFERROR(__xludf.DUMMYFUNCTION("""COMPUTED_VALUE"""),5950000.0)</f>
        <v>5950000</v>
      </c>
      <c r="P172" s="4"/>
      <c r="Q172" s="4"/>
      <c r="R172" s="4"/>
      <c r="S172" s="3" t="str">
        <f>IFERROR(__xludf.DUMMYFUNCTION("""COMPUTED_VALUE"""),"Belum Lunas")</f>
        <v>Belum Lunas</v>
      </c>
    </row>
    <row r="173">
      <c r="A173" s="3">
        <f t="shared" si="1"/>
        <v>172</v>
      </c>
      <c r="B173" s="4" t="str">
        <f>IFERROR(__xludf.DUMMYFUNCTION("""COMPUTED_VALUE"""),"FATIMAH")</f>
        <v>FATIMAH</v>
      </c>
      <c r="C173" s="3">
        <f>IFERROR(__xludf.DUMMYFUNCTION("""COMPUTED_VALUE"""),2.024070044E9)</f>
        <v>2024070044</v>
      </c>
      <c r="D173" s="3" t="str">
        <f>IFERROR(__xludf.DUMMYFUNCTION("""COMPUTED_VALUE"""),"E")</f>
        <v>E</v>
      </c>
      <c r="E173" s="3" t="str">
        <f>IFERROR(__xludf.DUMMYFUNCTION("""COMPUTED_VALUE"""),"E-2")</f>
        <v>E-2</v>
      </c>
      <c r="F173" s="3">
        <f>IFERROR(__xludf.DUMMYFUNCTION("""COMPUTED_VALUE"""),3.0)</f>
        <v>3</v>
      </c>
      <c r="G173" s="3" t="str">
        <f>IFERROR(__xludf.DUMMYFUNCTION("""COMPUTED_VALUE"""),"3 WUSTHO A PUTRI")</f>
        <v>3 WUSTHO A PUTRI</v>
      </c>
      <c r="H173" s="3" t="str">
        <f>IFERROR(__xludf.DUMMYFUNCTION("""COMPUTED_VALUE"""),"MA-XII.2")</f>
        <v>MA-XII.2</v>
      </c>
      <c r="I173" s="4" t="str">
        <f>IFERROR(__xludf.DUMMYFUNCTION("""COMPUTED_VALUE"""),"KHOLIDAH")</f>
        <v>KHOLIDAH</v>
      </c>
      <c r="J173" s="4" t="str">
        <f>IFERROR(__xludf.DUMMYFUNCTION("""COMPUTED_VALUE"""),"WANAR RT 004 RW 001 PUCUK LAMONGAN")</f>
        <v>WANAR RT 004 RW 001 PUCUK LAMONGAN</v>
      </c>
      <c r="K173" s="4" t="str">
        <f>IFERROR(__xludf.DUMMYFUNCTION("""COMPUTED_VALUE"""),"6289501850865")</f>
        <v>6289501850865</v>
      </c>
      <c r="L173" s="5">
        <f>IFERROR(__xludf.DUMMYFUNCTION("""COMPUTED_VALUE"""),6210000.0)</f>
        <v>6210000</v>
      </c>
      <c r="M173" s="5">
        <f>IFERROR(__xludf.DUMMYFUNCTION("""COMPUTED_VALUE"""),0.0)</f>
        <v>0</v>
      </c>
      <c r="N173" s="5">
        <f>IFERROR(__xludf.DUMMYFUNCTION("""COMPUTED_VALUE"""),350000.0)</f>
        <v>350000</v>
      </c>
      <c r="O173" s="5">
        <f>IFERROR(__xludf.DUMMYFUNCTION("""COMPUTED_VALUE"""),6560000.0)</f>
        <v>6560000</v>
      </c>
      <c r="P173" s="4"/>
      <c r="Q173" s="4"/>
      <c r="R173" s="4"/>
      <c r="S173" s="3" t="str">
        <f>IFERROR(__xludf.DUMMYFUNCTION("""COMPUTED_VALUE"""),"Belum Lunas")</f>
        <v>Belum Lunas</v>
      </c>
    </row>
    <row r="174">
      <c r="A174" s="3">
        <f t="shared" si="1"/>
        <v>173</v>
      </c>
      <c r="B174" s="4" t="str">
        <f>IFERROR(__xludf.DUMMYFUNCTION("""COMPUTED_VALUE"""),"AHMAD GUTI JAELANI")</f>
        <v>AHMAD GUTI JAELANI</v>
      </c>
      <c r="C174" s="3">
        <f>IFERROR(__xludf.DUMMYFUNCTION("""COMPUTED_VALUE"""),2.02407006E9)</f>
        <v>2024070060</v>
      </c>
      <c r="D174" s="3" t="str">
        <f>IFERROR(__xludf.DUMMYFUNCTION("""COMPUTED_VALUE"""),"A")</f>
        <v>A</v>
      </c>
      <c r="E174" s="3" t="str">
        <f>IFERROR(__xludf.DUMMYFUNCTION("""COMPUTED_VALUE"""),"A-10")</f>
        <v>A-10</v>
      </c>
      <c r="F174" s="3">
        <f>IFERROR(__xludf.DUMMYFUNCTION("""COMPUTED_VALUE"""),3.0)</f>
        <v>3</v>
      </c>
      <c r="G174" s="3" t="str">
        <f>IFERROR(__xludf.DUMMYFUNCTION("""COMPUTED_VALUE"""),"3 WUSTHO PUTRA")</f>
        <v>3 WUSTHO PUTRA</v>
      </c>
      <c r="H174" s="3" t="str">
        <f>IFERROR(__xludf.DUMMYFUNCTION("""COMPUTED_VALUE"""),"MA-XII.3")</f>
        <v>MA-XII.3</v>
      </c>
      <c r="I174" s="4" t="str">
        <f>IFERROR(__xludf.DUMMYFUNCTION("""COMPUTED_VALUE"""),"SITI MA`RUFAH")</f>
        <v>SITI MA`RUFAH</v>
      </c>
      <c r="J174" s="4" t="str">
        <f>IFERROR(__xludf.DUMMYFUNCTION("""COMPUTED_VALUE"""),"MADURAN RT 5 RW 2 MADURAN LAMONGAN")</f>
        <v>MADURAN RT 5 RW 2 MADURAN LAMONGAN</v>
      </c>
      <c r="K174" s="4" t="str">
        <f>IFERROR(__xludf.DUMMYFUNCTION("""COMPUTED_VALUE"""),"6285646030802")</f>
        <v>6285646030802</v>
      </c>
      <c r="L174" s="5">
        <f>IFERROR(__xludf.DUMMYFUNCTION("""COMPUTED_VALUE"""),6750000.0)</f>
        <v>6750000</v>
      </c>
      <c r="M174" s="5">
        <f>IFERROR(__xludf.DUMMYFUNCTION("""COMPUTED_VALUE"""),0.0)</f>
        <v>0</v>
      </c>
      <c r="N174" s="5">
        <f>IFERROR(__xludf.DUMMYFUNCTION("""COMPUTED_VALUE"""),0.0)</f>
        <v>0</v>
      </c>
      <c r="O174" s="5">
        <f>IFERROR(__xludf.DUMMYFUNCTION("""COMPUTED_VALUE"""),6750000.0)</f>
        <v>6750000</v>
      </c>
      <c r="P174" s="4"/>
      <c r="Q174" s="4"/>
      <c r="R174" s="4"/>
      <c r="S174" s="3" t="str">
        <f>IFERROR(__xludf.DUMMYFUNCTION("""COMPUTED_VALUE"""),"Belum Lunas")</f>
        <v>Belum Lunas</v>
      </c>
    </row>
    <row r="175">
      <c r="A175" s="3">
        <f t="shared" si="1"/>
        <v>174</v>
      </c>
      <c r="B175" s="4" t="str">
        <f>IFERROR(__xludf.DUMMYFUNCTION("""COMPUTED_VALUE"""),"DZAKIRAH THALITA ZAHRA")</f>
        <v>DZAKIRAH THALITA ZAHRA</v>
      </c>
      <c r="C175" s="3">
        <f>IFERROR(__xludf.DUMMYFUNCTION("""COMPUTED_VALUE"""),2.024070374E9)</f>
        <v>2024070374</v>
      </c>
      <c r="D175" s="3" t="str">
        <f>IFERROR(__xludf.DUMMYFUNCTION("""COMPUTED_VALUE"""),"D")</f>
        <v>D</v>
      </c>
      <c r="E175" s="3" t="str">
        <f>IFERROR(__xludf.DUMMYFUNCTION("""COMPUTED_VALUE"""),"D-7")</f>
        <v>D-7</v>
      </c>
      <c r="F175" s="3">
        <f>IFERROR(__xludf.DUMMYFUNCTION("""COMPUTED_VALUE"""),3.0)</f>
        <v>3</v>
      </c>
      <c r="G175" s="3"/>
      <c r="H175" s="3" t="str">
        <f>IFERROR(__xludf.DUMMYFUNCTION("""COMPUTED_VALUE"""),"MA-XII.10")</f>
        <v>MA-XII.10</v>
      </c>
      <c r="I175" s="4" t="str">
        <f>IFERROR(__xludf.DUMMYFUNCTION("""COMPUTED_VALUE"""),"ZAHROTUN NISA'")</f>
        <v>ZAHROTUN NISA'</v>
      </c>
      <c r="J175" s="4" t="str">
        <f>IFERROR(__xludf.DUMMYFUNCTION("""COMPUTED_VALUE"""),"KARANGTAWAR RT 1 RW 1 LAREN LAMONGAN")</f>
        <v>KARANGTAWAR RT 1 RW 1 LAREN LAMONGAN</v>
      </c>
      <c r="K175" s="4" t="str">
        <f>IFERROR(__xludf.DUMMYFUNCTION("""COMPUTED_VALUE"""),"6285856033004")</f>
        <v>6285856033004</v>
      </c>
      <c r="L175" s="5">
        <f>IFERROR(__xludf.DUMMYFUNCTION("""COMPUTED_VALUE"""),6300000.0)</f>
        <v>6300000</v>
      </c>
      <c r="M175" s="5">
        <f>IFERROR(__xludf.DUMMYFUNCTION("""COMPUTED_VALUE"""),1000000.0)</f>
        <v>1000000</v>
      </c>
      <c r="N175" s="5">
        <f>IFERROR(__xludf.DUMMYFUNCTION("""COMPUTED_VALUE"""),350000.0)</f>
        <v>350000</v>
      </c>
      <c r="O175" s="5">
        <f>IFERROR(__xludf.DUMMYFUNCTION("""COMPUTED_VALUE"""),7650000.0)</f>
        <v>7650000</v>
      </c>
      <c r="P175" s="4"/>
      <c r="Q175" s="4"/>
      <c r="R175" s="4"/>
      <c r="S175" s="3" t="str">
        <f>IFERROR(__xludf.DUMMYFUNCTION("""COMPUTED_VALUE"""),"Belum Lunas")</f>
        <v>Belum Lunas</v>
      </c>
    </row>
    <row r="176">
      <c r="A176" s="3">
        <f t="shared" si="1"/>
        <v>175</v>
      </c>
      <c r="B176" s="4" t="str">
        <f>IFERROR(__xludf.DUMMYFUNCTION("""COMPUTED_VALUE"""),"KAYLA SABRINA ANGGRAINI")</f>
        <v>KAYLA SABRINA ANGGRAINI</v>
      </c>
      <c r="C176" s="3">
        <f>IFERROR(__xludf.DUMMYFUNCTION("""COMPUTED_VALUE"""),2.024070661E9)</f>
        <v>2024070661</v>
      </c>
      <c r="D176" s="3" t="str">
        <f>IFERROR(__xludf.DUMMYFUNCTION("""COMPUTED_VALUE"""),"D")</f>
        <v>D</v>
      </c>
      <c r="E176" s="3" t="str">
        <f>IFERROR(__xludf.DUMMYFUNCTION("""COMPUTED_VALUE"""),"D-4")</f>
        <v>D-4</v>
      </c>
      <c r="F176" s="3">
        <f>IFERROR(__xludf.DUMMYFUNCTION("""COMPUTED_VALUE"""),3.0)</f>
        <v>3</v>
      </c>
      <c r="G176" s="3" t="str">
        <f>IFERROR(__xludf.DUMMYFUNCTION("""COMPUTED_VALUE"""),"3 ULA B PUTRI")</f>
        <v>3 ULA B PUTRI</v>
      </c>
      <c r="H176" s="3" t="str">
        <f>IFERROR(__xludf.DUMMYFUNCTION("""COMPUTED_VALUE"""),"MTS-9 G")</f>
        <v>MTS-9 G</v>
      </c>
      <c r="I176" s="4" t="str">
        <f>IFERROR(__xludf.DUMMYFUNCTION("""COMPUTED_VALUE"""),"RENNY PONCO PRASETYO WATIE")</f>
        <v>RENNY PONCO PRASETYO WATIE</v>
      </c>
      <c r="J176" s="4" t="str">
        <f>IFERROR(__xludf.DUMMYFUNCTION("""COMPUTED_VALUE"""),"BANJARWATI RT 001 RW 002 PACIRAN LAMONGAN")</f>
        <v>BANJARWATI RT 001 RW 002 PACIRAN LAMONGAN</v>
      </c>
      <c r="K176" s="4" t="str">
        <f>IFERROR(__xludf.DUMMYFUNCTION("""COMPUTED_VALUE"""),"6285608656615")</f>
        <v>6285608656615</v>
      </c>
      <c r="L176" s="5">
        <f>IFERROR(__xludf.DUMMYFUNCTION("""COMPUTED_VALUE"""),6750000.0)</f>
        <v>6750000</v>
      </c>
      <c r="M176" s="5">
        <f>IFERROR(__xludf.DUMMYFUNCTION("""COMPUTED_VALUE"""),1600000.0)</f>
        <v>1600000</v>
      </c>
      <c r="N176" s="5">
        <f>IFERROR(__xludf.DUMMYFUNCTION("""COMPUTED_VALUE"""),0.0)</f>
        <v>0</v>
      </c>
      <c r="O176" s="5">
        <f>IFERROR(__xludf.DUMMYFUNCTION("""COMPUTED_VALUE"""),8350000.0)</f>
        <v>8350000</v>
      </c>
      <c r="P176" s="4"/>
      <c r="Q176" s="4"/>
      <c r="R176" s="4"/>
      <c r="S176" s="3" t="str">
        <f>IFERROR(__xludf.DUMMYFUNCTION("""COMPUTED_VALUE"""),"Belum Lunas")</f>
        <v>Belum Lunas</v>
      </c>
    </row>
    <row r="177">
      <c r="A177" s="3">
        <f t="shared" si="1"/>
        <v>176</v>
      </c>
      <c r="B177" s="4" t="str">
        <f>IFERROR(__xludf.DUMMYFUNCTION("""COMPUTED_VALUE"""),"DEWI ZAIDATUL RAHMA")</f>
        <v>DEWI ZAIDATUL RAHMA</v>
      </c>
      <c r="C177" s="3">
        <f>IFERROR(__xludf.DUMMYFUNCTION("""COMPUTED_VALUE"""),2.024070417E9)</f>
        <v>2024070417</v>
      </c>
      <c r="D177" s="3" t="str">
        <f>IFERROR(__xludf.DUMMYFUNCTION("""COMPUTED_VALUE"""),"D")</f>
        <v>D</v>
      </c>
      <c r="E177" s="3" t="str">
        <f>IFERROR(__xludf.DUMMYFUNCTION("""COMPUTED_VALUE"""),"D-6")</f>
        <v>D-6</v>
      </c>
      <c r="F177" s="3">
        <f>IFERROR(__xludf.DUMMYFUNCTION("""COMPUTED_VALUE"""),3.0)</f>
        <v>3</v>
      </c>
      <c r="G177" s="3" t="str">
        <f>IFERROR(__xludf.DUMMYFUNCTION("""COMPUTED_VALUE"""),"3 MAK PUTRI")</f>
        <v>3 MAK PUTRI</v>
      </c>
      <c r="H177" s="3" t="str">
        <f>IFERROR(__xludf.DUMMYFUNCTION("""COMPUTED_VALUE"""),"MA-XII.13")</f>
        <v>MA-XII.13</v>
      </c>
      <c r="I177" s="4" t="str">
        <f>IFERROR(__xludf.DUMMYFUNCTION("""COMPUTED_VALUE"""),"SITI NUR KHOLIFAH")</f>
        <v>SITI NUR KHOLIFAH</v>
      </c>
      <c r="J177" s="4" t="str">
        <f>IFERROR(__xludf.DUMMYFUNCTION("""COMPUTED_VALUE"""),"BANJARSARI RT 001 RW 006 BANJARMADU KARANGGENENG LAMONGAN")</f>
        <v>BANJARSARI RT 001 RW 006 BANJARMADU KARANGGENENG LAMONGAN</v>
      </c>
      <c r="K177" s="4" t="str">
        <f>IFERROR(__xludf.DUMMYFUNCTION("""COMPUTED_VALUE"""),"6283856332218")</f>
        <v>6283856332218</v>
      </c>
      <c r="L177" s="5">
        <f>IFERROR(__xludf.DUMMYFUNCTION("""COMPUTED_VALUE"""),8100000.0)</f>
        <v>8100000</v>
      </c>
      <c r="M177" s="5">
        <f>IFERROR(__xludf.DUMMYFUNCTION("""COMPUTED_VALUE"""),0.0)</f>
        <v>0</v>
      </c>
      <c r="N177" s="5">
        <f>IFERROR(__xludf.DUMMYFUNCTION("""COMPUTED_VALUE"""),350000.0)</f>
        <v>350000</v>
      </c>
      <c r="O177" s="5">
        <f>IFERROR(__xludf.DUMMYFUNCTION("""COMPUTED_VALUE"""),8450000.0)</f>
        <v>8450000</v>
      </c>
      <c r="P177" s="4"/>
      <c r="Q177" s="4"/>
      <c r="R177" s="4"/>
      <c r="S177" s="3" t="str">
        <f>IFERROR(__xludf.DUMMYFUNCTION("""COMPUTED_VALUE"""),"Belum Lunas")</f>
        <v>Belum Lunas</v>
      </c>
    </row>
    <row r="178">
      <c r="A178" s="3">
        <f t="shared" si="1"/>
        <v>177</v>
      </c>
      <c r="B178" s="4" t="str">
        <f>IFERROR(__xludf.DUMMYFUNCTION("""COMPUTED_VALUE"""),"NIA KRISNAWATI")</f>
        <v>NIA KRISNAWATI</v>
      </c>
      <c r="C178" s="3">
        <f>IFERROR(__xludf.DUMMYFUNCTION("""COMPUTED_VALUE"""),2.024070528E9)</f>
        <v>2024070528</v>
      </c>
      <c r="D178" s="3" t="str">
        <f>IFERROR(__xludf.DUMMYFUNCTION("""COMPUTED_VALUE"""),"C")</f>
        <v>C</v>
      </c>
      <c r="E178" s="3" t="str">
        <f>IFERROR(__xludf.DUMMYFUNCTION("""COMPUTED_VALUE"""),"C-12")</f>
        <v>C-12</v>
      </c>
      <c r="F178" s="3">
        <f>IFERROR(__xludf.DUMMYFUNCTION("""COMPUTED_VALUE"""),3.0)</f>
        <v>3</v>
      </c>
      <c r="G178" s="3" t="str">
        <f>IFERROR(__xludf.DUMMYFUNCTION("""COMPUTED_VALUE"""),"3 ULA B PUTRI")</f>
        <v>3 ULA B PUTRI</v>
      </c>
      <c r="H178" s="3" t="str">
        <f>IFERROR(__xludf.DUMMYFUNCTION("""COMPUTED_VALUE"""),"MTS-9 C")</f>
        <v>MTS-9 C</v>
      </c>
      <c r="I178" s="4" t="str">
        <f>IFERROR(__xludf.DUMMYFUNCTION("""COMPUTED_VALUE"""),"MAISUN")</f>
        <v>MAISUN</v>
      </c>
      <c r="J178" s="4" t="str">
        <f>IFERROR(__xludf.DUMMYFUNCTION("""COMPUTED_VALUE"""),"GAGAR SUKOBENDU RT 002 RW 001 MANTUP LAMONGAN")</f>
        <v>GAGAR SUKOBENDU RT 002 RW 001 MANTUP LAMONGAN</v>
      </c>
      <c r="K178" s="4" t="str">
        <f>IFERROR(__xludf.DUMMYFUNCTION("""COMPUTED_VALUE"""),"6281999644191")</f>
        <v>6281999644191</v>
      </c>
      <c r="L178" s="5">
        <f>IFERROR(__xludf.DUMMYFUNCTION("""COMPUTED_VALUE"""),7650000.0)</f>
        <v>7650000</v>
      </c>
      <c r="M178" s="5">
        <f>IFERROR(__xludf.DUMMYFUNCTION("""COMPUTED_VALUE"""),1000000.0)</f>
        <v>1000000</v>
      </c>
      <c r="N178" s="5">
        <f>IFERROR(__xludf.DUMMYFUNCTION("""COMPUTED_VALUE"""),350000.0)</f>
        <v>350000</v>
      </c>
      <c r="O178" s="5">
        <f>IFERROR(__xludf.DUMMYFUNCTION("""COMPUTED_VALUE"""),9000000.0)</f>
        <v>9000000</v>
      </c>
      <c r="P178" s="4"/>
      <c r="Q178" s="4"/>
      <c r="R178" s="4"/>
      <c r="S178" s="3" t="str">
        <f>IFERROR(__xludf.DUMMYFUNCTION("""COMPUTED_VALUE"""),"Belum Lunas")</f>
        <v>Belum Lunas</v>
      </c>
    </row>
    <row r="179">
      <c r="A179" s="3">
        <f t="shared" si="1"/>
        <v>178</v>
      </c>
      <c r="B179" s="4" t="str">
        <f>IFERROR(__xludf.DUMMYFUNCTION("""COMPUTED_VALUE"""),"PARAMITA ANGGRAINI")</f>
        <v>PARAMITA ANGGRAINI</v>
      </c>
      <c r="C179" s="3">
        <f>IFERROR(__xludf.DUMMYFUNCTION("""COMPUTED_VALUE"""),2.024070698E9)</f>
        <v>2024070698</v>
      </c>
      <c r="D179" s="3" t="str">
        <f>IFERROR(__xludf.DUMMYFUNCTION("""COMPUTED_VALUE"""),"B")</f>
        <v>B</v>
      </c>
      <c r="E179" s="3" t="str">
        <f>IFERROR(__xludf.DUMMYFUNCTION("""COMPUTED_VALUE"""),"B-4")</f>
        <v>B-4</v>
      </c>
      <c r="F179" s="3">
        <f>IFERROR(__xludf.DUMMYFUNCTION("""COMPUTED_VALUE"""),3.0)</f>
        <v>3</v>
      </c>
      <c r="G179" s="3" t="str">
        <f>IFERROR(__xludf.DUMMYFUNCTION("""COMPUTED_VALUE"""),"3 WUSTHO C PUTRI")</f>
        <v>3 WUSTHO C PUTRI</v>
      </c>
      <c r="H179" s="3" t="str">
        <f>IFERROR(__xludf.DUMMYFUNCTION("""COMPUTED_VALUE"""),"SMK-XII TKJ 2")</f>
        <v>SMK-XII TKJ 2</v>
      </c>
      <c r="I179" s="4" t="str">
        <f>IFERROR(__xludf.DUMMYFUNCTION("""COMPUTED_VALUE"""),"ISMIRA")</f>
        <v>ISMIRA</v>
      </c>
      <c r="J179" s="4" t="str">
        <f>IFERROR(__xludf.DUMMYFUNCTION("""COMPUTED_VALUE"""),"SEREN JATIPANDAK RT 005 RW 003 SAMBENG LAMONGAN")</f>
        <v>SEREN JATIPANDAK RT 005 RW 003 SAMBENG LAMONGAN</v>
      </c>
      <c r="K179" s="4" t="str">
        <f>IFERROR(__xludf.DUMMYFUNCTION("""COMPUTED_VALUE"""),"6285645123489")</f>
        <v>6285645123489</v>
      </c>
      <c r="L179" s="5">
        <f>IFERROR(__xludf.DUMMYFUNCTION("""COMPUTED_VALUE"""),7650000.0)</f>
        <v>7650000</v>
      </c>
      <c r="M179" s="5">
        <f>IFERROR(__xludf.DUMMYFUNCTION("""COMPUTED_VALUE"""),1000000.0)</f>
        <v>1000000</v>
      </c>
      <c r="N179" s="5">
        <f>IFERROR(__xludf.DUMMYFUNCTION("""COMPUTED_VALUE"""),350000.0)</f>
        <v>350000</v>
      </c>
      <c r="O179" s="5">
        <f>IFERROR(__xludf.DUMMYFUNCTION("""COMPUTED_VALUE"""),9000000.0)</f>
        <v>9000000</v>
      </c>
      <c r="P179" s="4"/>
      <c r="Q179" s="4"/>
      <c r="R179" s="4"/>
      <c r="S179" s="3" t="str">
        <f>IFERROR(__xludf.DUMMYFUNCTION("""COMPUTED_VALUE"""),"Belum Lunas")</f>
        <v>Belum Lunas</v>
      </c>
    </row>
    <row r="180">
      <c r="A180" s="3">
        <f t="shared" si="1"/>
        <v>179</v>
      </c>
      <c r="B180" s="4" t="str">
        <f>IFERROR(__xludf.DUMMYFUNCTION("""COMPUTED_VALUE"""),"KHUMAIRO FAUZIA")</f>
        <v>KHUMAIRO FAUZIA</v>
      </c>
      <c r="C180" s="3">
        <f>IFERROR(__xludf.DUMMYFUNCTION("""COMPUTED_VALUE"""),2.024070642E9)</f>
        <v>2024070642</v>
      </c>
      <c r="D180" s="3" t="str">
        <f>IFERROR(__xludf.DUMMYFUNCTION("""COMPUTED_VALUE"""),"B")</f>
        <v>B</v>
      </c>
      <c r="E180" s="3" t="str">
        <f>IFERROR(__xludf.DUMMYFUNCTION("""COMPUTED_VALUE"""),"B-9")</f>
        <v>B-9</v>
      </c>
      <c r="F180" s="3">
        <f>IFERROR(__xludf.DUMMYFUNCTION("""COMPUTED_VALUE"""),3.0)</f>
        <v>3</v>
      </c>
      <c r="G180" s="3" t="str">
        <f>IFERROR(__xludf.DUMMYFUNCTION("""COMPUTED_VALUE"""),"3 ULA C PUTRI")</f>
        <v>3 ULA C PUTRI</v>
      </c>
      <c r="H180" s="3" t="str">
        <f>IFERROR(__xludf.DUMMYFUNCTION("""COMPUTED_VALUE"""),"MTS-9 G")</f>
        <v>MTS-9 G</v>
      </c>
      <c r="I180" s="4" t="str">
        <f>IFERROR(__xludf.DUMMYFUNCTION("""COMPUTED_VALUE"""),"SITI MUFARROKHAH")</f>
        <v>SITI MUFARROKHAH</v>
      </c>
      <c r="J180" s="4" t="str">
        <f>IFERROR(__xludf.DUMMYFUNCTION("""COMPUTED_VALUE"""),"KESAMBI RT 002 RW 002 PUCUK LAMONGAN")</f>
        <v>KESAMBI RT 002 RW 002 PUCUK LAMONGAN</v>
      </c>
      <c r="K180" s="4" t="str">
        <f>IFERROR(__xludf.DUMMYFUNCTION("""COMPUTED_VALUE"""),"6281216463303")</f>
        <v>6281216463303</v>
      </c>
      <c r="L180" s="5">
        <f>IFERROR(__xludf.DUMMYFUNCTION("""COMPUTED_VALUE"""),8100000.0)</f>
        <v>8100000</v>
      </c>
      <c r="M180" s="5">
        <f>IFERROR(__xludf.DUMMYFUNCTION("""COMPUTED_VALUE"""),1000000.0)</f>
        <v>1000000</v>
      </c>
      <c r="N180" s="5">
        <f>IFERROR(__xludf.DUMMYFUNCTION("""COMPUTED_VALUE"""),350000.0)</f>
        <v>350000</v>
      </c>
      <c r="O180" s="5">
        <f>IFERROR(__xludf.DUMMYFUNCTION("""COMPUTED_VALUE"""),9450000.0)</f>
        <v>9450000</v>
      </c>
      <c r="P180" s="4"/>
      <c r="Q180" s="4"/>
      <c r="R180" s="4"/>
      <c r="S180" s="3" t="str">
        <f>IFERROR(__xludf.DUMMYFUNCTION("""COMPUTED_VALUE"""),"Belum Lunas")</f>
        <v>Belum Lunas</v>
      </c>
    </row>
    <row r="181">
      <c r="A181" s="3">
        <f t="shared" si="1"/>
        <v>180</v>
      </c>
      <c r="B181" s="4" t="str">
        <f>IFERROR(__xludf.DUMMYFUNCTION("""COMPUTED_VALUE"""),"MUHAMMAD IQBAL MAULANA PUTRA")</f>
        <v>MUHAMMAD IQBAL MAULANA PUTRA</v>
      </c>
      <c r="C181" s="3">
        <f>IFERROR(__xludf.DUMMYFUNCTION("""COMPUTED_VALUE"""),2.024070743E9)</f>
        <v>2024070743</v>
      </c>
      <c r="D181" s="3" t="str">
        <f>IFERROR(__xludf.DUMMYFUNCTION("""COMPUTED_VALUE"""),"A")</f>
        <v>A</v>
      </c>
      <c r="E181" s="3" t="str">
        <f>IFERROR(__xludf.DUMMYFUNCTION("""COMPUTED_VALUE"""),"A-8")</f>
        <v>A-8</v>
      </c>
      <c r="F181" s="3">
        <f>IFERROR(__xludf.DUMMYFUNCTION("""COMPUTED_VALUE"""),3.0)</f>
        <v>3</v>
      </c>
      <c r="G181" s="3" t="str">
        <f>IFERROR(__xludf.DUMMYFUNCTION("""COMPUTED_VALUE"""),"3 ULA B PUTRA")</f>
        <v>3 ULA B PUTRA</v>
      </c>
      <c r="H181" s="3" t="str">
        <f>IFERROR(__xludf.DUMMYFUNCTION("""COMPUTED_VALUE"""),"SMP-IX C")</f>
        <v>SMP-IX C</v>
      </c>
      <c r="I181" s="4" t="str">
        <f>IFERROR(__xludf.DUMMYFUNCTION("""COMPUTED_VALUE"""),"NIA MUSTIANA")</f>
        <v>NIA MUSTIANA</v>
      </c>
      <c r="J181" s="4" t="str">
        <f>IFERROR(__xludf.DUMMYFUNCTION("""COMPUTED_VALUE"""),"SUKLEN KETAPANGTELU RT 001 RW 004 KARANGBINANGUN LAMONGAN")</f>
        <v>SUKLEN KETAPANGTELU RT 001 RW 004 KARANGBINANGUN LAMONGAN</v>
      </c>
      <c r="K181" s="4" t="str">
        <f>IFERROR(__xludf.DUMMYFUNCTION("""COMPUTED_VALUE"""),"6285648971511")</f>
        <v>6285648971511</v>
      </c>
      <c r="L181" s="5">
        <f>IFERROR(__xludf.DUMMYFUNCTION("""COMPUTED_VALUE"""),8100000.0)</f>
        <v>8100000</v>
      </c>
      <c r="M181" s="5">
        <f>IFERROR(__xludf.DUMMYFUNCTION("""COMPUTED_VALUE"""),1600000.0)</f>
        <v>1600000</v>
      </c>
      <c r="N181" s="5">
        <f>IFERROR(__xludf.DUMMYFUNCTION("""COMPUTED_VALUE"""),0.0)</f>
        <v>0</v>
      </c>
      <c r="O181" s="5">
        <f>IFERROR(__xludf.DUMMYFUNCTION("""COMPUTED_VALUE"""),9700000.0)</f>
        <v>9700000</v>
      </c>
      <c r="P181" s="4"/>
      <c r="Q181" s="4"/>
      <c r="R181" s="4"/>
      <c r="S181" s="3" t="str">
        <f>IFERROR(__xludf.DUMMYFUNCTION("""COMPUTED_VALUE"""),"Belum Lunas")</f>
        <v>Belum Lunas</v>
      </c>
    </row>
    <row r="182">
      <c r="A182" s="3">
        <f t="shared" si="1"/>
        <v>181</v>
      </c>
      <c r="B182" s="4" t="str">
        <f>IFERROR(__xludf.DUMMYFUNCTION("""COMPUTED_VALUE"""),"AYUNDA KIRANA QURROTUL ISHAQIYYAH")</f>
        <v>AYUNDA KIRANA QURROTUL ISHAQIYYAH</v>
      </c>
      <c r="C182" s="3">
        <f>IFERROR(__xludf.DUMMYFUNCTION("""COMPUTED_VALUE"""),2.024070742E9)</f>
        <v>2024070742</v>
      </c>
      <c r="D182" s="3" t="str">
        <f>IFERROR(__xludf.DUMMYFUNCTION("""COMPUTED_VALUE"""),"B")</f>
        <v>B</v>
      </c>
      <c r="E182" s="3" t="str">
        <f>IFERROR(__xludf.DUMMYFUNCTION("""COMPUTED_VALUE"""),"B-10")</f>
        <v>B-10</v>
      </c>
      <c r="F182" s="3">
        <f>IFERROR(__xludf.DUMMYFUNCTION("""COMPUTED_VALUE"""),3.0)</f>
        <v>3</v>
      </c>
      <c r="G182" s="3" t="str">
        <f>IFERROR(__xludf.DUMMYFUNCTION("""COMPUTED_VALUE"""),"3 ULA A PUTRI")</f>
        <v>3 ULA A PUTRI</v>
      </c>
      <c r="H182" s="3" t="str">
        <f>IFERROR(__xludf.DUMMYFUNCTION("""COMPUTED_VALUE"""),"SMP-IX B")</f>
        <v>SMP-IX B</v>
      </c>
      <c r="I182" s="4" t="str">
        <f>IFERROR(__xludf.DUMMYFUNCTION("""COMPUTED_VALUE"""),"ZUMAROH")</f>
        <v>ZUMAROH</v>
      </c>
      <c r="J182" s="4" t="str">
        <f>IFERROR(__xludf.DUMMYFUNCTION("""COMPUTED_VALUE"""),"PANGEAN RT 008 RW 002 MADURAN LAMONGAN")</f>
        <v>PANGEAN RT 008 RW 002 MADURAN LAMONGAN</v>
      </c>
      <c r="K182" s="4" t="str">
        <f>IFERROR(__xludf.DUMMYFUNCTION("""COMPUTED_VALUE"""),"6285648522402")</f>
        <v>6285648522402</v>
      </c>
      <c r="L182" s="5">
        <f>IFERROR(__xludf.DUMMYFUNCTION("""COMPUTED_VALUE"""),9000000.0)</f>
        <v>9000000</v>
      </c>
      <c r="M182" s="5">
        <f>IFERROR(__xludf.DUMMYFUNCTION("""COMPUTED_VALUE"""),1000000.0)</f>
        <v>1000000</v>
      </c>
      <c r="N182" s="5">
        <f>IFERROR(__xludf.DUMMYFUNCTION("""COMPUTED_VALUE"""),0.0)</f>
        <v>0</v>
      </c>
      <c r="O182" s="5">
        <f>IFERROR(__xludf.DUMMYFUNCTION("""COMPUTED_VALUE"""),1.0E7)</f>
        <v>10000000</v>
      </c>
      <c r="P182" s="4"/>
      <c r="Q182" s="4"/>
      <c r="R182" s="4"/>
      <c r="S182" s="3" t="str">
        <f>IFERROR(__xludf.DUMMYFUNCTION("""COMPUTED_VALUE"""),"Belum Lunas")</f>
        <v>Belum Lunas</v>
      </c>
    </row>
    <row r="183">
      <c r="A183" s="3">
        <f t="shared" si="1"/>
        <v>182</v>
      </c>
      <c r="B183" s="4" t="str">
        <f>IFERROR(__xludf.DUMMYFUNCTION("""COMPUTED_VALUE"""),"ISTHOFI NADA MILLAH")</f>
        <v>ISTHOFI NADA MILLAH</v>
      </c>
      <c r="C183" s="3">
        <f>IFERROR(__xludf.DUMMYFUNCTION("""COMPUTED_VALUE"""),2.024070011E9)</f>
        <v>2024070011</v>
      </c>
      <c r="D183" s="3" t="str">
        <f>IFERROR(__xludf.DUMMYFUNCTION("""COMPUTED_VALUE"""),"D")</f>
        <v>D</v>
      </c>
      <c r="E183" s="3" t="str">
        <f>IFERROR(__xludf.DUMMYFUNCTION("""COMPUTED_VALUE"""),"D-7")</f>
        <v>D-7</v>
      </c>
      <c r="F183" s="3">
        <f>IFERROR(__xludf.DUMMYFUNCTION("""COMPUTED_VALUE"""),3.0)</f>
        <v>3</v>
      </c>
      <c r="G183" s="3"/>
      <c r="H183" s="3" t="str">
        <f>IFERROR(__xludf.DUMMYFUNCTION("""COMPUTED_VALUE"""),"MA-XII.1")</f>
        <v>MA-XII.1</v>
      </c>
      <c r="I183" s="4" t="str">
        <f>IFERROR(__xludf.DUMMYFUNCTION("""COMPUTED_VALUE"""),"LILIS FAIZAH")</f>
        <v>LILIS FAIZAH</v>
      </c>
      <c r="J183" s="4" t="str">
        <f>IFERROR(__xludf.DUMMYFUNCTION("""COMPUTED_VALUE"""),"GAGAR TENGAH SUKOBENDU RT 3 RW 2 MANTUP LAMONGAN")</f>
        <v>GAGAR TENGAH SUKOBENDU RT 3 RW 2 MANTUP LAMONGAN</v>
      </c>
      <c r="K183" s="4" t="str">
        <f>IFERROR(__xludf.DUMMYFUNCTION("""COMPUTED_VALUE"""),"6285604642145")</f>
        <v>6285604642145</v>
      </c>
      <c r="L183" s="5">
        <f>IFERROR(__xludf.DUMMYFUNCTION("""COMPUTED_VALUE"""),1.08E7)</f>
        <v>10800000</v>
      </c>
      <c r="M183" s="5">
        <f>IFERROR(__xludf.DUMMYFUNCTION("""COMPUTED_VALUE"""),0.0)</f>
        <v>0</v>
      </c>
      <c r="N183" s="5">
        <f>IFERROR(__xludf.DUMMYFUNCTION("""COMPUTED_VALUE"""),350000.0)</f>
        <v>350000</v>
      </c>
      <c r="O183" s="5">
        <f>IFERROR(__xludf.DUMMYFUNCTION("""COMPUTED_VALUE"""),1.115E7)</f>
        <v>11150000</v>
      </c>
      <c r="P183" s="4"/>
      <c r="Q183" s="4"/>
      <c r="R183" s="4"/>
      <c r="S183" s="3" t="str">
        <f>IFERROR(__xludf.DUMMYFUNCTION("""COMPUTED_VALUE"""),"Belum Lunas")</f>
        <v>Belum Lunas</v>
      </c>
    </row>
    <row r="184">
      <c r="A184" s="3">
        <f t="shared" si="1"/>
        <v>183</v>
      </c>
      <c r="B184" s="4" t="str">
        <f>IFERROR(__xludf.DUMMYFUNCTION("""COMPUTED_VALUE"""),"ANGEL CYNTYA DEWI MAULIDAH")</f>
        <v>ANGEL CYNTYA DEWI MAULIDAH</v>
      </c>
      <c r="C184" s="3">
        <f>IFERROR(__xludf.DUMMYFUNCTION("""COMPUTED_VALUE"""),2.024070002E9)</f>
        <v>2024070002</v>
      </c>
      <c r="D184" s="3" t="str">
        <f>IFERROR(__xludf.DUMMYFUNCTION("""COMPUTED_VALUE"""),"D")</f>
        <v>D</v>
      </c>
      <c r="E184" s="3" t="str">
        <f>IFERROR(__xludf.DUMMYFUNCTION("""COMPUTED_VALUE"""),"D-7")</f>
        <v>D-7</v>
      </c>
      <c r="F184" s="3">
        <f>IFERROR(__xludf.DUMMYFUNCTION("""COMPUTED_VALUE"""),3.0)</f>
        <v>3</v>
      </c>
      <c r="G184" s="3"/>
      <c r="H184" s="3" t="str">
        <f>IFERROR(__xludf.DUMMYFUNCTION("""COMPUTED_VALUE"""),"MA-XII.1")</f>
        <v>MA-XII.1</v>
      </c>
      <c r="I184" s="4" t="str">
        <f>IFERROR(__xludf.DUMMYFUNCTION("""COMPUTED_VALUE"""),"NUR AFIFAH")</f>
        <v>NUR AFIFAH</v>
      </c>
      <c r="J184" s="4" t="str">
        <f>IFERROR(__xludf.DUMMYFUNCTION("""COMPUTED_VALUE"""),"PESAPEN I/27 KREMBANGAN UTARA RT 005 RW 001 PABEAN CANTIAN SURABAYA")</f>
        <v>PESAPEN I/27 KREMBANGAN UTARA RT 005 RW 001 PABEAN CANTIAN SURABAYA</v>
      </c>
      <c r="K184" s="4" t="str">
        <f>IFERROR(__xludf.DUMMYFUNCTION("""COMPUTED_VALUE"""),"6282140638884")</f>
        <v>6282140638884</v>
      </c>
      <c r="L184" s="5">
        <f>IFERROR(__xludf.DUMMYFUNCTION("""COMPUTED_VALUE"""),9900000.0)</f>
        <v>9900000</v>
      </c>
      <c r="M184" s="5">
        <f>IFERROR(__xludf.DUMMYFUNCTION("""COMPUTED_VALUE"""),1600000.0)</f>
        <v>1600000</v>
      </c>
      <c r="N184" s="5">
        <f>IFERROR(__xludf.DUMMYFUNCTION("""COMPUTED_VALUE"""),0.0)</f>
        <v>0</v>
      </c>
      <c r="O184" s="5">
        <f>IFERROR(__xludf.DUMMYFUNCTION("""COMPUTED_VALUE"""),1.15E7)</f>
        <v>11500000</v>
      </c>
      <c r="P184" s="4"/>
      <c r="Q184" s="4"/>
      <c r="R184" s="4"/>
      <c r="S184" s="3" t="str">
        <f>IFERROR(__xludf.DUMMYFUNCTION("""COMPUTED_VALUE"""),"Belum Lunas")</f>
        <v>Belum Lunas</v>
      </c>
    </row>
    <row r="185">
      <c r="A185" s="3">
        <f t="shared" si="1"/>
        <v>184</v>
      </c>
      <c r="B185" s="4" t="str">
        <f>IFERROR(__xludf.DUMMYFUNCTION("""COMPUTED_VALUE"""),"FIKA ANJANI CAMELIA AL AJEMAIN")</f>
        <v>FIKA ANJANI CAMELIA AL AJEMAIN</v>
      </c>
      <c r="C185" s="3">
        <f>IFERROR(__xludf.DUMMYFUNCTION("""COMPUTED_VALUE"""),2.024070007E9)</f>
        <v>2024070007</v>
      </c>
      <c r="D185" s="3" t="str">
        <f>IFERROR(__xludf.DUMMYFUNCTION("""COMPUTED_VALUE"""),"D")</f>
        <v>D</v>
      </c>
      <c r="E185" s="3" t="str">
        <f>IFERROR(__xludf.DUMMYFUNCTION("""COMPUTED_VALUE"""),"D-7")</f>
        <v>D-7</v>
      </c>
      <c r="F185" s="3">
        <f>IFERROR(__xludf.DUMMYFUNCTION("""COMPUTED_VALUE"""),3.0)</f>
        <v>3</v>
      </c>
      <c r="G185" s="3"/>
      <c r="H185" s="3" t="str">
        <f>IFERROR(__xludf.DUMMYFUNCTION("""COMPUTED_VALUE"""),"MA-XII.1")</f>
        <v>MA-XII.1</v>
      </c>
      <c r="I185" s="4" t="str">
        <f>IFERROR(__xludf.DUMMYFUNCTION("""COMPUTED_VALUE"""),"WIWIK MUHIDAYATI")</f>
        <v>WIWIK MUHIDAYATI</v>
      </c>
      <c r="J185" s="4" t="str">
        <f>IFERROR(__xludf.DUMMYFUNCTION("""COMPUTED_VALUE"""),"PELANGWOT RT 1 RW 6 LAREN LAMONGAN")</f>
        <v>PELANGWOT RT 1 RW 6 LAREN LAMONGAN</v>
      </c>
      <c r="K185" s="4" t="str">
        <f>IFERROR(__xludf.DUMMYFUNCTION("""COMPUTED_VALUE"""),"6281330367368")</f>
        <v>6281330367368</v>
      </c>
      <c r="L185" s="5">
        <f>IFERROR(__xludf.DUMMYFUNCTION("""COMPUTED_VALUE"""),1.08E7)</f>
        <v>10800000</v>
      </c>
      <c r="M185" s="5">
        <f>IFERROR(__xludf.DUMMYFUNCTION("""COMPUTED_VALUE"""),1600000.0)</f>
        <v>1600000</v>
      </c>
      <c r="N185" s="5">
        <f>IFERROR(__xludf.DUMMYFUNCTION("""COMPUTED_VALUE"""),0.0)</f>
        <v>0</v>
      </c>
      <c r="O185" s="5">
        <f>IFERROR(__xludf.DUMMYFUNCTION("""COMPUTED_VALUE"""),1.24E7)</f>
        <v>12400000</v>
      </c>
      <c r="P185" s="4"/>
      <c r="Q185" s="4"/>
      <c r="R185" s="4"/>
      <c r="S185" s="3" t="str">
        <f>IFERROR(__xludf.DUMMYFUNCTION("""COMPUTED_VALUE"""),"Belum Lunas")</f>
        <v>Belum Lunas</v>
      </c>
    </row>
    <row r="186">
      <c r="A186" s="3" t="str">
        <f t="shared" si="1"/>
        <v/>
      </c>
      <c r="C186" s="3"/>
      <c r="D186" s="3"/>
      <c r="E186" s="3"/>
      <c r="F186" s="3"/>
      <c r="G186" s="3"/>
      <c r="H186" s="3"/>
      <c r="S186" s="3"/>
    </row>
    <row r="187">
      <c r="A187" s="3" t="str">
        <f t="shared" si="1"/>
        <v/>
      </c>
      <c r="C187" s="3"/>
      <c r="D187" s="3"/>
      <c r="E187" s="3"/>
      <c r="F187" s="3"/>
      <c r="G187" s="3"/>
      <c r="H187" s="3"/>
      <c r="S187" s="3"/>
    </row>
    <row r="188">
      <c r="A188" s="3" t="str">
        <f t="shared" si="1"/>
        <v/>
      </c>
      <c r="C188" s="3"/>
      <c r="D188" s="3"/>
      <c r="E188" s="3"/>
      <c r="F188" s="3"/>
      <c r="G188" s="3"/>
      <c r="H188" s="3"/>
      <c r="S188" s="3"/>
    </row>
    <row r="189">
      <c r="A189" s="3" t="str">
        <f t="shared" si="1"/>
        <v/>
      </c>
      <c r="C189" s="3"/>
      <c r="D189" s="3"/>
      <c r="E189" s="3"/>
      <c r="F189" s="3"/>
      <c r="G189" s="3"/>
      <c r="H189" s="3"/>
      <c r="S189" s="3"/>
    </row>
    <row r="190">
      <c r="A190" s="3" t="str">
        <f t="shared" si="1"/>
        <v/>
      </c>
      <c r="C190" s="3"/>
      <c r="D190" s="3"/>
      <c r="E190" s="3"/>
      <c r="F190" s="3"/>
      <c r="G190" s="3"/>
      <c r="H190" s="3"/>
      <c r="S190" s="3"/>
    </row>
    <row r="191">
      <c r="A191" s="3" t="str">
        <f t="shared" si="1"/>
        <v/>
      </c>
      <c r="C191" s="3"/>
      <c r="D191" s="3"/>
      <c r="E191" s="3"/>
      <c r="F191" s="3"/>
      <c r="G191" s="3"/>
      <c r="H191" s="3"/>
      <c r="S191" s="3"/>
    </row>
    <row r="192">
      <c r="A192" s="3" t="str">
        <f t="shared" si="1"/>
        <v/>
      </c>
      <c r="C192" s="3"/>
      <c r="D192" s="3"/>
      <c r="E192" s="3"/>
      <c r="F192" s="3"/>
      <c r="G192" s="3"/>
      <c r="H192" s="3"/>
      <c r="S192" s="3"/>
    </row>
    <row r="193">
      <c r="A193" s="3" t="str">
        <f t="shared" si="1"/>
        <v/>
      </c>
      <c r="C193" s="3"/>
      <c r="D193" s="3"/>
      <c r="E193" s="3"/>
      <c r="F193" s="3"/>
      <c r="G193" s="3"/>
      <c r="H193" s="3"/>
      <c r="S193" s="3"/>
    </row>
    <row r="194">
      <c r="A194" s="3" t="str">
        <f t="shared" si="1"/>
        <v/>
      </c>
      <c r="C194" s="3"/>
      <c r="D194" s="3"/>
      <c r="E194" s="3"/>
      <c r="F194" s="3"/>
      <c r="G194" s="3"/>
      <c r="H194" s="3"/>
      <c r="S194" s="3"/>
    </row>
    <row r="195">
      <c r="A195" s="3" t="str">
        <f t="shared" si="1"/>
        <v/>
      </c>
      <c r="C195" s="3"/>
      <c r="D195" s="3"/>
      <c r="E195" s="3"/>
      <c r="F195" s="3"/>
      <c r="G195" s="3"/>
      <c r="H195" s="3"/>
      <c r="S195" s="3"/>
    </row>
    <row r="196">
      <c r="A196" s="3" t="str">
        <f t="shared" si="1"/>
        <v/>
      </c>
      <c r="C196" s="3"/>
      <c r="D196" s="3"/>
      <c r="E196" s="3"/>
      <c r="F196" s="3"/>
      <c r="G196" s="3"/>
      <c r="H196" s="3"/>
      <c r="S196" s="3"/>
    </row>
    <row r="197">
      <c r="A197" s="3" t="str">
        <f t="shared" si="1"/>
        <v/>
      </c>
      <c r="C197" s="3"/>
      <c r="D197" s="3"/>
      <c r="E197" s="3"/>
      <c r="F197" s="3"/>
      <c r="G197" s="3"/>
      <c r="H197" s="3"/>
      <c r="S197" s="3"/>
    </row>
    <row r="198">
      <c r="A198" s="3" t="str">
        <f t="shared" si="1"/>
        <v/>
      </c>
      <c r="C198" s="3"/>
      <c r="D198" s="3"/>
      <c r="E198" s="3"/>
      <c r="F198" s="3"/>
      <c r="G198" s="3"/>
      <c r="H198" s="3"/>
      <c r="S198" s="3"/>
    </row>
    <row r="199">
      <c r="A199" s="3" t="str">
        <f t="shared" si="1"/>
        <v/>
      </c>
      <c r="C199" s="3"/>
      <c r="D199" s="3"/>
      <c r="E199" s="3"/>
      <c r="F199" s="3"/>
      <c r="G199" s="3"/>
      <c r="H199" s="3"/>
      <c r="S199" s="3"/>
    </row>
    <row r="200">
      <c r="A200" s="3" t="str">
        <f t="shared" si="1"/>
        <v/>
      </c>
      <c r="C200" s="3"/>
      <c r="D200" s="3"/>
      <c r="E200" s="3"/>
      <c r="F200" s="3"/>
      <c r="G200" s="3"/>
      <c r="H200" s="3"/>
      <c r="S200" s="3"/>
    </row>
    <row r="201">
      <c r="A201" s="3" t="str">
        <f t="shared" si="1"/>
        <v/>
      </c>
      <c r="C201" s="3"/>
      <c r="D201" s="3"/>
      <c r="E201" s="3"/>
      <c r="F201" s="3"/>
      <c r="G201" s="3"/>
      <c r="H201" s="3"/>
      <c r="S201" s="3"/>
    </row>
    <row r="202">
      <c r="A202" s="3" t="str">
        <f t="shared" si="1"/>
        <v/>
      </c>
      <c r="C202" s="3"/>
      <c r="D202" s="3"/>
      <c r="E202" s="3"/>
      <c r="F202" s="3"/>
      <c r="G202" s="3"/>
      <c r="H202" s="3"/>
      <c r="S202" s="3"/>
    </row>
    <row r="203">
      <c r="A203" s="3" t="str">
        <f t="shared" si="1"/>
        <v/>
      </c>
      <c r="C203" s="3"/>
      <c r="D203" s="3"/>
      <c r="E203" s="3"/>
      <c r="F203" s="3"/>
      <c r="G203" s="3"/>
      <c r="H203" s="3"/>
      <c r="S203" s="3"/>
    </row>
    <row r="204">
      <c r="A204" s="3" t="str">
        <f t="shared" si="1"/>
        <v/>
      </c>
      <c r="C204" s="3"/>
      <c r="D204" s="3"/>
      <c r="E204" s="3"/>
      <c r="F204" s="3"/>
      <c r="G204" s="3"/>
      <c r="H204" s="3"/>
      <c r="S204" s="3"/>
    </row>
    <row r="205">
      <c r="A205" s="3" t="str">
        <f t="shared" si="1"/>
        <v/>
      </c>
      <c r="C205" s="3"/>
      <c r="D205" s="3"/>
      <c r="E205" s="3"/>
      <c r="F205" s="3"/>
      <c r="G205" s="3"/>
      <c r="H205" s="3"/>
      <c r="S205" s="3"/>
    </row>
    <row r="206">
      <c r="A206" s="3" t="str">
        <f t="shared" si="1"/>
        <v/>
      </c>
      <c r="C206" s="3"/>
      <c r="D206" s="3"/>
      <c r="E206" s="3"/>
      <c r="F206" s="3"/>
      <c r="G206" s="3"/>
      <c r="H206" s="3"/>
      <c r="S206" s="3"/>
    </row>
    <row r="207">
      <c r="A207" s="3" t="str">
        <f t="shared" si="1"/>
        <v/>
      </c>
      <c r="C207" s="3"/>
      <c r="D207" s="3"/>
      <c r="E207" s="3"/>
      <c r="F207" s="3"/>
      <c r="G207" s="3"/>
      <c r="H207" s="3"/>
      <c r="S207" s="3"/>
    </row>
    <row r="208">
      <c r="A208" s="3" t="str">
        <f t="shared" si="1"/>
        <v/>
      </c>
      <c r="C208" s="3"/>
      <c r="D208" s="3"/>
      <c r="E208" s="3"/>
      <c r="F208" s="3"/>
      <c r="G208" s="3"/>
      <c r="H208" s="3"/>
      <c r="S208" s="3"/>
    </row>
    <row r="209">
      <c r="A209" s="3" t="str">
        <f t="shared" si="1"/>
        <v/>
      </c>
      <c r="C209" s="3"/>
      <c r="D209" s="3"/>
      <c r="E209" s="3"/>
      <c r="F209" s="3"/>
      <c r="G209" s="3"/>
      <c r="H209" s="3"/>
      <c r="S209" s="3"/>
    </row>
    <row r="210">
      <c r="A210" s="3" t="str">
        <f t="shared" si="1"/>
        <v/>
      </c>
      <c r="C210" s="3"/>
      <c r="D210" s="3"/>
      <c r="E210" s="3"/>
      <c r="F210" s="3"/>
      <c r="G210" s="3"/>
      <c r="H210" s="3"/>
      <c r="S210" s="3"/>
    </row>
    <row r="211">
      <c r="A211" s="3" t="str">
        <f t="shared" si="1"/>
        <v/>
      </c>
      <c r="C211" s="3"/>
      <c r="D211" s="3"/>
      <c r="E211" s="3"/>
      <c r="F211" s="3"/>
      <c r="G211" s="3"/>
      <c r="H211" s="3"/>
      <c r="S211" s="3"/>
    </row>
    <row r="212">
      <c r="A212" s="3" t="str">
        <f t="shared" si="1"/>
        <v/>
      </c>
      <c r="C212" s="3"/>
      <c r="D212" s="3"/>
      <c r="E212" s="3"/>
      <c r="F212" s="3"/>
      <c r="G212" s="3"/>
      <c r="H212" s="3"/>
      <c r="S212" s="3"/>
    </row>
    <row r="213">
      <c r="A213" s="3" t="str">
        <f t="shared" si="1"/>
        <v/>
      </c>
      <c r="C213" s="3"/>
      <c r="D213" s="3"/>
      <c r="E213" s="3"/>
      <c r="F213" s="3"/>
      <c r="G213" s="3"/>
      <c r="H213" s="3"/>
      <c r="S213" s="3"/>
    </row>
    <row r="214">
      <c r="A214" s="3" t="str">
        <f t="shared" si="1"/>
        <v/>
      </c>
      <c r="C214" s="3"/>
      <c r="D214" s="3"/>
      <c r="E214" s="3"/>
      <c r="F214" s="3"/>
      <c r="G214" s="3"/>
      <c r="H214" s="3"/>
      <c r="S214" s="3"/>
    </row>
    <row r="215">
      <c r="A215" s="3" t="str">
        <f t="shared" si="1"/>
        <v/>
      </c>
      <c r="C215" s="3"/>
      <c r="D215" s="3"/>
      <c r="E215" s="3"/>
      <c r="F215" s="3"/>
      <c r="G215" s="3"/>
      <c r="H215" s="3"/>
      <c r="S215" s="3"/>
    </row>
    <row r="216">
      <c r="A216" s="3" t="str">
        <f t="shared" si="1"/>
        <v/>
      </c>
      <c r="C216" s="3"/>
      <c r="D216" s="3"/>
      <c r="E216" s="3"/>
      <c r="F216" s="3"/>
      <c r="G216" s="3"/>
      <c r="H216" s="3"/>
      <c r="S216" s="3"/>
    </row>
    <row r="217">
      <c r="A217" s="3" t="str">
        <f t="shared" si="1"/>
        <v/>
      </c>
      <c r="C217" s="3"/>
      <c r="D217" s="3"/>
      <c r="E217" s="3"/>
      <c r="F217" s="3"/>
      <c r="G217" s="3"/>
      <c r="H217" s="3"/>
      <c r="S217" s="3"/>
    </row>
    <row r="218">
      <c r="A218" s="3" t="str">
        <f t="shared" si="1"/>
        <v/>
      </c>
      <c r="C218" s="3"/>
      <c r="D218" s="3"/>
      <c r="E218" s="3"/>
      <c r="F218" s="3"/>
      <c r="G218" s="3"/>
      <c r="H218" s="3"/>
      <c r="S218" s="3"/>
    </row>
    <row r="219">
      <c r="A219" s="3" t="str">
        <f t="shared" si="1"/>
        <v/>
      </c>
      <c r="C219" s="3"/>
      <c r="D219" s="3"/>
      <c r="E219" s="3"/>
      <c r="F219" s="3"/>
      <c r="G219" s="3"/>
      <c r="H219" s="3"/>
      <c r="S219" s="3"/>
    </row>
    <row r="220">
      <c r="A220" s="3" t="str">
        <f t="shared" si="1"/>
        <v/>
      </c>
      <c r="C220" s="3"/>
      <c r="D220" s="3"/>
      <c r="E220" s="3"/>
      <c r="F220" s="3"/>
      <c r="G220" s="3"/>
      <c r="H220" s="3"/>
      <c r="S220" s="3"/>
    </row>
    <row r="221">
      <c r="A221" s="3" t="str">
        <f t="shared" si="1"/>
        <v/>
      </c>
      <c r="C221" s="3"/>
      <c r="D221" s="3"/>
      <c r="E221" s="3"/>
      <c r="F221" s="3"/>
      <c r="G221" s="3"/>
      <c r="H221" s="3"/>
      <c r="S221" s="3"/>
    </row>
    <row r="222">
      <c r="A222" s="3" t="str">
        <f t="shared" si="1"/>
        <v/>
      </c>
      <c r="C222" s="3"/>
      <c r="D222" s="3"/>
      <c r="E222" s="3"/>
      <c r="F222" s="3"/>
      <c r="G222" s="3"/>
      <c r="H222" s="3"/>
      <c r="S222" s="3"/>
    </row>
    <row r="223">
      <c r="A223" s="3" t="str">
        <f t="shared" si="1"/>
        <v/>
      </c>
      <c r="C223" s="3"/>
      <c r="D223" s="3"/>
      <c r="E223" s="3"/>
      <c r="F223" s="3"/>
      <c r="G223" s="3"/>
      <c r="H223" s="3"/>
      <c r="S223" s="3"/>
    </row>
    <row r="224">
      <c r="A224" s="3" t="str">
        <f t="shared" si="1"/>
        <v/>
      </c>
      <c r="C224" s="3"/>
      <c r="D224" s="3"/>
      <c r="E224" s="3"/>
      <c r="F224" s="3"/>
      <c r="G224" s="3"/>
      <c r="H224" s="3"/>
      <c r="S224" s="3"/>
    </row>
    <row r="225">
      <c r="A225" s="3" t="str">
        <f t="shared" si="1"/>
        <v/>
      </c>
      <c r="C225" s="3"/>
      <c r="D225" s="3"/>
      <c r="E225" s="3"/>
      <c r="F225" s="3"/>
      <c r="G225" s="3"/>
      <c r="H225" s="3"/>
      <c r="S225" s="3"/>
    </row>
    <row r="226">
      <c r="A226" s="3" t="str">
        <f t="shared" si="1"/>
        <v/>
      </c>
      <c r="C226" s="3"/>
      <c r="D226" s="3"/>
      <c r="E226" s="3"/>
      <c r="F226" s="3"/>
      <c r="G226" s="3"/>
      <c r="H226" s="3"/>
      <c r="S226" s="3"/>
    </row>
    <row r="227">
      <c r="A227" s="3" t="str">
        <f t="shared" si="1"/>
        <v/>
      </c>
      <c r="C227" s="3"/>
      <c r="D227" s="3"/>
      <c r="E227" s="3"/>
      <c r="F227" s="3"/>
      <c r="G227" s="3"/>
      <c r="H227" s="3"/>
      <c r="S227" s="3"/>
    </row>
    <row r="228">
      <c r="A228" s="3" t="str">
        <f t="shared" si="1"/>
        <v/>
      </c>
      <c r="C228" s="3"/>
      <c r="D228" s="3"/>
      <c r="E228" s="3"/>
      <c r="F228" s="3"/>
      <c r="G228" s="3"/>
      <c r="H228" s="3"/>
      <c r="S228" s="3"/>
    </row>
    <row r="229">
      <c r="A229" s="3" t="str">
        <f t="shared" si="1"/>
        <v/>
      </c>
      <c r="C229" s="3"/>
      <c r="D229" s="3"/>
      <c r="E229" s="3"/>
      <c r="F229" s="3"/>
      <c r="G229" s="3"/>
      <c r="H229" s="3"/>
      <c r="S229" s="3"/>
    </row>
    <row r="230">
      <c r="A230" s="3" t="str">
        <f t="shared" si="1"/>
        <v/>
      </c>
      <c r="C230" s="3"/>
      <c r="D230" s="3"/>
      <c r="E230" s="3"/>
      <c r="F230" s="3"/>
      <c r="G230" s="3"/>
      <c r="H230" s="3"/>
      <c r="S230" s="3"/>
    </row>
    <row r="231">
      <c r="A231" s="3" t="str">
        <f t="shared" si="1"/>
        <v/>
      </c>
      <c r="C231" s="3"/>
      <c r="D231" s="3"/>
      <c r="E231" s="3"/>
      <c r="F231" s="3"/>
      <c r="G231" s="3"/>
      <c r="H231" s="3"/>
      <c r="S231" s="3"/>
    </row>
    <row r="232">
      <c r="A232" s="3" t="str">
        <f t="shared" si="1"/>
        <v/>
      </c>
      <c r="C232" s="3"/>
      <c r="D232" s="3"/>
      <c r="E232" s="3"/>
      <c r="F232" s="3"/>
      <c r="G232" s="3"/>
      <c r="H232" s="3"/>
      <c r="S232" s="3"/>
    </row>
    <row r="233">
      <c r="A233" s="3" t="str">
        <f t="shared" si="1"/>
        <v/>
      </c>
      <c r="C233" s="3"/>
      <c r="D233" s="3"/>
      <c r="E233" s="3"/>
      <c r="F233" s="3"/>
      <c r="G233" s="3"/>
      <c r="H233" s="3"/>
      <c r="S233" s="3"/>
    </row>
    <row r="234">
      <c r="A234" s="3" t="str">
        <f t="shared" si="1"/>
        <v/>
      </c>
      <c r="C234" s="3"/>
      <c r="D234" s="3"/>
      <c r="E234" s="3"/>
      <c r="F234" s="3"/>
      <c r="G234" s="3"/>
      <c r="H234" s="3"/>
      <c r="S234" s="3"/>
    </row>
    <row r="235">
      <c r="A235" s="3" t="str">
        <f t="shared" si="1"/>
        <v/>
      </c>
      <c r="C235" s="3"/>
      <c r="D235" s="3"/>
      <c r="E235" s="3"/>
      <c r="F235" s="3"/>
      <c r="G235" s="3"/>
      <c r="H235" s="3"/>
      <c r="S235" s="3"/>
    </row>
    <row r="236">
      <c r="A236" s="3" t="str">
        <f t="shared" si="1"/>
        <v/>
      </c>
      <c r="C236" s="3"/>
      <c r="D236" s="3"/>
      <c r="E236" s="3"/>
      <c r="F236" s="3"/>
      <c r="G236" s="3"/>
      <c r="H236" s="3"/>
      <c r="S236" s="3"/>
    </row>
    <row r="237">
      <c r="A237" s="3" t="str">
        <f t="shared" si="1"/>
        <v/>
      </c>
      <c r="C237" s="3"/>
      <c r="D237" s="3"/>
      <c r="E237" s="3"/>
      <c r="F237" s="3"/>
      <c r="G237" s="3"/>
      <c r="H237" s="3"/>
      <c r="S237" s="3"/>
    </row>
    <row r="238">
      <c r="A238" s="3" t="str">
        <f t="shared" si="1"/>
        <v/>
      </c>
      <c r="C238" s="3"/>
      <c r="D238" s="3"/>
      <c r="E238" s="3"/>
      <c r="F238" s="3"/>
      <c r="G238" s="3"/>
      <c r="H238" s="3"/>
      <c r="S238" s="3"/>
    </row>
    <row r="239">
      <c r="A239" s="3" t="str">
        <f t="shared" si="1"/>
        <v/>
      </c>
      <c r="C239" s="3"/>
      <c r="D239" s="3"/>
      <c r="E239" s="3"/>
      <c r="F239" s="3"/>
      <c r="G239" s="3"/>
      <c r="H239" s="3"/>
      <c r="S239" s="3"/>
    </row>
    <row r="240">
      <c r="A240" s="3" t="str">
        <f t="shared" si="1"/>
        <v/>
      </c>
      <c r="C240" s="3"/>
      <c r="D240" s="3"/>
      <c r="E240" s="3"/>
      <c r="F240" s="3"/>
      <c r="G240" s="3"/>
      <c r="H240" s="3"/>
      <c r="S240" s="3"/>
    </row>
    <row r="241">
      <c r="A241" s="3" t="str">
        <f t="shared" si="1"/>
        <v/>
      </c>
      <c r="C241" s="3"/>
      <c r="D241" s="3"/>
      <c r="E241" s="3"/>
      <c r="F241" s="3"/>
      <c r="G241" s="3"/>
      <c r="H241" s="3"/>
      <c r="S241" s="3"/>
    </row>
    <row r="242">
      <c r="A242" s="3" t="str">
        <f t="shared" si="1"/>
        <v/>
      </c>
      <c r="C242" s="3"/>
      <c r="D242" s="3"/>
      <c r="E242" s="3"/>
      <c r="F242" s="3"/>
      <c r="G242" s="3"/>
      <c r="H242" s="3"/>
      <c r="S242" s="3"/>
    </row>
    <row r="243">
      <c r="A243" s="3" t="str">
        <f t="shared" si="1"/>
        <v/>
      </c>
      <c r="C243" s="3"/>
      <c r="D243" s="3"/>
      <c r="E243" s="3"/>
      <c r="F243" s="3"/>
      <c r="G243" s="3"/>
      <c r="H243" s="3"/>
      <c r="S243" s="3"/>
    </row>
    <row r="244">
      <c r="A244" s="3" t="str">
        <f t="shared" si="1"/>
        <v/>
      </c>
      <c r="C244" s="3"/>
      <c r="D244" s="3"/>
      <c r="E244" s="3"/>
      <c r="F244" s="3"/>
      <c r="G244" s="3"/>
      <c r="H244" s="3"/>
      <c r="S244" s="3"/>
    </row>
    <row r="245">
      <c r="A245" s="3" t="str">
        <f t="shared" si="1"/>
        <v/>
      </c>
      <c r="C245" s="3"/>
      <c r="D245" s="3"/>
      <c r="E245" s="3"/>
      <c r="F245" s="3"/>
      <c r="G245" s="3"/>
      <c r="H245" s="3"/>
      <c r="S245" s="3"/>
    </row>
    <row r="246">
      <c r="A246" s="3" t="str">
        <f t="shared" si="1"/>
        <v/>
      </c>
      <c r="C246" s="3"/>
      <c r="D246" s="3"/>
      <c r="E246" s="3"/>
      <c r="F246" s="3"/>
      <c r="G246" s="3"/>
      <c r="H246" s="3"/>
      <c r="S246" s="3"/>
    </row>
    <row r="247">
      <c r="A247" s="3" t="str">
        <f t="shared" si="1"/>
        <v/>
      </c>
      <c r="C247" s="3"/>
      <c r="D247" s="3"/>
      <c r="E247" s="3"/>
      <c r="F247" s="3"/>
      <c r="G247" s="3"/>
      <c r="H247" s="3"/>
      <c r="S247" s="3"/>
    </row>
    <row r="248">
      <c r="A248" s="3" t="str">
        <f t="shared" si="1"/>
        <v/>
      </c>
      <c r="C248" s="3"/>
      <c r="D248" s="3"/>
      <c r="E248" s="3"/>
      <c r="F248" s="3"/>
      <c r="G248" s="3"/>
      <c r="H248" s="3"/>
      <c r="S248" s="3"/>
    </row>
    <row r="249">
      <c r="A249" s="3" t="str">
        <f t="shared" si="1"/>
        <v/>
      </c>
      <c r="C249" s="3"/>
      <c r="D249" s="3"/>
      <c r="E249" s="3"/>
      <c r="F249" s="3"/>
      <c r="G249" s="3"/>
      <c r="H249" s="3"/>
      <c r="S249" s="3"/>
    </row>
    <row r="250">
      <c r="A250" s="3" t="str">
        <f t="shared" si="1"/>
        <v/>
      </c>
      <c r="C250" s="3"/>
      <c r="D250" s="3"/>
      <c r="E250" s="3"/>
      <c r="F250" s="3"/>
      <c r="G250" s="3"/>
      <c r="H250" s="3"/>
      <c r="S250" s="3"/>
    </row>
    <row r="251">
      <c r="A251" s="3" t="str">
        <f t="shared" si="1"/>
        <v/>
      </c>
      <c r="C251" s="3"/>
      <c r="D251" s="3"/>
      <c r="E251" s="3"/>
      <c r="F251" s="3"/>
      <c r="G251" s="3"/>
      <c r="H251" s="3"/>
      <c r="S251" s="3"/>
    </row>
    <row r="252">
      <c r="A252" s="3" t="str">
        <f t="shared" si="1"/>
        <v/>
      </c>
      <c r="C252" s="3"/>
      <c r="D252" s="3"/>
      <c r="E252" s="3"/>
      <c r="F252" s="3"/>
      <c r="G252" s="3"/>
      <c r="H252" s="3"/>
      <c r="S252" s="3"/>
    </row>
    <row r="253">
      <c r="A253" s="3" t="str">
        <f t="shared" si="1"/>
        <v/>
      </c>
      <c r="C253" s="3"/>
      <c r="D253" s="3"/>
      <c r="E253" s="3"/>
      <c r="F253" s="3"/>
      <c r="G253" s="3"/>
      <c r="H253" s="3"/>
      <c r="S253" s="3"/>
    </row>
    <row r="254">
      <c r="A254" s="3" t="str">
        <f t="shared" si="1"/>
        <v/>
      </c>
      <c r="C254" s="3"/>
      <c r="D254" s="3"/>
      <c r="E254" s="3"/>
      <c r="F254" s="3"/>
      <c r="G254" s="3"/>
      <c r="H254" s="3"/>
      <c r="S254" s="3"/>
    </row>
    <row r="255">
      <c r="A255" s="3" t="str">
        <f t="shared" si="1"/>
        <v/>
      </c>
      <c r="C255" s="3"/>
      <c r="D255" s="3"/>
      <c r="E255" s="3"/>
      <c r="F255" s="3"/>
      <c r="G255" s="3"/>
      <c r="H255" s="3"/>
      <c r="S255" s="3"/>
    </row>
    <row r="256">
      <c r="A256" s="3" t="str">
        <f t="shared" si="1"/>
        <v/>
      </c>
      <c r="C256" s="3"/>
      <c r="D256" s="3"/>
      <c r="E256" s="3"/>
      <c r="F256" s="3"/>
      <c r="G256" s="3"/>
      <c r="H256" s="3"/>
      <c r="S256" s="3"/>
    </row>
    <row r="257">
      <c r="A257" s="3" t="str">
        <f t="shared" si="1"/>
        <v/>
      </c>
      <c r="C257" s="3"/>
      <c r="D257" s="3"/>
      <c r="E257" s="3"/>
      <c r="F257" s="3"/>
      <c r="G257" s="3"/>
      <c r="H257" s="3"/>
      <c r="S257" s="3"/>
    </row>
    <row r="258">
      <c r="A258" s="3" t="str">
        <f t="shared" si="1"/>
        <v/>
      </c>
      <c r="C258" s="3"/>
      <c r="D258" s="3"/>
      <c r="E258" s="3"/>
      <c r="F258" s="3"/>
      <c r="G258" s="3"/>
      <c r="H258" s="3"/>
      <c r="S258" s="3"/>
    </row>
    <row r="259">
      <c r="A259" s="3" t="str">
        <f t="shared" si="1"/>
        <v/>
      </c>
      <c r="C259" s="3"/>
      <c r="D259" s="3"/>
      <c r="E259" s="3"/>
      <c r="F259" s="3"/>
      <c r="G259" s="3"/>
      <c r="H259" s="3"/>
      <c r="S259" s="3"/>
    </row>
    <row r="260">
      <c r="A260" s="3" t="str">
        <f t="shared" si="1"/>
        <v/>
      </c>
      <c r="C260" s="3"/>
      <c r="D260" s="3"/>
      <c r="E260" s="3"/>
      <c r="F260" s="3"/>
      <c r="G260" s="3"/>
      <c r="H260" s="3"/>
      <c r="S260" s="3"/>
    </row>
    <row r="261">
      <c r="A261" s="3" t="str">
        <f t="shared" si="1"/>
        <v/>
      </c>
      <c r="C261" s="3"/>
      <c r="D261" s="3"/>
      <c r="E261" s="3"/>
      <c r="F261" s="3"/>
      <c r="G261" s="3"/>
      <c r="H261" s="3"/>
      <c r="S261" s="3"/>
    </row>
    <row r="262">
      <c r="A262" s="3" t="str">
        <f t="shared" si="1"/>
        <v/>
      </c>
      <c r="C262" s="3"/>
      <c r="D262" s="3"/>
      <c r="E262" s="3"/>
      <c r="F262" s="3"/>
      <c r="G262" s="3"/>
      <c r="H262" s="3"/>
      <c r="S262" s="3"/>
    </row>
    <row r="263">
      <c r="A263" s="3" t="str">
        <f t="shared" si="1"/>
        <v/>
      </c>
      <c r="C263" s="3"/>
      <c r="D263" s="3"/>
      <c r="E263" s="3"/>
      <c r="F263" s="3"/>
      <c r="G263" s="3"/>
      <c r="H263" s="3"/>
      <c r="S263" s="3"/>
    </row>
    <row r="264">
      <c r="A264" s="3" t="str">
        <f t="shared" si="1"/>
        <v/>
      </c>
      <c r="C264" s="3"/>
      <c r="D264" s="3"/>
      <c r="E264" s="3"/>
      <c r="F264" s="3"/>
      <c r="G264" s="3"/>
      <c r="H264" s="3"/>
      <c r="S264" s="3"/>
    </row>
    <row r="265">
      <c r="A265" s="3" t="str">
        <f t="shared" si="1"/>
        <v/>
      </c>
      <c r="C265" s="3"/>
      <c r="D265" s="3"/>
      <c r="E265" s="3"/>
      <c r="F265" s="3"/>
      <c r="G265" s="3"/>
      <c r="H265" s="3"/>
      <c r="S265" s="3"/>
    </row>
    <row r="266">
      <c r="A266" s="3" t="str">
        <f t="shared" si="1"/>
        <v/>
      </c>
      <c r="C266" s="3"/>
      <c r="D266" s="3"/>
      <c r="E266" s="3"/>
      <c r="F266" s="3"/>
      <c r="G266" s="3"/>
      <c r="H266" s="3"/>
      <c r="S266" s="3"/>
    </row>
    <row r="267">
      <c r="A267" s="3" t="str">
        <f t="shared" si="1"/>
        <v/>
      </c>
      <c r="C267" s="3"/>
      <c r="D267" s="3"/>
      <c r="E267" s="3"/>
      <c r="F267" s="3"/>
      <c r="G267" s="3"/>
      <c r="H267" s="3"/>
      <c r="S267" s="3"/>
    </row>
    <row r="268">
      <c r="A268" s="3" t="str">
        <f t="shared" si="1"/>
        <v/>
      </c>
      <c r="C268" s="3"/>
      <c r="D268" s="3"/>
      <c r="E268" s="3"/>
      <c r="F268" s="3"/>
      <c r="G268" s="3"/>
      <c r="H268" s="3"/>
      <c r="S268" s="3"/>
    </row>
    <row r="269">
      <c r="A269" s="3" t="str">
        <f t="shared" si="1"/>
        <v/>
      </c>
      <c r="C269" s="3"/>
      <c r="D269" s="3"/>
      <c r="E269" s="3"/>
      <c r="F269" s="3"/>
      <c r="G269" s="3"/>
      <c r="H269" s="3"/>
      <c r="S269" s="3"/>
    </row>
    <row r="270">
      <c r="A270" s="3" t="str">
        <f t="shared" si="1"/>
        <v/>
      </c>
      <c r="C270" s="3"/>
      <c r="D270" s="3"/>
      <c r="E270" s="3"/>
      <c r="F270" s="3"/>
      <c r="G270" s="3"/>
      <c r="H270" s="3"/>
      <c r="S270" s="3"/>
    </row>
    <row r="271">
      <c r="A271" s="3" t="str">
        <f t="shared" si="1"/>
        <v/>
      </c>
      <c r="C271" s="3"/>
      <c r="D271" s="3"/>
      <c r="E271" s="3"/>
      <c r="F271" s="3"/>
      <c r="G271" s="3"/>
      <c r="H271" s="3"/>
      <c r="S271" s="3"/>
    </row>
    <row r="272">
      <c r="A272" s="3" t="str">
        <f t="shared" si="1"/>
        <v/>
      </c>
      <c r="C272" s="3"/>
      <c r="D272" s="3"/>
      <c r="E272" s="3"/>
      <c r="F272" s="3"/>
      <c r="G272" s="3"/>
      <c r="H272" s="3"/>
      <c r="S272" s="3"/>
    </row>
    <row r="273">
      <c r="A273" s="3" t="str">
        <f t="shared" si="1"/>
        <v/>
      </c>
      <c r="C273" s="3"/>
      <c r="D273" s="3"/>
      <c r="E273" s="3"/>
      <c r="F273" s="3"/>
      <c r="G273" s="3"/>
      <c r="H273" s="3"/>
      <c r="S273" s="3"/>
    </row>
    <row r="274">
      <c r="A274" s="3" t="str">
        <f t="shared" si="1"/>
        <v/>
      </c>
      <c r="C274" s="3"/>
      <c r="D274" s="3"/>
      <c r="E274" s="3"/>
      <c r="F274" s="3"/>
      <c r="G274" s="3"/>
      <c r="H274" s="3"/>
      <c r="S274" s="3"/>
    </row>
    <row r="275">
      <c r="A275" s="3" t="str">
        <f t="shared" si="1"/>
        <v/>
      </c>
      <c r="C275" s="3"/>
      <c r="D275" s="3"/>
      <c r="E275" s="3"/>
      <c r="F275" s="3"/>
      <c r="G275" s="3"/>
      <c r="H275" s="3"/>
      <c r="S275" s="3"/>
    </row>
    <row r="276">
      <c r="A276" s="3" t="str">
        <f t="shared" si="1"/>
        <v/>
      </c>
      <c r="C276" s="3"/>
      <c r="D276" s="3"/>
      <c r="E276" s="3"/>
      <c r="F276" s="3"/>
      <c r="G276" s="3"/>
      <c r="H276" s="3"/>
      <c r="S276" s="3"/>
    </row>
    <row r="277">
      <c r="A277" s="3" t="str">
        <f t="shared" si="1"/>
        <v/>
      </c>
      <c r="C277" s="3"/>
      <c r="D277" s="3"/>
      <c r="E277" s="3"/>
      <c r="F277" s="3"/>
      <c r="G277" s="3"/>
      <c r="H277" s="3"/>
      <c r="S277" s="3"/>
    </row>
    <row r="278">
      <c r="A278" s="3" t="str">
        <f t="shared" si="1"/>
        <v/>
      </c>
      <c r="C278" s="3"/>
      <c r="D278" s="3"/>
      <c r="E278" s="3"/>
      <c r="F278" s="3"/>
      <c r="G278" s="3"/>
      <c r="H278" s="3"/>
      <c r="S278" s="3"/>
    </row>
    <row r="279">
      <c r="A279" s="3" t="str">
        <f t="shared" si="1"/>
        <v/>
      </c>
      <c r="C279" s="3"/>
      <c r="D279" s="3"/>
      <c r="E279" s="3"/>
      <c r="F279" s="3"/>
      <c r="G279" s="3"/>
      <c r="H279" s="3"/>
      <c r="S279" s="3"/>
    </row>
    <row r="280">
      <c r="A280" s="3" t="str">
        <f t="shared" si="1"/>
        <v/>
      </c>
      <c r="C280" s="3"/>
      <c r="D280" s="3"/>
      <c r="E280" s="3"/>
      <c r="F280" s="3"/>
      <c r="G280" s="3"/>
      <c r="H280" s="3"/>
      <c r="S280" s="3"/>
    </row>
    <row r="281">
      <c r="A281" s="3" t="str">
        <f t="shared" si="1"/>
        <v/>
      </c>
      <c r="C281" s="3"/>
      <c r="D281" s="3"/>
      <c r="E281" s="3"/>
      <c r="F281" s="3"/>
      <c r="G281" s="3"/>
      <c r="H281" s="3"/>
      <c r="S281" s="3"/>
    </row>
    <row r="282">
      <c r="A282" s="3" t="str">
        <f t="shared" si="1"/>
        <v/>
      </c>
      <c r="C282" s="3"/>
      <c r="D282" s="3"/>
      <c r="E282" s="3"/>
      <c r="F282" s="3"/>
      <c r="G282" s="3"/>
      <c r="H282" s="3"/>
      <c r="S282" s="3"/>
    </row>
    <row r="283">
      <c r="A283" s="3" t="str">
        <f t="shared" si="1"/>
        <v/>
      </c>
      <c r="C283" s="3"/>
      <c r="D283" s="3"/>
      <c r="E283" s="3"/>
      <c r="F283" s="3"/>
      <c r="G283" s="3"/>
      <c r="H283" s="3"/>
      <c r="S283" s="3"/>
    </row>
    <row r="284">
      <c r="A284" s="3" t="str">
        <f t="shared" si="1"/>
        <v/>
      </c>
      <c r="C284" s="3"/>
      <c r="D284" s="3"/>
      <c r="E284" s="3"/>
      <c r="F284" s="3"/>
      <c r="G284" s="3"/>
      <c r="H284" s="3"/>
      <c r="S284" s="3"/>
    </row>
    <row r="285">
      <c r="A285" s="3" t="str">
        <f t="shared" si="1"/>
        <v/>
      </c>
      <c r="C285" s="3"/>
      <c r="D285" s="3"/>
      <c r="E285" s="3"/>
      <c r="F285" s="3"/>
      <c r="G285" s="3"/>
      <c r="H285" s="3"/>
      <c r="S285" s="3"/>
    </row>
    <row r="286">
      <c r="A286" s="3" t="str">
        <f t="shared" si="1"/>
        <v/>
      </c>
      <c r="C286" s="3"/>
      <c r="D286" s="3"/>
      <c r="E286" s="3"/>
      <c r="F286" s="3"/>
      <c r="G286" s="3"/>
      <c r="H286" s="3"/>
      <c r="S286" s="3"/>
    </row>
    <row r="287">
      <c r="A287" s="3" t="str">
        <f t="shared" si="1"/>
        <v/>
      </c>
      <c r="C287" s="3"/>
      <c r="D287" s="3"/>
      <c r="E287" s="3"/>
      <c r="F287" s="3"/>
      <c r="G287" s="3"/>
      <c r="H287" s="3"/>
      <c r="S287" s="3"/>
    </row>
    <row r="288">
      <c r="A288" s="3" t="str">
        <f t="shared" si="1"/>
        <v/>
      </c>
      <c r="C288" s="3"/>
      <c r="D288" s="3"/>
      <c r="E288" s="3"/>
      <c r="F288" s="3"/>
      <c r="G288" s="3"/>
      <c r="H288" s="3"/>
      <c r="S288" s="3"/>
    </row>
    <row r="289">
      <c r="A289" s="3" t="str">
        <f t="shared" si="1"/>
        <v/>
      </c>
      <c r="C289" s="3"/>
      <c r="D289" s="3"/>
      <c r="E289" s="3"/>
      <c r="F289" s="3"/>
      <c r="G289" s="3"/>
      <c r="H289" s="3"/>
      <c r="S289" s="3"/>
    </row>
    <row r="290">
      <c r="A290" s="3" t="str">
        <f t="shared" si="1"/>
        <v/>
      </c>
      <c r="C290" s="3"/>
      <c r="D290" s="3"/>
      <c r="E290" s="3"/>
      <c r="F290" s="3"/>
      <c r="G290" s="3"/>
      <c r="H290" s="3"/>
      <c r="S290" s="3"/>
    </row>
    <row r="291">
      <c r="A291" s="3" t="str">
        <f t="shared" si="1"/>
        <v/>
      </c>
      <c r="C291" s="3"/>
      <c r="D291" s="3"/>
      <c r="E291" s="3"/>
      <c r="F291" s="3"/>
      <c r="G291" s="3"/>
      <c r="H291" s="3"/>
      <c r="S291" s="3"/>
    </row>
    <row r="292">
      <c r="A292" s="3" t="str">
        <f t="shared" si="1"/>
        <v/>
      </c>
      <c r="C292" s="3"/>
      <c r="D292" s="3"/>
      <c r="E292" s="3"/>
      <c r="F292" s="3"/>
      <c r="G292" s="3"/>
      <c r="H292" s="3"/>
      <c r="S292" s="3"/>
    </row>
    <row r="293">
      <c r="A293" s="3" t="str">
        <f t="shared" si="1"/>
        <v/>
      </c>
      <c r="C293" s="3"/>
      <c r="D293" s="3"/>
      <c r="E293" s="3"/>
      <c r="F293" s="3"/>
      <c r="G293" s="3"/>
      <c r="H293" s="3"/>
      <c r="S293" s="3"/>
    </row>
    <row r="294">
      <c r="A294" s="3" t="str">
        <f t="shared" si="1"/>
        <v/>
      </c>
      <c r="C294" s="3"/>
      <c r="D294" s="3"/>
      <c r="E294" s="3"/>
      <c r="F294" s="3"/>
      <c r="G294" s="3"/>
      <c r="H294" s="3"/>
      <c r="S294" s="3"/>
    </row>
    <row r="295">
      <c r="A295" s="3" t="str">
        <f t="shared" si="1"/>
        <v/>
      </c>
      <c r="C295" s="3"/>
      <c r="D295" s="3"/>
      <c r="E295" s="3"/>
      <c r="F295" s="3"/>
      <c r="G295" s="3"/>
      <c r="H295" s="3"/>
      <c r="S295" s="3"/>
    </row>
    <row r="296">
      <c r="A296" s="3" t="str">
        <f t="shared" si="1"/>
        <v/>
      </c>
      <c r="C296" s="3"/>
      <c r="D296" s="3"/>
      <c r="E296" s="3"/>
      <c r="F296" s="3"/>
      <c r="G296" s="3"/>
      <c r="H296" s="3"/>
      <c r="S296" s="3"/>
    </row>
    <row r="297">
      <c r="A297" s="3" t="str">
        <f t="shared" si="1"/>
        <v/>
      </c>
      <c r="C297" s="3"/>
      <c r="D297" s="3"/>
      <c r="E297" s="3"/>
      <c r="F297" s="3"/>
      <c r="G297" s="3"/>
      <c r="H297" s="3"/>
      <c r="S297" s="3"/>
    </row>
    <row r="298">
      <c r="A298" s="3" t="str">
        <f t="shared" si="1"/>
        <v/>
      </c>
      <c r="C298" s="3"/>
      <c r="D298" s="3"/>
      <c r="E298" s="3"/>
      <c r="F298" s="3"/>
      <c r="G298" s="3"/>
      <c r="H298" s="3"/>
      <c r="S298" s="3"/>
    </row>
    <row r="299">
      <c r="A299" s="3" t="str">
        <f t="shared" si="1"/>
        <v/>
      </c>
      <c r="C299" s="3"/>
      <c r="D299" s="3"/>
      <c r="E299" s="3"/>
      <c r="F299" s="3"/>
      <c r="G299" s="3"/>
      <c r="H299" s="3"/>
      <c r="S299" s="3"/>
    </row>
    <row r="300">
      <c r="A300" s="3" t="str">
        <f t="shared" si="1"/>
        <v/>
      </c>
      <c r="C300" s="3"/>
      <c r="D300" s="3"/>
      <c r="E300" s="3"/>
      <c r="F300" s="3"/>
      <c r="G300" s="3"/>
      <c r="H300" s="3"/>
      <c r="S300" s="3"/>
    </row>
    <row r="301">
      <c r="A301" s="3" t="str">
        <f t="shared" si="1"/>
        <v/>
      </c>
      <c r="C301" s="3"/>
      <c r="D301" s="3"/>
      <c r="E301" s="3"/>
      <c r="F301" s="3"/>
      <c r="G301" s="3"/>
      <c r="H301" s="3"/>
      <c r="S301" s="3"/>
    </row>
    <row r="302">
      <c r="A302" s="3" t="str">
        <f t="shared" si="1"/>
        <v/>
      </c>
      <c r="C302" s="3"/>
      <c r="D302" s="3"/>
      <c r="E302" s="3"/>
      <c r="F302" s="3"/>
      <c r="G302" s="3"/>
      <c r="H302" s="3"/>
      <c r="S302" s="3"/>
    </row>
    <row r="303">
      <c r="A303" s="3" t="str">
        <f t="shared" si="1"/>
        <v/>
      </c>
      <c r="C303" s="3"/>
      <c r="D303" s="3"/>
      <c r="E303" s="3"/>
      <c r="F303" s="3"/>
      <c r="G303" s="3"/>
      <c r="H303" s="3"/>
      <c r="S303" s="3"/>
    </row>
    <row r="304">
      <c r="A304" s="3" t="str">
        <f t="shared" si="1"/>
        <v/>
      </c>
      <c r="C304" s="3"/>
      <c r="D304" s="3"/>
      <c r="E304" s="3"/>
      <c r="F304" s="3"/>
      <c r="G304" s="3"/>
      <c r="H304" s="3"/>
      <c r="S304" s="3"/>
    </row>
    <row r="305">
      <c r="A305" s="3" t="str">
        <f t="shared" si="1"/>
        <v/>
      </c>
      <c r="C305" s="3"/>
      <c r="D305" s="3"/>
      <c r="E305" s="3"/>
      <c r="F305" s="3"/>
      <c r="G305" s="3"/>
      <c r="H305" s="3"/>
      <c r="S305" s="3"/>
    </row>
    <row r="306">
      <c r="A306" s="3" t="str">
        <f t="shared" si="1"/>
        <v/>
      </c>
      <c r="C306" s="3"/>
      <c r="D306" s="3"/>
      <c r="E306" s="3"/>
      <c r="F306" s="3"/>
      <c r="G306" s="3"/>
      <c r="H306" s="3"/>
      <c r="S306" s="3"/>
    </row>
    <row r="307">
      <c r="A307" s="3" t="str">
        <f t="shared" si="1"/>
        <v/>
      </c>
      <c r="C307" s="3"/>
      <c r="D307" s="3"/>
      <c r="E307" s="3"/>
      <c r="F307" s="3"/>
      <c r="G307" s="3"/>
      <c r="H307" s="3"/>
      <c r="S307" s="3"/>
    </row>
    <row r="308">
      <c r="A308" s="3" t="str">
        <f t="shared" si="1"/>
        <v/>
      </c>
      <c r="C308" s="3"/>
      <c r="D308" s="3"/>
      <c r="E308" s="3"/>
      <c r="F308" s="3"/>
      <c r="G308" s="3"/>
      <c r="H308" s="3"/>
      <c r="S308" s="3"/>
    </row>
    <row r="309">
      <c r="A309" s="3" t="str">
        <f t="shared" si="1"/>
        <v/>
      </c>
      <c r="C309" s="3"/>
      <c r="D309" s="3"/>
      <c r="E309" s="3"/>
      <c r="F309" s="3"/>
      <c r="G309" s="3"/>
      <c r="H309" s="3"/>
      <c r="S309" s="3"/>
    </row>
    <row r="310">
      <c r="A310" s="3" t="str">
        <f t="shared" si="1"/>
        <v/>
      </c>
      <c r="C310" s="3"/>
      <c r="D310" s="3"/>
      <c r="E310" s="3"/>
      <c r="F310" s="3"/>
      <c r="G310" s="3"/>
      <c r="H310" s="3"/>
      <c r="S310" s="3"/>
    </row>
    <row r="311">
      <c r="A311" s="3" t="str">
        <f t="shared" si="1"/>
        <v/>
      </c>
      <c r="C311" s="3"/>
      <c r="D311" s="3"/>
      <c r="E311" s="3"/>
      <c r="F311" s="3"/>
      <c r="G311" s="3"/>
      <c r="H311" s="3"/>
      <c r="S311" s="3"/>
    </row>
    <row r="312">
      <c r="A312" s="3" t="str">
        <f t="shared" si="1"/>
        <v/>
      </c>
      <c r="C312" s="3"/>
      <c r="D312" s="3"/>
      <c r="E312" s="3"/>
      <c r="F312" s="3"/>
      <c r="G312" s="3"/>
      <c r="H312" s="3"/>
      <c r="S312" s="3"/>
    </row>
    <row r="313">
      <c r="A313" s="3" t="str">
        <f t="shared" si="1"/>
        <v/>
      </c>
      <c r="C313" s="3"/>
      <c r="D313" s="3"/>
      <c r="E313" s="3"/>
      <c r="F313" s="3"/>
      <c r="G313" s="3"/>
      <c r="H313" s="3"/>
      <c r="S313" s="3"/>
    </row>
    <row r="314">
      <c r="A314" s="3" t="str">
        <f t="shared" si="1"/>
        <v/>
      </c>
      <c r="C314" s="3"/>
      <c r="D314" s="3"/>
      <c r="E314" s="3"/>
      <c r="F314" s="3"/>
      <c r="G314" s="3"/>
      <c r="H314" s="3"/>
      <c r="S314" s="3"/>
    </row>
    <row r="315">
      <c r="A315" s="3" t="str">
        <f t="shared" si="1"/>
        <v/>
      </c>
      <c r="C315" s="3"/>
      <c r="D315" s="3"/>
      <c r="E315" s="3"/>
      <c r="F315" s="3"/>
      <c r="G315" s="3"/>
      <c r="H315" s="3"/>
      <c r="S315" s="3"/>
    </row>
    <row r="316">
      <c r="A316" s="3" t="str">
        <f t="shared" si="1"/>
        <v/>
      </c>
      <c r="C316" s="3"/>
      <c r="D316" s="3"/>
      <c r="E316" s="3"/>
      <c r="F316" s="3"/>
      <c r="G316" s="3"/>
      <c r="H316" s="3"/>
      <c r="S316" s="3"/>
    </row>
    <row r="317">
      <c r="A317" s="3" t="str">
        <f t="shared" si="1"/>
        <v/>
      </c>
      <c r="C317" s="3"/>
      <c r="D317" s="3"/>
      <c r="E317" s="3"/>
      <c r="F317" s="3"/>
      <c r="G317" s="3"/>
      <c r="H317" s="3"/>
      <c r="S317" s="3"/>
    </row>
    <row r="318">
      <c r="A318" s="3" t="str">
        <f t="shared" si="1"/>
        <v/>
      </c>
      <c r="C318" s="3"/>
      <c r="D318" s="3"/>
      <c r="E318" s="3"/>
      <c r="F318" s="3"/>
      <c r="G318" s="3"/>
      <c r="H318" s="3"/>
      <c r="S318" s="3"/>
    </row>
    <row r="319">
      <c r="A319" s="3" t="str">
        <f t="shared" si="1"/>
        <v/>
      </c>
      <c r="C319" s="3"/>
      <c r="D319" s="3"/>
      <c r="E319" s="3"/>
      <c r="F319" s="3"/>
      <c r="G319" s="3"/>
      <c r="H319" s="3"/>
      <c r="S319" s="3"/>
    </row>
    <row r="320">
      <c r="A320" s="3" t="str">
        <f t="shared" si="1"/>
        <v/>
      </c>
      <c r="C320" s="3"/>
      <c r="D320" s="3"/>
      <c r="E320" s="3"/>
      <c r="F320" s="3"/>
      <c r="G320" s="3"/>
      <c r="H320" s="3"/>
      <c r="S320" s="3"/>
    </row>
    <row r="321">
      <c r="A321" s="3" t="str">
        <f t="shared" si="1"/>
        <v/>
      </c>
      <c r="C321" s="3"/>
      <c r="D321" s="3"/>
      <c r="E321" s="3"/>
      <c r="F321" s="3"/>
      <c r="G321" s="3"/>
      <c r="H321" s="3"/>
      <c r="S321" s="3"/>
    </row>
    <row r="322">
      <c r="A322" s="3" t="str">
        <f t="shared" si="1"/>
        <v/>
      </c>
      <c r="C322" s="3"/>
      <c r="D322" s="3"/>
      <c r="E322" s="3"/>
      <c r="F322" s="3"/>
      <c r="G322" s="3"/>
      <c r="H322" s="3"/>
      <c r="S322" s="3"/>
    </row>
    <row r="323">
      <c r="A323" s="3" t="str">
        <f t="shared" si="1"/>
        <v/>
      </c>
      <c r="C323" s="3"/>
      <c r="D323" s="3"/>
      <c r="E323" s="3"/>
      <c r="F323" s="3"/>
      <c r="G323" s="3"/>
      <c r="H323" s="3"/>
      <c r="S323" s="3"/>
    </row>
    <row r="324">
      <c r="A324" s="3" t="str">
        <f t="shared" si="1"/>
        <v/>
      </c>
      <c r="C324" s="3"/>
      <c r="D324" s="3"/>
      <c r="E324" s="3"/>
      <c r="F324" s="3"/>
      <c r="G324" s="3"/>
      <c r="H324" s="3"/>
      <c r="S324" s="3"/>
    </row>
    <row r="325">
      <c r="A325" s="3" t="str">
        <f t="shared" si="1"/>
        <v/>
      </c>
      <c r="C325" s="3"/>
      <c r="D325" s="3"/>
      <c r="E325" s="3"/>
      <c r="F325" s="3"/>
      <c r="G325" s="3"/>
      <c r="H325" s="3"/>
      <c r="S325" s="3"/>
    </row>
    <row r="326">
      <c r="A326" s="3" t="str">
        <f t="shared" si="1"/>
        <v/>
      </c>
      <c r="C326" s="3"/>
      <c r="D326" s="3"/>
      <c r="E326" s="3"/>
      <c r="F326" s="3"/>
      <c r="G326" s="3"/>
      <c r="H326" s="3"/>
      <c r="S326" s="3"/>
    </row>
    <row r="327">
      <c r="A327" s="3" t="str">
        <f t="shared" si="1"/>
        <v/>
      </c>
      <c r="C327" s="3"/>
      <c r="D327" s="3"/>
      <c r="E327" s="3"/>
      <c r="F327" s="3"/>
      <c r="G327" s="3"/>
      <c r="H327" s="3"/>
      <c r="S327" s="3"/>
    </row>
    <row r="328">
      <c r="A328" s="3" t="str">
        <f t="shared" si="1"/>
        <v/>
      </c>
      <c r="C328" s="3"/>
      <c r="D328" s="3"/>
      <c r="E328" s="3"/>
      <c r="F328" s="3"/>
      <c r="G328" s="3"/>
      <c r="H328" s="3"/>
      <c r="S328" s="3"/>
    </row>
    <row r="329">
      <c r="A329" s="3" t="str">
        <f t="shared" si="1"/>
        <v/>
      </c>
      <c r="C329" s="3"/>
      <c r="D329" s="3"/>
      <c r="E329" s="3"/>
      <c r="F329" s="3"/>
      <c r="G329" s="3"/>
      <c r="H329" s="3"/>
      <c r="S329" s="3"/>
    </row>
    <row r="330">
      <c r="A330" s="3" t="str">
        <f t="shared" si="1"/>
        <v/>
      </c>
      <c r="C330" s="3"/>
      <c r="D330" s="3"/>
      <c r="E330" s="3"/>
      <c r="F330" s="3"/>
      <c r="G330" s="3"/>
      <c r="H330" s="3"/>
      <c r="S330" s="3"/>
    </row>
    <row r="331">
      <c r="A331" s="3" t="str">
        <f t="shared" si="1"/>
        <v/>
      </c>
      <c r="C331" s="3"/>
      <c r="D331" s="3"/>
      <c r="E331" s="3"/>
      <c r="F331" s="3"/>
      <c r="G331" s="3"/>
      <c r="H331" s="3"/>
      <c r="S331" s="3"/>
    </row>
    <row r="332">
      <c r="A332" s="3" t="str">
        <f t="shared" si="1"/>
        <v/>
      </c>
      <c r="C332" s="3"/>
      <c r="D332" s="3"/>
      <c r="E332" s="3"/>
      <c r="F332" s="3"/>
      <c r="G332" s="3"/>
      <c r="H332" s="3"/>
      <c r="S332" s="3"/>
    </row>
    <row r="333">
      <c r="A333" s="3" t="str">
        <f t="shared" si="1"/>
        <v/>
      </c>
      <c r="C333" s="3"/>
      <c r="D333" s="3"/>
      <c r="E333" s="3"/>
      <c r="F333" s="3"/>
      <c r="G333" s="3"/>
      <c r="H333" s="3"/>
      <c r="S333" s="3"/>
    </row>
    <row r="334">
      <c r="A334" s="3" t="str">
        <f t="shared" si="1"/>
        <v/>
      </c>
      <c r="C334" s="3"/>
      <c r="D334" s="3"/>
      <c r="E334" s="3"/>
      <c r="F334" s="3"/>
      <c r="G334" s="3"/>
      <c r="H334" s="3"/>
      <c r="S334" s="3"/>
    </row>
    <row r="335">
      <c r="A335" s="3" t="str">
        <f t="shared" si="1"/>
        <v/>
      </c>
      <c r="C335" s="3"/>
      <c r="D335" s="3"/>
      <c r="E335" s="3"/>
      <c r="F335" s="3"/>
      <c r="G335" s="3"/>
      <c r="H335" s="3"/>
      <c r="S335" s="3"/>
    </row>
    <row r="336">
      <c r="A336" s="3" t="str">
        <f t="shared" si="1"/>
        <v/>
      </c>
      <c r="C336" s="3"/>
      <c r="D336" s="3"/>
      <c r="E336" s="3"/>
      <c r="F336" s="3"/>
      <c r="G336" s="3"/>
      <c r="H336" s="3"/>
      <c r="S336" s="3"/>
    </row>
    <row r="337">
      <c r="A337" s="3" t="str">
        <f t="shared" si="1"/>
        <v/>
      </c>
      <c r="C337" s="3"/>
      <c r="D337" s="3"/>
      <c r="E337" s="3"/>
      <c r="F337" s="3"/>
      <c r="G337" s="3"/>
      <c r="H337" s="3"/>
      <c r="S337" s="3"/>
    </row>
    <row r="338">
      <c r="A338" s="3" t="str">
        <f t="shared" si="1"/>
        <v/>
      </c>
      <c r="C338" s="3"/>
      <c r="D338" s="3"/>
      <c r="E338" s="3"/>
      <c r="F338" s="3"/>
      <c r="G338" s="3"/>
      <c r="H338" s="3"/>
      <c r="S338" s="3"/>
    </row>
    <row r="339">
      <c r="A339" s="3" t="str">
        <f t="shared" si="1"/>
        <v/>
      </c>
      <c r="C339" s="3"/>
      <c r="D339" s="3"/>
      <c r="E339" s="3"/>
      <c r="F339" s="3"/>
      <c r="G339" s="3"/>
      <c r="H339" s="3"/>
      <c r="S339" s="3"/>
    </row>
    <row r="340">
      <c r="A340" s="3" t="str">
        <f t="shared" si="1"/>
        <v/>
      </c>
      <c r="C340" s="3"/>
      <c r="D340" s="3"/>
      <c r="E340" s="3"/>
      <c r="F340" s="3"/>
      <c r="G340" s="3"/>
      <c r="H340" s="3"/>
      <c r="S340" s="3"/>
    </row>
    <row r="341">
      <c r="A341" s="3" t="str">
        <f t="shared" si="1"/>
        <v/>
      </c>
      <c r="C341" s="3"/>
      <c r="D341" s="3"/>
      <c r="E341" s="3"/>
      <c r="F341" s="3"/>
      <c r="G341" s="3"/>
      <c r="H341" s="3"/>
      <c r="S341" s="3"/>
    </row>
    <row r="342">
      <c r="A342" s="3" t="str">
        <f t="shared" si="1"/>
        <v/>
      </c>
      <c r="C342" s="3"/>
      <c r="D342" s="3"/>
      <c r="E342" s="3"/>
      <c r="F342" s="3"/>
      <c r="G342" s="3"/>
      <c r="H342" s="3"/>
      <c r="S342" s="3"/>
    </row>
    <row r="343">
      <c r="A343" s="3" t="str">
        <f t="shared" si="1"/>
        <v/>
      </c>
      <c r="C343" s="3"/>
      <c r="D343" s="3"/>
      <c r="E343" s="3"/>
      <c r="F343" s="3"/>
      <c r="G343" s="3"/>
      <c r="H343" s="3"/>
      <c r="S343" s="3"/>
    </row>
    <row r="344">
      <c r="A344" s="3" t="str">
        <f t="shared" si="1"/>
        <v/>
      </c>
      <c r="C344" s="3"/>
      <c r="D344" s="3"/>
      <c r="E344" s="3"/>
      <c r="F344" s="3"/>
      <c r="G344" s="3"/>
      <c r="H344" s="3"/>
      <c r="S344" s="3"/>
    </row>
    <row r="345">
      <c r="A345" s="3" t="str">
        <f t="shared" si="1"/>
        <v/>
      </c>
      <c r="C345" s="3"/>
      <c r="D345" s="3"/>
      <c r="E345" s="3"/>
      <c r="F345" s="3"/>
      <c r="G345" s="3"/>
      <c r="H345" s="3"/>
      <c r="S345" s="3"/>
    </row>
    <row r="346">
      <c r="A346" s="3" t="str">
        <f t="shared" si="1"/>
        <v/>
      </c>
      <c r="C346" s="3"/>
      <c r="D346" s="3"/>
      <c r="E346" s="3"/>
      <c r="F346" s="3"/>
      <c r="G346" s="3"/>
      <c r="H346" s="3"/>
      <c r="S346" s="3"/>
    </row>
    <row r="347">
      <c r="A347" s="3" t="str">
        <f t="shared" si="1"/>
        <v/>
      </c>
      <c r="C347" s="3"/>
      <c r="D347" s="3"/>
      <c r="E347" s="3"/>
      <c r="F347" s="3"/>
      <c r="G347" s="3"/>
      <c r="H347" s="3"/>
      <c r="S347" s="3"/>
    </row>
    <row r="348">
      <c r="A348" s="3" t="str">
        <f t="shared" si="1"/>
        <v/>
      </c>
      <c r="C348" s="3"/>
      <c r="D348" s="3"/>
      <c r="E348" s="3"/>
      <c r="F348" s="3"/>
      <c r="G348" s="3"/>
      <c r="H348" s="3"/>
      <c r="S348" s="3"/>
    </row>
    <row r="349">
      <c r="A349" s="3" t="str">
        <f t="shared" si="1"/>
        <v/>
      </c>
      <c r="C349" s="3"/>
      <c r="D349" s="3"/>
      <c r="E349" s="3"/>
      <c r="F349" s="3"/>
      <c r="G349" s="3"/>
      <c r="H349" s="3"/>
      <c r="S349" s="3"/>
    </row>
    <row r="350">
      <c r="A350" s="3" t="str">
        <f t="shared" si="1"/>
        <v/>
      </c>
      <c r="C350" s="3"/>
      <c r="D350" s="3"/>
      <c r="E350" s="3"/>
      <c r="F350" s="3"/>
      <c r="G350" s="3"/>
      <c r="H350" s="3"/>
      <c r="S350" s="3"/>
    </row>
    <row r="351">
      <c r="A351" s="3" t="str">
        <f t="shared" si="1"/>
        <v/>
      </c>
      <c r="C351" s="3"/>
      <c r="D351" s="3"/>
      <c r="E351" s="3"/>
      <c r="F351" s="3"/>
      <c r="G351" s="3"/>
      <c r="H351" s="3"/>
      <c r="S351" s="3"/>
    </row>
    <row r="352">
      <c r="A352" s="3" t="str">
        <f t="shared" si="1"/>
        <v/>
      </c>
      <c r="C352" s="3"/>
      <c r="D352" s="3"/>
      <c r="E352" s="3"/>
      <c r="F352" s="3"/>
      <c r="G352" s="3"/>
      <c r="H352" s="3"/>
      <c r="S352" s="3"/>
    </row>
    <row r="353">
      <c r="A353" s="3" t="str">
        <f t="shared" si="1"/>
        <v/>
      </c>
      <c r="C353" s="3"/>
      <c r="D353" s="3"/>
      <c r="E353" s="3"/>
      <c r="F353" s="3"/>
      <c r="G353" s="3"/>
      <c r="H353" s="3"/>
      <c r="S353" s="3"/>
    </row>
    <row r="354">
      <c r="A354" s="3" t="str">
        <f t="shared" si="1"/>
        <v/>
      </c>
      <c r="C354" s="3"/>
      <c r="D354" s="3"/>
      <c r="E354" s="3"/>
      <c r="F354" s="3"/>
      <c r="G354" s="3"/>
      <c r="H354" s="3"/>
      <c r="S354" s="3"/>
    </row>
    <row r="355">
      <c r="A355" s="3" t="str">
        <f t="shared" si="1"/>
        <v/>
      </c>
      <c r="C355" s="3"/>
      <c r="D355" s="3"/>
      <c r="E355" s="3"/>
      <c r="F355" s="3"/>
      <c r="G355" s="3"/>
      <c r="H355" s="3"/>
      <c r="S355" s="3"/>
    </row>
    <row r="356">
      <c r="A356" s="3" t="str">
        <f t="shared" si="1"/>
        <v/>
      </c>
      <c r="C356" s="3"/>
      <c r="D356" s="3"/>
      <c r="E356" s="3"/>
      <c r="F356" s="3"/>
      <c r="G356" s="3"/>
      <c r="H356" s="3"/>
      <c r="S356" s="3"/>
    </row>
    <row r="357">
      <c r="A357" s="3" t="str">
        <f t="shared" si="1"/>
        <v/>
      </c>
      <c r="C357" s="3"/>
      <c r="D357" s="3"/>
      <c r="E357" s="3"/>
      <c r="F357" s="3"/>
      <c r="G357" s="3"/>
      <c r="H357" s="3"/>
      <c r="S357" s="3"/>
    </row>
    <row r="358">
      <c r="A358" s="3" t="str">
        <f t="shared" si="1"/>
        <v/>
      </c>
      <c r="C358" s="3"/>
      <c r="D358" s="3"/>
      <c r="E358" s="3"/>
      <c r="F358" s="3"/>
      <c r="G358" s="3"/>
      <c r="H358" s="3"/>
      <c r="S358" s="3"/>
    </row>
    <row r="359">
      <c r="A359" s="3" t="str">
        <f t="shared" si="1"/>
        <v/>
      </c>
      <c r="C359" s="3"/>
      <c r="D359" s="3"/>
      <c r="E359" s="3"/>
      <c r="F359" s="3"/>
      <c r="G359" s="3"/>
      <c r="H359" s="3"/>
      <c r="S359" s="3"/>
    </row>
    <row r="360">
      <c r="A360" s="3" t="str">
        <f t="shared" si="1"/>
        <v/>
      </c>
      <c r="C360" s="3"/>
      <c r="D360" s="3"/>
      <c r="E360" s="3"/>
      <c r="F360" s="3"/>
      <c r="G360" s="3"/>
      <c r="H360" s="3"/>
      <c r="S360" s="3"/>
    </row>
    <row r="361">
      <c r="A361" s="3" t="str">
        <f t="shared" si="1"/>
        <v/>
      </c>
      <c r="C361" s="3"/>
      <c r="D361" s="3"/>
      <c r="E361" s="3"/>
      <c r="F361" s="3"/>
      <c r="G361" s="3"/>
      <c r="H361" s="3"/>
      <c r="S361" s="3"/>
    </row>
    <row r="362">
      <c r="A362" s="3" t="str">
        <f t="shared" si="1"/>
        <v/>
      </c>
      <c r="C362" s="3"/>
      <c r="D362" s="3"/>
      <c r="E362" s="3"/>
      <c r="F362" s="3"/>
      <c r="G362" s="3"/>
      <c r="H362" s="3"/>
      <c r="S362" s="3"/>
    </row>
    <row r="363">
      <c r="A363" s="3" t="str">
        <f t="shared" si="1"/>
        <v/>
      </c>
      <c r="C363" s="3"/>
      <c r="D363" s="3"/>
      <c r="E363" s="3"/>
      <c r="F363" s="3"/>
      <c r="G363" s="3"/>
      <c r="H363" s="3"/>
      <c r="S363" s="3"/>
    </row>
    <row r="364">
      <c r="A364" s="3" t="str">
        <f t="shared" si="1"/>
        <v/>
      </c>
      <c r="C364" s="3"/>
      <c r="D364" s="3"/>
      <c r="E364" s="3"/>
      <c r="F364" s="3"/>
      <c r="G364" s="3"/>
      <c r="H364" s="3"/>
      <c r="S364" s="3"/>
    </row>
    <row r="365">
      <c r="A365" s="3" t="str">
        <f t="shared" si="1"/>
        <v/>
      </c>
      <c r="C365" s="3"/>
      <c r="D365" s="3"/>
      <c r="E365" s="3"/>
      <c r="F365" s="3"/>
      <c r="G365" s="3"/>
      <c r="H365" s="3"/>
      <c r="S365" s="3"/>
    </row>
    <row r="366">
      <c r="A366" s="3" t="str">
        <f t="shared" si="1"/>
        <v/>
      </c>
      <c r="C366" s="3"/>
      <c r="D366" s="3"/>
      <c r="E366" s="3"/>
      <c r="F366" s="3"/>
      <c r="G366" s="3"/>
      <c r="H366" s="3"/>
      <c r="S366" s="3"/>
    </row>
    <row r="367">
      <c r="A367" s="3" t="str">
        <f t="shared" si="1"/>
        <v/>
      </c>
      <c r="C367" s="3"/>
      <c r="D367" s="3"/>
      <c r="E367" s="3"/>
      <c r="F367" s="3"/>
      <c r="G367" s="3"/>
      <c r="H367" s="3"/>
      <c r="S367" s="3"/>
    </row>
    <row r="368">
      <c r="A368" s="3" t="str">
        <f t="shared" si="1"/>
        <v/>
      </c>
      <c r="C368" s="3"/>
      <c r="D368" s="3"/>
      <c r="E368" s="3"/>
      <c r="F368" s="3"/>
      <c r="G368" s="3"/>
      <c r="H368" s="3"/>
      <c r="S368" s="3"/>
    </row>
    <row r="369">
      <c r="A369" s="3" t="str">
        <f t="shared" si="1"/>
        <v/>
      </c>
      <c r="C369" s="3"/>
      <c r="D369" s="3"/>
      <c r="E369" s="3"/>
      <c r="F369" s="3"/>
      <c r="G369" s="3"/>
      <c r="H369" s="3"/>
      <c r="S369" s="3"/>
    </row>
    <row r="370">
      <c r="A370" s="3" t="str">
        <f t="shared" si="1"/>
        <v/>
      </c>
      <c r="C370" s="3"/>
      <c r="D370" s="3"/>
      <c r="E370" s="3"/>
      <c r="F370" s="3"/>
      <c r="G370" s="3"/>
      <c r="H370" s="3"/>
      <c r="S370" s="3"/>
    </row>
    <row r="371">
      <c r="A371" s="3" t="str">
        <f t="shared" si="1"/>
        <v/>
      </c>
      <c r="C371" s="3"/>
      <c r="D371" s="3"/>
      <c r="E371" s="3"/>
      <c r="F371" s="3"/>
      <c r="G371" s="3"/>
      <c r="H371" s="3"/>
      <c r="S371" s="3"/>
    </row>
    <row r="372">
      <c r="A372" s="3" t="str">
        <f t="shared" si="1"/>
        <v/>
      </c>
      <c r="C372" s="3"/>
      <c r="D372" s="3"/>
      <c r="E372" s="3"/>
      <c r="F372" s="3"/>
      <c r="G372" s="3"/>
      <c r="H372" s="3"/>
      <c r="S372" s="3"/>
    </row>
    <row r="373">
      <c r="A373" s="3" t="str">
        <f t="shared" si="1"/>
        <v/>
      </c>
      <c r="C373" s="3"/>
      <c r="D373" s="3"/>
      <c r="E373" s="3"/>
      <c r="F373" s="3"/>
      <c r="G373" s="3"/>
      <c r="H373" s="3"/>
      <c r="S373" s="3"/>
    </row>
    <row r="374">
      <c r="A374" s="3" t="str">
        <f t="shared" si="1"/>
        <v/>
      </c>
      <c r="C374" s="3"/>
      <c r="D374" s="3"/>
      <c r="E374" s="3"/>
      <c r="F374" s="3"/>
      <c r="G374" s="3"/>
      <c r="H374" s="3"/>
      <c r="S374" s="3"/>
    </row>
    <row r="375">
      <c r="A375" s="3" t="str">
        <f t="shared" si="1"/>
        <v/>
      </c>
      <c r="C375" s="3"/>
      <c r="D375" s="3"/>
      <c r="E375" s="3"/>
      <c r="F375" s="3"/>
      <c r="G375" s="3"/>
      <c r="H375" s="3"/>
      <c r="S375" s="3"/>
    </row>
    <row r="376">
      <c r="A376" s="3" t="str">
        <f t="shared" si="1"/>
        <v/>
      </c>
      <c r="C376" s="3"/>
      <c r="D376" s="3"/>
      <c r="E376" s="3"/>
      <c r="F376" s="3"/>
      <c r="G376" s="3"/>
      <c r="H376" s="3"/>
      <c r="S376" s="3"/>
    </row>
    <row r="377">
      <c r="A377" s="3" t="str">
        <f t="shared" si="1"/>
        <v/>
      </c>
      <c r="C377" s="3"/>
      <c r="D377" s="3"/>
      <c r="E377" s="3"/>
      <c r="F377" s="3"/>
      <c r="G377" s="3"/>
      <c r="H377" s="3"/>
      <c r="S377" s="3"/>
    </row>
    <row r="378">
      <c r="A378" s="3" t="str">
        <f t="shared" si="1"/>
        <v/>
      </c>
      <c r="C378" s="3"/>
      <c r="D378" s="3"/>
      <c r="E378" s="3"/>
      <c r="F378" s="3"/>
      <c r="G378" s="3"/>
      <c r="H378" s="3"/>
      <c r="S378" s="3"/>
    </row>
    <row r="379">
      <c r="A379" s="3" t="str">
        <f t="shared" si="1"/>
        <v/>
      </c>
      <c r="C379" s="3"/>
      <c r="D379" s="3"/>
      <c r="E379" s="3"/>
      <c r="F379" s="3"/>
      <c r="G379" s="3"/>
      <c r="H379" s="3"/>
      <c r="S379" s="3"/>
    </row>
    <row r="380">
      <c r="A380" s="3" t="str">
        <f t="shared" si="1"/>
        <v/>
      </c>
      <c r="C380" s="3"/>
      <c r="D380" s="3"/>
      <c r="E380" s="3"/>
      <c r="F380" s="3"/>
      <c r="G380" s="3"/>
      <c r="H380" s="3"/>
      <c r="S380" s="3"/>
    </row>
    <row r="381">
      <c r="A381" s="3" t="str">
        <f t="shared" si="1"/>
        <v/>
      </c>
      <c r="C381" s="3"/>
      <c r="D381" s="3"/>
      <c r="E381" s="3"/>
      <c r="F381" s="3"/>
      <c r="G381" s="3"/>
      <c r="H381" s="3"/>
      <c r="S381" s="3"/>
    </row>
    <row r="382">
      <c r="A382" s="3" t="str">
        <f t="shared" si="1"/>
        <v/>
      </c>
      <c r="C382" s="3"/>
      <c r="D382" s="3"/>
      <c r="E382" s="3"/>
      <c r="F382" s="3"/>
      <c r="G382" s="3"/>
      <c r="H382" s="3"/>
      <c r="S382" s="3"/>
    </row>
    <row r="383">
      <c r="A383" s="3" t="str">
        <f t="shared" si="1"/>
        <v/>
      </c>
      <c r="C383" s="3"/>
      <c r="D383" s="3"/>
      <c r="E383" s="3"/>
      <c r="F383" s="3"/>
      <c r="G383" s="3"/>
      <c r="H383" s="3"/>
      <c r="S383" s="3"/>
    </row>
    <row r="384">
      <c r="A384" s="3" t="str">
        <f t="shared" si="1"/>
        <v/>
      </c>
      <c r="C384" s="3"/>
      <c r="D384" s="3"/>
      <c r="E384" s="3"/>
      <c r="F384" s="3"/>
      <c r="G384" s="3"/>
      <c r="H384" s="3"/>
      <c r="S384" s="3"/>
    </row>
    <row r="385">
      <c r="A385" s="3" t="str">
        <f t="shared" si="1"/>
        <v/>
      </c>
      <c r="C385" s="3"/>
      <c r="D385" s="3"/>
      <c r="E385" s="3"/>
      <c r="F385" s="3"/>
      <c r="G385" s="3"/>
      <c r="H385" s="3"/>
      <c r="S385" s="3"/>
    </row>
    <row r="386">
      <c r="A386" s="3" t="str">
        <f t="shared" si="1"/>
        <v/>
      </c>
      <c r="C386" s="3"/>
      <c r="D386" s="3"/>
      <c r="E386" s="3"/>
      <c r="F386" s="3"/>
      <c r="G386" s="3"/>
      <c r="H386" s="3"/>
      <c r="S386" s="3"/>
    </row>
    <row r="387">
      <c r="A387" s="3" t="str">
        <f t="shared" si="1"/>
        <v/>
      </c>
      <c r="C387" s="3"/>
      <c r="D387" s="3"/>
      <c r="E387" s="3"/>
      <c r="F387" s="3"/>
      <c r="G387" s="3"/>
      <c r="H387" s="3"/>
      <c r="S387" s="3"/>
    </row>
    <row r="388">
      <c r="A388" s="3" t="str">
        <f t="shared" si="1"/>
        <v/>
      </c>
      <c r="C388" s="3"/>
      <c r="D388" s="3"/>
      <c r="E388" s="3"/>
      <c r="F388" s="3"/>
      <c r="G388" s="3"/>
      <c r="H388" s="3"/>
      <c r="S388" s="3"/>
    </row>
    <row r="389">
      <c r="A389" s="3" t="str">
        <f t="shared" si="1"/>
        <v/>
      </c>
      <c r="C389" s="3"/>
      <c r="D389" s="3"/>
      <c r="E389" s="3"/>
      <c r="F389" s="3"/>
      <c r="G389" s="3"/>
      <c r="H389" s="3"/>
      <c r="S389" s="3"/>
    </row>
    <row r="390">
      <c r="A390" s="3" t="str">
        <f t="shared" si="1"/>
        <v/>
      </c>
      <c r="C390" s="3"/>
      <c r="D390" s="3"/>
      <c r="E390" s="3"/>
      <c r="F390" s="3"/>
      <c r="G390" s="3"/>
      <c r="H390" s="3"/>
      <c r="S390" s="3"/>
    </row>
    <row r="391">
      <c r="A391" s="3" t="str">
        <f t="shared" si="1"/>
        <v/>
      </c>
      <c r="C391" s="3"/>
      <c r="D391" s="3"/>
      <c r="E391" s="3"/>
      <c r="F391" s="3"/>
      <c r="G391" s="3"/>
      <c r="H391" s="3"/>
      <c r="S391" s="3"/>
    </row>
    <row r="392">
      <c r="A392" s="3" t="str">
        <f t="shared" si="1"/>
        <v/>
      </c>
      <c r="C392" s="3"/>
      <c r="D392" s="3"/>
      <c r="E392" s="3"/>
      <c r="F392" s="3"/>
      <c r="G392" s="3"/>
      <c r="H392" s="3"/>
      <c r="S392" s="3"/>
    </row>
    <row r="393">
      <c r="A393" s="3" t="str">
        <f t="shared" si="1"/>
        <v/>
      </c>
      <c r="C393" s="3"/>
      <c r="D393" s="3"/>
      <c r="E393" s="3"/>
      <c r="F393" s="3"/>
      <c r="G393" s="3"/>
      <c r="H393" s="3"/>
      <c r="S393" s="3"/>
    </row>
    <row r="394">
      <c r="A394" s="3" t="str">
        <f t="shared" si="1"/>
        <v/>
      </c>
      <c r="C394" s="3"/>
      <c r="D394" s="3"/>
      <c r="E394" s="3"/>
      <c r="F394" s="3"/>
      <c r="G394" s="3"/>
      <c r="H394" s="3"/>
      <c r="S394" s="3"/>
    </row>
    <row r="395">
      <c r="A395" s="3" t="str">
        <f t="shared" si="1"/>
        <v/>
      </c>
      <c r="C395" s="3"/>
      <c r="D395" s="3"/>
      <c r="E395" s="3"/>
      <c r="F395" s="3"/>
      <c r="G395" s="3"/>
      <c r="H395" s="3"/>
      <c r="S395" s="3"/>
    </row>
    <row r="396">
      <c r="A396" s="3" t="str">
        <f t="shared" si="1"/>
        <v/>
      </c>
      <c r="C396" s="3"/>
      <c r="D396" s="3"/>
      <c r="E396" s="3"/>
      <c r="F396" s="3"/>
      <c r="G396" s="3"/>
      <c r="H396" s="3"/>
      <c r="S396" s="3"/>
    </row>
    <row r="397">
      <c r="A397" s="3" t="str">
        <f t="shared" si="1"/>
        <v/>
      </c>
      <c r="C397" s="3"/>
      <c r="D397" s="3"/>
      <c r="E397" s="3"/>
      <c r="F397" s="3"/>
      <c r="G397" s="3"/>
      <c r="H397" s="3"/>
      <c r="S397" s="3"/>
    </row>
    <row r="398">
      <c r="A398" s="3" t="str">
        <f t="shared" si="1"/>
        <v/>
      </c>
      <c r="C398" s="3"/>
      <c r="D398" s="3"/>
      <c r="E398" s="3"/>
      <c r="F398" s="3"/>
      <c r="G398" s="3"/>
      <c r="H398" s="3"/>
      <c r="S398" s="3"/>
    </row>
    <row r="399">
      <c r="A399" s="3" t="str">
        <f t="shared" si="1"/>
        <v/>
      </c>
      <c r="C399" s="3"/>
      <c r="D399" s="3"/>
      <c r="E399" s="3"/>
      <c r="F399" s="3"/>
      <c r="G399" s="3"/>
      <c r="H399" s="3"/>
      <c r="S399" s="3"/>
    </row>
    <row r="400">
      <c r="A400" s="3" t="str">
        <f t="shared" si="1"/>
        <v/>
      </c>
      <c r="C400" s="3"/>
      <c r="D400" s="3"/>
      <c r="E400" s="3"/>
      <c r="F400" s="3"/>
      <c r="G400" s="3"/>
      <c r="H400" s="3"/>
      <c r="S400" s="3"/>
    </row>
    <row r="401">
      <c r="A401" s="3" t="str">
        <f t="shared" si="1"/>
        <v/>
      </c>
      <c r="C401" s="3"/>
      <c r="D401" s="3"/>
      <c r="E401" s="3"/>
      <c r="F401" s="3"/>
      <c r="G401" s="3"/>
      <c r="H401" s="3"/>
      <c r="S401" s="3"/>
    </row>
    <row r="402">
      <c r="A402" s="3" t="str">
        <f t="shared" si="1"/>
        <v/>
      </c>
      <c r="C402" s="3"/>
      <c r="D402" s="3"/>
      <c r="E402" s="3"/>
      <c r="F402" s="3"/>
      <c r="G402" s="3"/>
      <c r="H402" s="3"/>
      <c r="S402" s="3"/>
    </row>
    <row r="403">
      <c r="A403" s="3" t="str">
        <f t="shared" si="1"/>
        <v/>
      </c>
      <c r="C403" s="3"/>
      <c r="D403" s="3"/>
      <c r="E403" s="3"/>
      <c r="F403" s="3"/>
      <c r="G403" s="3"/>
      <c r="H403" s="3"/>
      <c r="S403" s="3"/>
    </row>
    <row r="404">
      <c r="A404" s="3" t="str">
        <f t="shared" si="1"/>
        <v/>
      </c>
      <c r="C404" s="3"/>
      <c r="D404" s="3"/>
      <c r="E404" s="3"/>
      <c r="F404" s="3"/>
      <c r="G404" s="3"/>
      <c r="H404" s="3"/>
      <c r="S404" s="3"/>
    </row>
    <row r="405">
      <c r="A405" s="3" t="str">
        <f t="shared" si="1"/>
        <v/>
      </c>
      <c r="C405" s="3"/>
      <c r="D405" s="3"/>
      <c r="E405" s="3"/>
      <c r="F405" s="3"/>
      <c r="G405" s="3"/>
      <c r="H405" s="3"/>
      <c r="S405" s="3"/>
    </row>
    <row r="406">
      <c r="A406" s="3" t="str">
        <f t="shared" si="1"/>
        <v/>
      </c>
      <c r="C406" s="3"/>
      <c r="D406" s="3"/>
      <c r="E406" s="3"/>
      <c r="F406" s="3"/>
      <c r="G406" s="3"/>
      <c r="H406" s="3"/>
      <c r="S406" s="3"/>
    </row>
    <row r="407">
      <c r="A407" s="3" t="str">
        <f t="shared" si="1"/>
        <v/>
      </c>
      <c r="C407" s="3"/>
      <c r="D407" s="3"/>
      <c r="E407" s="3"/>
      <c r="F407" s="3"/>
      <c r="G407" s="3"/>
      <c r="H407" s="3"/>
      <c r="S407" s="3"/>
    </row>
    <row r="408">
      <c r="A408" s="3" t="str">
        <f t="shared" si="1"/>
        <v/>
      </c>
      <c r="C408" s="3"/>
      <c r="D408" s="3"/>
      <c r="E408" s="3"/>
      <c r="F408" s="3"/>
      <c r="G408" s="3"/>
      <c r="H408" s="3"/>
      <c r="S408" s="3"/>
    </row>
    <row r="409">
      <c r="A409" s="3" t="str">
        <f t="shared" si="1"/>
        <v/>
      </c>
      <c r="C409" s="3"/>
      <c r="D409" s="3"/>
      <c r="E409" s="3"/>
      <c r="F409" s="3"/>
      <c r="G409" s="3"/>
      <c r="H409" s="3"/>
      <c r="S409" s="3"/>
    </row>
    <row r="410">
      <c r="A410" s="3" t="str">
        <f t="shared" si="1"/>
        <v/>
      </c>
      <c r="C410" s="3"/>
      <c r="D410" s="3"/>
      <c r="E410" s="3"/>
      <c r="F410" s="3"/>
      <c r="G410" s="3"/>
      <c r="H410" s="3"/>
      <c r="S410" s="3"/>
    </row>
    <row r="411">
      <c r="A411" s="3" t="str">
        <f t="shared" si="1"/>
        <v/>
      </c>
      <c r="C411" s="3"/>
      <c r="D411" s="3"/>
      <c r="E411" s="3"/>
      <c r="F411" s="3"/>
      <c r="G411" s="3"/>
      <c r="H411" s="3"/>
      <c r="S411" s="3"/>
    </row>
    <row r="412">
      <c r="A412" s="3" t="str">
        <f t="shared" si="1"/>
        <v/>
      </c>
      <c r="C412" s="3"/>
      <c r="D412" s="3"/>
      <c r="E412" s="3"/>
      <c r="F412" s="3"/>
      <c r="G412" s="3"/>
      <c r="H412" s="3"/>
      <c r="S412" s="3"/>
    </row>
    <row r="413">
      <c r="A413" s="3" t="str">
        <f t="shared" si="1"/>
        <v/>
      </c>
      <c r="C413" s="3"/>
      <c r="D413" s="3"/>
      <c r="E413" s="3"/>
      <c r="F413" s="3"/>
      <c r="G413" s="3"/>
      <c r="H413" s="3"/>
      <c r="S413" s="3"/>
    </row>
    <row r="414">
      <c r="A414" s="3" t="str">
        <f t="shared" si="1"/>
        <v/>
      </c>
      <c r="C414" s="3"/>
      <c r="D414" s="3"/>
      <c r="E414" s="3"/>
      <c r="F414" s="3"/>
      <c r="G414" s="3"/>
      <c r="H414" s="3"/>
      <c r="S414" s="3"/>
    </row>
    <row r="415">
      <c r="A415" s="3" t="str">
        <f t="shared" si="1"/>
        <v/>
      </c>
      <c r="C415" s="3"/>
      <c r="D415" s="3"/>
      <c r="E415" s="3"/>
      <c r="F415" s="3"/>
      <c r="G415" s="3"/>
      <c r="H415" s="3"/>
      <c r="S415" s="3"/>
    </row>
    <row r="416">
      <c r="A416" s="3" t="str">
        <f t="shared" si="1"/>
        <v/>
      </c>
      <c r="C416" s="3"/>
      <c r="D416" s="3"/>
      <c r="E416" s="3"/>
      <c r="F416" s="3"/>
      <c r="G416" s="3"/>
      <c r="H416" s="3"/>
      <c r="S416" s="3"/>
    </row>
    <row r="417">
      <c r="A417" s="3" t="str">
        <f t="shared" si="1"/>
        <v/>
      </c>
      <c r="C417" s="3"/>
      <c r="D417" s="3"/>
      <c r="E417" s="3"/>
      <c r="F417" s="3"/>
      <c r="G417" s="3"/>
      <c r="H417" s="3"/>
      <c r="S417" s="3"/>
    </row>
    <row r="418">
      <c r="A418" s="3" t="str">
        <f t="shared" si="1"/>
        <v/>
      </c>
      <c r="C418" s="3"/>
      <c r="D418" s="3"/>
      <c r="E418" s="3"/>
      <c r="F418" s="3"/>
      <c r="G418" s="3"/>
      <c r="H418" s="3"/>
      <c r="S418" s="3"/>
    </row>
    <row r="419">
      <c r="A419" s="3" t="str">
        <f t="shared" si="1"/>
        <v/>
      </c>
      <c r="C419" s="3"/>
      <c r="D419" s="3"/>
      <c r="E419" s="3"/>
      <c r="F419" s="3"/>
      <c r="G419" s="3"/>
      <c r="H419" s="3"/>
      <c r="S419" s="3"/>
    </row>
    <row r="420">
      <c r="A420" s="3" t="str">
        <f t="shared" si="1"/>
        <v/>
      </c>
      <c r="C420" s="3"/>
      <c r="D420" s="3"/>
      <c r="E420" s="3"/>
      <c r="F420" s="3"/>
      <c r="G420" s="3"/>
      <c r="H420" s="3"/>
      <c r="S420" s="3"/>
    </row>
    <row r="421">
      <c r="A421" s="3" t="str">
        <f t="shared" si="1"/>
        <v/>
      </c>
      <c r="C421" s="3"/>
      <c r="D421" s="3"/>
      <c r="E421" s="3"/>
      <c r="F421" s="3"/>
      <c r="G421" s="3"/>
      <c r="H421" s="3"/>
      <c r="S421" s="3"/>
    </row>
    <row r="422">
      <c r="A422" s="3" t="str">
        <f t="shared" si="1"/>
        <v/>
      </c>
      <c r="C422" s="3"/>
      <c r="D422" s="3"/>
      <c r="E422" s="3"/>
      <c r="F422" s="3"/>
      <c r="G422" s="3"/>
      <c r="H422" s="3"/>
      <c r="S422" s="3"/>
    </row>
    <row r="423">
      <c r="A423" s="3" t="str">
        <f t="shared" si="1"/>
        <v/>
      </c>
      <c r="C423" s="3"/>
      <c r="D423" s="3"/>
      <c r="E423" s="3"/>
      <c r="F423" s="3"/>
      <c r="G423" s="3"/>
      <c r="H423" s="3"/>
      <c r="S423" s="3"/>
    </row>
    <row r="424">
      <c r="A424" s="3" t="str">
        <f t="shared" si="1"/>
        <v/>
      </c>
      <c r="C424" s="3"/>
      <c r="D424" s="3"/>
      <c r="E424" s="3"/>
      <c r="F424" s="3"/>
      <c r="G424" s="3"/>
      <c r="H424" s="3"/>
      <c r="S424" s="3"/>
    </row>
    <row r="425">
      <c r="A425" s="3" t="str">
        <f t="shared" si="1"/>
        <v/>
      </c>
      <c r="C425" s="3"/>
      <c r="D425" s="3"/>
      <c r="E425" s="3"/>
      <c r="F425" s="3"/>
      <c r="G425" s="3"/>
      <c r="H425" s="3"/>
      <c r="S425" s="3"/>
    </row>
    <row r="426">
      <c r="A426" s="3" t="str">
        <f t="shared" si="1"/>
        <v/>
      </c>
      <c r="C426" s="3"/>
      <c r="D426" s="3"/>
      <c r="E426" s="3"/>
      <c r="F426" s="3"/>
      <c r="G426" s="3"/>
      <c r="H426" s="3"/>
      <c r="S426" s="3"/>
    </row>
    <row r="427">
      <c r="A427" s="3" t="str">
        <f t="shared" si="1"/>
        <v/>
      </c>
      <c r="C427" s="3"/>
      <c r="D427" s="3"/>
      <c r="E427" s="3"/>
      <c r="F427" s="3"/>
      <c r="G427" s="3"/>
      <c r="H427" s="3"/>
      <c r="S427" s="3"/>
    </row>
    <row r="428">
      <c r="A428" s="3" t="str">
        <f t="shared" si="1"/>
        <v/>
      </c>
      <c r="C428" s="3"/>
      <c r="D428" s="3"/>
      <c r="E428" s="3"/>
      <c r="F428" s="3"/>
      <c r="G428" s="3"/>
      <c r="H428" s="3"/>
      <c r="S428" s="3"/>
    </row>
    <row r="429">
      <c r="A429" s="3" t="str">
        <f t="shared" si="1"/>
        <v/>
      </c>
      <c r="C429" s="3"/>
      <c r="D429" s="3"/>
      <c r="E429" s="3"/>
      <c r="F429" s="3"/>
      <c r="G429" s="3"/>
      <c r="H429" s="3"/>
      <c r="S429" s="3"/>
    </row>
    <row r="430">
      <c r="A430" s="3" t="str">
        <f t="shared" si="1"/>
        <v/>
      </c>
      <c r="C430" s="3"/>
      <c r="D430" s="3"/>
      <c r="E430" s="3"/>
      <c r="F430" s="3"/>
      <c r="G430" s="3"/>
      <c r="H430" s="3"/>
      <c r="S430" s="3"/>
    </row>
    <row r="431">
      <c r="A431" s="3" t="str">
        <f t="shared" si="1"/>
        <v/>
      </c>
      <c r="C431" s="3"/>
      <c r="D431" s="3"/>
      <c r="E431" s="3"/>
      <c r="F431" s="3"/>
      <c r="G431" s="3"/>
      <c r="H431" s="3"/>
      <c r="S431" s="3"/>
    </row>
    <row r="432">
      <c r="A432" s="3" t="str">
        <f t="shared" si="1"/>
        <v/>
      </c>
      <c r="C432" s="3"/>
      <c r="D432" s="3"/>
      <c r="E432" s="3"/>
      <c r="F432" s="3"/>
      <c r="G432" s="3"/>
      <c r="H432" s="3"/>
      <c r="S432" s="3"/>
    </row>
    <row r="433">
      <c r="A433" s="3" t="str">
        <f t="shared" si="1"/>
        <v/>
      </c>
      <c r="C433" s="3"/>
      <c r="D433" s="3"/>
      <c r="E433" s="3"/>
      <c r="F433" s="3"/>
      <c r="G433" s="3"/>
      <c r="H433" s="3"/>
      <c r="S433" s="3"/>
    </row>
    <row r="434">
      <c r="A434" s="3" t="str">
        <f t="shared" si="1"/>
        <v/>
      </c>
      <c r="C434" s="3"/>
      <c r="D434" s="3"/>
      <c r="E434" s="3"/>
      <c r="F434" s="3"/>
      <c r="G434" s="3"/>
      <c r="H434" s="3"/>
      <c r="S434" s="3"/>
    </row>
    <row r="435">
      <c r="A435" s="3" t="str">
        <f t="shared" si="1"/>
        <v/>
      </c>
      <c r="C435" s="3"/>
      <c r="D435" s="3"/>
      <c r="E435" s="3"/>
      <c r="F435" s="3"/>
      <c r="G435" s="3"/>
      <c r="H435" s="3"/>
      <c r="S435" s="3"/>
    </row>
    <row r="436">
      <c r="A436" s="3" t="str">
        <f t="shared" si="1"/>
        <v/>
      </c>
      <c r="C436" s="3"/>
      <c r="D436" s="3"/>
      <c r="E436" s="3"/>
      <c r="F436" s="3"/>
      <c r="G436" s="3"/>
      <c r="H436" s="3"/>
      <c r="S436" s="3"/>
    </row>
    <row r="437">
      <c r="A437" s="3" t="str">
        <f t="shared" si="1"/>
        <v/>
      </c>
      <c r="C437" s="3"/>
      <c r="D437" s="3"/>
      <c r="E437" s="3"/>
      <c r="F437" s="3"/>
      <c r="G437" s="3"/>
      <c r="H437" s="3"/>
      <c r="S437" s="3"/>
    </row>
    <row r="438">
      <c r="A438" s="3" t="str">
        <f t="shared" si="1"/>
        <v/>
      </c>
      <c r="C438" s="3"/>
      <c r="D438" s="3"/>
      <c r="E438" s="3"/>
      <c r="F438" s="3"/>
      <c r="G438" s="3"/>
      <c r="H438" s="3"/>
      <c r="S438" s="3"/>
    </row>
    <row r="439">
      <c r="A439" s="3" t="str">
        <f t="shared" si="1"/>
        <v/>
      </c>
      <c r="C439" s="3"/>
      <c r="D439" s="3"/>
      <c r="E439" s="3"/>
      <c r="F439" s="3"/>
      <c r="G439" s="3"/>
      <c r="H439" s="3"/>
      <c r="S439" s="3"/>
    </row>
    <row r="440">
      <c r="A440" s="3" t="str">
        <f t="shared" si="1"/>
        <v/>
      </c>
      <c r="C440" s="3"/>
      <c r="D440" s="3"/>
      <c r="E440" s="3"/>
      <c r="F440" s="3"/>
      <c r="G440" s="3"/>
      <c r="H440" s="3"/>
      <c r="S440" s="3"/>
    </row>
    <row r="441">
      <c r="A441" s="3" t="str">
        <f t="shared" si="1"/>
        <v/>
      </c>
      <c r="C441" s="3"/>
      <c r="D441" s="3"/>
      <c r="E441" s="3"/>
      <c r="F441" s="3"/>
      <c r="G441" s="3"/>
      <c r="H441" s="3"/>
      <c r="S441" s="3"/>
    </row>
    <row r="442">
      <c r="A442" s="3" t="str">
        <f t="shared" si="1"/>
        <v/>
      </c>
      <c r="C442" s="3"/>
      <c r="D442" s="3"/>
      <c r="E442" s="3"/>
      <c r="F442" s="3"/>
      <c r="G442" s="3"/>
      <c r="H442" s="3"/>
      <c r="S442" s="3"/>
    </row>
    <row r="443">
      <c r="A443" s="3" t="str">
        <f t="shared" si="1"/>
        <v/>
      </c>
      <c r="C443" s="3"/>
      <c r="D443" s="3"/>
      <c r="E443" s="3"/>
      <c r="F443" s="3"/>
      <c r="G443" s="3"/>
      <c r="H443" s="3"/>
      <c r="S443" s="3"/>
    </row>
    <row r="444">
      <c r="A444" s="3" t="str">
        <f t="shared" si="1"/>
        <v/>
      </c>
      <c r="C444" s="3"/>
      <c r="D444" s="3"/>
      <c r="E444" s="3"/>
      <c r="F444" s="3"/>
      <c r="G444" s="3"/>
      <c r="H444" s="3"/>
      <c r="S444" s="3"/>
    </row>
    <row r="445">
      <c r="A445" s="3" t="str">
        <f t="shared" si="1"/>
        <v/>
      </c>
      <c r="C445" s="3"/>
      <c r="D445" s="3"/>
      <c r="E445" s="3"/>
      <c r="F445" s="3"/>
      <c r="G445" s="3"/>
      <c r="H445" s="3"/>
      <c r="S445" s="3"/>
    </row>
    <row r="446">
      <c r="A446" s="3" t="str">
        <f t="shared" si="1"/>
        <v/>
      </c>
      <c r="C446" s="3"/>
      <c r="D446" s="3"/>
      <c r="E446" s="3"/>
      <c r="F446" s="3"/>
      <c r="G446" s="3"/>
      <c r="H446" s="3"/>
      <c r="S446" s="3"/>
    </row>
    <row r="447">
      <c r="A447" s="3" t="str">
        <f t="shared" si="1"/>
        <v/>
      </c>
      <c r="C447" s="3"/>
      <c r="D447" s="3"/>
      <c r="E447" s="3"/>
      <c r="F447" s="3"/>
      <c r="G447" s="3"/>
      <c r="H447" s="3"/>
      <c r="S447" s="3"/>
    </row>
    <row r="448">
      <c r="A448" s="3" t="str">
        <f t="shared" si="1"/>
        <v/>
      </c>
      <c r="C448" s="3"/>
      <c r="D448" s="3"/>
      <c r="E448" s="3"/>
      <c r="F448" s="3"/>
      <c r="G448" s="3"/>
      <c r="H448" s="3"/>
      <c r="S448" s="3"/>
    </row>
    <row r="449">
      <c r="A449" s="3" t="str">
        <f t="shared" si="1"/>
        <v/>
      </c>
      <c r="C449" s="3"/>
      <c r="D449" s="3"/>
      <c r="E449" s="3"/>
      <c r="F449" s="3"/>
      <c r="G449" s="3"/>
      <c r="H449" s="3"/>
      <c r="S449" s="3"/>
    </row>
    <row r="450">
      <c r="A450" s="3" t="str">
        <f t="shared" si="1"/>
        <v/>
      </c>
      <c r="C450" s="3"/>
      <c r="D450" s="3"/>
      <c r="E450" s="3"/>
      <c r="F450" s="3"/>
      <c r="G450" s="3"/>
      <c r="H450" s="3"/>
      <c r="S450" s="3"/>
    </row>
    <row r="451">
      <c r="A451" s="3" t="str">
        <f t="shared" si="1"/>
        <v/>
      </c>
      <c r="C451" s="3"/>
      <c r="D451" s="3"/>
      <c r="E451" s="3"/>
      <c r="F451" s="3"/>
      <c r="G451" s="3"/>
      <c r="H451" s="3"/>
      <c r="S451" s="3"/>
    </row>
    <row r="452">
      <c r="A452" s="3" t="str">
        <f t="shared" si="1"/>
        <v/>
      </c>
      <c r="C452" s="3"/>
      <c r="D452" s="3"/>
      <c r="E452" s="3"/>
      <c r="F452" s="3"/>
      <c r="G452" s="3"/>
      <c r="H452" s="3"/>
      <c r="S452" s="3"/>
    </row>
    <row r="453">
      <c r="A453" s="3" t="str">
        <f t="shared" si="1"/>
        <v/>
      </c>
      <c r="C453" s="3"/>
      <c r="D453" s="3"/>
      <c r="E453" s="3"/>
      <c r="F453" s="3"/>
      <c r="G453" s="3"/>
      <c r="H453" s="3"/>
      <c r="S453" s="3"/>
    </row>
    <row r="454">
      <c r="A454" s="3" t="str">
        <f t="shared" si="1"/>
        <v/>
      </c>
      <c r="C454" s="3"/>
      <c r="D454" s="3"/>
      <c r="E454" s="3"/>
      <c r="F454" s="3"/>
      <c r="G454" s="3"/>
      <c r="H454" s="3"/>
      <c r="S454" s="3"/>
    </row>
    <row r="455">
      <c r="A455" s="3" t="str">
        <f t="shared" si="1"/>
        <v/>
      </c>
      <c r="C455" s="3"/>
      <c r="D455" s="3"/>
      <c r="E455" s="3"/>
      <c r="F455" s="3"/>
      <c r="G455" s="3"/>
      <c r="H455" s="3"/>
      <c r="S455" s="3"/>
    </row>
    <row r="456">
      <c r="A456" s="3" t="str">
        <f t="shared" si="1"/>
        <v/>
      </c>
      <c r="C456" s="3"/>
      <c r="D456" s="3"/>
      <c r="E456" s="3"/>
      <c r="F456" s="3"/>
      <c r="G456" s="3"/>
      <c r="H456" s="3"/>
      <c r="S456" s="3"/>
    </row>
    <row r="457">
      <c r="A457" s="3" t="str">
        <f t="shared" si="1"/>
        <v/>
      </c>
      <c r="C457" s="3"/>
      <c r="D457" s="3"/>
      <c r="E457" s="3"/>
      <c r="F457" s="3"/>
      <c r="G457" s="3"/>
      <c r="H457" s="3"/>
      <c r="S457" s="3"/>
    </row>
    <row r="458">
      <c r="A458" s="3" t="str">
        <f t="shared" si="1"/>
        <v/>
      </c>
      <c r="C458" s="3"/>
      <c r="D458" s="3"/>
      <c r="E458" s="3"/>
      <c r="F458" s="3"/>
      <c r="G458" s="3"/>
      <c r="H458" s="3"/>
      <c r="S458" s="3"/>
    </row>
    <row r="459">
      <c r="A459" s="3" t="str">
        <f t="shared" si="1"/>
        <v/>
      </c>
      <c r="C459" s="3"/>
      <c r="D459" s="3"/>
      <c r="E459" s="3"/>
      <c r="F459" s="3"/>
      <c r="G459" s="3"/>
      <c r="H459" s="3"/>
      <c r="S459" s="3"/>
    </row>
    <row r="460">
      <c r="A460" s="3" t="str">
        <f t="shared" si="1"/>
        <v/>
      </c>
      <c r="C460" s="3"/>
      <c r="D460" s="3"/>
      <c r="E460" s="3"/>
      <c r="F460" s="3"/>
      <c r="G460" s="3"/>
      <c r="H460" s="3"/>
      <c r="S460" s="3"/>
    </row>
    <row r="461">
      <c r="A461" s="3" t="str">
        <f t="shared" si="1"/>
        <v/>
      </c>
      <c r="C461" s="3"/>
      <c r="D461" s="3"/>
      <c r="E461" s="3"/>
      <c r="F461" s="3"/>
      <c r="G461" s="3"/>
      <c r="H461" s="3"/>
      <c r="S461" s="3"/>
    </row>
    <row r="462">
      <c r="A462" s="3" t="str">
        <f t="shared" si="1"/>
        <v/>
      </c>
      <c r="C462" s="3"/>
      <c r="D462" s="3"/>
      <c r="E462" s="3"/>
      <c r="F462" s="3"/>
      <c r="G462" s="3"/>
      <c r="H462" s="3"/>
      <c r="S462" s="3"/>
    </row>
    <row r="463">
      <c r="A463" s="3" t="str">
        <f t="shared" si="1"/>
        <v/>
      </c>
      <c r="C463" s="3"/>
      <c r="D463" s="3"/>
      <c r="E463" s="3"/>
      <c r="F463" s="3"/>
      <c r="G463" s="3"/>
      <c r="H463" s="3"/>
      <c r="S463" s="3"/>
    </row>
    <row r="464">
      <c r="A464" s="3" t="str">
        <f t="shared" si="1"/>
        <v/>
      </c>
      <c r="C464" s="3"/>
      <c r="D464" s="3"/>
      <c r="E464" s="3"/>
      <c r="F464" s="3"/>
      <c r="G464" s="3"/>
      <c r="H464" s="3"/>
      <c r="S464" s="3"/>
    </row>
    <row r="465">
      <c r="A465" s="3" t="str">
        <f t="shared" si="1"/>
        <v/>
      </c>
      <c r="C465" s="3"/>
      <c r="D465" s="3"/>
      <c r="E465" s="3"/>
      <c r="F465" s="3"/>
      <c r="G465" s="3"/>
      <c r="H465" s="3"/>
      <c r="S465" s="3"/>
    </row>
    <row r="466">
      <c r="A466" s="3" t="str">
        <f t="shared" si="1"/>
        <v/>
      </c>
      <c r="C466" s="3"/>
      <c r="D466" s="3"/>
      <c r="E466" s="3"/>
      <c r="F466" s="3"/>
      <c r="G466" s="3"/>
      <c r="H466" s="3"/>
      <c r="S466" s="3"/>
    </row>
    <row r="467">
      <c r="A467" s="3" t="str">
        <f t="shared" si="1"/>
        <v/>
      </c>
      <c r="C467" s="3"/>
      <c r="D467" s="3"/>
      <c r="E467" s="3"/>
      <c r="F467" s="3"/>
      <c r="G467" s="3"/>
      <c r="H467" s="3"/>
      <c r="S467" s="3"/>
    </row>
    <row r="468">
      <c r="A468" s="3" t="str">
        <f t="shared" si="1"/>
        <v/>
      </c>
      <c r="C468" s="3"/>
      <c r="D468" s="3"/>
      <c r="E468" s="3"/>
      <c r="F468" s="3"/>
      <c r="G468" s="3"/>
      <c r="H468" s="3"/>
      <c r="S468" s="3"/>
    </row>
    <row r="469">
      <c r="A469" s="3" t="str">
        <f t="shared" si="1"/>
        <v/>
      </c>
      <c r="C469" s="3"/>
      <c r="D469" s="3"/>
      <c r="E469" s="3"/>
      <c r="F469" s="3"/>
      <c r="G469" s="3"/>
      <c r="H469" s="3"/>
      <c r="S469" s="3"/>
    </row>
    <row r="470">
      <c r="A470" s="3" t="str">
        <f t="shared" si="1"/>
        <v/>
      </c>
      <c r="C470" s="3"/>
      <c r="D470" s="3"/>
      <c r="E470" s="3"/>
      <c r="F470" s="3"/>
      <c r="G470" s="3"/>
      <c r="H470" s="3"/>
      <c r="S470" s="3"/>
    </row>
    <row r="471">
      <c r="A471" s="3" t="str">
        <f t="shared" si="1"/>
        <v/>
      </c>
      <c r="C471" s="3"/>
      <c r="D471" s="3"/>
      <c r="E471" s="3"/>
      <c r="F471" s="3"/>
      <c r="G471" s="3"/>
      <c r="H471" s="3"/>
      <c r="S471" s="3"/>
    </row>
    <row r="472">
      <c r="A472" s="3" t="str">
        <f t="shared" si="1"/>
        <v/>
      </c>
      <c r="C472" s="3"/>
      <c r="D472" s="3"/>
      <c r="E472" s="3"/>
      <c r="F472" s="3"/>
      <c r="G472" s="3"/>
      <c r="H472" s="3"/>
      <c r="S472" s="3"/>
    </row>
    <row r="473">
      <c r="A473" s="3" t="str">
        <f t="shared" si="1"/>
        <v/>
      </c>
      <c r="C473" s="3"/>
      <c r="D473" s="3"/>
      <c r="E473" s="3"/>
      <c r="F473" s="3"/>
      <c r="G473" s="3"/>
      <c r="H473" s="3"/>
      <c r="S473" s="3"/>
    </row>
    <row r="474">
      <c r="A474" s="3" t="str">
        <f t="shared" si="1"/>
        <v/>
      </c>
      <c r="C474" s="3"/>
      <c r="D474" s="3"/>
      <c r="E474" s="3"/>
      <c r="F474" s="3"/>
      <c r="G474" s="3"/>
      <c r="H474" s="3"/>
      <c r="S474" s="3"/>
    </row>
    <row r="475">
      <c r="A475" s="3" t="str">
        <f t="shared" si="1"/>
        <v/>
      </c>
      <c r="C475" s="3"/>
      <c r="D475" s="3"/>
      <c r="E475" s="3"/>
      <c r="F475" s="3"/>
      <c r="G475" s="3"/>
      <c r="H475" s="3"/>
      <c r="S475" s="3"/>
    </row>
    <row r="476">
      <c r="A476" s="3" t="str">
        <f t="shared" si="1"/>
        <v/>
      </c>
      <c r="C476" s="3"/>
      <c r="D476" s="3"/>
      <c r="E476" s="3"/>
      <c r="F476" s="3"/>
      <c r="G476" s="3"/>
      <c r="H476" s="3"/>
      <c r="S476" s="3"/>
    </row>
    <row r="477">
      <c r="A477" s="3" t="str">
        <f t="shared" si="1"/>
        <v/>
      </c>
      <c r="C477" s="3"/>
      <c r="D477" s="3"/>
      <c r="E477" s="3"/>
      <c r="F477" s="3"/>
      <c r="G477" s="3"/>
      <c r="H477" s="3"/>
      <c r="S477" s="3"/>
    </row>
    <row r="478">
      <c r="A478" s="3" t="str">
        <f t="shared" si="1"/>
        <v/>
      </c>
      <c r="C478" s="3"/>
      <c r="D478" s="3"/>
      <c r="E478" s="3"/>
      <c r="F478" s="3"/>
      <c r="G478" s="3"/>
      <c r="H478" s="3"/>
      <c r="S478" s="3"/>
    </row>
    <row r="479">
      <c r="A479" s="3" t="str">
        <f t="shared" si="1"/>
        <v/>
      </c>
      <c r="C479" s="3"/>
      <c r="D479" s="3"/>
      <c r="E479" s="3"/>
      <c r="F479" s="3"/>
      <c r="G479" s="3"/>
      <c r="H479" s="3"/>
      <c r="S479" s="3"/>
    </row>
    <row r="480">
      <c r="A480" s="3" t="str">
        <f t="shared" si="1"/>
        <v/>
      </c>
      <c r="C480" s="3"/>
      <c r="D480" s="3"/>
      <c r="E480" s="3"/>
      <c r="F480" s="3"/>
      <c r="G480" s="3"/>
      <c r="H480" s="3"/>
      <c r="S480" s="3"/>
    </row>
    <row r="481">
      <c r="A481" s="3" t="str">
        <f t="shared" si="1"/>
        <v/>
      </c>
      <c r="C481" s="3"/>
      <c r="D481" s="3"/>
      <c r="E481" s="3"/>
      <c r="F481" s="3"/>
      <c r="G481" s="3"/>
      <c r="H481" s="3"/>
      <c r="S481" s="3"/>
    </row>
    <row r="482">
      <c r="A482" s="3" t="str">
        <f t="shared" si="1"/>
        <v/>
      </c>
      <c r="C482" s="3"/>
      <c r="D482" s="3"/>
      <c r="E482" s="3"/>
      <c r="F482" s="3"/>
      <c r="G482" s="3"/>
      <c r="H482" s="3"/>
      <c r="S482" s="3"/>
    </row>
    <row r="483">
      <c r="A483" s="3" t="str">
        <f t="shared" si="1"/>
        <v/>
      </c>
      <c r="C483" s="3"/>
      <c r="D483" s="3"/>
      <c r="E483" s="3"/>
      <c r="F483" s="3"/>
      <c r="G483" s="3"/>
      <c r="H483" s="3"/>
      <c r="S483" s="3"/>
    </row>
    <row r="484">
      <c r="A484" s="3" t="str">
        <f t="shared" si="1"/>
        <v/>
      </c>
      <c r="C484" s="3"/>
      <c r="D484" s="3"/>
      <c r="E484" s="3"/>
      <c r="F484" s="3"/>
      <c r="G484" s="3"/>
      <c r="H484" s="3"/>
      <c r="S484" s="3"/>
    </row>
    <row r="485">
      <c r="A485" s="3" t="str">
        <f t="shared" si="1"/>
        <v/>
      </c>
      <c r="C485" s="3"/>
      <c r="D485" s="3"/>
      <c r="E485" s="3"/>
      <c r="F485" s="3"/>
      <c r="G485" s="3"/>
      <c r="H485" s="3"/>
      <c r="S485" s="3"/>
    </row>
    <row r="486">
      <c r="A486" s="3" t="str">
        <f t="shared" si="1"/>
        <v/>
      </c>
      <c r="C486" s="3"/>
      <c r="D486" s="3"/>
      <c r="E486" s="3"/>
      <c r="F486" s="3"/>
      <c r="G486" s="3"/>
      <c r="H486" s="3"/>
      <c r="S486" s="3"/>
    </row>
    <row r="487">
      <c r="A487" s="3" t="str">
        <f t="shared" si="1"/>
        <v/>
      </c>
      <c r="C487" s="3"/>
      <c r="D487" s="3"/>
      <c r="E487" s="3"/>
      <c r="F487" s="3"/>
      <c r="G487" s="3"/>
      <c r="H487" s="3"/>
      <c r="S487" s="3"/>
    </row>
    <row r="488">
      <c r="A488" s="3" t="str">
        <f t="shared" si="1"/>
        <v/>
      </c>
      <c r="C488" s="3"/>
      <c r="D488" s="3"/>
      <c r="E488" s="3"/>
      <c r="F488" s="3"/>
      <c r="G488" s="3"/>
      <c r="H488" s="3"/>
      <c r="S488" s="3"/>
    </row>
    <row r="489">
      <c r="A489" s="3" t="str">
        <f t="shared" si="1"/>
        <v/>
      </c>
      <c r="C489" s="3"/>
      <c r="D489" s="3"/>
      <c r="E489" s="3"/>
      <c r="F489" s="3"/>
      <c r="G489" s="3"/>
      <c r="H489" s="3"/>
      <c r="S489" s="3"/>
    </row>
    <row r="490">
      <c r="A490" s="3" t="str">
        <f t="shared" si="1"/>
        <v/>
      </c>
      <c r="C490" s="3"/>
      <c r="D490" s="3"/>
      <c r="E490" s="3"/>
      <c r="F490" s="3"/>
      <c r="G490" s="3"/>
      <c r="H490" s="3"/>
      <c r="S490" s="3"/>
    </row>
    <row r="491">
      <c r="A491" s="3" t="str">
        <f t="shared" si="1"/>
        <v/>
      </c>
      <c r="C491" s="3"/>
      <c r="D491" s="3"/>
      <c r="E491" s="3"/>
      <c r="F491" s="3"/>
      <c r="G491" s="3"/>
      <c r="H491" s="3"/>
      <c r="S491" s="3"/>
    </row>
    <row r="492">
      <c r="A492" s="3" t="str">
        <f t="shared" si="1"/>
        <v/>
      </c>
      <c r="C492" s="3"/>
      <c r="D492" s="3"/>
      <c r="E492" s="3"/>
      <c r="F492" s="3"/>
      <c r="G492" s="3"/>
      <c r="H492" s="3"/>
      <c r="S492" s="3"/>
    </row>
    <row r="493">
      <c r="A493" s="3" t="str">
        <f t="shared" si="1"/>
        <v/>
      </c>
      <c r="C493" s="3"/>
      <c r="D493" s="3"/>
      <c r="E493" s="3"/>
      <c r="F493" s="3"/>
      <c r="G493" s="3"/>
      <c r="H493" s="3"/>
      <c r="S493" s="3"/>
    </row>
    <row r="494">
      <c r="A494" s="3" t="str">
        <f t="shared" si="1"/>
        <v/>
      </c>
      <c r="C494" s="3"/>
      <c r="D494" s="3"/>
      <c r="E494" s="3"/>
      <c r="F494" s="3"/>
      <c r="G494" s="3"/>
      <c r="H494" s="3"/>
      <c r="S494" s="3"/>
    </row>
    <row r="495">
      <c r="A495" s="3" t="str">
        <f t="shared" si="1"/>
        <v/>
      </c>
      <c r="C495" s="3"/>
      <c r="D495" s="3"/>
      <c r="E495" s="3"/>
      <c r="F495" s="3"/>
      <c r="G495" s="3"/>
      <c r="H495" s="3"/>
      <c r="S495" s="3"/>
    </row>
    <row r="496">
      <c r="A496" s="3" t="str">
        <f t="shared" si="1"/>
        <v/>
      </c>
      <c r="C496" s="3"/>
      <c r="D496" s="3"/>
      <c r="E496" s="3"/>
      <c r="F496" s="3"/>
      <c r="G496" s="3"/>
      <c r="H496" s="3"/>
      <c r="S496" s="3"/>
    </row>
    <row r="497">
      <c r="A497" s="3" t="str">
        <f t="shared" si="1"/>
        <v/>
      </c>
      <c r="C497" s="3"/>
      <c r="D497" s="3"/>
      <c r="E497" s="3"/>
      <c r="F497" s="3"/>
      <c r="G497" s="3"/>
      <c r="H497" s="3"/>
      <c r="S497" s="3"/>
    </row>
    <row r="498">
      <c r="A498" s="3" t="str">
        <f t="shared" si="1"/>
        <v/>
      </c>
      <c r="C498" s="3"/>
      <c r="D498" s="3"/>
      <c r="E498" s="3"/>
      <c r="F498" s="3"/>
      <c r="G498" s="3"/>
      <c r="H498" s="3"/>
      <c r="S498" s="3"/>
    </row>
    <row r="499">
      <c r="A499" s="3" t="str">
        <f t="shared" si="1"/>
        <v/>
      </c>
      <c r="C499" s="3"/>
      <c r="D499" s="3"/>
      <c r="E499" s="3"/>
      <c r="F499" s="3"/>
      <c r="G499" s="3"/>
      <c r="H499" s="3"/>
      <c r="S499" s="3"/>
    </row>
    <row r="500">
      <c r="A500" s="3" t="str">
        <f t="shared" si="1"/>
        <v/>
      </c>
      <c r="C500" s="3"/>
      <c r="D500" s="3"/>
      <c r="E500" s="3"/>
      <c r="F500" s="3"/>
      <c r="G500" s="3"/>
      <c r="H500" s="3"/>
      <c r="S500" s="3"/>
    </row>
    <row r="501">
      <c r="A501" s="3"/>
      <c r="C501" s="3"/>
      <c r="D501" s="3"/>
      <c r="E501" s="3"/>
      <c r="F501" s="3"/>
      <c r="G501" s="3"/>
      <c r="H501" s="3"/>
      <c r="S501" s="3"/>
    </row>
    <row r="502">
      <c r="A502" s="3"/>
      <c r="C502" s="3"/>
      <c r="D502" s="3"/>
      <c r="E502" s="3"/>
      <c r="F502" s="3"/>
      <c r="G502" s="3"/>
      <c r="H502" s="3"/>
      <c r="S502" s="3"/>
    </row>
    <row r="503">
      <c r="A503" s="3"/>
      <c r="C503" s="3"/>
      <c r="D503" s="3"/>
      <c r="E503" s="3"/>
      <c r="F503" s="3"/>
      <c r="G503" s="3"/>
      <c r="H503" s="3"/>
      <c r="S503" s="3"/>
    </row>
    <row r="504">
      <c r="A504" s="3"/>
      <c r="C504" s="3"/>
      <c r="D504" s="3"/>
      <c r="E504" s="3"/>
      <c r="F504" s="3"/>
      <c r="G504" s="3"/>
      <c r="H504" s="3"/>
      <c r="S504" s="3"/>
    </row>
    <row r="505">
      <c r="A505" s="3"/>
      <c r="C505" s="3"/>
      <c r="D505" s="3"/>
      <c r="E505" s="3"/>
      <c r="F505" s="3"/>
      <c r="G505" s="3"/>
      <c r="H505" s="3"/>
      <c r="S505" s="3"/>
    </row>
    <row r="506">
      <c r="A506" s="3"/>
      <c r="C506" s="3"/>
      <c r="D506" s="3"/>
      <c r="E506" s="3"/>
      <c r="F506" s="3"/>
      <c r="G506" s="3"/>
      <c r="H506" s="3"/>
      <c r="S506" s="3"/>
    </row>
    <row r="507">
      <c r="A507" s="3"/>
      <c r="C507" s="3"/>
      <c r="D507" s="3"/>
      <c r="E507" s="3"/>
      <c r="F507" s="3"/>
      <c r="G507" s="3"/>
      <c r="H507" s="3"/>
      <c r="S507" s="3"/>
    </row>
    <row r="508">
      <c r="A508" s="3"/>
      <c r="C508" s="3"/>
      <c r="D508" s="3"/>
      <c r="E508" s="3"/>
      <c r="F508" s="3"/>
      <c r="G508" s="3"/>
      <c r="H508" s="3"/>
      <c r="S508" s="3"/>
    </row>
    <row r="509">
      <c r="A509" s="3"/>
      <c r="C509" s="3"/>
      <c r="D509" s="3"/>
      <c r="E509" s="3"/>
      <c r="F509" s="3"/>
      <c r="G509" s="3"/>
      <c r="H509" s="3"/>
      <c r="S509" s="3"/>
    </row>
    <row r="510">
      <c r="A510" s="3"/>
      <c r="C510" s="3"/>
      <c r="D510" s="3"/>
      <c r="E510" s="3"/>
      <c r="F510" s="3"/>
      <c r="G510" s="3"/>
      <c r="H510" s="3"/>
      <c r="S510" s="3"/>
    </row>
    <row r="511">
      <c r="A511" s="3"/>
      <c r="C511" s="3"/>
      <c r="D511" s="3"/>
      <c r="E511" s="3"/>
      <c r="F511" s="3"/>
      <c r="G511" s="3"/>
      <c r="H511" s="3"/>
      <c r="S511" s="3"/>
    </row>
    <row r="512">
      <c r="A512" s="3"/>
      <c r="C512" s="3"/>
      <c r="D512" s="3"/>
      <c r="E512" s="3"/>
      <c r="F512" s="3"/>
      <c r="G512" s="3"/>
      <c r="H512" s="3"/>
      <c r="S512" s="3"/>
    </row>
    <row r="513">
      <c r="A513" s="3"/>
      <c r="C513" s="3"/>
      <c r="D513" s="3"/>
      <c r="E513" s="3"/>
      <c r="F513" s="3"/>
      <c r="G513" s="3"/>
      <c r="H513" s="3"/>
      <c r="S513" s="3"/>
    </row>
    <row r="514">
      <c r="A514" s="3"/>
      <c r="C514" s="3"/>
      <c r="D514" s="3"/>
      <c r="E514" s="3"/>
      <c r="F514" s="3"/>
      <c r="G514" s="3"/>
      <c r="H514" s="3"/>
      <c r="S514" s="3"/>
    </row>
    <row r="515">
      <c r="A515" s="3"/>
      <c r="C515" s="3"/>
      <c r="D515" s="3"/>
      <c r="E515" s="3"/>
      <c r="F515" s="3"/>
      <c r="G515" s="3"/>
      <c r="H515" s="3"/>
      <c r="S515" s="3"/>
    </row>
    <row r="516">
      <c r="A516" s="3"/>
      <c r="C516" s="3"/>
      <c r="D516" s="3"/>
      <c r="E516" s="3"/>
      <c r="F516" s="3"/>
      <c r="G516" s="3"/>
      <c r="H516" s="3"/>
      <c r="S516" s="3"/>
    </row>
    <row r="517">
      <c r="A517" s="3"/>
      <c r="C517" s="3"/>
      <c r="D517" s="3"/>
      <c r="E517" s="3"/>
      <c r="F517" s="3"/>
      <c r="G517" s="3"/>
      <c r="H517" s="3"/>
      <c r="S517" s="3"/>
    </row>
    <row r="518">
      <c r="A518" s="3"/>
      <c r="C518" s="3"/>
      <c r="D518" s="3"/>
      <c r="E518" s="3"/>
      <c r="F518" s="3"/>
      <c r="G518" s="3"/>
      <c r="H518" s="3"/>
      <c r="S518" s="3"/>
    </row>
    <row r="519">
      <c r="A519" s="3"/>
      <c r="C519" s="3"/>
      <c r="D519" s="3"/>
      <c r="E519" s="3"/>
      <c r="F519" s="3"/>
      <c r="G519" s="3"/>
      <c r="H519" s="3"/>
      <c r="S519" s="3"/>
    </row>
    <row r="520">
      <c r="A520" s="3"/>
      <c r="C520" s="3"/>
      <c r="D520" s="3"/>
      <c r="E520" s="3"/>
      <c r="F520" s="3"/>
      <c r="G520" s="3"/>
      <c r="H520" s="3"/>
      <c r="S520" s="3"/>
    </row>
    <row r="521">
      <c r="A521" s="3"/>
      <c r="C521" s="3"/>
      <c r="D521" s="3"/>
      <c r="E521" s="3"/>
      <c r="F521" s="3"/>
      <c r="G521" s="3"/>
      <c r="H521" s="3"/>
      <c r="S521" s="3"/>
    </row>
    <row r="522">
      <c r="A522" s="3"/>
      <c r="C522" s="3"/>
      <c r="D522" s="3"/>
      <c r="E522" s="3"/>
      <c r="F522" s="3"/>
      <c r="G522" s="3"/>
      <c r="H522" s="3"/>
      <c r="S522" s="3"/>
    </row>
    <row r="523">
      <c r="A523" s="3"/>
      <c r="C523" s="3"/>
      <c r="D523" s="3"/>
      <c r="E523" s="3"/>
      <c r="F523" s="3"/>
      <c r="G523" s="3"/>
      <c r="H523" s="3"/>
      <c r="S523" s="3"/>
    </row>
    <row r="524">
      <c r="A524" s="3"/>
      <c r="C524" s="3"/>
      <c r="D524" s="3"/>
      <c r="E524" s="3"/>
      <c r="F524" s="3"/>
      <c r="G524" s="3"/>
      <c r="H524" s="3"/>
      <c r="S524" s="3"/>
    </row>
    <row r="525">
      <c r="A525" s="3"/>
      <c r="C525" s="3"/>
      <c r="D525" s="3"/>
      <c r="E525" s="3"/>
      <c r="F525" s="3"/>
      <c r="G525" s="3"/>
      <c r="H525" s="3"/>
      <c r="S525" s="3"/>
    </row>
    <row r="526">
      <c r="A526" s="3"/>
      <c r="C526" s="3"/>
      <c r="D526" s="3"/>
      <c r="E526" s="3"/>
      <c r="F526" s="3"/>
      <c r="G526" s="3"/>
      <c r="H526" s="3"/>
      <c r="S526" s="3"/>
    </row>
    <row r="527">
      <c r="A527" s="3"/>
      <c r="C527" s="3"/>
      <c r="D527" s="3"/>
      <c r="E527" s="3"/>
      <c r="F527" s="3"/>
      <c r="G527" s="3"/>
      <c r="H527" s="3"/>
      <c r="S527" s="3"/>
    </row>
    <row r="528">
      <c r="A528" s="3"/>
      <c r="C528" s="3"/>
      <c r="D528" s="3"/>
      <c r="E528" s="3"/>
      <c r="F528" s="3"/>
      <c r="G528" s="3"/>
      <c r="H528" s="3"/>
      <c r="S528" s="3"/>
    </row>
    <row r="529">
      <c r="A529" s="3"/>
      <c r="C529" s="3"/>
      <c r="D529" s="3"/>
      <c r="E529" s="3"/>
      <c r="F529" s="3"/>
      <c r="G529" s="3"/>
      <c r="H529" s="3"/>
      <c r="S529" s="3"/>
    </row>
    <row r="530">
      <c r="A530" s="3"/>
      <c r="C530" s="3"/>
      <c r="D530" s="3"/>
      <c r="E530" s="3"/>
      <c r="F530" s="3"/>
      <c r="G530" s="3"/>
      <c r="H530" s="3"/>
      <c r="S530" s="3"/>
    </row>
    <row r="531">
      <c r="A531" s="3"/>
      <c r="C531" s="3"/>
      <c r="D531" s="3"/>
      <c r="E531" s="3"/>
      <c r="F531" s="3"/>
      <c r="G531" s="3"/>
      <c r="H531" s="3"/>
      <c r="S531" s="3"/>
    </row>
    <row r="532">
      <c r="A532" s="3"/>
      <c r="C532" s="3"/>
      <c r="D532" s="3"/>
      <c r="E532" s="3"/>
      <c r="F532" s="3"/>
      <c r="G532" s="3"/>
      <c r="H532" s="3"/>
      <c r="S532" s="3"/>
    </row>
    <row r="533">
      <c r="A533" s="3"/>
      <c r="C533" s="3"/>
      <c r="D533" s="3"/>
      <c r="E533" s="3"/>
      <c r="F533" s="3"/>
      <c r="G533" s="3"/>
      <c r="H533" s="3"/>
      <c r="S533" s="3"/>
    </row>
    <row r="534">
      <c r="A534" s="3"/>
      <c r="C534" s="3"/>
      <c r="D534" s="3"/>
      <c r="E534" s="3"/>
      <c r="F534" s="3"/>
      <c r="G534" s="3"/>
      <c r="H534" s="3"/>
      <c r="S534" s="3"/>
    </row>
    <row r="535">
      <c r="A535" s="3"/>
      <c r="C535" s="3"/>
      <c r="D535" s="3"/>
      <c r="E535" s="3"/>
      <c r="F535" s="3"/>
      <c r="G535" s="3"/>
      <c r="H535" s="3"/>
      <c r="S535" s="3"/>
    </row>
    <row r="536">
      <c r="A536" s="3"/>
      <c r="C536" s="3"/>
      <c r="D536" s="3"/>
      <c r="E536" s="3"/>
      <c r="F536" s="3"/>
      <c r="G536" s="3"/>
      <c r="H536" s="3"/>
      <c r="S536" s="3"/>
    </row>
    <row r="537">
      <c r="A537" s="3"/>
      <c r="C537" s="3"/>
      <c r="D537" s="3"/>
      <c r="E537" s="3"/>
      <c r="F537" s="3"/>
      <c r="G537" s="3"/>
      <c r="H537" s="3"/>
      <c r="S537" s="3"/>
    </row>
    <row r="538">
      <c r="A538" s="3"/>
      <c r="C538" s="3"/>
      <c r="D538" s="3"/>
      <c r="E538" s="3"/>
      <c r="F538" s="3"/>
      <c r="G538" s="3"/>
      <c r="H538" s="3"/>
      <c r="S538" s="3"/>
    </row>
    <row r="539">
      <c r="A539" s="3"/>
      <c r="C539" s="3"/>
      <c r="D539" s="3"/>
      <c r="E539" s="3"/>
      <c r="F539" s="3"/>
      <c r="G539" s="3"/>
      <c r="H539" s="3"/>
      <c r="S539" s="3"/>
    </row>
    <row r="540">
      <c r="A540" s="3"/>
      <c r="C540" s="3"/>
      <c r="D540" s="3"/>
      <c r="E540" s="3"/>
      <c r="F540" s="3"/>
      <c r="G540" s="3"/>
      <c r="H540" s="3"/>
      <c r="S540" s="3"/>
    </row>
    <row r="541">
      <c r="A541" s="3"/>
      <c r="C541" s="3"/>
      <c r="D541" s="3"/>
      <c r="E541" s="3"/>
      <c r="F541" s="3"/>
      <c r="G541" s="3"/>
      <c r="H541" s="3"/>
      <c r="S541" s="3"/>
    </row>
    <row r="542">
      <c r="A542" s="3"/>
      <c r="C542" s="3"/>
      <c r="D542" s="3"/>
      <c r="E542" s="3"/>
      <c r="F542" s="3"/>
      <c r="G542" s="3"/>
      <c r="H542" s="3"/>
      <c r="S542" s="3"/>
    </row>
    <row r="543">
      <c r="A543" s="3"/>
      <c r="C543" s="3"/>
      <c r="D543" s="3"/>
      <c r="E543" s="3"/>
      <c r="F543" s="3"/>
      <c r="G543" s="3"/>
      <c r="H543" s="3"/>
      <c r="S543" s="3"/>
    </row>
    <row r="544">
      <c r="A544" s="3"/>
      <c r="C544" s="3"/>
      <c r="D544" s="3"/>
      <c r="E544" s="3"/>
      <c r="F544" s="3"/>
      <c r="G544" s="3"/>
      <c r="H544" s="3"/>
      <c r="S544" s="3"/>
    </row>
    <row r="545">
      <c r="A545" s="3"/>
      <c r="C545" s="3"/>
      <c r="D545" s="3"/>
      <c r="E545" s="3"/>
      <c r="F545" s="3"/>
      <c r="G545" s="3"/>
      <c r="H545" s="3"/>
      <c r="S545" s="3"/>
    </row>
    <row r="546">
      <c r="A546" s="3"/>
      <c r="C546" s="3"/>
      <c r="D546" s="3"/>
      <c r="E546" s="3"/>
      <c r="F546" s="3"/>
      <c r="G546" s="3"/>
      <c r="H546" s="3"/>
      <c r="S546" s="3"/>
    </row>
    <row r="547">
      <c r="A547" s="3"/>
      <c r="C547" s="3"/>
      <c r="D547" s="3"/>
      <c r="E547" s="3"/>
      <c r="F547" s="3"/>
      <c r="G547" s="3"/>
      <c r="H547" s="3"/>
      <c r="S547" s="3"/>
    </row>
    <row r="548">
      <c r="A548" s="3"/>
      <c r="C548" s="3"/>
      <c r="D548" s="3"/>
      <c r="E548" s="3"/>
      <c r="F548" s="3"/>
      <c r="G548" s="3"/>
      <c r="H548" s="3"/>
      <c r="S548" s="3"/>
    </row>
    <row r="549">
      <c r="A549" s="3"/>
      <c r="C549" s="3"/>
      <c r="D549" s="3"/>
      <c r="E549" s="3"/>
      <c r="F549" s="3"/>
      <c r="G549" s="3"/>
      <c r="H549" s="3"/>
      <c r="S549" s="3"/>
    </row>
    <row r="550">
      <c r="A550" s="3"/>
      <c r="C550" s="3"/>
      <c r="D550" s="3"/>
      <c r="E550" s="3"/>
      <c r="F550" s="3"/>
      <c r="G550" s="3"/>
      <c r="H550" s="3"/>
      <c r="S550" s="3"/>
    </row>
    <row r="551">
      <c r="A551" s="3"/>
      <c r="C551" s="3"/>
      <c r="D551" s="3"/>
      <c r="E551" s="3"/>
      <c r="F551" s="3"/>
      <c r="G551" s="3"/>
      <c r="H551" s="3"/>
      <c r="S551" s="3"/>
    </row>
    <row r="552">
      <c r="A552" s="3"/>
      <c r="C552" s="3"/>
      <c r="D552" s="3"/>
      <c r="E552" s="3"/>
      <c r="F552" s="3"/>
      <c r="G552" s="3"/>
      <c r="H552" s="3"/>
      <c r="S552" s="3"/>
    </row>
    <row r="553">
      <c r="A553" s="3"/>
      <c r="C553" s="3"/>
      <c r="D553" s="3"/>
      <c r="E553" s="3"/>
      <c r="F553" s="3"/>
      <c r="G553" s="3"/>
      <c r="H553" s="3"/>
      <c r="S553" s="3"/>
    </row>
    <row r="554">
      <c r="A554" s="3"/>
      <c r="C554" s="3"/>
      <c r="D554" s="3"/>
      <c r="E554" s="3"/>
      <c r="F554" s="3"/>
      <c r="G554" s="3"/>
      <c r="H554" s="3"/>
      <c r="S554" s="3"/>
    </row>
    <row r="555">
      <c r="A555" s="3"/>
      <c r="C555" s="3"/>
      <c r="D555" s="3"/>
      <c r="E555" s="3"/>
      <c r="F555" s="3"/>
      <c r="G555" s="3"/>
      <c r="H555" s="3"/>
      <c r="S555" s="3"/>
    </row>
    <row r="556">
      <c r="A556" s="3"/>
      <c r="C556" s="3"/>
      <c r="D556" s="3"/>
      <c r="E556" s="3"/>
      <c r="F556" s="3"/>
      <c r="G556" s="3"/>
      <c r="H556" s="3"/>
      <c r="S556" s="3"/>
    </row>
    <row r="557">
      <c r="A557" s="3"/>
      <c r="C557" s="3"/>
      <c r="D557" s="3"/>
      <c r="E557" s="3"/>
      <c r="F557" s="3"/>
      <c r="G557" s="3"/>
      <c r="H557" s="3"/>
      <c r="S557" s="3"/>
    </row>
    <row r="558">
      <c r="A558" s="3"/>
      <c r="C558" s="3"/>
      <c r="D558" s="3"/>
      <c r="E558" s="3"/>
      <c r="F558" s="3"/>
      <c r="G558" s="3"/>
      <c r="H558" s="3"/>
      <c r="S558" s="3"/>
    </row>
    <row r="559">
      <c r="A559" s="3"/>
      <c r="C559" s="3"/>
      <c r="D559" s="3"/>
      <c r="E559" s="3"/>
      <c r="F559" s="3"/>
      <c r="G559" s="3"/>
      <c r="H559" s="3"/>
      <c r="S559" s="3"/>
    </row>
    <row r="560">
      <c r="A560" s="3"/>
      <c r="C560" s="3"/>
      <c r="D560" s="3"/>
      <c r="E560" s="3"/>
      <c r="F560" s="3"/>
      <c r="G560" s="3"/>
      <c r="H560" s="3"/>
      <c r="S560" s="3"/>
    </row>
    <row r="561">
      <c r="A561" s="3"/>
      <c r="C561" s="3"/>
      <c r="D561" s="3"/>
      <c r="E561" s="3"/>
      <c r="F561" s="3"/>
      <c r="G561" s="3"/>
      <c r="H561" s="3"/>
      <c r="S561" s="3"/>
    </row>
    <row r="562">
      <c r="A562" s="3"/>
      <c r="C562" s="3"/>
      <c r="D562" s="3"/>
      <c r="E562" s="3"/>
      <c r="F562" s="3"/>
      <c r="G562" s="3"/>
      <c r="H562" s="3"/>
      <c r="S562" s="3"/>
    </row>
    <row r="563">
      <c r="A563" s="3"/>
      <c r="C563" s="3"/>
      <c r="D563" s="3"/>
      <c r="E563" s="3"/>
      <c r="F563" s="3"/>
      <c r="G563" s="3"/>
      <c r="H563" s="3"/>
      <c r="S563" s="3"/>
    </row>
    <row r="564">
      <c r="A564" s="3"/>
      <c r="C564" s="3"/>
      <c r="D564" s="3"/>
      <c r="E564" s="3"/>
      <c r="F564" s="3"/>
      <c r="G564" s="3"/>
      <c r="H564" s="3"/>
      <c r="S564" s="3"/>
    </row>
    <row r="565">
      <c r="A565" s="3"/>
      <c r="C565" s="3"/>
      <c r="D565" s="3"/>
      <c r="E565" s="3"/>
      <c r="F565" s="3"/>
      <c r="G565" s="3"/>
      <c r="H565" s="3"/>
      <c r="S565" s="3"/>
    </row>
    <row r="566">
      <c r="A566" s="3"/>
      <c r="C566" s="3"/>
      <c r="D566" s="3"/>
      <c r="E566" s="3"/>
      <c r="F566" s="3"/>
      <c r="G566" s="3"/>
      <c r="H566" s="3"/>
      <c r="S566" s="3"/>
    </row>
    <row r="567">
      <c r="A567" s="3"/>
      <c r="C567" s="3"/>
      <c r="D567" s="3"/>
      <c r="E567" s="3"/>
      <c r="F567" s="3"/>
      <c r="G567" s="3"/>
      <c r="H567" s="3"/>
      <c r="S567" s="3"/>
    </row>
    <row r="568">
      <c r="A568" s="3"/>
      <c r="C568" s="3"/>
      <c r="D568" s="3"/>
      <c r="E568" s="3"/>
      <c r="F568" s="3"/>
      <c r="G568" s="3"/>
      <c r="H568" s="3"/>
      <c r="S568" s="3"/>
    </row>
    <row r="569">
      <c r="A569" s="3"/>
      <c r="C569" s="3"/>
      <c r="D569" s="3"/>
      <c r="E569" s="3"/>
      <c r="F569" s="3"/>
      <c r="G569" s="3"/>
      <c r="H569" s="3"/>
      <c r="S569" s="3"/>
    </row>
    <row r="570">
      <c r="A570" s="3"/>
      <c r="C570" s="3"/>
      <c r="D570" s="3"/>
      <c r="E570" s="3"/>
      <c r="F570" s="3"/>
      <c r="G570" s="3"/>
      <c r="H570" s="3"/>
      <c r="S570" s="3"/>
    </row>
    <row r="571">
      <c r="A571" s="3"/>
      <c r="C571" s="3"/>
      <c r="D571" s="3"/>
      <c r="E571" s="3"/>
      <c r="F571" s="3"/>
      <c r="G571" s="3"/>
      <c r="H571" s="3"/>
      <c r="S571" s="3"/>
    </row>
    <row r="572">
      <c r="A572" s="3"/>
      <c r="C572" s="3"/>
      <c r="D572" s="3"/>
      <c r="E572" s="3"/>
      <c r="F572" s="3"/>
      <c r="G572" s="3"/>
      <c r="H572" s="3"/>
      <c r="S572" s="3"/>
    </row>
    <row r="573">
      <c r="A573" s="3"/>
      <c r="C573" s="3"/>
      <c r="D573" s="3"/>
      <c r="E573" s="3"/>
      <c r="F573" s="3"/>
      <c r="G573" s="3"/>
      <c r="H573" s="3"/>
      <c r="S573" s="3"/>
    </row>
    <row r="574">
      <c r="A574" s="3"/>
      <c r="C574" s="3"/>
      <c r="D574" s="3"/>
      <c r="E574" s="3"/>
      <c r="F574" s="3"/>
      <c r="G574" s="3"/>
      <c r="H574" s="3"/>
      <c r="S574" s="3"/>
    </row>
    <row r="575">
      <c r="A575" s="3"/>
      <c r="C575" s="3"/>
      <c r="D575" s="3"/>
      <c r="E575" s="3"/>
      <c r="F575" s="3"/>
      <c r="G575" s="3"/>
      <c r="H575" s="3"/>
      <c r="S575" s="3"/>
    </row>
    <row r="576">
      <c r="A576" s="3"/>
      <c r="C576" s="3"/>
      <c r="D576" s="3"/>
      <c r="E576" s="3"/>
      <c r="F576" s="3"/>
      <c r="G576" s="3"/>
      <c r="H576" s="3"/>
      <c r="S576" s="3"/>
    </row>
    <row r="577">
      <c r="A577" s="3"/>
      <c r="C577" s="3"/>
      <c r="D577" s="3"/>
      <c r="E577" s="3"/>
      <c r="F577" s="3"/>
      <c r="G577" s="3"/>
      <c r="H577" s="3"/>
      <c r="S577" s="3"/>
    </row>
    <row r="578">
      <c r="A578" s="3"/>
      <c r="C578" s="3"/>
      <c r="D578" s="3"/>
      <c r="E578" s="3"/>
      <c r="F578" s="3"/>
      <c r="G578" s="3"/>
      <c r="H578" s="3"/>
      <c r="S578" s="3"/>
    </row>
    <row r="579">
      <c r="A579" s="3"/>
      <c r="C579" s="3"/>
      <c r="D579" s="3"/>
      <c r="E579" s="3"/>
      <c r="F579" s="3"/>
      <c r="G579" s="3"/>
      <c r="H579" s="3"/>
      <c r="S579" s="3"/>
    </row>
    <row r="580">
      <c r="A580" s="3"/>
      <c r="C580" s="3"/>
      <c r="D580" s="3"/>
      <c r="E580" s="3"/>
      <c r="F580" s="3"/>
      <c r="G580" s="3"/>
      <c r="H580" s="3"/>
      <c r="S580" s="3"/>
    </row>
    <row r="581">
      <c r="A581" s="3"/>
      <c r="C581" s="3"/>
      <c r="D581" s="3"/>
      <c r="E581" s="3"/>
      <c r="F581" s="3"/>
      <c r="G581" s="3"/>
      <c r="H581" s="3"/>
      <c r="S581" s="3"/>
    </row>
    <row r="582">
      <c r="A582" s="3"/>
      <c r="C582" s="3"/>
      <c r="D582" s="3"/>
      <c r="E582" s="3"/>
      <c r="F582" s="3"/>
      <c r="G582" s="3"/>
      <c r="H582" s="3"/>
      <c r="S582" s="3"/>
    </row>
    <row r="583">
      <c r="A583" s="3"/>
      <c r="C583" s="3"/>
      <c r="D583" s="3"/>
      <c r="E583" s="3"/>
      <c r="F583" s="3"/>
      <c r="G583" s="3"/>
      <c r="H583" s="3"/>
      <c r="S583" s="3"/>
    </row>
    <row r="584">
      <c r="A584" s="3"/>
      <c r="C584" s="3"/>
      <c r="D584" s="3"/>
      <c r="E584" s="3"/>
      <c r="F584" s="3"/>
      <c r="G584" s="3"/>
      <c r="H584" s="3"/>
      <c r="S584" s="3"/>
    </row>
    <row r="585">
      <c r="A585" s="3"/>
      <c r="C585" s="3"/>
      <c r="D585" s="3"/>
      <c r="E585" s="3"/>
      <c r="F585" s="3"/>
      <c r="G585" s="3"/>
      <c r="H585" s="3"/>
      <c r="S585" s="3"/>
    </row>
    <row r="586">
      <c r="A586" s="3"/>
      <c r="C586" s="3"/>
      <c r="D586" s="3"/>
      <c r="E586" s="3"/>
      <c r="F586" s="3"/>
      <c r="G586" s="3"/>
      <c r="H586" s="3"/>
      <c r="S586" s="3"/>
    </row>
    <row r="587">
      <c r="A587" s="3"/>
      <c r="C587" s="3"/>
      <c r="D587" s="3"/>
      <c r="E587" s="3"/>
      <c r="F587" s="3"/>
      <c r="G587" s="3"/>
      <c r="H587" s="3"/>
      <c r="S587" s="3"/>
    </row>
    <row r="588">
      <c r="A588" s="3"/>
      <c r="C588" s="3"/>
      <c r="D588" s="3"/>
      <c r="E588" s="3"/>
      <c r="F588" s="3"/>
      <c r="G588" s="3"/>
      <c r="H588" s="3"/>
      <c r="S588" s="3"/>
    </row>
    <row r="589">
      <c r="A589" s="3"/>
      <c r="C589" s="3"/>
      <c r="D589" s="3"/>
      <c r="E589" s="3"/>
      <c r="F589" s="3"/>
      <c r="G589" s="3"/>
      <c r="H589" s="3"/>
      <c r="S589" s="3"/>
    </row>
    <row r="590">
      <c r="A590" s="3"/>
      <c r="C590" s="3"/>
      <c r="D590" s="3"/>
      <c r="E590" s="3"/>
      <c r="F590" s="3"/>
      <c r="G590" s="3"/>
      <c r="H590" s="3"/>
      <c r="S590" s="3"/>
    </row>
    <row r="591">
      <c r="A591" s="3"/>
      <c r="C591" s="3"/>
      <c r="D591" s="3"/>
      <c r="E591" s="3"/>
      <c r="F591" s="3"/>
      <c r="G591" s="3"/>
      <c r="H591" s="3"/>
      <c r="S591" s="3"/>
    </row>
    <row r="592">
      <c r="A592" s="3"/>
      <c r="C592" s="3"/>
      <c r="D592" s="3"/>
      <c r="E592" s="3"/>
      <c r="F592" s="3"/>
      <c r="G592" s="3"/>
      <c r="H592" s="3"/>
      <c r="S592" s="3"/>
    </row>
    <row r="593">
      <c r="A593" s="3"/>
      <c r="C593" s="3"/>
      <c r="D593" s="3"/>
      <c r="E593" s="3"/>
      <c r="F593" s="3"/>
      <c r="G593" s="3"/>
      <c r="H593" s="3"/>
      <c r="S593" s="3"/>
    </row>
    <row r="594">
      <c r="A594" s="3"/>
      <c r="C594" s="3"/>
      <c r="D594" s="3"/>
      <c r="E594" s="3"/>
      <c r="F594" s="3"/>
      <c r="G594" s="3"/>
      <c r="H594" s="3"/>
      <c r="S594" s="3"/>
    </row>
    <row r="595">
      <c r="A595" s="3"/>
      <c r="C595" s="3"/>
      <c r="D595" s="3"/>
      <c r="E595" s="3"/>
      <c r="F595" s="3"/>
      <c r="G595" s="3"/>
      <c r="H595" s="3"/>
      <c r="S595" s="3"/>
    </row>
    <row r="596">
      <c r="A596" s="3"/>
      <c r="C596" s="3"/>
      <c r="D596" s="3"/>
      <c r="E596" s="3"/>
      <c r="F596" s="3"/>
      <c r="G596" s="3"/>
      <c r="H596" s="3"/>
      <c r="S596" s="3"/>
    </row>
    <row r="597">
      <c r="A597" s="3"/>
      <c r="C597" s="3"/>
      <c r="D597" s="3"/>
      <c r="E597" s="3"/>
      <c r="F597" s="3"/>
      <c r="G597" s="3"/>
      <c r="H597" s="3"/>
      <c r="S597" s="3"/>
    </row>
    <row r="598">
      <c r="A598" s="3"/>
      <c r="C598" s="3"/>
      <c r="D598" s="3"/>
      <c r="E598" s="3"/>
      <c r="F598" s="3"/>
      <c r="G598" s="3"/>
      <c r="H598" s="3"/>
      <c r="S598" s="3"/>
    </row>
    <row r="599">
      <c r="A599" s="3"/>
      <c r="C599" s="3"/>
      <c r="D599" s="3"/>
      <c r="E599" s="3"/>
      <c r="F599" s="3"/>
      <c r="G599" s="3"/>
      <c r="H599" s="3"/>
      <c r="S599" s="3"/>
    </row>
    <row r="600">
      <c r="A600" s="3"/>
      <c r="C600" s="3"/>
      <c r="D600" s="3"/>
      <c r="E600" s="3"/>
      <c r="F600" s="3"/>
      <c r="G600" s="3"/>
      <c r="H600" s="3"/>
      <c r="S600" s="3"/>
    </row>
    <row r="601">
      <c r="A601" s="3"/>
      <c r="C601" s="3"/>
      <c r="D601" s="3"/>
      <c r="E601" s="3"/>
      <c r="F601" s="3"/>
      <c r="G601" s="3"/>
      <c r="H601" s="3"/>
      <c r="S601" s="3"/>
    </row>
    <row r="602">
      <c r="A602" s="3"/>
      <c r="C602" s="3"/>
      <c r="D602" s="3"/>
      <c r="E602" s="3"/>
      <c r="F602" s="3"/>
      <c r="G602" s="3"/>
      <c r="H602" s="3"/>
      <c r="S602" s="3"/>
    </row>
    <row r="603">
      <c r="A603" s="3"/>
      <c r="C603" s="3"/>
      <c r="D603" s="3"/>
      <c r="E603" s="3"/>
      <c r="F603" s="3"/>
      <c r="G603" s="3"/>
      <c r="H603" s="3"/>
      <c r="S603" s="3"/>
    </row>
    <row r="604">
      <c r="A604" s="3"/>
      <c r="C604" s="3"/>
      <c r="D604" s="3"/>
      <c r="E604" s="3"/>
      <c r="F604" s="3"/>
      <c r="G604" s="3"/>
      <c r="H604" s="3"/>
      <c r="S604" s="3"/>
    </row>
    <row r="605">
      <c r="A605" s="3"/>
      <c r="C605" s="3"/>
      <c r="D605" s="3"/>
      <c r="E605" s="3"/>
      <c r="F605" s="3"/>
      <c r="G605" s="3"/>
      <c r="H605" s="3"/>
      <c r="S605" s="3"/>
    </row>
    <row r="606">
      <c r="A606" s="3"/>
      <c r="C606" s="3"/>
      <c r="D606" s="3"/>
      <c r="E606" s="3"/>
      <c r="F606" s="3"/>
      <c r="G606" s="3"/>
      <c r="H606" s="3"/>
      <c r="S606" s="3"/>
    </row>
    <row r="607">
      <c r="A607" s="3"/>
      <c r="C607" s="3"/>
      <c r="D607" s="3"/>
      <c r="E607" s="3"/>
      <c r="F607" s="3"/>
      <c r="G607" s="3"/>
      <c r="H607" s="3"/>
      <c r="S607" s="3"/>
    </row>
    <row r="608">
      <c r="A608" s="3"/>
      <c r="C608" s="3"/>
      <c r="D608" s="3"/>
      <c r="E608" s="3"/>
      <c r="F608" s="3"/>
      <c r="G608" s="3"/>
      <c r="H608" s="3"/>
      <c r="S608" s="3"/>
    </row>
    <row r="609">
      <c r="A609" s="3"/>
      <c r="C609" s="3"/>
      <c r="D609" s="3"/>
      <c r="E609" s="3"/>
      <c r="F609" s="3"/>
      <c r="G609" s="3"/>
      <c r="H609" s="3"/>
      <c r="S609" s="3"/>
    </row>
    <row r="610">
      <c r="A610" s="3"/>
      <c r="C610" s="3"/>
      <c r="D610" s="3"/>
      <c r="E610" s="3"/>
      <c r="F610" s="3"/>
      <c r="G610" s="3"/>
      <c r="H610" s="3"/>
      <c r="S610" s="3"/>
    </row>
    <row r="611">
      <c r="A611" s="3"/>
      <c r="C611" s="3"/>
      <c r="D611" s="3"/>
      <c r="E611" s="3"/>
      <c r="F611" s="3"/>
      <c r="G611" s="3"/>
      <c r="H611" s="3"/>
      <c r="S611" s="3"/>
    </row>
    <row r="612">
      <c r="A612" s="3"/>
      <c r="C612" s="3"/>
      <c r="D612" s="3"/>
      <c r="E612" s="3"/>
      <c r="F612" s="3"/>
      <c r="G612" s="3"/>
      <c r="H612" s="3"/>
      <c r="S612" s="3"/>
    </row>
    <row r="613">
      <c r="A613" s="3"/>
      <c r="C613" s="3"/>
      <c r="D613" s="3"/>
      <c r="E613" s="3"/>
      <c r="F613" s="3"/>
      <c r="G613" s="3"/>
      <c r="H613" s="3"/>
      <c r="S613" s="3"/>
    </row>
    <row r="614">
      <c r="A614" s="3"/>
      <c r="C614" s="3"/>
      <c r="D614" s="3"/>
      <c r="E614" s="3"/>
      <c r="F614" s="3"/>
      <c r="G614" s="3"/>
      <c r="H614" s="3"/>
      <c r="S614" s="3"/>
    </row>
    <row r="615">
      <c r="A615" s="3"/>
      <c r="C615" s="3"/>
      <c r="D615" s="3"/>
      <c r="E615" s="3"/>
      <c r="F615" s="3"/>
      <c r="G615" s="3"/>
      <c r="H615" s="3"/>
      <c r="S615" s="3"/>
    </row>
    <row r="616">
      <c r="A616" s="3"/>
      <c r="C616" s="3"/>
      <c r="D616" s="3"/>
      <c r="E616" s="3"/>
      <c r="F616" s="3"/>
      <c r="G616" s="3"/>
      <c r="H616" s="3"/>
      <c r="S616" s="3"/>
    </row>
    <row r="617">
      <c r="A617" s="3"/>
      <c r="C617" s="3"/>
      <c r="D617" s="3"/>
      <c r="E617" s="3"/>
      <c r="F617" s="3"/>
      <c r="G617" s="3"/>
      <c r="H617" s="3"/>
      <c r="S617" s="3"/>
    </row>
    <row r="618">
      <c r="A618" s="3"/>
      <c r="C618" s="3"/>
      <c r="D618" s="3"/>
      <c r="E618" s="3"/>
      <c r="F618" s="3"/>
      <c r="G618" s="3"/>
      <c r="H618" s="3"/>
      <c r="S618" s="3"/>
    </row>
    <row r="619">
      <c r="A619" s="3"/>
      <c r="C619" s="3"/>
      <c r="D619" s="3"/>
      <c r="E619" s="3"/>
      <c r="F619" s="3"/>
      <c r="G619" s="3"/>
      <c r="H619" s="3"/>
      <c r="S619" s="3"/>
    </row>
    <row r="620">
      <c r="A620" s="3"/>
      <c r="C620" s="3"/>
      <c r="D620" s="3"/>
      <c r="E620" s="3"/>
      <c r="F620" s="3"/>
      <c r="G620" s="3"/>
      <c r="H620" s="3"/>
      <c r="S620" s="3"/>
    </row>
    <row r="621">
      <c r="A621" s="3"/>
      <c r="C621" s="3"/>
      <c r="D621" s="3"/>
      <c r="E621" s="3"/>
      <c r="F621" s="3"/>
      <c r="G621" s="3"/>
      <c r="H621" s="3"/>
      <c r="S621" s="3"/>
    </row>
    <row r="622">
      <c r="A622" s="3"/>
      <c r="C622" s="3"/>
      <c r="D622" s="3"/>
      <c r="E622" s="3"/>
      <c r="F622" s="3"/>
      <c r="G622" s="3"/>
      <c r="H622" s="3"/>
      <c r="S622" s="3"/>
    </row>
    <row r="623">
      <c r="A623" s="3"/>
      <c r="C623" s="3"/>
      <c r="D623" s="3"/>
      <c r="E623" s="3"/>
      <c r="F623" s="3"/>
      <c r="G623" s="3"/>
      <c r="H623" s="3"/>
      <c r="S623" s="3"/>
    </row>
    <row r="624">
      <c r="A624" s="3"/>
      <c r="C624" s="3"/>
      <c r="D624" s="3"/>
      <c r="E624" s="3"/>
      <c r="F624" s="3"/>
      <c r="G624" s="3"/>
      <c r="H624" s="3"/>
      <c r="S624" s="3"/>
    </row>
    <row r="625">
      <c r="A625" s="3"/>
      <c r="C625" s="3"/>
      <c r="D625" s="3"/>
      <c r="E625" s="3"/>
      <c r="F625" s="3"/>
      <c r="G625" s="3"/>
      <c r="H625" s="3"/>
      <c r="S625" s="3"/>
    </row>
    <row r="626">
      <c r="A626" s="3"/>
      <c r="C626" s="3"/>
      <c r="D626" s="3"/>
      <c r="E626" s="3"/>
      <c r="F626" s="3"/>
      <c r="G626" s="3"/>
      <c r="H626" s="3"/>
      <c r="S626" s="3"/>
    </row>
    <row r="627">
      <c r="A627" s="3"/>
      <c r="C627" s="3"/>
      <c r="D627" s="3"/>
      <c r="E627" s="3"/>
      <c r="F627" s="3"/>
      <c r="G627" s="3"/>
      <c r="H627" s="3"/>
      <c r="S627" s="3"/>
    </row>
    <row r="628">
      <c r="A628" s="3"/>
      <c r="C628" s="3"/>
      <c r="D628" s="3"/>
      <c r="E628" s="3"/>
      <c r="F628" s="3"/>
      <c r="G628" s="3"/>
      <c r="H628" s="3"/>
      <c r="S628" s="3"/>
    </row>
    <row r="629">
      <c r="A629" s="3"/>
      <c r="C629" s="3"/>
      <c r="D629" s="3"/>
      <c r="E629" s="3"/>
      <c r="F629" s="3"/>
      <c r="G629" s="3"/>
      <c r="H629" s="3"/>
      <c r="S629" s="3"/>
    </row>
    <row r="630">
      <c r="A630" s="3"/>
      <c r="C630" s="3"/>
      <c r="D630" s="3"/>
      <c r="E630" s="3"/>
      <c r="F630" s="3"/>
      <c r="G630" s="3"/>
      <c r="H630" s="3"/>
      <c r="S630" s="3"/>
    </row>
    <row r="631">
      <c r="A631" s="3"/>
      <c r="C631" s="3"/>
      <c r="D631" s="3"/>
      <c r="E631" s="3"/>
      <c r="F631" s="3"/>
      <c r="G631" s="3"/>
      <c r="H631" s="3"/>
      <c r="S631" s="3"/>
    </row>
    <row r="632">
      <c r="A632" s="3"/>
      <c r="C632" s="3"/>
      <c r="D632" s="3"/>
      <c r="E632" s="3"/>
      <c r="F632" s="3"/>
      <c r="G632" s="3"/>
      <c r="H632" s="3"/>
      <c r="S632" s="3"/>
    </row>
    <row r="633">
      <c r="A633" s="3"/>
      <c r="C633" s="3"/>
      <c r="D633" s="3"/>
      <c r="E633" s="3"/>
      <c r="F633" s="3"/>
      <c r="G633" s="3"/>
      <c r="H633" s="3"/>
      <c r="S633" s="3"/>
    </row>
    <row r="634">
      <c r="A634" s="3"/>
      <c r="C634" s="3"/>
      <c r="D634" s="3"/>
      <c r="E634" s="3"/>
      <c r="F634" s="3"/>
      <c r="G634" s="3"/>
      <c r="H634" s="3"/>
      <c r="S634" s="3"/>
    </row>
    <row r="635">
      <c r="A635" s="3"/>
      <c r="C635" s="3"/>
      <c r="D635" s="3"/>
      <c r="E635" s="3"/>
      <c r="F635" s="3"/>
      <c r="G635" s="3"/>
      <c r="H635" s="3"/>
      <c r="S635" s="3"/>
    </row>
    <row r="636">
      <c r="A636" s="3"/>
      <c r="C636" s="3"/>
      <c r="D636" s="3"/>
      <c r="E636" s="3"/>
      <c r="F636" s="3"/>
      <c r="G636" s="3"/>
      <c r="H636" s="3"/>
      <c r="S636" s="3"/>
    </row>
    <row r="637">
      <c r="A637" s="3"/>
      <c r="C637" s="3"/>
      <c r="D637" s="3"/>
      <c r="E637" s="3"/>
      <c r="F637" s="3"/>
      <c r="G637" s="3"/>
      <c r="H637" s="3"/>
      <c r="S637" s="3"/>
    </row>
    <row r="638">
      <c r="A638" s="3"/>
      <c r="C638" s="3"/>
      <c r="D638" s="3"/>
      <c r="E638" s="3"/>
      <c r="F638" s="3"/>
      <c r="G638" s="3"/>
      <c r="H638" s="3"/>
      <c r="S638" s="3"/>
    </row>
    <row r="639">
      <c r="A639" s="3"/>
      <c r="C639" s="3"/>
      <c r="D639" s="3"/>
      <c r="E639" s="3"/>
      <c r="F639" s="3"/>
      <c r="G639" s="3"/>
      <c r="H639" s="3"/>
      <c r="S639" s="3"/>
    </row>
    <row r="640">
      <c r="A640" s="3"/>
      <c r="C640" s="3"/>
      <c r="D640" s="3"/>
      <c r="E640" s="3"/>
      <c r="F640" s="3"/>
      <c r="G640" s="3"/>
      <c r="H640" s="3"/>
      <c r="S640" s="3"/>
    </row>
    <row r="641">
      <c r="A641" s="3"/>
      <c r="C641" s="3"/>
      <c r="D641" s="3"/>
      <c r="E641" s="3"/>
      <c r="F641" s="3"/>
      <c r="G641" s="3"/>
      <c r="H641" s="3"/>
      <c r="S641" s="3"/>
    </row>
    <row r="642">
      <c r="A642" s="3"/>
      <c r="C642" s="3"/>
      <c r="D642" s="3"/>
      <c r="E642" s="3"/>
      <c r="F642" s="3"/>
      <c r="G642" s="3"/>
      <c r="H642" s="3"/>
      <c r="S642" s="3"/>
    </row>
    <row r="643">
      <c r="A643" s="3"/>
      <c r="C643" s="3"/>
      <c r="D643" s="3"/>
      <c r="E643" s="3"/>
      <c r="F643" s="3"/>
      <c r="G643" s="3"/>
      <c r="H643" s="3"/>
      <c r="S643" s="3"/>
    </row>
    <row r="644">
      <c r="A644" s="3"/>
      <c r="C644" s="3"/>
      <c r="D644" s="3"/>
      <c r="E644" s="3"/>
      <c r="F644" s="3"/>
      <c r="G644" s="3"/>
      <c r="H644" s="3"/>
      <c r="S644" s="3"/>
    </row>
    <row r="645">
      <c r="A645" s="3"/>
      <c r="C645" s="3"/>
      <c r="D645" s="3"/>
      <c r="E645" s="3"/>
      <c r="F645" s="3"/>
      <c r="G645" s="3"/>
      <c r="H645" s="3"/>
      <c r="S645" s="3"/>
    </row>
    <row r="646">
      <c r="A646" s="3"/>
      <c r="C646" s="3"/>
      <c r="D646" s="3"/>
      <c r="E646" s="3"/>
      <c r="F646" s="3"/>
      <c r="G646" s="3"/>
      <c r="H646" s="3"/>
      <c r="S646" s="3"/>
    </row>
    <row r="647">
      <c r="A647" s="3"/>
      <c r="C647" s="3"/>
      <c r="D647" s="3"/>
      <c r="E647" s="3"/>
      <c r="F647" s="3"/>
      <c r="G647" s="3"/>
      <c r="H647" s="3"/>
      <c r="S647" s="3"/>
    </row>
    <row r="648">
      <c r="A648" s="3"/>
      <c r="C648" s="3"/>
      <c r="D648" s="3"/>
      <c r="E648" s="3"/>
      <c r="F648" s="3"/>
      <c r="G648" s="3"/>
      <c r="H648" s="3"/>
      <c r="S648" s="3"/>
    </row>
    <row r="649">
      <c r="A649" s="3"/>
      <c r="C649" s="3"/>
      <c r="D649" s="3"/>
      <c r="E649" s="3"/>
      <c r="F649" s="3"/>
      <c r="G649" s="3"/>
      <c r="H649" s="3"/>
      <c r="S649" s="3"/>
    </row>
    <row r="650">
      <c r="A650" s="3"/>
      <c r="C650" s="3"/>
      <c r="D650" s="3"/>
      <c r="E650" s="3"/>
      <c r="F650" s="3"/>
      <c r="G650" s="3"/>
      <c r="H650" s="3"/>
      <c r="S650" s="3"/>
    </row>
    <row r="651">
      <c r="A651" s="3"/>
      <c r="C651" s="3"/>
      <c r="D651" s="3"/>
      <c r="E651" s="3"/>
      <c r="F651" s="3"/>
      <c r="G651" s="3"/>
      <c r="H651" s="3"/>
      <c r="S651" s="3"/>
    </row>
    <row r="652">
      <c r="A652" s="3"/>
      <c r="C652" s="3"/>
      <c r="D652" s="3"/>
      <c r="E652" s="3"/>
      <c r="F652" s="3"/>
      <c r="G652" s="3"/>
      <c r="H652" s="3"/>
      <c r="S652" s="3"/>
    </row>
    <row r="653">
      <c r="A653" s="3"/>
      <c r="C653" s="3"/>
      <c r="D653" s="3"/>
      <c r="E653" s="3"/>
      <c r="F653" s="3"/>
      <c r="G653" s="3"/>
      <c r="H653" s="3"/>
      <c r="S653" s="3"/>
    </row>
    <row r="654">
      <c r="A654" s="3"/>
      <c r="C654" s="3"/>
      <c r="D654" s="3"/>
      <c r="E654" s="3"/>
      <c r="F654" s="3"/>
      <c r="G654" s="3"/>
      <c r="H654" s="3"/>
      <c r="S654" s="3"/>
    </row>
    <row r="655">
      <c r="A655" s="3"/>
      <c r="C655" s="3"/>
      <c r="D655" s="3"/>
      <c r="E655" s="3"/>
      <c r="F655" s="3"/>
      <c r="G655" s="3"/>
      <c r="H655" s="3"/>
      <c r="S655" s="3"/>
    </row>
    <row r="656">
      <c r="A656" s="3"/>
      <c r="C656" s="3"/>
      <c r="D656" s="3"/>
      <c r="E656" s="3"/>
      <c r="F656" s="3"/>
      <c r="G656" s="3"/>
      <c r="H656" s="3"/>
      <c r="S656" s="3"/>
    </row>
    <row r="657">
      <c r="A657" s="3"/>
      <c r="C657" s="3"/>
      <c r="D657" s="3"/>
      <c r="E657" s="3"/>
      <c r="F657" s="3"/>
      <c r="G657" s="3"/>
      <c r="H657" s="3"/>
      <c r="S657" s="3"/>
    </row>
    <row r="658">
      <c r="A658" s="3"/>
      <c r="C658" s="3"/>
      <c r="D658" s="3"/>
      <c r="E658" s="3"/>
      <c r="F658" s="3"/>
      <c r="G658" s="3"/>
      <c r="H658" s="3"/>
      <c r="S658" s="3"/>
    </row>
    <row r="659">
      <c r="A659" s="3"/>
      <c r="C659" s="3"/>
      <c r="D659" s="3"/>
      <c r="E659" s="3"/>
      <c r="F659" s="3"/>
      <c r="G659" s="3"/>
      <c r="H659" s="3"/>
      <c r="S659" s="3"/>
    </row>
    <row r="660">
      <c r="A660" s="3"/>
      <c r="C660" s="3"/>
      <c r="D660" s="3"/>
      <c r="E660" s="3"/>
      <c r="F660" s="3"/>
      <c r="G660" s="3"/>
      <c r="H660" s="3"/>
      <c r="S660" s="3"/>
    </row>
    <row r="661">
      <c r="A661" s="3"/>
      <c r="C661" s="3"/>
      <c r="D661" s="3"/>
      <c r="E661" s="3"/>
      <c r="F661" s="3"/>
      <c r="G661" s="3"/>
      <c r="H661" s="3"/>
      <c r="S661" s="3"/>
    </row>
    <row r="662">
      <c r="A662" s="3"/>
      <c r="C662" s="3"/>
      <c r="D662" s="3"/>
      <c r="E662" s="3"/>
      <c r="F662" s="3"/>
      <c r="G662" s="3"/>
      <c r="H662" s="3"/>
      <c r="S662" s="3"/>
    </row>
    <row r="663">
      <c r="A663" s="3"/>
      <c r="C663" s="3"/>
      <c r="D663" s="3"/>
      <c r="E663" s="3"/>
      <c r="F663" s="3"/>
      <c r="G663" s="3"/>
      <c r="H663" s="3"/>
      <c r="S663" s="3"/>
    </row>
    <row r="664">
      <c r="A664" s="3"/>
      <c r="C664" s="3"/>
      <c r="D664" s="3"/>
      <c r="E664" s="3"/>
      <c r="F664" s="3"/>
      <c r="G664" s="3"/>
      <c r="H664" s="3"/>
      <c r="S664" s="3"/>
    </row>
    <row r="665">
      <c r="A665" s="3"/>
      <c r="C665" s="3"/>
      <c r="D665" s="3"/>
      <c r="E665" s="3"/>
      <c r="F665" s="3"/>
      <c r="G665" s="3"/>
      <c r="H665" s="3"/>
      <c r="S665" s="3"/>
    </row>
    <row r="666">
      <c r="A666" s="3"/>
      <c r="C666" s="3"/>
      <c r="D666" s="3"/>
      <c r="E666" s="3"/>
      <c r="F666" s="3"/>
      <c r="G666" s="3"/>
      <c r="H666" s="3"/>
      <c r="S666" s="3"/>
    </row>
    <row r="667">
      <c r="A667" s="3"/>
      <c r="C667" s="3"/>
      <c r="D667" s="3"/>
      <c r="E667" s="3"/>
      <c r="F667" s="3"/>
      <c r="G667" s="3"/>
      <c r="H667" s="3"/>
      <c r="S667" s="3"/>
    </row>
    <row r="668">
      <c r="A668" s="3"/>
      <c r="C668" s="3"/>
      <c r="D668" s="3"/>
      <c r="E668" s="3"/>
      <c r="F668" s="3"/>
      <c r="G668" s="3"/>
      <c r="H668" s="3"/>
      <c r="S668" s="3"/>
    </row>
    <row r="669">
      <c r="A669" s="3"/>
      <c r="C669" s="3"/>
      <c r="D669" s="3"/>
      <c r="E669" s="3"/>
      <c r="F669" s="3"/>
      <c r="G669" s="3"/>
      <c r="H669" s="3"/>
      <c r="S669" s="3"/>
    </row>
    <row r="670">
      <c r="A670" s="3"/>
      <c r="C670" s="3"/>
      <c r="D670" s="3"/>
      <c r="E670" s="3"/>
      <c r="F670" s="3"/>
      <c r="G670" s="3"/>
      <c r="H670" s="3"/>
      <c r="S670" s="3"/>
    </row>
    <row r="671">
      <c r="A671" s="3"/>
      <c r="C671" s="3"/>
      <c r="D671" s="3"/>
      <c r="E671" s="3"/>
      <c r="F671" s="3"/>
      <c r="G671" s="3"/>
      <c r="H671" s="3"/>
      <c r="S671" s="3"/>
    </row>
    <row r="672">
      <c r="A672" s="3"/>
      <c r="C672" s="3"/>
      <c r="D672" s="3"/>
      <c r="E672" s="3"/>
      <c r="F672" s="3"/>
      <c r="G672" s="3"/>
      <c r="H672" s="3"/>
      <c r="S672" s="3"/>
    </row>
    <row r="673">
      <c r="A673" s="3"/>
      <c r="C673" s="3"/>
      <c r="D673" s="3"/>
      <c r="E673" s="3"/>
      <c r="F673" s="3"/>
      <c r="G673" s="3"/>
      <c r="H673" s="3"/>
      <c r="S673" s="3"/>
    </row>
    <row r="674">
      <c r="A674" s="3"/>
      <c r="C674" s="3"/>
      <c r="D674" s="3"/>
      <c r="E674" s="3"/>
      <c r="F674" s="3"/>
      <c r="G674" s="3"/>
      <c r="H674" s="3"/>
      <c r="S674" s="3"/>
    </row>
    <row r="675">
      <c r="A675" s="3"/>
      <c r="C675" s="3"/>
      <c r="D675" s="3"/>
      <c r="E675" s="3"/>
      <c r="F675" s="3"/>
      <c r="G675" s="3"/>
      <c r="H675" s="3"/>
      <c r="S675" s="3"/>
    </row>
    <row r="676">
      <c r="A676" s="3"/>
      <c r="C676" s="3"/>
      <c r="D676" s="3"/>
      <c r="E676" s="3"/>
      <c r="F676" s="3"/>
      <c r="G676" s="3"/>
      <c r="H676" s="3"/>
      <c r="S676" s="3"/>
    </row>
    <row r="677">
      <c r="A677" s="3"/>
      <c r="C677" s="3"/>
      <c r="D677" s="3"/>
      <c r="E677" s="3"/>
      <c r="F677" s="3"/>
      <c r="G677" s="3"/>
      <c r="H677" s="3"/>
      <c r="S677" s="3"/>
    </row>
    <row r="678">
      <c r="A678" s="3"/>
      <c r="C678" s="3"/>
      <c r="D678" s="3"/>
      <c r="E678" s="3"/>
      <c r="F678" s="3"/>
      <c r="G678" s="3"/>
      <c r="H678" s="3"/>
      <c r="S678" s="3"/>
    </row>
    <row r="679">
      <c r="A679" s="3"/>
      <c r="C679" s="3"/>
      <c r="D679" s="3"/>
      <c r="E679" s="3"/>
      <c r="F679" s="3"/>
      <c r="G679" s="3"/>
      <c r="H679" s="3"/>
      <c r="S679" s="3"/>
    </row>
    <row r="680">
      <c r="A680" s="3"/>
      <c r="C680" s="3"/>
      <c r="D680" s="3"/>
      <c r="E680" s="3"/>
      <c r="F680" s="3"/>
      <c r="G680" s="3"/>
      <c r="H680" s="3"/>
      <c r="S680" s="3"/>
    </row>
    <row r="681">
      <c r="A681" s="3"/>
      <c r="C681" s="3"/>
      <c r="D681" s="3"/>
      <c r="E681" s="3"/>
      <c r="F681" s="3"/>
      <c r="G681" s="3"/>
      <c r="H681" s="3"/>
      <c r="S681" s="3"/>
    </row>
    <row r="682">
      <c r="A682" s="3"/>
      <c r="C682" s="3"/>
      <c r="D682" s="3"/>
      <c r="E682" s="3"/>
      <c r="F682" s="3"/>
      <c r="G682" s="3"/>
      <c r="H682" s="3"/>
      <c r="S682" s="3"/>
    </row>
    <row r="683">
      <c r="A683" s="3"/>
      <c r="C683" s="3"/>
      <c r="D683" s="3"/>
      <c r="E683" s="3"/>
      <c r="F683" s="3"/>
      <c r="G683" s="3"/>
      <c r="H683" s="3"/>
      <c r="S683" s="3"/>
    </row>
    <row r="684">
      <c r="A684" s="3"/>
      <c r="C684" s="3"/>
      <c r="D684" s="3"/>
      <c r="E684" s="3"/>
      <c r="F684" s="3"/>
      <c r="G684" s="3"/>
      <c r="H684" s="3"/>
      <c r="S684" s="3"/>
    </row>
    <row r="685">
      <c r="A685" s="3"/>
      <c r="C685" s="3"/>
      <c r="D685" s="3"/>
      <c r="E685" s="3"/>
      <c r="F685" s="3"/>
      <c r="G685" s="3"/>
      <c r="H685" s="3"/>
      <c r="S685" s="3"/>
    </row>
    <row r="686">
      <c r="A686" s="3"/>
      <c r="C686" s="3"/>
      <c r="D686" s="3"/>
      <c r="E686" s="3"/>
      <c r="F686" s="3"/>
      <c r="G686" s="3"/>
      <c r="H686" s="3"/>
      <c r="S686" s="3"/>
    </row>
    <row r="687">
      <c r="A687" s="3"/>
      <c r="C687" s="3"/>
      <c r="D687" s="3"/>
      <c r="E687" s="3"/>
      <c r="F687" s="3"/>
      <c r="G687" s="3"/>
      <c r="H687" s="3"/>
      <c r="S687" s="3"/>
    </row>
    <row r="688">
      <c r="A688" s="3"/>
      <c r="C688" s="3"/>
      <c r="D688" s="3"/>
      <c r="E688" s="3"/>
      <c r="F688" s="3"/>
      <c r="G688" s="3"/>
      <c r="H688" s="3"/>
      <c r="S688" s="3"/>
    </row>
    <row r="689">
      <c r="A689" s="3"/>
      <c r="C689" s="3"/>
      <c r="D689" s="3"/>
      <c r="E689" s="3"/>
      <c r="F689" s="3"/>
      <c r="G689" s="3"/>
      <c r="H689" s="3"/>
      <c r="S689" s="3"/>
    </row>
    <row r="690">
      <c r="A690" s="3"/>
      <c r="C690" s="3"/>
      <c r="D690" s="3"/>
      <c r="E690" s="3"/>
      <c r="F690" s="3"/>
      <c r="G690" s="3"/>
      <c r="H690" s="3"/>
      <c r="S690" s="3"/>
    </row>
    <row r="691">
      <c r="A691" s="3"/>
      <c r="C691" s="3"/>
      <c r="D691" s="3"/>
      <c r="E691" s="3"/>
      <c r="F691" s="3"/>
      <c r="G691" s="3"/>
      <c r="H691" s="3"/>
      <c r="S691" s="3"/>
    </row>
    <row r="692">
      <c r="A692" s="3"/>
      <c r="C692" s="3"/>
      <c r="D692" s="3"/>
      <c r="E692" s="3"/>
      <c r="F692" s="3"/>
      <c r="G692" s="3"/>
      <c r="H692" s="3"/>
      <c r="S692" s="3"/>
    </row>
    <row r="693">
      <c r="A693" s="3"/>
      <c r="C693" s="3"/>
      <c r="D693" s="3"/>
      <c r="E693" s="3"/>
      <c r="F693" s="3"/>
      <c r="G693" s="3"/>
      <c r="H693" s="3"/>
      <c r="S693" s="3"/>
    </row>
    <row r="694">
      <c r="A694" s="3"/>
      <c r="C694" s="3"/>
      <c r="D694" s="3"/>
      <c r="E694" s="3"/>
      <c r="F694" s="3"/>
      <c r="G694" s="3"/>
      <c r="H694" s="3"/>
      <c r="S694" s="3"/>
    </row>
    <row r="695">
      <c r="A695" s="3"/>
      <c r="C695" s="3"/>
      <c r="D695" s="3"/>
      <c r="E695" s="3"/>
      <c r="F695" s="3"/>
      <c r="G695" s="3"/>
      <c r="H695" s="3"/>
      <c r="S695" s="3"/>
    </row>
    <row r="696">
      <c r="A696" s="3"/>
      <c r="C696" s="3"/>
      <c r="D696" s="3"/>
      <c r="E696" s="3"/>
      <c r="F696" s="3"/>
      <c r="G696" s="3"/>
      <c r="H696" s="3"/>
      <c r="S696" s="3"/>
    </row>
    <row r="697">
      <c r="A697" s="3"/>
      <c r="C697" s="3"/>
      <c r="D697" s="3"/>
      <c r="E697" s="3"/>
      <c r="F697" s="3"/>
      <c r="G697" s="3"/>
      <c r="H697" s="3"/>
      <c r="S697" s="3"/>
    </row>
    <row r="698">
      <c r="A698" s="3"/>
      <c r="C698" s="3"/>
      <c r="D698" s="3"/>
      <c r="E698" s="3"/>
      <c r="F698" s="3"/>
      <c r="G698" s="3"/>
      <c r="H698" s="3"/>
      <c r="S698" s="3"/>
    </row>
    <row r="699">
      <c r="A699" s="3"/>
      <c r="C699" s="3"/>
      <c r="D699" s="3"/>
      <c r="E699" s="3"/>
      <c r="F699" s="3"/>
      <c r="G699" s="3"/>
      <c r="H699" s="3"/>
      <c r="S699" s="3"/>
    </row>
    <row r="700">
      <c r="A700" s="3"/>
      <c r="C700" s="3"/>
      <c r="D700" s="3"/>
      <c r="E700" s="3"/>
      <c r="F700" s="3"/>
      <c r="G700" s="3"/>
      <c r="H700" s="3"/>
      <c r="S700" s="3"/>
    </row>
    <row r="701">
      <c r="A701" s="3"/>
      <c r="C701" s="3"/>
      <c r="D701" s="3"/>
      <c r="E701" s="3"/>
      <c r="F701" s="3"/>
      <c r="G701" s="3"/>
      <c r="H701" s="3"/>
      <c r="S701" s="3"/>
    </row>
    <row r="702">
      <c r="A702" s="3"/>
      <c r="C702" s="3"/>
      <c r="D702" s="3"/>
      <c r="E702" s="3"/>
      <c r="F702" s="3"/>
      <c r="G702" s="3"/>
      <c r="H702" s="3"/>
      <c r="S702" s="3"/>
    </row>
    <row r="703">
      <c r="A703" s="3"/>
      <c r="C703" s="3"/>
      <c r="D703" s="3"/>
      <c r="E703" s="3"/>
      <c r="F703" s="3"/>
      <c r="G703" s="3"/>
      <c r="H703" s="3"/>
      <c r="S703" s="3"/>
    </row>
    <row r="704">
      <c r="A704" s="3"/>
      <c r="C704" s="3"/>
      <c r="D704" s="3"/>
      <c r="E704" s="3"/>
      <c r="F704" s="3"/>
      <c r="G704" s="3"/>
      <c r="H704" s="3"/>
      <c r="S704" s="3"/>
    </row>
    <row r="705">
      <c r="A705" s="3"/>
      <c r="C705" s="3"/>
      <c r="D705" s="3"/>
      <c r="E705" s="3"/>
      <c r="F705" s="3"/>
      <c r="G705" s="3"/>
      <c r="H705" s="3"/>
      <c r="S705" s="3"/>
    </row>
    <row r="706">
      <c r="A706" s="3"/>
      <c r="C706" s="3"/>
      <c r="D706" s="3"/>
      <c r="E706" s="3"/>
      <c r="F706" s="3"/>
      <c r="G706" s="3"/>
      <c r="H706" s="3"/>
      <c r="S706" s="3"/>
    </row>
    <row r="707">
      <c r="A707" s="3"/>
      <c r="C707" s="3"/>
      <c r="D707" s="3"/>
      <c r="E707" s="3"/>
      <c r="F707" s="3"/>
      <c r="G707" s="3"/>
      <c r="H707" s="3"/>
      <c r="S707" s="3"/>
    </row>
    <row r="708">
      <c r="A708" s="3"/>
      <c r="C708" s="3"/>
      <c r="D708" s="3"/>
      <c r="E708" s="3"/>
      <c r="F708" s="3"/>
      <c r="G708" s="3"/>
      <c r="H708" s="3"/>
      <c r="S708" s="3"/>
    </row>
    <row r="709">
      <c r="A709" s="3"/>
      <c r="C709" s="3"/>
      <c r="D709" s="3"/>
      <c r="E709" s="3"/>
      <c r="F709" s="3"/>
      <c r="G709" s="3"/>
      <c r="H709" s="3"/>
      <c r="S709" s="3"/>
    </row>
    <row r="710">
      <c r="A710" s="3"/>
      <c r="C710" s="3"/>
      <c r="D710" s="3"/>
      <c r="E710" s="3"/>
      <c r="F710" s="3"/>
      <c r="G710" s="3"/>
      <c r="H710" s="3"/>
      <c r="S710" s="3"/>
    </row>
    <row r="711">
      <c r="A711" s="3"/>
      <c r="C711" s="3"/>
      <c r="D711" s="3"/>
      <c r="E711" s="3"/>
      <c r="F711" s="3"/>
      <c r="G711" s="3"/>
      <c r="H711" s="3"/>
      <c r="S711" s="3"/>
    </row>
    <row r="712">
      <c r="A712" s="3"/>
      <c r="C712" s="3"/>
      <c r="D712" s="3"/>
      <c r="E712" s="3"/>
      <c r="F712" s="3"/>
      <c r="G712" s="3"/>
      <c r="H712" s="3"/>
      <c r="S712" s="3"/>
    </row>
    <row r="713">
      <c r="A713" s="3"/>
      <c r="C713" s="3"/>
      <c r="D713" s="3"/>
      <c r="E713" s="3"/>
      <c r="F713" s="3"/>
      <c r="G713" s="3"/>
      <c r="H713" s="3"/>
      <c r="S713" s="3"/>
    </row>
    <row r="714">
      <c r="A714" s="3"/>
      <c r="C714" s="3"/>
      <c r="D714" s="3"/>
      <c r="E714" s="3"/>
      <c r="F714" s="3"/>
      <c r="G714" s="3"/>
      <c r="H714" s="3"/>
      <c r="S714" s="3"/>
    </row>
    <row r="715">
      <c r="A715" s="3"/>
      <c r="C715" s="3"/>
      <c r="D715" s="3"/>
      <c r="E715" s="3"/>
      <c r="F715" s="3"/>
      <c r="G715" s="3"/>
      <c r="H715" s="3"/>
      <c r="S715" s="3"/>
    </row>
    <row r="716">
      <c r="A716" s="3"/>
      <c r="C716" s="3"/>
      <c r="D716" s="3"/>
      <c r="E716" s="3"/>
      <c r="F716" s="3"/>
      <c r="G716" s="3"/>
      <c r="H716" s="3"/>
      <c r="S716" s="3"/>
    </row>
    <row r="717">
      <c r="A717" s="3"/>
      <c r="C717" s="3"/>
      <c r="D717" s="3"/>
      <c r="E717" s="3"/>
      <c r="F717" s="3"/>
      <c r="G717" s="3"/>
      <c r="H717" s="3"/>
      <c r="S717" s="3"/>
    </row>
    <row r="718">
      <c r="A718" s="3"/>
      <c r="C718" s="3"/>
      <c r="D718" s="3"/>
      <c r="E718" s="3"/>
      <c r="F718" s="3"/>
      <c r="G718" s="3"/>
      <c r="H718" s="3"/>
      <c r="S718" s="3"/>
    </row>
    <row r="719">
      <c r="A719" s="3"/>
      <c r="C719" s="3"/>
      <c r="D719" s="3"/>
      <c r="E719" s="3"/>
      <c r="F719" s="3"/>
      <c r="G719" s="3"/>
      <c r="H719" s="3"/>
      <c r="S719" s="3"/>
    </row>
    <row r="720">
      <c r="A720" s="3"/>
      <c r="C720" s="3"/>
      <c r="D720" s="3"/>
      <c r="E720" s="3"/>
      <c r="F720" s="3"/>
      <c r="G720" s="3"/>
      <c r="H720" s="3"/>
      <c r="S720" s="3"/>
    </row>
    <row r="721">
      <c r="A721" s="3"/>
      <c r="C721" s="3"/>
      <c r="D721" s="3"/>
      <c r="E721" s="3"/>
      <c r="F721" s="3"/>
      <c r="G721" s="3"/>
      <c r="H721" s="3"/>
      <c r="S721" s="3"/>
    </row>
    <row r="722">
      <c r="A722" s="3"/>
      <c r="C722" s="3"/>
      <c r="D722" s="3"/>
      <c r="E722" s="3"/>
      <c r="F722" s="3"/>
      <c r="G722" s="3"/>
      <c r="H722" s="3"/>
      <c r="S722" s="3"/>
    </row>
    <row r="723">
      <c r="A723" s="3"/>
      <c r="C723" s="3"/>
      <c r="D723" s="3"/>
      <c r="E723" s="3"/>
      <c r="F723" s="3"/>
      <c r="G723" s="3"/>
      <c r="H723" s="3"/>
      <c r="S723" s="3"/>
    </row>
    <row r="724">
      <c r="A724" s="3"/>
      <c r="C724" s="3"/>
      <c r="D724" s="3"/>
      <c r="E724" s="3"/>
      <c r="F724" s="3"/>
      <c r="G724" s="3"/>
      <c r="H724" s="3"/>
      <c r="S724" s="3"/>
    </row>
    <row r="725">
      <c r="A725" s="3"/>
      <c r="C725" s="3"/>
      <c r="D725" s="3"/>
      <c r="E725" s="3"/>
      <c r="F725" s="3"/>
      <c r="G725" s="3"/>
      <c r="H725" s="3"/>
      <c r="S725" s="3"/>
    </row>
    <row r="726">
      <c r="A726" s="3"/>
      <c r="C726" s="3"/>
      <c r="D726" s="3"/>
      <c r="E726" s="3"/>
      <c r="F726" s="3"/>
      <c r="G726" s="3"/>
      <c r="H726" s="3"/>
      <c r="S726" s="3"/>
    </row>
    <row r="727">
      <c r="A727" s="3"/>
      <c r="C727" s="3"/>
      <c r="D727" s="3"/>
      <c r="E727" s="3"/>
      <c r="F727" s="3"/>
      <c r="G727" s="3"/>
      <c r="H727" s="3"/>
      <c r="S727" s="3"/>
    </row>
    <row r="728">
      <c r="A728" s="3"/>
      <c r="C728" s="3"/>
      <c r="D728" s="3"/>
      <c r="E728" s="3"/>
      <c r="F728" s="3"/>
      <c r="G728" s="3"/>
      <c r="H728" s="3"/>
      <c r="S728" s="3"/>
    </row>
    <row r="729">
      <c r="A729" s="3"/>
      <c r="C729" s="3"/>
      <c r="D729" s="3"/>
      <c r="E729" s="3"/>
      <c r="F729" s="3"/>
      <c r="G729" s="3"/>
      <c r="H729" s="3"/>
      <c r="S729" s="3"/>
    </row>
    <row r="730">
      <c r="A730" s="3"/>
      <c r="C730" s="3"/>
      <c r="D730" s="3"/>
      <c r="E730" s="3"/>
      <c r="F730" s="3"/>
      <c r="G730" s="3"/>
      <c r="H730" s="3"/>
      <c r="S730" s="3"/>
    </row>
    <row r="731">
      <c r="A731" s="3"/>
      <c r="C731" s="3"/>
      <c r="D731" s="3"/>
      <c r="E731" s="3"/>
      <c r="F731" s="3"/>
      <c r="G731" s="3"/>
      <c r="H731" s="3"/>
      <c r="S731" s="3"/>
    </row>
    <row r="732">
      <c r="A732" s="3"/>
      <c r="C732" s="3"/>
      <c r="D732" s="3"/>
      <c r="E732" s="3"/>
      <c r="F732" s="3"/>
      <c r="G732" s="3"/>
      <c r="H732" s="3"/>
      <c r="S732" s="3"/>
    </row>
    <row r="733">
      <c r="A733" s="3"/>
      <c r="C733" s="3"/>
      <c r="D733" s="3"/>
      <c r="E733" s="3"/>
      <c r="F733" s="3"/>
      <c r="G733" s="3"/>
      <c r="H733" s="3"/>
      <c r="S733" s="3"/>
    </row>
    <row r="734">
      <c r="A734" s="3"/>
      <c r="C734" s="3"/>
      <c r="D734" s="3"/>
      <c r="E734" s="3"/>
      <c r="F734" s="3"/>
      <c r="G734" s="3"/>
      <c r="H734" s="3"/>
      <c r="S734" s="3"/>
    </row>
    <row r="735">
      <c r="A735" s="3"/>
      <c r="C735" s="3"/>
      <c r="D735" s="3"/>
      <c r="E735" s="3"/>
      <c r="F735" s="3"/>
      <c r="G735" s="3"/>
      <c r="H735" s="3"/>
      <c r="S735" s="3"/>
    </row>
    <row r="736">
      <c r="A736" s="3"/>
      <c r="C736" s="3"/>
      <c r="D736" s="3"/>
      <c r="E736" s="3"/>
      <c r="F736" s="3"/>
      <c r="G736" s="3"/>
      <c r="H736" s="3"/>
      <c r="S736" s="3"/>
    </row>
    <row r="737">
      <c r="A737" s="3"/>
      <c r="C737" s="3"/>
      <c r="D737" s="3"/>
      <c r="E737" s="3"/>
      <c r="F737" s="3"/>
      <c r="G737" s="3"/>
      <c r="H737" s="3"/>
      <c r="S737" s="3"/>
    </row>
    <row r="738">
      <c r="A738" s="3"/>
      <c r="C738" s="3"/>
      <c r="D738" s="3"/>
      <c r="E738" s="3"/>
      <c r="F738" s="3"/>
      <c r="G738" s="3"/>
      <c r="H738" s="3"/>
      <c r="S738" s="3"/>
    </row>
    <row r="739">
      <c r="A739" s="3"/>
      <c r="C739" s="3"/>
      <c r="D739" s="3"/>
      <c r="E739" s="3"/>
      <c r="F739" s="3"/>
      <c r="G739" s="3"/>
      <c r="H739" s="3"/>
      <c r="S739" s="3"/>
    </row>
    <row r="740">
      <c r="A740" s="3"/>
      <c r="C740" s="3"/>
      <c r="D740" s="3"/>
      <c r="E740" s="3"/>
      <c r="F740" s="3"/>
      <c r="G740" s="3"/>
      <c r="H740" s="3"/>
      <c r="S740" s="3"/>
    </row>
    <row r="741">
      <c r="A741" s="3"/>
      <c r="C741" s="3"/>
      <c r="D741" s="3"/>
      <c r="E741" s="3"/>
      <c r="F741" s="3"/>
      <c r="G741" s="3"/>
      <c r="H741" s="3"/>
      <c r="S741" s="3"/>
    </row>
    <row r="742">
      <c r="A742" s="3"/>
      <c r="C742" s="3"/>
      <c r="D742" s="3"/>
      <c r="E742" s="3"/>
      <c r="F742" s="3"/>
      <c r="G742" s="3"/>
      <c r="H742" s="3"/>
      <c r="S742" s="3"/>
    </row>
    <row r="743">
      <c r="A743" s="3"/>
      <c r="C743" s="3"/>
      <c r="D743" s="3"/>
      <c r="E743" s="3"/>
      <c r="F743" s="3"/>
      <c r="G743" s="3"/>
      <c r="H743" s="3"/>
      <c r="S743" s="3"/>
    </row>
    <row r="744">
      <c r="A744" s="3"/>
      <c r="C744" s="3"/>
      <c r="D744" s="3"/>
      <c r="E744" s="3"/>
      <c r="F744" s="3"/>
      <c r="G744" s="3"/>
      <c r="H744" s="3"/>
      <c r="S744" s="3"/>
    </row>
    <row r="745">
      <c r="A745" s="3"/>
      <c r="C745" s="3"/>
      <c r="D745" s="3"/>
      <c r="E745" s="3"/>
      <c r="F745" s="3"/>
      <c r="G745" s="3"/>
      <c r="H745" s="3"/>
      <c r="S745" s="3"/>
    </row>
    <row r="746">
      <c r="A746" s="3"/>
      <c r="C746" s="3"/>
      <c r="D746" s="3"/>
      <c r="E746" s="3"/>
      <c r="F746" s="3"/>
      <c r="G746" s="3"/>
      <c r="H746" s="3"/>
      <c r="S746" s="3"/>
    </row>
    <row r="747">
      <c r="A747" s="3"/>
      <c r="C747" s="3"/>
      <c r="D747" s="3"/>
      <c r="E747" s="3"/>
      <c r="F747" s="3"/>
      <c r="G747" s="3"/>
      <c r="H747" s="3"/>
      <c r="S747" s="3"/>
    </row>
    <row r="748">
      <c r="A748" s="3"/>
      <c r="C748" s="3"/>
      <c r="D748" s="3"/>
      <c r="E748" s="3"/>
      <c r="F748" s="3"/>
      <c r="G748" s="3"/>
      <c r="H748" s="3"/>
      <c r="S748" s="3"/>
    </row>
    <row r="749">
      <c r="A749" s="3"/>
      <c r="C749" s="3"/>
      <c r="D749" s="3"/>
      <c r="E749" s="3"/>
      <c r="F749" s="3"/>
      <c r="G749" s="3"/>
      <c r="H749" s="3"/>
      <c r="S749" s="3"/>
    </row>
    <row r="750">
      <c r="A750" s="3"/>
      <c r="C750" s="3"/>
      <c r="D750" s="3"/>
      <c r="E750" s="3"/>
      <c r="F750" s="3"/>
      <c r="G750" s="3"/>
      <c r="H750" s="3"/>
      <c r="S750" s="3"/>
    </row>
    <row r="751">
      <c r="A751" s="3"/>
      <c r="C751" s="3"/>
      <c r="D751" s="3"/>
      <c r="E751" s="3"/>
      <c r="F751" s="3"/>
      <c r="G751" s="3"/>
      <c r="H751" s="3"/>
      <c r="S751" s="3"/>
    </row>
    <row r="752">
      <c r="A752" s="3"/>
      <c r="C752" s="3"/>
      <c r="D752" s="3"/>
      <c r="E752" s="3"/>
      <c r="F752" s="3"/>
      <c r="G752" s="3"/>
      <c r="H752" s="3"/>
      <c r="S752" s="3"/>
    </row>
    <row r="753">
      <c r="A753" s="3"/>
      <c r="C753" s="3"/>
      <c r="D753" s="3"/>
      <c r="E753" s="3"/>
      <c r="F753" s="3"/>
      <c r="G753" s="3"/>
      <c r="H753" s="3"/>
      <c r="S753" s="3"/>
    </row>
    <row r="754">
      <c r="A754" s="3"/>
      <c r="C754" s="3"/>
      <c r="D754" s="3"/>
      <c r="E754" s="3"/>
      <c r="F754" s="3"/>
      <c r="G754" s="3"/>
      <c r="H754" s="3"/>
      <c r="S754" s="3"/>
    </row>
    <row r="755">
      <c r="A755" s="3"/>
      <c r="C755" s="3"/>
      <c r="D755" s="3"/>
      <c r="E755" s="3"/>
      <c r="F755" s="3"/>
      <c r="G755" s="3"/>
      <c r="H755" s="3"/>
      <c r="S755" s="3"/>
    </row>
    <row r="756">
      <c r="A756" s="3"/>
      <c r="C756" s="3"/>
      <c r="D756" s="3"/>
      <c r="E756" s="3"/>
      <c r="F756" s="3"/>
      <c r="G756" s="3"/>
      <c r="H756" s="3"/>
      <c r="S756" s="3"/>
    </row>
    <row r="757">
      <c r="A757" s="3"/>
      <c r="C757" s="3"/>
      <c r="D757" s="3"/>
      <c r="E757" s="3"/>
      <c r="F757" s="3"/>
      <c r="G757" s="3"/>
      <c r="H757" s="3"/>
      <c r="S757" s="3"/>
    </row>
    <row r="758">
      <c r="A758" s="3"/>
      <c r="C758" s="3"/>
      <c r="D758" s="3"/>
      <c r="E758" s="3"/>
      <c r="F758" s="3"/>
      <c r="G758" s="3"/>
      <c r="H758" s="3"/>
      <c r="S758" s="3"/>
    </row>
    <row r="759">
      <c r="A759" s="3"/>
      <c r="C759" s="3"/>
      <c r="D759" s="3"/>
      <c r="E759" s="3"/>
      <c r="F759" s="3"/>
      <c r="G759" s="3"/>
      <c r="H759" s="3"/>
      <c r="S759" s="3"/>
    </row>
    <row r="760">
      <c r="A760" s="3"/>
      <c r="C760" s="3"/>
      <c r="D760" s="3"/>
      <c r="E760" s="3"/>
      <c r="F760" s="3"/>
      <c r="G760" s="3"/>
      <c r="H760" s="3"/>
      <c r="S760" s="3"/>
    </row>
    <row r="761">
      <c r="A761" s="3"/>
      <c r="C761" s="3"/>
      <c r="D761" s="3"/>
      <c r="E761" s="3"/>
      <c r="F761" s="3"/>
      <c r="G761" s="3"/>
      <c r="H761" s="3"/>
      <c r="S761" s="3"/>
    </row>
    <row r="762">
      <c r="A762" s="3"/>
      <c r="C762" s="3"/>
      <c r="D762" s="3"/>
      <c r="E762" s="3"/>
      <c r="F762" s="3"/>
      <c r="G762" s="3"/>
      <c r="H762" s="3"/>
      <c r="S762" s="3"/>
    </row>
    <row r="763">
      <c r="A763" s="3"/>
      <c r="C763" s="3"/>
      <c r="D763" s="3"/>
      <c r="E763" s="3"/>
      <c r="F763" s="3"/>
      <c r="G763" s="3"/>
      <c r="H763" s="3"/>
      <c r="S763" s="3"/>
    </row>
    <row r="764">
      <c r="A764" s="3"/>
      <c r="C764" s="3"/>
      <c r="D764" s="3"/>
      <c r="E764" s="3"/>
      <c r="F764" s="3"/>
      <c r="G764" s="3"/>
      <c r="H764" s="3"/>
      <c r="S764" s="3"/>
    </row>
    <row r="765">
      <c r="A765" s="3"/>
      <c r="C765" s="3"/>
      <c r="D765" s="3"/>
      <c r="E765" s="3"/>
      <c r="F765" s="3"/>
      <c r="G765" s="3"/>
      <c r="H765" s="3"/>
      <c r="S765" s="3"/>
    </row>
    <row r="766">
      <c r="A766" s="3"/>
      <c r="C766" s="3"/>
      <c r="D766" s="3"/>
      <c r="E766" s="3"/>
      <c r="F766" s="3"/>
      <c r="G766" s="3"/>
      <c r="H766" s="3"/>
      <c r="S766" s="3"/>
    </row>
    <row r="767">
      <c r="A767" s="3"/>
      <c r="C767" s="3"/>
      <c r="D767" s="3"/>
      <c r="E767" s="3"/>
      <c r="F767" s="3"/>
      <c r="G767" s="3"/>
      <c r="H767" s="3"/>
      <c r="S767" s="3"/>
    </row>
    <row r="768">
      <c r="A768" s="3"/>
      <c r="C768" s="3"/>
      <c r="D768" s="3"/>
      <c r="E768" s="3"/>
      <c r="F768" s="3"/>
      <c r="G768" s="3"/>
      <c r="H768" s="3"/>
      <c r="S768" s="3"/>
    </row>
    <row r="769">
      <c r="A769" s="3"/>
      <c r="C769" s="3"/>
      <c r="D769" s="3"/>
      <c r="E769" s="3"/>
      <c r="F769" s="3"/>
      <c r="G769" s="3"/>
      <c r="H769" s="3"/>
      <c r="S769" s="3"/>
    </row>
    <row r="770">
      <c r="A770" s="3"/>
      <c r="C770" s="3"/>
      <c r="D770" s="3"/>
      <c r="E770" s="3"/>
      <c r="F770" s="3"/>
      <c r="G770" s="3"/>
      <c r="H770" s="3"/>
      <c r="S770" s="3"/>
    </row>
    <row r="771">
      <c r="A771" s="3"/>
      <c r="C771" s="3"/>
      <c r="D771" s="3"/>
      <c r="E771" s="3"/>
      <c r="F771" s="3"/>
      <c r="G771" s="3"/>
      <c r="H771" s="3"/>
      <c r="S771" s="3"/>
    </row>
    <row r="772">
      <c r="A772" s="3"/>
      <c r="C772" s="3"/>
      <c r="D772" s="3"/>
      <c r="E772" s="3"/>
      <c r="F772" s="3"/>
      <c r="G772" s="3"/>
      <c r="H772" s="3"/>
      <c r="S772" s="3"/>
    </row>
    <row r="773">
      <c r="A773" s="3"/>
      <c r="C773" s="3"/>
      <c r="D773" s="3"/>
      <c r="E773" s="3"/>
      <c r="F773" s="3"/>
      <c r="G773" s="3"/>
      <c r="H773" s="3"/>
      <c r="S773" s="3"/>
    </row>
    <row r="774">
      <c r="A774" s="3"/>
      <c r="C774" s="3"/>
      <c r="D774" s="3"/>
      <c r="E774" s="3"/>
      <c r="F774" s="3"/>
      <c r="G774" s="3"/>
      <c r="H774" s="3"/>
      <c r="S774" s="3"/>
    </row>
    <row r="775">
      <c r="A775" s="3"/>
      <c r="C775" s="3"/>
      <c r="D775" s="3"/>
      <c r="E775" s="3"/>
      <c r="F775" s="3"/>
      <c r="G775" s="3"/>
      <c r="H775" s="3"/>
      <c r="S775" s="3"/>
    </row>
    <row r="776">
      <c r="A776" s="3"/>
      <c r="C776" s="3"/>
      <c r="D776" s="3"/>
      <c r="E776" s="3"/>
      <c r="F776" s="3"/>
      <c r="G776" s="3"/>
      <c r="H776" s="3"/>
      <c r="S776" s="3"/>
    </row>
    <row r="777">
      <c r="A777" s="3"/>
      <c r="C777" s="3"/>
      <c r="D777" s="3"/>
      <c r="E777" s="3"/>
      <c r="F777" s="3"/>
      <c r="G777" s="3"/>
      <c r="H777" s="3"/>
      <c r="S777" s="3"/>
    </row>
    <row r="778">
      <c r="A778" s="3"/>
      <c r="C778" s="3"/>
      <c r="D778" s="3"/>
      <c r="E778" s="3"/>
      <c r="F778" s="3"/>
      <c r="G778" s="3"/>
      <c r="H778" s="3"/>
      <c r="S778" s="3"/>
    </row>
    <row r="779">
      <c r="A779" s="3"/>
      <c r="C779" s="3"/>
      <c r="D779" s="3"/>
      <c r="E779" s="3"/>
      <c r="F779" s="3"/>
      <c r="G779" s="3"/>
      <c r="H779" s="3"/>
      <c r="S779" s="3"/>
    </row>
    <row r="780">
      <c r="A780" s="3"/>
      <c r="C780" s="3"/>
      <c r="D780" s="3"/>
      <c r="E780" s="3"/>
      <c r="F780" s="3"/>
      <c r="G780" s="3"/>
      <c r="H780" s="3"/>
      <c r="S780" s="3"/>
    </row>
    <row r="781">
      <c r="A781" s="3"/>
      <c r="C781" s="3"/>
      <c r="D781" s="3"/>
      <c r="E781" s="3"/>
      <c r="F781" s="3"/>
      <c r="G781" s="3"/>
      <c r="H781" s="3"/>
      <c r="S781" s="3"/>
    </row>
    <row r="782">
      <c r="A782" s="3"/>
      <c r="C782" s="3"/>
      <c r="D782" s="3"/>
      <c r="E782" s="3"/>
      <c r="F782" s="3"/>
      <c r="G782" s="3"/>
      <c r="H782" s="3"/>
      <c r="S782" s="3"/>
    </row>
    <row r="783">
      <c r="A783" s="3"/>
      <c r="C783" s="3"/>
      <c r="D783" s="3"/>
      <c r="E783" s="3"/>
      <c r="F783" s="3"/>
      <c r="G783" s="3"/>
      <c r="H783" s="3"/>
      <c r="S783" s="3"/>
    </row>
    <row r="784">
      <c r="A784" s="3"/>
      <c r="C784" s="3"/>
      <c r="D784" s="3"/>
      <c r="E784" s="3"/>
      <c r="F784" s="3"/>
      <c r="G784" s="3"/>
      <c r="H784" s="3"/>
      <c r="S784" s="3"/>
    </row>
    <row r="785">
      <c r="A785" s="3"/>
      <c r="C785" s="3"/>
      <c r="D785" s="3"/>
      <c r="E785" s="3"/>
      <c r="F785" s="3"/>
      <c r="G785" s="3"/>
      <c r="H785" s="3"/>
      <c r="S785" s="3"/>
    </row>
    <row r="786">
      <c r="A786" s="3"/>
      <c r="C786" s="3"/>
      <c r="D786" s="3"/>
      <c r="E786" s="3"/>
      <c r="F786" s="3"/>
      <c r="G786" s="3"/>
      <c r="H786" s="3"/>
      <c r="S786" s="3"/>
    </row>
    <row r="787">
      <c r="A787" s="3"/>
      <c r="C787" s="3"/>
      <c r="D787" s="3"/>
      <c r="E787" s="3"/>
      <c r="F787" s="3"/>
      <c r="G787" s="3"/>
      <c r="H787" s="3"/>
      <c r="S787" s="3"/>
    </row>
    <row r="788">
      <c r="A788" s="3"/>
      <c r="C788" s="3"/>
      <c r="D788" s="3"/>
      <c r="E788" s="3"/>
      <c r="F788" s="3"/>
      <c r="G788" s="3"/>
      <c r="H788" s="3"/>
      <c r="S788" s="3"/>
    </row>
    <row r="789">
      <c r="A789" s="3"/>
      <c r="C789" s="3"/>
      <c r="D789" s="3"/>
      <c r="E789" s="3"/>
      <c r="F789" s="3"/>
      <c r="G789" s="3"/>
      <c r="H789" s="3"/>
      <c r="S789" s="3"/>
    </row>
    <row r="790">
      <c r="A790" s="3"/>
      <c r="C790" s="3"/>
      <c r="D790" s="3"/>
      <c r="E790" s="3"/>
      <c r="F790" s="3"/>
      <c r="G790" s="3"/>
      <c r="H790" s="3"/>
      <c r="S790" s="3"/>
    </row>
    <row r="791">
      <c r="A791" s="3"/>
      <c r="C791" s="3"/>
      <c r="D791" s="3"/>
      <c r="E791" s="3"/>
      <c r="F791" s="3"/>
      <c r="G791" s="3"/>
      <c r="H791" s="3"/>
      <c r="S791" s="3"/>
    </row>
    <row r="792">
      <c r="A792" s="3"/>
      <c r="C792" s="3"/>
      <c r="D792" s="3"/>
      <c r="E792" s="3"/>
      <c r="F792" s="3"/>
      <c r="G792" s="3"/>
      <c r="H792" s="3"/>
      <c r="S792" s="3"/>
    </row>
    <row r="793">
      <c r="A793" s="3"/>
      <c r="C793" s="3"/>
      <c r="D793" s="3"/>
      <c r="E793" s="3"/>
      <c r="F793" s="3"/>
      <c r="G793" s="3"/>
      <c r="H793" s="3"/>
      <c r="S793" s="3"/>
    </row>
    <row r="794">
      <c r="A794" s="3"/>
      <c r="C794" s="3"/>
      <c r="D794" s="3"/>
      <c r="E794" s="3"/>
      <c r="F794" s="3"/>
      <c r="G794" s="3"/>
      <c r="H794" s="3"/>
      <c r="S794" s="3"/>
    </row>
    <row r="795">
      <c r="A795" s="3"/>
      <c r="C795" s="3"/>
      <c r="D795" s="3"/>
      <c r="E795" s="3"/>
      <c r="F795" s="3"/>
      <c r="G795" s="3"/>
      <c r="H795" s="3"/>
      <c r="S795" s="3"/>
    </row>
    <row r="796">
      <c r="A796" s="3"/>
      <c r="C796" s="3"/>
      <c r="D796" s="3"/>
      <c r="E796" s="3"/>
      <c r="F796" s="3"/>
      <c r="G796" s="3"/>
      <c r="H796" s="3"/>
      <c r="S796" s="3"/>
    </row>
    <row r="797">
      <c r="A797" s="3"/>
      <c r="C797" s="3"/>
      <c r="D797" s="3"/>
      <c r="E797" s="3"/>
      <c r="F797" s="3"/>
      <c r="G797" s="3"/>
      <c r="H797" s="3"/>
      <c r="S797" s="3"/>
    </row>
    <row r="798">
      <c r="A798" s="3"/>
      <c r="C798" s="3"/>
      <c r="D798" s="3"/>
      <c r="E798" s="3"/>
      <c r="F798" s="3"/>
      <c r="G798" s="3"/>
      <c r="H798" s="3"/>
      <c r="S798" s="3"/>
    </row>
    <row r="799">
      <c r="A799" s="3"/>
      <c r="C799" s="3"/>
      <c r="D799" s="3"/>
      <c r="E799" s="3"/>
      <c r="F799" s="3"/>
      <c r="G799" s="3"/>
      <c r="H799" s="3"/>
      <c r="S799" s="3"/>
    </row>
    <row r="800">
      <c r="A800" s="3"/>
      <c r="C800" s="3"/>
      <c r="D800" s="3"/>
      <c r="E800" s="3"/>
      <c r="F800" s="3"/>
      <c r="G800" s="3"/>
      <c r="H800" s="3"/>
      <c r="S800" s="3"/>
    </row>
    <row r="801">
      <c r="A801" s="3"/>
      <c r="C801" s="3"/>
      <c r="D801" s="3"/>
      <c r="E801" s="3"/>
      <c r="F801" s="3"/>
      <c r="G801" s="3"/>
      <c r="H801" s="3"/>
      <c r="S801" s="3"/>
    </row>
    <row r="802">
      <c r="A802" s="3"/>
      <c r="C802" s="3"/>
      <c r="D802" s="3"/>
      <c r="E802" s="3"/>
      <c r="F802" s="3"/>
      <c r="G802" s="3"/>
      <c r="H802" s="3"/>
      <c r="S802" s="3"/>
    </row>
    <row r="803">
      <c r="A803" s="3"/>
      <c r="C803" s="3"/>
      <c r="D803" s="3"/>
      <c r="E803" s="3"/>
      <c r="F803" s="3"/>
      <c r="G803" s="3"/>
      <c r="H803" s="3"/>
      <c r="S803" s="3"/>
    </row>
    <row r="804">
      <c r="A804" s="3"/>
      <c r="C804" s="3"/>
      <c r="D804" s="3"/>
      <c r="E804" s="3"/>
      <c r="F804" s="3"/>
      <c r="G804" s="3"/>
      <c r="H804" s="3"/>
      <c r="S804" s="3"/>
    </row>
    <row r="805">
      <c r="A805" s="3"/>
      <c r="C805" s="3"/>
      <c r="D805" s="3"/>
      <c r="E805" s="3"/>
      <c r="F805" s="3"/>
      <c r="G805" s="3"/>
      <c r="H805" s="3"/>
      <c r="S805" s="3"/>
    </row>
    <row r="806">
      <c r="A806" s="3"/>
      <c r="C806" s="3"/>
      <c r="D806" s="3"/>
      <c r="E806" s="3"/>
      <c r="F806" s="3"/>
      <c r="G806" s="3"/>
      <c r="H806" s="3"/>
      <c r="S806" s="3"/>
    </row>
    <row r="807">
      <c r="A807" s="3"/>
      <c r="C807" s="3"/>
      <c r="D807" s="3"/>
      <c r="E807" s="3"/>
      <c r="F807" s="3"/>
      <c r="G807" s="3"/>
      <c r="H807" s="3"/>
      <c r="S807" s="3"/>
    </row>
    <row r="808">
      <c r="A808" s="3"/>
      <c r="C808" s="3"/>
      <c r="D808" s="3"/>
      <c r="E808" s="3"/>
      <c r="F808" s="3"/>
      <c r="G808" s="3"/>
      <c r="H808" s="3"/>
      <c r="S808" s="3"/>
    </row>
    <row r="809">
      <c r="A809" s="3"/>
      <c r="C809" s="3"/>
      <c r="D809" s="3"/>
      <c r="E809" s="3"/>
      <c r="F809" s="3"/>
      <c r="G809" s="3"/>
      <c r="H809" s="3"/>
      <c r="S809" s="3"/>
    </row>
    <row r="810">
      <c r="A810" s="3"/>
      <c r="C810" s="3"/>
      <c r="D810" s="3"/>
      <c r="E810" s="3"/>
      <c r="F810" s="3"/>
      <c r="G810" s="3"/>
      <c r="H810" s="3"/>
      <c r="S810" s="3"/>
    </row>
    <row r="811">
      <c r="A811" s="3"/>
      <c r="C811" s="3"/>
      <c r="D811" s="3"/>
      <c r="E811" s="3"/>
      <c r="F811" s="3"/>
      <c r="G811" s="3"/>
      <c r="H811" s="3"/>
      <c r="S811" s="3"/>
    </row>
    <row r="812">
      <c r="A812" s="3"/>
      <c r="C812" s="3"/>
      <c r="D812" s="3"/>
      <c r="E812" s="3"/>
      <c r="F812" s="3"/>
      <c r="G812" s="3"/>
      <c r="H812" s="3"/>
      <c r="S812" s="3"/>
    </row>
    <row r="813">
      <c r="A813" s="3"/>
      <c r="C813" s="3"/>
      <c r="D813" s="3"/>
      <c r="E813" s="3"/>
      <c r="F813" s="3"/>
      <c r="G813" s="3"/>
      <c r="H813" s="3"/>
      <c r="S813" s="3"/>
    </row>
    <row r="814">
      <c r="A814" s="3"/>
      <c r="C814" s="3"/>
      <c r="D814" s="3"/>
      <c r="E814" s="3"/>
      <c r="F814" s="3"/>
      <c r="G814" s="3"/>
      <c r="H814" s="3"/>
      <c r="S814" s="3"/>
    </row>
    <row r="815">
      <c r="A815" s="3"/>
      <c r="C815" s="3"/>
      <c r="D815" s="3"/>
      <c r="E815" s="3"/>
      <c r="F815" s="3"/>
      <c r="G815" s="3"/>
      <c r="H815" s="3"/>
      <c r="S815" s="3"/>
    </row>
    <row r="816">
      <c r="A816" s="3"/>
      <c r="C816" s="3"/>
      <c r="D816" s="3"/>
      <c r="E816" s="3"/>
      <c r="F816" s="3"/>
      <c r="G816" s="3"/>
      <c r="H816" s="3"/>
      <c r="S816" s="3"/>
    </row>
    <row r="817">
      <c r="A817" s="3"/>
      <c r="C817" s="3"/>
      <c r="D817" s="3"/>
      <c r="E817" s="3"/>
      <c r="F817" s="3"/>
      <c r="G817" s="3"/>
      <c r="H817" s="3"/>
      <c r="S817" s="3"/>
    </row>
    <row r="818">
      <c r="A818" s="3"/>
      <c r="C818" s="3"/>
      <c r="D818" s="3"/>
      <c r="E818" s="3"/>
      <c r="F818" s="3"/>
      <c r="G818" s="3"/>
      <c r="H818" s="3"/>
      <c r="S818" s="3"/>
    </row>
    <row r="819">
      <c r="A819" s="3"/>
      <c r="C819" s="3"/>
      <c r="D819" s="3"/>
      <c r="E819" s="3"/>
      <c r="F819" s="3"/>
      <c r="G819" s="3"/>
      <c r="H819" s="3"/>
      <c r="S819" s="3"/>
    </row>
    <row r="820">
      <c r="A820" s="3"/>
      <c r="C820" s="3"/>
      <c r="D820" s="3"/>
      <c r="E820" s="3"/>
      <c r="F820" s="3"/>
      <c r="G820" s="3"/>
      <c r="H820" s="3"/>
      <c r="S820" s="3"/>
    </row>
    <row r="821">
      <c r="A821" s="3"/>
      <c r="C821" s="3"/>
      <c r="D821" s="3"/>
      <c r="E821" s="3"/>
      <c r="F821" s="3"/>
      <c r="G821" s="3"/>
      <c r="H821" s="3"/>
      <c r="S821" s="3"/>
    </row>
    <row r="822">
      <c r="A822" s="3"/>
      <c r="C822" s="3"/>
      <c r="D822" s="3"/>
      <c r="E822" s="3"/>
      <c r="F822" s="3"/>
      <c r="G822" s="3"/>
      <c r="H822" s="3"/>
      <c r="S822" s="3"/>
    </row>
    <row r="823">
      <c r="A823" s="3"/>
      <c r="C823" s="3"/>
      <c r="D823" s="3"/>
      <c r="E823" s="3"/>
      <c r="F823" s="3"/>
      <c r="G823" s="3"/>
      <c r="H823" s="3"/>
      <c r="S823" s="3"/>
    </row>
    <row r="824">
      <c r="A824" s="3"/>
      <c r="C824" s="3"/>
      <c r="D824" s="3"/>
      <c r="E824" s="3"/>
      <c r="F824" s="3"/>
      <c r="G824" s="3"/>
      <c r="H824" s="3"/>
      <c r="S824" s="3"/>
    </row>
    <row r="825">
      <c r="A825" s="3"/>
      <c r="C825" s="3"/>
      <c r="D825" s="3"/>
      <c r="E825" s="3"/>
      <c r="F825" s="3"/>
      <c r="G825" s="3"/>
      <c r="H825" s="3"/>
      <c r="S825" s="3"/>
    </row>
    <row r="826">
      <c r="A826" s="3"/>
      <c r="C826" s="3"/>
      <c r="D826" s="3"/>
      <c r="E826" s="3"/>
      <c r="F826" s="3"/>
      <c r="G826" s="3"/>
      <c r="H826" s="3"/>
      <c r="S826" s="3"/>
    </row>
    <row r="827">
      <c r="A827" s="3"/>
      <c r="C827" s="3"/>
      <c r="D827" s="3"/>
      <c r="E827" s="3"/>
      <c r="F827" s="3"/>
      <c r="G827" s="3"/>
      <c r="H827" s="3"/>
      <c r="S827" s="3"/>
    </row>
    <row r="828">
      <c r="A828" s="3"/>
      <c r="C828" s="3"/>
      <c r="D828" s="3"/>
      <c r="E828" s="3"/>
      <c r="F828" s="3"/>
      <c r="G828" s="3"/>
      <c r="H828" s="3"/>
      <c r="S828" s="3"/>
    </row>
    <row r="829">
      <c r="A829" s="3"/>
      <c r="C829" s="3"/>
      <c r="D829" s="3"/>
      <c r="E829" s="3"/>
      <c r="F829" s="3"/>
      <c r="G829" s="3"/>
      <c r="H829" s="3"/>
      <c r="S829" s="3"/>
    </row>
    <row r="830">
      <c r="A830" s="3"/>
      <c r="C830" s="3"/>
      <c r="D830" s="3"/>
      <c r="E830" s="3"/>
      <c r="F830" s="3"/>
      <c r="G830" s="3"/>
      <c r="H830" s="3"/>
      <c r="S830" s="3"/>
    </row>
    <row r="831">
      <c r="A831" s="3"/>
      <c r="C831" s="3"/>
      <c r="D831" s="3"/>
      <c r="E831" s="3"/>
      <c r="F831" s="3"/>
      <c r="G831" s="3"/>
      <c r="H831" s="3"/>
      <c r="S831" s="3"/>
    </row>
    <row r="832">
      <c r="A832" s="3"/>
      <c r="C832" s="3"/>
      <c r="D832" s="3"/>
      <c r="E832" s="3"/>
      <c r="F832" s="3"/>
      <c r="G832" s="3"/>
      <c r="H832" s="3"/>
      <c r="S832" s="3"/>
    </row>
    <row r="833">
      <c r="A833" s="3"/>
      <c r="C833" s="3"/>
      <c r="D833" s="3"/>
      <c r="E833" s="3"/>
      <c r="F833" s="3"/>
      <c r="G833" s="3"/>
      <c r="H833" s="3"/>
      <c r="S833" s="3"/>
    </row>
    <row r="834">
      <c r="A834" s="3"/>
      <c r="C834" s="3"/>
      <c r="D834" s="3"/>
      <c r="E834" s="3"/>
      <c r="F834" s="3"/>
      <c r="G834" s="3"/>
      <c r="H834" s="3"/>
      <c r="S834" s="3"/>
    </row>
    <row r="835">
      <c r="A835" s="3"/>
      <c r="C835" s="3"/>
      <c r="D835" s="3"/>
      <c r="E835" s="3"/>
      <c r="F835" s="3"/>
      <c r="G835" s="3"/>
      <c r="H835" s="3"/>
      <c r="S835" s="3"/>
    </row>
    <row r="836">
      <c r="A836" s="3"/>
      <c r="C836" s="3"/>
      <c r="D836" s="3"/>
      <c r="E836" s="3"/>
      <c r="F836" s="3"/>
      <c r="G836" s="3"/>
      <c r="H836" s="3"/>
      <c r="S836" s="3"/>
    </row>
    <row r="837">
      <c r="A837" s="3"/>
      <c r="C837" s="3"/>
      <c r="D837" s="3"/>
      <c r="E837" s="3"/>
      <c r="F837" s="3"/>
      <c r="G837" s="3"/>
      <c r="H837" s="3"/>
      <c r="S837" s="3"/>
    </row>
    <row r="838">
      <c r="A838" s="3"/>
      <c r="C838" s="3"/>
      <c r="D838" s="3"/>
      <c r="E838" s="3"/>
      <c r="F838" s="3"/>
      <c r="G838" s="3"/>
      <c r="H838" s="3"/>
      <c r="S838" s="3"/>
    </row>
    <row r="839">
      <c r="A839" s="3"/>
      <c r="C839" s="3"/>
      <c r="D839" s="3"/>
      <c r="E839" s="3"/>
      <c r="F839" s="3"/>
      <c r="G839" s="3"/>
      <c r="H839" s="3"/>
      <c r="S839" s="3"/>
    </row>
    <row r="840">
      <c r="A840" s="3"/>
      <c r="C840" s="3"/>
      <c r="D840" s="3"/>
      <c r="E840" s="3"/>
      <c r="F840" s="3"/>
      <c r="G840" s="3"/>
      <c r="H840" s="3"/>
      <c r="S840" s="3"/>
    </row>
    <row r="841">
      <c r="A841" s="3"/>
      <c r="C841" s="3"/>
      <c r="D841" s="3"/>
      <c r="E841" s="3"/>
      <c r="F841" s="3"/>
      <c r="G841" s="3"/>
      <c r="H841" s="3"/>
      <c r="S841" s="3"/>
    </row>
    <row r="842">
      <c r="A842" s="3"/>
      <c r="C842" s="3"/>
      <c r="D842" s="3"/>
      <c r="E842" s="3"/>
      <c r="F842" s="3"/>
      <c r="G842" s="3"/>
      <c r="H842" s="3"/>
      <c r="S842" s="3"/>
    </row>
    <row r="843">
      <c r="A843" s="3"/>
      <c r="C843" s="3"/>
      <c r="D843" s="3"/>
      <c r="E843" s="3"/>
      <c r="F843" s="3"/>
      <c r="G843" s="3"/>
      <c r="H843" s="3"/>
      <c r="S843" s="3"/>
    </row>
    <row r="844">
      <c r="A844" s="3"/>
      <c r="C844" s="3"/>
      <c r="D844" s="3"/>
      <c r="E844" s="3"/>
      <c r="F844" s="3"/>
      <c r="G844" s="3"/>
      <c r="H844" s="3"/>
      <c r="S844" s="3"/>
    </row>
    <row r="845">
      <c r="A845" s="3"/>
      <c r="C845" s="3"/>
      <c r="D845" s="3"/>
      <c r="E845" s="3"/>
      <c r="F845" s="3"/>
      <c r="G845" s="3"/>
      <c r="H845" s="3"/>
      <c r="S845" s="3"/>
    </row>
    <row r="846">
      <c r="A846" s="3"/>
      <c r="C846" s="3"/>
      <c r="D846" s="3"/>
      <c r="E846" s="3"/>
      <c r="F846" s="3"/>
      <c r="G846" s="3"/>
      <c r="H846" s="3"/>
      <c r="S846" s="3"/>
    </row>
    <row r="847">
      <c r="A847" s="3"/>
      <c r="C847" s="3"/>
      <c r="D847" s="3"/>
      <c r="E847" s="3"/>
      <c r="F847" s="3"/>
      <c r="G847" s="3"/>
      <c r="H847" s="3"/>
      <c r="S847" s="3"/>
    </row>
    <row r="848">
      <c r="A848" s="3"/>
      <c r="C848" s="3"/>
      <c r="D848" s="3"/>
      <c r="E848" s="3"/>
      <c r="F848" s="3"/>
      <c r="G848" s="3"/>
      <c r="H848" s="3"/>
      <c r="S848" s="3"/>
    </row>
    <row r="849">
      <c r="A849" s="3"/>
      <c r="C849" s="3"/>
      <c r="D849" s="3"/>
      <c r="E849" s="3"/>
      <c r="F849" s="3"/>
      <c r="G849" s="3"/>
      <c r="H849" s="3"/>
      <c r="S849" s="3"/>
    </row>
    <row r="850">
      <c r="A850" s="3"/>
      <c r="C850" s="3"/>
      <c r="D850" s="3"/>
      <c r="E850" s="3"/>
      <c r="F850" s="3"/>
      <c r="G850" s="3"/>
      <c r="H850" s="3"/>
      <c r="S850" s="3"/>
    </row>
    <row r="851">
      <c r="A851" s="3"/>
      <c r="C851" s="3"/>
      <c r="D851" s="3"/>
      <c r="E851" s="3"/>
      <c r="F851" s="3"/>
      <c r="G851" s="3"/>
      <c r="H851" s="3"/>
      <c r="S851" s="3"/>
    </row>
    <row r="852">
      <c r="A852" s="3"/>
      <c r="C852" s="3"/>
      <c r="D852" s="3"/>
      <c r="E852" s="3"/>
      <c r="F852" s="3"/>
      <c r="G852" s="3"/>
      <c r="H852" s="3"/>
      <c r="S852" s="3"/>
    </row>
    <row r="853">
      <c r="A853" s="3"/>
      <c r="C853" s="3"/>
      <c r="D853" s="3"/>
      <c r="E853" s="3"/>
      <c r="F853" s="3"/>
      <c r="G853" s="3"/>
      <c r="H853" s="3"/>
      <c r="S853" s="3"/>
    </row>
    <row r="854">
      <c r="A854" s="3"/>
      <c r="C854" s="3"/>
      <c r="D854" s="3"/>
      <c r="E854" s="3"/>
      <c r="F854" s="3"/>
      <c r="G854" s="3"/>
      <c r="H854" s="3"/>
      <c r="S854" s="3"/>
    </row>
    <row r="855">
      <c r="A855" s="3"/>
      <c r="C855" s="3"/>
      <c r="D855" s="3"/>
      <c r="E855" s="3"/>
      <c r="F855" s="3"/>
      <c r="G855" s="3"/>
      <c r="H855" s="3"/>
      <c r="S855" s="3"/>
    </row>
    <row r="856">
      <c r="A856" s="3"/>
      <c r="C856" s="3"/>
      <c r="D856" s="3"/>
      <c r="E856" s="3"/>
      <c r="F856" s="3"/>
      <c r="G856" s="3"/>
      <c r="H856" s="3"/>
      <c r="S856" s="3"/>
    </row>
    <row r="857">
      <c r="A857" s="3"/>
      <c r="C857" s="3"/>
      <c r="D857" s="3"/>
      <c r="E857" s="3"/>
      <c r="F857" s="3"/>
      <c r="G857" s="3"/>
      <c r="H857" s="3"/>
      <c r="S857" s="3"/>
    </row>
    <row r="858">
      <c r="A858" s="3"/>
      <c r="C858" s="3"/>
      <c r="D858" s="3"/>
      <c r="E858" s="3"/>
      <c r="F858" s="3"/>
      <c r="G858" s="3"/>
      <c r="H858" s="3"/>
      <c r="S858" s="3"/>
    </row>
    <row r="859">
      <c r="A859" s="3"/>
      <c r="C859" s="3"/>
      <c r="D859" s="3"/>
      <c r="E859" s="3"/>
      <c r="F859" s="3"/>
      <c r="G859" s="3"/>
      <c r="H859" s="3"/>
      <c r="S859" s="3"/>
    </row>
    <row r="860">
      <c r="A860" s="3"/>
      <c r="C860" s="3"/>
      <c r="D860" s="3"/>
      <c r="E860" s="3"/>
      <c r="F860" s="3"/>
      <c r="G860" s="3"/>
      <c r="H860" s="3"/>
      <c r="S860" s="3"/>
    </row>
    <row r="861">
      <c r="A861" s="3"/>
      <c r="C861" s="3"/>
      <c r="D861" s="3"/>
      <c r="E861" s="3"/>
      <c r="F861" s="3"/>
      <c r="G861" s="3"/>
      <c r="H861" s="3"/>
      <c r="S861" s="3"/>
    </row>
    <row r="862">
      <c r="A862" s="3"/>
      <c r="C862" s="3"/>
      <c r="D862" s="3"/>
      <c r="E862" s="3"/>
      <c r="F862" s="3"/>
      <c r="G862" s="3"/>
      <c r="H862" s="3"/>
      <c r="S862" s="3"/>
    </row>
    <row r="863">
      <c r="A863" s="3"/>
      <c r="C863" s="3"/>
      <c r="D863" s="3"/>
      <c r="E863" s="3"/>
      <c r="F863" s="3"/>
      <c r="G863" s="3"/>
      <c r="H863" s="3"/>
      <c r="S863" s="3"/>
    </row>
    <row r="864">
      <c r="A864" s="3"/>
      <c r="C864" s="3"/>
      <c r="D864" s="3"/>
      <c r="E864" s="3"/>
      <c r="F864" s="3"/>
      <c r="G864" s="3"/>
      <c r="H864" s="3"/>
      <c r="S864" s="3"/>
    </row>
    <row r="865">
      <c r="A865" s="3"/>
      <c r="C865" s="3"/>
      <c r="D865" s="3"/>
      <c r="E865" s="3"/>
      <c r="F865" s="3"/>
      <c r="G865" s="3"/>
      <c r="H865" s="3"/>
      <c r="S865" s="3"/>
    </row>
    <row r="866">
      <c r="A866" s="3"/>
      <c r="C866" s="3"/>
      <c r="D866" s="3"/>
      <c r="E866" s="3"/>
      <c r="F866" s="3"/>
      <c r="G866" s="3"/>
      <c r="H866" s="3"/>
      <c r="S866" s="3"/>
    </row>
    <row r="867">
      <c r="A867" s="3"/>
      <c r="C867" s="3"/>
      <c r="D867" s="3"/>
      <c r="E867" s="3"/>
      <c r="F867" s="3"/>
      <c r="G867" s="3"/>
      <c r="H867" s="3"/>
      <c r="S867" s="3"/>
    </row>
    <row r="868">
      <c r="A868" s="3"/>
      <c r="C868" s="3"/>
      <c r="D868" s="3"/>
      <c r="E868" s="3"/>
      <c r="F868" s="3"/>
      <c r="G868" s="3"/>
      <c r="H868" s="3"/>
      <c r="S868" s="3"/>
    </row>
    <row r="869">
      <c r="A869" s="3"/>
      <c r="C869" s="3"/>
      <c r="D869" s="3"/>
      <c r="E869" s="3"/>
      <c r="F869" s="3"/>
      <c r="G869" s="3"/>
      <c r="H869" s="3"/>
      <c r="S869" s="3"/>
    </row>
    <row r="870">
      <c r="A870" s="3"/>
      <c r="C870" s="3"/>
      <c r="D870" s="3"/>
      <c r="E870" s="3"/>
      <c r="F870" s="3"/>
      <c r="G870" s="3"/>
      <c r="H870" s="3"/>
      <c r="S870" s="3"/>
    </row>
    <row r="871">
      <c r="A871" s="3"/>
      <c r="C871" s="3"/>
      <c r="D871" s="3"/>
      <c r="E871" s="3"/>
      <c r="F871" s="3"/>
      <c r="G871" s="3"/>
      <c r="H871" s="3"/>
      <c r="S871" s="3"/>
    </row>
    <row r="872">
      <c r="A872" s="3"/>
      <c r="C872" s="3"/>
      <c r="D872" s="3"/>
      <c r="E872" s="3"/>
      <c r="F872" s="3"/>
      <c r="G872" s="3"/>
      <c r="H872" s="3"/>
      <c r="S872" s="3"/>
    </row>
    <row r="873">
      <c r="A873" s="3"/>
      <c r="C873" s="3"/>
      <c r="D873" s="3"/>
      <c r="E873" s="3"/>
      <c r="F873" s="3"/>
      <c r="G873" s="3"/>
      <c r="H873" s="3"/>
      <c r="S873" s="3"/>
    </row>
    <row r="874">
      <c r="A874" s="3"/>
      <c r="C874" s="3"/>
      <c r="D874" s="3"/>
      <c r="E874" s="3"/>
      <c r="F874" s="3"/>
      <c r="G874" s="3"/>
      <c r="H874" s="3"/>
      <c r="S874" s="3"/>
    </row>
    <row r="875">
      <c r="A875" s="3"/>
      <c r="C875" s="3"/>
      <c r="D875" s="3"/>
      <c r="E875" s="3"/>
      <c r="F875" s="3"/>
      <c r="G875" s="3"/>
      <c r="H875" s="3"/>
      <c r="S875" s="3"/>
    </row>
    <row r="876">
      <c r="A876" s="3"/>
      <c r="C876" s="3"/>
      <c r="D876" s="3"/>
      <c r="E876" s="3"/>
      <c r="F876" s="3"/>
      <c r="G876" s="3"/>
      <c r="H876" s="3"/>
      <c r="S876" s="3"/>
    </row>
    <row r="877">
      <c r="A877" s="3"/>
      <c r="C877" s="3"/>
      <c r="D877" s="3"/>
      <c r="E877" s="3"/>
      <c r="F877" s="3"/>
      <c r="G877" s="3"/>
      <c r="H877" s="3"/>
      <c r="S877" s="3"/>
    </row>
    <row r="878">
      <c r="A878" s="3"/>
      <c r="C878" s="3"/>
      <c r="D878" s="3"/>
      <c r="E878" s="3"/>
      <c r="F878" s="3"/>
      <c r="G878" s="3"/>
      <c r="H878" s="3"/>
      <c r="S878" s="3"/>
    </row>
    <row r="879">
      <c r="A879" s="3"/>
      <c r="C879" s="3"/>
      <c r="D879" s="3"/>
      <c r="E879" s="3"/>
      <c r="F879" s="3"/>
      <c r="G879" s="3"/>
      <c r="H879" s="3"/>
      <c r="S879" s="3"/>
    </row>
    <row r="880">
      <c r="A880" s="3"/>
      <c r="C880" s="3"/>
      <c r="D880" s="3"/>
      <c r="E880" s="3"/>
      <c r="F880" s="3"/>
      <c r="G880" s="3"/>
      <c r="H880" s="3"/>
      <c r="S880" s="3"/>
    </row>
    <row r="881">
      <c r="A881" s="3"/>
      <c r="C881" s="3"/>
      <c r="D881" s="3"/>
      <c r="E881" s="3"/>
      <c r="F881" s="3"/>
      <c r="G881" s="3"/>
      <c r="H881" s="3"/>
      <c r="S881" s="3"/>
    </row>
    <row r="882">
      <c r="A882" s="3"/>
      <c r="C882" s="3"/>
      <c r="D882" s="3"/>
      <c r="E882" s="3"/>
      <c r="F882" s="3"/>
      <c r="G882" s="3"/>
      <c r="H882" s="3"/>
      <c r="S882" s="3"/>
    </row>
    <row r="883">
      <c r="A883" s="3"/>
      <c r="C883" s="3"/>
      <c r="D883" s="3"/>
      <c r="E883" s="3"/>
      <c r="F883" s="3"/>
      <c r="G883" s="3"/>
      <c r="H883" s="3"/>
      <c r="S883" s="3"/>
    </row>
    <row r="884">
      <c r="A884" s="3"/>
      <c r="C884" s="3"/>
      <c r="D884" s="3"/>
      <c r="E884" s="3"/>
      <c r="F884" s="3"/>
      <c r="G884" s="3"/>
      <c r="H884" s="3"/>
      <c r="S884" s="3"/>
    </row>
    <row r="885">
      <c r="A885" s="3"/>
      <c r="C885" s="3"/>
      <c r="D885" s="3"/>
      <c r="E885" s="3"/>
      <c r="F885" s="3"/>
      <c r="G885" s="3"/>
      <c r="H885" s="3"/>
      <c r="S885" s="3"/>
    </row>
    <row r="886">
      <c r="A886" s="3"/>
      <c r="C886" s="3"/>
      <c r="D886" s="3"/>
      <c r="E886" s="3"/>
      <c r="F886" s="3"/>
      <c r="G886" s="3"/>
      <c r="H886" s="3"/>
      <c r="S886" s="3"/>
    </row>
    <row r="887">
      <c r="A887" s="3"/>
      <c r="C887" s="3"/>
      <c r="D887" s="3"/>
      <c r="E887" s="3"/>
      <c r="F887" s="3"/>
      <c r="G887" s="3"/>
      <c r="H887" s="3"/>
      <c r="S887" s="3"/>
    </row>
    <row r="888">
      <c r="A888" s="3"/>
      <c r="C888" s="3"/>
      <c r="D888" s="3"/>
      <c r="E888" s="3"/>
      <c r="F888" s="3"/>
      <c r="G888" s="3"/>
      <c r="H888" s="3"/>
      <c r="S888" s="3"/>
    </row>
    <row r="889">
      <c r="A889" s="3"/>
      <c r="C889" s="3"/>
      <c r="D889" s="3"/>
      <c r="E889" s="3"/>
      <c r="F889" s="3"/>
      <c r="G889" s="3"/>
      <c r="H889" s="3"/>
      <c r="S889" s="3"/>
    </row>
    <row r="890">
      <c r="A890" s="3"/>
      <c r="C890" s="3"/>
      <c r="D890" s="3"/>
      <c r="E890" s="3"/>
      <c r="F890" s="3"/>
      <c r="G890" s="3"/>
      <c r="H890" s="3"/>
      <c r="S890" s="3"/>
    </row>
    <row r="891">
      <c r="A891" s="3"/>
      <c r="C891" s="3"/>
      <c r="D891" s="3"/>
      <c r="E891" s="3"/>
      <c r="F891" s="3"/>
      <c r="G891" s="3"/>
      <c r="H891" s="3"/>
      <c r="S891" s="3"/>
    </row>
    <row r="892">
      <c r="A892" s="3"/>
      <c r="C892" s="3"/>
      <c r="D892" s="3"/>
      <c r="E892" s="3"/>
      <c r="F892" s="3"/>
      <c r="G892" s="3"/>
      <c r="H892" s="3"/>
      <c r="S892" s="3"/>
    </row>
    <row r="893">
      <c r="A893" s="3"/>
      <c r="C893" s="3"/>
      <c r="D893" s="3"/>
      <c r="E893" s="3"/>
      <c r="F893" s="3"/>
      <c r="G893" s="3"/>
      <c r="H893" s="3"/>
      <c r="S893" s="3"/>
    </row>
    <row r="894">
      <c r="A894" s="3"/>
      <c r="C894" s="3"/>
      <c r="D894" s="3"/>
      <c r="E894" s="3"/>
      <c r="F894" s="3"/>
      <c r="G894" s="3"/>
      <c r="H894" s="3"/>
      <c r="S894" s="3"/>
    </row>
    <row r="895">
      <c r="A895" s="3"/>
      <c r="C895" s="3"/>
      <c r="D895" s="3"/>
      <c r="E895" s="3"/>
      <c r="F895" s="3"/>
      <c r="G895" s="3"/>
      <c r="H895" s="3"/>
      <c r="S895" s="3"/>
    </row>
    <row r="896">
      <c r="A896" s="3"/>
      <c r="C896" s="3"/>
      <c r="D896" s="3"/>
      <c r="E896" s="3"/>
      <c r="F896" s="3"/>
      <c r="G896" s="3"/>
      <c r="H896" s="3"/>
      <c r="S896" s="3"/>
    </row>
    <row r="897">
      <c r="A897" s="3"/>
      <c r="C897" s="3"/>
      <c r="D897" s="3"/>
      <c r="E897" s="3"/>
      <c r="F897" s="3"/>
      <c r="G897" s="3"/>
      <c r="H897" s="3"/>
      <c r="S897" s="3"/>
    </row>
    <row r="898">
      <c r="A898" s="3"/>
      <c r="C898" s="3"/>
      <c r="D898" s="3"/>
      <c r="E898" s="3"/>
      <c r="F898" s="3"/>
      <c r="G898" s="3"/>
      <c r="H898" s="3"/>
      <c r="S898" s="3"/>
    </row>
    <row r="899">
      <c r="A899" s="3"/>
      <c r="C899" s="3"/>
      <c r="D899" s="3"/>
      <c r="E899" s="3"/>
      <c r="F899" s="3"/>
      <c r="G899" s="3"/>
      <c r="H899" s="3"/>
      <c r="S899" s="3"/>
    </row>
    <row r="900">
      <c r="A900" s="3"/>
      <c r="C900" s="3"/>
      <c r="D900" s="3"/>
      <c r="E900" s="3"/>
      <c r="F900" s="3"/>
      <c r="G900" s="3"/>
      <c r="H900" s="3"/>
      <c r="S900" s="3"/>
    </row>
    <row r="901">
      <c r="A901" s="3"/>
      <c r="C901" s="3"/>
      <c r="D901" s="3"/>
      <c r="E901" s="3"/>
      <c r="F901" s="3"/>
      <c r="G901" s="3"/>
      <c r="H901" s="3"/>
      <c r="S901" s="3"/>
    </row>
    <row r="902">
      <c r="A902" s="3"/>
      <c r="C902" s="3"/>
      <c r="D902" s="3"/>
      <c r="E902" s="3"/>
      <c r="F902" s="3"/>
      <c r="G902" s="3"/>
      <c r="H902" s="3"/>
      <c r="S902" s="3"/>
    </row>
    <row r="903">
      <c r="A903" s="3"/>
      <c r="C903" s="3"/>
      <c r="D903" s="3"/>
      <c r="E903" s="3"/>
      <c r="F903" s="3"/>
      <c r="G903" s="3"/>
      <c r="H903" s="3"/>
      <c r="S903" s="3"/>
    </row>
    <row r="904">
      <c r="A904" s="3"/>
      <c r="C904" s="3"/>
      <c r="D904" s="3"/>
      <c r="E904" s="3"/>
      <c r="F904" s="3"/>
      <c r="G904" s="3"/>
      <c r="H904" s="3"/>
      <c r="S904" s="3"/>
    </row>
    <row r="905">
      <c r="A905" s="3"/>
      <c r="C905" s="3"/>
      <c r="D905" s="3"/>
      <c r="E905" s="3"/>
      <c r="F905" s="3"/>
      <c r="G905" s="3"/>
      <c r="H905" s="3"/>
      <c r="S905" s="3"/>
    </row>
    <row r="906">
      <c r="A906" s="3"/>
      <c r="C906" s="3"/>
      <c r="D906" s="3"/>
      <c r="E906" s="3"/>
      <c r="F906" s="3"/>
      <c r="G906" s="3"/>
      <c r="H906" s="3"/>
      <c r="S906" s="3"/>
    </row>
    <row r="907">
      <c r="A907" s="3"/>
      <c r="C907" s="3"/>
      <c r="D907" s="3"/>
      <c r="E907" s="3"/>
      <c r="F907" s="3"/>
      <c r="G907" s="3"/>
      <c r="H907" s="3"/>
      <c r="S907" s="3"/>
    </row>
    <row r="908">
      <c r="A908" s="3"/>
      <c r="C908" s="3"/>
      <c r="D908" s="3"/>
      <c r="E908" s="3"/>
      <c r="F908" s="3"/>
      <c r="G908" s="3"/>
      <c r="H908" s="3"/>
      <c r="S908" s="3"/>
    </row>
    <row r="909">
      <c r="A909" s="3"/>
      <c r="C909" s="3"/>
      <c r="D909" s="3"/>
      <c r="E909" s="3"/>
      <c r="F909" s="3"/>
      <c r="G909" s="3"/>
      <c r="H909" s="3"/>
      <c r="S909" s="3"/>
    </row>
    <row r="910">
      <c r="A910" s="3"/>
      <c r="C910" s="3"/>
      <c r="D910" s="3"/>
      <c r="E910" s="3"/>
      <c r="F910" s="3"/>
      <c r="G910" s="3"/>
      <c r="H910" s="3"/>
      <c r="S910" s="3"/>
    </row>
    <row r="911">
      <c r="A911" s="3"/>
      <c r="C911" s="3"/>
      <c r="D911" s="3"/>
      <c r="E911" s="3"/>
      <c r="F911" s="3"/>
      <c r="G911" s="3"/>
      <c r="H911" s="3"/>
      <c r="S911" s="3"/>
    </row>
    <row r="912">
      <c r="A912" s="3"/>
      <c r="C912" s="3"/>
      <c r="D912" s="3"/>
      <c r="E912" s="3"/>
      <c r="F912" s="3"/>
      <c r="G912" s="3"/>
      <c r="H912" s="3"/>
      <c r="S912" s="3"/>
    </row>
    <row r="913">
      <c r="A913" s="3"/>
      <c r="C913" s="3"/>
      <c r="D913" s="3"/>
      <c r="E913" s="3"/>
      <c r="F913" s="3"/>
      <c r="G913" s="3"/>
      <c r="H913" s="3"/>
      <c r="S913" s="3"/>
    </row>
    <row r="914">
      <c r="A914" s="3"/>
      <c r="C914" s="3"/>
      <c r="D914" s="3"/>
      <c r="E914" s="3"/>
      <c r="F914" s="3"/>
      <c r="G914" s="3"/>
      <c r="H914" s="3"/>
      <c r="S914" s="3"/>
    </row>
    <row r="915">
      <c r="A915" s="3"/>
      <c r="C915" s="3"/>
      <c r="D915" s="3"/>
      <c r="E915" s="3"/>
      <c r="F915" s="3"/>
      <c r="G915" s="3"/>
      <c r="H915" s="3"/>
      <c r="S915" s="3"/>
    </row>
    <row r="916">
      <c r="A916" s="3"/>
      <c r="C916" s="3"/>
      <c r="D916" s="3"/>
      <c r="E916" s="3"/>
      <c r="F916" s="3"/>
      <c r="G916" s="3"/>
      <c r="H916" s="3"/>
      <c r="S916" s="3"/>
    </row>
    <row r="917">
      <c r="A917" s="3"/>
      <c r="C917" s="3"/>
      <c r="D917" s="3"/>
      <c r="E917" s="3"/>
      <c r="F917" s="3"/>
      <c r="G917" s="3"/>
      <c r="H917" s="3"/>
      <c r="S917" s="3"/>
    </row>
    <row r="918">
      <c r="A918" s="3"/>
      <c r="C918" s="3"/>
      <c r="D918" s="3"/>
      <c r="E918" s="3"/>
      <c r="F918" s="3"/>
      <c r="G918" s="3"/>
      <c r="H918" s="3"/>
      <c r="S918" s="3"/>
    </row>
    <row r="919">
      <c r="A919" s="3"/>
      <c r="C919" s="3"/>
      <c r="D919" s="3"/>
      <c r="E919" s="3"/>
      <c r="F919" s="3"/>
      <c r="G919" s="3"/>
      <c r="H919" s="3"/>
      <c r="S919" s="3"/>
    </row>
    <row r="920">
      <c r="A920" s="3"/>
      <c r="C920" s="3"/>
      <c r="D920" s="3"/>
      <c r="E920" s="3"/>
      <c r="F920" s="3"/>
      <c r="G920" s="3"/>
      <c r="H920" s="3"/>
      <c r="S920" s="3"/>
    </row>
    <row r="921">
      <c r="A921" s="3"/>
      <c r="C921" s="3"/>
      <c r="D921" s="3"/>
      <c r="E921" s="3"/>
      <c r="F921" s="3"/>
      <c r="G921" s="3"/>
      <c r="H921" s="3"/>
      <c r="S921" s="3"/>
    </row>
    <row r="922">
      <c r="A922" s="3"/>
      <c r="C922" s="3"/>
      <c r="D922" s="3"/>
      <c r="E922" s="3"/>
      <c r="F922" s="3"/>
      <c r="G922" s="3"/>
      <c r="H922" s="3"/>
      <c r="S922" s="3"/>
    </row>
    <row r="923">
      <c r="A923" s="3"/>
      <c r="C923" s="3"/>
      <c r="D923" s="3"/>
      <c r="E923" s="3"/>
      <c r="F923" s="3"/>
      <c r="G923" s="3"/>
      <c r="H923" s="3"/>
      <c r="S923" s="3"/>
    </row>
    <row r="924">
      <c r="A924" s="3"/>
      <c r="C924" s="3"/>
      <c r="D924" s="3"/>
      <c r="E924" s="3"/>
      <c r="F924" s="3"/>
      <c r="G924" s="3"/>
      <c r="H924" s="3"/>
      <c r="S924" s="3"/>
    </row>
    <row r="925">
      <c r="A925" s="3"/>
      <c r="C925" s="3"/>
      <c r="D925" s="3"/>
      <c r="E925" s="3"/>
      <c r="F925" s="3"/>
      <c r="G925" s="3"/>
      <c r="H925" s="3"/>
      <c r="S925" s="3"/>
    </row>
    <row r="926">
      <c r="A926" s="3"/>
      <c r="C926" s="3"/>
      <c r="D926" s="3"/>
      <c r="E926" s="3"/>
      <c r="F926" s="3"/>
      <c r="G926" s="3"/>
      <c r="H926" s="3"/>
      <c r="S926" s="3"/>
    </row>
    <row r="927">
      <c r="A927" s="3"/>
      <c r="C927" s="3"/>
      <c r="D927" s="3"/>
      <c r="E927" s="3"/>
      <c r="F927" s="3"/>
      <c r="G927" s="3"/>
      <c r="H927" s="3"/>
      <c r="S927" s="3"/>
    </row>
    <row r="928">
      <c r="A928" s="3"/>
      <c r="C928" s="3"/>
      <c r="D928" s="3"/>
      <c r="E928" s="3"/>
      <c r="F928" s="3"/>
      <c r="G928" s="3"/>
      <c r="H928" s="3"/>
      <c r="S928" s="3"/>
    </row>
    <row r="929">
      <c r="A929" s="3"/>
      <c r="C929" s="3"/>
      <c r="D929" s="3"/>
      <c r="E929" s="3"/>
      <c r="F929" s="3"/>
      <c r="G929" s="3"/>
      <c r="H929" s="3"/>
      <c r="S929" s="3"/>
    </row>
    <row r="930">
      <c r="A930" s="3"/>
      <c r="C930" s="3"/>
      <c r="D930" s="3"/>
      <c r="E930" s="3"/>
      <c r="F930" s="3"/>
      <c r="G930" s="3"/>
      <c r="H930" s="3"/>
      <c r="S930" s="3"/>
    </row>
    <row r="931">
      <c r="A931" s="3"/>
      <c r="C931" s="3"/>
      <c r="D931" s="3"/>
      <c r="E931" s="3"/>
      <c r="F931" s="3"/>
      <c r="G931" s="3"/>
      <c r="H931" s="3"/>
      <c r="S931" s="3"/>
    </row>
    <row r="932">
      <c r="A932" s="3"/>
      <c r="C932" s="3"/>
      <c r="D932" s="3"/>
      <c r="E932" s="3"/>
      <c r="F932" s="3"/>
      <c r="G932" s="3"/>
      <c r="H932" s="3"/>
      <c r="S932" s="3"/>
    </row>
    <row r="933">
      <c r="A933" s="3"/>
      <c r="C933" s="3"/>
      <c r="D933" s="3"/>
      <c r="E933" s="3"/>
      <c r="F933" s="3"/>
      <c r="G933" s="3"/>
      <c r="H933" s="3"/>
      <c r="S933" s="3"/>
    </row>
    <row r="934">
      <c r="A934" s="3"/>
      <c r="C934" s="3"/>
      <c r="D934" s="3"/>
      <c r="E934" s="3"/>
      <c r="F934" s="3"/>
      <c r="G934" s="3"/>
      <c r="H934" s="3"/>
      <c r="S934" s="3"/>
    </row>
    <row r="935">
      <c r="A935" s="3"/>
      <c r="C935" s="3"/>
      <c r="D935" s="3"/>
      <c r="E935" s="3"/>
      <c r="F935" s="3"/>
      <c r="G935" s="3"/>
      <c r="H935" s="3"/>
      <c r="S935" s="3"/>
    </row>
    <row r="936">
      <c r="A936" s="3"/>
      <c r="C936" s="3"/>
      <c r="D936" s="3"/>
      <c r="E936" s="3"/>
      <c r="F936" s="3"/>
      <c r="G936" s="3"/>
      <c r="H936" s="3"/>
      <c r="S936" s="3"/>
    </row>
    <row r="937">
      <c r="A937" s="3"/>
      <c r="C937" s="3"/>
      <c r="D937" s="3"/>
      <c r="E937" s="3"/>
      <c r="F937" s="3"/>
      <c r="G937" s="3"/>
      <c r="H937" s="3"/>
      <c r="S937" s="3"/>
    </row>
    <row r="938">
      <c r="A938" s="3"/>
      <c r="C938" s="3"/>
      <c r="D938" s="3"/>
      <c r="E938" s="3"/>
      <c r="F938" s="3"/>
      <c r="G938" s="3"/>
      <c r="H938" s="3"/>
      <c r="S938" s="3"/>
    </row>
    <row r="939">
      <c r="A939" s="3"/>
      <c r="C939" s="3"/>
      <c r="D939" s="3"/>
      <c r="E939" s="3"/>
      <c r="F939" s="3"/>
      <c r="G939" s="3"/>
      <c r="H939" s="3"/>
      <c r="S939" s="3"/>
    </row>
    <row r="940">
      <c r="A940" s="3"/>
      <c r="C940" s="3"/>
      <c r="D940" s="3"/>
      <c r="E940" s="3"/>
      <c r="F940" s="3"/>
      <c r="G940" s="3"/>
      <c r="H940" s="3"/>
      <c r="S940" s="3"/>
    </row>
    <row r="941">
      <c r="A941" s="3"/>
      <c r="C941" s="3"/>
      <c r="D941" s="3"/>
      <c r="E941" s="3"/>
      <c r="F941" s="3"/>
      <c r="G941" s="3"/>
      <c r="H941" s="3"/>
      <c r="S941" s="3"/>
    </row>
    <row r="942">
      <c r="A942" s="3"/>
      <c r="C942" s="3"/>
      <c r="D942" s="3"/>
      <c r="E942" s="3"/>
      <c r="F942" s="3"/>
      <c r="G942" s="3"/>
      <c r="H942" s="3"/>
      <c r="S942" s="3"/>
    </row>
    <row r="943">
      <c r="A943" s="3"/>
      <c r="C943" s="3"/>
      <c r="D943" s="3"/>
      <c r="E943" s="3"/>
      <c r="F943" s="3"/>
      <c r="G943" s="3"/>
      <c r="H943" s="3"/>
      <c r="S943" s="3"/>
    </row>
    <row r="944">
      <c r="A944" s="3"/>
      <c r="C944" s="3"/>
      <c r="D944" s="3"/>
      <c r="E944" s="3"/>
      <c r="F944" s="3"/>
      <c r="G944" s="3"/>
      <c r="H944" s="3"/>
      <c r="S944" s="3"/>
    </row>
    <row r="945">
      <c r="A945" s="3"/>
      <c r="C945" s="3"/>
      <c r="D945" s="3"/>
      <c r="E945" s="3"/>
      <c r="F945" s="3"/>
      <c r="G945" s="3"/>
      <c r="H945" s="3"/>
      <c r="S945" s="3"/>
    </row>
    <row r="946">
      <c r="A946" s="3"/>
      <c r="C946" s="3"/>
      <c r="D946" s="3"/>
      <c r="E946" s="3"/>
      <c r="F946" s="3"/>
      <c r="G946" s="3"/>
      <c r="H946" s="3"/>
      <c r="S946" s="3"/>
    </row>
    <row r="947">
      <c r="A947" s="3"/>
      <c r="C947" s="3"/>
      <c r="D947" s="3"/>
      <c r="E947" s="3"/>
      <c r="F947" s="3"/>
      <c r="G947" s="3"/>
      <c r="H947" s="3"/>
      <c r="S947" s="3"/>
    </row>
    <row r="948">
      <c r="A948" s="3"/>
      <c r="C948" s="3"/>
      <c r="D948" s="3"/>
      <c r="E948" s="3"/>
      <c r="F948" s="3"/>
      <c r="G948" s="3"/>
      <c r="H948" s="3"/>
      <c r="S948" s="3"/>
    </row>
    <row r="949">
      <c r="A949" s="3"/>
      <c r="C949" s="3"/>
      <c r="D949" s="3"/>
      <c r="E949" s="3"/>
      <c r="F949" s="3"/>
      <c r="G949" s="3"/>
      <c r="H949" s="3"/>
      <c r="S949" s="3"/>
    </row>
    <row r="950">
      <c r="A950" s="3"/>
      <c r="C950" s="3"/>
      <c r="D950" s="3"/>
      <c r="E950" s="3"/>
      <c r="F950" s="3"/>
      <c r="G950" s="3"/>
      <c r="H950" s="3"/>
      <c r="S950" s="3"/>
    </row>
    <row r="951">
      <c r="A951" s="3"/>
      <c r="C951" s="3"/>
      <c r="D951" s="3"/>
      <c r="E951" s="3"/>
      <c r="F951" s="3"/>
      <c r="G951" s="3"/>
      <c r="H951" s="3"/>
      <c r="S951" s="3"/>
    </row>
    <row r="952">
      <c r="A952" s="3"/>
      <c r="C952" s="3"/>
      <c r="D952" s="3"/>
      <c r="E952" s="3"/>
      <c r="F952" s="3"/>
      <c r="G952" s="3"/>
      <c r="H952" s="3"/>
      <c r="S952" s="3"/>
    </row>
    <row r="953">
      <c r="A953" s="3"/>
      <c r="C953" s="3"/>
      <c r="D953" s="3"/>
      <c r="E953" s="3"/>
      <c r="F953" s="3"/>
      <c r="G953" s="3"/>
      <c r="H953" s="3"/>
      <c r="S953" s="3"/>
    </row>
    <row r="954">
      <c r="A954" s="3"/>
      <c r="C954" s="3"/>
      <c r="D954" s="3"/>
      <c r="E954" s="3"/>
      <c r="F954" s="3"/>
      <c r="G954" s="3"/>
      <c r="H954" s="3"/>
      <c r="S954" s="3"/>
    </row>
    <row r="955">
      <c r="A955" s="3"/>
      <c r="C955" s="3"/>
      <c r="D955" s="3"/>
      <c r="E955" s="3"/>
      <c r="F955" s="3"/>
      <c r="G955" s="3"/>
      <c r="H955" s="3"/>
      <c r="S955" s="3"/>
    </row>
    <row r="956">
      <c r="A956" s="3"/>
      <c r="C956" s="3"/>
      <c r="D956" s="3"/>
      <c r="E956" s="3"/>
      <c r="F956" s="3"/>
      <c r="G956" s="3"/>
      <c r="H956" s="3"/>
      <c r="S956" s="3"/>
    </row>
    <row r="957">
      <c r="A957" s="3"/>
      <c r="C957" s="3"/>
      <c r="D957" s="3"/>
      <c r="E957" s="3"/>
      <c r="F957" s="3"/>
      <c r="G957" s="3"/>
      <c r="H957" s="3"/>
      <c r="S957" s="3"/>
    </row>
    <row r="958">
      <c r="A958" s="3"/>
      <c r="C958" s="3"/>
      <c r="D958" s="3"/>
      <c r="E958" s="3"/>
      <c r="F958" s="3"/>
      <c r="G958" s="3"/>
      <c r="H958" s="3"/>
      <c r="S958" s="3"/>
    </row>
    <row r="959">
      <c r="A959" s="3"/>
      <c r="C959" s="3"/>
      <c r="D959" s="3"/>
      <c r="E959" s="3"/>
      <c r="F959" s="3"/>
      <c r="G959" s="3"/>
      <c r="H959" s="3"/>
      <c r="S959" s="3"/>
    </row>
    <row r="960">
      <c r="A960" s="3"/>
      <c r="C960" s="3"/>
      <c r="D960" s="3"/>
      <c r="E960" s="3"/>
      <c r="F960" s="3"/>
      <c r="G960" s="3"/>
      <c r="H960" s="3"/>
      <c r="S960" s="3"/>
    </row>
    <row r="961">
      <c r="A961" s="3"/>
      <c r="C961" s="3"/>
      <c r="D961" s="3"/>
      <c r="E961" s="3"/>
      <c r="F961" s="3"/>
      <c r="G961" s="3"/>
      <c r="H961" s="3"/>
      <c r="S961" s="3"/>
    </row>
    <row r="962">
      <c r="A962" s="3"/>
      <c r="C962" s="3"/>
      <c r="D962" s="3"/>
      <c r="E962" s="3"/>
      <c r="F962" s="3"/>
      <c r="G962" s="3"/>
      <c r="H962" s="3"/>
      <c r="S962" s="3"/>
    </row>
    <row r="963">
      <c r="A963" s="3"/>
      <c r="C963" s="3"/>
      <c r="D963" s="3"/>
      <c r="E963" s="3"/>
      <c r="F963" s="3"/>
      <c r="G963" s="3"/>
      <c r="H963" s="3"/>
      <c r="S963" s="3"/>
    </row>
    <row r="964">
      <c r="A964" s="3"/>
      <c r="C964" s="3"/>
      <c r="D964" s="3"/>
      <c r="E964" s="3"/>
      <c r="F964" s="3"/>
      <c r="G964" s="3"/>
      <c r="H964" s="3"/>
      <c r="S964" s="3"/>
    </row>
    <row r="965">
      <c r="A965" s="3"/>
      <c r="C965" s="3"/>
      <c r="D965" s="3"/>
      <c r="E965" s="3"/>
      <c r="F965" s="3"/>
      <c r="G965" s="3"/>
      <c r="H965" s="3"/>
      <c r="S965" s="3"/>
    </row>
    <row r="966">
      <c r="A966" s="3"/>
      <c r="C966" s="3"/>
      <c r="D966" s="3"/>
      <c r="E966" s="3"/>
      <c r="F966" s="3"/>
      <c r="G966" s="3"/>
      <c r="H966" s="3"/>
      <c r="S966" s="3"/>
    </row>
    <row r="967">
      <c r="A967" s="3"/>
      <c r="C967" s="3"/>
      <c r="D967" s="3"/>
      <c r="E967" s="3"/>
      <c r="F967" s="3"/>
      <c r="G967" s="3"/>
      <c r="H967" s="3"/>
      <c r="S967" s="3"/>
    </row>
    <row r="968">
      <c r="A968" s="3"/>
      <c r="C968" s="3"/>
      <c r="D968" s="3"/>
      <c r="E968" s="3"/>
      <c r="F968" s="3"/>
      <c r="G968" s="3"/>
      <c r="H968" s="3"/>
      <c r="S968" s="3"/>
    </row>
    <row r="969">
      <c r="A969" s="3"/>
      <c r="C969" s="3"/>
      <c r="D969" s="3"/>
      <c r="E969" s="3"/>
      <c r="F969" s="3"/>
      <c r="G969" s="3"/>
      <c r="H969" s="3"/>
      <c r="S969" s="3"/>
    </row>
    <row r="970">
      <c r="A970" s="3"/>
      <c r="C970" s="3"/>
      <c r="D970" s="3"/>
      <c r="E970" s="3"/>
      <c r="F970" s="3"/>
      <c r="G970" s="3"/>
      <c r="H970" s="3"/>
      <c r="S970" s="3"/>
    </row>
    <row r="971">
      <c r="A971" s="3"/>
      <c r="C971" s="3"/>
      <c r="D971" s="3"/>
      <c r="E971" s="3"/>
      <c r="F971" s="3"/>
      <c r="G971" s="3"/>
      <c r="H971" s="3"/>
      <c r="S971" s="3"/>
    </row>
    <row r="972">
      <c r="A972" s="3"/>
      <c r="C972" s="3"/>
      <c r="D972" s="3"/>
      <c r="E972" s="3"/>
      <c r="F972" s="3"/>
      <c r="G972" s="3"/>
      <c r="H972" s="3"/>
      <c r="S972" s="3"/>
    </row>
    <row r="973">
      <c r="A973" s="3"/>
      <c r="C973" s="3"/>
      <c r="D973" s="3"/>
      <c r="E973" s="3"/>
      <c r="F973" s="3"/>
      <c r="G973" s="3"/>
      <c r="H973" s="3"/>
      <c r="S973" s="3"/>
    </row>
    <row r="974">
      <c r="A974" s="3"/>
      <c r="C974" s="3"/>
      <c r="D974" s="3"/>
      <c r="E974" s="3"/>
      <c r="F974" s="3"/>
      <c r="G974" s="3"/>
      <c r="H974" s="3"/>
      <c r="S974" s="3"/>
    </row>
    <row r="975">
      <c r="A975" s="3"/>
      <c r="C975" s="3"/>
      <c r="D975" s="3"/>
      <c r="E975" s="3"/>
      <c r="F975" s="3"/>
      <c r="G975" s="3"/>
      <c r="H975" s="3"/>
      <c r="S975" s="3"/>
    </row>
    <row r="976">
      <c r="A976" s="3"/>
      <c r="C976" s="3"/>
      <c r="D976" s="3"/>
      <c r="E976" s="3"/>
      <c r="F976" s="3"/>
      <c r="G976" s="3"/>
      <c r="H976" s="3"/>
      <c r="S976" s="3"/>
    </row>
    <row r="977">
      <c r="A977" s="3"/>
      <c r="C977" s="3"/>
      <c r="D977" s="3"/>
      <c r="E977" s="3"/>
      <c r="F977" s="3"/>
      <c r="G977" s="3"/>
      <c r="H977" s="3"/>
      <c r="S977" s="3"/>
    </row>
    <row r="978">
      <c r="A978" s="3"/>
      <c r="C978" s="3"/>
      <c r="D978" s="3"/>
      <c r="E978" s="3"/>
      <c r="F978" s="3"/>
      <c r="G978" s="3"/>
      <c r="H978" s="3"/>
      <c r="S978" s="3"/>
    </row>
    <row r="979">
      <c r="A979" s="3"/>
      <c r="C979" s="3"/>
      <c r="D979" s="3"/>
      <c r="E979" s="3"/>
      <c r="F979" s="3"/>
      <c r="G979" s="3"/>
      <c r="H979" s="3"/>
      <c r="S979" s="3"/>
    </row>
    <row r="980">
      <c r="A980" s="3"/>
      <c r="C980" s="3"/>
      <c r="D980" s="3"/>
      <c r="E980" s="3"/>
      <c r="F980" s="3"/>
      <c r="G980" s="3"/>
      <c r="H980" s="3"/>
      <c r="S980" s="3"/>
    </row>
    <row r="981">
      <c r="A981" s="3"/>
      <c r="C981" s="3"/>
      <c r="D981" s="3"/>
      <c r="E981" s="3"/>
      <c r="F981" s="3"/>
      <c r="G981" s="3"/>
      <c r="H981" s="3"/>
      <c r="S981" s="3"/>
    </row>
    <row r="982">
      <c r="A982" s="3"/>
      <c r="C982" s="3"/>
      <c r="D982" s="3"/>
      <c r="E982" s="3"/>
      <c r="F982" s="3"/>
      <c r="G982" s="3"/>
      <c r="H982" s="3"/>
      <c r="S982" s="3"/>
    </row>
    <row r="983">
      <c r="A983" s="3"/>
      <c r="C983" s="3"/>
      <c r="D983" s="3"/>
      <c r="E983" s="3"/>
      <c r="F983" s="3"/>
      <c r="G983" s="3"/>
      <c r="H983" s="3"/>
      <c r="S983" s="3"/>
    </row>
    <row r="984">
      <c r="A984" s="3"/>
      <c r="C984" s="3"/>
      <c r="D984" s="3"/>
      <c r="E984" s="3"/>
      <c r="F984" s="3"/>
      <c r="G984" s="3"/>
      <c r="H984" s="3"/>
      <c r="S984" s="3"/>
    </row>
    <row r="985">
      <c r="A985" s="3"/>
      <c r="C985" s="3"/>
      <c r="D985" s="3"/>
      <c r="E985" s="3"/>
      <c r="F985" s="3"/>
      <c r="G985" s="3"/>
      <c r="H985" s="3"/>
      <c r="S985" s="3"/>
    </row>
    <row r="986">
      <c r="A986" s="3"/>
      <c r="C986" s="3"/>
      <c r="D986" s="3"/>
      <c r="E986" s="3"/>
      <c r="F986" s="3"/>
      <c r="G986" s="3"/>
      <c r="H986" s="3"/>
      <c r="S986" s="3"/>
    </row>
    <row r="987">
      <c r="A987" s="3"/>
      <c r="C987" s="3"/>
      <c r="D987" s="3"/>
      <c r="E987" s="3"/>
      <c r="F987" s="3"/>
      <c r="G987" s="3"/>
      <c r="H987" s="3"/>
      <c r="S987" s="3"/>
    </row>
    <row r="988">
      <c r="A988" s="3"/>
      <c r="C988" s="3"/>
      <c r="D988" s="3"/>
      <c r="E988" s="3"/>
      <c r="F988" s="3"/>
      <c r="G988" s="3"/>
      <c r="H988" s="3"/>
      <c r="S988" s="3"/>
    </row>
    <row r="989">
      <c r="A989" s="3"/>
      <c r="C989" s="3"/>
      <c r="D989" s="3"/>
      <c r="E989" s="3"/>
      <c r="F989" s="3"/>
      <c r="G989" s="3"/>
      <c r="H989" s="3"/>
      <c r="S989" s="3"/>
    </row>
    <row r="990">
      <c r="A990" s="3"/>
      <c r="C990" s="3"/>
      <c r="D990" s="3"/>
      <c r="E990" s="3"/>
      <c r="F990" s="3"/>
      <c r="G990" s="3"/>
      <c r="H990" s="3"/>
      <c r="S990" s="3"/>
    </row>
    <row r="991">
      <c r="A991" s="3"/>
      <c r="C991" s="3"/>
      <c r="D991" s="3"/>
      <c r="E991" s="3"/>
      <c r="F991" s="3"/>
      <c r="G991" s="3"/>
      <c r="H991" s="3"/>
      <c r="S991" s="3"/>
    </row>
    <row r="992">
      <c r="A992" s="3"/>
      <c r="C992" s="3"/>
      <c r="D992" s="3"/>
      <c r="E992" s="3"/>
      <c r="F992" s="3"/>
      <c r="G992" s="3"/>
      <c r="H992" s="3"/>
      <c r="S992" s="3"/>
    </row>
    <row r="993">
      <c r="A993" s="3"/>
      <c r="C993" s="3"/>
      <c r="D993" s="3"/>
      <c r="E993" s="3"/>
      <c r="F993" s="3"/>
      <c r="G993" s="3"/>
      <c r="H993" s="3"/>
      <c r="S993" s="3"/>
    </row>
    <row r="994">
      <c r="A994" s="3"/>
      <c r="C994" s="3"/>
      <c r="D994" s="3"/>
      <c r="E994" s="3"/>
      <c r="F994" s="3"/>
      <c r="G994" s="3"/>
      <c r="H994" s="3"/>
      <c r="S994" s="3"/>
    </row>
    <row r="995">
      <c r="A995" s="3"/>
      <c r="C995" s="3"/>
      <c r="D995" s="3"/>
      <c r="E995" s="3"/>
      <c r="F995" s="3"/>
      <c r="G995" s="3"/>
      <c r="H995" s="3"/>
      <c r="S995" s="3"/>
    </row>
    <row r="996">
      <c r="A996" s="3"/>
      <c r="C996" s="3"/>
      <c r="D996" s="3"/>
      <c r="E996" s="3"/>
      <c r="F996" s="3"/>
      <c r="G996" s="3"/>
      <c r="H996" s="3"/>
      <c r="S996" s="3"/>
    </row>
    <row r="997">
      <c r="A997" s="3"/>
      <c r="C997" s="3"/>
      <c r="D997" s="3"/>
      <c r="E997" s="3"/>
      <c r="F997" s="3"/>
      <c r="G997" s="3"/>
      <c r="H997" s="3"/>
      <c r="S997" s="3"/>
    </row>
    <row r="998">
      <c r="A998" s="3"/>
      <c r="C998" s="3"/>
      <c r="D998" s="3"/>
      <c r="E998" s="3"/>
      <c r="F998" s="3"/>
      <c r="G998" s="3"/>
      <c r="H998" s="3"/>
      <c r="S998" s="3"/>
    </row>
    <row r="999">
      <c r="A999" s="3"/>
      <c r="C999" s="3"/>
      <c r="D999" s="3"/>
      <c r="E999" s="3"/>
      <c r="F999" s="3"/>
      <c r="G999" s="3"/>
      <c r="H999" s="3"/>
      <c r="S999" s="3"/>
    </row>
    <row r="1000">
      <c r="A1000" s="3"/>
      <c r="B1000" s="7">
        <v>1.0</v>
      </c>
      <c r="C1000" s="8">
        <v>2.0</v>
      </c>
      <c r="D1000" s="7">
        <v>3.0</v>
      </c>
      <c r="E1000" s="8">
        <v>4.0</v>
      </c>
      <c r="F1000" s="7">
        <v>5.0</v>
      </c>
      <c r="G1000" s="8">
        <v>6.0</v>
      </c>
      <c r="H1000" s="7">
        <v>7.0</v>
      </c>
      <c r="I1000" s="8">
        <v>8.0</v>
      </c>
      <c r="J1000" s="7">
        <v>9.0</v>
      </c>
      <c r="K1000" s="8">
        <v>10.0</v>
      </c>
      <c r="L1000" s="7">
        <v>11.0</v>
      </c>
      <c r="M1000" s="8">
        <v>12.0</v>
      </c>
      <c r="N1000" s="7">
        <v>13.0</v>
      </c>
      <c r="O1000" s="8">
        <v>14.0</v>
      </c>
      <c r="P1000" s="7">
        <v>15.0</v>
      </c>
      <c r="Q1000" s="8">
        <v>16.0</v>
      </c>
      <c r="R1000" s="7">
        <v>17.0</v>
      </c>
      <c r="S1000" s="8">
        <v>18.0</v>
      </c>
      <c r="T1000" s="7">
        <v>19.0</v>
      </c>
      <c r="U1000" s="8">
        <v>20.0</v>
      </c>
      <c r="V1000" s="7">
        <v>21.0</v>
      </c>
      <c r="W1000" s="8">
        <v>22.0</v>
      </c>
      <c r="X1000" s="7">
        <v>23.0</v>
      </c>
      <c r="Y1000" s="8">
        <v>24.0</v>
      </c>
      <c r="Z1000" s="7">
        <v>25.0</v>
      </c>
      <c r="AA1000" s="8">
        <v>26.0</v>
      </c>
      <c r="AB1000" s="7">
        <v>27.0</v>
      </c>
      <c r="AC1000" s="8">
        <v>28.0</v>
      </c>
      <c r="AD1000" s="7">
        <v>29.0</v>
      </c>
      <c r="AE1000" s="8">
        <v>30.0</v>
      </c>
      <c r="AF1000" s="7">
        <v>31.0</v>
      </c>
      <c r="AG1000" s="8">
        <v>32.0</v>
      </c>
      <c r="AH1000" s="7">
        <v>33.0</v>
      </c>
      <c r="AI1000" s="8">
        <v>34.0</v>
      </c>
      <c r="AJ1000" s="7">
        <v>35.0</v>
      </c>
      <c r="AK1000" s="8">
        <v>36.0</v>
      </c>
      <c r="AL1000" s="7">
        <v>37.0</v>
      </c>
      <c r="AM1000" s="8">
        <v>38.0</v>
      </c>
      <c r="AN1000" s="7">
        <v>39.0</v>
      </c>
      <c r="AO1000" s="8">
        <v>40.0</v>
      </c>
      <c r="AP1000" s="7">
        <v>41.0</v>
      </c>
      <c r="AQ1000" s="8">
        <v>42.0</v>
      </c>
      <c r="AR1000" s="7">
        <v>43.0</v>
      </c>
      <c r="AS1000" s="8">
        <v>44.0</v>
      </c>
      <c r="AT1000" s="7">
        <v>45.0</v>
      </c>
      <c r="AU1000" s="8">
        <v>46.0</v>
      </c>
      <c r="AV1000" s="7">
        <v>47.0</v>
      </c>
      <c r="AW1000" s="8">
        <v>48.0</v>
      </c>
      <c r="AX1000" s="7">
        <v>49.0</v>
      </c>
      <c r="AY1000" s="8">
        <v>50.0</v>
      </c>
      <c r="AZ1000" s="7">
        <v>51.0</v>
      </c>
      <c r="BA1000" s="8">
        <v>52.0</v>
      </c>
      <c r="BB1000" s="7">
        <v>53.0</v>
      </c>
      <c r="BC1000" s="8">
        <v>54.0</v>
      </c>
      <c r="BD1000" s="7">
        <v>55.0</v>
      </c>
      <c r="BE1000" s="8">
        <v>56.0</v>
      </c>
      <c r="BF1000" s="7">
        <v>57.0</v>
      </c>
      <c r="BG1000" s="8">
        <v>58.0</v>
      </c>
      <c r="BH1000" s="7">
        <v>59.0</v>
      </c>
      <c r="BI1000" s="8">
        <v>60.0</v>
      </c>
      <c r="BJ1000" s="7">
        <v>61.0</v>
      </c>
      <c r="BK1000" s="8">
        <v>62.0</v>
      </c>
      <c r="BL1000" s="7">
        <v>63.0</v>
      </c>
      <c r="BM1000" s="8">
        <v>64.0</v>
      </c>
      <c r="BN1000" s="7">
        <v>65.0</v>
      </c>
      <c r="BO1000" s="8">
        <v>66.0</v>
      </c>
      <c r="BP1000" s="7">
        <v>67.0</v>
      </c>
      <c r="BQ1000" s="8">
        <v>68.0</v>
      </c>
      <c r="BR1000" s="7">
        <v>69.0</v>
      </c>
      <c r="BS1000" s="8">
        <v>70.0</v>
      </c>
      <c r="BT1000" s="7">
        <v>71.0</v>
      </c>
      <c r="BU1000" s="8">
        <v>72.0</v>
      </c>
      <c r="BV1000" s="7">
        <v>73.0</v>
      </c>
      <c r="BW1000" s="8">
        <v>74.0</v>
      </c>
      <c r="BX1000" s="7">
        <v>75.0</v>
      </c>
      <c r="BY1000" s="8">
        <v>76.0</v>
      </c>
      <c r="BZ1000" s="7">
        <v>77.0</v>
      </c>
      <c r="CA1000" s="8">
        <v>78.0</v>
      </c>
      <c r="CB1000" s="7">
        <v>79.0</v>
      </c>
      <c r="CC1000" s="8">
        <v>80.0</v>
      </c>
      <c r="CD1000" s="7">
        <v>81.0</v>
      </c>
      <c r="CE1000" s="8">
        <v>82.0</v>
      </c>
      <c r="CF1000" s="7">
        <v>83.0</v>
      </c>
      <c r="CG1000" s="8">
        <v>84.0</v>
      </c>
      <c r="CH1000" s="7">
        <v>85.0</v>
      </c>
      <c r="CI1000" s="8">
        <v>86.0</v>
      </c>
      <c r="CJ1000" s="7">
        <v>87.0</v>
      </c>
      <c r="CK1000" s="8">
        <v>88.0</v>
      </c>
      <c r="CL1000" s="7">
        <v>89.0</v>
      </c>
      <c r="CM1000" s="8">
        <v>90.0</v>
      </c>
      <c r="CN1000" s="7">
        <v>91.0</v>
      </c>
      <c r="CO1000" s="8">
        <v>92.0</v>
      </c>
    </row>
  </sheetData>
  <autoFilter ref="$A$1:$GI$19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88"/>
    <col customWidth="1" min="3" max="3" width="10.25"/>
    <col customWidth="1" min="4" max="4" width="7.25"/>
    <col customWidth="1" min="5" max="5" width="6.38"/>
    <col customWidth="1" min="6" max="6" width="7.0"/>
    <col customWidth="1" min="7" max="7" width="16.88"/>
    <col customWidth="1" min="8" max="8" width="14.0"/>
    <col customWidth="1" min="9" max="9" width="9.38"/>
    <col customWidth="1" min="10" max="10" width="8.38"/>
    <col customWidth="1" min="11" max="11" width="12.63"/>
    <col customWidth="1" min="12" max="12" width="11.5"/>
    <col customWidth="1" min="13" max="13" width="7.75"/>
    <col customWidth="1" min="14" max="14" width="11.0"/>
    <col customWidth="1" min="15" max="15" width="9.75"/>
    <col customWidth="1" min="16" max="16" width="11.0"/>
    <col customWidth="1" min="17" max="17" width="21.38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2"/>
      <c r="S1" s="12"/>
      <c r="T1" s="12"/>
      <c r="U1" s="12"/>
      <c r="V1" s="12"/>
      <c r="W1" s="12"/>
      <c r="X1" s="12"/>
      <c r="Y1" s="12"/>
      <c r="Z1" s="12"/>
    </row>
    <row r="2" ht="28.5" customHeight="1">
      <c r="A2" s="13">
        <f t="shared" ref="A2:A194" si="2">IF(B2="","",ROW(A2)-1)</f>
        <v>1</v>
      </c>
      <c r="B2" s="14" t="str">
        <f>IFERROR(__xludf.DUMMYFUNCTION("SORT(QUERY(Sheet1!B2:W750,""Select Col1,Col2,Col3,Col4,Col5,Col6,Col10,Col11,Col12,Col13,Col14 Where Col3 IS NOT NULL "",""""),11,2)"),"DWI MAULIDIYAH")</f>
        <v>DWI MAULIDIYAH</v>
      </c>
      <c r="C2" s="13">
        <f>IFERROR(__xludf.DUMMYFUNCTION("""COMPUTED_VALUE"""),2.024070596E9)</f>
        <v>2024070596</v>
      </c>
      <c r="D2" s="13" t="str">
        <f>IFERROR(__xludf.DUMMYFUNCTION("""COMPUTED_VALUE"""),"E")</f>
        <v>E</v>
      </c>
      <c r="E2" s="13" t="str">
        <f>IFERROR(__xludf.DUMMYFUNCTION("""COMPUTED_VALUE"""),"E-9")</f>
        <v>E-9</v>
      </c>
      <c r="F2" s="15">
        <f>IFERROR(__xludf.DUMMYFUNCTION("""COMPUTED_VALUE"""),3.0)</f>
        <v>3</v>
      </c>
      <c r="G2" s="13" t="str">
        <f>IFERROR(__xludf.DUMMYFUNCTION("""COMPUTED_VALUE"""),"3 ULA B PUTRI")</f>
        <v>3 ULA B PUTRI</v>
      </c>
      <c r="H2" s="14" t="str">
        <f>IFERROR(__xludf.DUMMYFUNCTION("""COMPUTED_VALUE"""),"6285853420436")</f>
        <v>6285853420436</v>
      </c>
      <c r="I2" s="16">
        <f>IFERROR(__xludf.DUMMYFUNCTION("""COMPUTED_VALUE"""),270000.0)</f>
        <v>270000</v>
      </c>
      <c r="J2" s="16">
        <f>IFERROR(__xludf.DUMMYFUNCTION("""COMPUTED_VALUE"""),0.0)</f>
        <v>0</v>
      </c>
      <c r="K2" s="16">
        <f>IFERROR(__xludf.DUMMYFUNCTION("""COMPUTED_VALUE"""),0.0)</f>
        <v>0</v>
      </c>
      <c r="L2" s="16">
        <f>IFERROR(__xludf.DUMMYFUNCTION("""COMPUTED_VALUE"""),270000.0)</f>
        <v>270000</v>
      </c>
      <c r="M2" s="14" t="str">
        <f t="shared" ref="M2:P2" si="1">text(I2,"Rp #,##0")</f>
        <v>Rp 270.000</v>
      </c>
      <c r="N2" s="14" t="str">
        <f t="shared" si="1"/>
        <v>Rp 0</v>
      </c>
      <c r="O2" s="14" t="str">
        <f t="shared" si="1"/>
        <v>Rp 0</v>
      </c>
      <c r="P2" s="14" t="str">
        <f t="shared" si="1"/>
        <v>Rp 270.000</v>
      </c>
      <c r="Q2" s="14" t="str">
        <f t="shared" ref="Q2:Q147" si="4">$M$1&amp;" = "&amp;M2&amp;"
"&amp;$N$1&amp;" = "&amp;N2&amp;"
"&amp;$O$1&amp;" = "&amp;O2&amp;"
"&amp;$P$1&amp;" = "&amp;P2&amp;"
______________________"&amp;R2&amp;"
ID : "&amp;C2</f>
        <v>Syahriyah = Rp 270.000
Jariyah = Rp 0
Daftar Ulang = Rp 0
Total = Rp 270.000
______________________
ID : 2024070596</v>
      </c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f t="shared" si="2"/>
        <v>2</v>
      </c>
      <c r="B3" s="4" t="str">
        <f>IFERROR(__xludf.DUMMYFUNCTION("""COMPUTED_VALUE"""),"M. FAHMI ALFIYAN NURIL HAQ")</f>
        <v>M. FAHMI ALFIYAN NURIL HAQ</v>
      </c>
      <c r="C3" s="4">
        <f>IFERROR(__xludf.DUMMYFUNCTION("""COMPUTED_VALUE"""),2.024070718E9)</f>
        <v>2024070718</v>
      </c>
      <c r="D3" s="4" t="str">
        <f>IFERROR(__xludf.DUMMYFUNCTION("""COMPUTED_VALUE"""),"A")</f>
        <v>A</v>
      </c>
      <c r="E3" s="4" t="str">
        <f>IFERROR(__xludf.DUMMYFUNCTION("""COMPUTED_VALUE"""),"A-13")</f>
        <v>A-13</v>
      </c>
      <c r="F3" s="4">
        <f>IFERROR(__xludf.DUMMYFUNCTION("""COMPUTED_VALUE"""),3.0)</f>
        <v>3</v>
      </c>
      <c r="G3" s="4"/>
      <c r="H3" s="4" t="str">
        <f>IFERROR(__xludf.DUMMYFUNCTION("""COMPUTED_VALUE"""),"6289677807375")</f>
        <v>6289677807375</v>
      </c>
      <c r="I3" s="5">
        <f>IFERROR(__xludf.DUMMYFUNCTION("""COMPUTED_VALUE"""),410000.0)</f>
        <v>410000</v>
      </c>
      <c r="J3" s="5">
        <f>IFERROR(__xludf.DUMMYFUNCTION("""COMPUTED_VALUE"""),0.0)</f>
        <v>0</v>
      </c>
      <c r="K3" s="5">
        <f>IFERROR(__xludf.DUMMYFUNCTION("""COMPUTED_VALUE"""),0.0)</f>
        <v>0</v>
      </c>
      <c r="L3" s="5">
        <f>IFERROR(__xludf.DUMMYFUNCTION("""COMPUTED_VALUE"""),410000.0)</f>
        <v>410000</v>
      </c>
      <c r="M3" s="14" t="str">
        <f t="shared" ref="M3:P3" si="3">text(I3,"Rp #,##0")</f>
        <v>Rp 410.000</v>
      </c>
      <c r="N3" s="14" t="str">
        <f t="shared" si="3"/>
        <v>Rp 0</v>
      </c>
      <c r="O3" s="14" t="str">
        <f t="shared" si="3"/>
        <v>Rp 0</v>
      </c>
      <c r="P3" s="14" t="str">
        <f t="shared" si="3"/>
        <v>Rp 410.000</v>
      </c>
      <c r="Q3" s="14" t="str">
        <f t="shared" si="4"/>
        <v>Syahriyah = Rp 410.000
Jariyah = Rp 0
Daftar Ulang = Rp 0
Total = Rp 410.000
______________________
ID : 2024070718</v>
      </c>
    </row>
    <row r="4">
      <c r="A4" s="18">
        <f t="shared" si="2"/>
        <v>3</v>
      </c>
      <c r="B4" s="4" t="str">
        <f>IFERROR(__xludf.DUMMYFUNCTION("""COMPUTED_VALUE"""),"MIRZA ATHA HIBATULLAH")</f>
        <v>MIRZA ATHA HIBATULLAH</v>
      </c>
      <c r="C4" s="4">
        <f>IFERROR(__xludf.DUMMYFUNCTION("""COMPUTED_VALUE"""),2.0240706E9)</f>
        <v>2024070600</v>
      </c>
      <c r="D4" s="4" t="str">
        <f>IFERROR(__xludf.DUMMYFUNCTION("""COMPUTED_VALUE"""),"A")</f>
        <v>A</v>
      </c>
      <c r="E4" s="4" t="str">
        <f>IFERROR(__xludf.DUMMYFUNCTION("""COMPUTED_VALUE"""),"A-13")</f>
        <v>A-13</v>
      </c>
      <c r="F4" s="4">
        <f>IFERROR(__xludf.DUMMYFUNCTION("""COMPUTED_VALUE"""),3.0)</f>
        <v>3</v>
      </c>
      <c r="G4" s="4"/>
      <c r="H4" s="4" t="str">
        <f>IFERROR(__xludf.DUMMYFUNCTION("""COMPUTED_VALUE"""),"6285731205500")</f>
        <v>6285731205500</v>
      </c>
      <c r="I4" s="5">
        <f>IFERROR(__xludf.DUMMYFUNCTION("""COMPUTED_VALUE"""),410000.0)</f>
        <v>410000</v>
      </c>
      <c r="J4" s="5">
        <f>IFERROR(__xludf.DUMMYFUNCTION("""COMPUTED_VALUE"""),0.0)</f>
        <v>0</v>
      </c>
      <c r="K4" s="5">
        <f>IFERROR(__xludf.DUMMYFUNCTION("""COMPUTED_VALUE"""),0.0)</f>
        <v>0</v>
      </c>
      <c r="L4" s="5">
        <f>IFERROR(__xludf.DUMMYFUNCTION("""COMPUTED_VALUE"""),410000.0)</f>
        <v>410000</v>
      </c>
      <c r="M4" s="14" t="str">
        <f t="shared" ref="M4:P4" si="5">text(I4,"Rp #,##0")</f>
        <v>Rp 410.000</v>
      </c>
      <c r="N4" s="14" t="str">
        <f t="shared" si="5"/>
        <v>Rp 0</v>
      </c>
      <c r="O4" s="14" t="str">
        <f t="shared" si="5"/>
        <v>Rp 0</v>
      </c>
      <c r="P4" s="14" t="str">
        <f t="shared" si="5"/>
        <v>Rp 410.000</v>
      </c>
      <c r="Q4" s="14" t="str">
        <f t="shared" si="4"/>
        <v>Syahriyah = Rp 410.000
Jariyah = Rp 0
Daftar Ulang = Rp 0
Total = Rp 410.000
______________________
ID : 2024070600</v>
      </c>
    </row>
    <row r="5">
      <c r="A5" s="18">
        <f t="shared" si="2"/>
        <v>4</v>
      </c>
      <c r="B5" s="4" t="str">
        <f>IFERROR(__xludf.DUMMYFUNCTION("""COMPUTED_VALUE"""),"ABIDAH OKTA SALSABILA")</f>
        <v>ABIDAH OKTA SALSABILA</v>
      </c>
      <c r="C5" s="4">
        <f>IFERROR(__xludf.DUMMYFUNCTION("""COMPUTED_VALUE"""),2.024070146E9)</f>
        <v>2024070146</v>
      </c>
      <c r="D5" s="4" t="str">
        <f>IFERROR(__xludf.DUMMYFUNCTION("""COMPUTED_VALUE"""),"C")</f>
        <v>C</v>
      </c>
      <c r="E5" s="4" t="str">
        <f>IFERROR(__xludf.DUMMYFUNCTION("""COMPUTED_VALUE"""),"C-9")</f>
        <v>C-9</v>
      </c>
      <c r="F5" s="4">
        <f>IFERROR(__xludf.DUMMYFUNCTION("""COMPUTED_VALUE"""),3.0)</f>
        <v>3</v>
      </c>
      <c r="G5" s="4" t="str">
        <f>IFERROR(__xludf.DUMMYFUNCTION("""COMPUTED_VALUE"""),"3 WUSTHO B PUTRI")</f>
        <v>3 WUSTHO B PUTRI</v>
      </c>
      <c r="H5" s="4" t="str">
        <f>IFERROR(__xludf.DUMMYFUNCTION("""COMPUTED_VALUE"""),"6285649525237")</f>
        <v>6285649525237</v>
      </c>
      <c r="I5" s="5">
        <f>IFERROR(__xludf.DUMMYFUNCTION("""COMPUTED_VALUE"""),450000.0)</f>
        <v>450000</v>
      </c>
      <c r="J5" s="5">
        <f>IFERROR(__xludf.DUMMYFUNCTION("""COMPUTED_VALUE"""),0.0)</f>
        <v>0</v>
      </c>
      <c r="K5" s="5">
        <f>IFERROR(__xludf.DUMMYFUNCTION("""COMPUTED_VALUE"""),0.0)</f>
        <v>0</v>
      </c>
      <c r="L5" s="5">
        <f>IFERROR(__xludf.DUMMYFUNCTION("""COMPUTED_VALUE"""),450000.0)</f>
        <v>450000</v>
      </c>
      <c r="M5" s="14" t="str">
        <f t="shared" ref="M5:P5" si="6">text(I5,"Rp #,##0")</f>
        <v>Rp 450.000</v>
      </c>
      <c r="N5" s="14" t="str">
        <f t="shared" si="6"/>
        <v>Rp 0</v>
      </c>
      <c r="O5" s="14" t="str">
        <f t="shared" si="6"/>
        <v>Rp 0</v>
      </c>
      <c r="P5" s="14" t="str">
        <f t="shared" si="6"/>
        <v>Rp 450.000</v>
      </c>
      <c r="Q5" s="14" t="str">
        <f t="shared" si="4"/>
        <v>Syahriyah = Rp 450.000
Jariyah = Rp 0
Daftar Ulang = Rp 0
Total = Rp 450.000
______________________
ID : 2024070146</v>
      </c>
    </row>
    <row r="6">
      <c r="A6" s="18">
        <f t="shared" si="2"/>
        <v>5</v>
      </c>
      <c r="B6" s="4" t="str">
        <f>IFERROR(__xludf.DUMMYFUNCTION("""COMPUTED_VALUE"""),"AHMAD SUSETO ANGGA SUKMA")</f>
        <v>AHMAD SUSETO ANGGA SUKMA</v>
      </c>
      <c r="C6" s="4">
        <f>IFERROR(__xludf.DUMMYFUNCTION("""COMPUTED_VALUE"""),2.024070601E9)</f>
        <v>2024070601</v>
      </c>
      <c r="D6" s="4" t="str">
        <f>IFERROR(__xludf.DUMMYFUNCTION("""COMPUTED_VALUE"""),"A")</f>
        <v>A</v>
      </c>
      <c r="E6" s="4" t="str">
        <f>IFERROR(__xludf.DUMMYFUNCTION("""COMPUTED_VALUE"""),"A-7")</f>
        <v>A-7</v>
      </c>
      <c r="F6" s="4">
        <f>IFERROR(__xludf.DUMMYFUNCTION("""COMPUTED_VALUE"""),3.0)</f>
        <v>3</v>
      </c>
      <c r="G6" s="4" t="str">
        <f>IFERROR(__xludf.DUMMYFUNCTION("""COMPUTED_VALUE"""),"3 ULA B PUTRA")</f>
        <v>3 ULA B PUTRA</v>
      </c>
      <c r="H6" s="4" t="str">
        <f>IFERROR(__xludf.DUMMYFUNCTION("""COMPUTED_VALUE"""),"6281330117049")</f>
        <v>6281330117049</v>
      </c>
      <c r="I6" s="5">
        <f>IFERROR(__xludf.DUMMYFUNCTION("""COMPUTED_VALUE"""),450000.0)</f>
        <v>450000</v>
      </c>
      <c r="J6" s="5">
        <f>IFERROR(__xludf.DUMMYFUNCTION("""COMPUTED_VALUE"""),0.0)</f>
        <v>0</v>
      </c>
      <c r="K6" s="5">
        <f>IFERROR(__xludf.DUMMYFUNCTION("""COMPUTED_VALUE"""),0.0)</f>
        <v>0</v>
      </c>
      <c r="L6" s="5">
        <f>IFERROR(__xludf.DUMMYFUNCTION("""COMPUTED_VALUE"""),450000.0)</f>
        <v>450000</v>
      </c>
      <c r="M6" s="14" t="str">
        <f t="shared" ref="M6:P6" si="7">text(I6,"Rp #,##0")</f>
        <v>Rp 450.000</v>
      </c>
      <c r="N6" s="14" t="str">
        <f t="shared" si="7"/>
        <v>Rp 0</v>
      </c>
      <c r="O6" s="14" t="str">
        <f t="shared" si="7"/>
        <v>Rp 0</v>
      </c>
      <c r="P6" s="14" t="str">
        <f t="shared" si="7"/>
        <v>Rp 450.000</v>
      </c>
      <c r="Q6" s="14" t="str">
        <f t="shared" si="4"/>
        <v>Syahriyah = Rp 450.000
Jariyah = Rp 0
Daftar Ulang = Rp 0
Total = Rp 450.000
______________________
ID : 2024070601</v>
      </c>
    </row>
    <row r="7">
      <c r="A7" s="18">
        <f t="shared" si="2"/>
        <v>6</v>
      </c>
      <c r="B7" s="4" t="str">
        <f>IFERROR(__xludf.DUMMYFUNCTION("""COMPUTED_VALUE"""),"ALFA FALAJ SALSABILA")</f>
        <v>ALFA FALAJ SALSABILA</v>
      </c>
      <c r="C7" s="4">
        <f>IFERROR(__xludf.DUMMYFUNCTION("""COMPUTED_VALUE"""),2.024070611E9)</f>
        <v>2024070611</v>
      </c>
      <c r="D7" s="4" t="str">
        <f>IFERROR(__xludf.DUMMYFUNCTION("""COMPUTED_VALUE"""),"C")</f>
        <v>C</v>
      </c>
      <c r="E7" s="4" t="str">
        <f>IFERROR(__xludf.DUMMYFUNCTION("""COMPUTED_VALUE"""),"C-3")</f>
        <v>C-3</v>
      </c>
      <c r="F7" s="4">
        <f>IFERROR(__xludf.DUMMYFUNCTION("""COMPUTED_VALUE"""),3.0)</f>
        <v>3</v>
      </c>
      <c r="G7" s="4" t="str">
        <f>IFERROR(__xludf.DUMMYFUNCTION("""COMPUTED_VALUE"""),"3 ULA C PUTRI")</f>
        <v>3 ULA C PUTRI</v>
      </c>
      <c r="H7" s="4" t="str">
        <f>IFERROR(__xludf.DUMMYFUNCTION("""COMPUTED_VALUE"""),"6285859539394")</f>
        <v>6285859539394</v>
      </c>
      <c r="I7" s="5">
        <f>IFERROR(__xludf.DUMMYFUNCTION("""COMPUTED_VALUE"""),450000.0)</f>
        <v>450000</v>
      </c>
      <c r="J7" s="5">
        <f>IFERROR(__xludf.DUMMYFUNCTION("""COMPUTED_VALUE"""),0.0)</f>
        <v>0</v>
      </c>
      <c r="K7" s="5">
        <f>IFERROR(__xludf.DUMMYFUNCTION("""COMPUTED_VALUE"""),0.0)</f>
        <v>0</v>
      </c>
      <c r="L7" s="5">
        <f>IFERROR(__xludf.DUMMYFUNCTION("""COMPUTED_VALUE"""),450000.0)</f>
        <v>450000</v>
      </c>
      <c r="M7" s="14" t="str">
        <f t="shared" ref="M7:P7" si="8">text(I7,"Rp #,##0")</f>
        <v>Rp 450.000</v>
      </c>
      <c r="N7" s="14" t="str">
        <f t="shared" si="8"/>
        <v>Rp 0</v>
      </c>
      <c r="O7" s="14" t="str">
        <f t="shared" si="8"/>
        <v>Rp 0</v>
      </c>
      <c r="P7" s="14" t="str">
        <f t="shared" si="8"/>
        <v>Rp 450.000</v>
      </c>
      <c r="Q7" s="14" t="str">
        <f t="shared" si="4"/>
        <v>Syahriyah = Rp 450.000
Jariyah = Rp 0
Daftar Ulang = Rp 0
Total = Rp 450.000
______________________
ID : 2024070611</v>
      </c>
    </row>
    <row r="8">
      <c r="A8" s="18">
        <f t="shared" si="2"/>
        <v>7</v>
      </c>
      <c r="B8" s="4" t="str">
        <f>IFERROR(__xludf.DUMMYFUNCTION("""COMPUTED_VALUE"""),"AZZA IBNU ARJUN")</f>
        <v>AZZA IBNU ARJUN</v>
      </c>
      <c r="C8" s="4">
        <f>IFERROR(__xludf.DUMMYFUNCTION("""COMPUTED_VALUE"""),2.024090771E9)</f>
        <v>2024090771</v>
      </c>
      <c r="D8" s="4" t="str">
        <f>IFERROR(__xludf.DUMMYFUNCTION("""COMPUTED_VALUE"""),"A")</f>
        <v>A</v>
      </c>
      <c r="E8" s="4" t="str">
        <f>IFERROR(__xludf.DUMMYFUNCTION("""COMPUTED_VALUE"""),"A-8")</f>
        <v>A-8</v>
      </c>
      <c r="F8" s="4">
        <f>IFERROR(__xludf.DUMMYFUNCTION("""COMPUTED_VALUE"""),3.0)</f>
        <v>3</v>
      </c>
      <c r="G8" s="4" t="str">
        <f>IFERROR(__xludf.DUMMYFUNCTION("""COMPUTED_VALUE"""),"3 ULA A PUTRA")</f>
        <v>3 ULA A PUTRA</v>
      </c>
      <c r="H8" s="4" t="str">
        <f>IFERROR(__xludf.DUMMYFUNCTION("""COMPUTED_VALUE"""),"6282234721856")</f>
        <v>6282234721856</v>
      </c>
      <c r="I8" s="5">
        <f>IFERROR(__xludf.DUMMYFUNCTION("""COMPUTED_VALUE"""),450000.0)</f>
        <v>450000</v>
      </c>
      <c r="J8" s="5">
        <f>IFERROR(__xludf.DUMMYFUNCTION("""COMPUTED_VALUE"""),0.0)</f>
        <v>0</v>
      </c>
      <c r="K8" s="5">
        <f>IFERROR(__xludf.DUMMYFUNCTION("""COMPUTED_VALUE"""),0.0)</f>
        <v>0</v>
      </c>
      <c r="L8" s="5">
        <f>IFERROR(__xludf.DUMMYFUNCTION("""COMPUTED_VALUE"""),450000.0)</f>
        <v>450000</v>
      </c>
      <c r="M8" s="14" t="str">
        <f t="shared" ref="M8:P8" si="9">text(I8,"Rp #,##0")</f>
        <v>Rp 450.000</v>
      </c>
      <c r="N8" s="14" t="str">
        <f t="shared" si="9"/>
        <v>Rp 0</v>
      </c>
      <c r="O8" s="14" t="str">
        <f t="shared" si="9"/>
        <v>Rp 0</v>
      </c>
      <c r="P8" s="14" t="str">
        <f t="shared" si="9"/>
        <v>Rp 450.000</v>
      </c>
      <c r="Q8" s="14" t="str">
        <f t="shared" si="4"/>
        <v>Syahriyah = Rp 450.000
Jariyah = Rp 0
Daftar Ulang = Rp 0
Total = Rp 450.000
______________________
ID : 2024090771</v>
      </c>
    </row>
    <row r="9">
      <c r="A9" s="18">
        <f t="shared" si="2"/>
        <v>8</v>
      </c>
      <c r="B9" s="4" t="str">
        <f>IFERROR(__xludf.DUMMYFUNCTION("""COMPUTED_VALUE"""),"BINTANG FARSYA HUSBANA")</f>
        <v>BINTANG FARSYA HUSBANA</v>
      </c>
      <c r="C9" s="4">
        <f>IFERROR(__xludf.DUMMYFUNCTION("""COMPUTED_VALUE"""),2.024070646E9)</f>
        <v>2024070646</v>
      </c>
      <c r="D9" s="4" t="str">
        <f>IFERROR(__xludf.DUMMYFUNCTION("""COMPUTED_VALUE"""),"A")</f>
        <v>A</v>
      </c>
      <c r="E9" s="4" t="str">
        <f>IFERROR(__xludf.DUMMYFUNCTION("""COMPUTED_VALUE"""),"A-7")</f>
        <v>A-7</v>
      </c>
      <c r="F9" s="4">
        <f>IFERROR(__xludf.DUMMYFUNCTION("""COMPUTED_VALUE"""),3.0)</f>
        <v>3</v>
      </c>
      <c r="G9" s="4" t="str">
        <f>IFERROR(__xludf.DUMMYFUNCTION("""COMPUTED_VALUE"""),"3 ULA A PUTRA")</f>
        <v>3 ULA A PUTRA</v>
      </c>
      <c r="H9" s="4" t="str">
        <f>IFERROR(__xludf.DUMMYFUNCTION("""COMPUTED_VALUE"""),"6285851833747")</f>
        <v>6285851833747</v>
      </c>
      <c r="I9" s="5">
        <f>IFERROR(__xludf.DUMMYFUNCTION("""COMPUTED_VALUE"""),450000.0)</f>
        <v>450000</v>
      </c>
      <c r="J9" s="5">
        <f>IFERROR(__xludf.DUMMYFUNCTION("""COMPUTED_VALUE"""),0.0)</f>
        <v>0</v>
      </c>
      <c r="K9" s="5">
        <f>IFERROR(__xludf.DUMMYFUNCTION("""COMPUTED_VALUE"""),0.0)</f>
        <v>0</v>
      </c>
      <c r="L9" s="5">
        <f>IFERROR(__xludf.DUMMYFUNCTION("""COMPUTED_VALUE"""),450000.0)</f>
        <v>450000</v>
      </c>
      <c r="M9" s="14" t="str">
        <f t="shared" ref="M9:P9" si="10">text(I9,"Rp #,##0")</f>
        <v>Rp 450.000</v>
      </c>
      <c r="N9" s="14" t="str">
        <f t="shared" si="10"/>
        <v>Rp 0</v>
      </c>
      <c r="O9" s="14" t="str">
        <f t="shared" si="10"/>
        <v>Rp 0</v>
      </c>
      <c r="P9" s="14" t="str">
        <f t="shared" si="10"/>
        <v>Rp 450.000</v>
      </c>
      <c r="Q9" s="14" t="str">
        <f t="shared" si="4"/>
        <v>Syahriyah = Rp 450.000
Jariyah = Rp 0
Daftar Ulang = Rp 0
Total = Rp 450.000
______________________
ID : 2024070646</v>
      </c>
    </row>
    <row r="10">
      <c r="A10" s="18">
        <f t="shared" si="2"/>
        <v>9</v>
      </c>
      <c r="B10" s="4" t="str">
        <f>IFERROR(__xludf.DUMMYFUNCTION("""COMPUTED_VALUE"""),"DILLA AGUSTIAWATI PUTRI")</f>
        <v>DILLA AGUSTIAWATI PUTRI</v>
      </c>
      <c r="C10" s="4">
        <f>IFERROR(__xludf.DUMMYFUNCTION("""COMPUTED_VALUE"""),2.024070532E9)</f>
        <v>2024070532</v>
      </c>
      <c r="D10" s="4" t="str">
        <f>IFERROR(__xludf.DUMMYFUNCTION("""COMPUTED_VALUE"""),"C")</f>
        <v>C</v>
      </c>
      <c r="E10" s="4" t="str">
        <f>IFERROR(__xludf.DUMMYFUNCTION("""COMPUTED_VALUE"""),"C-13")</f>
        <v>C-13</v>
      </c>
      <c r="F10" s="4">
        <f>IFERROR(__xludf.DUMMYFUNCTION("""COMPUTED_VALUE"""),3.0)</f>
        <v>3</v>
      </c>
      <c r="G10" s="4" t="str">
        <f>IFERROR(__xludf.DUMMYFUNCTION("""COMPUTED_VALUE"""),"3 ULA C PUTRI")</f>
        <v>3 ULA C PUTRI</v>
      </c>
      <c r="H10" s="4" t="str">
        <f>IFERROR(__xludf.DUMMYFUNCTION("""COMPUTED_VALUE"""),"6285808407652")</f>
        <v>6285808407652</v>
      </c>
      <c r="I10" s="5">
        <f>IFERROR(__xludf.DUMMYFUNCTION("""COMPUTED_VALUE"""),450000.0)</f>
        <v>450000</v>
      </c>
      <c r="J10" s="5">
        <f>IFERROR(__xludf.DUMMYFUNCTION("""COMPUTED_VALUE"""),0.0)</f>
        <v>0</v>
      </c>
      <c r="K10" s="5">
        <f>IFERROR(__xludf.DUMMYFUNCTION("""COMPUTED_VALUE"""),0.0)</f>
        <v>0</v>
      </c>
      <c r="L10" s="5">
        <f>IFERROR(__xludf.DUMMYFUNCTION("""COMPUTED_VALUE"""),450000.0)</f>
        <v>450000</v>
      </c>
      <c r="M10" s="14" t="str">
        <f t="shared" ref="M10:P10" si="11">text(I10,"Rp #,##0")</f>
        <v>Rp 450.000</v>
      </c>
      <c r="N10" s="14" t="str">
        <f t="shared" si="11"/>
        <v>Rp 0</v>
      </c>
      <c r="O10" s="14" t="str">
        <f t="shared" si="11"/>
        <v>Rp 0</v>
      </c>
      <c r="P10" s="14" t="str">
        <f t="shared" si="11"/>
        <v>Rp 450.000</v>
      </c>
      <c r="Q10" s="14" t="str">
        <f t="shared" si="4"/>
        <v>Syahriyah = Rp 450.000
Jariyah = Rp 0
Daftar Ulang = Rp 0
Total = Rp 450.000
______________________
ID : 2024070532</v>
      </c>
    </row>
    <row r="11">
      <c r="A11" s="18">
        <f t="shared" si="2"/>
        <v>10</v>
      </c>
      <c r="B11" s="4" t="str">
        <f>IFERROR(__xludf.DUMMYFUNCTION("""COMPUTED_VALUE"""),"FATMA NAJWA ZAHIRA")</f>
        <v>FATMA NAJWA ZAHIRA</v>
      </c>
      <c r="C11" s="4">
        <f>IFERROR(__xludf.DUMMYFUNCTION("""COMPUTED_VALUE"""),2.024070497E9)</f>
        <v>2024070497</v>
      </c>
      <c r="D11" s="4" t="str">
        <f>IFERROR(__xludf.DUMMYFUNCTION("""COMPUTED_VALUE"""),"C")</f>
        <v>C</v>
      </c>
      <c r="E11" s="4" t="str">
        <f>IFERROR(__xludf.DUMMYFUNCTION("""COMPUTED_VALUE"""),"C-12")</f>
        <v>C-12</v>
      </c>
      <c r="F11" s="4">
        <f>IFERROR(__xludf.DUMMYFUNCTION("""COMPUTED_VALUE"""),3.0)</f>
        <v>3</v>
      </c>
      <c r="G11" s="4" t="str">
        <f>IFERROR(__xludf.DUMMYFUNCTION("""COMPUTED_VALUE"""),"3 ULA B PUTRI")</f>
        <v>3 ULA B PUTRI</v>
      </c>
      <c r="H11" s="4" t="str">
        <f>IFERROR(__xludf.DUMMYFUNCTION("""COMPUTED_VALUE"""),"6282337956113")</f>
        <v>6282337956113</v>
      </c>
      <c r="I11" s="5">
        <f>IFERROR(__xludf.DUMMYFUNCTION("""COMPUTED_VALUE"""),450000.0)</f>
        <v>450000</v>
      </c>
      <c r="J11" s="5">
        <f>IFERROR(__xludf.DUMMYFUNCTION("""COMPUTED_VALUE"""),0.0)</f>
        <v>0</v>
      </c>
      <c r="K11" s="5">
        <f>IFERROR(__xludf.DUMMYFUNCTION("""COMPUTED_VALUE"""),0.0)</f>
        <v>0</v>
      </c>
      <c r="L11" s="5">
        <f>IFERROR(__xludf.DUMMYFUNCTION("""COMPUTED_VALUE"""),450000.0)</f>
        <v>450000</v>
      </c>
      <c r="M11" s="14" t="str">
        <f t="shared" ref="M11:P11" si="12">text(I11,"Rp #,##0")</f>
        <v>Rp 450.000</v>
      </c>
      <c r="N11" s="14" t="str">
        <f t="shared" si="12"/>
        <v>Rp 0</v>
      </c>
      <c r="O11" s="14" t="str">
        <f t="shared" si="12"/>
        <v>Rp 0</v>
      </c>
      <c r="P11" s="14" t="str">
        <f t="shared" si="12"/>
        <v>Rp 450.000</v>
      </c>
      <c r="Q11" s="14" t="str">
        <f t="shared" si="4"/>
        <v>Syahriyah = Rp 450.000
Jariyah = Rp 0
Daftar Ulang = Rp 0
Total = Rp 450.000
______________________
ID : 2024070497</v>
      </c>
    </row>
    <row r="12">
      <c r="A12" s="18">
        <f t="shared" si="2"/>
        <v>11</v>
      </c>
      <c r="B12" s="4" t="str">
        <f>IFERROR(__xludf.DUMMYFUNCTION("""COMPUTED_VALUE"""),"LABIB AZAM")</f>
        <v>LABIB AZAM</v>
      </c>
      <c r="C12" s="4">
        <f>IFERROR(__xludf.DUMMYFUNCTION("""COMPUTED_VALUE"""),2.024070756E9)</f>
        <v>2024070756</v>
      </c>
      <c r="D12" s="4" t="str">
        <f>IFERROR(__xludf.DUMMYFUNCTION("""COMPUTED_VALUE"""),"A")</f>
        <v>A</v>
      </c>
      <c r="E12" s="4" t="str">
        <f>IFERROR(__xludf.DUMMYFUNCTION("""COMPUTED_VALUE"""),"A-7")</f>
        <v>A-7</v>
      </c>
      <c r="F12" s="4">
        <f>IFERROR(__xludf.DUMMYFUNCTION("""COMPUTED_VALUE"""),3.0)</f>
        <v>3</v>
      </c>
      <c r="G12" s="4" t="str">
        <f>IFERROR(__xludf.DUMMYFUNCTION("""COMPUTED_VALUE"""),"3 ULA A PUTRA")</f>
        <v>3 ULA A PUTRA</v>
      </c>
      <c r="H12" s="4" t="str">
        <f>IFERROR(__xludf.DUMMYFUNCTION("""COMPUTED_VALUE"""),"6282333086607")</f>
        <v>6282333086607</v>
      </c>
      <c r="I12" s="5">
        <f>IFERROR(__xludf.DUMMYFUNCTION("""COMPUTED_VALUE"""),450000.0)</f>
        <v>450000</v>
      </c>
      <c r="J12" s="5">
        <f>IFERROR(__xludf.DUMMYFUNCTION("""COMPUTED_VALUE"""),0.0)</f>
        <v>0</v>
      </c>
      <c r="K12" s="5">
        <f>IFERROR(__xludf.DUMMYFUNCTION("""COMPUTED_VALUE"""),0.0)</f>
        <v>0</v>
      </c>
      <c r="L12" s="5">
        <f>IFERROR(__xludf.DUMMYFUNCTION("""COMPUTED_VALUE"""),450000.0)</f>
        <v>450000</v>
      </c>
      <c r="M12" s="14" t="str">
        <f t="shared" ref="M12:P12" si="13">text(I12,"Rp #,##0")</f>
        <v>Rp 450.000</v>
      </c>
      <c r="N12" s="14" t="str">
        <f t="shared" si="13"/>
        <v>Rp 0</v>
      </c>
      <c r="O12" s="14" t="str">
        <f t="shared" si="13"/>
        <v>Rp 0</v>
      </c>
      <c r="P12" s="14" t="str">
        <f t="shared" si="13"/>
        <v>Rp 450.000</v>
      </c>
      <c r="Q12" s="14" t="str">
        <f t="shared" si="4"/>
        <v>Syahriyah = Rp 450.000
Jariyah = Rp 0
Daftar Ulang = Rp 0
Total = Rp 450.000
______________________
ID : 2024070756</v>
      </c>
    </row>
    <row r="13">
      <c r="A13" s="18">
        <f t="shared" si="2"/>
        <v>12</v>
      </c>
      <c r="B13" s="4" t="str">
        <f>IFERROR(__xludf.DUMMYFUNCTION("""COMPUTED_VALUE"""),"M. SATRIA PUTRA AMILINA")</f>
        <v>M. SATRIA PUTRA AMILINA</v>
      </c>
      <c r="C13" s="4">
        <f>IFERROR(__xludf.DUMMYFUNCTION("""COMPUTED_VALUE"""),2.024070092E9)</f>
        <v>2024070092</v>
      </c>
      <c r="D13" s="4" t="str">
        <f>IFERROR(__xludf.DUMMYFUNCTION("""COMPUTED_VALUE"""),"A")</f>
        <v>A</v>
      </c>
      <c r="E13" s="4" t="str">
        <f>IFERROR(__xludf.DUMMYFUNCTION("""COMPUTED_VALUE"""),"A-10")</f>
        <v>A-10</v>
      </c>
      <c r="F13" s="4">
        <f>IFERROR(__xludf.DUMMYFUNCTION("""COMPUTED_VALUE"""),3.0)</f>
        <v>3</v>
      </c>
      <c r="G13" s="4" t="str">
        <f>IFERROR(__xludf.DUMMYFUNCTION("""COMPUTED_VALUE"""),"3 WUSTHO PUTRA")</f>
        <v>3 WUSTHO PUTRA</v>
      </c>
      <c r="H13" s="4" t="str">
        <f>IFERROR(__xludf.DUMMYFUNCTION("""COMPUTED_VALUE"""),"628568406710")</f>
        <v>628568406710</v>
      </c>
      <c r="I13" s="5">
        <f>IFERROR(__xludf.DUMMYFUNCTION("""COMPUTED_VALUE"""),450000.0)</f>
        <v>450000</v>
      </c>
      <c r="J13" s="5">
        <f>IFERROR(__xludf.DUMMYFUNCTION("""COMPUTED_VALUE"""),0.0)</f>
        <v>0</v>
      </c>
      <c r="K13" s="5">
        <f>IFERROR(__xludf.DUMMYFUNCTION("""COMPUTED_VALUE"""),0.0)</f>
        <v>0</v>
      </c>
      <c r="L13" s="5">
        <f>IFERROR(__xludf.DUMMYFUNCTION("""COMPUTED_VALUE"""),450000.0)</f>
        <v>450000</v>
      </c>
      <c r="M13" s="14" t="str">
        <f t="shared" ref="M13:P13" si="14">text(I13,"Rp #,##0")</f>
        <v>Rp 450.000</v>
      </c>
      <c r="N13" s="14" t="str">
        <f t="shared" si="14"/>
        <v>Rp 0</v>
      </c>
      <c r="O13" s="14" t="str">
        <f t="shared" si="14"/>
        <v>Rp 0</v>
      </c>
      <c r="P13" s="14" t="str">
        <f t="shared" si="14"/>
        <v>Rp 450.000</v>
      </c>
      <c r="Q13" s="14" t="str">
        <f t="shared" si="4"/>
        <v>Syahriyah = Rp 450.000
Jariyah = Rp 0
Daftar Ulang = Rp 0
Total = Rp 450.000
______________________
ID : 2024070092</v>
      </c>
    </row>
    <row r="14">
      <c r="A14" s="18">
        <f t="shared" si="2"/>
        <v>13</v>
      </c>
      <c r="B14" s="4" t="str">
        <f>IFERROR(__xludf.DUMMYFUNCTION("""COMPUTED_VALUE"""),"MAHATMA SATYA GRAHA")</f>
        <v>MAHATMA SATYA GRAHA</v>
      </c>
      <c r="C14" s="4">
        <f>IFERROR(__xludf.DUMMYFUNCTION("""COMPUTED_VALUE"""),2.024070407E9)</f>
        <v>2024070407</v>
      </c>
      <c r="D14" s="4" t="str">
        <f>IFERROR(__xludf.DUMMYFUNCTION("""COMPUTED_VALUE"""),"A")</f>
        <v>A</v>
      </c>
      <c r="E14" s="4" t="str">
        <f>IFERROR(__xludf.DUMMYFUNCTION("""COMPUTED_VALUE"""),"A-10")</f>
        <v>A-10</v>
      </c>
      <c r="F14" s="4">
        <f>IFERROR(__xludf.DUMMYFUNCTION("""COMPUTED_VALUE"""),3.0)</f>
        <v>3</v>
      </c>
      <c r="G14" s="4" t="str">
        <f>IFERROR(__xludf.DUMMYFUNCTION("""COMPUTED_VALUE"""),"3 WUSTHO PUTRA")</f>
        <v>3 WUSTHO PUTRA</v>
      </c>
      <c r="H14" s="4" t="str">
        <f>IFERROR(__xludf.DUMMYFUNCTION("""COMPUTED_VALUE"""),"628557692330")</f>
        <v>628557692330</v>
      </c>
      <c r="I14" s="5">
        <f>IFERROR(__xludf.DUMMYFUNCTION("""COMPUTED_VALUE"""),450000.0)</f>
        <v>450000</v>
      </c>
      <c r="J14" s="5">
        <f>IFERROR(__xludf.DUMMYFUNCTION("""COMPUTED_VALUE"""),0.0)</f>
        <v>0</v>
      </c>
      <c r="K14" s="5">
        <f>IFERROR(__xludf.DUMMYFUNCTION("""COMPUTED_VALUE"""),0.0)</f>
        <v>0</v>
      </c>
      <c r="L14" s="5">
        <f>IFERROR(__xludf.DUMMYFUNCTION("""COMPUTED_VALUE"""),450000.0)</f>
        <v>450000</v>
      </c>
      <c r="M14" s="14" t="str">
        <f t="shared" ref="M14:P14" si="15">text(I14,"Rp #,##0")</f>
        <v>Rp 450.000</v>
      </c>
      <c r="N14" s="14" t="str">
        <f t="shared" si="15"/>
        <v>Rp 0</v>
      </c>
      <c r="O14" s="14" t="str">
        <f t="shared" si="15"/>
        <v>Rp 0</v>
      </c>
      <c r="P14" s="14" t="str">
        <f t="shared" si="15"/>
        <v>Rp 450.000</v>
      </c>
      <c r="Q14" s="14" t="str">
        <f t="shared" si="4"/>
        <v>Syahriyah = Rp 450.000
Jariyah = Rp 0
Daftar Ulang = Rp 0
Total = Rp 450.000
______________________
ID : 2024070407</v>
      </c>
    </row>
    <row r="15">
      <c r="A15" s="18">
        <f t="shared" si="2"/>
        <v>14</v>
      </c>
      <c r="B15" s="4" t="str">
        <f>IFERROR(__xludf.DUMMYFUNCTION("""COMPUTED_VALUE"""),"MOCHAMMAD NEIZTAHUL HUDA")</f>
        <v>MOCHAMMAD NEIZTAHUL HUDA</v>
      </c>
      <c r="C15" s="4">
        <f>IFERROR(__xludf.DUMMYFUNCTION("""COMPUTED_VALUE"""),2.024070626E9)</f>
        <v>2024070626</v>
      </c>
      <c r="D15" s="4" t="str">
        <f>IFERROR(__xludf.DUMMYFUNCTION("""COMPUTED_VALUE"""),"A")</f>
        <v>A</v>
      </c>
      <c r="E15" s="4" t="str">
        <f>IFERROR(__xludf.DUMMYFUNCTION("""COMPUTED_VALUE"""),"A-8")</f>
        <v>A-8</v>
      </c>
      <c r="F15" s="4">
        <f>IFERROR(__xludf.DUMMYFUNCTION("""COMPUTED_VALUE"""),3.0)</f>
        <v>3</v>
      </c>
      <c r="G15" s="4" t="str">
        <f>IFERROR(__xludf.DUMMYFUNCTION("""COMPUTED_VALUE"""),"3 ULA B PUTRA")</f>
        <v>3 ULA B PUTRA</v>
      </c>
      <c r="H15" s="4" t="str">
        <f>IFERROR(__xludf.DUMMYFUNCTION("""COMPUTED_VALUE"""),"6282237520701")</f>
        <v>6282237520701</v>
      </c>
      <c r="I15" s="5">
        <f>IFERROR(__xludf.DUMMYFUNCTION("""COMPUTED_VALUE"""),450000.0)</f>
        <v>450000</v>
      </c>
      <c r="J15" s="5">
        <f>IFERROR(__xludf.DUMMYFUNCTION("""COMPUTED_VALUE"""),0.0)</f>
        <v>0</v>
      </c>
      <c r="K15" s="5">
        <f>IFERROR(__xludf.DUMMYFUNCTION("""COMPUTED_VALUE"""),0.0)</f>
        <v>0</v>
      </c>
      <c r="L15" s="5">
        <f>IFERROR(__xludf.DUMMYFUNCTION("""COMPUTED_VALUE"""),450000.0)</f>
        <v>450000</v>
      </c>
      <c r="M15" s="14" t="str">
        <f t="shared" ref="M15:P15" si="16">text(I15,"Rp #,##0")</f>
        <v>Rp 450.000</v>
      </c>
      <c r="N15" s="14" t="str">
        <f t="shared" si="16"/>
        <v>Rp 0</v>
      </c>
      <c r="O15" s="14" t="str">
        <f t="shared" si="16"/>
        <v>Rp 0</v>
      </c>
      <c r="P15" s="14" t="str">
        <f t="shared" si="16"/>
        <v>Rp 450.000</v>
      </c>
      <c r="Q15" s="14" t="str">
        <f t="shared" si="4"/>
        <v>Syahriyah = Rp 450.000
Jariyah = Rp 0
Daftar Ulang = Rp 0
Total = Rp 450.000
______________________
ID : 2024070626</v>
      </c>
    </row>
    <row r="16">
      <c r="A16" s="18">
        <f t="shared" si="2"/>
        <v>15</v>
      </c>
      <c r="B16" s="4" t="str">
        <f>IFERROR(__xludf.DUMMYFUNCTION("""COMPUTED_VALUE"""),"MUHAMMAD ALAM FIRMANSYAH")</f>
        <v>MUHAMMAD ALAM FIRMANSYAH</v>
      </c>
      <c r="C16" s="4">
        <f>IFERROR(__xludf.DUMMYFUNCTION("""COMPUTED_VALUE"""),2.024070506E9)</f>
        <v>2024070506</v>
      </c>
      <c r="D16" s="4" t="str">
        <f>IFERROR(__xludf.DUMMYFUNCTION("""COMPUTED_VALUE"""),"A")</f>
        <v>A</v>
      </c>
      <c r="E16" s="4" t="str">
        <f>IFERROR(__xludf.DUMMYFUNCTION("""COMPUTED_VALUE"""),"A-8")</f>
        <v>A-8</v>
      </c>
      <c r="F16" s="4">
        <f>IFERROR(__xludf.DUMMYFUNCTION("""COMPUTED_VALUE"""),3.0)</f>
        <v>3</v>
      </c>
      <c r="G16" s="4" t="str">
        <f>IFERROR(__xludf.DUMMYFUNCTION("""COMPUTED_VALUE"""),"3 ULA A PUTRA")</f>
        <v>3 ULA A PUTRA</v>
      </c>
      <c r="H16" s="4" t="str">
        <f>IFERROR(__xludf.DUMMYFUNCTION("""COMPUTED_VALUE"""),"6282199817002")</f>
        <v>6282199817002</v>
      </c>
      <c r="I16" s="5">
        <f>IFERROR(__xludf.DUMMYFUNCTION("""COMPUTED_VALUE"""),450000.0)</f>
        <v>450000</v>
      </c>
      <c r="J16" s="5">
        <f>IFERROR(__xludf.DUMMYFUNCTION("""COMPUTED_VALUE"""),0.0)</f>
        <v>0</v>
      </c>
      <c r="K16" s="5">
        <f>IFERROR(__xludf.DUMMYFUNCTION("""COMPUTED_VALUE"""),0.0)</f>
        <v>0</v>
      </c>
      <c r="L16" s="5">
        <f>IFERROR(__xludf.DUMMYFUNCTION("""COMPUTED_VALUE"""),450000.0)</f>
        <v>450000</v>
      </c>
      <c r="M16" s="14" t="str">
        <f t="shared" ref="M16:P16" si="17">text(I16,"Rp #,##0")</f>
        <v>Rp 450.000</v>
      </c>
      <c r="N16" s="14" t="str">
        <f t="shared" si="17"/>
        <v>Rp 0</v>
      </c>
      <c r="O16" s="14" t="str">
        <f t="shared" si="17"/>
        <v>Rp 0</v>
      </c>
      <c r="P16" s="14" t="str">
        <f t="shared" si="17"/>
        <v>Rp 450.000</v>
      </c>
      <c r="Q16" s="14" t="str">
        <f t="shared" si="4"/>
        <v>Syahriyah = Rp 450.000
Jariyah = Rp 0
Daftar Ulang = Rp 0
Total = Rp 450.000
______________________
ID : 2024070506</v>
      </c>
    </row>
    <row r="17">
      <c r="A17" s="18">
        <f t="shared" si="2"/>
        <v>16</v>
      </c>
      <c r="B17" s="4" t="str">
        <f>IFERROR(__xludf.DUMMYFUNCTION("""COMPUTED_VALUE"""),"MUHAMMAD SYA`DANA")</f>
        <v>MUHAMMAD SYA`DANA</v>
      </c>
      <c r="C17" s="4">
        <f>IFERROR(__xludf.DUMMYFUNCTION("""COMPUTED_VALUE"""),2.024070715E9)</f>
        <v>2024070715</v>
      </c>
      <c r="D17" s="4" t="str">
        <f>IFERROR(__xludf.DUMMYFUNCTION("""COMPUTED_VALUE"""),"A")</f>
        <v>A</v>
      </c>
      <c r="E17" s="4" t="str">
        <f>IFERROR(__xludf.DUMMYFUNCTION("""COMPUTED_VALUE"""),"A-10")</f>
        <v>A-10</v>
      </c>
      <c r="F17" s="4">
        <f>IFERROR(__xludf.DUMMYFUNCTION("""COMPUTED_VALUE"""),3.0)</f>
        <v>3</v>
      </c>
      <c r="G17" s="4" t="str">
        <f>IFERROR(__xludf.DUMMYFUNCTION("""COMPUTED_VALUE"""),"3 WUSTHO PUTRA")</f>
        <v>3 WUSTHO PUTRA</v>
      </c>
      <c r="H17" s="4" t="str">
        <f>IFERROR(__xludf.DUMMYFUNCTION("""COMPUTED_VALUE"""),"6281216068509")</f>
        <v>6281216068509</v>
      </c>
      <c r="I17" s="5">
        <f>IFERROR(__xludf.DUMMYFUNCTION("""COMPUTED_VALUE"""),450000.0)</f>
        <v>450000</v>
      </c>
      <c r="J17" s="5">
        <f>IFERROR(__xludf.DUMMYFUNCTION("""COMPUTED_VALUE"""),0.0)</f>
        <v>0</v>
      </c>
      <c r="K17" s="5">
        <f>IFERROR(__xludf.DUMMYFUNCTION("""COMPUTED_VALUE"""),0.0)</f>
        <v>0</v>
      </c>
      <c r="L17" s="5">
        <f>IFERROR(__xludf.DUMMYFUNCTION("""COMPUTED_VALUE"""),450000.0)</f>
        <v>450000</v>
      </c>
      <c r="M17" s="14" t="str">
        <f t="shared" ref="M17:P17" si="18">text(I17,"Rp #,##0")</f>
        <v>Rp 450.000</v>
      </c>
      <c r="N17" s="14" t="str">
        <f t="shared" si="18"/>
        <v>Rp 0</v>
      </c>
      <c r="O17" s="14" t="str">
        <f t="shared" si="18"/>
        <v>Rp 0</v>
      </c>
      <c r="P17" s="14" t="str">
        <f t="shared" si="18"/>
        <v>Rp 450.000</v>
      </c>
      <c r="Q17" s="14" t="str">
        <f t="shared" si="4"/>
        <v>Syahriyah = Rp 450.000
Jariyah = Rp 0
Daftar Ulang = Rp 0
Total = Rp 450.000
______________________
ID : 2024070715</v>
      </c>
    </row>
    <row r="18">
      <c r="A18" s="18">
        <f t="shared" si="2"/>
        <v>17</v>
      </c>
      <c r="B18" s="4" t="str">
        <f>IFERROR(__xludf.DUMMYFUNCTION("""COMPUTED_VALUE"""),"AHMAD BAHRUL FITRONI")</f>
        <v>AHMAD BAHRUL FITRONI</v>
      </c>
      <c r="C18" s="4">
        <f>IFERROR(__xludf.DUMMYFUNCTION("""COMPUTED_VALUE"""),2.024070534E9)</f>
        <v>2024070534</v>
      </c>
      <c r="D18" s="4" t="str">
        <f>IFERROR(__xludf.DUMMYFUNCTION("""COMPUTED_VALUE"""),"A")</f>
        <v>A</v>
      </c>
      <c r="E18" s="4" t="str">
        <f>IFERROR(__xludf.DUMMYFUNCTION("""COMPUTED_VALUE"""),"A-8")</f>
        <v>A-8</v>
      </c>
      <c r="F18" s="4">
        <f>IFERROR(__xludf.DUMMYFUNCTION("""COMPUTED_VALUE"""),3.0)</f>
        <v>3</v>
      </c>
      <c r="G18" s="4" t="str">
        <f>IFERROR(__xludf.DUMMYFUNCTION("""COMPUTED_VALUE"""),"3 ULA B PUTRA")</f>
        <v>3 ULA B PUTRA</v>
      </c>
      <c r="H18" s="4" t="str">
        <f>IFERROR(__xludf.DUMMYFUNCTION("""COMPUTED_VALUE"""),"6285812677937")</f>
        <v>6285812677937</v>
      </c>
      <c r="I18" s="5">
        <f>IFERROR(__xludf.DUMMYFUNCTION("""COMPUTED_VALUE"""),0.0)</f>
        <v>0</v>
      </c>
      <c r="J18" s="5">
        <f>IFERROR(__xludf.DUMMYFUNCTION("""COMPUTED_VALUE"""),500000.0)</f>
        <v>500000</v>
      </c>
      <c r="K18" s="5">
        <f>IFERROR(__xludf.DUMMYFUNCTION("""COMPUTED_VALUE"""),0.0)</f>
        <v>0</v>
      </c>
      <c r="L18" s="5">
        <f>IFERROR(__xludf.DUMMYFUNCTION("""COMPUTED_VALUE"""),500000.0)</f>
        <v>500000</v>
      </c>
      <c r="M18" s="14" t="str">
        <f t="shared" ref="M18:P18" si="19">text(I18,"Rp #,##0")</f>
        <v>Rp 0</v>
      </c>
      <c r="N18" s="14" t="str">
        <f t="shared" si="19"/>
        <v>Rp 500.000</v>
      </c>
      <c r="O18" s="14" t="str">
        <f t="shared" si="19"/>
        <v>Rp 0</v>
      </c>
      <c r="P18" s="14" t="str">
        <f t="shared" si="19"/>
        <v>Rp 500.000</v>
      </c>
      <c r="Q18" s="14" t="str">
        <f t="shared" si="4"/>
        <v>Syahriyah = Rp 0
Jariyah = Rp 500.000
Daftar Ulang = Rp 0
Total = Rp 500.000
______________________
ID : 2024070534</v>
      </c>
    </row>
    <row r="19">
      <c r="A19" s="18">
        <f t="shared" si="2"/>
        <v>18</v>
      </c>
      <c r="B19" s="4" t="str">
        <f>IFERROR(__xludf.DUMMYFUNCTION("""COMPUTED_VALUE"""),"AIDZILA DHEA ANANTA")</f>
        <v>AIDZILA DHEA ANANTA</v>
      </c>
      <c r="C19" s="4">
        <f>IFERROR(__xludf.DUMMYFUNCTION("""COMPUTED_VALUE"""),2.024070495E9)</f>
        <v>2024070495</v>
      </c>
      <c r="D19" s="4" t="str">
        <f>IFERROR(__xludf.DUMMYFUNCTION("""COMPUTED_VALUE"""),"C")</f>
        <v>C</v>
      </c>
      <c r="E19" s="4" t="str">
        <f>IFERROR(__xludf.DUMMYFUNCTION("""COMPUTED_VALUE"""),"C-12")</f>
        <v>C-12</v>
      </c>
      <c r="F19" s="4">
        <f>IFERROR(__xludf.DUMMYFUNCTION("""COMPUTED_VALUE"""),3.0)</f>
        <v>3</v>
      </c>
      <c r="G19" s="4" t="str">
        <f>IFERROR(__xludf.DUMMYFUNCTION("""COMPUTED_VALUE"""),"3 ULA C PUTRI")</f>
        <v>3 ULA C PUTRI</v>
      </c>
      <c r="H19" s="4" t="str">
        <f>IFERROR(__xludf.DUMMYFUNCTION("""COMPUTED_VALUE"""),"6281559586998")</f>
        <v>6281559586998</v>
      </c>
      <c r="I19" s="5">
        <f>IFERROR(__xludf.DUMMYFUNCTION("""COMPUTED_VALUE"""),0.0)</f>
        <v>0</v>
      </c>
      <c r="J19" s="5">
        <f>IFERROR(__xludf.DUMMYFUNCTION("""COMPUTED_VALUE"""),500000.0)</f>
        <v>500000</v>
      </c>
      <c r="K19" s="5">
        <f>IFERROR(__xludf.DUMMYFUNCTION("""COMPUTED_VALUE"""),0.0)</f>
        <v>0</v>
      </c>
      <c r="L19" s="5">
        <f>IFERROR(__xludf.DUMMYFUNCTION("""COMPUTED_VALUE"""),500000.0)</f>
        <v>500000</v>
      </c>
      <c r="M19" s="14" t="str">
        <f t="shared" ref="M19:P19" si="20">text(I19,"Rp #,##0")</f>
        <v>Rp 0</v>
      </c>
      <c r="N19" s="14" t="str">
        <f t="shared" si="20"/>
        <v>Rp 500.000</v>
      </c>
      <c r="O19" s="14" t="str">
        <f t="shared" si="20"/>
        <v>Rp 0</v>
      </c>
      <c r="P19" s="14" t="str">
        <f t="shared" si="20"/>
        <v>Rp 500.000</v>
      </c>
      <c r="Q19" s="14" t="str">
        <f t="shared" si="4"/>
        <v>Syahriyah = Rp 0
Jariyah = Rp 500.000
Daftar Ulang = Rp 0
Total = Rp 500.000
______________________
ID : 2024070495</v>
      </c>
    </row>
    <row r="20">
      <c r="A20" s="18">
        <f t="shared" si="2"/>
        <v>19</v>
      </c>
      <c r="B20" s="4" t="str">
        <f>IFERROR(__xludf.DUMMYFUNCTION("""COMPUTED_VALUE"""),"ATHIIYAH AULIYA`UL MUSHOFAROH")</f>
        <v>ATHIIYAH AULIYA`UL MUSHOFAROH</v>
      </c>
      <c r="C20" s="4">
        <f>IFERROR(__xludf.DUMMYFUNCTION("""COMPUTED_VALUE"""),2.024070631E9)</f>
        <v>2024070631</v>
      </c>
      <c r="D20" s="4" t="str">
        <f>IFERROR(__xludf.DUMMYFUNCTION("""COMPUTED_VALUE"""),"C")</f>
        <v>C</v>
      </c>
      <c r="E20" s="4" t="str">
        <f>IFERROR(__xludf.DUMMYFUNCTION("""COMPUTED_VALUE"""),"C-3")</f>
        <v>C-3</v>
      </c>
      <c r="F20" s="4">
        <f>IFERROR(__xludf.DUMMYFUNCTION("""COMPUTED_VALUE"""),3.0)</f>
        <v>3</v>
      </c>
      <c r="G20" s="4"/>
      <c r="H20" s="4" t="str">
        <f>IFERROR(__xludf.DUMMYFUNCTION("""COMPUTED_VALUE"""),"6285731317533")</f>
        <v>6285731317533</v>
      </c>
      <c r="I20" s="5">
        <f>IFERROR(__xludf.DUMMYFUNCTION("""COMPUTED_VALUE"""),0.0)</f>
        <v>0</v>
      </c>
      <c r="J20" s="5">
        <f>IFERROR(__xludf.DUMMYFUNCTION("""COMPUTED_VALUE"""),500000.0)</f>
        <v>500000</v>
      </c>
      <c r="K20" s="5">
        <f>IFERROR(__xludf.DUMMYFUNCTION("""COMPUTED_VALUE"""),0.0)</f>
        <v>0</v>
      </c>
      <c r="L20" s="5">
        <f>IFERROR(__xludf.DUMMYFUNCTION("""COMPUTED_VALUE"""),500000.0)</f>
        <v>500000</v>
      </c>
      <c r="M20" s="14" t="str">
        <f t="shared" ref="M20:P20" si="21">text(I20,"Rp #,##0")</f>
        <v>Rp 0</v>
      </c>
      <c r="N20" s="14" t="str">
        <f t="shared" si="21"/>
        <v>Rp 500.000</v>
      </c>
      <c r="O20" s="14" t="str">
        <f t="shared" si="21"/>
        <v>Rp 0</v>
      </c>
      <c r="P20" s="14" t="str">
        <f t="shared" si="21"/>
        <v>Rp 500.000</v>
      </c>
      <c r="Q20" s="14" t="str">
        <f t="shared" si="4"/>
        <v>Syahriyah = Rp 0
Jariyah = Rp 500.000
Daftar Ulang = Rp 0
Total = Rp 500.000
______________________
ID : 2024070631</v>
      </c>
    </row>
    <row r="21">
      <c r="A21" s="18">
        <f t="shared" si="2"/>
        <v>20</v>
      </c>
      <c r="B21" s="4" t="str">
        <f>IFERROR(__xludf.DUMMYFUNCTION("""COMPUTED_VALUE"""),"ATINA AZKAL FUADAH")</f>
        <v>ATINA AZKAL FUADAH</v>
      </c>
      <c r="C21" s="4">
        <f>IFERROR(__xludf.DUMMYFUNCTION("""COMPUTED_VALUE"""),2.024070474E9)</f>
        <v>2024070474</v>
      </c>
      <c r="D21" s="4" t="str">
        <f>IFERROR(__xludf.DUMMYFUNCTION("""COMPUTED_VALUE"""),"E")</f>
        <v>E</v>
      </c>
      <c r="E21" s="4" t="str">
        <f>IFERROR(__xludf.DUMMYFUNCTION("""COMPUTED_VALUE"""),"E-3")</f>
        <v>E-3</v>
      </c>
      <c r="F21" s="4">
        <f>IFERROR(__xludf.DUMMYFUNCTION("""COMPUTED_VALUE"""),3.0)</f>
        <v>3</v>
      </c>
      <c r="G21" s="4" t="str">
        <f>IFERROR(__xludf.DUMMYFUNCTION("""COMPUTED_VALUE"""),"3 ULA B PUTRI")</f>
        <v>3 ULA B PUTRI</v>
      </c>
      <c r="H21" s="4" t="str">
        <f>IFERROR(__xludf.DUMMYFUNCTION("""COMPUTED_VALUE"""),"6281554492983")</f>
        <v>6281554492983</v>
      </c>
      <c r="I21" s="5">
        <f>IFERROR(__xludf.DUMMYFUNCTION("""COMPUTED_VALUE"""),500000.0)</f>
        <v>500000</v>
      </c>
      <c r="J21" s="5">
        <f>IFERROR(__xludf.DUMMYFUNCTION("""COMPUTED_VALUE"""),0.0)</f>
        <v>0</v>
      </c>
      <c r="K21" s="5">
        <f>IFERROR(__xludf.DUMMYFUNCTION("""COMPUTED_VALUE"""),0.0)</f>
        <v>0</v>
      </c>
      <c r="L21" s="5">
        <f>IFERROR(__xludf.DUMMYFUNCTION("""COMPUTED_VALUE"""),500000.0)</f>
        <v>500000</v>
      </c>
      <c r="M21" s="14" t="str">
        <f t="shared" ref="M21:P21" si="22">text(I21,"Rp #,##0")</f>
        <v>Rp 500.000</v>
      </c>
      <c r="N21" s="14" t="str">
        <f t="shared" si="22"/>
        <v>Rp 0</v>
      </c>
      <c r="O21" s="14" t="str">
        <f t="shared" si="22"/>
        <v>Rp 0</v>
      </c>
      <c r="P21" s="14" t="str">
        <f t="shared" si="22"/>
        <v>Rp 500.000</v>
      </c>
      <c r="Q21" s="14" t="str">
        <f t="shared" si="4"/>
        <v>Syahriyah = Rp 500.000
Jariyah = Rp 0
Daftar Ulang = Rp 0
Total = Rp 500.000
______________________
ID : 2024070474</v>
      </c>
    </row>
    <row r="22">
      <c r="A22" s="18">
        <f t="shared" si="2"/>
        <v>21</v>
      </c>
      <c r="B22" s="4" t="str">
        <f>IFERROR(__xludf.DUMMYFUNCTION("""COMPUTED_VALUE"""),"AZZAM ABDILLAH SAPTA")</f>
        <v>AZZAM ABDILLAH SAPTA</v>
      </c>
      <c r="C22" s="4">
        <f>IFERROR(__xludf.DUMMYFUNCTION("""COMPUTED_VALUE"""),2.02407059E9)</f>
        <v>2024070590</v>
      </c>
      <c r="D22" s="4" t="str">
        <f>IFERROR(__xludf.DUMMYFUNCTION("""COMPUTED_VALUE"""),"A")</f>
        <v>A</v>
      </c>
      <c r="E22" s="4" t="str">
        <f>IFERROR(__xludf.DUMMYFUNCTION("""COMPUTED_VALUE"""),"A-8")</f>
        <v>A-8</v>
      </c>
      <c r="F22" s="4">
        <f>IFERROR(__xludf.DUMMYFUNCTION("""COMPUTED_VALUE"""),3.0)</f>
        <v>3</v>
      </c>
      <c r="G22" s="4" t="str">
        <f>IFERROR(__xludf.DUMMYFUNCTION("""COMPUTED_VALUE"""),"3 ULA B PUTRA")</f>
        <v>3 ULA B PUTRA</v>
      </c>
      <c r="H22" s="4" t="str">
        <f>IFERROR(__xludf.DUMMYFUNCTION("""COMPUTED_VALUE"""),"6282143068892")</f>
        <v>6282143068892</v>
      </c>
      <c r="I22" s="5">
        <f>IFERROR(__xludf.DUMMYFUNCTION("""COMPUTED_VALUE"""),0.0)</f>
        <v>0</v>
      </c>
      <c r="J22" s="5">
        <f>IFERROR(__xludf.DUMMYFUNCTION("""COMPUTED_VALUE"""),500000.0)</f>
        <v>500000</v>
      </c>
      <c r="K22" s="5">
        <f>IFERROR(__xludf.DUMMYFUNCTION("""COMPUTED_VALUE"""),0.0)</f>
        <v>0</v>
      </c>
      <c r="L22" s="5">
        <f>IFERROR(__xludf.DUMMYFUNCTION("""COMPUTED_VALUE"""),500000.0)</f>
        <v>500000</v>
      </c>
      <c r="M22" s="14" t="str">
        <f t="shared" ref="M22:P22" si="23">text(I22,"Rp #,##0")</f>
        <v>Rp 0</v>
      </c>
      <c r="N22" s="14" t="str">
        <f t="shared" si="23"/>
        <v>Rp 500.000</v>
      </c>
      <c r="O22" s="14" t="str">
        <f t="shared" si="23"/>
        <v>Rp 0</v>
      </c>
      <c r="P22" s="14" t="str">
        <f t="shared" si="23"/>
        <v>Rp 500.000</v>
      </c>
      <c r="Q22" s="14" t="str">
        <f t="shared" si="4"/>
        <v>Syahriyah = Rp 0
Jariyah = Rp 500.000
Daftar Ulang = Rp 0
Total = Rp 500.000
______________________
ID : 2024070590</v>
      </c>
    </row>
    <row r="23">
      <c r="A23" s="18">
        <f t="shared" si="2"/>
        <v>22</v>
      </c>
      <c r="B23" s="4" t="str">
        <f>IFERROR(__xludf.DUMMYFUNCTION("""COMPUTED_VALUE"""),"BAGAS KHOIRUL AZAM")</f>
        <v>BAGAS KHOIRUL AZAM</v>
      </c>
      <c r="C23" s="4">
        <f>IFERROR(__xludf.DUMMYFUNCTION("""COMPUTED_VALUE"""),2.024070452E9)</f>
        <v>2024070452</v>
      </c>
      <c r="D23" s="4" t="str">
        <f>IFERROR(__xludf.DUMMYFUNCTION("""COMPUTED_VALUE"""),"A")</f>
        <v>A</v>
      </c>
      <c r="E23" s="4" t="str">
        <f>IFERROR(__xludf.DUMMYFUNCTION("""COMPUTED_VALUE"""),"A-8")</f>
        <v>A-8</v>
      </c>
      <c r="F23" s="4">
        <f>IFERROR(__xludf.DUMMYFUNCTION("""COMPUTED_VALUE"""),3.0)</f>
        <v>3</v>
      </c>
      <c r="G23" s="4" t="str">
        <f>IFERROR(__xludf.DUMMYFUNCTION("""COMPUTED_VALUE"""),"3 ULA A PUTRA")</f>
        <v>3 ULA A PUTRA</v>
      </c>
      <c r="H23" s="4" t="str">
        <f>IFERROR(__xludf.DUMMYFUNCTION("""COMPUTED_VALUE"""),"6285738565150")</f>
        <v>6285738565150</v>
      </c>
      <c r="I23" s="5">
        <f>IFERROR(__xludf.DUMMYFUNCTION("""COMPUTED_VALUE"""),0.0)</f>
        <v>0</v>
      </c>
      <c r="J23" s="5">
        <f>IFERROR(__xludf.DUMMYFUNCTION("""COMPUTED_VALUE"""),500000.0)</f>
        <v>500000</v>
      </c>
      <c r="K23" s="5">
        <f>IFERROR(__xludf.DUMMYFUNCTION("""COMPUTED_VALUE"""),0.0)</f>
        <v>0</v>
      </c>
      <c r="L23" s="5">
        <f>IFERROR(__xludf.DUMMYFUNCTION("""COMPUTED_VALUE"""),500000.0)</f>
        <v>500000</v>
      </c>
      <c r="M23" s="14" t="str">
        <f t="shared" ref="M23:P23" si="24">text(I23,"Rp #,##0")</f>
        <v>Rp 0</v>
      </c>
      <c r="N23" s="14" t="str">
        <f t="shared" si="24"/>
        <v>Rp 500.000</v>
      </c>
      <c r="O23" s="14" t="str">
        <f t="shared" si="24"/>
        <v>Rp 0</v>
      </c>
      <c r="P23" s="14" t="str">
        <f t="shared" si="24"/>
        <v>Rp 500.000</v>
      </c>
      <c r="Q23" s="14" t="str">
        <f t="shared" si="4"/>
        <v>Syahriyah = Rp 0
Jariyah = Rp 500.000
Daftar Ulang = Rp 0
Total = Rp 500.000
______________________
ID : 2024070452</v>
      </c>
    </row>
    <row r="24">
      <c r="A24" s="18">
        <f t="shared" si="2"/>
        <v>23</v>
      </c>
      <c r="B24" s="4" t="str">
        <f>IFERROR(__xludf.DUMMYFUNCTION("""COMPUTED_VALUE"""),"BATRISYIA ALFILZAH")</f>
        <v>BATRISYIA ALFILZAH</v>
      </c>
      <c r="C24" s="4">
        <f>IFERROR(__xludf.DUMMYFUNCTION("""COMPUTED_VALUE"""),2.024070634E9)</f>
        <v>2024070634</v>
      </c>
      <c r="D24" s="4" t="str">
        <f>IFERROR(__xludf.DUMMYFUNCTION("""COMPUTED_VALUE"""),"E")</f>
        <v>E</v>
      </c>
      <c r="E24" s="4" t="str">
        <f>IFERROR(__xludf.DUMMYFUNCTION("""COMPUTED_VALUE"""),"E-2")</f>
        <v>E-2</v>
      </c>
      <c r="F24" s="4">
        <f>IFERROR(__xludf.DUMMYFUNCTION("""COMPUTED_VALUE"""),3.0)</f>
        <v>3</v>
      </c>
      <c r="G24" s="4" t="str">
        <f>IFERROR(__xludf.DUMMYFUNCTION("""COMPUTED_VALUE"""),"3 ULA A PUTRI")</f>
        <v>3 ULA A PUTRI</v>
      </c>
      <c r="H24" s="4" t="str">
        <f>IFERROR(__xludf.DUMMYFUNCTION("""COMPUTED_VALUE"""),"62895801050384")</f>
        <v>62895801050384</v>
      </c>
      <c r="I24" s="5">
        <f>IFERROR(__xludf.DUMMYFUNCTION("""COMPUTED_VALUE"""),500000.0)</f>
        <v>500000</v>
      </c>
      <c r="J24" s="5">
        <f>IFERROR(__xludf.DUMMYFUNCTION("""COMPUTED_VALUE"""),0.0)</f>
        <v>0</v>
      </c>
      <c r="K24" s="5">
        <f>IFERROR(__xludf.DUMMYFUNCTION("""COMPUTED_VALUE"""),0.0)</f>
        <v>0</v>
      </c>
      <c r="L24" s="5">
        <f>IFERROR(__xludf.DUMMYFUNCTION("""COMPUTED_VALUE"""),500000.0)</f>
        <v>500000</v>
      </c>
      <c r="M24" s="14" t="str">
        <f t="shared" ref="M24:P24" si="25">text(I24,"Rp #,##0")</f>
        <v>Rp 500.000</v>
      </c>
      <c r="N24" s="14" t="str">
        <f t="shared" si="25"/>
        <v>Rp 0</v>
      </c>
      <c r="O24" s="14" t="str">
        <f t="shared" si="25"/>
        <v>Rp 0</v>
      </c>
      <c r="P24" s="14" t="str">
        <f t="shared" si="25"/>
        <v>Rp 500.000</v>
      </c>
      <c r="Q24" s="14" t="str">
        <f t="shared" si="4"/>
        <v>Syahriyah = Rp 500.000
Jariyah = Rp 0
Daftar Ulang = Rp 0
Total = Rp 500.000
______________________
ID : 2024070634</v>
      </c>
    </row>
    <row r="25">
      <c r="A25" s="18">
        <f t="shared" si="2"/>
        <v>24</v>
      </c>
      <c r="B25" s="4" t="str">
        <f>IFERROR(__xludf.DUMMYFUNCTION("""COMPUTED_VALUE"""),"DEWI LAILA ANISAH SHOFIYAH")</f>
        <v>DEWI LAILA ANISAH SHOFIYAH</v>
      </c>
      <c r="C25" s="4">
        <f>IFERROR(__xludf.DUMMYFUNCTION("""COMPUTED_VALUE"""),2.024070373E9)</f>
        <v>2024070373</v>
      </c>
      <c r="D25" s="4" t="str">
        <f>IFERROR(__xludf.DUMMYFUNCTION("""COMPUTED_VALUE"""),"C")</f>
        <v>C</v>
      </c>
      <c r="E25" s="4" t="str">
        <f>IFERROR(__xludf.DUMMYFUNCTION("""COMPUTED_VALUE"""),"C-9")</f>
        <v>C-9</v>
      </c>
      <c r="F25" s="4">
        <f>IFERROR(__xludf.DUMMYFUNCTION("""COMPUTED_VALUE"""),3.0)</f>
        <v>3</v>
      </c>
      <c r="G25" s="4" t="str">
        <f>IFERROR(__xludf.DUMMYFUNCTION("""COMPUTED_VALUE"""),"3 WUSTHO A PUTRI")</f>
        <v>3 WUSTHO A PUTRI</v>
      </c>
      <c r="H25" s="4" t="str">
        <f>IFERROR(__xludf.DUMMYFUNCTION("""COMPUTED_VALUE"""),"6285748023154")</f>
        <v>6285748023154</v>
      </c>
      <c r="I25" s="5">
        <f>IFERROR(__xludf.DUMMYFUNCTION("""COMPUTED_VALUE"""),0.0)</f>
        <v>0</v>
      </c>
      <c r="J25" s="5">
        <f>IFERROR(__xludf.DUMMYFUNCTION("""COMPUTED_VALUE"""),500000.0)</f>
        <v>500000</v>
      </c>
      <c r="K25" s="5">
        <f>IFERROR(__xludf.DUMMYFUNCTION("""COMPUTED_VALUE"""),0.0)</f>
        <v>0</v>
      </c>
      <c r="L25" s="5">
        <f>IFERROR(__xludf.DUMMYFUNCTION("""COMPUTED_VALUE"""),500000.0)</f>
        <v>500000</v>
      </c>
      <c r="M25" s="14" t="str">
        <f t="shared" ref="M25:P25" si="26">text(I25,"Rp #,##0")</f>
        <v>Rp 0</v>
      </c>
      <c r="N25" s="14" t="str">
        <f t="shared" si="26"/>
        <v>Rp 500.000</v>
      </c>
      <c r="O25" s="14" t="str">
        <f t="shared" si="26"/>
        <v>Rp 0</v>
      </c>
      <c r="P25" s="14" t="str">
        <f t="shared" si="26"/>
        <v>Rp 500.000</v>
      </c>
      <c r="Q25" s="14" t="str">
        <f t="shared" si="4"/>
        <v>Syahriyah = Rp 0
Jariyah = Rp 500.000
Daftar Ulang = Rp 0
Total = Rp 500.000
______________________
ID : 2024070373</v>
      </c>
    </row>
    <row r="26">
      <c r="A26" s="18">
        <f t="shared" si="2"/>
        <v>25</v>
      </c>
      <c r="B26" s="4" t="str">
        <f>IFERROR(__xludf.DUMMYFUNCTION("""COMPUTED_VALUE"""),"DINI WAHYU NINGTYAS")</f>
        <v>DINI WAHYU NINGTYAS</v>
      </c>
      <c r="C26" s="4">
        <f>IFERROR(__xludf.DUMMYFUNCTION("""COMPUTED_VALUE"""),2.024070688E9)</f>
        <v>2024070688</v>
      </c>
      <c r="D26" s="4" t="str">
        <f>IFERROR(__xludf.DUMMYFUNCTION("""COMPUTED_VALUE"""),"B")</f>
        <v>B</v>
      </c>
      <c r="E26" s="4" t="str">
        <f>IFERROR(__xludf.DUMMYFUNCTION("""COMPUTED_VALUE"""),"B-4")</f>
        <v>B-4</v>
      </c>
      <c r="F26" s="4">
        <f>IFERROR(__xludf.DUMMYFUNCTION("""COMPUTED_VALUE"""),3.0)</f>
        <v>3</v>
      </c>
      <c r="G26" s="4" t="str">
        <f>IFERROR(__xludf.DUMMYFUNCTION("""COMPUTED_VALUE"""),"3 WUSTHO C PUTRI")</f>
        <v>3 WUSTHO C PUTRI</v>
      </c>
      <c r="H26" s="4" t="str">
        <f>IFERROR(__xludf.DUMMYFUNCTION("""COMPUTED_VALUE"""),"6281255133458")</f>
        <v>6281255133458</v>
      </c>
      <c r="I26" s="5">
        <f>IFERROR(__xludf.DUMMYFUNCTION("""COMPUTED_VALUE"""),0.0)</f>
        <v>0</v>
      </c>
      <c r="J26" s="5">
        <f>IFERROR(__xludf.DUMMYFUNCTION("""COMPUTED_VALUE"""),500000.0)</f>
        <v>500000</v>
      </c>
      <c r="K26" s="5">
        <f>IFERROR(__xludf.DUMMYFUNCTION("""COMPUTED_VALUE"""),0.0)</f>
        <v>0</v>
      </c>
      <c r="L26" s="5">
        <f>IFERROR(__xludf.DUMMYFUNCTION("""COMPUTED_VALUE"""),500000.0)</f>
        <v>500000</v>
      </c>
      <c r="M26" s="14" t="str">
        <f t="shared" ref="M26:P26" si="27">text(I26,"Rp #,##0")</f>
        <v>Rp 0</v>
      </c>
      <c r="N26" s="14" t="str">
        <f t="shared" si="27"/>
        <v>Rp 500.000</v>
      </c>
      <c r="O26" s="14" t="str">
        <f t="shared" si="27"/>
        <v>Rp 0</v>
      </c>
      <c r="P26" s="14" t="str">
        <f t="shared" si="27"/>
        <v>Rp 500.000</v>
      </c>
      <c r="Q26" s="14" t="str">
        <f t="shared" si="4"/>
        <v>Syahriyah = Rp 0
Jariyah = Rp 500.000
Daftar Ulang = Rp 0
Total = Rp 500.000
______________________
ID : 2024070688</v>
      </c>
    </row>
    <row r="27">
      <c r="A27" s="18">
        <f t="shared" si="2"/>
        <v>26</v>
      </c>
      <c r="B27" s="4" t="str">
        <f>IFERROR(__xludf.DUMMYFUNCTION("""COMPUTED_VALUE"""),"DIVA APRILIA SHOLIKHA")</f>
        <v>DIVA APRILIA SHOLIKHA</v>
      </c>
      <c r="C27" s="4">
        <f>IFERROR(__xludf.DUMMYFUNCTION("""COMPUTED_VALUE"""),2.024070223E9)</f>
        <v>2024070223</v>
      </c>
      <c r="D27" s="4" t="str">
        <f>IFERROR(__xludf.DUMMYFUNCTION("""COMPUTED_VALUE"""),"C")</f>
        <v>C</v>
      </c>
      <c r="E27" s="4" t="str">
        <f>IFERROR(__xludf.DUMMYFUNCTION("""COMPUTED_VALUE"""),"C-8")</f>
        <v>C-8</v>
      </c>
      <c r="F27" s="4">
        <f>IFERROR(__xludf.DUMMYFUNCTION("""COMPUTED_VALUE"""),3.0)</f>
        <v>3</v>
      </c>
      <c r="G27" s="4" t="str">
        <f>IFERROR(__xludf.DUMMYFUNCTION("""COMPUTED_VALUE"""),"3 WUSTHO A PUTRI")</f>
        <v>3 WUSTHO A PUTRI</v>
      </c>
      <c r="H27" s="4" t="str">
        <f>IFERROR(__xludf.DUMMYFUNCTION("""COMPUTED_VALUE"""),"6281553483950")</f>
        <v>6281553483950</v>
      </c>
      <c r="I27" s="5">
        <f>IFERROR(__xludf.DUMMYFUNCTION("""COMPUTED_VALUE"""),0.0)</f>
        <v>0</v>
      </c>
      <c r="J27" s="5">
        <f>IFERROR(__xludf.DUMMYFUNCTION("""COMPUTED_VALUE"""),500000.0)</f>
        <v>500000</v>
      </c>
      <c r="K27" s="5">
        <f>IFERROR(__xludf.DUMMYFUNCTION("""COMPUTED_VALUE"""),0.0)</f>
        <v>0</v>
      </c>
      <c r="L27" s="5">
        <f>IFERROR(__xludf.DUMMYFUNCTION("""COMPUTED_VALUE"""),500000.0)</f>
        <v>500000</v>
      </c>
      <c r="M27" s="14" t="str">
        <f t="shared" ref="M27:P27" si="28">text(I27,"Rp #,##0")</f>
        <v>Rp 0</v>
      </c>
      <c r="N27" s="14" t="str">
        <f t="shared" si="28"/>
        <v>Rp 500.000</v>
      </c>
      <c r="O27" s="14" t="str">
        <f t="shared" si="28"/>
        <v>Rp 0</v>
      </c>
      <c r="P27" s="14" t="str">
        <f t="shared" si="28"/>
        <v>Rp 500.000</v>
      </c>
      <c r="Q27" s="14" t="str">
        <f t="shared" si="4"/>
        <v>Syahriyah = Rp 0
Jariyah = Rp 500.000
Daftar Ulang = Rp 0
Total = Rp 500.000
______________________
ID : 2024070223</v>
      </c>
    </row>
    <row r="28">
      <c r="A28" s="18">
        <f t="shared" si="2"/>
        <v>27</v>
      </c>
      <c r="B28" s="4" t="str">
        <f>IFERROR(__xludf.DUMMYFUNCTION("""COMPUTED_VALUE"""),"ELSA LAILATUN NIHAYAH")</f>
        <v>ELSA LAILATUN NIHAYAH</v>
      </c>
      <c r="C28" s="4">
        <f>IFERROR(__xludf.DUMMYFUNCTION("""COMPUTED_VALUE"""),2.024070112E9)</f>
        <v>2024070112</v>
      </c>
      <c r="D28" s="4" t="str">
        <f>IFERROR(__xludf.DUMMYFUNCTION("""COMPUTED_VALUE"""),"C")</f>
        <v>C</v>
      </c>
      <c r="E28" s="4" t="str">
        <f>IFERROR(__xludf.DUMMYFUNCTION("""COMPUTED_VALUE"""),"C-9")</f>
        <v>C-9</v>
      </c>
      <c r="F28" s="4">
        <f>IFERROR(__xludf.DUMMYFUNCTION("""COMPUTED_VALUE"""),3.0)</f>
        <v>3</v>
      </c>
      <c r="G28" s="4" t="str">
        <f>IFERROR(__xludf.DUMMYFUNCTION("""COMPUTED_VALUE"""),"3 WUSTHO B PUTRI")</f>
        <v>3 WUSTHO B PUTRI</v>
      </c>
      <c r="H28" s="4" t="str">
        <f>IFERROR(__xludf.DUMMYFUNCTION("""COMPUTED_VALUE"""),"6287794103025")</f>
        <v>6287794103025</v>
      </c>
      <c r="I28" s="5">
        <f>IFERROR(__xludf.DUMMYFUNCTION("""COMPUTED_VALUE"""),0.0)</f>
        <v>0</v>
      </c>
      <c r="J28" s="5">
        <f>IFERROR(__xludf.DUMMYFUNCTION("""COMPUTED_VALUE"""),500000.0)</f>
        <v>500000</v>
      </c>
      <c r="K28" s="5">
        <f>IFERROR(__xludf.DUMMYFUNCTION("""COMPUTED_VALUE"""),0.0)</f>
        <v>0</v>
      </c>
      <c r="L28" s="5">
        <f>IFERROR(__xludf.DUMMYFUNCTION("""COMPUTED_VALUE"""),500000.0)</f>
        <v>500000</v>
      </c>
      <c r="M28" s="14" t="str">
        <f t="shared" ref="M28:P28" si="29">text(I28,"Rp #,##0")</f>
        <v>Rp 0</v>
      </c>
      <c r="N28" s="14" t="str">
        <f t="shared" si="29"/>
        <v>Rp 500.000</v>
      </c>
      <c r="O28" s="14" t="str">
        <f t="shared" si="29"/>
        <v>Rp 0</v>
      </c>
      <c r="P28" s="14" t="str">
        <f t="shared" si="29"/>
        <v>Rp 500.000</v>
      </c>
      <c r="Q28" s="14" t="str">
        <f t="shared" si="4"/>
        <v>Syahriyah = Rp 0
Jariyah = Rp 500.000
Daftar Ulang = Rp 0
Total = Rp 500.000
______________________
ID : 2024070112</v>
      </c>
    </row>
    <row r="29">
      <c r="A29" s="18">
        <f t="shared" si="2"/>
        <v>28</v>
      </c>
      <c r="B29" s="4" t="str">
        <f>IFERROR(__xludf.DUMMYFUNCTION("""COMPUTED_VALUE"""),"ERIN MAULIDIAH")</f>
        <v>ERIN MAULIDIAH</v>
      </c>
      <c r="C29" s="4">
        <f>IFERROR(__xludf.DUMMYFUNCTION("""COMPUTED_VALUE"""),2.024070475E9)</f>
        <v>2024070475</v>
      </c>
      <c r="D29" s="4" t="str">
        <f>IFERROR(__xludf.DUMMYFUNCTION("""COMPUTED_VALUE"""),"E")</f>
        <v>E</v>
      </c>
      <c r="E29" s="4" t="str">
        <f>IFERROR(__xludf.DUMMYFUNCTION("""COMPUTED_VALUE"""),"E-3")</f>
        <v>E-3</v>
      </c>
      <c r="F29" s="4">
        <f>IFERROR(__xludf.DUMMYFUNCTION("""COMPUTED_VALUE"""),3.0)</f>
        <v>3</v>
      </c>
      <c r="G29" s="4" t="str">
        <f>IFERROR(__xludf.DUMMYFUNCTION("""COMPUTED_VALUE"""),"3 ULA B PUTRI")</f>
        <v>3 ULA B PUTRI</v>
      </c>
      <c r="H29" s="4" t="str">
        <f>IFERROR(__xludf.DUMMYFUNCTION("""COMPUTED_VALUE"""),"6282233810314")</f>
        <v>6282233810314</v>
      </c>
      <c r="I29" s="5">
        <f>IFERROR(__xludf.DUMMYFUNCTION("""COMPUTED_VALUE"""),0.0)</f>
        <v>0</v>
      </c>
      <c r="J29" s="5">
        <f>IFERROR(__xludf.DUMMYFUNCTION("""COMPUTED_VALUE"""),500000.0)</f>
        <v>500000</v>
      </c>
      <c r="K29" s="5">
        <f>IFERROR(__xludf.DUMMYFUNCTION("""COMPUTED_VALUE"""),0.0)</f>
        <v>0</v>
      </c>
      <c r="L29" s="5">
        <f>IFERROR(__xludf.DUMMYFUNCTION("""COMPUTED_VALUE"""),500000.0)</f>
        <v>500000</v>
      </c>
      <c r="M29" s="14" t="str">
        <f t="shared" ref="M29:P29" si="30">text(I29,"Rp #,##0")</f>
        <v>Rp 0</v>
      </c>
      <c r="N29" s="14" t="str">
        <f t="shared" si="30"/>
        <v>Rp 500.000</v>
      </c>
      <c r="O29" s="14" t="str">
        <f t="shared" si="30"/>
        <v>Rp 0</v>
      </c>
      <c r="P29" s="14" t="str">
        <f t="shared" si="30"/>
        <v>Rp 500.000</v>
      </c>
      <c r="Q29" s="14" t="str">
        <f t="shared" si="4"/>
        <v>Syahriyah = Rp 0
Jariyah = Rp 500.000
Daftar Ulang = Rp 0
Total = Rp 500.000
______________________
ID : 2024070475</v>
      </c>
    </row>
    <row r="30">
      <c r="A30" s="18">
        <f t="shared" si="2"/>
        <v>29</v>
      </c>
      <c r="B30" s="4" t="str">
        <f>IFERROR(__xludf.DUMMYFUNCTION("""COMPUTED_VALUE"""),"FAIQOTUR RIFDAH AL ABIDAH")</f>
        <v>FAIQOTUR RIFDAH AL ABIDAH</v>
      </c>
      <c r="C30" s="4">
        <f>IFERROR(__xludf.DUMMYFUNCTION("""COMPUTED_VALUE"""),2.024070487E9)</f>
        <v>2024070487</v>
      </c>
      <c r="D30" s="4" t="str">
        <f>IFERROR(__xludf.DUMMYFUNCTION("""COMPUTED_VALUE"""),"E")</f>
        <v>E</v>
      </c>
      <c r="E30" s="4" t="str">
        <f>IFERROR(__xludf.DUMMYFUNCTION("""COMPUTED_VALUE"""),"E-2")</f>
        <v>E-2</v>
      </c>
      <c r="F30" s="4">
        <f>IFERROR(__xludf.DUMMYFUNCTION("""COMPUTED_VALUE"""),3.0)</f>
        <v>3</v>
      </c>
      <c r="G30" s="4" t="str">
        <f>IFERROR(__xludf.DUMMYFUNCTION("""COMPUTED_VALUE"""),"3 ULA B PUTRI")</f>
        <v>3 ULA B PUTRI</v>
      </c>
      <c r="H30" s="4" t="str">
        <f>IFERROR(__xludf.DUMMYFUNCTION("""COMPUTED_VALUE"""),"6285791612653")</f>
        <v>6285791612653</v>
      </c>
      <c r="I30" s="5">
        <f>IFERROR(__xludf.DUMMYFUNCTION("""COMPUTED_VALUE"""),0.0)</f>
        <v>0</v>
      </c>
      <c r="J30" s="5">
        <f>IFERROR(__xludf.DUMMYFUNCTION("""COMPUTED_VALUE"""),500000.0)</f>
        <v>500000</v>
      </c>
      <c r="K30" s="5">
        <f>IFERROR(__xludf.DUMMYFUNCTION("""COMPUTED_VALUE"""),0.0)</f>
        <v>0</v>
      </c>
      <c r="L30" s="5">
        <f>IFERROR(__xludf.DUMMYFUNCTION("""COMPUTED_VALUE"""),500000.0)</f>
        <v>500000</v>
      </c>
      <c r="M30" s="14" t="str">
        <f t="shared" ref="M30:P30" si="31">text(I30,"Rp #,##0")</f>
        <v>Rp 0</v>
      </c>
      <c r="N30" s="14" t="str">
        <f t="shared" si="31"/>
        <v>Rp 500.000</v>
      </c>
      <c r="O30" s="14" t="str">
        <f t="shared" si="31"/>
        <v>Rp 0</v>
      </c>
      <c r="P30" s="14" t="str">
        <f t="shared" si="31"/>
        <v>Rp 500.000</v>
      </c>
      <c r="Q30" s="14" t="str">
        <f t="shared" si="4"/>
        <v>Syahriyah = Rp 0
Jariyah = Rp 500.000
Daftar Ulang = Rp 0
Total = Rp 500.000
______________________
ID : 2024070487</v>
      </c>
    </row>
    <row r="31">
      <c r="A31" s="18">
        <f t="shared" si="2"/>
        <v>30</v>
      </c>
      <c r="B31" s="4" t="str">
        <f>IFERROR(__xludf.DUMMYFUNCTION("""COMPUTED_VALUE"""),"FAIRUZZABADI WAHYU MAHFUL")</f>
        <v>FAIRUZZABADI WAHYU MAHFUL</v>
      </c>
      <c r="C31" s="4">
        <f>IFERROR(__xludf.DUMMYFUNCTION("""COMPUTED_VALUE"""),2.024070458E9)</f>
        <v>2024070458</v>
      </c>
      <c r="D31" s="4" t="str">
        <f>IFERROR(__xludf.DUMMYFUNCTION("""COMPUTED_VALUE"""),"A")</f>
        <v>A</v>
      </c>
      <c r="E31" s="4" t="str">
        <f>IFERROR(__xludf.DUMMYFUNCTION("""COMPUTED_VALUE"""),"A-7")</f>
        <v>A-7</v>
      </c>
      <c r="F31" s="4">
        <f>IFERROR(__xludf.DUMMYFUNCTION("""COMPUTED_VALUE"""),3.0)</f>
        <v>3</v>
      </c>
      <c r="G31" s="4" t="str">
        <f>IFERROR(__xludf.DUMMYFUNCTION("""COMPUTED_VALUE"""),"3 ULA A PUTRA")</f>
        <v>3 ULA A PUTRA</v>
      </c>
      <c r="H31" s="4" t="str">
        <f>IFERROR(__xludf.DUMMYFUNCTION("""COMPUTED_VALUE"""),"6285730482785")</f>
        <v>6285730482785</v>
      </c>
      <c r="I31" s="5">
        <f>IFERROR(__xludf.DUMMYFUNCTION("""COMPUTED_VALUE"""),0.0)</f>
        <v>0</v>
      </c>
      <c r="J31" s="5">
        <f>IFERROR(__xludf.DUMMYFUNCTION("""COMPUTED_VALUE"""),500000.0)</f>
        <v>500000</v>
      </c>
      <c r="K31" s="5">
        <f>IFERROR(__xludf.DUMMYFUNCTION("""COMPUTED_VALUE"""),0.0)</f>
        <v>0</v>
      </c>
      <c r="L31" s="5">
        <f>IFERROR(__xludf.DUMMYFUNCTION("""COMPUTED_VALUE"""),500000.0)</f>
        <v>500000</v>
      </c>
      <c r="M31" s="14" t="str">
        <f t="shared" ref="M31:P31" si="32">text(I31,"Rp #,##0")</f>
        <v>Rp 0</v>
      </c>
      <c r="N31" s="14" t="str">
        <f t="shared" si="32"/>
        <v>Rp 500.000</v>
      </c>
      <c r="O31" s="14" t="str">
        <f t="shared" si="32"/>
        <v>Rp 0</v>
      </c>
      <c r="P31" s="14" t="str">
        <f t="shared" si="32"/>
        <v>Rp 500.000</v>
      </c>
      <c r="Q31" s="14" t="str">
        <f t="shared" si="4"/>
        <v>Syahriyah = Rp 0
Jariyah = Rp 500.000
Daftar Ulang = Rp 0
Total = Rp 500.000
______________________
ID : 2024070458</v>
      </c>
    </row>
    <row r="32">
      <c r="A32" s="18">
        <f t="shared" si="2"/>
        <v>31</v>
      </c>
      <c r="B32" s="4" t="str">
        <f>IFERROR(__xludf.DUMMYFUNCTION("""COMPUTED_VALUE"""),"FARAH OKTARIAN SYAHPUTRI")</f>
        <v>FARAH OKTARIAN SYAHPUTRI</v>
      </c>
      <c r="C32" s="4">
        <f>IFERROR(__xludf.DUMMYFUNCTION("""COMPUTED_VALUE"""),2.024070466E9)</f>
        <v>2024070466</v>
      </c>
      <c r="D32" s="4" t="str">
        <f>IFERROR(__xludf.DUMMYFUNCTION("""COMPUTED_VALUE"""),"E")</f>
        <v>E</v>
      </c>
      <c r="E32" s="4" t="str">
        <f>IFERROR(__xludf.DUMMYFUNCTION("""COMPUTED_VALUE"""),"E-9")</f>
        <v>E-9</v>
      </c>
      <c r="F32" s="4">
        <f>IFERROR(__xludf.DUMMYFUNCTION("""COMPUTED_VALUE"""),3.0)</f>
        <v>3</v>
      </c>
      <c r="G32" s="4" t="str">
        <f>IFERROR(__xludf.DUMMYFUNCTION("""COMPUTED_VALUE"""),"3 ULA C PUTRI")</f>
        <v>3 ULA C PUTRI</v>
      </c>
      <c r="H32" s="4" t="str">
        <f>IFERROR(__xludf.DUMMYFUNCTION("""COMPUTED_VALUE"""),"6281332772930")</f>
        <v>6281332772930</v>
      </c>
      <c r="I32" s="5">
        <f>IFERROR(__xludf.DUMMYFUNCTION("""COMPUTED_VALUE"""),0.0)</f>
        <v>0</v>
      </c>
      <c r="J32" s="5">
        <f>IFERROR(__xludf.DUMMYFUNCTION("""COMPUTED_VALUE"""),500000.0)</f>
        <v>500000</v>
      </c>
      <c r="K32" s="5">
        <f>IFERROR(__xludf.DUMMYFUNCTION("""COMPUTED_VALUE"""),0.0)</f>
        <v>0</v>
      </c>
      <c r="L32" s="5">
        <f>IFERROR(__xludf.DUMMYFUNCTION("""COMPUTED_VALUE"""),500000.0)</f>
        <v>500000</v>
      </c>
      <c r="M32" s="14" t="str">
        <f t="shared" ref="M32:P32" si="33">text(I32,"Rp #,##0")</f>
        <v>Rp 0</v>
      </c>
      <c r="N32" s="14" t="str">
        <f t="shared" si="33"/>
        <v>Rp 500.000</v>
      </c>
      <c r="O32" s="14" t="str">
        <f t="shared" si="33"/>
        <v>Rp 0</v>
      </c>
      <c r="P32" s="14" t="str">
        <f t="shared" si="33"/>
        <v>Rp 500.000</v>
      </c>
      <c r="Q32" s="14" t="str">
        <f t="shared" si="4"/>
        <v>Syahriyah = Rp 0
Jariyah = Rp 500.000
Daftar Ulang = Rp 0
Total = Rp 500.000
______________________
ID : 2024070466</v>
      </c>
    </row>
    <row r="33">
      <c r="A33" s="18">
        <f t="shared" si="2"/>
        <v>32</v>
      </c>
      <c r="B33" s="4" t="str">
        <f>IFERROR(__xludf.DUMMYFUNCTION("""COMPUTED_VALUE"""),"FARIKHA AULIA SALSABILLAH")</f>
        <v>FARIKHA AULIA SALSABILLAH</v>
      </c>
      <c r="C33" s="4">
        <f>IFERROR(__xludf.DUMMYFUNCTION("""COMPUTED_VALUE"""),2.024070074E9)</f>
        <v>2024070074</v>
      </c>
      <c r="D33" s="4" t="str">
        <f>IFERROR(__xludf.DUMMYFUNCTION("""COMPUTED_VALUE"""),"C")</f>
        <v>C</v>
      </c>
      <c r="E33" s="4" t="str">
        <f>IFERROR(__xludf.DUMMYFUNCTION("""COMPUTED_VALUE"""),"C-4")</f>
        <v>C-4</v>
      </c>
      <c r="F33" s="4">
        <f>IFERROR(__xludf.DUMMYFUNCTION("""COMPUTED_VALUE"""),3.0)</f>
        <v>3</v>
      </c>
      <c r="G33" s="4" t="str">
        <f>IFERROR(__xludf.DUMMYFUNCTION("""COMPUTED_VALUE"""),"3 WUSTHO B PUTRI")</f>
        <v>3 WUSTHO B PUTRI</v>
      </c>
      <c r="H33" s="4" t="str">
        <f>IFERROR(__xludf.DUMMYFUNCTION("""COMPUTED_VALUE"""),"6285645468404")</f>
        <v>6285645468404</v>
      </c>
      <c r="I33" s="5">
        <f>IFERROR(__xludf.DUMMYFUNCTION("""COMPUTED_VALUE"""),0.0)</f>
        <v>0</v>
      </c>
      <c r="J33" s="5">
        <f>IFERROR(__xludf.DUMMYFUNCTION("""COMPUTED_VALUE"""),500000.0)</f>
        <v>500000</v>
      </c>
      <c r="K33" s="5">
        <f>IFERROR(__xludf.DUMMYFUNCTION("""COMPUTED_VALUE"""),0.0)</f>
        <v>0</v>
      </c>
      <c r="L33" s="5">
        <f>IFERROR(__xludf.DUMMYFUNCTION("""COMPUTED_VALUE"""),500000.0)</f>
        <v>500000</v>
      </c>
      <c r="M33" s="14" t="str">
        <f t="shared" ref="M33:P33" si="34">text(I33,"Rp #,##0")</f>
        <v>Rp 0</v>
      </c>
      <c r="N33" s="14" t="str">
        <f t="shared" si="34"/>
        <v>Rp 500.000</v>
      </c>
      <c r="O33" s="14" t="str">
        <f t="shared" si="34"/>
        <v>Rp 0</v>
      </c>
      <c r="P33" s="14" t="str">
        <f t="shared" si="34"/>
        <v>Rp 500.000</v>
      </c>
      <c r="Q33" s="14" t="str">
        <f t="shared" si="4"/>
        <v>Syahriyah = Rp 0
Jariyah = Rp 500.000
Daftar Ulang = Rp 0
Total = Rp 500.000
______________________
ID : 2024070074</v>
      </c>
    </row>
    <row r="34">
      <c r="A34" s="18">
        <f t="shared" si="2"/>
        <v>33</v>
      </c>
      <c r="B34" s="4" t="str">
        <f>IFERROR(__xludf.DUMMYFUNCTION("""COMPUTED_VALUE"""),"FATIMAH AZ-ZAHRAH")</f>
        <v>FATIMAH AZ-ZAHRAH</v>
      </c>
      <c r="C34" s="4">
        <f>IFERROR(__xludf.DUMMYFUNCTION("""COMPUTED_VALUE"""),2.024070507E9)</f>
        <v>2024070507</v>
      </c>
      <c r="D34" s="4" t="str">
        <f>IFERROR(__xludf.DUMMYFUNCTION("""COMPUTED_VALUE"""),"B")</f>
        <v>B</v>
      </c>
      <c r="E34" s="4" t="str">
        <f>IFERROR(__xludf.DUMMYFUNCTION("""COMPUTED_VALUE"""),"B-9")</f>
        <v>B-9</v>
      </c>
      <c r="F34" s="4">
        <f>IFERROR(__xludf.DUMMYFUNCTION("""COMPUTED_VALUE"""),3.0)</f>
        <v>3</v>
      </c>
      <c r="G34" s="4" t="str">
        <f>IFERROR(__xludf.DUMMYFUNCTION("""COMPUTED_VALUE"""),"3 ULA B PUTRI")</f>
        <v>3 ULA B PUTRI</v>
      </c>
      <c r="H34" s="4" t="str">
        <f>IFERROR(__xludf.DUMMYFUNCTION("""COMPUTED_VALUE"""),"6285706056735")</f>
        <v>6285706056735</v>
      </c>
      <c r="I34" s="5">
        <f>IFERROR(__xludf.DUMMYFUNCTION("""COMPUTED_VALUE"""),0.0)</f>
        <v>0</v>
      </c>
      <c r="J34" s="5">
        <f>IFERROR(__xludf.DUMMYFUNCTION("""COMPUTED_VALUE"""),500000.0)</f>
        <v>500000</v>
      </c>
      <c r="K34" s="5">
        <f>IFERROR(__xludf.DUMMYFUNCTION("""COMPUTED_VALUE"""),0.0)</f>
        <v>0</v>
      </c>
      <c r="L34" s="5">
        <f>IFERROR(__xludf.DUMMYFUNCTION("""COMPUTED_VALUE"""),500000.0)</f>
        <v>500000</v>
      </c>
      <c r="M34" s="14" t="str">
        <f t="shared" ref="M34:P34" si="35">text(I34,"Rp #,##0")</f>
        <v>Rp 0</v>
      </c>
      <c r="N34" s="14" t="str">
        <f t="shared" si="35"/>
        <v>Rp 500.000</v>
      </c>
      <c r="O34" s="14" t="str">
        <f t="shared" si="35"/>
        <v>Rp 0</v>
      </c>
      <c r="P34" s="14" t="str">
        <f t="shared" si="35"/>
        <v>Rp 500.000</v>
      </c>
      <c r="Q34" s="14" t="str">
        <f t="shared" si="4"/>
        <v>Syahriyah = Rp 0
Jariyah = Rp 500.000
Daftar Ulang = Rp 0
Total = Rp 500.000
______________________
ID : 2024070507</v>
      </c>
    </row>
    <row r="35">
      <c r="A35" s="18">
        <f t="shared" si="2"/>
        <v>34</v>
      </c>
      <c r="B35" s="4" t="str">
        <f>IFERROR(__xludf.DUMMYFUNCTION("""COMPUTED_VALUE"""),"GALANG SAPUTRA")</f>
        <v>GALANG SAPUTRA</v>
      </c>
      <c r="C35" s="4">
        <f>IFERROR(__xludf.DUMMYFUNCTION("""COMPUTED_VALUE"""),2.02407073E9)</f>
        <v>2024070730</v>
      </c>
      <c r="D35" s="4" t="str">
        <f>IFERROR(__xludf.DUMMYFUNCTION("""COMPUTED_VALUE"""),"A")</f>
        <v>A</v>
      </c>
      <c r="E35" s="4" t="str">
        <f>IFERROR(__xludf.DUMMYFUNCTION("""COMPUTED_VALUE"""),"A-8")</f>
        <v>A-8</v>
      </c>
      <c r="F35" s="4">
        <f>IFERROR(__xludf.DUMMYFUNCTION("""COMPUTED_VALUE"""),3.0)</f>
        <v>3</v>
      </c>
      <c r="G35" s="4" t="str">
        <f>IFERROR(__xludf.DUMMYFUNCTION("""COMPUTED_VALUE"""),"3 ULA A PUTRA")</f>
        <v>3 ULA A PUTRA</v>
      </c>
      <c r="H35" s="4" t="str">
        <f>IFERROR(__xludf.DUMMYFUNCTION("""COMPUTED_VALUE"""),"6285756513128")</f>
        <v>6285756513128</v>
      </c>
      <c r="I35" s="5">
        <f>IFERROR(__xludf.DUMMYFUNCTION("""COMPUTED_VALUE"""),0.0)</f>
        <v>0</v>
      </c>
      <c r="J35" s="5">
        <f>IFERROR(__xludf.DUMMYFUNCTION("""COMPUTED_VALUE"""),500000.0)</f>
        <v>500000</v>
      </c>
      <c r="K35" s="5">
        <f>IFERROR(__xludf.DUMMYFUNCTION("""COMPUTED_VALUE"""),0.0)</f>
        <v>0</v>
      </c>
      <c r="L35" s="5">
        <f>IFERROR(__xludf.DUMMYFUNCTION("""COMPUTED_VALUE"""),500000.0)</f>
        <v>500000</v>
      </c>
      <c r="M35" s="14" t="str">
        <f t="shared" ref="M35:P35" si="36">text(I35,"Rp #,##0")</f>
        <v>Rp 0</v>
      </c>
      <c r="N35" s="14" t="str">
        <f t="shared" si="36"/>
        <v>Rp 500.000</v>
      </c>
      <c r="O35" s="14" t="str">
        <f t="shared" si="36"/>
        <v>Rp 0</v>
      </c>
      <c r="P35" s="14" t="str">
        <f t="shared" si="36"/>
        <v>Rp 500.000</v>
      </c>
      <c r="Q35" s="14" t="str">
        <f t="shared" si="4"/>
        <v>Syahriyah = Rp 0
Jariyah = Rp 500.000
Daftar Ulang = Rp 0
Total = Rp 500.000
______________________
ID : 2024070730</v>
      </c>
    </row>
    <row r="36">
      <c r="A36" s="18">
        <f t="shared" si="2"/>
        <v>35</v>
      </c>
      <c r="B36" s="4" t="str">
        <f>IFERROR(__xludf.DUMMYFUNCTION("""COMPUTED_VALUE"""),"GHITA RAINA AZZAHRA PRIYANTO")</f>
        <v>GHITA RAINA AZZAHRA PRIYANTO</v>
      </c>
      <c r="C36" s="4">
        <f>IFERROR(__xludf.DUMMYFUNCTION("""COMPUTED_VALUE"""),2.024070636E9)</f>
        <v>2024070636</v>
      </c>
      <c r="D36" s="4" t="str">
        <f>IFERROR(__xludf.DUMMYFUNCTION("""COMPUTED_VALUE"""),"C")</f>
        <v>C</v>
      </c>
      <c r="E36" s="4" t="str">
        <f>IFERROR(__xludf.DUMMYFUNCTION("""COMPUTED_VALUE"""),"C-12")</f>
        <v>C-12</v>
      </c>
      <c r="F36" s="4">
        <f>IFERROR(__xludf.DUMMYFUNCTION("""COMPUTED_VALUE"""),3.0)</f>
        <v>3</v>
      </c>
      <c r="G36" s="4" t="str">
        <f>IFERROR(__xludf.DUMMYFUNCTION("""COMPUTED_VALUE"""),"3 ULA C PUTRI")</f>
        <v>3 ULA C PUTRI</v>
      </c>
      <c r="H36" s="4" t="str">
        <f>IFERROR(__xludf.DUMMYFUNCTION("""COMPUTED_VALUE"""),"6281260170147")</f>
        <v>6281260170147</v>
      </c>
      <c r="I36" s="5">
        <f>IFERROR(__xludf.DUMMYFUNCTION("""COMPUTED_VALUE"""),0.0)</f>
        <v>0</v>
      </c>
      <c r="J36" s="5">
        <f>IFERROR(__xludf.DUMMYFUNCTION("""COMPUTED_VALUE"""),500000.0)</f>
        <v>500000</v>
      </c>
      <c r="K36" s="5">
        <f>IFERROR(__xludf.DUMMYFUNCTION("""COMPUTED_VALUE"""),0.0)</f>
        <v>0</v>
      </c>
      <c r="L36" s="5">
        <f>IFERROR(__xludf.DUMMYFUNCTION("""COMPUTED_VALUE"""),500000.0)</f>
        <v>500000</v>
      </c>
      <c r="M36" s="14" t="str">
        <f t="shared" ref="M36:P36" si="37">text(I36,"Rp #,##0")</f>
        <v>Rp 0</v>
      </c>
      <c r="N36" s="14" t="str">
        <f t="shared" si="37"/>
        <v>Rp 500.000</v>
      </c>
      <c r="O36" s="14" t="str">
        <f t="shared" si="37"/>
        <v>Rp 0</v>
      </c>
      <c r="P36" s="14" t="str">
        <f t="shared" si="37"/>
        <v>Rp 500.000</v>
      </c>
      <c r="Q36" s="14" t="str">
        <f t="shared" si="4"/>
        <v>Syahriyah = Rp 0
Jariyah = Rp 500.000
Daftar Ulang = Rp 0
Total = Rp 500.000
______________________
ID : 2024070636</v>
      </c>
    </row>
    <row r="37">
      <c r="A37" s="18">
        <f t="shared" si="2"/>
        <v>36</v>
      </c>
      <c r="B37" s="4" t="str">
        <f>IFERROR(__xludf.DUMMYFUNCTION("""COMPUTED_VALUE"""),"HAMDAN ALIEF")</f>
        <v>HAMDAN ALIEF</v>
      </c>
      <c r="C37" s="4">
        <f>IFERROR(__xludf.DUMMYFUNCTION("""COMPUTED_VALUE"""),2.024070663E9)</f>
        <v>2024070663</v>
      </c>
      <c r="D37" s="4" t="str">
        <f>IFERROR(__xludf.DUMMYFUNCTION("""COMPUTED_VALUE"""),"A")</f>
        <v>A</v>
      </c>
      <c r="E37" s="4" t="str">
        <f>IFERROR(__xludf.DUMMYFUNCTION("""COMPUTED_VALUE"""),"A-7")</f>
        <v>A-7</v>
      </c>
      <c r="F37" s="4">
        <f>IFERROR(__xludf.DUMMYFUNCTION("""COMPUTED_VALUE"""),3.0)</f>
        <v>3</v>
      </c>
      <c r="G37" s="4" t="str">
        <f>IFERROR(__xludf.DUMMYFUNCTION("""COMPUTED_VALUE"""),"3 ULA A PUTRA")</f>
        <v>3 ULA A PUTRA</v>
      </c>
      <c r="H37" s="4" t="str">
        <f>IFERROR(__xludf.DUMMYFUNCTION("""COMPUTED_VALUE"""),"6281216694589")</f>
        <v>6281216694589</v>
      </c>
      <c r="I37" s="5">
        <f>IFERROR(__xludf.DUMMYFUNCTION("""COMPUTED_VALUE"""),0.0)</f>
        <v>0</v>
      </c>
      <c r="J37" s="5">
        <f>IFERROR(__xludf.DUMMYFUNCTION("""COMPUTED_VALUE"""),500000.0)</f>
        <v>500000</v>
      </c>
      <c r="K37" s="5">
        <f>IFERROR(__xludf.DUMMYFUNCTION("""COMPUTED_VALUE"""),0.0)</f>
        <v>0</v>
      </c>
      <c r="L37" s="5">
        <f>IFERROR(__xludf.DUMMYFUNCTION("""COMPUTED_VALUE"""),500000.0)</f>
        <v>500000</v>
      </c>
      <c r="M37" s="14" t="str">
        <f t="shared" ref="M37:P37" si="38">text(I37,"Rp #,##0")</f>
        <v>Rp 0</v>
      </c>
      <c r="N37" s="14" t="str">
        <f t="shared" si="38"/>
        <v>Rp 500.000</v>
      </c>
      <c r="O37" s="14" t="str">
        <f t="shared" si="38"/>
        <v>Rp 0</v>
      </c>
      <c r="P37" s="14" t="str">
        <f t="shared" si="38"/>
        <v>Rp 500.000</v>
      </c>
      <c r="Q37" s="14" t="str">
        <f t="shared" si="4"/>
        <v>Syahriyah = Rp 0
Jariyah = Rp 500.000
Daftar Ulang = Rp 0
Total = Rp 500.000
______________________
ID : 2024070663</v>
      </c>
    </row>
    <row r="38">
      <c r="A38" s="18">
        <f t="shared" si="2"/>
        <v>37</v>
      </c>
      <c r="B38" s="4" t="str">
        <f>IFERROR(__xludf.DUMMYFUNCTION("""COMPUTED_VALUE"""),"HILDA AFRILLIA SALSA FUNNY")</f>
        <v>HILDA AFRILLIA SALSA FUNNY</v>
      </c>
      <c r="C38" s="4">
        <f>IFERROR(__xludf.DUMMYFUNCTION("""COMPUTED_VALUE"""),2.024070609E9)</f>
        <v>2024070609</v>
      </c>
      <c r="D38" s="4" t="str">
        <f>IFERROR(__xludf.DUMMYFUNCTION("""COMPUTED_VALUE"""),"C")</f>
        <v>C</v>
      </c>
      <c r="E38" s="4" t="str">
        <f>IFERROR(__xludf.DUMMYFUNCTION("""COMPUTED_VALUE"""),"C-12")</f>
        <v>C-12</v>
      </c>
      <c r="F38" s="4">
        <f>IFERROR(__xludf.DUMMYFUNCTION("""COMPUTED_VALUE"""),3.0)</f>
        <v>3</v>
      </c>
      <c r="G38" s="4" t="str">
        <f>IFERROR(__xludf.DUMMYFUNCTION("""COMPUTED_VALUE"""),"3 ULA C PUTRI")</f>
        <v>3 ULA C PUTRI</v>
      </c>
      <c r="H38" s="4" t="str">
        <f>IFERROR(__xludf.DUMMYFUNCTION("""COMPUTED_VALUE"""),"628570216013")</f>
        <v>628570216013</v>
      </c>
      <c r="I38" s="5">
        <f>IFERROR(__xludf.DUMMYFUNCTION("""COMPUTED_VALUE"""),0.0)</f>
        <v>0</v>
      </c>
      <c r="J38" s="5">
        <f>IFERROR(__xludf.DUMMYFUNCTION("""COMPUTED_VALUE"""),500000.0)</f>
        <v>500000</v>
      </c>
      <c r="K38" s="5">
        <f>IFERROR(__xludf.DUMMYFUNCTION("""COMPUTED_VALUE"""),0.0)</f>
        <v>0</v>
      </c>
      <c r="L38" s="5">
        <f>IFERROR(__xludf.DUMMYFUNCTION("""COMPUTED_VALUE"""),500000.0)</f>
        <v>500000</v>
      </c>
      <c r="M38" s="14" t="str">
        <f t="shared" ref="M38:P38" si="39">text(I38,"Rp #,##0")</f>
        <v>Rp 0</v>
      </c>
      <c r="N38" s="14" t="str">
        <f t="shared" si="39"/>
        <v>Rp 500.000</v>
      </c>
      <c r="O38" s="14" t="str">
        <f t="shared" si="39"/>
        <v>Rp 0</v>
      </c>
      <c r="P38" s="14" t="str">
        <f t="shared" si="39"/>
        <v>Rp 500.000</v>
      </c>
      <c r="Q38" s="14" t="str">
        <f t="shared" si="4"/>
        <v>Syahriyah = Rp 0
Jariyah = Rp 500.000
Daftar Ulang = Rp 0
Total = Rp 500.000
______________________
ID : 2024070609</v>
      </c>
    </row>
    <row r="39">
      <c r="A39" s="18">
        <f t="shared" si="2"/>
        <v>38</v>
      </c>
      <c r="B39" s="4" t="str">
        <f>IFERROR(__xludf.DUMMYFUNCTION("""COMPUTED_VALUE"""),"KEYSHA BRILLYAN FEBIANA")</f>
        <v>KEYSHA BRILLYAN FEBIANA</v>
      </c>
      <c r="C39" s="4">
        <f>IFERROR(__xludf.DUMMYFUNCTION("""COMPUTED_VALUE"""),2.024070513E9)</f>
        <v>2024070513</v>
      </c>
      <c r="D39" s="4" t="str">
        <f>IFERROR(__xludf.DUMMYFUNCTION("""COMPUTED_VALUE"""),"E")</f>
        <v>E</v>
      </c>
      <c r="E39" s="4" t="str">
        <f>IFERROR(__xludf.DUMMYFUNCTION("""COMPUTED_VALUE"""),"E-3")</f>
        <v>E-3</v>
      </c>
      <c r="F39" s="4">
        <f>IFERROR(__xludf.DUMMYFUNCTION("""COMPUTED_VALUE"""),3.0)</f>
        <v>3</v>
      </c>
      <c r="G39" s="4" t="str">
        <f>IFERROR(__xludf.DUMMYFUNCTION("""COMPUTED_VALUE"""),"3 ULA C PUTRI")</f>
        <v>3 ULA C PUTRI</v>
      </c>
      <c r="H39" s="4" t="str">
        <f>IFERROR(__xludf.DUMMYFUNCTION("""COMPUTED_VALUE"""),"628564039966")</f>
        <v>628564039966</v>
      </c>
      <c r="I39" s="5">
        <f>IFERROR(__xludf.DUMMYFUNCTION("""COMPUTED_VALUE"""),0.0)</f>
        <v>0</v>
      </c>
      <c r="J39" s="5">
        <f>IFERROR(__xludf.DUMMYFUNCTION("""COMPUTED_VALUE"""),500000.0)</f>
        <v>500000</v>
      </c>
      <c r="K39" s="5">
        <f>IFERROR(__xludf.DUMMYFUNCTION("""COMPUTED_VALUE"""),0.0)</f>
        <v>0</v>
      </c>
      <c r="L39" s="5">
        <f>IFERROR(__xludf.DUMMYFUNCTION("""COMPUTED_VALUE"""),500000.0)</f>
        <v>500000</v>
      </c>
      <c r="M39" s="14" t="str">
        <f t="shared" ref="M39:P39" si="40">text(I39,"Rp #,##0")</f>
        <v>Rp 0</v>
      </c>
      <c r="N39" s="14" t="str">
        <f t="shared" si="40"/>
        <v>Rp 500.000</v>
      </c>
      <c r="O39" s="14" t="str">
        <f t="shared" si="40"/>
        <v>Rp 0</v>
      </c>
      <c r="P39" s="14" t="str">
        <f t="shared" si="40"/>
        <v>Rp 500.000</v>
      </c>
      <c r="Q39" s="14" t="str">
        <f t="shared" si="4"/>
        <v>Syahriyah = Rp 0
Jariyah = Rp 500.000
Daftar Ulang = Rp 0
Total = Rp 500.000
______________________
ID : 2024070513</v>
      </c>
    </row>
    <row r="40">
      <c r="A40" s="18">
        <f t="shared" si="2"/>
        <v>39</v>
      </c>
      <c r="B40" s="4" t="str">
        <f>IFERROR(__xludf.DUMMYFUNCTION("""COMPUTED_VALUE"""),"LALUNA NAYRA KAMILA")</f>
        <v>LALUNA NAYRA KAMILA</v>
      </c>
      <c r="C40" s="4">
        <f>IFERROR(__xludf.DUMMYFUNCTION("""COMPUTED_VALUE"""),2.025070425E9)</f>
        <v>2025070425</v>
      </c>
      <c r="D40" s="4" t="str">
        <f>IFERROR(__xludf.DUMMYFUNCTION("""COMPUTED_VALUE"""),"D")</f>
        <v>D</v>
      </c>
      <c r="E40" s="4" t="str">
        <f>IFERROR(__xludf.DUMMYFUNCTION("""COMPUTED_VALUE"""),"D-6")</f>
        <v>D-6</v>
      </c>
      <c r="F40" s="4">
        <f>IFERROR(__xludf.DUMMYFUNCTION("""COMPUTED_VALUE"""),3.0)</f>
        <v>3</v>
      </c>
      <c r="G40" s="4" t="str">
        <f>IFERROR(__xludf.DUMMYFUNCTION("""COMPUTED_VALUE"""),"3 WUSTHO C PUTRI")</f>
        <v>3 WUSTHO C PUTRI</v>
      </c>
      <c r="H40" s="4" t="str">
        <f>IFERROR(__xludf.DUMMYFUNCTION("""COMPUTED_VALUE"""),"6281331012600")</f>
        <v>6281331012600</v>
      </c>
      <c r="I40" s="5">
        <f>IFERROR(__xludf.DUMMYFUNCTION("""COMPUTED_VALUE"""),0.0)</f>
        <v>0</v>
      </c>
      <c r="J40" s="5">
        <f>IFERROR(__xludf.DUMMYFUNCTION("""COMPUTED_VALUE"""),500000.0)</f>
        <v>500000</v>
      </c>
      <c r="K40" s="5">
        <f>IFERROR(__xludf.DUMMYFUNCTION("""COMPUTED_VALUE"""),0.0)</f>
        <v>0</v>
      </c>
      <c r="L40" s="5">
        <f>IFERROR(__xludf.DUMMYFUNCTION("""COMPUTED_VALUE"""),500000.0)</f>
        <v>500000</v>
      </c>
      <c r="M40" s="14" t="str">
        <f t="shared" ref="M40:P40" si="41">text(I40,"Rp #,##0")</f>
        <v>Rp 0</v>
      </c>
      <c r="N40" s="14" t="str">
        <f t="shared" si="41"/>
        <v>Rp 500.000</v>
      </c>
      <c r="O40" s="14" t="str">
        <f t="shared" si="41"/>
        <v>Rp 0</v>
      </c>
      <c r="P40" s="14" t="str">
        <f t="shared" si="41"/>
        <v>Rp 500.000</v>
      </c>
      <c r="Q40" s="14" t="str">
        <f t="shared" si="4"/>
        <v>Syahriyah = Rp 0
Jariyah = Rp 500.000
Daftar Ulang = Rp 0
Total = Rp 500.000
______________________
ID : 2025070425</v>
      </c>
    </row>
    <row r="41">
      <c r="A41" s="18">
        <f t="shared" si="2"/>
        <v>40</v>
      </c>
      <c r="B41" s="4" t="str">
        <f>IFERROR(__xludf.DUMMYFUNCTION("""COMPUTED_VALUE"""),"M. SYAHRUL BAHRI ALSYAFIK")</f>
        <v>M. SYAHRUL BAHRI ALSYAFIK</v>
      </c>
      <c r="C41" s="4">
        <f>IFERROR(__xludf.DUMMYFUNCTION("""COMPUTED_VALUE"""),2.024070628E9)</f>
        <v>2024070628</v>
      </c>
      <c r="D41" s="4" t="str">
        <f>IFERROR(__xludf.DUMMYFUNCTION("""COMPUTED_VALUE"""),"A")</f>
        <v>A</v>
      </c>
      <c r="E41" s="4" t="str">
        <f>IFERROR(__xludf.DUMMYFUNCTION("""COMPUTED_VALUE"""),"A-8")</f>
        <v>A-8</v>
      </c>
      <c r="F41" s="4">
        <f>IFERROR(__xludf.DUMMYFUNCTION("""COMPUTED_VALUE"""),3.0)</f>
        <v>3</v>
      </c>
      <c r="G41" s="4" t="str">
        <f>IFERROR(__xludf.DUMMYFUNCTION("""COMPUTED_VALUE"""),"3 ULA B PUTRA")</f>
        <v>3 ULA B PUTRA</v>
      </c>
      <c r="H41" s="4" t="str">
        <f>IFERROR(__xludf.DUMMYFUNCTION("""COMPUTED_VALUE"""),"6285704248674")</f>
        <v>6285704248674</v>
      </c>
      <c r="I41" s="5">
        <f>IFERROR(__xludf.DUMMYFUNCTION("""COMPUTED_VALUE"""),0.0)</f>
        <v>0</v>
      </c>
      <c r="J41" s="5">
        <f>IFERROR(__xludf.DUMMYFUNCTION("""COMPUTED_VALUE"""),500000.0)</f>
        <v>500000</v>
      </c>
      <c r="K41" s="5">
        <f>IFERROR(__xludf.DUMMYFUNCTION("""COMPUTED_VALUE"""),0.0)</f>
        <v>0</v>
      </c>
      <c r="L41" s="5">
        <f>IFERROR(__xludf.DUMMYFUNCTION("""COMPUTED_VALUE"""),500000.0)</f>
        <v>500000</v>
      </c>
      <c r="M41" s="14" t="str">
        <f t="shared" ref="M41:P41" si="42">text(I41,"Rp #,##0")</f>
        <v>Rp 0</v>
      </c>
      <c r="N41" s="14" t="str">
        <f t="shared" si="42"/>
        <v>Rp 500.000</v>
      </c>
      <c r="O41" s="14" t="str">
        <f t="shared" si="42"/>
        <v>Rp 0</v>
      </c>
      <c r="P41" s="14" t="str">
        <f t="shared" si="42"/>
        <v>Rp 500.000</v>
      </c>
      <c r="Q41" s="14" t="str">
        <f t="shared" si="4"/>
        <v>Syahriyah = Rp 0
Jariyah = Rp 500.000
Daftar Ulang = Rp 0
Total = Rp 500.000
______________________
ID : 2024070628</v>
      </c>
    </row>
    <row r="42">
      <c r="A42" s="18">
        <f t="shared" si="2"/>
        <v>41</v>
      </c>
      <c r="B42" s="4" t="str">
        <f>IFERROR(__xludf.DUMMYFUNCTION("""COMPUTED_VALUE"""),"MALICHAH KAMILA ARIANI")</f>
        <v>MALICHAH KAMILA ARIANI</v>
      </c>
      <c r="C42" s="4">
        <f>IFERROR(__xludf.DUMMYFUNCTION("""COMPUTED_VALUE"""),2.024070331E9)</f>
        <v>2024070331</v>
      </c>
      <c r="D42" s="4" t="str">
        <f>IFERROR(__xludf.DUMMYFUNCTION("""COMPUTED_VALUE"""),"C")</f>
        <v>C</v>
      </c>
      <c r="E42" s="4" t="str">
        <f>IFERROR(__xludf.DUMMYFUNCTION("""COMPUTED_VALUE"""),"C-9")</f>
        <v>C-9</v>
      </c>
      <c r="F42" s="4">
        <f>IFERROR(__xludf.DUMMYFUNCTION("""COMPUTED_VALUE"""),3.0)</f>
        <v>3</v>
      </c>
      <c r="G42" s="4"/>
      <c r="H42" s="4" t="str">
        <f>IFERROR(__xludf.DUMMYFUNCTION("""COMPUTED_VALUE"""),"6285859618682")</f>
        <v>6285859618682</v>
      </c>
      <c r="I42" s="5">
        <f>IFERROR(__xludf.DUMMYFUNCTION("""COMPUTED_VALUE"""),0.0)</f>
        <v>0</v>
      </c>
      <c r="J42" s="5">
        <f>IFERROR(__xludf.DUMMYFUNCTION("""COMPUTED_VALUE"""),500000.0)</f>
        <v>500000</v>
      </c>
      <c r="K42" s="5">
        <f>IFERROR(__xludf.DUMMYFUNCTION("""COMPUTED_VALUE"""),0.0)</f>
        <v>0</v>
      </c>
      <c r="L42" s="5">
        <f>IFERROR(__xludf.DUMMYFUNCTION("""COMPUTED_VALUE"""),500000.0)</f>
        <v>500000</v>
      </c>
      <c r="M42" s="14" t="str">
        <f t="shared" ref="M42:P42" si="43">text(I42,"Rp #,##0")</f>
        <v>Rp 0</v>
      </c>
      <c r="N42" s="14" t="str">
        <f t="shared" si="43"/>
        <v>Rp 500.000</v>
      </c>
      <c r="O42" s="14" t="str">
        <f t="shared" si="43"/>
        <v>Rp 0</v>
      </c>
      <c r="P42" s="14" t="str">
        <f t="shared" si="43"/>
        <v>Rp 500.000</v>
      </c>
      <c r="Q42" s="14" t="str">
        <f t="shared" si="4"/>
        <v>Syahriyah = Rp 0
Jariyah = Rp 500.000
Daftar Ulang = Rp 0
Total = Rp 500.000
______________________
ID : 2024070331</v>
      </c>
    </row>
    <row r="43">
      <c r="A43" s="18">
        <f t="shared" si="2"/>
        <v>42</v>
      </c>
      <c r="B43" s="4" t="str">
        <f>IFERROR(__xludf.DUMMYFUNCTION("""COMPUTED_VALUE"""),"MUHAMMAD ALFIN JAMIL")</f>
        <v>MUHAMMAD ALFIN JAMIL</v>
      </c>
      <c r="C43" s="4">
        <f>IFERROR(__xludf.DUMMYFUNCTION("""COMPUTED_VALUE"""),2.024070503E9)</f>
        <v>2024070503</v>
      </c>
      <c r="D43" s="4" t="str">
        <f>IFERROR(__xludf.DUMMYFUNCTION("""COMPUTED_VALUE"""),"A")</f>
        <v>A</v>
      </c>
      <c r="E43" s="4" t="str">
        <f>IFERROR(__xludf.DUMMYFUNCTION("""COMPUTED_VALUE"""),"A-7")</f>
        <v>A-7</v>
      </c>
      <c r="F43" s="4">
        <f>IFERROR(__xludf.DUMMYFUNCTION("""COMPUTED_VALUE"""),3.0)</f>
        <v>3</v>
      </c>
      <c r="G43" s="4" t="str">
        <f>IFERROR(__xludf.DUMMYFUNCTION("""COMPUTED_VALUE"""),"3 ULA A PUTRA")</f>
        <v>3 ULA A PUTRA</v>
      </c>
      <c r="H43" s="4" t="str">
        <f>IFERROR(__xludf.DUMMYFUNCTION("""COMPUTED_VALUE"""),"6281230455748")</f>
        <v>6281230455748</v>
      </c>
      <c r="I43" s="5">
        <f>IFERROR(__xludf.DUMMYFUNCTION("""COMPUTED_VALUE"""),0.0)</f>
        <v>0</v>
      </c>
      <c r="J43" s="5">
        <f>IFERROR(__xludf.DUMMYFUNCTION("""COMPUTED_VALUE"""),500000.0)</f>
        <v>500000</v>
      </c>
      <c r="K43" s="5">
        <f>IFERROR(__xludf.DUMMYFUNCTION("""COMPUTED_VALUE"""),0.0)</f>
        <v>0</v>
      </c>
      <c r="L43" s="5">
        <f>IFERROR(__xludf.DUMMYFUNCTION("""COMPUTED_VALUE"""),500000.0)</f>
        <v>500000</v>
      </c>
      <c r="M43" s="14" t="str">
        <f t="shared" ref="M43:P43" si="44">text(I43,"Rp #,##0")</f>
        <v>Rp 0</v>
      </c>
      <c r="N43" s="14" t="str">
        <f t="shared" si="44"/>
        <v>Rp 500.000</v>
      </c>
      <c r="O43" s="14" t="str">
        <f t="shared" si="44"/>
        <v>Rp 0</v>
      </c>
      <c r="P43" s="14" t="str">
        <f t="shared" si="44"/>
        <v>Rp 500.000</v>
      </c>
      <c r="Q43" s="14" t="str">
        <f t="shared" si="4"/>
        <v>Syahriyah = Rp 0
Jariyah = Rp 500.000
Daftar Ulang = Rp 0
Total = Rp 500.000
______________________
ID : 2024070503</v>
      </c>
    </row>
    <row r="44">
      <c r="A44" s="18">
        <f t="shared" si="2"/>
        <v>43</v>
      </c>
      <c r="B44" s="4" t="str">
        <f>IFERROR(__xludf.DUMMYFUNCTION("""COMPUTED_VALUE"""),"MUHAMMAD FADLY HANANIA RABBANI")</f>
        <v>MUHAMMAD FADLY HANANIA RABBANI</v>
      </c>
      <c r="C44" s="4">
        <f>IFERROR(__xludf.DUMMYFUNCTION("""COMPUTED_VALUE"""),2.024070457E9)</f>
        <v>2024070457</v>
      </c>
      <c r="D44" s="4" t="str">
        <f>IFERROR(__xludf.DUMMYFUNCTION("""COMPUTED_VALUE"""),"A")</f>
        <v>A</v>
      </c>
      <c r="E44" s="4" t="str">
        <f>IFERROR(__xludf.DUMMYFUNCTION("""COMPUTED_VALUE"""),"A-8")</f>
        <v>A-8</v>
      </c>
      <c r="F44" s="4">
        <f>IFERROR(__xludf.DUMMYFUNCTION("""COMPUTED_VALUE"""),3.0)</f>
        <v>3</v>
      </c>
      <c r="G44" s="4" t="str">
        <f>IFERROR(__xludf.DUMMYFUNCTION("""COMPUTED_VALUE"""),"3 ULA A PUTRA")</f>
        <v>3 ULA A PUTRA</v>
      </c>
      <c r="H44" s="4" t="str">
        <f>IFERROR(__xludf.DUMMYFUNCTION("""COMPUTED_VALUE"""),"6289533798465")</f>
        <v>6289533798465</v>
      </c>
      <c r="I44" s="5">
        <f>IFERROR(__xludf.DUMMYFUNCTION("""COMPUTED_VALUE"""),0.0)</f>
        <v>0</v>
      </c>
      <c r="J44" s="5">
        <f>IFERROR(__xludf.DUMMYFUNCTION("""COMPUTED_VALUE"""),500000.0)</f>
        <v>500000</v>
      </c>
      <c r="K44" s="5">
        <f>IFERROR(__xludf.DUMMYFUNCTION("""COMPUTED_VALUE"""),0.0)</f>
        <v>0</v>
      </c>
      <c r="L44" s="5">
        <f>IFERROR(__xludf.DUMMYFUNCTION("""COMPUTED_VALUE"""),500000.0)</f>
        <v>500000</v>
      </c>
      <c r="M44" s="14" t="str">
        <f t="shared" ref="M44:P44" si="45">text(I44,"Rp #,##0")</f>
        <v>Rp 0</v>
      </c>
      <c r="N44" s="14" t="str">
        <f t="shared" si="45"/>
        <v>Rp 500.000</v>
      </c>
      <c r="O44" s="14" t="str">
        <f t="shared" si="45"/>
        <v>Rp 0</v>
      </c>
      <c r="P44" s="14" t="str">
        <f t="shared" si="45"/>
        <v>Rp 500.000</v>
      </c>
      <c r="Q44" s="14" t="str">
        <f t="shared" si="4"/>
        <v>Syahriyah = Rp 0
Jariyah = Rp 500.000
Daftar Ulang = Rp 0
Total = Rp 500.000
______________________
ID : 2024070457</v>
      </c>
    </row>
    <row r="45">
      <c r="A45" s="18">
        <f t="shared" si="2"/>
        <v>44</v>
      </c>
      <c r="B45" s="4" t="str">
        <f>IFERROR(__xludf.DUMMYFUNCTION("""COMPUTED_VALUE"""),"MUHAMMAD HANIF AFIYAN")</f>
        <v>MUHAMMAD HANIF AFIYAN</v>
      </c>
      <c r="C45" s="4">
        <f>IFERROR(__xludf.DUMMYFUNCTION("""COMPUTED_VALUE"""),2.024070486E9)</f>
        <v>2024070486</v>
      </c>
      <c r="D45" s="4" t="str">
        <f>IFERROR(__xludf.DUMMYFUNCTION("""COMPUTED_VALUE"""),"A")</f>
        <v>A</v>
      </c>
      <c r="E45" s="4" t="str">
        <f>IFERROR(__xludf.DUMMYFUNCTION("""COMPUTED_VALUE"""),"A-7")</f>
        <v>A-7</v>
      </c>
      <c r="F45" s="4">
        <f>IFERROR(__xludf.DUMMYFUNCTION("""COMPUTED_VALUE"""),3.0)</f>
        <v>3</v>
      </c>
      <c r="G45" s="4" t="str">
        <f>IFERROR(__xludf.DUMMYFUNCTION("""COMPUTED_VALUE"""),"3 ULA A PUTRA")</f>
        <v>3 ULA A PUTRA</v>
      </c>
      <c r="H45" s="4" t="str">
        <f>IFERROR(__xludf.DUMMYFUNCTION("""COMPUTED_VALUE"""),"6285748905402")</f>
        <v>6285748905402</v>
      </c>
      <c r="I45" s="5">
        <f>IFERROR(__xludf.DUMMYFUNCTION("""COMPUTED_VALUE"""),0.0)</f>
        <v>0</v>
      </c>
      <c r="J45" s="5">
        <f>IFERROR(__xludf.DUMMYFUNCTION("""COMPUTED_VALUE"""),500000.0)</f>
        <v>500000</v>
      </c>
      <c r="K45" s="5">
        <f>IFERROR(__xludf.DUMMYFUNCTION("""COMPUTED_VALUE"""),0.0)</f>
        <v>0</v>
      </c>
      <c r="L45" s="5">
        <f>IFERROR(__xludf.DUMMYFUNCTION("""COMPUTED_VALUE"""),500000.0)</f>
        <v>500000</v>
      </c>
      <c r="M45" s="14" t="str">
        <f t="shared" ref="M45:P45" si="46">text(I45,"Rp #,##0")</f>
        <v>Rp 0</v>
      </c>
      <c r="N45" s="14" t="str">
        <f t="shared" si="46"/>
        <v>Rp 500.000</v>
      </c>
      <c r="O45" s="14" t="str">
        <f t="shared" si="46"/>
        <v>Rp 0</v>
      </c>
      <c r="P45" s="14" t="str">
        <f t="shared" si="46"/>
        <v>Rp 500.000</v>
      </c>
      <c r="Q45" s="14" t="str">
        <f t="shared" si="4"/>
        <v>Syahriyah = Rp 0
Jariyah = Rp 500.000
Daftar Ulang = Rp 0
Total = Rp 500.000
______________________
ID : 2024070486</v>
      </c>
    </row>
    <row r="46">
      <c r="A46" s="18">
        <f t="shared" si="2"/>
        <v>45</v>
      </c>
      <c r="B46" s="4" t="str">
        <f>IFERROR(__xludf.DUMMYFUNCTION("""COMPUTED_VALUE"""),"MUHAMMAD RISKI MISHBAHUL MUNIR")</f>
        <v>MUHAMMAD RISKI MISHBAHUL MUNIR</v>
      </c>
      <c r="C46" s="4">
        <f>IFERROR(__xludf.DUMMYFUNCTION("""COMPUTED_VALUE"""),2.024070535E9)</f>
        <v>2024070535</v>
      </c>
      <c r="D46" s="4" t="str">
        <f>IFERROR(__xludf.DUMMYFUNCTION("""COMPUTED_VALUE"""),"A")</f>
        <v>A</v>
      </c>
      <c r="E46" s="4" t="str">
        <f>IFERROR(__xludf.DUMMYFUNCTION("""COMPUTED_VALUE"""),"A-8")</f>
        <v>A-8</v>
      </c>
      <c r="F46" s="4">
        <f>IFERROR(__xludf.DUMMYFUNCTION("""COMPUTED_VALUE"""),3.0)</f>
        <v>3</v>
      </c>
      <c r="G46" s="4" t="str">
        <f>IFERROR(__xludf.DUMMYFUNCTION("""COMPUTED_VALUE"""),"3 ULA B PUTRA")</f>
        <v>3 ULA B PUTRA</v>
      </c>
      <c r="H46" s="4" t="str">
        <f>IFERROR(__xludf.DUMMYFUNCTION("""COMPUTED_VALUE"""),"6285648380596")</f>
        <v>6285648380596</v>
      </c>
      <c r="I46" s="5">
        <f>IFERROR(__xludf.DUMMYFUNCTION("""COMPUTED_VALUE"""),0.0)</f>
        <v>0</v>
      </c>
      <c r="J46" s="5">
        <f>IFERROR(__xludf.DUMMYFUNCTION("""COMPUTED_VALUE"""),500000.0)</f>
        <v>500000</v>
      </c>
      <c r="K46" s="5">
        <f>IFERROR(__xludf.DUMMYFUNCTION("""COMPUTED_VALUE"""),0.0)</f>
        <v>0</v>
      </c>
      <c r="L46" s="5">
        <f>IFERROR(__xludf.DUMMYFUNCTION("""COMPUTED_VALUE"""),500000.0)</f>
        <v>500000</v>
      </c>
      <c r="M46" s="14" t="str">
        <f t="shared" ref="M46:P46" si="47">text(I46,"Rp #,##0")</f>
        <v>Rp 0</v>
      </c>
      <c r="N46" s="14" t="str">
        <f t="shared" si="47"/>
        <v>Rp 500.000</v>
      </c>
      <c r="O46" s="14" t="str">
        <f t="shared" si="47"/>
        <v>Rp 0</v>
      </c>
      <c r="P46" s="14" t="str">
        <f t="shared" si="47"/>
        <v>Rp 500.000</v>
      </c>
      <c r="Q46" s="14" t="str">
        <f t="shared" si="4"/>
        <v>Syahriyah = Rp 0
Jariyah = Rp 500.000
Daftar Ulang = Rp 0
Total = Rp 500.000
______________________
ID : 2024070535</v>
      </c>
    </row>
    <row r="47">
      <c r="A47" s="18">
        <f t="shared" si="2"/>
        <v>46</v>
      </c>
      <c r="B47" s="4" t="str">
        <f>IFERROR(__xludf.DUMMYFUNCTION("""COMPUTED_VALUE"""),"NADIYATAN NAQI`")</f>
        <v>NADIYATAN NAQI`</v>
      </c>
      <c r="C47" s="4">
        <f>IFERROR(__xludf.DUMMYFUNCTION("""COMPUTED_VALUE"""),2.024070017E9)</f>
        <v>2024070017</v>
      </c>
      <c r="D47" s="4" t="str">
        <f>IFERROR(__xludf.DUMMYFUNCTION("""COMPUTED_VALUE"""),"C")</f>
        <v>C</v>
      </c>
      <c r="E47" s="4" t="str">
        <f>IFERROR(__xludf.DUMMYFUNCTION("""COMPUTED_VALUE"""),"C-2")</f>
        <v>C-2</v>
      </c>
      <c r="F47" s="4">
        <f>IFERROR(__xludf.DUMMYFUNCTION("""COMPUTED_VALUE"""),3.0)</f>
        <v>3</v>
      </c>
      <c r="G47" s="4"/>
      <c r="H47" s="4" t="str">
        <f>IFERROR(__xludf.DUMMYFUNCTION("""COMPUTED_VALUE"""),"6281331944544")</f>
        <v>6281331944544</v>
      </c>
      <c r="I47" s="5">
        <f>IFERROR(__xludf.DUMMYFUNCTION("""COMPUTED_VALUE"""),0.0)</f>
        <v>0</v>
      </c>
      <c r="J47" s="5">
        <f>IFERROR(__xludf.DUMMYFUNCTION("""COMPUTED_VALUE"""),500000.0)</f>
        <v>500000</v>
      </c>
      <c r="K47" s="5">
        <f>IFERROR(__xludf.DUMMYFUNCTION("""COMPUTED_VALUE"""),0.0)</f>
        <v>0</v>
      </c>
      <c r="L47" s="5">
        <f>IFERROR(__xludf.DUMMYFUNCTION("""COMPUTED_VALUE"""),500000.0)</f>
        <v>500000</v>
      </c>
      <c r="M47" s="14" t="str">
        <f t="shared" ref="M47:P47" si="48">text(I47,"Rp #,##0")</f>
        <v>Rp 0</v>
      </c>
      <c r="N47" s="14" t="str">
        <f t="shared" si="48"/>
        <v>Rp 500.000</v>
      </c>
      <c r="O47" s="14" t="str">
        <f t="shared" si="48"/>
        <v>Rp 0</v>
      </c>
      <c r="P47" s="14" t="str">
        <f t="shared" si="48"/>
        <v>Rp 500.000</v>
      </c>
      <c r="Q47" s="14" t="str">
        <f t="shared" si="4"/>
        <v>Syahriyah = Rp 0
Jariyah = Rp 500.000
Daftar Ulang = Rp 0
Total = Rp 500.000
______________________
ID : 2024070017</v>
      </c>
    </row>
    <row r="48">
      <c r="A48" s="18">
        <f t="shared" si="2"/>
        <v>47</v>
      </c>
      <c r="B48" s="4" t="str">
        <f>IFERROR(__xludf.DUMMYFUNCTION("""COMPUTED_VALUE"""),"NAILA MALIHA PUTRI")</f>
        <v>NAILA MALIHA PUTRI</v>
      </c>
      <c r="C48" s="4">
        <f>IFERROR(__xludf.DUMMYFUNCTION("""COMPUTED_VALUE"""),2.024070161E9)</f>
        <v>2024070161</v>
      </c>
      <c r="D48" s="4" t="str">
        <f>IFERROR(__xludf.DUMMYFUNCTION("""COMPUTED_VALUE"""),"B")</f>
        <v>B</v>
      </c>
      <c r="E48" s="4" t="str">
        <f>IFERROR(__xludf.DUMMYFUNCTION("""COMPUTED_VALUE"""),"B-5")</f>
        <v>B-5</v>
      </c>
      <c r="F48" s="4">
        <f>IFERROR(__xludf.DUMMYFUNCTION("""COMPUTED_VALUE"""),3.0)</f>
        <v>3</v>
      </c>
      <c r="G48" s="4" t="str">
        <f>IFERROR(__xludf.DUMMYFUNCTION("""COMPUTED_VALUE"""),"3 WUSTHO C PUTRI")</f>
        <v>3 WUSTHO C PUTRI</v>
      </c>
      <c r="H48" s="4" t="str">
        <f>IFERROR(__xludf.DUMMYFUNCTION("""COMPUTED_VALUE"""),"6285804308769")</f>
        <v>6285804308769</v>
      </c>
      <c r="I48" s="5">
        <f>IFERROR(__xludf.DUMMYFUNCTION("""COMPUTED_VALUE"""),0.0)</f>
        <v>0</v>
      </c>
      <c r="J48" s="5">
        <f>IFERROR(__xludf.DUMMYFUNCTION("""COMPUTED_VALUE"""),500000.0)</f>
        <v>500000</v>
      </c>
      <c r="K48" s="5">
        <f>IFERROR(__xludf.DUMMYFUNCTION("""COMPUTED_VALUE"""),0.0)</f>
        <v>0</v>
      </c>
      <c r="L48" s="5">
        <f>IFERROR(__xludf.DUMMYFUNCTION("""COMPUTED_VALUE"""),500000.0)</f>
        <v>500000</v>
      </c>
      <c r="M48" s="14" t="str">
        <f t="shared" ref="M48:P48" si="49">text(I48,"Rp #,##0")</f>
        <v>Rp 0</v>
      </c>
      <c r="N48" s="14" t="str">
        <f t="shared" si="49"/>
        <v>Rp 500.000</v>
      </c>
      <c r="O48" s="14" t="str">
        <f t="shared" si="49"/>
        <v>Rp 0</v>
      </c>
      <c r="P48" s="14" t="str">
        <f t="shared" si="49"/>
        <v>Rp 500.000</v>
      </c>
      <c r="Q48" s="14" t="str">
        <f t="shared" si="4"/>
        <v>Syahriyah = Rp 0
Jariyah = Rp 500.000
Daftar Ulang = Rp 0
Total = Rp 500.000
______________________
ID : 2024070161</v>
      </c>
    </row>
    <row r="49">
      <c r="A49" s="18">
        <f t="shared" si="2"/>
        <v>48</v>
      </c>
      <c r="B49" s="4" t="str">
        <f>IFERROR(__xludf.DUMMYFUNCTION("""COMPUTED_VALUE"""),"NAILATUN NUR LAILATUL QUDSIYAH")</f>
        <v>NAILATUN NUR LAILATUL QUDSIYAH</v>
      </c>
      <c r="C49" s="4">
        <f>IFERROR(__xludf.DUMMYFUNCTION("""COMPUTED_VALUE"""),2.024070726E9)</f>
        <v>2024070726</v>
      </c>
      <c r="D49" s="4" t="str">
        <f>IFERROR(__xludf.DUMMYFUNCTION("""COMPUTED_VALUE"""),"B")</f>
        <v>B</v>
      </c>
      <c r="E49" s="4" t="str">
        <f>IFERROR(__xludf.DUMMYFUNCTION("""COMPUTED_VALUE"""),"B-10")</f>
        <v>B-10</v>
      </c>
      <c r="F49" s="4">
        <f>IFERROR(__xludf.DUMMYFUNCTION("""COMPUTED_VALUE"""),3.0)</f>
        <v>3</v>
      </c>
      <c r="G49" s="4" t="str">
        <f>IFERROR(__xludf.DUMMYFUNCTION("""COMPUTED_VALUE"""),"3 ULA A PUTRI")</f>
        <v>3 ULA A PUTRI</v>
      </c>
      <c r="H49" s="4" t="str">
        <f>IFERROR(__xludf.DUMMYFUNCTION("""COMPUTED_VALUE"""),"6285785360969")</f>
        <v>6285785360969</v>
      </c>
      <c r="I49" s="5">
        <f>IFERROR(__xludf.DUMMYFUNCTION("""COMPUTED_VALUE"""),0.0)</f>
        <v>0</v>
      </c>
      <c r="J49" s="5">
        <f>IFERROR(__xludf.DUMMYFUNCTION("""COMPUTED_VALUE"""),500000.0)</f>
        <v>500000</v>
      </c>
      <c r="K49" s="5">
        <f>IFERROR(__xludf.DUMMYFUNCTION("""COMPUTED_VALUE"""),0.0)</f>
        <v>0</v>
      </c>
      <c r="L49" s="5">
        <f>IFERROR(__xludf.DUMMYFUNCTION("""COMPUTED_VALUE"""),500000.0)</f>
        <v>500000</v>
      </c>
      <c r="M49" s="14" t="str">
        <f t="shared" ref="M49:P49" si="50">text(I49,"Rp #,##0")</f>
        <v>Rp 0</v>
      </c>
      <c r="N49" s="14" t="str">
        <f t="shared" si="50"/>
        <v>Rp 500.000</v>
      </c>
      <c r="O49" s="14" t="str">
        <f t="shared" si="50"/>
        <v>Rp 0</v>
      </c>
      <c r="P49" s="14" t="str">
        <f t="shared" si="50"/>
        <v>Rp 500.000</v>
      </c>
      <c r="Q49" s="14" t="str">
        <f t="shared" si="4"/>
        <v>Syahriyah = Rp 0
Jariyah = Rp 500.000
Daftar Ulang = Rp 0
Total = Rp 500.000
______________________
ID : 2024070726</v>
      </c>
    </row>
    <row r="50">
      <c r="A50" s="18">
        <f t="shared" si="2"/>
        <v>49</v>
      </c>
      <c r="B50" s="4" t="str">
        <f>IFERROR(__xludf.DUMMYFUNCTION("""COMPUTED_VALUE"""),"NIKMAH PUTRI ISMAWATI")</f>
        <v>NIKMAH PUTRI ISMAWATI</v>
      </c>
      <c r="C50" s="4">
        <f>IFERROR(__xludf.DUMMYFUNCTION("""COMPUTED_VALUE"""),2.024070432E9)</f>
        <v>2024070432</v>
      </c>
      <c r="D50" s="4" t="str">
        <f>IFERROR(__xludf.DUMMYFUNCTION("""COMPUTED_VALUE"""),"D")</f>
        <v>D</v>
      </c>
      <c r="E50" s="4" t="str">
        <f>IFERROR(__xludf.DUMMYFUNCTION("""COMPUTED_VALUE"""),"D-6")</f>
        <v>D-6</v>
      </c>
      <c r="F50" s="4">
        <f>IFERROR(__xludf.DUMMYFUNCTION("""COMPUTED_VALUE"""),3.0)</f>
        <v>3</v>
      </c>
      <c r="G50" s="4" t="str">
        <f>IFERROR(__xludf.DUMMYFUNCTION("""COMPUTED_VALUE"""),"3 MAK PUTRI")</f>
        <v>3 MAK PUTRI</v>
      </c>
      <c r="H50" s="4" t="str">
        <f>IFERROR(__xludf.DUMMYFUNCTION("""COMPUTED_VALUE"""),"6281455138598")</f>
        <v>6281455138598</v>
      </c>
      <c r="I50" s="5">
        <f>IFERROR(__xludf.DUMMYFUNCTION("""COMPUTED_VALUE"""),0.0)</f>
        <v>0</v>
      </c>
      <c r="J50" s="5">
        <f>IFERROR(__xludf.DUMMYFUNCTION("""COMPUTED_VALUE"""),500000.0)</f>
        <v>500000</v>
      </c>
      <c r="K50" s="5">
        <f>IFERROR(__xludf.DUMMYFUNCTION("""COMPUTED_VALUE"""),0.0)</f>
        <v>0</v>
      </c>
      <c r="L50" s="5">
        <f>IFERROR(__xludf.DUMMYFUNCTION("""COMPUTED_VALUE"""),500000.0)</f>
        <v>500000</v>
      </c>
      <c r="M50" s="14" t="str">
        <f t="shared" ref="M50:P50" si="51">text(I50,"Rp #,##0")</f>
        <v>Rp 0</v>
      </c>
      <c r="N50" s="14" t="str">
        <f t="shared" si="51"/>
        <v>Rp 500.000</v>
      </c>
      <c r="O50" s="14" t="str">
        <f t="shared" si="51"/>
        <v>Rp 0</v>
      </c>
      <c r="P50" s="14" t="str">
        <f t="shared" si="51"/>
        <v>Rp 500.000</v>
      </c>
      <c r="Q50" s="14" t="str">
        <f t="shared" si="4"/>
        <v>Syahriyah = Rp 0
Jariyah = Rp 500.000
Daftar Ulang = Rp 0
Total = Rp 500.000
______________________
ID : 2024070432</v>
      </c>
    </row>
    <row r="51">
      <c r="A51" s="18">
        <f t="shared" si="2"/>
        <v>50</v>
      </c>
      <c r="B51" s="4" t="str">
        <f>IFERROR(__xludf.DUMMYFUNCTION("""COMPUTED_VALUE"""),"NINDY AULIA PUTRI")</f>
        <v>NINDY AULIA PUTRI</v>
      </c>
      <c r="C51" s="4">
        <f>IFERROR(__xludf.DUMMYFUNCTION("""COMPUTED_VALUE"""),2.024070434E9)</f>
        <v>2024070434</v>
      </c>
      <c r="D51" s="4" t="str">
        <f>IFERROR(__xludf.DUMMYFUNCTION("""COMPUTED_VALUE"""),"C")</f>
        <v>C</v>
      </c>
      <c r="E51" s="4" t="str">
        <f>IFERROR(__xludf.DUMMYFUNCTION("""COMPUTED_VALUE"""),"C-7")</f>
        <v>C-7</v>
      </c>
      <c r="F51" s="4">
        <f>IFERROR(__xludf.DUMMYFUNCTION("""COMPUTED_VALUE"""),3.0)</f>
        <v>3</v>
      </c>
      <c r="G51" s="4" t="str">
        <f>IFERROR(__xludf.DUMMYFUNCTION("""COMPUTED_VALUE"""),"3 MAK PUTRI")</f>
        <v>3 MAK PUTRI</v>
      </c>
      <c r="H51" s="4" t="str">
        <f>IFERROR(__xludf.DUMMYFUNCTION("""COMPUTED_VALUE"""),"6285732999616")</f>
        <v>6285732999616</v>
      </c>
      <c r="I51" s="5">
        <f>IFERROR(__xludf.DUMMYFUNCTION("""COMPUTED_VALUE"""),0.0)</f>
        <v>0</v>
      </c>
      <c r="J51" s="5">
        <f>IFERROR(__xludf.DUMMYFUNCTION("""COMPUTED_VALUE"""),500000.0)</f>
        <v>500000</v>
      </c>
      <c r="K51" s="5">
        <f>IFERROR(__xludf.DUMMYFUNCTION("""COMPUTED_VALUE"""),0.0)</f>
        <v>0</v>
      </c>
      <c r="L51" s="5">
        <f>IFERROR(__xludf.DUMMYFUNCTION("""COMPUTED_VALUE"""),500000.0)</f>
        <v>500000</v>
      </c>
      <c r="M51" s="14" t="str">
        <f t="shared" ref="M51:P51" si="52">text(I51,"Rp #,##0")</f>
        <v>Rp 0</v>
      </c>
      <c r="N51" s="14" t="str">
        <f t="shared" si="52"/>
        <v>Rp 500.000</v>
      </c>
      <c r="O51" s="14" t="str">
        <f t="shared" si="52"/>
        <v>Rp 0</v>
      </c>
      <c r="P51" s="14" t="str">
        <f t="shared" si="52"/>
        <v>Rp 500.000</v>
      </c>
      <c r="Q51" s="14" t="str">
        <f t="shared" si="4"/>
        <v>Syahriyah = Rp 0
Jariyah = Rp 500.000
Daftar Ulang = Rp 0
Total = Rp 500.000
______________________
ID : 2024070434</v>
      </c>
    </row>
    <row r="52">
      <c r="A52" s="18">
        <f t="shared" si="2"/>
        <v>51</v>
      </c>
      <c r="B52" s="4" t="str">
        <f>IFERROR(__xludf.DUMMYFUNCTION("""COMPUTED_VALUE"""),"NUR AWWALIN AFIDATUSSOFA")</f>
        <v>NUR AWWALIN AFIDATUSSOFA</v>
      </c>
      <c r="C52" s="4">
        <f>IFERROR(__xludf.DUMMYFUNCTION("""COMPUTED_VALUE"""),2.024070518E9)</f>
        <v>2024070518</v>
      </c>
      <c r="D52" s="4" t="str">
        <f>IFERROR(__xludf.DUMMYFUNCTION("""COMPUTED_VALUE"""),"E")</f>
        <v>E</v>
      </c>
      <c r="E52" s="4" t="str">
        <f>IFERROR(__xludf.DUMMYFUNCTION("""COMPUTED_VALUE"""),"E-2")</f>
        <v>E-2</v>
      </c>
      <c r="F52" s="4">
        <f>IFERROR(__xludf.DUMMYFUNCTION("""COMPUTED_VALUE"""),3.0)</f>
        <v>3</v>
      </c>
      <c r="G52" s="4" t="str">
        <f>IFERROR(__xludf.DUMMYFUNCTION("""COMPUTED_VALUE"""),"3 ULA B PUTRI")</f>
        <v>3 ULA B PUTRI</v>
      </c>
      <c r="H52" s="4" t="str">
        <f>IFERROR(__xludf.DUMMYFUNCTION("""COMPUTED_VALUE"""),"6285746646918")</f>
        <v>6285746646918</v>
      </c>
      <c r="I52" s="5">
        <f>IFERROR(__xludf.DUMMYFUNCTION("""COMPUTED_VALUE"""),0.0)</f>
        <v>0</v>
      </c>
      <c r="J52" s="5">
        <f>IFERROR(__xludf.DUMMYFUNCTION("""COMPUTED_VALUE"""),500000.0)</f>
        <v>500000</v>
      </c>
      <c r="K52" s="5">
        <f>IFERROR(__xludf.DUMMYFUNCTION("""COMPUTED_VALUE"""),0.0)</f>
        <v>0</v>
      </c>
      <c r="L52" s="5">
        <f>IFERROR(__xludf.DUMMYFUNCTION("""COMPUTED_VALUE"""),500000.0)</f>
        <v>500000</v>
      </c>
      <c r="M52" s="14" t="str">
        <f t="shared" ref="M52:P52" si="53">text(I52,"Rp #,##0")</f>
        <v>Rp 0</v>
      </c>
      <c r="N52" s="14" t="str">
        <f t="shared" si="53"/>
        <v>Rp 500.000</v>
      </c>
      <c r="O52" s="14" t="str">
        <f t="shared" si="53"/>
        <v>Rp 0</v>
      </c>
      <c r="P52" s="14" t="str">
        <f t="shared" si="53"/>
        <v>Rp 500.000</v>
      </c>
      <c r="Q52" s="14" t="str">
        <f t="shared" si="4"/>
        <v>Syahriyah = Rp 0
Jariyah = Rp 500.000
Daftar Ulang = Rp 0
Total = Rp 500.000
______________________
ID : 2024070518</v>
      </c>
    </row>
    <row r="53">
      <c r="A53" s="18">
        <f t="shared" si="2"/>
        <v>52</v>
      </c>
      <c r="B53" s="4" t="str">
        <f>IFERROR(__xludf.DUMMYFUNCTION("""COMPUTED_VALUE"""),"NUR IZZAH SYAFIRAH")</f>
        <v>NUR IZZAH SYAFIRAH</v>
      </c>
      <c r="C53" s="4">
        <f>IFERROR(__xludf.DUMMYFUNCTION("""COMPUTED_VALUE"""),2.024070234E9)</f>
        <v>2024070234</v>
      </c>
      <c r="D53" s="4" t="str">
        <f>IFERROR(__xludf.DUMMYFUNCTION("""COMPUTED_VALUE"""),"C")</f>
        <v>C</v>
      </c>
      <c r="E53" s="4" t="str">
        <f>IFERROR(__xludf.DUMMYFUNCTION("""COMPUTED_VALUE"""),"C-9")</f>
        <v>C-9</v>
      </c>
      <c r="F53" s="4">
        <f>IFERROR(__xludf.DUMMYFUNCTION("""COMPUTED_VALUE"""),3.0)</f>
        <v>3</v>
      </c>
      <c r="G53" s="4" t="str">
        <f>IFERROR(__xludf.DUMMYFUNCTION("""COMPUTED_VALUE"""),"3 WUSTHO B PUTRI")</f>
        <v>3 WUSTHO B PUTRI</v>
      </c>
      <c r="H53" s="4" t="str">
        <f>IFERROR(__xludf.DUMMYFUNCTION("""COMPUTED_VALUE"""),"6288235840830")</f>
        <v>6288235840830</v>
      </c>
      <c r="I53" s="5">
        <f>IFERROR(__xludf.DUMMYFUNCTION("""COMPUTED_VALUE"""),0.0)</f>
        <v>0</v>
      </c>
      <c r="J53" s="5">
        <f>IFERROR(__xludf.DUMMYFUNCTION("""COMPUTED_VALUE"""),500000.0)</f>
        <v>500000</v>
      </c>
      <c r="K53" s="5">
        <f>IFERROR(__xludf.DUMMYFUNCTION("""COMPUTED_VALUE"""),0.0)</f>
        <v>0</v>
      </c>
      <c r="L53" s="5">
        <f>IFERROR(__xludf.DUMMYFUNCTION("""COMPUTED_VALUE"""),500000.0)</f>
        <v>500000</v>
      </c>
      <c r="M53" s="14" t="str">
        <f t="shared" ref="M53:P53" si="54">text(I53,"Rp #,##0")</f>
        <v>Rp 0</v>
      </c>
      <c r="N53" s="14" t="str">
        <f t="shared" si="54"/>
        <v>Rp 500.000</v>
      </c>
      <c r="O53" s="14" t="str">
        <f t="shared" si="54"/>
        <v>Rp 0</v>
      </c>
      <c r="P53" s="14" t="str">
        <f t="shared" si="54"/>
        <v>Rp 500.000</v>
      </c>
      <c r="Q53" s="14" t="str">
        <f t="shared" si="4"/>
        <v>Syahriyah = Rp 0
Jariyah = Rp 500.000
Daftar Ulang = Rp 0
Total = Rp 500.000
______________________
ID : 2024070234</v>
      </c>
    </row>
    <row r="54">
      <c r="A54" s="18">
        <f t="shared" si="2"/>
        <v>53</v>
      </c>
      <c r="B54" s="4" t="str">
        <f>IFERROR(__xludf.DUMMYFUNCTION("""COMPUTED_VALUE"""),"NUR MA`RIFAH")</f>
        <v>NUR MA`RIFAH</v>
      </c>
      <c r="C54" s="4">
        <f>IFERROR(__xludf.DUMMYFUNCTION("""COMPUTED_VALUE"""),2.024070578E9)</f>
        <v>2024070578</v>
      </c>
      <c r="D54" s="4" t="str">
        <f>IFERROR(__xludf.DUMMYFUNCTION("""COMPUTED_VALUE"""),"B")</f>
        <v>B</v>
      </c>
      <c r="E54" s="4" t="str">
        <f>IFERROR(__xludf.DUMMYFUNCTION("""COMPUTED_VALUE"""),"B-9")</f>
        <v>B-9</v>
      </c>
      <c r="F54" s="4">
        <f>IFERROR(__xludf.DUMMYFUNCTION("""COMPUTED_VALUE"""),3.0)</f>
        <v>3</v>
      </c>
      <c r="G54" s="4" t="str">
        <f>IFERROR(__xludf.DUMMYFUNCTION("""COMPUTED_VALUE"""),"3 ULA B PUTRI")</f>
        <v>3 ULA B PUTRI</v>
      </c>
      <c r="H54" s="4" t="str">
        <f>IFERROR(__xludf.DUMMYFUNCTION("""COMPUTED_VALUE"""),"6285730196160")</f>
        <v>6285730196160</v>
      </c>
      <c r="I54" s="5">
        <f>IFERROR(__xludf.DUMMYFUNCTION("""COMPUTED_VALUE"""),0.0)</f>
        <v>0</v>
      </c>
      <c r="J54" s="5">
        <f>IFERROR(__xludf.DUMMYFUNCTION("""COMPUTED_VALUE"""),500000.0)</f>
        <v>500000</v>
      </c>
      <c r="K54" s="5">
        <f>IFERROR(__xludf.DUMMYFUNCTION("""COMPUTED_VALUE"""),0.0)</f>
        <v>0</v>
      </c>
      <c r="L54" s="5">
        <f>IFERROR(__xludf.DUMMYFUNCTION("""COMPUTED_VALUE"""),500000.0)</f>
        <v>500000</v>
      </c>
      <c r="M54" s="14" t="str">
        <f t="shared" ref="M54:P54" si="55">text(I54,"Rp #,##0")</f>
        <v>Rp 0</v>
      </c>
      <c r="N54" s="14" t="str">
        <f t="shared" si="55"/>
        <v>Rp 500.000</v>
      </c>
      <c r="O54" s="14" t="str">
        <f t="shared" si="55"/>
        <v>Rp 0</v>
      </c>
      <c r="P54" s="14" t="str">
        <f t="shared" si="55"/>
        <v>Rp 500.000</v>
      </c>
      <c r="Q54" s="14" t="str">
        <f t="shared" si="4"/>
        <v>Syahriyah = Rp 0
Jariyah = Rp 500.000
Daftar Ulang = Rp 0
Total = Rp 500.000
______________________
ID : 2024070578</v>
      </c>
    </row>
    <row r="55">
      <c r="A55" s="18">
        <f t="shared" si="2"/>
        <v>54</v>
      </c>
      <c r="B55" s="4" t="str">
        <f>IFERROR(__xludf.DUMMYFUNCTION("""COMPUTED_VALUE"""),"NUR RIZKI FEBRIAN WAHYU PUTRA")</f>
        <v>NUR RIZKI FEBRIAN WAHYU PUTRA</v>
      </c>
      <c r="C55" s="4">
        <f>IFERROR(__xludf.DUMMYFUNCTION("""COMPUTED_VALUE"""),2.024070516E9)</f>
        <v>2024070516</v>
      </c>
      <c r="D55" s="4" t="str">
        <f>IFERROR(__xludf.DUMMYFUNCTION("""COMPUTED_VALUE"""),"A")</f>
        <v>A</v>
      </c>
      <c r="E55" s="4" t="str">
        <f>IFERROR(__xludf.DUMMYFUNCTION("""COMPUTED_VALUE"""),"A-8")</f>
        <v>A-8</v>
      </c>
      <c r="F55" s="4">
        <f>IFERROR(__xludf.DUMMYFUNCTION("""COMPUTED_VALUE"""),3.0)</f>
        <v>3</v>
      </c>
      <c r="G55" s="4" t="str">
        <f>IFERROR(__xludf.DUMMYFUNCTION("""COMPUTED_VALUE"""),"3 ULA A PUTRA")</f>
        <v>3 ULA A PUTRA</v>
      </c>
      <c r="H55" s="4" t="str">
        <f>IFERROR(__xludf.DUMMYFUNCTION("""COMPUTED_VALUE"""),"6285546527780")</f>
        <v>6285546527780</v>
      </c>
      <c r="I55" s="5">
        <f>IFERROR(__xludf.DUMMYFUNCTION("""COMPUTED_VALUE"""),0.0)</f>
        <v>0</v>
      </c>
      <c r="J55" s="5">
        <f>IFERROR(__xludf.DUMMYFUNCTION("""COMPUTED_VALUE"""),500000.0)</f>
        <v>500000</v>
      </c>
      <c r="K55" s="5">
        <f>IFERROR(__xludf.DUMMYFUNCTION("""COMPUTED_VALUE"""),0.0)</f>
        <v>0</v>
      </c>
      <c r="L55" s="5">
        <f>IFERROR(__xludf.DUMMYFUNCTION("""COMPUTED_VALUE"""),500000.0)</f>
        <v>500000</v>
      </c>
      <c r="M55" s="14" t="str">
        <f t="shared" ref="M55:P55" si="56">text(I55,"Rp #,##0")</f>
        <v>Rp 0</v>
      </c>
      <c r="N55" s="14" t="str">
        <f t="shared" si="56"/>
        <v>Rp 500.000</v>
      </c>
      <c r="O55" s="14" t="str">
        <f t="shared" si="56"/>
        <v>Rp 0</v>
      </c>
      <c r="P55" s="14" t="str">
        <f t="shared" si="56"/>
        <v>Rp 500.000</v>
      </c>
      <c r="Q55" s="14" t="str">
        <f t="shared" si="4"/>
        <v>Syahriyah = Rp 0
Jariyah = Rp 500.000
Daftar Ulang = Rp 0
Total = Rp 500.000
______________________
ID : 2024070516</v>
      </c>
    </row>
    <row r="56">
      <c r="A56" s="18">
        <f t="shared" si="2"/>
        <v>55</v>
      </c>
      <c r="B56" s="4" t="str">
        <f>IFERROR(__xludf.DUMMYFUNCTION("""COMPUTED_VALUE"""),"NURUN NAJWA ARROHMANIYAH")</f>
        <v>NURUN NAJWA ARROHMANIYAH</v>
      </c>
      <c r="C56" s="4">
        <f>IFERROR(__xludf.DUMMYFUNCTION("""COMPUTED_VALUE"""),2.024070119E9)</f>
        <v>2024070119</v>
      </c>
      <c r="D56" s="4" t="str">
        <f>IFERROR(__xludf.DUMMYFUNCTION("""COMPUTED_VALUE"""),"C")</f>
        <v>C</v>
      </c>
      <c r="E56" s="4" t="str">
        <f>IFERROR(__xludf.DUMMYFUNCTION("""COMPUTED_VALUE"""),"C-8")</f>
        <v>C-8</v>
      </c>
      <c r="F56" s="4">
        <f>IFERROR(__xludf.DUMMYFUNCTION("""COMPUTED_VALUE"""),3.0)</f>
        <v>3</v>
      </c>
      <c r="G56" s="4"/>
      <c r="H56" s="4" t="str">
        <f>IFERROR(__xludf.DUMMYFUNCTION("""COMPUTED_VALUE"""),"6285731338909")</f>
        <v>6285731338909</v>
      </c>
      <c r="I56" s="5">
        <f>IFERROR(__xludf.DUMMYFUNCTION("""COMPUTED_VALUE"""),0.0)</f>
        <v>0</v>
      </c>
      <c r="J56" s="5">
        <f>IFERROR(__xludf.DUMMYFUNCTION("""COMPUTED_VALUE"""),500000.0)</f>
        <v>500000</v>
      </c>
      <c r="K56" s="5">
        <f>IFERROR(__xludf.DUMMYFUNCTION("""COMPUTED_VALUE"""),0.0)</f>
        <v>0</v>
      </c>
      <c r="L56" s="5">
        <f>IFERROR(__xludf.DUMMYFUNCTION("""COMPUTED_VALUE"""),500000.0)</f>
        <v>500000</v>
      </c>
      <c r="M56" s="14" t="str">
        <f t="shared" ref="M56:P56" si="57">text(I56,"Rp #,##0")</f>
        <v>Rp 0</v>
      </c>
      <c r="N56" s="14" t="str">
        <f t="shared" si="57"/>
        <v>Rp 500.000</v>
      </c>
      <c r="O56" s="14" t="str">
        <f t="shared" si="57"/>
        <v>Rp 0</v>
      </c>
      <c r="P56" s="14" t="str">
        <f t="shared" si="57"/>
        <v>Rp 500.000</v>
      </c>
      <c r="Q56" s="14" t="str">
        <f t="shared" si="4"/>
        <v>Syahriyah = Rp 0
Jariyah = Rp 500.000
Daftar Ulang = Rp 0
Total = Rp 500.000
______________________
ID : 2024070119</v>
      </c>
    </row>
    <row r="57">
      <c r="A57" s="18">
        <f t="shared" si="2"/>
        <v>56</v>
      </c>
      <c r="B57" s="4" t="str">
        <f>IFERROR(__xludf.DUMMYFUNCTION("""COMPUTED_VALUE"""),"RHEISYA BRILIANT OKTAVIANI")</f>
        <v>RHEISYA BRILIANT OKTAVIANI</v>
      </c>
      <c r="C57" s="4">
        <f>IFERROR(__xludf.DUMMYFUNCTION("""COMPUTED_VALUE"""),2.024070536E9)</f>
        <v>2024070536</v>
      </c>
      <c r="D57" s="4" t="str">
        <f>IFERROR(__xludf.DUMMYFUNCTION("""COMPUTED_VALUE"""),"E")</f>
        <v>E</v>
      </c>
      <c r="E57" s="4" t="str">
        <f>IFERROR(__xludf.DUMMYFUNCTION("""COMPUTED_VALUE"""),"E-9")</f>
        <v>E-9</v>
      </c>
      <c r="F57" s="4">
        <f>IFERROR(__xludf.DUMMYFUNCTION("""COMPUTED_VALUE"""),3.0)</f>
        <v>3</v>
      </c>
      <c r="G57" s="4" t="str">
        <f>IFERROR(__xludf.DUMMYFUNCTION("""COMPUTED_VALUE"""),"3 ULA C PUTRI")</f>
        <v>3 ULA C PUTRI</v>
      </c>
      <c r="H57" s="4" t="str">
        <f>IFERROR(__xludf.DUMMYFUNCTION("""COMPUTED_VALUE"""),"6289535203055")</f>
        <v>6289535203055</v>
      </c>
      <c r="I57" s="5">
        <f>IFERROR(__xludf.DUMMYFUNCTION("""COMPUTED_VALUE"""),0.0)</f>
        <v>0</v>
      </c>
      <c r="J57" s="5">
        <f>IFERROR(__xludf.DUMMYFUNCTION("""COMPUTED_VALUE"""),500000.0)</f>
        <v>500000</v>
      </c>
      <c r="K57" s="5">
        <f>IFERROR(__xludf.DUMMYFUNCTION("""COMPUTED_VALUE"""),0.0)</f>
        <v>0</v>
      </c>
      <c r="L57" s="5">
        <f>IFERROR(__xludf.DUMMYFUNCTION("""COMPUTED_VALUE"""),500000.0)</f>
        <v>500000</v>
      </c>
      <c r="M57" s="14" t="str">
        <f t="shared" ref="M57:P57" si="58">text(I57,"Rp #,##0")</f>
        <v>Rp 0</v>
      </c>
      <c r="N57" s="14" t="str">
        <f t="shared" si="58"/>
        <v>Rp 500.000</v>
      </c>
      <c r="O57" s="14" t="str">
        <f t="shared" si="58"/>
        <v>Rp 0</v>
      </c>
      <c r="P57" s="14" t="str">
        <f t="shared" si="58"/>
        <v>Rp 500.000</v>
      </c>
      <c r="Q57" s="14" t="str">
        <f t="shared" si="4"/>
        <v>Syahriyah = Rp 0
Jariyah = Rp 500.000
Daftar Ulang = Rp 0
Total = Rp 500.000
______________________
ID : 2024070536</v>
      </c>
    </row>
    <row r="58">
      <c r="A58" s="18">
        <f t="shared" si="2"/>
        <v>57</v>
      </c>
      <c r="B58" s="4" t="str">
        <f>IFERROR(__xludf.DUMMYFUNCTION("""COMPUTED_VALUE"""),"RIZATUL ZAMIRA ATMAJA")</f>
        <v>RIZATUL ZAMIRA ATMAJA</v>
      </c>
      <c r="C58" s="4">
        <f>IFERROR(__xludf.DUMMYFUNCTION("""COMPUTED_VALUE"""),2.024070493E9)</f>
        <v>2024070493</v>
      </c>
      <c r="D58" s="4" t="str">
        <f>IFERROR(__xludf.DUMMYFUNCTION("""COMPUTED_VALUE"""),"C")</f>
        <v>C</v>
      </c>
      <c r="E58" s="4" t="str">
        <f>IFERROR(__xludf.DUMMYFUNCTION("""COMPUTED_VALUE"""),"C-13")</f>
        <v>C-13</v>
      </c>
      <c r="F58" s="4">
        <f>IFERROR(__xludf.DUMMYFUNCTION("""COMPUTED_VALUE"""),3.0)</f>
        <v>3</v>
      </c>
      <c r="G58" s="4" t="str">
        <f>IFERROR(__xludf.DUMMYFUNCTION("""COMPUTED_VALUE"""),"3 ULA C PUTRI")</f>
        <v>3 ULA C PUTRI</v>
      </c>
      <c r="H58" s="4" t="str">
        <f>IFERROR(__xludf.DUMMYFUNCTION("""COMPUTED_VALUE"""),"6285234346480")</f>
        <v>6285234346480</v>
      </c>
      <c r="I58" s="5">
        <f>IFERROR(__xludf.DUMMYFUNCTION("""COMPUTED_VALUE"""),0.0)</f>
        <v>0</v>
      </c>
      <c r="J58" s="5">
        <f>IFERROR(__xludf.DUMMYFUNCTION("""COMPUTED_VALUE"""),500000.0)</f>
        <v>500000</v>
      </c>
      <c r="K58" s="5">
        <f>IFERROR(__xludf.DUMMYFUNCTION("""COMPUTED_VALUE"""),0.0)</f>
        <v>0</v>
      </c>
      <c r="L58" s="5">
        <f>IFERROR(__xludf.DUMMYFUNCTION("""COMPUTED_VALUE"""),500000.0)</f>
        <v>500000</v>
      </c>
      <c r="M58" s="14" t="str">
        <f t="shared" ref="M58:P58" si="59">text(I58,"Rp #,##0")</f>
        <v>Rp 0</v>
      </c>
      <c r="N58" s="14" t="str">
        <f t="shared" si="59"/>
        <v>Rp 500.000</v>
      </c>
      <c r="O58" s="14" t="str">
        <f t="shared" si="59"/>
        <v>Rp 0</v>
      </c>
      <c r="P58" s="14" t="str">
        <f t="shared" si="59"/>
        <v>Rp 500.000</v>
      </c>
      <c r="Q58" s="14" t="str">
        <f t="shared" si="4"/>
        <v>Syahriyah = Rp 0
Jariyah = Rp 500.000
Daftar Ulang = Rp 0
Total = Rp 500.000
______________________
ID : 2024070493</v>
      </c>
    </row>
    <row r="59">
      <c r="A59" s="18">
        <f t="shared" si="2"/>
        <v>58</v>
      </c>
      <c r="B59" s="4" t="str">
        <f>IFERROR(__xludf.DUMMYFUNCTION("""COMPUTED_VALUE"""),"SELLY NOVI ANDINI")</f>
        <v>SELLY NOVI ANDINI</v>
      </c>
      <c r="C59" s="4">
        <f>IFERROR(__xludf.DUMMYFUNCTION("""COMPUTED_VALUE"""),2.024070727E9)</f>
        <v>2024070727</v>
      </c>
      <c r="D59" s="4" t="str">
        <f>IFERROR(__xludf.DUMMYFUNCTION("""COMPUTED_VALUE"""),"B")</f>
        <v>B</v>
      </c>
      <c r="E59" s="4" t="str">
        <f>IFERROR(__xludf.DUMMYFUNCTION("""COMPUTED_VALUE"""),"B-10")</f>
        <v>B-10</v>
      </c>
      <c r="F59" s="4">
        <f>IFERROR(__xludf.DUMMYFUNCTION("""COMPUTED_VALUE"""),3.0)</f>
        <v>3</v>
      </c>
      <c r="G59" s="4" t="str">
        <f>IFERROR(__xludf.DUMMYFUNCTION("""COMPUTED_VALUE"""),"3 ULA A PUTRI")</f>
        <v>3 ULA A PUTRI</v>
      </c>
      <c r="H59" s="4" t="str">
        <f>IFERROR(__xludf.DUMMYFUNCTION("""COMPUTED_VALUE"""),"6285788313508")</f>
        <v>6285788313508</v>
      </c>
      <c r="I59" s="5">
        <f>IFERROR(__xludf.DUMMYFUNCTION("""COMPUTED_VALUE"""),0.0)</f>
        <v>0</v>
      </c>
      <c r="J59" s="5">
        <f>IFERROR(__xludf.DUMMYFUNCTION("""COMPUTED_VALUE"""),500000.0)</f>
        <v>500000</v>
      </c>
      <c r="K59" s="5">
        <f>IFERROR(__xludf.DUMMYFUNCTION("""COMPUTED_VALUE"""),0.0)</f>
        <v>0</v>
      </c>
      <c r="L59" s="5">
        <f>IFERROR(__xludf.DUMMYFUNCTION("""COMPUTED_VALUE"""),500000.0)</f>
        <v>500000</v>
      </c>
      <c r="M59" s="14" t="str">
        <f t="shared" ref="M59:P59" si="60">text(I59,"Rp #,##0")</f>
        <v>Rp 0</v>
      </c>
      <c r="N59" s="14" t="str">
        <f t="shared" si="60"/>
        <v>Rp 500.000</v>
      </c>
      <c r="O59" s="14" t="str">
        <f t="shared" si="60"/>
        <v>Rp 0</v>
      </c>
      <c r="P59" s="14" t="str">
        <f t="shared" si="60"/>
        <v>Rp 500.000</v>
      </c>
      <c r="Q59" s="14" t="str">
        <f t="shared" si="4"/>
        <v>Syahriyah = Rp 0
Jariyah = Rp 500.000
Daftar Ulang = Rp 0
Total = Rp 500.000
______________________
ID : 2024070727</v>
      </c>
    </row>
    <row r="60">
      <c r="A60" s="18">
        <f t="shared" si="2"/>
        <v>59</v>
      </c>
      <c r="B60" s="4" t="str">
        <f>IFERROR(__xludf.DUMMYFUNCTION("""COMPUTED_VALUE"""),"AHMAD AGUS JAZULI IRFAN")</f>
        <v>AHMAD AGUS JAZULI IRFAN</v>
      </c>
      <c r="C60" s="4">
        <f>IFERROR(__xludf.DUMMYFUNCTION("""COMPUTED_VALUE"""),2.024070719E9)</f>
        <v>2024070719</v>
      </c>
      <c r="D60" s="4" t="str">
        <f>IFERROR(__xludf.DUMMYFUNCTION("""COMPUTED_VALUE"""),"A")</f>
        <v>A</v>
      </c>
      <c r="E60" s="4" t="str">
        <f>IFERROR(__xludf.DUMMYFUNCTION("""COMPUTED_VALUE"""),"A-10")</f>
        <v>A-10</v>
      </c>
      <c r="F60" s="4">
        <f>IFERROR(__xludf.DUMMYFUNCTION("""COMPUTED_VALUE"""),3.0)</f>
        <v>3</v>
      </c>
      <c r="G60" s="4" t="str">
        <f>IFERROR(__xludf.DUMMYFUNCTION("""COMPUTED_VALUE"""),"3 WUSTHO PUTRA")</f>
        <v>3 WUSTHO PUTRA</v>
      </c>
      <c r="H60" s="4" t="str">
        <f>IFERROR(__xludf.DUMMYFUNCTION("""COMPUTED_VALUE"""),"6285648607075")</f>
        <v>6285648607075</v>
      </c>
      <c r="I60" s="5">
        <f>IFERROR(__xludf.DUMMYFUNCTION("""COMPUTED_VALUE"""),900000.0)</f>
        <v>900000</v>
      </c>
      <c r="J60" s="5">
        <f>IFERROR(__xludf.DUMMYFUNCTION("""COMPUTED_VALUE"""),0.0)</f>
        <v>0</v>
      </c>
      <c r="K60" s="5">
        <f>IFERROR(__xludf.DUMMYFUNCTION("""COMPUTED_VALUE"""),0.0)</f>
        <v>0</v>
      </c>
      <c r="L60" s="5">
        <f>IFERROR(__xludf.DUMMYFUNCTION("""COMPUTED_VALUE"""),900000.0)</f>
        <v>900000</v>
      </c>
      <c r="M60" s="14" t="str">
        <f t="shared" ref="M60:P60" si="61">text(I60,"Rp #,##0")</f>
        <v>Rp 900.000</v>
      </c>
      <c r="N60" s="14" t="str">
        <f t="shared" si="61"/>
        <v>Rp 0</v>
      </c>
      <c r="O60" s="14" t="str">
        <f t="shared" si="61"/>
        <v>Rp 0</v>
      </c>
      <c r="P60" s="14" t="str">
        <f t="shared" si="61"/>
        <v>Rp 900.000</v>
      </c>
      <c r="Q60" s="14" t="str">
        <f t="shared" si="4"/>
        <v>Syahriyah = Rp 900.000
Jariyah = Rp 0
Daftar Ulang = Rp 0
Total = Rp 900.000
______________________
ID : 2024070719</v>
      </c>
    </row>
    <row r="61">
      <c r="A61" s="18">
        <f t="shared" si="2"/>
        <v>60</v>
      </c>
      <c r="B61" s="4" t="str">
        <f>IFERROR(__xludf.DUMMYFUNCTION("""COMPUTED_VALUE"""),"BELLA KAMALIA AISYI")</f>
        <v>BELLA KAMALIA AISYI</v>
      </c>
      <c r="C61" s="4">
        <f>IFERROR(__xludf.DUMMYFUNCTION("""COMPUTED_VALUE"""),2.024070595E9)</f>
        <v>2024070595</v>
      </c>
      <c r="D61" s="4" t="str">
        <f>IFERROR(__xludf.DUMMYFUNCTION("""COMPUTED_VALUE"""),"D")</f>
        <v>D</v>
      </c>
      <c r="E61" s="4" t="str">
        <f>IFERROR(__xludf.DUMMYFUNCTION("""COMPUTED_VALUE"""),"D-4")</f>
        <v>D-4</v>
      </c>
      <c r="F61" s="4">
        <f>IFERROR(__xludf.DUMMYFUNCTION("""COMPUTED_VALUE"""),3.0)</f>
        <v>3</v>
      </c>
      <c r="G61" s="4" t="str">
        <f>IFERROR(__xludf.DUMMYFUNCTION("""COMPUTED_VALUE"""),"3 ULA A PUTRI")</f>
        <v>3 ULA A PUTRI</v>
      </c>
      <c r="H61" s="4" t="str">
        <f>IFERROR(__xludf.DUMMYFUNCTION("""COMPUTED_VALUE"""),"6281555999169")</f>
        <v>6281555999169</v>
      </c>
      <c r="I61" s="5">
        <f>IFERROR(__xludf.DUMMYFUNCTION("""COMPUTED_VALUE"""),900000.0)</f>
        <v>900000</v>
      </c>
      <c r="J61" s="5">
        <f>IFERROR(__xludf.DUMMYFUNCTION("""COMPUTED_VALUE"""),0.0)</f>
        <v>0</v>
      </c>
      <c r="K61" s="5">
        <f>IFERROR(__xludf.DUMMYFUNCTION("""COMPUTED_VALUE"""),0.0)</f>
        <v>0</v>
      </c>
      <c r="L61" s="5">
        <f>IFERROR(__xludf.DUMMYFUNCTION("""COMPUTED_VALUE"""),900000.0)</f>
        <v>900000</v>
      </c>
      <c r="M61" s="14" t="str">
        <f t="shared" ref="M61:P61" si="62">text(I61,"Rp #,##0")</f>
        <v>Rp 900.000</v>
      </c>
      <c r="N61" s="14" t="str">
        <f t="shared" si="62"/>
        <v>Rp 0</v>
      </c>
      <c r="O61" s="14" t="str">
        <f t="shared" si="62"/>
        <v>Rp 0</v>
      </c>
      <c r="P61" s="14" t="str">
        <f t="shared" si="62"/>
        <v>Rp 900.000</v>
      </c>
      <c r="Q61" s="14" t="str">
        <f t="shared" si="4"/>
        <v>Syahriyah = Rp 900.000
Jariyah = Rp 0
Daftar Ulang = Rp 0
Total = Rp 900.000
______________________
ID : 2024070595</v>
      </c>
    </row>
    <row r="62">
      <c r="A62" s="18">
        <f t="shared" si="2"/>
        <v>61</v>
      </c>
      <c r="B62" s="4" t="str">
        <f>IFERROR(__xludf.DUMMYFUNCTION("""COMPUTED_VALUE"""),"DZULFIKAR KEIMAL ALAWY")</f>
        <v>DZULFIKAR KEIMAL ALAWY</v>
      </c>
      <c r="C62" s="4">
        <f>IFERROR(__xludf.DUMMYFUNCTION("""COMPUTED_VALUE"""),2.025070661E9)</f>
        <v>2025070661</v>
      </c>
      <c r="D62" s="4" t="str">
        <f>IFERROR(__xludf.DUMMYFUNCTION("""COMPUTED_VALUE"""),"A")</f>
        <v>A</v>
      </c>
      <c r="E62" s="4" t="str">
        <f>IFERROR(__xludf.DUMMYFUNCTION("""COMPUTED_VALUE"""),"A-10")</f>
        <v>A-10</v>
      </c>
      <c r="F62" s="4">
        <f>IFERROR(__xludf.DUMMYFUNCTION("""COMPUTED_VALUE"""),3.0)</f>
        <v>3</v>
      </c>
      <c r="G62" s="4" t="str">
        <f>IFERROR(__xludf.DUMMYFUNCTION("""COMPUTED_VALUE"""),"3 ULA A PUTRA")</f>
        <v>3 ULA A PUTRA</v>
      </c>
      <c r="H62" s="4" t="str">
        <f>IFERROR(__xludf.DUMMYFUNCTION("""COMPUTED_VALUE"""),"6285738157018")</f>
        <v>6285738157018</v>
      </c>
      <c r="I62" s="5">
        <f>IFERROR(__xludf.DUMMYFUNCTION("""COMPUTED_VALUE"""),900000.0)</f>
        <v>900000</v>
      </c>
      <c r="J62" s="5">
        <f>IFERROR(__xludf.DUMMYFUNCTION("""COMPUTED_VALUE"""),0.0)</f>
        <v>0</v>
      </c>
      <c r="K62" s="5">
        <f>IFERROR(__xludf.DUMMYFUNCTION("""COMPUTED_VALUE"""),0.0)</f>
        <v>0</v>
      </c>
      <c r="L62" s="5">
        <f>IFERROR(__xludf.DUMMYFUNCTION("""COMPUTED_VALUE"""),900000.0)</f>
        <v>900000</v>
      </c>
      <c r="M62" s="14" t="str">
        <f t="shared" ref="M62:P62" si="63">text(I62,"Rp #,##0")</f>
        <v>Rp 900.000</v>
      </c>
      <c r="N62" s="14" t="str">
        <f t="shared" si="63"/>
        <v>Rp 0</v>
      </c>
      <c r="O62" s="14" t="str">
        <f t="shared" si="63"/>
        <v>Rp 0</v>
      </c>
      <c r="P62" s="14" t="str">
        <f t="shared" si="63"/>
        <v>Rp 900.000</v>
      </c>
      <c r="Q62" s="14" t="str">
        <f t="shared" si="4"/>
        <v>Syahriyah = Rp 900.000
Jariyah = Rp 0
Daftar Ulang = Rp 0
Total = Rp 900.000
______________________
ID : 2025070661</v>
      </c>
    </row>
    <row r="63">
      <c r="A63" s="18">
        <f t="shared" si="2"/>
        <v>62</v>
      </c>
      <c r="B63" s="4" t="str">
        <f>IFERROR(__xludf.DUMMYFUNCTION("""COMPUTED_VALUE"""),"FAIQOTU NABILA")</f>
        <v>FAIQOTU NABILA</v>
      </c>
      <c r="C63" s="4">
        <f>IFERROR(__xludf.DUMMYFUNCTION("""COMPUTED_VALUE"""),2.024070346E9)</f>
        <v>2024070346</v>
      </c>
      <c r="D63" s="4" t="str">
        <f>IFERROR(__xludf.DUMMYFUNCTION("""COMPUTED_VALUE"""),"C")</f>
        <v>C</v>
      </c>
      <c r="E63" s="4" t="str">
        <f>IFERROR(__xludf.DUMMYFUNCTION("""COMPUTED_VALUE"""),"C-9")</f>
        <v>C-9</v>
      </c>
      <c r="F63" s="4">
        <f>IFERROR(__xludf.DUMMYFUNCTION("""COMPUTED_VALUE"""),3.0)</f>
        <v>3</v>
      </c>
      <c r="G63" s="4"/>
      <c r="H63" s="4" t="str">
        <f>IFERROR(__xludf.DUMMYFUNCTION("""COMPUTED_VALUE"""),"6285791219990")</f>
        <v>6285791219990</v>
      </c>
      <c r="I63" s="5">
        <f>IFERROR(__xludf.DUMMYFUNCTION("""COMPUTED_VALUE"""),900000.0)</f>
        <v>900000</v>
      </c>
      <c r="J63" s="5">
        <f>IFERROR(__xludf.DUMMYFUNCTION("""COMPUTED_VALUE"""),0.0)</f>
        <v>0</v>
      </c>
      <c r="K63" s="5">
        <f>IFERROR(__xludf.DUMMYFUNCTION("""COMPUTED_VALUE"""),0.0)</f>
        <v>0</v>
      </c>
      <c r="L63" s="5">
        <f>IFERROR(__xludf.DUMMYFUNCTION("""COMPUTED_VALUE"""),900000.0)</f>
        <v>900000</v>
      </c>
      <c r="M63" s="14" t="str">
        <f t="shared" ref="M63:P63" si="64">text(I63,"Rp #,##0")</f>
        <v>Rp 900.000</v>
      </c>
      <c r="N63" s="14" t="str">
        <f t="shared" si="64"/>
        <v>Rp 0</v>
      </c>
      <c r="O63" s="14" t="str">
        <f t="shared" si="64"/>
        <v>Rp 0</v>
      </c>
      <c r="P63" s="14" t="str">
        <f t="shared" si="64"/>
        <v>Rp 900.000</v>
      </c>
      <c r="Q63" s="14" t="str">
        <f t="shared" si="4"/>
        <v>Syahriyah = Rp 900.000
Jariyah = Rp 0
Daftar Ulang = Rp 0
Total = Rp 900.000
______________________
ID : 2024070346</v>
      </c>
    </row>
    <row r="64">
      <c r="A64" s="18">
        <f t="shared" si="2"/>
        <v>63</v>
      </c>
      <c r="B64" s="4" t="str">
        <f>IFERROR(__xludf.DUMMYFUNCTION("""COMPUTED_VALUE"""),"ISMAUL HUSNAH")</f>
        <v>ISMAUL HUSNAH</v>
      </c>
      <c r="C64" s="4">
        <f>IFERROR(__xludf.DUMMYFUNCTION("""COMPUTED_VALUE"""),2.024070704E9)</f>
        <v>2024070704</v>
      </c>
      <c r="D64" s="4" t="str">
        <f>IFERROR(__xludf.DUMMYFUNCTION("""COMPUTED_VALUE"""),"C")</f>
        <v>C</v>
      </c>
      <c r="E64" s="4" t="str">
        <f>IFERROR(__xludf.DUMMYFUNCTION("""COMPUTED_VALUE"""),"C-8")</f>
        <v>C-8</v>
      </c>
      <c r="F64" s="4">
        <f>IFERROR(__xludf.DUMMYFUNCTION("""COMPUTED_VALUE"""),3.0)</f>
        <v>3</v>
      </c>
      <c r="G64" s="4" t="str">
        <f>IFERROR(__xludf.DUMMYFUNCTION("""COMPUTED_VALUE"""),"3 WUSTHO A PUTRI")</f>
        <v>3 WUSTHO A PUTRI</v>
      </c>
      <c r="H64" s="4" t="str">
        <f>IFERROR(__xludf.DUMMYFUNCTION("""COMPUTED_VALUE"""),"6285604656734")</f>
        <v>6285604656734</v>
      </c>
      <c r="I64" s="5">
        <f>IFERROR(__xludf.DUMMYFUNCTION("""COMPUTED_VALUE"""),900000.0)</f>
        <v>900000</v>
      </c>
      <c r="J64" s="5">
        <f>IFERROR(__xludf.DUMMYFUNCTION("""COMPUTED_VALUE"""),0.0)</f>
        <v>0</v>
      </c>
      <c r="K64" s="5">
        <f>IFERROR(__xludf.DUMMYFUNCTION("""COMPUTED_VALUE"""),0.0)</f>
        <v>0</v>
      </c>
      <c r="L64" s="5">
        <f>IFERROR(__xludf.DUMMYFUNCTION("""COMPUTED_VALUE"""),900000.0)</f>
        <v>900000</v>
      </c>
      <c r="M64" s="14" t="str">
        <f t="shared" ref="M64:P64" si="65">text(I64,"Rp #,##0")</f>
        <v>Rp 900.000</v>
      </c>
      <c r="N64" s="14" t="str">
        <f t="shared" si="65"/>
        <v>Rp 0</v>
      </c>
      <c r="O64" s="14" t="str">
        <f t="shared" si="65"/>
        <v>Rp 0</v>
      </c>
      <c r="P64" s="14" t="str">
        <f t="shared" si="65"/>
        <v>Rp 900.000</v>
      </c>
      <c r="Q64" s="14" t="str">
        <f t="shared" si="4"/>
        <v>Syahriyah = Rp 900.000
Jariyah = Rp 0
Daftar Ulang = Rp 0
Total = Rp 900.000
______________________
ID : 2024070704</v>
      </c>
    </row>
    <row r="65">
      <c r="A65" s="18">
        <f t="shared" si="2"/>
        <v>64</v>
      </c>
      <c r="B65" s="4" t="str">
        <f>IFERROR(__xludf.DUMMYFUNCTION("""COMPUTED_VALUE"""),"MEIRZA TRISNA DWI ANDINI")</f>
        <v>MEIRZA TRISNA DWI ANDINI</v>
      </c>
      <c r="C65" s="4">
        <f>IFERROR(__xludf.DUMMYFUNCTION("""COMPUTED_VALUE"""),2.024070732E9)</f>
        <v>2024070732</v>
      </c>
      <c r="D65" s="4" t="str">
        <f>IFERROR(__xludf.DUMMYFUNCTION("""COMPUTED_VALUE"""),"C")</f>
        <v>C</v>
      </c>
      <c r="E65" s="4" t="str">
        <f>IFERROR(__xludf.DUMMYFUNCTION("""COMPUTED_VALUE"""),"C-3")</f>
        <v>C-3</v>
      </c>
      <c r="F65" s="4">
        <f>IFERROR(__xludf.DUMMYFUNCTION("""COMPUTED_VALUE"""),3.0)</f>
        <v>3</v>
      </c>
      <c r="G65" s="4" t="str">
        <f>IFERROR(__xludf.DUMMYFUNCTION("""COMPUTED_VALUE"""),"3 ULA C PUTRI")</f>
        <v>3 ULA C PUTRI</v>
      </c>
      <c r="H65" s="4" t="str">
        <f>IFERROR(__xludf.DUMMYFUNCTION("""COMPUTED_VALUE"""),"6285815031286")</f>
        <v>6285815031286</v>
      </c>
      <c r="I65" s="5">
        <f>IFERROR(__xludf.DUMMYFUNCTION("""COMPUTED_VALUE"""),900000.0)</f>
        <v>900000</v>
      </c>
      <c r="J65" s="5">
        <f>IFERROR(__xludf.DUMMYFUNCTION("""COMPUTED_VALUE"""),0.0)</f>
        <v>0</v>
      </c>
      <c r="K65" s="5">
        <f>IFERROR(__xludf.DUMMYFUNCTION("""COMPUTED_VALUE"""),0.0)</f>
        <v>0</v>
      </c>
      <c r="L65" s="5">
        <f>IFERROR(__xludf.DUMMYFUNCTION("""COMPUTED_VALUE"""),900000.0)</f>
        <v>900000</v>
      </c>
      <c r="M65" s="14" t="str">
        <f t="shared" ref="M65:P65" si="66">text(I65,"Rp #,##0")</f>
        <v>Rp 900.000</v>
      </c>
      <c r="N65" s="14" t="str">
        <f t="shared" si="66"/>
        <v>Rp 0</v>
      </c>
      <c r="O65" s="14" t="str">
        <f t="shared" si="66"/>
        <v>Rp 0</v>
      </c>
      <c r="P65" s="14" t="str">
        <f t="shared" si="66"/>
        <v>Rp 900.000</v>
      </c>
      <c r="Q65" s="14" t="str">
        <f t="shared" si="4"/>
        <v>Syahriyah = Rp 900.000
Jariyah = Rp 0
Daftar Ulang = Rp 0
Total = Rp 900.000
______________________
ID : 2024070732</v>
      </c>
    </row>
    <row r="66">
      <c r="A66" s="18">
        <f t="shared" si="2"/>
        <v>65</v>
      </c>
      <c r="B66" s="4" t="str">
        <f>IFERROR(__xludf.DUMMYFUNCTION("""COMPUTED_VALUE"""),"ALFIYAN NADA FIRDAUS")</f>
        <v>ALFIYAN NADA FIRDAUS</v>
      </c>
      <c r="C66" s="4">
        <f>IFERROR(__xludf.DUMMYFUNCTION("""COMPUTED_VALUE"""),2.024070566E9)</f>
        <v>2024070566</v>
      </c>
      <c r="D66" s="4" t="str">
        <f>IFERROR(__xludf.DUMMYFUNCTION("""COMPUTED_VALUE"""),"A")</f>
        <v>A</v>
      </c>
      <c r="E66" s="4" t="str">
        <f>IFERROR(__xludf.DUMMYFUNCTION("""COMPUTED_VALUE"""),"A-13")</f>
        <v>A-13</v>
      </c>
      <c r="F66" s="4">
        <f>IFERROR(__xludf.DUMMYFUNCTION("""COMPUTED_VALUE"""),3.0)</f>
        <v>3</v>
      </c>
      <c r="G66" s="4"/>
      <c r="H66" s="4" t="str">
        <f>IFERROR(__xludf.DUMMYFUNCTION("""COMPUTED_VALUE"""),"6285733111734")</f>
        <v>6285733111734</v>
      </c>
      <c r="I66" s="5">
        <f>IFERROR(__xludf.DUMMYFUNCTION("""COMPUTED_VALUE"""),410000.0)</f>
        <v>410000</v>
      </c>
      <c r="J66" s="5">
        <f>IFERROR(__xludf.DUMMYFUNCTION("""COMPUTED_VALUE"""),500000.0)</f>
        <v>500000</v>
      </c>
      <c r="K66" s="5">
        <f>IFERROR(__xludf.DUMMYFUNCTION("""COMPUTED_VALUE"""),0.0)</f>
        <v>0</v>
      </c>
      <c r="L66" s="5">
        <f>IFERROR(__xludf.DUMMYFUNCTION("""COMPUTED_VALUE"""),910000.0)</f>
        <v>910000</v>
      </c>
      <c r="M66" s="14" t="str">
        <f t="shared" ref="M66:P66" si="67">text(I66,"Rp #,##0")</f>
        <v>Rp 410.000</v>
      </c>
      <c r="N66" s="14" t="str">
        <f t="shared" si="67"/>
        <v>Rp 500.000</v>
      </c>
      <c r="O66" s="14" t="str">
        <f t="shared" si="67"/>
        <v>Rp 0</v>
      </c>
      <c r="P66" s="14" t="str">
        <f t="shared" si="67"/>
        <v>Rp 910.000</v>
      </c>
      <c r="Q66" s="14" t="str">
        <f t="shared" si="4"/>
        <v>Syahriyah = Rp 410.000
Jariyah = Rp 500.000
Daftar Ulang = Rp 0
Total = Rp 910.000
______________________
ID : 2024070566</v>
      </c>
    </row>
    <row r="67">
      <c r="A67" s="18">
        <f t="shared" si="2"/>
        <v>66</v>
      </c>
      <c r="B67" s="4" t="str">
        <f>IFERROR(__xludf.DUMMYFUNCTION("""COMPUTED_VALUE"""),"ADELIAH PUTRI FEBRIANI")</f>
        <v>ADELIAH PUTRI FEBRIANI</v>
      </c>
      <c r="C67" s="4">
        <f>IFERROR(__xludf.DUMMYFUNCTION("""COMPUTED_VALUE"""),2.024070735E9)</f>
        <v>2024070735</v>
      </c>
      <c r="D67" s="4" t="str">
        <f>IFERROR(__xludf.DUMMYFUNCTION("""COMPUTED_VALUE"""),"B")</f>
        <v>B</v>
      </c>
      <c r="E67" s="4" t="str">
        <f>IFERROR(__xludf.DUMMYFUNCTION("""COMPUTED_VALUE"""),"B-9")</f>
        <v>B-9</v>
      </c>
      <c r="F67" s="4">
        <f>IFERROR(__xludf.DUMMYFUNCTION("""COMPUTED_VALUE"""),3.0)</f>
        <v>3</v>
      </c>
      <c r="G67" s="4" t="str">
        <f>IFERROR(__xludf.DUMMYFUNCTION("""COMPUTED_VALUE"""),"3 ULA C PUTRI")</f>
        <v>3 ULA C PUTRI</v>
      </c>
      <c r="H67" s="4" t="str">
        <f>IFERROR(__xludf.DUMMYFUNCTION("""COMPUTED_VALUE"""),"6285706603124")</f>
        <v>6285706603124</v>
      </c>
      <c r="I67" s="5">
        <f>IFERROR(__xludf.DUMMYFUNCTION("""COMPUTED_VALUE"""),450000.0)</f>
        <v>450000</v>
      </c>
      <c r="J67" s="5">
        <f>IFERROR(__xludf.DUMMYFUNCTION("""COMPUTED_VALUE"""),500000.0)</f>
        <v>500000</v>
      </c>
      <c r="K67" s="5">
        <f>IFERROR(__xludf.DUMMYFUNCTION("""COMPUTED_VALUE"""),0.0)</f>
        <v>0</v>
      </c>
      <c r="L67" s="5">
        <f>IFERROR(__xludf.DUMMYFUNCTION("""COMPUTED_VALUE"""),950000.0)</f>
        <v>950000</v>
      </c>
      <c r="M67" s="14" t="str">
        <f t="shared" ref="M67:P67" si="68">text(I67,"Rp #,##0")</f>
        <v>Rp 450.000</v>
      </c>
      <c r="N67" s="14" t="str">
        <f t="shared" si="68"/>
        <v>Rp 500.000</v>
      </c>
      <c r="O67" s="14" t="str">
        <f t="shared" si="68"/>
        <v>Rp 0</v>
      </c>
      <c r="P67" s="14" t="str">
        <f t="shared" si="68"/>
        <v>Rp 950.000</v>
      </c>
      <c r="Q67" s="14" t="str">
        <f t="shared" si="4"/>
        <v>Syahriyah = Rp 450.000
Jariyah = Rp 500.000
Daftar Ulang = Rp 0
Total = Rp 950.000
______________________
ID : 2024070735</v>
      </c>
    </row>
    <row r="68">
      <c r="A68" s="18">
        <f t="shared" si="2"/>
        <v>67</v>
      </c>
      <c r="B68" s="4" t="str">
        <f>IFERROR(__xludf.DUMMYFUNCTION("""COMPUTED_VALUE"""),"AININ QORIROH UMMU SALWA")</f>
        <v>AININ QORIROH UMMU SALWA</v>
      </c>
      <c r="C68" s="4">
        <f>IFERROR(__xludf.DUMMYFUNCTION("""COMPUTED_VALUE"""),2.024070338E9)</f>
        <v>2024070338</v>
      </c>
      <c r="D68" s="4" t="str">
        <f>IFERROR(__xludf.DUMMYFUNCTION("""COMPUTED_VALUE"""),"C")</f>
        <v>C</v>
      </c>
      <c r="E68" s="4" t="str">
        <f>IFERROR(__xludf.DUMMYFUNCTION("""COMPUTED_VALUE"""),"C-8")</f>
        <v>C-8</v>
      </c>
      <c r="F68" s="4">
        <f>IFERROR(__xludf.DUMMYFUNCTION("""COMPUTED_VALUE"""),3.0)</f>
        <v>3</v>
      </c>
      <c r="G68" s="4" t="str">
        <f>IFERROR(__xludf.DUMMYFUNCTION("""COMPUTED_VALUE"""),"3 WUSTHO C PUTRI")</f>
        <v>3 WUSTHO C PUTRI</v>
      </c>
      <c r="H68" s="4" t="str">
        <f>IFERROR(__xludf.DUMMYFUNCTION("""COMPUTED_VALUE"""),"6287844690419")</f>
        <v>6287844690419</v>
      </c>
      <c r="I68" s="5">
        <f>IFERROR(__xludf.DUMMYFUNCTION("""COMPUTED_VALUE"""),450000.0)</f>
        <v>450000</v>
      </c>
      <c r="J68" s="5">
        <f>IFERROR(__xludf.DUMMYFUNCTION("""COMPUTED_VALUE"""),500000.0)</f>
        <v>500000</v>
      </c>
      <c r="K68" s="5">
        <f>IFERROR(__xludf.DUMMYFUNCTION("""COMPUTED_VALUE"""),0.0)</f>
        <v>0</v>
      </c>
      <c r="L68" s="5">
        <f>IFERROR(__xludf.DUMMYFUNCTION("""COMPUTED_VALUE"""),950000.0)</f>
        <v>950000</v>
      </c>
      <c r="M68" s="14" t="str">
        <f t="shared" ref="M68:P68" si="69">text(I68,"Rp #,##0")</f>
        <v>Rp 450.000</v>
      </c>
      <c r="N68" s="14" t="str">
        <f t="shared" si="69"/>
        <v>Rp 500.000</v>
      </c>
      <c r="O68" s="14" t="str">
        <f t="shared" si="69"/>
        <v>Rp 0</v>
      </c>
      <c r="P68" s="14" t="str">
        <f t="shared" si="69"/>
        <v>Rp 950.000</v>
      </c>
      <c r="Q68" s="14" t="str">
        <f t="shared" si="4"/>
        <v>Syahriyah = Rp 450.000
Jariyah = Rp 500.000
Daftar Ulang = Rp 0
Total = Rp 950.000
______________________
ID : 2024070338</v>
      </c>
    </row>
    <row r="69">
      <c r="A69" s="18">
        <f t="shared" si="2"/>
        <v>68</v>
      </c>
      <c r="B69" s="4" t="str">
        <f>IFERROR(__xludf.DUMMYFUNCTION("""COMPUTED_VALUE"""),"ALVELLYTA APRILIA KIRANA")</f>
        <v>ALVELLYTA APRILIA KIRANA</v>
      </c>
      <c r="C69" s="4">
        <f>IFERROR(__xludf.DUMMYFUNCTION("""COMPUTED_VALUE"""),2.024070527E9)</f>
        <v>2024070527</v>
      </c>
      <c r="D69" s="4" t="str">
        <f>IFERROR(__xludf.DUMMYFUNCTION("""COMPUTED_VALUE"""),"C")</f>
        <v>C</v>
      </c>
      <c r="E69" s="4" t="str">
        <f>IFERROR(__xludf.DUMMYFUNCTION("""COMPUTED_VALUE"""),"C-12")</f>
        <v>C-12</v>
      </c>
      <c r="F69" s="4">
        <f>IFERROR(__xludf.DUMMYFUNCTION("""COMPUTED_VALUE"""),3.0)</f>
        <v>3</v>
      </c>
      <c r="G69" s="4"/>
      <c r="H69" s="4" t="str">
        <f>IFERROR(__xludf.DUMMYFUNCTION("""COMPUTED_VALUE"""),"6281537636395")</f>
        <v>6281537636395</v>
      </c>
      <c r="I69" s="5">
        <f>IFERROR(__xludf.DUMMYFUNCTION("""COMPUTED_VALUE"""),450000.0)</f>
        <v>450000</v>
      </c>
      <c r="J69" s="5">
        <f>IFERROR(__xludf.DUMMYFUNCTION("""COMPUTED_VALUE"""),500000.0)</f>
        <v>500000</v>
      </c>
      <c r="K69" s="5">
        <f>IFERROR(__xludf.DUMMYFUNCTION("""COMPUTED_VALUE"""),0.0)</f>
        <v>0</v>
      </c>
      <c r="L69" s="5">
        <f>IFERROR(__xludf.DUMMYFUNCTION("""COMPUTED_VALUE"""),950000.0)</f>
        <v>950000</v>
      </c>
      <c r="M69" s="14" t="str">
        <f t="shared" ref="M69:P69" si="70">text(I69,"Rp #,##0")</f>
        <v>Rp 450.000</v>
      </c>
      <c r="N69" s="14" t="str">
        <f t="shared" si="70"/>
        <v>Rp 500.000</v>
      </c>
      <c r="O69" s="14" t="str">
        <f t="shared" si="70"/>
        <v>Rp 0</v>
      </c>
      <c r="P69" s="14" t="str">
        <f t="shared" si="70"/>
        <v>Rp 950.000</v>
      </c>
      <c r="Q69" s="14" t="str">
        <f t="shared" si="4"/>
        <v>Syahriyah = Rp 450.000
Jariyah = Rp 500.000
Daftar Ulang = Rp 0
Total = Rp 950.000
______________________
ID : 2024070527</v>
      </c>
    </row>
    <row r="70">
      <c r="A70" s="18">
        <f t="shared" si="2"/>
        <v>69</v>
      </c>
      <c r="B70" s="4" t="str">
        <f>IFERROR(__xludf.DUMMYFUNCTION("""COMPUTED_VALUE"""),"DESTIYA NUR LAILI")</f>
        <v>DESTIYA NUR LAILI</v>
      </c>
      <c r="C70" s="4">
        <f>IFERROR(__xludf.DUMMYFUNCTION("""COMPUTED_VALUE"""),2.024070758E9)</f>
        <v>2024070758</v>
      </c>
      <c r="D70" s="4" t="str">
        <f>IFERROR(__xludf.DUMMYFUNCTION("""COMPUTED_VALUE"""),"B")</f>
        <v>B</v>
      </c>
      <c r="E70" s="4" t="str">
        <f>IFERROR(__xludf.DUMMYFUNCTION("""COMPUTED_VALUE"""),"B-9")</f>
        <v>B-9</v>
      </c>
      <c r="F70" s="4">
        <f>IFERROR(__xludf.DUMMYFUNCTION("""COMPUTED_VALUE"""),3.0)</f>
        <v>3</v>
      </c>
      <c r="G70" s="4" t="str">
        <f>IFERROR(__xludf.DUMMYFUNCTION("""COMPUTED_VALUE"""),"3 ULA B PUTRI")</f>
        <v>3 ULA B PUTRI</v>
      </c>
      <c r="H70" s="4" t="str">
        <f>IFERROR(__xludf.DUMMYFUNCTION("""COMPUTED_VALUE"""),"6285745740702")</f>
        <v>6285745740702</v>
      </c>
      <c r="I70" s="5">
        <f>IFERROR(__xludf.DUMMYFUNCTION("""COMPUTED_VALUE"""),450000.0)</f>
        <v>450000</v>
      </c>
      <c r="J70" s="5">
        <f>IFERROR(__xludf.DUMMYFUNCTION("""COMPUTED_VALUE"""),500000.0)</f>
        <v>500000</v>
      </c>
      <c r="K70" s="5">
        <f>IFERROR(__xludf.DUMMYFUNCTION("""COMPUTED_VALUE"""),0.0)</f>
        <v>0</v>
      </c>
      <c r="L70" s="5">
        <f>IFERROR(__xludf.DUMMYFUNCTION("""COMPUTED_VALUE"""),950000.0)</f>
        <v>950000</v>
      </c>
      <c r="M70" s="14" t="str">
        <f t="shared" ref="M70:P70" si="71">text(I70,"Rp #,##0")</f>
        <v>Rp 450.000</v>
      </c>
      <c r="N70" s="14" t="str">
        <f t="shared" si="71"/>
        <v>Rp 500.000</v>
      </c>
      <c r="O70" s="14" t="str">
        <f t="shared" si="71"/>
        <v>Rp 0</v>
      </c>
      <c r="P70" s="14" t="str">
        <f t="shared" si="71"/>
        <v>Rp 950.000</v>
      </c>
      <c r="Q70" s="14" t="str">
        <f t="shared" si="4"/>
        <v>Syahriyah = Rp 450.000
Jariyah = Rp 500.000
Daftar Ulang = Rp 0
Total = Rp 950.000
______________________
ID : 2024070758</v>
      </c>
    </row>
    <row r="71">
      <c r="A71" s="18">
        <f t="shared" si="2"/>
        <v>70</v>
      </c>
      <c r="B71" s="4" t="str">
        <f>IFERROR(__xludf.DUMMYFUNCTION("""COMPUTED_VALUE"""),"JANEETA EMIRA SHABRIYA")</f>
        <v>JANEETA EMIRA SHABRIYA</v>
      </c>
      <c r="C71" s="4">
        <f>IFERROR(__xludf.DUMMYFUNCTION("""COMPUTED_VALUE"""),2.024070521E9)</f>
        <v>2024070521</v>
      </c>
      <c r="D71" s="4" t="str">
        <f>IFERROR(__xludf.DUMMYFUNCTION("""COMPUTED_VALUE"""),"D")</f>
        <v>D</v>
      </c>
      <c r="E71" s="4" t="str">
        <f>IFERROR(__xludf.DUMMYFUNCTION("""COMPUTED_VALUE"""),"D-4")</f>
        <v>D-4</v>
      </c>
      <c r="F71" s="4">
        <f>IFERROR(__xludf.DUMMYFUNCTION("""COMPUTED_VALUE"""),3.0)</f>
        <v>3</v>
      </c>
      <c r="G71" s="4" t="str">
        <f>IFERROR(__xludf.DUMMYFUNCTION("""COMPUTED_VALUE"""),"3 ULA B PUTRI")</f>
        <v>3 ULA B PUTRI</v>
      </c>
      <c r="H71" s="4" t="str">
        <f>IFERROR(__xludf.DUMMYFUNCTION("""COMPUTED_VALUE"""),"628563173399")</f>
        <v>628563173399</v>
      </c>
      <c r="I71" s="5">
        <f>IFERROR(__xludf.DUMMYFUNCTION("""COMPUTED_VALUE"""),450000.0)</f>
        <v>450000</v>
      </c>
      <c r="J71" s="5">
        <f>IFERROR(__xludf.DUMMYFUNCTION("""COMPUTED_VALUE"""),500000.0)</f>
        <v>500000</v>
      </c>
      <c r="K71" s="5">
        <f>IFERROR(__xludf.DUMMYFUNCTION("""COMPUTED_VALUE"""),0.0)</f>
        <v>0</v>
      </c>
      <c r="L71" s="5">
        <f>IFERROR(__xludf.DUMMYFUNCTION("""COMPUTED_VALUE"""),950000.0)</f>
        <v>950000</v>
      </c>
      <c r="M71" s="14" t="str">
        <f t="shared" ref="M71:P71" si="72">text(I71,"Rp #,##0")</f>
        <v>Rp 450.000</v>
      </c>
      <c r="N71" s="14" t="str">
        <f t="shared" si="72"/>
        <v>Rp 500.000</v>
      </c>
      <c r="O71" s="14" t="str">
        <f t="shared" si="72"/>
        <v>Rp 0</v>
      </c>
      <c r="P71" s="14" t="str">
        <f t="shared" si="72"/>
        <v>Rp 950.000</v>
      </c>
      <c r="Q71" s="14" t="str">
        <f t="shared" si="4"/>
        <v>Syahriyah = Rp 450.000
Jariyah = Rp 500.000
Daftar Ulang = Rp 0
Total = Rp 950.000
______________________
ID : 2024070521</v>
      </c>
    </row>
    <row r="72">
      <c r="A72" s="18">
        <f t="shared" si="2"/>
        <v>71</v>
      </c>
      <c r="B72" s="4" t="str">
        <f>IFERROR(__xludf.DUMMYFUNCTION("""COMPUTED_VALUE"""),"KURNIA MUFIDATUL FATIHAH")</f>
        <v>KURNIA MUFIDATUL FATIHAH</v>
      </c>
      <c r="C72" s="4">
        <f>IFERROR(__xludf.DUMMYFUNCTION("""COMPUTED_VALUE"""),2.024070641E9)</f>
        <v>2024070641</v>
      </c>
      <c r="D72" s="4" t="str">
        <f>IFERROR(__xludf.DUMMYFUNCTION("""COMPUTED_VALUE"""),"B")</f>
        <v>B</v>
      </c>
      <c r="E72" s="4" t="str">
        <f>IFERROR(__xludf.DUMMYFUNCTION("""COMPUTED_VALUE"""),"B-9")</f>
        <v>B-9</v>
      </c>
      <c r="F72" s="4">
        <f>IFERROR(__xludf.DUMMYFUNCTION("""COMPUTED_VALUE"""),3.0)</f>
        <v>3</v>
      </c>
      <c r="G72" s="4" t="str">
        <f>IFERROR(__xludf.DUMMYFUNCTION("""COMPUTED_VALUE"""),"3 ULA B PUTRI")</f>
        <v>3 ULA B PUTRI</v>
      </c>
      <c r="H72" s="4" t="str">
        <f>IFERROR(__xludf.DUMMYFUNCTION("""COMPUTED_VALUE"""),"6285748349331")</f>
        <v>6285748349331</v>
      </c>
      <c r="I72" s="5">
        <f>IFERROR(__xludf.DUMMYFUNCTION("""COMPUTED_VALUE"""),450000.0)</f>
        <v>450000</v>
      </c>
      <c r="J72" s="5">
        <f>IFERROR(__xludf.DUMMYFUNCTION("""COMPUTED_VALUE"""),500000.0)</f>
        <v>500000</v>
      </c>
      <c r="K72" s="5">
        <f>IFERROR(__xludf.DUMMYFUNCTION("""COMPUTED_VALUE"""),0.0)</f>
        <v>0</v>
      </c>
      <c r="L72" s="5">
        <f>IFERROR(__xludf.DUMMYFUNCTION("""COMPUTED_VALUE"""),950000.0)</f>
        <v>950000</v>
      </c>
      <c r="M72" s="14" t="str">
        <f t="shared" ref="M72:P72" si="73">text(I72,"Rp #,##0")</f>
        <v>Rp 450.000</v>
      </c>
      <c r="N72" s="14" t="str">
        <f t="shared" si="73"/>
        <v>Rp 500.000</v>
      </c>
      <c r="O72" s="14" t="str">
        <f t="shared" si="73"/>
        <v>Rp 0</v>
      </c>
      <c r="P72" s="14" t="str">
        <f t="shared" si="73"/>
        <v>Rp 950.000</v>
      </c>
      <c r="Q72" s="14" t="str">
        <f t="shared" si="4"/>
        <v>Syahriyah = Rp 450.000
Jariyah = Rp 500.000
Daftar Ulang = Rp 0
Total = Rp 950.000
______________________
ID : 2024070641</v>
      </c>
    </row>
    <row r="73">
      <c r="A73" s="18">
        <f t="shared" si="2"/>
        <v>72</v>
      </c>
      <c r="B73" s="4" t="str">
        <f>IFERROR(__xludf.DUMMYFUNCTION("""COMPUTED_VALUE"""),"M. RADIFQI ALFARISTY")</f>
        <v>M. RADIFQI ALFARISTY</v>
      </c>
      <c r="C73" s="4">
        <f>IFERROR(__xludf.DUMMYFUNCTION("""COMPUTED_VALUE"""),2.024070747E9)</f>
        <v>2024070747</v>
      </c>
      <c r="D73" s="4" t="str">
        <f>IFERROR(__xludf.DUMMYFUNCTION("""COMPUTED_VALUE"""),"A")</f>
        <v>A</v>
      </c>
      <c r="E73" s="4" t="str">
        <f>IFERROR(__xludf.DUMMYFUNCTION("""COMPUTED_VALUE"""),"A-8")</f>
        <v>A-8</v>
      </c>
      <c r="F73" s="4">
        <f>IFERROR(__xludf.DUMMYFUNCTION("""COMPUTED_VALUE"""),3.0)</f>
        <v>3</v>
      </c>
      <c r="G73" s="4" t="str">
        <f>IFERROR(__xludf.DUMMYFUNCTION("""COMPUTED_VALUE"""),"3 ULA A PUTRA")</f>
        <v>3 ULA A PUTRA</v>
      </c>
      <c r="H73" s="4" t="str">
        <f>IFERROR(__xludf.DUMMYFUNCTION("""COMPUTED_VALUE"""),"6285649740556")</f>
        <v>6285649740556</v>
      </c>
      <c r="I73" s="5">
        <f>IFERROR(__xludf.DUMMYFUNCTION("""COMPUTED_VALUE"""),450000.0)</f>
        <v>450000</v>
      </c>
      <c r="J73" s="5">
        <f>IFERROR(__xludf.DUMMYFUNCTION("""COMPUTED_VALUE"""),500000.0)</f>
        <v>500000</v>
      </c>
      <c r="K73" s="5">
        <f>IFERROR(__xludf.DUMMYFUNCTION("""COMPUTED_VALUE"""),0.0)</f>
        <v>0</v>
      </c>
      <c r="L73" s="5">
        <f>IFERROR(__xludf.DUMMYFUNCTION("""COMPUTED_VALUE"""),950000.0)</f>
        <v>950000</v>
      </c>
      <c r="M73" s="14" t="str">
        <f t="shared" ref="M73:P73" si="74">text(I73,"Rp #,##0")</f>
        <v>Rp 450.000</v>
      </c>
      <c r="N73" s="14" t="str">
        <f t="shared" si="74"/>
        <v>Rp 500.000</v>
      </c>
      <c r="O73" s="14" t="str">
        <f t="shared" si="74"/>
        <v>Rp 0</v>
      </c>
      <c r="P73" s="14" t="str">
        <f t="shared" si="74"/>
        <v>Rp 950.000</v>
      </c>
      <c r="Q73" s="14" t="str">
        <f t="shared" si="4"/>
        <v>Syahriyah = Rp 450.000
Jariyah = Rp 500.000
Daftar Ulang = Rp 0
Total = Rp 950.000
______________________
ID : 2024070747</v>
      </c>
    </row>
    <row r="74">
      <c r="A74" s="18">
        <f t="shared" si="2"/>
        <v>73</v>
      </c>
      <c r="B74" s="4" t="str">
        <f>IFERROR(__xludf.DUMMYFUNCTION("""COMPUTED_VALUE"""),"M. SAFIUL REZA SELOHANDOYO")</f>
        <v>M. SAFIUL REZA SELOHANDOYO</v>
      </c>
      <c r="C74" s="4">
        <f>IFERROR(__xludf.DUMMYFUNCTION("""COMPUTED_VALUE"""),2.024070406E9)</f>
        <v>2024070406</v>
      </c>
      <c r="D74" s="4" t="str">
        <f>IFERROR(__xludf.DUMMYFUNCTION("""COMPUTED_VALUE"""),"A")</f>
        <v>A</v>
      </c>
      <c r="E74" s="4" t="str">
        <f>IFERROR(__xludf.DUMMYFUNCTION("""COMPUTED_VALUE"""),"A-2")</f>
        <v>A-2</v>
      </c>
      <c r="F74" s="4">
        <f>IFERROR(__xludf.DUMMYFUNCTION("""COMPUTED_VALUE"""),3.0)</f>
        <v>3</v>
      </c>
      <c r="G74" s="4" t="str">
        <f>IFERROR(__xludf.DUMMYFUNCTION("""COMPUTED_VALUE"""),"3 MAK PUTRA")</f>
        <v>3 MAK PUTRA</v>
      </c>
      <c r="H74" s="4" t="str">
        <f>IFERROR(__xludf.DUMMYFUNCTION("""COMPUTED_VALUE"""),"6282229847381")</f>
        <v>6282229847381</v>
      </c>
      <c r="I74" s="5">
        <f>IFERROR(__xludf.DUMMYFUNCTION("""COMPUTED_VALUE"""),450000.0)</f>
        <v>450000</v>
      </c>
      <c r="J74" s="5">
        <f>IFERROR(__xludf.DUMMYFUNCTION("""COMPUTED_VALUE"""),500000.0)</f>
        <v>500000</v>
      </c>
      <c r="K74" s="5">
        <f>IFERROR(__xludf.DUMMYFUNCTION("""COMPUTED_VALUE"""),0.0)</f>
        <v>0</v>
      </c>
      <c r="L74" s="5">
        <f>IFERROR(__xludf.DUMMYFUNCTION("""COMPUTED_VALUE"""),950000.0)</f>
        <v>950000</v>
      </c>
      <c r="M74" s="14" t="str">
        <f t="shared" ref="M74:P74" si="75">text(I74,"Rp #,##0")</f>
        <v>Rp 450.000</v>
      </c>
      <c r="N74" s="14" t="str">
        <f t="shared" si="75"/>
        <v>Rp 500.000</v>
      </c>
      <c r="O74" s="14" t="str">
        <f t="shared" si="75"/>
        <v>Rp 0</v>
      </c>
      <c r="P74" s="14" t="str">
        <f t="shared" si="75"/>
        <v>Rp 950.000</v>
      </c>
      <c r="Q74" s="14" t="str">
        <f t="shared" si="4"/>
        <v>Syahriyah = Rp 450.000
Jariyah = Rp 500.000
Daftar Ulang = Rp 0
Total = Rp 950.000
______________________
ID : 2024070406</v>
      </c>
    </row>
    <row r="75">
      <c r="A75" s="18">
        <f t="shared" si="2"/>
        <v>74</v>
      </c>
      <c r="B75" s="4" t="str">
        <f>IFERROR(__xludf.DUMMYFUNCTION("""COMPUTED_VALUE"""),"MEILANI PUTRI ARINIL WAFA`")</f>
        <v>MEILANI PUTRI ARINIL WAFA`</v>
      </c>
      <c r="C75" s="4">
        <f>IFERROR(__xludf.DUMMYFUNCTION("""COMPUTED_VALUE"""),2.024070015E9)</f>
        <v>2024070015</v>
      </c>
      <c r="D75" s="4" t="str">
        <f>IFERROR(__xludf.DUMMYFUNCTION("""COMPUTED_VALUE"""),"C")</f>
        <v>C</v>
      </c>
      <c r="E75" s="4" t="str">
        <f>IFERROR(__xludf.DUMMYFUNCTION("""COMPUTED_VALUE"""),"C-2")</f>
        <v>C-2</v>
      </c>
      <c r="F75" s="4">
        <f>IFERROR(__xludf.DUMMYFUNCTION("""COMPUTED_VALUE"""),3.0)</f>
        <v>3</v>
      </c>
      <c r="G75" s="4"/>
      <c r="H75" s="4" t="str">
        <f>IFERROR(__xludf.DUMMYFUNCTION("""COMPUTED_VALUE"""),"6285733138071")</f>
        <v>6285733138071</v>
      </c>
      <c r="I75" s="5">
        <f>IFERROR(__xludf.DUMMYFUNCTION("""COMPUTED_VALUE"""),450000.0)</f>
        <v>450000</v>
      </c>
      <c r="J75" s="5">
        <f>IFERROR(__xludf.DUMMYFUNCTION("""COMPUTED_VALUE"""),500000.0)</f>
        <v>500000</v>
      </c>
      <c r="K75" s="5">
        <f>IFERROR(__xludf.DUMMYFUNCTION("""COMPUTED_VALUE"""),0.0)</f>
        <v>0</v>
      </c>
      <c r="L75" s="5">
        <f>IFERROR(__xludf.DUMMYFUNCTION("""COMPUTED_VALUE"""),950000.0)</f>
        <v>950000</v>
      </c>
      <c r="M75" s="14" t="str">
        <f t="shared" ref="M75:P75" si="76">text(I75,"Rp #,##0")</f>
        <v>Rp 450.000</v>
      </c>
      <c r="N75" s="14" t="str">
        <f t="shared" si="76"/>
        <v>Rp 500.000</v>
      </c>
      <c r="O75" s="14" t="str">
        <f t="shared" si="76"/>
        <v>Rp 0</v>
      </c>
      <c r="P75" s="14" t="str">
        <f t="shared" si="76"/>
        <v>Rp 950.000</v>
      </c>
      <c r="Q75" s="14" t="str">
        <f t="shared" si="4"/>
        <v>Syahriyah = Rp 450.000
Jariyah = Rp 500.000
Daftar Ulang = Rp 0
Total = Rp 950.000
______________________
ID : 2024070015</v>
      </c>
    </row>
    <row r="76">
      <c r="A76" s="18">
        <f t="shared" si="2"/>
        <v>75</v>
      </c>
      <c r="B76" s="4" t="str">
        <f>IFERROR(__xludf.DUMMYFUNCTION("""COMPUTED_VALUE"""),"MUHAMMAD RAFA AL KAUTSAR")</f>
        <v>MUHAMMAD RAFA AL KAUTSAR</v>
      </c>
      <c r="C76" s="4">
        <f>IFERROR(__xludf.DUMMYFUNCTION("""COMPUTED_VALUE"""),2.024070648E9)</f>
        <v>2024070648</v>
      </c>
      <c r="D76" s="4" t="str">
        <f>IFERROR(__xludf.DUMMYFUNCTION("""COMPUTED_VALUE"""),"A")</f>
        <v>A</v>
      </c>
      <c r="E76" s="4" t="str">
        <f>IFERROR(__xludf.DUMMYFUNCTION("""COMPUTED_VALUE"""),"A-8")</f>
        <v>A-8</v>
      </c>
      <c r="F76" s="4">
        <f>IFERROR(__xludf.DUMMYFUNCTION("""COMPUTED_VALUE"""),3.0)</f>
        <v>3</v>
      </c>
      <c r="G76" s="4" t="str">
        <f>IFERROR(__xludf.DUMMYFUNCTION("""COMPUTED_VALUE"""),"3 ULA B PUTRA")</f>
        <v>3 ULA B PUTRA</v>
      </c>
      <c r="H76" s="4" t="str">
        <f>IFERROR(__xludf.DUMMYFUNCTION("""COMPUTED_VALUE"""),"6285859853448")</f>
        <v>6285859853448</v>
      </c>
      <c r="I76" s="5">
        <f>IFERROR(__xludf.DUMMYFUNCTION("""COMPUTED_VALUE"""),450000.0)</f>
        <v>450000</v>
      </c>
      <c r="J76" s="5">
        <f>IFERROR(__xludf.DUMMYFUNCTION("""COMPUTED_VALUE"""),500000.0)</f>
        <v>500000</v>
      </c>
      <c r="K76" s="5">
        <f>IFERROR(__xludf.DUMMYFUNCTION("""COMPUTED_VALUE"""),0.0)</f>
        <v>0</v>
      </c>
      <c r="L76" s="5">
        <f>IFERROR(__xludf.DUMMYFUNCTION("""COMPUTED_VALUE"""),950000.0)</f>
        <v>950000</v>
      </c>
      <c r="M76" s="14" t="str">
        <f t="shared" ref="M76:P76" si="77">text(I76,"Rp #,##0")</f>
        <v>Rp 450.000</v>
      </c>
      <c r="N76" s="14" t="str">
        <f t="shared" si="77"/>
        <v>Rp 500.000</v>
      </c>
      <c r="O76" s="14" t="str">
        <f t="shared" si="77"/>
        <v>Rp 0</v>
      </c>
      <c r="P76" s="14" t="str">
        <f t="shared" si="77"/>
        <v>Rp 950.000</v>
      </c>
      <c r="Q76" s="14" t="str">
        <f t="shared" si="4"/>
        <v>Syahriyah = Rp 450.000
Jariyah = Rp 500.000
Daftar Ulang = Rp 0
Total = Rp 950.000
______________________
ID : 2024070648</v>
      </c>
    </row>
    <row r="77">
      <c r="A77" s="18">
        <f t="shared" si="2"/>
        <v>76</v>
      </c>
      <c r="B77" s="4" t="str">
        <f>IFERROR(__xludf.DUMMYFUNCTION("""COMPUTED_VALUE"""),"MUHYIDDIN FAQIH")</f>
        <v>MUHYIDDIN FAQIH</v>
      </c>
      <c r="C77" s="4">
        <f>IFERROR(__xludf.DUMMYFUNCTION("""COMPUTED_VALUE"""),2.024070299E9)</f>
        <v>2024070299</v>
      </c>
      <c r="D77" s="4" t="str">
        <f>IFERROR(__xludf.DUMMYFUNCTION("""COMPUTED_VALUE"""),"A")</f>
        <v>A</v>
      </c>
      <c r="E77" s="4" t="str">
        <f>IFERROR(__xludf.DUMMYFUNCTION("""COMPUTED_VALUE"""),"A-10")</f>
        <v>A-10</v>
      </c>
      <c r="F77" s="4">
        <f>IFERROR(__xludf.DUMMYFUNCTION("""COMPUTED_VALUE"""),3.0)</f>
        <v>3</v>
      </c>
      <c r="G77" s="4" t="str">
        <f>IFERROR(__xludf.DUMMYFUNCTION("""COMPUTED_VALUE"""),"3 WUSTHO PUTRA")</f>
        <v>3 WUSTHO PUTRA</v>
      </c>
      <c r="H77" s="4" t="str">
        <f>IFERROR(__xludf.DUMMYFUNCTION("""COMPUTED_VALUE"""),"6281554403924")</f>
        <v>6281554403924</v>
      </c>
      <c r="I77" s="5">
        <f>IFERROR(__xludf.DUMMYFUNCTION("""COMPUTED_VALUE"""),450000.0)</f>
        <v>450000</v>
      </c>
      <c r="J77" s="5">
        <f>IFERROR(__xludf.DUMMYFUNCTION("""COMPUTED_VALUE"""),500000.0)</f>
        <v>500000</v>
      </c>
      <c r="K77" s="5">
        <f>IFERROR(__xludf.DUMMYFUNCTION("""COMPUTED_VALUE"""),0.0)</f>
        <v>0</v>
      </c>
      <c r="L77" s="5">
        <f>IFERROR(__xludf.DUMMYFUNCTION("""COMPUTED_VALUE"""),950000.0)</f>
        <v>950000</v>
      </c>
      <c r="M77" s="14" t="str">
        <f t="shared" ref="M77:P77" si="78">text(I77,"Rp #,##0")</f>
        <v>Rp 450.000</v>
      </c>
      <c r="N77" s="14" t="str">
        <f t="shared" si="78"/>
        <v>Rp 500.000</v>
      </c>
      <c r="O77" s="14" t="str">
        <f t="shared" si="78"/>
        <v>Rp 0</v>
      </c>
      <c r="P77" s="14" t="str">
        <f t="shared" si="78"/>
        <v>Rp 950.000</v>
      </c>
      <c r="Q77" s="14" t="str">
        <f t="shared" si="4"/>
        <v>Syahriyah = Rp 450.000
Jariyah = Rp 500.000
Daftar Ulang = Rp 0
Total = Rp 950.000
______________________
ID : 2024070299</v>
      </c>
    </row>
    <row r="78">
      <c r="A78" s="18">
        <f t="shared" si="2"/>
        <v>77</v>
      </c>
      <c r="B78" s="4" t="str">
        <f>IFERROR(__xludf.DUMMYFUNCTION("""COMPUTED_VALUE"""),"NAYLATUL MAWADDAH")</f>
        <v>NAYLATUL MAWADDAH</v>
      </c>
      <c r="C78" s="4">
        <f>IFERROR(__xludf.DUMMYFUNCTION("""COMPUTED_VALUE"""),2.024070682E9)</f>
        <v>2024070682</v>
      </c>
      <c r="D78" s="4" t="str">
        <f>IFERROR(__xludf.DUMMYFUNCTION("""COMPUTED_VALUE"""),"C")</f>
        <v>C</v>
      </c>
      <c r="E78" s="4" t="str">
        <f>IFERROR(__xludf.DUMMYFUNCTION("""COMPUTED_VALUE"""),"C-8")</f>
        <v>C-8</v>
      </c>
      <c r="F78" s="4">
        <f>IFERROR(__xludf.DUMMYFUNCTION("""COMPUTED_VALUE"""),3.0)</f>
        <v>3</v>
      </c>
      <c r="G78" s="4" t="str">
        <f>IFERROR(__xludf.DUMMYFUNCTION("""COMPUTED_VALUE"""),"3 WUSTHO C PUTRI")</f>
        <v>3 WUSTHO C PUTRI</v>
      </c>
      <c r="H78" s="4" t="str">
        <f>IFERROR(__xludf.DUMMYFUNCTION("""COMPUTED_VALUE"""),"6285608738797")</f>
        <v>6285608738797</v>
      </c>
      <c r="I78" s="5">
        <f>IFERROR(__xludf.DUMMYFUNCTION("""COMPUTED_VALUE"""),450000.0)</f>
        <v>450000</v>
      </c>
      <c r="J78" s="5">
        <f>IFERROR(__xludf.DUMMYFUNCTION("""COMPUTED_VALUE"""),500000.0)</f>
        <v>500000</v>
      </c>
      <c r="K78" s="5">
        <f>IFERROR(__xludf.DUMMYFUNCTION("""COMPUTED_VALUE"""),0.0)</f>
        <v>0</v>
      </c>
      <c r="L78" s="5">
        <f>IFERROR(__xludf.DUMMYFUNCTION("""COMPUTED_VALUE"""),950000.0)</f>
        <v>950000</v>
      </c>
      <c r="M78" s="14" t="str">
        <f t="shared" ref="M78:P78" si="79">text(I78,"Rp #,##0")</f>
        <v>Rp 450.000</v>
      </c>
      <c r="N78" s="14" t="str">
        <f t="shared" si="79"/>
        <v>Rp 500.000</v>
      </c>
      <c r="O78" s="14" t="str">
        <f t="shared" si="79"/>
        <v>Rp 0</v>
      </c>
      <c r="P78" s="14" t="str">
        <f t="shared" si="79"/>
        <v>Rp 950.000</v>
      </c>
      <c r="Q78" s="14" t="str">
        <f t="shared" si="4"/>
        <v>Syahriyah = Rp 450.000
Jariyah = Rp 500.000
Daftar Ulang = Rp 0
Total = Rp 950.000
______________________
ID : 2024070682</v>
      </c>
    </row>
    <row r="79">
      <c r="A79" s="18">
        <f t="shared" si="2"/>
        <v>78</v>
      </c>
      <c r="B79" s="4" t="str">
        <f>IFERROR(__xludf.DUMMYFUNCTION("""COMPUTED_VALUE"""),"NESYA AURA BUNGA")</f>
        <v>NESYA AURA BUNGA</v>
      </c>
      <c r="C79" s="4">
        <f>IFERROR(__xludf.DUMMYFUNCTION("""COMPUTED_VALUE"""),2.024070659E9)</f>
        <v>2024070659</v>
      </c>
      <c r="D79" s="4" t="str">
        <f>IFERROR(__xludf.DUMMYFUNCTION("""COMPUTED_VALUE"""),"D")</f>
        <v>D</v>
      </c>
      <c r="E79" s="4" t="str">
        <f>IFERROR(__xludf.DUMMYFUNCTION("""COMPUTED_VALUE"""),"D-4")</f>
        <v>D-4</v>
      </c>
      <c r="F79" s="4">
        <f>IFERROR(__xludf.DUMMYFUNCTION("""COMPUTED_VALUE"""),3.0)</f>
        <v>3</v>
      </c>
      <c r="G79" s="4" t="str">
        <f>IFERROR(__xludf.DUMMYFUNCTION("""COMPUTED_VALUE"""),"3 ULA C PUTRI")</f>
        <v>3 ULA C PUTRI</v>
      </c>
      <c r="H79" s="4" t="str">
        <f>IFERROR(__xludf.DUMMYFUNCTION("""COMPUTED_VALUE"""),"6285852070153")</f>
        <v>6285852070153</v>
      </c>
      <c r="I79" s="5">
        <f>IFERROR(__xludf.DUMMYFUNCTION("""COMPUTED_VALUE"""),450000.0)</f>
        <v>450000</v>
      </c>
      <c r="J79" s="5">
        <f>IFERROR(__xludf.DUMMYFUNCTION("""COMPUTED_VALUE"""),500000.0)</f>
        <v>500000</v>
      </c>
      <c r="K79" s="5">
        <f>IFERROR(__xludf.DUMMYFUNCTION("""COMPUTED_VALUE"""),0.0)</f>
        <v>0</v>
      </c>
      <c r="L79" s="5">
        <f>IFERROR(__xludf.DUMMYFUNCTION("""COMPUTED_VALUE"""),950000.0)</f>
        <v>950000</v>
      </c>
      <c r="M79" s="14" t="str">
        <f t="shared" ref="M79:P79" si="80">text(I79,"Rp #,##0")</f>
        <v>Rp 450.000</v>
      </c>
      <c r="N79" s="14" t="str">
        <f t="shared" si="80"/>
        <v>Rp 500.000</v>
      </c>
      <c r="O79" s="14" t="str">
        <f t="shared" si="80"/>
        <v>Rp 0</v>
      </c>
      <c r="P79" s="14" t="str">
        <f t="shared" si="80"/>
        <v>Rp 950.000</v>
      </c>
      <c r="Q79" s="14" t="str">
        <f t="shared" si="4"/>
        <v>Syahriyah = Rp 450.000
Jariyah = Rp 500.000
Daftar Ulang = Rp 0
Total = Rp 950.000
______________________
ID : 2024070659</v>
      </c>
    </row>
    <row r="80">
      <c r="A80" s="18">
        <f t="shared" si="2"/>
        <v>79</v>
      </c>
      <c r="B80" s="4" t="str">
        <f>IFERROR(__xludf.DUMMYFUNCTION("""COMPUTED_VALUE"""),"NOVAL ARYA PRATAMA")</f>
        <v>NOVAL ARYA PRATAMA</v>
      </c>
      <c r="C80" s="4">
        <f>IFERROR(__xludf.DUMMYFUNCTION("""COMPUTED_VALUE"""),2.024070468E9)</f>
        <v>2024070468</v>
      </c>
      <c r="D80" s="4" t="str">
        <f>IFERROR(__xludf.DUMMYFUNCTION("""COMPUTED_VALUE"""),"A")</f>
        <v>A</v>
      </c>
      <c r="E80" s="4" t="str">
        <f>IFERROR(__xludf.DUMMYFUNCTION("""COMPUTED_VALUE"""),"A-8")</f>
        <v>A-8</v>
      </c>
      <c r="F80" s="4">
        <f>IFERROR(__xludf.DUMMYFUNCTION("""COMPUTED_VALUE"""),3.0)</f>
        <v>3</v>
      </c>
      <c r="G80" s="4" t="str">
        <f>IFERROR(__xludf.DUMMYFUNCTION("""COMPUTED_VALUE"""),"3 ULA A PUTRA")</f>
        <v>3 ULA A PUTRA</v>
      </c>
      <c r="H80" s="4" t="str">
        <f>IFERROR(__xludf.DUMMYFUNCTION("""COMPUTED_VALUE"""),"6285707106640")</f>
        <v>6285707106640</v>
      </c>
      <c r="I80" s="5">
        <f>IFERROR(__xludf.DUMMYFUNCTION("""COMPUTED_VALUE"""),450000.0)</f>
        <v>450000</v>
      </c>
      <c r="J80" s="5">
        <f>IFERROR(__xludf.DUMMYFUNCTION("""COMPUTED_VALUE"""),500000.0)</f>
        <v>500000</v>
      </c>
      <c r="K80" s="5">
        <f>IFERROR(__xludf.DUMMYFUNCTION("""COMPUTED_VALUE"""),0.0)</f>
        <v>0</v>
      </c>
      <c r="L80" s="5">
        <f>IFERROR(__xludf.DUMMYFUNCTION("""COMPUTED_VALUE"""),950000.0)</f>
        <v>950000</v>
      </c>
      <c r="M80" s="14" t="str">
        <f t="shared" ref="M80:P80" si="81">text(I80,"Rp #,##0")</f>
        <v>Rp 450.000</v>
      </c>
      <c r="N80" s="14" t="str">
        <f t="shared" si="81"/>
        <v>Rp 500.000</v>
      </c>
      <c r="O80" s="14" t="str">
        <f t="shared" si="81"/>
        <v>Rp 0</v>
      </c>
      <c r="P80" s="14" t="str">
        <f t="shared" si="81"/>
        <v>Rp 950.000</v>
      </c>
      <c r="Q80" s="14" t="str">
        <f t="shared" si="4"/>
        <v>Syahriyah = Rp 450.000
Jariyah = Rp 500.000
Daftar Ulang = Rp 0
Total = Rp 950.000
______________________
ID : 2024070468</v>
      </c>
    </row>
    <row r="81">
      <c r="A81" s="18">
        <f t="shared" si="2"/>
        <v>80</v>
      </c>
      <c r="B81" s="4" t="str">
        <f>IFERROR(__xludf.DUMMYFUNCTION("""COMPUTED_VALUE"""),"NURFUIMA LINDA HIDAYATI")</f>
        <v>NURFUIMA LINDA HIDAYATI</v>
      </c>
      <c r="C81" s="4">
        <f>IFERROR(__xludf.DUMMYFUNCTION("""COMPUTED_VALUE"""),2.024070357E9)</f>
        <v>2024070357</v>
      </c>
      <c r="D81" s="4" t="str">
        <f>IFERROR(__xludf.DUMMYFUNCTION("""COMPUTED_VALUE"""),"C")</f>
        <v>C</v>
      </c>
      <c r="E81" s="4" t="str">
        <f>IFERROR(__xludf.DUMMYFUNCTION("""COMPUTED_VALUE"""),"C-8")</f>
        <v>C-8</v>
      </c>
      <c r="F81" s="4">
        <f>IFERROR(__xludf.DUMMYFUNCTION("""COMPUTED_VALUE"""),3.0)</f>
        <v>3</v>
      </c>
      <c r="G81" s="4"/>
      <c r="H81" s="4" t="str">
        <f>IFERROR(__xludf.DUMMYFUNCTION("""COMPUTED_VALUE"""),"6285606170861")</f>
        <v>6285606170861</v>
      </c>
      <c r="I81" s="5">
        <f>IFERROR(__xludf.DUMMYFUNCTION("""COMPUTED_VALUE"""),450000.0)</f>
        <v>450000</v>
      </c>
      <c r="J81" s="5">
        <f>IFERROR(__xludf.DUMMYFUNCTION("""COMPUTED_VALUE"""),500000.0)</f>
        <v>500000</v>
      </c>
      <c r="K81" s="5">
        <f>IFERROR(__xludf.DUMMYFUNCTION("""COMPUTED_VALUE"""),0.0)</f>
        <v>0</v>
      </c>
      <c r="L81" s="5">
        <f>IFERROR(__xludf.DUMMYFUNCTION("""COMPUTED_VALUE"""),950000.0)</f>
        <v>950000</v>
      </c>
      <c r="M81" s="14" t="str">
        <f t="shared" ref="M81:P81" si="82">text(I81,"Rp #,##0")</f>
        <v>Rp 450.000</v>
      </c>
      <c r="N81" s="14" t="str">
        <f t="shared" si="82"/>
        <v>Rp 500.000</v>
      </c>
      <c r="O81" s="14" t="str">
        <f t="shared" si="82"/>
        <v>Rp 0</v>
      </c>
      <c r="P81" s="14" t="str">
        <f t="shared" si="82"/>
        <v>Rp 950.000</v>
      </c>
      <c r="Q81" s="14" t="str">
        <f t="shared" si="4"/>
        <v>Syahriyah = Rp 450.000
Jariyah = Rp 500.000
Daftar Ulang = Rp 0
Total = Rp 950.000
______________________
ID : 2024070357</v>
      </c>
    </row>
    <row r="82">
      <c r="A82" s="18">
        <f t="shared" si="2"/>
        <v>81</v>
      </c>
      <c r="B82" s="4" t="str">
        <f>IFERROR(__xludf.DUMMYFUNCTION("""COMPUTED_VALUE"""),"AIDA NURUL AINI")</f>
        <v>AIDA NURUL AINI</v>
      </c>
      <c r="C82" s="4">
        <f>IFERROR(__xludf.DUMMYFUNCTION("""COMPUTED_VALUE"""),2.024070582E9)</f>
        <v>2024070582</v>
      </c>
      <c r="D82" s="4" t="str">
        <f>IFERROR(__xludf.DUMMYFUNCTION("""COMPUTED_VALUE"""),"E")</f>
        <v>E</v>
      </c>
      <c r="E82" s="4" t="str">
        <f>IFERROR(__xludf.DUMMYFUNCTION("""COMPUTED_VALUE"""),"E-9")</f>
        <v>E-9</v>
      </c>
      <c r="F82" s="4">
        <f>IFERROR(__xludf.DUMMYFUNCTION("""COMPUTED_VALUE"""),3.0)</f>
        <v>3</v>
      </c>
      <c r="G82" s="4" t="str">
        <f>IFERROR(__xludf.DUMMYFUNCTION("""COMPUTED_VALUE"""),"3 ULA A PUTRI")</f>
        <v>3 ULA A PUTRI</v>
      </c>
      <c r="H82" s="4" t="str">
        <f>IFERROR(__xludf.DUMMYFUNCTION("""COMPUTED_VALUE"""),"6285732704608")</f>
        <v>6285732704608</v>
      </c>
      <c r="I82" s="5">
        <f>IFERROR(__xludf.DUMMYFUNCTION("""COMPUTED_VALUE"""),0.0)</f>
        <v>0</v>
      </c>
      <c r="J82" s="5">
        <f>IFERROR(__xludf.DUMMYFUNCTION("""COMPUTED_VALUE"""),1000000.0)</f>
        <v>1000000</v>
      </c>
      <c r="K82" s="5">
        <f>IFERROR(__xludf.DUMMYFUNCTION("""COMPUTED_VALUE"""),0.0)</f>
        <v>0</v>
      </c>
      <c r="L82" s="5">
        <f>IFERROR(__xludf.DUMMYFUNCTION("""COMPUTED_VALUE"""),1000000.0)</f>
        <v>1000000</v>
      </c>
      <c r="M82" s="14" t="str">
        <f t="shared" ref="M82:P82" si="83">text(I82,"Rp #,##0")</f>
        <v>Rp 0</v>
      </c>
      <c r="N82" s="14" t="str">
        <f t="shared" si="83"/>
        <v>Rp 1.000.000</v>
      </c>
      <c r="O82" s="14" t="str">
        <f t="shared" si="83"/>
        <v>Rp 0</v>
      </c>
      <c r="P82" s="14" t="str">
        <f t="shared" si="83"/>
        <v>Rp 1.000.000</v>
      </c>
      <c r="Q82" s="14" t="str">
        <f t="shared" si="4"/>
        <v>Syahriyah = Rp 0
Jariyah = Rp 1.000.000
Daftar Ulang = Rp 0
Total = Rp 1.000.000
______________________
ID : 2024070582</v>
      </c>
    </row>
    <row r="83">
      <c r="A83" s="18">
        <f t="shared" si="2"/>
        <v>82</v>
      </c>
      <c r="B83" s="4" t="str">
        <f>IFERROR(__xludf.DUMMYFUNCTION("""COMPUTED_VALUE"""),"ASYIFATUL LAILI")</f>
        <v>ASYIFATUL LAILI</v>
      </c>
      <c r="C83" s="4">
        <f>IFERROR(__xludf.DUMMYFUNCTION("""COMPUTED_VALUE"""),2.02407052E9)</f>
        <v>2024070520</v>
      </c>
      <c r="D83" s="4" t="str">
        <f>IFERROR(__xludf.DUMMYFUNCTION("""COMPUTED_VALUE"""),"C")</f>
        <v>C</v>
      </c>
      <c r="E83" s="4" t="str">
        <f>IFERROR(__xludf.DUMMYFUNCTION("""COMPUTED_VALUE"""),"C-13")</f>
        <v>C-13</v>
      </c>
      <c r="F83" s="4">
        <f>IFERROR(__xludf.DUMMYFUNCTION("""COMPUTED_VALUE"""),3.0)</f>
        <v>3</v>
      </c>
      <c r="G83" s="4" t="str">
        <f>IFERROR(__xludf.DUMMYFUNCTION("""COMPUTED_VALUE"""),"3 ULA B PUTRI")</f>
        <v>3 ULA B PUTRI</v>
      </c>
      <c r="H83" s="4" t="str">
        <f>IFERROR(__xludf.DUMMYFUNCTION("""COMPUTED_VALUE"""),"6281946613922")</f>
        <v>6281946613922</v>
      </c>
      <c r="I83" s="5">
        <f>IFERROR(__xludf.DUMMYFUNCTION("""COMPUTED_VALUE"""),0.0)</f>
        <v>0</v>
      </c>
      <c r="J83" s="5">
        <f>IFERROR(__xludf.DUMMYFUNCTION("""COMPUTED_VALUE"""),1000000.0)</f>
        <v>1000000</v>
      </c>
      <c r="K83" s="5">
        <f>IFERROR(__xludf.DUMMYFUNCTION("""COMPUTED_VALUE"""),0.0)</f>
        <v>0</v>
      </c>
      <c r="L83" s="5">
        <f>IFERROR(__xludf.DUMMYFUNCTION("""COMPUTED_VALUE"""),1000000.0)</f>
        <v>1000000</v>
      </c>
      <c r="M83" s="14" t="str">
        <f t="shared" ref="M83:P83" si="84">text(I83,"Rp #,##0")</f>
        <v>Rp 0</v>
      </c>
      <c r="N83" s="14" t="str">
        <f t="shared" si="84"/>
        <v>Rp 1.000.000</v>
      </c>
      <c r="O83" s="14" t="str">
        <f t="shared" si="84"/>
        <v>Rp 0</v>
      </c>
      <c r="P83" s="14" t="str">
        <f t="shared" si="84"/>
        <v>Rp 1.000.000</v>
      </c>
      <c r="Q83" s="14" t="str">
        <f t="shared" si="4"/>
        <v>Syahriyah = Rp 0
Jariyah = Rp 1.000.000
Daftar Ulang = Rp 0
Total = Rp 1.000.000
______________________
ID : 2024070520</v>
      </c>
    </row>
    <row r="84">
      <c r="A84" s="18">
        <f t="shared" si="2"/>
        <v>83</v>
      </c>
      <c r="B84" s="4" t="str">
        <f>IFERROR(__xludf.DUMMYFUNCTION("""COMPUTED_VALUE"""),"DAVINA RATNANDITA")</f>
        <v>DAVINA RATNANDITA</v>
      </c>
      <c r="C84" s="4">
        <f>IFERROR(__xludf.DUMMYFUNCTION("""COMPUTED_VALUE"""),2.024070445E9)</f>
        <v>2024070445</v>
      </c>
      <c r="D84" s="4" t="str">
        <f>IFERROR(__xludf.DUMMYFUNCTION("""COMPUTED_VALUE"""),"E")</f>
        <v>E</v>
      </c>
      <c r="E84" s="4" t="str">
        <f>IFERROR(__xludf.DUMMYFUNCTION("""COMPUTED_VALUE"""),"E-2")</f>
        <v>E-2</v>
      </c>
      <c r="F84" s="4">
        <f>IFERROR(__xludf.DUMMYFUNCTION("""COMPUTED_VALUE"""),3.0)</f>
        <v>3</v>
      </c>
      <c r="G84" s="4" t="str">
        <f>IFERROR(__xludf.DUMMYFUNCTION("""COMPUTED_VALUE"""),"3 ULA A PUTRI")</f>
        <v>3 ULA A PUTRI</v>
      </c>
      <c r="H84" s="4" t="str">
        <f>IFERROR(__xludf.DUMMYFUNCTION("""COMPUTED_VALUE"""),"6282131864843")</f>
        <v>6282131864843</v>
      </c>
      <c r="I84" s="5">
        <f>IFERROR(__xludf.DUMMYFUNCTION("""COMPUTED_VALUE"""),0.0)</f>
        <v>0</v>
      </c>
      <c r="J84" s="5">
        <f>IFERROR(__xludf.DUMMYFUNCTION("""COMPUTED_VALUE"""),1000000.0)</f>
        <v>1000000</v>
      </c>
      <c r="K84" s="5">
        <f>IFERROR(__xludf.DUMMYFUNCTION("""COMPUTED_VALUE"""),0.0)</f>
        <v>0</v>
      </c>
      <c r="L84" s="5">
        <f>IFERROR(__xludf.DUMMYFUNCTION("""COMPUTED_VALUE"""),1000000.0)</f>
        <v>1000000</v>
      </c>
      <c r="M84" s="14" t="str">
        <f t="shared" ref="M84:P84" si="85">text(I84,"Rp #,##0")</f>
        <v>Rp 0</v>
      </c>
      <c r="N84" s="14" t="str">
        <f t="shared" si="85"/>
        <v>Rp 1.000.000</v>
      </c>
      <c r="O84" s="14" t="str">
        <f t="shared" si="85"/>
        <v>Rp 0</v>
      </c>
      <c r="P84" s="14" t="str">
        <f t="shared" si="85"/>
        <v>Rp 1.000.000</v>
      </c>
      <c r="Q84" s="14" t="str">
        <f t="shared" si="4"/>
        <v>Syahriyah = Rp 0
Jariyah = Rp 1.000.000
Daftar Ulang = Rp 0
Total = Rp 1.000.000
______________________
ID : 2024070445</v>
      </c>
    </row>
    <row r="85">
      <c r="A85" s="18">
        <f t="shared" si="2"/>
        <v>84</v>
      </c>
      <c r="B85" s="4" t="str">
        <f>IFERROR(__xludf.DUMMYFUNCTION("""COMPUTED_VALUE"""),"DIVA EKA LESTARI")</f>
        <v>DIVA EKA LESTARI</v>
      </c>
      <c r="C85" s="4">
        <f>IFERROR(__xludf.DUMMYFUNCTION("""COMPUTED_VALUE"""),2.024070006E9)</f>
        <v>2024070006</v>
      </c>
      <c r="D85" s="4" t="str">
        <f>IFERROR(__xludf.DUMMYFUNCTION("""COMPUTED_VALUE"""),"C")</f>
        <v>C</v>
      </c>
      <c r="E85" s="4" t="str">
        <f>IFERROR(__xludf.DUMMYFUNCTION("""COMPUTED_VALUE"""),"C-2")</f>
        <v>C-2</v>
      </c>
      <c r="F85" s="4">
        <f>IFERROR(__xludf.DUMMYFUNCTION("""COMPUTED_VALUE"""),3.0)</f>
        <v>3</v>
      </c>
      <c r="G85" s="4"/>
      <c r="H85" s="4" t="str">
        <f>IFERROR(__xludf.DUMMYFUNCTION("""COMPUTED_VALUE"""),"6285755339391")</f>
        <v>6285755339391</v>
      </c>
      <c r="I85" s="5">
        <f>IFERROR(__xludf.DUMMYFUNCTION("""COMPUTED_VALUE"""),0.0)</f>
        <v>0</v>
      </c>
      <c r="J85" s="5">
        <f>IFERROR(__xludf.DUMMYFUNCTION("""COMPUTED_VALUE"""),1000000.0)</f>
        <v>1000000</v>
      </c>
      <c r="K85" s="5">
        <f>IFERROR(__xludf.DUMMYFUNCTION("""COMPUTED_VALUE"""),0.0)</f>
        <v>0</v>
      </c>
      <c r="L85" s="5">
        <f>IFERROR(__xludf.DUMMYFUNCTION("""COMPUTED_VALUE"""),1000000.0)</f>
        <v>1000000</v>
      </c>
      <c r="M85" s="14" t="str">
        <f t="shared" ref="M85:P85" si="86">text(I85,"Rp #,##0")</f>
        <v>Rp 0</v>
      </c>
      <c r="N85" s="14" t="str">
        <f t="shared" si="86"/>
        <v>Rp 1.000.000</v>
      </c>
      <c r="O85" s="14" t="str">
        <f t="shared" si="86"/>
        <v>Rp 0</v>
      </c>
      <c r="P85" s="14" t="str">
        <f t="shared" si="86"/>
        <v>Rp 1.000.000</v>
      </c>
      <c r="Q85" s="14" t="str">
        <f t="shared" si="4"/>
        <v>Syahriyah = Rp 0
Jariyah = Rp 1.000.000
Daftar Ulang = Rp 0
Total = Rp 1.000.000
______________________
ID : 2024070006</v>
      </c>
    </row>
    <row r="86">
      <c r="A86" s="18">
        <f t="shared" si="2"/>
        <v>85</v>
      </c>
      <c r="B86" s="4" t="str">
        <f>IFERROR(__xludf.DUMMYFUNCTION("""COMPUTED_VALUE"""),"FATIMATUZZAHROH MUSOFFA")</f>
        <v>FATIMATUZZAHROH MUSOFFA</v>
      </c>
      <c r="C86" s="4">
        <f>IFERROR(__xludf.DUMMYFUNCTION("""COMPUTED_VALUE"""),2.024070045E9)</f>
        <v>2024070045</v>
      </c>
      <c r="D86" s="4" t="str">
        <f>IFERROR(__xludf.DUMMYFUNCTION("""COMPUTED_VALUE"""),"C")</f>
        <v>C</v>
      </c>
      <c r="E86" s="4" t="str">
        <f>IFERROR(__xludf.DUMMYFUNCTION("""COMPUTED_VALUE"""),"C-9")</f>
        <v>C-9</v>
      </c>
      <c r="F86" s="4">
        <f>IFERROR(__xludf.DUMMYFUNCTION("""COMPUTED_VALUE"""),3.0)</f>
        <v>3</v>
      </c>
      <c r="G86" s="4"/>
      <c r="H86" s="4" t="str">
        <f>IFERROR(__xludf.DUMMYFUNCTION("""COMPUTED_VALUE"""),"6285893727203")</f>
        <v>6285893727203</v>
      </c>
      <c r="I86" s="5">
        <f>IFERROR(__xludf.DUMMYFUNCTION("""COMPUTED_VALUE"""),0.0)</f>
        <v>0</v>
      </c>
      <c r="J86" s="5">
        <f>IFERROR(__xludf.DUMMYFUNCTION("""COMPUTED_VALUE"""),1000000.0)</f>
        <v>1000000</v>
      </c>
      <c r="K86" s="5">
        <f>IFERROR(__xludf.DUMMYFUNCTION("""COMPUTED_VALUE"""),0.0)</f>
        <v>0</v>
      </c>
      <c r="L86" s="5">
        <f>IFERROR(__xludf.DUMMYFUNCTION("""COMPUTED_VALUE"""),1000000.0)</f>
        <v>1000000</v>
      </c>
      <c r="M86" s="14" t="str">
        <f t="shared" ref="M86:P86" si="87">text(I86,"Rp #,##0")</f>
        <v>Rp 0</v>
      </c>
      <c r="N86" s="14" t="str">
        <f t="shared" si="87"/>
        <v>Rp 1.000.000</v>
      </c>
      <c r="O86" s="14" t="str">
        <f t="shared" si="87"/>
        <v>Rp 0</v>
      </c>
      <c r="P86" s="14" t="str">
        <f t="shared" si="87"/>
        <v>Rp 1.000.000</v>
      </c>
      <c r="Q86" s="14" t="str">
        <f t="shared" si="4"/>
        <v>Syahriyah = Rp 0
Jariyah = Rp 1.000.000
Daftar Ulang = Rp 0
Total = Rp 1.000.000
______________________
ID : 2024070045</v>
      </c>
    </row>
    <row r="87">
      <c r="A87" s="18">
        <f t="shared" si="2"/>
        <v>86</v>
      </c>
      <c r="B87" s="4" t="str">
        <f>IFERROR(__xludf.DUMMYFUNCTION("""COMPUTED_VALUE"""),"FLORETA NAFISHA PUTRI")</f>
        <v>FLORETA NAFISHA PUTRI</v>
      </c>
      <c r="C87" s="4">
        <f>IFERROR(__xludf.DUMMYFUNCTION("""COMPUTED_VALUE"""),2.024070422E9)</f>
        <v>2024070422</v>
      </c>
      <c r="D87" s="4" t="str">
        <f>IFERROR(__xludf.DUMMYFUNCTION("""COMPUTED_VALUE"""),"C")</f>
        <v>C</v>
      </c>
      <c r="E87" s="4" t="str">
        <f>IFERROR(__xludf.DUMMYFUNCTION("""COMPUTED_VALUE"""),"C-7")</f>
        <v>C-7</v>
      </c>
      <c r="F87" s="4">
        <f>IFERROR(__xludf.DUMMYFUNCTION("""COMPUTED_VALUE"""),3.0)</f>
        <v>3</v>
      </c>
      <c r="G87" s="4" t="str">
        <f>IFERROR(__xludf.DUMMYFUNCTION("""COMPUTED_VALUE"""),"3 MAK PUTRI")</f>
        <v>3 MAK PUTRI</v>
      </c>
      <c r="H87" s="4" t="str">
        <f>IFERROR(__xludf.DUMMYFUNCTION("""COMPUTED_VALUE"""),"6281559946320")</f>
        <v>6281559946320</v>
      </c>
      <c r="I87" s="5">
        <f>IFERROR(__xludf.DUMMYFUNCTION("""COMPUTED_VALUE"""),0.0)</f>
        <v>0</v>
      </c>
      <c r="J87" s="5">
        <f>IFERROR(__xludf.DUMMYFUNCTION("""COMPUTED_VALUE"""),1000000.0)</f>
        <v>1000000</v>
      </c>
      <c r="K87" s="5">
        <f>IFERROR(__xludf.DUMMYFUNCTION("""COMPUTED_VALUE"""),0.0)</f>
        <v>0</v>
      </c>
      <c r="L87" s="5">
        <f>IFERROR(__xludf.DUMMYFUNCTION("""COMPUTED_VALUE"""),1000000.0)</f>
        <v>1000000</v>
      </c>
      <c r="M87" s="14" t="str">
        <f t="shared" ref="M87:P87" si="88">text(I87,"Rp #,##0")</f>
        <v>Rp 0</v>
      </c>
      <c r="N87" s="14" t="str">
        <f t="shared" si="88"/>
        <v>Rp 1.000.000</v>
      </c>
      <c r="O87" s="14" t="str">
        <f t="shared" si="88"/>
        <v>Rp 0</v>
      </c>
      <c r="P87" s="14" t="str">
        <f t="shared" si="88"/>
        <v>Rp 1.000.000</v>
      </c>
      <c r="Q87" s="14" t="str">
        <f t="shared" si="4"/>
        <v>Syahriyah = Rp 0
Jariyah = Rp 1.000.000
Daftar Ulang = Rp 0
Total = Rp 1.000.000
______________________
ID : 2024070422</v>
      </c>
    </row>
    <row r="88">
      <c r="A88" s="18">
        <f t="shared" si="2"/>
        <v>87</v>
      </c>
      <c r="B88" s="4" t="str">
        <f>IFERROR(__xludf.DUMMYFUNCTION("""COMPUTED_VALUE"""),"KHANSA ZARINA MISBACH")</f>
        <v>KHANSA ZARINA MISBACH</v>
      </c>
      <c r="C88" s="4">
        <f>IFERROR(__xludf.DUMMYFUNCTION("""COMPUTED_VALUE"""),2.024070585E9)</f>
        <v>2024070585</v>
      </c>
      <c r="D88" s="4" t="str">
        <f>IFERROR(__xludf.DUMMYFUNCTION("""COMPUTED_VALUE"""),"E")</f>
        <v>E</v>
      </c>
      <c r="E88" s="4" t="str">
        <f>IFERROR(__xludf.DUMMYFUNCTION("""COMPUTED_VALUE"""),"E-3")</f>
        <v>E-3</v>
      </c>
      <c r="F88" s="4">
        <f>IFERROR(__xludf.DUMMYFUNCTION("""COMPUTED_VALUE"""),3.0)</f>
        <v>3</v>
      </c>
      <c r="G88" s="4" t="str">
        <f>IFERROR(__xludf.DUMMYFUNCTION("""COMPUTED_VALUE"""),"3 ULA A PUTRI")</f>
        <v>3 ULA A PUTRI</v>
      </c>
      <c r="H88" s="4" t="str">
        <f>IFERROR(__xludf.DUMMYFUNCTION("""COMPUTED_VALUE"""),"6285784480833")</f>
        <v>6285784480833</v>
      </c>
      <c r="I88" s="5">
        <f>IFERROR(__xludf.DUMMYFUNCTION("""COMPUTED_VALUE"""),0.0)</f>
        <v>0</v>
      </c>
      <c r="J88" s="5">
        <f>IFERROR(__xludf.DUMMYFUNCTION("""COMPUTED_VALUE"""),1000000.0)</f>
        <v>1000000</v>
      </c>
      <c r="K88" s="5">
        <f>IFERROR(__xludf.DUMMYFUNCTION("""COMPUTED_VALUE"""),0.0)</f>
        <v>0</v>
      </c>
      <c r="L88" s="5">
        <f>IFERROR(__xludf.DUMMYFUNCTION("""COMPUTED_VALUE"""),1000000.0)</f>
        <v>1000000</v>
      </c>
      <c r="M88" s="14" t="str">
        <f t="shared" ref="M88:P88" si="89">text(I88,"Rp #,##0")</f>
        <v>Rp 0</v>
      </c>
      <c r="N88" s="14" t="str">
        <f t="shared" si="89"/>
        <v>Rp 1.000.000</v>
      </c>
      <c r="O88" s="14" t="str">
        <f t="shared" si="89"/>
        <v>Rp 0</v>
      </c>
      <c r="P88" s="14" t="str">
        <f t="shared" si="89"/>
        <v>Rp 1.000.000</v>
      </c>
      <c r="Q88" s="14" t="str">
        <f t="shared" si="4"/>
        <v>Syahriyah = Rp 0
Jariyah = Rp 1.000.000
Daftar Ulang = Rp 0
Total = Rp 1.000.000
______________________
ID : 2024070585</v>
      </c>
    </row>
    <row r="89">
      <c r="A89" s="18">
        <f t="shared" si="2"/>
        <v>88</v>
      </c>
      <c r="B89" s="4" t="str">
        <f>IFERROR(__xludf.DUMMYFUNCTION("""COMPUTED_VALUE"""),"LAILA AININ NAF`AH")</f>
        <v>LAILA AININ NAF`AH</v>
      </c>
      <c r="C89" s="4">
        <f>IFERROR(__xludf.DUMMYFUNCTION("""COMPUTED_VALUE"""),2.024080769E9)</f>
        <v>2024080769</v>
      </c>
      <c r="D89" s="4" t="str">
        <f>IFERROR(__xludf.DUMMYFUNCTION("""COMPUTED_VALUE"""),"D")</f>
        <v>D</v>
      </c>
      <c r="E89" s="4" t="str">
        <f>IFERROR(__xludf.DUMMYFUNCTION("""COMPUTED_VALUE"""),"D-7")</f>
        <v>D-7</v>
      </c>
      <c r="F89" s="4">
        <f>IFERROR(__xludf.DUMMYFUNCTION("""COMPUTED_VALUE"""),3.0)</f>
        <v>3</v>
      </c>
      <c r="G89" s="4"/>
      <c r="H89" s="4" t="str">
        <f>IFERROR(__xludf.DUMMYFUNCTION("""COMPUTED_VALUE"""),"6289636729723")</f>
        <v>6289636729723</v>
      </c>
      <c r="I89" s="5">
        <f>IFERROR(__xludf.DUMMYFUNCTION("""COMPUTED_VALUE"""),0.0)</f>
        <v>0</v>
      </c>
      <c r="J89" s="5">
        <f>IFERROR(__xludf.DUMMYFUNCTION("""COMPUTED_VALUE"""),1000000.0)</f>
        <v>1000000</v>
      </c>
      <c r="K89" s="5">
        <f>IFERROR(__xludf.DUMMYFUNCTION("""COMPUTED_VALUE"""),0.0)</f>
        <v>0</v>
      </c>
      <c r="L89" s="5">
        <f>IFERROR(__xludf.DUMMYFUNCTION("""COMPUTED_VALUE"""),1000000.0)</f>
        <v>1000000</v>
      </c>
      <c r="M89" s="14" t="str">
        <f t="shared" ref="M89:P89" si="90">text(I89,"Rp #,##0")</f>
        <v>Rp 0</v>
      </c>
      <c r="N89" s="14" t="str">
        <f t="shared" si="90"/>
        <v>Rp 1.000.000</v>
      </c>
      <c r="O89" s="14" t="str">
        <f t="shared" si="90"/>
        <v>Rp 0</v>
      </c>
      <c r="P89" s="14" t="str">
        <f t="shared" si="90"/>
        <v>Rp 1.000.000</v>
      </c>
      <c r="Q89" s="14" t="str">
        <f t="shared" si="4"/>
        <v>Syahriyah = Rp 0
Jariyah = Rp 1.000.000
Daftar Ulang = Rp 0
Total = Rp 1.000.000
______________________
ID : 2024080769</v>
      </c>
    </row>
    <row r="90">
      <c r="A90" s="18">
        <f t="shared" si="2"/>
        <v>89</v>
      </c>
      <c r="B90" s="4" t="str">
        <f>IFERROR(__xludf.DUMMYFUNCTION("""COMPUTED_VALUE"""),"M. FAHRY SATRIA KURNIAWAN")</f>
        <v>M. FAHRY SATRIA KURNIAWAN</v>
      </c>
      <c r="C90" s="4">
        <f>IFERROR(__xludf.DUMMYFUNCTION("""COMPUTED_VALUE"""),2.024070477E9)</f>
        <v>2024070477</v>
      </c>
      <c r="D90" s="4" t="str">
        <f>IFERROR(__xludf.DUMMYFUNCTION("""COMPUTED_VALUE"""),"A")</f>
        <v>A</v>
      </c>
      <c r="E90" s="4" t="str">
        <f>IFERROR(__xludf.DUMMYFUNCTION("""COMPUTED_VALUE"""),"A-8")</f>
        <v>A-8</v>
      </c>
      <c r="F90" s="4">
        <f>IFERROR(__xludf.DUMMYFUNCTION("""COMPUTED_VALUE"""),3.0)</f>
        <v>3</v>
      </c>
      <c r="G90" s="4" t="str">
        <f>IFERROR(__xludf.DUMMYFUNCTION("""COMPUTED_VALUE"""),"3 ULA A PUTRA")</f>
        <v>3 ULA A PUTRA</v>
      </c>
      <c r="H90" s="4" t="str">
        <f>IFERROR(__xludf.DUMMYFUNCTION("""COMPUTED_VALUE"""),"6282143497363")</f>
        <v>6282143497363</v>
      </c>
      <c r="I90" s="5">
        <f>IFERROR(__xludf.DUMMYFUNCTION("""COMPUTED_VALUE"""),0.0)</f>
        <v>0</v>
      </c>
      <c r="J90" s="5">
        <f>IFERROR(__xludf.DUMMYFUNCTION("""COMPUTED_VALUE"""),1000000.0)</f>
        <v>1000000</v>
      </c>
      <c r="K90" s="5">
        <f>IFERROR(__xludf.DUMMYFUNCTION("""COMPUTED_VALUE"""),0.0)</f>
        <v>0</v>
      </c>
      <c r="L90" s="5">
        <f>IFERROR(__xludf.DUMMYFUNCTION("""COMPUTED_VALUE"""),1000000.0)</f>
        <v>1000000</v>
      </c>
      <c r="M90" s="14" t="str">
        <f t="shared" ref="M90:P90" si="91">text(I90,"Rp #,##0")</f>
        <v>Rp 0</v>
      </c>
      <c r="N90" s="14" t="str">
        <f t="shared" si="91"/>
        <v>Rp 1.000.000</v>
      </c>
      <c r="O90" s="14" t="str">
        <f t="shared" si="91"/>
        <v>Rp 0</v>
      </c>
      <c r="P90" s="14" t="str">
        <f t="shared" si="91"/>
        <v>Rp 1.000.000</v>
      </c>
      <c r="Q90" s="14" t="str">
        <f t="shared" si="4"/>
        <v>Syahriyah = Rp 0
Jariyah = Rp 1.000.000
Daftar Ulang = Rp 0
Total = Rp 1.000.000
______________________
ID : 2024070477</v>
      </c>
    </row>
    <row r="91">
      <c r="A91" s="18">
        <f t="shared" si="2"/>
        <v>90</v>
      </c>
      <c r="B91" s="4" t="str">
        <f>IFERROR(__xludf.DUMMYFUNCTION("""COMPUTED_VALUE"""),"MARCELIA CRENATA SHINTA DEWI")</f>
        <v>MARCELIA CRENATA SHINTA DEWI</v>
      </c>
      <c r="C91" s="4">
        <f>IFERROR(__xludf.DUMMYFUNCTION("""COMPUTED_VALUE"""),2.024070426E9)</f>
        <v>2024070426</v>
      </c>
      <c r="D91" s="4" t="str">
        <f>IFERROR(__xludf.DUMMYFUNCTION("""COMPUTED_VALUE"""),"D")</f>
        <v>D</v>
      </c>
      <c r="E91" s="4" t="str">
        <f>IFERROR(__xludf.DUMMYFUNCTION("""COMPUTED_VALUE"""),"D-7")</f>
        <v>D-7</v>
      </c>
      <c r="F91" s="4">
        <f>IFERROR(__xludf.DUMMYFUNCTION("""COMPUTED_VALUE"""),3.0)</f>
        <v>3</v>
      </c>
      <c r="G91" s="4" t="str">
        <f>IFERROR(__xludf.DUMMYFUNCTION("""COMPUTED_VALUE"""),"3 MAK PUTRI")</f>
        <v>3 MAK PUTRI</v>
      </c>
      <c r="H91" s="4" t="str">
        <f>IFERROR(__xludf.DUMMYFUNCTION("""COMPUTED_VALUE"""),"6281312701983")</f>
        <v>6281312701983</v>
      </c>
      <c r="I91" s="5">
        <f>IFERROR(__xludf.DUMMYFUNCTION("""COMPUTED_VALUE"""),0.0)</f>
        <v>0</v>
      </c>
      <c r="J91" s="5">
        <f>IFERROR(__xludf.DUMMYFUNCTION("""COMPUTED_VALUE"""),1000000.0)</f>
        <v>1000000</v>
      </c>
      <c r="K91" s="5">
        <f>IFERROR(__xludf.DUMMYFUNCTION("""COMPUTED_VALUE"""),0.0)</f>
        <v>0</v>
      </c>
      <c r="L91" s="5">
        <f>IFERROR(__xludf.DUMMYFUNCTION("""COMPUTED_VALUE"""),1000000.0)</f>
        <v>1000000</v>
      </c>
      <c r="M91" s="14" t="str">
        <f t="shared" ref="M91:P91" si="92">text(I91,"Rp #,##0")</f>
        <v>Rp 0</v>
      </c>
      <c r="N91" s="14" t="str">
        <f t="shared" si="92"/>
        <v>Rp 1.000.000</v>
      </c>
      <c r="O91" s="14" t="str">
        <f t="shared" si="92"/>
        <v>Rp 0</v>
      </c>
      <c r="P91" s="14" t="str">
        <f t="shared" si="92"/>
        <v>Rp 1.000.000</v>
      </c>
      <c r="Q91" s="14" t="str">
        <f t="shared" si="4"/>
        <v>Syahriyah = Rp 0
Jariyah = Rp 1.000.000
Daftar Ulang = Rp 0
Total = Rp 1.000.000
______________________
ID : 2024070426</v>
      </c>
    </row>
    <row r="92">
      <c r="A92" s="18">
        <f t="shared" si="2"/>
        <v>91</v>
      </c>
      <c r="B92" s="4" t="str">
        <f>IFERROR(__xludf.DUMMYFUNCTION("""COMPUTED_VALUE"""),"MECCA MIKAILA")</f>
        <v>MECCA MIKAILA</v>
      </c>
      <c r="C92" s="4">
        <f>IFERROR(__xludf.DUMMYFUNCTION("""COMPUTED_VALUE"""),2.024070539E9)</f>
        <v>2024070539</v>
      </c>
      <c r="D92" s="4" t="str">
        <f>IFERROR(__xludf.DUMMYFUNCTION("""COMPUTED_VALUE"""),"C")</f>
        <v>C</v>
      </c>
      <c r="E92" s="4" t="str">
        <f>IFERROR(__xludf.DUMMYFUNCTION("""COMPUTED_VALUE"""),"C-13")</f>
        <v>C-13</v>
      </c>
      <c r="F92" s="4">
        <f>IFERROR(__xludf.DUMMYFUNCTION("""COMPUTED_VALUE"""),3.0)</f>
        <v>3</v>
      </c>
      <c r="G92" s="4" t="str">
        <f>IFERROR(__xludf.DUMMYFUNCTION("""COMPUTED_VALUE"""),"3 ULA B PUTRI")</f>
        <v>3 ULA B PUTRI</v>
      </c>
      <c r="H92" s="4" t="str">
        <f>IFERROR(__xludf.DUMMYFUNCTION("""COMPUTED_VALUE"""),"6285843253842")</f>
        <v>6285843253842</v>
      </c>
      <c r="I92" s="5">
        <f>IFERROR(__xludf.DUMMYFUNCTION("""COMPUTED_VALUE"""),0.0)</f>
        <v>0</v>
      </c>
      <c r="J92" s="5">
        <f>IFERROR(__xludf.DUMMYFUNCTION("""COMPUTED_VALUE"""),1000000.0)</f>
        <v>1000000</v>
      </c>
      <c r="K92" s="5">
        <f>IFERROR(__xludf.DUMMYFUNCTION("""COMPUTED_VALUE"""),0.0)</f>
        <v>0</v>
      </c>
      <c r="L92" s="5">
        <f>IFERROR(__xludf.DUMMYFUNCTION("""COMPUTED_VALUE"""),1000000.0)</f>
        <v>1000000</v>
      </c>
      <c r="M92" s="14" t="str">
        <f t="shared" ref="M92:P92" si="93">text(I92,"Rp #,##0")</f>
        <v>Rp 0</v>
      </c>
      <c r="N92" s="14" t="str">
        <f t="shared" si="93"/>
        <v>Rp 1.000.000</v>
      </c>
      <c r="O92" s="14" t="str">
        <f t="shared" si="93"/>
        <v>Rp 0</v>
      </c>
      <c r="P92" s="14" t="str">
        <f t="shared" si="93"/>
        <v>Rp 1.000.000</v>
      </c>
      <c r="Q92" s="14" t="str">
        <f t="shared" si="4"/>
        <v>Syahriyah = Rp 0
Jariyah = Rp 1.000.000
Daftar Ulang = Rp 0
Total = Rp 1.000.000
______________________
ID : 2024070539</v>
      </c>
    </row>
    <row r="93">
      <c r="A93" s="18">
        <f t="shared" si="2"/>
        <v>92</v>
      </c>
      <c r="B93" s="4" t="str">
        <f>IFERROR(__xludf.DUMMYFUNCTION("""COMPUTED_VALUE"""),"MOHAMAD ARZAQ DWI SAPUTRA")</f>
        <v>MOHAMAD ARZAQ DWI SAPUTRA</v>
      </c>
      <c r="C93" s="4">
        <f>IFERROR(__xludf.DUMMYFUNCTION("""COMPUTED_VALUE"""),2.024070529E9)</f>
        <v>2024070529</v>
      </c>
      <c r="D93" s="4" t="str">
        <f>IFERROR(__xludf.DUMMYFUNCTION("""COMPUTED_VALUE"""),"A")</f>
        <v>A</v>
      </c>
      <c r="E93" s="4" t="str">
        <f>IFERROR(__xludf.DUMMYFUNCTION("""COMPUTED_VALUE"""),"A-8")</f>
        <v>A-8</v>
      </c>
      <c r="F93" s="4">
        <f>IFERROR(__xludf.DUMMYFUNCTION("""COMPUTED_VALUE"""),3.0)</f>
        <v>3</v>
      </c>
      <c r="G93" s="4" t="str">
        <f>IFERROR(__xludf.DUMMYFUNCTION("""COMPUTED_VALUE"""),"3 ULA A PUTRA")</f>
        <v>3 ULA A PUTRA</v>
      </c>
      <c r="H93" s="4" t="str">
        <f>IFERROR(__xludf.DUMMYFUNCTION("""COMPUTED_VALUE"""),"6287794604684")</f>
        <v>6287794604684</v>
      </c>
      <c r="I93" s="5">
        <f>IFERROR(__xludf.DUMMYFUNCTION("""COMPUTED_VALUE"""),0.0)</f>
        <v>0</v>
      </c>
      <c r="J93" s="5">
        <f>IFERROR(__xludf.DUMMYFUNCTION("""COMPUTED_VALUE"""),1000000.0)</f>
        <v>1000000</v>
      </c>
      <c r="K93" s="5">
        <f>IFERROR(__xludf.DUMMYFUNCTION("""COMPUTED_VALUE"""),0.0)</f>
        <v>0</v>
      </c>
      <c r="L93" s="5">
        <f>IFERROR(__xludf.DUMMYFUNCTION("""COMPUTED_VALUE"""),1000000.0)</f>
        <v>1000000</v>
      </c>
      <c r="M93" s="14" t="str">
        <f t="shared" ref="M93:P93" si="94">text(I93,"Rp #,##0")</f>
        <v>Rp 0</v>
      </c>
      <c r="N93" s="14" t="str">
        <f t="shared" si="94"/>
        <v>Rp 1.000.000</v>
      </c>
      <c r="O93" s="14" t="str">
        <f t="shared" si="94"/>
        <v>Rp 0</v>
      </c>
      <c r="P93" s="14" t="str">
        <f t="shared" si="94"/>
        <v>Rp 1.000.000</v>
      </c>
      <c r="Q93" s="14" t="str">
        <f t="shared" si="4"/>
        <v>Syahriyah = Rp 0
Jariyah = Rp 1.000.000
Daftar Ulang = Rp 0
Total = Rp 1.000.000
______________________
ID : 2024070529</v>
      </c>
    </row>
    <row r="94">
      <c r="A94" s="18">
        <f t="shared" si="2"/>
        <v>93</v>
      </c>
      <c r="B94" s="4" t="str">
        <f>IFERROR(__xludf.DUMMYFUNCTION("""COMPUTED_VALUE"""),"MUHAMMAD NASRUL FALAQ")</f>
        <v>MUHAMMAD NASRUL FALAQ</v>
      </c>
      <c r="C94" s="4">
        <f>IFERROR(__xludf.DUMMYFUNCTION("""COMPUTED_VALUE"""),2.024070695E9)</f>
        <v>2024070695</v>
      </c>
      <c r="D94" s="4" t="str">
        <f>IFERROR(__xludf.DUMMYFUNCTION("""COMPUTED_VALUE"""),"A")</f>
        <v>A</v>
      </c>
      <c r="E94" s="4" t="str">
        <f>IFERROR(__xludf.DUMMYFUNCTION("""COMPUTED_VALUE"""),"A-12")</f>
        <v>A-12</v>
      </c>
      <c r="F94" s="4">
        <f>IFERROR(__xludf.DUMMYFUNCTION("""COMPUTED_VALUE"""),3.0)</f>
        <v>3</v>
      </c>
      <c r="G94" s="4" t="str">
        <f>IFERROR(__xludf.DUMMYFUNCTION("""COMPUTED_VALUE"""),"3 WUSTHO PUTRA")</f>
        <v>3 WUSTHO PUTRA</v>
      </c>
      <c r="H94" s="4" t="str">
        <f>IFERROR(__xludf.DUMMYFUNCTION("""COMPUTED_VALUE"""),"6285602657179")</f>
        <v>6285602657179</v>
      </c>
      <c r="I94" s="5">
        <f>IFERROR(__xludf.DUMMYFUNCTION("""COMPUTED_VALUE"""),0.0)</f>
        <v>0</v>
      </c>
      <c r="J94" s="5">
        <f>IFERROR(__xludf.DUMMYFUNCTION("""COMPUTED_VALUE"""),1000000.0)</f>
        <v>1000000</v>
      </c>
      <c r="K94" s="5">
        <f>IFERROR(__xludf.DUMMYFUNCTION("""COMPUTED_VALUE"""),0.0)</f>
        <v>0</v>
      </c>
      <c r="L94" s="5">
        <f>IFERROR(__xludf.DUMMYFUNCTION("""COMPUTED_VALUE"""),1000000.0)</f>
        <v>1000000</v>
      </c>
      <c r="M94" s="14" t="str">
        <f t="shared" ref="M94:P94" si="95">text(I94,"Rp #,##0")</f>
        <v>Rp 0</v>
      </c>
      <c r="N94" s="14" t="str">
        <f t="shared" si="95"/>
        <v>Rp 1.000.000</v>
      </c>
      <c r="O94" s="14" t="str">
        <f t="shared" si="95"/>
        <v>Rp 0</v>
      </c>
      <c r="P94" s="14" t="str">
        <f t="shared" si="95"/>
        <v>Rp 1.000.000</v>
      </c>
      <c r="Q94" s="14" t="str">
        <f t="shared" si="4"/>
        <v>Syahriyah = Rp 0
Jariyah = Rp 1.000.000
Daftar Ulang = Rp 0
Total = Rp 1.000.000
______________________
ID : 2024070695</v>
      </c>
    </row>
    <row r="95">
      <c r="A95" s="18">
        <f t="shared" si="2"/>
        <v>94</v>
      </c>
      <c r="B95" s="4" t="str">
        <f>IFERROR(__xludf.DUMMYFUNCTION("""COMPUTED_VALUE"""),"NAALAT SYAFA`ATUL UDHMA")</f>
        <v>NAALAT SYAFA`ATUL UDHMA</v>
      </c>
      <c r="C95" s="4">
        <f>IFERROR(__xludf.DUMMYFUNCTION("""COMPUTED_VALUE"""),2.024070604E9)</f>
        <v>2024070604</v>
      </c>
      <c r="D95" s="4" t="str">
        <f>IFERROR(__xludf.DUMMYFUNCTION("""COMPUTED_VALUE"""),"E")</f>
        <v>E</v>
      </c>
      <c r="E95" s="4" t="str">
        <f>IFERROR(__xludf.DUMMYFUNCTION("""COMPUTED_VALUE"""),"E-3")</f>
        <v>E-3</v>
      </c>
      <c r="F95" s="4">
        <f>IFERROR(__xludf.DUMMYFUNCTION("""COMPUTED_VALUE"""),3.0)</f>
        <v>3</v>
      </c>
      <c r="G95" s="4" t="str">
        <f>IFERROR(__xludf.DUMMYFUNCTION("""COMPUTED_VALUE"""),"3 ULA A PUTRI")</f>
        <v>3 ULA A PUTRI</v>
      </c>
      <c r="H95" s="4" t="str">
        <f>IFERROR(__xludf.DUMMYFUNCTION("""COMPUTED_VALUE"""),"6285749469938")</f>
        <v>6285749469938</v>
      </c>
      <c r="I95" s="5">
        <f>IFERROR(__xludf.DUMMYFUNCTION("""COMPUTED_VALUE"""),0.0)</f>
        <v>0</v>
      </c>
      <c r="J95" s="5">
        <f>IFERROR(__xludf.DUMMYFUNCTION("""COMPUTED_VALUE"""),1000000.0)</f>
        <v>1000000</v>
      </c>
      <c r="K95" s="5">
        <f>IFERROR(__xludf.DUMMYFUNCTION("""COMPUTED_VALUE"""),0.0)</f>
        <v>0</v>
      </c>
      <c r="L95" s="5">
        <f>IFERROR(__xludf.DUMMYFUNCTION("""COMPUTED_VALUE"""),1000000.0)</f>
        <v>1000000</v>
      </c>
      <c r="M95" s="14" t="str">
        <f t="shared" ref="M95:P95" si="96">text(I95,"Rp #,##0")</f>
        <v>Rp 0</v>
      </c>
      <c r="N95" s="14" t="str">
        <f t="shared" si="96"/>
        <v>Rp 1.000.000</v>
      </c>
      <c r="O95" s="14" t="str">
        <f t="shared" si="96"/>
        <v>Rp 0</v>
      </c>
      <c r="P95" s="14" t="str">
        <f t="shared" si="96"/>
        <v>Rp 1.000.000</v>
      </c>
      <c r="Q95" s="14" t="str">
        <f t="shared" si="4"/>
        <v>Syahriyah = Rp 0
Jariyah = Rp 1.000.000
Daftar Ulang = Rp 0
Total = Rp 1.000.000
______________________
ID : 2024070604</v>
      </c>
    </row>
    <row r="96">
      <c r="A96" s="18">
        <f t="shared" si="2"/>
        <v>95</v>
      </c>
      <c r="B96" s="4" t="str">
        <f>IFERROR(__xludf.DUMMYFUNCTION("""COMPUTED_VALUE"""),"NIRMA LAILATUL AIDA")</f>
        <v>NIRMA LAILATUL AIDA</v>
      </c>
      <c r="C96" s="4">
        <f>IFERROR(__xludf.DUMMYFUNCTION("""COMPUTED_VALUE"""),2.024070541E9)</f>
        <v>2024070541</v>
      </c>
      <c r="D96" s="4" t="str">
        <f>IFERROR(__xludf.DUMMYFUNCTION("""COMPUTED_VALUE"""),"E")</f>
        <v>E</v>
      </c>
      <c r="E96" s="4" t="str">
        <f>IFERROR(__xludf.DUMMYFUNCTION("""COMPUTED_VALUE"""),"E-2")</f>
        <v>E-2</v>
      </c>
      <c r="F96" s="4">
        <f>IFERROR(__xludf.DUMMYFUNCTION("""COMPUTED_VALUE"""),3.0)</f>
        <v>3</v>
      </c>
      <c r="G96" s="4" t="str">
        <f>IFERROR(__xludf.DUMMYFUNCTION("""COMPUTED_VALUE"""),"3 ULA A PUTRI")</f>
        <v>3 ULA A PUTRI</v>
      </c>
      <c r="H96" s="4" t="str">
        <f>IFERROR(__xludf.DUMMYFUNCTION("""COMPUTED_VALUE"""),"6285855714013")</f>
        <v>6285855714013</v>
      </c>
      <c r="I96" s="5">
        <f>IFERROR(__xludf.DUMMYFUNCTION("""COMPUTED_VALUE"""),0.0)</f>
        <v>0</v>
      </c>
      <c r="J96" s="5">
        <f>IFERROR(__xludf.DUMMYFUNCTION("""COMPUTED_VALUE"""),1000000.0)</f>
        <v>1000000</v>
      </c>
      <c r="K96" s="5">
        <f>IFERROR(__xludf.DUMMYFUNCTION("""COMPUTED_VALUE"""),0.0)</f>
        <v>0</v>
      </c>
      <c r="L96" s="5">
        <f>IFERROR(__xludf.DUMMYFUNCTION("""COMPUTED_VALUE"""),1000000.0)</f>
        <v>1000000</v>
      </c>
      <c r="M96" s="14" t="str">
        <f t="shared" ref="M96:P96" si="97">text(I96,"Rp #,##0")</f>
        <v>Rp 0</v>
      </c>
      <c r="N96" s="14" t="str">
        <f t="shared" si="97"/>
        <v>Rp 1.000.000</v>
      </c>
      <c r="O96" s="14" t="str">
        <f t="shared" si="97"/>
        <v>Rp 0</v>
      </c>
      <c r="P96" s="14" t="str">
        <f t="shared" si="97"/>
        <v>Rp 1.000.000</v>
      </c>
      <c r="Q96" s="14" t="str">
        <f t="shared" si="4"/>
        <v>Syahriyah = Rp 0
Jariyah = Rp 1.000.000
Daftar Ulang = Rp 0
Total = Rp 1.000.000
______________________
ID : 2024070541</v>
      </c>
    </row>
    <row r="97">
      <c r="A97" s="18">
        <f t="shared" si="2"/>
        <v>96</v>
      </c>
      <c r="B97" s="4" t="str">
        <f>IFERROR(__xludf.DUMMYFUNCTION("""COMPUTED_VALUE"""),"NUR LABIBATUS SHOLIHAH")</f>
        <v>NUR LABIBATUS SHOLIHAH</v>
      </c>
      <c r="C97" s="4">
        <f>IFERROR(__xludf.DUMMYFUNCTION("""COMPUTED_VALUE"""),2.024070568E9)</f>
        <v>2024070568</v>
      </c>
      <c r="D97" s="4" t="str">
        <f>IFERROR(__xludf.DUMMYFUNCTION("""COMPUTED_VALUE"""),"E")</f>
        <v>E</v>
      </c>
      <c r="E97" s="4" t="str">
        <f>IFERROR(__xludf.DUMMYFUNCTION("""COMPUTED_VALUE"""),"E-3")</f>
        <v>E-3</v>
      </c>
      <c r="F97" s="4">
        <f>IFERROR(__xludf.DUMMYFUNCTION("""COMPUTED_VALUE"""),3.0)</f>
        <v>3</v>
      </c>
      <c r="G97" s="4" t="str">
        <f>IFERROR(__xludf.DUMMYFUNCTION("""COMPUTED_VALUE"""),"3 ULA A PUTRI")</f>
        <v>3 ULA A PUTRI</v>
      </c>
      <c r="H97" s="4" t="str">
        <f>IFERROR(__xludf.DUMMYFUNCTION("""COMPUTED_VALUE"""),"6285853423327")</f>
        <v>6285853423327</v>
      </c>
      <c r="I97" s="5">
        <f>IFERROR(__xludf.DUMMYFUNCTION("""COMPUTED_VALUE"""),0.0)</f>
        <v>0</v>
      </c>
      <c r="J97" s="5">
        <f>IFERROR(__xludf.DUMMYFUNCTION("""COMPUTED_VALUE"""),1000000.0)</f>
        <v>1000000</v>
      </c>
      <c r="K97" s="5">
        <f>IFERROR(__xludf.DUMMYFUNCTION("""COMPUTED_VALUE"""),0.0)</f>
        <v>0</v>
      </c>
      <c r="L97" s="5">
        <f>IFERROR(__xludf.DUMMYFUNCTION("""COMPUTED_VALUE"""),1000000.0)</f>
        <v>1000000</v>
      </c>
      <c r="M97" s="14" t="str">
        <f t="shared" ref="M97:P97" si="98">text(I97,"Rp #,##0")</f>
        <v>Rp 0</v>
      </c>
      <c r="N97" s="14" t="str">
        <f t="shared" si="98"/>
        <v>Rp 1.000.000</v>
      </c>
      <c r="O97" s="14" t="str">
        <f t="shared" si="98"/>
        <v>Rp 0</v>
      </c>
      <c r="P97" s="14" t="str">
        <f t="shared" si="98"/>
        <v>Rp 1.000.000</v>
      </c>
      <c r="Q97" s="14" t="str">
        <f t="shared" si="4"/>
        <v>Syahriyah = Rp 0
Jariyah = Rp 1.000.000
Daftar Ulang = Rp 0
Total = Rp 1.000.000
______________________
ID : 2024070568</v>
      </c>
    </row>
    <row r="98">
      <c r="A98" s="18">
        <f t="shared" si="2"/>
        <v>97</v>
      </c>
      <c r="B98" s="4" t="str">
        <f>IFERROR(__xludf.DUMMYFUNCTION("""COMPUTED_VALUE"""),"NURUL IFADATUL HASANAH")</f>
        <v>NURUL IFADATUL HASANAH</v>
      </c>
      <c r="C98" s="4">
        <f>IFERROR(__xludf.DUMMYFUNCTION("""COMPUTED_VALUE"""),2.024070542E9)</f>
        <v>2024070542</v>
      </c>
      <c r="D98" s="4" t="str">
        <f>IFERROR(__xludf.DUMMYFUNCTION("""COMPUTED_VALUE"""),"E")</f>
        <v>E</v>
      </c>
      <c r="E98" s="4" t="str">
        <f>IFERROR(__xludf.DUMMYFUNCTION("""COMPUTED_VALUE"""),"E-3")</f>
        <v>E-3</v>
      </c>
      <c r="F98" s="4">
        <f>IFERROR(__xludf.DUMMYFUNCTION("""COMPUTED_VALUE"""),3.0)</f>
        <v>3</v>
      </c>
      <c r="G98" s="4" t="str">
        <f>IFERROR(__xludf.DUMMYFUNCTION("""COMPUTED_VALUE"""),"3 ULA B PUTRI")</f>
        <v>3 ULA B PUTRI</v>
      </c>
      <c r="H98" s="4" t="str">
        <f>IFERROR(__xludf.DUMMYFUNCTION("""COMPUTED_VALUE"""),"6282230412303")</f>
        <v>6282230412303</v>
      </c>
      <c r="I98" s="5">
        <f>IFERROR(__xludf.DUMMYFUNCTION("""COMPUTED_VALUE"""),0.0)</f>
        <v>0</v>
      </c>
      <c r="J98" s="5">
        <f>IFERROR(__xludf.DUMMYFUNCTION("""COMPUTED_VALUE"""),1000000.0)</f>
        <v>1000000</v>
      </c>
      <c r="K98" s="5">
        <f>IFERROR(__xludf.DUMMYFUNCTION("""COMPUTED_VALUE"""),0.0)</f>
        <v>0</v>
      </c>
      <c r="L98" s="5">
        <f>IFERROR(__xludf.DUMMYFUNCTION("""COMPUTED_VALUE"""),1000000.0)</f>
        <v>1000000</v>
      </c>
      <c r="M98" s="14" t="str">
        <f t="shared" ref="M98:P98" si="99">text(I98,"Rp #,##0")</f>
        <v>Rp 0</v>
      </c>
      <c r="N98" s="14" t="str">
        <f t="shared" si="99"/>
        <v>Rp 1.000.000</v>
      </c>
      <c r="O98" s="14" t="str">
        <f t="shared" si="99"/>
        <v>Rp 0</v>
      </c>
      <c r="P98" s="14" t="str">
        <f t="shared" si="99"/>
        <v>Rp 1.000.000</v>
      </c>
      <c r="Q98" s="14" t="str">
        <f t="shared" si="4"/>
        <v>Syahriyah = Rp 0
Jariyah = Rp 1.000.000
Daftar Ulang = Rp 0
Total = Rp 1.000.000
______________________
ID : 2024070542</v>
      </c>
    </row>
    <row r="99">
      <c r="A99" s="18">
        <f t="shared" si="2"/>
        <v>98</v>
      </c>
      <c r="B99" s="4" t="str">
        <f>IFERROR(__xludf.DUMMYFUNCTION("""COMPUTED_VALUE"""),"QUEENSHA KHAURA AFIQAH AL AZIFA")</f>
        <v>QUEENSHA KHAURA AFIQAH AL AZIFA</v>
      </c>
      <c r="C99" s="4">
        <f>IFERROR(__xludf.DUMMYFUNCTION("""COMPUTED_VALUE"""),2.024070647E9)</f>
        <v>2024070647</v>
      </c>
      <c r="D99" s="4" t="str">
        <f>IFERROR(__xludf.DUMMYFUNCTION("""COMPUTED_VALUE"""),"E")</f>
        <v>E</v>
      </c>
      <c r="E99" s="4" t="str">
        <f>IFERROR(__xludf.DUMMYFUNCTION("""COMPUTED_VALUE"""),"E-9")</f>
        <v>E-9</v>
      </c>
      <c r="F99" s="4">
        <f>IFERROR(__xludf.DUMMYFUNCTION("""COMPUTED_VALUE"""),3.0)</f>
        <v>3</v>
      </c>
      <c r="G99" s="4" t="str">
        <f>IFERROR(__xludf.DUMMYFUNCTION("""COMPUTED_VALUE"""),"3 ULA B PUTRI")</f>
        <v>3 ULA B PUTRI</v>
      </c>
      <c r="H99" s="4" t="str">
        <f>IFERROR(__xludf.DUMMYFUNCTION("""COMPUTED_VALUE"""),"628573050168")</f>
        <v>628573050168</v>
      </c>
      <c r="I99" s="5">
        <f>IFERROR(__xludf.DUMMYFUNCTION("""COMPUTED_VALUE"""),0.0)</f>
        <v>0</v>
      </c>
      <c r="J99" s="5">
        <f>IFERROR(__xludf.DUMMYFUNCTION("""COMPUTED_VALUE"""),1000000.0)</f>
        <v>1000000</v>
      </c>
      <c r="K99" s="5">
        <f>IFERROR(__xludf.DUMMYFUNCTION("""COMPUTED_VALUE"""),0.0)</f>
        <v>0</v>
      </c>
      <c r="L99" s="5">
        <f>IFERROR(__xludf.DUMMYFUNCTION("""COMPUTED_VALUE"""),1000000.0)</f>
        <v>1000000</v>
      </c>
      <c r="M99" s="14" t="str">
        <f t="shared" ref="M99:P99" si="100">text(I99,"Rp #,##0")</f>
        <v>Rp 0</v>
      </c>
      <c r="N99" s="14" t="str">
        <f t="shared" si="100"/>
        <v>Rp 1.000.000</v>
      </c>
      <c r="O99" s="14" t="str">
        <f t="shared" si="100"/>
        <v>Rp 0</v>
      </c>
      <c r="P99" s="14" t="str">
        <f t="shared" si="100"/>
        <v>Rp 1.000.000</v>
      </c>
      <c r="Q99" s="14" t="str">
        <f t="shared" si="4"/>
        <v>Syahriyah = Rp 0
Jariyah = Rp 1.000.000
Daftar Ulang = Rp 0
Total = Rp 1.000.000
______________________
ID : 2024070647</v>
      </c>
    </row>
    <row r="100">
      <c r="A100" s="18">
        <f t="shared" si="2"/>
        <v>99</v>
      </c>
      <c r="B100" s="4" t="str">
        <f>IFERROR(__xludf.DUMMYFUNCTION("""COMPUTED_VALUE"""),"RENY ARYSTA MIERZA")</f>
        <v>RENY ARYSTA MIERZA</v>
      </c>
      <c r="C100" s="4">
        <f>IFERROR(__xludf.DUMMYFUNCTION("""COMPUTED_VALUE"""),2.024070583E9)</f>
        <v>2024070583</v>
      </c>
      <c r="D100" s="4" t="str">
        <f>IFERROR(__xludf.DUMMYFUNCTION("""COMPUTED_VALUE"""),"E")</f>
        <v>E</v>
      </c>
      <c r="E100" s="4" t="str">
        <f>IFERROR(__xludf.DUMMYFUNCTION("""COMPUTED_VALUE"""),"E-9")</f>
        <v>E-9</v>
      </c>
      <c r="F100" s="4">
        <f>IFERROR(__xludf.DUMMYFUNCTION("""COMPUTED_VALUE"""),3.0)</f>
        <v>3</v>
      </c>
      <c r="G100" s="4" t="str">
        <f>IFERROR(__xludf.DUMMYFUNCTION("""COMPUTED_VALUE"""),"3 ULA B PUTRI")</f>
        <v>3 ULA B PUTRI</v>
      </c>
      <c r="H100" s="4" t="str">
        <f>IFERROR(__xludf.DUMMYFUNCTION("""COMPUTED_VALUE"""),"6285655316635")</f>
        <v>6285655316635</v>
      </c>
      <c r="I100" s="5">
        <f>IFERROR(__xludf.DUMMYFUNCTION("""COMPUTED_VALUE"""),0.0)</f>
        <v>0</v>
      </c>
      <c r="J100" s="5">
        <f>IFERROR(__xludf.DUMMYFUNCTION("""COMPUTED_VALUE"""),1000000.0)</f>
        <v>1000000</v>
      </c>
      <c r="K100" s="5">
        <f>IFERROR(__xludf.DUMMYFUNCTION("""COMPUTED_VALUE"""),0.0)</f>
        <v>0</v>
      </c>
      <c r="L100" s="5">
        <f>IFERROR(__xludf.DUMMYFUNCTION("""COMPUTED_VALUE"""),1000000.0)</f>
        <v>1000000</v>
      </c>
      <c r="M100" s="14" t="str">
        <f t="shared" ref="M100:P100" si="101">text(I100,"Rp #,##0")</f>
        <v>Rp 0</v>
      </c>
      <c r="N100" s="14" t="str">
        <f t="shared" si="101"/>
        <v>Rp 1.000.000</v>
      </c>
      <c r="O100" s="14" t="str">
        <f t="shared" si="101"/>
        <v>Rp 0</v>
      </c>
      <c r="P100" s="14" t="str">
        <f t="shared" si="101"/>
        <v>Rp 1.000.000</v>
      </c>
      <c r="Q100" s="14" t="str">
        <f t="shared" si="4"/>
        <v>Syahriyah = Rp 0
Jariyah = Rp 1.000.000
Daftar Ulang = Rp 0
Total = Rp 1.000.000
______________________
ID : 2024070583</v>
      </c>
    </row>
    <row r="101">
      <c r="A101" s="18">
        <f t="shared" si="2"/>
        <v>100</v>
      </c>
      <c r="B101" s="4" t="str">
        <f>IFERROR(__xludf.DUMMYFUNCTION("""COMPUTED_VALUE"""),"SALSABILLA DWI APRILLIA")</f>
        <v>SALSABILLA DWI APRILLIA</v>
      </c>
      <c r="C101" s="4">
        <f>IFERROR(__xludf.DUMMYFUNCTION("""COMPUTED_VALUE"""),2.024090774E9)</f>
        <v>2024090774</v>
      </c>
      <c r="D101" s="4" t="str">
        <f>IFERROR(__xludf.DUMMYFUNCTION("""COMPUTED_VALUE"""),"D")</f>
        <v>D</v>
      </c>
      <c r="E101" s="4" t="str">
        <f>IFERROR(__xludf.DUMMYFUNCTION("""COMPUTED_VALUE"""),"D-4")</f>
        <v>D-4</v>
      </c>
      <c r="F101" s="4">
        <f>IFERROR(__xludf.DUMMYFUNCTION("""COMPUTED_VALUE"""),3.0)</f>
        <v>3</v>
      </c>
      <c r="G101" s="4"/>
      <c r="H101" s="4" t="str">
        <f>IFERROR(__xludf.DUMMYFUNCTION("""COMPUTED_VALUE"""),"6285648660015")</f>
        <v>6285648660015</v>
      </c>
      <c r="I101" s="5">
        <f>IFERROR(__xludf.DUMMYFUNCTION("""COMPUTED_VALUE"""),0.0)</f>
        <v>0</v>
      </c>
      <c r="J101" s="5">
        <f>IFERROR(__xludf.DUMMYFUNCTION("""COMPUTED_VALUE"""),1000000.0)</f>
        <v>1000000</v>
      </c>
      <c r="K101" s="5">
        <f>IFERROR(__xludf.DUMMYFUNCTION("""COMPUTED_VALUE"""),0.0)</f>
        <v>0</v>
      </c>
      <c r="L101" s="5">
        <f>IFERROR(__xludf.DUMMYFUNCTION("""COMPUTED_VALUE"""),1000000.0)</f>
        <v>1000000</v>
      </c>
      <c r="M101" s="14" t="str">
        <f t="shared" ref="M101:P101" si="102">text(I101,"Rp #,##0")</f>
        <v>Rp 0</v>
      </c>
      <c r="N101" s="14" t="str">
        <f t="shared" si="102"/>
        <v>Rp 1.000.000</v>
      </c>
      <c r="O101" s="14" t="str">
        <f t="shared" si="102"/>
        <v>Rp 0</v>
      </c>
      <c r="P101" s="14" t="str">
        <f t="shared" si="102"/>
        <v>Rp 1.000.000</v>
      </c>
      <c r="Q101" s="14" t="str">
        <f t="shared" si="4"/>
        <v>Syahriyah = Rp 0
Jariyah = Rp 1.000.000
Daftar Ulang = Rp 0
Total = Rp 1.000.000
______________________
ID : 2024090774</v>
      </c>
    </row>
    <row r="102">
      <c r="A102" s="18">
        <f t="shared" si="2"/>
        <v>101</v>
      </c>
      <c r="B102" s="4" t="str">
        <f>IFERROR(__xludf.DUMMYFUNCTION("""COMPUTED_VALUE"""),"BENY OCKTA")</f>
        <v>BENY OCKTA</v>
      </c>
      <c r="C102" s="4">
        <f>IFERROR(__xludf.DUMMYFUNCTION("""COMPUTED_VALUE"""),2.024070602E9)</f>
        <v>2024070602</v>
      </c>
      <c r="D102" s="4" t="str">
        <f>IFERROR(__xludf.DUMMYFUNCTION("""COMPUTED_VALUE"""),"A")</f>
        <v>A</v>
      </c>
      <c r="E102" s="4" t="str">
        <f>IFERROR(__xludf.DUMMYFUNCTION("""COMPUTED_VALUE"""),"A-7")</f>
        <v>A-7</v>
      </c>
      <c r="F102" s="4">
        <f>IFERROR(__xludf.DUMMYFUNCTION("""COMPUTED_VALUE"""),3.0)</f>
        <v>3</v>
      </c>
      <c r="G102" s="4" t="str">
        <f>IFERROR(__xludf.DUMMYFUNCTION("""COMPUTED_VALUE"""),"3 ULA B PUTRA")</f>
        <v>3 ULA B PUTRA</v>
      </c>
      <c r="H102" s="4" t="str">
        <f>IFERROR(__xludf.DUMMYFUNCTION("""COMPUTED_VALUE"""),"6285252386649")</f>
        <v>6285252386649</v>
      </c>
      <c r="I102" s="5">
        <f>IFERROR(__xludf.DUMMYFUNCTION("""COMPUTED_VALUE"""),0.0)</f>
        <v>0</v>
      </c>
      <c r="J102" s="5">
        <f>IFERROR(__xludf.DUMMYFUNCTION("""COMPUTED_VALUE"""),1000000.0)</f>
        <v>1000000</v>
      </c>
      <c r="K102" s="5">
        <f>IFERROR(__xludf.DUMMYFUNCTION("""COMPUTED_VALUE"""),250000.0)</f>
        <v>250000</v>
      </c>
      <c r="L102" s="5">
        <f>IFERROR(__xludf.DUMMYFUNCTION("""COMPUTED_VALUE"""),1250000.0)</f>
        <v>1250000</v>
      </c>
      <c r="M102" s="14" t="str">
        <f t="shared" ref="M102:P102" si="103">text(I102,"Rp #,##0")</f>
        <v>Rp 0</v>
      </c>
      <c r="N102" s="14" t="str">
        <f t="shared" si="103"/>
        <v>Rp 1.000.000</v>
      </c>
      <c r="O102" s="14" t="str">
        <f t="shared" si="103"/>
        <v>Rp 250.000</v>
      </c>
      <c r="P102" s="14" t="str">
        <f t="shared" si="103"/>
        <v>Rp 1.250.000</v>
      </c>
      <c r="Q102" s="14" t="str">
        <f t="shared" si="4"/>
        <v>Syahriyah = Rp 0
Jariyah = Rp 1.000.000
Daftar Ulang = Rp 250.000
Total = Rp 1.250.000
______________________
ID : 2024070602</v>
      </c>
    </row>
    <row r="103">
      <c r="A103" s="18">
        <f t="shared" si="2"/>
        <v>102</v>
      </c>
      <c r="B103" s="4" t="str">
        <f>IFERROR(__xludf.DUMMYFUNCTION("""COMPUTED_VALUE"""),"A`ISY SANIYA AZZAM")</f>
        <v>A`ISY SANIYA AZZAM</v>
      </c>
      <c r="C103" s="4">
        <f>IFERROR(__xludf.DUMMYFUNCTION("""COMPUTED_VALUE"""),2.02407037E9)</f>
        <v>2024070370</v>
      </c>
      <c r="D103" s="4" t="str">
        <f>IFERROR(__xludf.DUMMYFUNCTION("""COMPUTED_VALUE"""),"D")</f>
        <v>D</v>
      </c>
      <c r="E103" s="4" t="str">
        <f>IFERROR(__xludf.DUMMYFUNCTION("""COMPUTED_VALUE"""),"D-6")</f>
        <v>D-6</v>
      </c>
      <c r="F103" s="4">
        <f>IFERROR(__xludf.DUMMYFUNCTION("""COMPUTED_VALUE"""),3.0)</f>
        <v>3</v>
      </c>
      <c r="G103" s="4"/>
      <c r="H103" s="4" t="str">
        <f>IFERROR(__xludf.DUMMYFUNCTION("""COMPUTED_VALUE"""),"6285645020382")</f>
        <v>6285645020382</v>
      </c>
      <c r="I103" s="5">
        <f>IFERROR(__xludf.DUMMYFUNCTION("""COMPUTED_VALUE"""),1350000.0)</f>
        <v>1350000</v>
      </c>
      <c r="J103" s="5">
        <f>IFERROR(__xludf.DUMMYFUNCTION("""COMPUTED_VALUE"""),0.0)</f>
        <v>0</v>
      </c>
      <c r="K103" s="5">
        <f>IFERROR(__xludf.DUMMYFUNCTION("""COMPUTED_VALUE"""),0.0)</f>
        <v>0</v>
      </c>
      <c r="L103" s="5">
        <f>IFERROR(__xludf.DUMMYFUNCTION("""COMPUTED_VALUE"""),1350000.0)</f>
        <v>1350000</v>
      </c>
      <c r="M103" s="14" t="str">
        <f t="shared" ref="M103:P103" si="104">text(I103,"Rp #,##0")</f>
        <v>Rp 1.350.000</v>
      </c>
      <c r="N103" s="14" t="str">
        <f t="shared" si="104"/>
        <v>Rp 0</v>
      </c>
      <c r="O103" s="14" t="str">
        <f t="shared" si="104"/>
        <v>Rp 0</v>
      </c>
      <c r="P103" s="14" t="str">
        <f t="shared" si="104"/>
        <v>Rp 1.350.000</v>
      </c>
      <c r="Q103" s="14" t="str">
        <f t="shared" si="4"/>
        <v>Syahriyah = Rp 1.350.000
Jariyah = Rp 0
Daftar Ulang = Rp 0
Total = Rp 1.350.000
______________________
ID : 2024070370</v>
      </c>
    </row>
    <row r="104">
      <c r="A104" s="18">
        <f t="shared" si="2"/>
        <v>103</v>
      </c>
      <c r="B104" s="4" t="str">
        <f>IFERROR(__xludf.DUMMYFUNCTION("""COMPUTED_VALUE"""),"DIAH MAHARANI ARDININGRUM")</f>
        <v>DIAH MAHARANI ARDININGRUM</v>
      </c>
      <c r="C104" s="4">
        <f>IFERROR(__xludf.DUMMYFUNCTION("""COMPUTED_VALUE"""),2.024080767E9)</f>
        <v>2024080767</v>
      </c>
      <c r="D104" s="4" t="str">
        <f>IFERROR(__xludf.DUMMYFUNCTION("""COMPUTED_VALUE"""),"D")</f>
        <v>D</v>
      </c>
      <c r="E104" s="4" t="str">
        <f>IFERROR(__xludf.DUMMYFUNCTION("""COMPUTED_VALUE"""),"D-7")</f>
        <v>D-7</v>
      </c>
      <c r="F104" s="4">
        <f>IFERROR(__xludf.DUMMYFUNCTION("""COMPUTED_VALUE"""),3.0)</f>
        <v>3</v>
      </c>
      <c r="G104" s="4" t="str">
        <f>IFERROR(__xludf.DUMMYFUNCTION("""COMPUTED_VALUE"""),"3 ULA B PUTRI")</f>
        <v>3 ULA B PUTRI</v>
      </c>
      <c r="H104" s="4" t="str">
        <f>IFERROR(__xludf.DUMMYFUNCTION("""COMPUTED_VALUE"""),"62881217430350")</f>
        <v>62881217430350</v>
      </c>
      <c r="I104" s="5">
        <f>IFERROR(__xludf.DUMMYFUNCTION("""COMPUTED_VALUE"""),1350000.0)</f>
        <v>1350000</v>
      </c>
      <c r="J104" s="5">
        <f>IFERROR(__xludf.DUMMYFUNCTION("""COMPUTED_VALUE"""),0.0)</f>
        <v>0</v>
      </c>
      <c r="K104" s="5">
        <f>IFERROR(__xludf.DUMMYFUNCTION("""COMPUTED_VALUE"""),0.0)</f>
        <v>0</v>
      </c>
      <c r="L104" s="5">
        <f>IFERROR(__xludf.DUMMYFUNCTION("""COMPUTED_VALUE"""),1350000.0)</f>
        <v>1350000</v>
      </c>
      <c r="M104" s="14" t="str">
        <f t="shared" ref="M104:P104" si="105">text(I104,"Rp #,##0")</f>
        <v>Rp 1.350.000</v>
      </c>
      <c r="N104" s="14" t="str">
        <f t="shared" si="105"/>
        <v>Rp 0</v>
      </c>
      <c r="O104" s="14" t="str">
        <f t="shared" si="105"/>
        <v>Rp 0</v>
      </c>
      <c r="P104" s="14" t="str">
        <f t="shared" si="105"/>
        <v>Rp 1.350.000</v>
      </c>
      <c r="Q104" s="14" t="str">
        <f t="shared" si="4"/>
        <v>Syahriyah = Rp 1.350.000
Jariyah = Rp 0
Daftar Ulang = Rp 0
Total = Rp 1.350.000
______________________
ID : 2024080767</v>
      </c>
    </row>
    <row r="105">
      <c r="A105" s="18">
        <f t="shared" si="2"/>
        <v>104</v>
      </c>
      <c r="B105" s="4" t="str">
        <f>IFERROR(__xludf.DUMMYFUNCTION("""COMPUTED_VALUE"""),"FILDZAH ALTOFUN NESA")</f>
        <v>FILDZAH ALTOFUN NESA</v>
      </c>
      <c r="C105" s="4">
        <f>IFERROR(__xludf.DUMMYFUNCTION("""COMPUTED_VALUE"""),2.024070549E9)</f>
        <v>2024070549</v>
      </c>
      <c r="D105" s="4" t="str">
        <f>IFERROR(__xludf.DUMMYFUNCTION("""COMPUTED_VALUE"""),"C")</f>
        <v>C</v>
      </c>
      <c r="E105" s="4" t="str">
        <f>IFERROR(__xludf.DUMMYFUNCTION("""COMPUTED_VALUE"""),"C-12")</f>
        <v>C-12</v>
      </c>
      <c r="F105" s="4">
        <f>IFERROR(__xludf.DUMMYFUNCTION("""COMPUTED_VALUE"""),3.0)</f>
        <v>3</v>
      </c>
      <c r="G105" s="4" t="str">
        <f>IFERROR(__xludf.DUMMYFUNCTION("""COMPUTED_VALUE"""),"3 ULA B PUTRI")</f>
        <v>3 ULA B PUTRI</v>
      </c>
      <c r="H105" s="4" t="str">
        <f>IFERROR(__xludf.DUMMYFUNCTION("""COMPUTED_VALUE"""),"628121719135")</f>
        <v>628121719135</v>
      </c>
      <c r="I105" s="5">
        <f>IFERROR(__xludf.DUMMYFUNCTION("""COMPUTED_VALUE"""),1350000.0)</f>
        <v>1350000</v>
      </c>
      <c r="J105" s="5">
        <f>IFERROR(__xludf.DUMMYFUNCTION("""COMPUTED_VALUE"""),0.0)</f>
        <v>0</v>
      </c>
      <c r="K105" s="5">
        <f>IFERROR(__xludf.DUMMYFUNCTION("""COMPUTED_VALUE"""),0.0)</f>
        <v>0</v>
      </c>
      <c r="L105" s="5">
        <f>IFERROR(__xludf.DUMMYFUNCTION("""COMPUTED_VALUE"""),1350000.0)</f>
        <v>1350000</v>
      </c>
      <c r="M105" s="14" t="str">
        <f t="shared" ref="M105:P105" si="106">text(I105,"Rp #,##0")</f>
        <v>Rp 1.350.000</v>
      </c>
      <c r="N105" s="14" t="str">
        <f t="shared" si="106"/>
        <v>Rp 0</v>
      </c>
      <c r="O105" s="14" t="str">
        <f t="shared" si="106"/>
        <v>Rp 0</v>
      </c>
      <c r="P105" s="14" t="str">
        <f t="shared" si="106"/>
        <v>Rp 1.350.000</v>
      </c>
      <c r="Q105" s="14" t="str">
        <f t="shared" si="4"/>
        <v>Syahriyah = Rp 1.350.000
Jariyah = Rp 0
Daftar Ulang = Rp 0
Total = Rp 1.350.000
______________________
ID : 2024070549</v>
      </c>
    </row>
    <row r="106">
      <c r="A106" s="18">
        <f t="shared" si="2"/>
        <v>105</v>
      </c>
      <c r="B106" s="4" t="str">
        <f>IFERROR(__xludf.DUMMYFUNCTION("""COMPUTED_VALUE"""),"MUHAMMAD VICTOR NAJIB BAIHAQI")</f>
        <v>MUHAMMAD VICTOR NAJIB BAIHAQI</v>
      </c>
      <c r="C106" s="4">
        <f>IFERROR(__xludf.DUMMYFUNCTION("""COMPUTED_VALUE"""),2.024070217E9)</f>
        <v>2024070217</v>
      </c>
      <c r="D106" s="4" t="str">
        <f>IFERROR(__xludf.DUMMYFUNCTION("""COMPUTED_VALUE"""),"A")</f>
        <v>A</v>
      </c>
      <c r="E106" s="4" t="str">
        <f>IFERROR(__xludf.DUMMYFUNCTION("""COMPUTED_VALUE"""),"A-12")</f>
        <v>A-12</v>
      </c>
      <c r="F106" s="4">
        <f>IFERROR(__xludf.DUMMYFUNCTION("""COMPUTED_VALUE"""),3.0)</f>
        <v>3</v>
      </c>
      <c r="G106" s="4" t="str">
        <f>IFERROR(__xludf.DUMMYFUNCTION("""COMPUTED_VALUE"""),"3 WUSTHO PUTRA")</f>
        <v>3 WUSTHO PUTRA</v>
      </c>
      <c r="H106" s="4" t="str">
        <f>IFERROR(__xludf.DUMMYFUNCTION("""COMPUTED_VALUE"""),"6285646194740")</f>
        <v>6285646194740</v>
      </c>
      <c r="I106" s="5">
        <f>IFERROR(__xludf.DUMMYFUNCTION("""COMPUTED_VALUE"""),1350000.0)</f>
        <v>1350000</v>
      </c>
      <c r="J106" s="5">
        <f>IFERROR(__xludf.DUMMYFUNCTION("""COMPUTED_VALUE"""),0.0)</f>
        <v>0</v>
      </c>
      <c r="K106" s="5">
        <f>IFERROR(__xludf.DUMMYFUNCTION("""COMPUTED_VALUE"""),0.0)</f>
        <v>0</v>
      </c>
      <c r="L106" s="5">
        <f>IFERROR(__xludf.DUMMYFUNCTION("""COMPUTED_VALUE"""),1350000.0)</f>
        <v>1350000</v>
      </c>
      <c r="M106" s="14" t="str">
        <f t="shared" ref="M106:P106" si="107">text(I106,"Rp #,##0")</f>
        <v>Rp 1.350.000</v>
      </c>
      <c r="N106" s="14" t="str">
        <f t="shared" si="107"/>
        <v>Rp 0</v>
      </c>
      <c r="O106" s="14" t="str">
        <f t="shared" si="107"/>
        <v>Rp 0</v>
      </c>
      <c r="P106" s="14" t="str">
        <f t="shared" si="107"/>
        <v>Rp 1.350.000</v>
      </c>
      <c r="Q106" s="14" t="str">
        <f t="shared" si="4"/>
        <v>Syahriyah = Rp 1.350.000
Jariyah = Rp 0
Daftar Ulang = Rp 0
Total = Rp 1.350.000
______________________
ID : 2024070217</v>
      </c>
    </row>
    <row r="107">
      <c r="A107" s="18">
        <f t="shared" si="2"/>
        <v>106</v>
      </c>
      <c r="B107" s="4" t="str">
        <f>IFERROR(__xludf.DUMMYFUNCTION("""COMPUTED_VALUE"""),"ALIFIA SEPTIANI AZ ZAHRA")</f>
        <v>ALIFIA SEPTIANI AZ ZAHRA</v>
      </c>
      <c r="C107" s="4">
        <f>IFERROR(__xludf.DUMMYFUNCTION("""COMPUTED_VALUE"""),2.024090773E9)</f>
        <v>2024090773</v>
      </c>
      <c r="D107" s="4" t="str">
        <f>IFERROR(__xludf.DUMMYFUNCTION("""COMPUTED_VALUE"""),"B")</f>
        <v>B</v>
      </c>
      <c r="E107" s="4" t="str">
        <f>IFERROR(__xludf.DUMMYFUNCTION("""COMPUTED_VALUE"""),"B-9")</f>
        <v>B-9</v>
      </c>
      <c r="F107" s="4">
        <f>IFERROR(__xludf.DUMMYFUNCTION("""COMPUTED_VALUE"""),3.0)</f>
        <v>3</v>
      </c>
      <c r="G107" s="4" t="str">
        <f>IFERROR(__xludf.DUMMYFUNCTION("""COMPUTED_VALUE"""),"3 ULA C PUTRI")</f>
        <v>3 ULA C PUTRI</v>
      </c>
      <c r="H107" s="4" t="str">
        <f>IFERROR(__xludf.DUMMYFUNCTION("""COMPUTED_VALUE"""),"6281556637615")</f>
        <v>6281556637615</v>
      </c>
      <c r="I107" s="5">
        <f>IFERROR(__xludf.DUMMYFUNCTION("""COMPUTED_VALUE"""),900000.0)</f>
        <v>900000</v>
      </c>
      <c r="J107" s="5">
        <f>IFERROR(__xludf.DUMMYFUNCTION("""COMPUTED_VALUE"""),500000.0)</f>
        <v>500000</v>
      </c>
      <c r="K107" s="5">
        <f>IFERROR(__xludf.DUMMYFUNCTION("""COMPUTED_VALUE"""),0.0)</f>
        <v>0</v>
      </c>
      <c r="L107" s="5">
        <f>IFERROR(__xludf.DUMMYFUNCTION("""COMPUTED_VALUE"""),1400000.0)</f>
        <v>1400000</v>
      </c>
      <c r="M107" s="14" t="str">
        <f t="shared" ref="M107:P107" si="108">text(I107,"Rp #,##0")</f>
        <v>Rp 900.000</v>
      </c>
      <c r="N107" s="14" t="str">
        <f t="shared" si="108"/>
        <v>Rp 500.000</v>
      </c>
      <c r="O107" s="14" t="str">
        <f t="shared" si="108"/>
        <v>Rp 0</v>
      </c>
      <c r="P107" s="14" t="str">
        <f t="shared" si="108"/>
        <v>Rp 1.400.000</v>
      </c>
      <c r="Q107" s="14" t="str">
        <f t="shared" si="4"/>
        <v>Syahriyah = Rp 900.000
Jariyah = Rp 500.000
Daftar Ulang = Rp 0
Total = Rp 1.400.000
______________________
ID : 2024090773</v>
      </c>
    </row>
    <row r="108">
      <c r="A108" s="18">
        <f t="shared" si="2"/>
        <v>107</v>
      </c>
      <c r="B108" s="4" t="str">
        <f>IFERROR(__xludf.DUMMYFUNCTION("""COMPUTED_VALUE"""),"ANINDYA FAZURA RAHMA")</f>
        <v>ANINDYA FAZURA RAHMA</v>
      </c>
      <c r="C108" s="4">
        <f>IFERROR(__xludf.DUMMYFUNCTION("""COMPUTED_VALUE"""),2.024070675E9)</f>
        <v>2024070675</v>
      </c>
      <c r="D108" s="4" t="str">
        <f>IFERROR(__xludf.DUMMYFUNCTION("""COMPUTED_VALUE"""),"B")</f>
        <v>B</v>
      </c>
      <c r="E108" s="4" t="str">
        <f>IFERROR(__xludf.DUMMYFUNCTION("""COMPUTED_VALUE"""),"B-4")</f>
        <v>B-4</v>
      </c>
      <c r="F108" s="4">
        <f>IFERROR(__xludf.DUMMYFUNCTION("""COMPUTED_VALUE"""),3.0)</f>
        <v>3</v>
      </c>
      <c r="G108" s="4" t="str">
        <f>IFERROR(__xludf.DUMMYFUNCTION("""COMPUTED_VALUE"""),"3 WUSTHO C PUTRI")</f>
        <v>3 WUSTHO C PUTRI</v>
      </c>
      <c r="H108" s="4" t="str">
        <f>IFERROR(__xludf.DUMMYFUNCTION("""COMPUTED_VALUE"""),"6281357042388")</f>
        <v>6281357042388</v>
      </c>
      <c r="I108" s="5">
        <f>IFERROR(__xludf.DUMMYFUNCTION("""COMPUTED_VALUE"""),900000.0)</f>
        <v>900000</v>
      </c>
      <c r="J108" s="5">
        <f>IFERROR(__xludf.DUMMYFUNCTION("""COMPUTED_VALUE"""),500000.0)</f>
        <v>500000</v>
      </c>
      <c r="K108" s="5">
        <f>IFERROR(__xludf.DUMMYFUNCTION("""COMPUTED_VALUE"""),0.0)</f>
        <v>0</v>
      </c>
      <c r="L108" s="5">
        <f>IFERROR(__xludf.DUMMYFUNCTION("""COMPUTED_VALUE"""),1400000.0)</f>
        <v>1400000</v>
      </c>
      <c r="M108" s="14" t="str">
        <f t="shared" ref="M108:P108" si="109">text(I108,"Rp #,##0")</f>
        <v>Rp 900.000</v>
      </c>
      <c r="N108" s="14" t="str">
        <f t="shared" si="109"/>
        <v>Rp 500.000</v>
      </c>
      <c r="O108" s="14" t="str">
        <f t="shared" si="109"/>
        <v>Rp 0</v>
      </c>
      <c r="P108" s="14" t="str">
        <f t="shared" si="109"/>
        <v>Rp 1.400.000</v>
      </c>
      <c r="Q108" s="14" t="str">
        <f t="shared" si="4"/>
        <v>Syahriyah = Rp 900.000
Jariyah = Rp 500.000
Daftar Ulang = Rp 0
Total = Rp 1.400.000
______________________
ID : 2024070675</v>
      </c>
    </row>
    <row r="109">
      <c r="A109" s="18">
        <f t="shared" si="2"/>
        <v>108</v>
      </c>
      <c r="B109" s="4" t="str">
        <f>IFERROR(__xludf.DUMMYFUNCTION("""COMPUTED_VALUE"""),"ARVEL ALIF SYAIFULLAH")</f>
        <v>ARVEL ALIF SYAIFULLAH</v>
      </c>
      <c r="C109" s="4">
        <f>IFERROR(__xludf.DUMMYFUNCTION("""COMPUTED_VALUE"""),2.024070652E9)</f>
        <v>2024070652</v>
      </c>
      <c r="D109" s="4" t="str">
        <f>IFERROR(__xludf.DUMMYFUNCTION("""COMPUTED_VALUE"""),"A")</f>
        <v>A</v>
      </c>
      <c r="E109" s="4" t="str">
        <f>IFERROR(__xludf.DUMMYFUNCTION("""COMPUTED_VALUE"""),"A-7")</f>
        <v>A-7</v>
      </c>
      <c r="F109" s="4">
        <f>IFERROR(__xludf.DUMMYFUNCTION("""COMPUTED_VALUE"""),3.0)</f>
        <v>3</v>
      </c>
      <c r="G109" s="4" t="str">
        <f>IFERROR(__xludf.DUMMYFUNCTION("""COMPUTED_VALUE"""),"3 ULA A PUTRA")</f>
        <v>3 ULA A PUTRA</v>
      </c>
      <c r="H109" s="4" t="str">
        <f>IFERROR(__xludf.DUMMYFUNCTION("""COMPUTED_VALUE"""),"6282139016910")</f>
        <v>6282139016910</v>
      </c>
      <c r="I109" s="5">
        <f>IFERROR(__xludf.DUMMYFUNCTION("""COMPUTED_VALUE"""),900000.0)</f>
        <v>900000</v>
      </c>
      <c r="J109" s="5">
        <f>IFERROR(__xludf.DUMMYFUNCTION("""COMPUTED_VALUE"""),500000.0)</f>
        <v>500000</v>
      </c>
      <c r="K109" s="5">
        <f>IFERROR(__xludf.DUMMYFUNCTION("""COMPUTED_VALUE"""),0.0)</f>
        <v>0</v>
      </c>
      <c r="L109" s="5">
        <f>IFERROR(__xludf.DUMMYFUNCTION("""COMPUTED_VALUE"""),1400000.0)</f>
        <v>1400000</v>
      </c>
      <c r="M109" s="14" t="str">
        <f t="shared" ref="M109:P109" si="110">text(I109,"Rp #,##0")</f>
        <v>Rp 900.000</v>
      </c>
      <c r="N109" s="14" t="str">
        <f t="shared" si="110"/>
        <v>Rp 500.000</v>
      </c>
      <c r="O109" s="14" t="str">
        <f t="shared" si="110"/>
        <v>Rp 0</v>
      </c>
      <c r="P109" s="14" t="str">
        <f t="shared" si="110"/>
        <v>Rp 1.400.000</v>
      </c>
      <c r="Q109" s="14" t="str">
        <f t="shared" si="4"/>
        <v>Syahriyah = Rp 900.000
Jariyah = Rp 500.000
Daftar Ulang = Rp 0
Total = Rp 1.400.000
______________________
ID : 2024070652</v>
      </c>
    </row>
    <row r="110">
      <c r="A110" s="18">
        <f t="shared" si="2"/>
        <v>109</v>
      </c>
      <c r="B110" s="4" t="str">
        <f>IFERROR(__xludf.DUMMYFUNCTION("""COMPUTED_VALUE"""),"JESSICA SALSABILA")</f>
        <v>JESSICA SALSABILA</v>
      </c>
      <c r="C110" s="4">
        <f>IFERROR(__xludf.DUMMYFUNCTION("""COMPUTED_VALUE"""),2.024070564E9)</f>
        <v>2024070564</v>
      </c>
      <c r="D110" s="4" t="str">
        <f>IFERROR(__xludf.DUMMYFUNCTION("""COMPUTED_VALUE"""),"B")</f>
        <v>B</v>
      </c>
      <c r="E110" s="4" t="str">
        <f>IFERROR(__xludf.DUMMYFUNCTION("""COMPUTED_VALUE"""),"B-9")</f>
        <v>B-9</v>
      </c>
      <c r="F110" s="4">
        <f>IFERROR(__xludf.DUMMYFUNCTION("""COMPUTED_VALUE"""),3.0)</f>
        <v>3</v>
      </c>
      <c r="G110" s="4" t="str">
        <f>IFERROR(__xludf.DUMMYFUNCTION("""COMPUTED_VALUE"""),"3 ULA A PUTRI")</f>
        <v>3 ULA A PUTRI</v>
      </c>
      <c r="H110" s="4" t="str">
        <f>IFERROR(__xludf.DUMMYFUNCTION("""COMPUTED_VALUE"""),"628585260032")</f>
        <v>628585260032</v>
      </c>
      <c r="I110" s="5">
        <f>IFERROR(__xludf.DUMMYFUNCTION("""COMPUTED_VALUE"""),900000.0)</f>
        <v>900000</v>
      </c>
      <c r="J110" s="5">
        <f>IFERROR(__xludf.DUMMYFUNCTION("""COMPUTED_VALUE"""),500000.0)</f>
        <v>500000</v>
      </c>
      <c r="K110" s="5">
        <f>IFERROR(__xludf.DUMMYFUNCTION("""COMPUTED_VALUE"""),0.0)</f>
        <v>0</v>
      </c>
      <c r="L110" s="5">
        <f>IFERROR(__xludf.DUMMYFUNCTION("""COMPUTED_VALUE"""),1400000.0)</f>
        <v>1400000</v>
      </c>
      <c r="M110" s="14" t="str">
        <f t="shared" ref="M110:P110" si="111">text(I110,"Rp #,##0")</f>
        <v>Rp 900.000</v>
      </c>
      <c r="N110" s="14" t="str">
        <f t="shared" si="111"/>
        <v>Rp 500.000</v>
      </c>
      <c r="O110" s="14" t="str">
        <f t="shared" si="111"/>
        <v>Rp 0</v>
      </c>
      <c r="P110" s="14" t="str">
        <f t="shared" si="111"/>
        <v>Rp 1.400.000</v>
      </c>
      <c r="Q110" s="14" t="str">
        <f t="shared" si="4"/>
        <v>Syahriyah = Rp 900.000
Jariyah = Rp 500.000
Daftar Ulang = Rp 0
Total = Rp 1.400.000
______________________
ID : 2024070564</v>
      </c>
    </row>
    <row r="111">
      <c r="A111" s="18">
        <f t="shared" si="2"/>
        <v>110</v>
      </c>
      <c r="B111" s="4" t="str">
        <f>IFERROR(__xludf.DUMMYFUNCTION("""COMPUTED_VALUE"""),"KHAYLA NOVITA PUTRI")</f>
        <v>KHAYLA NOVITA PUTRI</v>
      </c>
      <c r="C111" s="4">
        <f>IFERROR(__xludf.DUMMYFUNCTION("""COMPUTED_VALUE"""),2.0240705E9)</f>
        <v>2024070500</v>
      </c>
      <c r="D111" s="4" t="str">
        <f>IFERROR(__xludf.DUMMYFUNCTION("""COMPUTED_VALUE"""),"B")</f>
        <v>B</v>
      </c>
      <c r="E111" s="4" t="str">
        <f>IFERROR(__xludf.DUMMYFUNCTION("""COMPUTED_VALUE"""),"B-9")</f>
        <v>B-9</v>
      </c>
      <c r="F111" s="4">
        <f>IFERROR(__xludf.DUMMYFUNCTION("""COMPUTED_VALUE"""),3.0)</f>
        <v>3</v>
      </c>
      <c r="G111" s="4" t="str">
        <f>IFERROR(__xludf.DUMMYFUNCTION("""COMPUTED_VALUE"""),"3 ULA B PUTRI")</f>
        <v>3 ULA B PUTRI</v>
      </c>
      <c r="H111" s="4" t="str">
        <f>IFERROR(__xludf.DUMMYFUNCTION("""COMPUTED_VALUE"""),"6281259310643")</f>
        <v>6281259310643</v>
      </c>
      <c r="I111" s="5">
        <f>IFERROR(__xludf.DUMMYFUNCTION("""COMPUTED_VALUE"""),900000.0)</f>
        <v>900000</v>
      </c>
      <c r="J111" s="5">
        <f>IFERROR(__xludf.DUMMYFUNCTION("""COMPUTED_VALUE"""),500000.0)</f>
        <v>500000</v>
      </c>
      <c r="K111" s="5">
        <f>IFERROR(__xludf.DUMMYFUNCTION("""COMPUTED_VALUE"""),0.0)</f>
        <v>0</v>
      </c>
      <c r="L111" s="5">
        <f>IFERROR(__xludf.DUMMYFUNCTION("""COMPUTED_VALUE"""),1400000.0)</f>
        <v>1400000</v>
      </c>
      <c r="M111" s="14" t="str">
        <f t="shared" ref="M111:P111" si="112">text(I111,"Rp #,##0")</f>
        <v>Rp 900.000</v>
      </c>
      <c r="N111" s="14" t="str">
        <f t="shared" si="112"/>
        <v>Rp 500.000</v>
      </c>
      <c r="O111" s="14" t="str">
        <f t="shared" si="112"/>
        <v>Rp 0</v>
      </c>
      <c r="P111" s="14" t="str">
        <f t="shared" si="112"/>
        <v>Rp 1.400.000</v>
      </c>
      <c r="Q111" s="14" t="str">
        <f t="shared" si="4"/>
        <v>Syahriyah = Rp 900.000
Jariyah = Rp 500.000
Daftar Ulang = Rp 0
Total = Rp 1.400.000
______________________
ID : 2024070500</v>
      </c>
    </row>
    <row r="112">
      <c r="A112" s="18">
        <f t="shared" si="2"/>
        <v>111</v>
      </c>
      <c r="B112" s="4" t="str">
        <f>IFERROR(__xludf.DUMMYFUNCTION("""COMPUTED_VALUE"""),"LELYANA DWI ROHMAWATIN")</f>
        <v>LELYANA DWI ROHMAWATIN</v>
      </c>
      <c r="C112" s="4">
        <f>IFERROR(__xludf.DUMMYFUNCTION("""COMPUTED_VALUE"""),2.024070014E9)</f>
        <v>2024070014</v>
      </c>
      <c r="D112" s="4" t="str">
        <f>IFERROR(__xludf.DUMMYFUNCTION("""COMPUTED_VALUE"""),"C")</f>
        <v>C</v>
      </c>
      <c r="E112" s="4" t="str">
        <f>IFERROR(__xludf.DUMMYFUNCTION("""COMPUTED_VALUE"""),"C-2")</f>
        <v>C-2</v>
      </c>
      <c r="F112" s="4">
        <f>IFERROR(__xludf.DUMMYFUNCTION("""COMPUTED_VALUE"""),3.0)</f>
        <v>3</v>
      </c>
      <c r="G112" s="4"/>
      <c r="H112" s="4" t="str">
        <f>IFERROR(__xludf.DUMMYFUNCTION("""COMPUTED_VALUE"""),"6285735756658")</f>
        <v>6285735756658</v>
      </c>
      <c r="I112" s="5">
        <f>IFERROR(__xludf.DUMMYFUNCTION("""COMPUTED_VALUE"""),900000.0)</f>
        <v>900000</v>
      </c>
      <c r="J112" s="5">
        <f>IFERROR(__xludf.DUMMYFUNCTION("""COMPUTED_VALUE"""),500000.0)</f>
        <v>500000</v>
      </c>
      <c r="K112" s="5">
        <f>IFERROR(__xludf.DUMMYFUNCTION("""COMPUTED_VALUE"""),0.0)</f>
        <v>0</v>
      </c>
      <c r="L112" s="5">
        <f>IFERROR(__xludf.DUMMYFUNCTION("""COMPUTED_VALUE"""),1400000.0)</f>
        <v>1400000</v>
      </c>
      <c r="M112" s="14" t="str">
        <f t="shared" ref="M112:P112" si="113">text(I112,"Rp #,##0")</f>
        <v>Rp 900.000</v>
      </c>
      <c r="N112" s="14" t="str">
        <f t="shared" si="113"/>
        <v>Rp 500.000</v>
      </c>
      <c r="O112" s="14" t="str">
        <f t="shared" si="113"/>
        <v>Rp 0</v>
      </c>
      <c r="P112" s="14" t="str">
        <f t="shared" si="113"/>
        <v>Rp 1.400.000</v>
      </c>
      <c r="Q112" s="14" t="str">
        <f t="shared" si="4"/>
        <v>Syahriyah = Rp 900.000
Jariyah = Rp 500.000
Daftar Ulang = Rp 0
Total = Rp 1.400.000
______________________
ID : 2024070014</v>
      </c>
    </row>
    <row r="113">
      <c r="A113" s="18">
        <f t="shared" si="2"/>
        <v>112</v>
      </c>
      <c r="B113" s="4" t="str">
        <f>IFERROR(__xludf.DUMMYFUNCTION("""COMPUTED_VALUE"""),"NASHIH AMIN")</f>
        <v>NASHIH AMIN</v>
      </c>
      <c r="C113" s="4">
        <f>IFERROR(__xludf.DUMMYFUNCTION("""COMPUTED_VALUE"""),2.024070409E9)</f>
        <v>2024070409</v>
      </c>
      <c r="D113" s="4" t="str">
        <f>IFERROR(__xludf.DUMMYFUNCTION("""COMPUTED_VALUE"""),"A")</f>
        <v>A</v>
      </c>
      <c r="E113" s="4" t="str">
        <f>IFERROR(__xludf.DUMMYFUNCTION("""COMPUTED_VALUE"""),"A-2")</f>
        <v>A-2</v>
      </c>
      <c r="F113" s="4">
        <f>IFERROR(__xludf.DUMMYFUNCTION("""COMPUTED_VALUE"""),3.0)</f>
        <v>3</v>
      </c>
      <c r="G113" s="4" t="str">
        <f>IFERROR(__xludf.DUMMYFUNCTION("""COMPUTED_VALUE"""),"3 MAK PUTRA")</f>
        <v>3 MAK PUTRA</v>
      </c>
      <c r="H113" s="4" t="str">
        <f>IFERROR(__xludf.DUMMYFUNCTION("""COMPUTED_VALUE"""),"6285715548194")</f>
        <v>6285715548194</v>
      </c>
      <c r="I113" s="5">
        <f>IFERROR(__xludf.DUMMYFUNCTION("""COMPUTED_VALUE"""),900000.0)</f>
        <v>900000</v>
      </c>
      <c r="J113" s="5">
        <f>IFERROR(__xludf.DUMMYFUNCTION("""COMPUTED_VALUE"""),500000.0)</f>
        <v>500000</v>
      </c>
      <c r="K113" s="5">
        <f>IFERROR(__xludf.DUMMYFUNCTION("""COMPUTED_VALUE"""),0.0)</f>
        <v>0</v>
      </c>
      <c r="L113" s="5">
        <f>IFERROR(__xludf.DUMMYFUNCTION("""COMPUTED_VALUE"""),1400000.0)</f>
        <v>1400000</v>
      </c>
      <c r="M113" s="14" t="str">
        <f t="shared" ref="M113:P113" si="114">text(I113,"Rp #,##0")</f>
        <v>Rp 900.000</v>
      </c>
      <c r="N113" s="14" t="str">
        <f t="shared" si="114"/>
        <v>Rp 500.000</v>
      </c>
      <c r="O113" s="14" t="str">
        <f t="shared" si="114"/>
        <v>Rp 0</v>
      </c>
      <c r="P113" s="14" t="str">
        <f t="shared" si="114"/>
        <v>Rp 1.400.000</v>
      </c>
      <c r="Q113" s="14" t="str">
        <f t="shared" si="4"/>
        <v>Syahriyah = Rp 900.000
Jariyah = Rp 500.000
Daftar Ulang = Rp 0
Total = Rp 1.400.000
______________________
ID : 2024070409</v>
      </c>
    </row>
    <row r="114">
      <c r="A114" s="18">
        <f t="shared" si="2"/>
        <v>113</v>
      </c>
      <c r="B114" s="4" t="str">
        <f>IFERROR(__xludf.DUMMYFUNCTION("""COMPUTED_VALUE"""),"ABDULLAH FAIZ")</f>
        <v>ABDULLAH FAIZ</v>
      </c>
      <c r="C114" s="4">
        <f>IFERROR(__xludf.DUMMYFUNCTION("""COMPUTED_VALUE"""),2.025070617E9)</f>
        <v>2025070617</v>
      </c>
      <c r="D114" s="4" t="str">
        <f>IFERROR(__xludf.DUMMYFUNCTION("""COMPUTED_VALUE"""),"A")</f>
        <v>A</v>
      </c>
      <c r="E114" s="4" t="str">
        <f>IFERROR(__xludf.DUMMYFUNCTION("""COMPUTED_VALUE"""),"A-8")</f>
        <v>A-8</v>
      </c>
      <c r="F114" s="4">
        <f>IFERROR(__xludf.DUMMYFUNCTION("""COMPUTED_VALUE"""),3.0)</f>
        <v>3</v>
      </c>
      <c r="G114" s="4" t="str">
        <f>IFERROR(__xludf.DUMMYFUNCTION("""COMPUTED_VALUE"""),"3 ULA A PUTRA")</f>
        <v>3 ULA A PUTRA</v>
      </c>
      <c r="H114" s="4" t="str">
        <f>IFERROR(__xludf.DUMMYFUNCTION("""COMPUTED_VALUE"""),"6281553874448")</f>
        <v>6281553874448</v>
      </c>
      <c r="I114" s="5">
        <f>IFERROR(__xludf.DUMMYFUNCTION("""COMPUTED_VALUE"""),450000.0)</f>
        <v>450000</v>
      </c>
      <c r="J114" s="5">
        <f>IFERROR(__xludf.DUMMYFUNCTION("""COMPUTED_VALUE"""),1000000.0)</f>
        <v>1000000</v>
      </c>
      <c r="K114" s="5">
        <f>IFERROR(__xludf.DUMMYFUNCTION("""COMPUTED_VALUE"""),0.0)</f>
        <v>0</v>
      </c>
      <c r="L114" s="5">
        <f>IFERROR(__xludf.DUMMYFUNCTION("""COMPUTED_VALUE"""),1450000.0)</f>
        <v>1450000</v>
      </c>
      <c r="M114" s="14" t="str">
        <f t="shared" ref="M114:P114" si="115">text(I114,"Rp #,##0")</f>
        <v>Rp 450.000</v>
      </c>
      <c r="N114" s="14" t="str">
        <f t="shared" si="115"/>
        <v>Rp 1.000.000</v>
      </c>
      <c r="O114" s="14" t="str">
        <f t="shared" si="115"/>
        <v>Rp 0</v>
      </c>
      <c r="P114" s="14" t="str">
        <f t="shared" si="115"/>
        <v>Rp 1.450.000</v>
      </c>
      <c r="Q114" s="14" t="str">
        <f t="shared" si="4"/>
        <v>Syahriyah = Rp 450.000
Jariyah = Rp 1.000.000
Daftar Ulang = Rp 0
Total = Rp 1.450.000
______________________
ID : 2025070617</v>
      </c>
    </row>
    <row r="115">
      <c r="A115" s="18">
        <f t="shared" si="2"/>
        <v>114</v>
      </c>
      <c r="B115" s="4" t="str">
        <f>IFERROR(__xludf.DUMMYFUNCTION("""COMPUTED_VALUE"""),"ALMAIR FADHIL ABID ALHAQ")</f>
        <v>ALMAIR FADHIL ABID ALHAQ</v>
      </c>
      <c r="C115" s="4">
        <f>IFERROR(__xludf.DUMMYFUNCTION("""COMPUTED_VALUE"""),2.024070508E9)</f>
        <v>2024070508</v>
      </c>
      <c r="D115" s="4" t="str">
        <f>IFERROR(__xludf.DUMMYFUNCTION("""COMPUTED_VALUE"""),"A")</f>
        <v>A</v>
      </c>
      <c r="E115" s="4" t="str">
        <f>IFERROR(__xludf.DUMMYFUNCTION("""COMPUTED_VALUE"""),"A-7")</f>
        <v>A-7</v>
      </c>
      <c r="F115" s="4">
        <f>IFERROR(__xludf.DUMMYFUNCTION("""COMPUTED_VALUE"""),3.0)</f>
        <v>3</v>
      </c>
      <c r="G115" s="4" t="str">
        <f>IFERROR(__xludf.DUMMYFUNCTION("""COMPUTED_VALUE"""),"3 ULA A PUTRA")</f>
        <v>3 ULA A PUTRA</v>
      </c>
      <c r="H115" s="4" t="str">
        <f>IFERROR(__xludf.DUMMYFUNCTION("""COMPUTED_VALUE"""),"6285230844686")</f>
        <v>6285230844686</v>
      </c>
      <c r="I115" s="5">
        <f>IFERROR(__xludf.DUMMYFUNCTION("""COMPUTED_VALUE"""),450000.0)</f>
        <v>450000</v>
      </c>
      <c r="J115" s="5">
        <f>IFERROR(__xludf.DUMMYFUNCTION("""COMPUTED_VALUE"""),1000000.0)</f>
        <v>1000000</v>
      </c>
      <c r="K115" s="5">
        <f>IFERROR(__xludf.DUMMYFUNCTION("""COMPUTED_VALUE"""),0.0)</f>
        <v>0</v>
      </c>
      <c r="L115" s="5">
        <f>IFERROR(__xludf.DUMMYFUNCTION("""COMPUTED_VALUE"""),1450000.0)</f>
        <v>1450000</v>
      </c>
      <c r="M115" s="14" t="str">
        <f t="shared" ref="M115:P115" si="116">text(I115,"Rp #,##0")</f>
        <v>Rp 450.000</v>
      </c>
      <c r="N115" s="14" t="str">
        <f t="shared" si="116"/>
        <v>Rp 1.000.000</v>
      </c>
      <c r="O115" s="14" t="str">
        <f t="shared" si="116"/>
        <v>Rp 0</v>
      </c>
      <c r="P115" s="14" t="str">
        <f t="shared" si="116"/>
        <v>Rp 1.450.000</v>
      </c>
      <c r="Q115" s="14" t="str">
        <f t="shared" si="4"/>
        <v>Syahriyah = Rp 450.000
Jariyah = Rp 1.000.000
Daftar Ulang = Rp 0
Total = Rp 1.450.000
______________________
ID : 2024070508</v>
      </c>
    </row>
    <row r="116">
      <c r="A116" s="18">
        <f t="shared" si="2"/>
        <v>115</v>
      </c>
      <c r="B116" s="4" t="str">
        <f>IFERROR(__xludf.DUMMYFUNCTION("""COMPUTED_VALUE"""),"BALQIS FITHROTUN NUFUS")</f>
        <v>BALQIS FITHROTUN NUFUS</v>
      </c>
      <c r="C116" s="4">
        <f>IFERROR(__xludf.DUMMYFUNCTION("""COMPUTED_VALUE"""),2.024070703E9)</f>
        <v>2024070703</v>
      </c>
      <c r="D116" s="4" t="str">
        <f>IFERROR(__xludf.DUMMYFUNCTION("""COMPUTED_VALUE"""),"C")</f>
        <v>C</v>
      </c>
      <c r="E116" s="4" t="str">
        <f>IFERROR(__xludf.DUMMYFUNCTION("""COMPUTED_VALUE"""),"C-4")</f>
        <v>C-4</v>
      </c>
      <c r="F116" s="4">
        <f>IFERROR(__xludf.DUMMYFUNCTION("""COMPUTED_VALUE"""),3.0)</f>
        <v>3</v>
      </c>
      <c r="G116" s="4"/>
      <c r="H116" s="4" t="str">
        <f>IFERROR(__xludf.DUMMYFUNCTION("""COMPUTED_VALUE"""),"6281357024383")</f>
        <v>6281357024383</v>
      </c>
      <c r="I116" s="5">
        <f>IFERROR(__xludf.DUMMYFUNCTION("""COMPUTED_VALUE"""),450000.0)</f>
        <v>450000</v>
      </c>
      <c r="J116" s="5">
        <f>IFERROR(__xludf.DUMMYFUNCTION("""COMPUTED_VALUE"""),1000000.0)</f>
        <v>1000000</v>
      </c>
      <c r="K116" s="5">
        <f>IFERROR(__xludf.DUMMYFUNCTION("""COMPUTED_VALUE"""),0.0)</f>
        <v>0</v>
      </c>
      <c r="L116" s="5">
        <f>IFERROR(__xludf.DUMMYFUNCTION("""COMPUTED_VALUE"""),1450000.0)</f>
        <v>1450000</v>
      </c>
      <c r="M116" s="14" t="str">
        <f t="shared" ref="M116:P116" si="117">text(I116,"Rp #,##0")</f>
        <v>Rp 450.000</v>
      </c>
      <c r="N116" s="14" t="str">
        <f t="shared" si="117"/>
        <v>Rp 1.000.000</v>
      </c>
      <c r="O116" s="14" t="str">
        <f t="shared" si="117"/>
        <v>Rp 0</v>
      </c>
      <c r="P116" s="14" t="str">
        <f t="shared" si="117"/>
        <v>Rp 1.450.000</v>
      </c>
      <c r="Q116" s="14" t="str">
        <f t="shared" si="4"/>
        <v>Syahriyah = Rp 450.000
Jariyah = Rp 1.000.000
Daftar Ulang = Rp 0
Total = Rp 1.450.000
______________________
ID : 2024070703</v>
      </c>
    </row>
    <row r="117">
      <c r="A117" s="18">
        <f t="shared" si="2"/>
        <v>116</v>
      </c>
      <c r="B117" s="4" t="str">
        <f>IFERROR(__xludf.DUMMYFUNCTION("""COMPUTED_VALUE"""),"FARADIVA AQILLA ELFARIANI")</f>
        <v>FARADIVA AQILLA ELFARIANI</v>
      </c>
      <c r="C117" s="4">
        <f>IFERROR(__xludf.DUMMYFUNCTION("""COMPUTED_VALUE"""),2.024070073E9)</f>
        <v>2024070073</v>
      </c>
      <c r="D117" s="4" t="str">
        <f>IFERROR(__xludf.DUMMYFUNCTION("""COMPUTED_VALUE"""),"C")</f>
        <v>C</v>
      </c>
      <c r="E117" s="4" t="str">
        <f>IFERROR(__xludf.DUMMYFUNCTION("""COMPUTED_VALUE"""),"C-9")</f>
        <v>C-9</v>
      </c>
      <c r="F117" s="4">
        <f>IFERROR(__xludf.DUMMYFUNCTION("""COMPUTED_VALUE"""),3.0)</f>
        <v>3</v>
      </c>
      <c r="G117" s="4" t="str">
        <f>IFERROR(__xludf.DUMMYFUNCTION("""COMPUTED_VALUE"""),"3 WUSTHO A PUTRI")</f>
        <v>3 WUSTHO A PUTRI</v>
      </c>
      <c r="H117" s="4" t="str">
        <f>IFERROR(__xludf.DUMMYFUNCTION("""COMPUTED_VALUE"""),"6285648727712")</f>
        <v>6285648727712</v>
      </c>
      <c r="I117" s="5">
        <f>IFERROR(__xludf.DUMMYFUNCTION("""COMPUTED_VALUE"""),450000.0)</f>
        <v>450000</v>
      </c>
      <c r="J117" s="5">
        <f>IFERROR(__xludf.DUMMYFUNCTION("""COMPUTED_VALUE"""),1000000.0)</f>
        <v>1000000</v>
      </c>
      <c r="K117" s="5">
        <f>IFERROR(__xludf.DUMMYFUNCTION("""COMPUTED_VALUE"""),0.0)</f>
        <v>0</v>
      </c>
      <c r="L117" s="5">
        <f>IFERROR(__xludf.DUMMYFUNCTION("""COMPUTED_VALUE"""),1450000.0)</f>
        <v>1450000</v>
      </c>
      <c r="M117" s="14" t="str">
        <f t="shared" ref="M117:P117" si="118">text(I117,"Rp #,##0")</f>
        <v>Rp 450.000</v>
      </c>
      <c r="N117" s="14" t="str">
        <f t="shared" si="118"/>
        <v>Rp 1.000.000</v>
      </c>
      <c r="O117" s="14" t="str">
        <f t="shared" si="118"/>
        <v>Rp 0</v>
      </c>
      <c r="P117" s="14" t="str">
        <f t="shared" si="118"/>
        <v>Rp 1.450.000</v>
      </c>
      <c r="Q117" s="14" t="str">
        <f t="shared" si="4"/>
        <v>Syahriyah = Rp 450.000
Jariyah = Rp 1.000.000
Daftar Ulang = Rp 0
Total = Rp 1.450.000
______________________
ID : 2024070073</v>
      </c>
    </row>
    <row r="118">
      <c r="A118" s="18">
        <f t="shared" si="2"/>
        <v>117</v>
      </c>
      <c r="B118" s="4" t="str">
        <f>IFERROR(__xludf.DUMMYFUNCTION("""COMPUTED_VALUE"""),"MOCH. RAYYAN ZIDNY IRHAMNI")</f>
        <v>MOCH. RAYYAN ZIDNY IRHAMNI</v>
      </c>
      <c r="C118" s="4">
        <f>IFERROR(__xludf.DUMMYFUNCTION("""COMPUTED_VALUE"""),2.024070649E9)</f>
        <v>2024070649</v>
      </c>
      <c r="D118" s="4" t="str">
        <f>IFERROR(__xludf.DUMMYFUNCTION("""COMPUTED_VALUE"""),"A")</f>
        <v>A</v>
      </c>
      <c r="E118" s="4" t="str">
        <f>IFERROR(__xludf.DUMMYFUNCTION("""COMPUTED_VALUE"""),"A-7")</f>
        <v>A-7</v>
      </c>
      <c r="F118" s="4">
        <f>IFERROR(__xludf.DUMMYFUNCTION("""COMPUTED_VALUE"""),3.0)</f>
        <v>3</v>
      </c>
      <c r="G118" s="4" t="str">
        <f>IFERROR(__xludf.DUMMYFUNCTION("""COMPUTED_VALUE"""),"3 ULA B PUTRA")</f>
        <v>3 ULA B PUTRA</v>
      </c>
      <c r="H118" s="4" t="str">
        <f>IFERROR(__xludf.DUMMYFUNCTION("""COMPUTED_VALUE"""),"6285708249869")</f>
        <v>6285708249869</v>
      </c>
      <c r="I118" s="5">
        <f>IFERROR(__xludf.DUMMYFUNCTION("""COMPUTED_VALUE"""),450000.0)</f>
        <v>450000</v>
      </c>
      <c r="J118" s="5">
        <f>IFERROR(__xludf.DUMMYFUNCTION("""COMPUTED_VALUE"""),1000000.0)</f>
        <v>1000000</v>
      </c>
      <c r="K118" s="5">
        <f>IFERROR(__xludf.DUMMYFUNCTION("""COMPUTED_VALUE"""),0.0)</f>
        <v>0</v>
      </c>
      <c r="L118" s="5">
        <f>IFERROR(__xludf.DUMMYFUNCTION("""COMPUTED_VALUE"""),1450000.0)</f>
        <v>1450000</v>
      </c>
      <c r="M118" s="14" t="str">
        <f t="shared" ref="M118:P118" si="119">text(I118,"Rp #,##0")</f>
        <v>Rp 450.000</v>
      </c>
      <c r="N118" s="14" t="str">
        <f t="shared" si="119"/>
        <v>Rp 1.000.000</v>
      </c>
      <c r="O118" s="14" t="str">
        <f t="shared" si="119"/>
        <v>Rp 0</v>
      </c>
      <c r="P118" s="14" t="str">
        <f t="shared" si="119"/>
        <v>Rp 1.450.000</v>
      </c>
      <c r="Q118" s="14" t="str">
        <f t="shared" si="4"/>
        <v>Syahriyah = Rp 450.000
Jariyah = Rp 1.000.000
Daftar Ulang = Rp 0
Total = Rp 1.450.000
______________________
ID : 2024070649</v>
      </c>
    </row>
    <row r="119">
      <c r="A119" s="18">
        <f t="shared" si="2"/>
        <v>118</v>
      </c>
      <c r="B119" s="4" t="str">
        <f>IFERROR(__xludf.DUMMYFUNCTION("""COMPUTED_VALUE"""),"MUHAMMAD ZAKI ABIYASA")</f>
        <v>MUHAMMAD ZAKI ABIYASA</v>
      </c>
      <c r="C119" s="4">
        <f>IFERROR(__xludf.DUMMYFUNCTION("""COMPUTED_VALUE"""),2.02510068E9)</f>
        <v>2025100680</v>
      </c>
      <c r="D119" s="4" t="str">
        <f>IFERROR(__xludf.DUMMYFUNCTION("""COMPUTED_VALUE"""),"A")</f>
        <v>A</v>
      </c>
      <c r="E119" s="4" t="str">
        <f>IFERROR(__xludf.DUMMYFUNCTION("""COMPUTED_VALUE"""),"A-1")</f>
        <v>A-1</v>
      </c>
      <c r="F119" s="4">
        <f>IFERROR(__xludf.DUMMYFUNCTION("""COMPUTED_VALUE"""),3.0)</f>
        <v>3</v>
      </c>
      <c r="G119" s="4" t="str">
        <f>IFERROR(__xludf.DUMMYFUNCTION("""COMPUTED_VALUE"""),"3 ULA A PUTRA")</f>
        <v>3 ULA A PUTRA</v>
      </c>
      <c r="H119" s="4" t="str">
        <f>IFERROR(__xludf.DUMMYFUNCTION("""COMPUTED_VALUE"""),"6289513220988")</f>
        <v>6289513220988</v>
      </c>
      <c r="I119" s="5">
        <f>IFERROR(__xludf.DUMMYFUNCTION("""COMPUTED_VALUE"""),450000.0)</f>
        <v>450000</v>
      </c>
      <c r="J119" s="5">
        <f>IFERROR(__xludf.DUMMYFUNCTION("""COMPUTED_VALUE"""),1000000.0)</f>
        <v>1000000</v>
      </c>
      <c r="K119" s="5">
        <f>IFERROR(__xludf.DUMMYFUNCTION("""COMPUTED_VALUE"""),0.0)</f>
        <v>0</v>
      </c>
      <c r="L119" s="5">
        <f>IFERROR(__xludf.DUMMYFUNCTION("""COMPUTED_VALUE"""),1450000.0)</f>
        <v>1450000</v>
      </c>
      <c r="M119" s="14" t="str">
        <f t="shared" ref="M119:P119" si="120">text(I119,"Rp #,##0")</f>
        <v>Rp 450.000</v>
      </c>
      <c r="N119" s="14" t="str">
        <f t="shared" si="120"/>
        <v>Rp 1.000.000</v>
      </c>
      <c r="O119" s="14" t="str">
        <f t="shared" si="120"/>
        <v>Rp 0</v>
      </c>
      <c r="P119" s="14" t="str">
        <f t="shared" si="120"/>
        <v>Rp 1.450.000</v>
      </c>
      <c r="Q119" s="14" t="str">
        <f t="shared" si="4"/>
        <v>Syahriyah = Rp 450.000
Jariyah = Rp 1.000.000
Daftar Ulang = Rp 0
Total = Rp 1.450.000
______________________
ID : 2025100680</v>
      </c>
    </row>
    <row r="120">
      <c r="A120" s="18">
        <f t="shared" si="2"/>
        <v>119</v>
      </c>
      <c r="B120" s="4" t="str">
        <f>IFERROR(__xludf.DUMMYFUNCTION("""COMPUTED_VALUE"""),"NURUL QHOIYIMATUL ALFIYAH")</f>
        <v>NURUL QHOIYIMATUL ALFIYAH</v>
      </c>
      <c r="C120" s="4">
        <f>IFERROR(__xludf.DUMMYFUNCTION("""COMPUTED_VALUE"""),2.024070436E9)</f>
        <v>2024070436</v>
      </c>
      <c r="D120" s="4" t="str">
        <f>IFERROR(__xludf.DUMMYFUNCTION("""COMPUTED_VALUE"""),"B")</f>
        <v>B</v>
      </c>
      <c r="E120" s="4" t="str">
        <f>IFERROR(__xludf.DUMMYFUNCTION("""COMPUTED_VALUE"""),"B-7")</f>
        <v>B-7</v>
      </c>
      <c r="F120" s="4">
        <f>IFERROR(__xludf.DUMMYFUNCTION("""COMPUTED_VALUE"""),3.0)</f>
        <v>3</v>
      </c>
      <c r="G120" s="4" t="str">
        <f>IFERROR(__xludf.DUMMYFUNCTION("""COMPUTED_VALUE"""),"3 MAK PUTRI")</f>
        <v>3 MAK PUTRI</v>
      </c>
      <c r="H120" s="4" t="str">
        <f>IFERROR(__xludf.DUMMYFUNCTION("""COMPUTED_VALUE"""),"628812496056661")</f>
        <v>628812496056661</v>
      </c>
      <c r="I120" s="5">
        <f>IFERROR(__xludf.DUMMYFUNCTION("""COMPUTED_VALUE"""),450000.0)</f>
        <v>450000</v>
      </c>
      <c r="J120" s="5">
        <f>IFERROR(__xludf.DUMMYFUNCTION("""COMPUTED_VALUE"""),1000000.0)</f>
        <v>1000000</v>
      </c>
      <c r="K120" s="5">
        <f>IFERROR(__xludf.DUMMYFUNCTION("""COMPUTED_VALUE"""),0.0)</f>
        <v>0</v>
      </c>
      <c r="L120" s="5">
        <f>IFERROR(__xludf.DUMMYFUNCTION("""COMPUTED_VALUE"""),1450000.0)</f>
        <v>1450000</v>
      </c>
      <c r="M120" s="14" t="str">
        <f t="shared" ref="M120:P120" si="121">text(I120,"Rp #,##0")</f>
        <v>Rp 450.000</v>
      </c>
      <c r="N120" s="14" t="str">
        <f t="shared" si="121"/>
        <v>Rp 1.000.000</v>
      </c>
      <c r="O120" s="14" t="str">
        <f t="shared" si="121"/>
        <v>Rp 0</v>
      </c>
      <c r="P120" s="14" t="str">
        <f t="shared" si="121"/>
        <v>Rp 1.450.000</v>
      </c>
      <c r="Q120" s="14" t="str">
        <f t="shared" si="4"/>
        <v>Syahriyah = Rp 450.000
Jariyah = Rp 1.000.000
Daftar Ulang = Rp 0
Total = Rp 1.450.000
______________________
ID : 2024070436</v>
      </c>
    </row>
    <row r="121">
      <c r="A121" s="18">
        <f t="shared" si="2"/>
        <v>120</v>
      </c>
      <c r="B121" s="4" t="str">
        <f>IFERROR(__xludf.DUMMYFUNCTION("""COMPUTED_VALUE"""),"ANUGRAH RAFIKHA DEWANI")</f>
        <v>ANUGRAH RAFIKHA DEWANI</v>
      </c>
      <c r="C121" s="4">
        <f>IFERROR(__xludf.DUMMYFUNCTION("""COMPUTED_VALUE"""),2.024070618E9)</f>
        <v>2024070618</v>
      </c>
      <c r="D121" s="4" t="str">
        <f>IFERROR(__xludf.DUMMYFUNCTION("""COMPUTED_VALUE"""),"E")</f>
        <v>E</v>
      </c>
      <c r="E121" s="4" t="str">
        <f>IFERROR(__xludf.DUMMYFUNCTION("""COMPUTED_VALUE"""),"E-2")</f>
        <v>E-2</v>
      </c>
      <c r="F121" s="4">
        <f>IFERROR(__xludf.DUMMYFUNCTION("""COMPUTED_VALUE"""),3.0)</f>
        <v>3</v>
      </c>
      <c r="G121" s="4" t="str">
        <f>IFERROR(__xludf.DUMMYFUNCTION("""COMPUTED_VALUE"""),"3 ULA C PUTRI")</f>
        <v>3 ULA C PUTRI</v>
      </c>
      <c r="H121" s="4" t="str">
        <f>IFERROR(__xludf.DUMMYFUNCTION("""COMPUTED_VALUE"""),"6281311516716")</f>
        <v>6281311516716</v>
      </c>
      <c r="I121" s="5">
        <f>IFERROR(__xludf.DUMMYFUNCTION("""COMPUTED_VALUE"""),1000000.0)</f>
        <v>1000000</v>
      </c>
      <c r="J121" s="5">
        <f>IFERROR(__xludf.DUMMYFUNCTION("""COMPUTED_VALUE"""),500000.0)</f>
        <v>500000</v>
      </c>
      <c r="K121" s="5">
        <f>IFERROR(__xludf.DUMMYFUNCTION("""COMPUTED_VALUE"""),0.0)</f>
        <v>0</v>
      </c>
      <c r="L121" s="5">
        <f>IFERROR(__xludf.DUMMYFUNCTION("""COMPUTED_VALUE"""),1500000.0)</f>
        <v>1500000</v>
      </c>
      <c r="M121" s="14" t="str">
        <f t="shared" ref="M121:P121" si="122">text(I121,"Rp #,##0")</f>
        <v>Rp 1.000.000</v>
      </c>
      <c r="N121" s="14" t="str">
        <f t="shared" si="122"/>
        <v>Rp 500.000</v>
      </c>
      <c r="O121" s="14" t="str">
        <f t="shared" si="122"/>
        <v>Rp 0</v>
      </c>
      <c r="P121" s="14" t="str">
        <f t="shared" si="122"/>
        <v>Rp 1.500.000</v>
      </c>
      <c r="Q121" s="14" t="str">
        <f t="shared" si="4"/>
        <v>Syahriyah = Rp 1.000.000
Jariyah = Rp 500.000
Daftar Ulang = Rp 0
Total = Rp 1.500.000
______________________
ID : 2024070618</v>
      </c>
    </row>
    <row r="122">
      <c r="A122" s="18">
        <f t="shared" si="2"/>
        <v>121</v>
      </c>
      <c r="B122" s="4" t="str">
        <f>IFERROR(__xludf.DUMMYFUNCTION("""COMPUTED_VALUE"""),"FANY MUFIDAH SARI")</f>
        <v>FANY MUFIDAH SARI</v>
      </c>
      <c r="C122" s="4">
        <f>IFERROR(__xludf.DUMMYFUNCTION("""COMPUTED_VALUE"""),2.024070329E9)</f>
        <v>2024070329</v>
      </c>
      <c r="D122" s="4" t="str">
        <f>IFERROR(__xludf.DUMMYFUNCTION("""COMPUTED_VALUE"""),"E")</f>
        <v>E</v>
      </c>
      <c r="E122" s="4" t="str">
        <f>IFERROR(__xludf.DUMMYFUNCTION("""COMPUTED_VALUE"""),"E-2")</f>
        <v>E-2</v>
      </c>
      <c r="F122" s="4">
        <f>IFERROR(__xludf.DUMMYFUNCTION("""COMPUTED_VALUE"""),3.0)</f>
        <v>3</v>
      </c>
      <c r="G122" s="4" t="str">
        <f>IFERROR(__xludf.DUMMYFUNCTION("""COMPUTED_VALUE"""),"3 WUSTHO A PUTRI")</f>
        <v>3 WUSTHO A PUTRI</v>
      </c>
      <c r="H122" s="4" t="str">
        <f>IFERROR(__xludf.DUMMYFUNCTION("""COMPUTED_VALUE"""),"6285731554886")</f>
        <v>6285731554886</v>
      </c>
      <c r="I122" s="5">
        <f>IFERROR(__xludf.DUMMYFUNCTION("""COMPUTED_VALUE"""),500000.0)</f>
        <v>500000</v>
      </c>
      <c r="J122" s="5">
        <f>IFERROR(__xludf.DUMMYFUNCTION("""COMPUTED_VALUE"""),1000000.0)</f>
        <v>1000000</v>
      </c>
      <c r="K122" s="5">
        <f>IFERROR(__xludf.DUMMYFUNCTION("""COMPUTED_VALUE"""),0.0)</f>
        <v>0</v>
      </c>
      <c r="L122" s="5">
        <f>IFERROR(__xludf.DUMMYFUNCTION("""COMPUTED_VALUE"""),1500000.0)</f>
        <v>1500000</v>
      </c>
      <c r="M122" s="14" t="str">
        <f t="shared" ref="M122:P122" si="123">text(I122,"Rp #,##0")</f>
        <v>Rp 500.000</v>
      </c>
      <c r="N122" s="14" t="str">
        <f t="shared" si="123"/>
        <v>Rp 1.000.000</v>
      </c>
      <c r="O122" s="14" t="str">
        <f t="shared" si="123"/>
        <v>Rp 0</v>
      </c>
      <c r="P122" s="14" t="str">
        <f t="shared" si="123"/>
        <v>Rp 1.500.000</v>
      </c>
      <c r="Q122" s="14" t="str">
        <f t="shared" si="4"/>
        <v>Syahriyah = Rp 500.000
Jariyah = Rp 1.000.000
Daftar Ulang = Rp 0
Total = Rp 1.500.000
______________________
ID : 2024070329</v>
      </c>
    </row>
    <row r="123">
      <c r="A123" s="18">
        <f t="shared" si="2"/>
        <v>122</v>
      </c>
      <c r="B123" s="4" t="str">
        <f>IFERROR(__xludf.DUMMYFUNCTION("""COMPUTED_VALUE"""),"NOUR ALIFATURR DHEA VANESYA")</f>
        <v>NOUR ALIFATURR DHEA VANESYA</v>
      </c>
      <c r="C123" s="4">
        <f>IFERROR(__xludf.DUMMYFUNCTION("""COMPUTED_VALUE"""),2.024070613E9)</f>
        <v>2024070613</v>
      </c>
      <c r="D123" s="4" t="str">
        <f>IFERROR(__xludf.DUMMYFUNCTION("""COMPUTED_VALUE"""),"E")</f>
        <v>E</v>
      </c>
      <c r="E123" s="4" t="str">
        <f>IFERROR(__xludf.DUMMYFUNCTION("""COMPUTED_VALUE"""),"E-3")</f>
        <v>E-3</v>
      </c>
      <c r="F123" s="4">
        <f>IFERROR(__xludf.DUMMYFUNCTION("""COMPUTED_VALUE"""),3.0)</f>
        <v>3</v>
      </c>
      <c r="G123" s="4" t="str">
        <f>IFERROR(__xludf.DUMMYFUNCTION("""COMPUTED_VALUE"""),"3 ULA C PUTRI")</f>
        <v>3 ULA C PUTRI</v>
      </c>
      <c r="H123" s="4" t="str">
        <f>IFERROR(__xludf.DUMMYFUNCTION("""COMPUTED_VALUE"""),"6285815030873")</f>
        <v>6285815030873</v>
      </c>
      <c r="I123" s="5">
        <f>IFERROR(__xludf.DUMMYFUNCTION("""COMPUTED_VALUE"""),500000.0)</f>
        <v>500000</v>
      </c>
      <c r="J123" s="5">
        <f>IFERROR(__xludf.DUMMYFUNCTION("""COMPUTED_VALUE"""),1000000.0)</f>
        <v>1000000</v>
      </c>
      <c r="K123" s="5">
        <f>IFERROR(__xludf.DUMMYFUNCTION("""COMPUTED_VALUE"""),0.0)</f>
        <v>0</v>
      </c>
      <c r="L123" s="5">
        <f>IFERROR(__xludf.DUMMYFUNCTION("""COMPUTED_VALUE"""),1500000.0)</f>
        <v>1500000</v>
      </c>
      <c r="M123" s="14" t="str">
        <f t="shared" ref="M123:P123" si="124">text(I123,"Rp #,##0")</f>
        <v>Rp 500.000</v>
      </c>
      <c r="N123" s="14" t="str">
        <f t="shared" si="124"/>
        <v>Rp 1.000.000</v>
      </c>
      <c r="O123" s="14" t="str">
        <f t="shared" si="124"/>
        <v>Rp 0</v>
      </c>
      <c r="P123" s="14" t="str">
        <f t="shared" si="124"/>
        <v>Rp 1.500.000</v>
      </c>
      <c r="Q123" s="14" t="str">
        <f t="shared" si="4"/>
        <v>Syahriyah = Rp 500.000
Jariyah = Rp 1.000.000
Daftar Ulang = Rp 0
Total = Rp 1.500.000
______________________
ID : 2024070613</v>
      </c>
    </row>
    <row r="124">
      <c r="A124" s="18">
        <f t="shared" si="2"/>
        <v>123</v>
      </c>
      <c r="B124" s="4" t="str">
        <f>IFERROR(__xludf.DUMMYFUNCTION("""COMPUTED_VALUE"""),"NUR FAZA KAMILA")</f>
        <v>NUR FAZA KAMILA</v>
      </c>
      <c r="C124" s="4">
        <f>IFERROR(__xludf.DUMMYFUNCTION("""COMPUTED_VALUE"""),2.024070467E9)</f>
        <v>2024070467</v>
      </c>
      <c r="D124" s="4" t="str">
        <f>IFERROR(__xludf.DUMMYFUNCTION("""COMPUTED_VALUE"""),"E")</f>
        <v>E</v>
      </c>
      <c r="E124" s="4" t="str">
        <f>IFERROR(__xludf.DUMMYFUNCTION("""COMPUTED_VALUE"""),"E-2")</f>
        <v>E-2</v>
      </c>
      <c r="F124" s="4">
        <f>IFERROR(__xludf.DUMMYFUNCTION("""COMPUTED_VALUE"""),3.0)</f>
        <v>3</v>
      </c>
      <c r="G124" s="4" t="str">
        <f>IFERROR(__xludf.DUMMYFUNCTION("""COMPUTED_VALUE"""),"3 ULA C PUTRI")</f>
        <v>3 ULA C PUTRI</v>
      </c>
      <c r="H124" s="4" t="str">
        <f>IFERROR(__xludf.DUMMYFUNCTION("""COMPUTED_VALUE"""),"6285855700260")</f>
        <v>6285855700260</v>
      </c>
      <c r="I124" s="5">
        <f>IFERROR(__xludf.DUMMYFUNCTION("""COMPUTED_VALUE"""),500000.0)</f>
        <v>500000</v>
      </c>
      <c r="J124" s="5">
        <f>IFERROR(__xludf.DUMMYFUNCTION("""COMPUTED_VALUE"""),1000000.0)</f>
        <v>1000000</v>
      </c>
      <c r="K124" s="5">
        <f>IFERROR(__xludf.DUMMYFUNCTION("""COMPUTED_VALUE"""),0.0)</f>
        <v>0</v>
      </c>
      <c r="L124" s="5">
        <f>IFERROR(__xludf.DUMMYFUNCTION("""COMPUTED_VALUE"""),1500000.0)</f>
        <v>1500000</v>
      </c>
      <c r="M124" s="14" t="str">
        <f t="shared" ref="M124:P124" si="125">text(I124,"Rp #,##0")</f>
        <v>Rp 500.000</v>
      </c>
      <c r="N124" s="14" t="str">
        <f t="shared" si="125"/>
        <v>Rp 1.000.000</v>
      </c>
      <c r="O124" s="14" t="str">
        <f t="shared" si="125"/>
        <v>Rp 0</v>
      </c>
      <c r="P124" s="14" t="str">
        <f t="shared" si="125"/>
        <v>Rp 1.500.000</v>
      </c>
      <c r="Q124" s="14" t="str">
        <f t="shared" si="4"/>
        <v>Syahriyah = Rp 500.000
Jariyah = Rp 1.000.000
Daftar Ulang = Rp 0
Total = Rp 1.500.000
______________________
ID : 2024070467</v>
      </c>
    </row>
    <row r="125">
      <c r="A125" s="18">
        <f t="shared" si="2"/>
        <v>124</v>
      </c>
      <c r="B125" s="4" t="str">
        <f>IFERROR(__xludf.DUMMYFUNCTION("""COMPUTED_VALUE"""),"DILLA ADHATUL FITRI")</f>
        <v>DILLA ADHATUL FITRI</v>
      </c>
      <c r="C125" s="4">
        <f>IFERROR(__xludf.DUMMYFUNCTION("""COMPUTED_VALUE"""),2.024070004E9)</f>
        <v>2024070004</v>
      </c>
      <c r="D125" s="4" t="str">
        <f>IFERROR(__xludf.DUMMYFUNCTION("""COMPUTED_VALUE"""),"D")</f>
        <v>D</v>
      </c>
      <c r="E125" s="4" t="str">
        <f>IFERROR(__xludf.DUMMYFUNCTION("""COMPUTED_VALUE"""),"D-7")</f>
        <v>D-7</v>
      </c>
      <c r="F125" s="4">
        <f>IFERROR(__xludf.DUMMYFUNCTION("""COMPUTED_VALUE"""),3.0)</f>
        <v>3</v>
      </c>
      <c r="G125" s="4"/>
      <c r="H125" s="4" t="str">
        <f>IFERROR(__xludf.DUMMYFUNCTION("""COMPUTED_VALUE"""),"6282198021057")</f>
        <v>6282198021057</v>
      </c>
      <c r="I125" s="5">
        <f>IFERROR(__xludf.DUMMYFUNCTION("""COMPUTED_VALUE"""),0.0)</f>
        <v>0</v>
      </c>
      <c r="J125" s="5">
        <f>IFERROR(__xludf.DUMMYFUNCTION("""COMPUTED_VALUE"""),1600000.0)</f>
        <v>1600000</v>
      </c>
      <c r="K125" s="5">
        <f>IFERROR(__xludf.DUMMYFUNCTION("""COMPUTED_VALUE"""),0.0)</f>
        <v>0</v>
      </c>
      <c r="L125" s="5">
        <f>IFERROR(__xludf.DUMMYFUNCTION("""COMPUTED_VALUE"""),1600000.0)</f>
        <v>1600000</v>
      </c>
      <c r="M125" s="14" t="str">
        <f t="shared" ref="M125:P125" si="126">text(I125,"Rp #,##0")</f>
        <v>Rp 0</v>
      </c>
      <c r="N125" s="14" t="str">
        <f t="shared" si="126"/>
        <v>Rp 1.600.000</v>
      </c>
      <c r="O125" s="14" t="str">
        <f t="shared" si="126"/>
        <v>Rp 0</v>
      </c>
      <c r="P125" s="14" t="str">
        <f t="shared" si="126"/>
        <v>Rp 1.600.000</v>
      </c>
      <c r="Q125" s="14" t="str">
        <f t="shared" si="4"/>
        <v>Syahriyah = Rp 0
Jariyah = Rp 1.600.000
Daftar Ulang = Rp 0
Total = Rp 1.600.000
______________________
ID : 2024070004</v>
      </c>
    </row>
    <row r="126">
      <c r="A126" s="18">
        <f t="shared" si="2"/>
        <v>125</v>
      </c>
      <c r="B126" s="4" t="str">
        <f>IFERROR(__xludf.DUMMYFUNCTION("""COMPUTED_VALUE"""),"FATIR APRILIANT SYAH")</f>
        <v>FATIR APRILIANT SYAH</v>
      </c>
      <c r="C126" s="4">
        <f>IFERROR(__xludf.DUMMYFUNCTION("""COMPUTED_VALUE"""),2.02407066E9)</f>
        <v>2024070660</v>
      </c>
      <c r="D126" s="4" t="str">
        <f>IFERROR(__xludf.DUMMYFUNCTION("""COMPUTED_VALUE"""),"A")</f>
        <v>A</v>
      </c>
      <c r="E126" s="4" t="str">
        <f>IFERROR(__xludf.DUMMYFUNCTION("""COMPUTED_VALUE"""),"A-7")</f>
        <v>A-7</v>
      </c>
      <c r="F126" s="4">
        <f>IFERROR(__xludf.DUMMYFUNCTION("""COMPUTED_VALUE"""),3.0)</f>
        <v>3</v>
      </c>
      <c r="G126" s="4" t="str">
        <f>IFERROR(__xludf.DUMMYFUNCTION("""COMPUTED_VALUE"""),"3 ULA A PUTRA")</f>
        <v>3 ULA A PUTRA</v>
      </c>
      <c r="H126" s="4" t="str">
        <f>IFERROR(__xludf.DUMMYFUNCTION("""COMPUTED_VALUE"""),"6285853949817")</f>
        <v>6285853949817</v>
      </c>
      <c r="I126" s="5">
        <f>IFERROR(__xludf.DUMMYFUNCTION("""COMPUTED_VALUE"""),1230000.0)</f>
        <v>1230000</v>
      </c>
      <c r="J126" s="5">
        <f>IFERROR(__xludf.DUMMYFUNCTION("""COMPUTED_VALUE"""),500000.0)</f>
        <v>500000</v>
      </c>
      <c r="K126" s="5">
        <f>IFERROR(__xludf.DUMMYFUNCTION("""COMPUTED_VALUE"""),0.0)</f>
        <v>0</v>
      </c>
      <c r="L126" s="5">
        <f>IFERROR(__xludf.DUMMYFUNCTION("""COMPUTED_VALUE"""),1730000.0)</f>
        <v>1730000</v>
      </c>
      <c r="M126" s="14" t="str">
        <f t="shared" ref="M126:P126" si="127">text(I126,"Rp #,##0")</f>
        <v>Rp 1.230.000</v>
      </c>
      <c r="N126" s="14" t="str">
        <f t="shared" si="127"/>
        <v>Rp 500.000</v>
      </c>
      <c r="O126" s="14" t="str">
        <f t="shared" si="127"/>
        <v>Rp 0</v>
      </c>
      <c r="P126" s="14" t="str">
        <f t="shared" si="127"/>
        <v>Rp 1.730.000</v>
      </c>
      <c r="Q126" s="14" t="str">
        <f t="shared" si="4"/>
        <v>Syahriyah = Rp 1.230.000
Jariyah = Rp 500.000
Daftar Ulang = Rp 0
Total = Rp 1.730.000
______________________
ID : 2024070660</v>
      </c>
    </row>
    <row r="127">
      <c r="A127" s="18">
        <f t="shared" si="2"/>
        <v>126</v>
      </c>
      <c r="B127" s="4" t="str">
        <f>IFERROR(__xludf.DUMMYFUNCTION("""COMPUTED_VALUE"""),"DZAKIR ZAMAHSARI EL GHIFARI ZEIN")</f>
        <v>DZAKIR ZAMAHSARI EL GHIFARI ZEIN</v>
      </c>
      <c r="C127" s="4">
        <f>IFERROR(__xludf.DUMMYFUNCTION("""COMPUTED_VALUE"""),2.024070624E9)</f>
        <v>2024070624</v>
      </c>
      <c r="D127" s="4" t="str">
        <f>IFERROR(__xludf.DUMMYFUNCTION("""COMPUTED_VALUE"""),"A")</f>
        <v>A</v>
      </c>
      <c r="E127" s="4" t="str">
        <f>IFERROR(__xludf.DUMMYFUNCTION("""COMPUTED_VALUE"""),"A-8")</f>
        <v>A-8</v>
      </c>
      <c r="F127" s="4">
        <f>IFERROR(__xludf.DUMMYFUNCTION("""COMPUTED_VALUE"""),3.0)</f>
        <v>3</v>
      </c>
      <c r="G127" s="4" t="str">
        <f>IFERROR(__xludf.DUMMYFUNCTION("""COMPUTED_VALUE"""),"3 ULA B PUTRA")</f>
        <v>3 ULA B PUTRA</v>
      </c>
      <c r="H127" s="4" t="str">
        <f>IFERROR(__xludf.DUMMYFUNCTION("""COMPUTED_VALUE"""),"6281779129473")</f>
        <v>6281779129473</v>
      </c>
      <c r="I127" s="5">
        <f>IFERROR(__xludf.DUMMYFUNCTION("""COMPUTED_VALUE"""),1800000.0)</f>
        <v>1800000</v>
      </c>
      <c r="J127" s="5">
        <f>IFERROR(__xludf.DUMMYFUNCTION("""COMPUTED_VALUE"""),0.0)</f>
        <v>0</v>
      </c>
      <c r="K127" s="5">
        <f>IFERROR(__xludf.DUMMYFUNCTION("""COMPUTED_VALUE"""),0.0)</f>
        <v>0</v>
      </c>
      <c r="L127" s="5">
        <f>IFERROR(__xludf.DUMMYFUNCTION("""COMPUTED_VALUE"""),1800000.0)</f>
        <v>1800000</v>
      </c>
      <c r="M127" s="14" t="str">
        <f t="shared" ref="M127:P127" si="128">text(I127,"Rp #,##0")</f>
        <v>Rp 1.800.000</v>
      </c>
      <c r="N127" s="14" t="str">
        <f t="shared" si="128"/>
        <v>Rp 0</v>
      </c>
      <c r="O127" s="14" t="str">
        <f t="shared" si="128"/>
        <v>Rp 0</v>
      </c>
      <c r="P127" s="14" t="str">
        <f t="shared" si="128"/>
        <v>Rp 1.800.000</v>
      </c>
      <c r="Q127" s="14" t="str">
        <f t="shared" si="4"/>
        <v>Syahriyah = Rp 1.800.000
Jariyah = Rp 0
Daftar Ulang = Rp 0
Total = Rp 1.800.000
______________________
ID : 2024070624</v>
      </c>
    </row>
    <row r="128">
      <c r="A128" s="18">
        <f t="shared" si="2"/>
        <v>127</v>
      </c>
      <c r="B128" s="4" t="str">
        <f>IFERROR(__xludf.DUMMYFUNCTION("""COMPUTED_VALUE"""),"RIZKY ADITYA")</f>
        <v>RIZKY ADITYA</v>
      </c>
      <c r="C128" s="4">
        <f>IFERROR(__xludf.DUMMYFUNCTION("""COMPUTED_VALUE"""),2.024070592E9)</f>
        <v>2024070592</v>
      </c>
      <c r="D128" s="4" t="str">
        <f>IFERROR(__xludf.DUMMYFUNCTION("""COMPUTED_VALUE"""),"A")</f>
        <v>A</v>
      </c>
      <c r="E128" s="4" t="str">
        <f>IFERROR(__xludf.DUMMYFUNCTION("""COMPUTED_VALUE"""),"A-7")</f>
        <v>A-7</v>
      </c>
      <c r="F128" s="4">
        <f>IFERROR(__xludf.DUMMYFUNCTION("""COMPUTED_VALUE"""),3.0)</f>
        <v>3</v>
      </c>
      <c r="G128" s="4" t="str">
        <f>IFERROR(__xludf.DUMMYFUNCTION("""COMPUTED_VALUE"""),"3 ULA B PUTRA")</f>
        <v>3 ULA B PUTRA</v>
      </c>
      <c r="H128" s="4" t="str">
        <f>IFERROR(__xludf.DUMMYFUNCTION("""COMPUTED_VALUE"""),"6282255832815")</f>
        <v>6282255832815</v>
      </c>
      <c r="I128" s="5">
        <f>IFERROR(__xludf.DUMMYFUNCTION("""COMPUTED_VALUE"""),1350000.0)</f>
        <v>1350000</v>
      </c>
      <c r="J128" s="5">
        <f>IFERROR(__xludf.DUMMYFUNCTION("""COMPUTED_VALUE"""),500000.0)</f>
        <v>500000</v>
      </c>
      <c r="K128" s="5">
        <f>IFERROR(__xludf.DUMMYFUNCTION("""COMPUTED_VALUE"""),0.0)</f>
        <v>0</v>
      </c>
      <c r="L128" s="5">
        <f>IFERROR(__xludf.DUMMYFUNCTION("""COMPUTED_VALUE"""),1850000.0)</f>
        <v>1850000</v>
      </c>
      <c r="M128" s="14" t="str">
        <f t="shared" ref="M128:P128" si="129">text(I128,"Rp #,##0")</f>
        <v>Rp 1.350.000</v>
      </c>
      <c r="N128" s="14" t="str">
        <f t="shared" si="129"/>
        <v>Rp 500.000</v>
      </c>
      <c r="O128" s="14" t="str">
        <f t="shared" si="129"/>
        <v>Rp 0</v>
      </c>
      <c r="P128" s="14" t="str">
        <f t="shared" si="129"/>
        <v>Rp 1.850.000</v>
      </c>
      <c r="Q128" s="14" t="str">
        <f t="shared" si="4"/>
        <v>Syahriyah = Rp 1.350.000
Jariyah = Rp 500.000
Daftar Ulang = Rp 0
Total = Rp 1.850.000
______________________
ID : 2024070592</v>
      </c>
    </row>
    <row r="129">
      <c r="A129" s="18">
        <f t="shared" si="2"/>
        <v>128</v>
      </c>
      <c r="B129" s="4" t="str">
        <f>IFERROR(__xludf.DUMMYFUNCTION("""COMPUTED_VALUE"""),"SELVIA DEWI ASMAUL KHUSNADA")</f>
        <v>SELVIA DEWI ASMAUL KHUSNADA</v>
      </c>
      <c r="C129" s="4">
        <f>IFERROR(__xludf.DUMMYFUNCTION("""COMPUTED_VALUE"""),2.024070511E9)</f>
        <v>2024070511</v>
      </c>
      <c r="D129" s="4" t="str">
        <f>IFERROR(__xludf.DUMMYFUNCTION("""COMPUTED_VALUE"""),"C")</f>
        <v>C</v>
      </c>
      <c r="E129" s="4" t="str">
        <f>IFERROR(__xludf.DUMMYFUNCTION("""COMPUTED_VALUE"""),"C-12")</f>
        <v>C-12</v>
      </c>
      <c r="F129" s="4">
        <f>IFERROR(__xludf.DUMMYFUNCTION("""COMPUTED_VALUE"""),3.0)</f>
        <v>3</v>
      </c>
      <c r="G129" s="4"/>
      <c r="H129" s="4" t="str">
        <f>IFERROR(__xludf.DUMMYFUNCTION("""COMPUTED_VALUE"""),"6281252102661")</f>
        <v>6281252102661</v>
      </c>
      <c r="I129" s="5">
        <f>IFERROR(__xludf.DUMMYFUNCTION("""COMPUTED_VALUE"""),1350000.0)</f>
        <v>1350000</v>
      </c>
      <c r="J129" s="5">
        <f>IFERROR(__xludf.DUMMYFUNCTION("""COMPUTED_VALUE"""),500000.0)</f>
        <v>500000</v>
      </c>
      <c r="K129" s="5">
        <f>IFERROR(__xludf.DUMMYFUNCTION("""COMPUTED_VALUE"""),0.0)</f>
        <v>0</v>
      </c>
      <c r="L129" s="5">
        <f>IFERROR(__xludf.DUMMYFUNCTION("""COMPUTED_VALUE"""),1850000.0)</f>
        <v>1850000</v>
      </c>
      <c r="M129" s="14" t="str">
        <f t="shared" ref="M129:P129" si="130">text(I129,"Rp #,##0")</f>
        <v>Rp 1.350.000</v>
      </c>
      <c r="N129" s="14" t="str">
        <f t="shared" si="130"/>
        <v>Rp 500.000</v>
      </c>
      <c r="O129" s="14" t="str">
        <f t="shared" si="130"/>
        <v>Rp 0</v>
      </c>
      <c r="P129" s="14" t="str">
        <f t="shared" si="130"/>
        <v>Rp 1.850.000</v>
      </c>
      <c r="Q129" s="14" t="str">
        <f t="shared" si="4"/>
        <v>Syahriyah = Rp 1.350.000
Jariyah = Rp 500.000
Daftar Ulang = Rp 0
Total = Rp 1.850.000
______________________
ID : 2024070511</v>
      </c>
    </row>
    <row r="130">
      <c r="A130" s="18">
        <f t="shared" si="2"/>
        <v>129</v>
      </c>
      <c r="B130" s="4" t="str">
        <f>IFERROR(__xludf.DUMMYFUNCTION("""COMPUTED_VALUE"""),"FARIKHATUL ISTIMAROH")</f>
        <v>FARIKHATUL ISTIMAROH</v>
      </c>
      <c r="C130" s="4">
        <f>IFERROR(__xludf.DUMMYFUNCTION("""COMPUTED_VALUE"""),2.024070419E9)</f>
        <v>2024070419</v>
      </c>
      <c r="D130" s="4" t="str">
        <f>IFERROR(__xludf.DUMMYFUNCTION("""COMPUTED_VALUE"""),"C")</f>
        <v>C</v>
      </c>
      <c r="E130" s="4" t="str">
        <f>IFERROR(__xludf.DUMMYFUNCTION("""COMPUTED_VALUE"""),"C-7")</f>
        <v>C-7</v>
      </c>
      <c r="F130" s="4">
        <f>IFERROR(__xludf.DUMMYFUNCTION("""COMPUTED_VALUE"""),3.0)</f>
        <v>3</v>
      </c>
      <c r="G130" s="4" t="str">
        <f>IFERROR(__xludf.DUMMYFUNCTION("""COMPUTED_VALUE"""),"3 MAK PUTRI")</f>
        <v>3 MAK PUTRI</v>
      </c>
      <c r="H130" s="4" t="str">
        <f>IFERROR(__xludf.DUMMYFUNCTION("""COMPUTED_VALUE"""),"6285648855706")</f>
        <v>6285648855706</v>
      </c>
      <c r="I130" s="5">
        <f>IFERROR(__xludf.DUMMYFUNCTION("""COMPUTED_VALUE"""),900000.0)</f>
        <v>900000</v>
      </c>
      <c r="J130" s="5">
        <f>IFERROR(__xludf.DUMMYFUNCTION("""COMPUTED_VALUE"""),1000000.0)</f>
        <v>1000000</v>
      </c>
      <c r="K130" s="5">
        <f>IFERROR(__xludf.DUMMYFUNCTION("""COMPUTED_VALUE"""),0.0)</f>
        <v>0</v>
      </c>
      <c r="L130" s="5">
        <f>IFERROR(__xludf.DUMMYFUNCTION("""COMPUTED_VALUE"""),1900000.0)</f>
        <v>1900000</v>
      </c>
      <c r="M130" s="14" t="str">
        <f t="shared" ref="M130:P130" si="131">text(I130,"Rp #,##0")</f>
        <v>Rp 900.000</v>
      </c>
      <c r="N130" s="14" t="str">
        <f t="shared" si="131"/>
        <v>Rp 1.000.000</v>
      </c>
      <c r="O130" s="14" t="str">
        <f t="shared" si="131"/>
        <v>Rp 0</v>
      </c>
      <c r="P130" s="14" t="str">
        <f t="shared" si="131"/>
        <v>Rp 1.900.000</v>
      </c>
      <c r="Q130" s="14" t="str">
        <f t="shared" si="4"/>
        <v>Syahriyah = Rp 900.000
Jariyah = Rp 1.000.000
Daftar Ulang = Rp 0
Total = Rp 1.900.000
______________________
ID : 2024070419</v>
      </c>
    </row>
    <row r="131">
      <c r="A131" s="18">
        <f t="shared" si="2"/>
        <v>130</v>
      </c>
      <c r="B131" s="4" t="str">
        <f>IFERROR(__xludf.DUMMYFUNCTION("""COMPUTED_VALUE"""),"FITA ARUMNI SEPTHIANY")</f>
        <v>FITA ARUMNI SEPTHIANY</v>
      </c>
      <c r="C131" s="4">
        <f>IFERROR(__xludf.DUMMYFUNCTION("""COMPUTED_VALUE"""),2.024070008E9)</f>
        <v>2024070008</v>
      </c>
      <c r="D131" s="4" t="str">
        <f>IFERROR(__xludf.DUMMYFUNCTION("""COMPUTED_VALUE"""),"C")</f>
        <v>C</v>
      </c>
      <c r="E131" s="4" t="str">
        <f>IFERROR(__xludf.DUMMYFUNCTION("""COMPUTED_VALUE"""),"C-2")</f>
        <v>C-2</v>
      </c>
      <c r="F131" s="4">
        <f>IFERROR(__xludf.DUMMYFUNCTION("""COMPUTED_VALUE"""),3.0)</f>
        <v>3</v>
      </c>
      <c r="G131" s="4"/>
      <c r="H131" s="4" t="str">
        <f>IFERROR(__xludf.DUMMYFUNCTION("""COMPUTED_VALUE"""),"6285707808910")</f>
        <v>6285707808910</v>
      </c>
      <c r="I131" s="5">
        <f>IFERROR(__xludf.DUMMYFUNCTION("""COMPUTED_VALUE"""),900000.0)</f>
        <v>900000</v>
      </c>
      <c r="J131" s="5">
        <f>IFERROR(__xludf.DUMMYFUNCTION("""COMPUTED_VALUE"""),1000000.0)</f>
        <v>1000000</v>
      </c>
      <c r="K131" s="5">
        <f>IFERROR(__xludf.DUMMYFUNCTION("""COMPUTED_VALUE"""),0.0)</f>
        <v>0</v>
      </c>
      <c r="L131" s="5">
        <f>IFERROR(__xludf.DUMMYFUNCTION("""COMPUTED_VALUE"""),1900000.0)</f>
        <v>1900000</v>
      </c>
      <c r="M131" s="14" t="str">
        <f t="shared" ref="M131:P131" si="132">text(I131,"Rp #,##0")</f>
        <v>Rp 900.000</v>
      </c>
      <c r="N131" s="14" t="str">
        <f t="shared" si="132"/>
        <v>Rp 1.000.000</v>
      </c>
      <c r="O131" s="14" t="str">
        <f t="shared" si="132"/>
        <v>Rp 0</v>
      </c>
      <c r="P131" s="14" t="str">
        <f t="shared" si="132"/>
        <v>Rp 1.900.000</v>
      </c>
      <c r="Q131" s="14" t="str">
        <f t="shared" si="4"/>
        <v>Syahriyah = Rp 900.000
Jariyah = Rp 1.000.000
Daftar Ulang = Rp 0
Total = Rp 1.900.000
______________________
ID : 2024070008</v>
      </c>
    </row>
    <row r="132">
      <c r="A132" s="18">
        <f t="shared" si="2"/>
        <v>131</v>
      </c>
      <c r="B132" s="4" t="str">
        <f>IFERROR(__xludf.DUMMYFUNCTION("""COMPUTED_VALUE"""),"PUTRI SALSABILA RAHMA NOVALITA")</f>
        <v>PUTRI SALSABILA RAHMA NOVALITA</v>
      </c>
      <c r="C132" s="4">
        <f>IFERROR(__xludf.DUMMYFUNCTION("""COMPUTED_VALUE"""),2.024070545E9)</f>
        <v>2024070545</v>
      </c>
      <c r="D132" s="4" t="str">
        <f>IFERROR(__xludf.DUMMYFUNCTION("""COMPUTED_VALUE"""),"C")</f>
        <v>C</v>
      </c>
      <c r="E132" s="4" t="str">
        <f>IFERROR(__xludf.DUMMYFUNCTION("""COMPUTED_VALUE"""),"C-3")</f>
        <v>C-3</v>
      </c>
      <c r="F132" s="4">
        <f>IFERROR(__xludf.DUMMYFUNCTION("""COMPUTED_VALUE"""),3.0)</f>
        <v>3</v>
      </c>
      <c r="G132" s="4"/>
      <c r="H132" s="4" t="str">
        <f>IFERROR(__xludf.DUMMYFUNCTION("""COMPUTED_VALUE"""),"6285755578060")</f>
        <v>6285755578060</v>
      </c>
      <c r="I132" s="5">
        <f>IFERROR(__xludf.DUMMYFUNCTION("""COMPUTED_VALUE"""),900000.0)</f>
        <v>900000</v>
      </c>
      <c r="J132" s="5">
        <f>IFERROR(__xludf.DUMMYFUNCTION("""COMPUTED_VALUE"""),1000000.0)</f>
        <v>1000000</v>
      </c>
      <c r="K132" s="5">
        <f>IFERROR(__xludf.DUMMYFUNCTION("""COMPUTED_VALUE"""),0.0)</f>
        <v>0</v>
      </c>
      <c r="L132" s="5">
        <f>IFERROR(__xludf.DUMMYFUNCTION("""COMPUTED_VALUE"""),1900000.0)</f>
        <v>1900000</v>
      </c>
      <c r="M132" s="14" t="str">
        <f t="shared" ref="M132:P132" si="133">text(I132,"Rp #,##0")</f>
        <v>Rp 900.000</v>
      </c>
      <c r="N132" s="14" t="str">
        <f t="shared" si="133"/>
        <v>Rp 1.000.000</v>
      </c>
      <c r="O132" s="14" t="str">
        <f t="shared" si="133"/>
        <v>Rp 0</v>
      </c>
      <c r="P132" s="14" t="str">
        <f t="shared" si="133"/>
        <v>Rp 1.900.000</v>
      </c>
      <c r="Q132" s="14" t="str">
        <f t="shared" si="4"/>
        <v>Syahriyah = Rp 900.000
Jariyah = Rp 1.000.000
Daftar Ulang = Rp 0
Total = Rp 1.900.000
______________________
ID : 2024070545</v>
      </c>
    </row>
    <row r="133">
      <c r="A133" s="18">
        <f t="shared" si="2"/>
        <v>132</v>
      </c>
      <c r="B133" s="4" t="str">
        <f>IFERROR(__xludf.DUMMYFUNCTION("""COMPUTED_VALUE"""),"SAHRUL DICKY ARDIANSYAH")</f>
        <v>SAHRUL DICKY ARDIANSYAH</v>
      </c>
      <c r="C133" s="4">
        <f>IFERROR(__xludf.DUMMYFUNCTION("""COMPUTED_VALUE"""),2.024070616E9)</f>
        <v>2024070616</v>
      </c>
      <c r="D133" s="4" t="str">
        <f>IFERROR(__xludf.DUMMYFUNCTION("""COMPUTED_VALUE"""),"A")</f>
        <v>A</v>
      </c>
      <c r="E133" s="4" t="str">
        <f>IFERROR(__xludf.DUMMYFUNCTION("""COMPUTED_VALUE"""),"A-7")</f>
        <v>A-7</v>
      </c>
      <c r="F133" s="4">
        <f>IFERROR(__xludf.DUMMYFUNCTION("""COMPUTED_VALUE"""),3.0)</f>
        <v>3</v>
      </c>
      <c r="G133" s="4" t="str">
        <f>IFERROR(__xludf.DUMMYFUNCTION("""COMPUTED_VALUE"""),"3 ULA B PUTRA")</f>
        <v>3 ULA B PUTRA</v>
      </c>
      <c r="H133" s="4" t="str">
        <f>IFERROR(__xludf.DUMMYFUNCTION("""COMPUTED_VALUE"""),"6285645276494")</f>
        <v>6285645276494</v>
      </c>
      <c r="I133" s="5">
        <f>IFERROR(__xludf.DUMMYFUNCTION("""COMPUTED_VALUE"""),900000.0)</f>
        <v>900000</v>
      </c>
      <c r="J133" s="5">
        <f>IFERROR(__xludf.DUMMYFUNCTION("""COMPUTED_VALUE"""),1000000.0)</f>
        <v>1000000</v>
      </c>
      <c r="K133" s="5">
        <f>IFERROR(__xludf.DUMMYFUNCTION("""COMPUTED_VALUE"""),0.0)</f>
        <v>0</v>
      </c>
      <c r="L133" s="5">
        <f>IFERROR(__xludf.DUMMYFUNCTION("""COMPUTED_VALUE"""),1900000.0)</f>
        <v>1900000</v>
      </c>
      <c r="M133" s="14" t="str">
        <f t="shared" ref="M133:P133" si="134">text(I133,"Rp #,##0")</f>
        <v>Rp 900.000</v>
      </c>
      <c r="N133" s="14" t="str">
        <f t="shared" si="134"/>
        <v>Rp 1.000.000</v>
      </c>
      <c r="O133" s="14" t="str">
        <f t="shared" si="134"/>
        <v>Rp 0</v>
      </c>
      <c r="P133" s="14" t="str">
        <f t="shared" si="134"/>
        <v>Rp 1.900.000</v>
      </c>
      <c r="Q133" s="14" t="str">
        <f t="shared" si="4"/>
        <v>Syahriyah = Rp 900.000
Jariyah = Rp 1.000.000
Daftar Ulang = Rp 0
Total = Rp 1.900.000
______________________
ID : 2024070616</v>
      </c>
    </row>
    <row r="134">
      <c r="A134" s="18">
        <f t="shared" si="2"/>
        <v>133</v>
      </c>
      <c r="B134" s="4" t="str">
        <f>IFERROR(__xludf.DUMMYFUNCTION("""COMPUTED_VALUE"""),"AL IMROTUL KUSNIA")</f>
        <v>AL IMROTUL KUSNIA</v>
      </c>
      <c r="C134" s="4">
        <f>IFERROR(__xludf.DUMMYFUNCTION("""COMPUTED_VALUE"""),2.024070483E9)</f>
        <v>2024070483</v>
      </c>
      <c r="D134" s="4" t="str">
        <f>IFERROR(__xludf.DUMMYFUNCTION("""COMPUTED_VALUE"""),"E")</f>
        <v>E</v>
      </c>
      <c r="E134" s="4" t="str">
        <f>IFERROR(__xludf.DUMMYFUNCTION("""COMPUTED_VALUE"""),"E-2")</f>
        <v>E-2</v>
      </c>
      <c r="F134" s="4">
        <f>IFERROR(__xludf.DUMMYFUNCTION("""COMPUTED_VALUE"""),3.0)</f>
        <v>3</v>
      </c>
      <c r="G134" s="4" t="str">
        <f>IFERROR(__xludf.DUMMYFUNCTION("""COMPUTED_VALUE"""),"3 ULA C PUTRI")</f>
        <v>3 ULA C PUTRI</v>
      </c>
      <c r="H134" s="4" t="str">
        <f>IFERROR(__xludf.DUMMYFUNCTION("""COMPUTED_VALUE"""),"6282330812041")</f>
        <v>6282330812041</v>
      </c>
      <c r="I134" s="5">
        <f>IFERROR(__xludf.DUMMYFUNCTION("""COMPUTED_VALUE"""),2000000.0)</f>
        <v>2000000</v>
      </c>
      <c r="J134" s="5">
        <f>IFERROR(__xludf.DUMMYFUNCTION("""COMPUTED_VALUE"""),0.0)</f>
        <v>0</v>
      </c>
      <c r="K134" s="5">
        <f>IFERROR(__xludf.DUMMYFUNCTION("""COMPUTED_VALUE"""),0.0)</f>
        <v>0</v>
      </c>
      <c r="L134" s="5">
        <f>IFERROR(__xludf.DUMMYFUNCTION("""COMPUTED_VALUE"""),2000000.0)</f>
        <v>2000000</v>
      </c>
      <c r="M134" s="14" t="str">
        <f t="shared" ref="M134:P134" si="135">text(I134,"Rp #,##0")</f>
        <v>Rp 2.000.000</v>
      </c>
      <c r="N134" s="14" t="str">
        <f t="shared" si="135"/>
        <v>Rp 0</v>
      </c>
      <c r="O134" s="14" t="str">
        <f t="shared" si="135"/>
        <v>Rp 0</v>
      </c>
      <c r="P134" s="14" t="str">
        <f t="shared" si="135"/>
        <v>Rp 2.000.000</v>
      </c>
      <c r="Q134" s="14" t="str">
        <f t="shared" si="4"/>
        <v>Syahriyah = Rp 2.000.000
Jariyah = Rp 0
Daftar Ulang = Rp 0
Total = Rp 2.000.000
______________________
ID : 2024070483</v>
      </c>
    </row>
    <row r="135">
      <c r="A135" s="18">
        <f t="shared" si="2"/>
        <v>134</v>
      </c>
      <c r="B135" s="4" t="str">
        <f>IFERROR(__xludf.DUMMYFUNCTION("""COMPUTED_VALUE"""),"NILLA ADDINIA KHAFSOH")</f>
        <v>NILLA ADDINIA KHAFSOH</v>
      </c>
      <c r="C135" s="4">
        <f>IFERROR(__xludf.DUMMYFUNCTION("""COMPUTED_VALUE"""),2.024070195E9)</f>
        <v>2024070195</v>
      </c>
      <c r="D135" s="4" t="str">
        <f>IFERROR(__xludf.DUMMYFUNCTION("""COMPUTED_VALUE"""),"E")</f>
        <v>E</v>
      </c>
      <c r="E135" s="4" t="str">
        <f>IFERROR(__xludf.DUMMYFUNCTION("""COMPUTED_VALUE"""),"E-3")</f>
        <v>E-3</v>
      </c>
      <c r="F135" s="4">
        <f>IFERROR(__xludf.DUMMYFUNCTION("""COMPUTED_VALUE"""),3.0)</f>
        <v>3</v>
      </c>
      <c r="G135" s="4" t="str">
        <f>IFERROR(__xludf.DUMMYFUNCTION("""COMPUTED_VALUE"""),"3 WUSTHO C PUTRI")</f>
        <v>3 WUSTHO C PUTRI</v>
      </c>
      <c r="H135" s="4" t="str">
        <f>IFERROR(__xludf.DUMMYFUNCTION("""COMPUTED_VALUE"""),"6285813135311")</f>
        <v>6285813135311</v>
      </c>
      <c r="I135" s="5">
        <f>IFERROR(__xludf.DUMMYFUNCTION("""COMPUTED_VALUE"""),1000000.0)</f>
        <v>1000000</v>
      </c>
      <c r="J135" s="5">
        <f>IFERROR(__xludf.DUMMYFUNCTION("""COMPUTED_VALUE"""),1000000.0)</f>
        <v>1000000</v>
      </c>
      <c r="K135" s="5">
        <f>IFERROR(__xludf.DUMMYFUNCTION("""COMPUTED_VALUE"""),0.0)</f>
        <v>0</v>
      </c>
      <c r="L135" s="5">
        <f>IFERROR(__xludf.DUMMYFUNCTION("""COMPUTED_VALUE"""),2000000.0)</f>
        <v>2000000</v>
      </c>
      <c r="M135" s="14" t="str">
        <f t="shared" ref="M135:P135" si="136">text(I135,"Rp #,##0")</f>
        <v>Rp 1.000.000</v>
      </c>
      <c r="N135" s="14" t="str">
        <f t="shared" si="136"/>
        <v>Rp 1.000.000</v>
      </c>
      <c r="O135" s="14" t="str">
        <f t="shared" si="136"/>
        <v>Rp 0</v>
      </c>
      <c r="P135" s="14" t="str">
        <f t="shared" si="136"/>
        <v>Rp 2.000.000</v>
      </c>
      <c r="Q135" s="14" t="str">
        <f t="shared" si="4"/>
        <v>Syahriyah = Rp 1.000.000
Jariyah = Rp 1.000.000
Daftar Ulang = Rp 0
Total = Rp 2.000.000
______________________
ID : 2024070195</v>
      </c>
    </row>
    <row r="136">
      <c r="A136" s="18">
        <f t="shared" si="2"/>
        <v>135</v>
      </c>
      <c r="B136" s="4" t="str">
        <f>IFERROR(__xludf.DUMMYFUNCTION("""COMPUTED_VALUE"""),"MOCH. FAJAR QOMARUDIN FEBRIAN")</f>
        <v>MOCH. FAJAR QOMARUDIN FEBRIAN</v>
      </c>
      <c r="C136" s="4">
        <f>IFERROR(__xludf.DUMMYFUNCTION("""COMPUTED_VALUE"""),2.024070678E9)</f>
        <v>2024070678</v>
      </c>
      <c r="D136" s="4" t="str">
        <f>IFERROR(__xludf.DUMMYFUNCTION("""COMPUTED_VALUE"""),"A")</f>
        <v>A</v>
      </c>
      <c r="E136" s="4" t="str">
        <f>IFERROR(__xludf.DUMMYFUNCTION("""COMPUTED_VALUE"""),"A-10")</f>
        <v>A-10</v>
      </c>
      <c r="F136" s="4">
        <f>IFERROR(__xludf.DUMMYFUNCTION("""COMPUTED_VALUE"""),3.0)</f>
        <v>3</v>
      </c>
      <c r="G136" s="4" t="str">
        <f>IFERROR(__xludf.DUMMYFUNCTION("""COMPUTED_VALUE"""),"3 WUSTHO PUTRA")</f>
        <v>3 WUSTHO PUTRA</v>
      </c>
      <c r="H136" s="4" t="str">
        <f>IFERROR(__xludf.DUMMYFUNCTION("""COMPUTED_VALUE"""),"6285809004813")</f>
        <v>6285809004813</v>
      </c>
      <c r="I136" s="5">
        <f>IFERROR(__xludf.DUMMYFUNCTION("""COMPUTED_VALUE"""),1890000.0)</f>
        <v>1890000</v>
      </c>
      <c r="J136" s="5">
        <f>IFERROR(__xludf.DUMMYFUNCTION("""COMPUTED_VALUE"""),0.0)</f>
        <v>0</v>
      </c>
      <c r="K136" s="5">
        <f>IFERROR(__xludf.DUMMYFUNCTION("""COMPUTED_VALUE"""),250000.0)</f>
        <v>250000</v>
      </c>
      <c r="L136" s="5">
        <f>IFERROR(__xludf.DUMMYFUNCTION("""COMPUTED_VALUE"""),2140000.0)</f>
        <v>2140000</v>
      </c>
      <c r="M136" s="14" t="str">
        <f t="shared" ref="M136:P136" si="137">text(I136,"Rp #,##0")</f>
        <v>Rp 1.890.000</v>
      </c>
      <c r="N136" s="14" t="str">
        <f t="shared" si="137"/>
        <v>Rp 0</v>
      </c>
      <c r="O136" s="14" t="str">
        <f t="shared" si="137"/>
        <v>Rp 250.000</v>
      </c>
      <c r="P136" s="14" t="str">
        <f t="shared" si="137"/>
        <v>Rp 2.140.000</v>
      </c>
      <c r="Q136" s="14" t="str">
        <f t="shared" si="4"/>
        <v>Syahriyah = Rp 1.890.000
Jariyah = Rp 0
Daftar Ulang = Rp 250.000
Total = Rp 2.140.000
______________________
ID : 2024070678</v>
      </c>
    </row>
    <row r="137">
      <c r="A137" s="18">
        <f t="shared" si="2"/>
        <v>136</v>
      </c>
      <c r="B137" s="4" t="str">
        <f>IFERROR(__xludf.DUMMYFUNCTION("""COMPUTED_VALUE"""),"HUSNADYAH FATMAHWATI")</f>
        <v>HUSNADYAH FATMAHWATI</v>
      </c>
      <c r="C137" s="4">
        <f>IFERROR(__xludf.DUMMYFUNCTION("""COMPUTED_VALUE"""),2.024070115E9)</f>
        <v>2024070115</v>
      </c>
      <c r="D137" s="4" t="str">
        <f>IFERROR(__xludf.DUMMYFUNCTION("""COMPUTED_VALUE"""),"D")</f>
        <v>D</v>
      </c>
      <c r="E137" s="4" t="str">
        <f>IFERROR(__xludf.DUMMYFUNCTION("""COMPUTED_VALUE"""),"D-6")</f>
        <v>D-6</v>
      </c>
      <c r="F137" s="4">
        <f>IFERROR(__xludf.DUMMYFUNCTION("""COMPUTED_VALUE"""),3.0)</f>
        <v>3</v>
      </c>
      <c r="G137" s="4" t="str">
        <f>IFERROR(__xludf.DUMMYFUNCTION("""COMPUTED_VALUE"""),"3 WUSTHO C PUTRI")</f>
        <v>3 WUSTHO C PUTRI</v>
      </c>
      <c r="H137" s="4" t="str">
        <f>IFERROR(__xludf.DUMMYFUNCTION("""COMPUTED_VALUE"""),"6285731755110")</f>
        <v>6285731755110</v>
      </c>
      <c r="I137" s="5">
        <f>IFERROR(__xludf.DUMMYFUNCTION("""COMPUTED_VALUE"""),2250000.0)</f>
        <v>2250000</v>
      </c>
      <c r="J137" s="5">
        <f>IFERROR(__xludf.DUMMYFUNCTION("""COMPUTED_VALUE"""),0.0)</f>
        <v>0</v>
      </c>
      <c r="K137" s="5">
        <f>IFERROR(__xludf.DUMMYFUNCTION("""COMPUTED_VALUE"""),0.0)</f>
        <v>0</v>
      </c>
      <c r="L137" s="5">
        <f>IFERROR(__xludf.DUMMYFUNCTION("""COMPUTED_VALUE"""),2250000.0)</f>
        <v>2250000</v>
      </c>
      <c r="M137" s="14" t="str">
        <f t="shared" ref="M137:P137" si="138">text(I137,"Rp #,##0")</f>
        <v>Rp 2.250.000</v>
      </c>
      <c r="N137" s="14" t="str">
        <f t="shared" si="138"/>
        <v>Rp 0</v>
      </c>
      <c r="O137" s="14" t="str">
        <f t="shared" si="138"/>
        <v>Rp 0</v>
      </c>
      <c r="P137" s="14" t="str">
        <f t="shared" si="138"/>
        <v>Rp 2.250.000</v>
      </c>
      <c r="Q137" s="14" t="str">
        <f t="shared" si="4"/>
        <v>Syahriyah = Rp 2.250.000
Jariyah = Rp 0
Daftar Ulang = Rp 0
Total = Rp 2.250.000
______________________
ID : 2024070115</v>
      </c>
    </row>
    <row r="138">
      <c r="A138" s="18">
        <f t="shared" si="2"/>
        <v>137</v>
      </c>
      <c r="B138" s="4" t="str">
        <f>IFERROR(__xludf.DUMMYFUNCTION("""COMPUTED_VALUE"""),"SAFIRA FIDIYASARI")</f>
        <v>SAFIRA FIDIYASARI</v>
      </c>
      <c r="C138" s="4">
        <f>IFERROR(__xludf.DUMMYFUNCTION("""COMPUTED_VALUE"""),2.024070632E9)</f>
        <v>2024070632</v>
      </c>
      <c r="D138" s="4" t="str">
        <f>IFERROR(__xludf.DUMMYFUNCTION("""COMPUTED_VALUE"""),"C")</f>
        <v>C</v>
      </c>
      <c r="E138" s="4" t="str">
        <f>IFERROR(__xludf.DUMMYFUNCTION("""COMPUTED_VALUE"""),"C-3")</f>
        <v>C-3</v>
      </c>
      <c r="F138" s="4">
        <f>IFERROR(__xludf.DUMMYFUNCTION("""COMPUTED_VALUE"""),3.0)</f>
        <v>3</v>
      </c>
      <c r="G138" s="4"/>
      <c r="H138" s="4" t="str">
        <f>IFERROR(__xludf.DUMMYFUNCTION("""COMPUTED_VALUE"""),"6285732998926")</f>
        <v>6285732998926</v>
      </c>
      <c r="I138" s="5">
        <f>IFERROR(__xludf.DUMMYFUNCTION("""COMPUTED_VALUE"""),1800000.0)</f>
        <v>1800000</v>
      </c>
      <c r="J138" s="5">
        <f>IFERROR(__xludf.DUMMYFUNCTION("""COMPUTED_VALUE"""),500000.0)</f>
        <v>500000</v>
      </c>
      <c r="K138" s="5">
        <f>IFERROR(__xludf.DUMMYFUNCTION("""COMPUTED_VALUE"""),0.0)</f>
        <v>0</v>
      </c>
      <c r="L138" s="5">
        <f>IFERROR(__xludf.DUMMYFUNCTION("""COMPUTED_VALUE"""),2300000.0)</f>
        <v>2300000</v>
      </c>
      <c r="M138" s="14" t="str">
        <f t="shared" ref="M138:P138" si="139">text(I138,"Rp #,##0")</f>
        <v>Rp 1.800.000</v>
      </c>
      <c r="N138" s="14" t="str">
        <f t="shared" si="139"/>
        <v>Rp 500.000</v>
      </c>
      <c r="O138" s="14" t="str">
        <f t="shared" si="139"/>
        <v>Rp 0</v>
      </c>
      <c r="P138" s="14" t="str">
        <f t="shared" si="139"/>
        <v>Rp 2.300.000</v>
      </c>
      <c r="Q138" s="14" t="str">
        <f t="shared" si="4"/>
        <v>Syahriyah = Rp 1.800.000
Jariyah = Rp 500.000
Daftar Ulang = Rp 0
Total = Rp 2.300.000
______________________
ID : 2024070632</v>
      </c>
    </row>
    <row r="139">
      <c r="A139" s="18">
        <f t="shared" si="2"/>
        <v>138</v>
      </c>
      <c r="B139" s="4" t="str">
        <f>IFERROR(__xludf.DUMMYFUNCTION("""COMPUTED_VALUE"""),"AMINATUS SALMA")</f>
        <v>AMINATUS SALMA</v>
      </c>
      <c r="C139" s="4">
        <f>IFERROR(__xludf.DUMMYFUNCTION("""COMPUTED_VALUE"""),2.024070186E9)</f>
        <v>2024070186</v>
      </c>
      <c r="D139" s="4" t="str">
        <f>IFERROR(__xludf.DUMMYFUNCTION("""COMPUTED_VALUE"""),"D")</f>
        <v>D</v>
      </c>
      <c r="E139" s="4" t="str">
        <f>IFERROR(__xludf.DUMMYFUNCTION("""COMPUTED_VALUE"""),"D-6")</f>
        <v>D-6</v>
      </c>
      <c r="F139" s="4">
        <f>IFERROR(__xludf.DUMMYFUNCTION("""COMPUTED_VALUE"""),3.0)</f>
        <v>3</v>
      </c>
      <c r="G139" s="4" t="str">
        <f>IFERROR(__xludf.DUMMYFUNCTION("""COMPUTED_VALUE"""),"3 WUSTHO C PUTRI")</f>
        <v>3 WUSTHO C PUTRI</v>
      </c>
      <c r="H139" s="4" t="str">
        <f>IFERROR(__xludf.DUMMYFUNCTION("""COMPUTED_VALUE"""),"6285608570934")</f>
        <v>6285608570934</v>
      </c>
      <c r="I139" s="5">
        <f>IFERROR(__xludf.DUMMYFUNCTION("""COMPUTED_VALUE"""),1350000.0)</f>
        <v>1350000</v>
      </c>
      <c r="J139" s="5">
        <f>IFERROR(__xludf.DUMMYFUNCTION("""COMPUTED_VALUE"""),1000000.0)</f>
        <v>1000000</v>
      </c>
      <c r="K139" s="5">
        <f>IFERROR(__xludf.DUMMYFUNCTION("""COMPUTED_VALUE"""),0.0)</f>
        <v>0</v>
      </c>
      <c r="L139" s="5">
        <f>IFERROR(__xludf.DUMMYFUNCTION("""COMPUTED_VALUE"""),2350000.0)</f>
        <v>2350000</v>
      </c>
      <c r="M139" s="14" t="str">
        <f t="shared" ref="M139:P139" si="140">text(I139,"Rp #,##0")</f>
        <v>Rp 1.350.000</v>
      </c>
      <c r="N139" s="14" t="str">
        <f t="shared" si="140"/>
        <v>Rp 1.000.000</v>
      </c>
      <c r="O139" s="14" t="str">
        <f t="shared" si="140"/>
        <v>Rp 0</v>
      </c>
      <c r="P139" s="14" t="str">
        <f t="shared" si="140"/>
        <v>Rp 2.350.000</v>
      </c>
      <c r="Q139" s="14" t="str">
        <f t="shared" si="4"/>
        <v>Syahriyah = Rp 1.350.000
Jariyah = Rp 1.000.000
Daftar Ulang = Rp 0
Total = Rp 2.350.000
______________________
ID : 2024070186</v>
      </c>
    </row>
    <row r="140">
      <c r="A140" s="18">
        <f t="shared" si="2"/>
        <v>139</v>
      </c>
      <c r="B140" s="4" t="str">
        <f>IFERROR(__xludf.DUMMYFUNCTION("""COMPUTED_VALUE"""),"BUNGA SALSABILA RAHMAH")</f>
        <v>BUNGA SALSABILA RAHMAH</v>
      </c>
      <c r="C140" s="4">
        <f>IFERROR(__xludf.DUMMYFUNCTION("""COMPUTED_VALUE"""),2.02407152E9)</f>
        <v>2024071520</v>
      </c>
      <c r="D140" s="4" t="str">
        <f>IFERROR(__xludf.DUMMYFUNCTION("""COMPUTED_VALUE"""),"C")</f>
        <v>C</v>
      </c>
      <c r="E140" s="4" t="str">
        <f>IFERROR(__xludf.DUMMYFUNCTION("""COMPUTED_VALUE"""),"C-7")</f>
        <v>C-7</v>
      </c>
      <c r="F140" s="4">
        <f>IFERROR(__xludf.DUMMYFUNCTION("""COMPUTED_VALUE"""),3.0)</f>
        <v>3</v>
      </c>
      <c r="G140" s="4"/>
      <c r="H140" s="4" t="str">
        <f>IFERROR(__xludf.DUMMYFUNCTION("""COMPUTED_VALUE"""),"6285102700597")</f>
        <v>6285102700597</v>
      </c>
      <c r="I140" s="5">
        <f>IFERROR(__xludf.DUMMYFUNCTION("""COMPUTED_VALUE"""),1350000.0)</f>
        <v>1350000</v>
      </c>
      <c r="J140" s="5">
        <f>IFERROR(__xludf.DUMMYFUNCTION("""COMPUTED_VALUE"""),1000000.0)</f>
        <v>1000000</v>
      </c>
      <c r="K140" s="5">
        <f>IFERROR(__xludf.DUMMYFUNCTION("""COMPUTED_VALUE"""),0.0)</f>
        <v>0</v>
      </c>
      <c r="L140" s="5">
        <f>IFERROR(__xludf.DUMMYFUNCTION("""COMPUTED_VALUE"""),2350000.0)</f>
        <v>2350000</v>
      </c>
      <c r="M140" s="14" t="str">
        <f t="shared" ref="M140:P140" si="141">text(I140,"Rp #,##0")</f>
        <v>Rp 1.350.000</v>
      </c>
      <c r="N140" s="14" t="str">
        <f t="shared" si="141"/>
        <v>Rp 1.000.000</v>
      </c>
      <c r="O140" s="14" t="str">
        <f t="shared" si="141"/>
        <v>Rp 0</v>
      </c>
      <c r="P140" s="14" t="str">
        <f t="shared" si="141"/>
        <v>Rp 2.350.000</v>
      </c>
      <c r="Q140" s="14" t="str">
        <f t="shared" si="4"/>
        <v>Syahriyah = Rp 1.350.000
Jariyah = Rp 1.000.000
Daftar Ulang = Rp 0
Total = Rp 2.350.000
______________________
ID : 2024071520</v>
      </c>
    </row>
    <row r="141">
      <c r="A141" s="18">
        <f t="shared" si="2"/>
        <v>140</v>
      </c>
      <c r="B141" s="4" t="str">
        <f>IFERROR(__xludf.DUMMYFUNCTION("""COMPUTED_VALUE"""),"NAJWA ERILAH")</f>
        <v>NAJWA ERILAH</v>
      </c>
      <c r="C141" s="4">
        <f>IFERROR(__xludf.DUMMYFUNCTION("""COMPUTED_VALUE"""),2.02407002E9)</f>
        <v>2024070020</v>
      </c>
      <c r="D141" s="4" t="str">
        <f>IFERROR(__xludf.DUMMYFUNCTION("""COMPUTED_VALUE"""),"D")</f>
        <v>D</v>
      </c>
      <c r="E141" s="4" t="str">
        <f>IFERROR(__xludf.DUMMYFUNCTION("""COMPUTED_VALUE"""),"D-7")</f>
        <v>D-7</v>
      </c>
      <c r="F141" s="4">
        <f>IFERROR(__xludf.DUMMYFUNCTION("""COMPUTED_VALUE"""),3.0)</f>
        <v>3</v>
      </c>
      <c r="G141" s="4"/>
      <c r="H141" s="4" t="str">
        <f>IFERROR(__xludf.DUMMYFUNCTION("""COMPUTED_VALUE"""),"6285736463854")</f>
        <v>6285736463854</v>
      </c>
      <c r="I141" s="5">
        <f>IFERROR(__xludf.DUMMYFUNCTION("""COMPUTED_VALUE"""),1350000.0)</f>
        <v>1350000</v>
      </c>
      <c r="J141" s="5">
        <f>IFERROR(__xludf.DUMMYFUNCTION("""COMPUTED_VALUE"""),1000000.0)</f>
        <v>1000000</v>
      </c>
      <c r="K141" s="5">
        <f>IFERROR(__xludf.DUMMYFUNCTION("""COMPUTED_VALUE"""),0.0)</f>
        <v>0</v>
      </c>
      <c r="L141" s="5">
        <f>IFERROR(__xludf.DUMMYFUNCTION("""COMPUTED_VALUE"""),2350000.0)</f>
        <v>2350000</v>
      </c>
      <c r="M141" s="14" t="str">
        <f t="shared" ref="M141:P141" si="142">text(I141,"Rp #,##0")</f>
        <v>Rp 1.350.000</v>
      </c>
      <c r="N141" s="14" t="str">
        <f t="shared" si="142"/>
        <v>Rp 1.000.000</v>
      </c>
      <c r="O141" s="14" t="str">
        <f t="shared" si="142"/>
        <v>Rp 0</v>
      </c>
      <c r="P141" s="14" t="str">
        <f t="shared" si="142"/>
        <v>Rp 2.350.000</v>
      </c>
      <c r="Q141" s="14" t="str">
        <f t="shared" si="4"/>
        <v>Syahriyah = Rp 1.350.000
Jariyah = Rp 1.000.000
Daftar Ulang = Rp 0
Total = Rp 2.350.000
______________________
ID : 2024070020</v>
      </c>
    </row>
    <row r="142">
      <c r="A142" s="18">
        <f t="shared" si="2"/>
        <v>141</v>
      </c>
      <c r="B142" s="4" t="str">
        <f>IFERROR(__xludf.DUMMYFUNCTION("""COMPUTED_VALUE"""),"ILHAFAH ARYA NOVRYANI")</f>
        <v>ILHAFAH ARYA NOVRYANI</v>
      </c>
      <c r="C142" s="4">
        <f>IFERROR(__xludf.DUMMYFUNCTION("""COMPUTED_VALUE"""),2.024070617E9)</f>
        <v>2024070617</v>
      </c>
      <c r="D142" s="4" t="str">
        <f>IFERROR(__xludf.DUMMYFUNCTION("""COMPUTED_VALUE"""),"E")</f>
        <v>E</v>
      </c>
      <c r="E142" s="4" t="str">
        <f>IFERROR(__xludf.DUMMYFUNCTION("""COMPUTED_VALUE"""),"E-3")</f>
        <v>E-3</v>
      </c>
      <c r="F142" s="4">
        <f>IFERROR(__xludf.DUMMYFUNCTION("""COMPUTED_VALUE"""),3.0)</f>
        <v>3</v>
      </c>
      <c r="G142" s="4" t="str">
        <f>IFERROR(__xludf.DUMMYFUNCTION("""COMPUTED_VALUE"""),"3 ULA B PUTRI")</f>
        <v>3 ULA B PUTRI</v>
      </c>
      <c r="H142" s="4" t="str">
        <f>IFERROR(__xludf.DUMMYFUNCTION("""COMPUTED_VALUE"""),"6285735467317")</f>
        <v>6285735467317</v>
      </c>
      <c r="I142" s="5">
        <f>IFERROR(__xludf.DUMMYFUNCTION("""COMPUTED_VALUE"""),1500000.0)</f>
        <v>1500000</v>
      </c>
      <c r="J142" s="5">
        <f>IFERROR(__xludf.DUMMYFUNCTION("""COMPUTED_VALUE"""),1000000.0)</f>
        <v>1000000</v>
      </c>
      <c r="K142" s="5">
        <f>IFERROR(__xludf.DUMMYFUNCTION("""COMPUTED_VALUE"""),0.0)</f>
        <v>0</v>
      </c>
      <c r="L142" s="5">
        <f>IFERROR(__xludf.DUMMYFUNCTION("""COMPUTED_VALUE"""),2500000.0)</f>
        <v>2500000</v>
      </c>
      <c r="M142" s="14" t="str">
        <f t="shared" ref="M142:P142" si="143">text(I142,"Rp #,##0")</f>
        <v>Rp 1.500.000</v>
      </c>
      <c r="N142" s="14" t="str">
        <f t="shared" si="143"/>
        <v>Rp 1.000.000</v>
      </c>
      <c r="O142" s="14" t="str">
        <f t="shared" si="143"/>
        <v>Rp 0</v>
      </c>
      <c r="P142" s="14" t="str">
        <f t="shared" si="143"/>
        <v>Rp 2.500.000</v>
      </c>
      <c r="Q142" s="14" t="str">
        <f t="shared" si="4"/>
        <v>Syahriyah = Rp 1.500.000
Jariyah = Rp 1.000.000
Daftar Ulang = Rp 0
Total = Rp 2.500.000
______________________
ID : 2024070617</v>
      </c>
    </row>
    <row r="143">
      <c r="A143" s="18">
        <f t="shared" si="2"/>
        <v>142</v>
      </c>
      <c r="B143" s="4" t="str">
        <f>IFERROR(__xludf.DUMMYFUNCTION("""COMPUTED_VALUE"""),"DAVINA NANGSYA AZZAHRAH")</f>
        <v>DAVINA NANGSYA AZZAHRAH</v>
      </c>
      <c r="C143" s="4">
        <f>IFERROR(__xludf.DUMMYFUNCTION("""COMPUTED_VALUE"""),2.024070415E9)</f>
        <v>2024070415</v>
      </c>
      <c r="D143" s="4" t="str">
        <f>IFERROR(__xludf.DUMMYFUNCTION("""COMPUTED_VALUE"""),"E")</f>
        <v>E</v>
      </c>
      <c r="E143" s="4" t="str">
        <f>IFERROR(__xludf.DUMMYFUNCTION("""COMPUTED_VALUE"""),"E-3")</f>
        <v>E-3</v>
      </c>
      <c r="F143" s="4">
        <f>IFERROR(__xludf.DUMMYFUNCTION("""COMPUTED_VALUE"""),3.0)</f>
        <v>3</v>
      </c>
      <c r="G143" s="4" t="str">
        <f>IFERROR(__xludf.DUMMYFUNCTION("""COMPUTED_VALUE"""),"3 WUSTHO A PUTRI")</f>
        <v>3 WUSTHO A PUTRI</v>
      </c>
      <c r="H143" s="4" t="str">
        <f>IFERROR(__xludf.DUMMYFUNCTION("""COMPUTED_VALUE"""),"6289537096560")</f>
        <v>6289537096560</v>
      </c>
      <c r="I143" s="5">
        <f>IFERROR(__xludf.DUMMYFUNCTION("""COMPUTED_VALUE"""),2160000.0)</f>
        <v>2160000</v>
      </c>
      <c r="J143" s="5">
        <f>IFERROR(__xludf.DUMMYFUNCTION("""COMPUTED_VALUE"""),0.0)</f>
        <v>0</v>
      </c>
      <c r="K143" s="5">
        <f>IFERROR(__xludf.DUMMYFUNCTION("""COMPUTED_VALUE"""),350000.0)</f>
        <v>350000</v>
      </c>
      <c r="L143" s="5">
        <f>IFERROR(__xludf.DUMMYFUNCTION("""COMPUTED_VALUE"""),2510000.0)</f>
        <v>2510000</v>
      </c>
      <c r="M143" s="14" t="str">
        <f t="shared" ref="M143:P143" si="144">text(I143,"Rp #,##0")</f>
        <v>Rp 2.160.000</v>
      </c>
      <c r="N143" s="14" t="str">
        <f t="shared" si="144"/>
        <v>Rp 0</v>
      </c>
      <c r="O143" s="14" t="str">
        <f t="shared" si="144"/>
        <v>Rp 350.000</v>
      </c>
      <c r="P143" s="14" t="str">
        <f t="shared" si="144"/>
        <v>Rp 2.510.000</v>
      </c>
      <c r="Q143" s="14" t="str">
        <f t="shared" si="4"/>
        <v>Syahriyah = Rp 2.160.000
Jariyah = Rp 0
Daftar Ulang = Rp 350.000
Total = Rp 2.510.000
______________________
ID : 2024070415</v>
      </c>
    </row>
    <row r="144">
      <c r="A144" s="18">
        <f t="shared" si="2"/>
        <v>143</v>
      </c>
      <c r="B144" s="4" t="str">
        <f>IFERROR(__xludf.DUMMYFUNCTION("""COMPUTED_VALUE"""),"DEWI SHOFIYAH NUR HIMMATUSSALAFIYA")</f>
        <v>DEWI SHOFIYAH NUR HIMMATUSSALAFIYA</v>
      </c>
      <c r="C144" s="4">
        <f>IFERROR(__xludf.DUMMYFUNCTION("""COMPUTED_VALUE"""),2.024070416E9)</f>
        <v>2024070416</v>
      </c>
      <c r="D144" s="4" t="str">
        <f>IFERROR(__xludf.DUMMYFUNCTION("""COMPUTED_VALUE"""),"D")</f>
        <v>D</v>
      </c>
      <c r="E144" s="4" t="str">
        <f>IFERROR(__xludf.DUMMYFUNCTION("""COMPUTED_VALUE"""),"D-6")</f>
        <v>D-6</v>
      </c>
      <c r="F144" s="4">
        <f>IFERROR(__xludf.DUMMYFUNCTION("""COMPUTED_VALUE"""),3.0)</f>
        <v>3</v>
      </c>
      <c r="G144" s="4" t="str">
        <f>IFERROR(__xludf.DUMMYFUNCTION("""COMPUTED_VALUE"""),"3 MAK PUTRI")</f>
        <v>3 MAK PUTRI</v>
      </c>
      <c r="H144" s="4" t="str">
        <f>IFERROR(__xludf.DUMMYFUNCTION("""COMPUTED_VALUE"""),"6285792978952")</f>
        <v>6285792978952</v>
      </c>
      <c r="I144" s="5">
        <f>IFERROR(__xludf.DUMMYFUNCTION("""COMPUTED_VALUE"""),2700000.0)</f>
        <v>2700000</v>
      </c>
      <c r="J144" s="5">
        <f>IFERROR(__xludf.DUMMYFUNCTION("""COMPUTED_VALUE"""),0.0)</f>
        <v>0</v>
      </c>
      <c r="K144" s="5">
        <f>IFERROR(__xludf.DUMMYFUNCTION("""COMPUTED_VALUE"""),0.0)</f>
        <v>0</v>
      </c>
      <c r="L144" s="5">
        <f>IFERROR(__xludf.DUMMYFUNCTION("""COMPUTED_VALUE"""),2700000.0)</f>
        <v>2700000</v>
      </c>
      <c r="M144" s="14" t="str">
        <f t="shared" ref="M144:P144" si="145">text(I144,"Rp #,##0")</f>
        <v>Rp 2.700.000</v>
      </c>
      <c r="N144" s="14" t="str">
        <f t="shared" si="145"/>
        <v>Rp 0</v>
      </c>
      <c r="O144" s="14" t="str">
        <f t="shared" si="145"/>
        <v>Rp 0</v>
      </c>
      <c r="P144" s="14" t="str">
        <f t="shared" si="145"/>
        <v>Rp 2.700.000</v>
      </c>
      <c r="Q144" s="14" t="str">
        <f t="shared" si="4"/>
        <v>Syahriyah = Rp 2.700.000
Jariyah = Rp 0
Daftar Ulang = Rp 0
Total = Rp 2.700.000
______________________
ID : 2024070416</v>
      </c>
    </row>
    <row r="145">
      <c r="A145" s="18">
        <f t="shared" si="2"/>
        <v>144</v>
      </c>
      <c r="B145" s="4" t="str">
        <f>IFERROR(__xludf.DUMMYFUNCTION("""COMPUTED_VALUE"""),"EIRMA NAFISYAH ADILLAH")</f>
        <v>EIRMA NAFISYAH ADILLAH</v>
      </c>
      <c r="C145" s="4">
        <f>IFERROR(__xludf.DUMMYFUNCTION("""COMPUTED_VALUE"""),2.02407019E9)</f>
        <v>2024070190</v>
      </c>
      <c r="D145" s="4" t="str">
        <f>IFERROR(__xludf.DUMMYFUNCTION("""COMPUTED_VALUE"""),"C")</f>
        <v>C</v>
      </c>
      <c r="E145" s="4" t="str">
        <f>IFERROR(__xludf.DUMMYFUNCTION("""COMPUTED_VALUE"""),"C-9")</f>
        <v>C-9</v>
      </c>
      <c r="F145" s="4">
        <f>IFERROR(__xludf.DUMMYFUNCTION("""COMPUTED_VALUE"""),3.0)</f>
        <v>3</v>
      </c>
      <c r="G145" s="4" t="str">
        <f>IFERROR(__xludf.DUMMYFUNCTION("""COMPUTED_VALUE"""),"3 WUSTHO B PUTRI")</f>
        <v>3 WUSTHO B PUTRI</v>
      </c>
      <c r="H145" s="4" t="str">
        <f>IFERROR(__xludf.DUMMYFUNCTION("""COMPUTED_VALUE"""),"601163973701")</f>
        <v>601163973701</v>
      </c>
      <c r="I145" s="5">
        <f>IFERROR(__xludf.DUMMYFUNCTION("""COMPUTED_VALUE"""),2700000.0)</f>
        <v>2700000</v>
      </c>
      <c r="J145" s="5">
        <f>IFERROR(__xludf.DUMMYFUNCTION("""COMPUTED_VALUE"""),0.0)</f>
        <v>0</v>
      </c>
      <c r="K145" s="5">
        <f>IFERROR(__xludf.DUMMYFUNCTION("""COMPUTED_VALUE"""),0.0)</f>
        <v>0</v>
      </c>
      <c r="L145" s="5">
        <f>IFERROR(__xludf.DUMMYFUNCTION("""COMPUTED_VALUE"""),2700000.0)</f>
        <v>2700000</v>
      </c>
      <c r="M145" s="14" t="str">
        <f t="shared" ref="M145:P145" si="146">text(I145,"Rp #,##0")</f>
        <v>Rp 2.700.000</v>
      </c>
      <c r="N145" s="14" t="str">
        <f t="shared" si="146"/>
        <v>Rp 0</v>
      </c>
      <c r="O145" s="14" t="str">
        <f t="shared" si="146"/>
        <v>Rp 0</v>
      </c>
      <c r="P145" s="14" t="str">
        <f t="shared" si="146"/>
        <v>Rp 2.700.000</v>
      </c>
      <c r="Q145" s="14" t="str">
        <f t="shared" si="4"/>
        <v>Syahriyah = Rp 2.700.000
Jariyah = Rp 0
Daftar Ulang = Rp 0
Total = Rp 2.700.000
______________________
ID : 2024070190</v>
      </c>
    </row>
    <row r="146">
      <c r="A146" s="18">
        <f t="shared" si="2"/>
        <v>145</v>
      </c>
      <c r="B146" s="4" t="str">
        <f>IFERROR(__xludf.DUMMYFUNCTION("""COMPUTED_VALUE"""),"HARITSATUN NAJWA ABIDAH ALBANAN")</f>
        <v>HARITSATUN NAJWA ABIDAH ALBANAN</v>
      </c>
      <c r="C146" s="4">
        <f>IFERROR(__xludf.DUMMYFUNCTION("""COMPUTED_VALUE"""),2.024070569E9)</f>
        <v>2024070569</v>
      </c>
      <c r="D146" s="4" t="str">
        <f>IFERROR(__xludf.DUMMYFUNCTION("""COMPUTED_VALUE"""),"C")</f>
        <v>C</v>
      </c>
      <c r="E146" s="4" t="str">
        <f>IFERROR(__xludf.DUMMYFUNCTION("""COMPUTED_VALUE"""),"C-3")</f>
        <v>C-3</v>
      </c>
      <c r="F146" s="4">
        <f>IFERROR(__xludf.DUMMYFUNCTION("""COMPUTED_VALUE"""),3.0)</f>
        <v>3</v>
      </c>
      <c r="G146" s="4"/>
      <c r="H146" s="4" t="str">
        <f>IFERROR(__xludf.DUMMYFUNCTION("""COMPUTED_VALUE"""),"6285655438946")</f>
        <v>6285655438946</v>
      </c>
      <c r="I146" s="5">
        <f>IFERROR(__xludf.DUMMYFUNCTION("""COMPUTED_VALUE"""),2700000.0)</f>
        <v>2700000</v>
      </c>
      <c r="J146" s="5">
        <f>IFERROR(__xludf.DUMMYFUNCTION("""COMPUTED_VALUE"""),0.0)</f>
        <v>0</v>
      </c>
      <c r="K146" s="5">
        <f>IFERROR(__xludf.DUMMYFUNCTION("""COMPUTED_VALUE"""),0.0)</f>
        <v>0</v>
      </c>
      <c r="L146" s="5">
        <f>IFERROR(__xludf.DUMMYFUNCTION("""COMPUTED_VALUE"""),2700000.0)</f>
        <v>2700000</v>
      </c>
      <c r="M146" s="14" t="str">
        <f t="shared" ref="M146:P146" si="147">text(I146,"Rp #,##0")</f>
        <v>Rp 2.700.000</v>
      </c>
      <c r="N146" s="14" t="str">
        <f t="shared" si="147"/>
        <v>Rp 0</v>
      </c>
      <c r="O146" s="14" t="str">
        <f t="shared" si="147"/>
        <v>Rp 0</v>
      </c>
      <c r="P146" s="14" t="str">
        <f t="shared" si="147"/>
        <v>Rp 2.700.000</v>
      </c>
      <c r="Q146" s="14" t="str">
        <f t="shared" si="4"/>
        <v>Syahriyah = Rp 2.700.000
Jariyah = Rp 0
Daftar Ulang = Rp 0
Total = Rp 2.700.000
______________________
ID : 2024070569</v>
      </c>
    </row>
    <row r="147">
      <c r="A147" s="18">
        <f t="shared" si="2"/>
        <v>146</v>
      </c>
      <c r="B147" s="4" t="str">
        <f>IFERROR(__xludf.DUMMYFUNCTION("""COMPUTED_VALUE"""),"NUR IFATURAHMAH")</f>
        <v>NUR IFATURAHMAH</v>
      </c>
      <c r="C147" s="4">
        <f>IFERROR(__xludf.DUMMYFUNCTION("""COMPUTED_VALUE"""),2.024070505E9)</f>
        <v>2024070505</v>
      </c>
      <c r="D147" s="4" t="str">
        <f>IFERROR(__xludf.DUMMYFUNCTION("""COMPUTED_VALUE"""),"D")</f>
        <v>D</v>
      </c>
      <c r="E147" s="4" t="str">
        <f>IFERROR(__xludf.DUMMYFUNCTION("""COMPUTED_VALUE"""),"D-7")</f>
        <v>D-7</v>
      </c>
      <c r="F147" s="4">
        <f>IFERROR(__xludf.DUMMYFUNCTION("""COMPUTED_VALUE"""),3.0)</f>
        <v>3</v>
      </c>
      <c r="G147" s="4" t="str">
        <f>IFERROR(__xludf.DUMMYFUNCTION("""COMPUTED_VALUE"""),"3 ULA B PUTRI")</f>
        <v>3 ULA B PUTRI</v>
      </c>
      <c r="H147" s="4" t="str">
        <f>IFERROR(__xludf.DUMMYFUNCTION("""COMPUTED_VALUE"""),"6285648312663")</f>
        <v>6285648312663</v>
      </c>
      <c r="I147" s="5">
        <f>IFERROR(__xludf.DUMMYFUNCTION("""COMPUTED_VALUE"""),2700000.0)</f>
        <v>2700000</v>
      </c>
      <c r="J147" s="5">
        <f>IFERROR(__xludf.DUMMYFUNCTION("""COMPUTED_VALUE"""),0.0)</f>
        <v>0</v>
      </c>
      <c r="K147" s="5">
        <f>IFERROR(__xludf.DUMMYFUNCTION("""COMPUTED_VALUE"""),0.0)</f>
        <v>0</v>
      </c>
      <c r="L147" s="5">
        <f>IFERROR(__xludf.DUMMYFUNCTION("""COMPUTED_VALUE"""),2700000.0)</f>
        <v>2700000</v>
      </c>
      <c r="M147" s="14" t="str">
        <f t="shared" ref="M147:P147" si="148">text(I147,"Rp #,##0")</f>
        <v>Rp 2.700.000</v>
      </c>
      <c r="N147" s="14" t="str">
        <f t="shared" si="148"/>
        <v>Rp 0</v>
      </c>
      <c r="O147" s="14" t="str">
        <f t="shared" si="148"/>
        <v>Rp 0</v>
      </c>
      <c r="P147" s="14" t="str">
        <f t="shared" si="148"/>
        <v>Rp 2.700.000</v>
      </c>
      <c r="Q147" s="14" t="str">
        <f t="shared" si="4"/>
        <v>Syahriyah = Rp 2.700.000
Jariyah = Rp 0
Daftar Ulang = Rp 0
Total = Rp 2.700.000
______________________
ID : 2024070505</v>
      </c>
    </row>
    <row r="148">
      <c r="A148" s="18">
        <f t="shared" si="2"/>
        <v>147</v>
      </c>
      <c r="B148" s="4" t="str">
        <f>IFERROR(__xludf.DUMMYFUNCTION("""COMPUTED_VALUE"""),"KHARIS DWI FIRMANA")</f>
        <v>KHARIS DWI FIRMANA</v>
      </c>
      <c r="C148" s="4">
        <f>IFERROR(__xludf.DUMMYFUNCTION("""COMPUTED_VALUE"""),2.024070627E9)</f>
        <v>2024070627</v>
      </c>
      <c r="D148" s="4" t="str">
        <f>IFERROR(__xludf.DUMMYFUNCTION("""COMPUTED_VALUE"""),"A")</f>
        <v>A</v>
      </c>
      <c r="E148" s="4" t="str">
        <f>IFERROR(__xludf.DUMMYFUNCTION("""COMPUTED_VALUE"""),"A-8")</f>
        <v>A-8</v>
      </c>
      <c r="F148" s="4">
        <f>IFERROR(__xludf.DUMMYFUNCTION("""COMPUTED_VALUE"""),3.0)</f>
        <v>3</v>
      </c>
      <c r="G148" s="4" t="str">
        <f>IFERROR(__xludf.DUMMYFUNCTION("""COMPUTED_VALUE"""),"3 ULA B PUTRA")</f>
        <v>3 ULA B PUTRA</v>
      </c>
      <c r="H148" s="4" t="str">
        <f>IFERROR(__xludf.DUMMYFUNCTION("""COMPUTED_VALUE"""),"6285777721366")</f>
        <v>6285777721366</v>
      </c>
      <c r="I148" s="5">
        <f>IFERROR(__xludf.DUMMYFUNCTION("""COMPUTED_VALUE"""),2250000.0)</f>
        <v>2250000</v>
      </c>
      <c r="J148" s="5">
        <f>IFERROR(__xludf.DUMMYFUNCTION("""COMPUTED_VALUE"""),500000.0)</f>
        <v>500000</v>
      </c>
      <c r="K148" s="5">
        <f>IFERROR(__xludf.DUMMYFUNCTION("""COMPUTED_VALUE"""),0.0)</f>
        <v>0</v>
      </c>
      <c r="L148" s="5">
        <f>IFERROR(__xludf.DUMMYFUNCTION("""COMPUTED_VALUE"""),2750000.0)</f>
        <v>2750000</v>
      </c>
    </row>
    <row r="149">
      <c r="A149" s="18">
        <f t="shared" si="2"/>
        <v>148</v>
      </c>
      <c r="B149" s="4" t="str">
        <f>IFERROR(__xludf.DUMMYFUNCTION("""COMPUTED_VALUE"""),"ADELIA YULIANTI PUTRI")</f>
        <v>ADELIA YULIANTI PUTRI</v>
      </c>
      <c r="C149" s="4">
        <f>IFERROR(__xludf.DUMMYFUNCTION("""COMPUTED_VALUE"""),2.024070492E9)</f>
        <v>2024070492</v>
      </c>
      <c r="D149" s="4" t="str">
        <f>IFERROR(__xludf.DUMMYFUNCTION("""COMPUTED_VALUE"""),"C")</f>
        <v>C</v>
      </c>
      <c r="E149" s="4" t="str">
        <f>IFERROR(__xludf.DUMMYFUNCTION("""COMPUTED_VALUE"""),"C-12")</f>
        <v>C-12</v>
      </c>
      <c r="F149" s="4">
        <f>IFERROR(__xludf.DUMMYFUNCTION("""COMPUTED_VALUE"""),3.0)</f>
        <v>3</v>
      </c>
      <c r="G149" s="4" t="str">
        <f>IFERROR(__xludf.DUMMYFUNCTION("""COMPUTED_VALUE"""),"3 ULA A PUTRI")</f>
        <v>3 ULA A PUTRI</v>
      </c>
      <c r="H149" s="4" t="str">
        <f>IFERROR(__xludf.DUMMYFUNCTION("""COMPUTED_VALUE"""),"6285808721207")</f>
        <v>6285808721207</v>
      </c>
      <c r="I149" s="5">
        <f>IFERROR(__xludf.DUMMYFUNCTION("""COMPUTED_VALUE"""),1800000.0)</f>
        <v>1800000</v>
      </c>
      <c r="J149" s="5">
        <f>IFERROR(__xludf.DUMMYFUNCTION("""COMPUTED_VALUE"""),1000000.0)</f>
        <v>1000000</v>
      </c>
      <c r="K149" s="5">
        <f>IFERROR(__xludf.DUMMYFUNCTION("""COMPUTED_VALUE"""),0.0)</f>
        <v>0</v>
      </c>
      <c r="L149" s="5">
        <f>IFERROR(__xludf.DUMMYFUNCTION("""COMPUTED_VALUE"""),2800000.0)</f>
        <v>2800000</v>
      </c>
    </row>
    <row r="150">
      <c r="A150" s="18">
        <f t="shared" si="2"/>
        <v>149</v>
      </c>
      <c r="B150" s="4" t="str">
        <f>IFERROR(__xludf.DUMMYFUNCTION("""COMPUTED_VALUE"""),"ATIQAH FAIRUZAH")</f>
        <v>ATIQAH FAIRUZAH</v>
      </c>
      <c r="C150" s="4">
        <f>IFERROR(__xludf.DUMMYFUNCTION("""COMPUTED_VALUE"""),2.024070544E9)</f>
        <v>2024070544</v>
      </c>
      <c r="D150" s="4" t="str">
        <f>IFERROR(__xludf.DUMMYFUNCTION("""COMPUTED_VALUE"""),"C")</f>
        <v>C</v>
      </c>
      <c r="E150" s="4" t="str">
        <f>IFERROR(__xludf.DUMMYFUNCTION("""COMPUTED_VALUE"""),"C-3")</f>
        <v>C-3</v>
      </c>
      <c r="F150" s="4">
        <f>IFERROR(__xludf.DUMMYFUNCTION("""COMPUTED_VALUE"""),3.0)</f>
        <v>3</v>
      </c>
      <c r="G150" s="4" t="str">
        <f>IFERROR(__xludf.DUMMYFUNCTION("""COMPUTED_VALUE"""),"3 ULA A PUTRI")</f>
        <v>3 ULA A PUTRI</v>
      </c>
      <c r="H150" s="4" t="str">
        <f>IFERROR(__xludf.DUMMYFUNCTION("""COMPUTED_VALUE"""),"6285731022920")</f>
        <v>6285731022920</v>
      </c>
      <c r="I150" s="5">
        <f>IFERROR(__xludf.DUMMYFUNCTION("""COMPUTED_VALUE"""),1800000.0)</f>
        <v>1800000</v>
      </c>
      <c r="J150" s="5">
        <f>IFERROR(__xludf.DUMMYFUNCTION("""COMPUTED_VALUE"""),1000000.0)</f>
        <v>1000000</v>
      </c>
      <c r="K150" s="5">
        <f>IFERROR(__xludf.DUMMYFUNCTION("""COMPUTED_VALUE"""),0.0)</f>
        <v>0</v>
      </c>
      <c r="L150" s="5">
        <f>IFERROR(__xludf.DUMMYFUNCTION("""COMPUTED_VALUE"""),2800000.0)</f>
        <v>2800000</v>
      </c>
    </row>
    <row r="151">
      <c r="A151" s="18">
        <f t="shared" si="2"/>
        <v>150</v>
      </c>
      <c r="B151" s="4" t="str">
        <f>IFERROR(__xludf.DUMMYFUNCTION("""COMPUTED_VALUE"""),"FAQUR ROZIQ MAULUDI")</f>
        <v>FAQUR ROZIQ MAULUDI</v>
      </c>
      <c r="C151" s="4">
        <f>IFERROR(__xludf.DUMMYFUNCTION("""COMPUTED_VALUE"""),2.024070556E9)</f>
        <v>2024070556</v>
      </c>
      <c r="D151" s="4" t="str">
        <f>IFERROR(__xludf.DUMMYFUNCTION("""COMPUTED_VALUE"""),"A")</f>
        <v>A</v>
      </c>
      <c r="E151" s="4" t="str">
        <f>IFERROR(__xludf.DUMMYFUNCTION("""COMPUTED_VALUE"""),"A-7")</f>
        <v>A-7</v>
      </c>
      <c r="F151" s="4">
        <f>IFERROR(__xludf.DUMMYFUNCTION("""COMPUTED_VALUE"""),3.0)</f>
        <v>3</v>
      </c>
      <c r="G151" s="4" t="str">
        <f>IFERROR(__xludf.DUMMYFUNCTION("""COMPUTED_VALUE"""),"3 ULA B PUTRA")</f>
        <v>3 ULA B PUTRA</v>
      </c>
      <c r="H151" s="4" t="str">
        <f>IFERROR(__xludf.DUMMYFUNCTION("""COMPUTED_VALUE"""),"6285871052078")</f>
        <v>6285871052078</v>
      </c>
      <c r="I151" s="5">
        <f>IFERROR(__xludf.DUMMYFUNCTION("""COMPUTED_VALUE"""),1800000.0)</f>
        <v>1800000</v>
      </c>
      <c r="J151" s="5">
        <f>IFERROR(__xludf.DUMMYFUNCTION("""COMPUTED_VALUE"""),1000000.0)</f>
        <v>1000000</v>
      </c>
      <c r="K151" s="5">
        <f>IFERROR(__xludf.DUMMYFUNCTION("""COMPUTED_VALUE"""),0.0)</f>
        <v>0</v>
      </c>
      <c r="L151" s="5">
        <f>IFERROR(__xludf.DUMMYFUNCTION("""COMPUTED_VALUE"""),2800000.0)</f>
        <v>2800000</v>
      </c>
    </row>
    <row r="152">
      <c r="A152" s="18">
        <f t="shared" si="2"/>
        <v>151</v>
      </c>
      <c r="B152" s="4" t="str">
        <f>IFERROR(__xludf.DUMMYFUNCTION("""COMPUTED_VALUE"""),"HANIK FARKHATUS SHOLIKHAH")</f>
        <v>HANIK FARKHATUS SHOLIKHAH</v>
      </c>
      <c r="C152" s="4">
        <f>IFERROR(__xludf.DUMMYFUNCTION("""COMPUTED_VALUE"""),2.024070547E9)</f>
        <v>2024070547</v>
      </c>
      <c r="D152" s="4" t="str">
        <f>IFERROR(__xludf.DUMMYFUNCTION("""COMPUTED_VALUE"""),"C")</f>
        <v>C</v>
      </c>
      <c r="E152" s="4" t="str">
        <f>IFERROR(__xludf.DUMMYFUNCTION("""COMPUTED_VALUE"""),"C-13")</f>
        <v>C-13</v>
      </c>
      <c r="F152" s="4">
        <f>IFERROR(__xludf.DUMMYFUNCTION("""COMPUTED_VALUE"""),3.0)</f>
        <v>3</v>
      </c>
      <c r="G152" s="4" t="str">
        <f>IFERROR(__xludf.DUMMYFUNCTION("""COMPUTED_VALUE"""),"3 ULA B PUTRI")</f>
        <v>3 ULA B PUTRI</v>
      </c>
      <c r="H152" s="4" t="str">
        <f>IFERROR(__xludf.DUMMYFUNCTION("""COMPUTED_VALUE"""),"6285731327129")</f>
        <v>6285731327129</v>
      </c>
      <c r="I152" s="5">
        <f>IFERROR(__xludf.DUMMYFUNCTION("""COMPUTED_VALUE"""),1800000.0)</f>
        <v>1800000</v>
      </c>
      <c r="J152" s="5">
        <f>IFERROR(__xludf.DUMMYFUNCTION("""COMPUTED_VALUE"""),1000000.0)</f>
        <v>1000000</v>
      </c>
      <c r="K152" s="5">
        <f>IFERROR(__xludf.DUMMYFUNCTION("""COMPUTED_VALUE"""),0.0)</f>
        <v>0</v>
      </c>
      <c r="L152" s="5">
        <f>IFERROR(__xludf.DUMMYFUNCTION("""COMPUTED_VALUE"""),2800000.0)</f>
        <v>2800000</v>
      </c>
    </row>
    <row r="153">
      <c r="A153" s="18">
        <f t="shared" si="2"/>
        <v>152</v>
      </c>
      <c r="B153" s="4" t="str">
        <f>IFERROR(__xludf.DUMMYFUNCTION("""COMPUTED_VALUE"""),"MUHAMMAD EZA AL`IMRON")</f>
        <v>MUHAMMAD EZA AL`IMRON</v>
      </c>
      <c r="C153" s="4">
        <f>IFERROR(__xludf.DUMMYFUNCTION("""COMPUTED_VALUE"""),2.024070653E9)</f>
        <v>2024070653</v>
      </c>
      <c r="D153" s="4" t="str">
        <f>IFERROR(__xludf.DUMMYFUNCTION("""COMPUTED_VALUE"""),"A")</f>
        <v>A</v>
      </c>
      <c r="E153" s="4" t="str">
        <f>IFERROR(__xludf.DUMMYFUNCTION("""COMPUTED_VALUE"""),"A-7")</f>
        <v>A-7</v>
      </c>
      <c r="F153" s="4">
        <f>IFERROR(__xludf.DUMMYFUNCTION("""COMPUTED_VALUE"""),3.0)</f>
        <v>3</v>
      </c>
      <c r="G153" s="4" t="str">
        <f>IFERROR(__xludf.DUMMYFUNCTION("""COMPUTED_VALUE"""),"3 ULA B PUTRA")</f>
        <v>3 ULA B PUTRA</v>
      </c>
      <c r="H153" s="4" t="str">
        <f>IFERROR(__xludf.DUMMYFUNCTION("""COMPUTED_VALUE"""),"6285755534326")</f>
        <v>6285755534326</v>
      </c>
      <c r="I153" s="5">
        <f>IFERROR(__xludf.DUMMYFUNCTION("""COMPUTED_VALUE"""),1800000.0)</f>
        <v>1800000</v>
      </c>
      <c r="J153" s="5">
        <f>IFERROR(__xludf.DUMMYFUNCTION("""COMPUTED_VALUE"""),1000000.0)</f>
        <v>1000000</v>
      </c>
      <c r="K153" s="5">
        <f>IFERROR(__xludf.DUMMYFUNCTION("""COMPUTED_VALUE"""),0.0)</f>
        <v>0</v>
      </c>
      <c r="L153" s="5">
        <f>IFERROR(__xludf.DUMMYFUNCTION("""COMPUTED_VALUE"""),2800000.0)</f>
        <v>2800000</v>
      </c>
    </row>
    <row r="154">
      <c r="A154" s="18">
        <f t="shared" si="2"/>
        <v>153</v>
      </c>
      <c r="B154" s="4" t="str">
        <f>IFERROR(__xludf.DUMMYFUNCTION("""COMPUTED_VALUE"""),"AZURO SABILA FAZZA MAULIDAH")</f>
        <v>AZURO SABILA FAZZA MAULIDAH</v>
      </c>
      <c r="C154" s="4">
        <f>IFERROR(__xludf.DUMMYFUNCTION("""COMPUTED_VALUE"""),2.024070573E9)</f>
        <v>2024070573</v>
      </c>
      <c r="D154" s="4" t="str">
        <f>IFERROR(__xludf.DUMMYFUNCTION("""COMPUTED_VALUE"""),"E")</f>
        <v>E</v>
      </c>
      <c r="E154" s="4" t="str">
        <f>IFERROR(__xludf.DUMMYFUNCTION("""COMPUTED_VALUE"""),"E-2")</f>
        <v>E-2</v>
      </c>
      <c r="F154" s="4">
        <f>IFERROR(__xludf.DUMMYFUNCTION("""COMPUTED_VALUE"""),3.0)</f>
        <v>3</v>
      </c>
      <c r="G154" s="4" t="str">
        <f>IFERROR(__xludf.DUMMYFUNCTION("""COMPUTED_VALUE"""),"3 ULA C PUTRI")</f>
        <v>3 ULA C PUTRI</v>
      </c>
      <c r="H154" s="4" t="str">
        <f>IFERROR(__xludf.DUMMYFUNCTION("""COMPUTED_VALUE"""),"6285707564507")</f>
        <v>6285707564507</v>
      </c>
      <c r="I154" s="5">
        <f>IFERROR(__xludf.DUMMYFUNCTION("""COMPUTED_VALUE"""),2000000.0)</f>
        <v>2000000</v>
      </c>
      <c r="J154" s="5">
        <f>IFERROR(__xludf.DUMMYFUNCTION("""COMPUTED_VALUE"""),1000000.0)</f>
        <v>1000000</v>
      </c>
      <c r="K154" s="5">
        <f>IFERROR(__xludf.DUMMYFUNCTION("""COMPUTED_VALUE"""),0.0)</f>
        <v>0</v>
      </c>
      <c r="L154" s="5">
        <f>IFERROR(__xludf.DUMMYFUNCTION("""COMPUTED_VALUE"""),3000000.0)</f>
        <v>3000000</v>
      </c>
    </row>
    <row r="155">
      <c r="A155" s="18">
        <f t="shared" si="2"/>
        <v>154</v>
      </c>
      <c r="B155" s="4" t="str">
        <f>IFERROR(__xludf.DUMMYFUNCTION("""COMPUTED_VALUE"""),"KHARISYAH NADYATUR ROHMAH")</f>
        <v>KHARISYAH NADYATUR ROHMAH</v>
      </c>
      <c r="C155" s="4">
        <f>IFERROR(__xludf.DUMMYFUNCTION("""COMPUTED_VALUE"""),2.024070635E9)</f>
        <v>2024070635</v>
      </c>
      <c r="D155" s="4" t="str">
        <f>IFERROR(__xludf.DUMMYFUNCTION("""COMPUTED_VALUE"""),"E")</f>
        <v>E</v>
      </c>
      <c r="E155" s="4" t="str">
        <f>IFERROR(__xludf.DUMMYFUNCTION("""COMPUTED_VALUE"""),"E-2")</f>
        <v>E-2</v>
      </c>
      <c r="F155" s="4">
        <f>IFERROR(__xludf.DUMMYFUNCTION("""COMPUTED_VALUE"""),3.0)</f>
        <v>3</v>
      </c>
      <c r="G155" s="4" t="str">
        <f>IFERROR(__xludf.DUMMYFUNCTION("""COMPUTED_VALUE"""),"3 ULA C PUTRI")</f>
        <v>3 ULA C PUTRI</v>
      </c>
      <c r="H155" s="4" t="str">
        <f>IFERROR(__xludf.DUMMYFUNCTION("""COMPUTED_VALUE"""),"6285649089570")</f>
        <v>6285649089570</v>
      </c>
      <c r="I155" s="5">
        <f>IFERROR(__xludf.DUMMYFUNCTION("""COMPUTED_VALUE"""),3000000.0)</f>
        <v>3000000</v>
      </c>
      <c r="J155" s="5">
        <f>IFERROR(__xludf.DUMMYFUNCTION("""COMPUTED_VALUE"""),0.0)</f>
        <v>0</v>
      </c>
      <c r="K155" s="5">
        <f>IFERROR(__xludf.DUMMYFUNCTION("""COMPUTED_VALUE"""),0.0)</f>
        <v>0</v>
      </c>
      <c r="L155" s="5">
        <f>IFERROR(__xludf.DUMMYFUNCTION("""COMPUTED_VALUE"""),3000000.0)</f>
        <v>3000000</v>
      </c>
    </row>
    <row r="156">
      <c r="A156" s="18">
        <f t="shared" si="2"/>
        <v>155</v>
      </c>
      <c r="B156" s="4" t="str">
        <f>IFERROR(__xludf.DUMMYFUNCTION("""COMPUTED_VALUE"""),"MAZIDATUL ILMI OKTARISA DINI")</f>
        <v>MAZIDATUL ILMI OKTARISA DINI</v>
      </c>
      <c r="C156" s="4">
        <f>IFERROR(__xludf.DUMMYFUNCTION("""COMPUTED_VALUE"""),2.024070427E9)</f>
        <v>2024070427</v>
      </c>
      <c r="D156" s="4" t="str">
        <f>IFERROR(__xludf.DUMMYFUNCTION("""COMPUTED_VALUE"""),"D")</f>
        <v>D</v>
      </c>
      <c r="E156" s="4" t="str">
        <f>IFERROR(__xludf.DUMMYFUNCTION("""COMPUTED_VALUE"""),"D-7")</f>
        <v>D-7</v>
      </c>
      <c r="F156" s="4">
        <f>IFERROR(__xludf.DUMMYFUNCTION("""COMPUTED_VALUE"""),3.0)</f>
        <v>3</v>
      </c>
      <c r="G156" s="4" t="str">
        <f>IFERROR(__xludf.DUMMYFUNCTION("""COMPUTED_VALUE"""),"3 MAK PUTRI")</f>
        <v>3 MAK PUTRI</v>
      </c>
      <c r="H156" s="4" t="str">
        <f>IFERROR(__xludf.DUMMYFUNCTION("""COMPUTED_VALUE"""),"6285748191884")</f>
        <v>6285748191884</v>
      </c>
      <c r="I156" s="5">
        <f>IFERROR(__xludf.DUMMYFUNCTION("""COMPUTED_VALUE"""),3150000.0)</f>
        <v>3150000</v>
      </c>
      <c r="J156" s="5">
        <f>IFERROR(__xludf.DUMMYFUNCTION("""COMPUTED_VALUE"""),0.0)</f>
        <v>0</v>
      </c>
      <c r="K156" s="5">
        <f>IFERROR(__xludf.DUMMYFUNCTION("""COMPUTED_VALUE"""),0.0)</f>
        <v>0</v>
      </c>
      <c r="L156" s="5">
        <f>IFERROR(__xludf.DUMMYFUNCTION("""COMPUTED_VALUE"""),3150000.0)</f>
        <v>3150000</v>
      </c>
    </row>
    <row r="157">
      <c r="A157" s="18">
        <f t="shared" si="2"/>
        <v>156</v>
      </c>
      <c r="B157" s="4" t="str">
        <f>IFERROR(__xludf.DUMMYFUNCTION("""COMPUTED_VALUE"""),"FARAH ALTHAFUN NISA`")</f>
        <v>FARAH ALTHAFUN NISA`</v>
      </c>
      <c r="C157" s="4">
        <f>IFERROR(__xludf.DUMMYFUNCTION("""COMPUTED_VALUE"""),2.024070633E9)</f>
        <v>2024070633</v>
      </c>
      <c r="D157" s="4" t="str">
        <f>IFERROR(__xludf.DUMMYFUNCTION("""COMPUTED_VALUE"""),"C")</f>
        <v>C</v>
      </c>
      <c r="E157" s="4" t="str">
        <f>IFERROR(__xludf.DUMMYFUNCTION("""COMPUTED_VALUE"""),"C-12")</f>
        <v>C-12</v>
      </c>
      <c r="F157" s="4">
        <f>IFERROR(__xludf.DUMMYFUNCTION("""COMPUTED_VALUE"""),3.0)</f>
        <v>3</v>
      </c>
      <c r="G157" s="4"/>
      <c r="H157" s="4" t="str">
        <f>IFERROR(__xludf.DUMMYFUNCTION("""COMPUTED_VALUE"""),"6281615233482")</f>
        <v>6281615233482</v>
      </c>
      <c r="I157" s="5">
        <f>IFERROR(__xludf.DUMMYFUNCTION("""COMPUTED_VALUE"""),2250000.0)</f>
        <v>2250000</v>
      </c>
      <c r="J157" s="5">
        <f>IFERROR(__xludf.DUMMYFUNCTION("""COMPUTED_VALUE"""),1000000.0)</f>
        <v>1000000</v>
      </c>
      <c r="K157" s="5">
        <f>IFERROR(__xludf.DUMMYFUNCTION("""COMPUTED_VALUE"""),0.0)</f>
        <v>0</v>
      </c>
      <c r="L157" s="5">
        <f>IFERROR(__xludf.DUMMYFUNCTION("""COMPUTED_VALUE"""),3250000.0)</f>
        <v>3250000</v>
      </c>
    </row>
    <row r="158">
      <c r="A158" s="18">
        <f t="shared" si="2"/>
        <v>157</v>
      </c>
      <c r="B158" s="4" t="str">
        <f>IFERROR(__xludf.DUMMYFUNCTION("""COMPUTED_VALUE"""),"SALWA EKA SAFITRI")</f>
        <v>SALWA EKA SAFITRI</v>
      </c>
      <c r="C158" s="4">
        <f>IFERROR(__xludf.DUMMYFUNCTION("""COMPUTED_VALUE"""),2.024070724E9)</f>
        <v>2024070724</v>
      </c>
      <c r="D158" s="4" t="str">
        <f>IFERROR(__xludf.DUMMYFUNCTION("""COMPUTED_VALUE"""),"B")</f>
        <v>B</v>
      </c>
      <c r="E158" s="4" t="str">
        <f>IFERROR(__xludf.DUMMYFUNCTION("""COMPUTED_VALUE"""),"B-10")</f>
        <v>B-10</v>
      </c>
      <c r="F158" s="4">
        <f>IFERROR(__xludf.DUMMYFUNCTION("""COMPUTED_VALUE"""),3.0)</f>
        <v>3</v>
      </c>
      <c r="G158" s="4" t="str">
        <f>IFERROR(__xludf.DUMMYFUNCTION("""COMPUTED_VALUE"""),"3 ULA C PUTRI")</f>
        <v>3 ULA C PUTRI</v>
      </c>
      <c r="H158" s="4" t="str">
        <f>IFERROR(__xludf.DUMMYFUNCTION("""COMPUTED_VALUE"""),"6289653941550")</f>
        <v>6289653941550</v>
      </c>
      <c r="I158" s="5">
        <f>IFERROR(__xludf.DUMMYFUNCTION("""COMPUTED_VALUE"""),2250000.0)</f>
        <v>2250000</v>
      </c>
      <c r="J158" s="5">
        <f>IFERROR(__xludf.DUMMYFUNCTION("""COMPUTED_VALUE"""),1000000.0)</f>
        <v>1000000</v>
      </c>
      <c r="K158" s="5">
        <f>IFERROR(__xludf.DUMMYFUNCTION("""COMPUTED_VALUE"""),0.0)</f>
        <v>0</v>
      </c>
      <c r="L158" s="5">
        <f>IFERROR(__xludf.DUMMYFUNCTION("""COMPUTED_VALUE"""),3250000.0)</f>
        <v>3250000</v>
      </c>
    </row>
    <row r="159">
      <c r="A159" s="18">
        <f t="shared" si="2"/>
        <v>158</v>
      </c>
      <c r="B159" s="4" t="str">
        <f>IFERROR(__xludf.DUMMYFUNCTION("""COMPUTED_VALUE"""),"RAISA PUTRI ELYSIA SADIRA")</f>
        <v>RAISA PUTRI ELYSIA SADIRA</v>
      </c>
      <c r="C159" s="4">
        <f>IFERROR(__xludf.DUMMYFUNCTION("""COMPUTED_VALUE"""),2.02407075E9)</f>
        <v>2024070750</v>
      </c>
      <c r="D159" s="4" t="str">
        <f>IFERROR(__xludf.DUMMYFUNCTION("""COMPUTED_VALUE"""),"B")</f>
        <v>B</v>
      </c>
      <c r="E159" s="4" t="str">
        <f>IFERROR(__xludf.DUMMYFUNCTION("""COMPUTED_VALUE"""),"B-10")</f>
        <v>B-10</v>
      </c>
      <c r="F159" s="4">
        <f>IFERROR(__xludf.DUMMYFUNCTION("""COMPUTED_VALUE"""),3.0)</f>
        <v>3</v>
      </c>
      <c r="G159" s="4" t="str">
        <f>IFERROR(__xludf.DUMMYFUNCTION("""COMPUTED_VALUE"""),"3 ULA A PUTRI")</f>
        <v>3 ULA A PUTRI</v>
      </c>
      <c r="H159" s="4" t="str">
        <f>IFERROR(__xludf.DUMMYFUNCTION("""COMPUTED_VALUE"""),"6285805516619")</f>
        <v>6285805516619</v>
      </c>
      <c r="I159" s="5">
        <f>IFERROR(__xludf.DUMMYFUNCTION("""COMPUTED_VALUE"""),1800000.0)</f>
        <v>1800000</v>
      </c>
      <c r="J159" s="5">
        <f>IFERROR(__xludf.DUMMYFUNCTION("""COMPUTED_VALUE"""),1600000.0)</f>
        <v>1600000</v>
      </c>
      <c r="K159" s="5">
        <f>IFERROR(__xludf.DUMMYFUNCTION("""COMPUTED_VALUE"""),0.0)</f>
        <v>0</v>
      </c>
      <c r="L159" s="5">
        <f>IFERROR(__xludf.DUMMYFUNCTION("""COMPUTED_VALUE"""),3400000.0)</f>
        <v>3400000</v>
      </c>
    </row>
    <row r="160">
      <c r="A160" s="18">
        <f t="shared" si="2"/>
        <v>159</v>
      </c>
      <c r="B160" s="4" t="str">
        <f>IFERROR(__xludf.DUMMYFUNCTION("""COMPUTED_VALUE"""),"ANGELINA KIBRIYAH SAFITRI")</f>
        <v>ANGELINA KIBRIYAH SAFITRI</v>
      </c>
      <c r="C160" s="4">
        <f>IFERROR(__xludf.DUMMYFUNCTION("""COMPUTED_VALUE"""),2.02407034E9)</f>
        <v>2024070340</v>
      </c>
      <c r="D160" s="4" t="str">
        <f>IFERROR(__xludf.DUMMYFUNCTION("""COMPUTED_VALUE"""),"E")</f>
        <v>E</v>
      </c>
      <c r="E160" s="4" t="str">
        <f>IFERROR(__xludf.DUMMYFUNCTION("""COMPUTED_VALUE"""),"E-3")</f>
        <v>E-3</v>
      </c>
      <c r="F160" s="4">
        <f>IFERROR(__xludf.DUMMYFUNCTION("""COMPUTED_VALUE"""),3.0)</f>
        <v>3</v>
      </c>
      <c r="G160" s="4" t="str">
        <f>IFERROR(__xludf.DUMMYFUNCTION("""COMPUTED_VALUE"""),"3 WUSTHO B PUTRI")</f>
        <v>3 WUSTHO B PUTRI</v>
      </c>
      <c r="H160" s="4" t="str">
        <f>IFERROR(__xludf.DUMMYFUNCTION("""COMPUTED_VALUE"""),"6285707549770")</f>
        <v>6285707549770</v>
      </c>
      <c r="I160" s="5">
        <f>IFERROR(__xludf.DUMMYFUNCTION("""COMPUTED_VALUE"""),3000000.0)</f>
        <v>3000000</v>
      </c>
      <c r="J160" s="5">
        <f>IFERROR(__xludf.DUMMYFUNCTION("""COMPUTED_VALUE"""),500000.0)</f>
        <v>500000</v>
      </c>
      <c r="K160" s="5">
        <f>IFERROR(__xludf.DUMMYFUNCTION("""COMPUTED_VALUE"""),0.0)</f>
        <v>0</v>
      </c>
      <c r="L160" s="5">
        <f>IFERROR(__xludf.DUMMYFUNCTION("""COMPUTED_VALUE"""),3500000.0)</f>
        <v>3500000</v>
      </c>
    </row>
    <row r="161">
      <c r="A161" s="18">
        <f t="shared" si="2"/>
        <v>160</v>
      </c>
      <c r="B161" s="4" t="str">
        <f>IFERROR(__xludf.DUMMYFUNCTION("""COMPUTED_VALUE"""),"MOH. RAFY ANDIKA ROHMAN")</f>
        <v>MOH. RAFY ANDIKA ROHMAN</v>
      </c>
      <c r="C161" s="4">
        <f>IFERROR(__xludf.DUMMYFUNCTION("""COMPUTED_VALUE"""),2.024070676E9)</f>
        <v>2024070676</v>
      </c>
      <c r="D161" s="4" t="str">
        <f>IFERROR(__xludf.DUMMYFUNCTION("""COMPUTED_VALUE"""),"A")</f>
        <v>A</v>
      </c>
      <c r="E161" s="4" t="str">
        <f>IFERROR(__xludf.DUMMYFUNCTION("""COMPUTED_VALUE"""),"A-10")</f>
        <v>A-10</v>
      </c>
      <c r="F161" s="4">
        <f>IFERROR(__xludf.DUMMYFUNCTION("""COMPUTED_VALUE"""),3.0)</f>
        <v>3</v>
      </c>
      <c r="G161" s="4" t="str">
        <f>IFERROR(__xludf.DUMMYFUNCTION("""COMPUTED_VALUE"""),"3 WUSTHO PUTRA")</f>
        <v>3 WUSTHO PUTRA</v>
      </c>
      <c r="H161" s="4" t="str">
        <f>IFERROR(__xludf.DUMMYFUNCTION("""COMPUTED_VALUE"""),"6285730854693")</f>
        <v>6285730854693</v>
      </c>
      <c r="I161" s="5">
        <f>IFERROR(__xludf.DUMMYFUNCTION("""COMPUTED_VALUE"""),3600000.0)</f>
        <v>3600000</v>
      </c>
      <c r="J161" s="5">
        <f>IFERROR(__xludf.DUMMYFUNCTION("""COMPUTED_VALUE"""),0.0)</f>
        <v>0</v>
      </c>
      <c r="K161" s="5">
        <f>IFERROR(__xludf.DUMMYFUNCTION("""COMPUTED_VALUE"""),0.0)</f>
        <v>0</v>
      </c>
      <c r="L161" s="5">
        <f>IFERROR(__xludf.DUMMYFUNCTION("""COMPUTED_VALUE"""),3600000.0)</f>
        <v>3600000</v>
      </c>
    </row>
    <row r="162">
      <c r="A162" s="18">
        <f t="shared" si="2"/>
        <v>161</v>
      </c>
      <c r="B162" s="4" t="str">
        <f>IFERROR(__xludf.DUMMYFUNCTION("""COMPUTED_VALUE"""),"ROBI`AH AL-ADHAWIYAH")</f>
        <v>ROBI`AH AL-ADHAWIYAH</v>
      </c>
      <c r="C162" s="4">
        <f>IFERROR(__xludf.DUMMYFUNCTION("""COMPUTED_VALUE"""),2.024070022E9)</f>
        <v>2024070022</v>
      </c>
      <c r="D162" s="4" t="str">
        <f>IFERROR(__xludf.DUMMYFUNCTION("""COMPUTED_VALUE"""),"D")</f>
        <v>D</v>
      </c>
      <c r="E162" s="4" t="str">
        <f>IFERROR(__xludf.DUMMYFUNCTION("""COMPUTED_VALUE"""),"D-7")</f>
        <v>D-7</v>
      </c>
      <c r="F162" s="4">
        <f>IFERROR(__xludf.DUMMYFUNCTION("""COMPUTED_VALUE"""),3.0)</f>
        <v>3</v>
      </c>
      <c r="G162" s="4"/>
      <c r="H162" s="4" t="str">
        <f>IFERROR(__xludf.DUMMYFUNCTION("""COMPUTED_VALUE"""),"6285133823392")</f>
        <v>6285133823392</v>
      </c>
      <c r="I162" s="5">
        <f>IFERROR(__xludf.DUMMYFUNCTION("""COMPUTED_VALUE"""),2700000.0)</f>
        <v>2700000</v>
      </c>
      <c r="J162" s="5">
        <f>IFERROR(__xludf.DUMMYFUNCTION("""COMPUTED_VALUE"""),1000000.0)</f>
        <v>1000000</v>
      </c>
      <c r="K162" s="5">
        <f>IFERROR(__xludf.DUMMYFUNCTION("""COMPUTED_VALUE"""),0.0)</f>
        <v>0</v>
      </c>
      <c r="L162" s="5">
        <f>IFERROR(__xludf.DUMMYFUNCTION("""COMPUTED_VALUE"""),3700000.0)</f>
        <v>3700000</v>
      </c>
    </row>
    <row r="163">
      <c r="A163" s="18">
        <f t="shared" si="2"/>
        <v>162</v>
      </c>
      <c r="B163" s="4" t="str">
        <f>IFERROR(__xludf.DUMMYFUNCTION("""COMPUTED_VALUE"""),"HIMMATU ZAWA ARRIFA")</f>
        <v>HIMMATU ZAWA ARRIFA</v>
      </c>
      <c r="C163" s="4">
        <f>IFERROR(__xludf.DUMMYFUNCTION("""COMPUTED_VALUE"""),2.024070076E9)</f>
        <v>2024070076</v>
      </c>
      <c r="D163" s="4" t="str">
        <f>IFERROR(__xludf.DUMMYFUNCTION("""COMPUTED_VALUE"""),"C")</f>
        <v>C</v>
      </c>
      <c r="E163" s="4" t="str">
        <f>IFERROR(__xludf.DUMMYFUNCTION("""COMPUTED_VALUE"""),"C-8")</f>
        <v>C-8</v>
      </c>
      <c r="F163" s="4">
        <f>IFERROR(__xludf.DUMMYFUNCTION("""COMPUTED_VALUE"""),3.0)</f>
        <v>3</v>
      </c>
      <c r="G163" s="4" t="str">
        <f>IFERROR(__xludf.DUMMYFUNCTION("""COMPUTED_VALUE"""),"3 WUSTHO B PUTRI")</f>
        <v>3 WUSTHO B PUTRI</v>
      </c>
      <c r="H163" s="4" t="str">
        <f>IFERROR(__xludf.DUMMYFUNCTION("""COMPUTED_VALUE"""),"6285748986490")</f>
        <v>6285748986490</v>
      </c>
      <c r="I163" s="5">
        <f>IFERROR(__xludf.DUMMYFUNCTION("""COMPUTED_VALUE"""),3150000.0)</f>
        <v>3150000</v>
      </c>
      <c r="J163" s="5">
        <f>IFERROR(__xludf.DUMMYFUNCTION("""COMPUTED_VALUE"""),1000000.0)</f>
        <v>1000000</v>
      </c>
      <c r="K163" s="5">
        <f>IFERROR(__xludf.DUMMYFUNCTION("""COMPUTED_VALUE"""),0.0)</f>
        <v>0</v>
      </c>
      <c r="L163" s="5">
        <f>IFERROR(__xludf.DUMMYFUNCTION("""COMPUTED_VALUE"""),4150000.0)</f>
        <v>4150000</v>
      </c>
    </row>
    <row r="164">
      <c r="A164" s="18">
        <f t="shared" si="2"/>
        <v>163</v>
      </c>
      <c r="B164" s="4" t="str">
        <f>IFERROR(__xludf.DUMMYFUNCTION("""COMPUTED_VALUE"""),"RIZKY YUSUF MAULANA")</f>
        <v>RIZKY YUSUF MAULANA</v>
      </c>
      <c r="C164" s="4">
        <f>IFERROR(__xludf.DUMMYFUNCTION("""COMPUTED_VALUE"""),2.024070453E9)</f>
        <v>2024070453</v>
      </c>
      <c r="D164" s="4" t="str">
        <f>IFERROR(__xludf.DUMMYFUNCTION("""COMPUTED_VALUE"""),"A")</f>
        <v>A</v>
      </c>
      <c r="E164" s="4" t="str">
        <f>IFERROR(__xludf.DUMMYFUNCTION("""COMPUTED_VALUE"""),"A-7")</f>
        <v>A-7</v>
      </c>
      <c r="F164" s="4">
        <f>IFERROR(__xludf.DUMMYFUNCTION("""COMPUTED_VALUE"""),3.0)</f>
        <v>3</v>
      </c>
      <c r="G164" s="4" t="str">
        <f>IFERROR(__xludf.DUMMYFUNCTION("""COMPUTED_VALUE"""),"3 ULA A PUTRA")</f>
        <v>3 ULA A PUTRA</v>
      </c>
      <c r="H164" s="4"/>
      <c r="I164" s="5">
        <f>IFERROR(__xludf.DUMMYFUNCTION("""COMPUTED_VALUE"""),3150000.0)</f>
        <v>3150000</v>
      </c>
      <c r="J164" s="5">
        <f>IFERROR(__xludf.DUMMYFUNCTION("""COMPUTED_VALUE"""),1000000.0)</f>
        <v>1000000</v>
      </c>
      <c r="K164" s="5">
        <f>IFERROR(__xludf.DUMMYFUNCTION("""COMPUTED_VALUE"""),0.0)</f>
        <v>0</v>
      </c>
      <c r="L164" s="5">
        <f>IFERROR(__xludf.DUMMYFUNCTION("""COMPUTED_VALUE"""),4150000.0)</f>
        <v>4150000</v>
      </c>
    </row>
    <row r="165">
      <c r="A165" s="18">
        <f t="shared" si="2"/>
        <v>164</v>
      </c>
      <c r="B165" s="4" t="str">
        <f>IFERROR(__xludf.DUMMYFUNCTION("""COMPUTED_VALUE"""),"MUHAMMAD HAIKAL JAMALUDDIN RUMMY")</f>
        <v>MUHAMMAD HAIKAL JAMALUDDIN RUMMY</v>
      </c>
      <c r="C165" s="4">
        <f>IFERROR(__xludf.DUMMYFUNCTION("""COMPUTED_VALUE"""),2.024070612E9)</f>
        <v>2024070612</v>
      </c>
      <c r="D165" s="4" t="str">
        <f>IFERROR(__xludf.DUMMYFUNCTION("""COMPUTED_VALUE"""),"A")</f>
        <v>A</v>
      </c>
      <c r="E165" s="4" t="str">
        <f>IFERROR(__xludf.DUMMYFUNCTION("""COMPUTED_VALUE"""),"A-8")</f>
        <v>A-8</v>
      </c>
      <c r="F165" s="4">
        <f>IFERROR(__xludf.DUMMYFUNCTION("""COMPUTED_VALUE"""),3.0)</f>
        <v>3</v>
      </c>
      <c r="G165" s="4" t="str">
        <f>IFERROR(__xludf.DUMMYFUNCTION("""COMPUTED_VALUE"""),"3 ULA B PUTRA")</f>
        <v>3 ULA B PUTRA</v>
      </c>
      <c r="H165" s="4" t="str">
        <f>IFERROR(__xludf.DUMMYFUNCTION("""COMPUTED_VALUE"""),"6285536895754")</f>
        <v>6285536895754</v>
      </c>
      <c r="I165" s="5">
        <f>IFERROR(__xludf.DUMMYFUNCTION("""COMPUTED_VALUE"""),4050000.0)</f>
        <v>4050000</v>
      </c>
      <c r="J165" s="5">
        <f>IFERROR(__xludf.DUMMYFUNCTION("""COMPUTED_VALUE"""),1000000.0)</f>
        <v>1000000</v>
      </c>
      <c r="K165" s="5">
        <f>IFERROR(__xludf.DUMMYFUNCTION("""COMPUTED_VALUE"""),0.0)</f>
        <v>0</v>
      </c>
      <c r="L165" s="5">
        <f>IFERROR(__xludf.DUMMYFUNCTION("""COMPUTED_VALUE"""),5050000.0)</f>
        <v>5050000</v>
      </c>
    </row>
    <row r="166">
      <c r="A166" s="18">
        <f t="shared" si="2"/>
        <v>165</v>
      </c>
      <c r="B166" s="4" t="str">
        <f>IFERROR(__xludf.DUMMYFUNCTION("""COMPUTED_VALUE"""),"FIRNANDA KHOLAGUL HIDAYATUS MUAWIYAH")</f>
        <v>FIRNANDA KHOLAGUL HIDAYATUS MUAWIYAH</v>
      </c>
      <c r="C166" s="4">
        <f>IFERROR(__xludf.DUMMYFUNCTION("""COMPUTED_VALUE"""),2.024070421E9)</f>
        <v>2024070421</v>
      </c>
      <c r="D166" s="4" t="str">
        <f>IFERROR(__xludf.DUMMYFUNCTION("""COMPUTED_VALUE"""),"C")</f>
        <v>C</v>
      </c>
      <c r="E166" s="4" t="str">
        <f>IFERROR(__xludf.DUMMYFUNCTION("""COMPUTED_VALUE"""),"C-7")</f>
        <v>C-7</v>
      </c>
      <c r="F166" s="4">
        <f>IFERROR(__xludf.DUMMYFUNCTION("""COMPUTED_VALUE"""),3.0)</f>
        <v>3</v>
      </c>
      <c r="G166" s="4"/>
      <c r="H166" s="4" t="str">
        <f>IFERROR(__xludf.DUMMYFUNCTION("""COMPUTED_VALUE"""),"628564085976")</f>
        <v>628564085976</v>
      </c>
      <c r="I166" s="5">
        <f>IFERROR(__xludf.DUMMYFUNCTION("""COMPUTED_VALUE"""),3600000.0)</f>
        <v>3600000</v>
      </c>
      <c r="J166" s="5">
        <f>IFERROR(__xludf.DUMMYFUNCTION("""COMPUTED_VALUE"""),1600000.0)</f>
        <v>1600000</v>
      </c>
      <c r="K166" s="5">
        <f>IFERROR(__xludf.DUMMYFUNCTION("""COMPUTED_VALUE"""),0.0)</f>
        <v>0</v>
      </c>
      <c r="L166" s="5">
        <f>IFERROR(__xludf.DUMMYFUNCTION("""COMPUTED_VALUE"""),5200000.0)</f>
        <v>5200000</v>
      </c>
    </row>
    <row r="167">
      <c r="A167" s="18">
        <f t="shared" si="2"/>
        <v>166</v>
      </c>
      <c r="B167" s="4" t="str">
        <f>IFERROR(__xludf.DUMMYFUNCTION("""COMPUTED_VALUE"""),"RAVAUL ZAHIDAH")</f>
        <v>RAVAUL ZAHIDAH</v>
      </c>
      <c r="C167" s="4">
        <f>IFERROR(__xludf.DUMMYFUNCTION("""COMPUTED_VALUE"""),2.02407058E9)</f>
        <v>2024070580</v>
      </c>
      <c r="D167" s="4" t="str">
        <f>IFERROR(__xludf.DUMMYFUNCTION("""COMPUTED_VALUE"""),"C")</f>
        <v>C</v>
      </c>
      <c r="E167" s="4" t="str">
        <f>IFERROR(__xludf.DUMMYFUNCTION("""COMPUTED_VALUE"""),"C-3")</f>
        <v>C-3</v>
      </c>
      <c r="F167" s="4">
        <f>IFERROR(__xludf.DUMMYFUNCTION("""COMPUTED_VALUE"""),3.0)</f>
        <v>3</v>
      </c>
      <c r="G167" s="4" t="str">
        <f>IFERROR(__xludf.DUMMYFUNCTION("""COMPUTED_VALUE"""),"3 ULA B PUTRI")</f>
        <v>3 ULA B PUTRI</v>
      </c>
      <c r="H167" s="4" t="str">
        <f>IFERROR(__xludf.DUMMYFUNCTION("""COMPUTED_VALUE"""),"6282231516103")</f>
        <v>6282231516103</v>
      </c>
      <c r="I167" s="5">
        <f>IFERROR(__xludf.DUMMYFUNCTION("""COMPUTED_VALUE"""),4500000.0)</f>
        <v>4500000</v>
      </c>
      <c r="J167" s="5">
        <f>IFERROR(__xludf.DUMMYFUNCTION("""COMPUTED_VALUE"""),1000000.0)</f>
        <v>1000000</v>
      </c>
      <c r="K167" s="5">
        <f>IFERROR(__xludf.DUMMYFUNCTION("""COMPUTED_VALUE"""),0.0)</f>
        <v>0</v>
      </c>
      <c r="L167" s="5">
        <f>IFERROR(__xludf.DUMMYFUNCTION("""COMPUTED_VALUE"""),5500000.0)</f>
        <v>5500000</v>
      </c>
    </row>
    <row r="168">
      <c r="A168" s="18">
        <f t="shared" si="2"/>
        <v>167</v>
      </c>
      <c r="B168" s="4" t="str">
        <f>IFERROR(__xludf.DUMMYFUNCTION("""COMPUTED_VALUE"""),"ILHAM AWALUDDIN RIJALUL BARPI")</f>
        <v>ILHAM AWALUDDIN RIJALUL BARPI</v>
      </c>
      <c r="C168" s="4">
        <f>IFERROR(__xludf.DUMMYFUNCTION("""COMPUTED_VALUE"""),2.024070512E9)</f>
        <v>2024070512</v>
      </c>
      <c r="D168" s="4" t="str">
        <f>IFERROR(__xludf.DUMMYFUNCTION("""COMPUTED_VALUE"""),"A")</f>
        <v>A</v>
      </c>
      <c r="E168" s="4" t="str">
        <f>IFERROR(__xludf.DUMMYFUNCTION("""COMPUTED_VALUE"""),"A-13")</f>
        <v>A-13</v>
      </c>
      <c r="F168" s="4">
        <f>IFERROR(__xludf.DUMMYFUNCTION("""COMPUTED_VALUE"""),3.0)</f>
        <v>3</v>
      </c>
      <c r="G168" s="4"/>
      <c r="H168" s="4" t="str">
        <f>IFERROR(__xludf.DUMMYFUNCTION("""COMPUTED_VALUE"""),"6285748111696")</f>
        <v>6285748111696</v>
      </c>
      <c r="I168" s="5">
        <f>IFERROR(__xludf.DUMMYFUNCTION("""COMPUTED_VALUE"""),4510000.0)</f>
        <v>4510000</v>
      </c>
      <c r="J168" s="5">
        <f>IFERROR(__xludf.DUMMYFUNCTION("""COMPUTED_VALUE"""),1000000.0)</f>
        <v>1000000</v>
      </c>
      <c r="K168" s="5">
        <f>IFERROR(__xludf.DUMMYFUNCTION("""COMPUTED_VALUE"""),0.0)</f>
        <v>0</v>
      </c>
      <c r="L168" s="5">
        <f>IFERROR(__xludf.DUMMYFUNCTION("""COMPUTED_VALUE"""),5510000.0)</f>
        <v>5510000</v>
      </c>
    </row>
    <row r="169">
      <c r="A169" s="18">
        <f t="shared" si="2"/>
        <v>168</v>
      </c>
      <c r="B169" s="4" t="str">
        <f>IFERROR(__xludf.DUMMYFUNCTION("""COMPUTED_VALUE"""),"HAFIDZ ALFITO ZAEIN")</f>
        <v>HAFIDZ ALFITO ZAEIN</v>
      </c>
      <c r="C169" s="4">
        <f>IFERROR(__xludf.DUMMYFUNCTION("""COMPUTED_VALUE"""),2.024070619E9)</f>
        <v>2024070619</v>
      </c>
      <c r="D169" s="4" t="str">
        <f>IFERROR(__xludf.DUMMYFUNCTION("""COMPUTED_VALUE"""),"A")</f>
        <v>A</v>
      </c>
      <c r="E169" s="4" t="str">
        <f>IFERROR(__xludf.DUMMYFUNCTION("""COMPUTED_VALUE"""),"A-7")</f>
        <v>A-7</v>
      </c>
      <c r="F169" s="4">
        <f>IFERROR(__xludf.DUMMYFUNCTION("""COMPUTED_VALUE"""),3.0)</f>
        <v>3</v>
      </c>
      <c r="G169" s="4" t="str">
        <f>IFERROR(__xludf.DUMMYFUNCTION("""COMPUTED_VALUE"""),"3 ULA B PUTRA")</f>
        <v>3 ULA B PUTRA</v>
      </c>
      <c r="H169" s="4" t="str">
        <f>IFERROR(__xludf.DUMMYFUNCTION("""COMPUTED_VALUE"""),"628130372202")</f>
        <v>628130372202</v>
      </c>
      <c r="I169" s="5">
        <f>IFERROR(__xludf.DUMMYFUNCTION("""COMPUTED_VALUE"""),4050000.0)</f>
        <v>4050000</v>
      </c>
      <c r="J169" s="5">
        <f>IFERROR(__xludf.DUMMYFUNCTION("""COMPUTED_VALUE"""),1600000.0)</f>
        <v>1600000</v>
      </c>
      <c r="K169" s="5">
        <f>IFERROR(__xludf.DUMMYFUNCTION("""COMPUTED_VALUE"""),0.0)</f>
        <v>0</v>
      </c>
      <c r="L169" s="5">
        <f>IFERROR(__xludf.DUMMYFUNCTION("""COMPUTED_VALUE"""),5650000.0)</f>
        <v>5650000</v>
      </c>
    </row>
    <row r="170">
      <c r="A170" s="18">
        <f t="shared" si="2"/>
        <v>169</v>
      </c>
      <c r="B170" s="4" t="str">
        <f>IFERROR(__xludf.DUMMYFUNCTION("""COMPUTED_VALUE"""),"AHMAD BAKER ADLAN")</f>
        <v>AHMAD BAKER ADLAN</v>
      </c>
      <c r="C170" s="4">
        <f>IFERROR(__xludf.DUMMYFUNCTION("""COMPUTED_VALUE"""),2.02407065E9)</f>
        <v>2024070650</v>
      </c>
      <c r="D170" s="4" t="str">
        <f>IFERROR(__xludf.DUMMYFUNCTION("""COMPUTED_VALUE"""),"A")</f>
        <v>A</v>
      </c>
      <c r="E170" s="4" t="str">
        <f>IFERROR(__xludf.DUMMYFUNCTION("""COMPUTED_VALUE"""),"A-7")</f>
        <v>A-7</v>
      </c>
      <c r="F170" s="4">
        <f>IFERROR(__xludf.DUMMYFUNCTION("""COMPUTED_VALUE"""),3.0)</f>
        <v>3</v>
      </c>
      <c r="G170" s="4" t="str">
        <f>IFERROR(__xludf.DUMMYFUNCTION("""COMPUTED_VALUE"""),"3 ULA A PUTRA")</f>
        <v>3 ULA A PUTRA</v>
      </c>
      <c r="H170" s="4" t="str">
        <f>IFERROR(__xludf.DUMMYFUNCTION("""COMPUTED_VALUE"""),"6285765987279")</f>
        <v>6285765987279</v>
      </c>
      <c r="I170" s="5">
        <f>IFERROR(__xludf.DUMMYFUNCTION("""COMPUTED_VALUE"""),4950000.0)</f>
        <v>4950000</v>
      </c>
      <c r="J170" s="5">
        <f>IFERROR(__xludf.DUMMYFUNCTION("""COMPUTED_VALUE"""),1000000.0)</f>
        <v>1000000</v>
      </c>
      <c r="K170" s="5">
        <f>IFERROR(__xludf.DUMMYFUNCTION("""COMPUTED_VALUE"""),0.0)</f>
        <v>0</v>
      </c>
      <c r="L170" s="5">
        <f>IFERROR(__xludf.DUMMYFUNCTION("""COMPUTED_VALUE"""),5950000.0)</f>
        <v>5950000</v>
      </c>
    </row>
    <row r="171">
      <c r="A171" s="18">
        <f t="shared" si="2"/>
        <v>170</v>
      </c>
      <c r="B171" s="4" t="str">
        <f>IFERROR(__xludf.DUMMYFUNCTION("""COMPUTED_VALUE"""),"ANDIKA CAHYO BUDI LAKSONO")</f>
        <v>ANDIKA CAHYO BUDI LAKSONO</v>
      </c>
      <c r="C171" s="4">
        <f>IFERROR(__xludf.DUMMYFUNCTION("""COMPUTED_VALUE"""),2.024070654E9)</f>
        <v>2024070654</v>
      </c>
      <c r="D171" s="4" t="str">
        <f>IFERROR(__xludf.DUMMYFUNCTION("""COMPUTED_VALUE"""),"A")</f>
        <v>A</v>
      </c>
      <c r="E171" s="4" t="str">
        <f>IFERROR(__xludf.DUMMYFUNCTION("""COMPUTED_VALUE"""),"A-7")</f>
        <v>A-7</v>
      </c>
      <c r="F171" s="4">
        <f>IFERROR(__xludf.DUMMYFUNCTION("""COMPUTED_VALUE"""),3.0)</f>
        <v>3</v>
      </c>
      <c r="G171" s="4" t="str">
        <f>IFERROR(__xludf.DUMMYFUNCTION("""COMPUTED_VALUE"""),"3 ULA A PUTRA")</f>
        <v>3 ULA A PUTRA</v>
      </c>
      <c r="H171" s="4" t="str">
        <f>IFERROR(__xludf.DUMMYFUNCTION("""COMPUTED_VALUE"""),"628579002358")</f>
        <v>628579002358</v>
      </c>
      <c r="I171" s="5">
        <f>IFERROR(__xludf.DUMMYFUNCTION("""COMPUTED_VALUE"""),4950000.0)</f>
        <v>4950000</v>
      </c>
      <c r="J171" s="5">
        <f>IFERROR(__xludf.DUMMYFUNCTION("""COMPUTED_VALUE"""),1000000.0)</f>
        <v>1000000</v>
      </c>
      <c r="K171" s="5">
        <f>IFERROR(__xludf.DUMMYFUNCTION("""COMPUTED_VALUE"""),0.0)</f>
        <v>0</v>
      </c>
      <c r="L171" s="5">
        <f>IFERROR(__xludf.DUMMYFUNCTION("""COMPUTED_VALUE"""),5950000.0)</f>
        <v>5950000</v>
      </c>
    </row>
    <row r="172">
      <c r="A172" s="18">
        <f t="shared" si="2"/>
        <v>171</v>
      </c>
      <c r="B172" s="4" t="str">
        <f>IFERROR(__xludf.DUMMYFUNCTION("""COMPUTED_VALUE"""),"MOHAMAD NOVAL JALALUDIN")</f>
        <v>MOHAMAD NOVAL JALALUDIN</v>
      </c>
      <c r="C172" s="4">
        <f>IFERROR(__xludf.DUMMYFUNCTION("""COMPUTED_VALUE"""),2.024070485E9)</f>
        <v>2024070485</v>
      </c>
      <c r="D172" s="4" t="str">
        <f>IFERROR(__xludf.DUMMYFUNCTION("""COMPUTED_VALUE"""),"A")</f>
        <v>A</v>
      </c>
      <c r="E172" s="4" t="str">
        <f>IFERROR(__xludf.DUMMYFUNCTION("""COMPUTED_VALUE"""),"A-8")</f>
        <v>A-8</v>
      </c>
      <c r="F172" s="4">
        <f>IFERROR(__xludf.DUMMYFUNCTION("""COMPUTED_VALUE"""),3.0)</f>
        <v>3</v>
      </c>
      <c r="G172" s="4" t="str">
        <f>IFERROR(__xludf.DUMMYFUNCTION("""COMPUTED_VALUE"""),"3 ULA A PUTRA")</f>
        <v>3 ULA A PUTRA</v>
      </c>
      <c r="H172" s="4" t="str">
        <f>IFERROR(__xludf.DUMMYFUNCTION("""COMPUTED_VALUE"""),"6281237377978")</f>
        <v>6281237377978</v>
      </c>
      <c r="I172" s="5">
        <f>IFERROR(__xludf.DUMMYFUNCTION("""COMPUTED_VALUE"""),4950000.0)</f>
        <v>4950000</v>
      </c>
      <c r="J172" s="5">
        <f>IFERROR(__xludf.DUMMYFUNCTION("""COMPUTED_VALUE"""),1000000.0)</f>
        <v>1000000</v>
      </c>
      <c r="K172" s="5">
        <f>IFERROR(__xludf.DUMMYFUNCTION("""COMPUTED_VALUE"""),0.0)</f>
        <v>0</v>
      </c>
      <c r="L172" s="5">
        <f>IFERROR(__xludf.DUMMYFUNCTION("""COMPUTED_VALUE"""),5950000.0)</f>
        <v>5950000</v>
      </c>
    </row>
    <row r="173">
      <c r="A173" s="18">
        <f t="shared" si="2"/>
        <v>172</v>
      </c>
      <c r="B173" s="4" t="str">
        <f>IFERROR(__xludf.DUMMYFUNCTION("""COMPUTED_VALUE"""),"FATIMAH")</f>
        <v>FATIMAH</v>
      </c>
      <c r="C173" s="4">
        <f>IFERROR(__xludf.DUMMYFUNCTION("""COMPUTED_VALUE"""),2.024070044E9)</f>
        <v>2024070044</v>
      </c>
      <c r="D173" s="4" t="str">
        <f>IFERROR(__xludf.DUMMYFUNCTION("""COMPUTED_VALUE"""),"E")</f>
        <v>E</v>
      </c>
      <c r="E173" s="4" t="str">
        <f>IFERROR(__xludf.DUMMYFUNCTION("""COMPUTED_VALUE"""),"E-2")</f>
        <v>E-2</v>
      </c>
      <c r="F173" s="4">
        <f>IFERROR(__xludf.DUMMYFUNCTION("""COMPUTED_VALUE"""),3.0)</f>
        <v>3</v>
      </c>
      <c r="G173" s="4" t="str">
        <f>IFERROR(__xludf.DUMMYFUNCTION("""COMPUTED_VALUE"""),"3 WUSTHO A PUTRI")</f>
        <v>3 WUSTHO A PUTRI</v>
      </c>
      <c r="H173" s="4" t="str">
        <f>IFERROR(__xludf.DUMMYFUNCTION("""COMPUTED_VALUE"""),"6289501850865")</f>
        <v>6289501850865</v>
      </c>
      <c r="I173" s="5">
        <f>IFERROR(__xludf.DUMMYFUNCTION("""COMPUTED_VALUE"""),6210000.0)</f>
        <v>6210000</v>
      </c>
      <c r="J173" s="5">
        <f>IFERROR(__xludf.DUMMYFUNCTION("""COMPUTED_VALUE"""),0.0)</f>
        <v>0</v>
      </c>
      <c r="K173" s="5">
        <f>IFERROR(__xludf.DUMMYFUNCTION("""COMPUTED_VALUE"""),350000.0)</f>
        <v>350000</v>
      </c>
      <c r="L173" s="5">
        <f>IFERROR(__xludf.DUMMYFUNCTION("""COMPUTED_VALUE"""),6560000.0)</f>
        <v>6560000</v>
      </c>
    </row>
    <row r="174">
      <c r="A174" s="18">
        <f t="shared" si="2"/>
        <v>173</v>
      </c>
      <c r="B174" s="4" t="str">
        <f>IFERROR(__xludf.DUMMYFUNCTION("""COMPUTED_VALUE"""),"AHMAD GUTI JAELANI")</f>
        <v>AHMAD GUTI JAELANI</v>
      </c>
      <c r="C174" s="4">
        <f>IFERROR(__xludf.DUMMYFUNCTION("""COMPUTED_VALUE"""),2.02407006E9)</f>
        <v>2024070060</v>
      </c>
      <c r="D174" s="4" t="str">
        <f>IFERROR(__xludf.DUMMYFUNCTION("""COMPUTED_VALUE"""),"A")</f>
        <v>A</v>
      </c>
      <c r="E174" s="4" t="str">
        <f>IFERROR(__xludf.DUMMYFUNCTION("""COMPUTED_VALUE"""),"A-10")</f>
        <v>A-10</v>
      </c>
      <c r="F174" s="4">
        <f>IFERROR(__xludf.DUMMYFUNCTION("""COMPUTED_VALUE"""),3.0)</f>
        <v>3</v>
      </c>
      <c r="G174" s="4" t="str">
        <f>IFERROR(__xludf.DUMMYFUNCTION("""COMPUTED_VALUE"""),"3 WUSTHO PUTRA")</f>
        <v>3 WUSTHO PUTRA</v>
      </c>
      <c r="H174" s="4" t="str">
        <f>IFERROR(__xludf.DUMMYFUNCTION("""COMPUTED_VALUE"""),"6285646030802")</f>
        <v>6285646030802</v>
      </c>
      <c r="I174" s="5">
        <f>IFERROR(__xludf.DUMMYFUNCTION("""COMPUTED_VALUE"""),6750000.0)</f>
        <v>6750000</v>
      </c>
      <c r="J174" s="5">
        <f>IFERROR(__xludf.DUMMYFUNCTION("""COMPUTED_VALUE"""),0.0)</f>
        <v>0</v>
      </c>
      <c r="K174" s="5">
        <f>IFERROR(__xludf.DUMMYFUNCTION("""COMPUTED_VALUE"""),0.0)</f>
        <v>0</v>
      </c>
      <c r="L174" s="5">
        <f>IFERROR(__xludf.DUMMYFUNCTION("""COMPUTED_VALUE"""),6750000.0)</f>
        <v>6750000</v>
      </c>
    </row>
    <row r="175">
      <c r="A175" s="18">
        <f t="shared" si="2"/>
        <v>174</v>
      </c>
      <c r="B175" s="4" t="str">
        <f>IFERROR(__xludf.DUMMYFUNCTION("""COMPUTED_VALUE"""),"DZAKIRAH THALITA ZAHRA")</f>
        <v>DZAKIRAH THALITA ZAHRA</v>
      </c>
      <c r="C175" s="4">
        <f>IFERROR(__xludf.DUMMYFUNCTION("""COMPUTED_VALUE"""),2.024070374E9)</f>
        <v>2024070374</v>
      </c>
      <c r="D175" s="4" t="str">
        <f>IFERROR(__xludf.DUMMYFUNCTION("""COMPUTED_VALUE"""),"D")</f>
        <v>D</v>
      </c>
      <c r="E175" s="4" t="str">
        <f>IFERROR(__xludf.DUMMYFUNCTION("""COMPUTED_VALUE"""),"D-7")</f>
        <v>D-7</v>
      </c>
      <c r="F175" s="4">
        <f>IFERROR(__xludf.DUMMYFUNCTION("""COMPUTED_VALUE"""),3.0)</f>
        <v>3</v>
      </c>
      <c r="G175" s="4"/>
      <c r="H175" s="4" t="str">
        <f>IFERROR(__xludf.DUMMYFUNCTION("""COMPUTED_VALUE"""),"6285856033004")</f>
        <v>6285856033004</v>
      </c>
      <c r="I175" s="5">
        <f>IFERROR(__xludf.DUMMYFUNCTION("""COMPUTED_VALUE"""),6300000.0)</f>
        <v>6300000</v>
      </c>
      <c r="J175" s="5">
        <f>IFERROR(__xludf.DUMMYFUNCTION("""COMPUTED_VALUE"""),1000000.0)</f>
        <v>1000000</v>
      </c>
      <c r="K175" s="5">
        <f>IFERROR(__xludf.DUMMYFUNCTION("""COMPUTED_VALUE"""),350000.0)</f>
        <v>350000</v>
      </c>
      <c r="L175" s="5">
        <f>IFERROR(__xludf.DUMMYFUNCTION("""COMPUTED_VALUE"""),7650000.0)</f>
        <v>7650000</v>
      </c>
    </row>
    <row r="176">
      <c r="A176" s="18">
        <f t="shared" si="2"/>
        <v>175</v>
      </c>
      <c r="B176" s="4" t="str">
        <f>IFERROR(__xludf.DUMMYFUNCTION("""COMPUTED_VALUE"""),"KAYLA SABRINA ANGGRAINI")</f>
        <v>KAYLA SABRINA ANGGRAINI</v>
      </c>
      <c r="C176" s="4">
        <f>IFERROR(__xludf.DUMMYFUNCTION("""COMPUTED_VALUE"""),2.024070661E9)</f>
        <v>2024070661</v>
      </c>
      <c r="D176" s="4" t="str">
        <f>IFERROR(__xludf.DUMMYFUNCTION("""COMPUTED_VALUE"""),"D")</f>
        <v>D</v>
      </c>
      <c r="E176" s="4" t="str">
        <f>IFERROR(__xludf.DUMMYFUNCTION("""COMPUTED_VALUE"""),"D-4")</f>
        <v>D-4</v>
      </c>
      <c r="F176" s="4">
        <f>IFERROR(__xludf.DUMMYFUNCTION("""COMPUTED_VALUE"""),3.0)</f>
        <v>3</v>
      </c>
      <c r="G176" s="4" t="str">
        <f>IFERROR(__xludf.DUMMYFUNCTION("""COMPUTED_VALUE"""),"3 ULA B PUTRI")</f>
        <v>3 ULA B PUTRI</v>
      </c>
      <c r="H176" s="4" t="str">
        <f>IFERROR(__xludf.DUMMYFUNCTION("""COMPUTED_VALUE"""),"6285608656615")</f>
        <v>6285608656615</v>
      </c>
      <c r="I176" s="5">
        <f>IFERROR(__xludf.DUMMYFUNCTION("""COMPUTED_VALUE"""),6750000.0)</f>
        <v>6750000</v>
      </c>
      <c r="J176" s="5">
        <f>IFERROR(__xludf.DUMMYFUNCTION("""COMPUTED_VALUE"""),1600000.0)</f>
        <v>1600000</v>
      </c>
      <c r="K176" s="5">
        <f>IFERROR(__xludf.DUMMYFUNCTION("""COMPUTED_VALUE"""),0.0)</f>
        <v>0</v>
      </c>
      <c r="L176" s="5">
        <f>IFERROR(__xludf.DUMMYFUNCTION("""COMPUTED_VALUE"""),8350000.0)</f>
        <v>8350000</v>
      </c>
    </row>
    <row r="177">
      <c r="A177" s="18">
        <f t="shared" si="2"/>
        <v>176</v>
      </c>
      <c r="B177" s="4" t="str">
        <f>IFERROR(__xludf.DUMMYFUNCTION("""COMPUTED_VALUE"""),"DEWI ZAIDATUL RAHMA")</f>
        <v>DEWI ZAIDATUL RAHMA</v>
      </c>
      <c r="C177" s="4">
        <f>IFERROR(__xludf.DUMMYFUNCTION("""COMPUTED_VALUE"""),2.024070417E9)</f>
        <v>2024070417</v>
      </c>
      <c r="D177" s="4" t="str">
        <f>IFERROR(__xludf.DUMMYFUNCTION("""COMPUTED_VALUE"""),"D")</f>
        <v>D</v>
      </c>
      <c r="E177" s="4" t="str">
        <f>IFERROR(__xludf.DUMMYFUNCTION("""COMPUTED_VALUE"""),"D-6")</f>
        <v>D-6</v>
      </c>
      <c r="F177" s="4">
        <f>IFERROR(__xludf.DUMMYFUNCTION("""COMPUTED_VALUE"""),3.0)</f>
        <v>3</v>
      </c>
      <c r="G177" s="4" t="str">
        <f>IFERROR(__xludf.DUMMYFUNCTION("""COMPUTED_VALUE"""),"3 MAK PUTRI")</f>
        <v>3 MAK PUTRI</v>
      </c>
      <c r="H177" s="4" t="str">
        <f>IFERROR(__xludf.DUMMYFUNCTION("""COMPUTED_VALUE"""),"6283856332218")</f>
        <v>6283856332218</v>
      </c>
      <c r="I177" s="5">
        <f>IFERROR(__xludf.DUMMYFUNCTION("""COMPUTED_VALUE"""),8100000.0)</f>
        <v>8100000</v>
      </c>
      <c r="J177" s="5">
        <f>IFERROR(__xludf.DUMMYFUNCTION("""COMPUTED_VALUE"""),0.0)</f>
        <v>0</v>
      </c>
      <c r="K177" s="5">
        <f>IFERROR(__xludf.DUMMYFUNCTION("""COMPUTED_VALUE"""),350000.0)</f>
        <v>350000</v>
      </c>
      <c r="L177" s="5">
        <f>IFERROR(__xludf.DUMMYFUNCTION("""COMPUTED_VALUE"""),8450000.0)</f>
        <v>8450000</v>
      </c>
    </row>
    <row r="178">
      <c r="A178" s="18">
        <f t="shared" si="2"/>
        <v>177</v>
      </c>
      <c r="B178" s="4" t="str">
        <f>IFERROR(__xludf.DUMMYFUNCTION("""COMPUTED_VALUE"""),"NIA KRISNAWATI")</f>
        <v>NIA KRISNAWATI</v>
      </c>
      <c r="C178" s="4">
        <f>IFERROR(__xludf.DUMMYFUNCTION("""COMPUTED_VALUE"""),2.024070528E9)</f>
        <v>2024070528</v>
      </c>
      <c r="D178" s="4" t="str">
        <f>IFERROR(__xludf.DUMMYFUNCTION("""COMPUTED_VALUE"""),"C")</f>
        <v>C</v>
      </c>
      <c r="E178" s="4" t="str">
        <f>IFERROR(__xludf.DUMMYFUNCTION("""COMPUTED_VALUE"""),"C-12")</f>
        <v>C-12</v>
      </c>
      <c r="F178" s="4">
        <f>IFERROR(__xludf.DUMMYFUNCTION("""COMPUTED_VALUE"""),3.0)</f>
        <v>3</v>
      </c>
      <c r="G178" s="4" t="str">
        <f>IFERROR(__xludf.DUMMYFUNCTION("""COMPUTED_VALUE"""),"3 ULA B PUTRI")</f>
        <v>3 ULA B PUTRI</v>
      </c>
      <c r="H178" s="4" t="str">
        <f>IFERROR(__xludf.DUMMYFUNCTION("""COMPUTED_VALUE"""),"6281999644191")</f>
        <v>6281999644191</v>
      </c>
      <c r="I178" s="5">
        <f>IFERROR(__xludf.DUMMYFUNCTION("""COMPUTED_VALUE"""),7650000.0)</f>
        <v>7650000</v>
      </c>
      <c r="J178" s="5">
        <f>IFERROR(__xludf.DUMMYFUNCTION("""COMPUTED_VALUE"""),1000000.0)</f>
        <v>1000000</v>
      </c>
      <c r="K178" s="5">
        <f>IFERROR(__xludf.DUMMYFUNCTION("""COMPUTED_VALUE"""),350000.0)</f>
        <v>350000</v>
      </c>
      <c r="L178" s="5">
        <f>IFERROR(__xludf.DUMMYFUNCTION("""COMPUTED_VALUE"""),9000000.0)</f>
        <v>9000000</v>
      </c>
    </row>
    <row r="179">
      <c r="A179" s="18">
        <f t="shared" si="2"/>
        <v>178</v>
      </c>
      <c r="B179" s="4" t="str">
        <f>IFERROR(__xludf.DUMMYFUNCTION("""COMPUTED_VALUE"""),"PARAMITA ANGGRAINI")</f>
        <v>PARAMITA ANGGRAINI</v>
      </c>
      <c r="C179" s="4">
        <f>IFERROR(__xludf.DUMMYFUNCTION("""COMPUTED_VALUE"""),2.024070698E9)</f>
        <v>2024070698</v>
      </c>
      <c r="D179" s="4" t="str">
        <f>IFERROR(__xludf.DUMMYFUNCTION("""COMPUTED_VALUE"""),"B")</f>
        <v>B</v>
      </c>
      <c r="E179" s="4" t="str">
        <f>IFERROR(__xludf.DUMMYFUNCTION("""COMPUTED_VALUE"""),"B-4")</f>
        <v>B-4</v>
      </c>
      <c r="F179" s="4">
        <f>IFERROR(__xludf.DUMMYFUNCTION("""COMPUTED_VALUE"""),3.0)</f>
        <v>3</v>
      </c>
      <c r="G179" s="4" t="str">
        <f>IFERROR(__xludf.DUMMYFUNCTION("""COMPUTED_VALUE"""),"3 WUSTHO C PUTRI")</f>
        <v>3 WUSTHO C PUTRI</v>
      </c>
      <c r="H179" s="4" t="str">
        <f>IFERROR(__xludf.DUMMYFUNCTION("""COMPUTED_VALUE"""),"6285645123489")</f>
        <v>6285645123489</v>
      </c>
      <c r="I179" s="5">
        <f>IFERROR(__xludf.DUMMYFUNCTION("""COMPUTED_VALUE"""),7650000.0)</f>
        <v>7650000</v>
      </c>
      <c r="J179" s="5">
        <f>IFERROR(__xludf.DUMMYFUNCTION("""COMPUTED_VALUE"""),1000000.0)</f>
        <v>1000000</v>
      </c>
      <c r="K179" s="5">
        <f>IFERROR(__xludf.DUMMYFUNCTION("""COMPUTED_VALUE"""),350000.0)</f>
        <v>350000</v>
      </c>
      <c r="L179" s="5">
        <f>IFERROR(__xludf.DUMMYFUNCTION("""COMPUTED_VALUE"""),9000000.0)</f>
        <v>9000000</v>
      </c>
    </row>
    <row r="180">
      <c r="A180" s="18">
        <f t="shared" si="2"/>
        <v>179</v>
      </c>
      <c r="B180" s="4" t="str">
        <f>IFERROR(__xludf.DUMMYFUNCTION("""COMPUTED_VALUE"""),"KHUMAIRO FAUZIA")</f>
        <v>KHUMAIRO FAUZIA</v>
      </c>
      <c r="C180" s="4">
        <f>IFERROR(__xludf.DUMMYFUNCTION("""COMPUTED_VALUE"""),2.024070642E9)</f>
        <v>2024070642</v>
      </c>
      <c r="D180" s="4" t="str">
        <f>IFERROR(__xludf.DUMMYFUNCTION("""COMPUTED_VALUE"""),"B")</f>
        <v>B</v>
      </c>
      <c r="E180" s="4" t="str">
        <f>IFERROR(__xludf.DUMMYFUNCTION("""COMPUTED_VALUE"""),"B-9")</f>
        <v>B-9</v>
      </c>
      <c r="F180" s="4">
        <f>IFERROR(__xludf.DUMMYFUNCTION("""COMPUTED_VALUE"""),3.0)</f>
        <v>3</v>
      </c>
      <c r="G180" s="4" t="str">
        <f>IFERROR(__xludf.DUMMYFUNCTION("""COMPUTED_VALUE"""),"3 ULA C PUTRI")</f>
        <v>3 ULA C PUTRI</v>
      </c>
      <c r="H180" s="4" t="str">
        <f>IFERROR(__xludf.DUMMYFUNCTION("""COMPUTED_VALUE"""),"6281216463303")</f>
        <v>6281216463303</v>
      </c>
      <c r="I180" s="5">
        <f>IFERROR(__xludf.DUMMYFUNCTION("""COMPUTED_VALUE"""),8100000.0)</f>
        <v>8100000</v>
      </c>
      <c r="J180" s="5">
        <f>IFERROR(__xludf.DUMMYFUNCTION("""COMPUTED_VALUE"""),1000000.0)</f>
        <v>1000000</v>
      </c>
      <c r="K180" s="5">
        <f>IFERROR(__xludf.DUMMYFUNCTION("""COMPUTED_VALUE"""),350000.0)</f>
        <v>350000</v>
      </c>
      <c r="L180" s="5">
        <f>IFERROR(__xludf.DUMMYFUNCTION("""COMPUTED_VALUE"""),9450000.0)</f>
        <v>9450000</v>
      </c>
    </row>
    <row r="181">
      <c r="A181" s="18">
        <f t="shared" si="2"/>
        <v>180</v>
      </c>
      <c r="B181" s="4" t="str">
        <f>IFERROR(__xludf.DUMMYFUNCTION("""COMPUTED_VALUE"""),"MUHAMMAD IQBAL MAULANA PUTRA")</f>
        <v>MUHAMMAD IQBAL MAULANA PUTRA</v>
      </c>
      <c r="C181" s="4">
        <f>IFERROR(__xludf.DUMMYFUNCTION("""COMPUTED_VALUE"""),2.024070743E9)</f>
        <v>2024070743</v>
      </c>
      <c r="D181" s="4" t="str">
        <f>IFERROR(__xludf.DUMMYFUNCTION("""COMPUTED_VALUE"""),"A")</f>
        <v>A</v>
      </c>
      <c r="E181" s="4" t="str">
        <f>IFERROR(__xludf.DUMMYFUNCTION("""COMPUTED_VALUE"""),"A-8")</f>
        <v>A-8</v>
      </c>
      <c r="F181" s="4">
        <f>IFERROR(__xludf.DUMMYFUNCTION("""COMPUTED_VALUE"""),3.0)</f>
        <v>3</v>
      </c>
      <c r="G181" s="4" t="str">
        <f>IFERROR(__xludf.DUMMYFUNCTION("""COMPUTED_VALUE"""),"3 ULA B PUTRA")</f>
        <v>3 ULA B PUTRA</v>
      </c>
      <c r="H181" s="4" t="str">
        <f>IFERROR(__xludf.DUMMYFUNCTION("""COMPUTED_VALUE"""),"6285648971511")</f>
        <v>6285648971511</v>
      </c>
      <c r="I181" s="5">
        <f>IFERROR(__xludf.DUMMYFUNCTION("""COMPUTED_VALUE"""),8100000.0)</f>
        <v>8100000</v>
      </c>
      <c r="J181" s="5">
        <f>IFERROR(__xludf.DUMMYFUNCTION("""COMPUTED_VALUE"""),1600000.0)</f>
        <v>1600000</v>
      </c>
      <c r="K181" s="5">
        <f>IFERROR(__xludf.DUMMYFUNCTION("""COMPUTED_VALUE"""),0.0)</f>
        <v>0</v>
      </c>
      <c r="L181" s="5">
        <f>IFERROR(__xludf.DUMMYFUNCTION("""COMPUTED_VALUE"""),9700000.0)</f>
        <v>9700000</v>
      </c>
    </row>
    <row r="182">
      <c r="A182" s="18">
        <f t="shared" si="2"/>
        <v>181</v>
      </c>
      <c r="B182" s="4" t="str">
        <f>IFERROR(__xludf.DUMMYFUNCTION("""COMPUTED_VALUE"""),"AYUNDA KIRANA QURROTUL ISHAQIYYAH")</f>
        <v>AYUNDA KIRANA QURROTUL ISHAQIYYAH</v>
      </c>
      <c r="C182" s="4">
        <f>IFERROR(__xludf.DUMMYFUNCTION("""COMPUTED_VALUE"""),2.024070742E9)</f>
        <v>2024070742</v>
      </c>
      <c r="D182" s="4" t="str">
        <f>IFERROR(__xludf.DUMMYFUNCTION("""COMPUTED_VALUE"""),"B")</f>
        <v>B</v>
      </c>
      <c r="E182" s="4" t="str">
        <f>IFERROR(__xludf.DUMMYFUNCTION("""COMPUTED_VALUE"""),"B-10")</f>
        <v>B-10</v>
      </c>
      <c r="F182" s="4">
        <f>IFERROR(__xludf.DUMMYFUNCTION("""COMPUTED_VALUE"""),3.0)</f>
        <v>3</v>
      </c>
      <c r="G182" s="4" t="str">
        <f>IFERROR(__xludf.DUMMYFUNCTION("""COMPUTED_VALUE"""),"3 ULA A PUTRI")</f>
        <v>3 ULA A PUTRI</v>
      </c>
      <c r="H182" s="4" t="str">
        <f>IFERROR(__xludf.DUMMYFUNCTION("""COMPUTED_VALUE"""),"6285648522402")</f>
        <v>6285648522402</v>
      </c>
      <c r="I182" s="5">
        <f>IFERROR(__xludf.DUMMYFUNCTION("""COMPUTED_VALUE"""),9000000.0)</f>
        <v>9000000</v>
      </c>
      <c r="J182" s="5">
        <f>IFERROR(__xludf.DUMMYFUNCTION("""COMPUTED_VALUE"""),1000000.0)</f>
        <v>1000000</v>
      </c>
      <c r="K182" s="5">
        <f>IFERROR(__xludf.DUMMYFUNCTION("""COMPUTED_VALUE"""),0.0)</f>
        <v>0</v>
      </c>
      <c r="L182" s="5">
        <f>IFERROR(__xludf.DUMMYFUNCTION("""COMPUTED_VALUE"""),1.0E7)</f>
        <v>10000000</v>
      </c>
    </row>
    <row r="183">
      <c r="A183" s="18">
        <f t="shared" si="2"/>
        <v>182</v>
      </c>
      <c r="B183" s="4" t="str">
        <f>IFERROR(__xludf.DUMMYFUNCTION("""COMPUTED_VALUE"""),"ISTHOFI NADA MILLAH")</f>
        <v>ISTHOFI NADA MILLAH</v>
      </c>
      <c r="C183" s="4">
        <f>IFERROR(__xludf.DUMMYFUNCTION("""COMPUTED_VALUE"""),2.024070011E9)</f>
        <v>2024070011</v>
      </c>
      <c r="D183" s="4" t="str">
        <f>IFERROR(__xludf.DUMMYFUNCTION("""COMPUTED_VALUE"""),"D")</f>
        <v>D</v>
      </c>
      <c r="E183" s="4" t="str">
        <f>IFERROR(__xludf.DUMMYFUNCTION("""COMPUTED_VALUE"""),"D-7")</f>
        <v>D-7</v>
      </c>
      <c r="F183" s="4">
        <f>IFERROR(__xludf.DUMMYFUNCTION("""COMPUTED_VALUE"""),3.0)</f>
        <v>3</v>
      </c>
      <c r="G183" s="4"/>
      <c r="H183" s="4" t="str">
        <f>IFERROR(__xludf.DUMMYFUNCTION("""COMPUTED_VALUE"""),"6285604642145")</f>
        <v>6285604642145</v>
      </c>
      <c r="I183" s="5">
        <f>IFERROR(__xludf.DUMMYFUNCTION("""COMPUTED_VALUE"""),1.08E7)</f>
        <v>10800000</v>
      </c>
      <c r="J183" s="5">
        <f>IFERROR(__xludf.DUMMYFUNCTION("""COMPUTED_VALUE"""),0.0)</f>
        <v>0</v>
      </c>
      <c r="K183" s="5">
        <f>IFERROR(__xludf.DUMMYFUNCTION("""COMPUTED_VALUE"""),350000.0)</f>
        <v>350000</v>
      </c>
      <c r="L183" s="5">
        <f>IFERROR(__xludf.DUMMYFUNCTION("""COMPUTED_VALUE"""),1.115E7)</f>
        <v>11150000</v>
      </c>
    </row>
    <row r="184">
      <c r="A184" s="18">
        <f t="shared" si="2"/>
        <v>183</v>
      </c>
      <c r="B184" s="4" t="str">
        <f>IFERROR(__xludf.DUMMYFUNCTION("""COMPUTED_VALUE"""),"ANGEL CYNTYA DEWI MAULIDAH")</f>
        <v>ANGEL CYNTYA DEWI MAULIDAH</v>
      </c>
      <c r="C184" s="4">
        <f>IFERROR(__xludf.DUMMYFUNCTION("""COMPUTED_VALUE"""),2.024070002E9)</f>
        <v>2024070002</v>
      </c>
      <c r="D184" s="4" t="str">
        <f>IFERROR(__xludf.DUMMYFUNCTION("""COMPUTED_VALUE"""),"D")</f>
        <v>D</v>
      </c>
      <c r="E184" s="4" t="str">
        <f>IFERROR(__xludf.DUMMYFUNCTION("""COMPUTED_VALUE"""),"D-7")</f>
        <v>D-7</v>
      </c>
      <c r="F184" s="4">
        <f>IFERROR(__xludf.DUMMYFUNCTION("""COMPUTED_VALUE"""),3.0)</f>
        <v>3</v>
      </c>
      <c r="G184" s="4"/>
      <c r="H184" s="4" t="str">
        <f>IFERROR(__xludf.DUMMYFUNCTION("""COMPUTED_VALUE"""),"6282140638884")</f>
        <v>6282140638884</v>
      </c>
      <c r="I184" s="5">
        <f>IFERROR(__xludf.DUMMYFUNCTION("""COMPUTED_VALUE"""),9900000.0)</f>
        <v>9900000</v>
      </c>
      <c r="J184" s="5">
        <f>IFERROR(__xludf.DUMMYFUNCTION("""COMPUTED_VALUE"""),1600000.0)</f>
        <v>1600000</v>
      </c>
      <c r="K184" s="5">
        <f>IFERROR(__xludf.DUMMYFUNCTION("""COMPUTED_VALUE"""),0.0)</f>
        <v>0</v>
      </c>
      <c r="L184" s="5">
        <f>IFERROR(__xludf.DUMMYFUNCTION("""COMPUTED_VALUE"""),1.15E7)</f>
        <v>11500000</v>
      </c>
    </row>
    <row r="185">
      <c r="A185" s="18">
        <f t="shared" si="2"/>
        <v>184</v>
      </c>
      <c r="B185" s="4" t="str">
        <f>IFERROR(__xludf.DUMMYFUNCTION("""COMPUTED_VALUE"""),"FIKA ANJANI CAMELIA AL AJEMAIN")</f>
        <v>FIKA ANJANI CAMELIA AL AJEMAIN</v>
      </c>
      <c r="C185" s="4">
        <f>IFERROR(__xludf.DUMMYFUNCTION("""COMPUTED_VALUE"""),2.024070007E9)</f>
        <v>2024070007</v>
      </c>
      <c r="D185" s="4" t="str">
        <f>IFERROR(__xludf.DUMMYFUNCTION("""COMPUTED_VALUE"""),"D")</f>
        <v>D</v>
      </c>
      <c r="E185" s="4" t="str">
        <f>IFERROR(__xludf.DUMMYFUNCTION("""COMPUTED_VALUE"""),"D-7")</f>
        <v>D-7</v>
      </c>
      <c r="F185" s="4">
        <f>IFERROR(__xludf.DUMMYFUNCTION("""COMPUTED_VALUE"""),3.0)</f>
        <v>3</v>
      </c>
      <c r="G185" s="4"/>
      <c r="H185" s="4" t="str">
        <f>IFERROR(__xludf.DUMMYFUNCTION("""COMPUTED_VALUE"""),"6281330367368")</f>
        <v>6281330367368</v>
      </c>
      <c r="I185" s="5">
        <f>IFERROR(__xludf.DUMMYFUNCTION("""COMPUTED_VALUE"""),1.08E7)</f>
        <v>10800000</v>
      </c>
      <c r="J185" s="5">
        <f>IFERROR(__xludf.DUMMYFUNCTION("""COMPUTED_VALUE"""),1600000.0)</f>
        <v>1600000</v>
      </c>
      <c r="K185" s="5">
        <f>IFERROR(__xludf.DUMMYFUNCTION("""COMPUTED_VALUE"""),0.0)</f>
        <v>0</v>
      </c>
      <c r="L185" s="5">
        <f>IFERROR(__xludf.DUMMYFUNCTION("""COMPUTED_VALUE"""),1.24E7)</f>
        <v>12400000</v>
      </c>
    </row>
    <row r="186">
      <c r="A186" s="18" t="str">
        <f t="shared" si="2"/>
        <v/>
      </c>
    </row>
    <row r="187">
      <c r="A187" s="18" t="str">
        <f t="shared" si="2"/>
        <v/>
      </c>
    </row>
    <row r="188">
      <c r="A188" s="18" t="str">
        <f t="shared" si="2"/>
        <v/>
      </c>
    </row>
    <row r="189">
      <c r="A189" s="18" t="str">
        <f t="shared" si="2"/>
        <v/>
      </c>
    </row>
    <row r="190">
      <c r="A190" s="18" t="str">
        <f t="shared" si="2"/>
        <v/>
      </c>
    </row>
    <row r="191">
      <c r="A191" s="18" t="str">
        <f t="shared" si="2"/>
        <v/>
      </c>
    </row>
    <row r="192">
      <c r="A192" s="18" t="str">
        <f t="shared" si="2"/>
        <v/>
      </c>
    </row>
    <row r="193">
      <c r="A193" s="18" t="str">
        <f t="shared" si="2"/>
        <v/>
      </c>
    </row>
    <row r="194">
      <c r="A194" s="18" t="str">
        <f t="shared" si="2"/>
        <v/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3.75"/>
    <col customWidth="1" min="2" max="2" width="38.63"/>
    <col customWidth="1" min="3" max="3" width="10.25"/>
    <col customWidth="1" min="4" max="4" width="8.38"/>
    <col customWidth="1" min="5" max="5" width="7.25"/>
    <col customWidth="1" min="6" max="6" width="8.25"/>
    <col customWidth="1" min="7" max="7" width="16.88"/>
    <col customWidth="1" min="8" max="8" width="12.38"/>
    <col customWidth="1" min="9" max="9" width="30.88"/>
    <col customWidth="1" min="10" max="10" width="86.63"/>
    <col customWidth="1" min="11" max="11" width="14.0"/>
    <col customWidth="1" min="12" max="12" width="10.5"/>
    <col customWidth="1" min="13" max="13" width="8.38"/>
    <col customWidth="1" min="14" max="14" width="8.0"/>
    <col hidden="1" min="16" max="18" width="12.63"/>
    <col customWidth="1" min="19" max="19" width="13.0"/>
    <col customWidth="1" min="80" max="80" width="33.38"/>
    <col customWidth="1" min="81" max="81" width="70.13"/>
    <col customWidth="1" min="83" max="83" width="25.5"/>
    <col customWidth="1" min="84" max="84" width="43.88"/>
  </cols>
  <sheetData>
    <row r="1" ht="40.5" customHeight="1">
      <c r="A1" s="1" t="str">
        <f>Sheet1!A1</f>
        <v>NO</v>
      </c>
      <c r="B1" s="1" t="str">
        <f>Sheet1!B1</f>
        <v>NAMA</v>
      </c>
      <c r="C1" s="1" t="str">
        <f>Sheet1!C1</f>
        <v>NIS</v>
      </c>
      <c r="D1" s="1" t="str">
        <f>Sheet1!D1</f>
        <v>ASRAMA</v>
      </c>
      <c r="E1" s="1" t="str">
        <f>Sheet1!E1</f>
        <v>KAMAR</v>
      </c>
      <c r="F1" s="1" t="str">
        <f>Sheet1!F1</f>
        <v>TINGKAT</v>
      </c>
      <c r="G1" s="1" t="str">
        <f>Sheet1!G1</f>
        <v>MADRASIAH</v>
      </c>
      <c r="H1" s="1" t="str">
        <f>Sheet1!H1</f>
        <v>SEKOLAH</v>
      </c>
      <c r="I1" s="1" t="str">
        <f>Sheet1!I1</f>
        <v>IBU</v>
      </c>
      <c r="J1" s="1" t="str">
        <f>Sheet1!J1</f>
        <v>ALAMAT</v>
      </c>
      <c r="K1" s="1" t="str">
        <f>Sheet1!K1</f>
        <v>WA</v>
      </c>
      <c r="L1" s="1" t="str">
        <f>Sheet1!L1</f>
        <v>JUMLAH SYAHRIYAH</v>
      </c>
      <c r="M1" s="1" t="str">
        <f>Sheet1!M1</f>
        <v>JUMLAH JARIYAH</v>
      </c>
      <c r="N1" s="1" t="str">
        <f>Sheet1!N1</f>
        <v>JUMLAH DAFTAR ULANG</v>
      </c>
      <c r="O1" s="1" t="str">
        <f>Sheet1!O1</f>
        <v>JUMLAH TOTAL TUNGGAKAN</v>
      </c>
      <c r="P1" s="1" t="str">
        <f>Sheet1!P1</f>
        <v/>
      </c>
      <c r="Q1" s="1" t="str">
        <f>Sheet1!Q1</f>
        <v/>
      </c>
      <c r="R1" s="1" t="str">
        <f>Sheet1!R1</f>
        <v/>
      </c>
      <c r="S1" s="1" t="str">
        <f>Sheet1!S1</f>
        <v>STATUS ADMINISTRASI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1"/>
      <c r="CC1" s="1"/>
      <c r="CD1" s="2"/>
      <c r="CE1" s="2"/>
      <c r="CF1" s="1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</row>
    <row r="2">
      <c r="A2" s="19">
        <f>Sheet1!A2</f>
        <v>1</v>
      </c>
      <c r="B2" s="19" t="str">
        <f>Sheet1!B2</f>
        <v>DWI MAULIDIYAH</v>
      </c>
      <c r="C2" s="19">
        <f>Sheet1!C2</f>
        <v>2024070596</v>
      </c>
      <c r="D2" s="19" t="str">
        <f>Sheet1!D2</f>
        <v>E</v>
      </c>
      <c r="E2" s="19" t="str">
        <f>Sheet1!E2</f>
        <v>E-9</v>
      </c>
      <c r="F2" s="19">
        <f>Sheet1!F2</f>
        <v>3</v>
      </c>
      <c r="G2" s="19" t="str">
        <f>Sheet1!G2</f>
        <v>3 ULA B PUTRI</v>
      </c>
      <c r="H2" s="19" t="str">
        <f>Sheet1!H2</f>
        <v>MTS-9 A</v>
      </c>
      <c r="I2" s="19" t="str">
        <f>Sheet1!I2</f>
        <v>ISLAMIYAH</v>
      </c>
      <c r="J2" s="19" t="str">
        <f>Sheet1!J2</f>
        <v>KARANGTAPEN KARANGLANGIT RT 001 RW 003 LAMONGAN LAMONGAN</v>
      </c>
      <c r="K2" s="19" t="str">
        <f>Sheet1!K2</f>
        <v>6285853420436</v>
      </c>
      <c r="L2" s="20">
        <f>Sheet1!L2</f>
        <v>270000</v>
      </c>
      <c r="M2" s="20">
        <f>Sheet1!M2</f>
        <v>0</v>
      </c>
      <c r="N2" s="20">
        <f>Sheet1!N2</f>
        <v>0</v>
      </c>
      <c r="O2" s="20">
        <f>Sheet1!O2</f>
        <v>270000</v>
      </c>
      <c r="P2" s="19" t="str">
        <f>Sheet1!P2</f>
        <v/>
      </c>
      <c r="Q2" s="19" t="str">
        <f>Sheet1!Q2</f>
        <v/>
      </c>
      <c r="R2" s="19" t="str">
        <f>Sheet1!R2</f>
        <v/>
      </c>
      <c r="S2" s="19" t="str">
        <f>Sheet1!S2</f>
        <v>Belum Lunas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2"/>
      <c r="CC2" s="22"/>
      <c r="CD2" s="21"/>
      <c r="CE2" s="21"/>
      <c r="CF2" s="22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</row>
    <row r="3">
      <c r="A3" s="19">
        <f>Sheet1!A3</f>
        <v>2</v>
      </c>
      <c r="B3" s="19" t="str">
        <f>Sheet1!B3</f>
        <v>M. FAHMI ALFIYAN NURIL HAQ</v>
      </c>
      <c r="C3" s="19">
        <f>Sheet1!C3</f>
        <v>2024070718</v>
      </c>
      <c r="D3" s="19" t="str">
        <f>Sheet1!D3</f>
        <v>A</v>
      </c>
      <c r="E3" s="19" t="str">
        <f>Sheet1!E3</f>
        <v>A-13</v>
      </c>
      <c r="F3" s="19">
        <f>Sheet1!F3</f>
        <v>3</v>
      </c>
      <c r="G3" s="19" t="str">
        <f>Sheet1!G3</f>
        <v/>
      </c>
      <c r="H3" s="19" t="str">
        <f>Sheet1!H3</f>
        <v>SMK-XII DKV</v>
      </c>
      <c r="I3" s="19" t="str">
        <f>Sheet1!I3</f>
        <v>SUKARTI</v>
      </c>
      <c r="J3" s="19" t="str">
        <f>Sheet1!J3</f>
        <v>PLAKARAN SOMOSARI RT 3 RW 2 KALITENGAH LAMONGAN</v>
      </c>
      <c r="K3" s="19" t="str">
        <f>Sheet1!K3</f>
        <v>6289677807375</v>
      </c>
      <c r="L3" s="20">
        <f>Sheet1!L3</f>
        <v>410000</v>
      </c>
      <c r="M3" s="20">
        <f>Sheet1!M3</f>
        <v>0</v>
      </c>
      <c r="N3" s="20">
        <f>Sheet1!N3</f>
        <v>0</v>
      </c>
      <c r="O3" s="20">
        <f>Sheet1!O3</f>
        <v>410000</v>
      </c>
      <c r="P3" s="19" t="str">
        <f>Sheet1!P3</f>
        <v/>
      </c>
      <c r="Q3" s="19" t="str">
        <f>Sheet1!Q3</f>
        <v/>
      </c>
      <c r="R3" s="19" t="str">
        <f>Sheet1!R3</f>
        <v/>
      </c>
      <c r="S3" s="19" t="str">
        <f>Sheet1!S3</f>
        <v>Belum Lunas</v>
      </c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2"/>
      <c r="CC3" s="22"/>
      <c r="CD3" s="21"/>
      <c r="CE3" s="21"/>
      <c r="CF3" s="22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</row>
    <row r="4">
      <c r="A4" s="19">
        <f>Sheet1!A4</f>
        <v>3</v>
      </c>
      <c r="B4" s="19" t="str">
        <f>Sheet1!B4</f>
        <v>MIRZA ATHA HIBATULLAH</v>
      </c>
      <c r="C4" s="19">
        <f>Sheet1!C4</f>
        <v>2024070600</v>
      </c>
      <c r="D4" s="19" t="str">
        <f>Sheet1!D4</f>
        <v>A</v>
      </c>
      <c r="E4" s="19" t="str">
        <f>Sheet1!E4</f>
        <v>A-13</v>
      </c>
      <c r="F4" s="19">
        <f>Sheet1!F4</f>
        <v>3</v>
      </c>
      <c r="G4" s="19" t="str">
        <f>Sheet1!G4</f>
        <v/>
      </c>
      <c r="H4" s="19" t="str">
        <f>Sheet1!H4</f>
        <v>MTS-9 E</v>
      </c>
      <c r="I4" s="19" t="str">
        <f>Sheet1!I4</f>
        <v>HARWATI, S,SOS I</v>
      </c>
      <c r="J4" s="19" t="str">
        <f>Sheet1!J4</f>
        <v>BADAN BOGOBABADAN RT 001 RW 004 KARANGBINANGUN LAMONGAN</v>
      </c>
      <c r="K4" s="19" t="str">
        <f>Sheet1!K4</f>
        <v>6285731205500</v>
      </c>
      <c r="L4" s="20">
        <f>Sheet1!L4</f>
        <v>410000</v>
      </c>
      <c r="M4" s="20">
        <f>Sheet1!M4</f>
        <v>0</v>
      </c>
      <c r="N4" s="20">
        <f>Sheet1!N4</f>
        <v>0</v>
      </c>
      <c r="O4" s="20">
        <f>Sheet1!O4</f>
        <v>410000</v>
      </c>
      <c r="P4" s="19" t="str">
        <f>Sheet1!P4</f>
        <v/>
      </c>
      <c r="Q4" s="19" t="str">
        <f>Sheet1!Q4</f>
        <v/>
      </c>
      <c r="R4" s="19" t="str">
        <f>Sheet1!R4</f>
        <v/>
      </c>
      <c r="S4" s="19" t="str">
        <f>Sheet1!S4</f>
        <v>Belum Lunas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2"/>
      <c r="CC4" s="22"/>
      <c r="CD4" s="21"/>
      <c r="CE4" s="21"/>
      <c r="CF4" s="22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</row>
    <row r="5">
      <c r="A5" s="19">
        <f>Sheet1!A5</f>
        <v>4</v>
      </c>
      <c r="B5" s="19" t="str">
        <f>Sheet1!B5</f>
        <v>ABIDAH OKTA SALSABILA</v>
      </c>
      <c r="C5" s="19">
        <f>Sheet1!C5</f>
        <v>2024070146</v>
      </c>
      <c r="D5" s="19" t="str">
        <f>Sheet1!D5</f>
        <v>C</v>
      </c>
      <c r="E5" s="19" t="str">
        <f>Sheet1!E5</f>
        <v>C-9</v>
      </c>
      <c r="F5" s="19">
        <f>Sheet1!F5</f>
        <v>3</v>
      </c>
      <c r="G5" s="19" t="str">
        <f>Sheet1!G5</f>
        <v>3 WUSTHO B PUTRI</v>
      </c>
      <c r="H5" s="19" t="str">
        <f>Sheet1!H5</f>
        <v>MA-XII.5</v>
      </c>
      <c r="I5" s="19" t="str">
        <f>Sheet1!I5</f>
        <v>CICIK LUTFIANAH</v>
      </c>
      <c r="J5" s="19" t="str">
        <f>Sheet1!J5</f>
        <v>RANDEKAN RT 001 RW 001 KEMBANGBAHU LAMONGAN</v>
      </c>
      <c r="K5" s="19" t="str">
        <f>Sheet1!K5</f>
        <v>6285649525237</v>
      </c>
      <c r="L5" s="20">
        <f>Sheet1!L5</f>
        <v>450000</v>
      </c>
      <c r="M5" s="20">
        <f>Sheet1!M5</f>
        <v>0</v>
      </c>
      <c r="N5" s="20">
        <f>Sheet1!N5</f>
        <v>0</v>
      </c>
      <c r="O5" s="20">
        <f>Sheet1!O5</f>
        <v>450000</v>
      </c>
      <c r="P5" s="19" t="str">
        <f>Sheet1!P5</f>
        <v/>
      </c>
      <c r="Q5" s="19" t="str">
        <f>Sheet1!Q5</f>
        <v/>
      </c>
      <c r="R5" s="19" t="str">
        <f>Sheet1!R5</f>
        <v/>
      </c>
      <c r="S5" s="19" t="str">
        <f>Sheet1!S5</f>
        <v>Belum Lunas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2"/>
      <c r="CC5" s="22"/>
      <c r="CD5" s="21"/>
      <c r="CE5" s="21"/>
      <c r="CF5" s="22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</row>
    <row r="6">
      <c r="A6" s="19">
        <f>Sheet1!A6</f>
        <v>5</v>
      </c>
      <c r="B6" s="19" t="str">
        <f>Sheet1!B6</f>
        <v>AHMAD SUSETO ANGGA SUKMA</v>
      </c>
      <c r="C6" s="19">
        <f>Sheet1!C6</f>
        <v>2024070601</v>
      </c>
      <c r="D6" s="19" t="str">
        <f>Sheet1!D6</f>
        <v>A</v>
      </c>
      <c r="E6" s="19" t="str">
        <f>Sheet1!E6</f>
        <v>A-7</v>
      </c>
      <c r="F6" s="19">
        <f>Sheet1!F6</f>
        <v>3</v>
      </c>
      <c r="G6" s="19" t="str">
        <f>Sheet1!G6</f>
        <v>3 ULA B PUTRA</v>
      </c>
      <c r="H6" s="19" t="str">
        <f>Sheet1!H6</f>
        <v>MTS-9 E</v>
      </c>
      <c r="I6" s="19" t="str">
        <f>Sheet1!I6</f>
        <v>MUSYAFAAH</v>
      </c>
      <c r="J6" s="19" t="str">
        <f>Sheet1!J6</f>
        <v>WEDENG SUKOREJO RT 001 RW 003 KARANGBINANGUN LAMONGAN</v>
      </c>
      <c r="K6" s="19" t="str">
        <f>Sheet1!K6</f>
        <v>6281330117049</v>
      </c>
      <c r="L6" s="20">
        <f>Sheet1!L6</f>
        <v>450000</v>
      </c>
      <c r="M6" s="20">
        <f>Sheet1!M6</f>
        <v>0</v>
      </c>
      <c r="N6" s="20">
        <f>Sheet1!N6</f>
        <v>0</v>
      </c>
      <c r="O6" s="20">
        <f>Sheet1!O6</f>
        <v>450000</v>
      </c>
      <c r="P6" s="19" t="str">
        <f>Sheet1!P6</f>
        <v/>
      </c>
      <c r="Q6" s="19" t="str">
        <f>Sheet1!Q6</f>
        <v/>
      </c>
      <c r="R6" s="19" t="str">
        <f>Sheet1!R6</f>
        <v/>
      </c>
      <c r="S6" s="19" t="str">
        <f>Sheet1!S6</f>
        <v>Belum Lunas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2"/>
      <c r="CC6" s="22"/>
      <c r="CD6" s="21"/>
      <c r="CE6" s="21"/>
      <c r="CF6" s="22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</row>
    <row r="7">
      <c r="A7" s="19">
        <f>Sheet1!A7</f>
        <v>6</v>
      </c>
      <c r="B7" s="19" t="str">
        <f>Sheet1!B7</f>
        <v>ALFA FALAJ SALSABILA</v>
      </c>
      <c r="C7" s="19">
        <f>Sheet1!C7</f>
        <v>2024070611</v>
      </c>
      <c r="D7" s="19" t="str">
        <f>Sheet1!D7</f>
        <v>C</v>
      </c>
      <c r="E7" s="19" t="str">
        <f>Sheet1!E7</f>
        <v>C-3</v>
      </c>
      <c r="F7" s="19">
        <f>Sheet1!F7</f>
        <v>3</v>
      </c>
      <c r="G7" s="19" t="str">
        <f>Sheet1!G7</f>
        <v>3 ULA C PUTRI</v>
      </c>
      <c r="H7" s="19" t="str">
        <f>Sheet1!H7</f>
        <v>MTS-9 A</v>
      </c>
      <c r="I7" s="19" t="str">
        <f>Sheet1!I7</f>
        <v>SUMIANAH</v>
      </c>
      <c r="J7" s="19" t="str">
        <f>Sheet1!J7</f>
        <v>KULURAN RT 005 RW 001 KALITENGAH LAMONGAN</v>
      </c>
      <c r="K7" s="19" t="str">
        <f>Sheet1!K7</f>
        <v>6285859539394</v>
      </c>
      <c r="L7" s="20">
        <f>Sheet1!L7</f>
        <v>450000</v>
      </c>
      <c r="M7" s="20">
        <f>Sheet1!M7</f>
        <v>0</v>
      </c>
      <c r="N7" s="20">
        <f>Sheet1!N7</f>
        <v>0</v>
      </c>
      <c r="O7" s="20">
        <f>Sheet1!O7</f>
        <v>450000</v>
      </c>
      <c r="P7" s="19" t="str">
        <f>Sheet1!P7</f>
        <v/>
      </c>
      <c r="Q7" s="19" t="str">
        <f>Sheet1!Q7</f>
        <v/>
      </c>
      <c r="R7" s="19" t="str">
        <f>Sheet1!R7</f>
        <v/>
      </c>
      <c r="S7" s="19" t="str">
        <f>Sheet1!S7</f>
        <v>Belum Lunas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2"/>
      <c r="CC7" s="22"/>
      <c r="CD7" s="21"/>
      <c r="CE7" s="21"/>
      <c r="CF7" s="22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</row>
    <row r="8">
      <c r="A8" s="19">
        <f>Sheet1!A8</f>
        <v>7</v>
      </c>
      <c r="B8" s="19" t="str">
        <f>Sheet1!B8</f>
        <v>AZZA IBNU ARJUN</v>
      </c>
      <c r="C8" s="19">
        <f>Sheet1!C8</f>
        <v>2024090771</v>
      </c>
      <c r="D8" s="19" t="str">
        <f>Sheet1!D8</f>
        <v>A</v>
      </c>
      <c r="E8" s="19" t="str">
        <f>Sheet1!E8</f>
        <v>A-8</v>
      </c>
      <c r="F8" s="19">
        <f>Sheet1!F8</f>
        <v>3</v>
      </c>
      <c r="G8" s="19" t="str">
        <f>Sheet1!G8</f>
        <v>3 ULA A PUTRA</v>
      </c>
      <c r="H8" s="19" t="str">
        <f>Sheet1!H8</f>
        <v>SMP-IX A</v>
      </c>
      <c r="I8" s="19" t="str">
        <f>Sheet1!I8</f>
        <v>IKA NUR KHOLIFAH</v>
      </c>
      <c r="J8" s="19" t="str">
        <f>Sheet1!J8</f>
        <v>MALINAU HULU RT 009 RW 000 MALINAU KOTA MALINAU</v>
      </c>
      <c r="K8" s="19" t="str">
        <f>Sheet1!K8</f>
        <v>6282234721856</v>
      </c>
      <c r="L8" s="20">
        <f>Sheet1!L8</f>
        <v>450000</v>
      </c>
      <c r="M8" s="20">
        <f>Sheet1!M8</f>
        <v>0</v>
      </c>
      <c r="N8" s="20">
        <f>Sheet1!N8</f>
        <v>0</v>
      </c>
      <c r="O8" s="20">
        <f>Sheet1!O8</f>
        <v>450000</v>
      </c>
      <c r="P8" s="19" t="str">
        <f>Sheet1!P8</f>
        <v/>
      </c>
      <c r="Q8" s="19" t="str">
        <f>Sheet1!Q8</f>
        <v/>
      </c>
      <c r="R8" s="19" t="str">
        <f>Sheet1!R8</f>
        <v/>
      </c>
      <c r="S8" s="19" t="str">
        <f>Sheet1!S8</f>
        <v>Belum Lunas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2"/>
      <c r="CC8" s="22"/>
      <c r="CD8" s="21"/>
      <c r="CE8" s="21"/>
      <c r="CF8" s="22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</row>
    <row r="9">
      <c r="A9" s="19">
        <f>Sheet1!A9</f>
        <v>8</v>
      </c>
      <c r="B9" s="19" t="str">
        <f>Sheet1!B9</f>
        <v>BINTANG FARSYA HUSBANA</v>
      </c>
      <c r="C9" s="19">
        <f>Sheet1!C9</f>
        <v>2024070646</v>
      </c>
      <c r="D9" s="19" t="str">
        <f>Sheet1!D9</f>
        <v>A</v>
      </c>
      <c r="E9" s="19" t="str">
        <f>Sheet1!E9</f>
        <v>A-7</v>
      </c>
      <c r="F9" s="19">
        <f>Sheet1!F9</f>
        <v>3</v>
      </c>
      <c r="G9" s="19" t="str">
        <f>Sheet1!G9</f>
        <v>3 ULA A PUTRA</v>
      </c>
      <c r="H9" s="19" t="str">
        <f>Sheet1!H9</f>
        <v>MTS-9 F</v>
      </c>
      <c r="I9" s="19" t="str">
        <f>Sheet1!I9</f>
        <v>SITI MUNFARIDA</v>
      </c>
      <c r="J9" s="19" t="str">
        <f>Sheet1!J9</f>
        <v>SEREN JATIPANDAK RT 007 RW 003 SAMBENG LAMONGAN</v>
      </c>
      <c r="K9" s="19" t="str">
        <f>Sheet1!K9</f>
        <v>6285851833747</v>
      </c>
      <c r="L9" s="20">
        <f>Sheet1!L9</f>
        <v>450000</v>
      </c>
      <c r="M9" s="20">
        <f>Sheet1!M9</f>
        <v>0</v>
      </c>
      <c r="N9" s="20">
        <f>Sheet1!N9</f>
        <v>0</v>
      </c>
      <c r="O9" s="20">
        <f>Sheet1!O9</f>
        <v>450000</v>
      </c>
      <c r="P9" s="19" t="str">
        <f>Sheet1!P9</f>
        <v/>
      </c>
      <c r="Q9" s="19" t="str">
        <f>Sheet1!Q9</f>
        <v/>
      </c>
      <c r="R9" s="19" t="str">
        <f>Sheet1!R9</f>
        <v/>
      </c>
      <c r="S9" s="19" t="str">
        <f>Sheet1!S9</f>
        <v>Belum Lunas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2"/>
      <c r="CC9" s="22"/>
      <c r="CD9" s="21"/>
      <c r="CE9" s="21"/>
      <c r="CF9" s="22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</row>
    <row r="10">
      <c r="A10" s="19">
        <f>Sheet1!A10</f>
        <v>9</v>
      </c>
      <c r="B10" s="19" t="str">
        <f>Sheet1!B10</f>
        <v>DILLA AGUSTIAWATI PUTRI</v>
      </c>
      <c r="C10" s="19">
        <f>Sheet1!C10</f>
        <v>2024070532</v>
      </c>
      <c r="D10" s="19" t="str">
        <f>Sheet1!D10</f>
        <v>C</v>
      </c>
      <c r="E10" s="19" t="str">
        <f>Sheet1!E10</f>
        <v>C-13</v>
      </c>
      <c r="F10" s="19">
        <f>Sheet1!F10</f>
        <v>3</v>
      </c>
      <c r="G10" s="19" t="str">
        <f>Sheet1!G10</f>
        <v>3 ULA C PUTRI</v>
      </c>
      <c r="H10" s="19" t="str">
        <f>Sheet1!H10</f>
        <v>MTS-9 D</v>
      </c>
      <c r="I10" s="19" t="str">
        <f>Sheet1!I10</f>
        <v>IRA RAHMATUS SAADA</v>
      </c>
      <c r="J10" s="19" t="str">
        <f>Sheet1!J10</f>
        <v>SEPAT TAMBAKMENJANGAN RT 001 RW 007 SARIREJO LAMONGAN</v>
      </c>
      <c r="K10" s="19" t="str">
        <f>Sheet1!K10</f>
        <v>6285808407652</v>
      </c>
      <c r="L10" s="20">
        <f>Sheet1!L10</f>
        <v>450000</v>
      </c>
      <c r="M10" s="20">
        <f>Sheet1!M10</f>
        <v>0</v>
      </c>
      <c r="N10" s="20">
        <f>Sheet1!N10</f>
        <v>0</v>
      </c>
      <c r="O10" s="20">
        <f>Sheet1!O10</f>
        <v>450000</v>
      </c>
      <c r="P10" s="19" t="str">
        <f>Sheet1!P10</f>
        <v/>
      </c>
      <c r="Q10" s="19" t="str">
        <f>Sheet1!Q10</f>
        <v/>
      </c>
      <c r="R10" s="19" t="str">
        <f>Sheet1!R10</f>
        <v/>
      </c>
      <c r="S10" s="19" t="str">
        <f>Sheet1!S10</f>
        <v>Belum Lunas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2"/>
      <c r="CC10" s="22"/>
      <c r="CD10" s="21"/>
      <c r="CE10" s="21"/>
      <c r="CF10" s="22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</row>
    <row r="11">
      <c r="A11" s="19">
        <f>Sheet1!A11</f>
        <v>10</v>
      </c>
      <c r="B11" s="19" t="str">
        <f>Sheet1!B11</f>
        <v>FATMA NAJWA ZAHIRA</v>
      </c>
      <c r="C11" s="19">
        <f>Sheet1!C11</f>
        <v>2024070497</v>
      </c>
      <c r="D11" s="19" t="str">
        <f>Sheet1!D11</f>
        <v>C</v>
      </c>
      <c r="E11" s="19" t="str">
        <f>Sheet1!E11</f>
        <v>C-12</v>
      </c>
      <c r="F11" s="19">
        <f>Sheet1!F11</f>
        <v>3</v>
      </c>
      <c r="G11" s="19" t="str">
        <f>Sheet1!G11</f>
        <v>3 ULA B PUTRI</v>
      </c>
      <c r="H11" s="19" t="str">
        <f>Sheet1!H11</f>
        <v>MTS-9 D</v>
      </c>
      <c r="I11" s="19" t="str">
        <f>Sheet1!I11</f>
        <v>SITI NURIYAH</v>
      </c>
      <c r="J11" s="19" t="str">
        <f>Sheet1!J11</f>
        <v>NGUWOK RT 004 RW 002 MODO LAMONGAN</v>
      </c>
      <c r="K11" s="19" t="str">
        <f>Sheet1!K11</f>
        <v>6282337956113</v>
      </c>
      <c r="L11" s="20">
        <f>Sheet1!L11</f>
        <v>450000</v>
      </c>
      <c r="M11" s="20">
        <f>Sheet1!M11</f>
        <v>0</v>
      </c>
      <c r="N11" s="20">
        <f>Sheet1!N11</f>
        <v>0</v>
      </c>
      <c r="O11" s="20">
        <f>Sheet1!O11</f>
        <v>450000</v>
      </c>
      <c r="P11" s="19" t="str">
        <f>Sheet1!P11</f>
        <v/>
      </c>
      <c r="Q11" s="19" t="str">
        <f>Sheet1!Q11</f>
        <v/>
      </c>
      <c r="R11" s="19" t="str">
        <f>Sheet1!R11</f>
        <v/>
      </c>
      <c r="S11" s="19" t="str">
        <f>Sheet1!S11</f>
        <v>Belum Lunas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2"/>
      <c r="CC11" s="22"/>
      <c r="CD11" s="21"/>
      <c r="CE11" s="21"/>
      <c r="CF11" s="22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</row>
    <row r="12">
      <c r="A12" s="19">
        <f>Sheet1!A12</f>
        <v>11</v>
      </c>
      <c r="B12" s="19" t="str">
        <f>Sheet1!B12</f>
        <v>LABIB AZAM</v>
      </c>
      <c r="C12" s="19">
        <f>Sheet1!C12</f>
        <v>2024070756</v>
      </c>
      <c r="D12" s="19" t="str">
        <f>Sheet1!D12</f>
        <v>A</v>
      </c>
      <c r="E12" s="19" t="str">
        <f>Sheet1!E12</f>
        <v>A-7</v>
      </c>
      <c r="F12" s="19">
        <f>Sheet1!F12</f>
        <v>3</v>
      </c>
      <c r="G12" s="19" t="str">
        <f>Sheet1!G12</f>
        <v>3 ULA A PUTRA</v>
      </c>
      <c r="H12" s="19" t="str">
        <f>Sheet1!H12</f>
        <v>SMP-IX B</v>
      </c>
      <c r="I12" s="19" t="str">
        <f>Sheet1!I12</f>
        <v>EVA YUNIARTI</v>
      </c>
      <c r="J12" s="19" t="str">
        <f>Sheet1!J12</f>
        <v>TENGGER RAYA 1 KANDANGAN RT 007 RW 002 BENOWO SURABAYA</v>
      </c>
      <c r="K12" s="19" t="str">
        <f>Sheet1!K12</f>
        <v>6282333086607</v>
      </c>
      <c r="L12" s="20">
        <f>Sheet1!L12</f>
        <v>450000</v>
      </c>
      <c r="M12" s="20">
        <f>Sheet1!M12</f>
        <v>0</v>
      </c>
      <c r="N12" s="20">
        <f>Sheet1!N12</f>
        <v>0</v>
      </c>
      <c r="O12" s="20">
        <f>Sheet1!O12</f>
        <v>450000</v>
      </c>
      <c r="P12" s="19" t="str">
        <f>Sheet1!P12</f>
        <v/>
      </c>
      <c r="Q12" s="19" t="str">
        <f>Sheet1!Q12</f>
        <v/>
      </c>
      <c r="R12" s="19" t="str">
        <f>Sheet1!R12</f>
        <v/>
      </c>
      <c r="S12" s="19" t="str">
        <f>Sheet1!S12</f>
        <v>Belum Lunas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2"/>
      <c r="CC12" s="22"/>
      <c r="CD12" s="21"/>
      <c r="CE12" s="21"/>
      <c r="CF12" s="22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</row>
    <row r="13">
      <c r="A13" s="19">
        <f>Sheet1!A13</f>
        <v>12</v>
      </c>
      <c r="B13" s="19" t="str">
        <f>Sheet1!B13</f>
        <v>M. SATRIA PUTRA AMILINA</v>
      </c>
      <c r="C13" s="19">
        <f>Sheet1!C13</f>
        <v>2024070092</v>
      </c>
      <c r="D13" s="19" t="str">
        <f>Sheet1!D13</f>
        <v>A</v>
      </c>
      <c r="E13" s="19" t="str">
        <f>Sheet1!E13</f>
        <v>A-10</v>
      </c>
      <c r="F13" s="19">
        <f>Sheet1!F13</f>
        <v>3</v>
      </c>
      <c r="G13" s="19" t="str">
        <f>Sheet1!G13</f>
        <v>3 WUSTHO PUTRA</v>
      </c>
      <c r="H13" s="19" t="str">
        <f>Sheet1!H13</f>
        <v>MA-XII.4</v>
      </c>
      <c r="I13" s="19" t="str">
        <f>Sheet1!I13</f>
        <v>LINA ANGGRAINI</v>
      </c>
      <c r="J13" s="19" t="str">
        <f>Sheet1!J13</f>
        <v>TALUN RT 4 RW 1 SUMBERREJO BOJONEGORO</v>
      </c>
      <c r="K13" s="19" t="str">
        <f>Sheet1!K13</f>
        <v>628568406710</v>
      </c>
      <c r="L13" s="20">
        <f>Sheet1!L13</f>
        <v>450000</v>
      </c>
      <c r="M13" s="20">
        <f>Sheet1!M13</f>
        <v>0</v>
      </c>
      <c r="N13" s="20">
        <f>Sheet1!N13</f>
        <v>0</v>
      </c>
      <c r="O13" s="20">
        <f>Sheet1!O13</f>
        <v>450000</v>
      </c>
      <c r="P13" s="19" t="str">
        <f>Sheet1!P13</f>
        <v/>
      </c>
      <c r="Q13" s="19" t="str">
        <f>Sheet1!Q13</f>
        <v/>
      </c>
      <c r="R13" s="19" t="str">
        <f>Sheet1!R13</f>
        <v/>
      </c>
      <c r="S13" s="19" t="str">
        <f>Sheet1!S13</f>
        <v>Belum Lunas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2"/>
      <c r="CC13" s="22"/>
      <c r="CD13" s="21"/>
      <c r="CE13" s="21"/>
      <c r="CF13" s="22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</row>
    <row r="14">
      <c r="A14" s="19">
        <f>Sheet1!A14</f>
        <v>13</v>
      </c>
      <c r="B14" s="19" t="str">
        <f>Sheet1!B14</f>
        <v>MAHATMA SATYA GRAHA</v>
      </c>
      <c r="C14" s="19">
        <f>Sheet1!C14</f>
        <v>2024070407</v>
      </c>
      <c r="D14" s="19" t="str">
        <f>Sheet1!D14</f>
        <v>A</v>
      </c>
      <c r="E14" s="19" t="str">
        <f>Sheet1!E14</f>
        <v>A-10</v>
      </c>
      <c r="F14" s="19">
        <f>Sheet1!F14</f>
        <v>3</v>
      </c>
      <c r="G14" s="19" t="str">
        <f>Sheet1!G14</f>
        <v>3 WUSTHO PUTRA</v>
      </c>
      <c r="H14" s="19" t="str">
        <f>Sheet1!H14</f>
        <v>MA-XII.9</v>
      </c>
      <c r="I14" s="19" t="str">
        <f>Sheet1!I14</f>
        <v>AIYINATUL JAMILAH</v>
      </c>
      <c r="J14" s="19" t="str">
        <f>Sheet1!J14</f>
        <v>JELAK JELAKCATUR RT 001 RW 004 KALITENGAH LAMONGAN</v>
      </c>
      <c r="K14" s="19" t="str">
        <f>Sheet1!K14</f>
        <v>628557692330</v>
      </c>
      <c r="L14" s="20">
        <f>Sheet1!L14</f>
        <v>450000</v>
      </c>
      <c r="M14" s="20">
        <f>Sheet1!M14</f>
        <v>0</v>
      </c>
      <c r="N14" s="20">
        <f>Sheet1!N14</f>
        <v>0</v>
      </c>
      <c r="O14" s="20">
        <f>Sheet1!O14</f>
        <v>450000</v>
      </c>
      <c r="P14" s="19" t="str">
        <f>Sheet1!P14</f>
        <v/>
      </c>
      <c r="Q14" s="19" t="str">
        <f>Sheet1!Q14</f>
        <v/>
      </c>
      <c r="R14" s="19" t="str">
        <f>Sheet1!R14</f>
        <v/>
      </c>
      <c r="S14" s="19" t="str">
        <f>Sheet1!S14</f>
        <v>Belum Lunas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2"/>
      <c r="CC14" s="22"/>
      <c r="CD14" s="21"/>
      <c r="CE14" s="21"/>
      <c r="CF14" s="22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</row>
    <row r="15">
      <c r="A15" s="19">
        <f>Sheet1!A15</f>
        <v>14</v>
      </c>
      <c r="B15" s="19" t="str">
        <f>Sheet1!B15</f>
        <v>MOCHAMMAD NEIZTAHUL HUDA</v>
      </c>
      <c r="C15" s="19">
        <f>Sheet1!C15</f>
        <v>2024070626</v>
      </c>
      <c r="D15" s="19" t="str">
        <f>Sheet1!D15</f>
        <v>A</v>
      </c>
      <c r="E15" s="19" t="str">
        <f>Sheet1!E15</f>
        <v>A-8</v>
      </c>
      <c r="F15" s="19">
        <f>Sheet1!F15</f>
        <v>3</v>
      </c>
      <c r="G15" s="19" t="str">
        <f>Sheet1!G15</f>
        <v>3 ULA B PUTRA</v>
      </c>
      <c r="H15" s="19" t="str">
        <f>Sheet1!H15</f>
        <v>MTS-9 B</v>
      </c>
      <c r="I15" s="19" t="str">
        <f>Sheet1!I15</f>
        <v>RIYAYUK</v>
      </c>
      <c r="J15" s="19" t="str">
        <f>Sheet1!J15</f>
        <v>NGAYUNG RT 007 RW 002 MADURAN LAMONGAN</v>
      </c>
      <c r="K15" s="19" t="str">
        <f>Sheet1!K15</f>
        <v>6282237520701</v>
      </c>
      <c r="L15" s="20">
        <f>Sheet1!L15</f>
        <v>450000</v>
      </c>
      <c r="M15" s="20">
        <f>Sheet1!M15</f>
        <v>0</v>
      </c>
      <c r="N15" s="20">
        <f>Sheet1!N15</f>
        <v>0</v>
      </c>
      <c r="O15" s="20">
        <f>Sheet1!O15</f>
        <v>450000</v>
      </c>
      <c r="P15" s="19" t="str">
        <f>Sheet1!P15</f>
        <v/>
      </c>
      <c r="Q15" s="19" t="str">
        <f>Sheet1!Q15</f>
        <v/>
      </c>
      <c r="R15" s="19" t="str">
        <f>Sheet1!R15</f>
        <v/>
      </c>
      <c r="S15" s="19" t="str">
        <f>Sheet1!S15</f>
        <v>Belum Lunas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2"/>
      <c r="CC15" s="22"/>
      <c r="CD15" s="21"/>
      <c r="CE15" s="21"/>
      <c r="CF15" s="22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</row>
    <row r="16">
      <c r="A16" s="19">
        <f>Sheet1!A16</f>
        <v>15</v>
      </c>
      <c r="B16" s="19" t="str">
        <f>Sheet1!B16</f>
        <v>MUHAMMAD ALAM FIRMANSYAH</v>
      </c>
      <c r="C16" s="19">
        <f>Sheet1!C16</f>
        <v>2024070506</v>
      </c>
      <c r="D16" s="19" t="str">
        <f>Sheet1!D16</f>
        <v>A</v>
      </c>
      <c r="E16" s="19" t="str">
        <f>Sheet1!E16</f>
        <v>A-8</v>
      </c>
      <c r="F16" s="19">
        <f>Sheet1!F16</f>
        <v>3</v>
      </c>
      <c r="G16" s="19" t="str">
        <f>Sheet1!G16</f>
        <v>3 ULA A PUTRA</v>
      </c>
      <c r="H16" s="19" t="str">
        <f>Sheet1!H16</f>
        <v>MTS-9 F</v>
      </c>
      <c r="I16" s="19" t="str">
        <f>Sheet1!I16</f>
        <v>MUFA ROKAH</v>
      </c>
      <c r="J16" s="19" t="str">
        <f>Sheet1!J16</f>
        <v>KAMAL RT 004 RW 000 KAIRATU BARAT SERAM BAGIAN BARAT</v>
      </c>
      <c r="K16" s="19" t="str">
        <f>Sheet1!K16</f>
        <v>6282199817002</v>
      </c>
      <c r="L16" s="20">
        <f>Sheet1!L16</f>
        <v>450000</v>
      </c>
      <c r="M16" s="20">
        <f>Sheet1!M16</f>
        <v>0</v>
      </c>
      <c r="N16" s="20">
        <f>Sheet1!N16</f>
        <v>0</v>
      </c>
      <c r="O16" s="20">
        <f>Sheet1!O16</f>
        <v>450000</v>
      </c>
      <c r="P16" s="19" t="str">
        <f>Sheet1!P16</f>
        <v/>
      </c>
      <c r="Q16" s="19" t="str">
        <f>Sheet1!Q16</f>
        <v/>
      </c>
      <c r="R16" s="19" t="str">
        <f>Sheet1!R16</f>
        <v/>
      </c>
      <c r="S16" s="19" t="str">
        <f>Sheet1!S16</f>
        <v>Belum Lunas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2"/>
      <c r="CC16" s="22"/>
      <c r="CD16" s="21"/>
      <c r="CE16" s="21"/>
      <c r="CF16" s="22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</row>
    <row r="17">
      <c r="A17" s="19">
        <f>Sheet1!A17</f>
        <v>16</v>
      </c>
      <c r="B17" s="19" t="str">
        <f>Sheet1!B17</f>
        <v>MUHAMMAD SYA`DANA</v>
      </c>
      <c r="C17" s="19">
        <f>Sheet1!C17</f>
        <v>2024070715</v>
      </c>
      <c r="D17" s="19" t="str">
        <f>Sheet1!D17</f>
        <v>A</v>
      </c>
      <c r="E17" s="19" t="str">
        <f>Sheet1!E17</f>
        <v>A-10</v>
      </c>
      <c r="F17" s="19">
        <f>Sheet1!F17</f>
        <v>3</v>
      </c>
      <c r="G17" s="19" t="str">
        <f>Sheet1!G17</f>
        <v>3 WUSTHO PUTRA</v>
      </c>
      <c r="H17" s="19" t="str">
        <f>Sheet1!H17</f>
        <v>SMK-XII TKJ 2</v>
      </c>
      <c r="I17" s="19" t="str">
        <f>Sheet1!I17</f>
        <v>FATMAWATI</v>
      </c>
      <c r="J17" s="19" t="str">
        <f>Sheet1!J17</f>
        <v>PARENGAN RT 4 RW 3 MADURAN LAMONGAN</v>
      </c>
      <c r="K17" s="19" t="str">
        <f>Sheet1!K17</f>
        <v>6281216068509</v>
      </c>
      <c r="L17" s="20">
        <f>Sheet1!L17</f>
        <v>450000</v>
      </c>
      <c r="M17" s="20">
        <f>Sheet1!M17</f>
        <v>0</v>
      </c>
      <c r="N17" s="20">
        <f>Sheet1!N17</f>
        <v>0</v>
      </c>
      <c r="O17" s="20">
        <f>Sheet1!O17</f>
        <v>450000</v>
      </c>
      <c r="P17" s="19" t="str">
        <f>Sheet1!P17</f>
        <v/>
      </c>
      <c r="Q17" s="19" t="str">
        <f>Sheet1!Q17</f>
        <v/>
      </c>
      <c r="R17" s="19" t="str">
        <f>Sheet1!R17</f>
        <v/>
      </c>
      <c r="S17" s="19" t="str">
        <f>Sheet1!S17</f>
        <v>Belum Lunas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2"/>
      <c r="CC17" s="22"/>
      <c r="CD17" s="21"/>
      <c r="CE17" s="21"/>
      <c r="CF17" s="22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</row>
    <row r="18">
      <c r="A18" s="19">
        <f>Sheet1!A18</f>
        <v>17</v>
      </c>
      <c r="B18" s="19" t="str">
        <f>Sheet1!B18</f>
        <v>AHMAD BAHRUL FITRONI</v>
      </c>
      <c r="C18" s="19">
        <f>Sheet1!C18</f>
        <v>2024070534</v>
      </c>
      <c r="D18" s="19" t="str">
        <f>Sheet1!D18</f>
        <v>A</v>
      </c>
      <c r="E18" s="19" t="str">
        <f>Sheet1!E18</f>
        <v>A-8</v>
      </c>
      <c r="F18" s="19">
        <f>Sheet1!F18</f>
        <v>3</v>
      </c>
      <c r="G18" s="19" t="str">
        <f>Sheet1!G18</f>
        <v>3 ULA B PUTRA</v>
      </c>
      <c r="H18" s="19" t="str">
        <f>Sheet1!H18</f>
        <v>MTS-9 E</v>
      </c>
      <c r="I18" s="19" t="str">
        <f>Sheet1!I18</f>
        <v>SRI MULYATI</v>
      </c>
      <c r="J18" s="19" t="str">
        <f>Sheet1!J18</f>
        <v>KEBET RT 005 RW 001 LAMONGAN LAMONGAN</v>
      </c>
      <c r="K18" s="19" t="str">
        <f>Sheet1!K18</f>
        <v>6285812677937</v>
      </c>
      <c r="L18" s="20">
        <f>Sheet1!L18</f>
        <v>0</v>
      </c>
      <c r="M18" s="20">
        <f>Sheet1!M18</f>
        <v>500000</v>
      </c>
      <c r="N18" s="20">
        <f>Sheet1!N18</f>
        <v>0</v>
      </c>
      <c r="O18" s="20">
        <f>Sheet1!O18</f>
        <v>500000</v>
      </c>
      <c r="P18" s="19" t="str">
        <f>Sheet1!P18</f>
        <v/>
      </c>
      <c r="Q18" s="19" t="str">
        <f>Sheet1!Q18</f>
        <v/>
      </c>
      <c r="R18" s="19" t="str">
        <f>Sheet1!R18</f>
        <v/>
      </c>
      <c r="S18" s="19" t="str">
        <f>Sheet1!S18</f>
        <v>Belum Lunas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2"/>
      <c r="CC18" s="22"/>
      <c r="CD18" s="21"/>
      <c r="CE18" s="21"/>
      <c r="CF18" s="22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</row>
    <row r="19">
      <c r="A19" s="19">
        <f>Sheet1!A19</f>
        <v>18</v>
      </c>
      <c r="B19" s="19" t="str">
        <f>Sheet1!B19</f>
        <v>AIDZILA DHEA ANANTA</v>
      </c>
      <c r="C19" s="19">
        <f>Sheet1!C19</f>
        <v>2024070495</v>
      </c>
      <c r="D19" s="19" t="str">
        <f>Sheet1!D19</f>
        <v>C</v>
      </c>
      <c r="E19" s="19" t="str">
        <f>Sheet1!E19</f>
        <v>C-12</v>
      </c>
      <c r="F19" s="19">
        <f>Sheet1!F19</f>
        <v>3</v>
      </c>
      <c r="G19" s="19" t="str">
        <f>Sheet1!G19</f>
        <v>3 ULA C PUTRI</v>
      </c>
      <c r="H19" s="19" t="str">
        <f>Sheet1!H19</f>
        <v>MTS-9 D</v>
      </c>
      <c r="I19" s="19" t="str">
        <f>Sheet1!I19</f>
        <v>MARATUS SHOLICHAH</v>
      </c>
      <c r="J19" s="19" t="str">
        <f>Sheet1!J19</f>
        <v>NGUWOK RT 004 RW 002 MODO LAMONGAN</v>
      </c>
      <c r="K19" s="19" t="str">
        <f>Sheet1!K19</f>
        <v>6281559586998</v>
      </c>
      <c r="L19" s="20">
        <f>Sheet1!L19</f>
        <v>0</v>
      </c>
      <c r="M19" s="20">
        <f>Sheet1!M19</f>
        <v>500000</v>
      </c>
      <c r="N19" s="20">
        <f>Sheet1!N19</f>
        <v>0</v>
      </c>
      <c r="O19" s="20">
        <f>Sheet1!O19</f>
        <v>500000</v>
      </c>
      <c r="P19" s="19" t="str">
        <f>Sheet1!P19</f>
        <v/>
      </c>
      <c r="Q19" s="19" t="str">
        <f>Sheet1!Q19</f>
        <v/>
      </c>
      <c r="R19" s="19" t="str">
        <f>Sheet1!R19</f>
        <v/>
      </c>
      <c r="S19" s="19" t="str">
        <f>Sheet1!S19</f>
        <v>Belum Lunas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2"/>
      <c r="CC19" s="22"/>
      <c r="CD19" s="21"/>
      <c r="CE19" s="21"/>
      <c r="CF19" s="22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</row>
    <row r="20">
      <c r="A20" s="19">
        <f>Sheet1!A20</f>
        <v>19</v>
      </c>
      <c r="B20" s="19" t="str">
        <f>Sheet1!B20</f>
        <v>ATHIIYAH AULIYA`UL MUSHOFAROH</v>
      </c>
      <c r="C20" s="19">
        <f>Sheet1!C20</f>
        <v>2024070631</v>
      </c>
      <c r="D20" s="19" t="str">
        <f>Sheet1!D20</f>
        <v>C</v>
      </c>
      <c r="E20" s="19" t="str">
        <f>Sheet1!E20</f>
        <v>C-3</v>
      </c>
      <c r="F20" s="19">
        <f>Sheet1!F20</f>
        <v>3</v>
      </c>
      <c r="G20" s="19" t="str">
        <f>Sheet1!G20</f>
        <v/>
      </c>
      <c r="H20" s="19" t="str">
        <f>Sheet1!H20</f>
        <v>MTS-9 A</v>
      </c>
      <c r="I20" s="19" t="str">
        <f>Sheet1!I20</f>
        <v>NUR KHOMSATUN FINARIYAH</v>
      </c>
      <c r="J20" s="19" t="str">
        <f>Sheet1!J20</f>
        <v>KEDIREN RT 003 RW 001 KALITENGAH LAMONGAN</v>
      </c>
      <c r="K20" s="19" t="str">
        <f>Sheet1!K20</f>
        <v>6285731317533</v>
      </c>
      <c r="L20" s="20">
        <f>Sheet1!L20</f>
        <v>0</v>
      </c>
      <c r="M20" s="20">
        <f>Sheet1!M20</f>
        <v>500000</v>
      </c>
      <c r="N20" s="20">
        <f>Sheet1!N20</f>
        <v>0</v>
      </c>
      <c r="O20" s="20">
        <f>Sheet1!O20</f>
        <v>500000</v>
      </c>
      <c r="P20" s="19" t="str">
        <f>Sheet1!P20</f>
        <v/>
      </c>
      <c r="Q20" s="19" t="str">
        <f>Sheet1!Q20</f>
        <v/>
      </c>
      <c r="R20" s="19" t="str">
        <f>Sheet1!R20</f>
        <v/>
      </c>
      <c r="S20" s="19" t="str">
        <f>Sheet1!S20</f>
        <v>Belum Lunas</v>
      </c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2"/>
      <c r="CC20" s="22"/>
      <c r="CD20" s="21"/>
      <c r="CE20" s="21"/>
      <c r="CF20" s="22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</row>
    <row r="21">
      <c r="A21" s="19">
        <f>Sheet1!A21</f>
        <v>20</v>
      </c>
      <c r="B21" s="19" t="str">
        <f>Sheet1!B21</f>
        <v>ATINA AZKAL FUADAH</v>
      </c>
      <c r="C21" s="19">
        <f>Sheet1!C21</f>
        <v>2024070474</v>
      </c>
      <c r="D21" s="19" t="str">
        <f>Sheet1!D21</f>
        <v>E</v>
      </c>
      <c r="E21" s="19" t="str">
        <f>Sheet1!E21</f>
        <v>E-3</v>
      </c>
      <c r="F21" s="19">
        <f>Sheet1!F21</f>
        <v>3</v>
      </c>
      <c r="G21" s="19" t="str">
        <f>Sheet1!G21</f>
        <v>3 ULA B PUTRI</v>
      </c>
      <c r="H21" s="19" t="str">
        <f>Sheet1!H21</f>
        <v>MTS-9 B</v>
      </c>
      <c r="I21" s="19" t="str">
        <f>Sheet1!I21</f>
        <v>KHAULA ANIS</v>
      </c>
      <c r="J21" s="19" t="str">
        <f>Sheet1!J21</f>
        <v>NGAYUNG RT 006 RW 002 MADURAN LAMONGAN</v>
      </c>
      <c r="K21" s="19" t="str">
        <f>Sheet1!K21</f>
        <v>6281554492983</v>
      </c>
      <c r="L21" s="20">
        <f>Sheet1!L21</f>
        <v>500000</v>
      </c>
      <c r="M21" s="20">
        <f>Sheet1!M21</f>
        <v>0</v>
      </c>
      <c r="N21" s="20">
        <f>Sheet1!N21</f>
        <v>0</v>
      </c>
      <c r="O21" s="20">
        <f>Sheet1!O21</f>
        <v>500000</v>
      </c>
      <c r="P21" s="19" t="str">
        <f>Sheet1!P21</f>
        <v/>
      </c>
      <c r="Q21" s="19" t="str">
        <f>Sheet1!Q21</f>
        <v/>
      </c>
      <c r="R21" s="19" t="str">
        <f>Sheet1!R21</f>
        <v/>
      </c>
      <c r="S21" s="19" t="str">
        <f>Sheet1!S21</f>
        <v>Belum Lunas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2"/>
      <c r="CC21" s="22"/>
      <c r="CD21" s="21"/>
      <c r="CE21" s="21"/>
      <c r="CF21" s="22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</row>
    <row r="22">
      <c r="A22" s="19">
        <f>Sheet1!A22</f>
        <v>21</v>
      </c>
      <c r="B22" s="19" t="str">
        <f>Sheet1!B22</f>
        <v>AZZAM ABDILLAH SAPTA</v>
      </c>
      <c r="C22" s="19">
        <f>Sheet1!C22</f>
        <v>2024070590</v>
      </c>
      <c r="D22" s="19" t="str">
        <f>Sheet1!D22</f>
        <v>A</v>
      </c>
      <c r="E22" s="19" t="str">
        <f>Sheet1!E22</f>
        <v>A-8</v>
      </c>
      <c r="F22" s="19">
        <f>Sheet1!F22</f>
        <v>3</v>
      </c>
      <c r="G22" s="19" t="str">
        <f>Sheet1!G22</f>
        <v>3 ULA B PUTRA</v>
      </c>
      <c r="H22" s="19" t="str">
        <f>Sheet1!H22</f>
        <v>MTS-9 D</v>
      </c>
      <c r="I22" s="19" t="str">
        <f>Sheet1!I22</f>
        <v>MUIYATI</v>
      </c>
      <c r="J22" s="19" t="str">
        <f>Sheet1!J22</f>
        <v>NGAYUNG RT 005 RW 002 MADURAN LAMONGAN</v>
      </c>
      <c r="K22" s="19" t="str">
        <f>Sheet1!K22</f>
        <v>6282143068892</v>
      </c>
      <c r="L22" s="20">
        <f>Sheet1!L22</f>
        <v>0</v>
      </c>
      <c r="M22" s="20">
        <f>Sheet1!M22</f>
        <v>500000</v>
      </c>
      <c r="N22" s="20">
        <f>Sheet1!N22</f>
        <v>0</v>
      </c>
      <c r="O22" s="20">
        <f>Sheet1!O22</f>
        <v>500000</v>
      </c>
      <c r="P22" s="19" t="str">
        <f>Sheet1!P22</f>
        <v/>
      </c>
      <c r="Q22" s="19" t="str">
        <f>Sheet1!Q22</f>
        <v/>
      </c>
      <c r="R22" s="19" t="str">
        <f>Sheet1!R22</f>
        <v/>
      </c>
      <c r="S22" s="19" t="str">
        <f>Sheet1!S22</f>
        <v>Belum Lunas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2"/>
      <c r="CC22" s="22"/>
      <c r="CD22" s="21"/>
      <c r="CE22" s="21"/>
      <c r="CF22" s="22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</row>
    <row r="23">
      <c r="A23" s="19">
        <f>Sheet1!A23</f>
        <v>22</v>
      </c>
      <c r="B23" s="19" t="str">
        <f>Sheet1!B23</f>
        <v>BAGAS KHOIRUL AZAM</v>
      </c>
      <c r="C23" s="19">
        <f>Sheet1!C23</f>
        <v>2024070452</v>
      </c>
      <c r="D23" s="19" t="str">
        <f>Sheet1!D23</f>
        <v>A</v>
      </c>
      <c r="E23" s="19" t="str">
        <f>Sheet1!E23</f>
        <v>A-8</v>
      </c>
      <c r="F23" s="19">
        <f>Sheet1!F23</f>
        <v>3</v>
      </c>
      <c r="G23" s="19" t="str">
        <f>Sheet1!G23</f>
        <v>3 ULA A PUTRA</v>
      </c>
      <c r="H23" s="19" t="str">
        <f>Sheet1!H23</f>
        <v>MTS-9 D</v>
      </c>
      <c r="I23" s="19" t="str">
        <f>Sheet1!I23</f>
        <v>SUKANI</v>
      </c>
      <c r="J23" s="19" t="str">
        <f>Sheet1!J23</f>
        <v>WONOSARI MULYO 5/37 WONOKUSUMO RT 017 RW 007 SEMAMPIR SURABAYA</v>
      </c>
      <c r="K23" s="19" t="str">
        <f>Sheet1!K23</f>
        <v>6285738565150</v>
      </c>
      <c r="L23" s="20">
        <f>Sheet1!L23</f>
        <v>0</v>
      </c>
      <c r="M23" s="20">
        <f>Sheet1!M23</f>
        <v>500000</v>
      </c>
      <c r="N23" s="20">
        <f>Sheet1!N23</f>
        <v>0</v>
      </c>
      <c r="O23" s="20">
        <f>Sheet1!O23</f>
        <v>500000</v>
      </c>
      <c r="P23" s="19" t="str">
        <f>Sheet1!P23</f>
        <v/>
      </c>
      <c r="Q23" s="19" t="str">
        <f>Sheet1!Q23</f>
        <v/>
      </c>
      <c r="R23" s="19" t="str">
        <f>Sheet1!R23</f>
        <v/>
      </c>
      <c r="S23" s="19" t="str">
        <f>Sheet1!S23</f>
        <v>Belum Lunas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2"/>
      <c r="CC23" s="22"/>
      <c r="CD23" s="21"/>
      <c r="CE23" s="21"/>
      <c r="CF23" s="22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</row>
    <row r="24">
      <c r="A24" s="19">
        <f>Sheet1!A24</f>
        <v>23</v>
      </c>
      <c r="B24" s="19" t="str">
        <f>Sheet1!B24</f>
        <v>BATRISYIA ALFILZAH</v>
      </c>
      <c r="C24" s="19">
        <f>Sheet1!C24</f>
        <v>2024070634</v>
      </c>
      <c r="D24" s="19" t="str">
        <f>Sheet1!D24</f>
        <v>E</v>
      </c>
      <c r="E24" s="19" t="str">
        <f>Sheet1!E24</f>
        <v>E-2</v>
      </c>
      <c r="F24" s="19">
        <f>Sheet1!F24</f>
        <v>3</v>
      </c>
      <c r="G24" s="19" t="str">
        <f>Sheet1!G24</f>
        <v>3 ULA A PUTRI</v>
      </c>
      <c r="H24" s="19" t="str">
        <f>Sheet1!H24</f>
        <v>MTS-9 H</v>
      </c>
      <c r="I24" s="19" t="str">
        <f>Sheet1!I24</f>
        <v>LILIS</v>
      </c>
      <c r="J24" s="19" t="str">
        <f>Sheet1!J24</f>
        <v>KAWISTOLEGI RT 001 RW 001 KARANGGENENG LAMONGAN</v>
      </c>
      <c r="K24" s="19" t="str">
        <f>Sheet1!K24</f>
        <v>62895801050384</v>
      </c>
      <c r="L24" s="20">
        <f>Sheet1!L24</f>
        <v>500000</v>
      </c>
      <c r="M24" s="20">
        <f>Sheet1!M24</f>
        <v>0</v>
      </c>
      <c r="N24" s="20">
        <f>Sheet1!N24</f>
        <v>0</v>
      </c>
      <c r="O24" s="20">
        <f>Sheet1!O24</f>
        <v>500000</v>
      </c>
      <c r="P24" s="19" t="str">
        <f>Sheet1!P24</f>
        <v/>
      </c>
      <c r="Q24" s="19" t="str">
        <f>Sheet1!Q24</f>
        <v/>
      </c>
      <c r="R24" s="19" t="str">
        <f>Sheet1!R24</f>
        <v/>
      </c>
      <c r="S24" s="19" t="str">
        <f>Sheet1!S24</f>
        <v>Belum Lunas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2"/>
      <c r="CC24" s="22"/>
      <c r="CD24" s="21"/>
      <c r="CE24" s="21"/>
      <c r="CF24" s="22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</row>
    <row r="25">
      <c r="A25" s="19">
        <f>Sheet1!A25</f>
        <v>24</v>
      </c>
      <c r="B25" s="19" t="str">
        <f>Sheet1!B25</f>
        <v>DEWI LAILA ANISAH SHOFIYAH</v>
      </c>
      <c r="C25" s="19">
        <f>Sheet1!C25</f>
        <v>2024070373</v>
      </c>
      <c r="D25" s="19" t="str">
        <f>Sheet1!D25</f>
        <v>C</v>
      </c>
      <c r="E25" s="19" t="str">
        <f>Sheet1!E25</f>
        <v>C-9</v>
      </c>
      <c r="F25" s="19">
        <f>Sheet1!F25</f>
        <v>3</v>
      </c>
      <c r="G25" s="19" t="str">
        <f>Sheet1!G25</f>
        <v>3 WUSTHO A PUTRI</v>
      </c>
      <c r="H25" s="19" t="str">
        <f>Sheet1!H25</f>
        <v>MA-XII.12</v>
      </c>
      <c r="I25" s="19" t="str">
        <f>Sheet1!I25</f>
        <v>SITI ROKANI</v>
      </c>
      <c r="J25" s="19" t="str">
        <f>Sheet1!J25</f>
        <v>KADUNG KADUNGREMBUG RT 001 RW 005 SUKODADI LAMONGAN</v>
      </c>
      <c r="K25" s="19" t="str">
        <f>Sheet1!K25</f>
        <v>6285748023154</v>
      </c>
      <c r="L25" s="20">
        <f>Sheet1!L25</f>
        <v>0</v>
      </c>
      <c r="M25" s="20">
        <f>Sheet1!M25</f>
        <v>500000</v>
      </c>
      <c r="N25" s="20">
        <f>Sheet1!N25</f>
        <v>0</v>
      </c>
      <c r="O25" s="20">
        <f>Sheet1!O25</f>
        <v>500000</v>
      </c>
      <c r="P25" s="19" t="str">
        <f>Sheet1!P25</f>
        <v/>
      </c>
      <c r="Q25" s="19" t="str">
        <f>Sheet1!Q25</f>
        <v/>
      </c>
      <c r="R25" s="19" t="str">
        <f>Sheet1!R25</f>
        <v/>
      </c>
      <c r="S25" s="19" t="str">
        <f>Sheet1!S25</f>
        <v>Belum Lunas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2"/>
      <c r="CC25" s="22"/>
      <c r="CD25" s="21"/>
      <c r="CE25" s="21"/>
      <c r="CF25" s="22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</row>
    <row r="26">
      <c r="A26" s="19">
        <f>Sheet1!A26</f>
        <v>25</v>
      </c>
      <c r="B26" s="19" t="str">
        <f>Sheet1!B26</f>
        <v>DINI WAHYU NINGTYAS</v>
      </c>
      <c r="C26" s="19">
        <f>Sheet1!C26</f>
        <v>2024070688</v>
      </c>
      <c r="D26" s="19" t="str">
        <f>Sheet1!D26</f>
        <v>B</v>
      </c>
      <c r="E26" s="19" t="str">
        <f>Sheet1!E26</f>
        <v>B-4</v>
      </c>
      <c r="F26" s="19">
        <f>Sheet1!F26</f>
        <v>3</v>
      </c>
      <c r="G26" s="19" t="str">
        <f>Sheet1!G26</f>
        <v>3 WUSTHO C PUTRI</v>
      </c>
      <c r="H26" s="19" t="str">
        <f>Sheet1!H26</f>
        <v>SMK-XII DKV</v>
      </c>
      <c r="I26" s="19" t="str">
        <f>Sheet1!I26</f>
        <v>YA ANTI</v>
      </c>
      <c r="J26" s="19" t="str">
        <f>Sheet1!J26</f>
        <v>TIRTA MULIA BATU MERANTI RT 011 RW 005 SUNGAILOBAN TANAH BUMBU</v>
      </c>
      <c r="K26" s="19" t="str">
        <f>Sheet1!K26</f>
        <v>6281255133458</v>
      </c>
      <c r="L26" s="20">
        <f>Sheet1!L26</f>
        <v>0</v>
      </c>
      <c r="M26" s="20">
        <f>Sheet1!M26</f>
        <v>500000</v>
      </c>
      <c r="N26" s="20">
        <f>Sheet1!N26</f>
        <v>0</v>
      </c>
      <c r="O26" s="20">
        <f>Sheet1!O26</f>
        <v>500000</v>
      </c>
      <c r="P26" s="19" t="str">
        <f>Sheet1!P26</f>
        <v/>
      </c>
      <c r="Q26" s="19" t="str">
        <f>Sheet1!Q26</f>
        <v/>
      </c>
      <c r="R26" s="19" t="str">
        <f>Sheet1!R26</f>
        <v/>
      </c>
      <c r="S26" s="19" t="str">
        <f>Sheet1!S26</f>
        <v>Belum Lunas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2"/>
      <c r="CC26" s="22"/>
      <c r="CD26" s="21"/>
      <c r="CE26" s="21"/>
      <c r="CF26" s="22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</row>
    <row r="27">
      <c r="A27" s="19">
        <f>Sheet1!A27</f>
        <v>26</v>
      </c>
      <c r="B27" s="19" t="str">
        <f>Sheet1!B27</f>
        <v>DIVA APRILIA SHOLIKHA</v>
      </c>
      <c r="C27" s="19">
        <f>Sheet1!C27</f>
        <v>2024070223</v>
      </c>
      <c r="D27" s="19" t="str">
        <f>Sheet1!D27</f>
        <v>C</v>
      </c>
      <c r="E27" s="19" t="str">
        <f>Sheet1!E27</f>
        <v>C-8</v>
      </c>
      <c r="F27" s="19">
        <f>Sheet1!F27</f>
        <v>3</v>
      </c>
      <c r="G27" s="19" t="str">
        <f>Sheet1!G27</f>
        <v>3 WUSTHO A PUTRI</v>
      </c>
      <c r="H27" s="19" t="str">
        <f>Sheet1!H27</f>
        <v>MA-XII.6</v>
      </c>
      <c r="I27" s="19" t="str">
        <f>Sheet1!I27</f>
        <v>KHOTIM SUNARIYAH</v>
      </c>
      <c r="J27" s="19" t="str">
        <f>Sheet1!J27</f>
        <v>KARANGCANGKRING RT 7 RW 3 DUKUN GRESIK</v>
      </c>
      <c r="K27" s="19" t="str">
        <f>Sheet1!K27</f>
        <v>6281553483950</v>
      </c>
      <c r="L27" s="20">
        <f>Sheet1!L27</f>
        <v>0</v>
      </c>
      <c r="M27" s="20">
        <f>Sheet1!M27</f>
        <v>500000</v>
      </c>
      <c r="N27" s="20">
        <f>Sheet1!N27</f>
        <v>0</v>
      </c>
      <c r="O27" s="20">
        <f>Sheet1!O27</f>
        <v>500000</v>
      </c>
      <c r="P27" s="19" t="str">
        <f>Sheet1!P27</f>
        <v/>
      </c>
      <c r="Q27" s="19" t="str">
        <f>Sheet1!Q27</f>
        <v/>
      </c>
      <c r="R27" s="19" t="str">
        <f>Sheet1!R27</f>
        <v/>
      </c>
      <c r="S27" s="19" t="str">
        <f>Sheet1!S27</f>
        <v>Belum Lunas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2"/>
      <c r="CC27" s="22"/>
      <c r="CD27" s="21"/>
      <c r="CE27" s="21"/>
      <c r="CF27" s="22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</row>
    <row r="28">
      <c r="A28" s="19">
        <f>Sheet1!A28</f>
        <v>27</v>
      </c>
      <c r="B28" s="19" t="str">
        <f>Sheet1!B28</f>
        <v>ELSA LAILATUN NIHAYAH</v>
      </c>
      <c r="C28" s="19">
        <f>Sheet1!C28</f>
        <v>2024070112</v>
      </c>
      <c r="D28" s="19" t="str">
        <f>Sheet1!D28</f>
        <v>C</v>
      </c>
      <c r="E28" s="19" t="str">
        <f>Sheet1!E28</f>
        <v>C-9</v>
      </c>
      <c r="F28" s="19">
        <f>Sheet1!F28</f>
        <v>3</v>
      </c>
      <c r="G28" s="19" t="str">
        <f>Sheet1!G28</f>
        <v>3 WUSTHO B PUTRI</v>
      </c>
      <c r="H28" s="19" t="str">
        <f>Sheet1!H28</f>
        <v>MA-XII.4</v>
      </c>
      <c r="I28" s="19" t="str">
        <f>Sheet1!I28</f>
        <v>KARMU</v>
      </c>
      <c r="J28" s="19" t="str">
        <f>Sheet1!J28</f>
        <v>CLURING RT 002 RW 002 KALITENGAH LAMONGAN</v>
      </c>
      <c r="K28" s="19" t="str">
        <f>Sheet1!K28</f>
        <v>6287794103025</v>
      </c>
      <c r="L28" s="20">
        <f>Sheet1!L28</f>
        <v>0</v>
      </c>
      <c r="M28" s="20">
        <f>Sheet1!M28</f>
        <v>500000</v>
      </c>
      <c r="N28" s="20">
        <f>Sheet1!N28</f>
        <v>0</v>
      </c>
      <c r="O28" s="20">
        <f>Sheet1!O28</f>
        <v>500000</v>
      </c>
      <c r="P28" s="19" t="str">
        <f>Sheet1!P28</f>
        <v/>
      </c>
      <c r="Q28" s="19" t="str">
        <f>Sheet1!Q28</f>
        <v/>
      </c>
      <c r="R28" s="19" t="str">
        <f>Sheet1!R28</f>
        <v/>
      </c>
      <c r="S28" s="19" t="str">
        <f>Sheet1!S28</f>
        <v>Belum Lunas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2"/>
      <c r="CC28" s="22"/>
      <c r="CD28" s="21"/>
      <c r="CE28" s="21"/>
      <c r="CF28" s="22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</row>
    <row r="29">
      <c r="A29" s="19">
        <f>Sheet1!A29</f>
        <v>28</v>
      </c>
      <c r="B29" s="19" t="str">
        <f>Sheet1!B29</f>
        <v>ERIN MAULIDIAH</v>
      </c>
      <c r="C29" s="19">
        <f>Sheet1!C29</f>
        <v>2024070475</v>
      </c>
      <c r="D29" s="19" t="str">
        <f>Sheet1!D29</f>
        <v>E</v>
      </c>
      <c r="E29" s="19" t="str">
        <f>Sheet1!E29</f>
        <v>E-3</v>
      </c>
      <c r="F29" s="19">
        <f>Sheet1!F29</f>
        <v>3</v>
      </c>
      <c r="G29" s="19" t="str">
        <f>Sheet1!G29</f>
        <v>3 ULA B PUTRI</v>
      </c>
      <c r="H29" s="19" t="str">
        <f>Sheet1!H29</f>
        <v>MTS-9 B</v>
      </c>
      <c r="I29" s="19" t="str">
        <f>Sheet1!I29</f>
        <v>ASMAUS SHOFIYANAH</v>
      </c>
      <c r="J29" s="19" t="str">
        <f>Sheet1!J29</f>
        <v>NGAYUNG RT 005 RW 002 MADURAN LAMONGAN</v>
      </c>
      <c r="K29" s="19" t="str">
        <f>Sheet1!K29</f>
        <v>6282233810314</v>
      </c>
      <c r="L29" s="20">
        <f>Sheet1!L29</f>
        <v>0</v>
      </c>
      <c r="M29" s="20">
        <f>Sheet1!M29</f>
        <v>500000</v>
      </c>
      <c r="N29" s="20">
        <f>Sheet1!N29</f>
        <v>0</v>
      </c>
      <c r="O29" s="20">
        <f>Sheet1!O29</f>
        <v>500000</v>
      </c>
      <c r="P29" s="19" t="str">
        <f>Sheet1!P29</f>
        <v/>
      </c>
      <c r="Q29" s="19" t="str">
        <f>Sheet1!Q29</f>
        <v/>
      </c>
      <c r="R29" s="19" t="str">
        <f>Sheet1!R29</f>
        <v/>
      </c>
      <c r="S29" s="19" t="str">
        <f>Sheet1!S29</f>
        <v>Belum Lunas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2"/>
      <c r="CC29" s="22"/>
      <c r="CD29" s="21"/>
      <c r="CE29" s="21"/>
      <c r="CF29" s="22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</row>
    <row r="30">
      <c r="A30" s="19">
        <f>Sheet1!A30</f>
        <v>29</v>
      </c>
      <c r="B30" s="19" t="str">
        <f>Sheet1!B30</f>
        <v>FAIQOTUR RIFDAH AL ABIDAH</v>
      </c>
      <c r="C30" s="19">
        <f>Sheet1!C30</f>
        <v>2024070487</v>
      </c>
      <c r="D30" s="19" t="str">
        <f>Sheet1!D30</f>
        <v>E</v>
      </c>
      <c r="E30" s="19" t="str">
        <f>Sheet1!E30</f>
        <v>E-2</v>
      </c>
      <c r="F30" s="19">
        <f>Sheet1!F30</f>
        <v>3</v>
      </c>
      <c r="G30" s="19" t="str">
        <f>Sheet1!G30</f>
        <v>3 ULA B PUTRI</v>
      </c>
      <c r="H30" s="19" t="str">
        <f>Sheet1!H30</f>
        <v>MTS-9 C</v>
      </c>
      <c r="I30" s="19" t="str">
        <f>Sheet1!I30</f>
        <v>CHAMIMAH</v>
      </c>
      <c r="J30" s="19" t="str">
        <f>Sheet1!J30</f>
        <v>PLOSOSETRO RT 008 RW 002 PUCUK LAMONGAN</v>
      </c>
      <c r="K30" s="19" t="str">
        <f>Sheet1!K30</f>
        <v>6285791612653</v>
      </c>
      <c r="L30" s="20">
        <f>Sheet1!L30</f>
        <v>0</v>
      </c>
      <c r="M30" s="20">
        <f>Sheet1!M30</f>
        <v>500000</v>
      </c>
      <c r="N30" s="20">
        <f>Sheet1!N30</f>
        <v>0</v>
      </c>
      <c r="O30" s="20">
        <f>Sheet1!O30</f>
        <v>500000</v>
      </c>
      <c r="P30" s="19" t="str">
        <f>Sheet1!P30</f>
        <v/>
      </c>
      <c r="Q30" s="19" t="str">
        <f>Sheet1!Q30</f>
        <v/>
      </c>
      <c r="R30" s="19" t="str">
        <f>Sheet1!R30</f>
        <v/>
      </c>
      <c r="S30" s="19" t="str">
        <f>Sheet1!S30</f>
        <v>Belum Lunas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2"/>
      <c r="CC30" s="22"/>
      <c r="CD30" s="21"/>
      <c r="CE30" s="21"/>
      <c r="CF30" s="22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</row>
    <row r="31">
      <c r="A31" s="19">
        <f>Sheet1!A31</f>
        <v>30</v>
      </c>
      <c r="B31" s="19" t="str">
        <f>Sheet1!B31</f>
        <v>FAIRUZZABADI WAHYU MAHFUL</v>
      </c>
      <c r="C31" s="19">
        <f>Sheet1!C31</f>
        <v>2024070458</v>
      </c>
      <c r="D31" s="19" t="str">
        <f>Sheet1!D31</f>
        <v>A</v>
      </c>
      <c r="E31" s="19" t="str">
        <f>Sheet1!E31</f>
        <v>A-7</v>
      </c>
      <c r="F31" s="19">
        <f>Sheet1!F31</f>
        <v>3</v>
      </c>
      <c r="G31" s="19" t="str">
        <f>Sheet1!G31</f>
        <v>3 ULA A PUTRA</v>
      </c>
      <c r="H31" s="19" t="str">
        <f>Sheet1!H31</f>
        <v>MTS-9 E</v>
      </c>
      <c r="I31" s="19" t="str">
        <f>Sheet1!I31</f>
        <v>TRI UTAMI</v>
      </c>
      <c r="J31" s="19" t="str">
        <f>Sheet1!J31</f>
        <v>PAJANGAN RT 001 RW 002 SUKODADI LAMONGAN</v>
      </c>
      <c r="K31" s="19" t="str">
        <f>Sheet1!K31</f>
        <v>6285730482785</v>
      </c>
      <c r="L31" s="20">
        <f>Sheet1!L31</f>
        <v>0</v>
      </c>
      <c r="M31" s="20">
        <f>Sheet1!M31</f>
        <v>500000</v>
      </c>
      <c r="N31" s="20">
        <f>Sheet1!N31</f>
        <v>0</v>
      </c>
      <c r="O31" s="20">
        <f>Sheet1!O31</f>
        <v>500000</v>
      </c>
      <c r="P31" s="19" t="str">
        <f>Sheet1!P31</f>
        <v/>
      </c>
      <c r="Q31" s="19" t="str">
        <f>Sheet1!Q31</f>
        <v/>
      </c>
      <c r="R31" s="19" t="str">
        <f>Sheet1!R31</f>
        <v/>
      </c>
      <c r="S31" s="19" t="str">
        <f>Sheet1!S31</f>
        <v>Belum Lunas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2"/>
      <c r="CC31" s="22"/>
      <c r="CD31" s="21"/>
      <c r="CE31" s="21"/>
      <c r="CF31" s="22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</row>
    <row r="32">
      <c r="A32" s="19">
        <f>Sheet1!A32</f>
        <v>31</v>
      </c>
      <c r="B32" s="19" t="str">
        <f>Sheet1!B32</f>
        <v>FARAH OKTARIAN SYAHPUTRI</v>
      </c>
      <c r="C32" s="19">
        <f>Sheet1!C32</f>
        <v>2024070466</v>
      </c>
      <c r="D32" s="19" t="str">
        <f>Sheet1!D32</f>
        <v>E</v>
      </c>
      <c r="E32" s="19" t="str">
        <f>Sheet1!E32</f>
        <v>E-9</v>
      </c>
      <c r="F32" s="19">
        <f>Sheet1!F32</f>
        <v>3</v>
      </c>
      <c r="G32" s="19" t="str">
        <f>Sheet1!G32</f>
        <v>3 ULA C PUTRI</v>
      </c>
      <c r="H32" s="19" t="str">
        <f>Sheet1!H32</f>
        <v>MTS-9 A</v>
      </c>
      <c r="I32" s="19" t="str">
        <f>Sheet1!I32</f>
        <v>HUSNUL MUSTAFIDAH</v>
      </c>
      <c r="J32" s="19" t="str">
        <f>Sheet1!J32</f>
        <v>JL. RAYA SUGIO NO. 53 KEBET RT 004 RW 001 LAMONGAN LAMONGAN</v>
      </c>
      <c r="K32" s="19" t="str">
        <f>Sheet1!K32</f>
        <v>6281332772930</v>
      </c>
      <c r="L32" s="20">
        <f>Sheet1!L32</f>
        <v>0</v>
      </c>
      <c r="M32" s="20">
        <f>Sheet1!M32</f>
        <v>500000</v>
      </c>
      <c r="N32" s="20">
        <f>Sheet1!N32</f>
        <v>0</v>
      </c>
      <c r="O32" s="20">
        <f>Sheet1!O32</f>
        <v>500000</v>
      </c>
      <c r="P32" s="19" t="str">
        <f>Sheet1!P32</f>
        <v/>
      </c>
      <c r="Q32" s="19" t="str">
        <f>Sheet1!Q32</f>
        <v/>
      </c>
      <c r="R32" s="19" t="str">
        <f>Sheet1!R32</f>
        <v/>
      </c>
      <c r="S32" s="19" t="str">
        <f>Sheet1!S32</f>
        <v>Belum Lunas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2"/>
      <c r="CC32" s="22"/>
      <c r="CD32" s="21"/>
      <c r="CE32" s="21"/>
      <c r="CF32" s="22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</row>
    <row r="33">
      <c r="A33" s="19">
        <f>Sheet1!A33</f>
        <v>32</v>
      </c>
      <c r="B33" s="19" t="str">
        <f>Sheet1!B33</f>
        <v>FARIKHA AULIA SALSABILLAH</v>
      </c>
      <c r="C33" s="19">
        <f>Sheet1!C33</f>
        <v>2024070074</v>
      </c>
      <c r="D33" s="19" t="str">
        <f>Sheet1!D33</f>
        <v>C</v>
      </c>
      <c r="E33" s="19" t="str">
        <f>Sheet1!E33</f>
        <v>C-4</v>
      </c>
      <c r="F33" s="19">
        <f>Sheet1!F33</f>
        <v>3</v>
      </c>
      <c r="G33" s="19" t="str">
        <f>Sheet1!G33</f>
        <v>3 WUSTHO B PUTRI</v>
      </c>
      <c r="H33" s="19" t="str">
        <f>Sheet1!H33</f>
        <v>MA-XII.3</v>
      </c>
      <c r="I33" s="19" t="str">
        <f>Sheet1!I33</f>
        <v>SUNARTI</v>
      </c>
      <c r="J33" s="19" t="str">
        <f>Sheet1!J33</f>
        <v>WEDENG SUKOREJO RT 001 RW 003 KARANGBINANGUN LAMONGAN</v>
      </c>
      <c r="K33" s="19" t="str">
        <f>Sheet1!K33</f>
        <v>6285645468404</v>
      </c>
      <c r="L33" s="20">
        <f>Sheet1!L33</f>
        <v>0</v>
      </c>
      <c r="M33" s="20">
        <f>Sheet1!M33</f>
        <v>500000</v>
      </c>
      <c r="N33" s="20">
        <f>Sheet1!N33</f>
        <v>0</v>
      </c>
      <c r="O33" s="20">
        <f>Sheet1!O33</f>
        <v>500000</v>
      </c>
      <c r="P33" s="19" t="str">
        <f>Sheet1!P33</f>
        <v/>
      </c>
      <c r="Q33" s="19" t="str">
        <f>Sheet1!Q33</f>
        <v/>
      </c>
      <c r="R33" s="19" t="str">
        <f>Sheet1!R33</f>
        <v/>
      </c>
      <c r="S33" s="19" t="str">
        <f>Sheet1!S33</f>
        <v>Belum Lunas</v>
      </c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2"/>
      <c r="CC33" s="22"/>
      <c r="CD33" s="21"/>
      <c r="CE33" s="21"/>
      <c r="CF33" s="22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</row>
    <row r="34">
      <c r="A34" s="19">
        <f>Sheet1!A34</f>
        <v>33</v>
      </c>
      <c r="B34" s="19" t="str">
        <f>Sheet1!B34</f>
        <v>FATIMAH AZ-ZAHRAH</v>
      </c>
      <c r="C34" s="19">
        <f>Sheet1!C34</f>
        <v>2024070507</v>
      </c>
      <c r="D34" s="19" t="str">
        <f>Sheet1!D34</f>
        <v>B</v>
      </c>
      <c r="E34" s="19" t="str">
        <f>Sheet1!E34</f>
        <v>B-9</v>
      </c>
      <c r="F34" s="19">
        <f>Sheet1!F34</f>
        <v>3</v>
      </c>
      <c r="G34" s="19" t="str">
        <f>Sheet1!G34</f>
        <v>3 ULA B PUTRI</v>
      </c>
      <c r="H34" s="19" t="str">
        <f>Sheet1!H34</f>
        <v>MTS-9 H</v>
      </c>
      <c r="I34" s="19" t="str">
        <f>Sheet1!I34</f>
        <v>SITI LUTHFIYAH</v>
      </c>
      <c r="J34" s="19" t="str">
        <f>Sheet1!J34</f>
        <v>SONGO SUKOSONGO RT 013 RW 006 KEMBANGBAHU LAMONGAN</v>
      </c>
      <c r="K34" s="19" t="str">
        <f>Sheet1!K34</f>
        <v>6285706056735</v>
      </c>
      <c r="L34" s="20">
        <f>Sheet1!L34</f>
        <v>0</v>
      </c>
      <c r="M34" s="20">
        <f>Sheet1!M34</f>
        <v>500000</v>
      </c>
      <c r="N34" s="20">
        <f>Sheet1!N34</f>
        <v>0</v>
      </c>
      <c r="O34" s="20">
        <f>Sheet1!O34</f>
        <v>500000</v>
      </c>
      <c r="P34" s="19" t="str">
        <f>Sheet1!P34</f>
        <v/>
      </c>
      <c r="Q34" s="19" t="str">
        <f>Sheet1!Q34</f>
        <v/>
      </c>
      <c r="R34" s="19" t="str">
        <f>Sheet1!R34</f>
        <v/>
      </c>
      <c r="S34" s="19" t="str">
        <f>Sheet1!S34</f>
        <v>Belum Lunas</v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2"/>
      <c r="CC34" s="22"/>
      <c r="CD34" s="21"/>
      <c r="CE34" s="21"/>
      <c r="CF34" s="22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</row>
    <row r="35">
      <c r="A35" s="19">
        <f>Sheet1!A35</f>
        <v>34</v>
      </c>
      <c r="B35" s="19" t="str">
        <f>Sheet1!B35</f>
        <v>GALANG SAPUTRA</v>
      </c>
      <c r="C35" s="19">
        <f>Sheet1!C35</f>
        <v>2024070730</v>
      </c>
      <c r="D35" s="19" t="str">
        <f>Sheet1!D35</f>
        <v>A</v>
      </c>
      <c r="E35" s="19" t="str">
        <f>Sheet1!E35</f>
        <v>A-8</v>
      </c>
      <c r="F35" s="19">
        <f>Sheet1!F35</f>
        <v>3</v>
      </c>
      <c r="G35" s="19" t="str">
        <f>Sheet1!G35</f>
        <v>3 ULA A PUTRA</v>
      </c>
      <c r="H35" s="19" t="str">
        <f>Sheet1!H35</f>
        <v>SMP-IX A</v>
      </c>
      <c r="I35" s="19" t="str">
        <f>Sheet1!I35</f>
        <v>SULIYATI</v>
      </c>
      <c r="J35" s="19" t="str">
        <f>Sheet1!J35</f>
        <v>DORO KARANGWEDORO RT 009 RW 003 TURI LAMONGAN</v>
      </c>
      <c r="K35" s="19" t="str">
        <f>Sheet1!K35</f>
        <v>6285756513128</v>
      </c>
      <c r="L35" s="20">
        <f>Sheet1!L35</f>
        <v>0</v>
      </c>
      <c r="M35" s="20">
        <f>Sheet1!M35</f>
        <v>500000</v>
      </c>
      <c r="N35" s="20">
        <f>Sheet1!N35</f>
        <v>0</v>
      </c>
      <c r="O35" s="20">
        <f>Sheet1!O35</f>
        <v>500000</v>
      </c>
      <c r="P35" s="19" t="str">
        <f>Sheet1!P35</f>
        <v/>
      </c>
      <c r="Q35" s="19" t="str">
        <f>Sheet1!Q35</f>
        <v/>
      </c>
      <c r="R35" s="19" t="str">
        <f>Sheet1!R35</f>
        <v/>
      </c>
      <c r="S35" s="19" t="str">
        <f>Sheet1!S35</f>
        <v>Belum Lunas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2"/>
      <c r="CC35" s="22"/>
      <c r="CD35" s="21"/>
      <c r="CE35" s="21"/>
      <c r="CF35" s="22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</row>
    <row r="36">
      <c r="A36" s="19">
        <f>Sheet1!A36</f>
        <v>35</v>
      </c>
      <c r="B36" s="19" t="str">
        <f>Sheet1!B36</f>
        <v>GHITA RAINA AZZAHRA PRIYANTO</v>
      </c>
      <c r="C36" s="19">
        <f>Sheet1!C36</f>
        <v>2024070636</v>
      </c>
      <c r="D36" s="19" t="str">
        <f>Sheet1!D36</f>
        <v>C</v>
      </c>
      <c r="E36" s="19" t="str">
        <f>Sheet1!E36</f>
        <v>C-12</v>
      </c>
      <c r="F36" s="19">
        <f>Sheet1!F36</f>
        <v>3</v>
      </c>
      <c r="G36" s="19" t="str">
        <f>Sheet1!G36</f>
        <v>3 ULA C PUTRI</v>
      </c>
      <c r="H36" s="19" t="str">
        <f>Sheet1!H36</f>
        <v>MTS-9 H</v>
      </c>
      <c r="I36" s="19" t="str">
        <f>Sheet1!I36</f>
        <v>ANIS ROHMAWATI</v>
      </c>
      <c r="J36" s="19" t="str">
        <f>Sheet1!J36</f>
        <v>TULUNG WANAR RT 004 RW 005 PUCUK LAMONGAN</v>
      </c>
      <c r="K36" s="19" t="str">
        <f>Sheet1!K36</f>
        <v>6281260170147</v>
      </c>
      <c r="L36" s="20">
        <f>Sheet1!L36</f>
        <v>0</v>
      </c>
      <c r="M36" s="20">
        <f>Sheet1!M36</f>
        <v>500000</v>
      </c>
      <c r="N36" s="20">
        <f>Sheet1!N36</f>
        <v>0</v>
      </c>
      <c r="O36" s="20">
        <f>Sheet1!O36</f>
        <v>500000</v>
      </c>
      <c r="P36" s="19" t="str">
        <f>Sheet1!P36</f>
        <v/>
      </c>
      <c r="Q36" s="19" t="str">
        <f>Sheet1!Q36</f>
        <v/>
      </c>
      <c r="R36" s="19" t="str">
        <f>Sheet1!R36</f>
        <v/>
      </c>
      <c r="S36" s="19" t="str">
        <f>Sheet1!S36</f>
        <v>Belum Lunas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2"/>
      <c r="CC36" s="22"/>
      <c r="CD36" s="21"/>
      <c r="CE36" s="21"/>
      <c r="CF36" s="22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</row>
    <row r="37">
      <c r="A37" s="19">
        <f>Sheet1!A37</f>
        <v>36</v>
      </c>
      <c r="B37" s="19" t="str">
        <f>Sheet1!B37</f>
        <v>HAMDAN ALIEF</v>
      </c>
      <c r="C37" s="19">
        <f>Sheet1!C37</f>
        <v>2024070663</v>
      </c>
      <c r="D37" s="19" t="str">
        <f>Sheet1!D37</f>
        <v>A</v>
      </c>
      <c r="E37" s="19" t="str">
        <f>Sheet1!E37</f>
        <v>A-7</v>
      </c>
      <c r="F37" s="19">
        <f>Sheet1!F37</f>
        <v>3</v>
      </c>
      <c r="G37" s="19" t="str">
        <f>Sheet1!G37</f>
        <v>3 ULA A PUTRA</v>
      </c>
      <c r="H37" s="19" t="str">
        <f>Sheet1!H37</f>
        <v>MTS-9 D</v>
      </c>
      <c r="I37" s="19" t="str">
        <f>Sheet1!I37</f>
        <v>NUR AMALAH</v>
      </c>
      <c r="J37" s="19" t="str">
        <f>Sheet1!J37</f>
        <v>SEMOLOWARU UTARA 1/31 RT 005 RW 001 SUKOLILO SURABAYA</v>
      </c>
      <c r="K37" s="19" t="str">
        <f>Sheet1!K37</f>
        <v>6281216694589</v>
      </c>
      <c r="L37" s="20">
        <f>Sheet1!L37</f>
        <v>0</v>
      </c>
      <c r="M37" s="20">
        <f>Sheet1!M37</f>
        <v>500000</v>
      </c>
      <c r="N37" s="20">
        <f>Sheet1!N37</f>
        <v>0</v>
      </c>
      <c r="O37" s="20">
        <f>Sheet1!O37</f>
        <v>500000</v>
      </c>
      <c r="P37" s="19" t="str">
        <f>Sheet1!P37</f>
        <v/>
      </c>
      <c r="Q37" s="19" t="str">
        <f>Sheet1!Q37</f>
        <v/>
      </c>
      <c r="R37" s="19" t="str">
        <f>Sheet1!R37</f>
        <v/>
      </c>
      <c r="S37" s="19" t="str">
        <f>Sheet1!S37</f>
        <v>Belum Lunas</v>
      </c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2"/>
      <c r="CC37" s="22"/>
      <c r="CD37" s="21"/>
      <c r="CE37" s="21"/>
      <c r="CF37" s="22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</row>
    <row r="38">
      <c r="A38" s="19">
        <f>Sheet1!A38</f>
        <v>37</v>
      </c>
      <c r="B38" s="19" t="str">
        <f>Sheet1!B38</f>
        <v>HILDA AFRILLIA SALSA FUNNY</v>
      </c>
      <c r="C38" s="19">
        <f>Sheet1!C38</f>
        <v>2024070609</v>
      </c>
      <c r="D38" s="19" t="str">
        <f>Sheet1!D38</f>
        <v>C</v>
      </c>
      <c r="E38" s="19" t="str">
        <f>Sheet1!E38</f>
        <v>C-12</v>
      </c>
      <c r="F38" s="19">
        <f>Sheet1!F38</f>
        <v>3</v>
      </c>
      <c r="G38" s="19" t="str">
        <f>Sheet1!G38</f>
        <v>3 ULA C PUTRI</v>
      </c>
      <c r="H38" s="19" t="str">
        <f>Sheet1!H38</f>
        <v>MTS-9 D</v>
      </c>
      <c r="I38" s="19" t="str">
        <f>Sheet1!I38</f>
        <v>SUNTIANAH</v>
      </c>
      <c r="J38" s="19" t="str">
        <f>Sheet1!J38</f>
        <v>KULURAN RT 004 RW 003 KALITENGAH LAMONGAN</v>
      </c>
      <c r="K38" s="19" t="str">
        <f>Sheet1!K38</f>
        <v>628570216013</v>
      </c>
      <c r="L38" s="20">
        <f>Sheet1!L38</f>
        <v>0</v>
      </c>
      <c r="M38" s="20">
        <f>Sheet1!M38</f>
        <v>500000</v>
      </c>
      <c r="N38" s="20">
        <f>Sheet1!N38</f>
        <v>0</v>
      </c>
      <c r="O38" s="20">
        <f>Sheet1!O38</f>
        <v>500000</v>
      </c>
      <c r="P38" s="19" t="str">
        <f>Sheet1!P38</f>
        <v/>
      </c>
      <c r="Q38" s="19" t="str">
        <f>Sheet1!Q38</f>
        <v/>
      </c>
      <c r="R38" s="19" t="str">
        <f>Sheet1!R38</f>
        <v/>
      </c>
      <c r="S38" s="19" t="str">
        <f>Sheet1!S38</f>
        <v>Belum Lunas</v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2"/>
      <c r="CC38" s="22"/>
      <c r="CD38" s="21"/>
      <c r="CE38" s="21"/>
      <c r="CF38" s="22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</row>
    <row r="39">
      <c r="A39" s="19">
        <f>Sheet1!A39</f>
        <v>38</v>
      </c>
      <c r="B39" s="19" t="str">
        <f>Sheet1!B39</f>
        <v>KEYSHA BRILLYAN FEBIANA</v>
      </c>
      <c r="C39" s="19">
        <f>Sheet1!C39</f>
        <v>2024070513</v>
      </c>
      <c r="D39" s="19" t="str">
        <f>Sheet1!D39</f>
        <v>E</v>
      </c>
      <c r="E39" s="19" t="str">
        <f>Sheet1!E39</f>
        <v>E-3</v>
      </c>
      <c r="F39" s="19">
        <f>Sheet1!F39</f>
        <v>3</v>
      </c>
      <c r="G39" s="19" t="str">
        <f>Sheet1!G39</f>
        <v>3 ULA C PUTRI</v>
      </c>
      <c r="H39" s="19" t="str">
        <f>Sheet1!H39</f>
        <v>MTS-9 G</v>
      </c>
      <c r="I39" s="19" t="str">
        <f>Sheet1!I39</f>
        <v>SISKA APRILIA</v>
      </c>
      <c r="J39" s="19" t="str">
        <f>Sheet1!J39</f>
        <v>PENGANGSALAN RT 001 RW 001 KALITENGAH LAMONGAN</v>
      </c>
      <c r="K39" s="19" t="str">
        <f>Sheet1!K39</f>
        <v>628564039966</v>
      </c>
      <c r="L39" s="20">
        <f>Sheet1!L39</f>
        <v>0</v>
      </c>
      <c r="M39" s="20">
        <f>Sheet1!M39</f>
        <v>500000</v>
      </c>
      <c r="N39" s="20">
        <f>Sheet1!N39</f>
        <v>0</v>
      </c>
      <c r="O39" s="20">
        <f>Sheet1!O39</f>
        <v>500000</v>
      </c>
      <c r="P39" s="19" t="str">
        <f>Sheet1!P39</f>
        <v/>
      </c>
      <c r="Q39" s="19" t="str">
        <f>Sheet1!Q39</f>
        <v/>
      </c>
      <c r="R39" s="19" t="str">
        <f>Sheet1!R39</f>
        <v/>
      </c>
      <c r="S39" s="19" t="str">
        <f>Sheet1!S39</f>
        <v>Belum Lunas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2"/>
      <c r="CC39" s="22"/>
      <c r="CD39" s="21"/>
      <c r="CE39" s="21"/>
      <c r="CF39" s="22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</row>
    <row r="40">
      <c r="A40" s="19">
        <f>Sheet1!A40</f>
        <v>39</v>
      </c>
      <c r="B40" s="19" t="str">
        <f>Sheet1!B40</f>
        <v>LALUNA NAYRA KAMILA</v>
      </c>
      <c r="C40" s="19">
        <f>Sheet1!C40</f>
        <v>2025070425</v>
      </c>
      <c r="D40" s="19" t="str">
        <f>Sheet1!D40</f>
        <v>D</v>
      </c>
      <c r="E40" s="19" t="str">
        <f>Sheet1!E40</f>
        <v>D-6</v>
      </c>
      <c r="F40" s="19">
        <f>Sheet1!F40</f>
        <v>3</v>
      </c>
      <c r="G40" s="19" t="str">
        <f>Sheet1!G40</f>
        <v>3 WUSTHO C PUTRI</v>
      </c>
      <c r="H40" s="19" t="str">
        <f>Sheet1!H40</f>
        <v>MA-XII.12</v>
      </c>
      <c r="I40" s="19" t="str">
        <f>Sheet1!I40</f>
        <v>ISTIADATUR RIZA</v>
      </c>
      <c r="J40" s="19" t="str">
        <f>Sheet1!J40</f>
        <v>NGILANG RT 002 RW 001 KALEN KEDUNGPRING LAMONGAN</v>
      </c>
      <c r="K40" s="19" t="str">
        <f>Sheet1!K40</f>
        <v>6281331012600</v>
      </c>
      <c r="L40" s="20">
        <f>Sheet1!L40</f>
        <v>0</v>
      </c>
      <c r="M40" s="20">
        <f>Sheet1!M40</f>
        <v>500000</v>
      </c>
      <c r="N40" s="20">
        <f>Sheet1!N40</f>
        <v>0</v>
      </c>
      <c r="O40" s="20">
        <f>Sheet1!O40</f>
        <v>500000</v>
      </c>
      <c r="P40" s="19" t="str">
        <f>Sheet1!P40</f>
        <v/>
      </c>
      <c r="Q40" s="19" t="str">
        <f>Sheet1!Q40</f>
        <v/>
      </c>
      <c r="R40" s="19" t="str">
        <f>Sheet1!R40</f>
        <v/>
      </c>
      <c r="S40" s="19" t="str">
        <f>Sheet1!S40</f>
        <v>Belum Lunas</v>
      </c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2"/>
      <c r="CC40" s="22"/>
      <c r="CD40" s="21"/>
      <c r="CE40" s="21"/>
      <c r="CF40" s="22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</row>
    <row r="41">
      <c r="A41" s="19">
        <f>Sheet1!A41</f>
        <v>40</v>
      </c>
      <c r="B41" s="19" t="str">
        <f>Sheet1!B41</f>
        <v>M. SYAHRUL BAHRI ALSYAFIK</v>
      </c>
      <c r="C41" s="19">
        <f>Sheet1!C41</f>
        <v>2024070628</v>
      </c>
      <c r="D41" s="19" t="str">
        <f>Sheet1!D41</f>
        <v>A</v>
      </c>
      <c r="E41" s="19" t="str">
        <f>Sheet1!E41</f>
        <v>A-8</v>
      </c>
      <c r="F41" s="19">
        <f>Sheet1!F41</f>
        <v>3</v>
      </c>
      <c r="G41" s="19" t="str">
        <f>Sheet1!G41</f>
        <v>3 ULA B PUTRA</v>
      </c>
      <c r="H41" s="19" t="str">
        <f>Sheet1!H41</f>
        <v>MTS-9 E</v>
      </c>
      <c r="I41" s="19" t="str">
        <f>Sheet1!I41</f>
        <v>ETIK NUR KUMALA</v>
      </c>
      <c r="J41" s="19" t="str">
        <f>Sheet1!J41</f>
        <v>PENDOWO LIMO RT 001 RW 003 KARANGBINANGUN LAMONGAN</v>
      </c>
      <c r="K41" s="19" t="str">
        <f>Sheet1!K41</f>
        <v>6285704248674</v>
      </c>
      <c r="L41" s="20">
        <f>Sheet1!L41</f>
        <v>0</v>
      </c>
      <c r="M41" s="20">
        <f>Sheet1!M41</f>
        <v>500000</v>
      </c>
      <c r="N41" s="20">
        <f>Sheet1!N41</f>
        <v>0</v>
      </c>
      <c r="O41" s="20">
        <f>Sheet1!O41</f>
        <v>500000</v>
      </c>
      <c r="P41" s="19" t="str">
        <f>Sheet1!P41</f>
        <v/>
      </c>
      <c r="Q41" s="19" t="str">
        <f>Sheet1!Q41</f>
        <v/>
      </c>
      <c r="R41" s="19" t="str">
        <f>Sheet1!R41</f>
        <v/>
      </c>
      <c r="S41" s="19" t="str">
        <f>Sheet1!S41</f>
        <v>Belum Lunas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2"/>
      <c r="CC41" s="22"/>
      <c r="CD41" s="21"/>
      <c r="CE41" s="21"/>
      <c r="CF41" s="22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</row>
    <row r="42">
      <c r="A42" s="19">
        <f>Sheet1!A42</f>
        <v>41</v>
      </c>
      <c r="B42" s="19" t="str">
        <f>Sheet1!B42</f>
        <v>MALICHAH KAMILA ARIANI</v>
      </c>
      <c r="C42" s="19">
        <f>Sheet1!C42</f>
        <v>2024070331</v>
      </c>
      <c r="D42" s="19" t="str">
        <f>Sheet1!D42</f>
        <v>C</v>
      </c>
      <c r="E42" s="19" t="str">
        <f>Sheet1!E42</f>
        <v>C-9</v>
      </c>
      <c r="F42" s="19">
        <f>Sheet1!F42</f>
        <v>3</v>
      </c>
      <c r="G42" s="19" t="str">
        <f>Sheet1!G42</f>
        <v/>
      </c>
      <c r="H42" s="19" t="str">
        <f>Sheet1!H42</f>
        <v>MA-XII.10</v>
      </c>
      <c r="I42" s="19" t="str">
        <f>Sheet1!I42</f>
        <v>MACHMUDATUN NI`MAH</v>
      </c>
      <c r="J42" s="19" t="str">
        <f>Sheet1!J42</f>
        <v>WONOKERTO RT 002 RW 001 DUKUN GRESIK</v>
      </c>
      <c r="K42" s="19" t="str">
        <f>Sheet1!K42</f>
        <v>6285859618682</v>
      </c>
      <c r="L42" s="20">
        <f>Sheet1!L42</f>
        <v>0</v>
      </c>
      <c r="M42" s="20">
        <f>Sheet1!M42</f>
        <v>500000</v>
      </c>
      <c r="N42" s="20">
        <f>Sheet1!N42</f>
        <v>0</v>
      </c>
      <c r="O42" s="20">
        <f>Sheet1!O42</f>
        <v>500000</v>
      </c>
      <c r="P42" s="19" t="str">
        <f>Sheet1!P42</f>
        <v/>
      </c>
      <c r="Q42" s="19" t="str">
        <f>Sheet1!Q42</f>
        <v/>
      </c>
      <c r="R42" s="19" t="str">
        <f>Sheet1!R42</f>
        <v/>
      </c>
      <c r="S42" s="19" t="str">
        <f>Sheet1!S42</f>
        <v>Belum Lunas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2"/>
      <c r="CC42" s="22"/>
      <c r="CD42" s="21"/>
      <c r="CE42" s="21"/>
      <c r="CF42" s="22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</row>
    <row r="43">
      <c r="A43" s="19">
        <f>Sheet1!A43</f>
        <v>42</v>
      </c>
      <c r="B43" s="19" t="str">
        <f>Sheet1!B43</f>
        <v>MUHAMMAD ALFIN JAMIL</v>
      </c>
      <c r="C43" s="19">
        <f>Sheet1!C43</f>
        <v>2024070503</v>
      </c>
      <c r="D43" s="19" t="str">
        <f>Sheet1!D43</f>
        <v>A</v>
      </c>
      <c r="E43" s="19" t="str">
        <f>Sheet1!E43</f>
        <v>A-7</v>
      </c>
      <c r="F43" s="19">
        <f>Sheet1!F43</f>
        <v>3</v>
      </c>
      <c r="G43" s="19" t="str">
        <f>Sheet1!G43</f>
        <v>3 ULA A PUTRA</v>
      </c>
      <c r="H43" s="19" t="str">
        <f>Sheet1!H43</f>
        <v>MTS-9 C</v>
      </c>
      <c r="I43" s="19" t="str">
        <f>Sheet1!I43</f>
        <v>DAROAINI</v>
      </c>
      <c r="J43" s="19" t="str">
        <f>Sheet1!J43</f>
        <v>PRINGGOBOYO RT 009 RW 001 MADURAN LAMONGAN</v>
      </c>
      <c r="K43" s="19" t="str">
        <f>Sheet1!K43</f>
        <v>6281230455748</v>
      </c>
      <c r="L43" s="20">
        <f>Sheet1!L43</f>
        <v>0</v>
      </c>
      <c r="M43" s="20">
        <f>Sheet1!M43</f>
        <v>500000</v>
      </c>
      <c r="N43" s="20">
        <f>Sheet1!N43</f>
        <v>0</v>
      </c>
      <c r="O43" s="20">
        <f>Sheet1!O43</f>
        <v>500000</v>
      </c>
      <c r="P43" s="19" t="str">
        <f>Sheet1!P43</f>
        <v/>
      </c>
      <c r="Q43" s="19" t="str">
        <f>Sheet1!Q43</f>
        <v/>
      </c>
      <c r="R43" s="19" t="str">
        <f>Sheet1!R43</f>
        <v/>
      </c>
      <c r="S43" s="19" t="str">
        <f>Sheet1!S43</f>
        <v>Belum Lunas</v>
      </c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2"/>
      <c r="CC43" s="22"/>
      <c r="CD43" s="21"/>
      <c r="CE43" s="21"/>
      <c r="CF43" s="22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</row>
    <row r="44">
      <c r="A44" s="19">
        <f>Sheet1!A44</f>
        <v>43</v>
      </c>
      <c r="B44" s="19" t="str">
        <f>Sheet1!B44</f>
        <v>MUHAMMAD FADLY HANANIA RABBANI</v>
      </c>
      <c r="C44" s="19">
        <f>Sheet1!C44</f>
        <v>2024070457</v>
      </c>
      <c r="D44" s="19" t="str">
        <f>Sheet1!D44</f>
        <v>A</v>
      </c>
      <c r="E44" s="19" t="str">
        <f>Sheet1!E44</f>
        <v>A-8</v>
      </c>
      <c r="F44" s="19">
        <f>Sheet1!F44</f>
        <v>3</v>
      </c>
      <c r="G44" s="19" t="str">
        <f>Sheet1!G44</f>
        <v>3 ULA A PUTRA</v>
      </c>
      <c r="H44" s="19" t="str">
        <f>Sheet1!H44</f>
        <v>MTS-9 B</v>
      </c>
      <c r="I44" s="19" t="str">
        <f>Sheet1!I44</f>
        <v>FITRI JULIANA</v>
      </c>
      <c r="J44" s="19" t="str">
        <f>Sheet1!J44</f>
        <v>PERUM GRAND GRESIK HARMONI BLOK B-6/9 KEMBANGAN RT 001 RW 003 KEBOMAS GRESIK</v>
      </c>
      <c r="K44" s="19" t="str">
        <f>Sheet1!K44</f>
        <v>6289533798465</v>
      </c>
      <c r="L44" s="20">
        <f>Sheet1!L44</f>
        <v>0</v>
      </c>
      <c r="M44" s="20">
        <f>Sheet1!M44</f>
        <v>500000</v>
      </c>
      <c r="N44" s="20">
        <f>Sheet1!N44</f>
        <v>0</v>
      </c>
      <c r="O44" s="20">
        <f>Sheet1!O44</f>
        <v>500000</v>
      </c>
      <c r="P44" s="19" t="str">
        <f>Sheet1!P44</f>
        <v/>
      </c>
      <c r="Q44" s="19" t="str">
        <f>Sheet1!Q44</f>
        <v/>
      </c>
      <c r="R44" s="19" t="str">
        <f>Sheet1!R44</f>
        <v/>
      </c>
      <c r="S44" s="19" t="str">
        <f>Sheet1!S44</f>
        <v>Belum Lunas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2"/>
      <c r="CC44" s="22"/>
      <c r="CD44" s="21"/>
      <c r="CE44" s="21"/>
      <c r="CF44" s="22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</row>
    <row r="45">
      <c r="A45" s="19">
        <f>Sheet1!A45</f>
        <v>44</v>
      </c>
      <c r="B45" s="19" t="str">
        <f>Sheet1!B45</f>
        <v>MUHAMMAD HANIF AFIYAN</v>
      </c>
      <c r="C45" s="19">
        <f>Sheet1!C45</f>
        <v>2024070486</v>
      </c>
      <c r="D45" s="19" t="str">
        <f>Sheet1!D45</f>
        <v>A</v>
      </c>
      <c r="E45" s="19" t="str">
        <f>Sheet1!E45</f>
        <v>A-7</v>
      </c>
      <c r="F45" s="19">
        <f>Sheet1!F45</f>
        <v>3</v>
      </c>
      <c r="G45" s="19" t="str">
        <f>Sheet1!G45</f>
        <v>3 ULA A PUTRA</v>
      </c>
      <c r="H45" s="19" t="str">
        <f>Sheet1!H45</f>
        <v>MTS-9 C</v>
      </c>
      <c r="I45" s="19" t="str">
        <f>Sheet1!I45</f>
        <v>FARIDATUZ ZUHRIYAH</v>
      </c>
      <c r="J45" s="19" t="str">
        <f>Sheet1!J45</f>
        <v>RINGIN TLOGOREJO RT 002 RW 002 SUKODADI LAMONGAN</v>
      </c>
      <c r="K45" s="19" t="str">
        <f>Sheet1!K45</f>
        <v>6285748905402</v>
      </c>
      <c r="L45" s="20">
        <f>Sheet1!L45</f>
        <v>0</v>
      </c>
      <c r="M45" s="20">
        <f>Sheet1!M45</f>
        <v>500000</v>
      </c>
      <c r="N45" s="20">
        <f>Sheet1!N45</f>
        <v>0</v>
      </c>
      <c r="O45" s="20">
        <f>Sheet1!O45</f>
        <v>500000</v>
      </c>
      <c r="P45" s="19" t="str">
        <f>Sheet1!P45</f>
        <v/>
      </c>
      <c r="Q45" s="19" t="str">
        <f>Sheet1!Q45</f>
        <v/>
      </c>
      <c r="R45" s="19" t="str">
        <f>Sheet1!R45</f>
        <v/>
      </c>
      <c r="S45" s="19" t="str">
        <f>Sheet1!S45</f>
        <v>Belum Lunas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2"/>
      <c r="CC45" s="22"/>
      <c r="CD45" s="21"/>
      <c r="CE45" s="21"/>
      <c r="CF45" s="22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</row>
    <row r="46">
      <c r="A46" s="19">
        <f>Sheet1!A46</f>
        <v>45</v>
      </c>
      <c r="B46" s="19" t="str">
        <f>Sheet1!B46</f>
        <v>MUHAMMAD RISKI MISHBAHUL MUNIR</v>
      </c>
      <c r="C46" s="19">
        <f>Sheet1!C46</f>
        <v>2024070535</v>
      </c>
      <c r="D46" s="19" t="str">
        <f>Sheet1!D46</f>
        <v>A</v>
      </c>
      <c r="E46" s="19" t="str">
        <f>Sheet1!E46</f>
        <v>A-8</v>
      </c>
      <c r="F46" s="19">
        <f>Sheet1!F46</f>
        <v>3</v>
      </c>
      <c r="G46" s="19" t="str">
        <f>Sheet1!G46</f>
        <v>3 ULA B PUTRA</v>
      </c>
      <c r="H46" s="19" t="str">
        <f>Sheet1!H46</f>
        <v>MTS-9 E</v>
      </c>
      <c r="I46" s="19" t="str">
        <f>Sheet1!I46</f>
        <v>KASIYATUN</v>
      </c>
      <c r="J46" s="19" t="str">
        <f>Sheet1!J46</f>
        <v>NGUJUNG NGUJUNGREJO RT 005 RW 002 TURI LAMONGAN</v>
      </c>
      <c r="K46" s="19" t="str">
        <f>Sheet1!K46</f>
        <v>6285648380596</v>
      </c>
      <c r="L46" s="20">
        <f>Sheet1!L46</f>
        <v>0</v>
      </c>
      <c r="M46" s="20">
        <f>Sheet1!M46</f>
        <v>500000</v>
      </c>
      <c r="N46" s="20">
        <f>Sheet1!N46</f>
        <v>0</v>
      </c>
      <c r="O46" s="20">
        <f>Sheet1!O46</f>
        <v>500000</v>
      </c>
      <c r="P46" s="19" t="str">
        <f>Sheet1!P46</f>
        <v/>
      </c>
      <c r="Q46" s="19" t="str">
        <f>Sheet1!Q46</f>
        <v/>
      </c>
      <c r="R46" s="19" t="str">
        <f>Sheet1!R46</f>
        <v/>
      </c>
      <c r="S46" s="19" t="str">
        <f>Sheet1!S46</f>
        <v>Belum Lunas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2"/>
      <c r="CC46" s="22"/>
      <c r="CD46" s="21"/>
      <c r="CE46" s="21"/>
      <c r="CF46" s="22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</row>
    <row r="47">
      <c r="A47" s="19">
        <f>Sheet1!A47</f>
        <v>46</v>
      </c>
      <c r="B47" s="19" t="str">
        <f>Sheet1!B47</f>
        <v>NADIYATAN NAQI`</v>
      </c>
      <c r="C47" s="19">
        <f>Sheet1!C47</f>
        <v>2024070017</v>
      </c>
      <c r="D47" s="19" t="str">
        <f>Sheet1!D47</f>
        <v>C</v>
      </c>
      <c r="E47" s="19" t="str">
        <f>Sheet1!E47</f>
        <v>C-2</v>
      </c>
      <c r="F47" s="19">
        <f>Sheet1!F47</f>
        <v>3</v>
      </c>
      <c r="G47" s="19" t="str">
        <f>Sheet1!G47</f>
        <v/>
      </c>
      <c r="H47" s="19" t="str">
        <f>Sheet1!H47</f>
        <v>MA-XII.1</v>
      </c>
      <c r="I47" s="19" t="str">
        <f>Sheet1!I47</f>
        <v>YAYUK WAHIBAH</v>
      </c>
      <c r="J47" s="19" t="str">
        <f>Sheet1!J47</f>
        <v>JL. KH. WAHID HASYIM 12 KULURAN RT 001 RW 001 KALITENGAH LAMONGAN</v>
      </c>
      <c r="K47" s="19" t="str">
        <f>Sheet1!K47</f>
        <v>6281331944544</v>
      </c>
      <c r="L47" s="20">
        <f>Sheet1!L47</f>
        <v>0</v>
      </c>
      <c r="M47" s="20">
        <f>Sheet1!M47</f>
        <v>500000</v>
      </c>
      <c r="N47" s="20">
        <f>Sheet1!N47</f>
        <v>0</v>
      </c>
      <c r="O47" s="20">
        <f>Sheet1!O47</f>
        <v>500000</v>
      </c>
      <c r="P47" s="19" t="str">
        <f>Sheet1!P47</f>
        <v/>
      </c>
      <c r="Q47" s="19" t="str">
        <f>Sheet1!Q47</f>
        <v/>
      </c>
      <c r="R47" s="19" t="str">
        <f>Sheet1!R47</f>
        <v/>
      </c>
      <c r="S47" s="19" t="str">
        <f>Sheet1!S47</f>
        <v>Belum Lunas</v>
      </c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2"/>
      <c r="CC47" s="22"/>
      <c r="CD47" s="21"/>
      <c r="CE47" s="21"/>
      <c r="CF47" s="22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</row>
    <row r="48">
      <c r="A48" s="19">
        <f>Sheet1!A48</f>
        <v>47</v>
      </c>
      <c r="B48" s="19" t="str">
        <f>Sheet1!B48</f>
        <v>NAILA MALIHA PUTRI</v>
      </c>
      <c r="C48" s="19">
        <f>Sheet1!C48</f>
        <v>2024070161</v>
      </c>
      <c r="D48" s="19" t="str">
        <f>Sheet1!D48</f>
        <v>B</v>
      </c>
      <c r="E48" s="19" t="str">
        <f>Sheet1!E48</f>
        <v>B-5</v>
      </c>
      <c r="F48" s="19">
        <f>Sheet1!F48</f>
        <v>3</v>
      </c>
      <c r="G48" s="19" t="str">
        <f>Sheet1!G48</f>
        <v>3 WUSTHO C PUTRI</v>
      </c>
      <c r="H48" s="19" t="str">
        <f>Sheet1!H48</f>
        <v>MA-XII.7</v>
      </c>
      <c r="I48" s="19" t="str">
        <f>Sheet1!I48</f>
        <v>KHOMSATUN</v>
      </c>
      <c r="J48" s="19" t="str">
        <f>Sheet1!J48</f>
        <v>TENGGULUN RT 006 RW 003 SOLOKURO LAMONGAN</v>
      </c>
      <c r="K48" s="19" t="str">
        <f>Sheet1!K48</f>
        <v>6285804308769</v>
      </c>
      <c r="L48" s="20">
        <f>Sheet1!L48</f>
        <v>0</v>
      </c>
      <c r="M48" s="20">
        <f>Sheet1!M48</f>
        <v>500000</v>
      </c>
      <c r="N48" s="20">
        <f>Sheet1!N48</f>
        <v>0</v>
      </c>
      <c r="O48" s="20">
        <f>Sheet1!O48</f>
        <v>500000</v>
      </c>
      <c r="P48" s="19" t="str">
        <f>Sheet1!P48</f>
        <v/>
      </c>
      <c r="Q48" s="19" t="str">
        <f>Sheet1!Q48</f>
        <v/>
      </c>
      <c r="R48" s="19" t="str">
        <f>Sheet1!R48</f>
        <v/>
      </c>
      <c r="S48" s="19" t="str">
        <f>Sheet1!S48</f>
        <v>Belum Lunas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2"/>
      <c r="CC48" s="22"/>
      <c r="CD48" s="21"/>
      <c r="CE48" s="21"/>
      <c r="CF48" s="22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</row>
    <row r="49">
      <c r="A49" s="19">
        <f>Sheet1!A49</f>
        <v>48</v>
      </c>
      <c r="B49" s="19" t="str">
        <f>Sheet1!B49</f>
        <v>NAILATUN NUR LAILATUL QUDSIYAH</v>
      </c>
      <c r="C49" s="19">
        <f>Sheet1!C49</f>
        <v>2024070726</v>
      </c>
      <c r="D49" s="19" t="str">
        <f>Sheet1!D49</f>
        <v>B</v>
      </c>
      <c r="E49" s="19" t="str">
        <f>Sheet1!E49</f>
        <v>B-10</v>
      </c>
      <c r="F49" s="19">
        <f>Sheet1!F49</f>
        <v>3</v>
      </c>
      <c r="G49" s="19" t="str">
        <f>Sheet1!G49</f>
        <v>3 ULA A PUTRI</v>
      </c>
      <c r="H49" s="19" t="str">
        <f>Sheet1!H49</f>
        <v>SMP-IX B</v>
      </c>
      <c r="I49" s="19" t="str">
        <f>Sheet1!I49</f>
        <v>HARTATIK</v>
      </c>
      <c r="J49" s="19" t="str">
        <f>Sheet1!J49</f>
        <v>WONOSARI SEKARBAGUS RT 003 RW 001 SUGIO LAMONGAN</v>
      </c>
      <c r="K49" s="19" t="str">
        <f>Sheet1!K49</f>
        <v>6285785360969</v>
      </c>
      <c r="L49" s="20">
        <f>Sheet1!L49</f>
        <v>0</v>
      </c>
      <c r="M49" s="20">
        <f>Sheet1!M49</f>
        <v>500000</v>
      </c>
      <c r="N49" s="20">
        <f>Sheet1!N49</f>
        <v>0</v>
      </c>
      <c r="O49" s="20">
        <f>Sheet1!O49</f>
        <v>500000</v>
      </c>
      <c r="P49" s="19" t="str">
        <f>Sheet1!P49</f>
        <v/>
      </c>
      <c r="Q49" s="19" t="str">
        <f>Sheet1!Q49</f>
        <v/>
      </c>
      <c r="R49" s="19" t="str">
        <f>Sheet1!R49</f>
        <v/>
      </c>
      <c r="S49" s="19" t="str">
        <f>Sheet1!S49</f>
        <v>Belum Lunas</v>
      </c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2"/>
      <c r="CC49" s="22"/>
      <c r="CD49" s="21"/>
      <c r="CE49" s="21"/>
      <c r="CF49" s="22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</row>
    <row r="50">
      <c r="A50" s="19">
        <f>Sheet1!A50</f>
        <v>49</v>
      </c>
      <c r="B50" s="19" t="str">
        <f>Sheet1!B50</f>
        <v>NIKMAH PUTRI ISMAWATI</v>
      </c>
      <c r="C50" s="19">
        <f>Sheet1!C50</f>
        <v>2024070432</v>
      </c>
      <c r="D50" s="19" t="str">
        <f>Sheet1!D50</f>
        <v>D</v>
      </c>
      <c r="E50" s="19" t="str">
        <f>Sheet1!E50</f>
        <v>D-6</v>
      </c>
      <c r="F50" s="19">
        <f>Sheet1!F50</f>
        <v>3</v>
      </c>
      <c r="G50" s="19" t="str">
        <f>Sheet1!G50</f>
        <v>3 MAK PUTRI</v>
      </c>
      <c r="H50" s="19" t="str">
        <f>Sheet1!H50</f>
        <v>MA-XII.13</v>
      </c>
      <c r="I50" s="19" t="str">
        <f>Sheet1!I50</f>
        <v>RUKIYATI</v>
      </c>
      <c r="J50" s="19" t="str">
        <f>Sheet1!J50</f>
        <v>TAMAN TAMANPRIJEG RT 003 RW 001 LAREN LAMONGAN</v>
      </c>
      <c r="K50" s="19" t="str">
        <f>Sheet1!K50</f>
        <v>6281455138598</v>
      </c>
      <c r="L50" s="20">
        <f>Sheet1!L50</f>
        <v>0</v>
      </c>
      <c r="M50" s="20">
        <f>Sheet1!M50</f>
        <v>500000</v>
      </c>
      <c r="N50" s="20">
        <f>Sheet1!N50</f>
        <v>0</v>
      </c>
      <c r="O50" s="20">
        <f>Sheet1!O50</f>
        <v>500000</v>
      </c>
      <c r="P50" s="19" t="str">
        <f>Sheet1!P50</f>
        <v/>
      </c>
      <c r="Q50" s="19" t="str">
        <f>Sheet1!Q50</f>
        <v/>
      </c>
      <c r="R50" s="19" t="str">
        <f>Sheet1!R50</f>
        <v/>
      </c>
      <c r="S50" s="19" t="str">
        <f>Sheet1!S50</f>
        <v>Belum Lunas</v>
      </c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2"/>
      <c r="CC50" s="22"/>
      <c r="CD50" s="21"/>
      <c r="CE50" s="21"/>
      <c r="CF50" s="22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</row>
    <row r="51">
      <c r="A51" s="19">
        <f>Sheet1!A51</f>
        <v>50</v>
      </c>
      <c r="B51" s="19" t="str">
        <f>Sheet1!B51</f>
        <v>NINDY AULIA PUTRI</v>
      </c>
      <c r="C51" s="19">
        <f>Sheet1!C51</f>
        <v>2024070434</v>
      </c>
      <c r="D51" s="19" t="str">
        <f>Sheet1!D51</f>
        <v>C</v>
      </c>
      <c r="E51" s="19" t="str">
        <f>Sheet1!E51</f>
        <v>C-7</v>
      </c>
      <c r="F51" s="19">
        <f>Sheet1!F51</f>
        <v>3</v>
      </c>
      <c r="G51" s="19" t="str">
        <f>Sheet1!G51</f>
        <v>3 MAK PUTRI</v>
      </c>
      <c r="H51" s="19" t="str">
        <f>Sheet1!H51</f>
        <v>MA-XII.13</v>
      </c>
      <c r="I51" s="19" t="str">
        <f>Sheet1!I51</f>
        <v>SRI ANITA</v>
      </c>
      <c r="J51" s="19" t="str">
        <f>Sheet1!J51</f>
        <v>MOROGO PUTATKUMPUL RT 003 RW 005 TURI LAMONGAN</v>
      </c>
      <c r="K51" s="19" t="str">
        <f>Sheet1!K51</f>
        <v>6285732999616</v>
      </c>
      <c r="L51" s="20">
        <f>Sheet1!L51</f>
        <v>0</v>
      </c>
      <c r="M51" s="20">
        <f>Sheet1!M51</f>
        <v>500000</v>
      </c>
      <c r="N51" s="20">
        <f>Sheet1!N51</f>
        <v>0</v>
      </c>
      <c r="O51" s="20">
        <f>Sheet1!O51</f>
        <v>500000</v>
      </c>
      <c r="P51" s="19" t="str">
        <f>Sheet1!P51</f>
        <v/>
      </c>
      <c r="Q51" s="19" t="str">
        <f>Sheet1!Q51</f>
        <v/>
      </c>
      <c r="R51" s="19" t="str">
        <f>Sheet1!R51</f>
        <v/>
      </c>
      <c r="S51" s="19" t="str">
        <f>Sheet1!S51</f>
        <v>Belum Lunas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2"/>
      <c r="CC51" s="22"/>
      <c r="CD51" s="21"/>
      <c r="CE51" s="21"/>
      <c r="CF51" s="22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</row>
    <row r="52">
      <c r="A52" s="19">
        <f>Sheet1!A52</f>
        <v>51</v>
      </c>
      <c r="B52" s="19" t="str">
        <f>Sheet1!B52</f>
        <v>NUR AWWALIN AFIDATUSSOFA</v>
      </c>
      <c r="C52" s="19">
        <f>Sheet1!C52</f>
        <v>2024070518</v>
      </c>
      <c r="D52" s="19" t="str">
        <f>Sheet1!D52</f>
        <v>E</v>
      </c>
      <c r="E52" s="19" t="str">
        <f>Sheet1!E52</f>
        <v>E-2</v>
      </c>
      <c r="F52" s="19">
        <f>Sheet1!F52</f>
        <v>3</v>
      </c>
      <c r="G52" s="19" t="str">
        <f>Sheet1!G52</f>
        <v>3 ULA B PUTRI</v>
      </c>
      <c r="H52" s="19" t="str">
        <f>Sheet1!H52</f>
        <v>MTS-9 B</v>
      </c>
      <c r="I52" s="19" t="str">
        <f>Sheet1!I52</f>
        <v>MUALIYAH</v>
      </c>
      <c r="J52" s="19" t="str">
        <f>Sheet1!J52</f>
        <v>SUNAN AMPEL LATUKAN RT 003 RW 001 KARANGGENENG LAMONGAN</v>
      </c>
      <c r="K52" s="19" t="str">
        <f>Sheet1!K52</f>
        <v>6285746646918</v>
      </c>
      <c r="L52" s="20">
        <f>Sheet1!L52</f>
        <v>0</v>
      </c>
      <c r="M52" s="20">
        <f>Sheet1!M52</f>
        <v>500000</v>
      </c>
      <c r="N52" s="20">
        <f>Sheet1!N52</f>
        <v>0</v>
      </c>
      <c r="O52" s="20">
        <f>Sheet1!O52</f>
        <v>500000</v>
      </c>
      <c r="P52" s="19" t="str">
        <f>Sheet1!P52</f>
        <v/>
      </c>
      <c r="Q52" s="19" t="str">
        <f>Sheet1!Q52</f>
        <v/>
      </c>
      <c r="R52" s="19" t="str">
        <f>Sheet1!R52</f>
        <v/>
      </c>
      <c r="S52" s="19" t="str">
        <f>Sheet1!S52</f>
        <v>Belum Lunas</v>
      </c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2"/>
      <c r="CC52" s="22"/>
      <c r="CD52" s="21"/>
      <c r="CE52" s="21"/>
      <c r="CF52" s="22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</row>
    <row r="53">
      <c r="A53" s="19">
        <f>Sheet1!A53</f>
        <v>52</v>
      </c>
      <c r="B53" s="19" t="str">
        <f>Sheet1!B53</f>
        <v>NUR IZZAH SYAFIRAH</v>
      </c>
      <c r="C53" s="19">
        <f>Sheet1!C53</f>
        <v>2024070234</v>
      </c>
      <c r="D53" s="19" t="str">
        <f>Sheet1!D53</f>
        <v>C</v>
      </c>
      <c r="E53" s="19" t="str">
        <f>Sheet1!E53</f>
        <v>C-9</v>
      </c>
      <c r="F53" s="19">
        <f>Sheet1!F53</f>
        <v>3</v>
      </c>
      <c r="G53" s="19" t="str">
        <f>Sheet1!G53</f>
        <v>3 WUSTHO B PUTRI</v>
      </c>
      <c r="H53" s="19" t="str">
        <f>Sheet1!H53</f>
        <v>MA-XII.6</v>
      </c>
      <c r="I53" s="19" t="str">
        <f>Sheet1!I53</f>
        <v>UMU SAADAH</v>
      </c>
      <c r="J53" s="19" t="str">
        <f>Sheet1!J53</f>
        <v>KARANGCANGKRING RT 1 RW 1 DUKUN GRESIK</v>
      </c>
      <c r="K53" s="19" t="str">
        <f>Sheet1!K53</f>
        <v>6288235840830</v>
      </c>
      <c r="L53" s="20">
        <f>Sheet1!L53</f>
        <v>0</v>
      </c>
      <c r="M53" s="20">
        <f>Sheet1!M53</f>
        <v>500000</v>
      </c>
      <c r="N53" s="20">
        <f>Sheet1!N53</f>
        <v>0</v>
      </c>
      <c r="O53" s="20">
        <f>Sheet1!O53</f>
        <v>500000</v>
      </c>
      <c r="P53" s="19" t="str">
        <f>Sheet1!P53</f>
        <v/>
      </c>
      <c r="Q53" s="19" t="str">
        <f>Sheet1!Q53</f>
        <v/>
      </c>
      <c r="R53" s="19" t="str">
        <f>Sheet1!R53</f>
        <v/>
      </c>
      <c r="S53" s="19" t="str">
        <f>Sheet1!S53</f>
        <v>Belum Lunas</v>
      </c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2"/>
      <c r="CC53" s="22"/>
      <c r="CD53" s="21"/>
      <c r="CE53" s="21"/>
      <c r="CF53" s="22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</row>
    <row r="54">
      <c r="A54" s="19">
        <f>Sheet1!A54</f>
        <v>53</v>
      </c>
      <c r="B54" s="19" t="str">
        <f>Sheet1!B54</f>
        <v>NUR MA`RIFAH</v>
      </c>
      <c r="C54" s="19">
        <f>Sheet1!C54</f>
        <v>2024070578</v>
      </c>
      <c r="D54" s="19" t="str">
        <f>Sheet1!D54</f>
        <v>B</v>
      </c>
      <c r="E54" s="19" t="str">
        <f>Sheet1!E54</f>
        <v>B-9</v>
      </c>
      <c r="F54" s="19">
        <f>Sheet1!F54</f>
        <v>3</v>
      </c>
      <c r="G54" s="19" t="str">
        <f>Sheet1!G54</f>
        <v>3 ULA B PUTRI</v>
      </c>
      <c r="H54" s="19" t="str">
        <f>Sheet1!H54</f>
        <v>MTS-9 G</v>
      </c>
      <c r="I54" s="19" t="str">
        <f>Sheet1!I54</f>
        <v>SUMA`IDAH</v>
      </c>
      <c r="J54" s="19" t="str">
        <f>Sheet1!J54</f>
        <v>BANJARAN TURI RT 006 RW 002 MADURAN LAMONGAN</v>
      </c>
      <c r="K54" s="19" t="str">
        <f>Sheet1!K54</f>
        <v>6285730196160</v>
      </c>
      <c r="L54" s="20">
        <f>Sheet1!L54</f>
        <v>0</v>
      </c>
      <c r="M54" s="20">
        <f>Sheet1!M54</f>
        <v>500000</v>
      </c>
      <c r="N54" s="20">
        <f>Sheet1!N54</f>
        <v>0</v>
      </c>
      <c r="O54" s="20">
        <f>Sheet1!O54</f>
        <v>500000</v>
      </c>
      <c r="P54" s="19" t="str">
        <f>Sheet1!P54</f>
        <v/>
      </c>
      <c r="Q54" s="19" t="str">
        <f>Sheet1!Q54</f>
        <v/>
      </c>
      <c r="R54" s="19" t="str">
        <f>Sheet1!R54</f>
        <v/>
      </c>
      <c r="S54" s="19" t="str">
        <f>Sheet1!S54</f>
        <v>Belum Lunas</v>
      </c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2"/>
      <c r="CC54" s="22"/>
      <c r="CD54" s="21"/>
      <c r="CE54" s="21"/>
      <c r="CF54" s="22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</row>
    <row r="55">
      <c r="A55" s="19">
        <f>Sheet1!A55</f>
        <v>54</v>
      </c>
      <c r="B55" s="19" t="str">
        <f>Sheet1!B55</f>
        <v>NUR RIZKI FEBRIAN WAHYU PUTRA</v>
      </c>
      <c r="C55" s="19">
        <f>Sheet1!C55</f>
        <v>2024070516</v>
      </c>
      <c r="D55" s="19" t="str">
        <f>Sheet1!D55</f>
        <v>A</v>
      </c>
      <c r="E55" s="19" t="str">
        <f>Sheet1!E55</f>
        <v>A-8</v>
      </c>
      <c r="F55" s="19">
        <f>Sheet1!F55</f>
        <v>3</v>
      </c>
      <c r="G55" s="19" t="str">
        <f>Sheet1!G55</f>
        <v>3 ULA A PUTRA</v>
      </c>
      <c r="H55" s="19" t="str">
        <f>Sheet1!H55</f>
        <v>SMP-IX A</v>
      </c>
      <c r="I55" s="19" t="str">
        <f>Sheet1!I55</f>
        <v>NANIK SURYANI</v>
      </c>
      <c r="J55" s="19" t="str">
        <f>Sheet1!J55</f>
        <v>BLAJO RT 005 RW 003 KALITENGAH LAMONGAN</v>
      </c>
      <c r="K55" s="19" t="str">
        <f>Sheet1!K55</f>
        <v>6285546527780</v>
      </c>
      <c r="L55" s="20">
        <f>Sheet1!L55</f>
        <v>0</v>
      </c>
      <c r="M55" s="20">
        <f>Sheet1!M55</f>
        <v>500000</v>
      </c>
      <c r="N55" s="20">
        <f>Sheet1!N55</f>
        <v>0</v>
      </c>
      <c r="O55" s="20">
        <f>Sheet1!O55</f>
        <v>500000</v>
      </c>
      <c r="P55" s="19" t="str">
        <f>Sheet1!P55</f>
        <v/>
      </c>
      <c r="Q55" s="19" t="str">
        <f>Sheet1!Q55</f>
        <v/>
      </c>
      <c r="R55" s="19" t="str">
        <f>Sheet1!R55</f>
        <v/>
      </c>
      <c r="S55" s="19" t="str">
        <f>Sheet1!S55</f>
        <v>Belum Lunas</v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2"/>
      <c r="CC55" s="22"/>
      <c r="CD55" s="21"/>
      <c r="CE55" s="21"/>
      <c r="CF55" s="22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</row>
    <row r="56">
      <c r="A56" s="19">
        <f>Sheet1!A56</f>
        <v>55</v>
      </c>
      <c r="B56" s="19" t="str">
        <f>Sheet1!B56</f>
        <v>NURUN NAJWA ARROHMANIYAH</v>
      </c>
      <c r="C56" s="19">
        <f>Sheet1!C56</f>
        <v>2024070119</v>
      </c>
      <c r="D56" s="19" t="str">
        <f>Sheet1!D56</f>
        <v>C</v>
      </c>
      <c r="E56" s="19" t="str">
        <f>Sheet1!E56</f>
        <v>C-8</v>
      </c>
      <c r="F56" s="19">
        <f>Sheet1!F56</f>
        <v>3</v>
      </c>
      <c r="G56" s="19" t="str">
        <f>Sheet1!G56</f>
        <v/>
      </c>
      <c r="H56" s="19" t="str">
        <f>Sheet1!H56</f>
        <v>MA-XII.4</v>
      </c>
      <c r="I56" s="19" t="str">
        <f>Sheet1!I56</f>
        <v>ZUBAIDAH</v>
      </c>
      <c r="J56" s="19" t="str">
        <f>Sheet1!J56</f>
        <v>TRACAL RT 003 RW 002 KARANGGENENG LAMONGAN</v>
      </c>
      <c r="K56" s="19" t="str">
        <f>Sheet1!K56</f>
        <v>6285731338909</v>
      </c>
      <c r="L56" s="20">
        <f>Sheet1!L56</f>
        <v>0</v>
      </c>
      <c r="M56" s="20">
        <f>Sheet1!M56</f>
        <v>500000</v>
      </c>
      <c r="N56" s="20">
        <f>Sheet1!N56</f>
        <v>0</v>
      </c>
      <c r="O56" s="20">
        <f>Sheet1!O56</f>
        <v>500000</v>
      </c>
      <c r="P56" s="19" t="str">
        <f>Sheet1!P56</f>
        <v/>
      </c>
      <c r="Q56" s="19" t="str">
        <f>Sheet1!Q56</f>
        <v/>
      </c>
      <c r="R56" s="19" t="str">
        <f>Sheet1!R56</f>
        <v/>
      </c>
      <c r="S56" s="19" t="str">
        <f>Sheet1!S56</f>
        <v>Belum Lunas</v>
      </c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2"/>
      <c r="CC56" s="22"/>
      <c r="CD56" s="21"/>
      <c r="CE56" s="21"/>
      <c r="CF56" s="22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</row>
    <row r="57">
      <c r="A57" s="19">
        <f>Sheet1!A57</f>
        <v>56</v>
      </c>
      <c r="B57" s="19" t="str">
        <f>Sheet1!B57</f>
        <v>RHEISYA BRILIANT OKTAVIANI</v>
      </c>
      <c r="C57" s="19">
        <f>Sheet1!C57</f>
        <v>2024070536</v>
      </c>
      <c r="D57" s="19" t="str">
        <f>Sheet1!D57</f>
        <v>E</v>
      </c>
      <c r="E57" s="19" t="str">
        <f>Sheet1!E57</f>
        <v>E-9</v>
      </c>
      <c r="F57" s="19">
        <f>Sheet1!F57</f>
        <v>3</v>
      </c>
      <c r="G57" s="19" t="str">
        <f>Sheet1!G57</f>
        <v>3 ULA C PUTRI</v>
      </c>
      <c r="H57" s="19" t="str">
        <f>Sheet1!H57</f>
        <v>MTS-9 A</v>
      </c>
      <c r="I57" s="19" t="str">
        <f>Sheet1!I57</f>
        <v>SITI QONIATIN NADZIROH</v>
      </c>
      <c r="J57" s="19" t="str">
        <f>Sheet1!J57</f>
        <v>DAMPIT SUMBEREJO RT 001 RW 004 LAMONGAN LAMONGAN</v>
      </c>
      <c r="K57" s="19" t="str">
        <f>Sheet1!K57</f>
        <v>6289535203055</v>
      </c>
      <c r="L57" s="20">
        <f>Sheet1!L57</f>
        <v>0</v>
      </c>
      <c r="M57" s="20">
        <f>Sheet1!M57</f>
        <v>500000</v>
      </c>
      <c r="N57" s="20">
        <f>Sheet1!N57</f>
        <v>0</v>
      </c>
      <c r="O57" s="20">
        <f>Sheet1!O57</f>
        <v>500000</v>
      </c>
      <c r="P57" s="19" t="str">
        <f>Sheet1!P57</f>
        <v/>
      </c>
      <c r="Q57" s="19" t="str">
        <f>Sheet1!Q57</f>
        <v/>
      </c>
      <c r="R57" s="19" t="str">
        <f>Sheet1!R57</f>
        <v/>
      </c>
      <c r="S57" s="19" t="str">
        <f>Sheet1!S57</f>
        <v>Belum Lunas</v>
      </c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2"/>
      <c r="CC57" s="22"/>
      <c r="CD57" s="21"/>
      <c r="CE57" s="21"/>
      <c r="CF57" s="22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</row>
    <row r="58">
      <c r="A58" s="19">
        <f>Sheet1!A58</f>
        <v>57</v>
      </c>
      <c r="B58" s="19" t="str">
        <f>Sheet1!B58</f>
        <v>RIZATUL ZAMIRA ATMAJA</v>
      </c>
      <c r="C58" s="19">
        <f>Sheet1!C58</f>
        <v>2024070493</v>
      </c>
      <c r="D58" s="19" t="str">
        <f>Sheet1!D58</f>
        <v>C</v>
      </c>
      <c r="E58" s="19" t="str">
        <f>Sheet1!E58</f>
        <v>C-13</v>
      </c>
      <c r="F58" s="19">
        <f>Sheet1!F58</f>
        <v>3</v>
      </c>
      <c r="G58" s="19" t="str">
        <f>Sheet1!G58</f>
        <v>3 ULA C PUTRI</v>
      </c>
      <c r="H58" s="19" t="str">
        <f>Sheet1!H58</f>
        <v>MTS-9 D</v>
      </c>
      <c r="I58" s="19" t="str">
        <f>Sheet1!I58</f>
        <v>ELI ROCHIANAH</v>
      </c>
      <c r="J58" s="19" t="str">
        <f>Sheet1!J58</f>
        <v>BANJARMADU RT 001 RW 004 KARANGGENENG LAMONGAN</v>
      </c>
      <c r="K58" s="19" t="str">
        <f>Sheet1!K58</f>
        <v>6285234346480</v>
      </c>
      <c r="L58" s="20">
        <f>Sheet1!L58</f>
        <v>0</v>
      </c>
      <c r="M58" s="20">
        <f>Sheet1!M58</f>
        <v>500000</v>
      </c>
      <c r="N58" s="20">
        <f>Sheet1!N58</f>
        <v>0</v>
      </c>
      <c r="O58" s="20">
        <f>Sheet1!O58</f>
        <v>500000</v>
      </c>
      <c r="P58" s="19" t="str">
        <f>Sheet1!P58</f>
        <v/>
      </c>
      <c r="Q58" s="19" t="str">
        <f>Sheet1!Q58</f>
        <v/>
      </c>
      <c r="R58" s="19" t="str">
        <f>Sheet1!R58</f>
        <v/>
      </c>
      <c r="S58" s="19" t="str">
        <f>Sheet1!S58</f>
        <v>Belum Lunas</v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2"/>
      <c r="CC58" s="22"/>
      <c r="CD58" s="21"/>
      <c r="CE58" s="21"/>
      <c r="CF58" s="22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</row>
    <row r="59">
      <c r="A59" s="19">
        <f>Sheet1!A59</f>
        <v>58</v>
      </c>
      <c r="B59" s="19" t="str">
        <f>Sheet1!B59</f>
        <v>SELLY NOVI ANDINI</v>
      </c>
      <c r="C59" s="19">
        <f>Sheet1!C59</f>
        <v>2024070727</v>
      </c>
      <c r="D59" s="19" t="str">
        <f>Sheet1!D59</f>
        <v>B</v>
      </c>
      <c r="E59" s="19" t="str">
        <f>Sheet1!E59</f>
        <v>B-10</v>
      </c>
      <c r="F59" s="19">
        <f>Sheet1!F59</f>
        <v>3</v>
      </c>
      <c r="G59" s="19" t="str">
        <f>Sheet1!G59</f>
        <v>3 ULA A PUTRI</v>
      </c>
      <c r="H59" s="19" t="str">
        <f>Sheet1!H59</f>
        <v>SMP-IX B</v>
      </c>
      <c r="I59" s="19" t="str">
        <f>Sheet1!I59</f>
        <v>ELI KUSUMAWATI</v>
      </c>
      <c r="J59" s="19" t="str">
        <f>Sheet1!J59</f>
        <v>PUCANGRO RT 001 RW 001 KALITENGAH LAMONGAN</v>
      </c>
      <c r="K59" s="19" t="str">
        <f>Sheet1!K59</f>
        <v>6285788313508</v>
      </c>
      <c r="L59" s="20">
        <f>Sheet1!L59</f>
        <v>0</v>
      </c>
      <c r="M59" s="20">
        <f>Sheet1!M59</f>
        <v>500000</v>
      </c>
      <c r="N59" s="20">
        <f>Sheet1!N59</f>
        <v>0</v>
      </c>
      <c r="O59" s="20">
        <f>Sheet1!O59</f>
        <v>500000</v>
      </c>
      <c r="P59" s="19" t="str">
        <f>Sheet1!P59</f>
        <v/>
      </c>
      <c r="Q59" s="19" t="str">
        <f>Sheet1!Q59</f>
        <v/>
      </c>
      <c r="R59" s="19" t="str">
        <f>Sheet1!R59</f>
        <v/>
      </c>
      <c r="S59" s="19" t="str">
        <f>Sheet1!S59</f>
        <v>Belum Lunas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2"/>
      <c r="CC59" s="22"/>
      <c r="CD59" s="21"/>
      <c r="CE59" s="21"/>
      <c r="CF59" s="22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</row>
    <row r="60">
      <c r="A60" s="19">
        <f>Sheet1!A60</f>
        <v>59</v>
      </c>
      <c r="B60" s="19" t="str">
        <f>Sheet1!B60</f>
        <v>AHMAD AGUS JAZULI IRFAN</v>
      </c>
      <c r="C60" s="19">
        <f>Sheet1!C60</f>
        <v>2024070719</v>
      </c>
      <c r="D60" s="19" t="str">
        <f>Sheet1!D60</f>
        <v>A</v>
      </c>
      <c r="E60" s="19" t="str">
        <f>Sheet1!E60</f>
        <v>A-10</v>
      </c>
      <c r="F60" s="19">
        <f>Sheet1!F60</f>
        <v>3</v>
      </c>
      <c r="G60" s="19" t="str">
        <f>Sheet1!G60</f>
        <v>3 WUSTHO PUTRA</v>
      </c>
      <c r="H60" s="19" t="str">
        <f>Sheet1!H60</f>
        <v>SMK-XII TKJ 1</v>
      </c>
      <c r="I60" s="19" t="str">
        <f>Sheet1!I60</f>
        <v>IMROATIN JALILAH</v>
      </c>
      <c r="J60" s="19" t="str">
        <f>Sheet1!J60</f>
        <v>BOJOASRI RT  RW  KALITENGAH LAMONGAN</v>
      </c>
      <c r="K60" s="19" t="str">
        <f>Sheet1!K60</f>
        <v>6285648607075</v>
      </c>
      <c r="L60" s="20">
        <f>Sheet1!L60</f>
        <v>900000</v>
      </c>
      <c r="M60" s="20">
        <f>Sheet1!M60</f>
        <v>0</v>
      </c>
      <c r="N60" s="20">
        <f>Sheet1!N60</f>
        <v>0</v>
      </c>
      <c r="O60" s="20">
        <f>Sheet1!O60</f>
        <v>900000</v>
      </c>
      <c r="P60" s="19" t="str">
        <f>Sheet1!P60</f>
        <v/>
      </c>
      <c r="Q60" s="19" t="str">
        <f>Sheet1!Q60</f>
        <v/>
      </c>
      <c r="R60" s="19" t="str">
        <f>Sheet1!R60</f>
        <v/>
      </c>
      <c r="S60" s="19" t="str">
        <f>Sheet1!S60</f>
        <v>Belum Lunas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2"/>
      <c r="CC60" s="22"/>
      <c r="CD60" s="21"/>
      <c r="CE60" s="21"/>
      <c r="CF60" s="22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</row>
    <row r="61">
      <c r="A61" s="19">
        <f>Sheet1!A61</f>
        <v>60</v>
      </c>
      <c r="B61" s="19" t="str">
        <f>Sheet1!B61</f>
        <v>BELLA KAMALIA AISYI</v>
      </c>
      <c r="C61" s="19">
        <f>Sheet1!C61</f>
        <v>2024070595</v>
      </c>
      <c r="D61" s="19" t="str">
        <f>Sheet1!D61</f>
        <v>D</v>
      </c>
      <c r="E61" s="19" t="str">
        <f>Sheet1!E61</f>
        <v>D-4</v>
      </c>
      <c r="F61" s="19">
        <f>Sheet1!F61</f>
        <v>3</v>
      </c>
      <c r="G61" s="19" t="str">
        <f>Sheet1!G61</f>
        <v>3 ULA A PUTRI</v>
      </c>
      <c r="H61" s="19" t="str">
        <f>Sheet1!H61</f>
        <v>MTS-9 D</v>
      </c>
      <c r="I61" s="19" t="str">
        <f>Sheet1!I61</f>
        <v>ITA DESI HERFIANA</v>
      </c>
      <c r="J61" s="19" t="str">
        <f>Sheet1!J61</f>
        <v>BANYUBANG RT 002 RW 001 SOLOKURO LAMONGAN</v>
      </c>
      <c r="K61" s="19" t="str">
        <f>Sheet1!K61</f>
        <v>6281555999169</v>
      </c>
      <c r="L61" s="20">
        <f>Sheet1!L61</f>
        <v>900000</v>
      </c>
      <c r="M61" s="20">
        <f>Sheet1!M61</f>
        <v>0</v>
      </c>
      <c r="N61" s="20">
        <f>Sheet1!N61</f>
        <v>0</v>
      </c>
      <c r="O61" s="20">
        <f>Sheet1!O61</f>
        <v>900000</v>
      </c>
      <c r="P61" s="19" t="str">
        <f>Sheet1!P61</f>
        <v/>
      </c>
      <c r="Q61" s="19" t="str">
        <f>Sheet1!Q61</f>
        <v/>
      </c>
      <c r="R61" s="19" t="str">
        <f>Sheet1!R61</f>
        <v/>
      </c>
      <c r="S61" s="19" t="str">
        <f>Sheet1!S61</f>
        <v>Belum Lunas</v>
      </c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2"/>
      <c r="CC61" s="22"/>
      <c r="CD61" s="21"/>
      <c r="CE61" s="21"/>
      <c r="CF61" s="22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</row>
    <row r="62">
      <c r="A62" s="19">
        <f>Sheet1!A62</f>
        <v>61</v>
      </c>
      <c r="B62" s="19" t="str">
        <f>Sheet1!B62</f>
        <v>DZULFIKAR KEIMAL ALAWY</v>
      </c>
      <c r="C62" s="19">
        <f>Sheet1!C62</f>
        <v>2025070661</v>
      </c>
      <c r="D62" s="19" t="str">
        <f>Sheet1!D62</f>
        <v>A</v>
      </c>
      <c r="E62" s="19" t="str">
        <f>Sheet1!E62</f>
        <v>A-10</v>
      </c>
      <c r="F62" s="19">
        <f>Sheet1!F62</f>
        <v>3</v>
      </c>
      <c r="G62" s="19" t="str">
        <f>Sheet1!G62</f>
        <v>3 ULA A PUTRA</v>
      </c>
      <c r="H62" s="19" t="str">
        <f>Sheet1!H62</f>
        <v>MTS-9 C</v>
      </c>
      <c r="I62" s="19" t="str">
        <f>Sheet1!I62</f>
        <v>MAHFUDLOTIN NI`MAH</v>
      </c>
      <c r="J62" s="19" t="str">
        <f>Sheet1!J62</f>
        <v>GEDONGKEDOAN RT 002 RW 001 DUKUN GRESIK</v>
      </c>
      <c r="K62" s="19" t="str">
        <f>Sheet1!K62</f>
        <v>6285738157018</v>
      </c>
      <c r="L62" s="20">
        <f>Sheet1!L62</f>
        <v>900000</v>
      </c>
      <c r="M62" s="20">
        <f>Sheet1!M62</f>
        <v>0</v>
      </c>
      <c r="N62" s="20">
        <f>Sheet1!N62</f>
        <v>0</v>
      </c>
      <c r="O62" s="20">
        <f>Sheet1!O62</f>
        <v>900000</v>
      </c>
      <c r="P62" s="19" t="str">
        <f>Sheet1!P62</f>
        <v/>
      </c>
      <c r="Q62" s="19" t="str">
        <f>Sheet1!Q62</f>
        <v/>
      </c>
      <c r="R62" s="19" t="str">
        <f>Sheet1!R62</f>
        <v/>
      </c>
      <c r="S62" s="19" t="str">
        <f>Sheet1!S62</f>
        <v>Belum Lunas</v>
      </c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2"/>
      <c r="CC62" s="22"/>
      <c r="CD62" s="21"/>
      <c r="CE62" s="21"/>
      <c r="CF62" s="22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</row>
    <row r="63">
      <c r="A63" s="19">
        <f>Sheet1!A63</f>
        <v>62</v>
      </c>
      <c r="B63" s="19" t="str">
        <f>Sheet1!B63</f>
        <v>FAIQOTU NABILA</v>
      </c>
      <c r="C63" s="19">
        <f>Sheet1!C63</f>
        <v>2024070346</v>
      </c>
      <c r="D63" s="19" t="str">
        <f>Sheet1!D63</f>
        <v>C</v>
      </c>
      <c r="E63" s="19" t="str">
        <f>Sheet1!E63</f>
        <v>C-9</v>
      </c>
      <c r="F63" s="19">
        <f>Sheet1!F63</f>
        <v>3</v>
      </c>
      <c r="G63" s="19" t="str">
        <f>Sheet1!G63</f>
        <v/>
      </c>
      <c r="H63" s="19" t="str">
        <f>Sheet1!H63</f>
        <v>MA-XII.11</v>
      </c>
      <c r="I63" s="19" t="str">
        <f>Sheet1!I63</f>
        <v>KASMUDAH</v>
      </c>
      <c r="J63" s="19" t="str">
        <f>Sheet1!J63</f>
        <v>WEDENG SUKOREJO RT 001 RW 003 KARANGBINANGUNG LAMONGAN</v>
      </c>
      <c r="K63" s="19" t="str">
        <f>Sheet1!K63</f>
        <v>6285791219990</v>
      </c>
      <c r="L63" s="20">
        <f>Sheet1!L63</f>
        <v>900000</v>
      </c>
      <c r="M63" s="20">
        <f>Sheet1!M63</f>
        <v>0</v>
      </c>
      <c r="N63" s="20">
        <f>Sheet1!N63</f>
        <v>0</v>
      </c>
      <c r="O63" s="20">
        <f>Sheet1!O63</f>
        <v>900000</v>
      </c>
      <c r="P63" s="19" t="str">
        <f>Sheet1!P63</f>
        <v/>
      </c>
      <c r="Q63" s="19" t="str">
        <f>Sheet1!Q63</f>
        <v/>
      </c>
      <c r="R63" s="19" t="str">
        <f>Sheet1!R63</f>
        <v/>
      </c>
      <c r="S63" s="19" t="str">
        <f>Sheet1!S63</f>
        <v>Belum Lunas</v>
      </c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2"/>
      <c r="CC63" s="22"/>
      <c r="CD63" s="21"/>
      <c r="CE63" s="21"/>
      <c r="CF63" s="22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</row>
    <row r="64">
      <c r="A64" s="19">
        <f>Sheet1!A64</f>
        <v>63</v>
      </c>
      <c r="B64" s="19" t="str">
        <f>Sheet1!B64</f>
        <v>ISMAUL HUSNAH</v>
      </c>
      <c r="C64" s="19">
        <f>Sheet1!C64</f>
        <v>2024070704</v>
      </c>
      <c r="D64" s="19" t="str">
        <f>Sheet1!D64</f>
        <v>C</v>
      </c>
      <c r="E64" s="19" t="str">
        <f>Sheet1!E64</f>
        <v>C-8</v>
      </c>
      <c r="F64" s="19">
        <f>Sheet1!F64</f>
        <v>3</v>
      </c>
      <c r="G64" s="19" t="str">
        <f>Sheet1!G64</f>
        <v>3 WUSTHO A PUTRI</v>
      </c>
      <c r="H64" s="19" t="str">
        <f>Sheet1!H64</f>
        <v>SMK-XII LPb</v>
      </c>
      <c r="I64" s="19" t="str">
        <f>Sheet1!I64</f>
        <v>AMINAH</v>
      </c>
      <c r="J64" s="19" t="str">
        <f>Sheet1!J64</f>
        <v>KLATING TAKERANKLATING RT 002 RW 001 TIKUNG LAMONGAN</v>
      </c>
      <c r="K64" s="19" t="str">
        <f>Sheet1!K64</f>
        <v>6285604656734</v>
      </c>
      <c r="L64" s="20">
        <f>Sheet1!L64</f>
        <v>900000</v>
      </c>
      <c r="M64" s="20">
        <f>Sheet1!M64</f>
        <v>0</v>
      </c>
      <c r="N64" s="20">
        <f>Sheet1!N64</f>
        <v>0</v>
      </c>
      <c r="O64" s="20">
        <f>Sheet1!O64</f>
        <v>900000</v>
      </c>
      <c r="P64" s="19" t="str">
        <f>Sheet1!P64</f>
        <v/>
      </c>
      <c r="Q64" s="19" t="str">
        <f>Sheet1!Q64</f>
        <v/>
      </c>
      <c r="R64" s="19" t="str">
        <f>Sheet1!R64</f>
        <v/>
      </c>
      <c r="S64" s="19" t="str">
        <f>Sheet1!S64</f>
        <v>Belum Lunas</v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2"/>
      <c r="CC64" s="22"/>
      <c r="CD64" s="21"/>
      <c r="CE64" s="21"/>
      <c r="CF64" s="22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</row>
    <row r="65">
      <c r="A65" s="19">
        <f>Sheet1!A65</f>
        <v>64</v>
      </c>
      <c r="B65" s="19" t="str">
        <f>Sheet1!B65</f>
        <v>MEIRZA TRISNA DWI ANDINI</v>
      </c>
      <c r="C65" s="19">
        <f>Sheet1!C65</f>
        <v>2024070732</v>
      </c>
      <c r="D65" s="19" t="str">
        <f>Sheet1!D65</f>
        <v>C</v>
      </c>
      <c r="E65" s="19" t="str">
        <f>Sheet1!E65</f>
        <v>C-3</v>
      </c>
      <c r="F65" s="19">
        <f>Sheet1!F65</f>
        <v>3</v>
      </c>
      <c r="G65" s="19" t="str">
        <f>Sheet1!G65</f>
        <v>3 ULA C PUTRI</v>
      </c>
      <c r="H65" s="19" t="str">
        <f>Sheet1!H65</f>
        <v>SMP-IX C</v>
      </c>
      <c r="I65" s="19" t="str">
        <f>Sheet1!I65</f>
        <v>NUR HIDAYATI</v>
      </c>
      <c r="J65" s="19" t="str">
        <f>Sheet1!J65</f>
        <v>KEDIREN RT 001 RW 002 KALITENGAH LAMONGAN</v>
      </c>
      <c r="K65" s="19" t="str">
        <f>Sheet1!K65</f>
        <v>6285815031286</v>
      </c>
      <c r="L65" s="20">
        <f>Sheet1!L65</f>
        <v>900000</v>
      </c>
      <c r="M65" s="20">
        <f>Sheet1!M65</f>
        <v>0</v>
      </c>
      <c r="N65" s="20">
        <f>Sheet1!N65</f>
        <v>0</v>
      </c>
      <c r="O65" s="20">
        <f>Sheet1!O65</f>
        <v>900000</v>
      </c>
      <c r="P65" s="19" t="str">
        <f>Sheet1!P65</f>
        <v/>
      </c>
      <c r="Q65" s="19" t="str">
        <f>Sheet1!Q65</f>
        <v/>
      </c>
      <c r="R65" s="19" t="str">
        <f>Sheet1!R65</f>
        <v/>
      </c>
      <c r="S65" s="19" t="str">
        <f>Sheet1!S65</f>
        <v>Belum Lunas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2"/>
      <c r="CC65" s="22"/>
      <c r="CD65" s="21"/>
      <c r="CE65" s="21"/>
      <c r="CF65" s="22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</row>
    <row r="66">
      <c r="A66" s="19">
        <f>Sheet1!A66</f>
        <v>65</v>
      </c>
      <c r="B66" s="19" t="str">
        <f>Sheet1!B66</f>
        <v>ALFIYAN NADA FIRDAUS</v>
      </c>
      <c r="C66" s="19">
        <f>Sheet1!C66</f>
        <v>2024070566</v>
      </c>
      <c r="D66" s="19" t="str">
        <f>Sheet1!D66</f>
        <v>A</v>
      </c>
      <c r="E66" s="19" t="str">
        <f>Sheet1!E66</f>
        <v>A-13</v>
      </c>
      <c r="F66" s="19">
        <f>Sheet1!F66</f>
        <v>3</v>
      </c>
      <c r="G66" s="19" t="str">
        <f>Sheet1!G66</f>
        <v/>
      </c>
      <c r="H66" s="19" t="str">
        <f>Sheet1!H66</f>
        <v>MTS-9 A</v>
      </c>
      <c r="I66" s="19" t="str">
        <f>Sheet1!I66</f>
        <v>KHUSNIYAH</v>
      </c>
      <c r="J66" s="19" t="str">
        <f>Sheet1!J66</f>
        <v>BANGO PAYAMAN RT 004 RW 015 SOLOKURO LAMONGAN</v>
      </c>
      <c r="K66" s="19" t="str">
        <f>Sheet1!K66</f>
        <v>6285733111734</v>
      </c>
      <c r="L66" s="20">
        <f>Sheet1!L66</f>
        <v>410000</v>
      </c>
      <c r="M66" s="20">
        <f>Sheet1!M66</f>
        <v>500000</v>
      </c>
      <c r="N66" s="20">
        <f>Sheet1!N66</f>
        <v>0</v>
      </c>
      <c r="O66" s="20">
        <f>Sheet1!O66</f>
        <v>910000</v>
      </c>
      <c r="P66" s="19" t="str">
        <f>Sheet1!P66</f>
        <v/>
      </c>
      <c r="Q66" s="19" t="str">
        <f>Sheet1!Q66</f>
        <v/>
      </c>
      <c r="R66" s="19" t="str">
        <f>Sheet1!R66</f>
        <v/>
      </c>
      <c r="S66" s="19" t="str">
        <f>Sheet1!S66</f>
        <v>Belum Lunas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2"/>
      <c r="CC66" s="22"/>
      <c r="CD66" s="21"/>
      <c r="CE66" s="21"/>
      <c r="CF66" s="22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</row>
    <row r="67">
      <c r="A67" s="19">
        <f>Sheet1!A67</f>
        <v>66</v>
      </c>
      <c r="B67" s="19" t="str">
        <f>Sheet1!B67</f>
        <v>ADELIAH PUTRI FEBRIANI</v>
      </c>
      <c r="C67" s="19">
        <f>Sheet1!C67</f>
        <v>2024070735</v>
      </c>
      <c r="D67" s="19" t="str">
        <f>Sheet1!D67</f>
        <v>B</v>
      </c>
      <c r="E67" s="19" t="str">
        <f>Sheet1!E67</f>
        <v>B-9</v>
      </c>
      <c r="F67" s="19">
        <f>Sheet1!F67</f>
        <v>3</v>
      </c>
      <c r="G67" s="19" t="str">
        <f>Sheet1!G67</f>
        <v>3 ULA C PUTRI</v>
      </c>
      <c r="H67" s="19" t="str">
        <f>Sheet1!H67</f>
        <v>SMP-IX C</v>
      </c>
      <c r="I67" s="19" t="str">
        <f>Sheet1!I67</f>
        <v>NASHOHAH</v>
      </c>
      <c r="J67" s="19" t="str">
        <f>Sheet1!J67</f>
        <v>DORO KARANGWEDORO RT 001 RW 001 TURI LAMONGAN</v>
      </c>
      <c r="K67" s="19" t="str">
        <f>Sheet1!K67</f>
        <v>6285706603124</v>
      </c>
      <c r="L67" s="20">
        <f>Sheet1!L67</f>
        <v>450000</v>
      </c>
      <c r="M67" s="20">
        <f>Sheet1!M67</f>
        <v>500000</v>
      </c>
      <c r="N67" s="20">
        <f>Sheet1!N67</f>
        <v>0</v>
      </c>
      <c r="O67" s="20">
        <f>Sheet1!O67</f>
        <v>950000</v>
      </c>
      <c r="P67" s="19" t="str">
        <f>Sheet1!P67</f>
        <v/>
      </c>
      <c r="Q67" s="19" t="str">
        <f>Sheet1!Q67</f>
        <v/>
      </c>
      <c r="R67" s="19" t="str">
        <f>Sheet1!R67</f>
        <v/>
      </c>
      <c r="S67" s="19" t="str">
        <f>Sheet1!S67</f>
        <v>Belum Lunas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2"/>
      <c r="CC67" s="22"/>
      <c r="CD67" s="21"/>
      <c r="CE67" s="21"/>
      <c r="CF67" s="22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</row>
    <row r="68">
      <c r="A68" s="19">
        <f>Sheet1!A68</f>
        <v>67</v>
      </c>
      <c r="B68" s="19" t="str">
        <f>Sheet1!B68</f>
        <v>AININ QORIROH UMMU SALWA</v>
      </c>
      <c r="C68" s="19">
        <f>Sheet1!C68</f>
        <v>2024070338</v>
      </c>
      <c r="D68" s="19" t="str">
        <f>Sheet1!D68</f>
        <v>C</v>
      </c>
      <c r="E68" s="19" t="str">
        <f>Sheet1!E68</f>
        <v>C-8</v>
      </c>
      <c r="F68" s="19">
        <f>Sheet1!F68</f>
        <v>3</v>
      </c>
      <c r="G68" s="19" t="str">
        <f>Sheet1!G68</f>
        <v>3 WUSTHO C PUTRI</v>
      </c>
      <c r="H68" s="19" t="str">
        <f>Sheet1!H68</f>
        <v>MA-XII.11</v>
      </c>
      <c r="I68" s="19" t="str">
        <f>Sheet1!I68</f>
        <v>NUR JANNAH</v>
      </c>
      <c r="J68" s="19" t="str">
        <f>Sheet1!J68</f>
        <v>PLOSO BUDEN RT 003 RW 003 DEKET LAMONGAN</v>
      </c>
      <c r="K68" s="19" t="str">
        <f>Sheet1!K68</f>
        <v>6287844690419</v>
      </c>
      <c r="L68" s="20">
        <f>Sheet1!L68</f>
        <v>450000</v>
      </c>
      <c r="M68" s="20">
        <f>Sheet1!M68</f>
        <v>500000</v>
      </c>
      <c r="N68" s="20">
        <f>Sheet1!N68</f>
        <v>0</v>
      </c>
      <c r="O68" s="20">
        <f>Sheet1!O68</f>
        <v>950000</v>
      </c>
      <c r="P68" s="19" t="str">
        <f>Sheet1!P68</f>
        <v/>
      </c>
      <c r="Q68" s="19" t="str">
        <f>Sheet1!Q68</f>
        <v/>
      </c>
      <c r="R68" s="19" t="str">
        <f>Sheet1!R68</f>
        <v/>
      </c>
      <c r="S68" s="19" t="str">
        <f>Sheet1!S68</f>
        <v>Belum Lunas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2"/>
      <c r="CC68" s="22"/>
      <c r="CD68" s="21"/>
      <c r="CE68" s="21"/>
      <c r="CF68" s="22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</row>
    <row r="69">
      <c r="A69" s="19">
        <f>Sheet1!A69</f>
        <v>68</v>
      </c>
      <c r="B69" s="19" t="str">
        <f>Sheet1!B69</f>
        <v>ALVELLYTA APRILIA KIRANA</v>
      </c>
      <c r="C69" s="19">
        <f>Sheet1!C69</f>
        <v>2024070527</v>
      </c>
      <c r="D69" s="19" t="str">
        <f>Sheet1!D69</f>
        <v>C</v>
      </c>
      <c r="E69" s="19" t="str">
        <f>Sheet1!E69</f>
        <v>C-12</v>
      </c>
      <c r="F69" s="19">
        <f>Sheet1!F69</f>
        <v>3</v>
      </c>
      <c r="G69" s="19" t="str">
        <f>Sheet1!G69</f>
        <v/>
      </c>
      <c r="H69" s="19" t="str">
        <f>Sheet1!H69</f>
        <v>MTS-9 C</v>
      </c>
      <c r="I69" s="19" t="str">
        <f>Sheet1!I69</f>
        <v>ITA NURO</v>
      </c>
      <c r="J69" s="19" t="str">
        <f>Sheet1!J69</f>
        <v>KRAJAN SUKOBENDU RT 002 RW 001 MANTUP LAMONGAN</v>
      </c>
      <c r="K69" s="19" t="str">
        <f>Sheet1!K69</f>
        <v>6281537636395</v>
      </c>
      <c r="L69" s="20">
        <f>Sheet1!L69</f>
        <v>450000</v>
      </c>
      <c r="M69" s="20">
        <f>Sheet1!M69</f>
        <v>500000</v>
      </c>
      <c r="N69" s="20">
        <f>Sheet1!N69</f>
        <v>0</v>
      </c>
      <c r="O69" s="20">
        <f>Sheet1!O69</f>
        <v>950000</v>
      </c>
      <c r="P69" s="19" t="str">
        <f>Sheet1!P69</f>
        <v/>
      </c>
      <c r="Q69" s="19" t="str">
        <f>Sheet1!Q69</f>
        <v/>
      </c>
      <c r="R69" s="19" t="str">
        <f>Sheet1!R69</f>
        <v/>
      </c>
      <c r="S69" s="19" t="str">
        <f>Sheet1!S69</f>
        <v>Belum Lunas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2"/>
      <c r="CC69" s="22"/>
      <c r="CD69" s="21"/>
      <c r="CE69" s="21"/>
      <c r="CF69" s="22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</row>
    <row r="70">
      <c r="A70" s="19">
        <f>Sheet1!A70</f>
        <v>69</v>
      </c>
      <c r="B70" s="19" t="str">
        <f>Sheet1!B70</f>
        <v>DESTIYA NUR LAILI</v>
      </c>
      <c r="C70" s="19">
        <f>Sheet1!C70</f>
        <v>2024070758</v>
      </c>
      <c r="D70" s="19" t="str">
        <f>Sheet1!D70</f>
        <v>B</v>
      </c>
      <c r="E70" s="19" t="str">
        <f>Sheet1!E70</f>
        <v>B-9</v>
      </c>
      <c r="F70" s="19">
        <f>Sheet1!F70</f>
        <v>3</v>
      </c>
      <c r="G70" s="19" t="str">
        <f>Sheet1!G70</f>
        <v>3 ULA B PUTRI</v>
      </c>
      <c r="H70" s="19" t="str">
        <f>Sheet1!H70</f>
        <v>SMP-IX C</v>
      </c>
      <c r="I70" s="19" t="str">
        <f>Sheet1!I70</f>
        <v>LUTFI NUR ROHMAWATI</v>
      </c>
      <c r="J70" s="19" t="str">
        <f>Sheet1!J70</f>
        <v>LERAN BARU KEYONGAN RT 003 RW 006 BABAT LAMONGAN</v>
      </c>
      <c r="K70" s="19" t="str">
        <f>Sheet1!K70</f>
        <v>6285745740702</v>
      </c>
      <c r="L70" s="20">
        <f>Sheet1!L70</f>
        <v>450000</v>
      </c>
      <c r="M70" s="20">
        <f>Sheet1!M70</f>
        <v>500000</v>
      </c>
      <c r="N70" s="20">
        <f>Sheet1!N70</f>
        <v>0</v>
      </c>
      <c r="O70" s="20">
        <f>Sheet1!O70</f>
        <v>950000</v>
      </c>
      <c r="P70" s="19" t="str">
        <f>Sheet1!P70</f>
        <v/>
      </c>
      <c r="Q70" s="19" t="str">
        <f>Sheet1!Q70</f>
        <v/>
      </c>
      <c r="R70" s="19" t="str">
        <f>Sheet1!R70</f>
        <v/>
      </c>
      <c r="S70" s="19" t="str">
        <f>Sheet1!S70</f>
        <v>Belum Lunas</v>
      </c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2"/>
      <c r="CC70" s="22"/>
      <c r="CD70" s="21"/>
      <c r="CE70" s="21"/>
      <c r="CF70" s="22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</row>
    <row r="71">
      <c r="A71" s="19">
        <f>Sheet1!A71</f>
        <v>70</v>
      </c>
      <c r="B71" s="19" t="str">
        <f>Sheet1!B71</f>
        <v>JANEETA EMIRA SHABRIYA</v>
      </c>
      <c r="C71" s="19">
        <f>Sheet1!C71</f>
        <v>2024070521</v>
      </c>
      <c r="D71" s="19" t="str">
        <f>Sheet1!D71</f>
        <v>D</v>
      </c>
      <c r="E71" s="19" t="str">
        <f>Sheet1!E71</f>
        <v>D-4</v>
      </c>
      <c r="F71" s="19">
        <f>Sheet1!F71</f>
        <v>3</v>
      </c>
      <c r="G71" s="19" t="str">
        <f>Sheet1!G71</f>
        <v>3 ULA B PUTRI</v>
      </c>
      <c r="H71" s="19" t="str">
        <f>Sheet1!H71</f>
        <v>MTS-9 B</v>
      </c>
      <c r="I71" s="19" t="str">
        <f>Sheet1!I71</f>
        <v>AINI ZAHIDAH</v>
      </c>
      <c r="J71" s="19" t="str">
        <f>Sheet1!J71</f>
        <v>SUMURBER RT 010 RW 003 PANCENG GRESIK</v>
      </c>
      <c r="K71" s="19" t="str">
        <f>Sheet1!K71</f>
        <v>628563173399</v>
      </c>
      <c r="L71" s="20">
        <f>Sheet1!L71</f>
        <v>450000</v>
      </c>
      <c r="M71" s="20">
        <f>Sheet1!M71</f>
        <v>500000</v>
      </c>
      <c r="N71" s="20">
        <f>Sheet1!N71</f>
        <v>0</v>
      </c>
      <c r="O71" s="20">
        <f>Sheet1!O71</f>
        <v>950000</v>
      </c>
      <c r="P71" s="19" t="str">
        <f>Sheet1!P71</f>
        <v/>
      </c>
      <c r="Q71" s="19" t="str">
        <f>Sheet1!Q71</f>
        <v/>
      </c>
      <c r="R71" s="19" t="str">
        <f>Sheet1!R71</f>
        <v/>
      </c>
      <c r="S71" s="19" t="str">
        <f>Sheet1!S71</f>
        <v>Belum Lunas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2"/>
      <c r="CC71" s="22"/>
      <c r="CD71" s="21"/>
      <c r="CE71" s="21"/>
      <c r="CF71" s="22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</row>
    <row r="72">
      <c r="A72" s="19">
        <f>Sheet1!A72</f>
        <v>71</v>
      </c>
      <c r="B72" s="19" t="str">
        <f>Sheet1!B72</f>
        <v>KURNIA MUFIDATUL FATIHAH</v>
      </c>
      <c r="C72" s="19">
        <f>Sheet1!C72</f>
        <v>2024070641</v>
      </c>
      <c r="D72" s="19" t="str">
        <f>Sheet1!D72</f>
        <v>B</v>
      </c>
      <c r="E72" s="19" t="str">
        <f>Sheet1!E72</f>
        <v>B-9</v>
      </c>
      <c r="F72" s="19">
        <f>Sheet1!F72</f>
        <v>3</v>
      </c>
      <c r="G72" s="19" t="str">
        <f>Sheet1!G72</f>
        <v>3 ULA B PUTRI</v>
      </c>
      <c r="H72" s="19" t="str">
        <f>Sheet1!H72</f>
        <v>MTS-9 G</v>
      </c>
      <c r="I72" s="19" t="str">
        <f>Sheet1!I72</f>
        <v>FARIHATUS SHOLIHAH</v>
      </c>
      <c r="J72" s="19" t="str">
        <f>Sheet1!J72</f>
        <v>BOJOASRI RT 005 RW 002 KALITENGAH LAMONGAN</v>
      </c>
      <c r="K72" s="19" t="str">
        <f>Sheet1!K72</f>
        <v>6285748349331</v>
      </c>
      <c r="L72" s="20">
        <f>Sheet1!L72</f>
        <v>450000</v>
      </c>
      <c r="M72" s="20">
        <f>Sheet1!M72</f>
        <v>500000</v>
      </c>
      <c r="N72" s="20">
        <f>Sheet1!N72</f>
        <v>0</v>
      </c>
      <c r="O72" s="20">
        <f>Sheet1!O72</f>
        <v>950000</v>
      </c>
      <c r="P72" s="19" t="str">
        <f>Sheet1!P72</f>
        <v/>
      </c>
      <c r="Q72" s="19" t="str">
        <f>Sheet1!Q72</f>
        <v/>
      </c>
      <c r="R72" s="19" t="str">
        <f>Sheet1!R72</f>
        <v/>
      </c>
      <c r="S72" s="19" t="str">
        <f>Sheet1!S72</f>
        <v>Belum Lunas</v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2"/>
      <c r="CC72" s="22"/>
      <c r="CD72" s="21"/>
      <c r="CE72" s="21"/>
      <c r="CF72" s="22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</row>
    <row r="73">
      <c r="A73" s="19">
        <f>Sheet1!A73</f>
        <v>72</v>
      </c>
      <c r="B73" s="19" t="str">
        <f>Sheet1!B73</f>
        <v>M. RADIFQI ALFARISTY</v>
      </c>
      <c r="C73" s="19">
        <f>Sheet1!C73</f>
        <v>2024070747</v>
      </c>
      <c r="D73" s="19" t="str">
        <f>Sheet1!D73</f>
        <v>A</v>
      </c>
      <c r="E73" s="19" t="str">
        <f>Sheet1!E73</f>
        <v>A-8</v>
      </c>
      <c r="F73" s="19">
        <f>Sheet1!F73</f>
        <v>3</v>
      </c>
      <c r="G73" s="19" t="str">
        <f>Sheet1!G73</f>
        <v>3 ULA A PUTRA</v>
      </c>
      <c r="H73" s="19" t="str">
        <f>Sheet1!H73</f>
        <v>SMP-IX C</v>
      </c>
      <c r="I73" s="19" t="str">
        <f>Sheet1!I73</f>
        <v>KUSNAWATI</v>
      </c>
      <c r="J73" s="19" t="str">
        <f>Sheet1!J73</f>
        <v>DORO KARANGWEDORO RT 001 RW 001 TURI LAMONGAN</v>
      </c>
      <c r="K73" s="19" t="str">
        <f>Sheet1!K73</f>
        <v>6285649740556</v>
      </c>
      <c r="L73" s="20">
        <f>Sheet1!L73</f>
        <v>450000</v>
      </c>
      <c r="M73" s="20">
        <f>Sheet1!M73</f>
        <v>500000</v>
      </c>
      <c r="N73" s="20">
        <f>Sheet1!N73</f>
        <v>0</v>
      </c>
      <c r="O73" s="20">
        <f>Sheet1!O73</f>
        <v>950000</v>
      </c>
      <c r="P73" s="19" t="str">
        <f>Sheet1!P73</f>
        <v/>
      </c>
      <c r="Q73" s="19" t="str">
        <f>Sheet1!Q73</f>
        <v/>
      </c>
      <c r="R73" s="19" t="str">
        <f>Sheet1!R73</f>
        <v/>
      </c>
      <c r="S73" s="19" t="str">
        <f>Sheet1!S73</f>
        <v>Belum Lunas</v>
      </c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2"/>
      <c r="CC73" s="22"/>
      <c r="CD73" s="21"/>
      <c r="CE73" s="21"/>
      <c r="CF73" s="22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</row>
    <row r="74">
      <c r="A74" s="19">
        <f>Sheet1!A74</f>
        <v>73</v>
      </c>
      <c r="B74" s="19" t="str">
        <f>Sheet1!B74</f>
        <v>M. SAFIUL REZA SELOHANDOYO</v>
      </c>
      <c r="C74" s="19">
        <f>Sheet1!C74</f>
        <v>2024070406</v>
      </c>
      <c r="D74" s="19" t="str">
        <f>Sheet1!D74</f>
        <v>A</v>
      </c>
      <c r="E74" s="19" t="str">
        <f>Sheet1!E74</f>
        <v>A-2</v>
      </c>
      <c r="F74" s="19">
        <f>Sheet1!F74</f>
        <v>3</v>
      </c>
      <c r="G74" s="19" t="str">
        <f>Sheet1!G74</f>
        <v>3 MAK PUTRA</v>
      </c>
      <c r="H74" s="19" t="str">
        <f>Sheet1!H74</f>
        <v>MA-XII.13</v>
      </c>
      <c r="I74" s="19" t="str">
        <f>Sheet1!I74</f>
        <v>SITI HALIMAH</v>
      </c>
      <c r="J74" s="19" t="str">
        <f>Sheet1!J74</f>
        <v>GOWAH POMAHANJANGGAN RT 002 RW 001 TURI LAMONGAN</v>
      </c>
      <c r="K74" s="19" t="str">
        <f>Sheet1!K74</f>
        <v>6282229847381</v>
      </c>
      <c r="L74" s="20">
        <f>Sheet1!L74</f>
        <v>450000</v>
      </c>
      <c r="M74" s="20">
        <f>Sheet1!M74</f>
        <v>500000</v>
      </c>
      <c r="N74" s="20">
        <f>Sheet1!N74</f>
        <v>0</v>
      </c>
      <c r="O74" s="20">
        <f>Sheet1!O74</f>
        <v>950000</v>
      </c>
      <c r="P74" s="19" t="str">
        <f>Sheet1!P74</f>
        <v/>
      </c>
      <c r="Q74" s="19" t="str">
        <f>Sheet1!Q74</f>
        <v/>
      </c>
      <c r="R74" s="19" t="str">
        <f>Sheet1!R74</f>
        <v/>
      </c>
      <c r="S74" s="19" t="str">
        <f>Sheet1!S74</f>
        <v>Belum Lunas</v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2"/>
      <c r="CC74" s="22"/>
      <c r="CD74" s="21"/>
      <c r="CE74" s="21"/>
      <c r="CF74" s="22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</row>
    <row r="75">
      <c r="A75" s="19">
        <f>Sheet1!A75</f>
        <v>74</v>
      </c>
      <c r="B75" s="19" t="str">
        <f>Sheet1!B75</f>
        <v>MEILANI PUTRI ARINIL WAFA`</v>
      </c>
      <c r="C75" s="19">
        <f>Sheet1!C75</f>
        <v>2024070015</v>
      </c>
      <c r="D75" s="19" t="str">
        <f>Sheet1!D75</f>
        <v>C</v>
      </c>
      <c r="E75" s="19" t="str">
        <f>Sheet1!E75</f>
        <v>C-2</v>
      </c>
      <c r="F75" s="19">
        <f>Sheet1!F75</f>
        <v>3</v>
      </c>
      <c r="G75" s="19" t="str">
        <f>Sheet1!G75</f>
        <v/>
      </c>
      <c r="H75" s="19" t="str">
        <f>Sheet1!H75</f>
        <v>MA-XII.1</v>
      </c>
      <c r="I75" s="19" t="str">
        <f>Sheet1!I75</f>
        <v>NURASIATIN</v>
      </c>
      <c r="J75" s="19" t="str">
        <f>Sheet1!J75</f>
        <v>KENDALKEMLAGI RT 002 RW 005 KARANGGENENG LAMONGAN</v>
      </c>
      <c r="K75" s="19" t="str">
        <f>Sheet1!K75</f>
        <v>6285733138071</v>
      </c>
      <c r="L75" s="20">
        <f>Sheet1!L75</f>
        <v>450000</v>
      </c>
      <c r="M75" s="20">
        <f>Sheet1!M75</f>
        <v>500000</v>
      </c>
      <c r="N75" s="20">
        <f>Sheet1!N75</f>
        <v>0</v>
      </c>
      <c r="O75" s="20">
        <f>Sheet1!O75</f>
        <v>950000</v>
      </c>
      <c r="P75" s="19" t="str">
        <f>Sheet1!P75</f>
        <v/>
      </c>
      <c r="Q75" s="19" t="str">
        <f>Sheet1!Q75</f>
        <v/>
      </c>
      <c r="R75" s="19" t="str">
        <f>Sheet1!R75</f>
        <v/>
      </c>
      <c r="S75" s="19" t="str">
        <f>Sheet1!S75</f>
        <v>Belum Lunas</v>
      </c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2"/>
      <c r="CC75" s="22"/>
      <c r="CD75" s="21"/>
      <c r="CE75" s="21"/>
      <c r="CF75" s="22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</row>
    <row r="76">
      <c r="A76" s="19">
        <f>Sheet1!A76</f>
        <v>75</v>
      </c>
      <c r="B76" s="19" t="str">
        <f>Sheet1!B76</f>
        <v>MUHAMMAD RAFA AL KAUTSAR</v>
      </c>
      <c r="C76" s="19">
        <f>Sheet1!C76</f>
        <v>2024070648</v>
      </c>
      <c r="D76" s="19" t="str">
        <f>Sheet1!D76</f>
        <v>A</v>
      </c>
      <c r="E76" s="19" t="str">
        <f>Sheet1!E76</f>
        <v>A-8</v>
      </c>
      <c r="F76" s="19">
        <f>Sheet1!F76</f>
        <v>3</v>
      </c>
      <c r="G76" s="19" t="str">
        <f>Sheet1!G76</f>
        <v>3 ULA B PUTRA</v>
      </c>
      <c r="H76" s="19" t="str">
        <f>Sheet1!H76</f>
        <v>MTS-9 C</v>
      </c>
      <c r="I76" s="19" t="str">
        <f>Sheet1!I76</f>
        <v>SHOIFAH</v>
      </c>
      <c r="J76" s="19" t="str">
        <f>Sheet1!J76</f>
        <v>BANJARANYAR BANJARWATI RT 002 RW 002 PACIRAN LAMONGAN</v>
      </c>
      <c r="K76" s="19" t="str">
        <f>Sheet1!K76</f>
        <v>6285859853448</v>
      </c>
      <c r="L76" s="20">
        <f>Sheet1!L76</f>
        <v>450000</v>
      </c>
      <c r="M76" s="20">
        <f>Sheet1!M76</f>
        <v>500000</v>
      </c>
      <c r="N76" s="20">
        <f>Sheet1!N76</f>
        <v>0</v>
      </c>
      <c r="O76" s="20">
        <f>Sheet1!O76</f>
        <v>950000</v>
      </c>
      <c r="P76" s="19" t="str">
        <f>Sheet1!P76</f>
        <v/>
      </c>
      <c r="Q76" s="19" t="str">
        <f>Sheet1!Q76</f>
        <v/>
      </c>
      <c r="R76" s="19" t="str">
        <f>Sheet1!R76</f>
        <v/>
      </c>
      <c r="S76" s="19" t="str">
        <f>Sheet1!S76</f>
        <v>Belum Lunas</v>
      </c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2"/>
      <c r="CC76" s="22"/>
      <c r="CD76" s="21"/>
      <c r="CE76" s="21"/>
      <c r="CF76" s="22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</row>
    <row r="77">
      <c r="A77" s="19">
        <f>Sheet1!A77</f>
        <v>76</v>
      </c>
      <c r="B77" s="19" t="str">
        <f>Sheet1!B77</f>
        <v>MUHYIDDIN FAQIH</v>
      </c>
      <c r="C77" s="19">
        <f>Sheet1!C77</f>
        <v>2024070299</v>
      </c>
      <c r="D77" s="19" t="str">
        <f>Sheet1!D77</f>
        <v>A</v>
      </c>
      <c r="E77" s="19" t="str">
        <f>Sheet1!E77</f>
        <v>A-10</v>
      </c>
      <c r="F77" s="19">
        <f>Sheet1!F77</f>
        <v>3</v>
      </c>
      <c r="G77" s="19" t="str">
        <f>Sheet1!G77</f>
        <v>3 WUSTHO PUTRA</v>
      </c>
      <c r="H77" s="19" t="str">
        <f>Sheet1!H77</f>
        <v>MA-XII.9</v>
      </c>
      <c r="I77" s="19" t="str">
        <f>Sheet1!I77</f>
        <v>SUHARNIK</v>
      </c>
      <c r="J77" s="19" t="str">
        <f>Sheet1!J77</f>
        <v>SAWO RT 003 RW 002 DUKUN GRESIK</v>
      </c>
      <c r="K77" s="19" t="str">
        <f>Sheet1!K77</f>
        <v>6281554403924</v>
      </c>
      <c r="L77" s="20">
        <f>Sheet1!L77</f>
        <v>450000</v>
      </c>
      <c r="M77" s="20">
        <f>Sheet1!M77</f>
        <v>500000</v>
      </c>
      <c r="N77" s="20">
        <f>Sheet1!N77</f>
        <v>0</v>
      </c>
      <c r="O77" s="20">
        <f>Sheet1!O77</f>
        <v>950000</v>
      </c>
      <c r="P77" s="19" t="str">
        <f>Sheet1!P77</f>
        <v/>
      </c>
      <c r="Q77" s="19" t="str">
        <f>Sheet1!Q77</f>
        <v/>
      </c>
      <c r="R77" s="19" t="str">
        <f>Sheet1!R77</f>
        <v/>
      </c>
      <c r="S77" s="19" t="str">
        <f>Sheet1!S77</f>
        <v>Belum Lunas</v>
      </c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2"/>
      <c r="CC77" s="22"/>
      <c r="CD77" s="21"/>
      <c r="CE77" s="21"/>
      <c r="CF77" s="22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</row>
    <row r="78">
      <c r="A78" s="19">
        <f>Sheet1!A78</f>
        <v>77</v>
      </c>
      <c r="B78" s="19" t="str">
        <f>Sheet1!B78</f>
        <v>NAYLATUL MAWADDAH</v>
      </c>
      <c r="C78" s="19">
        <f>Sheet1!C78</f>
        <v>2024070682</v>
      </c>
      <c r="D78" s="19" t="str">
        <f>Sheet1!D78</f>
        <v>C</v>
      </c>
      <c r="E78" s="19" t="str">
        <f>Sheet1!E78</f>
        <v>C-8</v>
      </c>
      <c r="F78" s="19">
        <f>Sheet1!F78</f>
        <v>3</v>
      </c>
      <c r="G78" s="19" t="str">
        <f>Sheet1!G78</f>
        <v>3 WUSTHO C PUTRI</v>
      </c>
      <c r="H78" s="19" t="str">
        <f>Sheet1!H78</f>
        <v>SMK-XII DKV</v>
      </c>
      <c r="I78" s="19" t="str">
        <f>Sheet1!I78</f>
        <v>ZULIYATIN</v>
      </c>
      <c r="J78" s="19" t="str">
        <f>Sheet1!J78</f>
        <v>BANGERAN RT 006 RW 003 DUKUN GRESIK</v>
      </c>
      <c r="K78" s="19" t="str">
        <f>Sheet1!K78</f>
        <v>6285608738797</v>
      </c>
      <c r="L78" s="20">
        <f>Sheet1!L78</f>
        <v>450000</v>
      </c>
      <c r="M78" s="20">
        <f>Sheet1!M78</f>
        <v>500000</v>
      </c>
      <c r="N78" s="20">
        <f>Sheet1!N78</f>
        <v>0</v>
      </c>
      <c r="O78" s="20">
        <f>Sheet1!O78</f>
        <v>950000</v>
      </c>
      <c r="P78" s="19" t="str">
        <f>Sheet1!P78</f>
        <v/>
      </c>
      <c r="Q78" s="19" t="str">
        <f>Sheet1!Q78</f>
        <v/>
      </c>
      <c r="R78" s="19" t="str">
        <f>Sheet1!R78</f>
        <v/>
      </c>
      <c r="S78" s="19" t="str">
        <f>Sheet1!S78</f>
        <v>Belum Lunas</v>
      </c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2"/>
      <c r="CC78" s="22"/>
      <c r="CD78" s="21"/>
      <c r="CE78" s="21"/>
      <c r="CF78" s="22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</row>
    <row r="79">
      <c r="A79" s="19">
        <f>Sheet1!A79</f>
        <v>78</v>
      </c>
      <c r="B79" s="19" t="str">
        <f>Sheet1!B79</f>
        <v>NESYA AURA BUNGA</v>
      </c>
      <c r="C79" s="19">
        <f>Sheet1!C79</f>
        <v>2024070659</v>
      </c>
      <c r="D79" s="19" t="str">
        <f>Sheet1!D79</f>
        <v>D</v>
      </c>
      <c r="E79" s="19" t="str">
        <f>Sheet1!E79</f>
        <v>D-4</v>
      </c>
      <c r="F79" s="19">
        <f>Sheet1!F79</f>
        <v>3</v>
      </c>
      <c r="G79" s="19" t="str">
        <f>Sheet1!G79</f>
        <v>3 ULA C PUTRI</v>
      </c>
      <c r="H79" s="19" t="str">
        <f>Sheet1!H79</f>
        <v>MTS-9 H</v>
      </c>
      <c r="I79" s="19" t="str">
        <f>Sheet1!I79</f>
        <v>SITI NAILUL ROFIQ</v>
      </c>
      <c r="J79" s="19" t="str">
        <f>Sheet1!J79</f>
        <v>GEGER RT 002 RW 003 TURI LAMONGAN</v>
      </c>
      <c r="K79" s="19" t="str">
        <f>Sheet1!K79</f>
        <v>6285852070153</v>
      </c>
      <c r="L79" s="20">
        <f>Sheet1!L79</f>
        <v>450000</v>
      </c>
      <c r="M79" s="20">
        <f>Sheet1!M79</f>
        <v>500000</v>
      </c>
      <c r="N79" s="20">
        <f>Sheet1!N79</f>
        <v>0</v>
      </c>
      <c r="O79" s="20">
        <f>Sheet1!O79</f>
        <v>950000</v>
      </c>
      <c r="P79" s="19" t="str">
        <f>Sheet1!P79</f>
        <v/>
      </c>
      <c r="Q79" s="19" t="str">
        <f>Sheet1!Q79</f>
        <v/>
      </c>
      <c r="R79" s="19" t="str">
        <f>Sheet1!R79</f>
        <v/>
      </c>
      <c r="S79" s="19" t="str">
        <f>Sheet1!S79</f>
        <v>Belum Lunas</v>
      </c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2"/>
      <c r="CC79" s="22"/>
      <c r="CD79" s="21"/>
      <c r="CE79" s="21"/>
      <c r="CF79" s="22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</row>
    <row r="80">
      <c r="A80" s="19">
        <f>Sheet1!A80</f>
        <v>79</v>
      </c>
      <c r="B80" s="19" t="str">
        <f>Sheet1!B80</f>
        <v>NOVAL ARYA PRATAMA</v>
      </c>
      <c r="C80" s="19">
        <f>Sheet1!C80</f>
        <v>2024070468</v>
      </c>
      <c r="D80" s="19" t="str">
        <f>Sheet1!D80</f>
        <v>A</v>
      </c>
      <c r="E80" s="19" t="str">
        <f>Sheet1!E80</f>
        <v>A-8</v>
      </c>
      <c r="F80" s="19">
        <f>Sheet1!F80</f>
        <v>3</v>
      </c>
      <c r="G80" s="19" t="str">
        <f>Sheet1!G80</f>
        <v>3 ULA A PUTRA</v>
      </c>
      <c r="H80" s="19" t="str">
        <f>Sheet1!H80</f>
        <v>MTS-9 B</v>
      </c>
      <c r="I80" s="19" t="str">
        <f>Sheet1!I80</f>
        <v>NURANITA LARASATI</v>
      </c>
      <c r="J80" s="19" t="str">
        <f>Sheet1!J80</f>
        <v>BULAKWATU BANJAREJO RT 003 RW 001 SUKODADI LAMONGAN</v>
      </c>
      <c r="K80" s="19" t="str">
        <f>Sheet1!K80</f>
        <v>6285707106640</v>
      </c>
      <c r="L80" s="20">
        <f>Sheet1!L80</f>
        <v>450000</v>
      </c>
      <c r="M80" s="20">
        <f>Sheet1!M80</f>
        <v>500000</v>
      </c>
      <c r="N80" s="20">
        <f>Sheet1!N80</f>
        <v>0</v>
      </c>
      <c r="O80" s="20">
        <f>Sheet1!O80</f>
        <v>950000</v>
      </c>
      <c r="P80" s="19" t="str">
        <f>Sheet1!P80</f>
        <v/>
      </c>
      <c r="Q80" s="19" t="str">
        <f>Sheet1!Q80</f>
        <v/>
      </c>
      <c r="R80" s="19" t="str">
        <f>Sheet1!R80</f>
        <v/>
      </c>
      <c r="S80" s="19" t="str">
        <f>Sheet1!S80</f>
        <v>Belum Lunas</v>
      </c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2"/>
      <c r="CC80" s="22"/>
      <c r="CD80" s="21"/>
      <c r="CE80" s="21"/>
      <c r="CF80" s="22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</row>
    <row r="81">
      <c r="A81" s="19">
        <f>Sheet1!A81</f>
        <v>80</v>
      </c>
      <c r="B81" s="19" t="str">
        <f>Sheet1!B81</f>
        <v>NURFUIMA LINDA HIDAYATI</v>
      </c>
      <c r="C81" s="19">
        <f>Sheet1!C81</f>
        <v>2024070357</v>
      </c>
      <c r="D81" s="19" t="str">
        <f>Sheet1!D81</f>
        <v>C</v>
      </c>
      <c r="E81" s="19" t="str">
        <f>Sheet1!E81</f>
        <v>C-8</v>
      </c>
      <c r="F81" s="19">
        <f>Sheet1!F81</f>
        <v>3</v>
      </c>
      <c r="G81" s="19" t="str">
        <f>Sheet1!G81</f>
        <v/>
      </c>
      <c r="H81" s="19" t="str">
        <f>Sheet1!H81</f>
        <v>MA-XII.11</v>
      </c>
      <c r="I81" s="19" t="str">
        <f>Sheet1!I81</f>
        <v>UMAIPAH</v>
      </c>
      <c r="J81" s="19" t="str">
        <f>Sheet1!J81</f>
        <v>SAWO RT 009 RW 005 DUKUN GRESIK</v>
      </c>
      <c r="K81" s="19" t="str">
        <f>Sheet1!K81</f>
        <v>6285606170861</v>
      </c>
      <c r="L81" s="20">
        <f>Sheet1!L81</f>
        <v>450000</v>
      </c>
      <c r="M81" s="20">
        <f>Sheet1!M81</f>
        <v>500000</v>
      </c>
      <c r="N81" s="20">
        <f>Sheet1!N81</f>
        <v>0</v>
      </c>
      <c r="O81" s="20">
        <f>Sheet1!O81</f>
        <v>950000</v>
      </c>
      <c r="P81" s="19" t="str">
        <f>Sheet1!P81</f>
        <v/>
      </c>
      <c r="Q81" s="19" t="str">
        <f>Sheet1!Q81</f>
        <v/>
      </c>
      <c r="R81" s="19" t="str">
        <f>Sheet1!R81</f>
        <v/>
      </c>
      <c r="S81" s="19" t="str">
        <f>Sheet1!S81</f>
        <v>Belum Lunas</v>
      </c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</row>
    <row r="82">
      <c r="A82" s="19">
        <f>Sheet1!A82</f>
        <v>81</v>
      </c>
      <c r="B82" s="19" t="str">
        <f>Sheet1!B82</f>
        <v>AIDA NURUL AINI</v>
      </c>
      <c r="C82" s="19">
        <f>Sheet1!C82</f>
        <v>2024070582</v>
      </c>
      <c r="D82" s="19" t="str">
        <f>Sheet1!D82</f>
        <v>E</v>
      </c>
      <c r="E82" s="19" t="str">
        <f>Sheet1!E82</f>
        <v>E-9</v>
      </c>
      <c r="F82" s="19">
        <f>Sheet1!F82</f>
        <v>3</v>
      </c>
      <c r="G82" s="19" t="str">
        <f>Sheet1!G82</f>
        <v>3 ULA A PUTRI</v>
      </c>
      <c r="H82" s="19" t="str">
        <f>Sheet1!H82</f>
        <v>MTS-9 A</v>
      </c>
      <c r="I82" s="19" t="str">
        <f>Sheet1!I82</f>
        <v>ZAINATUR ROBIHAH</v>
      </c>
      <c r="J82" s="19" t="str">
        <f>Sheet1!J82</f>
        <v>BANGERAN GENENG RT 003 RW 002 DUKUN GRESIK</v>
      </c>
      <c r="K82" s="19" t="str">
        <f>Sheet1!K82</f>
        <v>6285732704608</v>
      </c>
      <c r="L82" s="20">
        <f>Sheet1!L82</f>
        <v>0</v>
      </c>
      <c r="M82" s="20">
        <f>Sheet1!M82</f>
        <v>1000000</v>
      </c>
      <c r="N82" s="20">
        <f>Sheet1!N82</f>
        <v>0</v>
      </c>
      <c r="O82" s="20">
        <f>Sheet1!O82</f>
        <v>1000000</v>
      </c>
      <c r="P82" s="19" t="str">
        <f>Sheet1!P82</f>
        <v/>
      </c>
      <c r="Q82" s="19" t="str">
        <f>Sheet1!Q82</f>
        <v/>
      </c>
      <c r="R82" s="19" t="str">
        <f>Sheet1!R82</f>
        <v/>
      </c>
      <c r="S82" s="19" t="str">
        <f>Sheet1!S82</f>
        <v>Belum Lunas</v>
      </c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2"/>
      <c r="CC82" s="22"/>
      <c r="CD82" s="21"/>
      <c r="CE82" s="21"/>
      <c r="CF82" s="22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</row>
    <row r="83">
      <c r="A83" s="19">
        <f>Sheet1!A83</f>
        <v>82</v>
      </c>
      <c r="B83" s="19" t="str">
        <f>Sheet1!B83</f>
        <v>ASYIFATUL LAILI</v>
      </c>
      <c r="C83" s="19">
        <f>Sheet1!C83</f>
        <v>2024070520</v>
      </c>
      <c r="D83" s="19" t="str">
        <f>Sheet1!D83</f>
        <v>C</v>
      </c>
      <c r="E83" s="19" t="str">
        <f>Sheet1!E83</f>
        <v>C-13</v>
      </c>
      <c r="F83" s="19">
        <f>Sheet1!F83</f>
        <v>3</v>
      </c>
      <c r="G83" s="19" t="str">
        <f>Sheet1!G83</f>
        <v>3 ULA B PUTRI</v>
      </c>
      <c r="H83" s="19" t="str">
        <f>Sheet1!H83</f>
        <v>MTS-9 C</v>
      </c>
      <c r="I83" s="19" t="str">
        <f>Sheet1!I83</f>
        <v>NUR MARDLIYAH</v>
      </c>
      <c r="J83" s="19" t="str">
        <f>Sheet1!J83</f>
        <v>KUBANG LABAN PANGGUNG RAWI RT 003 RW 002 JOMBANG CILEGON</v>
      </c>
      <c r="K83" s="19" t="str">
        <f>Sheet1!K83</f>
        <v>6281946613922</v>
      </c>
      <c r="L83" s="20">
        <f>Sheet1!L83</f>
        <v>0</v>
      </c>
      <c r="M83" s="20">
        <f>Sheet1!M83</f>
        <v>1000000</v>
      </c>
      <c r="N83" s="20">
        <f>Sheet1!N83</f>
        <v>0</v>
      </c>
      <c r="O83" s="20">
        <f>Sheet1!O83</f>
        <v>1000000</v>
      </c>
      <c r="P83" s="19" t="str">
        <f>Sheet1!P83</f>
        <v/>
      </c>
      <c r="Q83" s="19" t="str">
        <f>Sheet1!Q83</f>
        <v/>
      </c>
      <c r="R83" s="19" t="str">
        <f>Sheet1!R83</f>
        <v/>
      </c>
      <c r="S83" s="19" t="str">
        <f>Sheet1!S83</f>
        <v>Belum Lunas</v>
      </c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2"/>
      <c r="CC83" s="22"/>
      <c r="CD83" s="21"/>
      <c r="CE83" s="21"/>
      <c r="CF83" s="22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</row>
    <row r="84">
      <c r="A84" s="19">
        <f>Sheet1!A84</f>
        <v>83</v>
      </c>
      <c r="B84" s="19" t="str">
        <f>Sheet1!B84</f>
        <v>DAVINA RATNANDITA</v>
      </c>
      <c r="C84" s="19">
        <f>Sheet1!C84</f>
        <v>2024070445</v>
      </c>
      <c r="D84" s="19" t="str">
        <f>Sheet1!D84</f>
        <v>E</v>
      </c>
      <c r="E84" s="19" t="str">
        <f>Sheet1!E84</f>
        <v>E-2</v>
      </c>
      <c r="F84" s="19">
        <f>Sheet1!F84</f>
        <v>3</v>
      </c>
      <c r="G84" s="19" t="str">
        <f>Sheet1!G84</f>
        <v>3 ULA A PUTRI</v>
      </c>
      <c r="H84" s="19" t="str">
        <f>Sheet1!H84</f>
        <v>MTS-9 B</v>
      </c>
      <c r="I84" s="19" t="str">
        <f>Sheet1!I84</f>
        <v>SUWATUN</v>
      </c>
      <c r="J84" s="19" t="str">
        <f>Sheet1!J84</f>
        <v>TEMBOK PENDOWOLIMO RT 002 RW 003 KARANGBINANGUN LAMONGAN</v>
      </c>
      <c r="K84" s="19" t="str">
        <f>Sheet1!K84</f>
        <v>6282131864843</v>
      </c>
      <c r="L84" s="20">
        <f>Sheet1!L84</f>
        <v>0</v>
      </c>
      <c r="M84" s="20">
        <f>Sheet1!M84</f>
        <v>1000000</v>
      </c>
      <c r="N84" s="20">
        <f>Sheet1!N84</f>
        <v>0</v>
      </c>
      <c r="O84" s="20">
        <f>Sheet1!O84</f>
        <v>1000000</v>
      </c>
      <c r="P84" s="19" t="str">
        <f>Sheet1!P84</f>
        <v/>
      </c>
      <c r="Q84" s="19" t="str">
        <f>Sheet1!Q84</f>
        <v/>
      </c>
      <c r="R84" s="19" t="str">
        <f>Sheet1!R84</f>
        <v/>
      </c>
      <c r="S84" s="19" t="str">
        <f>Sheet1!S84</f>
        <v>Belum Lunas</v>
      </c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2"/>
      <c r="CC84" s="22"/>
      <c r="CD84" s="21"/>
      <c r="CE84" s="21"/>
      <c r="CF84" s="22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</row>
    <row r="85">
      <c r="A85" s="19">
        <f>Sheet1!A85</f>
        <v>84</v>
      </c>
      <c r="B85" s="19" t="str">
        <f>Sheet1!B85</f>
        <v>DIVA EKA LESTARI</v>
      </c>
      <c r="C85" s="19">
        <f>Sheet1!C85</f>
        <v>2024070006</v>
      </c>
      <c r="D85" s="19" t="str">
        <f>Sheet1!D85</f>
        <v>C</v>
      </c>
      <c r="E85" s="19" t="str">
        <f>Sheet1!E85</f>
        <v>C-2</v>
      </c>
      <c r="F85" s="19">
        <f>Sheet1!F85</f>
        <v>3</v>
      </c>
      <c r="G85" s="19" t="str">
        <f>Sheet1!G85</f>
        <v/>
      </c>
      <c r="H85" s="19" t="str">
        <f>Sheet1!H85</f>
        <v>MA-XII.1</v>
      </c>
      <c r="I85" s="19" t="str">
        <f>Sheet1!I85</f>
        <v>NING MINARSIH</v>
      </c>
      <c r="J85" s="19" t="str">
        <f>Sheet1!J85</f>
        <v>P. TENDEAN 24 KULURAN RT 004 RW 004 KALITENGAH LAMONGAN</v>
      </c>
      <c r="K85" s="19" t="str">
        <f>Sheet1!K85</f>
        <v>6285755339391</v>
      </c>
      <c r="L85" s="20">
        <f>Sheet1!L85</f>
        <v>0</v>
      </c>
      <c r="M85" s="20">
        <f>Sheet1!M85</f>
        <v>1000000</v>
      </c>
      <c r="N85" s="20">
        <f>Sheet1!N85</f>
        <v>0</v>
      </c>
      <c r="O85" s="20">
        <f>Sheet1!O85</f>
        <v>1000000</v>
      </c>
      <c r="P85" s="19" t="str">
        <f>Sheet1!P85</f>
        <v/>
      </c>
      <c r="Q85" s="19" t="str">
        <f>Sheet1!Q85</f>
        <v/>
      </c>
      <c r="R85" s="19" t="str">
        <f>Sheet1!R85</f>
        <v/>
      </c>
      <c r="S85" s="19" t="str">
        <f>Sheet1!S85</f>
        <v>Belum Lunas</v>
      </c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2"/>
      <c r="CC85" s="22"/>
      <c r="CD85" s="21"/>
      <c r="CE85" s="21"/>
      <c r="CF85" s="22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</row>
    <row r="86">
      <c r="A86" s="19">
        <f>Sheet1!A86</f>
        <v>85</v>
      </c>
      <c r="B86" s="19" t="str">
        <f>Sheet1!B86</f>
        <v>FATIMATUZZAHROH MUSOFFA</v>
      </c>
      <c r="C86" s="19">
        <f>Sheet1!C86</f>
        <v>2024070045</v>
      </c>
      <c r="D86" s="19" t="str">
        <f>Sheet1!D86</f>
        <v>C</v>
      </c>
      <c r="E86" s="19" t="str">
        <f>Sheet1!E86</f>
        <v>C-9</v>
      </c>
      <c r="F86" s="19">
        <f>Sheet1!F86</f>
        <v>3</v>
      </c>
      <c r="G86" s="19" t="str">
        <f>Sheet1!G86</f>
        <v/>
      </c>
      <c r="H86" s="19" t="str">
        <f>Sheet1!H86</f>
        <v>MA-XII.2</v>
      </c>
      <c r="I86" s="19" t="str">
        <f>Sheet1!I86</f>
        <v>MUSLIMAH</v>
      </c>
      <c r="J86" s="19" t="str">
        <f>Sheet1!J86</f>
        <v>WEDENG SUKOREJO RT 002 RW 003 KARANGBINANGUN LAMONGAN</v>
      </c>
      <c r="K86" s="19" t="str">
        <f>Sheet1!K86</f>
        <v>6285893727203</v>
      </c>
      <c r="L86" s="20">
        <f>Sheet1!L86</f>
        <v>0</v>
      </c>
      <c r="M86" s="20">
        <f>Sheet1!M86</f>
        <v>1000000</v>
      </c>
      <c r="N86" s="20">
        <f>Sheet1!N86</f>
        <v>0</v>
      </c>
      <c r="O86" s="20">
        <f>Sheet1!O86</f>
        <v>1000000</v>
      </c>
      <c r="P86" s="19" t="str">
        <f>Sheet1!P86</f>
        <v/>
      </c>
      <c r="Q86" s="19" t="str">
        <f>Sheet1!Q86</f>
        <v/>
      </c>
      <c r="R86" s="19" t="str">
        <f>Sheet1!R86</f>
        <v/>
      </c>
      <c r="S86" s="19" t="str">
        <f>Sheet1!S86</f>
        <v>Belum Lunas</v>
      </c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2"/>
      <c r="CC86" s="22"/>
      <c r="CD86" s="21"/>
      <c r="CE86" s="21"/>
      <c r="CF86" s="22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</row>
    <row r="87">
      <c r="A87" s="19">
        <f>Sheet1!A87</f>
        <v>86</v>
      </c>
      <c r="B87" s="19" t="str">
        <f>Sheet1!B87</f>
        <v>FLORETA NAFISHA PUTRI</v>
      </c>
      <c r="C87" s="19">
        <f>Sheet1!C87</f>
        <v>2024070422</v>
      </c>
      <c r="D87" s="19" t="str">
        <f>Sheet1!D87</f>
        <v>C</v>
      </c>
      <c r="E87" s="19" t="str">
        <f>Sheet1!E87</f>
        <v>C-7</v>
      </c>
      <c r="F87" s="19">
        <f>Sheet1!F87</f>
        <v>3</v>
      </c>
      <c r="G87" s="19" t="str">
        <f>Sheet1!G87</f>
        <v>3 MAK PUTRI</v>
      </c>
      <c r="H87" s="19" t="str">
        <f>Sheet1!H87</f>
        <v>MA-XII.13</v>
      </c>
      <c r="I87" s="19" t="str">
        <f>Sheet1!I87</f>
        <v>PUTRI NINGSIH</v>
      </c>
      <c r="J87" s="19" t="str">
        <f>Sheet1!J87</f>
        <v>JL. MAWAR NO. 047 SIMBATAN RT 001 RW 001 SARIREJO LAMONGAN</v>
      </c>
      <c r="K87" s="19" t="str">
        <f>Sheet1!K87</f>
        <v>6281559946320</v>
      </c>
      <c r="L87" s="20">
        <f>Sheet1!L87</f>
        <v>0</v>
      </c>
      <c r="M87" s="20">
        <f>Sheet1!M87</f>
        <v>1000000</v>
      </c>
      <c r="N87" s="20">
        <f>Sheet1!N87</f>
        <v>0</v>
      </c>
      <c r="O87" s="20">
        <f>Sheet1!O87</f>
        <v>1000000</v>
      </c>
      <c r="P87" s="19" t="str">
        <f>Sheet1!P87</f>
        <v/>
      </c>
      <c r="Q87" s="19" t="str">
        <f>Sheet1!Q87</f>
        <v/>
      </c>
      <c r="R87" s="19" t="str">
        <f>Sheet1!R87</f>
        <v/>
      </c>
      <c r="S87" s="19" t="str">
        <f>Sheet1!S87</f>
        <v>Belum Lunas</v>
      </c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2"/>
      <c r="CC87" s="22"/>
      <c r="CD87" s="21"/>
      <c r="CE87" s="21"/>
      <c r="CF87" s="22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</row>
    <row r="88">
      <c r="A88" s="19">
        <f>Sheet1!A88</f>
        <v>87</v>
      </c>
      <c r="B88" s="19" t="str">
        <f>Sheet1!B88</f>
        <v>KHANSA ZARINA MISBACH</v>
      </c>
      <c r="C88" s="19">
        <f>Sheet1!C88</f>
        <v>2024070585</v>
      </c>
      <c r="D88" s="19" t="str">
        <f>Sheet1!D88</f>
        <v>E</v>
      </c>
      <c r="E88" s="19" t="str">
        <f>Sheet1!E88</f>
        <v>E-3</v>
      </c>
      <c r="F88" s="19">
        <f>Sheet1!F88</f>
        <v>3</v>
      </c>
      <c r="G88" s="19" t="str">
        <f>Sheet1!G88</f>
        <v>3 ULA A PUTRI</v>
      </c>
      <c r="H88" s="19" t="str">
        <f>Sheet1!H88</f>
        <v>MTS-9 B</v>
      </c>
      <c r="I88" s="19" t="str">
        <f>Sheet1!I88</f>
        <v>MASLIHATIN</v>
      </c>
      <c r="J88" s="19" t="str">
        <f>Sheet1!J88</f>
        <v>BANGERAN RT 003 RW 002 DUKUN GRESIK</v>
      </c>
      <c r="K88" s="19" t="str">
        <f>Sheet1!K88</f>
        <v>6285784480833</v>
      </c>
      <c r="L88" s="20">
        <f>Sheet1!L88</f>
        <v>0</v>
      </c>
      <c r="M88" s="20">
        <f>Sheet1!M88</f>
        <v>1000000</v>
      </c>
      <c r="N88" s="20">
        <f>Sheet1!N88</f>
        <v>0</v>
      </c>
      <c r="O88" s="20">
        <f>Sheet1!O88</f>
        <v>1000000</v>
      </c>
      <c r="P88" s="19" t="str">
        <f>Sheet1!P88</f>
        <v/>
      </c>
      <c r="Q88" s="19" t="str">
        <f>Sheet1!Q88</f>
        <v/>
      </c>
      <c r="R88" s="19" t="str">
        <f>Sheet1!R88</f>
        <v/>
      </c>
      <c r="S88" s="19" t="str">
        <f>Sheet1!S88</f>
        <v>Belum Lunas</v>
      </c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2"/>
      <c r="CC88" s="22"/>
      <c r="CD88" s="21"/>
      <c r="CE88" s="21"/>
      <c r="CF88" s="22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</row>
    <row r="89">
      <c r="A89" s="19">
        <f>Sheet1!A89</f>
        <v>88</v>
      </c>
      <c r="B89" s="19" t="str">
        <f>Sheet1!B89</f>
        <v>LAILA AININ NAF`AH</v>
      </c>
      <c r="C89" s="19">
        <f>Sheet1!C89</f>
        <v>2024080769</v>
      </c>
      <c r="D89" s="19" t="str">
        <f>Sheet1!D89</f>
        <v>D</v>
      </c>
      <c r="E89" s="19" t="str">
        <f>Sheet1!E89</f>
        <v>D-7</v>
      </c>
      <c r="F89" s="19">
        <f>Sheet1!F89</f>
        <v>3</v>
      </c>
      <c r="G89" s="19" t="str">
        <f>Sheet1!G89</f>
        <v/>
      </c>
      <c r="H89" s="19" t="str">
        <f>Sheet1!H89</f>
        <v>MTS-9 B</v>
      </c>
      <c r="I89" s="19" t="str">
        <f>Sheet1!I89</f>
        <v>IFATUL AINIYAH</v>
      </c>
      <c r="J89" s="19" t="str">
        <f>Sheet1!J89</f>
        <v>SUNGELEBAK RT 013 RW 004 KARANGGENENG LAMONGAN</v>
      </c>
      <c r="K89" s="19" t="str">
        <f>Sheet1!K89</f>
        <v>6289636729723</v>
      </c>
      <c r="L89" s="20">
        <f>Sheet1!L89</f>
        <v>0</v>
      </c>
      <c r="M89" s="20">
        <f>Sheet1!M89</f>
        <v>1000000</v>
      </c>
      <c r="N89" s="20">
        <f>Sheet1!N89</f>
        <v>0</v>
      </c>
      <c r="O89" s="20">
        <f>Sheet1!O89</f>
        <v>1000000</v>
      </c>
      <c r="P89" s="19" t="str">
        <f>Sheet1!P89</f>
        <v/>
      </c>
      <c r="Q89" s="19" t="str">
        <f>Sheet1!Q89</f>
        <v/>
      </c>
      <c r="R89" s="19" t="str">
        <f>Sheet1!R89</f>
        <v/>
      </c>
      <c r="S89" s="19" t="str">
        <f>Sheet1!S89</f>
        <v>Belum Lunas</v>
      </c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2"/>
      <c r="CC89" s="22"/>
      <c r="CD89" s="21"/>
      <c r="CE89" s="21"/>
      <c r="CF89" s="22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</row>
    <row r="90">
      <c r="A90" s="19">
        <f>Sheet1!A90</f>
        <v>89</v>
      </c>
      <c r="B90" s="19" t="str">
        <f>Sheet1!B90</f>
        <v>M. FAHRY SATRIA KURNIAWAN</v>
      </c>
      <c r="C90" s="19">
        <f>Sheet1!C90</f>
        <v>2024070477</v>
      </c>
      <c r="D90" s="19" t="str">
        <f>Sheet1!D90</f>
        <v>A</v>
      </c>
      <c r="E90" s="19" t="str">
        <f>Sheet1!E90</f>
        <v>A-8</v>
      </c>
      <c r="F90" s="19">
        <f>Sheet1!F90</f>
        <v>3</v>
      </c>
      <c r="G90" s="19" t="str">
        <f>Sheet1!G90</f>
        <v>3 ULA A PUTRA</v>
      </c>
      <c r="H90" s="19" t="str">
        <f>Sheet1!H90</f>
        <v>MTS-9 E</v>
      </c>
      <c r="I90" s="19" t="str">
        <f>Sheet1!I90</f>
        <v>IVA WAHYU NINGSIH</v>
      </c>
      <c r="J90" s="19" t="str">
        <f>Sheet1!J90</f>
        <v>SUGIHWARAS RT 002 RW 001 DEKET LAMONGAN</v>
      </c>
      <c r="K90" s="19" t="str">
        <f>Sheet1!K90</f>
        <v>6282143497363</v>
      </c>
      <c r="L90" s="20">
        <f>Sheet1!L90</f>
        <v>0</v>
      </c>
      <c r="M90" s="20">
        <f>Sheet1!M90</f>
        <v>1000000</v>
      </c>
      <c r="N90" s="20">
        <f>Sheet1!N90</f>
        <v>0</v>
      </c>
      <c r="O90" s="20">
        <f>Sheet1!O90</f>
        <v>1000000</v>
      </c>
      <c r="P90" s="19" t="str">
        <f>Sheet1!P90</f>
        <v/>
      </c>
      <c r="Q90" s="19" t="str">
        <f>Sheet1!Q90</f>
        <v/>
      </c>
      <c r="R90" s="19" t="str">
        <f>Sheet1!R90</f>
        <v/>
      </c>
      <c r="S90" s="19" t="str">
        <f>Sheet1!S90</f>
        <v>Belum Lunas</v>
      </c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2"/>
      <c r="CC90" s="22"/>
      <c r="CD90" s="21"/>
      <c r="CE90" s="21"/>
      <c r="CF90" s="22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</row>
    <row r="91">
      <c r="A91" s="19">
        <f>Sheet1!A91</f>
        <v>90</v>
      </c>
      <c r="B91" s="19" t="str">
        <f>Sheet1!B91</f>
        <v>MARCELIA CRENATA SHINTA DEWI</v>
      </c>
      <c r="C91" s="19">
        <f>Sheet1!C91</f>
        <v>2024070426</v>
      </c>
      <c r="D91" s="19" t="str">
        <f>Sheet1!D91</f>
        <v>D</v>
      </c>
      <c r="E91" s="19" t="str">
        <f>Sheet1!E91</f>
        <v>D-7</v>
      </c>
      <c r="F91" s="19">
        <f>Sheet1!F91</f>
        <v>3</v>
      </c>
      <c r="G91" s="19" t="str">
        <f>Sheet1!G91</f>
        <v>3 MAK PUTRI</v>
      </c>
      <c r="H91" s="19" t="str">
        <f>Sheet1!H91</f>
        <v>MA-XII.13</v>
      </c>
      <c r="I91" s="19" t="str">
        <f>Sheet1!I91</f>
        <v>YULIATI</v>
      </c>
      <c r="J91" s="19" t="str">
        <f>Sheet1!J91</f>
        <v>GEDANGAN RT 004 RW 003 GEDANGAN SIDOARJO</v>
      </c>
      <c r="K91" s="19" t="str">
        <f>Sheet1!K91</f>
        <v>6281312701983</v>
      </c>
      <c r="L91" s="20">
        <f>Sheet1!L91</f>
        <v>0</v>
      </c>
      <c r="M91" s="20">
        <f>Sheet1!M91</f>
        <v>1000000</v>
      </c>
      <c r="N91" s="20">
        <f>Sheet1!N91</f>
        <v>0</v>
      </c>
      <c r="O91" s="20">
        <f>Sheet1!O91</f>
        <v>1000000</v>
      </c>
      <c r="P91" s="19" t="str">
        <f>Sheet1!P91</f>
        <v/>
      </c>
      <c r="Q91" s="19" t="str">
        <f>Sheet1!Q91</f>
        <v/>
      </c>
      <c r="R91" s="19" t="str">
        <f>Sheet1!R91</f>
        <v/>
      </c>
      <c r="S91" s="19" t="str">
        <f>Sheet1!S91</f>
        <v>Belum Lunas</v>
      </c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2"/>
      <c r="CC91" s="22"/>
      <c r="CD91" s="21"/>
      <c r="CE91" s="21"/>
      <c r="CF91" s="22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</row>
    <row r="92">
      <c r="A92" s="19">
        <f>Sheet1!A92</f>
        <v>91</v>
      </c>
      <c r="B92" s="19" t="str">
        <f>Sheet1!B92</f>
        <v>MECCA MIKAILA</v>
      </c>
      <c r="C92" s="19">
        <f>Sheet1!C92</f>
        <v>2024070539</v>
      </c>
      <c r="D92" s="19" t="str">
        <f>Sheet1!D92</f>
        <v>C</v>
      </c>
      <c r="E92" s="19" t="str">
        <f>Sheet1!E92</f>
        <v>C-13</v>
      </c>
      <c r="F92" s="19">
        <f>Sheet1!F92</f>
        <v>3</v>
      </c>
      <c r="G92" s="19" t="str">
        <f>Sheet1!G92</f>
        <v>3 ULA B PUTRI</v>
      </c>
      <c r="H92" s="19" t="str">
        <f>Sheet1!H92</f>
        <v>MTS-9 H</v>
      </c>
      <c r="I92" s="19" t="str">
        <f>Sheet1!I92</f>
        <v>SUSIAMI KHOIRUL UYUN</v>
      </c>
      <c r="J92" s="19" t="str">
        <f>Sheet1!J92</f>
        <v>KARANGCANGKRING RT 004 RW 002 DUKUN GRESIK</v>
      </c>
      <c r="K92" s="19" t="str">
        <f>Sheet1!K92</f>
        <v>6285843253842</v>
      </c>
      <c r="L92" s="20">
        <f>Sheet1!L92</f>
        <v>0</v>
      </c>
      <c r="M92" s="20">
        <f>Sheet1!M92</f>
        <v>1000000</v>
      </c>
      <c r="N92" s="20">
        <f>Sheet1!N92</f>
        <v>0</v>
      </c>
      <c r="O92" s="20">
        <f>Sheet1!O92</f>
        <v>1000000</v>
      </c>
      <c r="P92" s="19" t="str">
        <f>Sheet1!P92</f>
        <v/>
      </c>
      <c r="Q92" s="19" t="str">
        <f>Sheet1!Q92</f>
        <v/>
      </c>
      <c r="R92" s="19" t="str">
        <f>Sheet1!R92</f>
        <v/>
      </c>
      <c r="S92" s="19" t="str">
        <f>Sheet1!S92</f>
        <v>Belum Lunas</v>
      </c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2"/>
      <c r="CC92" s="22"/>
      <c r="CD92" s="21"/>
      <c r="CE92" s="21"/>
      <c r="CF92" s="22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</row>
    <row r="93">
      <c r="A93" s="19">
        <f>Sheet1!A93</f>
        <v>92</v>
      </c>
      <c r="B93" s="19" t="str">
        <f>Sheet1!B93</f>
        <v>MOHAMAD ARZAQ DWI SAPUTRA</v>
      </c>
      <c r="C93" s="19">
        <f>Sheet1!C93</f>
        <v>2024070529</v>
      </c>
      <c r="D93" s="19" t="str">
        <f>Sheet1!D93</f>
        <v>A</v>
      </c>
      <c r="E93" s="19" t="str">
        <f>Sheet1!E93</f>
        <v>A-8</v>
      </c>
      <c r="F93" s="19">
        <f>Sheet1!F93</f>
        <v>3</v>
      </c>
      <c r="G93" s="19" t="str">
        <f>Sheet1!G93</f>
        <v>3 ULA A PUTRA</v>
      </c>
      <c r="H93" s="19" t="str">
        <f>Sheet1!H93</f>
        <v>MTS-9 D</v>
      </c>
      <c r="I93" s="19" t="str">
        <f>Sheet1!I93</f>
        <v>UMMU ZAHROTIN</v>
      </c>
      <c r="J93" s="19" t="str">
        <f>Sheet1!J93</f>
        <v>TRACAL RT 003 RW 003 KARANGGENENG LAMONGAN</v>
      </c>
      <c r="K93" s="19" t="str">
        <f>Sheet1!K93</f>
        <v>6287794604684</v>
      </c>
      <c r="L93" s="20">
        <f>Sheet1!L93</f>
        <v>0</v>
      </c>
      <c r="M93" s="20">
        <f>Sheet1!M93</f>
        <v>1000000</v>
      </c>
      <c r="N93" s="20">
        <f>Sheet1!N93</f>
        <v>0</v>
      </c>
      <c r="O93" s="20">
        <f>Sheet1!O93</f>
        <v>1000000</v>
      </c>
      <c r="P93" s="19" t="str">
        <f>Sheet1!P93</f>
        <v/>
      </c>
      <c r="Q93" s="19" t="str">
        <f>Sheet1!Q93</f>
        <v/>
      </c>
      <c r="R93" s="19" t="str">
        <f>Sheet1!R93</f>
        <v/>
      </c>
      <c r="S93" s="19" t="str">
        <f>Sheet1!S93</f>
        <v>Belum Lunas</v>
      </c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2"/>
      <c r="CC93" s="22"/>
      <c r="CD93" s="21"/>
      <c r="CE93" s="21"/>
      <c r="CF93" s="22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</row>
    <row r="94">
      <c r="A94" s="19">
        <f>Sheet1!A94</f>
        <v>93</v>
      </c>
      <c r="B94" s="19" t="str">
        <f>Sheet1!B94</f>
        <v>MUHAMMAD NASRUL FALAQ</v>
      </c>
      <c r="C94" s="19">
        <f>Sheet1!C94</f>
        <v>2024070695</v>
      </c>
      <c r="D94" s="19" t="str">
        <f>Sheet1!D94</f>
        <v>A</v>
      </c>
      <c r="E94" s="19" t="str">
        <f>Sheet1!E94</f>
        <v>A-12</v>
      </c>
      <c r="F94" s="19">
        <f>Sheet1!F94</f>
        <v>3</v>
      </c>
      <c r="G94" s="19" t="str">
        <f>Sheet1!G94</f>
        <v>3 WUSTHO PUTRA</v>
      </c>
      <c r="H94" s="19" t="str">
        <f>Sheet1!H94</f>
        <v>SMK-XII TKJ 1</v>
      </c>
      <c r="I94" s="19" t="str">
        <f>Sheet1!I94</f>
        <v>IFA TRIANA</v>
      </c>
      <c r="J94" s="19" t="str">
        <f>Sheet1!J94</f>
        <v>WONOKERTO RT 017 RW 003 DUKUN GRESIK</v>
      </c>
      <c r="K94" s="19" t="str">
        <f>Sheet1!K94</f>
        <v>6285602657179</v>
      </c>
      <c r="L94" s="20">
        <f>Sheet1!L94</f>
        <v>0</v>
      </c>
      <c r="M94" s="20">
        <f>Sheet1!M94</f>
        <v>1000000</v>
      </c>
      <c r="N94" s="20">
        <f>Sheet1!N94</f>
        <v>0</v>
      </c>
      <c r="O94" s="20">
        <f>Sheet1!O94</f>
        <v>1000000</v>
      </c>
      <c r="P94" s="19" t="str">
        <f>Sheet1!P94</f>
        <v/>
      </c>
      <c r="Q94" s="19" t="str">
        <f>Sheet1!Q94</f>
        <v/>
      </c>
      <c r="R94" s="19" t="str">
        <f>Sheet1!R94</f>
        <v/>
      </c>
      <c r="S94" s="19" t="str">
        <f>Sheet1!S94</f>
        <v>Belum Lunas</v>
      </c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2"/>
      <c r="CC94" s="22"/>
      <c r="CD94" s="21"/>
      <c r="CE94" s="21"/>
      <c r="CF94" s="22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</row>
    <row r="95">
      <c r="A95" s="19">
        <f>Sheet1!A95</f>
        <v>94</v>
      </c>
      <c r="B95" s="19" t="str">
        <f>Sheet1!B95</f>
        <v>NAALAT SYAFA`ATUL UDHMA</v>
      </c>
      <c r="C95" s="19">
        <f>Sheet1!C95</f>
        <v>2024070604</v>
      </c>
      <c r="D95" s="19" t="str">
        <f>Sheet1!D95</f>
        <v>E</v>
      </c>
      <c r="E95" s="19" t="str">
        <f>Sheet1!E95</f>
        <v>E-3</v>
      </c>
      <c r="F95" s="19">
        <f>Sheet1!F95</f>
        <v>3</v>
      </c>
      <c r="G95" s="19" t="str">
        <f>Sheet1!G95</f>
        <v>3 ULA A PUTRI</v>
      </c>
      <c r="H95" s="19" t="str">
        <f>Sheet1!H95</f>
        <v>MTS-9 D</v>
      </c>
      <c r="I95" s="19" t="str">
        <f>Sheet1!I95</f>
        <v>MAFTUHATUL AFLAHAH</v>
      </c>
      <c r="J95" s="19" t="str">
        <f>Sheet1!J95</f>
        <v>BANGERAN RT 006 RW 002 DUKUN GRESIK</v>
      </c>
      <c r="K95" s="19" t="str">
        <f>Sheet1!K95</f>
        <v>6285749469938</v>
      </c>
      <c r="L95" s="20">
        <f>Sheet1!L95</f>
        <v>0</v>
      </c>
      <c r="M95" s="20">
        <f>Sheet1!M95</f>
        <v>1000000</v>
      </c>
      <c r="N95" s="20">
        <f>Sheet1!N95</f>
        <v>0</v>
      </c>
      <c r="O95" s="20">
        <f>Sheet1!O95</f>
        <v>1000000</v>
      </c>
      <c r="P95" s="19" t="str">
        <f>Sheet1!P95</f>
        <v/>
      </c>
      <c r="Q95" s="19" t="str">
        <f>Sheet1!Q95</f>
        <v/>
      </c>
      <c r="R95" s="19" t="str">
        <f>Sheet1!R95</f>
        <v/>
      </c>
      <c r="S95" s="19" t="str">
        <f>Sheet1!S95</f>
        <v>Belum Lunas</v>
      </c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2"/>
      <c r="CC95" s="22"/>
      <c r="CD95" s="21"/>
      <c r="CE95" s="21"/>
      <c r="CF95" s="22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</row>
    <row r="96">
      <c r="A96" s="19">
        <f>Sheet1!A96</f>
        <v>95</v>
      </c>
      <c r="B96" s="19" t="str">
        <f>Sheet1!B96</f>
        <v>NIRMA LAILATUL AIDA</v>
      </c>
      <c r="C96" s="19">
        <f>Sheet1!C96</f>
        <v>2024070541</v>
      </c>
      <c r="D96" s="19" t="str">
        <f>Sheet1!D96</f>
        <v>E</v>
      </c>
      <c r="E96" s="19" t="str">
        <f>Sheet1!E96</f>
        <v>E-2</v>
      </c>
      <c r="F96" s="19">
        <f>Sheet1!F96</f>
        <v>3</v>
      </c>
      <c r="G96" s="19" t="str">
        <f>Sheet1!G96</f>
        <v>3 ULA A PUTRI</v>
      </c>
      <c r="H96" s="19" t="str">
        <f>Sheet1!H96</f>
        <v>MTS-9 B</v>
      </c>
      <c r="I96" s="19" t="str">
        <f>Sheet1!I96</f>
        <v>SITI RIFATIN</v>
      </c>
      <c r="J96" s="19" t="str">
        <f>Sheet1!J96</f>
        <v>DAGAN RT 005 RW 001 SOLOKURO LAMONGAN</v>
      </c>
      <c r="K96" s="19" t="str">
        <f>Sheet1!K96</f>
        <v>6285855714013</v>
      </c>
      <c r="L96" s="20">
        <f>Sheet1!L96</f>
        <v>0</v>
      </c>
      <c r="M96" s="20">
        <f>Sheet1!M96</f>
        <v>1000000</v>
      </c>
      <c r="N96" s="20">
        <f>Sheet1!N96</f>
        <v>0</v>
      </c>
      <c r="O96" s="20">
        <f>Sheet1!O96</f>
        <v>1000000</v>
      </c>
      <c r="P96" s="19" t="str">
        <f>Sheet1!P96</f>
        <v/>
      </c>
      <c r="Q96" s="19" t="str">
        <f>Sheet1!Q96</f>
        <v/>
      </c>
      <c r="R96" s="19" t="str">
        <f>Sheet1!R96</f>
        <v/>
      </c>
      <c r="S96" s="19" t="str">
        <f>Sheet1!S96</f>
        <v>Belum Lunas</v>
      </c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2"/>
      <c r="CC96" s="22"/>
      <c r="CD96" s="21"/>
      <c r="CE96" s="21"/>
      <c r="CF96" s="22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</row>
    <row r="97">
      <c r="A97" s="19">
        <f>Sheet1!A97</f>
        <v>96</v>
      </c>
      <c r="B97" s="19" t="str">
        <f>Sheet1!B97</f>
        <v>NUR LABIBATUS SHOLIHAH</v>
      </c>
      <c r="C97" s="19">
        <f>Sheet1!C97</f>
        <v>2024070568</v>
      </c>
      <c r="D97" s="19" t="str">
        <f>Sheet1!D97</f>
        <v>E</v>
      </c>
      <c r="E97" s="19" t="str">
        <f>Sheet1!E97</f>
        <v>E-3</v>
      </c>
      <c r="F97" s="19">
        <f>Sheet1!F97</f>
        <v>3</v>
      </c>
      <c r="G97" s="19" t="str">
        <f>Sheet1!G97</f>
        <v>3 ULA A PUTRI</v>
      </c>
      <c r="H97" s="19" t="str">
        <f>Sheet1!H97</f>
        <v>MTS-9 D</v>
      </c>
      <c r="I97" s="19" t="str">
        <f>Sheet1!I97</f>
        <v>SITI MAIMANAH</v>
      </c>
      <c r="J97" s="19" t="str">
        <f>Sheet1!J97</f>
        <v>TINARO DUKUHAGUNG RT 005 RW 004 TIKUNG LAMONGAN</v>
      </c>
      <c r="K97" s="19" t="str">
        <f>Sheet1!K97</f>
        <v>6285853423327</v>
      </c>
      <c r="L97" s="20">
        <f>Sheet1!L97</f>
        <v>0</v>
      </c>
      <c r="M97" s="20">
        <f>Sheet1!M97</f>
        <v>1000000</v>
      </c>
      <c r="N97" s="20">
        <f>Sheet1!N97</f>
        <v>0</v>
      </c>
      <c r="O97" s="20">
        <f>Sheet1!O97</f>
        <v>1000000</v>
      </c>
      <c r="P97" s="19" t="str">
        <f>Sheet1!P97</f>
        <v/>
      </c>
      <c r="Q97" s="19" t="str">
        <f>Sheet1!Q97</f>
        <v/>
      </c>
      <c r="R97" s="19" t="str">
        <f>Sheet1!R97</f>
        <v/>
      </c>
      <c r="S97" s="19" t="str">
        <f>Sheet1!S97</f>
        <v>Belum Lunas</v>
      </c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2"/>
      <c r="CC97" s="22"/>
      <c r="CD97" s="21"/>
      <c r="CE97" s="21"/>
      <c r="CF97" s="22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</row>
    <row r="98">
      <c r="A98" s="19">
        <f>Sheet1!A98</f>
        <v>97</v>
      </c>
      <c r="B98" s="19" t="str">
        <f>Sheet1!B98</f>
        <v>NURUL IFADATUL HASANAH</v>
      </c>
      <c r="C98" s="19">
        <f>Sheet1!C98</f>
        <v>2024070542</v>
      </c>
      <c r="D98" s="19" t="str">
        <f>Sheet1!D98</f>
        <v>E</v>
      </c>
      <c r="E98" s="19" t="str">
        <f>Sheet1!E98</f>
        <v>E-3</v>
      </c>
      <c r="F98" s="19">
        <f>Sheet1!F98</f>
        <v>3</v>
      </c>
      <c r="G98" s="19" t="str">
        <f>Sheet1!G98</f>
        <v>3 ULA B PUTRI</v>
      </c>
      <c r="H98" s="19" t="str">
        <f>Sheet1!H98</f>
        <v>MTS-9 B</v>
      </c>
      <c r="I98" s="19" t="str">
        <f>Sheet1!I98</f>
        <v>SUTU MUNTASIROH</v>
      </c>
      <c r="J98" s="19" t="str">
        <f>Sheet1!J98</f>
        <v>DAGAN RT 005 RW 001 SOLOKURO LAMONGAN</v>
      </c>
      <c r="K98" s="19" t="str">
        <f>Sheet1!K98</f>
        <v>6282230412303</v>
      </c>
      <c r="L98" s="20">
        <f>Sheet1!L98</f>
        <v>0</v>
      </c>
      <c r="M98" s="20">
        <f>Sheet1!M98</f>
        <v>1000000</v>
      </c>
      <c r="N98" s="20">
        <f>Sheet1!N98</f>
        <v>0</v>
      </c>
      <c r="O98" s="20">
        <f>Sheet1!O98</f>
        <v>1000000</v>
      </c>
      <c r="P98" s="19" t="str">
        <f>Sheet1!P98</f>
        <v/>
      </c>
      <c r="Q98" s="19" t="str">
        <f>Sheet1!Q98</f>
        <v/>
      </c>
      <c r="R98" s="19" t="str">
        <f>Sheet1!R98</f>
        <v/>
      </c>
      <c r="S98" s="19" t="str">
        <f>Sheet1!S98</f>
        <v>Belum Lunas</v>
      </c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2"/>
      <c r="CC98" s="22"/>
      <c r="CD98" s="21"/>
      <c r="CE98" s="21"/>
      <c r="CF98" s="22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</row>
    <row r="99">
      <c r="A99" s="19">
        <f>Sheet1!A99</f>
        <v>98</v>
      </c>
      <c r="B99" s="19" t="str">
        <f>Sheet1!B99</f>
        <v>QUEENSHA KHAURA AFIQAH AL AZIFA</v>
      </c>
      <c r="C99" s="19">
        <f>Sheet1!C99</f>
        <v>2024070647</v>
      </c>
      <c r="D99" s="19" t="str">
        <f>Sheet1!D99</f>
        <v>E</v>
      </c>
      <c r="E99" s="19" t="str">
        <f>Sheet1!E99</f>
        <v>E-9</v>
      </c>
      <c r="F99" s="19">
        <f>Sheet1!F99</f>
        <v>3</v>
      </c>
      <c r="G99" s="19" t="str">
        <f>Sheet1!G99</f>
        <v>3 ULA B PUTRI</v>
      </c>
      <c r="H99" s="19" t="str">
        <f>Sheet1!H99</f>
        <v>MTS-9 A</v>
      </c>
      <c r="I99" s="19" t="str">
        <f>Sheet1!I99</f>
        <v>FARIHATUN NI`MAH</v>
      </c>
      <c r="J99" s="19" t="str">
        <f>Sheet1!J99</f>
        <v>JABANG LOR SIDOMULYO RT 002 RW 006 SEMEN KEDIRI</v>
      </c>
      <c r="K99" s="19" t="str">
        <f>Sheet1!K99</f>
        <v>628573050168</v>
      </c>
      <c r="L99" s="20">
        <f>Sheet1!L99</f>
        <v>0</v>
      </c>
      <c r="M99" s="20">
        <f>Sheet1!M99</f>
        <v>1000000</v>
      </c>
      <c r="N99" s="20">
        <f>Sheet1!N99</f>
        <v>0</v>
      </c>
      <c r="O99" s="20">
        <f>Sheet1!O99</f>
        <v>1000000</v>
      </c>
      <c r="P99" s="19" t="str">
        <f>Sheet1!P99</f>
        <v/>
      </c>
      <c r="Q99" s="19" t="str">
        <f>Sheet1!Q99</f>
        <v/>
      </c>
      <c r="R99" s="19" t="str">
        <f>Sheet1!R99</f>
        <v/>
      </c>
      <c r="S99" s="19" t="str">
        <f>Sheet1!S99</f>
        <v>Belum Lunas</v>
      </c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2"/>
      <c r="CC99" s="22"/>
      <c r="CD99" s="21"/>
      <c r="CE99" s="21"/>
      <c r="CF99" s="22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</row>
    <row r="100">
      <c r="A100" s="19">
        <f>Sheet1!A100</f>
        <v>99</v>
      </c>
      <c r="B100" s="19" t="str">
        <f>Sheet1!B100</f>
        <v>RENY ARYSTA MIERZA</v>
      </c>
      <c r="C100" s="19">
        <f>Sheet1!C100</f>
        <v>2024070583</v>
      </c>
      <c r="D100" s="19" t="str">
        <f>Sheet1!D100</f>
        <v>E</v>
      </c>
      <c r="E100" s="19" t="str">
        <f>Sheet1!E100</f>
        <v>E-9</v>
      </c>
      <c r="F100" s="19">
        <f>Sheet1!F100</f>
        <v>3</v>
      </c>
      <c r="G100" s="19" t="str">
        <f>Sheet1!G100</f>
        <v>3 ULA B PUTRI</v>
      </c>
      <c r="H100" s="19" t="str">
        <f>Sheet1!H100</f>
        <v>MTS-9 A</v>
      </c>
      <c r="I100" s="19" t="str">
        <f>Sheet1!I100</f>
        <v>MARDLUYATUS SHOIFAH</v>
      </c>
      <c r="J100" s="19" t="str">
        <f>Sheet1!J100</f>
        <v>BANGERAN GENENG RT 005 RW 003 DUKUN GRESIK</v>
      </c>
      <c r="K100" s="19" t="str">
        <f>Sheet1!K100</f>
        <v>6285655316635</v>
      </c>
      <c r="L100" s="20">
        <f>Sheet1!L100</f>
        <v>0</v>
      </c>
      <c r="M100" s="20">
        <f>Sheet1!M100</f>
        <v>1000000</v>
      </c>
      <c r="N100" s="20">
        <f>Sheet1!N100</f>
        <v>0</v>
      </c>
      <c r="O100" s="20">
        <f>Sheet1!O100</f>
        <v>1000000</v>
      </c>
      <c r="P100" s="19" t="str">
        <f>Sheet1!P100</f>
        <v/>
      </c>
      <c r="Q100" s="19" t="str">
        <f>Sheet1!Q100</f>
        <v/>
      </c>
      <c r="R100" s="19" t="str">
        <f>Sheet1!R100</f>
        <v/>
      </c>
      <c r="S100" s="19" t="str">
        <f>Sheet1!S100</f>
        <v>Belum Lunas</v>
      </c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2"/>
      <c r="CC100" s="22"/>
      <c r="CD100" s="21"/>
      <c r="CE100" s="21"/>
      <c r="CF100" s="22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</row>
    <row r="101">
      <c r="A101" s="19">
        <f>Sheet1!A101</f>
        <v>100</v>
      </c>
      <c r="B101" s="19" t="str">
        <f>Sheet1!B101</f>
        <v>SALSABILLA DWI APRILLIA</v>
      </c>
      <c r="C101" s="19">
        <f>Sheet1!C101</f>
        <v>2024090774</v>
      </c>
      <c r="D101" s="19" t="str">
        <f>Sheet1!D101</f>
        <v>D</v>
      </c>
      <c r="E101" s="19" t="str">
        <f>Sheet1!E101</f>
        <v>D-4</v>
      </c>
      <c r="F101" s="19">
        <f>Sheet1!F101</f>
        <v>3</v>
      </c>
      <c r="G101" s="19" t="str">
        <f>Sheet1!G101</f>
        <v/>
      </c>
      <c r="H101" s="19" t="str">
        <f>Sheet1!H101</f>
        <v>MTS-9 H</v>
      </c>
      <c r="I101" s="19" t="str">
        <f>Sheet1!I101</f>
        <v>ERNA WATI</v>
      </c>
      <c r="J101" s="19" t="str">
        <f>Sheet1!J101</f>
        <v>DORO KARANGWEDORO RT 006 RW 004 TURI LAMONGAN</v>
      </c>
      <c r="K101" s="19" t="str">
        <f>Sheet1!K101</f>
        <v>6285648660015</v>
      </c>
      <c r="L101" s="20">
        <f>Sheet1!L101</f>
        <v>0</v>
      </c>
      <c r="M101" s="20">
        <f>Sheet1!M101</f>
        <v>1000000</v>
      </c>
      <c r="N101" s="20">
        <f>Sheet1!N101</f>
        <v>0</v>
      </c>
      <c r="O101" s="20">
        <f>Sheet1!O101</f>
        <v>1000000</v>
      </c>
      <c r="P101" s="19" t="str">
        <f>Sheet1!P101</f>
        <v/>
      </c>
      <c r="Q101" s="19" t="str">
        <f>Sheet1!Q101</f>
        <v/>
      </c>
      <c r="R101" s="19" t="str">
        <f>Sheet1!R101</f>
        <v/>
      </c>
      <c r="S101" s="19" t="str">
        <f>Sheet1!S101</f>
        <v>Belum Lunas</v>
      </c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2"/>
      <c r="CC101" s="22"/>
      <c r="CD101" s="21"/>
      <c r="CE101" s="21"/>
      <c r="CF101" s="22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</row>
    <row r="102">
      <c r="A102" s="19">
        <f>Sheet1!A102</f>
        <v>101</v>
      </c>
      <c r="B102" s="19" t="str">
        <f>Sheet1!B102</f>
        <v>BENY OCKTA</v>
      </c>
      <c r="C102" s="19">
        <f>Sheet1!C102</f>
        <v>2024070602</v>
      </c>
      <c r="D102" s="19" t="str">
        <f>Sheet1!D102</f>
        <v>A</v>
      </c>
      <c r="E102" s="19" t="str">
        <f>Sheet1!E102</f>
        <v>A-7</v>
      </c>
      <c r="F102" s="19">
        <f>Sheet1!F102</f>
        <v>3</v>
      </c>
      <c r="G102" s="19" t="str">
        <f>Sheet1!G102</f>
        <v>3 ULA B PUTRA</v>
      </c>
      <c r="H102" s="19" t="str">
        <f>Sheet1!H102</f>
        <v>MTS-9 F</v>
      </c>
      <c r="I102" s="19" t="str">
        <f>Sheet1!I102</f>
        <v>SUSANTI</v>
      </c>
      <c r="J102" s="19" t="str">
        <f>Sheet1!J102</f>
        <v>WEDENG SUKOREJO RT 001 RW 003 KARANGBINANGUN LAMONGAN</v>
      </c>
      <c r="K102" s="19" t="str">
        <f>Sheet1!K102</f>
        <v>6285252386649</v>
      </c>
      <c r="L102" s="20">
        <f>Sheet1!L102</f>
        <v>0</v>
      </c>
      <c r="M102" s="20">
        <f>Sheet1!M102</f>
        <v>1000000</v>
      </c>
      <c r="N102" s="20">
        <f>Sheet1!N102</f>
        <v>250000</v>
      </c>
      <c r="O102" s="20">
        <f>Sheet1!O102</f>
        <v>1250000</v>
      </c>
      <c r="P102" s="19" t="str">
        <f>Sheet1!P102</f>
        <v/>
      </c>
      <c r="Q102" s="19" t="str">
        <f>Sheet1!Q102</f>
        <v/>
      </c>
      <c r="R102" s="19" t="str">
        <f>Sheet1!R102</f>
        <v/>
      </c>
      <c r="S102" s="19" t="str">
        <f>Sheet1!S102</f>
        <v>Belum Lunas</v>
      </c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2"/>
      <c r="CC102" s="22"/>
      <c r="CD102" s="21"/>
      <c r="CE102" s="21"/>
      <c r="CF102" s="22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</row>
    <row r="103">
      <c r="A103" s="19">
        <f>Sheet1!A103</f>
        <v>102</v>
      </c>
      <c r="B103" s="19" t="str">
        <f>Sheet1!B103</f>
        <v>A`ISY SANIYA AZZAM</v>
      </c>
      <c r="C103" s="19">
        <f>Sheet1!C103</f>
        <v>2024070370</v>
      </c>
      <c r="D103" s="19" t="str">
        <f>Sheet1!D103</f>
        <v>D</v>
      </c>
      <c r="E103" s="19" t="str">
        <f>Sheet1!E103</f>
        <v>D-6</v>
      </c>
      <c r="F103" s="19">
        <f>Sheet1!F103</f>
        <v>3</v>
      </c>
      <c r="G103" s="19" t="str">
        <f>Sheet1!G103</f>
        <v/>
      </c>
      <c r="H103" s="19" t="str">
        <f>Sheet1!H103</f>
        <v>MA-XII.12</v>
      </c>
      <c r="I103" s="19" t="str">
        <f>Sheet1!I103</f>
        <v>ANISWATUL HASANAH</v>
      </c>
      <c r="J103" s="19" t="str">
        <f>Sheet1!J103</f>
        <v>BALAN BANJAREJO RT 4 RW 6 SUKODADI LAMONGAN</v>
      </c>
      <c r="K103" s="19" t="str">
        <f>Sheet1!K103</f>
        <v>6285645020382</v>
      </c>
      <c r="L103" s="20">
        <f>Sheet1!L103</f>
        <v>1350000</v>
      </c>
      <c r="M103" s="20">
        <f>Sheet1!M103</f>
        <v>0</v>
      </c>
      <c r="N103" s="20">
        <f>Sheet1!N103</f>
        <v>0</v>
      </c>
      <c r="O103" s="20">
        <f>Sheet1!O103</f>
        <v>1350000</v>
      </c>
      <c r="P103" s="19" t="str">
        <f>Sheet1!P103</f>
        <v/>
      </c>
      <c r="Q103" s="19" t="str">
        <f>Sheet1!Q103</f>
        <v/>
      </c>
      <c r="R103" s="19" t="str">
        <f>Sheet1!R103</f>
        <v/>
      </c>
      <c r="S103" s="19" t="str">
        <f>Sheet1!S103</f>
        <v>Belum Lunas</v>
      </c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2"/>
      <c r="CC103" s="22"/>
      <c r="CD103" s="21"/>
      <c r="CE103" s="21"/>
      <c r="CF103" s="22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</row>
    <row r="104">
      <c r="A104" s="19">
        <f>Sheet1!A104</f>
        <v>103</v>
      </c>
      <c r="B104" s="19" t="str">
        <f>Sheet1!B104</f>
        <v>DIAH MAHARANI ARDININGRUM</v>
      </c>
      <c r="C104" s="19">
        <f>Sheet1!C104</f>
        <v>2024080767</v>
      </c>
      <c r="D104" s="19" t="str">
        <f>Sheet1!D104</f>
        <v>D</v>
      </c>
      <c r="E104" s="19" t="str">
        <f>Sheet1!E104</f>
        <v>D-7</v>
      </c>
      <c r="F104" s="19">
        <f>Sheet1!F104</f>
        <v>3</v>
      </c>
      <c r="G104" s="19" t="str">
        <f>Sheet1!G104</f>
        <v>3 ULA B PUTRI</v>
      </c>
      <c r="H104" s="19" t="str">
        <f>Sheet1!H104</f>
        <v>MTS-9 A</v>
      </c>
      <c r="I104" s="19" t="str">
        <f>Sheet1!I104</f>
        <v>KHUSNUL KHOTIMAH</v>
      </c>
      <c r="J104" s="19" t="str">
        <f>Sheet1!J104</f>
        <v>PRAMBON PUCANGTELU RT 005 RW 002 KALITENGAH LAMONGAN</v>
      </c>
      <c r="K104" s="19" t="str">
        <f>Sheet1!K104</f>
        <v>62881217430350</v>
      </c>
      <c r="L104" s="20">
        <f>Sheet1!L104</f>
        <v>1350000</v>
      </c>
      <c r="M104" s="20">
        <f>Sheet1!M104</f>
        <v>0</v>
      </c>
      <c r="N104" s="20">
        <f>Sheet1!N104</f>
        <v>0</v>
      </c>
      <c r="O104" s="20">
        <f>Sheet1!O104</f>
        <v>1350000</v>
      </c>
      <c r="P104" s="19" t="str">
        <f>Sheet1!P104</f>
        <v/>
      </c>
      <c r="Q104" s="19" t="str">
        <f>Sheet1!Q104</f>
        <v/>
      </c>
      <c r="R104" s="19" t="str">
        <f>Sheet1!R104</f>
        <v/>
      </c>
      <c r="S104" s="19" t="str">
        <f>Sheet1!S104</f>
        <v>Belum Lunas</v>
      </c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2"/>
      <c r="CC104" s="22"/>
      <c r="CD104" s="21"/>
      <c r="CE104" s="21"/>
      <c r="CF104" s="22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</row>
    <row r="105">
      <c r="A105" s="19">
        <f>Sheet1!A105</f>
        <v>104</v>
      </c>
      <c r="B105" s="19" t="str">
        <f>Sheet1!B105</f>
        <v>FILDZAH ALTOFUN NESA</v>
      </c>
      <c r="C105" s="19">
        <f>Sheet1!C105</f>
        <v>2024070549</v>
      </c>
      <c r="D105" s="19" t="str">
        <f>Sheet1!D105</f>
        <v>C</v>
      </c>
      <c r="E105" s="19" t="str">
        <f>Sheet1!E105</f>
        <v>C-12</v>
      </c>
      <c r="F105" s="19">
        <f>Sheet1!F105</f>
        <v>3</v>
      </c>
      <c r="G105" s="19" t="str">
        <f>Sheet1!G105</f>
        <v>3 ULA B PUTRI</v>
      </c>
      <c r="H105" s="19" t="str">
        <f>Sheet1!H105</f>
        <v>MTS-9 G</v>
      </c>
      <c r="I105" s="19" t="str">
        <f>Sheet1!I105</f>
        <v>LUSIANA DWININGTIAS</v>
      </c>
      <c r="J105" s="19" t="str">
        <f>Sheet1!J105</f>
        <v>NGULEK KALIREJO RT 003 RW 002 DUKUN GRESIK</v>
      </c>
      <c r="K105" s="19" t="str">
        <f>Sheet1!K105</f>
        <v>628121719135</v>
      </c>
      <c r="L105" s="20">
        <f>Sheet1!L105</f>
        <v>1350000</v>
      </c>
      <c r="M105" s="20">
        <f>Sheet1!M105</f>
        <v>0</v>
      </c>
      <c r="N105" s="20">
        <f>Sheet1!N105</f>
        <v>0</v>
      </c>
      <c r="O105" s="20">
        <f>Sheet1!O105</f>
        <v>1350000</v>
      </c>
      <c r="P105" s="19" t="str">
        <f>Sheet1!P105</f>
        <v/>
      </c>
      <c r="Q105" s="19" t="str">
        <f>Sheet1!Q105</f>
        <v/>
      </c>
      <c r="R105" s="19" t="str">
        <f>Sheet1!R105</f>
        <v/>
      </c>
      <c r="S105" s="19" t="str">
        <f>Sheet1!S105</f>
        <v>Belum Lunas</v>
      </c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2"/>
      <c r="CC105" s="22"/>
      <c r="CD105" s="21"/>
      <c r="CE105" s="21"/>
      <c r="CF105" s="22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</row>
    <row r="106">
      <c r="A106" s="19">
        <f>Sheet1!A106</f>
        <v>105</v>
      </c>
      <c r="B106" s="19" t="str">
        <f>Sheet1!B106</f>
        <v>MUHAMMAD VICTOR NAJIB BAIHAQI</v>
      </c>
      <c r="C106" s="19">
        <f>Sheet1!C106</f>
        <v>2024070217</v>
      </c>
      <c r="D106" s="19" t="str">
        <f>Sheet1!D106</f>
        <v>A</v>
      </c>
      <c r="E106" s="19" t="str">
        <f>Sheet1!E106</f>
        <v>A-12</v>
      </c>
      <c r="F106" s="19">
        <f>Sheet1!F106</f>
        <v>3</v>
      </c>
      <c r="G106" s="19" t="str">
        <f>Sheet1!G106</f>
        <v>3 WUSTHO PUTRA</v>
      </c>
      <c r="H106" s="19" t="str">
        <f>Sheet1!H106</f>
        <v>MA-XII.6</v>
      </c>
      <c r="I106" s="19" t="str">
        <f>Sheet1!I106</f>
        <v>RENI FATMAWATI</v>
      </c>
      <c r="J106" s="19" t="str">
        <f>Sheet1!J106</f>
        <v>WEDENG SUKOREJO RT 002 RW 002 KARANGBINANGUN LAMONGAN</v>
      </c>
      <c r="K106" s="19" t="str">
        <f>Sheet1!K106</f>
        <v>6285646194740</v>
      </c>
      <c r="L106" s="20">
        <f>Sheet1!L106</f>
        <v>1350000</v>
      </c>
      <c r="M106" s="20">
        <f>Sheet1!M106</f>
        <v>0</v>
      </c>
      <c r="N106" s="20">
        <f>Sheet1!N106</f>
        <v>0</v>
      </c>
      <c r="O106" s="20">
        <f>Sheet1!O106</f>
        <v>1350000</v>
      </c>
      <c r="P106" s="19" t="str">
        <f>Sheet1!P106</f>
        <v/>
      </c>
      <c r="Q106" s="19" t="str">
        <f>Sheet1!Q106</f>
        <v/>
      </c>
      <c r="R106" s="19" t="str">
        <f>Sheet1!R106</f>
        <v/>
      </c>
      <c r="S106" s="19" t="str">
        <f>Sheet1!S106</f>
        <v>Belum Lunas</v>
      </c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2"/>
      <c r="CC106" s="22"/>
      <c r="CD106" s="21"/>
      <c r="CE106" s="21"/>
      <c r="CF106" s="22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</row>
    <row r="107">
      <c r="A107" s="19">
        <f>Sheet1!A107</f>
        <v>106</v>
      </c>
      <c r="B107" s="19" t="str">
        <f>Sheet1!B107</f>
        <v>ALIFIA SEPTIANI AZ ZAHRA</v>
      </c>
      <c r="C107" s="19">
        <f>Sheet1!C107</f>
        <v>2024090773</v>
      </c>
      <c r="D107" s="19" t="str">
        <f>Sheet1!D107</f>
        <v>B</v>
      </c>
      <c r="E107" s="19" t="str">
        <f>Sheet1!E107</f>
        <v>B-9</v>
      </c>
      <c r="F107" s="19">
        <f>Sheet1!F107</f>
        <v>3</v>
      </c>
      <c r="G107" s="19" t="str">
        <f>Sheet1!G107</f>
        <v>3 ULA C PUTRI</v>
      </c>
      <c r="H107" s="19" t="str">
        <f>Sheet1!H107</f>
        <v>MTS-9 C</v>
      </c>
      <c r="I107" s="19" t="str">
        <f>Sheet1!I107</f>
        <v>KHOIRUL FITRI</v>
      </c>
      <c r="J107" s="19" t="str">
        <f>Sheet1!J107</f>
        <v>DORO KARANGWEDORO RT 006 RW 002 TURI LAMONGAN</v>
      </c>
      <c r="K107" s="19" t="str">
        <f>Sheet1!K107</f>
        <v>6281556637615</v>
      </c>
      <c r="L107" s="20">
        <f>Sheet1!L107</f>
        <v>900000</v>
      </c>
      <c r="M107" s="20">
        <f>Sheet1!M107</f>
        <v>500000</v>
      </c>
      <c r="N107" s="20">
        <f>Sheet1!N107</f>
        <v>0</v>
      </c>
      <c r="O107" s="20">
        <f>Sheet1!O107</f>
        <v>1400000</v>
      </c>
      <c r="P107" s="19" t="str">
        <f>Sheet1!P107</f>
        <v/>
      </c>
      <c r="Q107" s="19" t="str">
        <f>Sheet1!Q107</f>
        <v/>
      </c>
      <c r="R107" s="19" t="str">
        <f>Sheet1!R107</f>
        <v/>
      </c>
      <c r="S107" s="19" t="str">
        <f>Sheet1!S107</f>
        <v>Belum Lunas</v>
      </c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2"/>
      <c r="CC107" s="22"/>
      <c r="CD107" s="21"/>
      <c r="CE107" s="21"/>
      <c r="CF107" s="22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</row>
    <row r="108">
      <c r="A108" s="19">
        <f>Sheet1!A108</f>
        <v>107</v>
      </c>
      <c r="B108" s="19" t="str">
        <f>Sheet1!B108</f>
        <v>ANINDYA FAZURA RAHMA</v>
      </c>
      <c r="C108" s="19">
        <f>Sheet1!C108</f>
        <v>2024070675</v>
      </c>
      <c r="D108" s="19" t="str">
        <f>Sheet1!D108</f>
        <v>B</v>
      </c>
      <c r="E108" s="19" t="str">
        <f>Sheet1!E108</f>
        <v>B-4</v>
      </c>
      <c r="F108" s="19">
        <f>Sheet1!F108</f>
        <v>3</v>
      </c>
      <c r="G108" s="19" t="str">
        <f>Sheet1!G108</f>
        <v>3 WUSTHO C PUTRI</v>
      </c>
      <c r="H108" s="19" t="str">
        <f>Sheet1!H108</f>
        <v>SMK-XII BD</v>
      </c>
      <c r="I108" s="19" t="str">
        <f>Sheet1!I108</f>
        <v>HUBBATUN NAJAH</v>
      </c>
      <c r="J108" s="19" t="str">
        <f>Sheet1!J108</f>
        <v>BANGERAN RT 001 RW 001 DUKUN GRESIK</v>
      </c>
      <c r="K108" s="19" t="str">
        <f>Sheet1!K108</f>
        <v>6281357042388</v>
      </c>
      <c r="L108" s="20">
        <f>Sheet1!L108</f>
        <v>900000</v>
      </c>
      <c r="M108" s="20">
        <f>Sheet1!M108</f>
        <v>500000</v>
      </c>
      <c r="N108" s="20">
        <f>Sheet1!N108</f>
        <v>0</v>
      </c>
      <c r="O108" s="20">
        <f>Sheet1!O108</f>
        <v>1400000</v>
      </c>
      <c r="P108" s="19" t="str">
        <f>Sheet1!P108</f>
        <v/>
      </c>
      <c r="Q108" s="19" t="str">
        <f>Sheet1!Q108</f>
        <v/>
      </c>
      <c r="R108" s="19" t="str">
        <f>Sheet1!R108</f>
        <v/>
      </c>
      <c r="S108" s="19" t="str">
        <f>Sheet1!S108</f>
        <v>Belum Lunas</v>
      </c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2"/>
      <c r="CC108" s="22"/>
      <c r="CD108" s="21"/>
      <c r="CE108" s="21"/>
      <c r="CF108" s="22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</row>
    <row r="109">
      <c r="A109" s="19">
        <f>Sheet1!A109</f>
        <v>108</v>
      </c>
      <c r="B109" s="19" t="str">
        <f>Sheet1!B109</f>
        <v>ARVEL ALIF SYAIFULLAH</v>
      </c>
      <c r="C109" s="19">
        <f>Sheet1!C109</f>
        <v>2024070652</v>
      </c>
      <c r="D109" s="19" t="str">
        <f>Sheet1!D109</f>
        <v>A</v>
      </c>
      <c r="E109" s="19" t="str">
        <f>Sheet1!E109</f>
        <v>A-7</v>
      </c>
      <c r="F109" s="19">
        <f>Sheet1!F109</f>
        <v>3</v>
      </c>
      <c r="G109" s="19" t="str">
        <f>Sheet1!G109</f>
        <v>3 ULA A PUTRA</v>
      </c>
      <c r="H109" s="19" t="str">
        <f>Sheet1!H109</f>
        <v>MTS-9 F</v>
      </c>
      <c r="I109" s="19" t="str">
        <f>Sheet1!I109</f>
        <v>DEWI IRMAWATI</v>
      </c>
      <c r="J109" s="19" t="str">
        <f>Sheet1!J109</f>
        <v>DUKUH GEMPOL PENDOWO RT 004 RW 002 GLAGAH LAMONGAN</v>
      </c>
      <c r="K109" s="19" t="str">
        <f>Sheet1!K109</f>
        <v>6282139016910</v>
      </c>
      <c r="L109" s="20">
        <f>Sheet1!L109</f>
        <v>900000</v>
      </c>
      <c r="M109" s="20">
        <f>Sheet1!M109</f>
        <v>500000</v>
      </c>
      <c r="N109" s="20">
        <f>Sheet1!N109</f>
        <v>0</v>
      </c>
      <c r="O109" s="20">
        <f>Sheet1!O109</f>
        <v>1400000</v>
      </c>
      <c r="P109" s="19" t="str">
        <f>Sheet1!P109</f>
        <v/>
      </c>
      <c r="Q109" s="19" t="str">
        <f>Sheet1!Q109</f>
        <v/>
      </c>
      <c r="R109" s="19" t="str">
        <f>Sheet1!R109</f>
        <v/>
      </c>
      <c r="S109" s="19" t="str">
        <f>Sheet1!S109</f>
        <v>Belum Lunas</v>
      </c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2"/>
      <c r="CC109" s="22"/>
      <c r="CD109" s="21"/>
      <c r="CE109" s="21"/>
      <c r="CF109" s="22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</row>
    <row r="110">
      <c r="A110" s="19">
        <f>Sheet1!A110</f>
        <v>109</v>
      </c>
      <c r="B110" s="19" t="str">
        <f>Sheet1!B110</f>
        <v>JESSICA SALSABILA</v>
      </c>
      <c r="C110" s="19">
        <f>Sheet1!C110</f>
        <v>2024070564</v>
      </c>
      <c r="D110" s="19" t="str">
        <f>Sheet1!D110</f>
        <v>B</v>
      </c>
      <c r="E110" s="19" t="str">
        <f>Sheet1!E110</f>
        <v>B-9</v>
      </c>
      <c r="F110" s="19">
        <f>Sheet1!F110</f>
        <v>3</v>
      </c>
      <c r="G110" s="19" t="str">
        <f>Sheet1!G110</f>
        <v>3 ULA A PUTRI</v>
      </c>
      <c r="H110" s="19" t="str">
        <f>Sheet1!H110</f>
        <v>MTS-9 H</v>
      </c>
      <c r="I110" s="19" t="str">
        <f>Sheet1!I110</f>
        <v>NUR MILA</v>
      </c>
      <c r="J110" s="19" t="str">
        <f>Sheet1!J110</f>
        <v>KEDUNG KAMPIL SUKOSONGO RT - RW - KEMBANGBAHU LAMONGAN</v>
      </c>
      <c r="K110" s="19" t="str">
        <f>Sheet1!K110</f>
        <v>628585260032</v>
      </c>
      <c r="L110" s="20">
        <f>Sheet1!L110</f>
        <v>900000</v>
      </c>
      <c r="M110" s="20">
        <f>Sheet1!M110</f>
        <v>500000</v>
      </c>
      <c r="N110" s="20">
        <f>Sheet1!N110</f>
        <v>0</v>
      </c>
      <c r="O110" s="20">
        <f>Sheet1!O110</f>
        <v>1400000</v>
      </c>
      <c r="P110" s="19" t="str">
        <f>Sheet1!P110</f>
        <v/>
      </c>
      <c r="Q110" s="19" t="str">
        <f>Sheet1!Q110</f>
        <v/>
      </c>
      <c r="R110" s="19" t="str">
        <f>Sheet1!R110</f>
        <v/>
      </c>
      <c r="S110" s="19" t="str">
        <f>Sheet1!S110</f>
        <v>Belum Lunas</v>
      </c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2"/>
      <c r="CC110" s="22"/>
      <c r="CD110" s="21"/>
      <c r="CE110" s="21"/>
      <c r="CF110" s="22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</row>
    <row r="111">
      <c r="A111" s="19">
        <f>Sheet1!A111</f>
        <v>110</v>
      </c>
      <c r="B111" s="19" t="str">
        <f>Sheet1!B111</f>
        <v>KHAYLA NOVITA PUTRI</v>
      </c>
      <c r="C111" s="19">
        <f>Sheet1!C111</f>
        <v>2024070500</v>
      </c>
      <c r="D111" s="19" t="str">
        <f>Sheet1!D111</f>
        <v>B</v>
      </c>
      <c r="E111" s="19" t="str">
        <f>Sheet1!E111</f>
        <v>B-9</v>
      </c>
      <c r="F111" s="19">
        <f>Sheet1!F111</f>
        <v>3</v>
      </c>
      <c r="G111" s="19" t="str">
        <f>Sheet1!G111</f>
        <v>3 ULA B PUTRI</v>
      </c>
      <c r="H111" s="19" t="str">
        <f>Sheet1!H111</f>
        <v>MTS-9 D</v>
      </c>
      <c r="I111" s="19" t="str">
        <f>Sheet1!I111</f>
        <v>DWI KRISTINA</v>
      </c>
      <c r="J111" s="19" t="str">
        <f>Sheet1!J111</f>
        <v>BUCUKIDUL MENGANTI RT 004 RW 001 GLAGAH LAMONGAN</v>
      </c>
      <c r="K111" s="19" t="str">
        <f>Sheet1!K111</f>
        <v>6281259310643</v>
      </c>
      <c r="L111" s="20">
        <f>Sheet1!L111</f>
        <v>900000</v>
      </c>
      <c r="M111" s="20">
        <f>Sheet1!M111</f>
        <v>500000</v>
      </c>
      <c r="N111" s="20">
        <f>Sheet1!N111</f>
        <v>0</v>
      </c>
      <c r="O111" s="20">
        <f>Sheet1!O111</f>
        <v>1400000</v>
      </c>
      <c r="P111" s="19" t="str">
        <f>Sheet1!P111</f>
        <v/>
      </c>
      <c r="Q111" s="19" t="str">
        <f>Sheet1!Q111</f>
        <v/>
      </c>
      <c r="R111" s="19" t="str">
        <f>Sheet1!R111</f>
        <v/>
      </c>
      <c r="S111" s="19" t="str">
        <f>Sheet1!S111</f>
        <v>Belum Lunas</v>
      </c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2"/>
      <c r="CC111" s="22"/>
      <c r="CD111" s="21"/>
      <c r="CE111" s="21"/>
      <c r="CF111" s="22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</row>
    <row r="112">
      <c r="A112" s="19">
        <f>Sheet1!A112</f>
        <v>111</v>
      </c>
      <c r="B112" s="19" t="str">
        <f>Sheet1!B112</f>
        <v>LELYANA DWI ROHMAWATIN</v>
      </c>
      <c r="C112" s="19">
        <f>Sheet1!C112</f>
        <v>2024070014</v>
      </c>
      <c r="D112" s="19" t="str">
        <f>Sheet1!D112</f>
        <v>C</v>
      </c>
      <c r="E112" s="19" t="str">
        <f>Sheet1!E112</f>
        <v>C-2</v>
      </c>
      <c r="F112" s="19">
        <f>Sheet1!F112</f>
        <v>3</v>
      </c>
      <c r="G112" s="19" t="str">
        <f>Sheet1!G112</f>
        <v/>
      </c>
      <c r="H112" s="19" t="str">
        <f>Sheet1!H112</f>
        <v>MA-XII.1</v>
      </c>
      <c r="I112" s="19" t="str">
        <f>Sheet1!I112</f>
        <v>SAMINING</v>
      </c>
      <c r="J112" s="19" t="str">
        <f>Sheet1!J112</f>
        <v>KARANGWUNGU RT 005 RW 001 KARANGGENENG LAMONGAN</v>
      </c>
      <c r="K112" s="19" t="str">
        <f>Sheet1!K112</f>
        <v>6285735756658</v>
      </c>
      <c r="L112" s="20">
        <f>Sheet1!L112</f>
        <v>900000</v>
      </c>
      <c r="M112" s="20">
        <f>Sheet1!M112</f>
        <v>500000</v>
      </c>
      <c r="N112" s="20">
        <f>Sheet1!N112</f>
        <v>0</v>
      </c>
      <c r="O112" s="20">
        <f>Sheet1!O112</f>
        <v>1400000</v>
      </c>
      <c r="P112" s="19" t="str">
        <f>Sheet1!P112</f>
        <v/>
      </c>
      <c r="Q112" s="19" t="str">
        <f>Sheet1!Q112</f>
        <v/>
      </c>
      <c r="R112" s="19" t="str">
        <f>Sheet1!R112</f>
        <v/>
      </c>
      <c r="S112" s="19" t="str">
        <f>Sheet1!S112</f>
        <v>Belum Lunas</v>
      </c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2"/>
      <c r="CC112" s="22"/>
      <c r="CD112" s="21"/>
      <c r="CE112" s="21"/>
      <c r="CF112" s="22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</row>
    <row r="113">
      <c r="A113" s="19">
        <f>Sheet1!A113</f>
        <v>112</v>
      </c>
      <c r="B113" s="19" t="str">
        <f>Sheet1!B113</f>
        <v>NASHIH AMIN</v>
      </c>
      <c r="C113" s="19">
        <f>Sheet1!C113</f>
        <v>2024070409</v>
      </c>
      <c r="D113" s="19" t="str">
        <f>Sheet1!D113</f>
        <v>A</v>
      </c>
      <c r="E113" s="19" t="str">
        <f>Sheet1!E113</f>
        <v>A-2</v>
      </c>
      <c r="F113" s="19">
        <f>Sheet1!F113</f>
        <v>3</v>
      </c>
      <c r="G113" s="19" t="str">
        <f>Sheet1!G113</f>
        <v>3 MAK PUTRA</v>
      </c>
      <c r="H113" s="19" t="str">
        <f>Sheet1!H113</f>
        <v>MA-XII.13</v>
      </c>
      <c r="I113" s="19" t="str">
        <f>Sheet1!I113</f>
        <v>LISTIANAH</v>
      </c>
      <c r="J113" s="19" t="str">
        <f>Sheet1!J113</f>
        <v>TAMBAK ASRI 262-C MOROKREMBANGAN RT 008 RW 009 KREMBANGAN SURABAYA</v>
      </c>
      <c r="K113" s="19" t="str">
        <f>Sheet1!K113</f>
        <v>6285715548194</v>
      </c>
      <c r="L113" s="20">
        <f>Sheet1!L113</f>
        <v>900000</v>
      </c>
      <c r="M113" s="20">
        <f>Sheet1!M113</f>
        <v>500000</v>
      </c>
      <c r="N113" s="20">
        <f>Sheet1!N113</f>
        <v>0</v>
      </c>
      <c r="O113" s="20">
        <f>Sheet1!O113</f>
        <v>1400000</v>
      </c>
      <c r="P113" s="19" t="str">
        <f>Sheet1!P113</f>
        <v/>
      </c>
      <c r="Q113" s="19" t="str">
        <f>Sheet1!Q113</f>
        <v/>
      </c>
      <c r="R113" s="19" t="str">
        <f>Sheet1!R113</f>
        <v/>
      </c>
      <c r="S113" s="19" t="str">
        <f>Sheet1!S113</f>
        <v>Belum Lunas</v>
      </c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2"/>
      <c r="CC113" s="22"/>
      <c r="CD113" s="21"/>
      <c r="CE113" s="21"/>
      <c r="CF113" s="22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</row>
    <row r="114">
      <c r="A114" s="19">
        <f>Sheet1!A114</f>
        <v>113</v>
      </c>
      <c r="B114" s="19" t="str">
        <f>Sheet1!B114</f>
        <v>ABDULLAH FAIZ</v>
      </c>
      <c r="C114" s="19">
        <f>Sheet1!C114</f>
        <v>2025070617</v>
      </c>
      <c r="D114" s="19" t="str">
        <f>Sheet1!D114</f>
        <v>A</v>
      </c>
      <c r="E114" s="19" t="str">
        <f>Sheet1!E114</f>
        <v>A-8</v>
      </c>
      <c r="F114" s="19">
        <f>Sheet1!F114</f>
        <v>3</v>
      </c>
      <c r="G114" s="19" t="str">
        <f>Sheet1!G114</f>
        <v>3 ULA A PUTRA</v>
      </c>
      <c r="H114" s="19" t="str">
        <f>Sheet1!H114</f>
        <v>MTS-9 B</v>
      </c>
      <c r="I114" s="19" t="str">
        <f>Sheet1!I114</f>
        <v>NUR FARIDAH</v>
      </c>
      <c r="J114" s="19" t="str">
        <f>Sheet1!J114</f>
        <v>GEDONGKEDOAN RT 001 RW 001 DUKUN GRESIK</v>
      </c>
      <c r="K114" s="19" t="str">
        <f>Sheet1!K114</f>
        <v>6281553874448</v>
      </c>
      <c r="L114" s="20">
        <f>Sheet1!L114</f>
        <v>450000</v>
      </c>
      <c r="M114" s="20">
        <f>Sheet1!M114</f>
        <v>1000000</v>
      </c>
      <c r="N114" s="20">
        <f>Sheet1!N114</f>
        <v>0</v>
      </c>
      <c r="O114" s="20">
        <f>Sheet1!O114</f>
        <v>1450000</v>
      </c>
      <c r="P114" s="19" t="str">
        <f>Sheet1!P114</f>
        <v/>
      </c>
      <c r="Q114" s="19" t="str">
        <f>Sheet1!Q114</f>
        <v/>
      </c>
      <c r="R114" s="19" t="str">
        <f>Sheet1!R114</f>
        <v/>
      </c>
      <c r="S114" s="19" t="str">
        <f>Sheet1!S114</f>
        <v>Belum Lunas</v>
      </c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2"/>
      <c r="CC114" s="22"/>
      <c r="CD114" s="21"/>
      <c r="CE114" s="21"/>
      <c r="CF114" s="22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</row>
    <row r="115">
      <c r="A115" s="19">
        <f>Sheet1!A115</f>
        <v>114</v>
      </c>
      <c r="B115" s="19" t="str">
        <f>Sheet1!B115</f>
        <v>ALMAIR FADHIL ABID ALHAQ</v>
      </c>
      <c r="C115" s="19">
        <f>Sheet1!C115</f>
        <v>2024070508</v>
      </c>
      <c r="D115" s="19" t="str">
        <f>Sheet1!D115</f>
        <v>A</v>
      </c>
      <c r="E115" s="19" t="str">
        <f>Sheet1!E115</f>
        <v>A-7</v>
      </c>
      <c r="F115" s="19">
        <f>Sheet1!F115</f>
        <v>3</v>
      </c>
      <c r="G115" s="19" t="str">
        <f>Sheet1!G115</f>
        <v>3 ULA A PUTRA</v>
      </c>
      <c r="H115" s="19" t="str">
        <f>Sheet1!H115</f>
        <v>MTS-9 C</v>
      </c>
      <c r="I115" s="19" t="str">
        <f>Sheet1!I115</f>
        <v>IIN UMAYYAH</v>
      </c>
      <c r="J115" s="19" t="str">
        <f>Sheet1!J115</f>
        <v>JL. PENDIDIKAN 20 B RT 001 RW 005 BABAT LAMONGAN</v>
      </c>
      <c r="K115" s="19" t="str">
        <f>Sheet1!K115</f>
        <v>6285230844686</v>
      </c>
      <c r="L115" s="20">
        <f>Sheet1!L115</f>
        <v>450000</v>
      </c>
      <c r="M115" s="20">
        <f>Sheet1!M115</f>
        <v>1000000</v>
      </c>
      <c r="N115" s="20">
        <f>Sheet1!N115</f>
        <v>0</v>
      </c>
      <c r="O115" s="20">
        <f>Sheet1!O115</f>
        <v>1450000</v>
      </c>
      <c r="P115" s="19" t="str">
        <f>Sheet1!P115</f>
        <v/>
      </c>
      <c r="Q115" s="19" t="str">
        <f>Sheet1!Q115</f>
        <v/>
      </c>
      <c r="R115" s="19" t="str">
        <f>Sheet1!R115</f>
        <v/>
      </c>
      <c r="S115" s="19" t="str">
        <f>Sheet1!S115</f>
        <v>Belum Lunas</v>
      </c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2"/>
      <c r="CC115" s="22"/>
      <c r="CD115" s="21"/>
      <c r="CE115" s="21"/>
      <c r="CF115" s="22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</row>
    <row r="116">
      <c r="A116" s="19">
        <f>Sheet1!A116</f>
        <v>115</v>
      </c>
      <c r="B116" s="19" t="str">
        <f>Sheet1!B116</f>
        <v>BALQIS FITHROTUN NUFUS</v>
      </c>
      <c r="C116" s="19">
        <f>Sheet1!C116</f>
        <v>2024070703</v>
      </c>
      <c r="D116" s="19" t="str">
        <f>Sheet1!D116</f>
        <v>C</v>
      </c>
      <c r="E116" s="19" t="str">
        <f>Sheet1!E116</f>
        <v>C-4</v>
      </c>
      <c r="F116" s="19">
        <f>Sheet1!F116</f>
        <v>3</v>
      </c>
      <c r="G116" s="19" t="str">
        <f>Sheet1!G116</f>
        <v/>
      </c>
      <c r="H116" s="19" t="str">
        <f>Sheet1!H116</f>
        <v>SMK-XII DKV</v>
      </c>
      <c r="I116" s="19" t="str">
        <f>Sheet1!I116</f>
        <v>SU`IMAH</v>
      </c>
      <c r="J116" s="19" t="str">
        <f>Sheet1!J116</f>
        <v>BARON RT 003 RW 002 DUKUN GRESIK</v>
      </c>
      <c r="K116" s="19" t="str">
        <f>Sheet1!K116</f>
        <v>6281357024383</v>
      </c>
      <c r="L116" s="20">
        <f>Sheet1!L116</f>
        <v>450000</v>
      </c>
      <c r="M116" s="20">
        <f>Sheet1!M116</f>
        <v>1000000</v>
      </c>
      <c r="N116" s="20">
        <f>Sheet1!N116</f>
        <v>0</v>
      </c>
      <c r="O116" s="20">
        <f>Sheet1!O116</f>
        <v>1450000</v>
      </c>
      <c r="P116" s="19" t="str">
        <f>Sheet1!P116</f>
        <v/>
      </c>
      <c r="Q116" s="19" t="str">
        <f>Sheet1!Q116</f>
        <v/>
      </c>
      <c r="R116" s="19" t="str">
        <f>Sheet1!R116</f>
        <v/>
      </c>
      <c r="S116" s="19" t="str">
        <f>Sheet1!S116</f>
        <v>Belum Lunas</v>
      </c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2"/>
      <c r="CC116" s="22"/>
      <c r="CD116" s="21"/>
      <c r="CE116" s="21"/>
      <c r="CF116" s="22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</row>
    <row r="117">
      <c r="A117" s="19">
        <f>Sheet1!A117</f>
        <v>116</v>
      </c>
      <c r="B117" s="19" t="str">
        <f>Sheet1!B117</f>
        <v>FARADIVA AQILLA ELFARIANI</v>
      </c>
      <c r="C117" s="19">
        <f>Sheet1!C117</f>
        <v>2024070073</v>
      </c>
      <c r="D117" s="19" t="str">
        <f>Sheet1!D117</f>
        <v>C</v>
      </c>
      <c r="E117" s="19" t="str">
        <f>Sheet1!E117</f>
        <v>C-9</v>
      </c>
      <c r="F117" s="19">
        <f>Sheet1!F117</f>
        <v>3</v>
      </c>
      <c r="G117" s="19" t="str">
        <f>Sheet1!G117</f>
        <v>3 WUSTHO A PUTRI</v>
      </c>
      <c r="H117" s="19" t="str">
        <f>Sheet1!H117</f>
        <v>MA-XII.3</v>
      </c>
      <c r="I117" s="19" t="str">
        <f>Sheet1!I117</f>
        <v>SRI PURWANI</v>
      </c>
      <c r="J117" s="19" t="str">
        <f>Sheet1!J117</f>
        <v>KAWISTOLEGI RT 002 RW 001 KARANGGENENG LAMONGAN</v>
      </c>
      <c r="K117" s="19" t="str">
        <f>Sheet1!K117</f>
        <v>6285648727712</v>
      </c>
      <c r="L117" s="20">
        <f>Sheet1!L117</f>
        <v>450000</v>
      </c>
      <c r="M117" s="20">
        <f>Sheet1!M117</f>
        <v>1000000</v>
      </c>
      <c r="N117" s="20">
        <f>Sheet1!N117</f>
        <v>0</v>
      </c>
      <c r="O117" s="20">
        <f>Sheet1!O117</f>
        <v>1450000</v>
      </c>
      <c r="P117" s="19" t="str">
        <f>Sheet1!P117</f>
        <v/>
      </c>
      <c r="Q117" s="19" t="str">
        <f>Sheet1!Q117</f>
        <v/>
      </c>
      <c r="R117" s="19" t="str">
        <f>Sheet1!R117</f>
        <v/>
      </c>
      <c r="S117" s="19" t="str">
        <f>Sheet1!S117</f>
        <v>Belum Lunas</v>
      </c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2"/>
      <c r="CC117" s="22"/>
      <c r="CD117" s="21"/>
      <c r="CE117" s="21"/>
      <c r="CF117" s="22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</row>
    <row r="118">
      <c r="A118" s="19">
        <f>Sheet1!A118</f>
        <v>117</v>
      </c>
      <c r="B118" s="19" t="str">
        <f>Sheet1!B118</f>
        <v>MOCH. RAYYAN ZIDNY IRHAMNI</v>
      </c>
      <c r="C118" s="19">
        <f>Sheet1!C118</f>
        <v>2024070649</v>
      </c>
      <c r="D118" s="19" t="str">
        <f>Sheet1!D118</f>
        <v>A</v>
      </c>
      <c r="E118" s="19" t="str">
        <f>Sheet1!E118</f>
        <v>A-7</v>
      </c>
      <c r="F118" s="19">
        <f>Sheet1!F118</f>
        <v>3</v>
      </c>
      <c r="G118" s="19" t="str">
        <f>Sheet1!G118</f>
        <v>3 ULA B PUTRA</v>
      </c>
      <c r="H118" s="19" t="str">
        <f>Sheet1!H118</f>
        <v>MTS-9 D</v>
      </c>
      <c r="I118" s="19" t="str">
        <f>Sheet1!I118</f>
        <v>ERNAWATI</v>
      </c>
      <c r="J118" s="19" t="str">
        <f>Sheet1!J118</f>
        <v>WONOKERTO RT 015 RW 003 DUKUN GRESIK</v>
      </c>
      <c r="K118" s="19" t="str">
        <f>Sheet1!K118</f>
        <v>6285708249869</v>
      </c>
      <c r="L118" s="20">
        <f>Sheet1!L118</f>
        <v>450000</v>
      </c>
      <c r="M118" s="20">
        <f>Sheet1!M118</f>
        <v>1000000</v>
      </c>
      <c r="N118" s="20">
        <f>Sheet1!N118</f>
        <v>0</v>
      </c>
      <c r="O118" s="20">
        <f>Sheet1!O118</f>
        <v>1450000</v>
      </c>
      <c r="P118" s="19" t="str">
        <f>Sheet1!P118</f>
        <v/>
      </c>
      <c r="Q118" s="19" t="str">
        <f>Sheet1!Q118</f>
        <v/>
      </c>
      <c r="R118" s="19" t="str">
        <f>Sheet1!R118</f>
        <v/>
      </c>
      <c r="S118" s="19" t="str">
        <f>Sheet1!S118</f>
        <v>Belum Lunas</v>
      </c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2"/>
      <c r="CC118" s="22"/>
      <c r="CD118" s="21"/>
      <c r="CE118" s="21"/>
      <c r="CF118" s="22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</row>
    <row r="119">
      <c r="A119" s="19">
        <f>Sheet1!A119</f>
        <v>118</v>
      </c>
      <c r="B119" s="19" t="str">
        <f>Sheet1!B119</f>
        <v>MUHAMMAD ZAKI ABIYASA</v>
      </c>
      <c r="C119" s="19">
        <f>Sheet1!C119</f>
        <v>2025100680</v>
      </c>
      <c r="D119" s="19" t="str">
        <f>Sheet1!D119</f>
        <v>A</v>
      </c>
      <c r="E119" s="19" t="str">
        <f>Sheet1!E119</f>
        <v>A-1</v>
      </c>
      <c r="F119" s="19">
        <f>Sheet1!F119</f>
        <v>3</v>
      </c>
      <c r="G119" s="19" t="str">
        <f>Sheet1!G119</f>
        <v>3 ULA A PUTRA</v>
      </c>
      <c r="H119" s="19" t="str">
        <f>Sheet1!H119</f>
        <v>#N/A</v>
      </c>
      <c r="I119" s="19" t="str">
        <f>Sheet1!I119</f>
        <v>ELNA RUSMA WATI</v>
      </c>
      <c r="J119" s="19" t="str">
        <f>Sheet1!J119</f>
        <v>PUCUK RT 005 RW 001 PUCUK LAMONGAN</v>
      </c>
      <c r="K119" s="19" t="str">
        <f>Sheet1!K119</f>
        <v>6289513220988</v>
      </c>
      <c r="L119" s="20">
        <f>Sheet1!L119</f>
        <v>450000</v>
      </c>
      <c r="M119" s="20">
        <f>Sheet1!M119</f>
        <v>1000000</v>
      </c>
      <c r="N119" s="20">
        <f>Sheet1!N119</f>
        <v>0</v>
      </c>
      <c r="O119" s="20">
        <f>Sheet1!O119</f>
        <v>1450000</v>
      </c>
      <c r="P119" s="19" t="str">
        <f>Sheet1!P119</f>
        <v/>
      </c>
      <c r="Q119" s="19" t="str">
        <f>Sheet1!Q119</f>
        <v/>
      </c>
      <c r="R119" s="19" t="str">
        <f>Sheet1!R119</f>
        <v/>
      </c>
      <c r="S119" s="19" t="str">
        <f>Sheet1!S119</f>
        <v>Belum Lunas</v>
      </c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2"/>
      <c r="CC119" s="22"/>
      <c r="CD119" s="21"/>
      <c r="CE119" s="21"/>
      <c r="CF119" s="22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</row>
    <row r="120">
      <c r="A120" s="19">
        <f>Sheet1!A120</f>
        <v>119</v>
      </c>
      <c r="B120" s="19" t="str">
        <f>Sheet1!B120</f>
        <v>NURUL QHOIYIMATUL ALFIYAH</v>
      </c>
      <c r="C120" s="19">
        <f>Sheet1!C120</f>
        <v>2024070436</v>
      </c>
      <c r="D120" s="19" t="str">
        <f>Sheet1!D120</f>
        <v>B</v>
      </c>
      <c r="E120" s="19" t="str">
        <f>Sheet1!E120</f>
        <v>B-7</v>
      </c>
      <c r="F120" s="19">
        <f>Sheet1!F120</f>
        <v>3</v>
      </c>
      <c r="G120" s="19" t="str">
        <f>Sheet1!G120</f>
        <v>3 MAK PUTRI</v>
      </c>
      <c r="H120" s="19" t="str">
        <f>Sheet1!H120</f>
        <v>MA-XII.13</v>
      </c>
      <c r="I120" s="19" t="str">
        <f>Sheet1!I120</f>
        <v>MA`RIFAH</v>
      </c>
      <c r="J120" s="19" t="str">
        <f>Sheet1!J120</f>
        <v>TENGGULUN RT 008 RW 003 SOLOKURO LAMONGAN</v>
      </c>
      <c r="K120" s="19" t="str">
        <f>Sheet1!K120</f>
        <v>628812496056661</v>
      </c>
      <c r="L120" s="20">
        <f>Sheet1!L120</f>
        <v>450000</v>
      </c>
      <c r="M120" s="20">
        <f>Sheet1!M120</f>
        <v>1000000</v>
      </c>
      <c r="N120" s="20">
        <f>Sheet1!N120</f>
        <v>0</v>
      </c>
      <c r="O120" s="20">
        <f>Sheet1!O120</f>
        <v>1450000</v>
      </c>
      <c r="P120" s="19" t="str">
        <f>Sheet1!P120</f>
        <v/>
      </c>
      <c r="Q120" s="19" t="str">
        <f>Sheet1!Q120</f>
        <v/>
      </c>
      <c r="R120" s="19" t="str">
        <f>Sheet1!R120</f>
        <v/>
      </c>
      <c r="S120" s="19" t="str">
        <f>Sheet1!S120</f>
        <v>Belum Lunas</v>
      </c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2"/>
      <c r="CC120" s="22"/>
      <c r="CD120" s="21"/>
      <c r="CE120" s="21"/>
      <c r="CF120" s="22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</row>
    <row r="121">
      <c r="A121" s="19">
        <f>Sheet1!A121</f>
        <v>120</v>
      </c>
      <c r="B121" s="19" t="str">
        <f>Sheet1!B121</f>
        <v>ANUGRAH RAFIKHA DEWANI</v>
      </c>
      <c r="C121" s="19">
        <f>Sheet1!C121</f>
        <v>2024070618</v>
      </c>
      <c r="D121" s="19" t="str">
        <f>Sheet1!D121</f>
        <v>E</v>
      </c>
      <c r="E121" s="19" t="str">
        <f>Sheet1!E121</f>
        <v>E-2</v>
      </c>
      <c r="F121" s="19">
        <f>Sheet1!F121</f>
        <v>3</v>
      </c>
      <c r="G121" s="19" t="str">
        <f>Sheet1!G121</f>
        <v>3 ULA C PUTRI</v>
      </c>
      <c r="H121" s="19" t="str">
        <f>Sheet1!H121</f>
        <v>MTS-9 C</v>
      </c>
      <c r="I121" s="19" t="str">
        <f>Sheet1!I121</f>
        <v>MUNAFI'AH</v>
      </c>
      <c r="J121" s="19" t="str">
        <f>Sheet1!J121</f>
        <v>BUNGKAWAK TEJOASRI RT 003 RW 004 LAREN LAMONGAN</v>
      </c>
      <c r="K121" s="19" t="str">
        <f>Sheet1!K121</f>
        <v>6281311516716</v>
      </c>
      <c r="L121" s="20">
        <f>Sheet1!L121</f>
        <v>1000000</v>
      </c>
      <c r="M121" s="20">
        <f>Sheet1!M121</f>
        <v>500000</v>
      </c>
      <c r="N121" s="20">
        <f>Sheet1!N121</f>
        <v>0</v>
      </c>
      <c r="O121" s="20">
        <f>Sheet1!O121</f>
        <v>1500000</v>
      </c>
      <c r="P121" s="19" t="str">
        <f>Sheet1!P121</f>
        <v/>
      </c>
      <c r="Q121" s="19" t="str">
        <f>Sheet1!Q121</f>
        <v/>
      </c>
      <c r="R121" s="19" t="str">
        <f>Sheet1!R121</f>
        <v/>
      </c>
      <c r="S121" s="19" t="str">
        <f>Sheet1!S121</f>
        <v>Belum Lunas</v>
      </c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2"/>
      <c r="CC121" s="22"/>
      <c r="CD121" s="21"/>
      <c r="CE121" s="21"/>
      <c r="CF121" s="22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</row>
    <row r="122">
      <c r="A122" s="19">
        <f>Sheet1!A122</f>
        <v>121</v>
      </c>
      <c r="B122" s="19" t="str">
        <f>Sheet1!B122</f>
        <v>FANY MUFIDAH SARI</v>
      </c>
      <c r="C122" s="19">
        <f>Sheet1!C122</f>
        <v>2024070329</v>
      </c>
      <c r="D122" s="19" t="str">
        <f>Sheet1!D122</f>
        <v>E</v>
      </c>
      <c r="E122" s="19" t="str">
        <f>Sheet1!E122</f>
        <v>E-2</v>
      </c>
      <c r="F122" s="19">
        <f>Sheet1!F122</f>
        <v>3</v>
      </c>
      <c r="G122" s="19" t="str">
        <f>Sheet1!G122</f>
        <v>3 WUSTHO A PUTRI</v>
      </c>
      <c r="H122" s="19" t="str">
        <f>Sheet1!H122</f>
        <v>MA-XII.10</v>
      </c>
      <c r="I122" s="19" t="str">
        <f>Sheet1!I122</f>
        <v>ROJIYAH</v>
      </c>
      <c r="J122" s="19" t="str">
        <f>Sheet1!J122</f>
        <v>SAWO RT 013 RW 007 DUKUN GRESIK</v>
      </c>
      <c r="K122" s="19" t="str">
        <f>Sheet1!K122</f>
        <v>6285731554886</v>
      </c>
      <c r="L122" s="20">
        <f>Sheet1!L122</f>
        <v>500000</v>
      </c>
      <c r="M122" s="20">
        <f>Sheet1!M122</f>
        <v>1000000</v>
      </c>
      <c r="N122" s="20">
        <f>Sheet1!N122</f>
        <v>0</v>
      </c>
      <c r="O122" s="20">
        <f>Sheet1!O122</f>
        <v>1500000</v>
      </c>
      <c r="P122" s="19" t="str">
        <f>Sheet1!P122</f>
        <v/>
      </c>
      <c r="Q122" s="19" t="str">
        <f>Sheet1!Q122</f>
        <v/>
      </c>
      <c r="R122" s="19" t="str">
        <f>Sheet1!R122</f>
        <v/>
      </c>
      <c r="S122" s="19" t="str">
        <f>Sheet1!S122</f>
        <v>Belum Lunas</v>
      </c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2"/>
      <c r="CC122" s="22"/>
      <c r="CD122" s="21"/>
      <c r="CE122" s="21"/>
      <c r="CF122" s="22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</row>
    <row r="123">
      <c r="A123" s="19">
        <f>Sheet1!A123</f>
        <v>122</v>
      </c>
      <c r="B123" s="19" t="str">
        <f>Sheet1!B123</f>
        <v>NOUR ALIFATURR DHEA VANESYA</v>
      </c>
      <c r="C123" s="19">
        <f>Sheet1!C123</f>
        <v>2024070613</v>
      </c>
      <c r="D123" s="19" t="str">
        <f>Sheet1!D123</f>
        <v>E</v>
      </c>
      <c r="E123" s="19" t="str">
        <f>Sheet1!E123</f>
        <v>E-3</v>
      </c>
      <c r="F123" s="19">
        <f>Sheet1!F123</f>
        <v>3</v>
      </c>
      <c r="G123" s="19" t="str">
        <f>Sheet1!G123</f>
        <v>3 ULA C PUTRI</v>
      </c>
      <c r="H123" s="19" t="str">
        <f>Sheet1!H123</f>
        <v>MTS-9 H</v>
      </c>
      <c r="I123" s="19" t="str">
        <f>Sheet1!I123</f>
        <v>YUNI</v>
      </c>
      <c r="J123" s="19" t="str">
        <f>Sheet1!J123</f>
        <v>MUMBULAN PENGUMBULANADI  RT 001 RW 004 TIKUNG LAMONGAN</v>
      </c>
      <c r="K123" s="19" t="str">
        <f>Sheet1!K123</f>
        <v>6285815030873</v>
      </c>
      <c r="L123" s="20">
        <f>Sheet1!L123</f>
        <v>500000</v>
      </c>
      <c r="M123" s="20">
        <f>Sheet1!M123</f>
        <v>1000000</v>
      </c>
      <c r="N123" s="20">
        <f>Sheet1!N123</f>
        <v>0</v>
      </c>
      <c r="O123" s="20">
        <f>Sheet1!O123</f>
        <v>1500000</v>
      </c>
      <c r="P123" s="19" t="str">
        <f>Sheet1!P123</f>
        <v/>
      </c>
      <c r="Q123" s="19" t="str">
        <f>Sheet1!Q123</f>
        <v/>
      </c>
      <c r="R123" s="19" t="str">
        <f>Sheet1!R123</f>
        <v/>
      </c>
      <c r="S123" s="19" t="str">
        <f>Sheet1!S123</f>
        <v>Belum Lunas</v>
      </c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2"/>
      <c r="CC123" s="22"/>
      <c r="CD123" s="21"/>
      <c r="CE123" s="21"/>
      <c r="CF123" s="22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</row>
    <row r="124">
      <c r="A124" s="19">
        <f>Sheet1!A124</f>
        <v>123</v>
      </c>
      <c r="B124" s="19" t="str">
        <f>Sheet1!B124</f>
        <v>NUR FAZA KAMILA</v>
      </c>
      <c r="C124" s="19">
        <f>Sheet1!C124</f>
        <v>2024070467</v>
      </c>
      <c r="D124" s="19" t="str">
        <f>Sheet1!D124</f>
        <v>E</v>
      </c>
      <c r="E124" s="19" t="str">
        <f>Sheet1!E124</f>
        <v>E-2</v>
      </c>
      <c r="F124" s="19">
        <f>Sheet1!F124</f>
        <v>3</v>
      </c>
      <c r="G124" s="19" t="str">
        <f>Sheet1!G124</f>
        <v>3 ULA C PUTRI</v>
      </c>
      <c r="H124" s="19" t="str">
        <f>Sheet1!H124</f>
        <v>MTS-9 A</v>
      </c>
      <c r="I124" s="19" t="str">
        <f>Sheet1!I124</f>
        <v>IFFAH FIRDAUSI NUZULA</v>
      </c>
      <c r="J124" s="19" t="str">
        <f>Sheet1!J124</f>
        <v>KEMLAGIGEDE RT 012 RW 003 TURI LAMONGAN</v>
      </c>
      <c r="K124" s="19" t="str">
        <f>Sheet1!K124</f>
        <v>6285855700260</v>
      </c>
      <c r="L124" s="20">
        <f>Sheet1!L124</f>
        <v>500000</v>
      </c>
      <c r="M124" s="20">
        <f>Sheet1!M124</f>
        <v>1000000</v>
      </c>
      <c r="N124" s="20">
        <f>Sheet1!N124</f>
        <v>0</v>
      </c>
      <c r="O124" s="20">
        <f>Sheet1!O124</f>
        <v>1500000</v>
      </c>
      <c r="P124" s="19" t="str">
        <f>Sheet1!P124</f>
        <v/>
      </c>
      <c r="Q124" s="19" t="str">
        <f>Sheet1!Q124</f>
        <v/>
      </c>
      <c r="R124" s="19" t="str">
        <f>Sheet1!R124</f>
        <v/>
      </c>
      <c r="S124" s="19" t="str">
        <f>Sheet1!S124</f>
        <v>Belum Lunas</v>
      </c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2"/>
      <c r="CC124" s="22"/>
      <c r="CD124" s="21"/>
      <c r="CE124" s="21"/>
      <c r="CF124" s="22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</row>
    <row r="125">
      <c r="A125" s="19">
        <f>Sheet1!A125</f>
        <v>124</v>
      </c>
      <c r="B125" s="19" t="str">
        <f>Sheet1!B125</f>
        <v>DILLA ADHATUL FITRI</v>
      </c>
      <c r="C125" s="19">
        <f>Sheet1!C125</f>
        <v>2024070004</v>
      </c>
      <c r="D125" s="19" t="str">
        <f>Sheet1!D125</f>
        <v>D</v>
      </c>
      <c r="E125" s="19" t="str">
        <f>Sheet1!E125</f>
        <v>D-7</v>
      </c>
      <c r="F125" s="19">
        <f>Sheet1!F125</f>
        <v>3</v>
      </c>
      <c r="G125" s="19" t="str">
        <f>Sheet1!G125</f>
        <v/>
      </c>
      <c r="H125" s="19" t="str">
        <f>Sheet1!H125</f>
        <v>MA-XII.1</v>
      </c>
      <c r="I125" s="19" t="str">
        <f>Sheet1!I125</f>
        <v>MUKHOLISUN</v>
      </c>
      <c r="J125" s="19" t="str">
        <f>Sheet1!J125</f>
        <v>PILANG TEJOASRI RT 1 RW 2 LAREN LAMONGAN</v>
      </c>
      <c r="K125" s="19" t="str">
        <f>Sheet1!K125</f>
        <v>6282198021057</v>
      </c>
      <c r="L125" s="20">
        <f>Sheet1!L125</f>
        <v>0</v>
      </c>
      <c r="M125" s="20">
        <f>Sheet1!M125</f>
        <v>1600000</v>
      </c>
      <c r="N125" s="20">
        <f>Sheet1!N125</f>
        <v>0</v>
      </c>
      <c r="O125" s="20">
        <f>Sheet1!O125</f>
        <v>1600000</v>
      </c>
      <c r="P125" s="19" t="str">
        <f>Sheet1!P125</f>
        <v/>
      </c>
      <c r="Q125" s="19" t="str">
        <f>Sheet1!Q125</f>
        <v/>
      </c>
      <c r="R125" s="19" t="str">
        <f>Sheet1!R125</f>
        <v/>
      </c>
      <c r="S125" s="19" t="str">
        <f>Sheet1!S125</f>
        <v>Belum Lunas</v>
      </c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2"/>
      <c r="CC125" s="22"/>
      <c r="CD125" s="21"/>
      <c r="CE125" s="21"/>
      <c r="CF125" s="22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</row>
    <row r="126">
      <c r="A126" s="19">
        <f>Sheet1!A126</f>
        <v>125</v>
      </c>
      <c r="B126" s="19" t="str">
        <f>Sheet1!B126</f>
        <v>FATIR APRILIANT SYAH</v>
      </c>
      <c r="C126" s="19">
        <f>Sheet1!C126</f>
        <v>2024070660</v>
      </c>
      <c r="D126" s="19" t="str">
        <f>Sheet1!D126</f>
        <v>A</v>
      </c>
      <c r="E126" s="19" t="str">
        <f>Sheet1!E126</f>
        <v>A-7</v>
      </c>
      <c r="F126" s="19">
        <f>Sheet1!F126</f>
        <v>3</v>
      </c>
      <c r="G126" s="19" t="str">
        <f>Sheet1!G126</f>
        <v>3 ULA A PUTRA</v>
      </c>
      <c r="H126" s="19" t="str">
        <f>Sheet1!H126</f>
        <v>MTS-9 A</v>
      </c>
      <c r="I126" s="19" t="str">
        <f>Sheet1!I126</f>
        <v>SUGIATI</v>
      </c>
      <c r="J126" s="19" t="str">
        <f>Sheet1!J126</f>
        <v>GANGIN JELAKCATUR RT 004 RW 003 KALITENGAH LAMONGAN</v>
      </c>
      <c r="K126" s="19" t="str">
        <f>Sheet1!K126</f>
        <v>6285853949817</v>
      </c>
      <c r="L126" s="20">
        <f>Sheet1!L126</f>
        <v>1230000</v>
      </c>
      <c r="M126" s="20">
        <f>Sheet1!M126</f>
        <v>500000</v>
      </c>
      <c r="N126" s="20">
        <f>Sheet1!N126</f>
        <v>0</v>
      </c>
      <c r="O126" s="20">
        <f>Sheet1!O126</f>
        <v>1730000</v>
      </c>
      <c r="P126" s="19" t="str">
        <f>Sheet1!P126</f>
        <v/>
      </c>
      <c r="Q126" s="19" t="str">
        <f>Sheet1!Q126</f>
        <v/>
      </c>
      <c r="R126" s="19" t="str">
        <f>Sheet1!R126</f>
        <v/>
      </c>
      <c r="S126" s="19" t="str">
        <f>Sheet1!S126</f>
        <v>Belum Lunas</v>
      </c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2"/>
      <c r="CC126" s="22"/>
      <c r="CD126" s="21"/>
      <c r="CE126" s="21"/>
      <c r="CF126" s="22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</row>
    <row r="127">
      <c r="A127" s="19">
        <f>Sheet1!A127</f>
        <v>126</v>
      </c>
      <c r="B127" s="19" t="str">
        <f>Sheet1!B127</f>
        <v>DZAKIR ZAMAHSARI EL GHIFARI ZEIN</v>
      </c>
      <c r="C127" s="19">
        <f>Sheet1!C127</f>
        <v>2024070624</v>
      </c>
      <c r="D127" s="19" t="str">
        <f>Sheet1!D127</f>
        <v>A</v>
      </c>
      <c r="E127" s="19" t="str">
        <f>Sheet1!E127</f>
        <v>A-8</v>
      </c>
      <c r="F127" s="19">
        <f>Sheet1!F127</f>
        <v>3</v>
      </c>
      <c r="G127" s="19" t="str">
        <f>Sheet1!G127</f>
        <v>3 ULA B PUTRA</v>
      </c>
      <c r="H127" s="19" t="str">
        <f>Sheet1!H127</f>
        <v>MTS-9 D</v>
      </c>
      <c r="I127" s="19" t="str">
        <f>Sheet1!I127</f>
        <v>SITI ZUBAIDAH</v>
      </c>
      <c r="J127" s="19" t="str">
        <f>Sheet1!J127</f>
        <v>JL. MESDJID NO. 4 CIPULIR RT 011 RW 001 KEBAYORAN LAMA JAKARTA SELATAN</v>
      </c>
      <c r="K127" s="19" t="str">
        <f>Sheet1!K127</f>
        <v>6281779129473</v>
      </c>
      <c r="L127" s="20">
        <f>Sheet1!L127</f>
        <v>1800000</v>
      </c>
      <c r="M127" s="20">
        <f>Sheet1!M127</f>
        <v>0</v>
      </c>
      <c r="N127" s="20">
        <f>Sheet1!N127</f>
        <v>0</v>
      </c>
      <c r="O127" s="20">
        <f>Sheet1!O127</f>
        <v>1800000</v>
      </c>
      <c r="P127" s="19" t="str">
        <f>Sheet1!P127</f>
        <v/>
      </c>
      <c r="Q127" s="19" t="str">
        <f>Sheet1!Q127</f>
        <v/>
      </c>
      <c r="R127" s="19" t="str">
        <f>Sheet1!R127</f>
        <v/>
      </c>
      <c r="S127" s="19" t="str">
        <f>Sheet1!S127</f>
        <v>Belum Lunas</v>
      </c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2"/>
      <c r="CC127" s="22"/>
      <c r="CD127" s="21"/>
      <c r="CE127" s="21"/>
      <c r="CF127" s="22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</row>
    <row r="128">
      <c r="A128" s="19">
        <f>Sheet1!A128</f>
        <v>127</v>
      </c>
      <c r="B128" s="19" t="str">
        <f>Sheet1!B128</f>
        <v>RIZKY ADITYA</v>
      </c>
      <c r="C128" s="19">
        <f>Sheet1!C128</f>
        <v>2024070592</v>
      </c>
      <c r="D128" s="19" t="str">
        <f>Sheet1!D128</f>
        <v>A</v>
      </c>
      <c r="E128" s="19" t="str">
        <f>Sheet1!E128</f>
        <v>A-7</v>
      </c>
      <c r="F128" s="19">
        <f>Sheet1!F128</f>
        <v>3</v>
      </c>
      <c r="G128" s="19" t="str">
        <f>Sheet1!G128</f>
        <v>3 ULA B PUTRA</v>
      </c>
      <c r="H128" s="19" t="str">
        <f>Sheet1!H128</f>
        <v>MTS-9 F</v>
      </c>
      <c r="I128" s="19" t="str">
        <f>Sheet1!I128</f>
        <v>ANISA SARI</v>
      </c>
      <c r="J128" s="19" t="str">
        <f>Sheet1!J128</f>
        <v>PARANGA KAPITA RT - RW - BANGKALA JENEPONTO</v>
      </c>
      <c r="K128" s="19" t="str">
        <f>Sheet1!K128</f>
        <v>6282255832815</v>
      </c>
      <c r="L128" s="20">
        <f>Sheet1!L128</f>
        <v>1350000</v>
      </c>
      <c r="M128" s="20">
        <f>Sheet1!M128</f>
        <v>500000</v>
      </c>
      <c r="N128" s="20">
        <f>Sheet1!N128</f>
        <v>0</v>
      </c>
      <c r="O128" s="20">
        <f>Sheet1!O128</f>
        <v>1850000</v>
      </c>
      <c r="P128" s="19" t="str">
        <f>Sheet1!P128</f>
        <v/>
      </c>
      <c r="Q128" s="19" t="str">
        <f>Sheet1!Q128</f>
        <v/>
      </c>
      <c r="R128" s="19" t="str">
        <f>Sheet1!R128</f>
        <v/>
      </c>
      <c r="S128" s="19" t="str">
        <f>Sheet1!S128</f>
        <v>Belum Lunas</v>
      </c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2"/>
      <c r="CC128" s="22"/>
      <c r="CD128" s="21"/>
      <c r="CE128" s="21"/>
      <c r="CF128" s="22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</row>
    <row r="129">
      <c r="A129" s="19">
        <f>Sheet1!A129</f>
        <v>128</v>
      </c>
      <c r="B129" s="19" t="str">
        <f>Sheet1!B129</f>
        <v>SELVIA DEWI ASMAUL KHUSNADA</v>
      </c>
      <c r="C129" s="19">
        <f>Sheet1!C129</f>
        <v>2024070511</v>
      </c>
      <c r="D129" s="19" t="str">
        <f>Sheet1!D129</f>
        <v>C</v>
      </c>
      <c r="E129" s="19" t="str">
        <f>Sheet1!E129</f>
        <v>C-12</v>
      </c>
      <c r="F129" s="19">
        <f>Sheet1!F129</f>
        <v>3</v>
      </c>
      <c r="G129" s="19" t="str">
        <f>Sheet1!G129</f>
        <v/>
      </c>
      <c r="H129" s="19" t="str">
        <f>Sheet1!H129</f>
        <v>MTS-9 G</v>
      </c>
      <c r="I129" s="19" t="str">
        <f>Sheet1!I129</f>
        <v>SUKARSIH</v>
      </c>
      <c r="J129" s="19" t="str">
        <f>Sheet1!J129</f>
        <v>PETIYIN PETIYINTUNGGAL RT 007 RW 003 DUKUN GRESIK</v>
      </c>
      <c r="K129" s="19" t="str">
        <f>Sheet1!K129</f>
        <v>6281252102661</v>
      </c>
      <c r="L129" s="20">
        <f>Sheet1!L129</f>
        <v>1350000</v>
      </c>
      <c r="M129" s="20">
        <f>Sheet1!M129</f>
        <v>500000</v>
      </c>
      <c r="N129" s="20">
        <f>Sheet1!N129</f>
        <v>0</v>
      </c>
      <c r="O129" s="20">
        <f>Sheet1!O129</f>
        <v>1850000</v>
      </c>
      <c r="P129" s="19" t="str">
        <f>Sheet1!P129</f>
        <v/>
      </c>
      <c r="Q129" s="19" t="str">
        <f>Sheet1!Q129</f>
        <v/>
      </c>
      <c r="R129" s="19" t="str">
        <f>Sheet1!R129</f>
        <v/>
      </c>
      <c r="S129" s="19" t="str">
        <f>Sheet1!S129</f>
        <v>Belum Lunas</v>
      </c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2"/>
      <c r="CC129" s="22"/>
      <c r="CD129" s="21"/>
      <c r="CE129" s="21"/>
      <c r="CF129" s="22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</row>
    <row r="130">
      <c r="A130" s="19">
        <f>Sheet1!A130</f>
        <v>129</v>
      </c>
      <c r="B130" s="19" t="str">
        <f>Sheet1!B130</f>
        <v>FARIKHATUL ISTIMAROH</v>
      </c>
      <c r="C130" s="19">
        <f>Sheet1!C130</f>
        <v>2024070419</v>
      </c>
      <c r="D130" s="19" t="str">
        <f>Sheet1!D130</f>
        <v>C</v>
      </c>
      <c r="E130" s="19" t="str">
        <f>Sheet1!E130</f>
        <v>C-7</v>
      </c>
      <c r="F130" s="19">
        <f>Sheet1!F130</f>
        <v>3</v>
      </c>
      <c r="G130" s="19" t="str">
        <f>Sheet1!G130</f>
        <v>3 MAK PUTRI</v>
      </c>
      <c r="H130" s="19" t="str">
        <f>Sheet1!H130</f>
        <v>MA-XII.13</v>
      </c>
      <c r="I130" s="19" t="str">
        <f>Sheet1!I130</f>
        <v>MURNI</v>
      </c>
      <c r="J130" s="19" t="str">
        <f>Sheet1!J130</f>
        <v>MOROGO PUTATKUMPUL RT 003 RW 005 TURI LAMONGAN</v>
      </c>
      <c r="K130" s="19" t="str">
        <f>Sheet1!K130</f>
        <v>6285648855706</v>
      </c>
      <c r="L130" s="20">
        <f>Sheet1!L130</f>
        <v>900000</v>
      </c>
      <c r="M130" s="20">
        <f>Sheet1!M130</f>
        <v>1000000</v>
      </c>
      <c r="N130" s="20">
        <f>Sheet1!N130</f>
        <v>0</v>
      </c>
      <c r="O130" s="20">
        <f>Sheet1!O130</f>
        <v>1900000</v>
      </c>
      <c r="P130" s="19" t="str">
        <f>Sheet1!P130</f>
        <v/>
      </c>
      <c r="Q130" s="19" t="str">
        <f>Sheet1!Q130</f>
        <v/>
      </c>
      <c r="R130" s="19" t="str">
        <f>Sheet1!R130</f>
        <v/>
      </c>
      <c r="S130" s="19" t="str">
        <f>Sheet1!S130</f>
        <v>Belum Lunas</v>
      </c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2"/>
      <c r="CC130" s="22"/>
      <c r="CD130" s="21"/>
      <c r="CE130" s="21"/>
      <c r="CF130" s="22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</row>
    <row r="131">
      <c r="A131" s="19">
        <f>Sheet1!A131</f>
        <v>130</v>
      </c>
      <c r="B131" s="19" t="str">
        <f>Sheet1!B131</f>
        <v>FITA ARUMNI SEPTHIANY</v>
      </c>
      <c r="C131" s="19">
        <f>Sheet1!C131</f>
        <v>2024070008</v>
      </c>
      <c r="D131" s="19" t="str">
        <f>Sheet1!D131</f>
        <v>C</v>
      </c>
      <c r="E131" s="19" t="str">
        <f>Sheet1!E131</f>
        <v>C-2</v>
      </c>
      <c r="F131" s="19">
        <f>Sheet1!F131</f>
        <v>3</v>
      </c>
      <c r="G131" s="19" t="str">
        <f>Sheet1!G131</f>
        <v/>
      </c>
      <c r="H131" s="19" t="str">
        <f>Sheet1!H131</f>
        <v>MA-XII.1</v>
      </c>
      <c r="I131" s="19" t="str">
        <f>Sheet1!I131</f>
        <v>KASTILAH</v>
      </c>
      <c r="J131" s="19" t="str">
        <f>Sheet1!J131</f>
        <v>KULURAN RT 4 RW 4 KALITENGAH LAMONGAN</v>
      </c>
      <c r="K131" s="19" t="str">
        <f>Sheet1!K131</f>
        <v>6285707808910</v>
      </c>
      <c r="L131" s="20">
        <f>Sheet1!L131</f>
        <v>900000</v>
      </c>
      <c r="M131" s="20">
        <f>Sheet1!M131</f>
        <v>1000000</v>
      </c>
      <c r="N131" s="20">
        <f>Sheet1!N131</f>
        <v>0</v>
      </c>
      <c r="O131" s="20">
        <f>Sheet1!O131</f>
        <v>1900000</v>
      </c>
      <c r="P131" s="19" t="str">
        <f>Sheet1!P131</f>
        <v/>
      </c>
      <c r="Q131" s="19" t="str">
        <f>Sheet1!Q131</f>
        <v/>
      </c>
      <c r="R131" s="19" t="str">
        <f>Sheet1!R131</f>
        <v/>
      </c>
      <c r="S131" s="19" t="str">
        <f>Sheet1!S131</f>
        <v>Belum Lunas</v>
      </c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2"/>
      <c r="CC131" s="22"/>
      <c r="CD131" s="21"/>
      <c r="CE131" s="21"/>
      <c r="CF131" s="22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</row>
    <row r="132">
      <c r="A132" s="19">
        <f>Sheet1!A132</f>
        <v>131</v>
      </c>
      <c r="B132" s="19" t="str">
        <f>Sheet1!B132</f>
        <v>PUTRI SALSABILA RAHMA NOVALITA</v>
      </c>
      <c r="C132" s="19">
        <f>Sheet1!C132</f>
        <v>2024070545</v>
      </c>
      <c r="D132" s="19" t="str">
        <f>Sheet1!D132</f>
        <v>C</v>
      </c>
      <c r="E132" s="19" t="str">
        <f>Sheet1!E132</f>
        <v>C-3</v>
      </c>
      <c r="F132" s="19">
        <f>Sheet1!F132</f>
        <v>3</v>
      </c>
      <c r="G132" s="19" t="str">
        <f>Sheet1!G132</f>
        <v/>
      </c>
      <c r="H132" s="19" t="str">
        <f>Sheet1!H132</f>
        <v>MTS-9 G</v>
      </c>
      <c r="I132" s="19" t="str">
        <f>Sheet1!I132</f>
        <v>NUR HASANAH</v>
      </c>
      <c r="J132" s="19" t="str">
        <f>Sheet1!J132</f>
        <v>SEMBUNGAN KIDUL RT 004 RW 002 DUKUN GRESIK</v>
      </c>
      <c r="K132" s="19" t="str">
        <f>Sheet1!K132</f>
        <v>6285755578060</v>
      </c>
      <c r="L132" s="20">
        <f>Sheet1!L132</f>
        <v>900000</v>
      </c>
      <c r="M132" s="20">
        <f>Sheet1!M132</f>
        <v>1000000</v>
      </c>
      <c r="N132" s="20">
        <f>Sheet1!N132</f>
        <v>0</v>
      </c>
      <c r="O132" s="20">
        <f>Sheet1!O132</f>
        <v>1900000</v>
      </c>
      <c r="P132" s="19" t="str">
        <f>Sheet1!P132</f>
        <v/>
      </c>
      <c r="Q132" s="19" t="str">
        <f>Sheet1!Q132</f>
        <v/>
      </c>
      <c r="R132" s="19" t="str">
        <f>Sheet1!R132</f>
        <v/>
      </c>
      <c r="S132" s="19" t="str">
        <f>Sheet1!S132</f>
        <v>Belum Lunas</v>
      </c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2"/>
      <c r="CC132" s="22"/>
      <c r="CD132" s="21"/>
      <c r="CE132" s="21"/>
      <c r="CF132" s="22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</row>
    <row r="133">
      <c r="A133" s="19">
        <f>Sheet1!A133</f>
        <v>132</v>
      </c>
      <c r="B133" s="19" t="str">
        <f>Sheet1!B133</f>
        <v>SAHRUL DICKY ARDIANSYAH</v>
      </c>
      <c r="C133" s="19">
        <f>Sheet1!C133</f>
        <v>2024070616</v>
      </c>
      <c r="D133" s="19" t="str">
        <f>Sheet1!D133</f>
        <v>A</v>
      </c>
      <c r="E133" s="19" t="str">
        <f>Sheet1!E133</f>
        <v>A-7</v>
      </c>
      <c r="F133" s="19">
        <f>Sheet1!F133</f>
        <v>3</v>
      </c>
      <c r="G133" s="19" t="str">
        <f>Sheet1!G133</f>
        <v>3 ULA B PUTRA</v>
      </c>
      <c r="H133" s="19" t="str">
        <f>Sheet1!H133</f>
        <v>MTS-9 E</v>
      </c>
      <c r="I133" s="19" t="str">
        <f>Sheet1!I133</f>
        <v>MASRIFAH</v>
      </c>
      <c r="J133" s="19" t="str">
        <f>Sheet1!J133</f>
        <v>GLUMO JELAKCATUR RT 002 RW 005 KALITENGAH LAMONGAN</v>
      </c>
      <c r="K133" s="19" t="str">
        <f>Sheet1!K133</f>
        <v>6285645276494</v>
      </c>
      <c r="L133" s="20">
        <f>Sheet1!L133</f>
        <v>900000</v>
      </c>
      <c r="M133" s="20">
        <f>Sheet1!M133</f>
        <v>1000000</v>
      </c>
      <c r="N133" s="20">
        <f>Sheet1!N133</f>
        <v>0</v>
      </c>
      <c r="O133" s="20">
        <f>Sheet1!O133</f>
        <v>1900000</v>
      </c>
      <c r="P133" s="19" t="str">
        <f>Sheet1!P133</f>
        <v/>
      </c>
      <c r="Q133" s="19" t="str">
        <f>Sheet1!Q133</f>
        <v/>
      </c>
      <c r="R133" s="19" t="str">
        <f>Sheet1!R133</f>
        <v/>
      </c>
      <c r="S133" s="19" t="str">
        <f>Sheet1!S133</f>
        <v>Belum Lunas</v>
      </c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2"/>
      <c r="CC133" s="22"/>
      <c r="CD133" s="21"/>
      <c r="CE133" s="21"/>
      <c r="CF133" s="22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</row>
    <row r="134">
      <c r="A134" s="19">
        <f>Sheet1!A134</f>
        <v>133</v>
      </c>
      <c r="B134" s="19" t="str">
        <f>Sheet1!B134</f>
        <v>AL IMROTUL KUSNIA</v>
      </c>
      <c r="C134" s="19">
        <f>Sheet1!C134</f>
        <v>2024070483</v>
      </c>
      <c r="D134" s="19" t="str">
        <f>Sheet1!D134</f>
        <v>E</v>
      </c>
      <c r="E134" s="19" t="str">
        <f>Sheet1!E134</f>
        <v>E-2</v>
      </c>
      <c r="F134" s="19">
        <f>Sheet1!F134</f>
        <v>3</v>
      </c>
      <c r="G134" s="19" t="str">
        <f>Sheet1!G134</f>
        <v>3 ULA C PUTRI</v>
      </c>
      <c r="H134" s="19" t="str">
        <f>Sheet1!H134</f>
        <v>MTS-9 C</v>
      </c>
      <c r="I134" s="19" t="str">
        <f>Sheet1!I134</f>
        <v>ROSYIDAH</v>
      </c>
      <c r="J134" s="19" t="str">
        <f>Sheet1!J134</f>
        <v>NGAYUNG RT 007 RW 002 MADURAN LAMONGAN</v>
      </c>
      <c r="K134" s="19" t="str">
        <f>Sheet1!K134</f>
        <v>6282330812041</v>
      </c>
      <c r="L134" s="20">
        <f>Sheet1!L134</f>
        <v>2000000</v>
      </c>
      <c r="M134" s="20">
        <f>Sheet1!M134</f>
        <v>0</v>
      </c>
      <c r="N134" s="20">
        <f>Sheet1!N134</f>
        <v>0</v>
      </c>
      <c r="O134" s="20">
        <f>Sheet1!O134</f>
        <v>2000000</v>
      </c>
      <c r="P134" s="19" t="str">
        <f>Sheet1!P134</f>
        <v/>
      </c>
      <c r="Q134" s="19" t="str">
        <f>Sheet1!Q134</f>
        <v/>
      </c>
      <c r="R134" s="19" t="str">
        <f>Sheet1!R134</f>
        <v/>
      </c>
      <c r="S134" s="19" t="str">
        <f>Sheet1!S134</f>
        <v>Belum Lunas</v>
      </c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2"/>
      <c r="CC134" s="22"/>
      <c r="CD134" s="21"/>
      <c r="CE134" s="21"/>
      <c r="CF134" s="22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</row>
    <row r="135">
      <c r="A135" s="19">
        <f>Sheet1!A135</f>
        <v>134</v>
      </c>
      <c r="B135" s="19" t="str">
        <f>Sheet1!B135</f>
        <v>NILLA ADDINIA KHAFSOH</v>
      </c>
      <c r="C135" s="19">
        <f>Sheet1!C135</f>
        <v>2024070195</v>
      </c>
      <c r="D135" s="19" t="str">
        <f>Sheet1!D135</f>
        <v>E</v>
      </c>
      <c r="E135" s="19" t="str">
        <f>Sheet1!E135</f>
        <v>E-3</v>
      </c>
      <c r="F135" s="19">
        <f>Sheet1!F135</f>
        <v>3</v>
      </c>
      <c r="G135" s="19" t="str">
        <f>Sheet1!G135</f>
        <v>3 WUSTHO C PUTRI</v>
      </c>
      <c r="H135" s="19" t="str">
        <f>Sheet1!H135</f>
        <v>MA-XII.7</v>
      </c>
      <c r="I135" s="19" t="str">
        <f>Sheet1!I135</f>
        <v>NUR HASANAH</v>
      </c>
      <c r="J135" s="19" t="str">
        <f>Sheet1!J135</f>
        <v>KETAPANG LOR RT 001 RW 002 UJUNGPANGKAH GRESIK</v>
      </c>
      <c r="K135" s="19" t="str">
        <f>Sheet1!K135</f>
        <v>6285813135311</v>
      </c>
      <c r="L135" s="20">
        <f>Sheet1!L135</f>
        <v>1000000</v>
      </c>
      <c r="M135" s="20">
        <f>Sheet1!M135</f>
        <v>1000000</v>
      </c>
      <c r="N135" s="20">
        <f>Sheet1!N135</f>
        <v>0</v>
      </c>
      <c r="O135" s="20">
        <f>Sheet1!O135</f>
        <v>2000000</v>
      </c>
      <c r="P135" s="19" t="str">
        <f>Sheet1!P135</f>
        <v/>
      </c>
      <c r="Q135" s="19" t="str">
        <f>Sheet1!Q135</f>
        <v/>
      </c>
      <c r="R135" s="19" t="str">
        <f>Sheet1!R135</f>
        <v/>
      </c>
      <c r="S135" s="19" t="str">
        <f>Sheet1!S135</f>
        <v>Belum Lunas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2"/>
      <c r="CC135" s="22"/>
      <c r="CD135" s="21"/>
      <c r="CE135" s="21"/>
      <c r="CF135" s="22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</row>
    <row r="136">
      <c r="A136" s="19">
        <f>Sheet1!A136</f>
        <v>135</v>
      </c>
      <c r="B136" s="19" t="str">
        <f>Sheet1!B136</f>
        <v>MOCH. FAJAR QOMARUDIN FEBRIAN</v>
      </c>
      <c r="C136" s="19">
        <f>Sheet1!C136</f>
        <v>2024070678</v>
      </c>
      <c r="D136" s="19" t="str">
        <f>Sheet1!D136</f>
        <v>A</v>
      </c>
      <c r="E136" s="19" t="str">
        <f>Sheet1!E136</f>
        <v>A-10</v>
      </c>
      <c r="F136" s="19">
        <f>Sheet1!F136</f>
        <v>3</v>
      </c>
      <c r="G136" s="19" t="str">
        <f>Sheet1!G136</f>
        <v>3 WUSTHO PUTRA</v>
      </c>
      <c r="H136" s="19" t="str">
        <f>Sheet1!H136</f>
        <v>SMK-XII TKJ 1</v>
      </c>
      <c r="I136" s="19" t="str">
        <f>Sheet1!I136</f>
        <v>SA'ADATUN NI'MAH</v>
      </c>
      <c r="J136" s="19" t="str">
        <f>Sheet1!J136</f>
        <v>KANDANGAN CANDISARI RT 012 RW 002 SAMBENG LAMONGAN</v>
      </c>
      <c r="K136" s="19" t="str">
        <f>Sheet1!K136</f>
        <v>6285809004813</v>
      </c>
      <c r="L136" s="20">
        <f>Sheet1!L136</f>
        <v>1890000</v>
      </c>
      <c r="M136" s="20">
        <f>Sheet1!M136</f>
        <v>0</v>
      </c>
      <c r="N136" s="20">
        <f>Sheet1!N136</f>
        <v>250000</v>
      </c>
      <c r="O136" s="20">
        <f>Sheet1!O136</f>
        <v>2140000</v>
      </c>
      <c r="P136" s="19" t="str">
        <f>Sheet1!P136</f>
        <v/>
      </c>
      <c r="Q136" s="19" t="str">
        <f>Sheet1!Q136</f>
        <v/>
      </c>
      <c r="R136" s="19" t="str">
        <f>Sheet1!R136</f>
        <v/>
      </c>
      <c r="S136" s="19" t="str">
        <f>Sheet1!S136</f>
        <v>Belum Lunas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2"/>
      <c r="CC136" s="22"/>
      <c r="CD136" s="21"/>
      <c r="CE136" s="21"/>
      <c r="CF136" s="22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</row>
    <row r="137">
      <c r="A137" s="19">
        <f>Sheet1!A137</f>
        <v>136</v>
      </c>
      <c r="B137" s="19" t="str">
        <f>Sheet1!B137</f>
        <v>HUSNADYAH FATMAHWATI</v>
      </c>
      <c r="C137" s="19">
        <f>Sheet1!C137</f>
        <v>2024070115</v>
      </c>
      <c r="D137" s="19" t="str">
        <f>Sheet1!D137</f>
        <v>D</v>
      </c>
      <c r="E137" s="19" t="str">
        <f>Sheet1!E137</f>
        <v>D-6</v>
      </c>
      <c r="F137" s="19">
        <f>Sheet1!F137</f>
        <v>3</v>
      </c>
      <c r="G137" s="19" t="str">
        <f>Sheet1!G137</f>
        <v>3 WUSTHO C PUTRI</v>
      </c>
      <c r="H137" s="19" t="str">
        <f>Sheet1!H137</f>
        <v>MA-XII.4</v>
      </c>
      <c r="I137" s="19" t="str">
        <f>Sheet1!I137</f>
        <v>KURNIA NIKDA RETNANI</v>
      </c>
      <c r="J137" s="19" t="str">
        <f>Sheet1!J137</f>
        <v>LUMBANGAN PENDOWOLIMO RT 3 RW 1 KARANGBINANGUN LAMONGAN</v>
      </c>
      <c r="K137" s="19" t="str">
        <f>Sheet1!K137</f>
        <v>6285731755110</v>
      </c>
      <c r="L137" s="20">
        <f>Sheet1!L137</f>
        <v>2250000</v>
      </c>
      <c r="M137" s="20">
        <f>Sheet1!M137</f>
        <v>0</v>
      </c>
      <c r="N137" s="20">
        <f>Sheet1!N137</f>
        <v>0</v>
      </c>
      <c r="O137" s="20">
        <f>Sheet1!O137</f>
        <v>2250000</v>
      </c>
      <c r="P137" s="19" t="str">
        <f>Sheet1!P137</f>
        <v/>
      </c>
      <c r="Q137" s="19" t="str">
        <f>Sheet1!Q137</f>
        <v/>
      </c>
      <c r="R137" s="19" t="str">
        <f>Sheet1!R137</f>
        <v/>
      </c>
      <c r="S137" s="19" t="str">
        <f>Sheet1!S137</f>
        <v>Belum Lunas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2"/>
      <c r="CC137" s="22"/>
      <c r="CD137" s="21"/>
      <c r="CE137" s="21"/>
      <c r="CF137" s="22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</row>
    <row r="138">
      <c r="A138" s="19">
        <f>Sheet1!A138</f>
        <v>137</v>
      </c>
      <c r="B138" s="19" t="str">
        <f>Sheet1!B138</f>
        <v>SAFIRA FIDIYASARI</v>
      </c>
      <c r="C138" s="19">
        <f>Sheet1!C138</f>
        <v>2024070632</v>
      </c>
      <c r="D138" s="19" t="str">
        <f>Sheet1!D138</f>
        <v>C</v>
      </c>
      <c r="E138" s="19" t="str">
        <f>Sheet1!E138</f>
        <v>C-3</v>
      </c>
      <c r="F138" s="19">
        <f>Sheet1!F138</f>
        <v>3</v>
      </c>
      <c r="G138" s="19" t="str">
        <f>Sheet1!G138</f>
        <v/>
      </c>
      <c r="H138" s="19" t="str">
        <f>Sheet1!H138</f>
        <v>MTS-9 H</v>
      </c>
      <c r="I138" s="19" t="str">
        <f>Sheet1!I138</f>
        <v>SOFIYA WIDIYAWATI</v>
      </c>
      <c r="J138" s="19" t="str">
        <f>Sheet1!J138</f>
        <v>KULURAN RT 004 RW 003 KALITENGAH LAMONGAN</v>
      </c>
      <c r="K138" s="19" t="str">
        <f>Sheet1!K138</f>
        <v>6285732998926</v>
      </c>
      <c r="L138" s="20">
        <f>Sheet1!L138</f>
        <v>1800000</v>
      </c>
      <c r="M138" s="20">
        <f>Sheet1!M138</f>
        <v>500000</v>
      </c>
      <c r="N138" s="20">
        <f>Sheet1!N138</f>
        <v>0</v>
      </c>
      <c r="O138" s="20">
        <f>Sheet1!O138</f>
        <v>2300000</v>
      </c>
      <c r="P138" s="19" t="str">
        <f>Sheet1!P138</f>
        <v/>
      </c>
      <c r="Q138" s="19" t="str">
        <f>Sheet1!Q138</f>
        <v/>
      </c>
      <c r="R138" s="19" t="str">
        <f>Sheet1!R138</f>
        <v/>
      </c>
      <c r="S138" s="19" t="str">
        <f>Sheet1!S138</f>
        <v>Belum Lunas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2"/>
      <c r="CC138" s="22"/>
      <c r="CD138" s="21"/>
      <c r="CE138" s="21"/>
      <c r="CF138" s="22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</row>
    <row r="139">
      <c r="A139" s="19">
        <f>Sheet1!A139</f>
        <v>138</v>
      </c>
      <c r="B139" s="19" t="str">
        <f>Sheet1!B139</f>
        <v>AMINATUS SALMA</v>
      </c>
      <c r="C139" s="19">
        <f>Sheet1!C139</f>
        <v>2024070186</v>
      </c>
      <c r="D139" s="19" t="str">
        <f>Sheet1!D139</f>
        <v>D</v>
      </c>
      <c r="E139" s="19" t="str">
        <f>Sheet1!E139</f>
        <v>D-6</v>
      </c>
      <c r="F139" s="19">
        <f>Sheet1!F139</f>
        <v>3</v>
      </c>
      <c r="G139" s="19" t="str">
        <f>Sheet1!G139</f>
        <v>3 WUSTHO C PUTRI</v>
      </c>
      <c r="H139" s="19" t="str">
        <f>Sheet1!H139</f>
        <v>MA-XII.7</v>
      </c>
      <c r="I139" s="19" t="str">
        <f>Sheet1!I139</f>
        <v>SYAMSIAMAH</v>
      </c>
      <c r="J139" s="19" t="str">
        <f>Sheet1!J139</f>
        <v>KEBONSARI PALANGAN RT 2 RW 1 KARANGBINANGUN LAMONGAN</v>
      </c>
      <c r="K139" s="19" t="str">
        <f>Sheet1!K139</f>
        <v>6285608570934</v>
      </c>
      <c r="L139" s="20">
        <f>Sheet1!L139</f>
        <v>1350000</v>
      </c>
      <c r="M139" s="20">
        <f>Sheet1!M139</f>
        <v>1000000</v>
      </c>
      <c r="N139" s="20">
        <f>Sheet1!N139</f>
        <v>0</v>
      </c>
      <c r="O139" s="20">
        <f>Sheet1!O139</f>
        <v>2350000</v>
      </c>
      <c r="P139" s="19" t="str">
        <f>Sheet1!P139</f>
        <v/>
      </c>
      <c r="Q139" s="19" t="str">
        <f>Sheet1!Q139</f>
        <v/>
      </c>
      <c r="R139" s="19" t="str">
        <f>Sheet1!R139</f>
        <v/>
      </c>
      <c r="S139" s="19" t="str">
        <f>Sheet1!S139</f>
        <v>Belum Lunas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2"/>
      <c r="CC139" s="22"/>
      <c r="CD139" s="21"/>
      <c r="CE139" s="21"/>
      <c r="CF139" s="22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</row>
    <row r="140">
      <c r="A140" s="19">
        <f>Sheet1!A140</f>
        <v>139</v>
      </c>
      <c r="B140" s="19" t="str">
        <f>Sheet1!B140</f>
        <v>BUNGA SALSABILA RAHMAH</v>
      </c>
      <c r="C140" s="19">
        <f>Sheet1!C140</f>
        <v>2024071520</v>
      </c>
      <c r="D140" s="19" t="str">
        <f>Sheet1!D140</f>
        <v>C</v>
      </c>
      <c r="E140" s="19" t="str">
        <f>Sheet1!E140</f>
        <v>C-7</v>
      </c>
      <c r="F140" s="19">
        <f>Sheet1!F140</f>
        <v>3</v>
      </c>
      <c r="G140" s="19" t="str">
        <f>Sheet1!G140</f>
        <v/>
      </c>
      <c r="H140" s="19" t="str">
        <f>Sheet1!H140</f>
        <v>MA-XIII.13</v>
      </c>
      <c r="I140" s="19" t="str">
        <f>Sheet1!I140</f>
        <v>USWATUN HASANAH</v>
      </c>
      <c r="J140" s="19" t="str">
        <f>Sheet1!J140</f>
        <v>SEMEMI JAYA 10 LANGGAR NO. 21 RT 005 RW 001 BENOWO SURABAYA</v>
      </c>
      <c r="K140" s="19" t="str">
        <f>Sheet1!K140</f>
        <v>6285102700597</v>
      </c>
      <c r="L140" s="20">
        <f>Sheet1!L140</f>
        <v>1350000</v>
      </c>
      <c r="M140" s="20">
        <f>Sheet1!M140</f>
        <v>1000000</v>
      </c>
      <c r="N140" s="20">
        <f>Sheet1!N140</f>
        <v>0</v>
      </c>
      <c r="O140" s="20">
        <f>Sheet1!O140</f>
        <v>2350000</v>
      </c>
      <c r="P140" s="19" t="str">
        <f>Sheet1!P140</f>
        <v/>
      </c>
      <c r="Q140" s="19" t="str">
        <f>Sheet1!Q140</f>
        <v/>
      </c>
      <c r="R140" s="19" t="str">
        <f>Sheet1!R140</f>
        <v/>
      </c>
      <c r="S140" s="19" t="str">
        <f>Sheet1!S140</f>
        <v>Belum Lunas</v>
      </c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2"/>
      <c r="CC140" s="22"/>
      <c r="CD140" s="21"/>
      <c r="CE140" s="21"/>
      <c r="CF140" s="22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</row>
    <row r="141">
      <c r="A141" s="19">
        <f>Sheet1!A141</f>
        <v>140</v>
      </c>
      <c r="B141" s="19" t="str">
        <f>Sheet1!B141</f>
        <v>NAJWA ERILAH</v>
      </c>
      <c r="C141" s="19">
        <f>Sheet1!C141</f>
        <v>2024070020</v>
      </c>
      <c r="D141" s="19" t="str">
        <f>Sheet1!D141</f>
        <v>D</v>
      </c>
      <c r="E141" s="19" t="str">
        <f>Sheet1!E141</f>
        <v>D-7</v>
      </c>
      <c r="F141" s="19">
        <f>Sheet1!F141</f>
        <v>3</v>
      </c>
      <c r="G141" s="19" t="str">
        <f>Sheet1!G141</f>
        <v/>
      </c>
      <c r="H141" s="19" t="str">
        <f>Sheet1!H141</f>
        <v>MA-XII.1</v>
      </c>
      <c r="I141" s="19" t="str">
        <f>Sheet1!I141</f>
        <v>MUNZILAH</v>
      </c>
      <c r="J141" s="19" t="str">
        <f>Sheet1!J141</f>
        <v>PETIYIN TAKERHARJO RT 1 RW 5 SOLOKURO LAMONGAN</v>
      </c>
      <c r="K141" s="19" t="str">
        <f>Sheet1!K141</f>
        <v>6285736463854</v>
      </c>
      <c r="L141" s="20">
        <f>Sheet1!L141</f>
        <v>1350000</v>
      </c>
      <c r="M141" s="20">
        <f>Sheet1!M141</f>
        <v>1000000</v>
      </c>
      <c r="N141" s="20">
        <f>Sheet1!N141</f>
        <v>0</v>
      </c>
      <c r="O141" s="20">
        <f>Sheet1!O141</f>
        <v>2350000</v>
      </c>
      <c r="P141" s="19" t="str">
        <f>Sheet1!P141</f>
        <v/>
      </c>
      <c r="Q141" s="19" t="str">
        <f>Sheet1!Q141</f>
        <v/>
      </c>
      <c r="R141" s="19" t="str">
        <f>Sheet1!R141</f>
        <v/>
      </c>
      <c r="S141" s="19" t="str">
        <f>Sheet1!S141</f>
        <v>Belum Lunas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2"/>
      <c r="CC141" s="22"/>
      <c r="CD141" s="21"/>
      <c r="CE141" s="21"/>
      <c r="CF141" s="22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</row>
    <row r="142">
      <c r="A142" s="19">
        <f>Sheet1!A142</f>
        <v>141</v>
      </c>
      <c r="B142" s="19" t="str">
        <f>Sheet1!B142</f>
        <v>ILHAFAH ARYA NOVRYANI</v>
      </c>
      <c r="C142" s="19">
        <f>Sheet1!C142</f>
        <v>2024070617</v>
      </c>
      <c r="D142" s="19" t="str">
        <f>Sheet1!D142</f>
        <v>E</v>
      </c>
      <c r="E142" s="19" t="str">
        <f>Sheet1!E142</f>
        <v>E-3</v>
      </c>
      <c r="F142" s="19">
        <f>Sheet1!F142</f>
        <v>3</v>
      </c>
      <c r="G142" s="19" t="str">
        <f>Sheet1!G142</f>
        <v>3 ULA B PUTRI</v>
      </c>
      <c r="H142" s="19" t="str">
        <f>Sheet1!H142</f>
        <v>MTS-9 G</v>
      </c>
      <c r="I142" s="19" t="str">
        <f>Sheet1!I142</f>
        <v>NGATMIATUN</v>
      </c>
      <c r="J142" s="19" t="str">
        <f>Sheet1!J142</f>
        <v>TEJOASRI RT 003 RW 005 LAREN LAMONGAN</v>
      </c>
      <c r="K142" s="19" t="str">
        <f>Sheet1!K142</f>
        <v>6285735467317</v>
      </c>
      <c r="L142" s="20">
        <f>Sheet1!L142</f>
        <v>1500000</v>
      </c>
      <c r="M142" s="20">
        <f>Sheet1!M142</f>
        <v>1000000</v>
      </c>
      <c r="N142" s="20">
        <f>Sheet1!N142</f>
        <v>0</v>
      </c>
      <c r="O142" s="20">
        <f>Sheet1!O142</f>
        <v>2500000</v>
      </c>
      <c r="P142" s="19" t="str">
        <f>Sheet1!P142</f>
        <v/>
      </c>
      <c r="Q142" s="19" t="str">
        <f>Sheet1!Q142</f>
        <v/>
      </c>
      <c r="R142" s="19" t="str">
        <f>Sheet1!R142</f>
        <v/>
      </c>
      <c r="S142" s="19" t="str">
        <f>Sheet1!S142</f>
        <v>Belum Lunas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2"/>
      <c r="CC142" s="22"/>
      <c r="CD142" s="21"/>
      <c r="CE142" s="21"/>
      <c r="CF142" s="22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</row>
    <row r="143">
      <c r="A143" s="19">
        <f>Sheet1!A143</f>
        <v>142</v>
      </c>
      <c r="B143" s="19" t="str">
        <f>Sheet1!B143</f>
        <v>DAVINA NANGSYA AZZAHRAH</v>
      </c>
      <c r="C143" s="19">
        <f>Sheet1!C143</f>
        <v>2024070415</v>
      </c>
      <c r="D143" s="19" t="str">
        <f>Sheet1!D143</f>
        <v>E</v>
      </c>
      <c r="E143" s="19" t="str">
        <f>Sheet1!E143</f>
        <v>E-3</v>
      </c>
      <c r="F143" s="19">
        <f>Sheet1!F143</f>
        <v>3</v>
      </c>
      <c r="G143" s="19" t="str">
        <f>Sheet1!G143</f>
        <v>3 WUSTHO A PUTRI</v>
      </c>
      <c r="H143" s="19" t="str">
        <f>Sheet1!H143</f>
        <v>MA-XII.2</v>
      </c>
      <c r="I143" s="19" t="str">
        <f>Sheet1!I143</f>
        <v>SAFI`AH</v>
      </c>
      <c r="J143" s="19" t="str">
        <f>Sheet1!J143</f>
        <v>RANDUBENER RT 13 RW 2 KEMBANGBAHU LAMONGAN</v>
      </c>
      <c r="K143" s="19" t="str">
        <f>Sheet1!K143</f>
        <v>6289537096560</v>
      </c>
      <c r="L143" s="20">
        <f>Sheet1!L143</f>
        <v>2160000</v>
      </c>
      <c r="M143" s="20">
        <f>Sheet1!M143</f>
        <v>0</v>
      </c>
      <c r="N143" s="20">
        <f>Sheet1!N143</f>
        <v>350000</v>
      </c>
      <c r="O143" s="20">
        <f>Sheet1!O143</f>
        <v>2510000</v>
      </c>
      <c r="P143" s="19" t="str">
        <f>Sheet1!P143</f>
        <v/>
      </c>
      <c r="Q143" s="19" t="str">
        <f>Sheet1!Q143</f>
        <v/>
      </c>
      <c r="R143" s="19" t="str">
        <f>Sheet1!R143</f>
        <v/>
      </c>
      <c r="S143" s="19" t="str">
        <f>Sheet1!S143</f>
        <v>Belum Lunas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2"/>
      <c r="CC143" s="22"/>
      <c r="CD143" s="21"/>
      <c r="CE143" s="21"/>
      <c r="CF143" s="22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</row>
    <row r="144">
      <c r="A144" s="19">
        <f>Sheet1!A144</f>
        <v>143</v>
      </c>
      <c r="B144" s="19" t="str">
        <f>Sheet1!B144</f>
        <v>DEWI SHOFIYAH NUR HIMMATUSSALAFIYA</v>
      </c>
      <c r="C144" s="19">
        <f>Sheet1!C144</f>
        <v>2024070416</v>
      </c>
      <c r="D144" s="19" t="str">
        <f>Sheet1!D144</f>
        <v>D</v>
      </c>
      <c r="E144" s="19" t="str">
        <f>Sheet1!E144</f>
        <v>D-6</v>
      </c>
      <c r="F144" s="19">
        <f>Sheet1!F144</f>
        <v>3</v>
      </c>
      <c r="G144" s="19" t="str">
        <f>Sheet1!G144</f>
        <v>3 MAK PUTRI</v>
      </c>
      <c r="H144" s="19" t="str">
        <f>Sheet1!H144</f>
        <v>MA-XII.13</v>
      </c>
      <c r="I144" s="19" t="str">
        <f>Sheet1!I144</f>
        <v>SUMIYAH</v>
      </c>
      <c r="J144" s="19" t="str">
        <f>Sheet1!J144</f>
        <v>GLUMO RT 005 RW 001 JELAKCATUR KALITENGAH LAMONGAN</v>
      </c>
      <c r="K144" s="19" t="str">
        <f>Sheet1!K144</f>
        <v>6285792978952</v>
      </c>
      <c r="L144" s="20">
        <f>Sheet1!L144</f>
        <v>2700000</v>
      </c>
      <c r="M144" s="20">
        <f>Sheet1!M144</f>
        <v>0</v>
      </c>
      <c r="N144" s="20">
        <f>Sheet1!N144</f>
        <v>0</v>
      </c>
      <c r="O144" s="20">
        <f>Sheet1!O144</f>
        <v>2700000</v>
      </c>
      <c r="P144" s="19" t="str">
        <f>Sheet1!P144</f>
        <v/>
      </c>
      <c r="Q144" s="19" t="str">
        <f>Sheet1!Q144</f>
        <v/>
      </c>
      <c r="R144" s="19" t="str">
        <f>Sheet1!R144</f>
        <v/>
      </c>
      <c r="S144" s="19" t="str">
        <f>Sheet1!S144</f>
        <v>Belum Lunas</v>
      </c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2"/>
      <c r="CC144" s="22"/>
      <c r="CD144" s="21"/>
      <c r="CE144" s="21"/>
      <c r="CF144" s="22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</row>
    <row r="145">
      <c r="A145" s="19">
        <f>Sheet1!A145</f>
        <v>144</v>
      </c>
      <c r="B145" s="19" t="str">
        <f>Sheet1!B145</f>
        <v>EIRMA NAFISYAH ADILLAH</v>
      </c>
      <c r="C145" s="19">
        <f>Sheet1!C145</f>
        <v>2024070190</v>
      </c>
      <c r="D145" s="19" t="str">
        <f>Sheet1!D145</f>
        <v>C</v>
      </c>
      <c r="E145" s="19" t="str">
        <f>Sheet1!E145</f>
        <v>C-9</v>
      </c>
      <c r="F145" s="19">
        <f>Sheet1!F145</f>
        <v>3</v>
      </c>
      <c r="G145" s="19" t="str">
        <f>Sheet1!G145</f>
        <v>3 WUSTHO B PUTRI</v>
      </c>
      <c r="H145" s="19" t="str">
        <f>Sheet1!H145</f>
        <v>MA-XII.7</v>
      </c>
      <c r="I145" s="19" t="str">
        <f>Sheet1!I145</f>
        <v>ENDANG SUGIARTI</v>
      </c>
      <c r="J145" s="19" t="str">
        <f>Sheet1!J145</f>
        <v>SHOBEROH DALEGAN RT 003 RW 009 PANCENG GRESIK</v>
      </c>
      <c r="K145" s="19" t="str">
        <f>Sheet1!K145</f>
        <v>601163973701</v>
      </c>
      <c r="L145" s="20">
        <f>Sheet1!L145</f>
        <v>2700000</v>
      </c>
      <c r="M145" s="20">
        <f>Sheet1!M145</f>
        <v>0</v>
      </c>
      <c r="N145" s="20">
        <f>Sheet1!N145</f>
        <v>0</v>
      </c>
      <c r="O145" s="20">
        <f>Sheet1!O145</f>
        <v>2700000</v>
      </c>
      <c r="P145" s="19" t="str">
        <f>Sheet1!P145</f>
        <v/>
      </c>
      <c r="Q145" s="19" t="str">
        <f>Sheet1!Q145</f>
        <v/>
      </c>
      <c r="R145" s="19" t="str">
        <f>Sheet1!R145</f>
        <v/>
      </c>
      <c r="S145" s="19" t="str">
        <f>Sheet1!S145</f>
        <v>Belum Lunas</v>
      </c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2"/>
      <c r="CC145" s="22"/>
      <c r="CD145" s="21"/>
      <c r="CE145" s="21"/>
      <c r="CF145" s="22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</row>
    <row r="146">
      <c r="A146" s="19">
        <f>Sheet1!A146</f>
        <v>145</v>
      </c>
      <c r="B146" s="19" t="str">
        <f>Sheet1!B146</f>
        <v>HARITSATUN NAJWA ABIDAH ALBANAN</v>
      </c>
      <c r="C146" s="19">
        <f>Sheet1!C146</f>
        <v>2024070569</v>
      </c>
      <c r="D146" s="19" t="str">
        <f>Sheet1!D146</f>
        <v>C</v>
      </c>
      <c r="E146" s="19" t="str">
        <f>Sheet1!E146</f>
        <v>C-3</v>
      </c>
      <c r="F146" s="19">
        <f>Sheet1!F146</f>
        <v>3</v>
      </c>
      <c r="G146" s="19" t="str">
        <f>Sheet1!G146</f>
        <v/>
      </c>
      <c r="H146" s="19" t="str">
        <f>Sheet1!H146</f>
        <v>MTS-9 C</v>
      </c>
      <c r="I146" s="19" t="str">
        <f>Sheet1!I146</f>
        <v>HIDAYATUL ABIDAH</v>
      </c>
      <c r="J146" s="19" t="str">
        <f>Sheet1!J146</f>
        <v>JANGGAN POMAHANJANGGAN RT 007 RW 003 TURI LAMONGAN</v>
      </c>
      <c r="K146" s="19" t="str">
        <f>Sheet1!K146</f>
        <v>6285655438946</v>
      </c>
      <c r="L146" s="20">
        <f>Sheet1!L146</f>
        <v>2700000</v>
      </c>
      <c r="M146" s="20">
        <f>Sheet1!M146</f>
        <v>0</v>
      </c>
      <c r="N146" s="20">
        <f>Sheet1!N146</f>
        <v>0</v>
      </c>
      <c r="O146" s="20">
        <f>Sheet1!O146</f>
        <v>2700000</v>
      </c>
      <c r="P146" s="19" t="str">
        <f>Sheet1!P146</f>
        <v/>
      </c>
      <c r="Q146" s="19" t="str">
        <f>Sheet1!Q146</f>
        <v/>
      </c>
      <c r="R146" s="19" t="str">
        <f>Sheet1!R146</f>
        <v/>
      </c>
      <c r="S146" s="19" t="str">
        <f>Sheet1!S146</f>
        <v>Belum Lunas</v>
      </c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2"/>
      <c r="CC146" s="22"/>
      <c r="CD146" s="21"/>
      <c r="CE146" s="21"/>
      <c r="CF146" s="22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</row>
    <row r="147">
      <c r="A147" s="19">
        <f>Sheet1!A147</f>
        <v>146</v>
      </c>
      <c r="B147" s="19" t="str">
        <f>Sheet1!B147</f>
        <v>NUR IFATURAHMAH</v>
      </c>
      <c r="C147" s="19">
        <f>Sheet1!C147</f>
        <v>2024070505</v>
      </c>
      <c r="D147" s="19" t="str">
        <f>Sheet1!D147</f>
        <v>D</v>
      </c>
      <c r="E147" s="19" t="str">
        <f>Sheet1!E147</f>
        <v>D-7</v>
      </c>
      <c r="F147" s="19">
        <f>Sheet1!F147</f>
        <v>3</v>
      </c>
      <c r="G147" s="19" t="str">
        <f>Sheet1!G147</f>
        <v>3 ULA B PUTRI</v>
      </c>
      <c r="H147" s="19" t="str">
        <f>Sheet1!H147</f>
        <v>MTS-9 A</v>
      </c>
      <c r="I147" s="19" t="str">
        <f>Sheet1!I147</f>
        <v>EKA RAKHMAWATI</v>
      </c>
      <c r="J147" s="19" t="str">
        <f>Sheet1!J147</f>
        <v>BESUSUL SUMBERAJI RT 002 RW 003 SUKODADI LAMONGAN</v>
      </c>
      <c r="K147" s="19" t="str">
        <f>Sheet1!K147</f>
        <v>6285648312663</v>
      </c>
      <c r="L147" s="20">
        <f>Sheet1!L147</f>
        <v>2700000</v>
      </c>
      <c r="M147" s="20">
        <f>Sheet1!M147</f>
        <v>0</v>
      </c>
      <c r="N147" s="20">
        <f>Sheet1!N147</f>
        <v>0</v>
      </c>
      <c r="O147" s="20">
        <f>Sheet1!O147</f>
        <v>2700000</v>
      </c>
      <c r="P147" s="19" t="str">
        <f>Sheet1!P147</f>
        <v/>
      </c>
      <c r="Q147" s="19" t="str">
        <f>Sheet1!Q147</f>
        <v/>
      </c>
      <c r="R147" s="19" t="str">
        <f>Sheet1!R147</f>
        <v/>
      </c>
      <c r="S147" s="19" t="str">
        <f>Sheet1!S147</f>
        <v>Belum Lunas</v>
      </c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2"/>
      <c r="CC147" s="22"/>
      <c r="CD147" s="21"/>
      <c r="CE147" s="21"/>
      <c r="CF147" s="22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</row>
    <row r="148">
      <c r="A148" s="19">
        <f>Sheet1!A148</f>
        <v>147</v>
      </c>
      <c r="B148" s="19" t="str">
        <f>Sheet1!B148</f>
        <v>KHARIS DWI FIRMANA</v>
      </c>
      <c r="C148" s="19">
        <f>Sheet1!C148</f>
        <v>2024070627</v>
      </c>
      <c r="D148" s="19" t="str">
        <f>Sheet1!D148</f>
        <v>A</v>
      </c>
      <c r="E148" s="19" t="str">
        <f>Sheet1!E148</f>
        <v>A-8</v>
      </c>
      <c r="F148" s="19">
        <f>Sheet1!F148</f>
        <v>3</v>
      </c>
      <c r="G148" s="19" t="str">
        <f>Sheet1!G148</f>
        <v>3 ULA B PUTRA</v>
      </c>
      <c r="H148" s="19" t="str">
        <f>Sheet1!H148</f>
        <v>MTS-9 F</v>
      </c>
      <c r="I148" s="19" t="str">
        <f>Sheet1!I148</f>
        <v>KHOLIFAH</v>
      </c>
      <c r="J148" s="19" t="str">
        <f>Sheet1!J148</f>
        <v>NGAYUNG RT 010 RW 003 MADURAN LAMONGAN</v>
      </c>
      <c r="K148" s="19" t="str">
        <f>Sheet1!K148</f>
        <v>6285777721366</v>
      </c>
      <c r="L148" s="20">
        <f>Sheet1!L148</f>
        <v>2250000</v>
      </c>
      <c r="M148" s="20">
        <f>Sheet1!M148</f>
        <v>500000</v>
      </c>
      <c r="N148" s="20">
        <f>Sheet1!N148</f>
        <v>0</v>
      </c>
      <c r="O148" s="20">
        <f>Sheet1!O148</f>
        <v>2750000</v>
      </c>
      <c r="P148" s="19" t="str">
        <f>Sheet1!P148</f>
        <v/>
      </c>
      <c r="Q148" s="19" t="str">
        <f>Sheet1!Q148</f>
        <v/>
      </c>
      <c r="R148" s="19" t="str">
        <f>Sheet1!R148</f>
        <v/>
      </c>
      <c r="S148" s="19" t="str">
        <f>Sheet1!S148</f>
        <v>Belum Lunas</v>
      </c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2"/>
      <c r="CC148" s="22"/>
      <c r="CD148" s="21"/>
      <c r="CE148" s="21"/>
      <c r="CF148" s="22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</row>
    <row r="149">
      <c r="A149" s="19">
        <f>Sheet1!A149</f>
        <v>148</v>
      </c>
      <c r="B149" s="19" t="str">
        <f>Sheet1!B149</f>
        <v>ADELIA YULIANTI PUTRI</v>
      </c>
      <c r="C149" s="19">
        <f>Sheet1!C149</f>
        <v>2024070492</v>
      </c>
      <c r="D149" s="19" t="str">
        <f>Sheet1!D149</f>
        <v>C</v>
      </c>
      <c r="E149" s="19" t="str">
        <f>Sheet1!E149</f>
        <v>C-12</v>
      </c>
      <c r="F149" s="19">
        <f>Sheet1!F149</f>
        <v>3</v>
      </c>
      <c r="G149" s="19" t="str">
        <f>Sheet1!G149</f>
        <v>3 ULA A PUTRI</v>
      </c>
      <c r="H149" s="19" t="str">
        <f>Sheet1!H149</f>
        <v>MTS-9 G</v>
      </c>
      <c r="I149" s="19" t="str">
        <f>Sheet1!I149</f>
        <v>ENDANG MAYAWATI</v>
      </c>
      <c r="J149" s="19" t="str">
        <f>Sheet1!J149</f>
        <v>ASEMROWO II NO. 19 RT 002 RW 001 ASEM ROWO SURABAYA</v>
      </c>
      <c r="K149" s="19" t="str">
        <f>Sheet1!K149</f>
        <v>6285808721207</v>
      </c>
      <c r="L149" s="20">
        <f>Sheet1!L149</f>
        <v>1800000</v>
      </c>
      <c r="M149" s="20">
        <f>Sheet1!M149</f>
        <v>1000000</v>
      </c>
      <c r="N149" s="20">
        <f>Sheet1!N149</f>
        <v>0</v>
      </c>
      <c r="O149" s="20">
        <f>Sheet1!O149</f>
        <v>2800000</v>
      </c>
      <c r="P149" s="19" t="str">
        <f>Sheet1!P149</f>
        <v/>
      </c>
      <c r="Q149" s="19" t="str">
        <f>Sheet1!Q149</f>
        <v/>
      </c>
      <c r="R149" s="19" t="str">
        <f>Sheet1!R149</f>
        <v/>
      </c>
      <c r="S149" s="19" t="str">
        <f>Sheet1!S149</f>
        <v>Belum Lunas</v>
      </c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2"/>
      <c r="CC149" s="22"/>
      <c r="CD149" s="21"/>
      <c r="CE149" s="21"/>
      <c r="CF149" s="22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</row>
    <row r="150">
      <c r="A150" s="19">
        <f>Sheet1!A150</f>
        <v>149</v>
      </c>
      <c r="B150" s="19" t="str">
        <f>Sheet1!B150</f>
        <v>ATIQAH FAIRUZAH</v>
      </c>
      <c r="C150" s="19">
        <f>Sheet1!C150</f>
        <v>2024070544</v>
      </c>
      <c r="D150" s="19" t="str">
        <f>Sheet1!D150</f>
        <v>C</v>
      </c>
      <c r="E150" s="19" t="str">
        <f>Sheet1!E150</f>
        <v>C-3</v>
      </c>
      <c r="F150" s="19">
        <f>Sheet1!F150</f>
        <v>3</v>
      </c>
      <c r="G150" s="19" t="str">
        <f>Sheet1!G150</f>
        <v>3 ULA A PUTRI</v>
      </c>
      <c r="H150" s="19" t="str">
        <f>Sheet1!H150</f>
        <v>MTS-9 G</v>
      </c>
      <c r="I150" s="19" t="str">
        <f>Sheet1!I150</f>
        <v>TISATUL AQOBAH</v>
      </c>
      <c r="J150" s="19" t="str">
        <f>Sheet1!J150</f>
        <v>SEMBUNGAN KIDUL RT 003 RW 002 DUKUN GRESIK</v>
      </c>
      <c r="K150" s="19" t="str">
        <f>Sheet1!K150</f>
        <v>6285731022920</v>
      </c>
      <c r="L150" s="20">
        <f>Sheet1!L150</f>
        <v>1800000</v>
      </c>
      <c r="M150" s="20">
        <f>Sheet1!M150</f>
        <v>1000000</v>
      </c>
      <c r="N150" s="20">
        <f>Sheet1!N150</f>
        <v>0</v>
      </c>
      <c r="O150" s="20">
        <f>Sheet1!O150</f>
        <v>2800000</v>
      </c>
      <c r="P150" s="19" t="str">
        <f>Sheet1!P150</f>
        <v/>
      </c>
      <c r="Q150" s="19" t="str">
        <f>Sheet1!Q150</f>
        <v/>
      </c>
      <c r="R150" s="19" t="str">
        <f>Sheet1!R150</f>
        <v/>
      </c>
      <c r="S150" s="19" t="str">
        <f>Sheet1!S150</f>
        <v>Belum Lunas</v>
      </c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2"/>
      <c r="CC150" s="22"/>
      <c r="CD150" s="21"/>
      <c r="CE150" s="21"/>
      <c r="CF150" s="22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</row>
    <row r="151">
      <c r="A151" s="19">
        <f>Sheet1!A151</f>
        <v>150</v>
      </c>
      <c r="B151" s="19" t="str">
        <f>Sheet1!B151</f>
        <v>FAQUR ROZIQ MAULUDI</v>
      </c>
      <c r="C151" s="19">
        <f>Sheet1!C151</f>
        <v>2024070556</v>
      </c>
      <c r="D151" s="19" t="str">
        <f>Sheet1!D151</f>
        <v>A</v>
      </c>
      <c r="E151" s="19" t="str">
        <f>Sheet1!E151</f>
        <v>A-7</v>
      </c>
      <c r="F151" s="19">
        <f>Sheet1!F151</f>
        <v>3</v>
      </c>
      <c r="G151" s="19" t="str">
        <f>Sheet1!G151</f>
        <v>3 ULA B PUTRA</v>
      </c>
      <c r="H151" s="19" t="str">
        <f>Sheet1!H151</f>
        <v>MTS-9 E</v>
      </c>
      <c r="I151" s="19" t="str">
        <f>Sheet1!I151</f>
        <v>LASIANAH</v>
      </c>
      <c r="J151" s="19" t="str">
        <f>Sheet1!J151</f>
        <v>GANGIN JELAKCATUR RT 004 RW 003 KALITENGAH LAMONGAN</v>
      </c>
      <c r="K151" s="19" t="str">
        <f>Sheet1!K151</f>
        <v>6285871052078</v>
      </c>
      <c r="L151" s="20">
        <f>Sheet1!L151</f>
        <v>1800000</v>
      </c>
      <c r="M151" s="20">
        <f>Sheet1!M151</f>
        <v>1000000</v>
      </c>
      <c r="N151" s="20">
        <f>Sheet1!N151</f>
        <v>0</v>
      </c>
      <c r="O151" s="20">
        <f>Sheet1!O151</f>
        <v>2800000</v>
      </c>
      <c r="P151" s="19" t="str">
        <f>Sheet1!P151</f>
        <v/>
      </c>
      <c r="Q151" s="19" t="str">
        <f>Sheet1!Q151</f>
        <v/>
      </c>
      <c r="R151" s="19" t="str">
        <f>Sheet1!R151</f>
        <v/>
      </c>
      <c r="S151" s="19" t="str">
        <f>Sheet1!S151</f>
        <v>Belum Lunas</v>
      </c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2"/>
      <c r="CC151" s="22"/>
      <c r="CD151" s="21"/>
      <c r="CE151" s="21"/>
      <c r="CF151" s="22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</row>
    <row r="152">
      <c r="A152" s="19">
        <f>Sheet1!A152</f>
        <v>151</v>
      </c>
      <c r="B152" s="19" t="str">
        <f>Sheet1!B152</f>
        <v>HANIK FARKHATUS SHOLIKHAH</v>
      </c>
      <c r="C152" s="19">
        <f>Sheet1!C152</f>
        <v>2024070547</v>
      </c>
      <c r="D152" s="19" t="str">
        <f>Sheet1!D152</f>
        <v>C</v>
      </c>
      <c r="E152" s="19" t="str">
        <f>Sheet1!E152</f>
        <v>C-13</v>
      </c>
      <c r="F152" s="19">
        <f>Sheet1!F152</f>
        <v>3</v>
      </c>
      <c r="G152" s="19" t="str">
        <f>Sheet1!G152</f>
        <v>3 ULA B PUTRI</v>
      </c>
      <c r="H152" s="19" t="str">
        <f>Sheet1!H152</f>
        <v>MTS-9 D</v>
      </c>
      <c r="I152" s="19" t="str">
        <f>Sheet1!I152</f>
        <v>WIWIT</v>
      </c>
      <c r="J152" s="19" t="str">
        <f>Sheet1!J152</f>
        <v>KARANGCANGKRING RT 006 RW 003 DUKUN GRESIK</v>
      </c>
      <c r="K152" s="19" t="str">
        <f>Sheet1!K152</f>
        <v>6285731327129</v>
      </c>
      <c r="L152" s="20">
        <f>Sheet1!L152</f>
        <v>1800000</v>
      </c>
      <c r="M152" s="20">
        <f>Sheet1!M152</f>
        <v>1000000</v>
      </c>
      <c r="N152" s="20">
        <f>Sheet1!N152</f>
        <v>0</v>
      </c>
      <c r="O152" s="20">
        <f>Sheet1!O152</f>
        <v>2800000</v>
      </c>
      <c r="P152" s="19" t="str">
        <f>Sheet1!P152</f>
        <v/>
      </c>
      <c r="Q152" s="19" t="str">
        <f>Sheet1!Q152</f>
        <v/>
      </c>
      <c r="R152" s="19" t="str">
        <f>Sheet1!R152</f>
        <v/>
      </c>
      <c r="S152" s="19" t="str">
        <f>Sheet1!S152</f>
        <v>Belum Lunas</v>
      </c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2"/>
      <c r="CC152" s="22"/>
      <c r="CD152" s="21"/>
      <c r="CE152" s="21"/>
      <c r="CF152" s="22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</row>
    <row r="153">
      <c r="A153" s="19">
        <f>Sheet1!A153</f>
        <v>152</v>
      </c>
      <c r="B153" s="19" t="str">
        <f>Sheet1!B153</f>
        <v>MUHAMMAD EZA AL`IMRON</v>
      </c>
      <c r="C153" s="19">
        <f>Sheet1!C153</f>
        <v>2024070653</v>
      </c>
      <c r="D153" s="19" t="str">
        <f>Sheet1!D153</f>
        <v>A</v>
      </c>
      <c r="E153" s="19" t="str">
        <f>Sheet1!E153</f>
        <v>A-7</v>
      </c>
      <c r="F153" s="19">
        <f>Sheet1!F153</f>
        <v>3</v>
      </c>
      <c r="G153" s="19" t="str">
        <f>Sheet1!G153</f>
        <v>3 ULA B PUTRA</v>
      </c>
      <c r="H153" s="19" t="str">
        <f>Sheet1!H153</f>
        <v>MTS-9 F</v>
      </c>
      <c r="I153" s="19" t="str">
        <f>Sheet1!I153</f>
        <v>MAESAROH</v>
      </c>
      <c r="J153" s="19" t="str">
        <f>Sheet1!J153</f>
        <v>KEMLAGIGEDE RT 012 RW 002 TURI LAMONGAN</v>
      </c>
      <c r="K153" s="19" t="str">
        <f>Sheet1!K153</f>
        <v>6285755534326</v>
      </c>
      <c r="L153" s="20">
        <f>Sheet1!L153</f>
        <v>1800000</v>
      </c>
      <c r="M153" s="20">
        <f>Sheet1!M153</f>
        <v>1000000</v>
      </c>
      <c r="N153" s="20">
        <f>Sheet1!N153</f>
        <v>0</v>
      </c>
      <c r="O153" s="20">
        <f>Sheet1!O153</f>
        <v>2800000</v>
      </c>
      <c r="P153" s="19" t="str">
        <f>Sheet1!P153</f>
        <v/>
      </c>
      <c r="Q153" s="19" t="str">
        <f>Sheet1!Q153</f>
        <v/>
      </c>
      <c r="R153" s="19" t="str">
        <f>Sheet1!R153</f>
        <v/>
      </c>
      <c r="S153" s="19" t="str">
        <f>Sheet1!S153</f>
        <v>Belum Lunas</v>
      </c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2"/>
      <c r="CC153" s="22"/>
      <c r="CD153" s="21"/>
      <c r="CE153" s="21"/>
      <c r="CF153" s="22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</row>
    <row r="154">
      <c r="A154" s="19">
        <f>Sheet1!A154</f>
        <v>153</v>
      </c>
      <c r="B154" s="19" t="str">
        <f>Sheet1!B154</f>
        <v>AZURO SABILA FAZZA MAULIDAH</v>
      </c>
      <c r="C154" s="19">
        <f>Sheet1!C154</f>
        <v>2024070573</v>
      </c>
      <c r="D154" s="19" t="str">
        <f>Sheet1!D154</f>
        <v>E</v>
      </c>
      <c r="E154" s="19" t="str">
        <f>Sheet1!E154</f>
        <v>E-2</v>
      </c>
      <c r="F154" s="19">
        <f>Sheet1!F154</f>
        <v>3</v>
      </c>
      <c r="G154" s="19" t="str">
        <f>Sheet1!G154</f>
        <v>3 ULA C PUTRI</v>
      </c>
      <c r="H154" s="19" t="str">
        <f>Sheet1!H154</f>
        <v>MTS-9 C</v>
      </c>
      <c r="I154" s="19" t="str">
        <f>Sheet1!I154</f>
        <v>ZUZUN LAILUFAR</v>
      </c>
      <c r="J154" s="19" t="str">
        <f>Sheet1!J154</f>
        <v>GERMAN RT 001 RW 002 SUGIO LAMONGAN</v>
      </c>
      <c r="K154" s="19" t="str">
        <f>Sheet1!K154</f>
        <v>6285707564507</v>
      </c>
      <c r="L154" s="20">
        <f>Sheet1!L154</f>
        <v>2000000</v>
      </c>
      <c r="M154" s="20">
        <f>Sheet1!M154</f>
        <v>1000000</v>
      </c>
      <c r="N154" s="20">
        <f>Sheet1!N154</f>
        <v>0</v>
      </c>
      <c r="O154" s="20">
        <f>Sheet1!O154</f>
        <v>3000000</v>
      </c>
      <c r="P154" s="19" t="str">
        <f>Sheet1!P154</f>
        <v/>
      </c>
      <c r="Q154" s="19" t="str">
        <f>Sheet1!Q154</f>
        <v/>
      </c>
      <c r="R154" s="19" t="str">
        <f>Sheet1!R154</f>
        <v/>
      </c>
      <c r="S154" s="19" t="str">
        <f>Sheet1!S154</f>
        <v>Belum Lunas</v>
      </c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2"/>
      <c r="CC154" s="22"/>
      <c r="CD154" s="21"/>
      <c r="CE154" s="21"/>
      <c r="CF154" s="22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</row>
    <row r="155">
      <c r="A155" s="19">
        <f>Sheet1!A155</f>
        <v>154</v>
      </c>
      <c r="B155" s="19" t="str">
        <f>Sheet1!B155</f>
        <v>KHARISYAH NADYATUR ROHMAH</v>
      </c>
      <c r="C155" s="19">
        <f>Sheet1!C155</f>
        <v>2024070635</v>
      </c>
      <c r="D155" s="19" t="str">
        <f>Sheet1!D155</f>
        <v>E</v>
      </c>
      <c r="E155" s="19" t="str">
        <f>Sheet1!E155</f>
        <v>E-2</v>
      </c>
      <c r="F155" s="19">
        <f>Sheet1!F155</f>
        <v>3</v>
      </c>
      <c r="G155" s="19" t="str">
        <f>Sheet1!G155</f>
        <v>3 ULA C PUTRI</v>
      </c>
      <c r="H155" s="19" t="str">
        <f>Sheet1!H155</f>
        <v>MTS-9 C</v>
      </c>
      <c r="I155" s="19" t="str">
        <f>Sheet1!I155</f>
        <v>NUR AZIZAH ROHMAH</v>
      </c>
      <c r="J155" s="19" t="str">
        <f>Sheet1!J155</f>
        <v>DADUNGAN RT 002 RW 004 KALITENGAH LAMONGAN</v>
      </c>
      <c r="K155" s="19" t="str">
        <f>Sheet1!K155</f>
        <v>6285649089570</v>
      </c>
      <c r="L155" s="20">
        <f>Sheet1!L155</f>
        <v>3000000</v>
      </c>
      <c r="M155" s="20">
        <f>Sheet1!M155</f>
        <v>0</v>
      </c>
      <c r="N155" s="20">
        <f>Sheet1!N155</f>
        <v>0</v>
      </c>
      <c r="O155" s="20">
        <f>Sheet1!O155</f>
        <v>3000000</v>
      </c>
      <c r="P155" s="19" t="str">
        <f>Sheet1!P155</f>
        <v/>
      </c>
      <c r="Q155" s="19" t="str">
        <f>Sheet1!Q155</f>
        <v/>
      </c>
      <c r="R155" s="19" t="str">
        <f>Sheet1!R155</f>
        <v/>
      </c>
      <c r="S155" s="19" t="str">
        <f>Sheet1!S155</f>
        <v>Belum Lunas</v>
      </c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2"/>
      <c r="CC155" s="22"/>
      <c r="CD155" s="21"/>
      <c r="CE155" s="21"/>
      <c r="CF155" s="22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</row>
    <row r="156">
      <c r="A156" s="19">
        <f>Sheet1!A156</f>
        <v>155</v>
      </c>
      <c r="B156" s="19" t="str">
        <f>Sheet1!B156</f>
        <v>MAZIDATUL ILMI OKTARISA DINI</v>
      </c>
      <c r="C156" s="19">
        <f>Sheet1!C156</f>
        <v>2024070427</v>
      </c>
      <c r="D156" s="19" t="str">
        <f>Sheet1!D156</f>
        <v>D</v>
      </c>
      <c r="E156" s="19" t="str">
        <f>Sheet1!E156</f>
        <v>D-7</v>
      </c>
      <c r="F156" s="19">
        <f>Sheet1!F156</f>
        <v>3</v>
      </c>
      <c r="G156" s="19" t="str">
        <f>Sheet1!G156</f>
        <v>3 MAK PUTRI</v>
      </c>
      <c r="H156" s="19" t="str">
        <f>Sheet1!H156</f>
        <v>MA-XII.13</v>
      </c>
      <c r="I156" s="19" t="str">
        <f>Sheet1!I156</f>
        <v>YENI VIDIAWATI</v>
      </c>
      <c r="J156" s="19" t="str">
        <f>Sheet1!J156</f>
        <v>BANJARMADU BANJARMADU RT 2 RW 2 KARANGGENENG LAMONGAN</v>
      </c>
      <c r="K156" s="19" t="str">
        <f>Sheet1!K156</f>
        <v>6285748191884</v>
      </c>
      <c r="L156" s="20">
        <f>Sheet1!L156</f>
        <v>3150000</v>
      </c>
      <c r="M156" s="20">
        <f>Sheet1!M156</f>
        <v>0</v>
      </c>
      <c r="N156" s="20">
        <f>Sheet1!N156</f>
        <v>0</v>
      </c>
      <c r="O156" s="20">
        <f>Sheet1!O156</f>
        <v>3150000</v>
      </c>
      <c r="P156" s="19" t="str">
        <f>Sheet1!P156</f>
        <v/>
      </c>
      <c r="Q156" s="19" t="str">
        <f>Sheet1!Q156</f>
        <v/>
      </c>
      <c r="R156" s="19" t="str">
        <f>Sheet1!R156</f>
        <v/>
      </c>
      <c r="S156" s="19" t="str">
        <f>Sheet1!S156</f>
        <v>Belum Lunas</v>
      </c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2"/>
      <c r="CC156" s="22"/>
      <c r="CD156" s="21"/>
      <c r="CE156" s="21"/>
      <c r="CF156" s="22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</row>
    <row r="157">
      <c r="A157" s="19">
        <f>Sheet1!A157</f>
        <v>156</v>
      </c>
      <c r="B157" s="19" t="str">
        <f>Sheet1!B157</f>
        <v>FARAH ALTHAFUN NISA`</v>
      </c>
      <c r="C157" s="19">
        <f>Sheet1!C157</f>
        <v>2024070633</v>
      </c>
      <c r="D157" s="19" t="str">
        <f>Sheet1!D157</f>
        <v>C</v>
      </c>
      <c r="E157" s="19" t="str">
        <f>Sheet1!E157</f>
        <v>C-12</v>
      </c>
      <c r="F157" s="19">
        <f>Sheet1!F157</f>
        <v>3</v>
      </c>
      <c r="G157" s="19" t="str">
        <f>Sheet1!G157</f>
        <v/>
      </c>
      <c r="H157" s="19" t="str">
        <f>Sheet1!H157</f>
        <v>MTS-9 C</v>
      </c>
      <c r="I157" s="19" t="str">
        <f>Sheet1!I157</f>
        <v>NURUL HIDAYAH</v>
      </c>
      <c r="J157" s="19" t="str">
        <f>Sheet1!J157</f>
        <v>WONOKERTO RT 012 RW 003 DUKUN GRESIK</v>
      </c>
      <c r="K157" s="19" t="str">
        <f>Sheet1!K157</f>
        <v>6281615233482</v>
      </c>
      <c r="L157" s="20">
        <f>Sheet1!L157</f>
        <v>2250000</v>
      </c>
      <c r="M157" s="20">
        <f>Sheet1!M157</f>
        <v>1000000</v>
      </c>
      <c r="N157" s="20">
        <f>Sheet1!N157</f>
        <v>0</v>
      </c>
      <c r="O157" s="20">
        <f>Sheet1!O157</f>
        <v>3250000</v>
      </c>
      <c r="P157" s="19" t="str">
        <f>Sheet1!P157</f>
        <v/>
      </c>
      <c r="Q157" s="19" t="str">
        <f>Sheet1!Q157</f>
        <v/>
      </c>
      <c r="R157" s="19" t="str">
        <f>Sheet1!R157</f>
        <v/>
      </c>
      <c r="S157" s="19" t="str">
        <f>Sheet1!S157</f>
        <v>Belum Lunas</v>
      </c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2"/>
      <c r="CC157" s="22"/>
      <c r="CD157" s="21"/>
      <c r="CE157" s="21"/>
      <c r="CF157" s="22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</row>
    <row r="158">
      <c r="A158" s="19">
        <f>Sheet1!A158</f>
        <v>157</v>
      </c>
      <c r="B158" s="19" t="str">
        <f>Sheet1!B158</f>
        <v>SALWA EKA SAFITRI</v>
      </c>
      <c r="C158" s="19">
        <f>Sheet1!C158</f>
        <v>2024070724</v>
      </c>
      <c r="D158" s="19" t="str">
        <f>Sheet1!D158</f>
        <v>B</v>
      </c>
      <c r="E158" s="19" t="str">
        <f>Sheet1!E158</f>
        <v>B-10</v>
      </c>
      <c r="F158" s="19">
        <f>Sheet1!F158</f>
        <v>3</v>
      </c>
      <c r="G158" s="19" t="str">
        <f>Sheet1!G158</f>
        <v>3 ULA C PUTRI</v>
      </c>
      <c r="H158" s="19" t="str">
        <f>Sheet1!H158</f>
        <v>SMP-IX B</v>
      </c>
      <c r="I158" s="19" t="str">
        <f>Sheet1!I158</f>
        <v>DJUWARIYAH</v>
      </c>
      <c r="J158" s="19" t="str">
        <f>Sheet1!J158</f>
        <v>TIWET RT 002 RW 002 KALITENGAH LAMONGAN</v>
      </c>
      <c r="K158" s="19" t="str">
        <f>Sheet1!K158</f>
        <v>6289653941550</v>
      </c>
      <c r="L158" s="20">
        <f>Sheet1!L158</f>
        <v>2250000</v>
      </c>
      <c r="M158" s="20">
        <f>Sheet1!M158</f>
        <v>1000000</v>
      </c>
      <c r="N158" s="20">
        <f>Sheet1!N158</f>
        <v>0</v>
      </c>
      <c r="O158" s="20">
        <f>Sheet1!O158</f>
        <v>3250000</v>
      </c>
      <c r="P158" s="19" t="str">
        <f>Sheet1!P158</f>
        <v/>
      </c>
      <c r="Q158" s="19" t="str">
        <f>Sheet1!Q158</f>
        <v/>
      </c>
      <c r="R158" s="19" t="str">
        <f>Sheet1!R158</f>
        <v/>
      </c>
      <c r="S158" s="19" t="str">
        <f>Sheet1!S158</f>
        <v>Belum Lunas</v>
      </c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2"/>
      <c r="CC158" s="22"/>
      <c r="CD158" s="21"/>
      <c r="CE158" s="21"/>
      <c r="CF158" s="22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</row>
    <row r="159">
      <c r="A159" s="19">
        <f>Sheet1!A159</f>
        <v>158</v>
      </c>
      <c r="B159" s="19" t="str">
        <f>Sheet1!B159</f>
        <v>RAISA PUTRI ELYSIA SADIRA</v>
      </c>
      <c r="C159" s="19">
        <f>Sheet1!C159</f>
        <v>2024070750</v>
      </c>
      <c r="D159" s="19" t="str">
        <f>Sheet1!D159</f>
        <v>B</v>
      </c>
      <c r="E159" s="19" t="str">
        <f>Sheet1!E159</f>
        <v>B-10</v>
      </c>
      <c r="F159" s="19">
        <f>Sheet1!F159</f>
        <v>3</v>
      </c>
      <c r="G159" s="19" t="str">
        <f>Sheet1!G159</f>
        <v>3 ULA A PUTRI</v>
      </c>
      <c r="H159" s="19" t="str">
        <f>Sheet1!H159</f>
        <v>SMP-IX B</v>
      </c>
      <c r="I159" s="19" t="str">
        <f>Sheet1!I159</f>
        <v>YANA</v>
      </c>
      <c r="J159" s="19" t="str">
        <f>Sheet1!J159</f>
        <v>TIREMRNGGAL RT 011 RW 004 DUKUN GRESIK</v>
      </c>
      <c r="K159" s="19" t="str">
        <f>Sheet1!K159</f>
        <v>6285805516619</v>
      </c>
      <c r="L159" s="20">
        <f>Sheet1!L159</f>
        <v>1800000</v>
      </c>
      <c r="M159" s="20">
        <f>Sheet1!M159</f>
        <v>1600000</v>
      </c>
      <c r="N159" s="20">
        <f>Sheet1!N159</f>
        <v>0</v>
      </c>
      <c r="O159" s="20">
        <f>Sheet1!O159</f>
        <v>3400000</v>
      </c>
      <c r="P159" s="19" t="str">
        <f>Sheet1!P159</f>
        <v/>
      </c>
      <c r="Q159" s="19" t="str">
        <f>Sheet1!Q159</f>
        <v/>
      </c>
      <c r="R159" s="19" t="str">
        <f>Sheet1!R159</f>
        <v/>
      </c>
      <c r="S159" s="19" t="str">
        <f>Sheet1!S159</f>
        <v>Belum Lunas</v>
      </c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2"/>
      <c r="CC159" s="22"/>
      <c r="CD159" s="21"/>
      <c r="CE159" s="21"/>
      <c r="CF159" s="22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</row>
    <row r="160">
      <c r="A160" s="19">
        <f>Sheet1!A160</f>
        <v>159</v>
      </c>
      <c r="B160" s="19" t="str">
        <f>Sheet1!B160</f>
        <v>ANGELINA KIBRIYAH SAFITRI</v>
      </c>
      <c r="C160" s="19">
        <f>Sheet1!C160</f>
        <v>2024070340</v>
      </c>
      <c r="D160" s="19" t="str">
        <f>Sheet1!D160</f>
        <v>E</v>
      </c>
      <c r="E160" s="19" t="str">
        <f>Sheet1!E160</f>
        <v>E-3</v>
      </c>
      <c r="F160" s="19">
        <f>Sheet1!F160</f>
        <v>3</v>
      </c>
      <c r="G160" s="19" t="str">
        <f>Sheet1!G160</f>
        <v>3 WUSTHO B PUTRI</v>
      </c>
      <c r="H160" s="19" t="str">
        <f>Sheet1!H160</f>
        <v>MA-XII.11</v>
      </c>
      <c r="I160" s="19" t="str">
        <f>Sheet1!I160</f>
        <v>WARDATUL KHUMAIROH</v>
      </c>
      <c r="J160" s="19" t="str">
        <f>Sheet1!J160</f>
        <v>KETAPANGLOR RT 004 RW 003 UJUNGPANGKAH GRESIK</v>
      </c>
      <c r="K160" s="19" t="str">
        <f>Sheet1!K160</f>
        <v>6285707549770</v>
      </c>
      <c r="L160" s="20">
        <f>Sheet1!L160</f>
        <v>3000000</v>
      </c>
      <c r="M160" s="20">
        <f>Sheet1!M160</f>
        <v>500000</v>
      </c>
      <c r="N160" s="20">
        <f>Sheet1!N160</f>
        <v>0</v>
      </c>
      <c r="O160" s="20">
        <f>Sheet1!O160</f>
        <v>3500000</v>
      </c>
      <c r="P160" s="19" t="str">
        <f>Sheet1!P160</f>
        <v/>
      </c>
      <c r="Q160" s="19" t="str">
        <f>Sheet1!Q160</f>
        <v/>
      </c>
      <c r="R160" s="19" t="str">
        <f>Sheet1!R160</f>
        <v/>
      </c>
      <c r="S160" s="19" t="str">
        <f>Sheet1!S160</f>
        <v>Belum Lunas</v>
      </c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2"/>
      <c r="CC160" s="22"/>
      <c r="CD160" s="21"/>
      <c r="CE160" s="21"/>
      <c r="CF160" s="22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</row>
    <row r="161">
      <c r="A161" s="19">
        <f>Sheet1!A161</f>
        <v>160</v>
      </c>
      <c r="B161" s="19" t="str">
        <f>Sheet1!B161</f>
        <v>MOH. RAFY ANDIKA ROHMAN</v>
      </c>
      <c r="C161" s="19">
        <f>Sheet1!C161</f>
        <v>2024070676</v>
      </c>
      <c r="D161" s="19" t="str">
        <f>Sheet1!D161</f>
        <v>A</v>
      </c>
      <c r="E161" s="19" t="str">
        <f>Sheet1!E161</f>
        <v>A-10</v>
      </c>
      <c r="F161" s="19">
        <f>Sheet1!F161</f>
        <v>3</v>
      </c>
      <c r="G161" s="19" t="str">
        <f>Sheet1!G161</f>
        <v>3 WUSTHO PUTRA</v>
      </c>
      <c r="H161" s="19" t="str">
        <f>Sheet1!H161</f>
        <v>SMK-XII TKR 2</v>
      </c>
      <c r="I161" s="19" t="str">
        <f>Sheet1!I161</f>
        <v>SUTATIK</v>
      </c>
      <c r="J161" s="19" t="str">
        <f>Sheet1!J161</f>
        <v>PUTATREJO PUTATBANGAH RT 002 RW 003 KARANGBINANGUN LAMONGAN</v>
      </c>
      <c r="K161" s="19" t="str">
        <f>Sheet1!K161</f>
        <v>6285730854693</v>
      </c>
      <c r="L161" s="20">
        <f>Sheet1!L161</f>
        <v>3600000</v>
      </c>
      <c r="M161" s="20">
        <f>Sheet1!M161</f>
        <v>0</v>
      </c>
      <c r="N161" s="20">
        <f>Sheet1!N161</f>
        <v>0</v>
      </c>
      <c r="O161" s="20">
        <f>Sheet1!O161</f>
        <v>3600000</v>
      </c>
      <c r="P161" s="19" t="str">
        <f>Sheet1!P161</f>
        <v/>
      </c>
      <c r="Q161" s="19" t="str">
        <f>Sheet1!Q161</f>
        <v/>
      </c>
      <c r="R161" s="19" t="str">
        <f>Sheet1!R161</f>
        <v/>
      </c>
      <c r="S161" s="19" t="str">
        <f>Sheet1!S161</f>
        <v>Belum Lunas</v>
      </c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2"/>
      <c r="CC161" s="22"/>
      <c r="CD161" s="21"/>
      <c r="CE161" s="21"/>
      <c r="CF161" s="22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</row>
    <row r="162">
      <c r="A162" s="19">
        <f>Sheet1!A162</f>
        <v>161</v>
      </c>
      <c r="B162" s="19" t="str">
        <f>Sheet1!B162</f>
        <v>ROBI`AH AL-ADHAWIYAH</v>
      </c>
      <c r="C162" s="19">
        <f>Sheet1!C162</f>
        <v>2024070022</v>
      </c>
      <c r="D162" s="19" t="str">
        <f>Sheet1!D162</f>
        <v>D</v>
      </c>
      <c r="E162" s="19" t="str">
        <f>Sheet1!E162</f>
        <v>D-7</v>
      </c>
      <c r="F162" s="19">
        <f>Sheet1!F162</f>
        <v>3</v>
      </c>
      <c r="G162" s="19" t="str">
        <f>Sheet1!G162</f>
        <v/>
      </c>
      <c r="H162" s="19" t="str">
        <f>Sheet1!H162</f>
        <v>MA-XII.1</v>
      </c>
      <c r="I162" s="19" t="str">
        <f>Sheet1!I162</f>
        <v>SURATI</v>
      </c>
      <c r="J162" s="19" t="str">
        <f>Sheet1!J162</f>
        <v>KRAJAN 1 SUKOBENDU RT 1 RW 2 MANTUP LAMONGAN</v>
      </c>
      <c r="K162" s="19" t="str">
        <f>Sheet1!K162</f>
        <v>6285133823392</v>
      </c>
      <c r="L162" s="20">
        <f>Sheet1!L162</f>
        <v>2700000</v>
      </c>
      <c r="M162" s="20">
        <f>Sheet1!M162</f>
        <v>1000000</v>
      </c>
      <c r="N162" s="20">
        <f>Sheet1!N162</f>
        <v>0</v>
      </c>
      <c r="O162" s="20">
        <f>Sheet1!O162</f>
        <v>3700000</v>
      </c>
      <c r="P162" s="19" t="str">
        <f>Sheet1!P162</f>
        <v/>
      </c>
      <c r="Q162" s="19" t="str">
        <f>Sheet1!Q162</f>
        <v/>
      </c>
      <c r="R162" s="19" t="str">
        <f>Sheet1!R162</f>
        <v/>
      </c>
      <c r="S162" s="19" t="str">
        <f>Sheet1!S162</f>
        <v>Belum Lunas</v>
      </c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2"/>
      <c r="CC162" s="22"/>
      <c r="CD162" s="21"/>
      <c r="CE162" s="21"/>
      <c r="CF162" s="22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</row>
    <row r="163">
      <c r="A163" s="19">
        <f>Sheet1!A163</f>
        <v>162</v>
      </c>
      <c r="B163" s="19" t="str">
        <f>Sheet1!B163</f>
        <v>HIMMATU ZAWA ARRIFA</v>
      </c>
      <c r="C163" s="19">
        <f>Sheet1!C163</f>
        <v>2024070076</v>
      </c>
      <c r="D163" s="19" t="str">
        <f>Sheet1!D163</f>
        <v>C</v>
      </c>
      <c r="E163" s="19" t="str">
        <f>Sheet1!E163</f>
        <v>C-8</v>
      </c>
      <c r="F163" s="19">
        <f>Sheet1!F163</f>
        <v>3</v>
      </c>
      <c r="G163" s="19" t="str">
        <f>Sheet1!G163</f>
        <v>3 WUSTHO B PUTRI</v>
      </c>
      <c r="H163" s="19" t="str">
        <f>Sheet1!H163</f>
        <v>MA-XII.3</v>
      </c>
      <c r="I163" s="19" t="str">
        <f>Sheet1!I163</f>
        <v>SITI HALIMAH</v>
      </c>
      <c r="J163" s="19" t="str">
        <f>Sheet1!J163</f>
        <v>SIDOMULYO RT 003 RW 003 DEKET LAMONGAN</v>
      </c>
      <c r="K163" s="19" t="str">
        <f>Sheet1!K163</f>
        <v>6285748986490</v>
      </c>
      <c r="L163" s="20">
        <f>Sheet1!L163</f>
        <v>3150000</v>
      </c>
      <c r="M163" s="20">
        <f>Sheet1!M163</f>
        <v>1000000</v>
      </c>
      <c r="N163" s="20">
        <f>Sheet1!N163</f>
        <v>0</v>
      </c>
      <c r="O163" s="20">
        <f>Sheet1!O163</f>
        <v>4150000</v>
      </c>
      <c r="P163" s="19" t="str">
        <f>Sheet1!P163</f>
        <v/>
      </c>
      <c r="Q163" s="19" t="str">
        <f>Sheet1!Q163</f>
        <v/>
      </c>
      <c r="R163" s="19" t="str">
        <f>Sheet1!R163</f>
        <v/>
      </c>
      <c r="S163" s="19" t="str">
        <f>Sheet1!S163</f>
        <v>Belum Lunas</v>
      </c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2"/>
      <c r="CC163" s="22"/>
      <c r="CD163" s="21"/>
      <c r="CE163" s="21"/>
      <c r="CF163" s="22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</row>
    <row r="164">
      <c r="A164" s="19">
        <f>Sheet1!A164</f>
        <v>163</v>
      </c>
      <c r="B164" s="19" t="str">
        <f>Sheet1!B164</f>
        <v>RIZKY YUSUF MAULANA</v>
      </c>
      <c r="C164" s="19">
        <f>Sheet1!C164</f>
        <v>2024070453</v>
      </c>
      <c r="D164" s="19" t="str">
        <f>Sheet1!D164</f>
        <v>A</v>
      </c>
      <c r="E164" s="19" t="str">
        <f>Sheet1!E164</f>
        <v>A-7</v>
      </c>
      <c r="F164" s="19">
        <f>Sheet1!F164</f>
        <v>3</v>
      </c>
      <c r="G164" s="19" t="str">
        <f>Sheet1!G164</f>
        <v>3 ULA A PUTRA</v>
      </c>
      <c r="H164" s="19" t="str">
        <f>Sheet1!H164</f>
        <v>MTS-9 E</v>
      </c>
      <c r="I164" s="19" t="str">
        <f>Sheet1!I164</f>
        <v>SRI KUSTINIAH</v>
      </c>
      <c r="J164" s="19" t="str">
        <f>Sheet1!J164</f>
        <v>TEJOASRI RT 003 RW 005 LAREN LAMONGAN</v>
      </c>
      <c r="K164" s="19" t="str">
        <f>Sheet1!K164</f>
        <v/>
      </c>
      <c r="L164" s="20">
        <f>Sheet1!L164</f>
        <v>3150000</v>
      </c>
      <c r="M164" s="20">
        <f>Sheet1!M164</f>
        <v>1000000</v>
      </c>
      <c r="N164" s="20">
        <f>Sheet1!N164</f>
        <v>0</v>
      </c>
      <c r="O164" s="20">
        <f>Sheet1!O164</f>
        <v>4150000</v>
      </c>
      <c r="P164" s="19" t="str">
        <f>Sheet1!P164</f>
        <v/>
      </c>
      <c r="Q164" s="19" t="str">
        <f>Sheet1!Q164</f>
        <v/>
      </c>
      <c r="R164" s="19" t="str">
        <f>Sheet1!R164</f>
        <v/>
      </c>
      <c r="S164" s="19" t="str">
        <f>Sheet1!S164</f>
        <v>Belum Lunas</v>
      </c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2"/>
      <c r="CC164" s="22"/>
      <c r="CD164" s="21"/>
      <c r="CE164" s="21"/>
      <c r="CF164" s="22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</row>
    <row r="165">
      <c r="A165" s="19">
        <f>Sheet1!A165</f>
        <v>164</v>
      </c>
      <c r="B165" s="19" t="str">
        <f>Sheet1!B165</f>
        <v>MUHAMMAD HAIKAL JAMALUDDIN RUMMY</v>
      </c>
      <c r="C165" s="19">
        <f>Sheet1!C165</f>
        <v>2024070612</v>
      </c>
      <c r="D165" s="19" t="str">
        <f>Sheet1!D165</f>
        <v>A</v>
      </c>
      <c r="E165" s="19" t="str">
        <f>Sheet1!E165</f>
        <v>A-8</v>
      </c>
      <c r="F165" s="19">
        <f>Sheet1!F165</f>
        <v>3</v>
      </c>
      <c r="G165" s="19" t="str">
        <f>Sheet1!G165</f>
        <v>3 ULA B PUTRA</v>
      </c>
      <c r="H165" s="19" t="str">
        <f>Sheet1!H165</f>
        <v>MTS-9 E</v>
      </c>
      <c r="I165" s="19" t="str">
        <f>Sheet1!I165</f>
        <v>YENNY FIRDIANING TYAS</v>
      </c>
      <c r="J165" s="19" t="str">
        <f>Sheet1!J165</f>
        <v>WARU KULON RT 002 RW 005 PUCUK LAMONGAN</v>
      </c>
      <c r="K165" s="19" t="str">
        <f>Sheet1!K165</f>
        <v>6285536895754</v>
      </c>
      <c r="L165" s="20">
        <f>Sheet1!L165</f>
        <v>4050000</v>
      </c>
      <c r="M165" s="20">
        <f>Sheet1!M165</f>
        <v>1000000</v>
      </c>
      <c r="N165" s="20">
        <f>Sheet1!N165</f>
        <v>0</v>
      </c>
      <c r="O165" s="20">
        <f>Sheet1!O165</f>
        <v>5050000</v>
      </c>
      <c r="P165" s="19" t="str">
        <f>Sheet1!P165</f>
        <v/>
      </c>
      <c r="Q165" s="19" t="str">
        <f>Sheet1!Q165</f>
        <v/>
      </c>
      <c r="R165" s="19" t="str">
        <f>Sheet1!R165</f>
        <v/>
      </c>
      <c r="S165" s="19" t="str">
        <f>Sheet1!S165</f>
        <v>Belum Lunas</v>
      </c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2"/>
      <c r="CC165" s="22"/>
      <c r="CD165" s="21"/>
      <c r="CE165" s="21"/>
      <c r="CF165" s="22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</row>
    <row r="166">
      <c r="A166" s="19">
        <f>Sheet1!A166</f>
        <v>165</v>
      </c>
      <c r="B166" s="19" t="str">
        <f>Sheet1!B166</f>
        <v>FIRNANDA KHOLAGUL HIDAYATUS MUAWIYAH</v>
      </c>
      <c r="C166" s="19">
        <f>Sheet1!C166</f>
        <v>2024070421</v>
      </c>
      <c r="D166" s="19" t="str">
        <f>Sheet1!D166</f>
        <v>C</v>
      </c>
      <c r="E166" s="19" t="str">
        <f>Sheet1!E166</f>
        <v>C-7</v>
      </c>
      <c r="F166" s="19">
        <f>Sheet1!F166</f>
        <v>3</v>
      </c>
      <c r="G166" s="19" t="str">
        <f>Sheet1!G166</f>
        <v/>
      </c>
      <c r="H166" s="19" t="str">
        <f>Sheet1!H166</f>
        <v>MA-XII.13</v>
      </c>
      <c r="I166" s="19" t="str">
        <f>Sheet1!I166</f>
        <v>MU'INAH</v>
      </c>
      <c r="J166" s="19" t="str">
        <f>Sheet1!J166</f>
        <v>WEDENG SUKOREJO RT 001 RW 001 KARANGBINANGUN LAMONGAN</v>
      </c>
      <c r="K166" s="19" t="str">
        <f>Sheet1!K166</f>
        <v>628564085976</v>
      </c>
      <c r="L166" s="20">
        <f>Sheet1!L166</f>
        <v>3600000</v>
      </c>
      <c r="M166" s="20">
        <f>Sheet1!M165</f>
        <v>1000000</v>
      </c>
      <c r="N166" s="20">
        <f>Sheet1!N166</f>
        <v>0</v>
      </c>
      <c r="O166" s="20">
        <f>Sheet1!O166</f>
        <v>5200000</v>
      </c>
      <c r="P166" s="19" t="str">
        <f>Sheet1!P166</f>
        <v/>
      </c>
      <c r="Q166" s="19" t="str">
        <f>Sheet1!Q166</f>
        <v/>
      </c>
      <c r="R166" s="19" t="str">
        <f>Sheet1!R166</f>
        <v/>
      </c>
      <c r="S166" s="19" t="str">
        <f>Sheet1!S166</f>
        <v>Belum Lunas</v>
      </c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2"/>
      <c r="CC166" s="22"/>
      <c r="CD166" s="21"/>
      <c r="CE166" s="21"/>
      <c r="CF166" s="22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</row>
    <row r="167">
      <c r="A167" s="19">
        <f>Sheet1!A167</f>
        <v>166</v>
      </c>
      <c r="B167" s="19" t="str">
        <f>Sheet1!B167</f>
        <v>RAVAUL ZAHIDAH</v>
      </c>
      <c r="C167" s="19">
        <f>Sheet1!C167</f>
        <v>2024070580</v>
      </c>
      <c r="D167" s="19" t="str">
        <f>Sheet1!D167</f>
        <v>C</v>
      </c>
      <c r="E167" s="19" t="str">
        <f>Sheet1!E167</f>
        <v>C-3</v>
      </c>
      <c r="F167" s="19">
        <f>Sheet1!F167</f>
        <v>3</v>
      </c>
      <c r="G167" s="19" t="str">
        <f>Sheet1!G167</f>
        <v>3 ULA B PUTRI</v>
      </c>
      <c r="H167" s="19" t="str">
        <f>Sheet1!H167</f>
        <v>MTS-9 A</v>
      </c>
      <c r="I167" s="19" t="str">
        <f>Sheet1!I167</f>
        <v>ULIN NI`MAH</v>
      </c>
      <c r="J167" s="19" t="str">
        <f>Sheet1!J167</f>
        <v>PENCARAN BLAWI RT 002 RW 005 KARANGBINANGUN LAMONGAN</v>
      </c>
      <c r="K167" s="19" t="str">
        <f>Sheet1!K167</f>
        <v>6282231516103</v>
      </c>
      <c r="L167" s="20">
        <f>Sheet1!L167</f>
        <v>4500000</v>
      </c>
      <c r="M167" s="20">
        <f>Sheet1!M167</f>
        <v>1000000</v>
      </c>
      <c r="N167" s="20">
        <f>Sheet1!N167</f>
        <v>0</v>
      </c>
      <c r="O167" s="20">
        <f>Sheet1!O167</f>
        <v>5500000</v>
      </c>
      <c r="P167" s="19" t="str">
        <f>Sheet1!P167</f>
        <v/>
      </c>
      <c r="Q167" s="19" t="str">
        <f>Sheet1!Q167</f>
        <v/>
      </c>
      <c r="R167" s="19" t="str">
        <f>Sheet1!R167</f>
        <v/>
      </c>
      <c r="S167" s="19" t="str">
        <f>Sheet1!S167</f>
        <v>Belum Lunas</v>
      </c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2"/>
      <c r="CC167" s="22"/>
      <c r="CD167" s="21"/>
      <c r="CE167" s="21"/>
      <c r="CF167" s="22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</row>
    <row r="168">
      <c r="A168" s="19">
        <f>Sheet1!A168</f>
        <v>167</v>
      </c>
      <c r="B168" s="19" t="str">
        <f>Sheet1!B168</f>
        <v>ILHAM AWALUDDIN RIJALUL BARPI</v>
      </c>
      <c r="C168" s="19">
        <f>Sheet1!C168</f>
        <v>2024070512</v>
      </c>
      <c r="D168" s="19" t="str">
        <f>Sheet1!D168</f>
        <v>A</v>
      </c>
      <c r="E168" s="19" t="str">
        <f>Sheet1!E168</f>
        <v>A-13</v>
      </c>
      <c r="F168" s="19">
        <f>Sheet1!F168</f>
        <v>3</v>
      </c>
      <c r="G168" s="19" t="str">
        <f>Sheet1!G168</f>
        <v/>
      </c>
      <c r="H168" s="19" t="str">
        <f>Sheet1!H168</f>
        <v>MTS-9 A</v>
      </c>
      <c r="I168" s="19" t="str">
        <f>Sheet1!I168</f>
        <v>ROKHMAWATI</v>
      </c>
      <c r="J168" s="19" t="str">
        <f>Sheet1!J168</f>
        <v>DEKETWETAN RT 001 RW 005 DEKET LAMONGAN</v>
      </c>
      <c r="K168" s="19" t="str">
        <f>Sheet1!K168</f>
        <v>6285748111696</v>
      </c>
      <c r="L168" s="20">
        <f>Sheet1!L168</f>
        <v>4510000</v>
      </c>
      <c r="M168" s="20">
        <f>Sheet1!M168</f>
        <v>1000000</v>
      </c>
      <c r="N168" s="20">
        <f>Sheet1!N168</f>
        <v>0</v>
      </c>
      <c r="O168" s="20">
        <f>Sheet1!O168</f>
        <v>5510000</v>
      </c>
      <c r="P168" s="19" t="str">
        <f>Sheet1!P168</f>
        <v/>
      </c>
      <c r="Q168" s="19" t="str">
        <f>Sheet1!Q168</f>
        <v/>
      </c>
      <c r="R168" s="19" t="str">
        <f>Sheet1!R168</f>
        <v/>
      </c>
      <c r="S168" s="19" t="str">
        <f>Sheet1!S168</f>
        <v>Belum Lunas</v>
      </c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2"/>
      <c r="CC168" s="22"/>
      <c r="CD168" s="21"/>
      <c r="CE168" s="21"/>
      <c r="CF168" s="22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</row>
    <row r="169">
      <c r="A169" s="19">
        <f>Sheet1!A169</f>
        <v>168</v>
      </c>
      <c r="B169" s="19" t="str">
        <f>Sheet1!B169</f>
        <v>HAFIDZ ALFITO ZAEIN</v>
      </c>
      <c r="C169" s="19">
        <f>Sheet1!C169</f>
        <v>2024070619</v>
      </c>
      <c r="D169" s="19" t="str">
        <f>Sheet1!D169</f>
        <v>A</v>
      </c>
      <c r="E169" s="19" t="str">
        <f>Sheet1!E169</f>
        <v>A-7</v>
      </c>
      <c r="F169" s="19">
        <f>Sheet1!F169</f>
        <v>3</v>
      </c>
      <c r="G169" s="19" t="str">
        <f>Sheet1!G169</f>
        <v>3 ULA B PUTRA</v>
      </c>
      <c r="H169" s="19" t="str">
        <f>Sheet1!H169</f>
        <v>MTS-9 F</v>
      </c>
      <c r="I169" s="19" t="str">
        <f>Sheet1!I169</f>
        <v>TAYEM</v>
      </c>
      <c r="J169" s="19" t="str">
        <f>Sheet1!J169</f>
        <v>JELAKCATUR RT 001 RW 004 KALITENGAH LAMONGAN</v>
      </c>
      <c r="K169" s="19" t="str">
        <f>Sheet1!K169</f>
        <v>628130372202</v>
      </c>
      <c r="L169" s="20">
        <f>Sheet1!L169</f>
        <v>4050000</v>
      </c>
      <c r="M169" s="20">
        <f>Sheet1!M169</f>
        <v>1600000</v>
      </c>
      <c r="N169" s="20">
        <f>Sheet1!N169</f>
        <v>0</v>
      </c>
      <c r="O169" s="20">
        <f>Sheet1!O169</f>
        <v>5650000</v>
      </c>
      <c r="P169" s="19" t="str">
        <f>Sheet1!P169</f>
        <v/>
      </c>
      <c r="Q169" s="19" t="str">
        <f>Sheet1!Q169</f>
        <v/>
      </c>
      <c r="R169" s="19" t="str">
        <f>Sheet1!R169</f>
        <v/>
      </c>
      <c r="S169" s="19" t="str">
        <f>Sheet1!S169</f>
        <v>Belum Lunas</v>
      </c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2"/>
      <c r="CC169" s="22"/>
      <c r="CD169" s="21"/>
      <c r="CE169" s="21"/>
      <c r="CF169" s="22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</row>
    <row r="170">
      <c r="A170" s="19">
        <f>Sheet1!A170</f>
        <v>169</v>
      </c>
      <c r="B170" s="19" t="str">
        <f>Sheet1!B170</f>
        <v>AHMAD BAKER ADLAN</v>
      </c>
      <c r="C170" s="19">
        <f>Sheet1!C170</f>
        <v>2024070650</v>
      </c>
      <c r="D170" s="19" t="str">
        <f>Sheet1!D170</f>
        <v>A</v>
      </c>
      <c r="E170" s="19" t="str">
        <f>Sheet1!E170</f>
        <v>A-7</v>
      </c>
      <c r="F170" s="19">
        <f>Sheet1!F170</f>
        <v>3</v>
      </c>
      <c r="G170" s="19" t="str">
        <f>Sheet1!G170</f>
        <v>3 ULA A PUTRA</v>
      </c>
      <c r="H170" s="19" t="str">
        <f>Sheet1!H170</f>
        <v>MTS-9 B</v>
      </c>
      <c r="I170" s="19" t="str">
        <f>Sheet1!I170</f>
        <v>NOVRI YANTI</v>
      </c>
      <c r="J170" s="19" t="str">
        <f>Sheet1!J170</f>
        <v>DAGAN RT 003 RW 003 SOLOKURO LAMONGAN</v>
      </c>
      <c r="K170" s="19" t="str">
        <f>Sheet1!K170</f>
        <v>6285765987279</v>
      </c>
      <c r="L170" s="20">
        <f>Sheet1!L170</f>
        <v>4950000</v>
      </c>
      <c r="M170" s="20">
        <f>Sheet1!M170</f>
        <v>1000000</v>
      </c>
      <c r="N170" s="20">
        <f>Sheet1!N170</f>
        <v>0</v>
      </c>
      <c r="O170" s="20">
        <f>Sheet1!O170</f>
        <v>5950000</v>
      </c>
      <c r="P170" s="19" t="str">
        <f>Sheet1!P170</f>
        <v/>
      </c>
      <c r="Q170" s="19" t="str">
        <f>Sheet1!Q170</f>
        <v/>
      </c>
      <c r="R170" s="19" t="str">
        <f>Sheet1!R170</f>
        <v/>
      </c>
      <c r="S170" s="19" t="str">
        <f>Sheet1!S170</f>
        <v>Belum Lunas</v>
      </c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2"/>
      <c r="CC170" s="22"/>
      <c r="CD170" s="21"/>
      <c r="CE170" s="21"/>
      <c r="CF170" s="22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</row>
    <row r="171">
      <c r="A171" s="19">
        <f>Sheet1!A171</f>
        <v>170</v>
      </c>
      <c r="B171" s="19" t="str">
        <f>Sheet1!B171</f>
        <v>ANDIKA CAHYO BUDI LAKSONO</v>
      </c>
      <c r="C171" s="19">
        <f>Sheet1!C171</f>
        <v>2024070654</v>
      </c>
      <c r="D171" s="19" t="str">
        <f>Sheet1!D171</f>
        <v>A</v>
      </c>
      <c r="E171" s="19" t="str">
        <f>Sheet1!E171</f>
        <v>A-7</v>
      </c>
      <c r="F171" s="19">
        <f>Sheet1!F171</f>
        <v>3</v>
      </c>
      <c r="G171" s="19" t="str">
        <f>Sheet1!G171</f>
        <v>3 ULA A PUTRA</v>
      </c>
      <c r="H171" s="19" t="str">
        <f>Sheet1!H171</f>
        <v>MTS-9 F</v>
      </c>
      <c r="I171" s="19" t="str">
        <f>Sheet1!I171</f>
        <v>USWATUN HASANAH</v>
      </c>
      <c r="J171" s="19" t="str">
        <f>Sheet1!J171</f>
        <v>KEMLAGIGEDE RT 007 RW 002 TURI LAMONGAN</v>
      </c>
      <c r="K171" s="19" t="str">
        <f>Sheet1!K171</f>
        <v>628579002358</v>
      </c>
      <c r="L171" s="20">
        <f>Sheet1!L171</f>
        <v>4950000</v>
      </c>
      <c r="M171" s="20">
        <f>Sheet1!M171</f>
        <v>1000000</v>
      </c>
      <c r="N171" s="20">
        <f>Sheet1!N171</f>
        <v>0</v>
      </c>
      <c r="O171" s="20">
        <f>Sheet1!O171</f>
        <v>5950000</v>
      </c>
      <c r="P171" s="19" t="str">
        <f>Sheet1!P171</f>
        <v/>
      </c>
      <c r="Q171" s="19" t="str">
        <f>Sheet1!Q171</f>
        <v/>
      </c>
      <c r="R171" s="19" t="str">
        <f>Sheet1!R171</f>
        <v/>
      </c>
      <c r="S171" s="19" t="str">
        <f>Sheet1!S171</f>
        <v>Belum Lunas</v>
      </c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2"/>
      <c r="CC171" s="22"/>
      <c r="CD171" s="21"/>
      <c r="CE171" s="21"/>
      <c r="CF171" s="22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</row>
    <row r="172">
      <c r="A172" s="19">
        <f>Sheet1!A172</f>
        <v>171</v>
      </c>
      <c r="B172" s="19" t="str">
        <f>Sheet1!B172</f>
        <v>MOHAMAD NOVAL JALALUDIN</v>
      </c>
      <c r="C172" s="19">
        <f>Sheet1!C172</f>
        <v>2024070485</v>
      </c>
      <c r="D172" s="19" t="str">
        <f>Sheet1!D172</f>
        <v>A</v>
      </c>
      <c r="E172" s="19" t="str">
        <f>Sheet1!E172</f>
        <v>A-8</v>
      </c>
      <c r="F172" s="19">
        <f>Sheet1!F172</f>
        <v>3</v>
      </c>
      <c r="G172" s="19" t="str">
        <f>Sheet1!G172</f>
        <v>3 ULA A PUTRA</v>
      </c>
      <c r="H172" s="19" t="str">
        <f>Sheet1!H172</f>
        <v>MTS-9 E</v>
      </c>
      <c r="I172" s="19" t="str">
        <f>Sheet1!I172</f>
        <v>NURUL LAILI</v>
      </c>
      <c r="J172" s="19" t="str">
        <f>Sheet1!J172</f>
        <v>SUGIHWARAS RT 002 RW 001 DEKET LAMONGAN</v>
      </c>
      <c r="K172" s="19" t="str">
        <f>Sheet1!K172</f>
        <v>6281237377978</v>
      </c>
      <c r="L172" s="20">
        <f>Sheet1!L172</f>
        <v>4950000</v>
      </c>
      <c r="M172" s="20">
        <f>Sheet1!M172</f>
        <v>1000000</v>
      </c>
      <c r="N172" s="20">
        <f>Sheet1!N172</f>
        <v>0</v>
      </c>
      <c r="O172" s="20">
        <f>Sheet1!O172</f>
        <v>5950000</v>
      </c>
      <c r="P172" s="19" t="str">
        <f>Sheet1!P172</f>
        <v/>
      </c>
      <c r="Q172" s="19" t="str">
        <f>Sheet1!Q172</f>
        <v/>
      </c>
      <c r="R172" s="19" t="str">
        <f>Sheet1!R172</f>
        <v/>
      </c>
      <c r="S172" s="19" t="str">
        <f>Sheet1!S172</f>
        <v>Belum Lunas</v>
      </c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2"/>
      <c r="CC172" s="22"/>
      <c r="CD172" s="21"/>
      <c r="CE172" s="21"/>
      <c r="CF172" s="22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</row>
    <row r="173">
      <c r="A173" s="19">
        <f>Sheet1!A173</f>
        <v>172</v>
      </c>
      <c r="B173" s="19" t="str">
        <f>Sheet1!B173</f>
        <v>FATIMAH</v>
      </c>
      <c r="C173" s="19">
        <f>Sheet1!C173</f>
        <v>2024070044</v>
      </c>
      <c r="D173" s="19" t="str">
        <f>Sheet1!D173</f>
        <v>E</v>
      </c>
      <c r="E173" s="19" t="str">
        <f>Sheet1!E173</f>
        <v>E-2</v>
      </c>
      <c r="F173" s="19">
        <f>Sheet1!F173</f>
        <v>3</v>
      </c>
      <c r="G173" s="19" t="str">
        <f>Sheet1!G173</f>
        <v>3 WUSTHO A PUTRI</v>
      </c>
      <c r="H173" s="19" t="str">
        <f>Sheet1!H173</f>
        <v>MA-XII.2</v>
      </c>
      <c r="I173" s="19" t="str">
        <f>Sheet1!I173</f>
        <v>KHOLIDAH</v>
      </c>
      <c r="J173" s="19" t="str">
        <f>Sheet1!J173</f>
        <v>WANAR RT 004 RW 001 PUCUK LAMONGAN</v>
      </c>
      <c r="K173" s="19" t="str">
        <f>Sheet1!K173</f>
        <v>6289501850865</v>
      </c>
      <c r="L173" s="20">
        <f>Sheet1!L173</f>
        <v>6210000</v>
      </c>
      <c r="M173" s="20">
        <f>Sheet1!M173</f>
        <v>0</v>
      </c>
      <c r="N173" s="20">
        <f>Sheet1!N173</f>
        <v>350000</v>
      </c>
      <c r="O173" s="20">
        <f>Sheet1!O173</f>
        <v>6560000</v>
      </c>
      <c r="P173" s="19" t="str">
        <f>Sheet1!P173</f>
        <v/>
      </c>
      <c r="Q173" s="19" t="str">
        <f>Sheet1!Q173</f>
        <v/>
      </c>
      <c r="R173" s="19" t="str">
        <f>Sheet1!R173</f>
        <v/>
      </c>
      <c r="S173" s="19" t="str">
        <f>Sheet1!S173</f>
        <v>Belum Lunas</v>
      </c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2"/>
      <c r="CC173" s="22"/>
      <c r="CD173" s="21"/>
      <c r="CE173" s="21"/>
      <c r="CF173" s="22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</row>
    <row r="174">
      <c r="A174" s="19">
        <f>Sheet1!A174</f>
        <v>173</v>
      </c>
      <c r="B174" s="19" t="str">
        <f>Sheet1!B174</f>
        <v>AHMAD GUTI JAELANI</v>
      </c>
      <c r="C174" s="19">
        <f>Sheet1!C174</f>
        <v>2024070060</v>
      </c>
      <c r="D174" s="19" t="str">
        <f>Sheet1!D174</f>
        <v>A</v>
      </c>
      <c r="E174" s="19" t="str">
        <f>Sheet1!E174</f>
        <v>A-10</v>
      </c>
      <c r="F174" s="19">
        <f>Sheet1!F174</f>
        <v>3</v>
      </c>
      <c r="G174" s="19" t="str">
        <f>Sheet1!G174</f>
        <v>3 WUSTHO PUTRA</v>
      </c>
      <c r="H174" s="19" t="str">
        <f>Sheet1!H174</f>
        <v>MA-XII.3</v>
      </c>
      <c r="I174" s="19" t="str">
        <f>Sheet1!I174</f>
        <v>SITI MA`RUFAH</v>
      </c>
      <c r="J174" s="19" t="str">
        <f>Sheet1!J174</f>
        <v>MADURAN RT 5 RW 2 MADURAN LAMONGAN</v>
      </c>
      <c r="K174" s="19" t="str">
        <f>Sheet1!K174</f>
        <v>6285646030802</v>
      </c>
      <c r="L174" s="20">
        <f>Sheet1!L174</f>
        <v>6750000</v>
      </c>
      <c r="M174" s="20">
        <f>Sheet1!M174</f>
        <v>0</v>
      </c>
      <c r="N174" s="20">
        <f>Sheet1!N174</f>
        <v>0</v>
      </c>
      <c r="O174" s="20">
        <f>Sheet1!O174</f>
        <v>6750000</v>
      </c>
      <c r="P174" s="19" t="str">
        <f>Sheet1!P174</f>
        <v/>
      </c>
      <c r="Q174" s="19" t="str">
        <f>Sheet1!Q174</f>
        <v/>
      </c>
      <c r="R174" s="19" t="str">
        <f>Sheet1!R174</f>
        <v/>
      </c>
      <c r="S174" s="19" t="str">
        <f>Sheet1!S174</f>
        <v>Belum Lunas</v>
      </c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2"/>
      <c r="CC174" s="22"/>
      <c r="CD174" s="21"/>
      <c r="CE174" s="21"/>
      <c r="CF174" s="22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</row>
    <row r="175">
      <c r="A175" s="19">
        <f>Sheet1!A175</f>
        <v>174</v>
      </c>
      <c r="B175" s="19" t="str">
        <f>Sheet1!B175</f>
        <v>DZAKIRAH THALITA ZAHRA</v>
      </c>
      <c r="C175" s="19">
        <f>Sheet1!C175</f>
        <v>2024070374</v>
      </c>
      <c r="D175" s="19" t="str">
        <f>Sheet1!D175</f>
        <v>D</v>
      </c>
      <c r="E175" s="19" t="str">
        <f>Sheet1!E175</f>
        <v>D-7</v>
      </c>
      <c r="F175" s="19">
        <f>Sheet1!F175</f>
        <v>3</v>
      </c>
      <c r="G175" s="19" t="str">
        <f>Sheet1!G175</f>
        <v/>
      </c>
      <c r="H175" s="19" t="str">
        <f>Sheet1!H175</f>
        <v>MA-XII.10</v>
      </c>
      <c r="I175" s="19" t="str">
        <f>Sheet1!I175</f>
        <v>ZAHROTUN NISA'</v>
      </c>
      <c r="J175" s="19" t="str">
        <f>Sheet1!J175</f>
        <v>KARANGTAWAR RT 1 RW 1 LAREN LAMONGAN</v>
      </c>
      <c r="K175" s="19" t="str">
        <f>Sheet1!K175</f>
        <v>6285856033004</v>
      </c>
      <c r="L175" s="20">
        <f>Sheet1!L175</f>
        <v>6300000</v>
      </c>
      <c r="M175" s="20">
        <f>Sheet1!M175</f>
        <v>1000000</v>
      </c>
      <c r="N175" s="20">
        <f>Sheet1!N175</f>
        <v>350000</v>
      </c>
      <c r="O175" s="20">
        <f>Sheet1!O175</f>
        <v>7650000</v>
      </c>
      <c r="P175" s="19" t="str">
        <f>Sheet1!P175</f>
        <v/>
      </c>
      <c r="Q175" s="19" t="str">
        <f>Sheet1!Q175</f>
        <v/>
      </c>
      <c r="R175" s="19" t="str">
        <f>Sheet1!R175</f>
        <v/>
      </c>
      <c r="S175" s="19" t="str">
        <f>Sheet1!S175</f>
        <v>Belum Lunas</v>
      </c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2"/>
      <c r="CC175" s="22"/>
      <c r="CD175" s="21"/>
      <c r="CE175" s="21"/>
      <c r="CF175" s="22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</row>
    <row r="176">
      <c r="A176" s="19">
        <f>Sheet1!A176</f>
        <v>175</v>
      </c>
      <c r="B176" s="19" t="str">
        <f>Sheet1!B176</f>
        <v>KAYLA SABRINA ANGGRAINI</v>
      </c>
      <c r="C176" s="19">
        <f>Sheet1!C176</f>
        <v>2024070661</v>
      </c>
      <c r="D176" s="19" t="str">
        <f>Sheet1!D176</f>
        <v>D</v>
      </c>
      <c r="E176" s="19" t="str">
        <f>Sheet1!E176</f>
        <v>D-4</v>
      </c>
      <c r="F176" s="19">
        <f>Sheet1!F176</f>
        <v>3</v>
      </c>
      <c r="G176" s="19" t="str">
        <f>Sheet1!G176</f>
        <v>3 ULA B PUTRI</v>
      </c>
      <c r="H176" s="19" t="str">
        <f>Sheet1!H176</f>
        <v>MTS-9 G</v>
      </c>
      <c r="I176" s="19" t="str">
        <f>Sheet1!I176</f>
        <v>RENNY PONCO PRASETYO WATIE</v>
      </c>
      <c r="J176" s="19" t="str">
        <f>Sheet1!J176</f>
        <v>BANJARWATI RT 001 RW 002 PACIRAN LAMONGAN</v>
      </c>
      <c r="K176" s="19" t="str">
        <f>Sheet1!K176</f>
        <v>6285608656615</v>
      </c>
      <c r="L176" s="20">
        <f>Sheet1!L176</f>
        <v>6750000</v>
      </c>
      <c r="M176" s="20">
        <f>Sheet1!M176</f>
        <v>1600000</v>
      </c>
      <c r="N176" s="20">
        <f>Sheet1!N176</f>
        <v>0</v>
      </c>
      <c r="O176" s="20">
        <f>Sheet1!O176</f>
        <v>8350000</v>
      </c>
      <c r="P176" s="19" t="str">
        <f>Sheet1!P176</f>
        <v/>
      </c>
      <c r="Q176" s="19" t="str">
        <f>Sheet1!Q176</f>
        <v/>
      </c>
      <c r="R176" s="19" t="str">
        <f>Sheet1!R176</f>
        <v/>
      </c>
      <c r="S176" s="19" t="str">
        <f>Sheet1!S176</f>
        <v>Belum Lunas</v>
      </c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2"/>
      <c r="CC176" s="22"/>
      <c r="CD176" s="21"/>
      <c r="CE176" s="21"/>
      <c r="CF176" s="22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</row>
    <row r="177">
      <c r="A177" s="19">
        <f>Sheet1!A177</f>
        <v>176</v>
      </c>
      <c r="B177" s="19" t="str">
        <f>Sheet1!B177</f>
        <v>DEWI ZAIDATUL RAHMA</v>
      </c>
      <c r="C177" s="19">
        <f>Sheet1!C177</f>
        <v>2024070417</v>
      </c>
      <c r="D177" s="19" t="str">
        <f>Sheet1!D177</f>
        <v>D</v>
      </c>
      <c r="E177" s="19" t="str">
        <f>Sheet1!E177</f>
        <v>D-6</v>
      </c>
      <c r="F177" s="19">
        <f>Sheet1!F177</f>
        <v>3</v>
      </c>
      <c r="G177" s="19" t="str">
        <f>Sheet1!G177</f>
        <v>3 MAK PUTRI</v>
      </c>
      <c r="H177" s="19" t="str">
        <f>Sheet1!H177</f>
        <v>MA-XII.13</v>
      </c>
      <c r="I177" s="19" t="str">
        <f>Sheet1!I177</f>
        <v>SITI NUR KHOLIFAH</v>
      </c>
      <c r="J177" s="19" t="str">
        <f>Sheet1!J177</f>
        <v>BANJARSARI RT 001 RW 006 BANJARMADU KARANGGENENG LAMONGAN</v>
      </c>
      <c r="K177" s="19" t="str">
        <f>Sheet1!K177</f>
        <v>6283856332218</v>
      </c>
      <c r="L177" s="20">
        <f>Sheet1!L177</f>
        <v>8100000</v>
      </c>
      <c r="M177" s="20">
        <f>Sheet1!M177</f>
        <v>0</v>
      </c>
      <c r="N177" s="20">
        <f>Sheet1!N177</f>
        <v>350000</v>
      </c>
      <c r="O177" s="20">
        <f>Sheet1!O177</f>
        <v>8450000</v>
      </c>
      <c r="P177" s="19" t="str">
        <f>Sheet1!P177</f>
        <v/>
      </c>
      <c r="Q177" s="19" t="str">
        <f>Sheet1!Q177</f>
        <v/>
      </c>
      <c r="R177" s="19" t="str">
        <f>Sheet1!R177</f>
        <v/>
      </c>
      <c r="S177" s="19" t="str">
        <f>Sheet1!S177</f>
        <v>Belum Lunas</v>
      </c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2"/>
      <c r="CC177" s="22"/>
      <c r="CD177" s="21"/>
      <c r="CE177" s="21"/>
      <c r="CF177" s="22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</row>
    <row r="178">
      <c r="A178" s="19">
        <f>Sheet1!A178</f>
        <v>177</v>
      </c>
      <c r="B178" s="19" t="str">
        <f>Sheet1!B178</f>
        <v>NIA KRISNAWATI</v>
      </c>
      <c r="C178" s="19">
        <f>Sheet1!C178</f>
        <v>2024070528</v>
      </c>
      <c r="D178" s="19" t="str">
        <f>Sheet1!D178</f>
        <v>C</v>
      </c>
      <c r="E178" s="19" t="str">
        <f>Sheet1!E178</f>
        <v>C-12</v>
      </c>
      <c r="F178" s="19">
        <f>Sheet1!F178</f>
        <v>3</v>
      </c>
      <c r="G178" s="19" t="str">
        <f>Sheet1!G178</f>
        <v>3 ULA B PUTRI</v>
      </c>
      <c r="H178" s="19" t="str">
        <f>Sheet1!H178</f>
        <v>MTS-9 C</v>
      </c>
      <c r="I178" s="19" t="str">
        <f>Sheet1!I178</f>
        <v>MAISUN</v>
      </c>
      <c r="J178" s="19" t="str">
        <f>Sheet1!J178</f>
        <v>GAGAR SUKOBENDU RT 002 RW 001 MANTUP LAMONGAN</v>
      </c>
      <c r="K178" s="19" t="str">
        <f>Sheet1!K178</f>
        <v>6281999644191</v>
      </c>
      <c r="L178" s="20">
        <f>Sheet1!L178</f>
        <v>7650000</v>
      </c>
      <c r="M178" s="20">
        <f>Sheet1!M178</f>
        <v>1000000</v>
      </c>
      <c r="N178" s="20">
        <f>Sheet1!N178</f>
        <v>350000</v>
      </c>
      <c r="O178" s="20">
        <f>Sheet1!O178</f>
        <v>9000000</v>
      </c>
      <c r="P178" s="19" t="str">
        <f>Sheet1!P178</f>
        <v/>
      </c>
      <c r="Q178" s="19" t="str">
        <f>Sheet1!Q178</f>
        <v/>
      </c>
      <c r="R178" s="19" t="str">
        <f>Sheet1!R178</f>
        <v/>
      </c>
      <c r="S178" s="19" t="str">
        <f>Sheet1!S178</f>
        <v>Belum Lunas</v>
      </c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2"/>
      <c r="CC178" s="22"/>
      <c r="CD178" s="21"/>
      <c r="CE178" s="21"/>
      <c r="CF178" s="22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</row>
    <row r="179">
      <c r="A179" s="19">
        <f>Sheet1!A179</f>
        <v>178</v>
      </c>
      <c r="B179" s="19" t="str">
        <f>Sheet1!B179</f>
        <v>PARAMITA ANGGRAINI</v>
      </c>
      <c r="C179" s="19">
        <f>Sheet1!C179</f>
        <v>2024070698</v>
      </c>
      <c r="D179" s="19" t="str">
        <f>Sheet1!D179</f>
        <v>B</v>
      </c>
      <c r="E179" s="19" t="str">
        <f>Sheet1!E179</f>
        <v>B-4</v>
      </c>
      <c r="F179" s="19">
        <f>Sheet1!F179</f>
        <v>3</v>
      </c>
      <c r="G179" s="19" t="str">
        <f>Sheet1!G179</f>
        <v>3 WUSTHO C PUTRI</v>
      </c>
      <c r="H179" s="19" t="str">
        <f>Sheet1!H179</f>
        <v>SMK-XII TKJ 2</v>
      </c>
      <c r="I179" s="19" t="str">
        <f>Sheet1!I179</f>
        <v>ISMIRA</v>
      </c>
      <c r="J179" s="19" t="str">
        <f>Sheet1!J179</f>
        <v>SEREN JATIPANDAK RT 005 RW 003 SAMBENG LAMONGAN</v>
      </c>
      <c r="K179" s="19" t="str">
        <f>Sheet1!K179</f>
        <v>6285645123489</v>
      </c>
      <c r="L179" s="20">
        <f>Sheet1!L179</f>
        <v>7650000</v>
      </c>
      <c r="M179" s="20">
        <f>Sheet1!M179</f>
        <v>1000000</v>
      </c>
      <c r="N179" s="20">
        <f>Sheet1!N179</f>
        <v>350000</v>
      </c>
      <c r="O179" s="20">
        <f>Sheet1!O179</f>
        <v>9000000</v>
      </c>
      <c r="P179" s="19" t="str">
        <f>Sheet1!P179</f>
        <v/>
      </c>
      <c r="Q179" s="19" t="str">
        <f>Sheet1!Q179</f>
        <v/>
      </c>
      <c r="R179" s="19" t="str">
        <f>Sheet1!R179</f>
        <v/>
      </c>
      <c r="S179" s="19" t="str">
        <f>Sheet1!S179</f>
        <v>Belum Lunas</v>
      </c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2"/>
      <c r="CC179" s="22"/>
      <c r="CD179" s="21"/>
      <c r="CE179" s="21"/>
      <c r="CF179" s="22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</row>
    <row r="180">
      <c r="A180" s="19">
        <f>Sheet1!A180</f>
        <v>179</v>
      </c>
      <c r="B180" s="19" t="str">
        <f>Sheet1!B180</f>
        <v>KHUMAIRO FAUZIA</v>
      </c>
      <c r="C180" s="19">
        <f>Sheet1!C180</f>
        <v>2024070642</v>
      </c>
      <c r="D180" s="19" t="str">
        <f>Sheet1!D180</f>
        <v>B</v>
      </c>
      <c r="E180" s="19" t="str">
        <f>Sheet1!E180</f>
        <v>B-9</v>
      </c>
      <c r="F180" s="19">
        <f>Sheet1!F180</f>
        <v>3</v>
      </c>
      <c r="G180" s="19" t="str">
        <f>Sheet1!G180</f>
        <v>3 ULA C PUTRI</v>
      </c>
      <c r="H180" s="19" t="str">
        <f>Sheet1!H180</f>
        <v>MTS-9 G</v>
      </c>
      <c r="I180" s="19" t="str">
        <f>Sheet1!I180</f>
        <v>SITI MUFARROKHAH</v>
      </c>
      <c r="J180" s="19" t="str">
        <f>Sheet1!J180</f>
        <v>KESAMBI RT 002 RW 002 PUCUK LAMONGAN</v>
      </c>
      <c r="K180" s="19" t="str">
        <f>Sheet1!K180</f>
        <v>6281216463303</v>
      </c>
      <c r="L180" s="20">
        <f>Sheet1!L180</f>
        <v>8100000</v>
      </c>
      <c r="M180" s="20">
        <f>Sheet1!M180</f>
        <v>1000000</v>
      </c>
      <c r="N180" s="20">
        <f>Sheet1!N180</f>
        <v>350000</v>
      </c>
      <c r="O180" s="20">
        <f>Sheet1!O180</f>
        <v>9450000</v>
      </c>
      <c r="P180" s="19" t="str">
        <f>Sheet1!P180</f>
        <v/>
      </c>
      <c r="Q180" s="19" t="str">
        <f>Sheet1!Q180</f>
        <v/>
      </c>
      <c r="R180" s="19" t="str">
        <f>Sheet1!R180</f>
        <v/>
      </c>
      <c r="S180" s="19" t="str">
        <f>Sheet1!S180</f>
        <v>Belum Lunas</v>
      </c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2"/>
      <c r="CC180" s="22"/>
      <c r="CD180" s="21"/>
      <c r="CE180" s="21"/>
      <c r="CF180" s="22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</row>
    <row r="181">
      <c r="A181" s="19">
        <f>Sheet1!A181</f>
        <v>180</v>
      </c>
      <c r="B181" s="19" t="str">
        <f>Sheet1!B181</f>
        <v>MUHAMMAD IQBAL MAULANA PUTRA</v>
      </c>
      <c r="C181" s="19">
        <f>Sheet1!C181</f>
        <v>2024070743</v>
      </c>
      <c r="D181" s="19" t="str">
        <f>Sheet1!D181</f>
        <v>A</v>
      </c>
      <c r="E181" s="19" t="str">
        <f>Sheet1!E181</f>
        <v>A-8</v>
      </c>
      <c r="F181" s="19">
        <f>Sheet1!F181</f>
        <v>3</v>
      </c>
      <c r="G181" s="19" t="str">
        <f>Sheet1!G181</f>
        <v>3 ULA B PUTRA</v>
      </c>
      <c r="H181" s="19" t="str">
        <f>Sheet1!H181</f>
        <v>SMP-IX C</v>
      </c>
      <c r="I181" s="19" t="str">
        <f>Sheet1!I181</f>
        <v>NIA MUSTIANA</v>
      </c>
      <c r="J181" s="19" t="str">
        <f>Sheet1!J181</f>
        <v>SUKLEN KETAPANGTELU RT 001 RW 004 KARANGBINANGUN LAMONGAN</v>
      </c>
      <c r="K181" s="19" t="str">
        <f>Sheet1!K181</f>
        <v>6285648971511</v>
      </c>
      <c r="L181" s="20">
        <f>Sheet1!L181</f>
        <v>8100000</v>
      </c>
      <c r="M181" s="20">
        <f>Sheet1!M181</f>
        <v>1600000</v>
      </c>
      <c r="N181" s="20">
        <f>Sheet1!N181</f>
        <v>0</v>
      </c>
      <c r="O181" s="20">
        <f>Sheet1!O181</f>
        <v>9700000</v>
      </c>
      <c r="P181" s="19" t="str">
        <f>Sheet1!P181</f>
        <v/>
      </c>
      <c r="Q181" s="19" t="str">
        <f>Sheet1!Q181</f>
        <v/>
      </c>
      <c r="R181" s="19" t="str">
        <f>Sheet1!R181</f>
        <v/>
      </c>
      <c r="S181" s="19" t="str">
        <f>Sheet1!S181</f>
        <v>Belum Lunas</v>
      </c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2"/>
      <c r="CC181" s="22"/>
      <c r="CD181" s="21"/>
      <c r="CE181" s="21"/>
      <c r="CF181" s="22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</row>
    <row r="182">
      <c r="A182" s="19">
        <f>Sheet1!A182</f>
        <v>181</v>
      </c>
      <c r="B182" s="19" t="str">
        <f>Sheet1!B182</f>
        <v>AYUNDA KIRANA QURROTUL ISHAQIYYAH</v>
      </c>
      <c r="C182" s="19">
        <f>Sheet1!C182</f>
        <v>2024070742</v>
      </c>
      <c r="D182" s="19" t="str">
        <f>Sheet1!D182</f>
        <v>B</v>
      </c>
      <c r="E182" s="19" t="str">
        <f>Sheet1!E182</f>
        <v>B-10</v>
      </c>
      <c r="F182" s="19">
        <f>Sheet1!F182</f>
        <v>3</v>
      </c>
      <c r="G182" s="19" t="str">
        <f>Sheet1!G182</f>
        <v>3 ULA A PUTRI</v>
      </c>
      <c r="H182" s="19" t="str">
        <f>Sheet1!H182</f>
        <v>SMP-IX B</v>
      </c>
      <c r="I182" s="19" t="str">
        <f>Sheet1!I182</f>
        <v>ZUMAROH</v>
      </c>
      <c r="J182" s="19" t="str">
        <f>Sheet1!J182</f>
        <v>PANGEAN RT 008 RW 002 MADURAN LAMONGAN</v>
      </c>
      <c r="K182" s="19" t="str">
        <f>Sheet1!K182</f>
        <v>6285648522402</v>
      </c>
      <c r="L182" s="20">
        <f>Sheet1!L182</f>
        <v>9000000</v>
      </c>
      <c r="M182" s="20">
        <f>Sheet1!M182</f>
        <v>1000000</v>
      </c>
      <c r="N182" s="20">
        <f>Sheet1!N182</f>
        <v>0</v>
      </c>
      <c r="O182" s="20">
        <f>Sheet1!O182</f>
        <v>10000000</v>
      </c>
      <c r="P182" s="19" t="str">
        <f>Sheet1!P182</f>
        <v/>
      </c>
      <c r="Q182" s="19" t="str">
        <f>Sheet1!Q182</f>
        <v/>
      </c>
      <c r="R182" s="19" t="str">
        <f>Sheet1!R182</f>
        <v/>
      </c>
      <c r="S182" s="19" t="str">
        <f>Sheet1!S182</f>
        <v>Belum Lunas</v>
      </c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2"/>
      <c r="CC182" s="22"/>
      <c r="CD182" s="21"/>
      <c r="CE182" s="21"/>
      <c r="CF182" s="22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</row>
    <row r="183">
      <c r="A183" s="19">
        <f>Sheet1!A183</f>
        <v>182</v>
      </c>
      <c r="B183" s="19" t="str">
        <f>Sheet1!B183</f>
        <v>ISTHOFI NADA MILLAH</v>
      </c>
      <c r="C183" s="19">
        <f>Sheet1!C183</f>
        <v>2024070011</v>
      </c>
      <c r="D183" s="19" t="str">
        <f>Sheet1!D183</f>
        <v>D</v>
      </c>
      <c r="E183" s="19" t="str">
        <f>Sheet1!E183</f>
        <v>D-7</v>
      </c>
      <c r="F183" s="19">
        <f>Sheet1!F183</f>
        <v>3</v>
      </c>
      <c r="G183" s="19" t="str">
        <f>Sheet1!G183</f>
        <v/>
      </c>
      <c r="H183" s="19" t="str">
        <f>Sheet1!H183</f>
        <v>MA-XII.1</v>
      </c>
      <c r="I183" s="19" t="str">
        <f>Sheet1!I183</f>
        <v>LILIS FAIZAH</v>
      </c>
      <c r="J183" s="19" t="str">
        <f>Sheet1!J183</f>
        <v>GAGAR TENGAH SUKOBENDU RT 3 RW 2 MANTUP LAMONGAN</v>
      </c>
      <c r="K183" s="19" t="str">
        <f>Sheet1!K183</f>
        <v>6285604642145</v>
      </c>
      <c r="L183" s="20">
        <f>Sheet1!L183</f>
        <v>10800000</v>
      </c>
      <c r="M183" s="20">
        <f>Sheet1!M183</f>
        <v>0</v>
      </c>
      <c r="N183" s="20">
        <f>Sheet1!N183</f>
        <v>350000</v>
      </c>
      <c r="O183" s="20">
        <f>Sheet1!O183</f>
        <v>11150000</v>
      </c>
      <c r="P183" s="19" t="str">
        <f>Sheet1!P183</f>
        <v/>
      </c>
      <c r="Q183" s="19" t="str">
        <f>Sheet1!Q183</f>
        <v/>
      </c>
      <c r="R183" s="19" t="str">
        <f>Sheet1!R183</f>
        <v/>
      </c>
      <c r="S183" s="19" t="str">
        <f>Sheet1!S183</f>
        <v>Belum Lunas</v>
      </c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2"/>
      <c r="CC183" s="22"/>
      <c r="CD183" s="21"/>
      <c r="CE183" s="21"/>
      <c r="CF183" s="22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</row>
    <row r="184">
      <c r="A184" s="19">
        <f>Sheet1!A184</f>
        <v>183</v>
      </c>
      <c r="B184" s="19" t="str">
        <f>Sheet1!B184</f>
        <v>ANGEL CYNTYA DEWI MAULIDAH</v>
      </c>
      <c r="C184" s="19">
        <f>Sheet1!C184</f>
        <v>2024070002</v>
      </c>
      <c r="D184" s="19" t="str">
        <f>Sheet1!D184</f>
        <v>D</v>
      </c>
      <c r="E184" s="19" t="str">
        <f>Sheet1!E184</f>
        <v>D-7</v>
      </c>
      <c r="F184" s="19">
        <f>Sheet1!F184</f>
        <v>3</v>
      </c>
      <c r="G184" s="19" t="str">
        <f>Sheet1!G184</f>
        <v/>
      </c>
      <c r="H184" s="19" t="str">
        <f>Sheet1!H184</f>
        <v>MA-XII.1</v>
      </c>
      <c r="I184" s="19" t="str">
        <f>Sheet1!I184</f>
        <v>NUR AFIFAH</v>
      </c>
      <c r="J184" s="19" t="str">
        <f>Sheet1!J184</f>
        <v>PESAPEN I/27 KREMBANGAN UTARA RT 005 RW 001 PABEAN CANTIAN SURABAYA</v>
      </c>
      <c r="K184" s="19" t="str">
        <f>Sheet1!K184</f>
        <v>6282140638884</v>
      </c>
      <c r="L184" s="20">
        <f>Sheet1!L184</f>
        <v>9900000</v>
      </c>
      <c r="M184" s="20">
        <f>Sheet1!M184</f>
        <v>1600000</v>
      </c>
      <c r="N184" s="20">
        <f>Sheet1!N184</f>
        <v>0</v>
      </c>
      <c r="O184" s="20">
        <f>Sheet1!O184</f>
        <v>11500000</v>
      </c>
      <c r="P184" s="19" t="str">
        <f>Sheet1!P184</f>
        <v/>
      </c>
      <c r="Q184" s="19" t="str">
        <f>Sheet1!Q184</f>
        <v/>
      </c>
      <c r="R184" s="19" t="str">
        <f>Sheet1!R184</f>
        <v/>
      </c>
      <c r="S184" s="19" t="str">
        <f>Sheet1!S184</f>
        <v>Belum Lunas</v>
      </c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2"/>
      <c r="CC184" s="22"/>
      <c r="CD184" s="21"/>
      <c r="CE184" s="21"/>
      <c r="CF184" s="22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</row>
    <row r="185">
      <c r="A185" s="19">
        <f>Sheet1!A185</f>
        <v>184</v>
      </c>
      <c r="B185" s="19" t="str">
        <f>Sheet1!B185</f>
        <v>FIKA ANJANI CAMELIA AL AJEMAIN</v>
      </c>
      <c r="C185" s="19">
        <f>Sheet1!C185</f>
        <v>2024070007</v>
      </c>
      <c r="D185" s="19" t="str">
        <f>Sheet1!D185</f>
        <v>D</v>
      </c>
      <c r="E185" s="19" t="str">
        <f>Sheet1!E185</f>
        <v>D-7</v>
      </c>
      <c r="F185" s="19">
        <f>Sheet1!F185</f>
        <v>3</v>
      </c>
      <c r="G185" s="19" t="str">
        <f>Sheet1!G185</f>
        <v/>
      </c>
      <c r="H185" s="19" t="str">
        <f>Sheet1!H185</f>
        <v>MA-XII.1</v>
      </c>
      <c r="I185" s="19" t="str">
        <f>Sheet1!I185</f>
        <v>WIWIK MUHIDAYATI</v>
      </c>
      <c r="J185" s="19" t="str">
        <f>Sheet1!J185</f>
        <v>PELANGWOT RT 1 RW 6 LAREN LAMONGAN</v>
      </c>
      <c r="K185" s="19" t="str">
        <f>Sheet1!K185</f>
        <v>6281330367368</v>
      </c>
      <c r="L185" s="20">
        <f>Sheet1!L185</f>
        <v>10800000</v>
      </c>
      <c r="M185" s="20">
        <f>Sheet1!M185</f>
        <v>1600000</v>
      </c>
      <c r="N185" s="20">
        <f>Sheet1!N185</f>
        <v>0</v>
      </c>
      <c r="O185" s="20">
        <f>Sheet1!O185</f>
        <v>12400000</v>
      </c>
      <c r="P185" s="19" t="str">
        <f>Sheet1!P185</f>
        <v/>
      </c>
      <c r="Q185" s="19" t="str">
        <f>Sheet1!Q185</f>
        <v/>
      </c>
      <c r="R185" s="19" t="str">
        <f>Sheet1!R185</f>
        <v/>
      </c>
      <c r="S185" s="19" t="str">
        <f>Sheet1!S185</f>
        <v>Belum Lunas</v>
      </c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2"/>
      <c r="CC185" s="22"/>
      <c r="CD185" s="21"/>
      <c r="CE185" s="21"/>
      <c r="CF185" s="22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</row>
    <row r="186">
      <c r="A186" s="19" t="str">
        <f>Sheet1!A186</f>
        <v/>
      </c>
      <c r="B186" s="19" t="str">
        <f>Sheet1!B186</f>
        <v/>
      </c>
      <c r="C186" s="19" t="str">
        <f>Sheet1!C186</f>
        <v/>
      </c>
      <c r="D186" s="19" t="str">
        <f>Sheet1!D186</f>
        <v/>
      </c>
      <c r="E186" s="19" t="str">
        <f>Sheet1!E186</f>
        <v/>
      </c>
      <c r="F186" s="19" t="str">
        <f>Sheet1!F186</f>
        <v/>
      </c>
      <c r="G186" s="19" t="str">
        <f>Sheet1!G186</f>
        <v/>
      </c>
      <c r="H186" s="19" t="str">
        <f>Sheet1!H186</f>
        <v/>
      </c>
      <c r="I186" s="19" t="str">
        <f>Sheet1!I186</f>
        <v/>
      </c>
      <c r="J186" s="19" t="str">
        <f>Sheet1!J186</f>
        <v/>
      </c>
      <c r="K186" s="19" t="str">
        <f>Sheet1!K186</f>
        <v/>
      </c>
      <c r="L186" s="19" t="str">
        <f>Sheet1!L186</f>
        <v/>
      </c>
      <c r="M186" s="19" t="str">
        <f>Sheet1!M186</f>
        <v/>
      </c>
      <c r="N186" s="19" t="str">
        <f>Sheet1!N186</f>
        <v/>
      </c>
      <c r="O186" s="19" t="str">
        <f>Sheet1!O186</f>
        <v/>
      </c>
      <c r="P186" s="19" t="str">
        <f>Sheet1!P186</f>
        <v/>
      </c>
      <c r="Q186" s="19" t="str">
        <f>Sheet1!Q186</f>
        <v/>
      </c>
      <c r="R186" s="19" t="str">
        <f>Sheet1!R186</f>
        <v/>
      </c>
      <c r="S186" s="19" t="str">
        <f>Sheet1!S186</f>
        <v/>
      </c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2"/>
      <c r="CC186" s="22"/>
      <c r="CD186" s="21"/>
      <c r="CE186" s="21"/>
      <c r="CF186" s="22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</row>
    <row r="187">
      <c r="A187" s="19" t="str">
        <f>Sheet1!A187</f>
        <v/>
      </c>
      <c r="B187" s="19" t="str">
        <f>Sheet1!B187</f>
        <v/>
      </c>
      <c r="C187" s="19" t="str">
        <f>Sheet1!C187</f>
        <v/>
      </c>
      <c r="D187" s="19" t="str">
        <f>Sheet1!D187</f>
        <v/>
      </c>
      <c r="E187" s="19" t="str">
        <f>Sheet1!E187</f>
        <v/>
      </c>
      <c r="F187" s="19" t="str">
        <f>Sheet1!F187</f>
        <v/>
      </c>
      <c r="G187" s="19" t="str">
        <f>Sheet1!G187</f>
        <v/>
      </c>
      <c r="H187" s="19" t="str">
        <f>Sheet1!H187</f>
        <v/>
      </c>
      <c r="I187" s="19" t="str">
        <f>Sheet1!I187</f>
        <v/>
      </c>
      <c r="J187" s="19" t="str">
        <f>Sheet1!J187</f>
        <v/>
      </c>
      <c r="K187" s="19" t="str">
        <f>Sheet1!K187</f>
        <v/>
      </c>
      <c r="L187" s="19" t="str">
        <f>Sheet1!L187</f>
        <v/>
      </c>
      <c r="M187" s="19" t="str">
        <f>Sheet1!M187</f>
        <v/>
      </c>
      <c r="N187" s="19" t="str">
        <f>Sheet1!N187</f>
        <v/>
      </c>
      <c r="O187" s="19" t="str">
        <f>Sheet1!O187</f>
        <v/>
      </c>
      <c r="P187" s="19" t="str">
        <f>Sheet1!P187</f>
        <v/>
      </c>
      <c r="Q187" s="19" t="str">
        <f>Sheet1!Q187</f>
        <v/>
      </c>
      <c r="R187" s="19" t="str">
        <f>Sheet1!R187</f>
        <v/>
      </c>
      <c r="S187" s="19" t="str">
        <f>Sheet1!S187</f>
        <v/>
      </c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2"/>
      <c r="CC187" s="22"/>
      <c r="CD187" s="21"/>
      <c r="CE187" s="21"/>
      <c r="CF187" s="22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</row>
    <row r="188">
      <c r="A188" s="19" t="str">
        <f>Sheet1!A188</f>
        <v/>
      </c>
      <c r="B188" s="19" t="str">
        <f>Sheet1!B188</f>
        <v/>
      </c>
      <c r="C188" s="19" t="str">
        <f>Sheet1!C188</f>
        <v/>
      </c>
      <c r="D188" s="19" t="str">
        <f>Sheet1!D188</f>
        <v/>
      </c>
      <c r="E188" s="19" t="str">
        <f>Sheet1!E188</f>
        <v/>
      </c>
      <c r="F188" s="19" t="str">
        <f>Sheet1!F188</f>
        <v/>
      </c>
      <c r="G188" s="19" t="str">
        <f>Sheet1!G188</f>
        <v/>
      </c>
      <c r="H188" s="19" t="str">
        <f>Sheet1!H188</f>
        <v/>
      </c>
      <c r="I188" s="19" t="str">
        <f>Sheet1!I188</f>
        <v/>
      </c>
      <c r="J188" s="19" t="str">
        <f>Sheet1!J188</f>
        <v/>
      </c>
      <c r="K188" s="19" t="str">
        <f>Sheet1!K188</f>
        <v/>
      </c>
      <c r="L188" s="19" t="str">
        <f>Sheet1!L188</f>
        <v/>
      </c>
      <c r="M188" s="19" t="str">
        <f>Sheet1!M188</f>
        <v/>
      </c>
      <c r="N188" s="19" t="str">
        <f>Sheet1!N188</f>
        <v/>
      </c>
      <c r="O188" s="19" t="str">
        <f>Sheet1!O188</f>
        <v/>
      </c>
      <c r="P188" s="19" t="str">
        <f>Sheet1!P188</f>
        <v/>
      </c>
      <c r="Q188" s="19" t="str">
        <f>Sheet1!Q188</f>
        <v/>
      </c>
      <c r="R188" s="19" t="str">
        <f>Sheet1!R188</f>
        <v/>
      </c>
      <c r="S188" s="19" t="str">
        <f>Sheet1!S188</f>
        <v/>
      </c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</row>
    <row r="189">
      <c r="A189" s="19" t="str">
        <f>Sheet1!A189</f>
        <v/>
      </c>
      <c r="B189" s="19" t="str">
        <f>Sheet1!B189</f>
        <v/>
      </c>
      <c r="C189" s="19" t="str">
        <f>Sheet1!C189</f>
        <v/>
      </c>
      <c r="D189" s="19" t="str">
        <f>Sheet1!D189</f>
        <v/>
      </c>
      <c r="E189" s="19" t="str">
        <f>Sheet1!E189</f>
        <v/>
      </c>
      <c r="F189" s="19" t="str">
        <f>Sheet1!F189</f>
        <v/>
      </c>
      <c r="G189" s="19" t="str">
        <f>Sheet1!G189</f>
        <v/>
      </c>
      <c r="H189" s="19" t="str">
        <f>Sheet1!H189</f>
        <v/>
      </c>
      <c r="I189" s="19" t="str">
        <f>Sheet1!I189</f>
        <v/>
      </c>
      <c r="J189" s="19" t="str">
        <f>Sheet1!J189</f>
        <v/>
      </c>
      <c r="K189" s="19" t="str">
        <f>Sheet1!K189</f>
        <v/>
      </c>
      <c r="L189" s="19" t="str">
        <f>Sheet1!L189</f>
        <v/>
      </c>
      <c r="M189" s="19" t="str">
        <f>Sheet1!M189</f>
        <v/>
      </c>
      <c r="N189" s="19" t="str">
        <f>Sheet1!N189</f>
        <v/>
      </c>
      <c r="O189" s="19" t="str">
        <f>Sheet1!O189</f>
        <v/>
      </c>
      <c r="P189" s="19" t="str">
        <f>Sheet1!P189</f>
        <v/>
      </c>
      <c r="Q189" s="19" t="str">
        <f>Sheet1!Q189</f>
        <v/>
      </c>
      <c r="R189" s="19" t="str">
        <f>Sheet1!R189</f>
        <v/>
      </c>
      <c r="S189" s="19" t="str">
        <f>Sheet1!S189</f>
        <v/>
      </c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2"/>
      <c r="CC189" s="22"/>
      <c r="CD189" s="21"/>
      <c r="CE189" s="21"/>
      <c r="CF189" s="22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</row>
    <row r="190">
      <c r="A190" s="19" t="str">
        <f>Sheet1!A190</f>
        <v/>
      </c>
      <c r="B190" s="19" t="str">
        <f>Sheet1!B190</f>
        <v/>
      </c>
      <c r="C190" s="19" t="str">
        <f>Sheet1!C190</f>
        <v/>
      </c>
      <c r="D190" s="19" t="str">
        <f>Sheet1!D190</f>
        <v/>
      </c>
      <c r="E190" s="19" t="str">
        <f>Sheet1!E190</f>
        <v/>
      </c>
      <c r="F190" s="19" t="str">
        <f>Sheet1!F190</f>
        <v/>
      </c>
      <c r="G190" s="19" t="str">
        <f>Sheet1!G190</f>
        <v/>
      </c>
      <c r="H190" s="19" t="str">
        <f>Sheet1!H190</f>
        <v/>
      </c>
      <c r="I190" s="19" t="str">
        <f>Sheet1!I190</f>
        <v/>
      </c>
      <c r="J190" s="19" t="str">
        <f>Sheet1!J190</f>
        <v/>
      </c>
      <c r="K190" s="19" t="str">
        <f>Sheet1!K190</f>
        <v/>
      </c>
      <c r="L190" s="19" t="str">
        <f>Sheet1!L190</f>
        <v/>
      </c>
      <c r="M190" s="19" t="str">
        <f>Sheet1!M190</f>
        <v/>
      </c>
      <c r="N190" s="19" t="str">
        <f>Sheet1!N190</f>
        <v/>
      </c>
      <c r="O190" s="19" t="str">
        <f>Sheet1!O190</f>
        <v/>
      </c>
      <c r="P190" s="19" t="str">
        <f>Sheet1!P190</f>
        <v/>
      </c>
      <c r="Q190" s="19" t="str">
        <f>Sheet1!Q190</f>
        <v/>
      </c>
      <c r="R190" s="19" t="str">
        <f>Sheet1!R190</f>
        <v/>
      </c>
      <c r="S190" s="19" t="str">
        <f>Sheet1!S190</f>
        <v/>
      </c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2"/>
      <c r="CC190" s="22"/>
      <c r="CD190" s="21"/>
      <c r="CE190" s="21"/>
      <c r="CF190" s="22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</row>
    <row r="191">
      <c r="A191" s="19" t="str">
        <f>Sheet1!A191</f>
        <v/>
      </c>
      <c r="B191" s="19" t="str">
        <f>Sheet1!B191</f>
        <v/>
      </c>
      <c r="C191" s="19" t="str">
        <f>Sheet1!C191</f>
        <v/>
      </c>
      <c r="D191" s="19" t="str">
        <f>Sheet1!D191</f>
        <v/>
      </c>
      <c r="E191" s="19" t="str">
        <f>Sheet1!E191</f>
        <v/>
      </c>
      <c r="F191" s="19" t="str">
        <f>Sheet1!F191</f>
        <v/>
      </c>
      <c r="G191" s="19" t="str">
        <f>Sheet1!G191</f>
        <v/>
      </c>
      <c r="H191" s="19" t="str">
        <f>Sheet1!H191</f>
        <v/>
      </c>
      <c r="I191" s="19" t="str">
        <f>Sheet1!I191</f>
        <v/>
      </c>
      <c r="J191" s="19" t="str">
        <f>Sheet1!J191</f>
        <v/>
      </c>
      <c r="K191" s="19" t="str">
        <f>Sheet1!K191</f>
        <v/>
      </c>
      <c r="L191" s="19" t="str">
        <f>Sheet1!L191</f>
        <v/>
      </c>
      <c r="M191" s="19" t="str">
        <f>Sheet1!M191</f>
        <v/>
      </c>
      <c r="N191" s="19" t="str">
        <f>Sheet1!N191</f>
        <v/>
      </c>
      <c r="O191" s="19" t="str">
        <f>Sheet1!O191</f>
        <v/>
      </c>
      <c r="P191" s="19" t="str">
        <f>Sheet1!P191</f>
        <v/>
      </c>
      <c r="Q191" s="19" t="str">
        <f>Sheet1!Q191</f>
        <v/>
      </c>
      <c r="R191" s="19" t="str">
        <f>Sheet1!R191</f>
        <v/>
      </c>
      <c r="S191" s="19" t="str">
        <f>Sheet1!S191</f>
        <v/>
      </c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2"/>
      <c r="CC191" s="22"/>
      <c r="CD191" s="21"/>
      <c r="CE191" s="21"/>
      <c r="CF191" s="22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</row>
    <row r="192">
      <c r="A192" s="19" t="str">
        <f>Sheet1!A192</f>
        <v/>
      </c>
      <c r="B192" s="19" t="str">
        <f>Sheet1!B192</f>
        <v/>
      </c>
      <c r="C192" s="19" t="str">
        <f>Sheet1!C192</f>
        <v/>
      </c>
      <c r="D192" s="19" t="str">
        <f>Sheet1!D192</f>
        <v/>
      </c>
      <c r="E192" s="19" t="str">
        <f>Sheet1!E192</f>
        <v/>
      </c>
      <c r="F192" s="19" t="str">
        <f>Sheet1!F192</f>
        <v/>
      </c>
      <c r="G192" s="19" t="str">
        <f>Sheet1!G192</f>
        <v/>
      </c>
      <c r="H192" s="19" t="str">
        <f>Sheet1!H192</f>
        <v/>
      </c>
      <c r="I192" s="19" t="str">
        <f>Sheet1!I192</f>
        <v/>
      </c>
      <c r="J192" s="19" t="str">
        <f>Sheet1!J192</f>
        <v/>
      </c>
      <c r="K192" s="19" t="str">
        <f>Sheet1!K192</f>
        <v/>
      </c>
      <c r="L192" s="19" t="str">
        <f>Sheet1!L192</f>
        <v/>
      </c>
      <c r="M192" s="19" t="str">
        <f>Sheet1!M192</f>
        <v/>
      </c>
      <c r="N192" s="19" t="str">
        <f>Sheet1!N192</f>
        <v/>
      </c>
      <c r="O192" s="19" t="str">
        <f>Sheet1!O192</f>
        <v/>
      </c>
      <c r="P192" s="19" t="str">
        <f>Sheet1!P192</f>
        <v/>
      </c>
      <c r="Q192" s="19" t="str">
        <f>Sheet1!Q192</f>
        <v/>
      </c>
      <c r="R192" s="19" t="str">
        <f>Sheet1!R192</f>
        <v/>
      </c>
      <c r="S192" s="19" t="str">
        <f>Sheet1!S192</f>
        <v/>
      </c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2"/>
      <c r="CC192" s="22"/>
      <c r="CD192" s="21"/>
      <c r="CE192" s="21"/>
      <c r="CF192" s="22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</row>
    <row r="193">
      <c r="A193" s="19" t="str">
        <f>Sheet1!A193</f>
        <v/>
      </c>
      <c r="B193" s="19" t="str">
        <f>Sheet1!B193</f>
        <v/>
      </c>
      <c r="C193" s="19" t="str">
        <f>Sheet1!C193</f>
        <v/>
      </c>
      <c r="D193" s="19" t="str">
        <f>Sheet1!D193</f>
        <v/>
      </c>
      <c r="E193" s="19" t="str">
        <f>Sheet1!E193</f>
        <v/>
      </c>
      <c r="F193" s="19" t="str">
        <f>Sheet1!F193</f>
        <v/>
      </c>
      <c r="G193" s="19" t="str">
        <f>Sheet1!G193</f>
        <v/>
      </c>
      <c r="H193" s="19" t="str">
        <f>Sheet1!H193</f>
        <v/>
      </c>
      <c r="I193" s="19" t="str">
        <f>Sheet1!I193</f>
        <v/>
      </c>
      <c r="J193" s="19" t="str">
        <f>Sheet1!J193</f>
        <v/>
      </c>
      <c r="K193" s="19" t="str">
        <f>Sheet1!K193</f>
        <v/>
      </c>
      <c r="L193" s="19" t="str">
        <f>Sheet1!L193</f>
        <v/>
      </c>
      <c r="M193" s="19" t="str">
        <f>Sheet1!M193</f>
        <v/>
      </c>
      <c r="N193" s="19" t="str">
        <f>Sheet1!N193</f>
        <v/>
      </c>
      <c r="O193" s="19" t="str">
        <f>Sheet1!O193</f>
        <v/>
      </c>
      <c r="P193" s="19" t="str">
        <f>Sheet1!P193</f>
        <v/>
      </c>
      <c r="Q193" s="19" t="str">
        <f>Sheet1!Q193</f>
        <v/>
      </c>
      <c r="R193" s="19" t="str">
        <f>Sheet1!R193</f>
        <v/>
      </c>
      <c r="S193" s="19" t="str">
        <f>Sheet1!S193</f>
        <v/>
      </c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2"/>
      <c r="CC193" s="22"/>
      <c r="CD193" s="21"/>
      <c r="CE193" s="21"/>
      <c r="CF193" s="22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</row>
    <row r="194">
      <c r="A194" s="19" t="str">
        <f>Sheet1!A194</f>
        <v/>
      </c>
      <c r="B194" s="19" t="str">
        <f>Sheet1!B194</f>
        <v/>
      </c>
      <c r="C194" s="19" t="str">
        <f>Sheet1!C194</f>
        <v/>
      </c>
      <c r="D194" s="19" t="str">
        <f>Sheet1!D194</f>
        <v/>
      </c>
      <c r="E194" s="19" t="str">
        <f>Sheet1!E194</f>
        <v/>
      </c>
      <c r="F194" s="19" t="str">
        <f>Sheet1!F194</f>
        <v/>
      </c>
      <c r="G194" s="19" t="str">
        <f>Sheet1!G194</f>
        <v/>
      </c>
      <c r="H194" s="19" t="str">
        <f>Sheet1!H194</f>
        <v/>
      </c>
      <c r="I194" s="19" t="str">
        <f>Sheet1!I194</f>
        <v/>
      </c>
      <c r="J194" s="19" t="str">
        <f>Sheet1!J194</f>
        <v/>
      </c>
      <c r="K194" s="19" t="str">
        <f>Sheet1!K194</f>
        <v/>
      </c>
      <c r="L194" s="19" t="str">
        <f>Sheet1!L194</f>
        <v/>
      </c>
      <c r="M194" s="19" t="str">
        <f>Sheet1!M194</f>
        <v/>
      </c>
      <c r="N194" s="19" t="str">
        <f>Sheet1!N194</f>
        <v/>
      </c>
      <c r="O194" s="19" t="str">
        <f>Sheet1!O194</f>
        <v/>
      </c>
      <c r="P194" s="19" t="str">
        <f>Sheet1!P194</f>
        <v/>
      </c>
      <c r="Q194" s="19" t="str">
        <f>Sheet1!Q194</f>
        <v/>
      </c>
      <c r="R194" s="19" t="str">
        <f>Sheet1!R194</f>
        <v/>
      </c>
      <c r="S194" s="19" t="str">
        <f>Sheet1!S194</f>
        <v/>
      </c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2"/>
      <c r="CC194" s="22"/>
      <c r="CD194" s="21"/>
      <c r="CE194" s="21"/>
      <c r="CF194" s="22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</row>
    <row r="195">
      <c r="A195" s="19" t="str">
        <f>Sheet1!A195</f>
        <v/>
      </c>
      <c r="B195" s="19" t="str">
        <f>Sheet1!B195</f>
        <v/>
      </c>
      <c r="C195" s="19" t="str">
        <f>Sheet1!C195</f>
        <v/>
      </c>
      <c r="D195" s="19" t="str">
        <f>Sheet1!D195</f>
        <v/>
      </c>
      <c r="E195" s="19" t="str">
        <f>Sheet1!E195</f>
        <v/>
      </c>
      <c r="F195" s="19" t="str">
        <f>Sheet1!F195</f>
        <v/>
      </c>
      <c r="G195" s="19" t="str">
        <f>Sheet1!G195</f>
        <v/>
      </c>
      <c r="H195" s="19" t="str">
        <f>Sheet1!H195</f>
        <v/>
      </c>
      <c r="I195" s="19" t="str">
        <f>Sheet1!I195</f>
        <v/>
      </c>
      <c r="J195" s="19" t="str">
        <f>Sheet1!J195</f>
        <v/>
      </c>
      <c r="K195" s="19" t="str">
        <f>Sheet1!K195</f>
        <v/>
      </c>
      <c r="L195" s="19" t="str">
        <f>Sheet1!L195</f>
        <v/>
      </c>
      <c r="M195" s="19" t="str">
        <f>Sheet1!M195</f>
        <v/>
      </c>
      <c r="N195" s="19" t="str">
        <f>Sheet1!N195</f>
        <v/>
      </c>
      <c r="O195" s="19" t="str">
        <f>Sheet1!O195</f>
        <v/>
      </c>
      <c r="P195" s="19" t="str">
        <f>Sheet1!P195</f>
        <v/>
      </c>
      <c r="Q195" s="19" t="str">
        <f>Sheet1!Q195</f>
        <v/>
      </c>
      <c r="R195" s="19" t="str">
        <f>Sheet1!R195</f>
        <v/>
      </c>
      <c r="S195" s="19" t="str">
        <f>Sheet1!S195</f>
        <v/>
      </c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2"/>
      <c r="CC195" s="22"/>
      <c r="CD195" s="21"/>
      <c r="CE195" s="21"/>
      <c r="CF195" s="22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</row>
    <row r="196">
      <c r="A196" s="19" t="str">
        <f>Sheet1!A196</f>
        <v/>
      </c>
      <c r="B196" s="19" t="str">
        <f>Sheet1!B196</f>
        <v/>
      </c>
      <c r="C196" s="19" t="str">
        <f>Sheet1!C196</f>
        <v/>
      </c>
      <c r="D196" s="19" t="str">
        <f>Sheet1!D196</f>
        <v/>
      </c>
      <c r="E196" s="19" t="str">
        <f>Sheet1!E196</f>
        <v/>
      </c>
      <c r="F196" s="19" t="str">
        <f>Sheet1!F196</f>
        <v/>
      </c>
      <c r="G196" s="19" t="str">
        <f>Sheet1!G196</f>
        <v/>
      </c>
      <c r="H196" s="19" t="str">
        <f>Sheet1!H196</f>
        <v/>
      </c>
      <c r="I196" s="19" t="str">
        <f>Sheet1!I196</f>
        <v/>
      </c>
      <c r="J196" s="19" t="str">
        <f>Sheet1!J196</f>
        <v/>
      </c>
      <c r="K196" s="19" t="str">
        <f>Sheet1!K196</f>
        <v/>
      </c>
      <c r="L196" s="19" t="str">
        <f>Sheet1!L196</f>
        <v/>
      </c>
      <c r="M196" s="19" t="str">
        <f>Sheet1!M196</f>
        <v/>
      </c>
      <c r="N196" s="19" t="str">
        <f>Sheet1!N196</f>
        <v/>
      </c>
      <c r="O196" s="19" t="str">
        <f>Sheet1!O196</f>
        <v/>
      </c>
      <c r="P196" s="19" t="str">
        <f>Sheet1!P196</f>
        <v/>
      </c>
      <c r="Q196" s="19" t="str">
        <f>Sheet1!Q196</f>
        <v/>
      </c>
      <c r="R196" s="19" t="str">
        <f>Sheet1!R196</f>
        <v/>
      </c>
      <c r="S196" s="19" t="str">
        <f>Sheet1!S196</f>
        <v/>
      </c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2"/>
      <c r="CC196" s="22"/>
      <c r="CD196" s="21"/>
      <c r="CE196" s="21"/>
      <c r="CF196" s="22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</row>
    <row r="197">
      <c r="A197" s="19" t="str">
        <f>Sheet1!A197</f>
        <v/>
      </c>
      <c r="B197" s="19" t="str">
        <f>Sheet1!B197</f>
        <v/>
      </c>
      <c r="C197" s="19" t="str">
        <f>Sheet1!C197</f>
        <v/>
      </c>
      <c r="D197" s="19" t="str">
        <f>Sheet1!D197</f>
        <v/>
      </c>
      <c r="E197" s="19" t="str">
        <f>Sheet1!E197</f>
        <v/>
      </c>
      <c r="F197" s="19" t="str">
        <f>Sheet1!F197</f>
        <v/>
      </c>
      <c r="G197" s="19" t="str">
        <f>Sheet1!G197</f>
        <v/>
      </c>
      <c r="H197" s="19" t="str">
        <f>Sheet1!H197</f>
        <v/>
      </c>
      <c r="I197" s="19" t="str">
        <f>Sheet1!I197</f>
        <v/>
      </c>
      <c r="J197" s="19" t="str">
        <f>Sheet1!J197</f>
        <v/>
      </c>
      <c r="K197" s="19" t="str">
        <f>Sheet1!K197</f>
        <v/>
      </c>
      <c r="L197" s="19" t="str">
        <f>Sheet1!L197</f>
        <v/>
      </c>
      <c r="M197" s="19" t="str">
        <f>Sheet1!M197</f>
        <v/>
      </c>
      <c r="N197" s="19" t="str">
        <f>Sheet1!N197</f>
        <v/>
      </c>
      <c r="O197" s="19" t="str">
        <f>Sheet1!O197</f>
        <v/>
      </c>
      <c r="P197" s="19" t="str">
        <f>Sheet1!P197</f>
        <v/>
      </c>
      <c r="Q197" s="19" t="str">
        <f>Sheet1!Q197</f>
        <v/>
      </c>
      <c r="R197" s="19" t="str">
        <f>Sheet1!R197</f>
        <v/>
      </c>
      <c r="S197" s="19" t="str">
        <f>Sheet1!S197</f>
        <v/>
      </c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2"/>
      <c r="CC197" s="22"/>
      <c r="CD197" s="21"/>
      <c r="CE197" s="21"/>
      <c r="CF197" s="22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</row>
    <row r="198">
      <c r="A198" s="19" t="str">
        <f>Sheet1!A198</f>
        <v/>
      </c>
      <c r="B198" s="19" t="str">
        <f>Sheet1!B198</f>
        <v/>
      </c>
      <c r="C198" s="19" t="str">
        <f>Sheet1!C198</f>
        <v/>
      </c>
      <c r="D198" s="19" t="str">
        <f>Sheet1!D198</f>
        <v/>
      </c>
      <c r="E198" s="19" t="str">
        <f>Sheet1!E198</f>
        <v/>
      </c>
      <c r="F198" s="19" t="str">
        <f>Sheet1!F198</f>
        <v/>
      </c>
      <c r="G198" s="19" t="str">
        <f>Sheet1!G198</f>
        <v/>
      </c>
      <c r="H198" s="19" t="str">
        <f>Sheet1!H198</f>
        <v/>
      </c>
      <c r="I198" s="19" t="str">
        <f>Sheet1!I198</f>
        <v/>
      </c>
      <c r="J198" s="19" t="str">
        <f>Sheet1!J198</f>
        <v/>
      </c>
      <c r="K198" s="19" t="str">
        <f>Sheet1!K198</f>
        <v/>
      </c>
      <c r="L198" s="19" t="str">
        <f>Sheet1!L198</f>
        <v/>
      </c>
      <c r="M198" s="19" t="str">
        <f>Sheet1!M198</f>
        <v/>
      </c>
      <c r="N198" s="19" t="str">
        <f>Sheet1!N198</f>
        <v/>
      </c>
      <c r="O198" s="19" t="str">
        <f>Sheet1!O198</f>
        <v/>
      </c>
      <c r="P198" s="19" t="str">
        <f>Sheet1!P198</f>
        <v/>
      </c>
      <c r="Q198" s="19" t="str">
        <f>Sheet1!Q198</f>
        <v/>
      </c>
      <c r="R198" s="19" t="str">
        <f>Sheet1!R198</f>
        <v/>
      </c>
      <c r="S198" s="19" t="str">
        <f>Sheet1!S198</f>
        <v/>
      </c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2"/>
      <c r="CC198" s="22"/>
      <c r="CD198" s="21"/>
      <c r="CE198" s="21"/>
      <c r="CF198" s="22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</row>
    <row r="199">
      <c r="A199" s="19" t="str">
        <f>Sheet1!A199</f>
        <v/>
      </c>
      <c r="B199" s="19" t="str">
        <f>Sheet1!B199</f>
        <v/>
      </c>
      <c r="C199" s="19" t="str">
        <f>Sheet1!C199</f>
        <v/>
      </c>
      <c r="D199" s="19" t="str">
        <f>Sheet1!D199</f>
        <v/>
      </c>
      <c r="E199" s="19" t="str">
        <f>Sheet1!E199</f>
        <v/>
      </c>
      <c r="F199" s="19" t="str">
        <f>Sheet1!F199</f>
        <v/>
      </c>
      <c r="G199" s="19" t="str">
        <f>Sheet1!G199</f>
        <v/>
      </c>
      <c r="H199" s="19" t="str">
        <f>Sheet1!H199</f>
        <v/>
      </c>
      <c r="I199" s="19" t="str">
        <f>Sheet1!I199</f>
        <v/>
      </c>
      <c r="J199" s="19" t="str">
        <f>Sheet1!J199</f>
        <v/>
      </c>
      <c r="K199" s="19" t="str">
        <f>Sheet1!K199</f>
        <v/>
      </c>
      <c r="L199" s="19" t="str">
        <f>Sheet1!L199</f>
        <v/>
      </c>
      <c r="M199" s="19" t="str">
        <f>Sheet1!M199</f>
        <v/>
      </c>
      <c r="N199" s="19" t="str">
        <f>Sheet1!N199</f>
        <v/>
      </c>
      <c r="O199" s="19" t="str">
        <f>Sheet1!O199</f>
        <v/>
      </c>
      <c r="P199" s="19" t="str">
        <f>Sheet1!P199</f>
        <v/>
      </c>
      <c r="Q199" s="19" t="str">
        <f>Sheet1!Q199</f>
        <v/>
      </c>
      <c r="R199" s="19" t="str">
        <f>Sheet1!R199</f>
        <v/>
      </c>
      <c r="S199" s="19" t="str">
        <f>Sheet1!S199</f>
        <v/>
      </c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2"/>
      <c r="CC199" s="22"/>
      <c r="CD199" s="21"/>
      <c r="CE199" s="21"/>
      <c r="CF199" s="22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</row>
    <row r="200">
      <c r="A200" s="19" t="str">
        <f>Sheet1!A200</f>
        <v/>
      </c>
      <c r="B200" s="19" t="str">
        <f>Sheet1!B200</f>
        <v/>
      </c>
      <c r="C200" s="19" t="str">
        <f>Sheet1!C200</f>
        <v/>
      </c>
      <c r="D200" s="19" t="str">
        <f>Sheet1!D200</f>
        <v/>
      </c>
      <c r="E200" s="19" t="str">
        <f>Sheet1!E200</f>
        <v/>
      </c>
      <c r="F200" s="19" t="str">
        <f>Sheet1!F200</f>
        <v/>
      </c>
      <c r="G200" s="19" t="str">
        <f>Sheet1!G200</f>
        <v/>
      </c>
      <c r="H200" s="19" t="str">
        <f>Sheet1!H200</f>
        <v/>
      </c>
      <c r="I200" s="19" t="str">
        <f>Sheet1!I200</f>
        <v/>
      </c>
      <c r="J200" s="19" t="str">
        <f>Sheet1!J200</f>
        <v/>
      </c>
      <c r="K200" s="19" t="str">
        <f>Sheet1!K200</f>
        <v/>
      </c>
      <c r="L200" s="19" t="str">
        <f>Sheet1!L200</f>
        <v/>
      </c>
      <c r="M200" s="19" t="str">
        <f>Sheet1!M200</f>
        <v/>
      </c>
      <c r="N200" s="19" t="str">
        <f>Sheet1!N200</f>
        <v/>
      </c>
      <c r="O200" s="19" t="str">
        <f>Sheet1!O200</f>
        <v/>
      </c>
      <c r="P200" s="19" t="str">
        <f>Sheet1!P200</f>
        <v/>
      </c>
      <c r="Q200" s="19" t="str">
        <f>Sheet1!Q200</f>
        <v/>
      </c>
      <c r="R200" s="19" t="str">
        <f>Sheet1!R200</f>
        <v/>
      </c>
      <c r="S200" s="19" t="str">
        <f>Sheet1!S200</f>
        <v/>
      </c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2"/>
      <c r="CC200" s="22"/>
      <c r="CD200" s="21"/>
      <c r="CE200" s="21"/>
      <c r="CF200" s="22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</row>
    <row r="201">
      <c r="A201" s="19" t="str">
        <f>Sheet1!A201</f>
        <v/>
      </c>
      <c r="B201" s="19" t="str">
        <f>Sheet1!B201</f>
        <v/>
      </c>
      <c r="C201" s="19" t="str">
        <f>Sheet1!C201</f>
        <v/>
      </c>
      <c r="D201" s="19" t="str">
        <f>Sheet1!D201</f>
        <v/>
      </c>
      <c r="E201" s="19" t="str">
        <f>Sheet1!E201</f>
        <v/>
      </c>
      <c r="F201" s="19" t="str">
        <f>Sheet1!F201</f>
        <v/>
      </c>
      <c r="G201" s="19" t="str">
        <f>Sheet1!G201</f>
        <v/>
      </c>
      <c r="H201" s="19" t="str">
        <f>Sheet1!H201</f>
        <v/>
      </c>
      <c r="I201" s="19" t="str">
        <f>Sheet1!I201</f>
        <v/>
      </c>
      <c r="J201" s="19" t="str">
        <f>Sheet1!J201</f>
        <v/>
      </c>
      <c r="K201" s="19" t="str">
        <f>Sheet1!K201</f>
        <v/>
      </c>
      <c r="L201" s="19" t="str">
        <f>Sheet1!L201</f>
        <v/>
      </c>
      <c r="M201" s="19" t="str">
        <f>Sheet1!M201</f>
        <v/>
      </c>
      <c r="N201" s="19" t="str">
        <f>Sheet1!N201</f>
        <v/>
      </c>
      <c r="O201" s="19" t="str">
        <f>Sheet1!O201</f>
        <v/>
      </c>
      <c r="P201" s="19" t="str">
        <f>Sheet1!P201</f>
        <v/>
      </c>
      <c r="Q201" s="19" t="str">
        <f>Sheet1!Q201</f>
        <v/>
      </c>
      <c r="R201" s="19" t="str">
        <f>Sheet1!R201</f>
        <v/>
      </c>
      <c r="S201" s="19" t="str">
        <f>Sheet1!S201</f>
        <v/>
      </c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2"/>
      <c r="CC201" s="22"/>
      <c r="CD201" s="21"/>
      <c r="CE201" s="21"/>
      <c r="CF201" s="22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</row>
    <row r="202">
      <c r="A202" s="19" t="str">
        <f>Sheet1!A202</f>
        <v/>
      </c>
      <c r="B202" s="19" t="str">
        <f>Sheet1!B202</f>
        <v/>
      </c>
      <c r="C202" s="19" t="str">
        <f>Sheet1!C202</f>
        <v/>
      </c>
      <c r="D202" s="19" t="str">
        <f>Sheet1!D202</f>
        <v/>
      </c>
      <c r="E202" s="19" t="str">
        <f>Sheet1!E202</f>
        <v/>
      </c>
      <c r="F202" s="19" t="str">
        <f>Sheet1!F202</f>
        <v/>
      </c>
      <c r="G202" s="19" t="str">
        <f>Sheet1!G202</f>
        <v/>
      </c>
      <c r="H202" s="19" t="str">
        <f>Sheet1!H202</f>
        <v/>
      </c>
      <c r="I202" s="19" t="str">
        <f>Sheet1!I202</f>
        <v/>
      </c>
      <c r="J202" s="19" t="str">
        <f>Sheet1!J202</f>
        <v/>
      </c>
      <c r="K202" s="19" t="str">
        <f>Sheet1!K202</f>
        <v/>
      </c>
      <c r="L202" s="19" t="str">
        <f>Sheet1!L202</f>
        <v/>
      </c>
      <c r="M202" s="19" t="str">
        <f>Sheet1!M202</f>
        <v/>
      </c>
      <c r="N202" s="19" t="str">
        <f>Sheet1!N202</f>
        <v/>
      </c>
      <c r="O202" s="19" t="str">
        <f>Sheet1!O202</f>
        <v/>
      </c>
      <c r="P202" s="19" t="str">
        <f>Sheet1!P202</f>
        <v/>
      </c>
      <c r="Q202" s="19" t="str">
        <f>Sheet1!Q202</f>
        <v/>
      </c>
      <c r="R202" s="19" t="str">
        <f>Sheet1!R202</f>
        <v/>
      </c>
      <c r="S202" s="19" t="str">
        <f>Sheet1!S202</f>
        <v/>
      </c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2"/>
      <c r="CC202" s="22"/>
      <c r="CD202" s="21"/>
      <c r="CE202" s="21"/>
      <c r="CF202" s="22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</row>
    <row r="203">
      <c r="A203" s="19" t="str">
        <f>Sheet1!A203</f>
        <v/>
      </c>
      <c r="B203" s="19" t="str">
        <f>Sheet1!B203</f>
        <v/>
      </c>
      <c r="C203" s="19" t="str">
        <f>Sheet1!C203</f>
        <v/>
      </c>
      <c r="D203" s="19" t="str">
        <f>Sheet1!D203</f>
        <v/>
      </c>
      <c r="E203" s="19" t="str">
        <f>Sheet1!E203</f>
        <v/>
      </c>
      <c r="F203" s="19" t="str">
        <f>Sheet1!F203</f>
        <v/>
      </c>
      <c r="G203" s="19" t="str">
        <f>Sheet1!G203</f>
        <v/>
      </c>
      <c r="H203" s="19" t="str">
        <f>Sheet1!H203</f>
        <v/>
      </c>
      <c r="I203" s="19" t="str">
        <f>Sheet1!I203</f>
        <v/>
      </c>
      <c r="J203" s="19" t="str">
        <f>Sheet1!J203</f>
        <v/>
      </c>
      <c r="K203" s="19" t="str">
        <f>Sheet1!K203</f>
        <v/>
      </c>
      <c r="L203" s="19" t="str">
        <f>Sheet1!L203</f>
        <v/>
      </c>
      <c r="M203" s="19" t="str">
        <f>Sheet1!M203</f>
        <v/>
      </c>
      <c r="N203" s="19" t="str">
        <f>Sheet1!N203</f>
        <v/>
      </c>
      <c r="O203" s="19" t="str">
        <f>Sheet1!O203</f>
        <v/>
      </c>
      <c r="P203" s="19" t="str">
        <f>Sheet1!P203</f>
        <v/>
      </c>
      <c r="Q203" s="19" t="str">
        <f>Sheet1!Q203</f>
        <v/>
      </c>
      <c r="R203" s="19" t="str">
        <f>Sheet1!R203</f>
        <v/>
      </c>
      <c r="S203" s="19" t="str">
        <f>Sheet1!S203</f>
        <v/>
      </c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2"/>
      <c r="CC203" s="22"/>
      <c r="CD203" s="21"/>
      <c r="CE203" s="21"/>
      <c r="CF203" s="22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</row>
    <row r="204">
      <c r="A204" s="19" t="str">
        <f>Sheet1!A204</f>
        <v/>
      </c>
      <c r="B204" s="19" t="str">
        <f>Sheet1!B204</f>
        <v/>
      </c>
      <c r="C204" s="19" t="str">
        <f>Sheet1!C204</f>
        <v/>
      </c>
      <c r="D204" s="19" t="str">
        <f>Sheet1!D204</f>
        <v/>
      </c>
      <c r="E204" s="19" t="str">
        <f>Sheet1!E204</f>
        <v/>
      </c>
      <c r="F204" s="19" t="str">
        <f>Sheet1!F204</f>
        <v/>
      </c>
      <c r="G204" s="19" t="str">
        <f>Sheet1!G204</f>
        <v/>
      </c>
      <c r="H204" s="19" t="str">
        <f>Sheet1!H204</f>
        <v/>
      </c>
      <c r="I204" s="19" t="str">
        <f>Sheet1!I204</f>
        <v/>
      </c>
      <c r="J204" s="19" t="str">
        <f>Sheet1!J204</f>
        <v/>
      </c>
      <c r="K204" s="19" t="str">
        <f>Sheet1!K204</f>
        <v/>
      </c>
      <c r="L204" s="19" t="str">
        <f>Sheet1!L204</f>
        <v/>
      </c>
      <c r="M204" s="19" t="str">
        <f>Sheet1!M204</f>
        <v/>
      </c>
      <c r="N204" s="19" t="str">
        <f>Sheet1!N204</f>
        <v/>
      </c>
      <c r="O204" s="19" t="str">
        <f>Sheet1!O204</f>
        <v/>
      </c>
      <c r="P204" s="19" t="str">
        <f>Sheet1!P204</f>
        <v/>
      </c>
      <c r="Q204" s="19" t="str">
        <f>Sheet1!Q204</f>
        <v/>
      </c>
      <c r="R204" s="19" t="str">
        <f>Sheet1!R204</f>
        <v/>
      </c>
      <c r="S204" s="19" t="str">
        <f>Sheet1!S204</f>
        <v/>
      </c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2"/>
      <c r="CC204" s="22"/>
      <c r="CD204" s="21"/>
      <c r="CE204" s="21"/>
      <c r="CF204" s="22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</row>
    <row r="205">
      <c r="A205" s="19" t="str">
        <f>Sheet1!A205</f>
        <v/>
      </c>
      <c r="B205" s="19" t="str">
        <f>Sheet1!B205</f>
        <v/>
      </c>
      <c r="C205" s="19" t="str">
        <f>Sheet1!C205</f>
        <v/>
      </c>
      <c r="D205" s="19" t="str">
        <f>Sheet1!D205</f>
        <v/>
      </c>
      <c r="E205" s="19" t="str">
        <f>Sheet1!E205</f>
        <v/>
      </c>
      <c r="F205" s="19" t="str">
        <f>Sheet1!F205</f>
        <v/>
      </c>
      <c r="G205" s="19" t="str">
        <f>Sheet1!G205</f>
        <v/>
      </c>
      <c r="H205" s="19" t="str">
        <f>Sheet1!H205</f>
        <v/>
      </c>
      <c r="I205" s="19" t="str">
        <f>Sheet1!I205</f>
        <v/>
      </c>
      <c r="J205" s="19" t="str">
        <f>Sheet1!J205</f>
        <v/>
      </c>
      <c r="K205" s="19" t="str">
        <f>Sheet1!K205</f>
        <v/>
      </c>
      <c r="L205" s="19" t="str">
        <f>Sheet1!L205</f>
        <v/>
      </c>
      <c r="M205" s="19" t="str">
        <f>Sheet1!M205</f>
        <v/>
      </c>
      <c r="N205" s="19" t="str">
        <f>Sheet1!N205</f>
        <v/>
      </c>
      <c r="O205" s="19" t="str">
        <f>Sheet1!O205</f>
        <v/>
      </c>
      <c r="P205" s="19" t="str">
        <f>Sheet1!P205</f>
        <v/>
      </c>
      <c r="Q205" s="19" t="str">
        <f>Sheet1!Q205</f>
        <v/>
      </c>
      <c r="R205" s="19" t="str">
        <f>Sheet1!R205</f>
        <v/>
      </c>
      <c r="S205" s="19" t="str">
        <f>Sheet1!S205</f>
        <v/>
      </c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2"/>
      <c r="CC205" s="22"/>
      <c r="CD205" s="21"/>
      <c r="CE205" s="21"/>
      <c r="CF205" s="22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</row>
    <row r="206">
      <c r="A206" s="19" t="str">
        <f>Sheet1!A206</f>
        <v/>
      </c>
      <c r="B206" s="19" t="str">
        <f>Sheet1!B206</f>
        <v/>
      </c>
      <c r="C206" s="19" t="str">
        <f>Sheet1!C206</f>
        <v/>
      </c>
      <c r="D206" s="19" t="str">
        <f>Sheet1!D206</f>
        <v/>
      </c>
      <c r="E206" s="19" t="str">
        <f>Sheet1!E206</f>
        <v/>
      </c>
      <c r="F206" s="19" t="str">
        <f>Sheet1!F206</f>
        <v/>
      </c>
      <c r="G206" s="19" t="str">
        <f>Sheet1!G206</f>
        <v/>
      </c>
      <c r="H206" s="19" t="str">
        <f>Sheet1!H206</f>
        <v/>
      </c>
      <c r="I206" s="19" t="str">
        <f>Sheet1!I206</f>
        <v/>
      </c>
      <c r="J206" s="19" t="str">
        <f>Sheet1!J206</f>
        <v/>
      </c>
      <c r="K206" s="19" t="str">
        <f>Sheet1!K206</f>
        <v/>
      </c>
      <c r="L206" s="19" t="str">
        <f>Sheet1!L206</f>
        <v/>
      </c>
      <c r="M206" s="19" t="str">
        <f>Sheet1!M206</f>
        <v/>
      </c>
      <c r="N206" s="19" t="str">
        <f>Sheet1!N206</f>
        <v/>
      </c>
      <c r="O206" s="19" t="str">
        <f>Sheet1!O206</f>
        <v/>
      </c>
      <c r="P206" s="19" t="str">
        <f>Sheet1!P206</f>
        <v/>
      </c>
      <c r="Q206" s="19" t="str">
        <f>Sheet1!Q206</f>
        <v/>
      </c>
      <c r="R206" s="19" t="str">
        <f>Sheet1!R206</f>
        <v/>
      </c>
      <c r="S206" s="19" t="str">
        <f>Sheet1!S206</f>
        <v/>
      </c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2"/>
      <c r="CC206" s="22"/>
      <c r="CD206" s="21"/>
      <c r="CE206" s="21"/>
      <c r="CF206" s="22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</row>
    <row r="207">
      <c r="A207" s="19" t="str">
        <f>Sheet1!A207</f>
        <v/>
      </c>
      <c r="B207" s="19" t="str">
        <f>Sheet1!B207</f>
        <v/>
      </c>
      <c r="C207" s="19" t="str">
        <f>Sheet1!C207</f>
        <v/>
      </c>
      <c r="D207" s="19" t="str">
        <f>Sheet1!D207</f>
        <v/>
      </c>
      <c r="E207" s="19" t="str">
        <f>Sheet1!E207</f>
        <v/>
      </c>
      <c r="F207" s="19" t="str">
        <f>Sheet1!F207</f>
        <v/>
      </c>
      <c r="G207" s="19" t="str">
        <f>Sheet1!G207</f>
        <v/>
      </c>
      <c r="H207" s="19" t="str">
        <f>Sheet1!H207</f>
        <v/>
      </c>
      <c r="I207" s="19" t="str">
        <f>Sheet1!I207</f>
        <v/>
      </c>
      <c r="J207" s="19" t="str">
        <f>Sheet1!J207</f>
        <v/>
      </c>
      <c r="K207" s="19" t="str">
        <f>Sheet1!K207</f>
        <v/>
      </c>
      <c r="L207" s="19" t="str">
        <f>Sheet1!L207</f>
        <v/>
      </c>
      <c r="M207" s="19" t="str">
        <f>Sheet1!M207</f>
        <v/>
      </c>
      <c r="N207" s="19" t="str">
        <f>Sheet1!N207</f>
        <v/>
      </c>
      <c r="O207" s="19" t="str">
        <f>Sheet1!O207</f>
        <v/>
      </c>
      <c r="P207" s="19" t="str">
        <f>Sheet1!P207</f>
        <v/>
      </c>
      <c r="Q207" s="19" t="str">
        <f>Sheet1!Q207</f>
        <v/>
      </c>
      <c r="R207" s="19" t="str">
        <f>Sheet1!R207</f>
        <v/>
      </c>
      <c r="S207" s="19" t="str">
        <f>Sheet1!S207</f>
        <v/>
      </c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2"/>
      <c r="CC207" s="22"/>
      <c r="CD207" s="21"/>
      <c r="CE207" s="21"/>
      <c r="CF207" s="22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</row>
    <row r="208">
      <c r="A208" s="19" t="str">
        <f>Sheet1!A208</f>
        <v/>
      </c>
      <c r="B208" s="19" t="str">
        <f>Sheet1!B208</f>
        <v/>
      </c>
      <c r="C208" s="19" t="str">
        <f>Sheet1!C208</f>
        <v/>
      </c>
      <c r="D208" s="19" t="str">
        <f>Sheet1!D208</f>
        <v/>
      </c>
      <c r="E208" s="19" t="str">
        <f>Sheet1!E208</f>
        <v/>
      </c>
      <c r="F208" s="19" t="str">
        <f>Sheet1!F208</f>
        <v/>
      </c>
      <c r="G208" s="19" t="str">
        <f>Sheet1!G208</f>
        <v/>
      </c>
      <c r="H208" s="19" t="str">
        <f>Sheet1!H208</f>
        <v/>
      </c>
      <c r="I208" s="19" t="str">
        <f>Sheet1!I208</f>
        <v/>
      </c>
      <c r="J208" s="19" t="str">
        <f>Sheet1!J208</f>
        <v/>
      </c>
      <c r="K208" s="19" t="str">
        <f>Sheet1!K208</f>
        <v/>
      </c>
      <c r="L208" s="19" t="str">
        <f>Sheet1!L208</f>
        <v/>
      </c>
      <c r="M208" s="19" t="str">
        <f>Sheet1!M208</f>
        <v/>
      </c>
      <c r="N208" s="19" t="str">
        <f>Sheet1!N208</f>
        <v/>
      </c>
      <c r="O208" s="19" t="str">
        <f>Sheet1!O208</f>
        <v/>
      </c>
      <c r="P208" s="19" t="str">
        <f>Sheet1!P208</f>
        <v/>
      </c>
      <c r="Q208" s="19" t="str">
        <f>Sheet1!Q208</f>
        <v/>
      </c>
      <c r="R208" s="19" t="str">
        <f>Sheet1!R208</f>
        <v/>
      </c>
      <c r="S208" s="19" t="str">
        <f>Sheet1!S208</f>
        <v/>
      </c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2"/>
      <c r="CC208" s="22"/>
      <c r="CD208" s="21"/>
      <c r="CE208" s="21"/>
      <c r="CF208" s="22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</row>
    <row r="209">
      <c r="A209" s="19" t="str">
        <f>Sheet1!A209</f>
        <v/>
      </c>
      <c r="B209" s="19" t="str">
        <f>Sheet1!B209</f>
        <v/>
      </c>
      <c r="C209" s="19" t="str">
        <f>Sheet1!C209</f>
        <v/>
      </c>
      <c r="D209" s="19" t="str">
        <f>Sheet1!D209</f>
        <v/>
      </c>
      <c r="E209" s="19" t="str">
        <f>Sheet1!E209</f>
        <v/>
      </c>
      <c r="F209" s="19" t="str">
        <f>Sheet1!F209</f>
        <v/>
      </c>
      <c r="G209" s="19" t="str">
        <f>Sheet1!G209</f>
        <v/>
      </c>
      <c r="H209" s="19" t="str">
        <f>Sheet1!H209</f>
        <v/>
      </c>
      <c r="I209" s="19" t="str">
        <f>Sheet1!I209</f>
        <v/>
      </c>
      <c r="J209" s="19" t="str">
        <f>Sheet1!J209</f>
        <v/>
      </c>
      <c r="K209" s="19" t="str">
        <f>Sheet1!K209</f>
        <v/>
      </c>
      <c r="L209" s="19" t="str">
        <f>Sheet1!L209</f>
        <v/>
      </c>
      <c r="M209" s="19" t="str">
        <f>Sheet1!M209</f>
        <v/>
      </c>
      <c r="N209" s="19" t="str">
        <f>Sheet1!N209</f>
        <v/>
      </c>
      <c r="O209" s="19" t="str">
        <f>Sheet1!O209</f>
        <v/>
      </c>
      <c r="P209" s="19" t="str">
        <f>Sheet1!P209</f>
        <v/>
      </c>
      <c r="Q209" s="19" t="str">
        <f>Sheet1!Q209</f>
        <v/>
      </c>
      <c r="R209" s="19" t="str">
        <f>Sheet1!R209</f>
        <v/>
      </c>
      <c r="S209" s="19" t="str">
        <f>Sheet1!S209</f>
        <v/>
      </c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2"/>
      <c r="CC209" s="22"/>
      <c r="CD209" s="21"/>
      <c r="CE209" s="21"/>
      <c r="CF209" s="22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</row>
    <row r="210">
      <c r="A210" s="19" t="str">
        <f>Sheet1!A210</f>
        <v/>
      </c>
      <c r="B210" s="19" t="str">
        <f>Sheet1!B210</f>
        <v/>
      </c>
      <c r="C210" s="19" t="str">
        <f>Sheet1!C210</f>
        <v/>
      </c>
      <c r="D210" s="19" t="str">
        <f>Sheet1!D210</f>
        <v/>
      </c>
      <c r="E210" s="19" t="str">
        <f>Sheet1!E210</f>
        <v/>
      </c>
      <c r="F210" s="19" t="str">
        <f>Sheet1!F210</f>
        <v/>
      </c>
      <c r="G210" s="19" t="str">
        <f>Sheet1!G210</f>
        <v/>
      </c>
      <c r="H210" s="19" t="str">
        <f>Sheet1!H210</f>
        <v/>
      </c>
      <c r="I210" s="19" t="str">
        <f>Sheet1!I210</f>
        <v/>
      </c>
      <c r="J210" s="19" t="str">
        <f>Sheet1!J210</f>
        <v/>
      </c>
      <c r="K210" s="19" t="str">
        <f>Sheet1!K210</f>
        <v/>
      </c>
      <c r="L210" s="19" t="str">
        <f>Sheet1!L210</f>
        <v/>
      </c>
      <c r="M210" s="19" t="str">
        <f>Sheet1!M210</f>
        <v/>
      </c>
      <c r="N210" s="19" t="str">
        <f>Sheet1!N210</f>
        <v/>
      </c>
      <c r="O210" s="19" t="str">
        <f>Sheet1!O210</f>
        <v/>
      </c>
      <c r="P210" s="19" t="str">
        <f>Sheet1!P210</f>
        <v/>
      </c>
      <c r="Q210" s="19" t="str">
        <f>Sheet1!Q210</f>
        <v/>
      </c>
      <c r="R210" s="19" t="str">
        <f>Sheet1!R210</f>
        <v/>
      </c>
      <c r="S210" s="19" t="str">
        <f>Sheet1!S210</f>
        <v/>
      </c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2"/>
      <c r="CC210" s="22"/>
      <c r="CD210" s="21"/>
      <c r="CE210" s="21"/>
      <c r="CF210" s="22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</row>
    <row r="211">
      <c r="A211" s="19" t="str">
        <f>Sheet1!A211</f>
        <v/>
      </c>
      <c r="B211" s="19" t="str">
        <f>Sheet1!B211</f>
        <v/>
      </c>
      <c r="C211" s="19" t="str">
        <f>Sheet1!C211</f>
        <v/>
      </c>
      <c r="D211" s="19" t="str">
        <f>Sheet1!D211</f>
        <v/>
      </c>
      <c r="E211" s="19" t="str">
        <f>Sheet1!E211</f>
        <v/>
      </c>
      <c r="F211" s="19" t="str">
        <f>Sheet1!F211</f>
        <v/>
      </c>
      <c r="G211" s="19" t="str">
        <f>Sheet1!G211</f>
        <v/>
      </c>
      <c r="H211" s="19" t="str">
        <f>Sheet1!H211</f>
        <v/>
      </c>
      <c r="I211" s="19" t="str">
        <f>Sheet1!I211</f>
        <v/>
      </c>
      <c r="J211" s="19" t="str">
        <f>Sheet1!J211</f>
        <v/>
      </c>
      <c r="K211" s="19" t="str">
        <f>Sheet1!K211</f>
        <v/>
      </c>
      <c r="L211" s="19" t="str">
        <f>Sheet1!L211</f>
        <v/>
      </c>
      <c r="M211" s="19" t="str">
        <f>Sheet1!M211</f>
        <v/>
      </c>
      <c r="N211" s="19" t="str">
        <f>Sheet1!N211</f>
        <v/>
      </c>
      <c r="O211" s="19" t="str">
        <f>Sheet1!O211</f>
        <v/>
      </c>
      <c r="P211" s="19" t="str">
        <f>Sheet1!P211</f>
        <v/>
      </c>
      <c r="Q211" s="19" t="str">
        <f>Sheet1!Q211</f>
        <v/>
      </c>
      <c r="R211" s="19" t="str">
        <f>Sheet1!R211</f>
        <v/>
      </c>
      <c r="S211" s="19" t="str">
        <f>Sheet1!S211</f>
        <v/>
      </c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2"/>
      <c r="CC211" s="22"/>
      <c r="CD211" s="21"/>
      <c r="CE211" s="21"/>
      <c r="CF211" s="22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</row>
    <row r="212">
      <c r="A212" s="19" t="str">
        <f>Sheet1!A212</f>
        <v/>
      </c>
      <c r="B212" s="19" t="str">
        <f>Sheet1!B212</f>
        <v/>
      </c>
      <c r="C212" s="19" t="str">
        <f>Sheet1!C212</f>
        <v/>
      </c>
      <c r="D212" s="19" t="str">
        <f>Sheet1!D212</f>
        <v/>
      </c>
      <c r="E212" s="19" t="str">
        <f>Sheet1!E212</f>
        <v/>
      </c>
      <c r="F212" s="19" t="str">
        <f>Sheet1!F212</f>
        <v/>
      </c>
      <c r="G212" s="19" t="str">
        <f>Sheet1!G212</f>
        <v/>
      </c>
      <c r="H212" s="19" t="str">
        <f>Sheet1!H212</f>
        <v/>
      </c>
      <c r="I212" s="19" t="str">
        <f>Sheet1!I212</f>
        <v/>
      </c>
      <c r="J212" s="19" t="str">
        <f>Sheet1!J212</f>
        <v/>
      </c>
      <c r="K212" s="19" t="str">
        <f>Sheet1!K212</f>
        <v/>
      </c>
      <c r="L212" s="19" t="str">
        <f>Sheet1!L212</f>
        <v/>
      </c>
      <c r="M212" s="19" t="str">
        <f>Sheet1!M212</f>
        <v/>
      </c>
      <c r="N212" s="19" t="str">
        <f>Sheet1!N212</f>
        <v/>
      </c>
      <c r="O212" s="19" t="str">
        <f>Sheet1!O212</f>
        <v/>
      </c>
      <c r="P212" s="19" t="str">
        <f>Sheet1!P212</f>
        <v/>
      </c>
      <c r="Q212" s="19" t="str">
        <f>Sheet1!Q212</f>
        <v/>
      </c>
      <c r="R212" s="19" t="str">
        <f>Sheet1!R212</f>
        <v/>
      </c>
      <c r="S212" s="19" t="str">
        <f>Sheet1!S212</f>
        <v/>
      </c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2"/>
      <c r="CC212" s="22"/>
      <c r="CD212" s="21"/>
      <c r="CE212" s="21"/>
      <c r="CF212" s="22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</row>
    <row r="213">
      <c r="A213" s="19" t="str">
        <f>Sheet1!A213</f>
        <v/>
      </c>
      <c r="B213" s="19" t="str">
        <f>Sheet1!B213</f>
        <v/>
      </c>
      <c r="C213" s="19" t="str">
        <f>Sheet1!C213</f>
        <v/>
      </c>
      <c r="D213" s="19" t="str">
        <f>Sheet1!D213</f>
        <v/>
      </c>
      <c r="E213" s="19" t="str">
        <f>Sheet1!E213</f>
        <v/>
      </c>
      <c r="F213" s="19" t="str">
        <f>Sheet1!F213</f>
        <v/>
      </c>
      <c r="G213" s="19" t="str">
        <f>Sheet1!G213</f>
        <v/>
      </c>
      <c r="H213" s="19" t="str">
        <f>Sheet1!H213</f>
        <v/>
      </c>
      <c r="I213" s="19" t="str">
        <f>Sheet1!I213</f>
        <v/>
      </c>
      <c r="J213" s="19" t="str">
        <f>Sheet1!J213</f>
        <v/>
      </c>
      <c r="K213" s="19" t="str">
        <f>Sheet1!K213</f>
        <v/>
      </c>
      <c r="L213" s="19" t="str">
        <f>Sheet1!L213</f>
        <v/>
      </c>
      <c r="M213" s="19" t="str">
        <f>Sheet1!M213</f>
        <v/>
      </c>
      <c r="N213" s="19" t="str">
        <f>Sheet1!N213</f>
        <v/>
      </c>
      <c r="O213" s="19" t="str">
        <f>Sheet1!O213</f>
        <v/>
      </c>
      <c r="P213" s="19" t="str">
        <f>Sheet1!P213</f>
        <v/>
      </c>
      <c r="Q213" s="19" t="str">
        <f>Sheet1!Q213</f>
        <v/>
      </c>
      <c r="R213" s="19" t="str">
        <f>Sheet1!R213</f>
        <v/>
      </c>
      <c r="S213" s="19" t="str">
        <f>Sheet1!S213</f>
        <v/>
      </c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2"/>
      <c r="CC213" s="22"/>
      <c r="CD213" s="21"/>
      <c r="CE213" s="21"/>
      <c r="CF213" s="22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</row>
    <row r="214">
      <c r="A214" s="19" t="str">
        <f>Sheet1!A214</f>
        <v/>
      </c>
      <c r="B214" s="19" t="str">
        <f>Sheet1!B214</f>
        <v/>
      </c>
      <c r="C214" s="19" t="str">
        <f>Sheet1!C214</f>
        <v/>
      </c>
      <c r="D214" s="19" t="str">
        <f>Sheet1!D214</f>
        <v/>
      </c>
      <c r="E214" s="19" t="str">
        <f>Sheet1!E214</f>
        <v/>
      </c>
      <c r="F214" s="19" t="str">
        <f>Sheet1!F214</f>
        <v/>
      </c>
      <c r="G214" s="19" t="str">
        <f>Sheet1!G214</f>
        <v/>
      </c>
      <c r="H214" s="19" t="str">
        <f>Sheet1!H214</f>
        <v/>
      </c>
      <c r="I214" s="19" t="str">
        <f>Sheet1!I214</f>
        <v/>
      </c>
      <c r="J214" s="19" t="str">
        <f>Sheet1!J214</f>
        <v/>
      </c>
      <c r="K214" s="19" t="str">
        <f>Sheet1!K214</f>
        <v/>
      </c>
      <c r="L214" s="19" t="str">
        <f>Sheet1!L214</f>
        <v/>
      </c>
      <c r="M214" s="19" t="str">
        <f>Sheet1!M214</f>
        <v/>
      </c>
      <c r="N214" s="19" t="str">
        <f>Sheet1!N214</f>
        <v/>
      </c>
      <c r="O214" s="19" t="str">
        <f>Sheet1!O214</f>
        <v/>
      </c>
      <c r="P214" s="19" t="str">
        <f>Sheet1!P214</f>
        <v/>
      </c>
      <c r="Q214" s="19" t="str">
        <f>Sheet1!Q214</f>
        <v/>
      </c>
      <c r="R214" s="19" t="str">
        <f>Sheet1!R214</f>
        <v/>
      </c>
      <c r="S214" s="19" t="str">
        <f>Sheet1!S214</f>
        <v/>
      </c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2"/>
      <c r="CC214" s="22"/>
      <c r="CD214" s="21"/>
      <c r="CE214" s="21"/>
      <c r="CF214" s="22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</row>
    <row r="215">
      <c r="A215" s="19" t="str">
        <f>Sheet1!A215</f>
        <v/>
      </c>
      <c r="B215" s="19" t="str">
        <f>Sheet1!B215</f>
        <v/>
      </c>
      <c r="C215" s="19" t="str">
        <f>Sheet1!C215</f>
        <v/>
      </c>
      <c r="D215" s="19" t="str">
        <f>Sheet1!D215</f>
        <v/>
      </c>
      <c r="E215" s="19" t="str">
        <f>Sheet1!E215</f>
        <v/>
      </c>
      <c r="F215" s="19" t="str">
        <f>Sheet1!F215</f>
        <v/>
      </c>
      <c r="G215" s="19" t="str">
        <f>Sheet1!G215</f>
        <v/>
      </c>
      <c r="H215" s="19" t="str">
        <f>Sheet1!H215</f>
        <v/>
      </c>
      <c r="I215" s="19" t="str">
        <f>Sheet1!I215</f>
        <v/>
      </c>
      <c r="J215" s="19" t="str">
        <f>Sheet1!J215</f>
        <v/>
      </c>
      <c r="K215" s="19" t="str">
        <f>Sheet1!K215</f>
        <v/>
      </c>
      <c r="L215" s="19" t="str">
        <f>Sheet1!L215</f>
        <v/>
      </c>
      <c r="M215" s="19" t="str">
        <f>Sheet1!M215</f>
        <v/>
      </c>
      <c r="N215" s="19" t="str">
        <f>Sheet1!N215</f>
        <v/>
      </c>
      <c r="O215" s="19" t="str">
        <f>Sheet1!O215</f>
        <v/>
      </c>
      <c r="P215" s="19" t="str">
        <f>Sheet1!P215</f>
        <v/>
      </c>
      <c r="Q215" s="19" t="str">
        <f>Sheet1!Q215</f>
        <v/>
      </c>
      <c r="R215" s="19" t="str">
        <f>Sheet1!R215</f>
        <v/>
      </c>
      <c r="S215" s="19" t="str">
        <f>Sheet1!S215</f>
        <v/>
      </c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2"/>
      <c r="CC215" s="22"/>
      <c r="CD215" s="21"/>
      <c r="CE215" s="21"/>
      <c r="CF215" s="22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</row>
    <row r="216">
      <c r="A216" s="19" t="str">
        <f>Sheet1!A216</f>
        <v/>
      </c>
      <c r="B216" s="19" t="str">
        <f>Sheet1!B216</f>
        <v/>
      </c>
      <c r="C216" s="19" t="str">
        <f>Sheet1!C216</f>
        <v/>
      </c>
      <c r="D216" s="19" t="str">
        <f>Sheet1!D216</f>
        <v/>
      </c>
      <c r="E216" s="19" t="str">
        <f>Sheet1!E216</f>
        <v/>
      </c>
      <c r="F216" s="19" t="str">
        <f>Sheet1!F216</f>
        <v/>
      </c>
      <c r="G216" s="19" t="str">
        <f>Sheet1!G216</f>
        <v/>
      </c>
      <c r="H216" s="19" t="str">
        <f>Sheet1!H216</f>
        <v/>
      </c>
      <c r="I216" s="19" t="str">
        <f>Sheet1!I216</f>
        <v/>
      </c>
      <c r="J216" s="19" t="str">
        <f>Sheet1!J216</f>
        <v/>
      </c>
      <c r="K216" s="19" t="str">
        <f>Sheet1!K216</f>
        <v/>
      </c>
      <c r="L216" s="19" t="str">
        <f>Sheet1!L216</f>
        <v/>
      </c>
      <c r="M216" s="19" t="str">
        <f>Sheet1!M216</f>
        <v/>
      </c>
      <c r="N216" s="19" t="str">
        <f>Sheet1!N216</f>
        <v/>
      </c>
      <c r="O216" s="19" t="str">
        <f>Sheet1!O216</f>
        <v/>
      </c>
      <c r="P216" s="19" t="str">
        <f>Sheet1!P216</f>
        <v/>
      </c>
      <c r="Q216" s="19" t="str">
        <f>Sheet1!Q216</f>
        <v/>
      </c>
      <c r="R216" s="19" t="str">
        <f>Sheet1!R216</f>
        <v/>
      </c>
      <c r="S216" s="19" t="str">
        <f>Sheet1!S216</f>
        <v/>
      </c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2"/>
      <c r="CC216" s="22"/>
      <c r="CD216" s="21"/>
      <c r="CE216" s="21"/>
      <c r="CF216" s="22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</row>
    <row r="217">
      <c r="A217" s="19" t="str">
        <f>Sheet1!A217</f>
        <v/>
      </c>
      <c r="B217" s="19" t="str">
        <f>Sheet1!B217</f>
        <v/>
      </c>
      <c r="C217" s="19" t="str">
        <f>Sheet1!C217</f>
        <v/>
      </c>
      <c r="D217" s="19" t="str">
        <f>Sheet1!D217</f>
        <v/>
      </c>
      <c r="E217" s="19" t="str">
        <f>Sheet1!E217</f>
        <v/>
      </c>
      <c r="F217" s="19" t="str">
        <f>Sheet1!F217</f>
        <v/>
      </c>
      <c r="G217" s="19" t="str">
        <f>Sheet1!G217</f>
        <v/>
      </c>
      <c r="H217" s="19" t="str">
        <f>Sheet1!H217</f>
        <v/>
      </c>
      <c r="I217" s="19" t="str">
        <f>Sheet1!I217</f>
        <v/>
      </c>
      <c r="J217" s="19" t="str">
        <f>Sheet1!J217</f>
        <v/>
      </c>
      <c r="K217" s="19" t="str">
        <f>Sheet1!K217</f>
        <v/>
      </c>
      <c r="L217" s="19" t="str">
        <f>Sheet1!L217</f>
        <v/>
      </c>
      <c r="M217" s="19" t="str">
        <f>Sheet1!M217</f>
        <v/>
      </c>
      <c r="N217" s="19" t="str">
        <f>Sheet1!N217</f>
        <v/>
      </c>
      <c r="O217" s="19" t="str">
        <f>Sheet1!O217</f>
        <v/>
      </c>
      <c r="P217" s="19" t="str">
        <f>Sheet1!P217</f>
        <v/>
      </c>
      <c r="Q217" s="19" t="str">
        <f>Sheet1!Q217</f>
        <v/>
      </c>
      <c r="R217" s="19" t="str">
        <f>Sheet1!R217</f>
        <v/>
      </c>
      <c r="S217" s="19" t="str">
        <f>Sheet1!S217</f>
        <v/>
      </c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2"/>
      <c r="CC217" s="22"/>
      <c r="CD217" s="21"/>
      <c r="CE217" s="21"/>
      <c r="CF217" s="22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</row>
    <row r="218">
      <c r="A218" s="19" t="str">
        <f>Sheet1!A218</f>
        <v/>
      </c>
      <c r="B218" s="19" t="str">
        <f>Sheet1!B218</f>
        <v/>
      </c>
      <c r="C218" s="19" t="str">
        <f>Sheet1!C218</f>
        <v/>
      </c>
      <c r="D218" s="19" t="str">
        <f>Sheet1!D218</f>
        <v/>
      </c>
      <c r="E218" s="19" t="str">
        <f>Sheet1!E218</f>
        <v/>
      </c>
      <c r="F218" s="19" t="str">
        <f>Sheet1!F218</f>
        <v/>
      </c>
      <c r="G218" s="19" t="str">
        <f>Sheet1!G218</f>
        <v/>
      </c>
      <c r="H218" s="19" t="str">
        <f>Sheet1!H218</f>
        <v/>
      </c>
      <c r="I218" s="19" t="str">
        <f>Sheet1!I218</f>
        <v/>
      </c>
      <c r="J218" s="19" t="str">
        <f>Sheet1!J218</f>
        <v/>
      </c>
      <c r="K218" s="19" t="str">
        <f>Sheet1!K218</f>
        <v/>
      </c>
      <c r="L218" s="19" t="str">
        <f>Sheet1!L218</f>
        <v/>
      </c>
      <c r="M218" s="19" t="str">
        <f>Sheet1!M218</f>
        <v/>
      </c>
      <c r="N218" s="19" t="str">
        <f>Sheet1!N218</f>
        <v/>
      </c>
      <c r="O218" s="19" t="str">
        <f>Sheet1!O218</f>
        <v/>
      </c>
      <c r="P218" s="19" t="str">
        <f>Sheet1!P218</f>
        <v/>
      </c>
      <c r="Q218" s="19" t="str">
        <f>Sheet1!Q218</f>
        <v/>
      </c>
      <c r="R218" s="19" t="str">
        <f>Sheet1!R218</f>
        <v/>
      </c>
      <c r="S218" s="19" t="str">
        <f>Sheet1!S218</f>
        <v/>
      </c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2"/>
      <c r="CC218" s="22"/>
      <c r="CD218" s="21"/>
      <c r="CE218" s="21"/>
      <c r="CF218" s="22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</row>
    <row r="219">
      <c r="A219" s="19" t="str">
        <f>Sheet1!A219</f>
        <v/>
      </c>
      <c r="B219" s="19" t="str">
        <f>Sheet1!B219</f>
        <v/>
      </c>
      <c r="C219" s="19" t="str">
        <f>Sheet1!C219</f>
        <v/>
      </c>
      <c r="D219" s="19" t="str">
        <f>Sheet1!D219</f>
        <v/>
      </c>
      <c r="E219" s="19" t="str">
        <f>Sheet1!E219</f>
        <v/>
      </c>
      <c r="F219" s="19" t="str">
        <f>Sheet1!F219</f>
        <v/>
      </c>
      <c r="G219" s="19" t="str">
        <f>Sheet1!G219</f>
        <v/>
      </c>
      <c r="H219" s="19" t="str">
        <f>Sheet1!H219</f>
        <v/>
      </c>
      <c r="I219" s="19" t="str">
        <f>Sheet1!I219</f>
        <v/>
      </c>
      <c r="J219" s="19" t="str">
        <f>Sheet1!J219</f>
        <v/>
      </c>
      <c r="K219" s="19" t="str">
        <f>Sheet1!K219</f>
        <v/>
      </c>
      <c r="L219" s="19" t="str">
        <f>Sheet1!L219</f>
        <v/>
      </c>
      <c r="M219" s="19" t="str">
        <f>Sheet1!M219</f>
        <v/>
      </c>
      <c r="N219" s="19" t="str">
        <f>Sheet1!N219</f>
        <v/>
      </c>
      <c r="O219" s="19" t="str">
        <f>Sheet1!O219</f>
        <v/>
      </c>
      <c r="P219" s="19" t="str">
        <f>Sheet1!P219</f>
        <v/>
      </c>
      <c r="Q219" s="19" t="str">
        <f>Sheet1!Q219</f>
        <v/>
      </c>
      <c r="R219" s="19" t="str">
        <f>Sheet1!R219</f>
        <v/>
      </c>
      <c r="S219" s="19" t="str">
        <f>Sheet1!S219</f>
        <v/>
      </c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2"/>
      <c r="CC219" s="22"/>
      <c r="CD219" s="21"/>
      <c r="CE219" s="21"/>
      <c r="CF219" s="22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</row>
    <row r="220">
      <c r="A220" s="19" t="str">
        <f>Sheet1!A220</f>
        <v/>
      </c>
      <c r="B220" s="19" t="str">
        <f>Sheet1!B220</f>
        <v/>
      </c>
      <c r="C220" s="19" t="str">
        <f>Sheet1!C220</f>
        <v/>
      </c>
      <c r="D220" s="19" t="str">
        <f>Sheet1!D220</f>
        <v/>
      </c>
      <c r="E220" s="19" t="str">
        <f>Sheet1!E220</f>
        <v/>
      </c>
      <c r="F220" s="19" t="str">
        <f>Sheet1!F220</f>
        <v/>
      </c>
      <c r="G220" s="19" t="str">
        <f>Sheet1!G220</f>
        <v/>
      </c>
      <c r="H220" s="19" t="str">
        <f>Sheet1!H220</f>
        <v/>
      </c>
      <c r="I220" s="19" t="str">
        <f>Sheet1!I220</f>
        <v/>
      </c>
      <c r="J220" s="19" t="str">
        <f>Sheet1!J220</f>
        <v/>
      </c>
      <c r="K220" s="19" t="str">
        <f>Sheet1!K220</f>
        <v/>
      </c>
      <c r="L220" s="19" t="str">
        <f>Sheet1!L220</f>
        <v/>
      </c>
      <c r="M220" s="19" t="str">
        <f>Sheet1!M220</f>
        <v/>
      </c>
      <c r="N220" s="19" t="str">
        <f>Sheet1!N220</f>
        <v/>
      </c>
      <c r="O220" s="19" t="str">
        <f>Sheet1!O220</f>
        <v/>
      </c>
      <c r="P220" s="19" t="str">
        <f>Sheet1!P220</f>
        <v/>
      </c>
      <c r="Q220" s="19" t="str">
        <f>Sheet1!Q220</f>
        <v/>
      </c>
      <c r="R220" s="19" t="str">
        <f>Sheet1!R220</f>
        <v/>
      </c>
      <c r="S220" s="19" t="str">
        <f>Sheet1!S220</f>
        <v/>
      </c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2"/>
      <c r="CC220" s="22"/>
      <c r="CD220" s="21"/>
      <c r="CE220" s="21"/>
      <c r="CF220" s="22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</row>
    <row r="221">
      <c r="A221" s="19" t="str">
        <f>Sheet1!A221</f>
        <v/>
      </c>
      <c r="B221" s="19" t="str">
        <f>Sheet1!B221</f>
        <v/>
      </c>
      <c r="C221" s="19" t="str">
        <f>Sheet1!C221</f>
        <v/>
      </c>
      <c r="D221" s="19" t="str">
        <f>Sheet1!D221</f>
        <v/>
      </c>
      <c r="E221" s="19" t="str">
        <f>Sheet1!E221</f>
        <v/>
      </c>
      <c r="F221" s="19" t="str">
        <f>Sheet1!F221</f>
        <v/>
      </c>
      <c r="G221" s="19" t="str">
        <f>Sheet1!G221</f>
        <v/>
      </c>
      <c r="H221" s="19" t="str">
        <f>Sheet1!H221</f>
        <v/>
      </c>
      <c r="I221" s="19" t="str">
        <f>Sheet1!I221</f>
        <v/>
      </c>
      <c r="J221" s="19" t="str">
        <f>Sheet1!J221</f>
        <v/>
      </c>
      <c r="K221" s="19" t="str">
        <f>Sheet1!K221</f>
        <v/>
      </c>
      <c r="L221" s="19" t="str">
        <f>Sheet1!L221</f>
        <v/>
      </c>
      <c r="M221" s="19" t="str">
        <f>Sheet1!M221</f>
        <v/>
      </c>
      <c r="N221" s="19" t="str">
        <f>Sheet1!N221</f>
        <v/>
      </c>
      <c r="O221" s="19" t="str">
        <f>Sheet1!O221</f>
        <v/>
      </c>
      <c r="P221" s="19" t="str">
        <f>Sheet1!P221</f>
        <v/>
      </c>
      <c r="Q221" s="19" t="str">
        <f>Sheet1!Q221</f>
        <v/>
      </c>
      <c r="R221" s="19" t="str">
        <f>Sheet1!R221</f>
        <v/>
      </c>
      <c r="S221" s="19" t="str">
        <f>Sheet1!S221</f>
        <v/>
      </c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2"/>
      <c r="CC221" s="22"/>
      <c r="CD221" s="21"/>
      <c r="CE221" s="21"/>
      <c r="CF221" s="22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</row>
    <row r="222">
      <c r="A222" s="19" t="str">
        <f>Sheet1!A222</f>
        <v/>
      </c>
      <c r="B222" s="19" t="str">
        <f>Sheet1!B222</f>
        <v/>
      </c>
      <c r="C222" s="19" t="str">
        <f>Sheet1!C222</f>
        <v/>
      </c>
      <c r="D222" s="19" t="str">
        <f>Sheet1!D222</f>
        <v/>
      </c>
      <c r="E222" s="19" t="str">
        <f>Sheet1!E222</f>
        <v/>
      </c>
      <c r="F222" s="19" t="str">
        <f>Sheet1!F222</f>
        <v/>
      </c>
      <c r="G222" s="19" t="str">
        <f>Sheet1!G222</f>
        <v/>
      </c>
      <c r="H222" s="19" t="str">
        <f>Sheet1!H222</f>
        <v/>
      </c>
      <c r="I222" s="19" t="str">
        <f>Sheet1!I222</f>
        <v/>
      </c>
      <c r="J222" s="19" t="str">
        <f>Sheet1!J222</f>
        <v/>
      </c>
      <c r="K222" s="19" t="str">
        <f>Sheet1!K222</f>
        <v/>
      </c>
      <c r="L222" s="19" t="str">
        <f>Sheet1!L222</f>
        <v/>
      </c>
      <c r="M222" s="19" t="str">
        <f>Sheet1!M222</f>
        <v/>
      </c>
      <c r="N222" s="19" t="str">
        <f>Sheet1!N222</f>
        <v/>
      </c>
      <c r="O222" s="19" t="str">
        <f>Sheet1!O222</f>
        <v/>
      </c>
      <c r="P222" s="19" t="str">
        <f>Sheet1!P222</f>
        <v/>
      </c>
      <c r="Q222" s="19" t="str">
        <f>Sheet1!Q222</f>
        <v/>
      </c>
      <c r="R222" s="19" t="str">
        <f>Sheet1!R222</f>
        <v/>
      </c>
      <c r="S222" s="19" t="str">
        <f>Sheet1!S222</f>
        <v/>
      </c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2"/>
      <c r="CC222" s="22"/>
      <c r="CD222" s="21"/>
      <c r="CE222" s="21"/>
      <c r="CF222" s="22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</row>
    <row r="223">
      <c r="A223" s="19" t="str">
        <f>Sheet1!A223</f>
        <v/>
      </c>
      <c r="B223" s="19" t="str">
        <f>Sheet1!B223</f>
        <v/>
      </c>
      <c r="C223" s="19" t="str">
        <f>Sheet1!C223</f>
        <v/>
      </c>
      <c r="D223" s="19" t="str">
        <f>Sheet1!D223</f>
        <v/>
      </c>
      <c r="E223" s="19" t="str">
        <f>Sheet1!E223</f>
        <v/>
      </c>
      <c r="F223" s="19" t="str">
        <f>Sheet1!F223</f>
        <v/>
      </c>
      <c r="G223" s="19" t="str">
        <f>Sheet1!G223</f>
        <v/>
      </c>
      <c r="H223" s="19" t="str">
        <f>Sheet1!H223</f>
        <v/>
      </c>
      <c r="I223" s="19" t="str">
        <f>Sheet1!I223</f>
        <v/>
      </c>
      <c r="J223" s="19" t="str">
        <f>Sheet1!J223</f>
        <v/>
      </c>
      <c r="K223" s="19" t="str">
        <f>Sheet1!K223</f>
        <v/>
      </c>
      <c r="L223" s="19" t="str">
        <f>Sheet1!L223</f>
        <v/>
      </c>
      <c r="M223" s="19" t="str">
        <f>Sheet1!M223</f>
        <v/>
      </c>
      <c r="N223" s="19" t="str">
        <f>Sheet1!N223</f>
        <v/>
      </c>
      <c r="O223" s="19" t="str">
        <f>Sheet1!O223</f>
        <v/>
      </c>
      <c r="P223" s="19" t="str">
        <f>Sheet1!P223</f>
        <v/>
      </c>
      <c r="Q223" s="19" t="str">
        <f>Sheet1!Q223</f>
        <v/>
      </c>
      <c r="R223" s="19" t="str">
        <f>Sheet1!R223</f>
        <v/>
      </c>
      <c r="S223" s="19" t="str">
        <f>Sheet1!S223</f>
        <v/>
      </c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2"/>
      <c r="CC223" s="22"/>
      <c r="CD223" s="21"/>
      <c r="CE223" s="21"/>
      <c r="CF223" s="22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</row>
    <row r="224">
      <c r="A224" s="19" t="str">
        <f>Sheet1!A224</f>
        <v/>
      </c>
      <c r="B224" s="19" t="str">
        <f>Sheet1!B224</f>
        <v/>
      </c>
      <c r="C224" s="19" t="str">
        <f>Sheet1!C224</f>
        <v/>
      </c>
      <c r="D224" s="19" t="str">
        <f>Sheet1!D224</f>
        <v/>
      </c>
      <c r="E224" s="19" t="str">
        <f>Sheet1!E224</f>
        <v/>
      </c>
      <c r="F224" s="19" t="str">
        <f>Sheet1!F224</f>
        <v/>
      </c>
      <c r="G224" s="19" t="str">
        <f>Sheet1!G224</f>
        <v/>
      </c>
      <c r="H224" s="19" t="str">
        <f>Sheet1!H224</f>
        <v/>
      </c>
      <c r="I224" s="19" t="str">
        <f>Sheet1!I224</f>
        <v/>
      </c>
      <c r="J224" s="19" t="str">
        <f>Sheet1!J224</f>
        <v/>
      </c>
      <c r="K224" s="19" t="str">
        <f>Sheet1!K224</f>
        <v/>
      </c>
      <c r="L224" s="19" t="str">
        <f>Sheet1!L224</f>
        <v/>
      </c>
      <c r="M224" s="19" t="str">
        <f>Sheet1!M224</f>
        <v/>
      </c>
      <c r="N224" s="19" t="str">
        <f>Sheet1!N224</f>
        <v/>
      </c>
      <c r="O224" s="19" t="str">
        <f>Sheet1!O224</f>
        <v/>
      </c>
      <c r="P224" s="19" t="str">
        <f>Sheet1!P224</f>
        <v/>
      </c>
      <c r="Q224" s="19" t="str">
        <f>Sheet1!Q224</f>
        <v/>
      </c>
      <c r="R224" s="19" t="str">
        <f>Sheet1!R224</f>
        <v/>
      </c>
      <c r="S224" s="19" t="str">
        <f>Sheet1!S224</f>
        <v/>
      </c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2"/>
      <c r="CC224" s="22"/>
      <c r="CD224" s="21"/>
      <c r="CE224" s="21"/>
      <c r="CF224" s="22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</row>
    <row r="225">
      <c r="A225" s="19" t="str">
        <f>Sheet1!A225</f>
        <v/>
      </c>
      <c r="B225" s="19" t="str">
        <f>Sheet1!B225</f>
        <v/>
      </c>
      <c r="C225" s="19" t="str">
        <f>Sheet1!C225</f>
        <v/>
      </c>
      <c r="D225" s="19" t="str">
        <f>Sheet1!D225</f>
        <v/>
      </c>
      <c r="E225" s="19" t="str">
        <f>Sheet1!E225</f>
        <v/>
      </c>
      <c r="F225" s="19" t="str">
        <f>Sheet1!F225</f>
        <v/>
      </c>
      <c r="G225" s="19" t="str">
        <f>Sheet1!G225</f>
        <v/>
      </c>
      <c r="H225" s="19" t="str">
        <f>Sheet1!H225</f>
        <v/>
      </c>
      <c r="I225" s="19" t="str">
        <f>Sheet1!I225</f>
        <v/>
      </c>
      <c r="J225" s="19" t="str">
        <f>Sheet1!J225</f>
        <v/>
      </c>
      <c r="K225" s="19" t="str">
        <f>Sheet1!K225</f>
        <v/>
      </c>
      <c r="L225" s="19" t="str">
        <f>Sheet1!L225</f>
        <v/>
      </c>
      <c r="M225" s="19" t="str">
        <f>Sheet1!M225</f>
        <v/>
      </c>
      <c r="N225" s="19" t="str">
        <f>Sheet1!N225</f>
        <v/>
      </c>
      <c r="O225" s="19" t="str">
        <f>Sheet1!O225</f>
        <v/>
      </c>
      <c r="P225" s="19" t="str">
        <f>Sheet1!P225</f>
        <v/>
      </c>
      <c r="Q225" s="19" t="str">
        <f>Sheet1!Q225</f>
        <v/>
      </c>
      <c r="R225" s="19" t="str">
        <f>Sheet1!R225</f>
        <v/>
      </c>
      <c r="S225" s="19" t="str">
        <f>Sheet1!S225</f>
        <v/>
      </c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2"/>
      <c r="CC225" s="22"/>
      <c r="CD225" s="21"/>
      <c r="CE225" s="21"/>
      <c r="CF225" s="22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</row>
    <row r="226">
      <c r="A226" s="19" t="str">
        <f>Sheet1!A226</f>
        <v/>
      </c>
      <c r="B226" s="19" t="str">
        <f>Sheet1!B226</f>
        <v/>
      </c>
      <c r="C226" s="19" t="str">
        <f>Sheet1!C226</f>
        <v/>
      </c>
      <c r="D226" s="19" t="str">
        <f>Sheet1!D226</f>
        <v/>
      </c>
      <c r="E226" s="19" t="str">
        <f>Sheet1!E226</f>
        <v/>
      </c>
      <c r="F226" s="19" t="str">
        <f>Sheet1!F226</f>
        <v/>
      </c>
      <c r="G226" s="19" t="str">
        <f>Sheet1!G226</f>
        <v/>
      </c>
      <c r="H226" s="19" t="str">
        <f>Sheet1!H226</f>
        <v/>
      </c>
      <c r="I226" s="19" t="str">
        <f>Sheet1!I226</f>
        <v/>
      </c>
      <c r="J226" s="19" t="str">
        <f>Sheet1!J226</f>
        <v/>
      </c>
      <c r="K226" s="19" t="str">
        <f>Sheet1!K226</f>
        <v/>
      </c>
      <c r="L226" s="19" t="str">
        <f>Sheet1!L226</f>
        <v/>
      </c>
      <c r="M226" s="19" t="str">
        <f>Sheet1!M226</f>
        <v/>
      </c>
      <c r="N226" s="19" t="str">
        <f>Sheet1!N226</f>
        <v/>
      </c>
      <c r="O226" s="19" t="str">
        <f>Sheet1!O226</f>
        <v/>
      </c>
      <c r="P226" s="19" t="str">
        <f>Sheet1!P226</f>
        <v/>
      </c>
      <c r="Q226" s="19" t="str">
        <f>Sheet1!Q226</f>
        <v/>
      </c>
      <c r="R226" s="19" t="str">
        <f>Sheet1!R226</f>
        <v/>
      </c>
      <c r="S226" s="19" t="str">
        <f>Sheet1!S226</f>
        <v/>
      </c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2"/>
      <c r="CC226" s="22"/>
      <c r="CD226" s="21"/>
      <c r="CE226" s="21"/>
      <c r="CF226" s="22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</row>
    <row r="227">
      <c r="A227" s="19" t="str">
        <f>Sheet1!A227</f>
        <v/>
      </c>
      <c r="B227" s="19" t="str">
        <f>Sheet1!B227</f>
        <v/>
      </c>
      <c r="C227" s="19" t="str">
        <f>Sheet1!C227</f>
        <v/>
      </c>
      <c r="D227" s="19" t="str">
        <f>Sheet1!D227</f>
        <v/>
      </c>
      <c r="E227" s="19" t="str">
        <f>Sheet1!E227</f>
        <v/>
      </c>
      <c r="F227" s="19" t="str">
        <f>Sheet1!F227</f>
        <v/>
      </c>
      <c r="G227" s="19" t="str">
        <f>Sheet1!G227</f>
        <v/>
      </c>
      <c r="H227" s="19" t="str">
        <f>Sheet1!H227</f>
        <v/>
      </c>
      <c r="I227" s="19" t="str">
        <f>Sheet1!I227</f>
        <v/>
      </c>
      <c r="J227" s="19" t="str">
        <f>Sheet1!J227</f>
        <v/>
      </c>
      <c r="K227" s="19" t="str">
        <f>Sheet1!K227</f>
        <v/>
      </c>
      <c r="L227" s="19" t="str">
        <f>Sheet1!L227</f>
        <v/>
      </c>
      <c r="M227" s="19" t="str">
        <f>Sheet1!M227</f>
        <v/>
      </c>
      <c r="N227" s="19" t="str">
        <f>Sheet1!N227</f>
        <v/>
      </c>
      <c r="O227" s="19" t="str">
        <f>Sheet1!O227</f>
        <v/>
      </c>
      <c r="P227" s="19" t="str">
        <f>Sheet1!P227</f>
        <v/>
      </c>
      <c r="Q227" s="19" t="str">
        <f>Sheet1!Q227</f>
        <v/>
      </c>
      <c r="R227" s="19" t="str">
        <f>Sheet1!R227</f>
        <v/>
      </c>
      <c r="S227" s="19" t="str">
        <f>Sheet1!S227</f>
        <v/>
      </c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2"/>
      <c r="CC227" s="22"/>
      <c r="CD227" s="21"/>
      <c r="CE227" s="21"/>
      <c r="CF227" s="22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</row>
    <row r="228">
      <c r="A228" s="19" t="str">
        <f>Sheet1!A228</f>
        <v/>
      </c>
      <c r="B228" s="19" t="str">
        <f>Sheet1!B228</f>
        <v/>
      </c>
      <c r="C228" s="19" t="str">
        <f>Sheet1!C228</f>
        <v/>
      </c>
      <c r="D228" s="19" t="str">
        <f>Sheet1!D228</f>
        <v/>
      </c>
      <c r="E228" s="19" t="str">
        <f>Sheet1!E228</f>
        <v/>
      </c>
      <c r="F228" s="19" t="str">
        <f>Sheet1!F228</f>
        <v/>
      </c>
      <c r="G228" s="19" t="str">
        <f>Sheet1!G228</f>
        <v/>
      </c>
      <c r="H228" s="19" t="str">
        <f>Sheet1!H228</f>
        <v/>
      </c>
      <c r="I228" s="19" t="str">
        <f>Sheet1!I228</f>
        <v/>
      </c>
      <c r="J228" s="19" t="str">
        <f>Sheet1!J228</f>
        <v/>
      </c>
      <c r="K228" s="19" t="str">
        <f>Sheet1!K228</f>
        <v/>
      </c>
      <c r="L228" s="19" t="str">
        <f>Sheet1!L228</f>
        <v/>
      </c>
      <c r="M228" s="19" t="str">
        <f>Sheet1!M228</f>
        <v/>
      </c>
      <c r="N228" s="19" t="str">
        <f>Sheet1!N228</f>
        <v/>
      </c>
      <c r="O228" s="19" t="str">
        <f>Sheet1!O228</f>
        <v/>
      </c>
      <c r="P228" s="19" t="str">
        <f>Sheet1!P228</f>
        <v/>
      </c>
      <c r="Q228" s="19" t="str">
        <f>Sheet1!Q228</f>
        <v/>
      </c>
      <c r="R228" s="19" t="str">
        <f>Sheet1!R228</f>
        <v/>
      </c>
      <c r="S228" s="19" t="str">
        <f>Sheet1!S228</f>
        <v/>
      </c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2"/>
      <c r="CC228" s="22"/>
      <c r="CD228" s="21"/>
      <c r="CE228" s="21"/>
      <c r="CF228" s="22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</row>
    <row r="229">
      <c r="A229" s="19" t="str">
        <f>Sheet1!A229</f>
        <v/>
      </c>
      <c r="B229" s="19" t="str">
        <f>Sheet1!B229</f>
        <v/>
      </c>
      <c r="C229" s="19" t="str">
        <f>Sheet1!C229</f>
        <v/>
      </c>
      <c r="D229" s="19" t="str">
        <f>Sheet1!D229</f>
        <v/>
      </c>
      <c r="E229" s="19" t="str">
        <f>Sheet1!E229</f>
        <v/>
      </c>
      <c r="F229" s="19" t="str">
        <f>Sheet1!F229</f>
        <v/>
      </c>
      <c r="G229" s="19" t="str">
        <f>Sheet1!G229</f>
        <v/>
      </c>
      <c r="H229" s="19" t="str">
        <f>Sheet1!H229</f>
        <v/>
      </c>
      <c r="I229" s="19" t="str">
        <f>Sheet1!I229</f>
        <v/>
      </c>
      <c r="J229" s="19" t="str">
        <f>Sheet1!J229</f>
        <v/>
      </c>
      <c r="K229" s="19" t="str">
        <f>Sheet1!K229</f>
        <v/>
      </c>
      <c r="L229" s="19" t="str">
        <f>Sheet1!L229</f>
        <v/>
      </c>
      <c r="M229" s="19" t="str">
        <f>Sheet1!M229</f>
        <v/>
      </c>
      <c r="N229" s="19" t="str">
        <f>Sheet1!N229</f>
        <v/>
      </c>
      <c r="O229" s="19" t="str">
        <f>Sheet1!O229</f>
        <v/>
      </c>
      <c r="P229" s="19" t="str">
        <f>Sheet1!P229</f>
        <v/>
      </c>
      <c r="Q229" s="19" t="str">
        <f>Sheet1!Q229</f>
        <v/>
      </c>
      <c r="R229" s="19" t="str">
        <f>Sheet1!R229</f>
        <v/>
      </c>
      <c r="S229" s="19" t="str">
        <f>Sheet1!S229</f>
        <v/>
      </c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2"/>
      <c r="CC229" s="22"/>
      <c r="CD229" s="21"/>
      <c r="CE229" s="21"/>
      <c r="CF229" s="22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</row>
    <row r="230">
      <c r="A230" s="19" t="str">
        <f>Sheet1!A230</f>
        <v/>
      </c>
      <c r="B230" s="19" t="str">
        <f>Sheet1!B230</f>
        <v/>
      </c>
      <c r="C230" s="19" t="str">
        <f>Sheet1!C230</f>
        <v/>
      </c>
      <c r="D230" s="19" t="str">
        <f>Sheet1!D230</f>
        <v/>
      </c>
      <c r="E230" s="19" t="str">
        <f>Sheet1!E230</f>
        <v/>
      </c>
      <c r="F230" s="19" t="str">
        <f>Sheet1!F230</f>
        <v/>
      </c>
      <c r="G230" s="19" t="str">
        <f>Sheet1!G230</f>
        <v/>
      </c>
      <c r="H230" s="19" t="str">
        <f>Sheet1!H230</f>
        <v/>
      </c>
      <c r="I230" s="19" t="str">
        <f>Sheet1!I230</f>
        <v/>
      </c>
      <c r="J230" s="19" t="str">
        <f>Sheet1!J230</f>
        <v/>
      </c>
      <c r="K230" s="19" t="str">
        <f>Sheet1!K230</f>
        <v/>
      </c>
      <c r="L230" s="19" t="str">
        <f>Sheet1!L230</f>
        <v/>
      </c>
      <c r="M230" s="19" t="str">
        <f>Sheet1!M230</f>
        <v/>
      </c>
      <c r="N230" s="19" t="str">
        <f>Sheet1!N230</f>
        <v/>
      </c>
      <c r="O230" s="19" t="str">
        <f>Sheet1!O230</f>
        <v/>
      </c>
      <c r="P230" s="19" t="str">
        <f>Sheet1!P230</f>
        <v/>
      </c>
      <c r="Q230" s="19" t="str">
        <f>Sheet1!Q230</f>
        <v/>
      </c>
      <c r="R230" s="19" t="str">
        <f>Sheet1!R230</f>
        <v/>
      </c>
      <c r="S230" s="19" t="str">
        <f>Sheet1!S230</f>
        <v/>
      </c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2"/>
      <c r="CC230" s="22"/>
      <c r="CD230" s="21"/>
      <c r="CE230" s="21"/>
      <c r="CF230" s="22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</row>
    <row r="231">
      <c r="A231" s="19" t="str">
        <f>Sheet1!A231</f>
        <v/>
      </c>
      <c r="B231" s="19" t="str">
        <f>Sheet1!B231</f>
        <v/>
      </c>
      <c r="C231" s="19" t="str">
        <f>Sheet1!C231</f>
        <v/>
      </c>
      <c r="D231" s="19" t="str">
        <f>Sheet1!D231</f>
        <v/>
      </c>
      <c r="E231" s="19" t="str">
        <f>Sheet1!E231</f>
        <v/>
      </c>
      <c r="F231" s="19" t="str">
        <f>Sheet1!F231</f>
        <v/>
      </c>
      <c r="G231" s="19" t="str">
        <f>Sheet1!G231</f>
        <v/>
      </c>
      <c r="H231" s="19" t="str">
        <f>Sheet1!H231</f>
        <v/>
      </c>
      <c r="I231" s="19" t="str">
        <f>Sheet1!I231</f>
        <v/>
      </c>
      <c r="J231" s="19" t="str">
        <f>Sheet1!J231</f>
        <v/>
      </c>
      <c r="K231" s="19" t="str">
        <f>Sheet1!K231</f>
        <v/>
      </c>
      <c r="L231" s="19" t="str">
        <f>Sheet1!L231</f>
        <v/>
      </c>
      <c r="M231" s="19" t="str">
        <f>Sheet1!M231</f>
        <v/>
      </c>
      <c r="N231" s="19" t="str">
        <f>Sheet1!N231</f>
        <v/>
      </c>
      <c r="O231" s="19" t="str">
        <f>Sheet1!O231</f>
        <v/>
      </c>
      <c r="P231" s="19" t="str">
        <f>Sheet1!P231</f>
        <v/>
      </c>
      <c r="Q231" s="19" t="str">
        <f>Sheet1!Q231</f>
        <v/>
      </c>
      <c r="R231" s="19" t="str">
        <f>Sheet1!R231</f>
        <v/>
      </c>
      <c r="S231" s="19" t="str">
        <f>Sheet1!S231</f>
        <v/>
      </c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2"/>
      <c r="CC231" s="22"/>
      <c r="CD231" s="21"/>
      <c r="CE231" s="21"/>
      <c r="CF231" s="22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</row>
    <row r="232">
      <c r="A232" s="19" t="str">
        <f>Sheet1!A232</f>
        <v/>
      </c>
      <c r="B232" s="19" t="str">
        <f>Sheet1!B232</f>
        <v/>
      </c>
      <c r="C232" s="19" t="str">
        <f>Sheet1!C232</f>
        <v/>
      </c>
      <c r="D232" s="19" t="str">
        <f>Sheet1!D232</f>
        <v/>
      </c>
      <c r="E232" s="19" t="str">
        <f>Sheet1!E232</f>
        <v/>
      </c>
      <c r="F232" s="19" t="str">
        <f>Sheet1!F232</f>
        <v/>
      </c>
      <c r="G232" s="19" t="str">
        <f>Sheet1!G232</f>
        <v/>
      </c>
      <c r="H232" s="19" t="str">
        <f>Sheet1!H232</f>
        <v/>
      </c>
      <c r="I232" s="19" t="str">
        <f>Sheet1!I232</f>
        <v/>
      </c>
      <c r="J232" s="19" t="str">
        <f>Sheet1!J232</f>
        <v/>
      </c>
      <c r="K232" s="19" t="str">
        <f>Sheet1!K232</f>
        <v/>
      </c>
      <c r="L232" s="19" t="str">
        <f>Sheet1!L232</f>
        <v/>
      </c>
      <c r="M232" s="19" t="str">
        <f>Sheet1!M232</f>
        <v/>
      </c>
      <c r="N232" s="19" t="str">
        <f>Sheet1!N232</f>
        <v/>
      </c>
      <c r="O232" s="19" t="str">
        <f>Sheet1!O232</f>
        <v/>
      </c>
      <c r="P232" s="19" t="str">
        <f>Sheet1!P232</f>
        <v/>
      </c>
      <c r="Q232" s="19" t="str">
        <f>Sheet1!Q232</f>
        <v/>
      </c>
      <c r="R232" s="19" t="str">
        <f>Sheet1!R232</f>
        <v/>
      </c>
      <c r="S232" s="19" t="str">
        <f>Sheet1!S232</f>
        <v/>
      </c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2"/>
      <c r="CC232" s="22"/>
      <c r="CD232" s="21"/>
      <c r="CE232" s="21"/>
      <c r="CF232" s="22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</row>
    <row r="233">
      <c r="A233" s="19" t="str">
        <f>Sheet1!A233</f>
        <v/>
      </c>
      <c r="B233" s="19" t="str">
        <f>Sheet1!B233</f>
        <v/>
      </c>
      <c r="C233" s="19" t="str">
        <f>Sheet1!C233</f>
        <v/>
      </c>
      <c r="D233" s="19" t="str">
        <f>Sheet1!D233</f>
        <v/>
      </c>
      <c r="E233" s="19" t="str">
        <f>Sheet1!E233</f>
        <v/>
      </c>
      <c r="F233" s="19" t="str">
        <f>Sheet1!F233</f>
        <v/>
      </c>
      <c r="G233" s="19" t="str">
        <f>Sheet1!G233</f>
        <v/>
      </c>
      <c r="H233" s="19" t="str">
        <f>Sheet1!H233</f>
        <v/>
      </c>
      <c r="I233" s="19" t="str">
        <f>Sheet1!I233</f>
        <v/>
      </c>
      <c r="J233" s="19" t="str">
        <f>Sheet1!J233</f>
        <v/>
      </c>
      <c r="K233" s="19" t="str">
        <f>Sheet1!K233</f>
        <v/>
      </c>
      <c r="L233" s="19" t="str">
        <f>Sheet1!L233</f>
        <v/>
      </c>
      <c r="M233" s="19" t="str">
        <f>Sheet1!M233</f>
        <v/>
      </c>
      <c r="N233" s="19" t="str">
        <f>Sheet1!N233</f>
        <v/>
      </c>
      <c r="O233" s="19" t="str">
        <f>Sheet1!O233</f>
        <v/>
      </c>
      <c r="P233" s="19" t="str">
        <f>Sheet1!P233</f>
        <v/>
      </c>
      <c r="Q233" s="19" t="str">
        <f>Sheet1!Q233</f>
        <v/>
      </c>
      <c r="R233" s="19" t="str">
        <f>Sheet1!R233</f>
        <v/>
      </c>
      <c r="S233" s="19" t="str">
        <f>Sheet1!S233</f>
        <v/>
      </c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2"/>
      <c r="CC233" s="22"/>
      <c r="CD233" s="21"/>
      <c r="CE233" s="21"/>
      <c r="CF233" s="22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</row>
    <row r="234">
      <c r="A234" s="19" t="str">
        <f>Sheet1!A234</f>
        <v/>
      </c>
      <c r="B234" s="19" t="str">
        <f>Sheet1!B234</f>
        <v/>
      </c>
      <c r="C234" s="19" t="str">
        <f>Sheet1!C234</f>
        <v/>
      </c>
      <c r="D234" s="19" t="str">
        <f>Sheet1!D234</f>
        <v/>
      </c>
      <c r="E234" s="19" t="str">
        <f>Sheet1!E234</f>
        <v/>
      </c>
      <c r="F234" s="19" t="str">
        <f>Sheet1!F234</f>
        <v/>
      </c>
      <c r="G234" s="19" t="str">
        <f>Sheet1!G234</f>
        <v/>
      </c>
      <c r="H234" s="19" t="str">
        <f>Sheet1!H234</f>
        <v/>
      </c>
      <c r="I234" s="19" t="str">
        <f>Sheet1!I234</f>
        <v/>
      </c>
      <c r="J234" s="19" t="str">
        <f>Sheet1!J234</f>
        <v/>
      </c>
      <c r="K234" s="19" t="str">
        <f>Sheet1!K234</f>
        <v/>
      </c>
      <c r="L234" s="19" t="str">
        <f>Sheet1!L234</f>
        <v/>
      </c>
      <c r="M234" s="19" t="str">
        <f>Sheet1!M234</f>
        <v/>
      </c>
      <c r="N234" s="19" t="str">
        <f>Sheet1!N234</f>
        <v/>
      </c>
      <c r="O234" s="19" t="str">
        <f>Sheet1!O234</f>
        <v/>
      </c>
      <c r="P234" s="19" t="str">
        <f>Sheet1!P234</f>
        <v/>
      </c>
      <c r="Q234" s="19" t="str">
        <f>Sheet1!Q234</f>
        <v/>
      </c>
      <c r="R234" s="19" t="str">
        <f>Sheet1!R234</f>
        <v/>
      </c>
      <c r="S234" s="19" t="str">
        <f>Sheet1!S234</f>
        <v/>
      </c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2"/>
      <c r="CC234" s="22"/>
      <c r="CD234" s="21"/>
      <c r="CE234" s="21"/>
      <c r="CF234" s="22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</row>
    <row r="235">
      <c r="A235" s="19" t="str">
        <f>Sheet1!A235</f>
        <v/>
      </c>
      <c r="B235" s="19" t="str">
        <f>Sheet1!B235</f>
        <v/>
      </c>
      <c r="C235" s="19" t="str">
        <f>Sheet1!C235</f>
        <v/>
      </c>
      <c r="D235" s="19" t="str">
        <f>Sheet1!D235</f>
        <v/>
      </c>
      <c r="E235" s="19" t="str">
        <f>Sheet1!E235</f>
        <v/>
      </c>
      <c r="F235" s="19" t="str">
        <f>Sheet1!F235</f>
        <v/>
      </c>
      <c r="G235" s="19" t="str">
        <f>Sheet1!G235</f>
        <v/>
      </c>
      <c r="H235" s="19" t="str">
        <f>Sheet1!H235</f>
        <v/>
      </c>
      <c r="I235" s="19" t="str">
        <f>Sheet1!I235</f>
        <v/>
      </c>
      <c r="J235" s="19" t="str">
        <f>Sheet1!J235</f>
        <v/>
      </c>
      <c r="K235" s="19" t="str">
        <f>Sheet1!K235</f>
        <v/>
      </c>
      <c r="L235" s="19" t="str">
        <f>Sheet1!L235</f>
        <v/>
      </c>
      <c r="M235" s="19" t="str">
        <f>Sheet1!M235</f>
        <v/>
      </c>
      <c r="N235" s="19" t="str">
        <f>Sheet1!N235</f>
        <v/>
      </c>
      <c r="O235" s="19" t="str">
        <f>Sheet1!O235</f>
        <v/>
      </c>
      <c r="P235" s="19" t="str">
        <f>Sheet1!P235</f>
        <v/>
      </c>
      <c r="Q235" s="19" t="str">
        <f>Sheet1!Q235</f>
        <v/>
      </c>
      <c r="R235" s="19" t="str">
        <f>Sheet1!R235</f>
        <v/>
      </c>
      <c r="S235" s="19" t="str">
        <f>Sheet1!S235</f>
        <v/>
      </c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2"/>
      <c r="CC235" s="22"/>
      <c r="CD235" s="21"/>
      <c r="CE235" s="21"/>
      <c r="CF235" s="22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</row>
    <row r="236">
      <c r="A236" s="19" t="str">
        <f>Sheet1!A236</f>
        <v/>
      </c>
      <c r="B236" s="19" t="str">
        <f>Sheet1!B236</f>
        <v/>
      </c>
      <c r="C236" s="19" t="str">
        <f>Sheet1!C236</f>
        <v/>
      </c>
      <c r="D236" s="19" t="str">
        <f>Sheet1!D236</f>
        <v/>
      </c>
      <c r="E236" s="19" t="str">
        <f>Sheet1!E236</f>
        <v/>
      </c>
      <c r="F236" s="19" t="str">
        <f>Sheet1!F236</f>
        <v/>
      </c>
      <c r="G236" s="19" t="str">
        <f>Sheet1!G236</f>
        <v/>
      </c>
      <c r="H236" s="19" t="str">
        <f>Sheet1!H236</f>
        <v/>
      </c>
      <c r="I236" s="19" t="str">
        <f>Sheet1!I236</f>
        <v/>
      </c>
      <c r="J236" s="19" t="str">
        <f>Sheet1!J236</f>
        <v/>
      </c>
      <c r="K236" s="19" t="str">
        <f>Sheet1!K236</f>
        <v/>
      </c>
      <c r="L236" s="19" t="str">
        <f>Sheet1!L236</f>
        <v/>
      </c>
      <c r="M236" s="19" t="str">
        <f>Sheet1!M236</f>
        <v/>
      </c>
      <c r="N236" s="19" t="str">
        <f>Sheet1!N236</f>
        <v/>
      </c>
      <c r="O236" s="19" t="str">
        <f>Sheet1!O236</f>
        <v/>
      </c>
      <c r="P236" s="19" t="str">
        <f>Sheet1!P236</f>
        <v/>
      </c>
      <c r="Q236" s="19" t="str">
        <f>Sheet1!Q236</f>
        <v/>
      </c>
      <c r="R236" s="19" t="str">
        <f>Sheet1!R236</f>
        <v/>
      </c>
      <c r="S236" s="19" t="str">
        <f>Sheet1!S236</f>
        <v/>
      </c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2"/>
      <c r="CC236" s="22"/>
      <c r="CD236" s="21"/>
      <c r="CE236" s="21"/>
      <c r="CF236" s="22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</row>
    <row r="237">
      <c r="A237" s="19" t="str">
        <f>Sheet1!A237</f>
        <v/>
      </c>
      <c r="B237" s="19" t="str">
        <f>Sheet1!B237</f>
        <v/>
      </c>
      <c r="C237" s="19" t="str">
        <f>Sheet1!C237</f>
        <v/>
      </c>
      <c r="D237" s="19" t="str">
        <f>Sheet1!D237</f>
        <v/>
      </c>
      <c r="E237" s="19" t="str">
        <f>Sheet1!E237</f>
        <v/>
      </c>
      <c r="F237" s="19" t="str">
        <f>Sheet1!F237</f>
        <v/>
      </c>
      <c r="G237" s="19" t="str">
        <f>Sheet1!G237</f>
        <v/>
      </c>
      <c r="H237" s="19" t="str">
        <f>Sheet1!H237</f>
        <v/>
      </c>
      <c r="I237" s="19" t="str">
        <f>Sheet1!I237</f>
        <v/>
      </c>
      <c r="J237" s="19" t="str">
        <f>Sheet1!J237</f>
        <v/>
      </c>
      <c r="K237" s="19" t="str">
        <f>Sheet1!K237</f>
        <v/>
      </c>
      <c r="L237" s="19" t="str">
        <f>Sheet1!L237</f>
        <v/>
      </c>
      <c r="M237" s="19" t="str">
        <f>Sheet1!M237</f>
        <v/>
      </c>
      <c r="N237" s="19" t="str">
        <f>Sheet1!N237</f>
        <v/>
      </c>
      <c r="O237" s="19" t="str">
        <f>Sheet1!O237</f>
        <v/>
      </c>
      <c r="P237" s="19" t="str">
        <f>Sheet1!P237</f>
        <v/>
      </c>
      <c r="Q237" s="19" t="str">
        <f>Sheet1!Q237</f>
        <v/>
      </c>
      <c r="R237" s="19" t="str">
        <f>Sheet1!R237</f>
        <v/>
      </c>
      <c r="S237" s="19" t="str">
        <f>Sheet1!S237</f>
        <v/>
      </c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2"/>
      <c r="CC237" s="22"/>
      <c r="CD237" s="21"/>
      <c r="CE237" s="21"/>
      <c r="CF237" s="22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</row>
    <row r="238">
      <c r="A238" s="19" t="str">
        <f>Sheet1!A238</f>
        <v/>
      </c>
      <c r="B238" s="19" t="str">
        <f>Sheet1!B238</f>
        <v/>
      </c>
      <c r="C238" s="19" t="str">
        <f>Sheet1!C238</f>
        <v/>
      </c>
      <c r="D238" s="19" t="str">
        <f>Sheet1!D238</f>
        <v/>
      </c>
      <c r="E238" s="19" t="str">
        <f>Sheet1!E238</f>
        <v/>
      </c>
      <c r="F238" s="19" t="str">
        <f>Sheet1!F238</f>
        <v/>
      </c>
      <c r="G238" s="19" t="str">
        <f>Sheet1!G238</f>
        <v/>
      </c>
      <c r="H238" s="19" t="str">
        <f>Sheet1!H238</f>
        <v/>
      </c>
      <c r="I238" s="19" t="str">
        <f>Sheet1!I238</f>
        <v/>
      </c>
      <c r="J238" s="19" t="str">
        <f>Sheet1!J238</f>
        <v/>
      </c>
      <c r="K238" s="19" t="str">
        <f>Sheet1!K238</f>
        <v/>
      </c>
      <c r="L238" s="19" t="str">
        <f>Sheet1!L238</f>
        <v/>
      </c>
      <c r="M238" s="19" t="str">
        <f>Sheet1!M238</f>
        <v/>
      </c>
      <c r="N238" s="19" t="str">
        <f>Sheet1!N238</f>
        <v/>
      </c>
      <c r="O238" s="19" t="str">
        <f>Sheet1!O238</f>
        <v/>
      </c>
      <c r="P238" s="19" t="str">
        <f>Sheet1!P238</f>
        <v/>
      </c>
      <c r="Q238" s="19" t="str">
        <f>Sheet1!Q238</f>
        <v/>
      </c>
      <c r="R238" s="19" t="str">
        <f>Sheet1!R238</f>
        <v/>
      </c>
      <c r="S238" s="19" t="str">
        <f>Sheet1!S238</f>
        <v/>
      </c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2"/>
      <c r="CC238" s="22"/>
      <c r="CD238" s="21"/>
      <c r="CE238" s="21"/>
      <c r="CF238" s="22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</row>
    <row r="239">
      <c r="A239" s="19" t="str">
        <f>Sheet1!A239</f>
        <v/>
      </c>
      <c r="B239" s="19" t="str">
        <f>Sheet1!B239</f>
        <v/>
      </c>
      <c r="C239" s="19" t="str">
        <f>Sheet1!C239</f>
        <v/>
      </c>
      <c r="D239" s="19" t="str">
        <f>Sheet1!D239</f>
        <v/>
      </c>
      <c r="E239" s="19" t="str">
        <f>Sheet1!E239</f>
        <v/>
      </c>
      <c r="F239" s="19" t="str">
        <f>Sheet1!F239</f>
        <v/>
      </c>
      <c r="G239" s="19" t="str">
        <f>Sheet1!G239</f>
        <v/>
      </c>
      <c r="H239" s="19" t="str">
        <f>Sheet1!H239</f>
        <v/>
      </c>
      <c r="I239" s="19" t="str">
        <f>Sheet1!I239</f>
        <v/>
      </c>
      <c r="J239" s="19" t="str">
        <f>Sheet1!J239</f>
        <v/>
      </c>
      <c r="K239" s="19" t="str">
        <f>Sheet1!K239</f>
        <v/>
      </c>
      <c r="L239" s="19" t="str">
        <f>Sheet1!L239</f>
        <v/>
      </c>
      <c r="M239" s="19" t="str">
        <f>Sheet1!M239</f>
        <v/>
      </c>
      <c r="N239" s="19" t="str">
        <f>Sheet1!N239</f>
        <v/>
      </c>
      <c r="O239" s="19" t="str">
        <f>Sheet1!O239</f>
        <v/>
      </c>
      <c r="P239" s="19" t="str">
        <f>Sheet1!P239</f>
        <v/>
      </c>
      <c r="Q239" s="19" t="str">
        <f>Sheet1!Q239</f>
        <v/>
      </c>
      <c r="R239" s="19" t="str">
        <f>Sheet1!R239</f>
        <v/>
      </c>
      <c r="S239" s="19" t="str">
        <f>Sheet1!S239</f>
        <v/>
      </c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2"/>
      <c r="CC239" s="22"/>
      <c r="CD239" s="21"/>
      <c r="CE239" s="21"/>
      <c r="CF239" s="22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</row>
    <row r="240">
      <c r="A240" s="19" t="str">
        <f>Sheet1!A240</f>
        <v/>
      </c>
      <c r="B240" s="19" t="str">
        <f>Sheet1!B240</f>
        <v/>
      </c>
      <c r="C240" s="19" t="str">
        <f>Sheet1!C240</f>
        <v/>
      </c>
      <c r="D240" s="19" t="str">
        <f>Sheet1!D240</f>
        <v/>
      </c>
      <c r="E240" s="19" t="str">
        <f>Sheet1!E240</f>
        <v/>
      </c>
      <c r="F240" s="19" t="str">
        <f>Sheet1!F240</f>
        <v/>
      </c>
      <c r="G240" s="19" t="str">
        <f>Sheet1!G240</f>
        <v/>
      </c>
      <c r="H240" s="19" t="str">
        <f>Sheet1!H240</f>
        <v/>
      </c>
      <c r="I240" s="19" t="str">
        <f>Sheet1!I240</f>
        <v/>
      </c>
      <c r="J240" s="19" t="str">
        <f>Sheet1!J240</f>
        <v/>
      </c>
      <c r="K240" s="19" t="str">
        <f>Sheet1!K240</f>
        <v/>
      </c>
      <c r="L240" s="19" t="str">
        <f>Sheet1!L240</f>
        <v/>
      </c>
      <c r="M240" s="19" t="str">
        <f>Sheet1!M240</f>
        <v/>
      </c>
      <c r="N240" s="19" t="str">
        <f>Sheet1!N240</f>
        <v/>
      </c>
      <c r="O240" s="19" t="str">
        <f>Sheet1!O240</f>
        <v/>
      </c>
      <c r="P240" s="19" t="str">
        <f>Sheet1!P240</f>
        <v/>
      </c>
      <c r="Q240" s="19" t="str">
        <f>Sheet1!Q240</f>
        <v/>
      </c>
      <c r="R240" s="19" t="str">
        <f>Sheet1!R240</f>
        <v/>
      </c>
      <c r="S240" s="19" t="str">
        <f>Sheet1!S240</f>
        <v/>
      </c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2"/>
      <c r="CC240" s="22"/>
      <c r="CD240" s="21"/>
      <c r="CE240" s="21"/>
      <c r="CF240" s="22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</row>
    <row r="241">
      <c r="A241" s="19" t="str">
        <f>Sheet1!A241</f>
        <v/>
      </c>
      <c r="B241" s="19" t="str">
        <f>Sheet1!B241</f>
        <v/>
      </c>
      <c r="C241" s="19" t="str">
        <f>Sheet1!C241</f>
        <v/>
      </c>
      <c r="D241" s="19" t="str">
        <f>Sheet1!D241</f>
        <v/>
      </c>
      <c r="E241" s="19" t="str">
        <f>Sheet1!E241</f>
        <v/>
      </c>
      <c r="F241" s="19" t="str">
        <f>Sheet1!F241</f>
        <v/>
      </c>
      <c r="G241" s="19" t="str">
        <f>Sheet1!G241</f>
        <v/>
      </c>
      <c r="H241" s="19" t="str">
        <f>Sheet1!H241</f>
        <v/>
      </c>
      <c r="I241" s="19" t="str">
        <f>Sheet1!I241</f>
        <v/>
      </c>
      <c r="J241" s="19" t="str">
        <f>Sheet1!J241</f>
        <v/>
      </c>
      <c r="K241" s="19" t="str">
        <f>Sheet1!K241</f>
        <v/>
      </c>
      <c r="L241" s="19" t="str">
        <f>Sheet1!L241</f>
        <v/>
      </c>
      <c r="M241" s="19" t="str">
        <f>Sheet1!M241</f>
        <v/>
      </c>
      <c r="N241" s="19" t="str">
        <f>Sheet1!N241</f>
        <v/>
      </c>
      <c r="O241" s="19" t="str">
        <f>Sheet1!O241</f>
        <v/>
      </c>
      <c r="P241" s="19" t="str">
        <f>Sheet1!P241</f>
        <v/>
      </c>
      <c r="Q241" s="19" t="str">
        <f>Sheet1!Q241</f>
        <v/>
      </c>
      <c r="R241" s="19" t="str">
        <f>Sheet1!R241</f>
        <v/>
      </c>
      <c r="S241" s="19" t="str">
        <f>Sheet1!S241</f>
        <v/>
      </c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2"/>
      <c r="CC241" s="22"/>
      <c r="CD241" s="21"/>
      <c r="CE241" s="21"/>
      <c r="CF241" s="22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</row>
    <row r="242">
      <c r="A242" s="19" t="str">
        <f>Sheet1!A242</f>
        <v/>
      </c>
      <c r="B242" s="19" t="str">
        <f>Sheet1!B242</f>
        <v/>
      </c>
      <c r="C242" s="19" t="str">
        <f>Sheet1!C242</f>
        <v/>
      </c>
      <c r="D242" s="19" t="str">
        <f>Sheet1!D242</f>
        <v/>
      </c>
      <c r="E242" s="19" t="str">
        <f>Sheet1!E242</f>
        <v/>
      </c>
      <c r="F242" s="19" t="str">
        <f>Sheet1!F242</f>
        <v/>
      </c>
      <c r="G242" s="19" t="str">
        <f>Sheet1!G242</f>
        <v/>
      </c>
      <c r="H242" s="19" t="str">
        <f>Sheet1!H242</f>
        <v/>
      </c>
      <c r="I242" s="19" t="str">
        <f>Sheet1!I242</f>
        <v/>
      </c>
      <c r="J242" s="19" t="str">
        <f>Sheet1!J242</f>
        <v/>
      </c>
      <c r="K242" s="19" t="str">
        <f>Sheet1!K242</f>
        <v/>
      </c>
      <c r="L242" s="19" t="str">
        <f>Sheet1!L242</f>
        <v/>
      </c>
      <c r="M242" s="19" t="str">
        <f>Sheet1!M242</f>
        <v/>
      </c>
      <c r="N242" s="19" t="str">
        <f>Sheet1!N242</f>
        <v/>
      </c>
      <c r="O242" s="19" t="str">
        <f>Sheet1!O242</f>
        <v/>
      </c>
      <c r="P242" s="19" t="str">
        <f>Sheet1!P242</f>
        <v/>
      </c>
      <c r="Q242" s="19" t="str">
        <f>Sheet1!Q242</f>
        <v/>
      </c>
      <c r="R242" s="19" t="str">
        <f>Sheet1!R242</f>
        <v/>
      </c>
      <c r="S242" s="19" t="str">
        <f>Sheet1!S242</f>
        <v/>
      </c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2"/>
      <c r="CC242" s="22"/>
      <c r="CD242" s="21"/>
      <c r="CE242" s="21"/>
      <c r="CF242" s="22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</row>
    <row r="243">
      <c r="A243" s="19" t="str">
        <f>Sheet1!A243</f>
        <v/>
      </c>
      <c r="B243" s="19" t="str">
        <f>Sheet1!B243</f>
        <v/>
      </c>
      <c r="C243" s="19" t="str">
        <f>Sheet1!C243</f>
        <v/>
      </c>
      <c r="D243" s="19" t="str">
        <f>Sheet1!D243</f>
        <v/>
      </c>
      <c r="E243" s="19" t="str">
        <f>Sheet1!E243</f>
        <v/>
      </c>
      <c r="F243" s="19" t="str">
        <f>Sheet1!F243</f>
        <v/>
      </c>
      <c r="G243" s="19" t="str">
        <f>Sheet1!G243</f>
        <v/>
      </c>
      <c r="H243" s="19" t="str">
        <f>Sheet1!H243</f>
        <v/>
      </c>
      <c r="I243" s="19" t="str">
        <f>Sheet1!I243</f>
        <v/>
      </c>
      <c r="J243" s="19" t="str">
        <f>Sheet1!J243</f>
        <v/>
      </c>
      <c r="K243" s="19" t="str">
        <f>Sheet1!K243</f>
        <v/>
      </c>
      <c r="L243" s="19" t="str">
        <f>Sheet1!L243</f>
        <v/>
      </c>
      <c r="M243" s="19" t="str">
        <f>Sheet1!M243</f>
        <v/>
      </c>
      <c r="N243" s="19" t="str">
        <f>Sheet1!N243</f>
        <v/>
      </c>
      <c r="O243" s="19" t="str">
        <f>Sheet1!O243</f>
        <v/>
      </c>
      <c r="P243" s="19" t="str">
        <f>Sheet1!P243</f>
        <v/>
      </c>
      <c r="Q243" s="19" t="str">
        <f>Sheet1!Q243</f>
        <v/>
      </c>
      <c r="R243" s="19" t="str">
        <f>Sheet1!R243</f>
        <v/>
      </c>
      <c r="S243" s="19" t="str">
        <f>Sheet1!S243</f>
        <v/>
      </c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2"/>
      <c r="CC243" s="22"/>
      <c r="CD243" s="21"/>
      <c r="CE243" s="21"/>
      <c r="CF243" s="22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</row>
    <row r="244">
      <c r="A244" s="19" t="str">
        <f>Sheet1!A244</f>
        <v/>
      </c>
      <c r="B244" s="19" t="str">
        <f>Sheet1!B244</f>
        <v/>
      </c>
      <c r="C244" s="19" t="str">
        <f>Sheet1!C244</f>
        <v/>
      </c>
      <c r="D244" s="19" t="str">
        <f>Sheet1!D244</f>
        <v/>
      </c>
      <c r="E244" s="19" t="str">
        <f>Sheet1!E244</f>
        <v/>
      </c>
      <c r="F244" s="19" t="str">
        <f>Sheet1!F244</f>
        <v/>
      </c>
      <c r="G244" s="19" t="str">
        <f>Sheet1!G244</f>
        <v/>
      </c>
      <c r="H244" s="19" t="str">
        <f>Sheet1!H244</f>
        <v/>
      </c>
      <c r="I244" s="19" t="str">
        <f>Sheet1!I244</f>
        <v/>
      </c>
      <c r="J244" s="19" t="str">
        <f>Sheet1!J244</f>
        <v/>
      </c>
      <c r="K244" s="19" t="str">
        <f>Sheet1!K244</f>
        <v/>
      </c>
      <c r="L244" s="19" t="str">
        <f>Sheet1!L244</f>
        <v/>
      </c>
      <c r="M244" s="19" t="str">
        <f>Sheet1!M244</f>
        <v/>
      </c>
      <c r="N244" s="19" t="str">
        <f>Sheet1!N244</f>
        <v/>
      </c>
      <c r="O244" s="19" t="str">
        <f>Sheet1!O244</f>
        <v/>
      </c>
      <c r="P244" s="19" t="str">
        <f>Sheet1!P244</f>
        <v/>
      </c>
      <c r="Q244" s="19" t="str">
        <f>Sheet1!Q244</f>
        <v/>
      </c>
      <c r="R244" s="19" t="str">
        <f>Sheet1!R244</f>
        <v/>
      </c>
      <c r="S244" s="19" t="str">
        <f>Sheet1!S244</f>
        <v/>
      </c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2"/>
      <c r="CC244" s="22"/>
      <c r="CD244" s="21"/>
      <c r="CE244" s="21"/>
      <c r="CF244" s="22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</row>
    <row r="245">
      <c r="A245" s="19" t="str">
        <f>Sheet1!A245</f>
        <v/>
      </c>
      <c r="B245" s="19" t="str">
        <f>Sheet1!B245</f>
        <v/>
      </c>
      <c r="C245" s="19" t="str">
        <f>Sheet1!C245</f>
        <v/>
      </c>
      <c r="D245" s="19" t="str">
        <f>Sheet1!D245</f>
        <v/>
      </c>
      <c r="E245" s="19" t="str">
        <f>Sheet1!E245</f>
        <v/>
      </c>
      <c r="F245" s="19" t="str">
        <f>Sheet1!F245</f>
        <v/>
      </c>
      <c r="G245" s="19" t="str">
        <f>Sheet1!G245</f>
        <v/>
      </c>
      <c r="H245" s="19" t="str">
        <f>Sheet1!H245</f>
        <v/>
      </c>
      <c r="I245" s="19" t="str">
        <f>Sheet1!I245</f>
        <v/>
      </c>
      <c r="J245" s="19" t="str">
        <f>Sheet1!J245</f>
        <v/>
      </c>
      <c r="K245" s="19" t="str">
        <f>Sheet1!K245</f>
        <v/>
      </c>
      <c r="L245" s="19" t="str">
        <f>Sheet1!L245</f>
        <v/>
      </c>
      <c r="M245" s="19" t="str">
        <f>Sheet1!M245</f>
        <v/>
      </c>
      <c r="N245" s="19" t="str">
        <f>Sheet1!N245</f>
        <v/>
      </c>
      <c r="O245" s="19" t="str">
        <f>Sheet1!O245</f>
        <v/>
      </c>
      <c r="P245" s="19" t="str">
        <f>Sheet1!P245</f>
        <v/>
      </c>
      <c r="Q245" s="19" t="str">
        <f>Sheet1!Q245</f>
        <v/>
      </c>
      <c r="R245" s="19" t="str">
        <f>Sheet1!R245</f>
        <v/>
      </c>
      <c r="S245" s="19" t="str">
        <f>Sheet1!S245</f>
        <v/>
      </c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2"/>
      <c r="CC245" s="22"/>
      <c r="CD245" s="21"/>
      <c r="CE245" s="21"/>
      <c r="CF245" s="22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</row>
    <row r="246">
      <c r="A246" s="19" t="str">
        <f>Sheet1!A246</f>
        <v/>
      </c>
      <c r="B246" s="19" t="str">
        <f>Sheet1!B246</f>
        <v/>
      </c>
      <c r="C246" s="19" t="str">
        <f>Sheet1!C246</f>
        <v/>
      </c>
      <c r="D246" s="19" t="str">
        <f>Sheet1!D246</f>
        <v/>
      </c>
      <c r="E246" s="19" t="str">
        <f>Sheet1!E246</f>
        <v/>
      </c>
      <c r="F246" s="19" t="str">
        <f>Sheet1!F246</f>
        <v/>
      </c>
      <c r="G246" s="19" t="str">
        <f>Sheet1!G246</f>
        <v/>
      </c>
      <c r="H246" s="19" t="str">
        <f>Sheet1!H246</f>
        <v/>
      </c>
      <c r="I246" s="19" t="str">
        <f>Sheet1!I246</f>
        <v/>
      </c>
      <c r="J246" s="19" t="str">
        <f>Sheet1!J246</f>
        <v/>
      </c>
      <c r="K246" s="19" t="str">
        <f>Sheet1!K246</f>
        <v/>
      </c>
      <c r="L246" s="19" t="str">
        <f>Sheet1!L246</f>
        <v/>
      </c>
      <c r="M246" s="19" t="str">
        <f>Sheet1!M246</f>
        <v/>
      </c>
      <c r="N246" s="19" t="str">
        <f>Sheet1!N246</f>
        <v/>
      </c>
      <c r="O246" s="19" t="str">
        <f>Sheet1!O246</f>
        <v/>
      </c>
      <c r="P246" s="19" t="str">
        <f>Sheet1!P246</f>
        <v/>
      </c>
      <c r="Q246" s="19" t="str">
        <f>Sheet1!Q246</f>
        <v/>
      </c>
      <c r="R246" s="19" t="str">
        <f>Sheet1!R246</f>
        <v/>
      </c>
      <c r="S246" s="19" t="str">
        <f>Sheet1!S246</f>
        <v/>
      </c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2"/>
      <c r="CC246" s="22"/>
      <c r="CD246" s="21"/>
      <c r="CE246" s="21"/>
      <c r="CF246" s="22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</row>
    <row r="247">
      <c r="A247" s="19" t="str">
        <f>Sheet1!A247</f>
        <v/>
      </c>
      <c r="B247" s="19" t="str">
        <f>Sheet1!B247</f>
        <v/>
      </c>
      <c r="C247" s="19" t="str">
        <f>Sheet1!C247</f>
        <v/>
      </c>
      <c r="D247" s="19" t="str">
        <f>Sheet1!D247</f>
        <v/>
      </c>
      <c r="E247" s="19" t="str">
        <f>Sheet1!E247</f>
        <v/>
      </c>
      <c r="F247" s="19" t="str">
        <f>Sheet1!F247</f>
        <v/>
      </c>
      <c r="G247" s="19" t="str">
        <f>Sheet1!G247</f>
        <v/>
      </c>
      <c r="H247" s="19" t="str">
        <f>Sheet1!H247</f>
        <v/>
      </c>
      <c r="I247" s="19" t="str">
        <f>Sheet1!I247</f>
        <v/>
      </c>
      <c r="J247" s="19" t="str">
        <f>Sheet1!J247</f>
        <v/>
      </c>
      <c r="K247" s="19" t="str">
        <f>Sheet1!K247</f>
        <v/>
      </c>
      <c r="L247" s="19" t="str">
        <f>Sheet1!L247</f>
        <v/>
      </c>
      <c r="M247" s="19" t="str">
        <f>Sheet1!M247</f>
        <v/>
      </c>
      <c r="N247" s="19" t="str">
        <f>Sheet1!N247</f>
        <v/>
      </c>
      <c r="O247" s="19" t="str">
        <f>Sheet1!O247</f>
        <v/>
      </c>
      <c r="P247" s="19" t="str">
        <f>Sheet1!P247</f>
        <v/>
      </c>
      <c r="Q247" s="19" t="str">
        <f>Sheet1!Q247</f>
        <v/>
      </c>
      <c r="R247" s="19" t="str">
        <f>Sheet1!R247</f>
        <v/>
      </c>
      <c r="S247" s="19" t="str">
        <f>Sheet1!S247</f>
        <v/>
      </c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2"/>
      <c r="CC247" s="22"/>
      <c r="CD247" s="21"/>
      <c r="CE247" s="21"/>
      <c r="CF247" s="22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</row>
    <row r="248">
      <c r="A248" s="19" t="str">
        <f>Sheet1!A248</f>
        <v/>
      </c>
      <c r="B248" s="19" t="str">
        <f>Sheet1!B248</f>
        <v/>
      </c>
      <c r="C248" s="19" t="str">
        <f>Sheet1!C248</f>
        <v/>
      </c>
      <c r="D248" s="19" t="str">
        <f>Sheet1!D248</f>
        <v/>
      </c>
      <c r="E248" s="19" t="str">
        <f>Sheet1!E248</f>
        <v/>
      </c>
      <c r="F248" s="19" t="str">
        <f>Sheet1!F248</f>
        <v/>
      </c>
      <c r="G248" s="19" t="str">
        <f>Sheet1!G248</f>
        <v/>
      </c>
      <c r="H248" s="19" t="str">
        <f>Sheet1!H248</f>
        <v/>
      </c>
      <c r="I248" s="19" t="str">
        <f>Sheet1!I248</f>
        <v/>
      </c>
      <c r="J248" s="19" t="str">
        <f>Sheet1!J248</f>
        <v/>
      </c>
      <c r="K248" s="19" t="str">
        <f>Sheet1!K248</f>
        <v/>
      </c>
      <c r="L248" s="19" t="str">
        <f>Sheet1!L248</f>
        <v/>
      </c>
      <c r="M248" s="19" t="str">
        <f>Sheet1!M248</f>
        <v/>
      </c>
      <c r="N248" s="19" t="str">
        <f>Sheet1!N248</f>
        <v/>
      </c>
      <c r="O248" s="19" t="str">
        <f>Sheet1!O248</f>
        <v/>
      </c>
      <c r="P248" s="19" t="str">
        <f>Sheet1!P248</f>
        <v/>
      </c>
      <c r="Q248" s="19" t="str">
        <f>Sheet1!Q248</f>
        <v/>
      </c>
      <c r="R248" s="19" t="str">
        <f>Sheet1!R248</f>
        <v/>
      </c>
      <c r="S248" s="19" t="str">
        <f>Sheet1!S248</f>
        <v/>
      </c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2"/>
      <c r="CC248" s="22"/>
      <c r="CD248" s="21"/>
      <c r="CE248" s="21"/>
      <c r="CF248" s="22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</row>
    <row r="249">
      <c r="A249" s="19" t="str">
        <f>Sheet1!A249</f>
        <v/>
      </c>
      <c r="B249" s="19" t="str">
        <f>Sheet1!B249</f>
        <v/>
      </c>
      <c r="C249" s="19" t="str">
        <f>Sheet1!C249</f>
        <v/>
      </c>
      <c r="D249" s="19" t="str">
        <f>Sheet1!D249</f>
        <v/>
      </c>
      <c r="E249" s="19" t="str">
        <f>Sheet1!E249</f>
        <v/>
      </c>
      <c r="F249" s="19" t="str">
        <f>Sheet1!F249</f>
        <v/>
      </c>
      <c r="G249" s="19" t="str">
        <f>Sheet1!G249</f>
        <v/>
      </c>
      <c r="H249" s="19" t="str">
        <f>Sheet1!H249</f>
        <v/>
      </c>
      <c r="I249" s="19" t="str">
        <f>Sheet1!I249</f>
        <v/>
      </c>
      <c r="J249" s="19" t="str">
        <f>Sheet1!J249</f>
        <v/>
      </c>
      <c r="K249" s="19" t="str">
        <f>Sheet1!K249</f>
        <v/>
      </c>
      <c r="L249" s="19" t="str">
        <f>Sheet1!L249</f>
        <v/>
      </c>
      <c r="M249" s="19" t="str">
        <f>Sheet1!M249</f>
        <v/>
      </c>
      <c r="N249" s="19" t="str">
        <f>Sheet1!N249</f>
        <v/>
      </c>
      <c r="O249" s="19" t="str">
        <f>Sheet1!O249</f>
        <v/>
      </c>
      <c r="P249" s="19" t="str">
        <f>Sheet1!P249</f>
        <v/>
      </c>
      <c r="Q249" s="19" t="str">
        <f>Sheet1!Q249</f>
        <v/>
      </c>
      <c r="R249" s="19" t="str">
        <f>Sheet1!R249</f>
        <v/>
      </c>
      <c r="S249" s="19" t="str">
        <f>Sheet1!S249</f>
        <v/>
      </c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2"/>
      <c r="CC249" s="22"/>
      <c r="CD249" s="21"/>
      <c r="CE249" s="21"/>
      <c r="CF249" s="22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</row>
    <row r="250">
      <c r="A250" s="19" t="str">
        <f>Sheet1!A250</f>
        <v/>
      </c>
      <c r="B250" s="19" t="str">
        <f>Sheet1!B250</f>
        <v/>
      </c>
      <c r="C250" s="19" t="str">
        <f>Sheet1!C250</f>
        <v/>
      </c>
      <c r="D250" s="19" t="str">
        <f>Sheet1!D250</f>
        <v/>
      </c>
      <c r="E250" s="19" t="str">
        <f>Sheet1!E250</f>
        <v/>
      </c>
      <c r="F250" s="19" t="str">
        <f>Sheet1!F250</f>
        <v/>
      </c>
      <c r="G250" s="19" t="str">
        <f>Sheet1!G250</f>
        <v/>
      </c>
      <c r="H250" s="19" t="str">
        <f>Sheet1!H250</f>
        <v/>
      </c>
      <c r="I250" s="19" t="str">
        <f>Sheet1!I250</f>
        <v/>
      </c>
      <c r="J250" s="19" t="str">
        <f>Sheet1!J250</f>
        <v/>
      </c>
      <c r="K250" s="19" t="str">
        <f>Sheet1!K250</f>
        <v/>
      </c>
      <c r="L250" s="19" t="str">
        <f>Sheet1!L250</f>
        <v/>
      </c>
      <c r="M250" s="19" t="str">
        <f>Sheet1!M250</f>
        <v/>
      </c>
      <c r="N250" s="19" t="str">
        <f>Sheet1!N250</f>
        <v/>
      </c>
      <c r="O250" s="19" t="str">
        <f>Sheet1!O250</f>
        <v/>
      </c>
      <c r="P250" s="19" t="str">
        <f>Sheet1!P250</f>
        <v/>
      </c>
      <c r="Q250" s="19" t="str">
        <f>Sheet1!Q250</f>
        <v/>
      </c>
      <c r="R250" s="19" t="str">
        <f>Sheet1!R250</f>
        <v/>
      </c>
      <c r="S250" s="19" t="str">
        <f>Sheet1!S250</f>
        <v/>
      </c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2"/>
      <c r="CC250" s="22"/>
      <c r="CD250" s="21"/>
      <c r="CE250" s="21"/>
      <c r="CF250" s="22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</row>
    <row r="251">
      <c r="A251" s="19" t="str">
        <f>Sheet1!A251</f>
        <v/>
      </c>
      <c r="B251" s="19" t="str">
        <f>Sheet1!B251</f>
        <v/>
      </c>
      <c r="C251" s="19" t="str">
        <f>Sheet1!C251</f>
        <v/>
      </c>
      <c r="D251" s="19" t="str">
        <f>Sheet1!D251</f>
        <v/>
      </c>
      <c r="E251" s="19" t="str">
        <f>Sheet1!E251</f>
        <v/>
      </c>
      <c r="F251" s="19" t="str">
        <f>Sheet1!F251</f>
        <v/>
      </c>
      <c r="G251" s="19" t="str">
        <f>Sheet1!G251</f>
        <v/>
      </c>
      <c r="H251" s="19" t="str">
        <f>Sheet1!H251</f>
        <v/>
      </c>
      <c r="I251" s="19" t="str">
        <f>Sheet1!I251</f>
        <v/>
      </c>
      <c r="J251" s="19" t="str">
        <f>Sheet1!J251</f>
        <v/>
      </c>
      <c r="K251" s="19" t="str">
        <f>Sheet1!K251</f>
        <v/>
      </c>
      <c r="L251" s="19" t="str">
        <f>Sheet1!L251</f>
        <v/>
      </c>
      <c r="M251" s="19" t="str">
        <f>Sheet1!M251</f>
        <v/>
      </c>
      <c r="N251" s="19" t="str">
        <f>Sheet1!N251</f>
        <v/>
      </c>
      <c r="O251" s="19" t="str">
        <f>Sheet1!O251</f>
        <v/>
      </c>
      <c r="P251" s="19" t="str">
        <f>Sheet1!P251</f>
        <v/>
      </c>
      <c r="Q251" s="19" t="str">
        <f>Sheet1!Q251</f>
        <v/>
      </c>
      <c r="R251" s="19" t="str">
        <f>Sheet1!R251</f>
        <v/>
      </c>
      <c r="S251" s="19" t="str">
        <f>Sheet1!S251</f>
        <v/>
      </c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2"/>
      <c r="CC251" s="22"/>
      <c r="CD251" s="21"/>
      <c r="CE251" s="21"/>
      <c r="CF251" s="22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</row>
    <row r="252">
      <c r="A252" s="19" t="str">
        <f>Sheet1!A252</f>
        <v/>
      </c>
      <c r="B252" s="19" t="str">
        <f>Sheet1!B252</f>
        <v/>
      </c>
      <c r="C252" s="19" t="str">
        <f>Sheet1!C252</f>
        <v/>
      </c>
      <c r="D252" s="19" t="str">
        <f>Sheet1!D252</f>
        <v/>
      </c>
      <c r="E252" s="19" t="str">
        <f>Sheet1!E252</f>
        <v/>
      </c>
      <c r="F252" s="19" t="str">
        <f>Sheet1!F252</f>
        <v/>
      </c>
      <c r="G252" s="19" t="str">
        <f>Sheet1!G252</f>
        <v/>
      </c>
      <c r="H252" s="19" t="str">
        <f>Sheet1!H252</f>
        <v/>
      </c>
      <c r="I252" s="19" t="str">
        <f>Sheet1!I252</f>
        <v/>
      </c>
      <c r="J252" s="19" t="str">
        <f>Sheet1!J252</f>
        <v/>
      </c>
      <c r="K252" s="19" t="str">
        <f>Sheet1!K252</f>
        <v/>
      </c>
      <c r="L252" s="19" t="str">
        <f>Sheet1!L252</f>
        <v/>
      </c>
      <c r="M252" s="19" t="str">
        <f>Sheet1!M252</f>
        <v/>
      </c>
      <c r="N252" s="19" t="str">
        <f>Sheet1!N252</f>
        <v/>
      </c>
      <c r="O252" s="19" t="str">
        <f>Sheet1!O252</f>
        <v/>
      </c>
      <c r="P252" s="19" t="str">
        <f>Sheet1!P252</f>
        <v/>
      </c>
      <c r="Q252" s="19" t="str">
        <f>Sheet1!Q252</f>
        <v/>
      </c>
      <c r="R252" s="19" t="str">
        <f>Sheet1!R252</f>
        <v/>
      </c>
      <c r="S252" s="19" t="str">
        <f>Sheet1!S252</f>
        <v/>
      </c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2"/>
      <c r="CC252" s="22"/>
      <c r="CD252" s="21"/>
      <c r="CE252" s="21"/>
      <c r="CF252" s="22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</row>
    <row r="253">
      <c r="A253" s="19" t="str">
        <f>Sheet1!A253</f>
        <v/>
      </c>
      <c r="B253" s="19" t="str">
        <f>Sheet1!B253</f>
        <v/>
      </c>
      <c r="C253" s="19" t="str">
        <f>Sheet1!C253</f>
        <v/>
      </c>
      <c r="D253" s="19" t="str">
        <f>Sheet1!D253</f>
        <v/>
      </c>
      <c r="E253" s="19" t="str">
        <f>Sheet1!E253</f>
        <v/>
      </c>
      <c r="F253" s="19" t="str">
        <f>Sheet1!F253</f>
        <v/>
      </c>
      <c r="G253" s="19" t="str">
        <f>Sheet1!G253</f>
        <v/>
      </c>
      <c r="H253" s="19" t="str">
        <f>Sheet1!H253</f>
        <v/>
      </c>
      <c r="I253" s="19" t="str">
        <f>Sheet1!I253</f>
        <v/>
      </c>
      <c r="J253" s="19" t="str">
        <f>Sheet1!J253</f>
        <v/>
      </c>
      <c r="K253" s="19" t="str">
        <f>Sheet1!K253</f>
        <v/>
      </c>
      <c r="L253" s="19" t="str">
        <f>Sheet1!L253</f>
        <v/>
      </c>
      <c r="M253" s="19" t="str">
        <f>Sheet1!M253</f>
        <v/>
      </c>
      <c r="N253" s="19" t="str">
        <f>Sheet1!N253</f>
        <v/>
      </c>
      <c r="O253" s="19" t="str">
        <f>Sheet1!O253</f>
        <v/>
      </c>
      <c r="P253" s="19" t="str">
        <f>Sheet1!P253</f>
        <v/>
      </c>
      <c r="Q253" s="19" t="str">
        <f>Sheet1!Q253</f>
        <v/>
      </c>
      <c r="R253" s="19" t="str">
        <f>Sheet1!R253</f>
        <v/>
      </c>
      <c r="S253" s="19" t="str">
        <f>Sheet1!S253</f>
        <v/>
      </c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2"/>
      <c r="CC253" s="22"/>
      <c r="CD253" s="21"/>
      <c r="CE253" s="21"/>
      <c r="CF253" s="22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</row>
    <row r="254">
      <c r="A254" s="19" t="str">
        <f>Sheet1!A254</f>
        <v/>
      </c>
      <c r="B254" s="19" t="str">
        <f>Sheet1!B254</f>
        <v/>
      </c>
      <c r="C254" s="19" t="str">
        <f>Sheet1!C254</f>
        <v/>
      </c>
      <c r="D254" s="19" t="str">
        <f>Sheet1!D254</f>
        <v/>
      </c>
      <c r="E254" s="19" t="str">
        <f>Sheet1!E254</f>
        <v/>
      </c>
      <c r="F254" s="19" t="str">
        <f>Sheet1!F254</f>
        <v/>
      </c>
      <c r="G254" s="19" t="str">
        <f>Sheet1!G254</f>
        <v/>
      </c>
      <c r="H254" s="19" t="str">
        <f>Sheet1!H254</f>
        <v/>
      </c>
      <c r="I254" s="19" t="str">
        <f>Sheet1!I254</f>
        <v/>
      </c>
      <c r="J254" s="19" t="str">
        <f>Sheet1!J254</f>
        <v/>
      </c>
      <c r="K254" s="19" t="str">
        <f>Sheet1!K254</f>
        <v/>
      </c>
      <c r="L254" s="19" t="str">
        <f>Sheet1!L254</f>
        <v/>
      </c>
      <c r="M254" s="19" t="str">
        <f>Sheet1!M254</f>
        <v/>
      </c>
      <c r="N254" s="19" t="str">
        <f>Sheet1!N254</f>
        <v/>
      </c>
      <c r="O254" s="19" t="str">
        <f>Sheet1!O254</f>
        <v/>
      </c>
      <c r="P254" s="19" t="str">
        <f>Sheet1!P254</f>
        <v/>
      </c>
      <c r="Q254" s="19" t="str">
        <f>Sheet1!Q254</f>
        <v/>
      </c>
      <c r="R254" s="19" t="str">
        <f>Sheet1!R254</f>
        <v/>
      </c>
      <c r="S254" s="19" t="str">
        <f>Sheet1!S254</f>
        <v/>
      </c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2"/>
      <c r="CC254" s="22"/>
      <c r="CD254" s="21"/>
      <c r="CE254" s="21"/>
      <c r="CF254" s="22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</row>
    <row r="255">
      <c r="A255" s="19" t="str">
        <f>Sheet1!A255</f>
        <v/>
      </c>
      <c r="B255" s="19" t="str">
        <f>Sheet1!B255</f>
        <v/>
      </c>
      <c r="C255" s="19" t="str">
        <f>Sheet1!C255</f>
        <v/>
      </c>
      <c r="D255" s="19" t="str">
        <f>Sheet1!D255</f>
        <v/>
      </c>
      <c r="E255" s="19" t="str">
        <f>Sheet1!E255</f>
        <v/>
      </c>
      <c r="F255" s="19" t="str">
        <f>Sheet1!F255</f>
        <v/>
      </c>
      <c r="G255" s="19" t="str">
        <f>Sheet1!G255</f>
        <v/>
      </c>
      <c r="H255" s="19" t="str">
        <f>Sheet1!H255</f>
        <v/>
      </c>
      <c r="I255" s="19" t="str">
        <f>Sheet1!I255</f>
        <v/>
      </c>
      <c r="J255" s="19" t="str">
        <f>Sheet1!J255</f>
        <v/>
      </c>
      <c r="K255" s="19" t="str">
        <f>Sheet1!K255</f>
        <v/>
      </c>
      <c r="L255" s="19" t="str">
        <f>Sheet1!L255</f>
        <v/>
      </c>
      <c r="M255" s="19" t="str">
        <f>Sheet1!M255</f>
        <v/>
      </c>
      <c r="N255" s="19" t="str">
        <f>Sheet1!N255</f>
        <v/>
      </c>
      <c r="O255" s="19" t="str">
        <f>Sheet1!O255</f>
        <v/>
      </c>
      <c r="P255" s="19" t="str">
        <f>Sheet1!P255</f>
        <v/>
      </c>
      <c r="Q255" s="19" t="str">
        <f>Sheet1!Q255</f>
        <v/>
      </c>
      <c r="R255" s="19" t="str">
        <f>Sheet1!R255</f>
        <v/>
      </c>
      <c r="S255" s="19" t="str">
        <f>Sheet1!S255</f>
        <v/>
      </c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2"/>
      <c r="CC255" s="22"/>
      <c r="CD255" s="21"/>
      <c r="CE255" s="21"/>
      <c r="CF255" s="22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</row>
    <row r="256">
      <c r="A256" s="19" t="str">
        <f>Sheet1!A256</f>
        <v/>
      </c>
      <c r="B256" s="19" t="str">
        <f>Sheet1!B256</f>
        <v/>
      </c>
      <c r="C256" s="19" t="str">
        <f>Sheet1!C256</f>
        <v/>
      </c>
      <c r="D256" s="19" t="str">
        <f>Sheet1!D256</f>
        <v/>
      </c>
      <c r="E256" s="19" t="str">
        <f>Sheet1!E256</f>
        <v/>
      </c>
      <c r="F256" s="19" t="str">
        <f>Sheet1!F256</f>
        <v/>
      </c>
      <c r="G256" s="19" t="str">
        <f>Sheet1!G256</f>
        <v/>
      </c>
      <c r="H256" s="19" t="str">
        <f>Sheet1!H256</f>
        <v/>
      </c>
      <c r="I256" s="19" t="str">
        <f>Sheet1!I256</f>
        <v/>
      </c>
      <c r="J256" s="19" t="str">
        <f>Sheet1!J256</f>
        <v/>
      </c>
      <c r="K256" s="19" t="str">
        <f>Sheet1!K256</f>
        <v/>
      </c>
      <c r="L256" s="19" t="str">
        <f>Sheet1!L256</f>
        <v/>
      </c>
      <c r="M256" s="19" t="str">
        <f>Sheet1!M256</f>
        <v/>
      </c>
      <c r="N256" s="19" t="str">
        <f>Sheet1!N256</f>
        <v/>
      </c>
      <c r="O256" s="19" t="str">
        <f>Sheet1!O256</f>
        <v/>
      </c>
      <c r="P256" s="19" t="str">
        <f>Sheet1!P256</f>
        <v/>
      </c>
      <c r="Q256" s="19" t="str">
        <f>Sheet1!Q256</f>
        <v/>
      </c>
      <c r="R256" s="19" t="str">
        <f>Sheet1!R256</f>
        <v/>
      </c>
      <c r="S256" s="19" t="str">
        <f>Sheet1!S256</f>
        <v/>
      </c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2"/>
      <c r="CC256" s="22"/>
      <c r="CD256" s="21"/>
      <c r="CE256" s="21"/>
      <c r="CF256" s="22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</row>
    <row r="257">
      <c r="A257" s="19" t="str">
        <f>Sheet1!A257</f>
        <v/>
      </c>
      <c r="B257" s="19" t="str">
        <f>Sheet1!B257</f>
        <v/>
      </c>
      <c r="C257" s="19" t="str">
        <f>Sheet1!C257</f>
        <v/>
      </c>
      <c r="D257" s="19" t="str">
        <f>Sheet1!D257</f>
        <v/>
      </c>
      <c r="E257" s="19" t="str">
        <f>Sheet1!E257</f>
        <v/>
      </c>
      <c r="F257" s="19" t="str">
        <f>Sheet1!F257</f>
        <v/>
      </c>
      <c r="G257" s="19" t="str">
        <f>Sheet1!G257</f>
        <v/>
      </c>
      <c r="H257" s="19" t="str">
        <f>Sheet1!H257</f>
        <v/>
      </c>
      <c r="I257" s="19" t="str">
        <f>Sheet1!I257</f>
        <v/>
      </c>
      <c r="J257" s="19" t="str">
        <f>Sheet1!J257</f>
        <v/>
      </c>
      <c r="K257" s="19" t="str">
        <f>Sheet1!K257</f>
        <v/>
      </c>
      <c r="L257" s="19" t="str">
        <f>Sheet1!L257</f>
        <v/>
      </c>
      <c r="M257" s="19" t="str">
        <f>Sheet1!M257</f>
        <v/>
      </c>
      <c r="N257" s="19" t="str">
        <f>Sheet1!N257</f>
        <v/>
      </c>
      <c r="O257" s="19" t="str">
        <f>Sheet1!O257</f>
        <v/>
      </c>
      <c r="P257" s="19" t="str">
        <f>Sheet1!P257</f>
        <v/>
      </c>
      <c r="Q257" s="19" t="str">
        <f>Sheet1!Q257</f>
        <v/>
      </c>
      <c r="R257" s="19" t="str">
        <f>Sheet1!R257</f>
        <v/>
      </c>
      <c r="S257" s="19" t="str">
        <f>Sheet1!S257</f>
        <v/>
      </c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2"/>
      <c r="CC257" s="22"/>
      <c r="CD257" s="21"/>
      <c r="CE257" s="21"/>
      <c r="CF257" s="22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</row>
    <row r="258">
      <c r="A258" s="19" t="str">
        <f>Sheet1!A258</f>
        <v/>
      </c>
      <c r="B258" s="19" t="str">
        <f>Sheet1!B258</f>
        <v/>
      </c>
      <c r="C258" s="19" t="str">
        <f>Sheet1!C258</f>
        <v/>
      </c>
      <c r="D258" s="19" t="str">
        <f>Sheet1!D258</f>
        <v/>
      </c>
      <c r="E258" s="19" t="str">
        <f>Sheet1!E258</f>
        <v/>
      </c>
      <c r="F258" s="19" t="str">
        <f>Sheet1!F258</f>
        <v/>
      </c>
      <c r="G258" s="19" t="str">
        <f>Sheet1!G258</f>
        <v/>
      </c>
      <c r="H258" s="19" t="str">
        <f>Sheet1!H258</f>
        <v/>
      </c>
      <c r="I258" s="19" t="str">
        <f>Sheet1!I258</f>
        <v/>
      </c>
      <c r="J258" s="19" t="str">
        <f>Sheet1!J258</f>
        <v/>
      </c>
      <c r="K258" s="19" t="str">
        <f>Sheet1!K258</f>
        <v/>
      </c>
      <c r="L258" s="19" t="str">
        <f>Sheet1!L258</f>
        <v/>
      </c>
      <c r="M258" s="19" t="str">
        <f>Sheet1!M258</f>
        <v/>
      </c>
      <c r="N258" s="19" t="str">
        <f>Sheet1!N258</f>
        <v/>
      </c>
      <c r="O258" s="19" t="str">
        <f>Sheet1!O258</f>
        <v/>
      </c>
      <c r="P258" s="19" t="str">
        <f>Sheet1!P258</f>
        <v/>
      </c>
      <c r="Q258" s="19" t="str">
        <f>Sheet1!Q258</f>
        <v/>
      </c>
      <c r="R258" s="19" t="str">
        <f>Sheet1!R258</f>
        <v/>
      </c>
      <c r="S258" s="19" t="str">
        <f>Sheet1!S258</f>
        <v/>
      </c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2"/>
      <c r="CC258" s="22"/>
      <c r="CD258" s="21"/>
      <c r="CE258" s="21"/>
      <c r="CF258" s="22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</row>
    <row r="259">
      <c r="A259" s="19" t="str">
        <f>Sheet1!A259</f>
        <v/>
      </c>
      <c r="B259" s="19" t="str">
        <f>Sheet1!B259</f>
        <v/>
      </c>
      <c r="C259" s="19" t="str">
        <f>Sheet1!C259</f>
        <v/>
      </c>
      <c r="D259" s="19" t="str">
        <f>Sheet1!D259</f>
        <v/>
      </c>
      <c r="E259" s="19" t="str">
        <f>Sheet1!E259</f>
        <v/>
      </c>
      <c r="F259" s="19" t="str">
        <f>Sheet1!F259</f>
        <v/>
      </c>
      <c r="G259" s="19" t="str">
        <f>Sheet1!G259</f>
        <v/>
      </c>
      <c r="H259" s="19" t="str">
        <f>Sheet1!H259</f>
        <v/>
      </c>
      <c r="I259" s="19" t="str">
        <f>Sheet1!I259</f>
        <v/>
      </c>
      <c r="J259" s="19" t="str">
        <f>Sheet1!J259</f>
        <v/>
      </c>
      <c r="K259" s="19" t="str">
        <f>Sheet1!K259</f>
        <v/>
      </c>
      <c r="L259" s="19" t="str">
        <f>Sheet1!L259</f>
        <v/>
      </c>
      <c r="M259" s="19" t="str">
        <f>Sheet1!M259</f>
        <v/>
      </c>
      <c r="N259" s="19" t="str">
        <f>Sheet1!N259</f>
        <v/>
      </c>
      <c r="O259" s="19" t="str">
        <f>Sheet1!O259</f>
        <v/>
      </c>
      <c r="P259" s="19" t="str">
        <f>Sheet1!P259</f>
        <v/>
      </c>
      <c r="Q259" s="19" t="str">
        <f>Sheet1!Q259</f>
        <v/>
      </c>
      <c r="R259" s="19" t="str">
        <f>Sheet1!R259</f>
        <v/>
      </c>
      <c r="S259" s="19" t="str">
        <f>Sheet1!S259</f>
        <v/>
      </c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2"/>
      <c r="CC259" s="22"/>
      <c r="CD259" s="21"/>
      <c r="CE259" s="21"/>
      <c r="CF259" s="22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</row>
    <row r="260">
      <c r="A260" s="19" t="str">
        <f>Sheet1!A260</f>
        <v/>
      </c>
      <c r="B260" s="19" t="str">
        <f>Sheet1!B260</f>
        <v/>
      </c>
      <c r="C260" s="19" t="str">
        <f>Sheet1!C260</f>
        <v/>
      </c>
      <c r="D260" s="19" t="str">
        <f>Sheet1!D260</f>
        <v/>
      </c>
      <c r="E260" s="19" t="str">
        <f>Sheet1!E260</f>
        <v/>
      </c>
      <c r="F260" s="19" t="str">
        <f>Sheet1!F260</f>
        <v/>
      </c>
      <c r="G260" s="19" t="str">
        <f>Sheet1!G260</f>
        <v/>
      </c>
      <c r="H260" s="19" t="str">
        <f>Sheet1!H260</f>
        <v/>
      </c>
      <c r="I260" s="19" t="str">
        <f>Sheet1!I260</f>
        <v/>
      </c>
      <c r="J260" s="19" t="str">
        <f>Sheet1!J260</f>
        <v/>
      </c>
      <c r="K260" s="19" t="str">
        <f>Sheet1!K260</f>
        <v/>
      </c>
      <c r="L260" s="19" t="str">
        <f>Sheet1!L260</f>
        <v/>
      </c>
      <c r="M260" s="19" t="str">
        <f>Sheet1!M260</f>
        <v/>
      </c>
      <c r="N260" s="19" t="str">
        <f>Sheet1!N260</f>
        <v/>
      </c>
      <c r="O260" s="19" t="str">
        <f>Sheet1!O260</f>
        <v/>
      </c>
      <c r="P260" s="19" t="str">
        <f>Sheet1!P260</f>
        <v/>
      </c>
      <c r="Q260" s="19" t="str">
        <f>Sheet1!Q260</f>
        <v/>
      </c>
      <c r="R260" s="19" t="str">
        <f>Sheet1!R260</f>
        <v/>
      </c>
      <c r="S260" s="19" t="str">
        <f>Sheet1!S260</f>
        <v/>
      </c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2"/>
      <c r="CC260" s="22"/>
      <c r="CD260" s="21"/>
      <c r="CE260" s="21"/>
      <c r="CF260" s="22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</row>
    <row r="261">
      <c r="A261" s="19" t="str">
        <f>Sheet1!A261</f>
        <v/>
      </c>
      <c r="B261" s="19" t="str">
        <f>Sheet1!B261</f>
        <v/>
      </c>
      <c r="C261" s="19" t="str">
        <f>Sheet1!C261</f>
        <v/>
      </c>
      <c r="D261" s="19" t="str">
        <f>Sheet1!D261</f>
        <v/>
      </c>
      <c r="E261" s="19" t="str">
        <f>Sheet1!E261</f>
        <v/>
      </c>
      <c r="F261" s="19" t="str">
        <f>Sheet1!F261</f>
        <v/>
      </c>
      <c r="G261" s="19" t="str">
        <f>Sheet1!G261</f>
        <v/>
      </c>
      <c r="H261" s="19" t="str">
        <f>Sheet1!H261</f>
        <v/>
      </c>
      <c r="I261" s="19" t="str">
        <f>Sheet1!I261</f>
        <v/>
      </c>
      <c r="J261" s="19" t="str">
        <f>Sheet1!J261</f>
        <v/>
      </c>
      <c r="K261" s="19" t="str">
        <f>Sheet1!K261</f>
        <v/>
      </c>
      <c r="L261" s="19" t="str">
        <f>Sheet1!L261</f>
        <v/>
      </c>
      <c r="M261" s="19" t="str">
        <f>Sheet1!M261</f>
        <v/>
      </c>
      <c r="N261" s="19" t="str">
        <f>Sheet1!N261</f>
        <v/>
      </c>
      <c r="O261" s="19" t="str">
        <f>Sheet1!O261</f>
        <v/>
      </c>
      <c r="P261" s="19" t="str">
        <f>Sheet1!P261</f>
        <v/>
      </c>
      <c r="Q261" s="19" t="str">
        <f>Sheet1!Q261</f>
        <v/>
      </c>
      <c r="R261" s="19" t="str">
        <f>Sheet1!R261</f>
        <v/>
      </c>
      <c r="S261" s="19" t="str">
        <f>Sheet1!S261</f>
        <v/>
      </c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2"/>
      <c r="CC261" s="22"/>
      <c r="CD261" s="21"/>
      <c r="CE261" s="21"/>
      <c r="CF261" s="22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</row>
    <row r="262">
      <c r="A262" s="19" t="str">
        <f>Sheet1!A262</f>
        <v/>
      </c>
      <c r="B262" s="19" t="str">
        <f>Sheet1!B262</f>
        <v/>
      </c>
      <c r="C262" s="19" t="str">
        <f>Sheet1!C262</f>
        <v/>
      </c>
      <c r="D262" s="19" t="str">
        <f>Sheet1!D262</f>
        <v/>
      </c>
      <c r="E262" s="19" t="str">
        <f>Sheet1!E262</f>
        <v/>
      </c>
      <c r="F262" s="19" t="str">
        <f>Sheet1!F262</f>
        <v/>
      </c>
      <c r="G262" s="19" t="str">
        <f>Sheet1!G262</f>
        <v/>
      </c>
      <c r="H262" s="19" t="str">
        <f>Sheet1!H262</f>
        <v/>
      </c>
      <c r="I262" s="19" t="str">
        <f>Sheet1!I262</f>
        <v/>
      </c>
      <c r="J262" s="19" t="str">
        <f>Sheet1!J262</f>
        <v/>
      </c>
      <c r="K262" s="19" t="str">
        <f>Sheet1!K262</f>
        <v/>
      </c>
      <c r="L262" s="19" t="str">
        <f>Sheet1!L262</f>
        <v/>
      </c>
      <c r="M262" s="19" t="str">
        <f>Sheet1!M262</f>
        <v/>
      </c>
      <c r="N262" s="19" t="str">
        <f>Sheet1!N262</f>
        <v/>
      </c>
      <c r="O262" s="19" t="str">
        <f>Sheet1!O262</f>
        <v/>
      </c>
      <c r="P262" s="19" t="str">
        <f>Sheet1!P262</f>
        <v/>
      </c>
      <c r="Q262" s="19" t="str">
        <f>Sheet1!Q262</f>
        <v/>
      </c>
      <c r="R262" s="19" t="str">
        <f>Sheet1!R262</f>
        <v/>
      </c>
      <c r="S262" s="19" t="str">
        <f>Sheet1!S262</f>
        <v/>
      </c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2"/>
      <c r="CC262" s="22"/>
      <c r="CD262" s="21"/>
      <c r="CE262" s="21"/>
      <c r="CF262" s="22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</row>
    <row r="263">
      <c r="A263" s="19" t="str">
        <f>Sheet1!A263</f>
        <v/>
      </c>
      <c r="B263" s="19" t="str">
        <f>Sheet1!B263</f>
        <v/>
      </c>
      <c r="C263" s="19" t="str">
        <f>Sheet1!C263</f>
        <v/>
      </c>
      <c r="D263" s="19" t="str">
        <f>Sheet1!D263</f>
        <v/>
      </c>
      <c r="E263" s="19" t="str">
        <f>Sheet1!E263</f>
        <v/>
      </c>
      <c r="F263" s="19" t="str">
        <f>Sheet1!F263</f>
        <v/>
      </c>
      <c r="G263" s="19" t="str">
        <f>Sheet1!G263</f>
        <v/>
      </c>
      <c r="H263" s="19" t="str">
        <f>Sheet1!H263</f>
        <v/>
      </c>
      <c r="I263" s="19" t="str">
        <f>Sheet1!I263</f>
        <v/>
      </c>
      <c r="J263" s="19" t="str">
        <f>Sheet1!J263</f>
        <v/>
      </c>
      <c r="K263" s="19" t="str">
        <f>Sheet1!K263</f>
        <v/>
      </c>
      <c r="L263" s="19" t="str">
        <f>Sheet1!L263</f>
        <v/>
      </c>
      <c r="M263" s="19" t="str">
        <f>Sheet1!M263</f>
        <v/>
      </c>
      <c r="N263" s="19" t="str">
        <f>Sheet1!N263</f>
        <v/>
      </c>
      <c r="O263" s="19" t="str">
        <f>Sheet1!O263</f>
        <v/>
      </c>
      <c r="P263" s="19" t="str">
        <f>Sheet1!P263</f>
        <v/>
      </c>
      <c r="Q263" s="19" t="str">
        <f>Sheet1!Q263</f>
        <v/>
      </c>
      <c r="R263" s="19" t="str">
        <f>Sheet1!R263</f>
        <v/>
      </c>
      <c r="S263" s="19" t="str">
        <f>Sheet1!S263</f>
        <v/>
      </c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2"/>
      <c r="CC263" s="22"/>
      <c r="CD263" s="21"/>
      <c r="CE263" s="21"/>
      <c r="CF263" s="22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</row>
    <row r="264">
      <c r="A264" s="19" t="str">
        <f>Sheet1!A264</f>
        <v/>
      </c>
      <c r="B264" s="19" t="str">
        <f>Sheet1!B264</f>
        <v/>
      </c>
      <c r="C264" s="19" t="str">
        <f>Sheet1!C264</f>
        <v/>
      </c>
      <c r="D264" s="19" t="str">
        <f>Sheet1!D264</f>
        <v/>
      </c>
      <c r="E264" s="19" t="str">
        <f>Sheet1!E264</f>
        <v/>
      </c>
      <c r="F264" s="19" t="str">
        <f>Sheet1!F264</f>
        <v/>
      </c>
      <c r="G264" s="19" t="str">
        <f>Sheet1!G264</f>
        <v/>
      </c>
      <c r="H264" s="19" t="str">
        <f>Sheet1!H264</f>
        <v/>
      </c>
      <c r="I264" s="19" t="str">
        <f>Sheet1!I264</f>
        <v/>
      </c>
      <c r="J264" s="19" t="str">
        <f>Sheet1!J264</f>
        <v/>
      </c>
      <c r="K264" s="19" t="str">
        <f>Sheet1!K264</f>
        <v/>
      </c>
      <c r="L264" s="19" t="str">
        <f>Sheet1!L264</f>
        <v/>
      </c>
      <c r="M264" s="19" t="str">
        <f>Sheet1!M264</f>
        <v/>
      </c>
      <c r="N264" s="19" t="str">
        <f>Sheet1!N264</f>
        <v/>
      </c>
      <c r="O264" s="19" t="str">
        <f>Sheet1!O264</f>
        <v/>
      </c>
      <c r="P264" s="19" t="str">
        <f>Sheet1!P264</f>
        <v/>
      </c>
      <c r="Q264" s="19" t="str">
        <f>Sheet1!Q264</f>
        <v/>
      </c>
      <c r="R264" s="19" t="str">
        <f>Sheet1!R264</f>
        <v/>
      </c>
      <c r="S264" s="19" t="str">
        <f>Sheet1!S264</f>
        <v/>
      </c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2"/>
      <c r="CC264" s="22"/>
      <c r="CD264" s="21"/>
      <c r="CE264" s="21"/>
      <c r="CF264" s="22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</row>
    <row r="265">
      <c r="A265" s="19" t="str">
        <f>Sheet1!A265</f>
        <v/>
      </c>
      <c r="B265" s="19" t="str">
        <f>Sheet1!B265</f>
        <v/>
      </c>
      <c r="C265" s="19" t="str">
        <f>Sheet1!C265</f>
        <v/>
      </c>
      <c r="D265" s="19" t="str">
        <f>Sheet1!D265</f>
        <v/>
      </c>
      <c r="E265" s="19" t="str">
        <f>Sheet1!E265</f>
        <v/>
      </c>
      <c r="F265" s="19" t="str">
        <f>Sheet1!F265</f>
        <v/>
      </c>
      <c r="G265" s="19" t="str">
        <f>Sheet1!G265</f>
        <v/>
      </c>
      <c r="H265" s="19" t="str">
        <f>Sheet1!H265</f>
        <v/>
      </c>
      <c r="I265" s="19" t="str">
        <f>Sheet1!I265</f>
        <v/>
      </c>
      <c r="J265" s="19" t="str">
        <f>Sheet1!J265</f>
        <v/>
      </c>
      <c r="K265" s="19" t="str">
        <f>Sheet1!K265</f>
        <v/>
      </c>
      <c r="L265" s="19" t="str">
        <f>Sheet1!L265</f>
        <v/>
      </c>
      <c r="M265" s="19" t="str">
        <f>Sheet1!M265</f>
        <v/>
      </c>
      <c r="N265" s="19" t="str">
        <f>Sheet1!N265</f>
        <v/>
      </c>
      <c r="O265" s="19" t="str">
        <f>Sheet1!O265</f>
        <v/>
      </c>
      <c r="P265" s="19" t="str">
        <f>Sheet1!P265</f>
        <v/>
      </c>
      <c r="Q265" s="19" t="str">
        <f>Sheet1!Q265</f>
        <v/>
      </c>
      <c r="R265" s="19" t="str">
        <f>Sheet1!R265</f>
        <v/>
      </c>
      <c r="S265" s="19" t="str">
        <f>Sheet1!S265</f>
        <v/>
      </c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2"/>
      <c r="CC265" s="22"/>
      <c r="CD265" s="21"/>
      <c r="CE265" s="21"/>
      <c r="CF265" s="22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</row>
    <row r="266">
      <c r="A266" s="19" t="str">
        <f>Sheet1!A266</f>
        <v/>
      </c>
      <c r="B266" s="19" t="str">
        <f>Sheet1!B266</f>
        <v/>
      </c>
      <c r="C266" s="19" t="str">
        <f>Sheet1!C266</f>
        <v/>
      </c>
      <c r="D266" s="19" t="str">
        <f>Sheet1!D266</f>
        <v/>
      </c>
      <c r="E266" s="19" t="str">
        <f>Sheet1!E266</f>
        <v/>
      </c>
      <c r="F266" s="19" t="str">
        <f>Sheet1!F266</f>
        <v/>
      </c>
      <c r="G266" s="19" t="str">
        <f>Sheet1!G266</f>
        <v/>
      </c>
      <c r="H266" s="19" t="str">
        <f>Sheet1!H266</f>
        <v/>
      </c>
      <c r="I266" s="19" t="str">
        <f>Sheet1!I266</f>
        <v/>
      </c>
      <c r="J266" s="19" t="str">
        <f>Sheet1!J266</f>
        <v/>
      </c>
      <c r="K266" s="19" t="str">
        <f>Sheet1!K266</f>
        <v/>
      </c>
      <c r="L266" s="19" t="str">
        <f>Sheet1!L266</f>
        <v/>
      </c>
      <c r="M266" s="19" t="str">
        <f>Sheet1!M266</f>
        <v/>
      </c>
      <c r="N266" s="19" t="str">
        <f>Sheet1!N266</f>
        <v/>
      </c>
      <c r="O266" s="19" t="str">
        <f>Sheet1!O266</f>
        <v/>
      </c>
      <c r="P266" s="19" t="str">
        <f>Sheet1!P266</f>
        <v/>
      </c>
      <c r="Q266" s="19" t="str">
        <f>Sheet1!Q266</f>
        <v/>
      </c>
      <c r="R266" s="19" t="str">
        <f>Sheet1!R266</f>
        <v/>
      </c>
      <c r="S266" s="19" t="str">
        <f>Sheet1!S266</f>
        <v/>
      </c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</row>
    <row r="267">
      <c r="A267" s="19" t="str">
        <f>Sheet1!A267</f>
        <v/>
      </c>
      <c r="B267" s="19" t="str">
        <f>Sheet1!B267</f>
        <v/>
      </c>
      <c r="C267" s="19" t="str">
        <f>Sheet1!C267</f>
        <v/>
      </c>
      <c r="D267" s="19" t="str">
        <f>Sheet1!D267</f>
        <v/>
      </c>
      <c r="E267" s="19" t="str">
        <f>Sheet1!E267</f>
        <v/>
      </c>
      <c r="F267" s="19" t="str">
        <f>Sheet1!F267</f>
        <v/>
      </c>
      <c r="G267" s="19" t="str">
        <f>Sheet1!G267</f>
        <v/>
      </c>
      <c r="H267" s="19" t="str">
        <f>Sheet1!H267</f>
        <v/>
      </c>
      <c r="I267" s="19" t="str">
        <f>Sheet1!I267</f>
        <v/>
      </c>
      <c r="J267" s="19" t="str">
        <f>Sheet1!J267</f>
        <v/>
      </c>
      <c r="K267" s="19" t="str">
        <f>Sheet1!K267</f>
        <v/>
      </c>
      <c r="L267" s="19" t="str">
        <f>Sheet1!L267</f>
        <v/>
      </c>
      <c r="M267" s="19" t="str">
        <f>Sheet1!M267</f>
        <v/>
      </c>
      <c r="N267" s="19" t="str">
        <f>Sheet1!N267</f>
        <v/>
      </c>
      <c r="O267" s="19" t="str">
        <f>Sheet1!O267</f>
        <v/>
      </c>
      <c r="P267" s="19" t="str">
        <f>Sheet1!P267</f>
        <v/>
      </c>
      <c r="Q267" s="19" t="str">
        <f>Sheet1!Q267</f>
        <v/>
      </c>
      <c r="R267" s="19" t="str">
        <f>Sheet1!R267</f>
        <v/>
      </c>
      <c r="S267" s="19" t="str">
        <f>Sheet1!S267</f>
        <v/>
      </c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</row>
    <row r="268">
      <c r="A268" s="19" t="str">
        <f>Sheet1!A268</f>
        <v/>
      </c>
      <c r="B268" s="19" t="str">
        <f>Sheet1!B268</f>
        <v/>
      </c>
      <c r="C268" s="19" t="str">
        <f>Sheet1!C268</f>
        <v/>
      </c>
      <c r="D268" s="19" t="str">
        <f>Sheet1!D268</f>
        <v/>
      </c>
      <c r="E268" s="19" t="str">
        <f>Sheet1!E268</f>
        <v/>
      </c>
      <c r="F268" s="19" t="str">
        <f>Sheet1!F268</f>
        <v/>
      </c>
      <c r="G268" s="19" t="str">
        <f>Sheet1!G268</f>
        <v/>
      </c>
      <c r="H268" s="19" t="str">
        <f>Sheet1!H268</f>
        <v/>
      </c>
      <c r="I268" s="19" t="str">
        <f>Sheet1!I268</f>
        <v/>
      </c>
      <c r="J268" s="19" t="str">
        <f>Sheet1!J268</f>
        <v/>
      </c>
      <c r="K268" s="19" t="str">
        <f>Sheet1!K268</f>
        <v/>
      </c>
      <c r="L268" s="19" t="str">
        <f>Sheet1!L268</f>
        <v/>
      </c>
      <c r="M268" s="19" t="str">
        <f>Sheet1!M268</f>
        <v/>
      </c>
      <c r="N268" s="19" t="str">
        <f>Sheet1!N268</f>
        <v/>
      </c>
      <c r="O268" s="19" t="str">
        <f>Sheet1!O268</f>
        <v/>
      </c>
      <c r="P268" s="19" t="str">
        <f>Sheet1!P268</f>
        <v/>
      </c>
      <c r="Q268" s="19" t="str">
        <f>Sheet1!Q268</f>
        <v/>
      </c>
      <c r="R268" s="19" t="str">
        <f>Sheet1!R268</f>
        <v/>
      </c>
      <c r="S268" s="19" t="str">
        <f>Sheet1!S268</f>
        <v/>
      </c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</row>
    <row r="269">
      <c r="A269" s="19" t="str">
        <f>Sheet1!A269</f>
        <v/>
      </c>
      <c r="B269" s="19" t="str">
        <f>Sheet1!B269</f>
        <v/>
      </c>
      <c r="C269" s="19" t="str">
        <f>Sheet1!C269</f>
        <v/>
      </c>
      <c r="D269" s="19" t="str">
        <f>Sheet1!D269</f>
        <v/>
      </c>
      <c r="E269" s="19" t="str">
        <f>Sheet1!E269</f>
        <v/>
      </c>
      <c r="F269" s="19" t="str">
        <f>Sheet1!F269</f>
        <v/>
      </c>
      <c r="G269" s="19" t="str">
        <f>Sheet1!G269</f>
        <v/>
      </c>
      <c r="H269" s="19" t="str">
        <f>Sheet1!H269</f>
        <v/>
      </c>
      <c r="I269" s="19" t="str">
        <f>Sheet1!I269</f>
        <v/>
      </c>
      <c r="J269" s="19" t="str">
        <f>Sheet1!J269</f>
        <v/>
      </c>
      <c r="K269" s="19" t="str">
        <f>Sheet1!K269</f>
        <v/>
      </c>
      <c r="L269" s="19" t="str">
        <f>Sheet1!L269</f>
        <v/>
      </c>
      <c r="M269" s="19" t="str">
        <f>Sheet1!M269</f>
        <v/>
      </c>
      <c r="N269" s="19" t="str">
        <f>Sheet1!N269</f>
        <v/>
      </c>
      <c r="O269" s="19" t="str">
        <f>Sheet1!O269</f>
        <v/>
      </c>
      <c r="P269" s="19" t="str">
        <f>Sheet1!P269</f>
        <v/>
      </c>
      <c r="Q269" s="19" t="str">
        <f>Sheet1!Q269</f>
        <v/>
      </c>
      <c r="R269" s="19" t="str">
        <f>Sheet1!R269</f>
        <v/>
      </c>
      <c r="S269" s="19" t="str">
        <f>Sheet1!S269</f>
        <v/>
      </c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</row>
    <row r="270">
      <c r="A270" s="19" t="str">
        <f>Sheet1!A270</f>
        <v/>
      </c>
      <c r="B270" s="19" t="str">
        <f>Sheet1!B270</f>
        <v/>
      </c>
      <c r="C270" s="19" t="str">
        <f>Sheet1!C270</f>
        <v/>
      </c>
      <c r="D270" s="19" t="str">
        <f>Sheet1!D270</f>
        <v/>
      </c>
      <c r="E270" s="19" t="str">
        <f>Sheet1!E270</f>
        <v/>
      </c>
      <c r="F270" s="19" t="str">
        <f>Sheet1!F270</f>
        <v/>
      </c>
      <c r="G270" s="19" t="str">
        <f>Sheet1!G270</f>
        <v/>
      </c>
      <c r="H270" s="19" t="str">
        <f>Sheet1!H270</f>
        <v/>
      </c>
      <c r="I270" s="19" t="str">
        <f>Sheet1!I270</f>
        <v/>
      </c>
      <c r="J270" s="19" t="str">
        <f>Sheet1!J270</f>
        <v/>
      </c>
      <c r="K270" s="19" t="str">
        <f>Sheet1!K270</f>
        <v/>
      </c>
      <c r="L270" s="19" t="str">
        <f>Sheet1!L270</f>
        <v/>
      </c>
      <c r="M270" s="19" t="str">
        <f>Sheet1!M270</f>
        <v/>
      </c>
      <c r="N270" s="19" t="str">
        <f>Sheet1!N270</f>
        <v/>
      </c>
      <c r="O270" s="19" t="str">
        <f>Sheet1!O270</f>
        <v/>
      </c>
      <c r="P270" s="19" t="str">
        <f>Sheet1!P270</f>
        <v/>
      </c>
      <c r="Q270" s="19" t="str">
        <f>Sheet1!Q270</f>
        <v/>
      </c>
      <c r="R270" s="19" t="str">
        <f>Sheet1!R270</f>
        <v/>
      </c>
      <c r="S270" s="19" t="str">
        <f>Sheet1!S270</f>
        <v/>
      </c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</row>
    <row r="271">
      <c r="A271" s="19" t="str">
        <f>Sheet1!A271</f>
        <v/>
      </c>
      <c r="B271" s="19" t="str">
        <f>Sheet1!B271</f>
        <v/>
      </c>
      <c r="C271" s="19" t="str">
        <f>Sheet1!C271</f>
        <v/>
      </c>
      <c r="D271" s="19" t="str">
        <f>Sheet1!D271</f>
        <v/>
      </c>
      <c r="E271" s="19" t="str">
        <f>Sheet1!E271</f>
        <v/>
      </c>
      <c r="F271" s="19" t="str">
        <f>Sheet1!F271</f>
        <v/>
      </c>
      <c r="G271" s="19" t="str">
        <f>Sheet1!G271</f>
        <v/>
      </c>
      <c r="H271" s="19" t="str">
        <f>Sheet1!H271</f>
        <v/>
      </c>
      <c r="I271" s="19" t="str">
        <f>Sheet1!I271</f>
        <v/>
      </c>
      <c r="J271" s="19" t="str">
        <f>Sheet1!J271</f>
        <v/>
      </c>
      <c r="K271" s="19" t="str">
        <f>Sheet1!K271</f>
        <v/>
      </c>
      <c r="L271" s="19" t="str">
        <f>Sheet1!L271</f>
        <v/>
      </c>
      <c r="M271" s="19" t="str">
        <f>Sheet1!M271</f>
        <v/>
      </c>
      <c r="N271" s="19" t="str">
        <f>Sheet1!N271</f>
        <v/>
      </c>
      <c r="O271" s="19" t="str">
        <f>Sheet1!O271</f>
        <v/>
      </c>
      <c r="P271" s="19" t="str">
        <f>Sheet1!P271</f>
        <v/>
      </c>
      <c r="Q271" s="19" t="str">
        <f>Sheet1!Q271</f>
        <v/>
      </c>
      <c r="R271" s="19" t="str">
        <f>Sheet1!R271</f>
        <v/>
      </c>
      <c r="S271" s="19" t="str">
        <f>Sheet1!S271</f>
        <v/>
      </c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</row>
    <row r="272">
      <c r="A272" s="19" t="str">
        <f>Sheet1!A272</f>
        <v/>
      </c>
      <c r="B272" s="19" t="str">
        <f>Sheet1!B272</f>
        <v/>
      </c>
      <c r="C272" s="19" t="str">
        <f>Sheet1!C272</f>
        <v/>
      </c>
      <c r="D272" s="19" t="str">
        <f>Sheet1!D272</f>
        <v/>
      </c>
      <c r="E272" s="19" t="str">
        <f>Sheet1!E272</f>
        <v/>
      </c>
      <c r="F272" s="19" t="str">
        <f>Sheet1!F272</f>
        <v/>
      </c>
      <c r="G272" s="19" t="str">
        <f>Sheet1!G272</f>
        <v/>
      </c>
      <c r="H272" s="19" t="str">
        <f>Sheet1!H272</f>
        <v/>
      </c>
      <c r="I272" s="19" t="str">
        <f>Sheet1!I272</f>
        <v/>
      </c>
      <c r="J272" s="19" t="str">
        <f>Sheet1!J272</f>
        <v/>
      </c>
      <c r="K272" s="19" t="str">
        <f>Sheet1!K272</f>
        <v/>
      </c>
      <c r="L272" s="19" t="str">
        <f>Sheet1!L272</f>
        <v/>
      </c>
      <c r="M272" s="19" t="str">
        <f>Sheet1!M272</f>
        <v/>
      </c>
      <c r="N272" s="19" t="str">
        <f>Sheet1!N272</f>
        <v/>
      </c>
      <c r="O272" s="19" t="str">
        <f>Sheet1!O272</f>
        <v/>
      </c>
      <c r="P272" s="19" t="str">
        <f>Sheet1!P272</f>
        <v/>
      </c>
      <c r="Q272" s="19" t="str">
        <f>Sheet1!Q272</f>
        <v/>
      </c>
      <c r="R272" s="19" t="str">
        <f>Sheet1!R272</f>
        <v/>
      </c>
      <c r="S272" s="19" t="str">
        <f>Sheet1!S272</f>
        <v/>
      </c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</row>
    <row r="273">
      <c r="A273" s="19" t="str">
        <f>Sheet1!A273</f>
        <v/>
      </c>
      <c r="B273" s="19" t="str">
        <f>Sheet1!B273</f>
        <v/>
      </c>
      <c r="C273" s="19" t="str">
        <f>Sheet1!C273</f>
        <v/>
      </c>
      <c r="D273" s="19" t="str">
        <f>Sheet1!D273</f>
        <v/>
      </c>
      <c r="E273" s="19" t="str">
        <f>Sheet1!E273</f>
        <v/>
      </c>
      <c r="F273" s="19" t="str">
        <f>Sheet1!F273</f>
        <v/>
      </c>
      <c r="G273" s="19" t="str">
        <f>Sheet1!G273</f>
        <v/>
      </c>
      <c r="H273" s="19" t="str">
        <f>Sheet1!H273</f>
        <v/>
      </c>
      <c r="I273" s="19" t="str">
        <f>Sheet1!I273</f>
        <v/>
      </c>
      <c r="J273" s="19" t="str">
        <f>Sheet1!J273</f>
        <v/>
      </c>
      <c r="K273" s="19" t="str">
        <f>Sheet1!K273</f>
        <v/>
      </c>
      <c r="L273" s="19" t="str">
        <f>Sheet1!L273</f>
        <v/>
      </c>
      <c r="M273" s="19" t="str">
        <f>Sheet1!M273</f>
        <v/>
      </c>
      <c r="N273" s="19" t="str">
        <f>Sheet1!N273</f>
        <v/>
      </c>
      <c r="O273" s="19" t="str">
        <f>Sheet1!O273</f>
        <v/>
      </c>
      <c r="P273" s="19" t="str">
        <f>Sheet1!P273</f>
        <v/>
      </c>
      <c r="Q273" s="19" t="str">
        <f>Sheet1!Q273</f>
        <v/>
      </c>
      <c r="R273" s="19" t="str">
        <f>Sheet1!R273</f>
        <v/>
      </c>
      <c r="S273" s="19" t="str">
        <f>Sheet1!S273</f>
        <v/>
      </c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</row>
    <row r="274">
      <c r="A274" s="19" t="str">
        <f>Sheet1!A274</f>
        <v/>
      </c>
      <c r="B274" s="19" t="str">
        <f>Sheet1!B274</f>
        <v/>
      </c>
      <c r="C274" s="19" t="str">
        <f>Sheet1!C274</f>
        <v/>
      </c>
      <c r="D274" s="19" t="str">
        <f>Sheet1!D274</f>
        <v/>
      </c>
      <c r="E274" s="19" t="str">
        <f>Sheet1!E274</f>
        <v/>
      </c>
      <c r="F274" s="19" t="str">
        <f>Sheet1!F274</f>
        <v/>
      </c>
      <c r="G274" s="19" t="str">
        <f>Sheet1!G274</f>
        <v/>
      </c>
      <c r="H274" s="19" t="str">
        <f>Sheet1!H274</f>
        <v/>
      </c>
      <c r="I274" s="19" t="str">
        <f>Sheet1!I274</f>
        <v/>
      </c>
      <c r="J274" s="19" t="str">
        <f>Sheet1!J274</f>
        <v/>
      </c>
      <c r="K274" s="19" t="str">
        <f>Sheet1!K274</f>
        <v/>
      </c>
      <c r="L274" s="19" t="str">
        <f>Sheet1!L274</f>
        <v/>
      </c>
      <c r="M274" s="19" t="str">
        <f>Sheet1!M274</f>
        <v/>
      </c>
      <c r="N274" s="19" t="str">
        <f>Sheet1!N274</f>
        <v/>
      </c>
      <c r="O274" s="19" t="str">
        <f>Sheet1!O274</f>
        <v/>
      </c>
      <c r="P274" s="19" t="str">
        <f>Sheet1!P274</f>
        <v/>
      </c>
      <c r="Q274" s="19" t="str">
        <f>Sheet1!Q274</f>
        <v/>
      </c>
      <c r="R274" s="19" t="str">
        <f>Sheet1!R274</f>
        <v/>
      </c>
      <c r="S274" s="19" t="str">
        <f>Sheet1!S274</f>
        <v/>
      </c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</row>
    <row r="275">
      <c r="A275" s="19" t="str">
        <f>Sheet1!A275</f>
        <v/>
      </c>
      <c r="B275" s="19" t="str">
        <f>Sheet1!B275</f>
        <v/>
      </c>
      <c r="C275" s="19" t="str">
        <f>Sheet1!C275</f>
        <v/>
      </c>
      <c r="D275" s="19" t="str">
        <f>Sheet1!D275</f>
        <v/>
      </c>
      <c r="E275" s="19" t="str">
        <f>Sheet1!E275</f>
        <v/>
      </c>
      <c r="F275" s="19" t="str">
        <f>Sheet1!F275</f>
        <v/>
      </c>
      <c r="G275" s="19" t="str">
        <f>Sheet1!G275</f>
        <v/>
      </c>
      <c r="H275" s="19" t="str">
        <f>Sheet1!H275</f>
        <v/>
      </c>
      <c r="I275" s="19" t="str">
        <f>Sheet1!I275</f>
        <v/>
      </c>
      <c r="J275" s="19" t="str">
        <f>Sheet1!J275</f>
        <v/>
      </c>
      <c r="K275" s="19" t="str">
        <f>Sheet1!K275</f>
        <v/>
      </c>
      <c r="L275" s="19" t="str">
        <f>Sheet1!L275</f>
        <v/>
      </c>
      <c r="M275" s="19" t="str">
        <f>Sheet1!M275</f>
        <v/>
      </c>
      <c r="N275" s="19" t="str">
        <f>Sheet1!N275</f>
        <v/>
      </c>
      <c r="O275" s="19" t="str">
        <f>Sheet1!O275</f>
        <v/>
      </c>
      <c r="P275" s="19" t="str">
        <f>Sheet1!P275</f>
        <v/>
      </c>
      <c r="Q275" s="19" t="str">
        <f>Sheet1!Q275</f>
        <v/>
      </c>
      <c r="R275" s="19" t="str">
        <f>Sheet1!R275</f>
        <v/>
      </c>
      <c r="S275" s="19" t="str">
        <f>Sheet1!S275</f>
        <v/>
      </c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</row>
    <row r="276">
      <c r="A276" s="19" t="str">
        <f>Sheet1!A276</f>
        <v/>
      </c>
      <c r="B276" s="19" t="str">
        <f>Sheet1!B276</f>
        <v/>
      </c>
      <c r="C276" s="19" t="str">
        <f>Sheet1!C276</f>
        <v/>
      </c>
      <c r="D276" s="19" t="str">
        <f>Sheet1!D276</f>
        <v/>
      </c>
      <c r="E276" s="19" t="str">
        <f>Sheet1!E276</f>
        <v/>
      </c>
      <c r="F276" s="19" t="str">
        <f>Sheet1!F276</f>
        <v/>
      </c>
      <c r="G276" s="19" t="str">
        <f>Sheet1!G276</f>
        <v/>
      </c>
      <c r="H276" s="19" t="str">
        <f>Sheet1!H276</f>
        <v/>
      </c>
      <c r="I276" s="19" t="str">
        <f>Sheet1!I276</f>
        <v/>
      </c>
      <c r="J276" s="19" t="str">
        <f>Sheet1!J276</f>
        <v/>
      </c>
      <c r="K276" s="19" t="str">
        <f>Sheet1!K276</f>
        <v/>
      </c>
      <c r="L276" s="19" t="str">
        <f>Sheet1!L276</f>
        <v/>
      </c>
      <c r="M276" s="19" t="str">
        <f>Sheet1!M276</f>
        <v/>
      </c>
      <c r="N276" s="19" t="str">
        <f>Sheet1!N276</f>
        <v/>
      </c>
      <c r="O276" s="19" t="str">
        <f>Sheet1!O276</f>
        <v/>
      </c>
      <c r="P276" s="19" t="str">
        <f>Sheet1!P276</f>
        <v/>
      </c>
      <c r="Q276" s="19" t="str">
        <f>Sheet1!Q276</f>
        <v/>
      </c>
      <c r="R276" s="19" t="str">
        <f>Sheet1!R276</f>
        <v/>
      </c>
      <c r="S276" s="19" t="str">
        <f>Sheet1!S276</f>
        <v/>
      </c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</row>
    <row r="277">
      <c r="A277" s="19" t="str">
        <f>Sheet1!A277</f>
        <v/>
      </c>
      <c r="B277" s="19" t="str">
        <f>Sheet1!B277</f>
        <v/>
      </c>
      <c r="C277" s="19" t="str">
        <f>Sheet1!C277</f>
        <v/>
      </c>
      <c r="D277" s="19" t="str">
        <f>Sheet1!D277</f>
        <v/>
      </c>
      <c r="E277" s="19" t="str">
        <f>Sheet1!E277</f>
        <v/>
      </c>
      <c r="F277" s="19" t="str">
        <f>Sheet1!F277</f>
        <v/>
      </c>
      <c r="G277" s="19" t="str">
        <f>Sheet1!G277</f>
        <v/>
      </c>
      <c r="H277" s="19" t="str">
        <f>Sheet1!H277</f>
        <v/>
      </c>
      <c r="I277" s="19" t="str">
        <f>Sheet1!I277</f>
        <v/>
      </c>
      <c r="J277" s="19" t="str">
        <f>Sheet1!J277</f>
        <v/>
      </c>
      <c r="K277" s="19" t="str">
        <f>Sheet1!K277</f>
        <v/>
      </c>
      <c r="L277" s="19" t="str">
        <f>Sheet1!L277</f>
        <v/>
      </c>
      <c r="M277" s="19" t="str">
        <f>Sheet1!M277</f>
        <v/>
      </c>
      <c r="N277" s="19" t="str">
        <f>Sheet1!N277</f>
        <v/>
      </c>
      <c r="O277" s="19" t="str">
        <f>Sheet1!O277</f>
        <v/>
      </c>
      <c r="P277" s="19" t="str">
        <f>Sheet1!P277</f>
        <v/>
      </c>
      <c r="Q277" s="19" t="str">
        <f>Sheet1!Q277</f>
        <v/>
      </c>
      <c r="R277" s="19" t="str">
        <f>Sheet1!R277</f>
        <v/>
      </c>
      <c r="S277" s="19" t="str">
        <f>Sheet1!S277</f>
        <v/>
      </c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</row>
    <row r="278">
      <c r="A278" s="19" t="str">
        <f>Sheet1!A278</f>
        <v/>
      </c>
      <c r="B278" s="19" t="str">
        <f>Sheet1!B278</f>
        <v/>
      </c>
      <c r="C278" s="19" t="str">
        <f>Sheet1!C278</f>
        <v/>
      </c>
      <c r="D278" s="19" t="str">
        <f>Sheet1!D278</f>
        <v/>
      </c>
      <c r="E278" s="19" t="str">
        <f>Sheet1!E278</f>
        <v/>
      </c>
      <c r="F278" s="19" t="str">
        <f>Sheet1!F278</f>
        <v/>
      </c>
      <c r="G278" s="19" t="str">
        <f>Sheet1!G278</f>
        <v/>
      </c>
      <c r="H278" s="19" t="str">
        <f>Sheet1!H278</f>
        <v/>
      </c>
      <c r="I278" s="19" t="str">
        <f>Sheet1!I278</f>
        <v/>
      </c>
      <c r="J278" s="19" t="str">
        <f>Sheet1!J278</f>
        <v/>
      </c>
      <c r="K278" s="19" t="str">
        <f>Sheet1!K278</f>
        <v/>
      </c>
      <c r="L278" s="19" t="str">
        <f>Sheet1!L278</f>
        <v/>
      </c>
      <c r="M278" s="19" t="str">
        <f>Sheet1!M278</f>
        <v/>
      </c>
      <c r="N278" s="19" t="str">
        <f>Sheet1!N278</f>
        <v/>
      </c>
      <c r="O278" s="19" t="str">
        <f>Sheet1!O278</f>
        <v/>
      </c>
      <c r="P278" s="19" t="str">
        <f>Sheet1!P278</f>
        <v/>
      </c>
      <c r="Q278" s="19" t="str">
        <f>Sheet1!Q278</f>
        <v/>
      </c>
      <c r="R278" s="19" t="str">
        <f>Sheet1!R278</f>
        <v/>
      </c>
      <c r="S278" s="19" t="str">
        <f>Sheet1!S278</f>
        <v/>
      </c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</row>
    <row r="279">
      <c r="A279" s="19" t="str">
        <f>Sheet1!A279</f>
        <v/>
      </c>
      <c r="B279" s="19" t="str">
        <f>Sheet1!B279</f>
        <v/>
      </c>
      <c r="C279" s="19" t="str">
        <f>Sheet1!C279</f>
        <v/>
      </c>
      <c r="D279" s="19" t="str">
        <f>Sheet1!D279</f>
        <v/>
      </c>
      <c r="E279" s="19" t="str">
        <f>Sheet1!E279</f>
        <v/>
      </c>
      <c r="F279" s="19" t="str">
        <f>Sheet1!F279</f>
        <v/>
      </c>
      <c r="G279" s="19" t="str">
        <f>Sheet1!G279</f>
        <v/>
      </c>
      <c r="H279" s="19" t="str">
        <f>Sheet1!H279</f>
        <v/>
      </c>
      <c r="I279" s="19" t="str">
        <f>Sheet1!I279</f>
        <v/>
      </c>
      <c r="J279" s="19" t="str">
        <f>Sheet1!J279</f>
        <v/>
      </c>
      <c r="K279" s="19" t="str">
        <f>Sheet1!K279</f>
        <v/>
      </c>
      <c r="L279" s="19" t="str">
        <f>Sheet1!L279</f>
        <v/>
      </c>
      <c r="M279" s="19" t="str">
        <f>Sheet1!M279</f>
        <v/>
      </c>
      <c r="N279" s="19" t="str">
        <f>Sheet1!N279</f>
        <v/>
      </c>
      <c r="O279" s="19" t="str">
        <f>Sheet1!O279</f>
        <v/>
      </c>
      <c r="P279" s="19" t="str">
        <f>Sheet1!P279</f>
        <v/>
      </c>
      <c r="Q279" s="19" t="str">
        <f>Sheet1!Q279</f>
        <v/>
      </c>
      <c r="R279" s="19" t="str">
        <f>Sheet1!R279</f>
        <v/>
      </c>
      <c r="S279" s="19" t="str">
        <f>Sheet1!S279</f>
        <v/>
      </c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</row>
    <row r="280">
      <c r="A280" s="19" t="str">
        <f>Sheet1!A280</f>
        <v/>
      </c>
      <c r="B280" s="19" t="str">
        <f>Sheet1!B280</f>
        <v/>
      </c>
      <c r="C280" s="19" t="str">
        <f>Sheet1!C280</f>
        <v/>
      </c>
      <c r="D280" s="19" t="str">
        <f>Sheet1!D280</f>
        <v/>
      </c>
      <c r="E280" s="19" t="str">
        <f>Sheet1!E280</f>
        <v/>
      </c>
      <c r="F280" s="19" t="str">
        <f>Sheet1!F280</f>
        <v/>
      </c>
      <c r="G280" s="19" t="str">
        <f>Sheet1!G280</f>
        <v/>
      </c>
      <c r="H280" s="19" t="str">
        <f>Sheet1!H280</f>
        <v/>
      </c>
      <c r="I280" s="19" t="str">
        <f>Sheet1!I280</f>
        <v/>
      </c>
      <c r="J280" s="19" t="str">
        <f>Sheet1!J280</f>
        <v/>
      </c>
      <c r="K280" s="19" t="str">
        <f>Sheet1!K280</f>
        <v/>
      </c>
      <c r="L280" s="19" t="str">
        <f>Sheet1!L280</f>
        <v/>
      </c>
      <c r="M280" s="19" t="str">
        <f>Sheet1!M280</f>
        <v/>
      </c>
      <c r="N280" s="19" t="str">
        <f>Sheet1!N280</f>
        <v/>
      </c>
      <c r="O280" s="19" t="str">
        <f>Sheet1!O280</f>
        <v/>
      </c>
      <c r="P280" s="19" t="str">
        <f>Sheet1!P280</f>
        <v/>
      </c>
      <c r="Q280" s="19" t="str">
        <f>Sheet1!Q280</f>
        <v/>
      </c>
      <c r="R280" s="19" t="str">
        <f>Sheet1!R280</f>
        <v/>
      </c>
      <c r="S280" s="19" t="str">
        <f>Sheet1!S280</f>
        <v/>
      </c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</row>
    <row r="281">
      <c r="A281" s="19" t="str">
        <f>Sheet1!A281</f>
        <v/>
      </c>
      <c r="B281" s="19" t="str">
        <f>Sheet1!B281</f>
        <v/>
      </c>
      <c r="C281" s="19" t="str">
        <f>Sheet1!C281</f>
        <v/>
      </c>
      <c r="D281" s="19" t="str">
        <f>Sheet1!D281</f>
        <v/>
      </c>
      <c r="E281" s="19" t="str">
        <f>Sheet1!E281</f>
        <v/>
      </c>
      <c r="F281" s="19" t="str">
        <f>Sheet1!F281</f>
        <v/>
      </c>
      <c r="G281" s="19" t="str">
        <f>Sheet1!G281</f>
        <v/>
      </c>
      <c r="H281" s="19" t="str">
        <f>Sheet1!H281</f>
        <v/>
      </c>
      <c r="I281" s="19" t="str">
        <f>Sheet1!I281</f>
        <v/>
      </c>
      <c r="J281" s="19" t="str">
        <f>Sheet1!J281</f>
        <v/>
      </c>
      <c r="K281" s="19" t="str">
        <f>Sheet1!K281</f>
        <v/>
      </c>
      <c r="L281" s="19" t="str">
        <f>Sheet1!L281</f>
        <v/>
      </c>
      <c r="M281" s="19" t="str">
        <f>Sheet1!M281</f>
        <v/>
      </c>
      <c r="N281" s="19" t="str">
        <f>Sheet1!N281</f>
        <v/>
      </c>
      <c r="O281" s="19" t="str">
        <f>Sheet1!O281</f>
        <v/>
      </c>
      <c r="P281" s="19" t="str">
        <f>Sheet1!P281</f>
        <v/>
      </c>
      <c r="Q281" s="19" t="str">
        <f>Sheet1!Q281</f>
        <v/>
      </c>
      <c r="R281" s="19" t="str">
        <f>Sheet1!R281</f>
        <v/>
      </c>
      <c r="S281" s="19" t="str">
        <f>Sheet1!S281</f>
        <v/>
      </c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</row>
    <row r="282">
      <c r="A282" s="19" t="str">
        <f>Sheet1!A282</f>
        <v/>
      </c>
      <c r="B282" s="19" t="str">
        <f>Sheet1!B282</f>
        <v/>
      </c>
      <c r="C282" s="19" t="str">
        <f>Sheet1!C282</f>
        <v/>
      </c>
      <c r="D282" s="19" t="str">
        <f>Sheet1!D282</f>
        <v/>
      </c>
      <c r="E282" s="19" t="str">
        <f>Sheet1!E282</f>
        <v/>
      </c>
      <c r="F282" s="19" t="str">
        <f>Sheet1!F282</f>
        <v/>
      </c>
      <c r="G282" s="19" t="str">
        <f>Sheet1!G282</f>
        <v/>
      </c>
      <c r="H282" s="19" t="str">
        <f>Sheet1!H282</f>
        <v/>
      </c>
      <c r="I282" s="19" t="str">
        <f>Sheet1!I282</f>
        <v/>
      </c>
      <c r="J282" s="19" t="str">
        <f>Sheet1!J282</f>
        <v/>
      </c>
      <c r="K282" s="19" t="str">
        <f>Sheet1!K282</f>
        <v/>
      </c>
      <c r="L282" s="19" t="str">
        <f>Sheet1!L282</f>
        <v/>
      </c>
      <c r="M282" s="19" t="str">
        <f>Sheet1!M282</f>
        <v/>
      </c>
      <c r="N282" s="19" t="str">
        <f>Sheet1!N282</f>
        <v/>
      </c>
      <c r="O282" s="19" t="str">
        <f>Sheet1!O282</f>
        <v/>
      </c>
      <c r="P282" s="19" t="str">
        <f>Sheet1!P282</f>
        <v/>
      </c>
      <c r="Q282" s="19" t="str">
        <f>Sheet1!Q282</f>
        <v/>
      </c>
      <c r="R282" s="19" t="str">
        <f>Sheet1!R282</f>
        <v/>
      </c>
      <c r="S282" s="19" t="str">
        <f>Sheet1!S282</f>
        <v/>
      </c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</row>
    <row r="283">
      <c r="A283" s="19" t="str">
        <f>Sheet1!A283</f>
        <v/>
      </c>
      <c r="B283" s="19" t="str">
        <f>Sheet1!B283</f>
        <v/>
      </c>
      <c r="C283" s="19" t="str">
        <f>Sheet1!C283</f>
        <v/>
      </c>
      <c r="D283" s="19" t="str">
        <f>Sheet1!D283</f>
        <v/>
      </c>
      <c r="E283" s="19" t="str">
        <f>Sheet1!E283</f>
        <v/>
      </c>
      <c r="F283" s="19" t="str">
        <f>Sheet1!F283</f>
        <v/>
      </c>
      <c r="G283" s="19" t="str">
        <f>Sheet1!G283</f>
        <v/>
      </c>
      <c r="H283" s="19" t="str">
        <f>Sheet1!H283</f>
        <v/>
      </c>
      <c r="I283" s="19" t="str">
        <f>Sheet1!I283</f>
        <v/>
      </c>
      <c r="J283" s="19" t="str">
        <f>Sheet1!J283</f>
        <v/>
      </c>
      <c r="K283" s="19" t="str">
        <f>Sheet1!K283</f>
        <v/>
      </c>
      <c r="L283" s="19" t="str">
        <f>Sheet1!L283</f>
        <v/>
      </c>
      <c r="M283" s="19" t="str">
        <f>Sheet1!M283</f>
        <v/>
      </c>
      <c r="N283" s="19" t="str">
        <f>Sheet1!N283</f>
        <v/>
      </c>
      <c r="O283" s="19" t="str">
        <f>Sheet1!O283</f>
        <v/>
      </c>
      <c r="P283" s="19" t="str">
        <f>Sheet1!P283</f>
        <v/>
      </c>
      <c r="Q283" s="19" t="str">
        <f>Sheet1!Q283</f>
        <v/>
      </c>
      <c r="R283" s="19" t="str">
        <f>Sheet1!R283</f>
        <v/>
      </c>
      <c r="S283" s="19" t="str">
        <f>Sheet1!S283</f>
        <v/>
      </c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</row>
    <row r="284">
      <c r="A284" s="19" t="str">
        <f>Sheet1!A284</f>
        <v/>
      </c>
      <c r="B284" s="19" t="str">
        <f>Sheet1!B284</f>
        <v/>
      </c>
      <c r="C284" s="19" t="str">
        <f>Sheet1!C284</f>
        <v/>
      </c>
      <c r="D284" s="19" t="str">
        <f>Sheet1!D284</f>
        <v/>
      </c>
      <c r="E284" s="19" t="str">
        <f>Sheet1!E284</f>
        <v/>
      </c>
      <c r="F284" s="19" t="str">
        <f>Sheet1!F284</f>
        <v/>
      </c>
      <c r="G284" s="19" t="str">
        <f>Sheet1!G284</f>
        <v/>
      </c>
      <c r="H284" s="19" t="str">
        <f>Sheet1!H284</f>
        <v/>
      </c>
      <c r="I284" s="19" t="str">
        <f>Sheet1!I284</f>
        <v/>
      </c>
      <c r="J284" s="19" t="str">
        <f>Sheet1!J284</f>
        <v/>
      </c>
      <c r="K284" s="19" t="str">
        <f>Sheet1!K284</f>
        <v/>
      </c>
      <c r="L284" s="19" t="str">
        <f>Sheet1!L284</f>
        <v/>
      </c>
      <c r="M284" s="19" t="str">
        <f>Sheet1!M284</f>
        <v/>
      </c>
      <c r="N284" s="19" t="str">
        <f>Sheet1!N284</f>
        <v/>
      </c>
      <c r="O284" s="19" t="str">
        <f>Sheet1!O284</f>
        <v/>
      </c>
      <c r="P284" s="19" t="str">
        <f>Sheet1!P284</f>
        <v/>
      </c>
      <c r="Q284" s="19" t="str">
        <f>Sheet1!Q284</f>
        <v/>
      </c>
      <c r="R284" s="19" t="str">
        <f>Sheet1!R284</f>
        <v/>
      </c>
      <c r="S284" s="19" t="str">
        <f>Sheet1!S284</f>
        <v/>
      </c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</row>
    <row r="285">
      <c r="A285" s="19" t="str">
        <f>Sheet1!A285</f>
        <v/>
      </c>
      <c r="B285" s="19" t="str">
        <f>Sheet1!B285</f>
        <v/>
      </c>
      <c r="C285" s="19" t="str">
        <f>Sheet1!C285</f>
        <v/>
      </c>
      <c r="D285" s="19" t="str">
        <f>Sheet1!D285</f>
        <v/>
      </c>
      <c r="E285" s="19" t="str">
        <f>Sheet1!E285</f>
        <v/>
      </c>
      <c r="F285" s="19" t="str">
        <f>Sheet1!F285</f>
        <v/>
      </c>
      <c r="G285" s="19" t="str">
        <f>Sheet1!G285</f>
        <v/>
      </c>
      <c r="H285" s="19" t="str">
        <f>Sheet1!H285</f>
        <v/>
      </c>
      <c r="I285" s="19" t="str">
        <f>Sheet1!I285</f>
        <v/>
      </c>
      <c r="J285" s="19" t="str">
        <f>Sheet1!J285</f>
        <v/>
      </c>
      <c r="K285" s="19" t="str">
        <f>Sheet1!K285</f>
        <v/>
      </c>
      <c r="L285" s="19" t="str">
        <f>Sheet1!L285</f>
        <v/>
      </c>
      <c r="M285" s="19" t="str">
        <f>Sheet1!M285</f>
        <v/>
      </c>
      <c r="N285" s="19" t="str">
        <f>Sheet1!N285</f>
        <v/>
      </c>
      <c r="O285" s="19" t="str">
        <f>Sheet1!O285</f>
        <v/>
      </c>
      <c r="P285" s="19" t="str">
        <f>Sheet1!P285</f>
        <v/>
      </c>
      <c r="Q285" s="19" t="str">
        <f>Sheet1!Q285</f>
        <v/>
      </c>
      <c r="R285" s="19" t="str">
        <f>Sheet1!R285</f>
        <v/>
      </c>
      <c r="S285" s="19" t="str">
        <f>Sheet1!S285</f>
        <v/>
      </c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</row>
    <row r="286">
      <c r="A286" s="19" t="str">
        <f>Sheet1!A286</f>
        <v/>
      </c>
      <c r="B286" s="19" t="str">
        <f>Sheet1!B286</f>
        <v/>
      </c>
      <c r="C286" s="19" t="str">
        <f>Sheet1!C286</f>
        <v/>
      </c>
      <c r="D286" s="19" t="str">
        <f>Sheet1!D286</f>
        <v/>
      </c>
      <c r="E286" s="19" t="str">
        <f>Sheet1!E286</f>
        <v/>
      </c>
      <c r="F286" s="19" t="str">
        <f>Sheet1!F286</f>
        <v/>
      </c>
      <c r="G286" s="19" t="str">
        <f>Sheet1!G286</f>
        <v/>
      </c>
      <c r="H286" s="19" t="str">
        <f>Sheet1!H286</f>
        <v/>
      </c>
      <c r="I286" s="19" t="str">
        <f>Sheet1!I286</f>
        <v/>
      </c>
      <c r="J286" s="19" t="str">
        <f>Sheet1!J286</f>
        <v/>
      </c>
      <c r="K286" s="19" t="str">
        <f>Sheet1!K286</f>
        <v/>
      </c>
      <c r="L286" s="19" t="str">
        <f>Sheet1!L286</f>
        <v/>
      </c>
      <c r="M286" s="19" t="str">
        <f>Sheet1!M286</f>
        <v/>
      </c>
      <c r="N286" s="19" t="str">
        <f>Sheet1!N286</f>
        <v/>
      </c>
      <c r="O286" s="19" t="str">
        <f>Sheet1!O286</f>
        <v/>
      </c>
      <c r="P286" s="19" t="str">
        <f>Sheet1!P286</f>
        <v/>
      </c>
      <c r="Q286" s="19" t="str">
        <f>Sheet1!Q286</f>
        <v/>
      </c>
      <c r="R286" s="19" t="str">
        <f>Sheet1!R286</f>
        <v/>
      </c>
      <c r="S286" s="19" t="str">
        <f>Sheet1!S286</f>
        <v/>
      </c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</row>
    <row r="287">
      <c r="A287" s="19" t="str">
        <f>Sheet1!A287</f>
        <v/>
      </c>
      <c r="B287" s="19" t="str">
        <f>Sheet1!B287</f>
        <v/>
      </c>
      <c r="C287" s="19" t="str">
        <f>Sheet1!C287</f>
        <v/>
      </c>
      <c r="D287" s="19" t="str">
        <f>Sheet1!D287</f>
        <v/>
      </c>
      <c r="E287" s="19" t="str">
        <f>Sheet1!E287</f>
        <v/>
      </c>
      <c r="F287" s="19" t="str">
        <f>Sheet1!F287</f>
        <v/>
      </c>
      <c r="G287" s="19" t="str">
        <f>Sheet1!G287</f>
        <v/>
      </c>
      <c r="H287" s="19" t="str">
        <f>Sheet1!H287</f>
        <v/>
      </c>
      <c r="I287" s="19" t="str">
        <f>Sheet1!I287</f>
        <v/>
      </c>
      <c r="J287" s="19" t="str">
        <f>Sheet1!J287</f>
        <v/>
      </c>
      <c r="K287" s="19" t="str">
        <f>Sheet1!K287</f>
        <v/>
      </c>
      <c r="L287" s="19" t="str">
        <f>Sheet1!L287</f>
        <v/>
      </c>
      <c r="M287" s="19" t="str">
        <f>Sheet1!M287</f>
        <v/>
      </c>
      <c r="N287" s="19" t="str">
        <f>Sheet1!N287</f>
        <v/>
      </c>
      <c r="O287" s="19" t="str">
        <f>Sheet1!O287</f>
        <v/>
      </c>
      <c r="P287" s="19" t="str">
        <f>Sheet1!P287</f>
        <v/>
      </c>
      <c r="Q287" s="19" t="str">
        <f>Sheet1!Q287</f>
        <v/>
      </c>
      <c r="R287" s="19" t="str">
        <f>Sheet1!R287</f>
        <v/>
      </c>
      <c r="S287" s="19" t="str">
        <f>Sheet1!S287</f>
        <v/>
      </c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</row>
    <row r="288">
      <c r="A288" s="19" t="str">
        <f>Sheet1!A288</f>
        <v/>
      </c>
      <c r="B288" s="19" t="str">
        <f>Sheet1!B288</f>
        <v/>
      </c>
      <c r="C288" s="19" t="str">
        <f>Sheet1!C288</f>
        <v/>
      </c>
      <c r="D288" s="19" t="str">
        <f>Sheet1!D288</f>
        <v/>
      </c>
      <c r="E288" s="19" t="str">
        <f>Sheet1!E288</f>
        <v/>
      </c>
      <c r="F288" s="19" t="str">
        <f>Sheet1!F288</f>
        <v/>
      </c>
      <c r="G288" s="19" t="str">
        <f>Sheet1!G288</f>
        <v/>
      </c>
      <c r="H288" s="19" t="str">
        <f>Sheet1!H288</f>
        <v/>
      </c>
      <c r="I288" s="19" t="str">
        <f>Sheet1!I288</f>
        <v/>
      </c>
      <c r="J288" s="19" t="str">
        <f>Sheet1!J288</f>
        <v/>
      </c>
      <c r="K288" s="19" t="str">
        <f>Sheet1!K288</f>
        <v/>
      </c>
      <c r="L288" s="19" t="str">
        <f>Sheet1!L288</f>
        <v/>
      </c>
      <c r="M288" s="19" t="str">
        <f>Sheet1!M288</f>
        <v/>
      </c>
      <c r="N288" s="19" t="str">
        <f>Sheet1!N288</f>
        <v/>
      </c>
      <c r="O288" s="19" t="str">
        <f>Sheet1!O288</f>
        <v/>
      </c>
      <c r="P288" s="19" t="str">
        <f>Sheet1!P288</f>
        <v/>
      </c>
      <c r="Q288" s="19" t="str">
        <f>Sheet1!Q288</f>
        <v/>
      </c>
      <c r="R288" s="19" t="str">
        <f>Sheet1!R288</f>
        <v/>
      </c>
      <c r="S288" s="19" t="str">
        <f>Sheet1!S288</f>
        <v/>
      </c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</row>
    <row r="289">
      <c r="A289" s="19" t="str">
        <f>Sheet1!A289</f>
        <v/>
      </c>
      <c r="B289" s="19" t="str">
        <f>Sheet1!B289</f>
        <v/>
      </c>
      <c r="C289" s="19" t="str">
        <f>Sheet1!C289</f>
        <v/>
      </c>
      <c r="D289" s="19" t="str">
        <f>Sheet1!D289</f>
        <v/>
      </c>
      <c r="E289" s="19" t="str">
        <f>Sheet1!E289</f>
        <v/>
      </c>
      <c r="F289" s="19" t="str">
        <f>Sheet1!F289</f>
        <v/>
      </c>
      <c r="G289" s="19" t="str">
        <f>Sheet1!G289</f>
        <v/>
      </c>
      <c r="H289" s="19" t="str">
        <f>Sheet1!H289</f>
        <v/>
      </c>
      <c r="I289" s="19" t="str">
        <f>Sheet1!I289</f>
        <v/>
      </c>
      <c r="J289" s="19" t="str">
        <f>Sheet1!J289</f>
        <v/>
      </c>
      <c r="K289" s="19" t="str">
        <f>Sheet1!K289</f>
        <v/>
      </c>
      <c r="L289" s="19" t="str">
        <f>Sheet1!L289</f>
        <v/>
      </c>
      <c r="M289" s="19" t="str">
        <f>Sheet1!M289</f>
        <v/>
      </c>
      <c r="N289" s="19" t="str">
        <f>Sheet1!N289</f>
        <v/>
      </c>
      <c r="O289" s="19" t="str">
        <f>Sheet1!O289</f>
        <v/>
      </c>
      <c r="P289" s="19" t="str">
        <f>Sheet1!P289</f>
        <v/>
      </c>
      <c r="Q289" s="19" t="str">
        <f>Sheet1!Q289</f>
        <v/>
      </c>
      <c r="R289" s="19" t="str">
        <f>Sheet1!R289</f>
        <v/>
      </c>
      <c r="S289" s="19" t="str">
        <f>Sheet1!S289</f>
        <v/>
      </c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</row>
    <row r="290">
      <c r="A290" s="19" t="str">
        <f>Sheet1!A290</f>
        <v/>
      </c>
      <c r="B290" s="19" t="str">
        <f>Sheet1!B290</f>
        <v/>
      </c>
      <c r="C290" s="19" t="str">
        <f>Sheet1!C290</f>
        <v/>
      </c>
      <c r="D290" s="19" t="str">
        <f>Sheet1!D290</f>
        <v/>
      </c>
      <c r="E290" s="19" t="str">
        <f>Sheet1!E290</f>
        <v/>
      </c>
      <c r="F290" s="19" t="str">
        <f>Sheet1!F290</f>
        <v/>
      </c>
      <c r="G290" s="19" t="str">
        <f>Sheet1!G290</f>
        <v/>
      </c>
      <c r="H290" s="19" t="str">
        <f>Sheet1!H290</f>
        <v/>
      </c>
      <c r="I290" s="19" t="str">
        <f>Sheet1!I290</f>
        <v/>
      </c>
      <c r="J290" s="19" t="str">
        <f>Sheet1!J290</f>
        <v/>
      </c>
      <c r="K290" s="19" t="str">
        <f>Sheet1!K290</f>
        <v/>
      </c>
      <c r="L290" s="19" t="str">
        <f>Sheet1!L290</f>
        <v/>
      </c>
      <c r="M290" s="19" t="str">
        <f>Sheet1!M290</f>
        <v/>
      </c>
      <c r="N290" s="19" t="str">
        <f>Sheet1!N290</f>
        <v/>
      </c>
      <c r="O290" s="19" t="str">
        <f>Sheet1!O290</f>
        <v/>
      </c>
      <c r="P290" s="19" t="str">
        <f>Sheet1!P290</f>
        <v/>
      </c>
      <c r="Q290" s="19" t="str">
        <f>Sheet1!Q290</f>
        <v/>
      </c>
      <c r="R290" s="19" t="str">
        <f>Sheet1!R290</f>
        <v/>
      </c>
      <c r="S290" s="19" t="str">
        <f>Sheet1!S290</f>
        <v/>
      </c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</row>
    <row r="291">
      <c r="A291" s="19" t="str">
        <f>Sheet1!A291</f>
        <v/>
      </c>
      <c r="B291" s="19" t="str">
        <f>Sheet1!B291</f>
        <v/>
      </c>
      <c r="C291" s="19" t="str">
        <f>Sheet1!C291</f>
        <v/>
      </c>
      <c r="D291" s="19" t="str">
        <f>Sheet1!D291</f>
        <v/>
      </c>
      <c r="E291" s="19" t="str">
        <f>Sheet1!E291</f>
        <v/>
      </c>
      <c r="F291" s="19" t="str">
        <f>Sheet1!F291</f>
        <v/>
      </c>
      <c r="G291" s="19" t="str">
        <f>Sheet1!G291</f>
        <v/>
      </c>
      <c r="H291" s="19" t="str">
        <f>Sheet1!H291</f>
        <v/>
      </c>
      <c r="I291" s="19" t="str">
        <f>Sheet1!I291</f>
        <v/>
      </c>
      <c r="J291" s="19" t="str">
        <f>Sheet1!J291</f>
        <v/>
      </c>
      <c r="K291" s="19" t="str">
        <f>Sheet1!K291</f>
        <v/>
      </c>
      <c r="L291" s="19" t="str">
        <f>Sheet1!L291</f>
        <v/>
      </c>
      <c r="M291" s="19" t="str">
        <f>Sheet1!M291</f>
        <v/>
      </c>
      <c r="N291" s="19" t="str">
        <f>Sheet1!N291</f>
        <v/>
      </c>
      <c r="O291" s="19" t="str">
        <f>Sheet1!O291</f>
        <v/>
      </c>
      <c r="P291" s="19" t="str">
        <f>Sheet1!P291</f>
        <v/>
      </c>
      <c r="Q291" s="19" t="str">
        <f>Sheet1!Q291</f>
        <v/>
      </c>
      <c r="R291" s="19" t="str">
        <f>Sheet1!R291</f>
        <v/>
      </c>
      <c r="S291" s="19" t="str">
        <f>Sheet1!S291</f>
        <v/>
      </c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</row>
    <row r="292">
      <c r="A292" s="19" t="str">
        <f>Sheet1!A292</f>
        <v/>
      </c>
      <c r="B292" s="19" t="str">
        <f>Sheet1!B292</f>
        <v/>
      </c>
      <c r="C292" s="19" t="str">
        <f>Sheet1!C292</f>
        <v/>
      </c>
      <c r="D292" s="19" t="str">
        <f>Sheet1!D292</f>
        <v/>
      </c>
      <c r="E292" s="19" t="str">
        <f>Sheet1!E292</f>
        <v/>
      </c>
      <c r="F292" s="19" t="str">
        <f>Sheet1!F292</f>
        <v/>
      </c>
      <c r="G292" s="19" t="str">
        <f>Sheet1!G292</f>
        <v/>
      </c>
      <c r="H292" s="19" t="str">
        <f>Sheet1!H292</f>
        <v/>
      </c>
      <c r="I292" s="19" t="str">
        <f>Sheet1!I292</f>
        <v/>
      </c>
      <c r="J292" s="19" t="str">
        <f>Sheet1!J292</f>
        <v/>
      </c>
      <c r="K292" s="19" t="str">
        <f>Sheet1!K292</f>
        <v/>
      </c>
      <c r="L292" s="19" t="str">
        <f>Sheet1!L292</f>
        <v/>
      </c>
      <c r="M292" s="19" t="str">
        <f>Sheet1!M292</f>
        <v/>
      </c>
      <c r="N292" s="19" t="str">
        <f>Sheet1!N292</f>
        <v/>
      </c>
      <c r="O292" s="19" t="str">
        <f>Sheet1!O292</f>
        <v/>
      </c>
      <c r="P292" s="19" t="str">
        <f>Sheet1!P292</f>
        <v/>
      </c>
      <c r="Q292" s="19" t="str">
        <f>Sheet1!Q292</f>
        <v/>
      </c>
      <c r="R292" s="19" t="str">
        <f>Sheet1!R292</f>
        <v/>
      </c>
      <c r="S292" s="19" t="str">
        <f>Sheet1!S292</f>
        <v/>
      </c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</row>
    <row r="293">
      <c r="A293" s="19" t="str">
        <f>Sheet1!A293</f>
        <v/>
      </c>
      <c r="B293" s="19" t="str">
        <f>Sheet1!B293</f>
        <v/>
      </c>
      <c r="C293" s="19" t="str">
        <f>Sheet1!C293</f>
        <v/>
      </c>
      <c r="D293" s="19" t="str">
        <f>Sheet1!D293</f>
        <v/>
      </c>
      <c r="E293" s="19" t="str">
        <f>Sheet1!E293</f>
        <v/>
      </c>
      <c r="F293" s="19" t="str">
        <f>Sheet1!F293</f>
        <v/>
      </c>
      <c r="G293" s="19" t="str">
        <f>Sheet1!G293</f>
        <v/>
      </c>
      <c r="H293" s="19" t="str">
        <f>Sheet1!H293</f>
        <v/>
      </c>
      <c r="I293" s="19" t="str">
        <f>Sheet1!I293</f>
        <v/>
      </c>
      <c r="J293" s="19" t="str">
        <f>Sheet1!J293</f>
        <v/>
      </c>
      <c r="K293" s="19" t="str">
        <f>Sheet1!K293</f>
        <v/>
      </c>
      <c r="L293" s="19" t="str">
        <f>Sheet1!L293</f>
        <v/>
      </c>
      <c r="M293" s="19" t="str">
        <f>Sheet1!M293</f>
        <v/>
      </c>
      <c r="N293" s="19" t="str">
        <f>Sheet1!N293</f>
        <v/>
      </c>
      <c r="O293" s="19" t="str">
        <f>Sheet1!O293</f>
        <v/>
      </c>
      <c r="P293" s="19" t="str">
        <f>Sheet1!P293</f>
        <v/>
      </c>
      <c r="Q293" s="19" t="str">
        <f>Sheet1!Q293</f>
        <v/>
      </c>
      <c r="R293" s="19" t="str">
        <f>Sheet1!R293</f>
        <v/>
      </c>
      <c r="S293" s="19" t="str">
        <f>Sheet1!S293</f>
        <v/>
      </c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</row>
    <row r="294">
      <c r="A294" s="19" t="str">
        <f>Sheet1!A294</f>
        <v/>
      </c>
      <c r="B294" s="19" t="str">
        <f>Sheet1!B294</f>
        <v/>
      </c>
      <c r="C294" s="19" t="str">
        <f>Sheet1!C294</f>
        <v/>
      </c>
      <c r="D294" s="19" t="str">
        <f>Sheet1!D294</f>
        <v/>
      </c>
      <c r="E294" s="19" t="str">
        <f>Sheet1!E294</f>
        <v/>
      </c>
      <c r="F294" s="19" t="str">
        <f>Sheet1!F294</f>
        <v/>
      </c>
      <c r="G294" s="19" t="str">
        <f>Sheet1!G294</f>
        <v/>
      </c>
      <c r="H294" s="19" t="str">
        <f>Sheet1!H294</f>
        <v/>
      </c>
      <c r="I294" s="19" t="str">
        <f>Sheet1!I294</f>
        <v/>
      </c>
      <c r="J294" s="19" t="str">
        <f>Sheet1!J294</f>
        <v/>
      </c>
      <c r="K294" s="19" t="str">
        <f>Sheet1!K294</f>
        <v/>
      </c>
      <c r="L294" s="19" t="str">
        <f>Sheet1!L294</f>
        <v/>
      </c>
      <c r="M294" s="19" t="str">
        <f>Sheet1!M294</f>
        <v/>
      </c>
      <c r="N294" s="19" t="str">
        <f>Sheet1!N294</f>
        <v/>
      </c>
      <c r="O294" s="19" t="str">
        <f>Sheet1!O294</f>
        <v/>
      </c>
      <c r="P294" s="19" t="str">
        <f>Sheet1!P294</f>
        <v/>
      </c>
      <c r="Q294" s="19" t="str">
        <f>Sheet1!Q294</f>
        <v/>
      </c>
      <c r="R294" s="19" t="str">
        <f>Sheet1!R294</f>
        <v/>
      </c>
      <c r="S294" s="19" t="str">
        <f>Sheet1!S294</f>
        <v/>
      </c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</row>
    <row r="295">
      <c r="A295" s="19" t="str">
        <f>Sheet1!A295</f>
        <v/>
      </c>
      <c r="B295" s="19" t="str">
        <f>Sheet1!B295</f>
        <v/>
      </c>
      <c r="C295" s="19" t="str">
        <f>Sheet1!C295</f>
        <v/>
      </c>
      <c r="D295" s="19" t="str">
        <f>Sheet1!D295</f>
        <v/>
      </c>
      <c r="E295" s="19" t="str">
        <f>Sheet1!E295</f>
        <v/>
      </c>
      <c r="F295" s="19" t="str">
        <f>Sheet1!F295</f>
        <v/>
      </c>
      <c r="G295" s="19" t="str">
        <f>Sheet1!G295</f>
        <v/>
      </c>
      <c r="H295" s="19" t="str">
        <f>Sheet1!H295</f>
        <v/>
      </c>
      <c r="I295" s="19" t="str">
        <f>Sheet1!I295</f>
        <v/>
      </c>
      <c r="J295" s="19" t="str">
        <f>Sheet1!J295</f>
        <v/>
      </c>
      <c r="K295" s="19" t="str">
        <f>Sheet1!K295</f>
        <v/>
      </c>
      <c r="L295" s="19" t="str">
        <f>Sheet1!L295</f>
        <v/>
      </c>
      <c r="M295" s="19" t="str">
        <f>Sheet1!M295</f>
        <v/>
      </c>
      <c r="N295" s="19" t="str">
        <f>Sheet1!N295</f>
        <v/>
      </c>
      <c r="O295" s="19" t="str">
        <f>Sheet1!O295</f>
        <v/>
      </c>
      <c r="P295" s="19" t="str">
        <f>Sheet1!P295</f>
        <v/>
      </c>
      <c r="Q295" s="19" t="str">
        <f>Sheet1!Q295</f>
        <v/>
      </c>
      <c r="R295" s="19" t="str">
        <f>Sheet1!R295</f>
        <v/>
      </c>
      <c r="S295" s="19" t="str">
        <f>Sheet1!S295</f>
        <v/>
      </c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</row>
    <row r="296">
      <c r="A296" s="19" t="str">
        <f>Sheet1!A296</f>
        <v/>
      </c>
      <c r="B296" s="19" t="str">
        <f>Sheet1!B296</f>
        <v/>
      </c>
      <c r="C296" s="19" t="str">
        <f>Sheet1!C296</f>
        <v/>
      </c>
      <c r="D296" s="19" t="str">
        <f>Sheet1!D296</f>
        <v/>
      </c>
      <c r="E296" s="19" t="str">
        <f>Sheet1!E296</f>
        <v/>
      </c>
      <c r="F296" s="19" t="str">
        <f>Sheet1!F296</f>
        <v/>
      </c>
      <c r="G296" s="19" t="str">
        <f>Sheet1!G296</f>
        <v/>
      </c>
      <c r="H296" s="19" t="str">
        <f>Sheet1!H296</f>
        <v/>
      </c>
      <c r="I296" s="19" t="str">
        <f>Sheet1!I296</f>
        <v/>
      </c>
      <c r="J296" s="19" t="str">
        <f>Sheet1!J296</f>
        <v/>
      </c>
      <c r="K296" s="19" t="str">
        <f>Sheet1!K296</f>
        <v/>
      </c>
      <c r="L296" s="19" t="str">
        <f>Sheet1!L296</f>
        <v/>
      </c>
      <c r="M296" s="19" t="str">
        <f>Sheet1!M296</f>
        <v/>
      </c>
      <c r="N296" s="19" t="str">
        <f>Sheet1!N296</f>
        <v/>
      </c>
      <c r="O296" s="19" t="str">
        <f>Sheet1!O296</f>
        <v/>
      </c>
      <c r="P296" s="19" t="str">
        <f>Sheet1!P296</f>
        <v/>
      </c>
      <c r="Q296" s="19" t="str">
        <f>Sheet1!Q296</f>
        <v/>
      </c>
      <c r="R296" s="19" t="str">
        <f>Sheet1!R296</f>
        <v/>
      </c>
      <c r="S296" s="19" t="str">
        <f>Sheet1!S296</f>
        <v/>
      </c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</row>
    <row r="297">
      <c r="A297" s="19" t="str">
        <f>Sheet1!A297</f>
        <v/>
      </c>
      <c r="B297" s="19" t="str">
        <f>Sheet1!B297</f>
        <v/>
      </c>
      <c r="C297" s="19" t="str">
        <f>Sheet1!C297</f>
        <v/>
      </c>
      <c r="D297" s="19" t="str">
        <f>Sheet1!D297</f>
        <v/>
      </c>
      <c r="E297" s="19" t="str">
        <f>Sheet1!E297</f>
        <v/>
      </c>
      <c r="F297" s="19" t="str">
        <f>Sheet1!F297</f>
        <v/>
      </c>
      <c r="G297" s="19" t="str">
        <f>Sheet1!G297</f>
        <v/>
      </c>
      <c r="H297" s="19" t="str">
        <f>Sheet1!H297</f>
        <v/>
      </c>
      <c r="I297" s="19" t="str">
        <f>Sheet1!I297</f>
        <v/>
      </c>
      <c r="J297" s="19" t="str">
        <f>Sheet1!J297</f>
        <v/>
      </c>
      <c r="K297" s="19" t="str">
        <f>Sheet1!K297</f>
        <v/>
      </c>
      <c r="L297" s="19" t="str">
        <f>Sheet1!L297</f>
        <v/>
      </c>
      <c r="M297" s="19" t="str">
        <f>Sheet1!M297</f>
        <v/>
      </c>
      <c r="N297" s="19" t="str">
        <f>Sheet1!N297</f>
        <v/>
      </c>
      <c r="O297" s="19" t="str">
        <f>Sheet1!O297</f>
        <v/>
      </c>
      <c r="P297" s="19" t="str">
        <f>Sheet1!P297</f>
        <v/>
      </c>
      <c r="Q297" s="19" t="str">
        <f>Sheet1!Q297</f>
        <v/>
      </c>
      <c r="R297" s="19" t="str">
        <f>Sheet1!R297</f>
        <v/>
      </c>
      <c r="S297" s="19" t="str">
        <f>Sheet1!S297</f>
        <v/>
      </c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</row>
    <row r="298">
      <c r="A298" s="19" t="str">
        <f>Sheet1!A298</f>
        <v/>
      </c>
      <c r="B298" s="19" t="str">
        <f>Sheet1!B298</f>
        <v/>
      </c>
      <c r="C298" s="19" t="str">
        <f>Sheet1!C298</f>
        <v/>
      </c>
      <c r="D298" s="19" t="str">
        <f>Sheet1!D298</f>
        <v/>
      </c>
      <c r="E298" s="19" t="str">
        <f>Sheet1!E298</f>
        <v/>
      </c>
      <c r="F298" s="19" t="str">
        <f>Sheet1!F298</f>
        <v/>
      </c>
      <c r="G298" s="19" t="str">
        <f>Sheet1!G298</f>
        <v/>
      </c>
      <c r="H298" s="19" t="str">
        <f>Sheet1!H298</f>
        <v/>
      </c>
      <c r="I298" s="19" t="str">
        <f>Sheet1!I298</f>
        <v/>
      </c>
      <c r="J298" s="19" t="str">
        <f>Sheet1!J298</f>
        <v/>
      </c>
      <c r="K298" s="19" t="str">
        <f>Sheet1!K298</f>
        <v/>
      </c>
      <c r="L298" s="19" t="str">
        <f>Sheet1!L298</f>
        <v/>
      </c>
      <c r="M298" s="19" t="str">
        <f>Sheet1!M298</f>
        <v/>
      </c>
      <c r="N298" s="19" t="str">
        <f>Sheet1!N298</f>
        <v/>
      </c>
      <c r="O298" s="19" t="str">
        <f>Sheet1!O298</f>
        <v/>
      </c>
      <c r="P298" s="19" t="str">
        <f>Sheet1!P298</f>
        <v/>
      </c>
      <c r="Q298" s="19" t="str">
        <f>Sheet1!Q298</f>
        <v/>
      </c>
      <c r="R298" s="19" t="str">
        <f>Sheet1!R298</f>
        <v/>
      </c>
      <c r="S298" s="19" t="str">
        <f>Sheet1!S298</f>
        <v/>
      </c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</row>
    <row r="299">
      <c r="A299" s="19" t="str">
        <f>Sheet1!A299</f>
        <v/>
      </c>
      <c r="B299" s="19" t="str">
        <f>Sheet1!B299</f>
        <v/>
      </c>
      <c r="C299" s="19" t="str">
        <f>Sheet1!C299</f>
        <v/>
      </c>
      <c r="D299" s="19" t="str">
        <f>Sheet1!D299</f>
        <v/>
      </c>
      <c r="E299" s="19" t="str">
        <f>Sheet1!E299</f>
        <v/>
      </c>
      <c r="F299" s="19" t="str">
        <f>Sheet1!F299</f>
        <v/>
      </c>
      <c r="G299" s="19" t="str">
        <f>Sheet1!G299</f>
        <v/>
      </c>
      <c r="H299" s="19" t="str">
        <f>Sheet1!H299</f>
        <v/>
      </c>
      <c r="I299" s="19" t="str">
        <f>Sheet1!I299</f>
        <v/>
      </c>
      <c r="J299" s="19" t="str">
        <f>Sheet1!J299</f>
        <v/>
      </c>
      <c r="K299" s="19" t="str">
        <f>Sheet1!K299</f>
        <v/>
      </c>
      <c r="L299" s="19" t="str">
        <f>Sheet1!L299</f>
        <v/>
      </c>
      <c r="M299" s="19" t="str">
        <f>Sheet1!M299</f>
        <v/>
      </c>
      <c r="N299" s="19" t="str">
        <f>Sheet1!N299</f>
        <v/>
      </c>
      <c r="O299" s="19" t="str">
        <f>Sheet1!O299</f>
        <v/>
      </c>
      <c r="P299" s="19" t="str">
        <f>Sheet1!P299</f>
        <v/>
      </c>
      <c r="Q299" s="19" t="str">
        <f>Sheet1!Q299</f>
        <v/>
      </c>
      <c r="R299" s="19" t="str">
        <f>Sheet1!R299</f>
        <v/>
      </c>
      <c r="S299" s="19" t="str">
        <f>Sheet1!S299</f>
        <v/>
      </c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</row>
    <row r="300">
      <c r="A300" s="19" t="str">
        <f>Sheet1!A300</f>
        <v/>
      </c>
      <c r="B300" s="19" t="str">
        <f>Sheet1!B300</f>
        <v/>
      </c>
      <c r="C300" s="19" t="str">
        <f>Sheet1!C300</f>
        <v/>
      </c>
      <c r="D300" s="19" t="str">
        <f>Sheet1!D300</f>
        <v/>
      </c>
      <c r="E300" s="19" t="str">
        <f>Sheet1!E300</f>
        <v/>
      </c>
      <c r="F300" s="19" t="str">
        <f>Sheet1!F300</f>
        <v/>
      </c>
      <c r="G300" s="19" t="str">
        <f>Sheet1!G300</f>
        <v/>
      </c>
      <c r="H300" s="19" t="str">
        <f>Sheet1!H300</f>
        <v/>
      </c>
      <c r="I300" s="19" t="str">
        <f>Sheet1!I300</f>
        <v/>
      </c>
      <c r="J300" s="19" t="str">
        <f>Sheet1!J300</f>
        <v/>
      </c>
      <c r="K300" s="19" t="str">
        <f>Sheet1!K300</f>
        <v/>
      </c>
      <c r="L300" s="19" t="str">
        <f>Sheet1!L300</f>
        <v/>
      </c>
      <c r="M300" s="19" t="str">
        <f>Sheet1!M300</f>
        <v/>
      </c>
      <c r="N300" s="19" t="str">
        <f>Sheet1!N300</f>
        <v/>
      </c>
      <c r="O300" s="19" t="str">
        <f>Sheet1!O300</f>
        <v/>
      </c>
      <c r="P300" s="19" t="str">
        <f>Sheet1!P300</f>
        <v/>
      </c>
      <c r="Q300" s="19" t="str">
        <f>Sheet1!Q300</f>
        <v/>
      </c>
      <c r="R300" s="19" t="str">
        <f>Sheet1!R300</f>
        <v/>
      </c>
      <c r="S300" s="19" t="str">
        <f>Sheet1!S300</f>
        <v/>
      </c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</row>
    <row r="301">
      <c r="A301" s="19" t="str">
        <f>Sheet1!A301</f>
        <v/>
      </c>
      <c r="B301" s="19" t="str">
        <f>Sheet1!B301</f>
        <v/>
      </c>
      <c r="C301" s="19" t="str">
        <f>Sheet1!C301</f>
        <v/>
      </c>
      <c r="D301" s="19" t="str">
        <f>Sheet1!D301</f>
        <v/>
      </c>
      <c r="E301" s="19" t="str">
        <f>Sheet1!E301</f>
        <v/>
      </c>
      <c r="F301" s="19" t="str">
        <f>Sheet1!F301</f>
        <v/>
      </c>
      <c r="G301" s="19" t="str">
        <f>Sheet1!G301</f>
        <v/>
      </c>
      <c r="H301" s="19" t="str">
        <f>Sheet1!H301</f>
        <v/>
      </c>
      <c r="I301" s="19" t="str">
        <f>Sheet1!I301</f>
        <v/>
      </c>
      <c r="J301" s="19" t="str">
        <f>Sheet1!J301</f>
        <v/>
      </c>
      <c r="K301" s="19" t="str">
        <f>Sheet1!K301</f>
        <v/>
      </c>
      <c r="L301" s="19" t="str">
        <f>Sheet1!L301</f>
        <v/>
      </c>
      <c r="M301" s="19" t="str">
        <f>Sheet1!M301</f>
        <v/>
      </c>
      <c r="N301" s="19" t="str">
        <f>Sheet1!N301</f>
        <v/>
      </c>
      <c r="O301" s="19" t="str">
        <f>Sheet1!O301</f>
        <v/>
      </c>
      <c r="P301" s="19" t="str">
        <f>Sheet1!P301</f>
        <v/>
      </c>
      <c r="Q301" s="19" t="str">
        <f>Sheet1!Q301</f>
        <v/>
      </c>
      <c r="R301" s="19" t="str">
        <f>Sheet1!R301</f>
        <v/>
      </c>
      <c r="S301" s="19" t="str">
        <f>Sheet1!S301</f>
        <v/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</row>
    <row r="302">
      <c r="A302" s="19" t="str">
        <f>Sheet1!A302</f>
        <v/>
      </c>
      <c r="B302" s="19" t="str">
        <f>Sheet1!B302</f>
        <v/>
      </c>
      <c r="C302" s="19" t="str">
        <f>Sheet1!C302</f>
        <v/>
      </c>
      <c r="D302" s="19" t="str">
        <f>Sheet1!D302</f>
        <v/>
      </c>
      <c r="E302" s="19" t="str">
        <f>Sheet1!E302</f>
        <v/>
      </c>
      <c r="F302" s="19" t="str">
        <f>Sheet1!F302</f>
        <v/>
      </c>
      <c r="G302" s="19" t="str">
        <f>Sheet1!G302</f>
        <v/>
      </c>
      <c r="H302" s="19" t="str">
        <f>Sheet1!H302</f>
        <v/>
      </c>
      <c r="I302" s="19" t="str">
        <f>Sheet1!I302</f>
        <v/>
      </c>
      <c r="J302" s="19" t="str">
        <f>Sheet1!J302</f>
        <v/>
      </c>
      <c r="K302" s="19" t="str">
        <f>Sheet1!K302</f>
        <v/>
      </c>
      <c r="L302" s="19" t="str">
        <f>Sheet1!L302</f>
        <v/>
      </c>
      <c r="M302" s="19" t="str">
        <f>Sheet1!M302</f>
        <v/>
      </c>
      <c r="N302" s="19" t="str">
        <f>Sheet1!N302</f>
        <v/>
      </c>
      <c r="O302" s="19" t="str">
        <f>Sheet1!O302</f>
        <v/>
      </c>
      <c r="P302" s="19" t="str">
        <f>Sheet1!P302</f>
        <v/>
      </c>
      <c r="Q302" s="19" t="str">
        <f>Sheet1!Q302</f>
        <v/>
      </c>
      <c r="R302" s="19" t="str">
        <f>Sheet1!R302</f>
        <v/>
      </c>
      <c r="S302" s="19" t="str">
        <f>Sheet1!S302</f>
        <v/>
      </c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</row>
    <row r="303">
      <c r="A303" s="19" t="str">
        <f>Sheet1!A303</f>
        <v/>
      </c>
      <c r="B303" s="19" t="str">
        <f>Sheet1!B303</f>
        <v/>
      </c>
      <c r="C303" s="19" t="str">
        <f>Sheet1!C303</f>
        <v/>
      </c>
      <c r="D303" s="19" t="str">
        <f>Sheet1!D303</f>
        <v/>
      </c>
      <c r="E303" s="19" t="str">
        <f>Sheet1!E303</f>
        <v/>
      </c>
      <c r="F303" s="19" t="str">
        <f>Sheet1!F303</f>
        <v/>
      </c>
      <c r="G303" s="19" t="str">
        <f>Sheet1!G303</f>
        <v/>
      </c>
      <c r="H303" s="19" t="str">
        <f>Sheet1!H303</f>
        <v/>
      </c>
      <c r="I303" s="19" t="str">
        <f>Sheet1!I303</f>
        <v/>
      </c>
      <c r="J303" s="19" t="str">
        <f>Sheet1!J303</f>
        <v/>
      </c>
      <c r="K303" s="19" t="str">
        <f>Sheet1!K303</f>
        <v/>
      </c>
      <c r="L303" s="19" t="str">
        <f>Sheet1!L303</f>
        <v/>
      </c>
      <c r="M303" s="19" t="str">
        <f>Sheet1!M303</f>
        <v/>
      </c>
      <c r="N303" s="19" t="str">
        <f>Sheet1!N303</f>
        <v/>
      </c>
      <c r="O303" s="19" t="str">
        <f>Sheet1!O303</f>
        <v/>
      </c>
      <c r="P303" s="19" t="str">
        <f>Sheet1!P303</f>
        <v/>
      </c>
      <c r="Q303" s="19" t="str">
        <f>Sheet1!Q303</f>
        <v/>
      </c>
      <c r="R303" s="19" t="str">
        <f>Sheet1!R303</f>
        <v/>
      </c>
      <c r="S303" s="19" t="str">
        <f>Sheet1!S303</f>
        <v/>
      </c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</row>
    <row r="304">
      <c r="A304" s="19" t="str">
        <f>Sheet1!A304</f>
        <v/>
      </c>
      <c r="B304" s="19" t="str">
        <f>Sheet1!B304</f>
        <v/>
      </c>
      <c r="C304" s="19" t="str">
        <f>Sheet1!C304</f>
        <v/>
      </c>
      <c r="D304" s="19" t="str">
        <f>Sheet1!D304</f>
        <v/>
      </c>
      <c r="E304" s="19" t="str">
        <f>Sheet1!E304</f>
        <v/>
      </c>
      <c r="F304" s="19" t="str">
        <f>Sheet1!F304</f>
        <v/>
      </c>
      <c r="G304" s="19" t="str">
        <f>Sheet1!G304</f>
        <v/>
      </c>
      <c r="H304" s="19" t="str">
        <f>Sheet1!H304</f>
        <v/>
      </c>
      <c r="I304" s="19" t="str">
        <f>Sheet1!I304</f>
        <v/>
      </c>
      <c r="J304" s="19" t="str">
        <f>Sheet1!J304</f>
        <v/>
      </c>
      <c r="K304" s="19" t="str">
        <f>Sheet1!K304</f>
        <v/>
      </c>
      <c r="L304" s="19" t="str">
        <f>Sheet1!L304</f>
        <v/>
      </c>
      <c r="M304" s="19" t="str">
        <f>Sheet1!M304</f>
        <v/>
      </c>
      <c r="N304" s="19" t="str">
        <f>Sheet1!N304</f>
        <v/>
      </c>
      <c r="O304" s="19" t="str">
        <f>Sheet1!O304</f>
        <v/>
      </c>
      <c r="P304" s="19" t="str">
        <f>Sheet1!P304</f>
        <v/>
      </c>
      <c r="Q304" s="19" t="str">
        <f>Sheet1!Q304</f>
        <v/>
      </c>
      <c r="R304" s="19" t="str">
        <f>Sheet1!R304</f>
        <v/>
      </c>
      <c r="S304" s="19" t="str">
        <f>Sheet1!S304</f>
        <v/>
      </c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/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</row>
    <row r="305">
      <c r="A305" s="19" t="str">
        <f>Sheet1!A305</f>
        <v/>
      </c>
      <c r="B305" s="19" t="str">
        <f>Sheet1!B305</f>
        <v/>
      </c>
      <c r="C305" s="19" t="str">
        <f>Sheet1!C305</f>
        <v/>
      </c>
      <c r="D305" s="19" t="str">
        <f>Sheet1!D305</f>
        <v/>
      </c>
      <c r="E305" s="19" t="str">
        <f>Sheet1!E305</f>
        <v/>
      </c>
      <c r="F305" s="19" t="str">
        <f>Sheet1!F305</f>
        <v/>
      </c>
      <c r="G305" s="19" t="str">
        <f>Sheet1!G305</f>
        <v/>
      </c>
      <c r="H305" s="19" t="str">
        <f>Sheet1!H305</f>
        <v/>
      </c>
      <c r="I305" s="19" t="str">
        <f>Sheet1!I305</f>
        <v/>
      </c>
      <c r="J305" s="19" t="str">
        <f>Sheet1!J305</f>
        <v/>
      </c>
      <c r="K305" s="19" t="str">
        <f>Sheet1!K305</f>
        <v/>
      </c>
      <c r="L305" s="19" t="str">
        <f>Sheet1!L305</f>
        <v/>
      </c>
      <c r="M305" s="19" t="str">
        <f>Sheet1!M305</f>
        <v/>
      </c>
      <c r="N305" s="19" t="str">
        <f>Sheet1!N305</f>
        <v/>
      </c>
      <c r="O305" s="19" t="str">
        <f>Sheet1!O305</f>
        <v/>
      </c>
      <c r="P305" s="19" t="str">
        <f>Sheet1!P305</f>
        <v/>
      </c>
      <c r="Q305" s="19" t="str">
        <f>Sheet1!Q305</f>
        <v/>
      </c>
      <c r="R305" s="19" t="str">
        <f>Sheet1!R305</f>
        <v/>
      </c>
      <c r="S305" s="19" t="str">
        <f>Sheet1!S305</f>
        <v/>
      </c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</row>
    <row r="306">
      <c r="A306" s="19" t="str">
        <f>Sheet1!A306</f>
        <v/>
      </c>
      <c r="B306" s="19" t="str">
        <f>Sheet1!B306</f>
        <v/>
      </c>
      <c r="C306" s="19" t="str">
        <f>Sheet1!C306</f>
        <v/>
      </c>
      <c r="D306" s="19" t="str">
        <f>Sheet1!D306</f>
        <v/>
      </c>
      <c r="E306" s="19" t="str">
        <f>Sheet1!E306</f>
        <v/>
      </c>
      <c r="F306" s="19" t="str">
        <f>Sheet1!F306</f>
        <v/>
      </c>
      <c r="G306" s="19" t="str">
        <f>Sheet1!G306</f>
        <v/>
      </c>
      <c r="H306" s="19" t="str">
        <f>Sheet1!H306</f>
        <v/>
      </c>
      <c r="I306" s="19" t="str">
        <f>Sheet1!I306</f>
        <v/>
      </c>
      <c r="J306" s="19" t="str">
        <f>Sheet1!J306</f>
        <v/>
      </c>
      <c r="K306" s="19" t="str">
        <f>Sheet1!K306</f>
        <v/>
      </c>
      <c r="L306" s="19" t="str">
        <f>Sheet1!L306</f>
        <v/>
      </c>
      <c r="M306" s="19" t="str">
        <f>Sheet1!M306</f>
        <v/>
      </c>
      <c r="N306" s="19" t="str">
        <f>Sheet1!N306</f>
        <v/>
      </c>
      <c r="O306" s="19" t="str">
        <f>Sheet1!O306</f>
        <v/>
      </c>
      <c r="P306" s="19" t="str">
        <f>Sheet1!P306</f>
        <v/>
      </c>
      <c r="Q306" s="19" t="str">
        <f>Sheet1!Q306</f>
        <v/>
      </c>
      <c r="R306" s="19" t="str">
        <f>Sheet1!R306</f>
        <v/>
      </c>
      <c r="S306" s="19" t="str">
        <f>Sheet1!S306</f>
        <v/>
      </c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</row>
    <row r="307">
      <c r="A307" s="19" t="str">
        <f>Sheet1!A307</f>
        <v/>
      </c>
      <c r="B307" s="19" t="str">
        <f>Sheet1!B307</f>
        <v/>
      </c>
      <c r="C307" s="19" t="str">
        <f>Sheet1!C307</f>
        <v/>
      </c>
      <c r="D307" s="19" t="str">
        <f>Sheet1!D307</f>
        <v/>
      </c>
      <c r="E307" s="19" t="str">
        <f>Sheet1!E307</f>
        <v/>
      </c>
      <c r="F307" s="19" t="str">
        <f>Sheet1!F307</f>
        <v/>
      </c>
      <c r="G307" s="19" t="str">
        <f>Sheet1!G307</f>
        <v/>
      </c>
      <c r="H307" s="19" t="str">
        <f>Sheet1!H307</f>
        <v/>
      </c>
      <c r="I307" s="19" t="str">
        <f>Sheet1!I307</f>
        <v/>
      </c>
      <c r="J307" s="19" t="str">
        <f>Sheet1!J307</f>
        <v/>
      </c>
      <c r="K307" s="19" t="str">
        <f>Sheet1!K307</f>
        <v/>
      </c>
      <c r="L307" s="19" t="str">
        <f>Sheet1!L307</f>
        <v/>
      </c>
      <c r="M307" s="19" t="str">
        <f>Sheet1!M307</f>
        <v/>
      </c>
      <c r="N307" s="19" t="str">
        <f>Sheet1!N307</f>
        <v/>
      </c>
      <c r="O307" s="19" t="str">
        <f>Sheet1!O307</f>
        <v/>
      </c>
      <c r="P307" s="19" t="str">
        <f>Sheet1!P307</f>
        <v/>
      </c>
      <c r="Q307" s="19" t="str">
        <f>Sheet1!Q307</f>
        <v/>
      </c>
      <c r="R307" s="19" t="str">
        <f>Sheet1!R307</f>
        <v/>
      </c>
      <c r="S307" s="19" t="str">
        <f>Sheet1!S307</f>
        <v/>
      </c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</row>
    <row r="308">
      <c r="A308" s="19" t="str">
        <f>Sheet1!A308</f>
        <v/>
      </c>
      <c r="B308" s="19" t="str">
        <f>Sheet1!B308</f>
        <v/>
      </c>
      <c r="C308" s="19" t="str">
        <f>Sheet1!C308</f>
        <v/>
      </c>
      <c r="D308" s="19" t="str">
        <f>Sheet1!D308</f>
        <v/>
      </c>
      <c r="E308" s="19" t="str">
        <f>Sheet1!E308</f>
        <v/>
      </c>
      <c r="F308" s="19" t="str">
        <f>Sheet1!F308</f>
        <v/>
      </c>
      <c r="G308" s="19" t="str">
        <f>Sheet1!G308</f>
        <v/>
      </c>
      <c r="H308" s="19" t="str">
        <f>Sheet1!H308</f>
        <v/>
      </c>
      <c r="I308" s="19" t="str">
        <f>Sheet1!I308</f>
        <v/>
      </c>
      <c r="J308" s="19" t="str">
        <f>Sheet1!J308</f>
        <v/>
      </c>
      <c r="K308" s="19" t="str">
        <f>Sheet1!K308</f>
        <v/>
      </c>
      <c r="L308" s="19" t="str">
        <f>Sheet1!L308</f>
        <v/>
      </c>
      <c r="M308" s="19" t="str">
        <f>Sheet1!M308</f>
        <v/>
      </c>
      <c r="N308" s="19" t="str">
        <f>Sheet1!N308</f>
        <v/>
      </c>
      <c r="O308" s="19" t="str">
        <f>Sheet1!O308</f>
        <v/>
      </c>
      <c r="P308" s="19" t="str">
        <f>Sheet1!P308</f>
        <v/>
      </c>
      <c r="Q308" s="19" t="str">
        <f>Sheet1!Q308</f>
        <v/>
      </c>
      <c r="R308" s="19" t="str">
        <f>Sheet1!R308</f>
        <v/>
      </c>
      <c r="S308" s="19" t="str">
        <f>Sheet1!S308</f>
        <v/>
      </c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</row>
    <row r="309">
      <c r="A309" s="19" t="str">
        <f>Sheet1!A309</f>
        <v/>
      </c>
      <c r="B309" s="19" t="str">
        <f>Sheet1!B309</f>
        <v/>
      </c>
      <c r="C309" s="19" t="str">
        <f>Sheet1!C309</f>
        <v/>
      </c>
      <c r="D309" s="19" t="str">
        <f>Sheet1!D309</f>
        <v/>
      </c>
      <c r="E309" s="19" t="str">
        <f>Sheet1!E309</f>
        <v/>
      </c>
      <c r="F309" s="19" t="str">
        <f>Sheet1!F309</f>
        <v/>
      </c>
      <c r="G309" s="19" t="str">
        <f>Sheet1!G309</f>
        <v/>
      </c>
      <c r="H309" s="19" t="str">
        <f>Sheet1!H309</f>
        <v/>
      </c>
      <c r="I309" s="19" t="str">
        <f>Sheet1!I309</f>
        <v/>
      </c>
      <c r="J309" s="19" t="str">
        <f>Sheet1!J309</f>
        <v/>
      </c>
      <c r="K309" s="19" t="str">
        <f>Sheet1!K309</f>
        <v/>
      </c>
      <c r="L309" s="19" t="str">
        <f>Sheet1!L309</f>
        <v/>
      </c>
      <c r="M309" s="19" t="str">
        <f>Sheet1!M309</f>
        <v/>
      </c>
      <c r="N309" s="19" t="str">
        <f>Sheet1!N309</f>
        <v/>
      </c>
      <c r="O309" s="19" t="str">
        <f>Sheet1!O309</f>
        <v/>
      </c>
      <c r="P309" s="19" t="str">
        <f>Sheet1!P309</f>
        <v/>
      </c>
      <c r="Q309" s="19" t="str">
        <f>Sheet1!Q309</f>
        <v/>
      </c>
      <c r="R309" s="19" t="str">
        <f>Sheet1!R309</f>
        <v/>
      </c>
      <c r="S309" s="19" t="str">
        <f>Sheet1!S309</f>
        <v/>
      </c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</row>
    <row r="310">
      <c r="A310" s="19" t="str">
        <f>Sheet1!A310</f>
        <v/>
      </c>
      <c r="B310" s="19" t="str">
        <f>Sheet1!B310</f>
        <v/>
      </c>
      <c r="C310" s="19" t="str">
        <f>Sheet1!C310</f>
        <v/>
      </c>
      <c r="D310" s="19" t="str">
        <f>Sheet1!D310</f>
        <v/>
      </c>
      <c r="E310" s="19" t="str">
        <f>Sheet1!E310</f>
        <v/>
      </c>
      <c r="F310" s="19" t="str">
        <f>Sheet1!F310</f>
        <v/>
      </c>
      <c r="G310" s="19" t="str">
        <f>Sheet1!G310</f>
        <v/>
      </c>
      <c r="H310" s="19" t="str">
        <f>Sheet1!H310</f>
        <v/>
      </c>
      <c r="I310" s="19" t="str">
        <f>Sheet1!I310</f>
        <v/>
      </c>
      <c r="J310" s="19" t="str">
        <f>Sheet1!J310</f>
        <v/>
      </c>
      <c r="K310" s="19" t="str">
        <f>Sheet1!K310</f>
        <v/>
      </c>
      <c r="L310" s="19" t="str">
        <f>Sheet1!L310</f>
        <v/>
      </c>
      <c r="M310" s="19" t="str">
        <f>Sheet1!M310</f>
        <v/>
      </c>
      <c r="N310" s="19" t="str">
        <f>Sheet1!N310</f>
        <v/>
      </c>
      <c r="O310" s="19" t="str">
        <f>Sheet1!O310</f>
        <v/>
      </c>
      <c r="P310" s="19" t="str">
        <f>Sheet1!P310</f>
        <v/>
      </c>
      <c r="Q310" s="19" t="str">
        <f>Sheet1!Q310</f>
        <v/>
      </c>
      <c r="R310" s="19" t="str">
        <f>Sheet1!R310</f>
        <v/>
      </c>
      <c r="S310" s="19" t="str">
        <f>Sheet1!S310</f>
        <v/>
      </c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</row>
    <row r="311">
      <c r="A311" s="19" t="str">
        <f>Sheet1!A311</f>
        <v/>
      </c>
      <c r="B311" s="19" t="str">
        <f>Sheet1!B311</f>
        <v/>
      </c>
      <c r="C311" s="19" t="str">
        <f>Sheet1!C311</f>
        <v/>
      </c>
      <c r="D311" s="19" t="str">
        <f>Sheet1!D311</f>
        <v/>
      </c>
      <c r="E311" s="19" t="str">
        <f>Sheet1!E311</f>
        <v/>
      </c>
      <c r="F311" s="19" t="str">
        <f>Sheet1!F311</f>
        <v/>
      </c>
      <c r="G311" s="19" t="str">
        <f>Sheet1!G311</f>
        <v/>
      </c>
      <c r="H311" s="19" t="str">
        <f>Sheet1!H311</f>
        <v/>
      </c>
      <c r="I311" s="19" t="str">
        <f>Sheet1!I311</f>
        <v/>
      </c>
      <c r="J311" s="19" t="str">
        <f>Sheet1!J311</f>
        <v/>
      </c>
      <c r="K311" s="19" t="str">
        <f>Sheet1!K311</f>
        <v/>
      </c>
      <c r="L311" s="19" t="str">
        <f>Sheet1!L311</f>
        <v/>
      </c>
      <c r="M311" s="19" t="str">
        <f>Sheet1!M311</f>
        <v/>
      </c>
      <c r="N311" s="19" t="str">
        <f>Sheet1!N311</f>
        <v/>
      </c>
      <c r="O311" s="19" t="str">
        <f>Sheet1!O311</f>
        <v/>
      </c>
      <c r="P311" s="19" t="str">
        <f>Sheet1!P311</f>
        <v/>
      </c>
      <c r="Q311" s="19" t="str">
        <f>Sheet1!Q311</f>
        <v/>
      </c>
      <c r="R311" s="19" t="str">
        <f>Sheet1!R311</f>
        <v/>
      </c>
      <c r="S311" s="19" t="str">
        <f>Sheet1!S311</f>
        <v/>
      </c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</row>
    <row r="312">
      <c r="A312" s="19" t="str">
        <f>Sheet1!A312</f>
        <v/>
      </c>
      <c r="B312" s="19" t="str">
        <f>Sheet1!B312</f>
        <v/>
      </c>
      <c r="C312" s="19" t="str">
        <f>Sheet1!C312</f>
        <v/>
      </c>
      <c r="D312" s="19" t="str">
        <f>Sheet1!D312</f>
        <v/>
      </c>
      <c r="E312" s="19" t="str">
        <f>Sheet1!E312</f>
        <v/>
      </c>
      <c r="F312" s="19" t="str">
        <f>Sheet1!F312</f>
        <v/>
      </c>
      <c r="G312" s="19" t="str">
        <f>Sheet1!G312</f>
        <v/>
      </c>
      <c r="H312" s="19" t="str">
        <f>Sheet1!H312</f>
        <v/>
      </c>
      <c r="I312" s="19" t="str">
        <f>Sheet1!I312</f>
        <v/>
      </c>
      <c r="J312" s="19" t="str">
        <f>Sheet1!J312</f>
        <v/>
      </c>
      <c r="K312" s="19" t="str">
        <f>Sheet1!K312</f>
        <v/>
      </c>
      <c r="L312" s="19" t="str">
        <f>Sheet1!L312</f>
        <v/>
      </c>
      <c r="M312" s="19" t="str">
        <f>Sheet1!M312</f>
        <v/>
      </c>
      <c r="N312" s="19" t="str">
        <f>Sheet1!N312</f>
        <v/>
      </c>
      <c r="O312" s="19" t="str">
        <f>Sheet1!O312</f>
        <v/>
      </c>
      <c r="P312" s="19" t="str">
        <f>Sheet1!P312</f>
        <v/>
      </c>
      <c r="Q312" s="19" t="str">
        <f>Sheet1!Q312</f>
        <v/>
      </c>
      <c r="R312" s="19" t="str">
        <f>Sheet1!R312</f>
        <v/>
      </c>
      <c r="S312" s="19" t="str">
        <f>Sheet1!S312</f>
        <v/>
      </c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</row>
    <row r="313">
      <c r="A313" s="19" t="str">
        <f>Sheet1!A313</f>
        <v/>
      </c>
      <c r="B313" s="19" t="str">
        <f>Sheet1!B313</f>
        <v/>
      </c>
      <c r="C313" s="19" t="str">
        <f>Sheet1!C313</f>
        <v/>
      </c>
      <c r="D313" s="19" t="str">
        <f>Sheet1!D313</f>
        <v/>
      </c>
      <c r="E313" s="19" t="str">
        <f>Sheet1!E313</f>
        <v/>
      </c>
      <c r="F313" s="19" t="str">
        <f>Sheet1!F313</f>
        <v/>
      </c>
      <c r="G313" s="19" t="str">
        <f>Sheet1!G313</f>
        <v/>
      </c>
      <c r="H313" s="19" t="str">
        <f>Sheet1!H313</f>
        <v/>
      </c>
      <c r="I313" s="19" t="str">
        <f>Sheet1!I313</f>
        <v/>
      </c>
      <c r="J313" s="19" t="str">
        <f>Sheet1!J313</f>
        <v/>
      </c>
      <c r="K313" s="19" t="str">
        <f>Sheet1!K313</f>
        <v/>
      </c>
      <c r="L313" s="19" t="str">
        <f>Sheet1!L313</f>
        <v/>
      </c>
      <c r="M313" s="19" t="str">
        <f>Sheet1!M313</f>
        <v/>
      </c>
      <c r="N313" s="19" t="str">
        <f>Sheet1!N313</f>
        <v/>
      </c>
      <c r="O313" s="19" t="str">
        <f>Sheet1!O313</f>
        <v/>
      </c>
      <c r="P313" s="19" t="str">
        <f>Sheet1!P313</f>
        <v/>
      </c>
      <c r="Q313" s="19" t="str">
        <f>Sheet1!Q313</f>
        <v/>
      </c>
      <c r="R313" s="19" t="str">
        <f>Sheet1!R313</f>
        <v/>
      </c>
      <c r="S313" s="19" t="str">
        <f>Sheet1!S313</f>
        <v/>
      </c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</row>
    <row r="314">
      <c r="A314" s="19" t="str">
        <f>Sheet1!A314</f>
        <v/>
      </c>
      <c r="B314" s="19" t="str">
        <f>Sheet1!B314</f>
        <v/>
      </c>
      <c r="C314" s="19" t="str">
        <f>Sheet1!C314</f>
        <v/>
      </c>
      <c r="D314" s="19" t="str">
        <f>Sheet1!D314</f>
        <v/>
      </c>
      <c r="E314" s="19" t="str">
        <f>Sheet1!E314</f>
        <v/>
      </c>
      <c r="F314" s="19" t="str">
        <f>Sheet1!F314</f>
        <v/>
      </c>
      <c r="G314" s="19" t="str">
        <f>Sheet1!G314</f>
        <v/>
      </c>
      <c r="H314" s="19" t="str">
        <f>Sheet1!H314</f>
        <v/>
      </c>
      <c r="I314" s="19" t="str">
        <f>Sheet1!I314</f>
        <v/>
      </c>
      <c r="J314" s="19" t="str">
        <f>Sheet1!J314</f>
        <v/>
      </c>
      <c r="K314" s="19" t="str">
        <f>Sheet1!K314</f>
        <v/>
      </c>
      <c r="L314" s="19" t="str">
        <f>Sheet1!L314</f>
        <v/>
      </c>
      <c r="M314" s="19" t="str">
        <f>Sheet1!M314</f>
        <v/>
      </c>
      <c r="N314" s="19" t="str">
        <f>Sheet1!N314</f>
        <v/>
      </c>
      <c r="O314" s="19" t="str">
        <f>Sheet1!O314</f>
        <v/>
      </c>
      <c r="P314" s="19" t="str">
        <f>Sheet1!P314</f>
        <v/>
      </c>
      <c r="Q314" s="19" t="str">
        <f>Sheet1!Q314</f>
        <v/>
      </c>
      <c r="R314" s="19" t="str">
        <f>Sheet1!R314</f>
        <v/>
      </c>
      <c r="S314" s="19" t="str">
        <f>Sheet1!S314</f>
        <v/>
      </c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</row>
    <row r="315">
      <c r="A315" s="19" t="str">
        <f>Sheet1!A315</f>
        <v/>
      </c>
      <c r="B315" s="19" t="str">
        <f>Sheet1!B315</f>
        <v/>
      </c>
      <c r="C315" s="19" t="str">
        <f>Sheet1!C315</f>
        <v/>
      </c>
      <c r="D315" s="19" t="str">
        <f>Sheet1!D315</f>
        <v/>
      </c>
      <c r="E315" s="19" t="str">
        <f>Sheet1!E315</f>
        <v/>
      </c>
      <c r="F315" s="19" t="str">
        <f>Sheet1!F315</f>
        <v/>
      </c>
      <c r="G315" s="19" t="str">
        <f>Sheet1!G315</f>
        <v/>
      </c>
      <c r="H315" s="19" t="str">
        <f>Sheet1!H315</f>
        <v/>
      </c>
      <c r="I315" s="19" t="str">
        <f>Sheet1!I315</f>
        <v/>
      </c>
      <c r="J315" s="19" t="str">
        <f>Sheet1!J315</f>
        <v/>
      </c>
      <c r="K315" s="19" t="str">
        <f>Sheet1!K315</f>
        <v/>
      </c>
      <c r="L315" s="19" t="str">
        <f>Sheet1!L315</f>
        <v/>
      </c>
      <c r="M315" s="19" t="str">
        <f>Sheet1!M315</f>
        <v/>
      </c>
      <c r="N315" s="19" t="str">
        <f>Sheet1!N315</f>
        <v/>
      </c>
      <c r="O315" s="19" t="str">
        <f>Sheet1!O315</f>
        <v/>
      </c>
      <c r="P315" s="19" t="str">
        <f>Sheet1!P315</f>
        <v/>
      </c>
      <c r="Q315" s="19" t="str">
        <f>Sheet1!Q315</f>
        <v/>
      </c>
      <c r="R315" s="19" t="str">
        <f>Sheet1!R315</f>
        <v/>
      </c>
      <c r="S315" s="19" t="str">
        <f>Sheet1!S315</f>
        <v/>
      </c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</row>
    <row r="316">
      <c r="A316" s="19" t="str">
        <f>Sheet1!A316</f>
        <v/>
      </c>
      <c r="B316" s="19" t="str">
        <f>Sheet1!B316</f>
        <v/>
      </c>
      <c r="C316" s="19" t="str">
        <f>Sheet1!C316</f>
        <v/>
      </c>
      <c r="D316" s="19" t="str">
        <f>Sheet1!D316</f>
        <v/>
      </c>
      <c r="E316" s="19" t="str">
        <f>Sheet1!E316</f>
        <v/>
      </c>
      <c r="F316" s="19" t="str">
        <f>Sheet1!F316</f>
        <v/>
      </c>
      <c r="G316" s="19" t="str">
        <f>Sheet1!G316</f>
        <v/>
      </c>
      <c r="H316" s="19" t="str">
        <f>Sheet1!H316</f>
        <v/>
      </c>
      <c r="I316" s="19" t="str">
        <f>Sheet1!I316</f>
        <v/>
      </c>
      <c r="J316" s="19" t="str">
        <f>Sheet1!J316</f>
        <v/>
      </c>
      <c r="K316" s="19" t="str">
        <f>Sheet1!K316</f>
        <v/>
      </c>
      <c r="L316" s="19" t="str">
        <f>Sheet1!L316</f>
        <v/>
      </c>
      <c r="M316" s="19" t="str">
        <f>Sheet1!M316</f>
        <v/>
      </c>
      <c r="N316" s="19" t="str">
        <f>Sheet1!N316</f>
        <v/>
      </c>
      <c r="O316" s="19" t="str">
        <f>Sheet1!O316</f>
        <v/>
      </c>
      <c r="P316" s="19" t="str">
        <f>Sheet1!P316</f>
        <v/>
      </c>
      <c r="Q316" s="19" t="str">
        <f>Sheet1!Q316</f>
        <v/>
      </c>
      <c r="R316" s="19" t="str">
        <f>Sheet1!R316</f>
        <v/>
      </c>
      <c r="S316" s="19" t="str">
        <f>Sheet1!S316</f>
        <v/>
      </c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</row>
    <row r="317">
      <c r="A317" s="19" t="str">
        <f>Sheet1!A317</f>
        <v/>
      </c>
      <c r="B317" s="19" t="str">
        <f>Sheet1!B317</f>
        <v/>
      </c>
      <c r="C317" s="19" t="str">
        <f>Sheet1!C317</f>
        <v/>
      </c>
      <c r="D317" s="19" t="str">
        <f>Sheet1!D317</f>
        <v/>
      </c>
      <c r="E317" s="19" t="str">
        <f>Sheet1!E317</f>
        <v/>
      </c>
      <c r="F317" s="19" t="str">
        <f>Sheet1!F317</f>
        <v/>
      </c>
      <c r="G317" s="19" t="str">
        <f>Sheet1!G317</f>
        <v/>
      </c>
      <c r="H317" s="19" t="str">
        <f>Sheet1!H317</f>
        <v/>
      </c>
      <c r="I317" s="19" t="str">
        <f>Sheet1!I317</f>
        <v/>
      </c>
      <c r="J317" s="19" t="str">
        <f>Sheet1!J317</f>
        <v/>
      </c>
      <c r="K317" s="19" t="str">
        <f>Sheet1!K317</f>
        <v/>
      </c>
      <c r="L317" s="19" t="str">
        <f>Sheet1!L317</f>
        <v/>
      </c>
      <c r="M317" s="19" t="str">
        <f>Sheet1!M317</f>
        <v/>
      </c>
      <c r="N317" s="19" t="str">
        <f>Sheet1!N317</f>
        <v/>
      </c>
      <c r="O317" s="19" t="str">
        <f>Sheet1!O317</f>
        <v/>
      </c>
      <c r="P317" s="19" t="str">
        <f>Sheet1!P317</f>
        <v/>
      </c>
      <c r="Q317" s="19" t="str">
        <f>Sheet1!Q317</f>
        <v/>
      </c>
      <c r="R317" s="19" t="str">
        <f>Sheet1!R317</f>
        <v/>
      </c>
      <c r="S317" s="19" t="str">
        <f>Sheet1!S317</f>
        <v/>
      </c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</row>
    <row r="318">
      <c r="A318" s="19" t="str">
        <f>Sheet1!A318</f>
        <v/>
      </c>
      <c r="B318" s="19" t="str">
        <f>Sheet1!B318</f>
        <v/>
      </c>
      <c r="C318" s="19" t="str">
        <f>Sheet1!C318</f>
        <v/>
      </c>
      <c r="D318" s="19" t="str">
        <f>Sheet1!D318</f>
        <v/>
      </c>
      <c r="E318" s="19" t="str">
        <f>Sheet1!E318</f>
        <v/>
      </c>
      <c r="F318" s="19" t="str">
        <f>Sheet1!F318</f>
        <v/>
      </c>
      <c r="G318" s="19" t="str">
        <f>Sheet1!G318</f>
        <v/>
      </c>
      <c r="H318" s="19" t="str">
        <f>Sheet1!H318</f>
        <v/>
      </c>
      <c r="I318" s="19" t="str">
        <f>Sheet1!I318</f>
        <v/>
      </c>
      <c r="J318" s="19" t="str">
        <f>Sheet1!J318</f>
        <v/>
      </c>
      <c r="K318" s="19" t="str">
        <f>Sheet1!K318</f>
        <v/>
      </c>
      <c r="L318" s="19" t="str">
        <f>Sheet1!L318</f>
        <v/>
      </c>
      <c r="M318" s="19" t="str">
        <f>Sheet1!M318</f>
        <v/>
      </c>
      <c r="N318" s="19" t="str">
        <f>Sheet1!N318</f>
        <v/>
      </c>
      <c r="O318" s="19" t="str">
        <f>Sheet1!O318</f>
        <v/>
      </c>
      <c r="P318" s="19" t="str">
        <f>Sheet1!P318</f>
        <v/>
      </c>
      <c r="Q318" s="19" t="str">
        <f>Sheet1!Q318</f>
        <v/>
      </c>
      <c r="R318" s="19" t="str">
        <f>Sheet1!R318</f>
        <v/>
      </c>
      <c r="S318" s="19" t="str">
        <f>Sheet1!S318</f>
        <v/>
      </c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</row>
    <row r="319">
      <c r="A319" s="19" t="str">
        <f>Sheet1!A319</f>
        <v/>
      </c>
      <c r="B319" s="19" t="str">
        <f>Sheet1!B319</f>
        <v/>
      </c>
      <c r="C319" s="19" t="str">
        <f>Sheet1!C319</f>
        <v/>
      </c>
      <c r="D319" s="19" t="str">
        <f>Sheet1!D319</f>
        <v/>
      </c>
      <c r="E319" s="19" t="str">
        <f>Sheet1!E319</f>
        <v/>
      </c>
      <c r="F319" s="19" t="str">
        <f>Sheet1!F319</f>
        <v/>
      </c>
      <c r="G319" s="19" t="str">
        <f>Sheet1!G319</f>
        <v/>
      </c>
      <c r="H319" s="19" t="str">
        <f>Sheet1!H319</f>
        <v/>
      </c>
      <c r="I319" s="19" t="str">
        <f>Sheet1!I319</f>
        <v/>
      </c>
      <c r="J319" s="19" t="str">
        <f>Sheet1!J319</f>
        <v/>
      </c>
      <c r="K319" s="19" t="str">
        <f>Sheet1!K319</f>
        <v/>
      </c>
      <c r="L319" s="19" t="str">
        <f>Sheet1!L319</f>
        <v/>
      </c>
      <c r="M319" s="19" t="str">
        <f>Sheet1!M319</f>
        <v/>
      </c>
      <c r="N319" s="19" t="str">
        <f>Sheet1!N319</f>
        <v/>
      </c>
      <c r="O319" s="19" t="str">
        <f>Sheet1!O319</f>
        <v/>
      </c>
      <c r="P319" s="19" t="str">
        <f>Sheet1!P319</f>
        <v/>
      </c>
      <c r="Q319" s="19" t="str">
        <f>Sheet1!Q319</f>
        <v/>
      </c>
      <c r="R319" s="19" t="str">
        <f>Sheet1!R319</f>
        <v/>
      </c>
      <c r="S319" s="19" t="str">
        <f>Sheet1!S319</f>
        <v/>
      </c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</row>
    <row r="320">
      <c r="A320" s="19" t="str">
        <f>Sheet1!A320</f>
        <v/>
      </c>
      <c r="B320" s="19" t="str">
        <f>Sheet1!B320</f>
        <v/>
      </c>
      <c r="C320" s="19" t="str">
        <f>Sheet1!C320</f>
        <v/>
      </c>
      <c r="D320" s="19" t="str">
        <f>Sheet1!D320</f>
        <v/>
      </c>
      <c r="E320" s="19" t="str">
        <f>Sheet1!E320</f>
        <v/>
      </c>
      <c r="F320" s="19" t="str">
        <f>Sheet1!F320</f>
        <v/>
      </c>
      <c r="G320" s="19" t="str">
        <f>Sheet1!G320</f>
        <v/>
      </c>
      <c r="H320" s="19" t="str">
        <f>Sheet1!H320</f>
        <v/>
      </c>
      <c r="I320" s="19" t="str">
        <f>Sheet1!I320</f>
        <v/>
      </c>
      <c r="J320" s="19" t="str">
        <f>Sheet1!J320</f>
        <v/>
      </c>
      <c r="K320" s="19" t="str">
        <f>Sheet1!K320</f>
        <v/>
      </c>
      <c r="L320" s="19" t="str">
        <f>Sheet1!L320</f>
        <v/>
      </c>
      <c r="M320" s="19" t="str">
        <f>Sheet1!M320</f>
        <v/>
      </c>
      <c r="N320" s="19" t="str">
        <f>Sheet1!N320</f>
        <v/>
      </c>
      <c r="O320" s="19" t="str">
        <f>Sheet1!O320</f>
        <v/>
      </c>
      <c r="P320" s="19" t="str">
        <f>Sheet1!P320</f>
        <v/>
      </c>
      <c r="Q320" s="19" t="str">
        <f>Sheet1!Q320</f>
        <v/>
      </c>
      <c r="R320" s="19" t="str">
        <f>Sheet1!R320</f>
        <v/>
      </c>
      <c r="S320" s="19" t="str">
        <f>Sheet1!S320</f>
        <v/>
      </c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</row>
    <row r="321">
      <c r="A321" s="19" t="str">
        <f>Sheet1!A321</f>
        <v/>
      </c>
      <c r="B321" s="19" t="str">
        <f>Sheet1!B321</f>
        <v/>
      </c>
      <c r="C321" s="19" t="str">
        <f>Sheet1!C321</f>
        <v/>
      </c>
      <c r="D321" s="19" t="str">
        <f>Sheet1!D321</f>
        <v/>
      </c>
      <c r="E321" s="19" t="str">
        <f>Sheet1!E321</f>
        <v/>
      </c>
      <c r="F321" s="19" t="str">
        <f>Sheet1!F321</f>
        <v/>
      </c>
      <c r="G321" s="19" t="str">
        <f>Sheet1!G321</f>
        <v/>
      </c>
      <c r="H321" s="19" t="str">
        <f>Sheet1!H321</f>
        <v/>
      </c>
      <c r="I321" s="19" t="str">
        <f>Sheet1!I321</f>
        <v/>
      </c>
      <c r="J321" s="19" t="str">
        <f>Sheet1!J321</f>
        <v/>
      </c>
      <c r="K321" s="19" t="str">
        <f>Sheet1!K321</f>
        <v/>
      </c>
      <c r="L321" s="19" t="str">
        <f>Sheet1!L321</f>
        <v/>
      </c>
      <c r="M321" s="19" t="str">
        <f>Sheet1!M321</f>
        <v/>
      </c>
      <c r="N321" s="19" t="str">
        <f>Sheet1!N321</f>
        <v/>
      </c>
      <c r="O321" s="19" t="str">
        <f>Sheet1!O321</f>
        <v/>
      </c>
      <c r="P321" s="19" t="str">
        <f>Sheet1!P321</f>
        <v/>
      </c>
      <c r="Q321" s="19" t="str">
        <f>Sheet1!Q321</f>
        <v/>
      </c>
      <c r="R321" s="19" t="str">
        <f>Sheet1!R321</f>
        <v/>
      </c>
      <c r="S321" s="19" t="str">
        <f>Sheet1!S321</f>
        <v/>
      </c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</row>
    <row r="322">
      <c r="A322" s="19" t="str">
        <f>Sheet1!A322</f>
        <v/>
      </c>
      <c r="B322" s="19" t="str">
        <f>Sheet1!B322</f>
        <v/>
      </c>
      <c r="C322" s="19" t="str">
        <f>Sheet1!C322</f>
        <v/>
      </c>
      <c r="D322" s="19" t="str">
        <f>Sheet1!D322</f>
        <v/>
      </c>
      <c r="E322" s="19" t="str">
        <f>Sheet1!E322</f>
        <v/>
      </c>
      <c r="F322" s="19" t="str">
        <f>Sheet1!F322</f>
        <v/>
      </c>
      <c r="G322" s="19" t="str">
        <f>Sheet1!G322</f>
        <v/>
      </c>
      <c r="H322" s="19" t="str">
        <f>Sheet1!H322</f>
        <v/>
      </c>
      <c r="I322" s="19" t="str">
        <f>Sheet1!I322</f>
        <v/>
      </c>
      <c r="J322" s="19" t="str">
        <f>Sheet1!J322</f>
        <v/>
      </c>
      <c r="K322" s="19" t="str">
        <f>Sheet1!K322</f>
        <v/>
      </c>
      <c r="L322" s="19" t="str">
        <f>Sheet1!L322</f>
        <v/>
      </c>
      <c r="M322" s="19" t="str">
        <f>Sheet1!M322</f>
        <v/>
      </c>
      <c r="N322" s="19" t="str">
        <f>Sheet1!N322</f>
        <v/>
      </c>
      <c r="O322" s="19" t="str">
        <f>Sheet1!O322</f>
        <v/>
      </c>
      <c r="P322" s="19" t="str">
        <f>Sheet1!P322</f>
        <v/>
      </c>
      <c r="Q322" s="19" t="str">
        <f>Sheet1!Q322</f>
        <v/>
      </c>
      <c r="R322" s="19" t="str">
        <f>Sheet1!R322</f>
        <v/>
      </c>
      <c r="S322" s="19" t="str">
        <f>Sheet1!S322</f>
        <v/>
      </c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</row>
    <row r="323">
      <c r="A323" s="19" t="str">
        <f>Sheet1!A323</f>
        <v/>
      </c>
      <c r="B323" s="19" t="str">
        <f>Sheet1!B323</f>
        <v/>
      </c>
      <c r="C323" s="19" t="str">
        <f>Sheet1!C323</f>
        <v/>
      </c>
      <c r="D323" s="19" t="str">
        <f>Sheet1!D323</f>
        <v/>
      </c>
      <c r="E323" s="19" t="str">
        <f>Sheet1!E323</f>
        <v/>
      </c>
      <c r="F323" s="19" t="str">
        <f>Sheet1!F323</f>
        <v/>
      </c>
      <c r="G323" s="19" t="str">
        <f>Sheet1!G323</f>
        <v/>
      </c>
      <c r="H323" s="19" t="str">
        <f>Sheet1!H323</f>
        <v/>
      </c>
      <c r="I323" s="19" t="str">
        <f>Sheet1!I323</f>
        <v/>
      </c>
      <c r="J323" s="19" t="str">
        <f>Sheet1!J323</f>
        <v/>
      </c>
      <c r="K323" s="19" t="str">
        <f>Sheet1!K323</f>
        <v/>
      </c>
      <c r="L323" s="19" t="str">
        <f>Sheet1!L323</f>
        <v/>
      </c>
      <c r="M323" s="19" t="str">
        <f>Sheet1!M323</f>
        <v/>
      </c>
      <c r="N323" s="19" t="str">
        <f>Sheet1!N323</f>
        <v/>
      </c>
      <c r="O323" s="19" t="str">
        <f>Sheet1!O323</f>
        <v/>
      </c>
      <c r="P323" s="19" t="str">
        <f>Sheet1!P323</f>
        <v/>
      </c>
      <c r="Q323" s="19" t="str">
        <f>Sheet1!Q323</f>
        <v/>
      </c>
      <c r="R323" s="19" t="str">
        <f>Sheet1!R323</f>
        <v/>
      </c>
      <c r="S323" s="19" t="str">
        <f>Sheet1!S323</f>
        <v/>
      </c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</row>
    <row r="324">
      <c r="A324" s="19" t="str">
        <f>Sheet1!A324</f>
        <v/>
      </c>
      <c r="B324" s="19" t="str">
        <f>Sheet1!B324</f>
        <v/>
      </c>
      <c r="C324" s="19" t="str">
        <f>Sheet1!C324</f>
        <v/>
      </c>
      <c r="D324" s="19" t="str">
        <f>Sheet1!D324</f>
        <v/>
      </c>
      <c r="E324" s="19" t="str">
        <f>Sheet1!E324</f>
        <v/>
      </c>
      <c r="F324" s="19" t="str">
        <f>Sheet1!F324</f>
        <v/>
      </c>
      <c r="G324" s="19" t="str">
        <f>Sheet1!G324</f>
        <v/>
      </c>
      <c r="H324" s="19" t="str">
        <f>Sheet1!H324</f>
        <v/>
      </c>
      <c r="I324" s="19" t="str">
        <f>Sheet1!I324</f>
        <v/>
      </c>
      <c r="J324" s="19" t="str">
        <f>Sheet1!J324</f>
        <v/>
      </c>
      <c r="K324" s="19" t="str">
        <f>Sheet1!K324</f>
        <v/>
      </c>
      <c r="L324" s="19" t="str">
        <f>Sheet1!L324</f>
        <v/>
      </c>
      <c r="M324" s="19" t="str">
        <f>Sheet1!M324</f>
        <v/>
      </c>
      <c r="N324" s="19" t="str">
        <f>Sheet1!N324</f>
        <v/>
      </c>
      <c r="O324" s="19" t="str">
        <f>Sheet1!O324</f>
        <v/>
      </c>
      <c r="P324" s="19" t="str">
        <f>Sheet1!P324</f>
        <v/>
      </c>
      <c r="Q324" s="19" t="str">
        <f>Sheet1!Q324</f>
        <v/>
      </c>
      <c r="R324" s="19" t="str">
        <f>Sheet1!R324</f>
        <v/>
      </c>
      <c r="S324" s="19" t="str">
        <f>Sheet1!S324</f>
        <v/>
      </c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</row>
    <row r="325">
      <c r="A325" s="19" t="str">
        <f>Sheet1!A325</f>
        <v/>
      </c>
      <c r="B325" s="19" t="str">
        <f>Sheet1!B325</f>
        <v/>
      </c>
      <c r="C325" s="19" t="str">
        <f>Sheet1!C325</f>
        <v/>
      </c>
      <c r="D325" s="19" t="str">
        <f>Sheet1!D325</f>
        <v/>
      </c>
      <c r="E325" s="19" t="str">
        <f>Sheet1!E325</f>
        <v/>
      </c>
      <c r="F325" s="19" t="str">
        <f>Sheet1!F325</f>
        <v/>
      </c>
      <c r="G325" s="19" t="str">
        <f>Sheet1!G325</f>
        <v/>
      </c>
      <c r="H325" s="19" t="str">
        <f>Sheet1!H325</f>
        <v/>
      </c>
      <c r="I325" s="19" t="str">
        <f>Sheet1!I325</f>
        <v/>
      </c>
      <c r="J325" s="19" t="str">
        <f>Sheet1!J325</f>
        <v/>
      </c>
      <c r="K325" s="19" t="str">
        <f>Sheet1!K325</f>
        <v/>
      </c>
      <c r="L325" s="19" t="str">
        <f>Sheet1!L325</f>
        <v/>
      </c>
      <c r="M325" s="19" t="str">
        <f>Sheet1!M325</f>
        <v/>
      </c>
      <c r="N325" s="19" t="str">
        <f>Sheet1!N325</f>
        <v/>
      </c>
      <c r="O325" s="19" t="str">
        <f>Sheet1!O325</f>
        <v/>
      </c>
      <c r="P325" s="19" t="str">
        <f>Sheet1!P325</f>
        <v/>
      </c>
      <c r="Q325" s="19" t="str">
        <f>Sheet1!Q325</f>
        <v/>
      </c>
      <c r="R325" s="19" t="str">
        <f>Sheet1!R325</f>
        <v/>
      </c>
      <c r="S325" s="19" t="str">
        <f>Sheet1!S325</f>
        <v/>
      </c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</row>
    <row r="326">
      <c r="A326" s="19" t="str">
        <f>Sheet1!A326</f>
        <v/>
      </c>
      <c r="B326" s="19" t="str">
        <f>Sheet1!B326</f>
        <v/>
      </c>
      <c r="C326" s="19" t="str">
        <f>Sheet1!C326</f>
        <v/>
      </c>
      <c r="D326" s="19" t="str">
        <f>Sheet1!D326</f>
        <v/>
      </c>
      <c r="E326" s="19" t="str">
        <f>Sheet1!E326</f>
        <v/>
      </c>
      <c r="F326" s="19" t="str">
        <f>Sheet1!F326</f>
        <v/>
      </c>
      <c r="G326" s="19" t="str">
        <f>Sheet1!G326</f>
        <v/>
      </c>
      <c r="H326" s="19" t="str">
        <f>Sheet1!H326</f>
        <v/>
      </c>
      <c r="I326" s="19" t="str">
        <f>Sheet1!I326</f>
        <v/>
      </c>
      <c r="J326" s="19" t="str">
        <f>Sheet1!J326</f>
        <v/>
      </c>
      <c r="K326" s="19" t="str">
        <f>Sheet1!K326</f>
        <v/>
      </c>
      <c r="L326" s="19" t="str">
        <f>Sheet1!L326</f>
        <v/>
      </c>
      <c r="M326" s="19" t="str">
        <f>Sheet1!M326</f>
        <v/>
      </c>
      <c r="N326" s="19" t="str">
        <f>Sheet1!N326</f>
        <v/>
      </c>
      <c r="O326" s="19" t="str">
        <f>Sheet1!O326</f>
        <v/>
      </c>
      <c r="P326" s="19" t="str">
        <f>Sheet1!P326</f>
        <v/>
      </c>
      <c r="Q326" s="19" t="str">
        <f>Sheet1!Q326</f>
        <v/>
      </c>
      <c r="R326" s="19" t="str">
        <f>Sheet1!R326</f>
        <v/>
      </c>
      <c r="S326" s="19" t="str">
        <f>Sheet1!S326</f>
        <v/>
      </c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</row>
    <row r="327">
      <c r="A327" s="19" t="str">
        <f>Sheet1!A327</f>
        <v/>
      </c>
      <c r="B327" s="19" t="str">
        <f>Sheet1!B327</f>
        <v/>
      </c>
      <c r="C327" s="19" t="str">
        <f>Sheet1!C327</f>
        <v/>
      </c>
      <c r="D327" s="19" t="str">
        <f>Sheet1!D327</f>
        <v/>
      </c>
      <c r="E327" s="19" t="str">
        <f>Sheet1!E327</f>
        <v/>
      </c>
      <c r="F327" s="19" t="str">
        <f>Sheet1!F327</f>
        <v/>
      </c>
      <c r="G327" s="19" t="str">
        <f>Sheet1!G327</f>
        <v/>
      </c>
      <c r="H327" s="19" t="str">
        <f>Sheet1!H327</f>
        <v/>
      </c>
      <c r="I327" s="19" t="str">
        <f>Sheet1!I327</f>
        <v/>
      </c>
      <c r="J327" s="19" t="str">
        <f>Sheet1!J327</f>
        <v/>
      </c>
      <c r="K327" s="19" t="str">
        <f>Sheet1!K327</f>
        <v/>
      </c>
      <c r="L327" s="19" t="str">
        <f>Sheet1!L327</f>
        <v/>
      </c>
      <c r="M327" s="19" t="str">
        <f>Sheet1!M327</f>
        <v/>
      </c>
      <c r="N327" s="19" t="str">
        <f>Sheet1!N327</f>
        <v/>
      </c>
      <c r="O327" s="19" t="str">
        <f>Sheet1!O327</f>
        <v/>
      </c>
      <c r="P327" s="19" t="str">
        <f>Sheet1!P327</f>
        <v/>
      </c>
      <c r="Q327" s="19" t="str">
        <f>Sheet1!Q327</f>
        <v/>
      </c>
      <c r="R327" s="19" t="str">
        <f>Sheet1!R327</f>
        <v/>
      </c>
      <c r="S327" s="19" t="str">
        <f>Sheet1!S327</f>
        <v/>
      </c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</row>
    <row r="328">
      <c r="A328" s="19" t="str">
        <f>Sheet1!A328</f>
        <v/>
      </c>
      <c r="B328" s="19" t="str">
        <f>Sheet1!B328</f>
        <v/>
      </c>
      <c r="C328" s="19" t="str">
        <f>Sheet1!C328</f>
        <v/>
      </c>
      <c r="D328" s="19" t="str">
        <f>Sheet1!D328</f>
        <v/>
      </c>
      <c r="E328" s="19" t="str">
        <f>Sheet1!E328</f>
        <v/>
      </c>
      <c r="F328" s="19" t="str">
        <f>Sheet1!F328</f>
        <v/>
      </c>
      <c r="G328" s="19" t="str">
        <f>Sheet1!G328</f>
        <v/>
      </c>
      <c r="H328" s="19" t="str">
        <f>Sheet1!H328</f>
        <v/>
      </c>
      <c r="I328" s="19" t="str">
        <f>Sheet1!I328</f>
        <v/>
      </c>
      <c r="J328" s="19" t="str">
        <f>Sheet1!J328</f>
        <v/>
      </c>
      <c r="K328" s="19" t="str">
        <f>Sheet1!K328</f>
        <v/>
      </c>
      <c r="L328" s="19" t="str">
        <f>Sheet1!L328</f>
        <v/>
      </c>
      <c r="M328" s="19" t="str">
        <f>Sheet1!M328</f>
        <v/>
      </c>
      <c r="N328" s="19" t="str">
        <f>Sheet1!N328</f>
        <v/>
      </c>
      <c r="O328" s="19" t="str">
        <f>Sheet1!O328</f>
        <v/>
      </c>
      <c r="P328" s="19" t="str">
        <f>Sheet1!P328</f>
        <v/>
      </c>
      <c r="Q328" s="19" t="str">
        <f>Sheet1!Q328</f>
        <v/>
      </c>
      <c r="R328" s="19" t="str">
        <f>Sheet1!R328</f>
        <v/>
      </c>
      <c r="S328" s="19" t="str">
        <f>Sheet1!S328</f>
        <v/>
      </c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</row>
    <row r="329">
      <c r="A329" s="19" t="str">
        <f>Sheet1!A329</f>
        <v/>
      </c>
      <c r="B329" s="19" t="str">
        <f>Sheet1!B329</f>
        <v/>
      </c>
      <c r="C329" s="19" t="str">
        <f>Sheet1!C329</f>
        <v/>
      </c>
      <c r="D329" s="19" t="str">
        <f>Sheet1!D329</f>
        <v/>
      </c>
      <c r="E329" s="19" t="str">
        <f>Sheet1!E329</f>
        <v/>
      </c>
      <c r="F329" s="19" t="str">
        <f>Sheet1!F329</f>
        <v/>
      </c>
      <c r="G329" s="19" t="str">
        <f>Sheet1!G329</f>
        <v/>
      </c>
      <c r="H329" s="19" t="str">
        <f>Sheet1!H329</f>
        <v/>
      </c>
      <c r="I329" s="19" t="str">
        <f>Sheet1!I329</f>
        <v/>
      </c>
      <c r="J329" s="19" t="str">
        <f>Sheet1!J329</f>
        <v/>
      </c>
      <c r="K329" s="19" t="str">
        <f>Sheet1!K329</f>
        <v/>
      </c>
      <c r="L329" s="19" t="str">
        <f>Sheet1!L329</f>
        <v/>
      </c>
      <c r="M329" s="19" t="str">
        <f>Sheet1!M329</f>
        <v/>
      </c>
      <c r="N329" s="19" t="str">
        <f>Sheet1!N329</f>
        <v/>
      </c>
      <c r="O329" s="19" t="str">
        <f>Sheet1!O329</f>
        <v/>
      </c>
      <c r="P329" s="19" t="str">
        <f>Sheet1!P329</f>
        <v/>
      </c>
      <c r="Q329" s="19" t="str">
        <f>Sheet1!Q329</f>
        <v/>
      </c>
      <c r="R329" s="19" t="str">
        <f>Sheet1!R329</f>
        <v/>
      </c>
      <c r="S329" s="19" t="str">
        <f>Sheet1!S329</f>
        <v/>
      </c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</row>
    <row r="330">
      <c r="A330" s="19" t="str">
        <f>Sheet1!A330</f>
        <v/>
      </c>
      <c r="B330" s="19" t="str">
        <f>Sheet1!B330</f>
        <v/>
      </c>
      <c r="C330" s="19" t="str">
        <f>Sheet1!C330</f>
        <v/>
      </c>
      <c r="D330" s="19" t="str">
        <f>Sheet1!D330</f>
        <v/>
      </c>
      <c r="E330" s="19" t="str">
        <f>Sheet1!E330</f>
        <v/>
      </c>
      <c r="F330" s="19" t="str">
        <f>Sheet1!F330</f>
        <v/>
      </c>
      <c r="G330" s="19" t="str">
        <f>Sheet1!G330</f>
        <v/>
      </c>
      <c r="H330" s="19" t="str">
        <f>Sheet1!H330</f>
        <v/>
      </c>
      <c r="I330" s="19" t="str">
        <f>Sheet1!I330</f>
        <v/>
      </c>
      <c r="J330" s="19" t="str">
        <f>Sheet1!J330</f>
        <v/>
      </c>
      <c r="K330" s="19" t="str">
        <f>Sheet1!K330</f>
        <v/>
      </c>
      <c r="L330" s="19" t="str">
        <f>Sheet1!L330</f>
        <v/>
      </c>
      <c r="M330" s="19" t="str">
        <f>Sheet1!M330</f>
        <v/>
      </c>
      <c r="N330" s="19" t="str">
        <f>Sheet1!N330</f>
        <v/>
      </c>
      <c r="O330" s="19" t="str">
        <f>Sheet1!O330</f>
        <v/>
      </c>
      <c r="P330" s="19" t="str">
        <f>Sheet1!P330</f>
        <v/>
      </c>
      <c r="Q330" s="19" t="str">
        <f>Sheet1!Q330</f>
        <v/>
      </c>
      <c r="R330" s="19" t="str">
        <f>Sheet1!R330</f>
        <v/>
      </c>
      <c r="S330" s="19" t="str">
        <f>Sheet1!S330</f>
        <v/>
      </c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</row>
    <row r="331">
      <c r="A331" s="19" t="str">
        <f>Sheet1!A331</f>
        <v/>
      </c>
      <c r="B331" s="19" t="str">
        <f>Sheet1!B331</f>
        <v/>
      </c>
      <c r="C331" s="19" t="str">
        <f>Sheet1!C331</f>
        <v/>
      </c>
      <c r="D331" s="19" t="str">
        <f>Sheet1!D331</f>
        <v/>
      </c>
      <c r="E331" s="19" t="str">
        <f>Sheet1!E331</f>
        <v/>
      </c>
      <c r="F331" s="19" t="str">
        <f>Sheet1!F331</f>
        <v/>
      </c>
      <c r="G331" s="19" t="str">
        <f>Sheet1!G331</f>
        <v/>
      </c>
      <c r="H331" s="19" t="str">
        <f>Sheet1!H331</f>
        <v/>
      </c>
      <c r="I331" s="19" t="str">
        <f>Sheet1!I331</f>
        <v/>
      </c>
      <c r="J331" s="19" t="str">
        <f>Sheet1!J331</f>
        <v/>
      </c>
      <c r="K331" s="19" t="str">
        <f>Sheet1!K331</f>
        <v/>
      </c>
      <c r="L331" s="19" t="str">
        <f>Sheet1!L331</f>
        <v/>
      </c>
      <c r="M331" s="19" t="str">
        <f>Sheet1!M331</f>
        <v/>
      </c>
      <c r="N331" s="19" t="str">
        <f>Sheet1!N331</f>
        <v/>
      </c>
      <c r="O331" s="19" t="str">
        <f>Sheet1!O331</f>
        <v/>
      </c>
      <c r="P331" s="19" t="str">
        <f>Sheet1!P331</f>
        <v/>
      </c>
      <c r="Q331" s="19" t="str">
        <f>Sheet1!Q331</f>
        <v/>
      </c>
      <c r="R331" s="19" t="str">
        <f>Sheet1!R331</f>
        <v/>
      </c>
      <c r="S331" s="19" t="str">
        <f>Sheet1!S331</f>
        <v/>
      </c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</row>
    <row r="332">
      <c r="A332" s="19" t="str">
        <f>Sheet1!A332</f>
        <v/>
      </c>
      <c r="B332" s="19" t="str">
        <f>Sheet1!B332</f>
        <v/>
      </c>
      <c r="C332" s="19" t="str">
        <f>Sheet1!C332</f>
        <v/>
      </c>
      <c r="D332" s="19" t="str">
        <f>Sheet1!D332</f>
        <v/>
      </c>
      <c r="E332" s="19" t="str">
        <f>Sheet1!E332</f>
        <v/>
      </c>
      <c r="F332" s="19" t="str">
        <f>Sheet1!F332</f>
        <v/>
      </c>
      <c r="G332" s="19" t="str">
        <f>Sheet1!G332</f>
        <v/>
      </c>
      <c r="H332" s="19" t="str">
        <f>Sheet1!H332</f>
        <v/>
      </c>
      <c r="I332" s="19" t="str">
        <f>Sheet1!I332</f>
        <v/>
      </c>
      <c r="J332" s="19" t="str">
        <f>Sheet1!J332</f>
        <v/>
      </c>
      <c r="K332" s="19" t="str">
        <f>Sheet1!K332</f>
        <v/>
      </c>
      <c r="L332" s="19" t="str">
        <f>Sheet1!L332</f>
        <v/>
      </c>
      <c r="M332" s="19" t="str">
        <f>Sheet1!M332</f>
        <v/>
      </c>
      <c r="N332" s="19" t="str">
        <f>Sheet1!N332</f>
        <v/>
      </c>
      <c r="O332" s="19" t="str">
        <f>Sheet1!O332</f>
        <v/>
      </c>
      <c r="P332" s="19" t="str">
        <f>Sheet1!P332</f>
        <v/>
      </c>
      <c r="Q332" s="19" t="str">
        <f>Sheet1!Q332</f>
        <v/>
      </c>
      <c r="R332" s="19" t="str">
        <f>Sheet1!R332</f>
        <v/>
      </c>
      <c r="S332" s="19" t="str">
        <f>Sheet1!S332</f>
        <v/>
      </c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</row>
    <row r="333">
      <c r="A333" s="19" t="str">
        <f>Sheet1!A333</f>
        <v/>
      </c>
      <c r="B333" s="19" t="str">
        <f>Sheet1!B333</f>
        <v/>
      </c>
      <c r="C333" s="19" t="str">
        <f>Sheet1!C333</f>
        <v/>
      </c>
      <c r="D333" s="19" t="str">
        <f>Sheet1!D333</f>
        <v/>
      </c>
      <c r="E333" s="19" t="str">
        <f>Sheet1!E333</f>
        <v/>
      </c>
      <c r="F333" s="19" t="str">
        <f>Sheet1!F333</f>
        <v/>
      </c>
      <c r="G333" s="19" t="str">
        <f>Sheet1!G333</f>
        <v/>
      </c>
      <c r="H333" s="19" t="str">
        <f>Sheet1!H333</f>
        <v/>
      </c>
      <c r="I333" s="19" t="str">
        <f>Sheet1!I333</f>
        <v/>
      </c>
      <c r="J333" s="19" t="str">
        <f>Sheet1!J333</f>
        <v/>
      </c>
      <c r="K333" s="19" t="str">
        <f>Sheet1!K333</f>
        <v/>
      </c>
      <c r="L333" s="19" t="str">
        <f>Sheet1!L333</f>
        <v/>
      </c>
      <c r="M333" s="19" t="str">
        <f>Sheet1!M333</f>
        <v/>
      </c>
      <c r="N333" s="19" t="str">
        <f>Sheet1!N333</f>
        <v/>
      </c>
      <c r="O333" s="19" t="str">
        <f>Sheet1!O333</f>
        <v/>
      </c>
      <c r="P333" s="19" t="str">
        <f>Sheet1!P333</f>
        <v/>
      </c>
      <c r="Q333" s="19" t="str">
        <f>Sheet1!Q333</f>
        <v/>
      </c>
      <c r="R333" s="19" t="str">
        <f>Sheet1!R333</f>
        <v/>
      </c>
      <c r="S333" s="19" t="str">
        <f>Sheet1!S333</f>
        <v/>
      </c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</row>
    <row r="334">
      <c r="A334" s="19" t="str">
        <f>Sheet1!A334</f>
        <v/>
      </c>
      <c r="B334" s="19" t="str">
        <f>Sheet1!B334</f>
        <v/>
      </c>
      <c r="C334" s="19" t="str">
        <f>Sheet1!C334</f>
        <v/>
      </c>
      <c r="D334" s="19" t="str">
        <f>Sheet1!D334</f>
        <v/>
      </c>
      <c r="E334" s="19" t="str">
        <f>Sheet1!E334</f>
        <v/>
      </c>
      <c r="F334" s="19" t="str">
        <f>Sheet1!F334</f>
        <v/>
      </c>
      <c r="G334" s="19" t="str">
        <f>Sheet1!G334</f>
        <v/>
      </c>
      <c r="H334" s="19" t="str">
        <f>Sheet1!H334</f>
        <v/>
      </c>
      <c r="I334" s="19" t="str">
        <f>Sheet1!I334</f>
        <v/>
      </c>
      <c r="J334" s="19" t="str">
        <f>Sheet1!J334</f>
        <v/>
      </c>
      <c r="K334" s="19" t="str">
        <f>Sheet1!K334</f>
        <v/>
      </c>
      <c r="L334" s="19" t="str">
        <f>Sheet1!L334</f>
        <v/>
      </c>
      <c r="M334" s="19" t="str">
        <f>Sheet1!M334</f>
        <v/>
      </c>
      <c r="N334" s="19" t="str">
        <f>Sheet1!N334</f>
        <v/>
      </c>
      <c r="O334" s="19" t="str">
        <f>Sheet1!O334</f>
        <v/>
      </c>
      <c r="P334" s="19" t="str">
        <f>Sheet1!P334</f>
        <v/>
      </c>
      <c r="Q334" s="19" t="str">
        <f>Sheet1!Q334</f>
        <v/>
      </c>
      <c r="R334" s="19" t="str">
        <f>Sheet1!R334</f>
        <v/>
      </c>
      <c r="S334" s="19" t="str">
        <f>Sheet1!S334</f>
        <v/>
      </c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</row>
    <row r="335">
      <c r="A335" s="19" t="str">
        <f>Sheet1!A335</f>
        <v/>
      </c>
      <c r="B335" s="19" t="str">
        <f>Sheet1!B335</f>
        <v/>
      </c>
      <c r="C335" s="19" t="str">
        <f>Sheet1!C335</f>
        <v/>
      </c>
      <c r="D335" s="19" t="str">
        <f>Sheet1!D335</f>
        <v/>
      </c>
      <c r="E335" s="19" t="str">
        <f>Sheet1!E335</f>
        <v/>
      </c>
      <c r="F335" s="19" t="str">
        <f>Sheet1!F335</f>
        <v/>
      </c>
      <c r="G335" s="19" t="str">
        <f>Sheet1!G335</f>
        <v/>
      </c>
      <c r="H335" s="19" t="str">
        <f>Sheet1!H335</f>
        <v/>
      </c>
      <c r="I335" s="19" t="str">
        <f>Sheet1!I335</f>
        <v/>
      </c>
      <c r="J335" s="19" t="str">
        <f>Sheet1!J335</f>
        <v/>
      </c>
      <c r="K335" s="19" t="str">
        <f>Sheet1!K335</f>
        <v/>
      </c>
      <c r="L335" s="19" t="str">
        <f>Sheet1!L335</f>
        <v/>
      </c>
      <c r="M335" s="19" t="str">
        <f>Sheet1!M335</f>
        <v/>
      </c>
      <c r="N335" s="19" t="str">
        <f>Sheet1!N335</f>
        <v/>
      </c>
      <c r="O335" s="19" t="str">
        <f>Sheet1!O335</f>
        <v/>
      </c>
      <c r="P335" s="19" t="str">
        <f>Sheet1!P335</f>
        <v/>
      </c>
      <c r="Q335" s="19" t="str">
        <f>Sheet1!Q335</f>
        <v/>
      </c>
      <c r="R335" s="19" t="str">
        <f>Sheet1!R335</f>
        <v/>
      </c>
      <c r="S335" s="19" t="str">
        <f>Sheet1!S335</f>
        <v/>
      </c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</row>
    <row r="336">
      <c r="A336" s="19" t="str">
        <f>Sheet1!A336</f>
        <v/>
      </c>
      <c r="B336" s="19" t="str">
        <f>Sheet1!B336</f>
        <v/>
      </c>
      <c r="C336" s="19" t="str">
        <f>Sheet1!C336</f>
        <v/>
      </c>
      <c r="D336" s="19" t="str">
        <f>Sheet1!D336</f>
        <v/>
      </c>
      <c r="E336" s="19" t="str">
        <f>Sheet1!E336</f>
        <v/>
      </c>
      <c r="F336" s="19" t="str">
        <f>Sheet1!F336</f>
        <v/>
      </c>
      <c r="G336" s="19" t="str">
        <f>Sheet1!G336</f>
        <v/>
      </c>
      <c r="H336" s="19" t="str">
        <f>Sheet1!H336</f>
        <v/>
      </c>
      <c r="I336" s="19" t="str">
        <f>Sheet1!I336</f>
        <v/>
      </c>
      <c r="J336" s="19" t="str">
        <f>Sheet1!J336</f>
        <v/>
      </c>
      <c r="K336" s="19" t="str">
        <f>Sheet1!K336</f>
        <v/>
      </c>
      <c r="L336" s="19" t="str">
        <f>Sheet1!L336</f>
        <v/>
      </c>
      <c r="M336" s="19" t="str">
        <f>Sheet1!M336</f>
        <v/>
      </c>
      <c r="N336" s="19" t="str">
        <f>Sheet1!N336</f>
        <v/>
      </c>
      <c r="O336" s="19" t="str">
        <f>Sheet1!O336</f>
        <v/>
      </c>
      <c r="P336" s="19" t="str">
        <f>Sheet1!P336</f>
        <v/>
      </c>
      <c r="Q336" s="19" t="str">
        <f>Sheet1!Q336</f>
        <v/>
      </c>
      <c r="R336" s="19" t="str">
        <f>Sheet1!R336</f>
        <v/>
      </c>
      <c r="S336" s="19" t="str">
        <f>Sheet1!S336</f>
        <v/>
      </c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</row>
    <row r="337">
      <c r="A337" s="19" t="str">
        <f>Sheet1!A337</f>
        <v/>
      </c>
      <c r="B337" s="19" t="str">
        <f>Sheet1!B337</f>
        <v/>
      </c>
      <c r="C337" s="19" t="str">
        <f>Sheet1!C337</f>
        <v/>
      </c>
      <c r="D337" s="19" t="str">
        <f>Sheet1!D337</f>
        <v/>
      </c>
      <c r="E337" s="19" t="str">
        <f>Sheet1!E337</f>
        <v/>
      </c>
      <c r="F337" s="19" t="str">
        <f>Sheet1!F337</f>
        <v/>
      </c>
      <c r="G337" s="19" t="str">
        <f>Sheet1!G337</f>
        <v/>
      </c>
      <c r="H337" s="19" t="str">
        <f>Sheet1!H337</f>
        <v/>
      </c>
      <c r="I337" s="19" t="str">
        <f>Sheet1!I337</f>
        <v/>
      </c>
      <c r="J337" s="19" t="str">
        <f>Sheet1!J337</f>
        <v/>
      </c>
      <c r="K337" s="19" t="str">
        <f>Sheet1!K337</f>
        <v/>
      </c>
      <c r="L337" s="19" t="str">
        <f>Sheet1!L337</f>
        <v/>
      </c>
      <c r="M337" s="19" t="str">
        <f>Sheet1!M337</f>
        <v/>
      </c>
      <c r="N337" s="19" t="str">
        <f>Sheet1!N337</f>
        <v/>
      </c>
      <c r="O337" s="19" t="str">
        <f>Sheet1!O337</f>
        <v/>
      </c>
      <c r="P337" s="19" t="str">
        <f>Sheet1!P337</f>
        <v/>
      </c>
      <c r="Q337" s="19" t="str">
        <f>Sheet1!Q337</f>
        <v/>
      </c>
      <c r="R337" s="19" t="str">
        <f>Sheet1!R337</f>
        <v/>
      </c>
      <c r="S337" s="19" t="str">
        <f>Sheet1!S337</f>
        <v/>
      </c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</row>
    <row r="338">
      <c r="A338" s="19" t="str">
        <f>Sheet1!A338</f>
        <v/>
      </c>
      <c r="B338" s="19" t="str">
        <f>Sheet1!B338</f>
        <v/>
      </c>
      <c r="C338" s="19" t="str">
        <f>Sheet1!C338</f>
        <v/>
      </c>
      <c r="D338" s="19" t="str">
        <f>Sheet1!D338</f>
        <v/>
      </c>
      <c r="E338" s="19" t="str">
        <f>Sheet1!E338</f>
        <v/>
      </c>
      <c r="F338" s="19" t="str">
        <f>Sheet1!F338</f>
        <v/>
      </c>
      <c r="G338" s="19" t="str">
        <f>Sheet1!G338</f>
        <v/>
      </c>
      <c r="H338" s="19" t="str">
        <f>Sheet1!H338</f>
        <v/>
      </c>
      <c r="I338" s="19" t="str">
        <f>Sheet1!I338</f>
        <v/>
      </c>
      <c r="J338" s="19" t="str">
        <f>Sheet1!J338</f>
        <v/>
      </c>
      <c r="K338" s="19" t="str">
        <f>Sheet1!K338</f>
        <v/>
      </c>
      <c r="L338" s="19" t="str">
        <f>Sheet1!L338</f>
        <v/>
      </c>
      <c r="M338" s="19" t="str">
        <f>Sheet1!M338</f>
        <v/>
      </c>
      <c r="N338" s="19" t="str">
        <f>Sheet1!N338</f>
        <v/>
      </c>
      <c r="O338" s="19" t="str">
        <f>Sheet1!O338</f>
        <v/>
      </c>
      <c r="P338" s="19" t="str">
        <f>Sheet1!P338</f>
        <v/>
      </c>
      <c r="Q338" s="19" t="str">
        <f>Sheet1!Q338</f>
        <v/>
      </c>
      <c r="R338" s="19" t="str">
        <f>Sheet1!R338</f>
        <v/>
      </c>
      <c r="S338" s="19" t="str">
        <f>Sheet1!S338</f>
        <v/>
      </c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</row>
    <row r="339">
      <c r="A339" s="19" t="str">
        <f>Sheet1!A339</f>
        <v/>
      </c>
      <c r="B339" s="19" t="str">
        <f>Sheet1!B339</f>
        <v/>
      </c>
      <c r="C339" s="19" t="str">
        <f>Sheet1!C339</f>
        <v/>
      </c>
      <c r="D339" s="19" t="str">
        <f>Sheet1!D339</f>
        <v/>
      </c>
      <c r="E339" s="19" t="str">
        <f>Sheet1!E339</f>
        <v/>
      </c>
      <c r="F339" s="19" t="str">
        <f>Sheet1!F339</f>
        <v/>
      </c>
      <c r="G339" s="19" t="str">
        <f>Sheet1!G339</f>
        <v/>
      </c>
      <c r="H339" s="19" t="str">
        <f>Sheet1!H339</f>
        <v/>
      </c>
      <c r="I339" s="19" t="str">
        <f>Sheet1!I339</f>
        <v/>
      </c>
      <c r="J339" s="19" t="str">
        <f>Sheet1!J339</f>
        <v/>
      </c>
      <c r="K339" s="19" t="str">
        <f>Sheet1!K339</f>
        <v/>
      </c>
      <c r="L339" s="19" t="str">
        <f>Sheet1!L339</f>
        <v/>
      </c>
      <c r="M339" s="19" t="str">
        <f>Sheet1!M339</f>
        <v/>
      </c>
      <c r="N339" s="19" t="str">
        <f>Sheet1!N339</f>
        <v/>
      </c>
      <c r="O339" s="19" t="str">
        <f>Sheet1!O339</f>
        <v/>
      </c>
      <c r="P339" s="19" t="str">
        <f>Sheet1!P339</f>
        <v/>
      </c>
      <c r="Q339" s="19" t="str">
        <f>Sheet1!Q339</f>
        <v/>
      </c>
      <c r="R339" s="19" t="str">
        <f>Sheet1!R339</f>
        <v/>
      </c>
      <c r="S339" s="19" t="str">
        <f>Sheet1!S339</f>
        <v/>
      </c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</row>
    <row r="340">
      <c r="A340" s="19" t="str">
        <f>Sheet1!A340</f>
        <v/>
      </c>
      <c r="B340" s="19" t="str">
        <f>Sheet1!B340</f>
        <v/>
      </c>
      <c r="C340" s="19" t="str">
        <f>Sheet1!C340</f>
        <v/>
      </c>
      <c r="D340" s="19" t="str">
        <f>Sheet1!D340</f>
        <v/>
      </c>
      <c r="E340" s="19" t="str">
        <f>Sheet1!E340</f>
        <v/>
      </c>
      <c r="F340" s="19" t="str">
        <f>Sheet1!F340</f>
        <v/>
      </c>
      <c r="G340" s="19" t="str">
        <f>Sheet1!G340</f>
        <v/>
      </c>
      <c r="H340" s="19" t="str">
        <f>Sheet1!H340</f>
        <v/>
      </c>
      <c r="I340" s="19" t="str">
        <f>Sheet1!I340</f>
        <v/>
      </c>
      <c r="J340" s="19" t="str">
        <f>Sheet1!J340</f>
        <v/>
      </c>
      <c r="K340" s="19" t="str">
        <f>Sheet1!K340</f>
        <v/>
      </c>
      <c r="L340" s="19" t="str">
        <f>Sheet1!L340</f>
        <v/>
      </c>
      <c r="M340" s="19" t="str">
        <f>Sheet1!M340</f>
        <v/>
      </c>
      <c r="N340" s="19" t="str">
        <f>Sheet1!N340</f>
        <v/>
      </c>
      <c r="O340" s="19" t="str">
        <f>Sheet1!O340</f>
        <v/>
      </c>
      <c r="P340" s="19" t="str">
        <f>Sheet1!P340</f>
        <v/>
      </c>
      <c r="Q340" s="19" t="str">
        <f>Sheet1!Q340</f>
        <v/>
      </c>
      <c r="R340" s="19" t="str">
        <f>Sheet1!R340</f>
        <v/>
      </c>
      <c r="S340" s="19" t="str">
        <f>Sheet1!S340</f>
        <v/>
      </c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</row>
    <row r="341">
      <c r="A341" s="19" t="str">
        <f>Sheet1!A341</f>
        <v/>
      </c>
      <c r="B341" s="19" t="str">
        <f>Sheet1!B341</f>
        <v/>
      </c>
      <c r="C341" s="19" t="str">
        <f>Sheet1!C341</f>
        <v/>
      </c>
      <c r="D341" s="19" t="str">
        <f>Sheet1!D341</f>
        <v/>
      </c>
      <c r="E341" s="19" t="str">
        <f>Sheet1!E341</f>
        <v/>
      </c>
      <c r="F341" s="19" t="str">
        <f>Sheet1!F341</f>
        <v/>
      </c>
      <c r="G341" s="19" t="str">
        <f>Sheet1!G341</f>
        <v/>
      </c>
      <c r="H341" s="19" t="str">
        <f>Sheet1!H341</f>
        <v/>
      </c>
      <c r="I341" s="19" t="str">
        <f>Sheet1!I341</f>
        <v/>
      </c>
      <c r="J341" s="19" t="str">
        <f>Sheet1!J341</f>
        <v/>
      </c>
      <c r="K341" s="19" t="str">
        <f>Sheet1!K341</f>
        <v/>
      </c>
      <c r="L341" s="19" t="str">
        <f>Sheet1!L341</f>
        <v/>
      </c>
      <c r="M341" s="19" t="str">
        <f>Sheet1!M341</f>
        <v/>
      </c>
      <c r="N341" s="19" t="str">
        <f>Sheet1!N341</f>
        <v/>
      </c>
      <c r="O341" s="19" t="str">
        <f>Sheet1!O341</f>
        <v/>
      </c>
      <c r="P341" s="19" t="str">
        <f>Sheet1!P341</f>
        <v/>
      </c>
      <c r="Q341" s="19" t="str">
        <f>Sheet1!Q341</f>
        <v/>
      </c>
      <c r="R341" s="19" t="str">
        <f>Sheet1!R341</f>
        <v/>
      </c>
      <c r="S341" s="19" t="str">
        <f>Sheet1!S341</f>
        <v/>
      </c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</row>
    <row r="342">
      <c r="A342" s="19" t="str">
        <f>Sheet1!A342</f>
        <v/>
      </c>
      <c r="B342" s="19" t="str">
        <f>Sheet1!B342</f>
        <v/>
      </c>
      <c r="C342" s="19" t="str">
        <f>Sheet1!C342</f>
        <v/>
      </c>
      <c r="D342" s="19" t="str">
        <f>Sheet1!D342</f>
        <v/>
      </c>
      <c r="E342" s="19" t="str">
        <f>Sheet1!E342</f>
        <v/>
      </c>
      <c r="F342" s="19" t="str">
        <f>Sheet1!F342</f>
        <v/>
      </c>
      <c r="G342" s="19" t="str">
        <f>Sheet1!G342</f>
        <v/>
      </c>
      <c r="H342" s="19" t="str">
        <f>Sheet1!H342</f>
        <v/>
      </c>
      <c r="I342" s="19" t="str">
        <f>Sheet1!I342</f>
        <v/>
      </c>
      <c r="J342" s="19" t="str">
        <f>Sheet1!J342</f>
        <v/>
      </c>
      <c r="K342" s="19" t="str">
        <f>Sheet1!K342</f>
        <v/>
      </c>
      <c r="L342" s="19" t="str">
        <f>Sheet1!L342</f>
        <v/>
      </c>
      <c r="M342" s="19" t="str">
        <f>Sheet1!M342</f>
        <v/>
      </c>
      <c r="N342" s="19" t="str">
        <f>Sheet1!N342</f>
        <v/>
      </c>
      <c r="O342" s="19" t="str">
        <f>Sheet1!O342</f>
        <v/>
      </c>
      <c r="P342" s="19" t="str">
        <f>Sheet1!P342</f>
        <v/>
      </c>
      <c r="Q342" s="19" t="str">
        <f>Sheet1!Q342</f>
        <v/>
      </c>
      <c r="R342" s="19" t="str">
        <f>Sheet1!R342</f>
        <v/>
      </c>
      <c r="S342" s="19" t="str">
        <f>Sheet1!S342</f>
        <v/>
      </c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</row>
    <row r="343">
      <c r="A343" s="19" t="str">
        <f>Sheet1!A343</f>
        <v/>
      </c>
      <c r="B343" s="19" t="str">
        <f>Sheet1!B343</f>
        <v/>
      </c>
      <c r="C343" s="19" t="str">
        <f>Sheet1!C343</f>
        <v/>
      </c>
      <c r="D343" s="19" t="str">
        <f>Sheet1!D343</f>
        <v/>
      </c>
      <c r="E343" s="19" t="str">
        <f>Sheet1!E343</f>
        <v/>
      </c>
      <c r="F343" s="19" t="str">
        <f>Sheet1!F343</f>
        <v/>
      </c>
      <c r="G343" s="19" t="str">
        <f>Sheet1!G343</f>
        <v/>
      </c>
      <c r="H343" s="19" t="str">
        <f>Sheet1!H343</f>
        <v/>
      </c>
      <c r="I343" s="19" t="str">
        <f>Sheet1!I343</f>
        <v/>
      </c>
      <c r="J343" s="19" t="str">
        <f>Sheet1!J343</f>
        <v/>
      </c>
      <c r="K343" s="19" t="str">
        <f>Sheet1!K343</f>
        <v/>
      </c>
      <c r="L343" s="19" t="str">
        <f>Sheet1!L343</f>
        <v/>
      </c>
      <c r="M343" s="19" t="str">
        <f>Sheet1!M343</f>
        <v/>
      </c>
      <c r="N343" s="19" t="str">
        <f>Sheet1!N343</f>
        <v/>
      </c>
      <c r="O343" s="19" t="str">
        <f>Sheet1!O343</f>
        <v/>
      </c>
      <c r="P343" s="19" t="str">
        <f>Sheet1!P343</f>
        <v/>
      </c>
      <c r="Q343" s="19" t="str">
        <f>Sheet1!Q343</f>
        <v/>
      </c>
      <c r="R343" s="19" t="str">
        <f>Sheet1!R343</f>
        <v/>
      </c>
      <c r="S343" s="19" t="str">
        <f>Sheet1!S343</f>
        <v/>
      </c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</row>
    <row r="344">
      <c r="A344" s="19" t="str">
        <f>Sheet1!A344</f>
        <v/>
      </c>
      <c r="B344" s="19" t="str">
        <f>Sheet1!B344</f>
        <v/>
      </c>
      <c r="C344" s="19" t="str">
        <f>Sheet1!C344</f>
        <v/>
      </c>
      <c r="D344" s="19" t="str">
        <f>Sheet1!D344</f>
        <v/>
      </c>
      <c r="E344" s="19" t="str">
        <f>Sheet1!E344</f>
        <v/>
      </c>
      <c r="F344" s="19" t="str">
        <f>Sheet1!F344</f>
        <v/>
      </c>
      <c r="G344" s="19" t="str">
        <f>Sheet1!G344</f>
        <v/>
      </c>
      <c r="H344" s="19" t="str">
        <f>Sheet1!H344</f>
        <v/>
      </c>
      <c r="I344" s="19" t="str">
        <f>Sheet1!I344</f>
        <v/>
      </c>
      <c r="J344" s="19" t="str">
        <f>Sheet1!J344</f>
        <v/>
      </c>
      <c r="K344" s="19" t="str">
        <f>Sheet1!K344</f>
        <v/>
      </c>
      <c r="L344" s="19" t="str">
        <f>Sheet1!L344</f>
        <v/>
      </c>
      <c r="M344" s="19" t="str">
        <f>Sheet1!M344</f>
        <v/>
      </c>
      <c r="N344" s="19" t="str">
        <f>Sheet1!N344</f>
        <v/>
      </c>
      <c r="O344" s="19" t="str">
        <f>Sheet1!O344</f>
        <v/>
      </c>
      <c r="P344" s="19" t="str">
        <f>Sheet1!P344</f>
        <v/>
      </c>
      <c r="Q344" s="19" t="str">
        <f>Sheet1!Q344</f>
        <v/>
      </c>
      <c r="R344" s="19" t="str">
        <f>Sheet1!R344</f>
        <v/>
      </c>
      <c r="S344" s="19" t="str">
        <f>Sheet1!S344</f>
        <v/>
      </c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</row>
    <row r="345">
      <c r="A345" s="19" t="str">
        <f>Sheet1!A345</f>
        <v/>
      </c>
      <c r="B345" s="19" t="str">
        <f>Sheet1!B345</f>
        <v/>
      </c>
      <c r="C345" s="19" t="str">
        <f>Sheet1!C345</f>
        <v/>
      </c>
      <c r="D345" s="19" t="str">
        <f>Sheet1!D345</f>
        <v/>
      </c>
      <c r="E345" s="19" t="str">
        <f>Sheet1!E345</f>
        <v/>
      </c>
      <c r="F345" s="19" t="str">
        <f>Sheet1!F345</f>
        <v/>
      </c>
      <c r="G345" s="19" t="str">
        <f>Sheet1!G345</f>
        <v/>
      </c>
      <c r="H345" s="19" t="str">
        <f>Sheet1!H345</f>
        <v/>
      </c>
      <c r="I345" s="19" t="str">
        <f>Sheet1!I345</f>
        <v/>
      </c>
      <c r="J345" s="19" t="str">
        <f>Sheet1!J345</f>
        <v/>
      </c>
      <c r="K345" s="19" t="str">
        <f>Sheet1!K345</f>
        <v/>
      </c>
      <c r="L345" s="19" t="str">
        <f>Sheet1!L345</f>
        <v/>
      </c>
      <c r="M345" s="19" t="str">
        <f>Sheet1!M345</f>
        <v/>
      </c>
      <c r="N345" s="19" t="str">
        <f>Sheet1!N345</f>
        <v/>
      </c>
      <c r="O345" s="19" t="str">
        <f>Sheet1!O345</f>
        <v/>
      </c>
      <c r="P345" s="19" t="str">
        <f>Sheet1!P345</f>
        <v/>
      </c>
      <c r="Q345" s="19" t="str">
        <f>Sheet1!Q345</f>
        <v/>
      </c>
      <c r="R345" s="19" t="str">
        <f>Sheet1!R345</f>
        <v/>
      </c>
      <c r="S345" s="19" t="str">
        <f>Sheet1!S345</f>
        <v/>
      </c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</row>
    <row r="346">
      <c r="A346" s="19" t="str">
        <f>Sheet1!A346</f>
        <v/>
      </c>
      <c r="B346" s="19" t="str">
        <f>Sheet1!B346</f>
        <v/>
      </c>
      <c r="C346" s="19" t="str">
        <f>Sheet1!C346</f>
        <v/>
      </c>
      <c r="D346" s="19" t="str">
        <f>Sheet1!D346</f>
        <v/>
      </c>
      <c r="E346" s="19" t="str">
        <f>Sheet1!E346</f>
        <v/>
      </c>
      <c r="F346" s="19" t="str">
        <f>Sheet1!F346</f>
        <v/>
      </c>
      <c r="G346" s="19" t="str">
        <f>Sheet1!G346</f>
        <v/>
      </c>
      <c r="H346" s="19" t="str">
        <f>Sheet1!H346</f>
        <v/>
      </c>
      <c r="I346" s="19" t="str">
        <f>Sheet1!I346</f>
        <v/>
      </c>
      <c r="J346" s="19" t="str">
        <f>Sheet1!J346</f>
        <v/>
      </c>
      <c r="K346" s="19" t="str">
        <f>Sheet1!K346</f>
        <v/>
      </c>
      <c r="L346" s="19" t="str">
        <f>Sheet1!L346</f>
        <v/>
      </c>
      <c r="M346" s="19" t="str">
        <f>Sheet1!M346</f>
        <v/>
      </c>
      <c r="N346" s="19" t="str">
        <f>Sheet1!N346</f>
        <v/>
      </c>
      <c r="O346" s="19" t="str">
        <f>Sheet1!O346</f>
        <v/>
      </c>
      <c r="P346" s="19" t="str">
        <f>Sheet1!P346</f>
        <v/>
      </c>
      <c r="Q346" s="19" t="str">
        <f>Sheet1!Q346</f>
        <v/>
      </c>
      <c r="R346" s="19" t="str">
        <f>Sheet1!R346</f>
        <v/>
      </c>
      <c r="S346" s="19" t="str">
        <f>Sheet1!S346</f>
        <v/>
      </c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</row>
    <row r="347">
      <c r="A347" s="19" t="str">
        <f>Sheet1!A347</f>
        <v/>
      </c>
      <c r="B347" s="19" t="str">
        <f>Sheet1!B347</f>
        <v/>
      </c>
      <c r="C347" s="19" t="str">
        <f>Sheet1!C347</f>
        <v/>
      </c>
      <c r="D347" s="19" t="str">
        <f>Sheet1!D347</f>
        <v/>
      </c>
      <c r="E347" s="19" t="str">
        <f>Sheet1!E347</f>
        <v/>
      </c>
      <c r="F347" s="19" t="str">
        <f>Sheet1!F347</f>
        <v/>
      </c>
      <c r="G347" s="19" t="str">
        <f>Sheet1!G347</f>
        <v/>
      </c>
      <c r="H347" s="19" t="str">
        <f>Sheet1!H347</f>
        <v/>
      </c>
      <c r="I347" s="19" t="str">
        <f>Sheet1!I347</f>
        <v/>
      </c>
      <c r="J347" s="19" t="str">
        <f>Sheet1!J347</f>
        <v/>
      </c>
      <c r="K347" s="19" t="str">
        <f>Sheet1!K347</f>
        <v/>
      </c>
      <c r="L347" s="19" t="str">
        <f>Sheet1!L347</f>
        <v/>
      </c>
      <c r="M347" s="19" t="str">
        <f>Sheet1!M347</f>
        <v/>
      </c>
      <c r="N347" s="19" t="str">
        <f>Sheet1!N347</f>
        <v/>
      </c>
      <c r="O347" s="19" t="str">
        <f>Sheet1!O347</f>
        <v/>
      </c>
      <c r="P347" s="19" t="str">
        <f>Sheet1!P347</f>
        <v/>
      </c>
      <c r="Q347" s="19" t="str">
        <f>Sheet1!Q347</f>
        <v/>
      </c>
      <c r="R347" s="19" t="str">
        <f>Sheet1!R347</f>
        <v/>
      </c>
      <c r="S347" s="19" t="str">
        <f>Sheet1!S347</f>
        <v/>
      </c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</row>
    <row r="348">
      <c r="A348" s="19" t="str">
        <f>Sheet1!A348</f>
        <v/>
      </c>
      <c r="B348" s="19" t="str">
        <f>Sheet1!B348</f>
        <v/>
      </c>
      <c r="C348" s="19" t="str">
        <f>Sheet1!C348</f>
        <v/>
      </c>
      <c r="D348" s="19" t="str">
        <f>Sheet1!D348</f>
        <v/>
      </c>
      <c r="E348" s="19" t="str">
        <f>Sheet1!E348</f>
        <v/>
      </c>
      <c r="F348" s="19" t="str">
        <f>Sheet1!F348</f>
        <v/>
      </c>
      <c r="G348" s="19" t="str">
        <f>Sheet1!G348</f>
        <v/>
      </c>
      <c r="H348" s="19" t="str">
        <f>Sheet1!H348</f>
        <v/>
      </c>
      <c r="I348" s="19" t="str">
        <f>Sheet1!I348</f>
        <v/>
      </c>
      <c r="J348" s="19" t="str">
        <f>Sheet1!J348</f>
        <v/>
      </c>
      <c r="K348" s="19" t="str">
        <f>Sheet1!K348</f>
        <v/>
      </c>
      <c r="L348" s="19" t="str">
        <f>Sheet1!L348</f>
        <v/>
      </c>
      <c r="M348" s="19" t="str">
        <f>Sheet1!M348</f>
        <v/>
      </c>
      <c r="N348" s="19" t="str">
        <f>Sheet1!N348</f>
        <v/>
      </c>
      <c r="O348" s="19" t="str">
        <f>Sheet1!O348</f>
        <v/>
      </c>
      <c r="P348" s="19" t="str">
        <f>Sheet1!P348</f>
        <v/>
      </c>
      <c r="Q348" s="19" t="str">
        <f>Sheet1!Q348</f>
        <v/>
      </c>
      <c r="R348" s="19" t="str">
        <f>Sheet1!R348</f>
        <v/>
      </c>
      <c r="S348" s="19" t="str">
        <f>Sheet1!S348</f>
        <v/>
      </c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</row>
    <row r="349">
      <c r="A349" s="19" t="str">
        <f>Sheet1!A349</f>
        <v/>
      </c>
      <c r="B349" s="19" t="str">
        <f>Sheet1!B349</f>
        <v/>
      </c>
      <c r="C349" s="19" t="str">
        <f>Sheet1!C349</f>
        <v/>
      </c>
      <c r="D349" s="19" t="str">
        <f>Sheet1!D349</f>
        <v/>
      </c>
      <c r="E349" s="19" t="str">
        <f>Sheet1!E349</f>
        <v/>
      </c>
      <c r="F349" s="19" t="str">
        <f>Sheet1!F349</f>
        <v/>
      </c>
      <c r="G349" s="19" t="str">
        <f>Sheet1!G349</f>
        <v/>
      </c>
      <c r="H349" s="19" t="str">
        <f>Sheet1!H349</f>
        <v/>
      </c>
      <c r="I349" s="19" t="str">
        <f>Sheet1!I349</f>
        <v/>
      </c>
      <c r="J349" s="19" t="str">
        <f>Sheet1!J349</f>
        <v/>
      </c>
      <c r="K349" s="19" t="str">
        <f>Sheet1!K349</f>
        <v/>
      </c>
      <c r="L349" s="19" t="str">
        <f>Sheet1!L349</f>
        <v/>
      </c>
      <c r="M349" s="19" t="str">
        <f>Sheet1!M349</f>
        <v/>
      </c>
      <c r="N349" s="19" t="str">
        <f>Sheet1!N349</f>
        <v/>
      </c>
      <c r="O349" s="19" t="str">
        <f>Sheet1!O349</f>
        <v/>
      </c>
      <c r="P349" s="19" t="str">
        <f>Sheet1!P349</f>
        <v/>
      </c>
      <c r="Q349" s="19" t="str">
        <f>Sheet1!Q349</f>
        <v/>
      </c>
      <c r="R349" s="19" t="str">
        <f>Sheet1!R349</f>
        <v/>
      </c>
      <c r="S349" s="19" t="str">
        <f>Sheet1!S349</f>
        <v/>
      </c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</row>
    <row r="350">
      <c r="A350" s="19" t="str">
        <f>Sheet1!A350</f>
        <v/>
      </c>
      <c r="B350" s="19" t="str">
        <f>Sheet1!B350</f>
        <v/>
      </c>
      <c r="C350" s="19" t="str">
        <f>Sheet1!C350</f>
        <v/>
      </c>
      <c r="D350" s="19" t="str">
        <f>Sheet1!D350</f>
        <v/>
      </c>
      <c r="E350" s="19" t="str">
        <f>Sheet1!E350</f>
        <v/>
      </c>
      <c r="F350" s="19" t="str">
        <f>Sheet1!F350</f>
        <v/>
      </c>
      <c r="G350" s="19" t="str">
        <f>Sheet1!G350</f>
        <v/>
      </c>
      <c r="H350" s="19" t="str">
        <f>Sheet1!H350</f>
        <v/>
      </c>
      <c r="I350" s="19" t="str">
        <f>Sheet1!I350</f>
        <v/>
      </c>
      <c r="J350" s="19" t="str">
        <f>Sheet1!J350</f>
        <v/>
      </c>
      <c r="K350" s="19" t="str">
        <f>Sheet1!K350</f>
        <v/>
      </c>
      <c r="L350" s="19" t="str">
        <f>Sheet1!L350</f>
        <v/>
      </c>
      <c r="M350" s="19" t="str">
        <f>Sheet1!M350</f>
        <v/>
      </c>
      <c r="N350" s="19" t="str">
        <f>Sheet1!N350</f>
        <v/>
      </c>
      <c r="O350" s="19" t="str">
        <f>Sheet1!O350</f>
        <v/>
      </c>
      <c r="P350" s="19" t="str">
        <f>Sheet1!P350</f>
        <v/>
      </c>
      <c r="Q350" s="19" t="str">
        <f>Sheet1!Q350</f>
        <v/>
      </c>
      <c r="R350" s="19" t="str">
        <f>Sheet1!R350</f>
        <v/>
      </c>
      <c r="S350" s="19" t="str">
        <f>Sheet1!S350</f>
        <v/>
      </c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</row>
    <row r="351">
      <c r="A351" s="19" t="str">
        <f>Sheet1!A351</f>
        <v/>
      </c>
      <c r="B351" s="19" t="str">
        <f>Sheet1!B351</f>
        <v/>
      </c>
      <c r="C351" s="19" t="str">
        <f>Sheet1!C351</f>
        <v/>
      </c>
      <c r="D351" s="19" t="str">
        <f>Sheet1!D351</f>
        <v/>
      </c>
      <c r="E351" s="19" t="str">
        <f>Sheet1!E351</f>
        <v/>
      </c>
      <c r="F351" s="19" t="str">
        <f>Sheet1!F351</f>
        <v/>
      </c>
      <c r="G351" s="19" t="str">
        <f>Sheet1!G351</f>
        <v/>
      </c>
      <c r="H351" s="19" t="str">
        <f>Sheet1!H351</f>
        <v/>
      </c>
      <c r="I351" s="19" t="str">
        <f>Sheet1!I351</f>
        <v/>
      </c>
      <c r="J351" s="19" t="str">
        <f>Sheet1!J351</f>
        <v/>
      </c>
      <c r="K351" s="19" t="str">
        <f>Sheet1!K351</f>
        <v/>
      </c>
      <c r="L351" s="19" t="str">
        <f>Sheet1!L351</f>
        <v/>
      </c>
      <c r="M351" s="19" t="str">
        <f>Sheet1!M351</f>
        <v/>
      </c>
      <c r="N351" s="19" t="str">
        <f>Sheet1!N351</f>
        <v/>
      </c>
      <c r="O351" s="19" t="str">
        <f>Sheet1!O351</f>
        <v/>
      </c>
      <c r="P351" s="19" t="str">
        <f>Sheet1!P351</f>
        <v/>
      </c>
      <c r="Q351" s="19" t="str">
        <f>Sheet1!Q351</f>
        <v/>
      </c>
      <c r="R351" s="19" t="str">
        <f>Sheet1!R351</f>
        <v/>
      </c>
      <c r="S351" s="19" t="str">
        <f>Sheet1!S351</f>
        <v/>
      </c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</row>
    <row r="352">
      <c r="A352" s="19" t="str">
        <f>Sheet1!A352</f>
        <v/>
      </c>
      <c r="B352" s="19" t="str">
        <f>Sheet1!B352</f>
        <v/>
      </c>
      <c r="C352" s="19" t="str">
        <f>Sheet1!C352</f>
        <v/>
      </c>
      <c r="D352" s="19" t="str">
        <f>Sheet1!D352</f>
        <v/>
      </c>
      <c r="E352" s="19" t="str">
        <f>Sheet1!E352</f>
        <v/>
      </c>
      <c r="F352" s="19" t="str">
        <f>Sheet1!F352</f>
        <v/>
      </c>
      <c r="G352" s="19" t="str">
        <f>Sheet1!G352</f>
        <v/>
      </c>
      <c r="H352" s="19" t="str">
        <f>Sheet1!H352</f>
        <v/>
      </c>
      <c r="I352" s="19" t="str">
        <f>Sheet1!I352</f>
        <v/>
      </c>
      <c r="J352" s="19" t="str">
        <f>Sheet1!J352</f>
        <v/>
      </c>
      <c r="K352" s="19" t="str">
        <f>Sheet1!K352</f>
        <v/>
      </c>
      <c r="L352" s="19" t="str">
        <f>Sheet1!L352</f>
        <v/>
      </c>
      <c r="M352" s="19" t="str">
        <f>Sheet1!M352</f>
        <v/>
      </c>
      <c r="N352" s="19" t="str">
        <f>Sheet1!N352</f>
        <v/>
      </c>
      <c r="O352" s="19" t="str">
        <f>Sheet1!O352</f>
        <v/>
      </c>
      <c r="P352" s="19" t="str">
        <f>Sheet1!P352</f>
        <v/>
      </c>
      <c r="Q352" s="19" t="str">
        <f>Sheet1!Q352</f>
        <v/>
      </c>
      <c r="R352" s="19" t="str">
        <f>Sheet1!R352</f>
        <v/>
      </c>
      <c r="S352" s="19" t="str">
        <f>Sheet1!S352</f>
        <v/>
      </c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</row>
    <row r="353">
      <c r="A353" s="19" t="str">
        <f>Sheet1!A353</f>
        <v/>
      </c>
      <c r="B353" s="19" t="str">
        <f>Sheet1!B353</f>
        <v/>
      </c>
      <c r="C353" s="19" t="str">
        <f>Sheet1!C353</f>
        <v/>
      </c>
      <c r="D353" s="19" t="str">
        <f>Sheet1!D353</f>
        <v/>
      </c>
      <c r="E353" s="19" t="str">
        <f>Sheet1!E353</f>
        <v/>
      </c>
      <c r="F353" s="19" t="str">
        <f>Sheet1!F353</f>
        <v/>
      </c>
      <c r="G353" s="19" t="str">
        <f>Sheet1!G353</f>
        <v/>
      </c>
      <c r="H353" s="19" t="str">
        <f>Sheet1!H353</f>
        <v/>
      </c>
      <c r="I353" s="19" t="str">
        <f>Sheet1!I353</f>
        <v/>
      </c>
      <c r="J353" s="19" t="str">
        <f>Sheet1!J353</f>
        <v/>
      </c>
      <c r="K353" s="19" t="str">
        <f>Sheet1!K353</f>
        <v/>
      </c>
      <c r="L353" s="19" t="str">
        <f>Sheet1!L353</f>
        <v/>
      </c>
      <c r="M353" s="19" t="str">
        <f>Sheet1!M353</f>
        <v/>
      </c>
      <c r="N353" s="19" t="str">
        <f>Sheet1!N353</f>
        <v/>
      </c>
      <c r="O353" s="19" t="str">
        <f>Sheet1!O353</f>
        <v/>
      </c>
      <c r="P353" s="19" t="str">
        <f>Sheet1!P353</f>
        <v/>
      </c>
      <c r="Q353" s="19" t="str">
        <f>Sheet1!Q353</f>
        <v/>
      </c>
      <c r="R353" s="19" t="str">
        <f>Sheet1!R353</f>
        <v/>
      </c>
      <c r="S353" s="19" t="str">
        <f>Sheet1!S353</f>
        <v/>
      </c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</row>
    <row r="354">
      <c r="A354" s="19" t="str">
        <f>Sheet1!A354</f>
        <v/>
      </c>
      <c r="B354" s="19" t="str">
        <f>Sheet1!B354</f>
        <v/>
      </c>
      <c r="C354" s="19" t="str">
        <f>Sheet1!C354</f>
        <v/>
      </c>
      <c r="D354" s="19" t="str">
        <f>Sheet1!D354</f>
        <v/>
      </c>
      <c r="E354" s="19" t="str">
        <f>Sheet1!E354</f>
        <v/>
      </c>
      <c r="F354" s="19" t="str">
        <f>Sheet1!F354</f>
        <v/>
      </c>
      <c r="G354" s="19" t="str">
        <f>Sheet1!G354</f>
        <v/>
      </c>
      <c r="H354" s="19" t="str">
        <f>Sheet1!H354</f>
        <v/>
      </c>
      <c r="I354" s="19" t="str">
        <f>Sheet1!I354</f>
        <v/>
      </c>
      <c r="J354" s="19" t="str">
        <f>Sheet1!J354</f>
        <v/>
      </c>
      <c r="K354" s="19" t="str">
        <f>Sheet1!K354</f>
        <v/>
      </c>
      <c r="L354" s="19" t="str">
        <f>Sheet1!L354</f>
        <v/>
      </c>
      <c r="M354" s="19" t="str">
        <f>Sheet1!M354</f>
        <v/>
      </c>
      <c r="N354" s="19" t="str">
        <f>Sheet1!N354</f>
        <v/>
      </c>
      <c r="O354" s="19" t="str">
        <f>Sheet1!O354</f>
        <v/>
      </c>
      <c r="P354" s="19" t="str">
        <f>Sheet1!P354</f>
        <v/>
      </c>
      <c r="Q354" s="19" t="str">
        <f>Sheet1!Q354</f>
        <v/>
      </c>
      <c r="R354" s="19" t="str">
        <f>Sheet1!R354</f>
        <v/>
      </c>
      <c r="S354" s="19" t="str">
        <f>Sheet1!S354</f>
        <v/>
      </c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</row>
    <row r="355">
      <c r="A355" s="19" t="str">
        <f>Sheet1!A355</f>
        <v/>
      </c>
      <c r="B355" s="19" t="str">
        <f>Sheet1!B355</f>
        <v/>
      </c>
      <c r="C355" s="19" t="str">
        <f>Sheet1!C355</f>
        <v/>
      </c>
      <c r="D355" s="19" t="str">
        <f>Sheet1!D355</f>
        <v/>
      </c>
      <c r="E355" s="19" t="str">
        <f>Sheet1!E355</f>
        <v/>
      </c>
      <c r="F355" s="19" t="str">
        <f>Sheet1!F355</f>
        <v/>
      </c>
      <c r="G355" s="19" t="str">
        <f>Sheet1!G355</f>
        <v/>
      </c>
      <c r="H355" s="19" t="str">
        <f>Sheet1!H355</f>
        <v/>
      </c>
      <c r="I355" s="19" t="str">
        <f>Sheet1!I355</f>
        <v/>
      </c>
      <c r="J355" s="19" t="str">
        <f>Sheet1!J355</f>
        <v/>
      </c>
      <c r="K355" s="19" t="str">
        <f>Sheet1!K355</f>
        <v/>
      </c>
      <c r="L355" s="19" t="str">
        <f>Sheet1!L355</f>
        <v/>
      </c>
      <c r="M355" s="19" t="str">
        <f>Sheet1!M355</f>
        <v/>
      </c>
      <c r="N355" s="19" t="str">
        <f>Sheet1!N355</f>
        <v/>
      </c>
      <c r="O355" s="19" t="str">
        <f>Sheet1!O355</f>
        <v/>
      </c>
      <c r="P355" s="19" t="str">
        <f>Sheet1!P355</f>
        <v/>
      </c>
      <c r="Q355" s="19" t="str">
        <f>Sheet1!Q355</f>
        <v/>
      </c>
      <c r="R355" s="19" t="str">
        <f>Sheet1!R355</f>
        <v/>
      </c>
      <c r="S355" s="19" t="str">
        <f>Sheet1!S355</f>
        <v/>
      </c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</row>
    <row r="356">
      <c r="A356" s="19" t="str">
        <f>Sheet1!A356</f>
        <v/>
      </c>
      <c r="B356" s="19" t="str">
        <f>Sheet1!B356</f>
        <v/>
      </c>
      <c r="C356" s="19" t="str">
        <f>Sheet1!C356</f>
        <v/>
      </c>
      <c r="D356" s="19" t="str">
        <f>Sheet1!D356</f>
        <v/>
      </c>
      <c r="E356" s="19" t="str">
        <f>Sheet1!E356</f>
        <v/>
      </c>
      <c r="F356" s="19" t="str">
        <f>Sheet1!F356</f>
        <v/>
      </c>
      <c r="G356" s="19" t="str">
        <f>Sheet1!G356</f>
        <v/>
      </c>
      <c r="H356" s="19" t="str">
        <f>Sheet1!H356</f>
        <v/>
      </c>
      <c r="I356" s="19" t="str">
        <f>Sheet1!I356</f>
        <v/>
      </c>
      <c r="J356" s="19" t="str">
        <f>Sheet1!J356</f>
        <v/>
      </c>
      <c r="K356" s="19" t="str">
        <f>Sheet1!K356</f>
        <v/>
      </c>
      <c r="L356" s="19" t="str">
        <f>Sheet1!L356</f>
        <v/>
      </c>
      <c r="M356" s="19" t="str">
        <f>Sheet1!M356</f>
        <v/>
      </c>
      <c r="N356" s="19" t="str">
        <f>Sheet1!N356</f>
        <v/>
      </c>
      <c r="O356" s="19" t="str">
        <f>Sheet1!O356</f>
        <v/>
      </c>
      <c r="P356" s="19" t="str">
        <f>Sheet1!P356</f>
        <v/>
      </c>
      <c r="Q356" s="19" t="str">
        <f>Sheet1!Q356</f>
        <v/>
      </c>
      <c r="R356" s="19" t="str">
        <f>Sheet1!R356</f>
        <v/>
      </c>
      <c r="S356" s="19" t="str">
        <f>Sheet1!S356</f>
        <v/>
      </c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</row>
    <row r="357">
      <c r="A357" s="19" t="str">
        <f>Sheet1!A357</f>
        <v/>
      </c>
      <c r="B357" s="19" t="str">
        <f>Sheet1!B357</f>
        <v/>
      </c>
      <c r="C357" s="19" t="str">
        <f>Sheet1!C357</f>
        <v/>
      </c>
      <c r="D357" s="19" t="str">
        <f>Sheet1!D357</f>
        <v/>
      </c>
      <c r="E357" s="19" t="str">
        <f>Sheet1!E357</f>
        <v/>
      </c>
      <c r="F357" s="19" t="str">
        <f>Sheet1!F357</f>
        <v/>
      </c>
      <c r="G357" s="19" t="str">
        <f>Sheet1!G357</f>
        <v/>
      </c>
      <c r="H357" s="19" t="str">
        <f>Sheet1!H357</f>
        <v/>
      </c>
      <c r="I357" s="19" t="str">
        <f>Sheet1!I357</f>
        <v/>
      </c>
      <c r="J357" s="19" t="str">
        <f>Sheet1!J357</f>
        <v/>
      </c>
      <c r="K357" s="19" t="str">
        <f>Sheet1!K357</f>
        <v/>
      </c>
      <c r="L357" s="19" t="str">
        <f>Sheet1!L357</f>
        <v/>
      </c>
      <c r="M357" s="19" t="str">
        <f>Sheet1!M357</f>
        <v/>
      </c>
      <c r="N357" s="19" t="str">
        <f>Sheet1!N357</f>
        <v/>
      </c>
      <c r="O357" s="19" t="str">
        <f>Sheet1!O357</f>
        <v/>
      </c>
      <c r="P357" s="19" t="str">
        <f>Sheet1!P357</f>
        <v/>
      </c>
      <c r="Q357" s="19" t="str">
        <f>Sheet1!Q357</f>
        <v/>
      </c>
      <c r="R357" s="19" t="str">
        <f>Sheet1!R357</f>
        <v/>
      </c>
      <c r="S357" s="19" t="str">
        <f>Sheet1!S357</f>
        <v/>
      </c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</row>
    <row r="358">
      <c r="A358" s="19" t="str">
        <f>Sheet1!A358</f>
        <v/>
      </c>
      <c r="B358" s="19" t="str">
        <f>Sheet1!B358</f>
        <v/>
      </c>
      <c r="C358" s="19" t="str">
        <f>Sheet1!C358</f>
        <v/>
      </c>
      <c r="D358" s="19" t="str">
        <f>Sheet1!D358</f>
        <v/>
      </c>
      <c r="E358" s="19" t="str">
        <f>Sheet1!E358</f>
        <v/>
      </c>
      <c r="F358" s="19" t="str">
        <f>Sheet1!F358</f>
        <v/>
      </c>
      <c r="G358" s="19" t="str">
        <f>Sheet1!G358</f>
        <v/>
      </c>
      <c r="H358" s="19" t="str">
        <f>Sheet1!H358</f>
        <v/>
      </c>
      <c r="I358" s="19" t="str">
        <f>Sheet1!I358</f>
        <v/>
      </c>
      <c r="J358" s="19" t="str">
        <f>Sheet1!J358</f>
        <v/>
      </c>
      <c r="K358" s="19" t="str">
        <f>Sheet1!K358</f>
        <v/>
      </c>
      <c r="L358" s="19" t="str">
        <f>Sheet1!L358</f>
        <v/>
      </c>
      <c r="M358" s="19" t="str">
        <f>Sheet1!M358</f>
        <v/>
      </c>
      <c r="N358" s="19" t="str">
        <f>Sheet1!N358</f>
        <v/>
      </c>
      <c r="O358" s="19" t="str">
        <f>Sheet1!O358</f>
        <v/>
      </c>
      <c r="P358" s="19" t="str">
        <f>Sheet1!P358</f>
        <v/>
      </c>
      <c r="Q358" s="19" t="str">
        <f>Sheet1!Q358</f>
        <v/>
      </c>
      <c r="R358" s="19" t="str">
        <f>Sheet1!R358</f>
        <v/>
      </c>
      <c r="S358" s="19" t="str">
        <f>Sheet1!S358</f>
        <v/>
      </c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</row>
    <row r="359">
      <c r="A359" s="19" t="str">
        <f>Sheet1!A359</f>
        <v/>
      </c>
      <c r="B359" s="19" t="str">
        <f>Sheet1!B359</f>
        <v/>
      </c>
      <c r="C359" s="19" t="str">
        <f>Sheet1!C359</f>
        <v/>
      </c>
      <c r="D359" s="19" t="str">
        <f>Sheet1!D359</f>
        <v/>
      </c>
      <c r="E359" s="19" t="str">
        <f>Sheet1!E359</f>
        <v/>
      </c>
      <c r="F359" s="19" t="str">
        <f>Sheet1!F359</f>
        <v/>
      </c>
      <c r="G359" s="19" t="str">
        <f>Sheet1!G359</f>
        <v/>
      </c>
      <c r="H359" s="19" t="str">
        <f>Sheet1!H359</f>
        <v/>
      </c>
      <c r="I359" s="19" t="str">
        <f>Sheet1!I359</f>
        <v/>
      </c>
      <c r="J359" s="19" t="str">
        <f>Sheet1!J359</f>
        <v/>
      </c>
      <c r="K359" s="19" t="str">
        <f>Sheet1!K359</f>
        <v/>
      </c>
      <c r="L359" s="19" t="str">
        <f>Sheet1!L359</f>
        <v/>
      </c>
      <c r="M359" s="19" t="str">
        <f>Sheet1!M359</f>
        <v/>
      </c>
      <c r="N359" s="19" t="str">
        <f>Sheet1!N359</f>
        <v/>
      </c>
      <c r="O359" s="19" t="str">
        <f>Sheet1!O359</f>
        <v/>
      </c>
      <c r="P359" s="19" t="str">
        <f>Sheet1!P359</f>
        <v/>
      </c>
      <c r="Q359" s="19" t="str">
        <f>Sheet1!Q359</f>
        <v/>
      </c>
      <c r="R359" s="19" t="str">
        <f>Sheet1!R359</f>
        <v/>
      </c>
      <c r="S359" s="19" t="str">
        <f>Sheet1!S359</f>
        <v/>
      </c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</row>
    <row r="360">
      <c r="A360" s="19" t="str">
        <f>Sheet1!A360</f>
        <v/>
      </c>
      <c r="B360" s="19" t="str">
        <f>Sheet1!B360</f>
        <v/>
      </c>
      <c r="C360" s="19" t="str">
        <f>Sheet1!C360</f>
        <v/>
      </c>
      <c r="D360" s="19" t="str">
        <f>Sheet1!D360</f>
        <v/>
      </c>
      <c r="E360" s="19" t="str">
        <f>Sheet1!E360</f>
        <v/>
      </c>
      <c r="F360" s="19" t="str">
        <f>Sheet1!F360</f>
        <v/>
      </c>
      <c r="G360" s="19" t="str">
        <f>Sheet1!G360</f>
        <v/>
      </c>
      <c r="H360" s="19" t="str">
        <f>Sheet1!H360</f>
        <v/>
      </c>
      <c r="I360" s="19" t="str">
        <f>Sheet1!I360</f>
        <v/>
      </c>
      <c r="J360" s="19" t="str">
        <f>Sheet1!J360</f>
        <v/>
      </c>
      <c r="K360" s="19" t="str">
        <f>Sheet1!K360</f>
        <v/>
      </c>
      <c r="L360" s="19" t="str">
        <f>Sheet1!L360</f>
        <v/>
      </c>
      <c r="M360" s="19" t="str">
        <f>Sheet1!M360</f>
        <v/>
      </c>
      <c r="N360" s="19" t="str">
        <f>Sheet1!N360</f>
        <v/>
      </c>
      <c r="O360" s="19" t="str">
        <f>Sheet1!O360</f>
        <v/>
      </c>
      <c r="P360" s="19" t="str">
        <f>Sheet1!P360</f>
        <v/>
      </c>
      <c r="Q360" s="19" t="str">
        <f>Sheet1!Q360</f>
        <v/>
      </c>
      <c r="R360" s="19" t="str">
        <f>Sheet1!R360</f>
        <v/>
      </c>
      <c r="S360" s="19" t="str">
        <f>Sheet1!S360</f>
        <v/>
      </c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</row>
    <row r="361">
      <c r="A361" s="19" t="str">
        <f>Sheet1!A361</f>
        <v/>
      </c>
      <c r="B361" s="19" t="str">
        <f>Sheet1!B361</f>
        <v/>
      </c>
      <c r="C361" s="19" t="str">
        <f>Sheet1!C361</f>
        <v/>
      </c>
      <c r="D361" s="19" t="str">
        <f>Sheet1!D361</f>
        <v/>
      </c>
      <c r="E361" s="19" t="str">
        <f>Sheet1!E361</f>
        <v/>
      </c>
      <c r="F361" s="19" t="str">
        <f>Sheet1!F361</f>
        <v/>
      </c>
      <c r="G361" s="19" t="str">
        <f>Sheet1!G361</f>
        <v/>
      </c>
      <c r="H361" s="19" t="str">
        <f>Sheet1!H361</f>
        <v/>
      </c>
      <c r="I361" s="19" t="str">
        <f>Sheet1!I361</f>
        <v/>
      </c>
      <c r="J361" s="19" t="str">
        <f>Sheet1!J361</f>
        <v/>
      </c>
      <c r="K361" s="19" t="str">
        <f>Sheet1!K361</f>
        <v/>
      </c>
      <c r="L361" s="19" t="str">
        <f>Sheet1!L361</f>
        <v/>
      </c>
      <c r="M361" s="19" t="str">
        <f>Sheet1!M361</f>
        <v/>
      </c>
      <c r="N361" s="19" t="str">
        <f>Sheet1!N361</f>
        <v/>
      </c>
      <c r="O361" s="19" t="str">
        <f>Sheet1!O361</f>
        <v/>
      </c>
      <c r="P361" s="19" t="str">
        <f>Sheet1!P361</f>
        <v/>
      </c>
      <c r="Q361" s="19" t="str">
        <f>Sheet1!Q361</f>
        <v/>
      </c>
      <c r="R361" s="19" t="str">
        <f>Sheet1!R361</f>
        <v/>
      </c>
      <c r="S361" s="19" t="str">
        <f>Sheet1!S361</f>
        <v/>
      </c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</row>
    <row r="362">
      <c r="A362" s="19" t="str">
        <f>Sheet1!A362</f>
        <v/>
      </c>
      <c r="B362" s="19" t="str">
        <f>Sheet1!B362</f>
        <v/>
      </c>
      <c r="C362" s="19" t="str">
        <f>Sheet1!C362</f>
        <v/>
      </c>
      <c r="D362" s="19" t="str">
        <f>Sheet1!D362</f>
        <v/>
      </c>
      <c r="E362" s="19" t="str">
        <f>Sheet1!E362</f>
        <v/>
      </c>
      <c r="F362" s="19" t="str">
        <f>Sheet1!F362</f>
        <v/>
      </c>
      <c r="G362" s="19" t="str">
        <f>Sheet1!G362</f>
        <v/>
      </c>
      <c r="H362" s="19" t="str">
        <f>Sheet1!H362</f>
        <v/>
      </c>
      <c r="I362" s="19" t="str">
        <f>Sheet1!I362</f>
        <v/>
      </c>
      <c r="J362" s="19" t="str">
        <f>Sheet1!J362</f>
        <v/>
      </c>
      <c r="K362" s="19" t="str">
        <f>Sheet1!K362</f>
        <v/>
      </c>
      <c r="L362" s="19" t="str">
        <f>Sheet1!L362</f>
        <v/>
      </c>
      <c r="M362" s="19" t="str">
        <f>Sheet1!M362</f>
        <v/>
      </c>
      <c r="N362" s="19" t="str">
        <f>Sheet1!N362</f>
        <v/>
      </c>
      <c r="O362" s="19" t="str">
        <f>Sheet1!O362</f>
        <v/>
      </c>
      <c r="P362" s="19" t="str">
        <f>Sheet1!P362</f>
        <v/>
      </c>
      <c r="Q362" s="19" t="str">
        <f>Sheet1!Q362</f>
        <v/>
      </c>
      <c r="R362" s="19" t="str">
        <f>Sheet1!R362</f>
        <v/>
      </c>
      <c r="S362" s="19" t="str">
        <f>Sheet1!S362</f>
        <v/>
      </c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</row>
    <row r="363">
      <c r="A363" s="19" t="str">
        <f>Sheet1!A363</f>
        <v/>
      </c>
      <c r="B363" s="19" t="str">
        <f>Sheet1!B363</f>
        <v/>
      </c>
      <c r="C363" s="19" t="str">
        <f>Sheet1!C363</f>
        <v/>
      </c>
      <c r="D363" s="19" t="str">
        <f>Sheet1!D363</f>
        <v/>
      </c>
      <c r="E363" s="19" t="str">
        <f>Sheet1!E363</f>
        <v/>
      </c>
      <c r="F363" s="19" t="str">
        <f>Sheet1!F363</f>
        <v/>
      </c>
      <c r="G363" s="19" t="str">
        <f>Sheet1!G363</f>
        <v/>
      </c>
      <c r="H363" s="19" t="str">
        <f>Sheet1!H363</f>
        <v/>
      </c>
      <c r="I363" s="19" t="str">
        <f>Sheet1!I363</f>
        <v/>
      </c>
      <c r="J363" s="19" t="str">
        <f>Sheet1!J363</f>
        <v/>
      </c>
      <c r="K363" s="19" t="str">
        <f>Sheet1!K363</f>
        <v/>
      </c>
      <c r="L363" s="19" t="str">
        <f>Sheet1!L363</f>
        <v/>
      </c>
      <c r="M363" s="19" t="str">
        <f>Sheet1!M363</f>
        <v/>
      </c>
      <c r="N363" s="19" t="str">
        <f>Sheet1!N363</f>
        <v/>
      </c>
      <c r="O363" s="19" t="str">
        <f>Sheet1!O363</f>
        <v/>
      </c>
      <c r="P363" s="19" t="str">
        <f>Sheet1!P363</f>
        <v/>
      </c>
      <c r="Q363" s="19" t="str">
        <f>Sheet1!Q363</f>
        <v/>
      </c>
      <c r="R363" s="19" t="str">
        <f>Sheet1!R363</f>
        <v/>
      </c>
      <c r="S363" s="19" t="str">
        <f>Sheet1!S363</f>
        <v/>
      </c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</row>
    <row r="364">
      <c r="A364" s="19" t="str">
        <f>Sheet1!A364</f>
        <v/>
      </c>
      <c r="B364" s="19" t="str">
        <f>Sheet1!B364</f>
        <v/>
      </c>
      <c r="C364" s="19" t="str">
        <f>Sheet1!C364</f>
        <v/>
      </c>
      <c r="D364" s="19" t="str">
        <f>Sheet1!D364</f>
        <v/>
      </c>
      <c r="E364" s="19" t="str">
        <f>Sheet1!E364</f>
        <v/>
      </c>
      <c r="F364" s="19" t="str">
        <f>Sheet1!F364</f>
        <v/>
      </c>
      <c r="G364" s="19" t="str">
        <f>Sheet1!G364</f>
        <v/>
      </c>
      <c r="H364" s="19" t="str">
        <f>Sheet1!H364</f>
        <v/>
      </c>
      <c r="I364" s="19" t="str">
        <f>Sheet1!I364</f>
        <v/>
      </c>
      <c r="J364" s="19" t="str">
        <f>Sheet1!J364</f>
        <v/>
      </c>
      <c r="K364" s="19" t="str">
        <f>Sheet1!K364</f>
        <v/>
      </c>
      <c r="L364" s="19" t="str">
        <f>Sheet1!L364</f>
        <v/>
      </c>
      <c r="M364" s="19" t="str">
        <f>Sheet1!M364</f>
        <v/>
      </c>
      <c r="N364" s="19" t="str">
        <f>Sheet1!N364</f>
        <v/>
      </c>
      <c r="O364" s="19" t="str">
        <f>Sheet1!O364</f>
        <v/>
      </c>
      <c r="P364" s="19" t="str">
        <f>Sheet1!P364</f>
        <v/>
      </c>
      <c r="Q364" s="19" t="str">
        <f>Sheet1!Q364</f>
        <v/>
      </c>
      <c r="R364" s="19" t="str">
        <f>Sheet1!R364</f>
        <v/>
      </c>
      <c r="S364" s="19" t="str">
        <f>Sheet1!S364</f>
        <v/>
      </c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</row>
    <row r="365">
      <c r="A365" s="19" t="str">
        <f>Sheet1!A365</f>
        <v/>
      </c>
      <c r="B365" s="19" t="str">
        <f>Sheet1!B365</f>
        <v/>
      </c>
      <c r="C365" s="19" t="str">
        <f>Sheet1!C365</f>
        <v/>
      </c>
      <c r="D365" s="19" t="str">
        <f>Sheet1!D365</f>
        <v/>
      </c>
      <c r="E365" s="19" t="str">
        <f>Sheet1!E365</f>
        <v/>
      </c>
      <c r="F365" s="19" t="str">
        <f>Sheet1!F365</f>
        <v/>
      </c>
      <c r="G365" s="19" t="str">
        <f>Sheet1!G365</f>
        <v/>
      </c>
      <c r="H365" s="19" t="str">
        <f>Sheet1!H365</f>
        <v/>
      </c>
      <c r="I365" s="19" t="str">
        <f>Sheet1!I365</f>
        <v/>
      </c>
      <c r="J365" s="19" t="str">
        <f>Sheet1!J365</f>
        <v/>
      </c>
      <c r="K365" s="19" t="str">
        <f>Sheet1!K365</f>
        <v/>
      </c>
      <c r="L365" s="19" t="str">
        <f>Sheet1!L365</f>
        <v/>
      </c>
      <c r="M365" s="19" t="str">
        <f>Sheet1!M365</f>
        <v/>
      </c>
      <c r="N365" s="19" t="str">
        <f>Sheet1!N365</f>
        <v/>
      </c>
      <c r="O365" s="19" t="str">
        <f>Sheet1!O365</f>
        <v/>
      </c>
      <c r="P365" s="19" t="str">
        <f>Sheet1!P365</f>
        <v/>
      </c>
      <c r="Q365" s="19" t="str">
        <f>Sheet1!Q365</f>
        <v/>
      </c>
      <c r="R365" s="19" t="str">
        <f>Sheet1!R365</f>
        <v/>
      </c>
      <c r="S365" s="19" t="str">
        <f>Sheet1!S365</f>
        <v/>
      </c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</row>
    <row r="366">
      <c r="A366" s="19" t="str">
        <f>Sheet1!A366</f>
        <v/>
      </c>
      <c r="B366" s="19" t="str">
        <f>Sheet1!B366</f>
        <v/>
      </c>
      <c r="C366" s="19" t="str">
        <f>Sheet1!C366</f>
        <v/>
      </c>
      <c r="D366" s="19" t="str">
        <f>Sheet1!D366</f>
        <v/>
      </c>
      <c r="E366" s="19" t="str">
        <f>Sheet1!E366</f>
        <v/>
      </c>
      <c r="F366" s="19" t="str">
        <f>Sheet1!F366</f>
        <v/>
      </c>
      <c r="G366" s="19" t="str">
        <f>Sheet1!G366</f>
        <v/>
      </c>
      <c r="H366" s="19" t="str">
        <f>Sheet1!H366</f>
        <v/>
      </c>
      <c r="I366" s="19" t="str">
        <f>Sheet1!I366</f>
        <v/>
      </c>
      <c r="J366" s="19" t="str">
        <f>Sheet1!J366</f>
        <v/>
      </c>
      <c r="K366" s="19" t="str">
        <f>Sheet1!K366</f>
        <v/>
      </c>
      <c r="L366" s="19" t="str">
        <f>Sheet1!L366</f>
        <v/>
      </c>
      <c r="M366" s="19" t="str">
        <f>Sheet1!M366</f>
        <v/>
      </c>
      <c r="N366" s="19" t="str">
        <f>Sheet1!N366</f>
        <v/>
      </c>
      <c r="O366" s="19" t="str">
        <f>Sheet1!O366</f>
        <v/>
      </c>
      <c r="P366" s="19" t="str">
        <f>Sheet1!P366</f>
        <v/>
      </c>
      <c r="Q366" s="19" t="str">
        <f>Sheet1!Q366</f>
        <v/>
      </c>
      <c r="R366" s="19" t="str">
        <f>Sheet1!R366</f>
        <v/>
      </c>
      <c r="S366" s="19" t="str">
        <f>Sheet1!S366</f>
        <v/>
      </c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</row>
    <row r="367">
      <c r="A367" s="19" t="str">
        <f>Sheet1!A367</f>
        <v/>
      </c>
      <c r="B367" s="19" t="str">
        <f>Sheet1!B367</f>
        <v/>
      </c>
      <c r="C367" s="19" t="str">
        <f>Sheet1!C367</f>
        <v/>
      </c>
      <c r="D367" s="19" t="str">
        <f>Sheet1!D367</f>
        <v/>
      </c>
      <c r="E367" s="19" t="str">
        <f>Sheet1!E367</f>
        <v/>
      </c>
      <c r="F367" s="19" t="str">
        <f>Sheet1!F367</f>
        <v/>
      </c>
      <c r="G367" s="19" t="str">
        <f>Sheet1!G367</f>
        <v/>
      </c>
      <c r="H367" s="19" t="str">
        <f>Sheet1!H367</f>
        <v/>
      </c>
      <c r="I367" s="19" t="str">
        <f>Sheet1!I367</f>
        <v/>
      </c>
      <c r="J367" s="19" t="str">
        <f>Sheet1!J367</f>
        <v/>
      </c>
      <c r="K367" s="19" t="str">
        <f>Sheet1!K367</f>
        <v/>
      </c>
      <c r="L367" s="19" t="str">
        <f>Sheet1!L367</f>
        <v/>
      </c>
      <c r="M367" s="19" t="str">
        <f>Sheet1!M367</f>
        <v/>
      </c>
      <c r="N367" s="19" t="str">
        <f>Sheet1!N367</f>
        <v/>
      </c>
      <c r="O367" s="19" t="str">
        <f>Sheet1!O367</f>
        <v/>
      </c>
      <c r="P367" s="19" t="str">
        <f>Sheet1!P367</f>
        <v/>
      </c>
      <c r="Q367" s="19" t="str">
        <f>Sheet1!Q367</f>
        <v/>
      </c>
      <c r="R367" s="19" t="str">
        <f>Sheet1!R367</f>
        <v/>
      </c>
      <c r="S367" s="19" t="str">
        <f>Sheet1!S367</f>
        <v/>
      </c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</row>
    <row r="368">
      <c r="A368" s="19" t="str">
        <f>Sheet1!A368</f>
        <v/>
      </c>
      <c r="B368" s="19" t="str">
        <f>Sheet1!B368</f>
        <v/>
      </c>
      <c r="C368" s="19" t="str">
        <f>Sheet1!C368</f>
        <v/>
      </c>
      <c r="D368" s="19" t="str">
        <f>Sheet1!D368</f>
        <v/>
      </c>
      <c r="E368" s="19" t="str">
        <f>Sheet1!E368</f>
        <v/>
      </c>
      <c r="F368" s="19" t="str">
        <f>Sheet1!F368</f>
        <v/>
      </c>
      <c r="G368" s="19" t="str">
        <f>Sheet1!G368</f>
        <v/>
      </c>
      <c r="H368" s="19" t="str">
        <f>Sheet1!H368</f>
        <v/>
      </c>
      <c r="I368" s="19" t="str">
        <f>Sheet1!I368</f>
        <v/>
      </c>
      <c r="J368" s="19" t="str">
        <f>Sheet1!J368</f>
        <v/>
      </c>
      <c r="K368" s="19" t="str">
        <f>Sheet1!K368</f>
        <v/>
      </c>
      <c r="L368" s="19" t="str">
        <f>Sheet1!L368</f>
        <v/>
      </c>
      <c r="M368" s="19" t="str">
        <f>Sheet1!M368</f>
        <v/>
      </c>
      <c r="N368" s="19" t="str">
        <f>Sheet1!N368</f>
        <v/>
      </c>
      <c r="O368" s="19" t="str">
        <f>Sheet1!O368</f>
        <v/>
      </c>
      <c r="P368" s="19" t="str">
        <f>Sheet1!P368</f>
        <v/>
      </c>
      <c r="Q368" s="19" t="str">
        <f>Sheet1!Q368</f>
        <v/>
      </c>
      <c r="R368" s="19" t="str">
        <f>Sheet1!R368</f>
        <v/>
      </c>
      <c r="S368" s="19" t="str">
        <f>Sheet1!S368</f>
        <v/>
      </c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</row>
    <row r="369">
      <c r="A369" s="19" t="str">
        <f>Sheet1!A369</f>
        <v/>
      </c>
      <c r="B369" s="19" t="str">
        <f>Sheet1!B369</f>
        <v/>
      </c>
      <c r="C369" s="19" t="str">
        <f>Sheet1!C369</f>
        <v/>
      </c>
      <c r="D369" s="19" t="str">
        <f>Sheet1!D369</f>
        <v/>
      </c>
      <c r="E369" s="19" t="str">
        <f>Sheet1!E369</f>
        <v/>
      </c>
      <c r="F369" s="19" t="str">
        <f>Sheet1!F369</f>
        <v/>
      </c>
      <c r="G369" s="19" t="str">
        <f>Sheet1!G369</f>
        <v/>
      </c>
      <c r="H369" s="19" t="str">
        <f>Sheet1!H369</f>
        <v/>
      </c>
      <c r="I369" s="19" t="str">
        <f>Sheet1!I369</f>
        <v/>
      </c>
      <c r="J369" s="19" t="str">
        <f>Sheet1!J369</f>
        <v/>
      </c>
      <c r="K369" s="19" t="str">
        <f>Sheet1!K369</f>
        <v/>
      </c>
      <c r="L369" s="19" t="str">
        <f>Sheet1!L369</f>
        <v/>
      </c>
      <c r="M369" s="19" t="str">
        <f>Sheet1!M369</f>
        <v/>
      </c>
      <c r="N369" s="19" t="str">
        <f>Sheet1!N369</f>
        <v/>
      </c>
      <c r="O369" s="19" t="str">
        <f>Sheet1!O369</f>
        <v/>
      </c>
      <c r="P369" s="19" t="str">
        <f>Sheet1!P369</f>
        <v/>
      </c>
      <c r="Q369" s="19" t="str">
        <f>Sheet1!Q369</f>
        <v/>
      </c>
      <c r="R369" s="19" t="str">
        <f>Sheet1!R369</f>
        <v/>
      </c>
      <c r="S369" s="19" t="str">
        <f>Sheet1!S369</f>
        <v/>
      </c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</row>
    <row r="370">
      <c r="A370" s="19" t="str">
        <f>Sheet1!A370</f>
        <v/>
      </c>
      <c r="B370" s="19" t="str">
        <f>Sheet1!B370</f>
        <v/>
      </c>
      <c r="C370" s="19" t="str">
        <f>Sheet1!C370</f>
        <v/>
      </c>
      <c r="D370" s="19" t="str">
        <f>Sheet1!D370</f>
        <v/>
      </c>
      <c r="E370" s="19" t="str">
        <f>Sheet1!E370</f>
        <v/>
      </c>
      <c r="F370" s="19" t="str">
        <f>Sheet1!F370</f>
        <v/>
      </c>
      <c r="G370" s="19" t="str">
        <f>Sheet1!G370</f>
        <v/>
      </c>
      <c r="H370" s="19" t="str">
        <f>Sheet1!H370</f>
        <v/>
      </c>
      <c r="I370" s="19" t="str">
        <f>Sheet1!I370</f>
        <v/>
      </c>
      <c r="J370" s="19" t="str">
        <f>Sheet1!J370</f>
        <v/>
      </c>
      <c r="K370" s="19" t="str">
        <f>Sheet1!K370</f>
        <v/>
      </c>
      <c r="L370" s="19" t="str">
        <f>Sheet1!L370</f>
        <v/>
      </c>
      <c r="M370" s="19" t="str">
        <f>Sheet1!M370</f>
        <v/>
      </c>
      <c r="N370" s="19" t="str">
        <f>Sheet1!N370</f>
        <v/>
      </c>
      <c r="O370" s="19" t="str">
        <f>Sheet1!O370</f>
        <v/>
      </c>
      <c r="P370" s="19" t="str">
        <f>Sheet1!P370</f>
        <v/>
      </c>
      <c r="Q370" s="19" t="str">
        <f>Sheet1!Q370</f>
        <v/>
      </c>
      <c r="R370" s="19" t="str">
        <f>Sheet1!R370</f>
        <v/>
      </c>
      <c r="S370" s="19" t="str">
        <f>Sheet1!S370</f>
        <v/>
      </c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</row>
    <row r="371">
      <c r="A371" s="19" t="str">
        <f>Sheet1!A371</f>
        <v/>
      </c>
      <c r="B371" s="19" t="str">
        <f>Sheet1!B371</f>
        <v/>
      </c>
      <c r="C371" s="19" t="str">
        <f>Sheet1!C371</f>
        <v/>
      </c>
      <c r="D371" s="19" t="str">
        <f>Sheet1!D371</f>
        <v/>
      </c>
      <c r="E371" s="19" t="str">
        <f>Sheet1!E371</f>
        <v/>
      </c>
      <c r="F371" s="19" t="str">
        <f>Sheet1!F371</f>
        <v/>
      </c>
      <c r="G371" s="19" t="str">
        <f>Sheet1!G371</f>
        <v/>
      </c>
      <c r="H371" s="19" t="str">
        <f>Sheet1!H371</f>
        <v/>
      </c>
      <c r="I371" s="19" t="str">
        <f>Sheet1!I371</f>
        <v/>
      </c>
      <c r="J371" s="19" t="str">
        <f>Sheet1!J371</f>
        <v/>
      </c>
      <c r="K371" s="19" t="str">
        <f>Sheet1!K371</f>
        <v/>
      </c>
      <c r="L371" s="19" t="str">
        <f>Sheet1!L371</f>
        <v/>
      </c>
      <c r="M371" s="19" t="str">
        <f>Sheet1!M371</f>
        <v/>
      </c>
      <c r="N371" s="19" t="str">
        <f>Sheet1!N371</f>
        <v/>
      </c>
      <c r="O371" s="19" t="str">
        <f>Sheet1!O371</f>
        <v/>
      </c>
      <c r="P371" s="19" t="str">
        <f>Sheet1!P371</f>
        <v/>
      </c>
      <c r="Q371" s="19" t="str">
        <f>Sheet1!Q371</f>
        <v/>
      </c>
      <c r="R371" s="19" t="str">
        <f>Sheet1!R371</f>
        <v/>
      </c>
      <c r="S371" s="19" t="str">
        <f>Sheet1!S371</f>
        <v/>
      </c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</row>
    <row r="372">
      <c r="A372" s="19" t="str">
        <f>Sheet1!A372</f>
        <v/>
      </c>
      <c r="B372" s="19" t="str">
        <f>Sheet1!B372</f>
        <v/>
      </c>
      <c r="C372" s="19" t="str">
        <f>Sheet1!C372</f>
        <v/>
      </c>
      <c r="D372" s="19" t="str">
        <f>Sheet1!D372</f>
        <v/>
      </c>
      <c r="E372" s="19" t="str">
        <f>Sheet1!E372</f>
        <v/>
      </c>
      <c r="F372" s="19" t="str">
        <f>Sheet1!F372</f>
        <v/>
      </c>
      <c r="G372" s="19" t="str">
        <f>Sheet1!G372</f>
        <v/>
      </c>
      <c r="H372" s="19" t="str">
        <f>Sheet1!H372</f>
        <v/>
      </c>
      <c r="I372" s="19" t="str">
        <f>Sheet1!I372</f>
        <v/>
      </c>
      <c r="J372" s="19" t="str">
        <f>Sheet1!J372</f>
        <v/>
      </c>
      <c r="K372" s="19" t="str">
        <f>Sheet1!K372</f>
        <v/>
      </c>
      <c r="L372" s="19" t="str">
        <f>Sheet1!L372</f>
        <v/>
      </c>
      <c r="M372" s="19" t="str">
        <f>Sheet1!M372</f>
        <v/>
      </c>
      <c r="N372" s="19" t="str">
        <f>Sheet1!N372</f>
        <v/>
      </c>
      <c r="O372" s="19" t="str">
        <f>Sheet1!O372</f>
        <v/>
      </c>
      <c r="P372" s="19" t="str">
        <f>Sheet1!P372</f>
        <v/>
      </c>
      <c r="Q372" s="19" t="str">
        <f>Sheet1!Q372</f>
        <v/>
      </c>
      <c r="R372" s="19" t="str">
        <f>Sheet1!R372</f>
        <v/>
      </c>
      <c r="S372" s="19" t="str">
        <f>Sheet1!S372</f>
        <v/>
      </c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</row>
    <row r="373">
      <c r="A373" s="19" t="str">
        <f>Sheet1!A373</f>
        <v/>
      </c>
      <c r="B373" s="19" t="str">
        <f>Sheet1!B373</f>
        <v/>
      </c>
      <c r="C373" s="19" t="str">
        <f>Sheet1!C373</f>
        <v/>
      </c>
      <c r="D373" s="19" t="str">
        <f>Sheet1!D373</f>
        <v/>
      </c>
      <c r="E373" s="19" t="str">
        <f>Sheet1!E373</f>
        <v/>
      </c>
      <c r="F373" s="19" t="str">
        <f>Sheet1!F373</f>
        <v/>
      </c>
      <c r="G373" s="19" t="str">
        <f>Sheet1!G373</f>
        <v/>
      </c>
      <c r="H373" s="19" t="str">
        <f>Sheet1!H373</f>
        <v/>
      </c>
      <c r="I373" s="19" t="str">
        <f>Sheet1!I373</f>
        <v/>
      </c>
      <c r="J373" s="19" t="str">
        <f>Sheet1!J373</f>
        <v/>
      </c>
      <c r="K373" s="19" t="str">
        <f>Sheet1!K373</f>
        <v/>
      </c>
      <c r="L373" s="19" t="str">
        <f>Sheet1!L373</f>
        <v/>
      </c>
      <c r="M373" s="19" t="str">
        <f>Sheet1!M373</f>
        <v/>
      </c>
      <c r="N373" s="19" t="str">
        <f>Sheet1!N373</f>
        <v/>
      </c>
      <c r="O373" s="19" t="str">
        <f>Sheet1!O373</f>
        <v/>
      </c>
      <c r="P373" s="19" t="str">
        <f>Sheet1!P373</f>
        <v/>
      </c>
      <c r="Q373" s="19" t="str">
        <f>Sheet1!Q373</f>
        <v/>
      </c>
      <c r="R373" s="19" t="str">
        <f>Sheet1!R373</f>
        <v/>
      </c>
      <c r="S373" s="19" t="str">
        <f>Sheet1!S373</f>
        <v/>
      </c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</row>
    <row r="374">
      <c r="A374" s="19" t="str">
        <f>Sheet1!A374</f>
        <v/>
      </c>
      <c r="B374" s="19" t="str">
        <f>Sheet1!B374</f>
        <v/>
      </c>
      <c r="C374" s="19" t="str">
        <f>Sheet1!C374</f>
        <v/>
      </c>
      <c r="D374" s="19" t="str">
        <f>Sheet1!D374</f>
        <v/>
      </c>
      <c r="E374" s="19" t="str">
        <f>Sheet1!E374</f>
        <v/>
      </c>
      <c r="F374" s="19" t="str">
        <f>Sheet1!F374</f>
        <v/>
      </c>
      <c r="G374" s="19" t="str">
        <f>Sheet1!G374</f>
        <v/>
      </c>
      <c r="H374" s="19" t="str">
        <f>Sheet1!H374</f>
        <v/>
      </c>
      <c r="I374" s="19" t="str">
        <f>Sheet1!I374</f>
        <v/>
      </c>
      <c r="J374" s="19" t="str">
        <f>Sheet1!J374</f>
        <v/>
      </c>
      <c r="K374" s="19" t="str">
        <f>Sheet1!K374</f>
        <v/>
      </c>
      <c r="L374" s="19" t="str">
        <f>Sheet1!L374</f>
        <v/>
      </c>
      <c r="M374" s="19" t="str">
        <f>Sheet1!M374</f>
        <v/>
      </c>
      <c r="N374" s="19" t="str">
        <f>Sheet1!N374</f>
        <v/>
      </c>
      <c r="O374" s="19" t="str">
        <f>Sheet1!O374</f>
        <v/>
      </c>
      <c r="P374" s="19" t="str">
        <f>Sheet1!P374</f>
        <v/>
      </c>
      <c r="Q374" s="19" t="str">
        <f>Sheet1!Q374</f>
        <v/>
      </c>
      <c r="R374" s="19" t="str">
        <f>Sheet1!R374</f>
        <v/>
      </c>
      <c r="S374" s="19" t="str">
        <f>Sheet1!S374</f>
        <v/>
      </c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</row>
    <row r="375">
      <c r="A375" s="19" t="str">
        <f>Sheet1!A375</f>
        <v/>
      </c>
      <c r="B375" s="19" t="str">
        <f>Sheet1!B375</f>
        <v/>
      </c>
      <c r="C375" s="19" t="str">
        <f>Sheet1!C375</f>
        <v/>
      </c>
      <c r="D375" s="19" t="str">
        <f>Sheet1!D375</f>
        <v/>
      </c>
      <c r="E375" s="19" t="str">
        <f>Sheet1!E375</f>
        <v/>
      </c>
      <c r="F375" s="19" t="str">
        <f>Sheet1!F375</f>
        <v/>
      </c>
      <c r="G375" s="19" t="str">
        <f>Sheet1!G375</f>
        <v/>
      </c>
      <c r="H375" s="19" t="str">
        <f>Sheet1!H375</f>
        <v/>
      </c>
      <c r="I375" s="19" t="str">
        <f>Sheet1!I375</f>
        <v/>
      </c>
      <c r="J375" s="19" t="str">
        <f>Sheet1!J375</f>
        <v/>
      </c>
      <c r="K375" s="19" t="str">
        <f>Sheet1!K375</f>
        <v/>
      </c>
      <c r="L375" s="19" t="str">
        <f>Sheet1!L375</f>
        <v/>
      </c>
      <c r="M375" s="19" t="str">
        <f>Sheet1!M375</f>
        <v/>
      </c>
      <c r="N375" s="19" t="str">
        <f>Sheet1!N375</f>
        <v/>
      </c>
      <c r="O375" s="19" t="str">
        <f>Sheet1!O375</f>
        <v/>
      </c>
      <c r="P375" s="19" t="str">
        <f>Sheet1!P375</f>
        <v/>
      </c>
      <c r="Q375" s="19" t="str">
        <f>Sheet1!Q375</f>
        <v/>
      </c>
      <c r="R375" s="19" t="str">
        <f>Sheet1!R375</f>
        <v/>
      </c>
      <c r="S375" s="19" t="str">
        <f>Sheet1!S375</f>
        <v/>
      </c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</row>
    <row r="376">
      <c r="A376" s="19" t="str">
        <f>Sheet1!A376</f>
        <v/>
      </c>
      <c r="B376" s="19" t="str">
        <f>Sheet1!B376</f>
        <v/>
      </c>
      <c r="C376" s="19" t="str">
        <f>Sheet1!C376</f>
        <v/>
      </c>
      <c r="D376" s="19" t="str">
        <f>Sheet1!D376</f>
        <v/>
      </c>
      <c r="E376" s="19" t="str">
        <f>Sheet1!E376</f>
        <v/>
      </c>
      <c r="F376" s="19" t="str">
        <f>Sheet1!F376</f>
        <v/>
      </c>
      <c r="G376" s="19" t="str">
        <f>Sheet1!G376</f>
        <v/>
      </c>
      <c r="H376" s="19" t="str">
        <f>Sheet1!H376</f>
        <v/>
      </c>
      <c r="I376" s="19" t="str">
        <f>Sheet1!I376</f>
        <v/>
      </c>
      <c r="J376" s="19" t="str">
        <f>Sheet1!J376</f>
        <v/>
      </c>
      <c r="K376" s="19" t="str">
        <f>Sheet1!K376</f>
        <v/>
      </c>
      <c r="L376" s="19" t="str">
        <f>Sheet1!L376</f>
        <v/>
      </c>
      <c r="M376" s="19" t="str">
        <f>Sheet1!M376</f>
        <v/>
      </c>
      <c r="N376" s="19" t="str">
        <f>Sheet1!N376</f>
        <v/>
      </c>
      <c r="O376" s="19" t="str">
        <f>Sheet1!O376</f>
        <v/>
      </c>
      <c r="P376" s="19" t="str">
        <f>Sheet1!P376</f>
        <v/>
      </c>
      <c r="Q376" s="19" t="str">
        <f>Sheet1!Q376</f>
        <v/>
      </c>
      <c r="R376" s="19" t="str">
        <f>Sheet1!R376</f>
        <v/>
      </c>
      <c r="S376" s="19" t="str">
        <f>Sheet1!S376</f>
        <v/>
      </c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</row>
    <row r="377">
      <c r="A377" s="19" t="str">
        <f>Sheet1!A377</f>
        <v/>
      </c>
      <c r="B377" s="19" t="str">
        <f>Sheet1!B377</f>
        <v/>
      </c>
      <c r="C377" s="19" t="str">
        <f>Sheet1!C377</f>
        <v/>
      </c>
      <c r="D377" s="19" t="str">
        <f>Sheet1!D377</f>
        <v/>
      </c>
      <c r="E377" s="19" t="str">
        <f>Sheet1!E377</f>
        <v/>
      </c>
      <c r="F377" s="19" t="str">
        <f>Sheet1!F377</f>
        <v/>
      </c>
      <c r="G377" s="19" t="str">
        <f>Sheet1!G377</f>
        <v/>
      </c>
      <c r="H377" s="19" t="str">
        <f>Sheet1!H377</f>
        <v/>
      </c>
      <c r="I377" s="19" t="str">
        <f>Sheet1!I377</f>
        <v/>
      </c>
      <c r="J377" s="19" t="str">
        <f>Sheet1!J377</f>
        <v/>
      </c>
      <c r="K377" s="19" t="str">
        <f>Sheet1!K377</f>
        <v/>
      </c>
      <c r="L377" s="19" t="str">
        <f>Sheet1!L377</f>
        <v/>
      </c>
      <c r="M377" s="19" t="str">
        <f>Sheet1!M377</f>
        <v/>
      </c>
      <c r="N377" s="19" t="str">
        <f>Sheet1!N377</f>
        <v/>
      </c>
      <c r="O377" s="19" t="str">
        <f>Sheet1!O377</f>
        <v/>
      </c>
      <c r="P377" s="19" t="str">
        <f>Sheet1!P377</f>
        <v/>
      </c>
      <c r="Q377" s="19" t="str">
        <f>Sheet1!Q377</f>
        <v/>
      </c>
      <c r="R377" s="19" t="str">
        <f>Sheet1!R377</f>
        <v/>
      </c>
      <c r="S377" s="19" t="str">
        <f>Sheet1!S377</f>
        <v/>
      </c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</row>
    <row r="378">
      <c r="A378" s="19" t="str">
        <f>Sheet1!A378</f>
        <v/>
      </c>
      <c r="B378" s="19" t="str">
        <f>Sheet1!B378</f>
        <v/>
      </c>
      <c r="C378" s="19" t="str">
        <f>Sheet1!C378</f>
        <v/>
      </c>
      <c r="D378" s="19" t="str">
        <f>Sheet1!D378</f>
        <v/>
      </c>
      <c r="E378" s="19" t="str">
        <f>Sheet1!E378</f>
        <v/>
      </c>
      <c r="F378" s="19" t="str">
        <f>Sheet1!F378</f>
        <v/>
      </c>
      <c r="G378" s="19" t="str">
        <f>Sheet1!G378</f>
        <v/>
      </c>
      <c r="H378" s="19" t="str">
        <f>Sheet1!H378</f>
        <v/>
      </c>
      <c r="I378" s="19" t="str">
        <f>Sheet1!I378</f>
        <v/>
      </c>
      <c r="J378" s="19" t="str">
        <f>Sheet1!J378</f>
        <v/>
      </c>
      <c r="K378" s="19" t="str">
        <f>Sheet1!K378</f>
        <v/>
      </c>
      <c r="L378" s="19" t="str">
        <f>Sheet1!L378</f>
        <v/>
      </c>
      <c r="M378" s="19" t="str">
        <f>Sheet1!M378</f>
        <v/>
      </c>
      <c r="N378" s="19" t="str">
        <f>Sheet1!N378</f>
        <v/>
      </c>
      <c r="O378" s="19" t="str">
        <f>Sheet1!O378</f>
        <v/>
      </c>
      <c r="P378" s="19" t="str">
        <f>Sheet1!P378</f>
        <v/>
      </c>
      <c r="Q378" s="19" t="str">
        <f>Sheet1!Q378</f>
        <v/>
      </c>
      <c r="R378" s="19" t="str">
        <f>Sheet1!R378</f>
        <v/>
      </c>
      <c r="S378" s="19" t="str">
        <f>Sheet1!S378</f>
        <v/>
      </c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</row>
    <row r="379">
      <c r="A379" s="19" t="str">
        <f>Sheet1!A379</f>
        <v/>
      </c>
      <c r="B379" s="19" t="str">
        <f>Sheet1!B379</f>
        <v/>
      </c>
      <c r="C379" s="19" t="str">
        <f>Sheet1!C379</f>
        <v/>
      </c>
      <c r="D379" s="19" t="str">
        <f>Sheet1!D379</f>
        <v/>
      </c>
      <c r="E379" s="19" t="str">
        <f>Sheet1!E379</f>
        <v/>
      </c>
      <c r="F379" s="19" t="str">
        <f>Sheet1!F379</f>
        <v/>
      </c>
      <c r="G379" s="19" t="str">
        <f>Sheet1!G379</f>
        <v/>
      </c>
      <c r="H379" s="19" t="str">
        <f>Sheet1!H379</f>
        <v/>
      </c>
      <c r="I379" s="19" t="str">
        <f>Sheet1!I379</f>
        <v/>
      </c>
      <c r="J379" s="19" t="str">
        <f>Sheet1!J379</f>
        <v/>
      </c>
      <c r="K379" s="19" t="str">
        <f>Sheet1!K379</f>
        <v/>
      </c>
      <c r="L379" s="19" t="str">
        <f>Sheet1!L379</f>
        <v/>
      </c>
      <c r="M379" s="19" t="str">
        <f>Sheet1!M379</f>
        <v/>
      </c>
      <c r="N379" s="19" t="str">
        <f>Sheet1!N379</f>
        <v/>
      </c>
      <c r="O379" s="19" t="str">
        <f>Sheet1!O379</f>
        <v/>
      </c>
      <c r="P379" s="19" t="str">
        <f>Sheet1!P379</f>
        <v/>
      </c>
      <c r="Q379" s="19" t="str">
        <f>Sheet1!Q379</f>
        <v/>
      </c>
      <c r="R379" s="19" t="str">
        <f>Sheet1!R379</f>
        <v/>
      </c>
      <c r="S379" s="19" t="str">
        <f>Sheet1!S379</f>
        <v/>
      </c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</row>
    <row r="380">
      <c r="A380" s="19" t="str">
        <f>Sheet1!A380</f>
        <v/>
      </c>
      <c r="B380" s="19" t="str">
        <f>Sheet1!B380</f>
        <v/>
      </c>
      <c r="C380" s="19" t="str">
        <f>Sheet1!C380</f>
        <v/>
      </c>
      <c r="D380" s="19" t="str">
        <f>Sheet1!D380</f>
        <v/>
      </c>
      <c r="E380" s="19" t="str">
        <f>Sheet1!E380</f>
        <v/>
      </c>
      <c r="F380" s="19" t="str">
        <f>Sheet1!F380</f>
        <v/>
      </c>
      <c r="G380" s="19" t="str">
        <f>Sheet1!G380</f>
        <v/>
      </c>
      <c r="H380" s="19" t="str">
        <f>Sheet1!H380</f>
        <v/>
      </c>
      <c r="I380" s="19" t="str">
        <f>Sheet1!I380</f>
        <v/>
      </c>
      <c r="J380" s="19" t="str">
        <f>Sheet1!J380</f>
        <v/>
      </c>
      <c r="K380" s="19" t="str">
        <f>Sheet1!K380</f>
        <v/>
      </c>
      <c r="L380" s="19" t="str">
        <f>Sheet1!L380</f>
        <v/>
      </c>
      <c r="M380" s="19" t="str">
        <f>Sheet1!M380</f>
        <v/>
      </c>
      <c r="N380" s="19" t="str">
        <f>Sheet1!N380</f>
        <v/>
      </c>
      <c r="O380" s="19" t="str">
        <f>Sheet1!O380</f>
        <v/>
      </c>
      <c r="P380" s="19" t="str">
        <f>Sheet1!P380</f>
        <v/>
      </c>
      <c r="Q380" s="19" t="str">
        <f>Sheet1!Q380</f>
        <v/>
      </c>
      <c r="R380" s="19" t="str">
        <f>Sheet1!R380</f>
        <v/>
      </c>
      <c r="S380" s="19" t="str">
        <f>Sheet1!S380</f>
        <v/>
      </c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</row>
    <row r="381">
      <c r="A381" s="19" t="str">
        <f>Sheet1!A381</f>
        <v/>
      </c>
      <c r="B381" s="19" t="str">
        <f>Sheet1!B381</f>
        <v/>
      </c>
      <c r="C381" s="19" t="str">
        <f>Sheet1!C381</f>
        <v/>
      </c>
      <c r="D381" s="19" t="str">
        <f>Sheet1!D381</f>
        <v/>
      </c>
      <c r="E381" s="19" t="str">
        <f>Sheet1!E381</f>
        <v/>
      </c>
      <c r="F381" s="19" t="str">
        <f>Sheet1!F381</f>
        <v/>
      </c>
      <c r="G381" s="19" t="str">
        <f>Sheet1!G381</f>
        <v/>
      </c>
      <c r="H381" s="19" t="str">
        <f>Sheet1!H381</f>
        <v/>
      </c>
      <c r="I381" s="19" t="str">
        <f>Sheet1!I381</f>
        <v/>
      </c>
      <c r="J381" s="19" t="str">
        <f>Sheet1!J381</f>
        <v/>
      </c>
      <c r="K381" s="19" t="str">
        <f>Sheet1!K381</f>
        <v/>
      </c>
      <c r="L381" s="19" t="str">
        <f>Sheet1!L381</f>
        <v/>
      </c>
      <c r="M381" s="19" t="str">
        <f>Sheet1!M381</f>
        <v/>
      </c>
      <c r="N381" s="19" t="str">
        <f>Sheet1!N381</f>
        <v/>
      </c>
      <c r="O381" s="19" t="str">
        <f>Sheet1!O381</f>
        <v/>
      </c>
      <c r="P381" s="19" t="str">
        <f>Sheet1!P381</f>
        <v/>
      </c>
      <c r="Q381" s="19" t="str">
        <f>Sheet1!Q381</f>
        <v/>
      </c>
      <c r="R381" s="19" t="str">
        <f>Sheet1!R381</f>
        <v/>
      </c>
      <c r="S381" s="19" t="str">
        <f>Sheet1!S381</f>
        <v/>
      </c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</row>
    <row r="382">
      <c r="A382" s="19" t="str">
        <f>Sheet1!A382</f>
        <v/>
      </c>
      <c r="B382" s="19" t="str">
        <f>Sheet1!B382</f>
        <v/>
      </c>
      <c r="C382" s="19" t="str">
        <f>Sheet1!C382</f>
        <v/>
      </c>
      <c r="D382" s="19" t="str">
        <f>Sheet1!D382</f>
        <v/>
      </c>
      <c r="E382" s="19" t="str">
        <f>Sheet1!E382</f>
        <v/>
      </c>
      <c r="F382" s="19" t="str">
        <f>Sheet1!F382</f>
        <v/>
      </c>
      <c r="G382" s="19" t="str">
        <f>Sheet1!G382</f>
        <v/>
      </c>
      <c r="H382" s="19" t="str">
        <f>Sheet1!H382</f>
        <v/>
      </c>
      <c r="I382" s="19" t="str">
        <f>Sheet1!I382</f>
        <v/>
      </c>
      <c r="J382" s="19" t="str">
        <f>Sheet1!J382</f>
        <v/>
      </c>
      <c r="K382" s="19" t="str">
        <f>Sheet1!K382</f>
        <v/>
      </c>
      <c r="L382" s="19" t="str">
        <f>Sheet1!L382</f>
        <v/>
      </c>
      <c r="M382" s="19" t="str">
        <f>Sheet1!M382</f>
        <v/>
      </c>
      <c r="N382" s="19" t="str">
        <f>Sheet1!N382</f>
        <v/>
      </c>
      <c r="O382" s="19" t="str">
        <f>Sheet1!O382</f>
        <v/>
      </c>
      <c r="P382" s="19" t="str">
        <f>Sheet1!P382</f>
        <v/>
      </c>
      <c r="Q382" s="19" t="str">
        <f>Sheet1!Q382</f>
        <v/>
      </c>
      <c r="R382" s="19" t="str">
        <f>Sheet1!R382</f>
        <v/>
      </c>
      <c r="S382" s="19" t="str">
        <f>Sheet1!S382</f>
        <v/>
      </c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</row>
    <row r="383">
      <c r="A383" s="19" t="str">
        <f>Sheet1!A383</f>
        <v/>
      </c>
      <c r="B383" s="19" t="str">
        <f>Sheet1!B383</f>
        <v/>
      </c>
      <c r="C383" s="19" t="str">
        <f>Sheet1!C383</f>
        <v/>
      </c>
      <c r="D383" s="19" t="str">
        <f>Sheet1!D383</f>
        <v/>
      </c>
      <c r="E383" s="19" t="str">
        <f>Sheet1!E383</f>
        <v/>
      </c>
      <c r="F383" s="19" t="str">
        <f>Sheet1!F383</f>
        <v/>
      </c>
      <c r="G383" s="19" t="str">
        <f>Sheet1!G383</f>
        <v/>
      </c>
      <c r="H383" s="19" t="str">
        <f>Sheet1!H383</f>
        <v/>
      </c>
      <c r="I383" s="19" t="str">
        <f>Sheet1!I383</f>
        <v/>
      </c>
      <c r="J383" s="19" t="str">
        <f>Sheet1!J383</f>
        <v/>
      </c>
      <c r="K383" s="19" t="str">
        <f>Sheet1!K383</f>
        <v/>
      </c>
      <c r="L383" s="19" t="str">
        <f>Sheet1!L383</f>
        <v/>
      </c>
      <c r="M383" s="19" t="str">
        <f>Sheet1!M383</f>
        <v/>
      </c>
      <c r="N383" s="19" t="str">
        <f>Sheet1!N383</f>
        <v/>
      </c>
      <c r="O383" s="19" t="str">
        <f>Sheet1!O383</f>
        <v/>
      </c>
      <c r="P383" s="19" t="str">
        <f>Sheet1!P383</f>
        <v/>
      </c>
      <c r="Q383" s="19" t="str">
        <f>Sheet1!Q383</f>
        <v/>
      </c>
      <c r="R383" s="19" t="str">
        <f>Sheet1!R383</f>
        <v/>
      </c>
      <c r="S383" s="19" t="str">
        <f>Sheet1!S383</f>
        <v/>
      </c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</row>
    <row r="384">
      <c r="A384" s="19" t="str">
        <f>Sheet1!A384</f>
        <v/>
      </c>
      <c r="B384" s="19" t="str">
        <f>Sheet1!B384</f>
        <v/>
      </c>
      <c r="C384" s="19" t="str">
        <f>Sheet1!C384</f>
        <v/>
      </c>
      <c r="D384" s="19" t="str">
        <f>Sheet1!D384</f>
        <v/>
      </c>
      <c r="E384" s="19" t="str">
        <f>Sheet1!E384</f>
        <v/>
      </c>
      <c r="F384" s="19" t="str">
        <f>Sheet1!F384</f>
        <v/>
      </c>
      <c r="G384" s="19" t="str">
        <f>Sheet1!G384</f>
        <v/>
      </c>
      <c r="H384" s="19" t="str">
        <f>Sheet1!H384</f>
        <v/>
      </c>
      <c r="I384" s="19" t="str">
        <f>Sheet1!I384</f>
        <v/>
      </c>
      <c r="J384" s="19" t="str">
        <f>Sheet1!J384</f>
        <v/>
      </c>
      <c r="K384" s="19" t="str">
        <f>Sheet1!K384</f>
        <v/>
      </c>
      <c r="L384" s="19" t="str">
        <f>Sheet1!L384</f>
        <v/>
      </c>
      <c r="M384" s="19" t="str">
        <f>Sheet1!M384</f>
        <v/>
      </c>
      <c r="N384" s="19" t="str">
        <f>Sheet1!N384</f>
        <v/>
      </c>
      <c r="O384" s="19" t="str">
        <f>Sheet1!O384</f>
        <v/>
      </c>
      <c r="P384" s="19" t="str">
        <f>Sheet1!P384</f>
        <v/>
      </c>
      <c r="Q384" s="19" t="str">
        <f>Sheet1!Q384</f>
        <v/>
      </c>
      <c r="R384" s="19" t="str">
        <f>Sheet1!R384</f>
        <v/>
      </c>
      <c r="S384" s="19" t="str">
        <f>Sheet1!S384</f>
        <v/>
      </c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</row>
    <row r="385">
      <c r="A385" s="19" t="str">
        <f>Sheet1!A385</f>
        <v/>
      </c>
      <c r="B385" s="19" t="str">
        <f>Sheet1!B385</f>
        <v/>
      </c>
      <c r="C385" s="19" t="str">
        <f>Sheet1!C385</f>
        <v/>
      </c>
      <c r="D385" s="19" t="str">
        <f>Sheet1!D385</f>
        <v/>
      </c>
      <c r="E385" s="19" t="str">
        <f>Sheet1!E385</f>
        <v/>
      </c>
      <c r="F385" s="19" t="str">
        <f>Sheet1!F385</f>
        <v/>
      </c>
      <c r="G385" s="19" t="str">
        <f>Sheet1!G385</f>
        <v/>
      </c>
      <c r="H385" s="19" t="str">
        <f>Sheet1!H385</f>
        <v/>
      </c>
      <c r="I385" s="19" t="str">
        <f>Sheet1!I385</f>
        <v/>
      </c>
      <c r="J385" s="19" t="str">
        <f>Sheet1!J385</f>
        <v/>
      </c>
      <c r="K385" s="19" t="str">
        <f>Sheet1!K385</f>
        <v/>
      </c>
      <c r="L385" s="19" t="str">
        <f>Sheet1!L385</f>
        <v/>
      </c>
      <c r="M385" s="19" t="str">
        <f>Sheet1!M385</f>
        <v/>
      </c>
      <c r="N385" s="19" t="str">
        <f>Sheet1!N385</f>
        <v/>
      </c>
      <c r="O385" s="19" t="str">
        <f>Sheet1!O385</f>
        <v/>
      </c>
      <c r="P385" s="19" t="str">
        <f>Sheet1!P385</f>
        <v/>
      </c>
      <c r="Q385" s="19" t="str">
        <f>Sheet1!Q385</f>
        <v/>
      </c>
      <c r="R385" s="19" t="str">
        <f>Sheet1!R385</f>
        <v/>
      </c>
      <c r="S385" s="19" t="str">
        <f>Sheet1!S385</f>
        <v/>
      </c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</row>
    <row r="386">
      <c r="A386" s="19" t="str">
        <f>Sheet1!A386</f>
        <v/>
      </c>
      <c r="B386" s="19" t="str">
        <f>Sheet1!B386</f>
        <v/>
      </c>
      <c r="C386" s="19" t="str">
        <f>Sheet1!C386</f>
        <v/>
      </c>
      <c r="D386" s="19" t="str">
        <f>Sheet1!D386</f>
        <v/>
      </c>
      <c r="E386" s="19" t="str">
        <f>Sheet1!E386</f>
        <v/>
      </c>
      <c r="F386" s="19" t="str">
        <f>Sheet1!F386</f>
        <v/>
      </c>
      <c r="G386" s="19" t="str">
        <f>Sheet1!G386</f>
        <v/>
      </c>
      <c r="H386" s="19" t="str">
        <f>Sheet1!H386</f>
        <v/>
      </c>
      <c r="I386" s="19" t="str">
        <f>Sheet1!I386</f>
        <v/>
      </c>
      <c r="J386" s="19" t="str">
        <f>Sheet1!J386</f>
        <v/>
      </c>
      <c r="K386" s="19" t="str">
        <f>Sheet1!K386</f>
        <v/>
      </c>
      <c r="L386" s="19" t="str">
        <f>Sheet1!L386</f>
        <v/>
      </c>
      <c r="M386" s="19" t="str">
        <f>Sheet1!M386</f>
        <v/>
      </c>
      <c r="N386" s="19" t="str">
        <f>Sheet1!N386</f>
        <v/>
      </c>
      <c r="O386" s="19" t="str">
        <f>Sheet1!O386</f>
        <v/>
      </c>
      <c r="P386" s="19" t="str">
        <f>Sheet1!P386</f>
        <v/>
      </c>
      <c r="Q386" s="19" t="str">
        <f>Sheet1!Q386</f>
        <v/>
      </c>
      <c r="R386" s="19" t="str">
        <f>Sheet1!R386</f>
        <v/>
      </c>
      <c r="S386" s="19" t="str">
        <f>Sheet1!S386</f>
        <v/>
      </c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</row>
    <row r="387">
      <c r="A387" s="19" t="str">
        <f>Sheet1!A387</f>
        <v/>
      </c>
      <c r="B387" s="19" t="str">
        <f>Sheet1!B387</f>
        <v/>
      </c>
      <c r="C387" s="19" t="str">
        <f>Sheet1!C387</f>
        <v/>
      </c>
      <c r="D387" s="19" t="str">
        <f>Sheet1!D387</f>
        <v/>
      </c>
      <c r="E387" s="19" t="str">
        <f>Sheet1!E387</f>
        <v/>
      </c>
      <c r="F387" s="19" t="str">
        <f>Sheet1!F387</f>
        <v/>
      </c>
      <c r="G387" s="19" t="str">
        <f>Sheet1!G387</f>
        <v/>
      </c>
      <c r="H387" s="19" t="str">
        <f>Sheet1!H387</f>
        <v/>
      </c>
      <c r="I387" s="19" t="str">
        <f>Sheet1!I387</f>
        <v/>
      </c>
      <c r="J387" s="19" t="str">
        <f>Sheet1!J387</f>
        <v/>
      </c>
      <c r="K387" s="19" t="str">
        <f>Sheet1!K387</f>
        <v/>
      </c>
      <c r="L387" s="19" t="str">
        <f>Sheet1!L387</f>
        <v/>
      </c>
      <c r="M387" s="19" t="str">
        <f>Sheet1!M387</f>
        <v/>
      </c>
      <c r="N387" s="19" t="str">
        <f>Sheet1!N387</f>
        <v/>
      </c>
      <c r="O387" s="19" t="str">
        <f>Sheet1!O387</f>
        <v/>
      </c>
      <c r="P387" s="19" t="str">
        <f>Sheet1!P387</f>
        <v/>
      </c>
      <c r="Q387" s="19" t="str">
        <f>Sheet1!Q387</f>
        <v/>
      </c>
      <c r="R387" s="19" t="str">
        <f>Sheet1!R387</f>
        <v/>
      </c>
      <c r="S387" s="19" t="str">
        <f>Sheet1!S387</f>
        <v/>
      </c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</row>
    <row r="388">
      <c r="A388" s="19" t="str">
        <f>Sheet1!A388</f>
        <v/>
      </c>
      <c r="B388" s="19" t="str">
        <f>Sheet1!B388</f>
        <v/>
      </c>
      <c r="C388" s="19" t="str">
        <f>Sheet1!C388</f>
        <v/>
      </c>
      <c r="D388" s="19" t="str">
        <f>Sheet1!D388</f>
        <v/>
      </c>
      <c r="E388" s="19" t="str">
        <f>Sheet1!E388</f>
        <v/>
      </c>
      <c r="F388" s="19" t="str">
        <f>Sheet1!F388</f>
        <v/>
      </c>
      <c r="G388" s="19" t="str">
        <f>Sheet1!G388</f>
        <v/>
      </c>
      <c r="H388" s="19" t="str">
        <f>Sheet1!H388</f>
        <v/>
      </c>
      <c r="I388" s="19" t="str">
        <f>Sheet1!I388</f>
        <v/>
      </c>
      <c r="J388" s="19" t="str">
        <f>Sheet1!J388</f>
        <v/>
      </c>
      <c r="K388" s="19" t="str">
        <f>Sheet1!K388</f>
        <v/>
      </c>
      <c r="L388" s="19" t="str">
        <f>Sheet1!L388</f>
        <v/>
      </c>
      <c r="M388" s="19" t="str">
        <f>Sheet1!M388</f>
        <v/>
      </c>
      <c r="N388" s="19" t="str">
        <f>Sheet1!N388</f>
        <v/>
      </c>
      <c r="O388" s="19" t="str">
        <f>Sheet1!O388</f>
        <v/>
      </c>
      <c r="P388" s="19" t="str">
        <f>Sheet1!P388</f>
        <v/>
      </c>
      <c r="Q388" s="19" t="str">
        <f>Sheet1!Q388</f>
        <v/>
      </c>
      <c r="R388" s="19" t="str">
        <f>Sheet1!R388</f>
        <v/>
      </c>
      <c r="S388" s="19" t="str">
        <f>Sheet1!S388</f>
        <v/>
      </c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</row>
    <row r="389">
      <c r="A389" s="19" t="str">
        <f>Sheet1!A389</f>
        <v/>
      </c>
      <c r="B389" s="19" t="str">
        <f>Sheet1!B389</f>
        <v/>
      </c>
      <c r="C389" s="19" t="str">
        <f>Sheet1!C389</f>
        <v/>
      </c>
      <c r="D389" s="19" t="str">
        <f>Sheet1!D389</f>
        <v/>
      </c>
      <c r="E389" s="19" t="str">
        <f>Sheet1!E389</f>
        <v/>
      </c>
      <c r="F389" s="19" t="str">
        <f>Sheet1!F389</f>
        <v/>
      </c>
      <c r="G389" s="19" t="str">
        <f>Sheet1!G389</f>
        <v/>
      </c>
      <c r="H389" s="19" t="str">
        <f>Sheet1!H389</f>
        <v/>
      </c>
      <c r="I389" s="19" t="str">
        <f>Sheet1!I389</f>
        <v/>
      </c>
      <c r="J389" s="19" t="str">
        <f>Sheet1!J389</f>
        <v/>
      </c>
      <c r="K389" s="19" t="str">
        <f>Sheet1!K389</f>
        <v/>
      </c>
      <c r="L389" s="19" t="str">
        <f>Sheet1!L389</f>
        <v/>
      </c>
      <c r="M389" s="19" t="str">
        <f>Sheet1!M389</f>
        <v/>
      </c>
      <c r="N389" s="19" t="str">
        <f>Sheet1!N389</f>
        <v/>
      </c>
      <c r="O389" s="19" t="str">
        <f>Sheet1!O389</f>
        <v/>
      </c>
      <c r="P389" s="19" t="str">
        <f>Sheet1!P389</f>
        <v/>
      </c>
      <c r="Q389" s="19" t="str">
        <f>Sheet1!Q389</f>
        <v/>
      </c>
      <c r="R389" s="19" t="str">
        <f>Sheet1!R389</f>
        <v/>
      </c>
      <c r="S389" s="19" t="str">
        <f>Sheet1!S389</f>
        <v/>
      </c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</row>
    <row r="390">
      <c r="A390" s="19" t="str">
        <f>Sheet1!A390</f>
        <v/>
      </c>
      <c r="B390" s="19" t="str">
        <f>Sheet1!B390</f>
        <v/>
      </c>
      <c r="C390" s="19" t="str">
        <f>Sheet1!C390</f>
        <v/>
      </c>
      <c r="D390" s="19" t="str">
        <f>Sheet1!D390</f>
        <v/>
      </c>
      <c r="E390" s="19" t="str">
        <f>Sheet1!E390</f>
        <v/>
      </c>
      <c r="F390" s="19" t="str">
        <f>Sheet1!F390</f>
        <v/>
      </c>
      <c r="G390" s="19" t="str">
        <f>Sheet1!G390</f>
        <v/>
      </c>
      <c r="H390" s="19" t="str">
        <f>Sheet1!H390</f>
        <v/>
      </c>
      <c r="I390" s="19" t="str">
        <f>Sheet1!I390</f>
        <v/>
      </c>
      <c r="J390" s="19" t="str">
        <f>Sheet1!J390</f>
        <v/>
      </c>
      <c r="K390" s="19" t="str">
        <f>Sheet1!K390</f>
        <v/>
      </c>
      <c r="L390" s="19" t="str">
        <f>Sheet1!L390</f>
        <v/>
      </c>
      <c r="M390" s="19" t="str">
        <f>Sheet1!M390</f>
        <v/>
      </c>
      <c r="N390" s="19" t="str">
        <f>Sheet1!N390</f>
        <v/>
      </c>
      <c r="O390" s="19" t="str">
        <f>Sheet1!O390</f>
        <v/>
      </c>
      <c r="P390" s="19" t="str">
        <f>Sheet1!P390</f>
        <v/>
      </c>
      <c r="Q390" s="19" t="str">
        <f>Sheet1!Q390</f>
        <v/>
      </c>
      <c r="R390" s="19" t="str">
        <f>Sheet1!R390</f>
        <v/>
      </c>
      <c r="S390" s="19" t="str">
        <f>Sheet1!S390</f>
        <v/>
      </c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</row>
    <row r="391">
      <c r="A391" s="19" t="str">
        <f>Sheet1!A391</f>
        <v/>
      </c>
      <c r="B391" s="19" t="str">
        <f>Sheet1!B391</f>
        <v/>
      </c>
      <c r="C391" s="19" t="str">
        <f>Sheet1!C391</f>
        <v/>
      </c>
      <c r="D391" s="19" t="str">
        <f>Sheet1!D391</f>
        <v/>
      </c>
      <c r="E391" s="19" t="str">
        <f>Sheet1!E391</f>
        <v/>
      </c>
      <c r="F391" s="19" t="str">
        <f>Sheet1!F391</f>
        <v/>
      </c>
      <c r="G391" s="19" t="str">
        <f>Sheet1!G391</f>
        <v/>
      </c>
      <c r="H391" s="19" t="str">
        <f>Sheet1!H391</f>
        <v/>
      </c>
      <c r="I391" s="19" t="str">
        <f>Sheet1!I391</f>
        <v/>
      </c>
      <c r="J391" s="19" t="str">
        <f>Sheet1!J391</f>
        <v/>
      </c>
      <c r="K391" s="19" t="str">
        <f>Sheet1!K391</f>
        <v/>
      </c>
      <c r="L391" s="19" t="str">
        <f>Sheet1!L391</f>
        <v/>
      </c>
      <c r="M391" s="19" t="str">
        <f>Sheet1!M391</f>
        <v/>
      </c>
      <c r="N391" s="19" t="str">
        <f>Sheet1!N391</f>
        <v/>
      </c>
      <c r="O391" s="19" t="str">
        <f>Sheet1!O391</f>
        <v/>
      </c>
      <c r="P391" s="19" t="str">
        <f>Sheet1!P391</f>
        <v/>
      </c>
      <c r="Q391" s="19" t="str">
        <f>Sheet1!Q391</f>
        <v/>
      </c>
      <c r="R391" s="19" t="str">
        <f>Sheet1!R391</f>
        <v/>
      </c>
      <c r="S391" s="19" t="str">
        <f>Sheet1!S391</f>
        <v/>
      </c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</row>
    <row r="392">
      <c r="A392" s="19" t="str">
        <f>Sheet1!A392</f>
        <v/>
      </c>
      <c r="B392" s="19" t="str">
        <f>Sheet1!B392</f>
        <v/>
      </c>
      <c r="C392" s="19" t="str">
        <f>Sheet1!C392</f>
        <v/>
      </c>
      <c r="D392" s="19" t="str">
        <f>Sheet1!D392</f>
        <v/>
      </c>
      <c r="E392" s="19" t="str">
        <f>Sheet1!E392</f>
        <v/>
      </c>
      <c r="F392" s="19" t="str">
        <f>Sheet1!F392</f>
        <v/>
      </c>
      <c r="G392" s="19" t="str">
        <f>Sheet1!G392</f>
        <v/>
      </c>
      <c r="H392" s="19" t="str">
        <f>Sheet1!H392</f>
        <v/>
      </c>
      <c r="I392" s="19" t="str">
        <f>Sheet1!I392</f>
        <v/>
      </c>
      <c r="J392" s="19" t="str">
        <f>Sheet1!J392</f>
        <v/>
      </c>
      <c r="K392" s="19" t="str">
        <f>Sheet1!K392</f>
        <v/>
      </c>
      <c r="L392" s="19" t="str">
        <f>Sheet1!L392</f>
        <v/>
      </c>
      <c r="M392" s="19" t="str">
        <f>Sheet1!M392</f>
        <v/>
      </c>
      <c r="N392" s="19" t="str">
        <f>Sheet1!N392</f>
        <v/>
      </c>
      <c r="O392" s="19" t="str">
        <f>Sheet1!O392</f>
        <v/>
      </c>
      <c r="P392" s="19" t="str">
        <f>Sheet1!P392</f>
        <v/>
      </c>
      <c r="Q392" s="19" t="str">
        <f>Sheet1!Q392</f>
        <v/>
      </c>
      <c r="R392" s="19" t="str">
        <f>Sheet1!R392</f>
        <v/>
      </c>
      <c r="S392" s="19" t="str">
        <f>Sheet1!S392</f>
        <v/>
      </c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</row>
    <row r="393">
      <c r="A393" s="19" t="str">
        <f>Sheet1!A393</f>
        <v/>
      </c>
      <c r="B393" s="19" t="str">
        <f>Sheet1!B393</f>
        <v/>
      </c>
      <c r="C393" s="19" t="str">
        <f>Sheet1!C393</f>
        <v/>
      </c>
      <c r="D393" s="19" t="str">
        <f>Sheet1!D393</f>
        <v/>
      </c>
      <c r="E393" s="19" t="str">
        <f>Sheet1!E393</f>
        <v/>
      </c>
      <c r="F393" s="19" t="str">
        <f>Sheet1!F393</f>
        <v/>
      </c>
      <c r="G393" s="19" t="str">
        <f>Sheet1!G393</f>
        <v/>
      </c>
      <c r="H393" s="19" t="str">
        <f>Sheet1!H393</f>
        <v/>
      </c>
      <c r="I393" s="19" t="str">
        <f>Sheet1!I393</f>
        <v/>
      </c>
      <c r="J393" s="19" t="str">
        <f>Sheet1!J393</f>
        <v/>
      </c>
      <c r="K393" s="19" t="str">
        <f>Sheet1!K393</f>
        <v/>
      </c>
      <c r="L393" s="19" t="str">
        <f>Sheet1!L393</f>
        <v/>
      </c>
      <c r="M393" s="19" t="str">
        <f>Sheet1!M393</f>
        <v/>
      </c>
      <c r="N393" s="19" t="str">
        <f>Sheet1!N393</f>
        <v/>
      </c>
      <c r="O393" s="19" t="str">
        <f>Sheet1!O393</f>
        <v/>
      </c>
      <c r="P393" s="19" t="str">
        <f>Sheet1!P393</f>
        <v/>
      </c>
      <c r="Q393" s="19" t="str">
        <f>Sheet1!Q393</f>
        <v/>
      </c>
      <c r="R393" s="19" t="str">
        <f>Sheet1!R393</f>
        <v/>
      </c>
      <c r="S393" s="19" t="str">
        <f>Sheet1!S393</f>
        <v/>
      </c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</row>
    <row r="394">
      <c r="A394" s="19" t="str">
        <f>Sheet1!A394</f>
        <v/>
      </c>
      <c r="B394" s="19" t="str">
        <f>Sheet1!B394</f>
        <v/>
      </c>
      <c r="C394" s="19" t="str">
        <f>Sheet1!C394</f>
        <v/>
      </c>
      <c r="D394" s="19" t="str">
        <f>Sheet1!D394</f>
        <v/>
      </c>
      <c r="E394" s="19" t="str">
        <f>Sheet1!E394</f>
        <v/>
      </c>
      <c r="F394" s="19" t="str">
        <f>Sheet1!F394</f>
        <v/>
      </c>
      <c r="G394" s="19" t="str">
        <f>Sheet1!G394</f>
        <v/>
      </c>
      <c r="H394" s="19" t="str">
        <f>Sheet1!H394</f>
        <v/>
      </c>
      <c r="I394" s="19" t="str">
        <f>Sheet1!I394</f>
        <v/>
      </c>
      <c r="J394" s="19" t="str">
        <f>Sheet1!J394</f>
        <v/>
      </c>
      <c r="K394" s="19" t="str">
        <f>Sheet1!K394</f>
        <v/>
      </c>
      <c r="L394" s="19" t="str">
        <f>Sheet1!L394</f>
        <v/>
      </c>
      <c r="M394" s="19" t="str">
        <f>Sheet1!M394</f>
        <v/>
      </c>
      <c r="N394" s="19" t="str">
        <f>Sheet1!N394</f>
        <v/>
      </c>
      <c r="O394" s="19" t="str">
        <f>Sheet1!O394</f>
        <v/>
      </c>
      <c r="P394" s="19" t="str">
        <f>Sheet1!P394</f>
        <v/>
      </c>
      <c r="Q394" s="19" t="str">
        <f>Sheet1!Q394</f>
        <v/>
      </c>
      <c r="R394" s="19" t="str">
        <f>Sheet1!R394</f>
        <v/>
      </c>
      <c r="S394" s="19" t="str">
        <f>Sheet1!S394</f>
        <v/>
      </c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</row>
    <row r="395">
      <c r="A395" s="19" t="str">
        <f>Sheet1!A395</f>
        <v/>
      </c>
      <c r="B395" s="19" t="str">
        <f>Sheet1!B395</f>
        <v/>
      </c>
      <c r="C395" s="19" t="str">
        <f>Sheet1!C395</f>
        <v/>
      </c>
      <c r="D395" s="19" t="str">
        <f>Sheet1!D395</f>
        <v/>
      </c>
      <c r="E395" s="19" t="str">
        <f>Sheet1!E395</f>
        <v/>
      </c>
      <c r="F395" s="19" t="str">
        <f>Sheet1!F395</f>
        <v/>
      </c>
      <c r="G395" s="19" t="str">
        <f>Sheet1!G395</f>
        <v/>
      </c>
      <c r="H395" s="19" t="str">
        <f>Sheet1!H395</f>
        <v/>
      </c>
      <c r="I395" s="19" t="str">
        <f>Sheet1!I395</f>
        <v/>
      </c>
      <c r="J395" s="19" t="str">
        <f>Sheet1!J395</f>
        <v/>
      </c>
      <c r="K395" s="19" t="str">
        <f>Sheet1!K395</f>
        <v/>
      </c>
      <c r="L395" s="19" t="str">
        <f>Sheet1!L395</f>
        <v/>
      </c>
      <c r="M395" s="19" t="str">
        <f>Sheet1!M395</f>
        <v/>
      </c>
      <c r="N395" s="19" t="str">
        <f>Sheet1!N395</f>
        <v/>
      </c>
      <c r="O395" s="19" t="str">
        <f>Sheet1!O395</f>
        <v/>
      </c>
      <c r="P395" s="19" t="str">
        <f>Sheet1!P395</f>
        <v/>
      </c>
      <c r="Q395" s="19" t="str">
        <f>Sheet1!Q395</f>
        <v/>
      </c>
      <c r="R395" s="19" t="str">
        <f>Sheet1!R395</f>
        <v/>
      </c>
      <c r="S395" s="19" t="str">
        <f>Sheet1!S395</f>
        <v/>
      </c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</row>
    <row r="396">
      <c r="A396" s="19" t="str">
        <f>Sheet1!A396</f>
        <v/>
      </c>
      <c r="B396" s="19" t="str">
        <f>Sheet1!B396</f>
        <v/>
      </c>
      <c r="C396" s="19" t="str">
        <f>Sheet1!C396</f>
        <v/>
      </c>
      <c r="D396" s="19" t="str">
        <f>Sheet1!D396</f>
        <v/>
      </c>
      <c r="E396" s="19" t="str">
        <f>Sheet1!E396</f>
        <v/>
      </c>
      <c r="F396" s="19" t="str">
        <f>Sheet1!F396</f>
        <v/>
      </c>
      <c r="G396" s="19" t="str">
        <f>Sheet1!G396</f>
        <v/>
      </c>
      <c r="H396" s="19" t="str">
        <f>Sheet1!H396</f>
        <v/>
      </c>
      <c r="I396" s="19" t="str">
        <f>Sheet1!I396</f>
        <v/>
      </c>
      <c r="J396" s="19" t="str">
        <f>Sheet1!J396</f>
        <v/>
      </c>
      <c r="K396" s="19" t="str">
        <f>Sheet1!K396</f>
        <v/>
      </c>
      <c r="L396" s="19" t="str">
        <f>Sheet1!L396</f>
        <v/>
      </c>
      <c r="M396" s="19" t="str">
        <f>Sheet1!M396</f>
        <v/>
      </c>
      <c r="N396" s="19" t="str">
        <f>Sheet1!N396</f>
        <v/>
      </c>
      <c r="O396" s="19" t="str">
        <f>Sheet1!O396</f>
        <v/>
      </c>
      <c r="P396" s="19" t="str">
        <f>Sheet1!P396</f>
        <v/>
      </c>
      <c r="Q396" s="19" t="str">
        <f>Sheet1!Q396</f>
        <v/>
      </c>
      <c r="R396" s="19" t="str">
        <f>Sheet1!R396</f>
        <v/>
      </c>
      <c r="S396" s="19" t="str">
        <f>Sheet1!S396</f>
        <v/>
      </c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</row>
    <row r="397">
      <c r="A397" s="19" t="str">
        <f>Sheet1!A397</f>
        <v/>
      </c>
      <c r="B397" s="19" t="str">
        <f>Sheet1!B397</f>
        <v/>
      </c>
      <c r="C397" s="19" t="str">
        <f>Sheet1!C397</f>
        <v/>
      </c>
      <c r="D397" s="19" t="str">
        <f>Sheet1!D397</f>
        <v/>
      </c>
      <c r="E397" s="19" t="str">
        <f>Sheet1!E397</f>
        <v/>
      </c>
      <c r="F397" s="19" t="str">
        <f>Sheet1!F397</f>
        <v/>
      </c>
      <c r="G397" s="19" t="str">
        <f>Sheet1!G397</f>
        <v/>
      </c>
      <c r="H397" s="19" t="str">
        <f>Sheet1!H397</f>
        <v/>
      </c>
      <c r="I397" s="19" t="str">
        <f>Sheet1!I397</f>
        <v/>
      </c>
      <c r="J397" s="19" t="str">
        <f>Sheet1!J397</f>
        <v/>
      </c>
      <c r="K397" s="19" t="str">
        <f>Sheet1!K397</f>
        <v/>
      </c>
      <c r="L397" s="19" t="str">
        <f>Sheet1!L397</f>
        <v/>
      </c>
      <c r="M397" s="19" t="str">
        <f>Sheet1!M397</f>
        <v/>
      </c>
      <c r="N397" s="19" t="str">
        <f>Sheet1!N397</f>
        <v/>
      </c>
      <c r="O397" s="19" t="str">
        <f>Sheet1!O397</f>
        <v/>
      </c>
      <c r="P397" s="19" t="str">
        <f>Sheet1!P397</f>
        <v/>
      </c>
      <c r="Q397" s="19" t="str">
        <f>Sheet1!Q397</f>
        <v/>
      </c>
      <c r="R397" s="19" t="str">
        <f>Sheet1!R397</f>
        <v/>
      </c>
      <c r="S397" s="19" t="str">
        <f>Sheet1!S397</f>
        <v/>
      </c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</row>
    <row r="398">
      <c r="A398" s="19" t="str">
        <f>Sheet1!A398</f>
        <v/>
      </c>
      <c r="B398" s="19" t="str">
        <f>Sheet1!B398</f>
        <v/>
      </c>
      <c r="C398" s="19" t="str">
        <f>Sheet1!C398</f>
        <v/>
      </c>
      <c r="D398" s="19" t="str">
        <f>Sheet1!D398</f>
        <v/>
      </c>
      <c r="E398" s="19" t="str">
        <f>Sheet1!E398</f>
        <v/>
      </c>
      <c r="F398" s="19" t="str">
        <f>Sheet1!F398</f>
        <v/>
      </c>
      <c r="G398" s="19" t="str">
        <f>Sheet1!G398</f>
        <v/>
      </c>
      <c r="H398" s="19" t="str">
        <f>Sheet1!H398</f>
        <v/>
      </c>
      <c r="I398" s="19" t="str">
        <f>Sheet1!I398</f>
        <v/>
      </c>
      <c r="J398" s="19" t="str">
        <f>Sheet1!J398</f>
        <v/>
      </c>
      <c r="K398" s="19" t="str">
        <f>Sheet1!K398</f>
        <v/>
      </c>
      <c r="L398" s="19" t="str">
        <f>Sheet1!L398</f>
        <v/>
      </c>
      <c r="M398" s="19" t="str">
        <f>Sheet1!M398</f>
        <v/>
      </c>
      <c r="N398" s="19" t="str">
        <f>Sheet1!N398</f>
        <v/>
      </c>
      <c r="O398" s="19" t="str">
        <f>Sheet1!O398</f>
        <v/>
      </c>
      <c r="P398" s="19" t="str">
        <f>Sheet1!P398</f>
        <v/>
      </c>
      <c r="Q398" s="19" t="str">
        <f>Sheet1!Q398</f>
        <v/>
      </c>
      <c r="R398" s="19" t="str">
        <f>Sheet1!R398</f>
        <v/>
      </c>
      <c r="S398" s="19" t="str">
        <f>Sheet1!S398</f>
        <v/>
      </c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</row>
    <row r="399">
      <c r="A399" s="19" t="str">
        <f>Sheet1!A399</f>
        <v/>
      </c>
      <c r="B399" s="19" t="str">
        <f>Sheet1!B399</f>
        <v/>
      </c>
      <c r="C399" s="19" t="str">
        <f>Sheet1!C399</f>
        <v/>
      </c>
      <c r="D399" s="19" t="str">
        <f>Sheet1!D399</f>
        <v/>
      </c>
      <c r="E399" s="19" t="str">
        <f>Sheet1!E399</f>
        <v/>
      </c>
      <c r="F399" s="19" t="str">
        <f>Sheet1!F399</f>
        <v/>
      </c>
      <c r="G399" s="19" t="str">
        <f>Sheet1!G399</f>
        <v/>
      </c>
      <c r="H399" s="19" t="str">
        <f>Sheet1!H399</f>
        <v/>
      </c>
      <c r="I399" s="19" t="str">
        <f>Sheet1!I399</f>
        <v/>
      </c>
      <c r="J399" s="19" t="str">
        <f>Sheet1!J399</f>
        <v/>
      </c>
      <c r="K399" s="19" t="str">
        <f>Sheet1!K399</f>
        <v/>
      </c>
      <c r="L399" s="19" t="str">
        <f>Sheet1!L399</f>
        <v/>
      </c>
      <c r="M399" s="19" t="str">
        <f>Sheet1!M399</f>
        <v/>
      </c>
      <c r="N399" s="19" t="str">
        <f>Sheet1!N399</f>
        <v/>
      </c>
      <c r="O399" s="19" t="str">
        <f>Sheet1!O399</f>
        <v/>
      </c>
      <c r="P399" s="19" t="str">
        <f>Sheet1!P399</f>
        <v/>
      </c>
      <c r="Q399" s="19" t="str">
        <f>Sheet1!Q399</f>
        <v/>
      </c>
      <c r="R399" s="19" t="str">
        <f>Sheet1!R399</f>
        <v/>
      </c>
      <c r="S399" s="19" t="str">
        <f>Sheet1!S399</f>
        <v/>
      </c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</row>
    <row r="400">
      <c r="A400" s="19" t="str">
        <f>Sheet1!A400</f>
        <v/>
      </c>
      <c r="B400" s="19" t="str">
        <f>Sheet1!B400</f>
        <v/>
      </c>
      <c r="C400" s="19" t="str">
        <f>Sheet1!C400</f>
        <v/>
      </c>
      <c r="D400" s="19" t="str">
        <f>Sheet1!D400</f>
        <v/>
      </c>
      <c r="E400" s="19" t="str">
        <f>Sheet1!E400</f>
        <v/>
      </c>
      <c r="F400" s="19" t="str">
        <f>Sheet1!F400</f>
        <v/>
      </c>
      <c r="G400" s="19" t="str">
        <f>Sheet1!G400</f>
        <v/>
      </c>
      <c r="H400" s="19" t="str">
        <f>Sheet1!H400</f>
        <v/>
      </c>
      <c r="I400" s="19" t="str">
        <f>Sheet1!I400</f>
        <v/>
      </c>
      <c r="J400" s="19" t="str">
        <f>Sheet1!J400</f>
        <v/>
      </c>
      <c r="K400" s="19" t="str">
        <f>Sheet1!K400</f>
        <v/>
      </c>
      <c r="L400" s="19" t="str">
        <f>Sheet1!L400</f>
        <v/>
      </c>
      <c r="M400" s="19" t="str">
        <f>Sheet1!M400</f>
        <v/>
      </c>
      <c r="N400" s="19" t="str">
        <f>Sheet1!N400</f>
        <v/>
      </c>
      <c r="O400" s="19" t="str">
        <f>Sheet1!O400</f>
        <v/>
      </c>
      <c r="P400" s="19" t="str">
        <f>Sheet1!P400</f>
        <v/>
      </c>
      <c r="Q400" s="19" t="str">
        <f>Sheet1!Q400</f>
        <v/>
      </c>
      <c r="R400" s="19" t="str">
        <f>Sheet1!R400</f>
        <v/>
      </c>
      <c r="S400" s="19" t="str">
        <f>Sheet1!S400</f>
        <v/>
      </c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</row>
    <row r="401">
      <c r="A401" s="19" t="str">
        <f>Sheet1!A401</f>
        <v/>
      </c>
      <c r="B401" s="19" t="str">
        <f>Sheet1!B401</f>
        <v/>
      </c>
      <c r="C401" s="19" t="str">
        <f>Sheet1!C401</f>
        <v/>
      </c>
      <c r="D401" s="19" t="str">
        <f>Sheet1!D401</f>
        <v/>
      </c>
      <c r="E401" s="19" t="str">
        <f>Sheet1!E401</f>
        <v/>
      </c>
      <c r="F401" s="19" t="str">
        <f>Sheet1!F401</f>
        <v/>
      </c>
      <c r="G401" s="19" t="str">
        <f>Sheet1!G401</f>
        <v/>
      </c>
      <c r="H401" s="19" t="str">
        <f>Sheet1!H401</f>
        <v/>
      </c>
      <c r="I401" s="19" t="str">
        <f>Sheet1!I401</f>
        <v/>
      </c>
      <c r="J401" s="19" t="str">
        <f>Sheet1!J401</f>
        <v/>
      </c>
      <c r="K401" s="19" t="str">
        <f>Sheet1!K401</f>
        <v/>
      </c>
      <c r="L401" s="19" t="str">
        <f>Sheet1!L401</f>
        <v/>
      </c>
      <c r="M401" s="19" t="str">
        <f>Sheet1!M401</f>
        <v/>
      </c>
      <c r="N401" s="19" t="str">
        <f>Sheet1!N401</f>
        <v/>
      </c>
      <c r="O401" s="19" t="str">
        <f>Sheet1!O401</f>
        <v/>
      </c>
      <c r="P401" s="19" t="str">
        <f>Sheet1!P401</f>
        <v/>
      </c>
      <c r="Q401" s="19" t="str">
        <f>Sheet1!Q401</f>
        <v/>
      </c>
      <c r="R401" s="19" t="str">
        <f>Sheet1!R401</f>
        <v/>
      </c>
      <c r="S401" s="19" t="str">
        <f>Sheet1!S401</f>
        <v/>
      </c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</row>
    <row r="402">
      <c r="A402" s="19" t="str">
        <f>Sheet1!A402</f>
        <v/>
      </c>
      <c r="B402" s="19" t="str">
        <f>Sheet1!B402</f>
        <v/>
      </c>
      <c r="C402" s="19" t="str">
        <f>Sheet1!C402</f>
        <v/>
      </c>
      <c r="D402" s="19" t="str">
        <f>Sheet1!D402</f>
        <v/>
      </c>
      <c r="E402" s="19" t="str">
        <f>Sheet1!E402</f>
        <v/>
      </c>
      <c r="F402" s="19" t="str">
        <f>Sheet1!F402</f>
        <v/>
      </c>
      <c r="G402" s="19" t="str">
        <f>Sheet1!G402</f>
        <v/>
      </c>
      <c r="H402" s="19" t="str">
        <f>Sheet1!H402</f>
        <v/>
      </c>
      <c r="I402" s="19" t="str">
        <f>Sheet1!I402</f>
        <v/>
      </c>
      <c r="J402" s="19" t="str">
        <f>Sheet1!J402</f>
        <v/>
      </c>
      <c r="K402" s="19" t="str">
        <f>Sheet1!K402</f>
        <v/>
      </c>
      <c r="L402" s="19" t="str">
        <f>Sheet1!L402</f>
        <v/>
      </c>
      <c r="M402" s="19" t="str">
        <f>Sheet1!M402</f>
        <v/>
      </c>
      <c r="N402" s="19" t="str">
        <f>Sheet1!N402</f>
        <v/>
      </c>
      <c r="O402" s="19" t="str">
        <f>Sheet1!O402</f>
        <v/>
      </c>
      <c r="P402" s="19" t="str">
        <f>Sheet1!P402</f>
        <v/>
      </c>
      <c r="Q402" s="19" t="str">
        <f>Sheet1!Q402</f>
        <v/>
      </c>
      <c r="R402" s="19" t="str">
        <f>Sheet1!R402</f>
        <v/>
      </c>
      <c r="S402" s="19" t="str">
        <f>Sheet1!S402</f>
        <v/>
      </c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</row>
    <row r="403">
      <c r="A403" s="19" t="str">
        <f>Sheet1!A403</f>
        <v/>
      </c>
      <c r="B403" s="19" t="str">
        <f>Sheet1!B403</f>
        <v/>
      </c>
      <c r="C403" s="19" t="str">
        <f>Sheet1!C403</f>
        <v/>
      </c>
      <c r="D403" s="19" t="str">
        <f>Sheet1!D403</f>
        <v/>
      </c>
      <c r="E403" s="19" t="str">
        <f>Sheet1!E403</f>
        <v/>
      </c>
      <c r="F403" s="19" t="str">
        <f>Sheet1!F403</f>
        <v/>
      </c>
      <c r="G403" s="19" t="str">
        <f>Sheet1!G403</f>
        <v/>
      </c>
      <c r="H403" s="19" t="str">
        <f>Sheet1!H403</f>
        <v/>
      </c>
      <c r="I403" s="19" t="str">
        <f>Sheet1!I403</f>
        <v/>
      </c>
      <c r="J403" s="19" t="str">
        <f>Sheet1!J403</f>
        <v/>
      </c>
      <c r="K403" s="19" t="str">
        <f>Sheet1!K403</f>
        <v/>
      </c>
      <c r="L403" s="19" t="str">
        <f>Sheet1!L403</f>
        <v/>
      </c>
      <c r="M403" s="19" t="str">
        <f>Sheet1!M403</f>
        <v/>
      </c>
      <c r="N403" s="19" t="str">
        <f>Sheet1!N403</f>
        <v/>
      </c>
      <c r="O403" s="19" t="str">
        <f>Sheet1!O403</f>
        <v/>
      </c>
      <c r="P403" s="19" t="str">
        <f>Sheet1!P403</f>
        <v/>
      </c>
      <c r="Q403" s="19" t="str">
        <f>Sheet1!Q403</f>
        <v/>
      </c>
      <c r="R403" s="19" t="str">
        <f>Sheet1!R403</f>
        <v/>
      </c>
      <c r="S403" s="19" t="str">
        <f>Sheet1!S403</f>
        <v/>
      </c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</row>
    <row r="404">
      <c r="A404" s="19" t="str">
        <f>Sheet1!A404</f>
        <v/>
      </c>
      <c r="B404" s="19" t="str">
        <f>Sheet1!B404</f>
        <v/>
      </c>
      <c r="C404" s="19" t="str">
        <f>Sheet1!C404</f>
        <v/>
      </c>
      <c r="D404" s="19" t="str">
        <f>Sheet1!D404</f>
        <v/>
      </c>
      <c r="E404" s="19" t="str">
        <f>Sheet1!E404</f>
        <v/>
      </c>
      <c r="F404" s="19" t="str">
        <f>Sheet1!F404</f>
        <v/>
      </c>
      <c r="G404" s="19" t="str">
        <f>Sheet1!G404</f>
        <v/>
      </c>
      <c r="H404" s="19" t="str">
        <f>Sheet1!H404</f>
        <v/>
      </c>
      <c r="I404" s="19" t="str">
        <f>Sheet1!I404</f>
        <v/>
      </c>
      <c r="J404" s="19" t="str">
        <f>Sheet1!J404</f>
        <v/>
      </c>
      <c r="K404" s="19" t="str">
        <f>Sheet1!K404</f>
        <v/>
      </c>
      <c r="L404" s="19" t="str">
        <f>Sheet1!L404</f>
        <v/>
      </c>
      <c r="M404" s="19" t="str">
        <f>Sheet1!M404</f>
        <v/>
      </c>
      <c r="N404" s="19" t="str">
        <f>Sheet1!N404</f>
        <v/>
      </c>
      <c r="O404" s="19" t="str">
        <f>Sheet1!O404</f>
        <v/>
      </c>
      <c r="P404" s="19" t="str">
        <f>Sheet1!P404</f>
        <v/>
      </c>
      <c r="Q404" s="19" t="str">
        <f>Sheet1!Q404</f>
        <v/>
      </c>
      <c r="R404" s="19" t="str">
        <f>Sheet1!R404</f>
        <v/>
      </c>
      <c r="S404" s="19" t="str">
        <f>Sheet1!S404</f>
        <v/>
      </c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</row>
    <row r="405">
      <c r="A405" s="19" t="str">
        <f>Sheet1!A405</f>
        <v/>
      </c>
      <c r="B405" s="19" t="str">
        <f>Sheet1!B405</f>
        <v/>
      </c>
      <c r="C405" s="19" t="str">
        <f>Sheet1!C405</f>
        <v/>
      </c>
      <c r="D405" s="19" t="str">
        <f>Sheet1!D405</f>
        <v/>
      </c>
      <c r="E405" s="19" t="str">
        <f>Sheet1!E405</f>
        <v/>
      </c>
      <c r="F405" s="19" t="str">
        <f>Sheet1!F405</f>
        <v/>
      </c>
      <c r="G405" s="19" t="str">
        <f>Sheet1!G405</f>
        <v/>
      </c>
      <c r="H405" s="19" t="str">
        <f>Sheet1!H405</f>
        <v/>
      </c>
      <c r="I405" s="19" t="str">
        <f>Sheet1!I405</f>
        <v/>
      </c>
      <c r="J405" s="19" t="str">
        <f>Sheet1!J405</f>
        <v/>
      </c>
      <c r="K405" s="19" t="str">
        <f>Sheet1!K405</f>
        <v/>
      </c>
      <c r="L405" s="19" t="str">
        <f>Sheet1!L405</f>
        <v/>
      </c>
      <c r="M405" s="19" t="str">
        <f>Sheet1!M405</f>
        <v/>
      </c>
      <c r="N405" s="19" t="str">
        <f>Sheet1!N405</f>
        <v/>
      </c>
      <c r="O405" s="19" t="str">
        <f>Sheet1!O405</f>
        <v/>
      </c>
      <c r="P405" s="19" t="str">
        <f>Sheet1!P405</f>
        <v/>
      </c>
      <c r="Q405" s="19" t="str">
        <f>Sheet1!Q405</f>
        <v/>
      </c>
      <c r="R405" s="19" t="str">
        <f>Sheet1!R405</f>
        <v/>
      </c>
      <c r="S405" s="19" t="str">
        <f>Sheet1!S405</f>
        <v/>
      </c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1"/>
      <c r="EM405" s="21"/>
      <c r="EN405" s="21"/>
      <c r="EO405" s="21"/>
      <c r="EP405" s="21"/>
      <c r="EQ405" s="21"/>
      <c r="ER405" s="21"/>
      <c r="ES405" s="21"/>
      <c r="ET405" s="21"/>
      <c r="EU405" s="21"/>
      <c r="EV405" s="21"/>
      <c r="EW405" s="21"/>
      <c r="EX405" s="21"/>
      <c r="EY405" s="21"/>
      <c r="EZ405" s="21"/>
      <c r="FA405" s="21"/>
      <c r="FB405" s="21"/>
      <c r="FC405" s="21"/>
      <c r="FD405" s="21"/>
      <c r="FE405" s="21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21"/>
      <c r="FW405" s="21"/>
      <c r="FX405" s="21"/>
      <c r="FY405" s="21"/>
      <c r="FZ405" s="21"/>
      <c r="GA405" s="21"/>
      <c r="GB405" s="21"/>
      <c r="GC405" s="21"/>
      <c r="GD405" s="21"/>
      <c r="GE405" s="21"/>
      <c r="GF405" s="21"/>
      <c r="GG405" s="21"/>
      <c r="GH405" s="21"/>
      <c r="GI405" s="21"/>
    </row>
    <row r="406">
      <c r="A406" s="19" t="str">
        <f>Sheet1!A406</f>
        <v/>
      </c>
      <c r="B406" s="19" t="str">
        <f>Sheet1!B406</f>
        <v/>
      </c>
      <c r="C406" s="19" t="str">
        <f>Sheet1!C406</f>
        <v/>
      </c>
      <c r="D406" s="19" t="str">
        <f>Sheet1!D406</f>
        <v/>
      </c>
      <c r="E406" s="19" t="str">
        <f>Sheet1!E406</f>
        <v/>
      </c>
      <c r="F406" s="19" t="str">
        <f>Sheet1!F406</f>
        <v/>
      </c>
      <c r="G406" s="19" t="str">
        <f>Sheet1!G406</f>
        <v/>
      </c>
      <c r="H406" s="19" t="str">
        <f>Sheet1!H406</f>
        <v/>
      </c>
      <c r="I406" s="19" t="str">
        <f>Sheet1!I406</f>
        <v/>
      </c>
      <c r="J406" s="19" t="str">
        <f>Sheet1!J406</f>
        <v/>
      </c>
      <c r="K406" s="19" t="str">
        <f>Sheet1!K406</f>
        <v/>
      </c>
      <c r="L406" s="19" t="str">
        <f>Sheet1!L406</f>
        <v/>
      </c>
      <c r="M406" s="19" t="str">
        <f>Sheet1!M406</f>
        <v/>
      </c>
      <c r="N406" s="19" t="str">
        <f>Sheet1!N406</f>
        <v/>
      </c>
      <c r="O406" s="19" t="str">
        <f>Sheet1!O406</f>
        <v/>
      </c>
      <c r="P406" s="19" t="str">
        <f>Sheet1!P406</f>
        <v/>
      </c>
      <c r="Q406" s="19" t="str">
        <f>Sheet1!Q406</f>
        <v/>
      </c>
      <c r="R406" s="19" t="str">
        <f>Sheet1!R406</f>
        <v/>
      </c>
      <c r="S406" s="19" t="str">
        <f>Sheet1!S406</f>
        <v/>
      </c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1"/>
      <c r="EM406" s="21"/>
      <c r="EN406" s="21"/>
      <c r="EO406" s="21"/>
      <c r="EP406" s="21"/>
      <c r="EQ406" s="21"/>
      <c r="ER406" s="21"/>
      <c r="ES406" s="21"/>
      <c r="ET406" s="21"/>
      <c r="EU406" s="21"/>
      <c r="EV406" s="21"/>
      <c r="EW406" s="21"/>
      <c r="EX406" s="21"/>
      <c r="EY406" s="21"/>
      <c r="EZ406" s="21"/>
      <c r="FA406" s="21"/>
      <c r="FB406" s="21"/>
      <c r="FC406" s="21"/>
      <c r="FD406" s="21"/>
      <c r="FE406" s="21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21"/>
      <c r="FW406" s="21"/>
      <c r="FX406" s="21"/>
      <c r="FY406" s="21"/>
      <c r="FZ406" s="21"/>
      <c r="GA406" s="21"/>
      <c r="GB406" s="21"/>
      <c r="GC406" s="21"/>
      <c r="GD406" s="21"/>
      <c r="GE406" s="21"/>
      <c r="GF406" s="21"/>
      <c r="GG406" s="21"/>
      <c r="GH406" s="21"/>
      <c r="GI406" s="21"/>
    </row>
    <row r="407">
      <c r="A407" s="19" t="str">
        <f>Sheet1!A407</f>
        <v/>
      </c>
      <c r="B407" s="19" t="str">
        <f>Sheet1!B407</f>
        <v/>
      </c>
      <c r="C407" s="19" t="str">
        <f>Sheet1!C407</f>
        <v/>
      </c>
      <c r="D407" s="19" t="str">
        <f>Sheet1!D407</f>
        <v/>
      </c>
      <c r="E407" s="19" t="str">
        <f>Sheet1!E407</f>
        <v/>
      </c>
      <c r="F407" s="19" t="str">
        <f>Sheet1!F407</f>
        <v/>
      </c>
      <c r="G407" s="19" t="str">
        <f>Sheet1!G407</f>
        <v/>
      </c>
      <c r="H407" s="19" t="str">
        <f>Sheet1!H407</f>
        <v/>
      </c>
      <c r="I407" s="19" t="str">
        <f>Sheet1!I407</f>
        <v/>
      </c>
      <c r="J407" s="19" t="str">
        <f>Sheet1!J407</f>
        <v/>
      </c>
      <c r="K407" s="19" t="str">
        <f>Sheet1!K407</f>
        <v/>
      </c>
      <c r="L407" s="19" t="str">
        <f>Sheet1!L407</f>
        <v/>
      </c>
      <c r="M407" s="19" t="str">
        <f>Sheet1!M407</f>
        <v/>
      </c>
      <c r="N407" s="19" t="str">
        <f>Sheet1!N407</f>
        <v/>
      </c>
      <c r="O407" s="19" t="str">
        <f>Sheet1!O407</f>
        <v/>
      </c>
      <c r="P407" s="19" t="str">
        <f>Sheet1!P407</f>
        <v/>
      </c>
      <c r="Q407" s="19" t="str">
        <f>Sheet1!Q407</f>
        <v/>
      </c>
      <c r="R407" s="19" t="str">
        <f>Sheet1!R407</f>
        <v/>
      </c>
      <c r="S407" s="19" t="str">
        <f>Sheet1!S407</f>
        <v/>
      </c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/>
      <c r="EM407" s="21"/>
      <c r="EN407" s="21"/>
      <c r="EO407" s="21"/>
      <c r="EP407" s="21"/>
      <c r="EQ407" s="21"/>
      <c r="ER407" s="21"/>
      <c r="ES407" s="21"/>
      <c r="ET407" s="21"/>
      <c r="EU407" s="21"/>
      <c r="EV407" s="21"/>
      <c r="EW407" s="21"/>
      <c r="EX407" s="21"/>
      <c r="EY407" s="21"/>
      <c r="EZ407" s="21"/>
      <c r="FA407" s="21"/>
      <c r="FB407" s="21"/>
      <c r="FC407" s="21"/>
      <c r="FD407" s="21"/>
      <c r="FE407" s="21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</row>
    <row r="408">
      <c r="A408" s="19" t="str">
        <f>Sheet1!A408</f>
        <v/>
      </c>
      <c r="B408" s="19" t="str">
        <f>Sheet1!B408</f>
        <v/>
      </c>
      <c r="C408" s="19" t="str">
        <f>Sheet1!C408</f>
        <v/>
      </c>
      <c r="D408" s="19" t="str">
        <f>Sheet1!D408</f>
        <v/>
      </c>
      <c r="E408" s="19" t="str">
        <f>Sheet1!E408</f>
        <v/>
      </c>
      <c r="F408" s="19" t="str">
        <f>Sheet1!F408</f>
        <v/>
      </c>
      <c r="G408" s="19" t="str">
        <f>Sheet1!G408</f>
        <v/>
      </c>
      <c r="H408" s="19" t="str">
        <f>Sheet1!H408</f>
        <v/>
      </c>
      <c r="I408" s="19" t="str">
        <f>Sheet1!I408</f>
        <v/>
      </c>
      <c r="J408" s="19" t="str">
        <f>Sheet1!J408</f>
        <v/>
      </c>
      <c r="K408" s="19" t="str">
        <f>Sheet1!K408</f>
        <v/>
      </c>
      <c r="L408" s="19" t="str">
        <f>Sheet1!L408</f>
        <v/>
      </c>
      <c r="M408" s="19" t="str">
        <f>Sheet1!M408</f>
        <v/>
      </c>
      <c r="N408" s="19" t="str">
        <f>Sheet1!N408</f>
        <v/>
      </c>
      <c r="O408" s="19" t="str">
        <f>Sheet1!O408</f>
        <v/>
      </c>
      <c r="P408" s="19" t="str">
        <f>Sheet1!P408</f>
        <v/>
      </c>
      <c r="Q408" s="19" t="str">
        <f>Sheet1!Q408</f>
        <v/>
      </c>
      <c r="R408" s="19" t="str">
        <f>Sheet1!R408</f>
        <v/>
      </c>
      <c r="S408" s="19" t="str">
        <f>Sheet1!S408</f>
        <v/>
      </c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1"/>
      <c r="EM408" s="21"/>
      <c r="EN408" s="21"/>
      <c r="EO408" s="21"/>
      <c r="EP408" s="21"/>
      <c r="EQ408" s="21"/>
      <c r="ER408" s="21"/>
      <c r="ES408" s="21"/>
      <c r="ET408" s="21"/>
      <c r="EU408" s="21"/>
      <c r="EV408" s="21"/>
      <c r="EW408" s="21"/>
      <c r="EX408" s="21"/>
      <c r="EY408" s="21"/>
      <c r="EZ408" s="21"/>
      <c r="FA408" s="21"/>
      <c r="FB408" s="21"/>
      <c r="FC408" s="21"/>
      <c r="FD408" s="21"/>
      <c r="FE408" s="21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</row>
    <row r="409">
      <c r="A409" s="19" t="str">
        <f>Sheet1!A409</f>
        <v/>
      </c>
      <c r="B409" s="19" t="str">
        <f>Sheet1!B409</f>
        <v/>
      </c>
      <c r="C409" s="19" t="str">
        <f>Sheet1!C409</f>
        <v/>
      </c>
      <c r="D409" s="19" t="str">
        <f>Sheet1!D409</f>
        <v/>
      </c>
      <c r="E409" s="19" t="str">
        <f>Sheet1!E409</f>
        <v/>
      </c>
      <c r="F409" s="19" t="str">
        <f>Sheet1!F409</f>
        <v/>
      </c>
      <c r="G409" s="19" t="str">
        <f>Sheet1!G409</f>
        <v/>
      </c>
      <c r="H409" s="19" t="str">
        <f>Sheet1!H409</f>
        <v/>
      </c>
      <c r="I409" s="19" t="str">
        <f>Sheet1!I409</f>
        <v/>
      </c>
      <c r="J409" s="19" t="str">
        <f>Sheet1!J409</f>
        <v/>
      </c>
      <c r="K409" s="19" t="str">
        <f>Sheet1!K409</f>
        <v/>
      </c>
      <c r="L409" s="19" t="str">
        <f>Sheet1!L409</f>
        <v/>
      </c>
      <c r="M409" s="19" t="str">
        <f>Sheet1!M409</f>
        <v/>
      </c>
      <c r="N409" s="19" t="str">
        <f>Sheet1!N409</f>
        <v/>
      </c>
      <c r="O409" s="19" t="str">
        <f>Sheet1!O409</f>
        <v/>
      </c>
      <c r="P409" s="19" t="str">
        <f>Sheet1!P409</f>
        <v/>
      </c>
      <c r="Q409" s="19" t="str">
        <f>Sheet1!Q409</f>
        <v/>
      </c>
      <c r="R409" s="19" t="str">
        <f>Sheet1!R409</f>
        <v/>
      </c>
      <c r="S409" s="19" t="str">
        <f>Sheet1!S409</f>
        <v/>
      </c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1"/>
      <c r="EM409" s="21"/>
      <c r="EN409" s="21"/>
      <c r="EO409" s="21"/>
      <c r="EP409" s="21"/>
      <c r="EQ409" s="21"/>
      <c r="ER409" s="21"/>
      <c r="ES409" s="21"/>
      <c r="ET409" s="21"/>
      <c r="EU409" s="21"/>
      <c r="EV409" s="21"/>
      <c r="EW409" s="21"/>
      <c r="EX409" s="21"/>
      <c r="EY409" s="21"/>
      <c r="EZ409" s="21"/>
      <c r="FA409" s="21"/>
      <c r="FB409" s="21"/>
      <c r="FC409" s="21"/>
      <c r="FD409" s="21"/>
      <c r="FE409" s="21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21"/>
      <c r="FW409" s="21"/>
      <c r="FX409" s="21"/>
      <c r="FY409" s="21"/>
      <c r="FZ409" s="21"/>
      <c r="GA409" s="21"/>
      <c r="GB409" s="21"/>
      <c r="GC409" s="21"/>
      <c r="GD409" s="21"/>
      <c r="GE409" s="21"/>
      <c r="GF409" s="21"/>
      <c r="GG409" s="21"/>
      <c r="GH409" s="21"/>
      <c r="GI409" s="21"/>
    </row>
    <row r="410">
      <c r="A410" s="19" t="str">
        <f>Sheet1!A410</f>
        <v/>
      </c>
      <c r="B410" s="19" t="str">
        <f>Sheet1!B410</f>
        <v/>
      </c>
      <c r="C410" s="19" t="str">
        <f>Sheet1!C410</f>
        <v/>
      </c>
      <c r="D410" s="19" t="str">
        <f>Sheet1!D410</f>
        <v/>
      </c>
      <c r="E410" s="19" t="str">
        <f>Sheet1!E410</f>
        <v/>
      </c>
      <c r="F410" s="19" t="str">
        <f>Sheet1!F410</f>
        <v/>
      </c>
      <c r="G410" s="19" t="str">
        <f>Sheet1!G410</f>
        <v/>
      </c>
      <c r="H410" s="19" t="str">
        <f>Sheet1!H410</f>
        <v/>
      </c>
      <c r="I410" s="19" t="str">
        <f>Sheet1!I410</f>
        <v/>
      </c>
      <c r="J410" s="19" t="str">
        <f>Sheet1!J410</f>
        <v/>
      </c>
      <c r="K410" s="19" t="str">
        <f>Sheet1!K410</f>
        <v/>
      </c>
      <c r="L410" s="19" t="str">
        <f>Sheet1!L410</f>
        <v/>
      </c>
      <c r="M410" s="19" t="str">
        <f>Sheet1!M410</f>
        <v/>
      </c>
      <c r="N410" s="19" t="str">
        <f>Sheet1!N410</f>
        <v/>
      </c>
      <c r="O410" s="19" t="str">
        <f>Sheet1!O410</f>
        <v/>
      </c>
      <c r="P410" s="19" t="str">
        <f>Sheet1!P410</f>
        <v/>
      </c>
      <c r="Q410" s="19" t="str">
        <f>Sheet1!Q410</f>
        <v/>
      </c>
      <c r="R410" s="19" t="str">
        <f>Sheet1!R410</f>
        <v/>
      </c>
      <c r="S410" s="19" t="str">
        <f>Sheet1!S410</f>
        <v/>
      </c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1"/>
      <c r="EM410" s="21"/>
      <c r="EN410" s="21"/>
      <c r="EO410" s="21"/>
      <c r="EP410" s="21"/>
      <c r="EQ410" s="21"/>
      <c r="ER410" s="21"/>
      <c r="ES410" s="21"/>
      <c r="ET410" s="21"/>
      <c r="EU410" s="21"/>
      <c r="EV410" s="21"/>
      <c r="EW410" s="21"/>
      <c r="EX410" s="21"/>
      <c r="EY410" s="21"/>
      <c r="EZ410" s="21"/>
      <c r="FA410" s="21"/>
      <c r="FB410" s="21"/>
      <c r="FC410" s="21"/>
      <c r="FD410" s="21"/>
      <c r="FE410" s="21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21"/>
      <c r="FW410" s="21"/>
      <c r="FX410" s="21"/>
      <c r="FY410" s="21"/>
      <c r="FZ410" s="21"/>
      <c r="GA410" s="21"/>
      <c r="GB410" s="21"/>
      <c r="GC410" s="21"/>
      <c r="GD410" s="21"/>
      <c r="GE410" s="21"/>
      <c r="GF410" s="21"/>
      <c r="GG410" s="21"/>
      <c r="GH410" s="21"/>
      <c r="GI410" s="21"/>
    </row>
    <row r="411">
      <c r="A411" s="19" t="str">
        <f>Sheet1!A411</f>
        <v/>
      </c>
      <c r="B411" s="19" t="str">
        <f>Sheet1!B411</f>
        <v/>
      </c>
      <c r="C411" s="19" t="str">
        <f>Sheet1!C411</f>
        <v/>
      </c>
      <c r="D411" s="19" t="str">
        <f>Sheet1!D411</f>
        <v/>
      </c>
      <c r="E411" s="19" t="str">
        <f>Sheet1!E411</f>
        <v/>
      </c>
      <c r="F411" s="19" t="str">
        <f>Sheet1!F411</f>
        <v/>
      </c>
      <c r="G411" s="19" t="str">
        <f>Sheet1!G411</f>
        <v/>
      </c>
      <c r="H411" s="19" t="str">
        <f>Sheet1!H411</f>
        <v/>
      </c>
      <c r="I411" s="19" t="str">
        <f>Sheet1!I411</f>
        <v/>
      </c>
      <c r="J411" s="19" t="str">
        <f>Sheet1!J411</f>
        <v/>
      </c>
      <c r="K411" s="19" t="str">
        <f>Sheet1!K411</f>
        <v/>
      </c>
      <c r="L411" s="19" t="str">
        <f>Sheet1!L411</f>
        <v/>
      </c>
      <c r="M411" s="19" t="str">
        <f>Sheet1!M411</f>
        <v/>
      </c>
      <c r="N411" s="19" t="str">
        <f>Sheet1!N411</f>
        <v/>
      </c>
      <c r="O411" s="19" t="str">
        <f>Sheet1!O411</f>
        <v/>
      </c>
      <c r="P411" s="19" t="str">
        <f>Sheet1!P411</f>
        <v/>
      </c>
      <c r="Q411" s="19" t="str">
        <f>Sheet1!Q411</f>
        <v/>
      </c>
      <c r="R411" s="19" t="str">
        <f>Sheet1!R411</f>
        <v/>
      </c>
      <c r="S411" s="19" t="str">
        <f>Sheet1!S411</f>
        <v/>
      </c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1"/>
      <c r="EM411" s="21"/>
      <c r="EN411" s="21"/>
      <c r="EO411" s="21"/>
      <c r="EP411" s="21"/>
      <c r="EQ411" s="21"/>
      <c r="ER411" s="21"/>
      <c r="ES411" s="21"/>
      <c r="ET411" s="21"/>
      <c r="EU411" s="21"/>
      <c r="EV411" s="21"/>
      <c r="EW411" s="21"/>
      <c r="EX411" s="21"/>
      <c r="EY411" s="21"/>
      <c r="EZ411" s="21"/>
      <c r="FA411" s="21"/>
      <c r="FB411" s="21"/>
      <c r="FC411" s="21"/>
      <c r="FD411" s="21"/>
      <c r="FE411" s="21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21"/>
      <c r="FW411" s="21"/>
      <c r="FX411" s="21"/>
      <c r="FY411" s="21"/>
      <c r="FZ411" s="21"/>
      <c r="GA411" s="21"/>
      <c r="GB411" s="21"/>
      <c r="GC411" s="21"/>
      <c r="GD411" s="21"/>
      <c r="GE411" s="21"/>
      <c r="GF411" s="21"/>
      <c r="GG411" s="21"/>
      <c r="GH411" s="21"/>
      <c r="GI411" s="21"/>
    </row>
    <row r="412">
      <c r="A412" s="19" t="str">
        <f>Sheet1!A412</f>
        <v/>
      </c>
      <c r="B412" s="19" t="str">
        <f>Sheet1!B412</f>
        <v/>
      </c>
      <c r="C412" s="19" t="str">
        <f>Sheet1!C412</f>
        <v/>
      </c>
      <c r="D412" s="19" t="str">
        <f>Sheet1!D412</f>
        <v/>
      </c>
      <c r="E412" s="19" t="str">
        <f>Sheet1!E412</f>
        <v/>
      </c>
      <c r="F412" s="19" t="str">
        <f>Sheet1!F412</f>
        <v/>
      </c>
      <c r="G412" s="19" t="str">
        <f>Sheet1!G412</f>
        <v/>
      </c>
      <c r="H412" s="19" t="str">
        <f>Sheet1!H412</f>
        <v/>
      </c>
      <c r="I412" s="19" t="str">
        <f>Sheet1!I412</f>
        <v/>
      </c>
      <c r="J412" s="19" t="str">
        <f>Sheet1!J412</f>
        <v/>
      </c>
      <c r="K412" s="19" t="str">
        <f>Sheet1!K412</f>
        <v/>
      </c>
      <c r="L412" s="19" t="str">
        <f>Sheet1!L412</f>
        <v/>
      </c>
      <c r="M412" s="19" t="str">
        <f>Sheet1!M412</f>
        <v/>
      </c>
      <c r="N412" s="19" t="str">
        <f>Sheet1!N412</f>
        <v/>
      </c>
      <c r="O412" s="19" t="str">
        <f>Sheet1!O412</f>
        <v/>
      </c>
      <c r="P412" s="19" t="str">
        <f>Sheet1!P412</f>
        <v/>
      </c>
      <c r="Q412" s="19" t="str">
        <f>Sheet1!Q412</f>
        <v/>
      </c>
      <c r="R412" s="19" t="str">
        <f>Sheet1!R412</f>
        <v/>
      </c>
      <c r="S412" s="19" t="str">
        <f>Sheet1!S412</f>
        <v/>
      </c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1"/>
      <c r="EM412" s="21"/>
      <c r="EN412" s="21"/>
      <c r="EO412" s="21"/>
      <c r="EP412" s="21"/>
      <c r="EQ412" s="21"/>
      <c r="ER412" s="21"/>
      <c r="ES412" s="21"/>
      <c r="ET412" s="21"/>
      <c r="EU412" s="21"/>
      <c r="EV412" s="21"/>
      <c r="EW412" s="21"/>
      <c r="EX412" s="21"/>
      <c r="EY412" s="21"/>
      <c r="EZ412" s="21"/>
      <c r="FA412" s="21"/>
      <c r="FB412" s="21"/>
      <c r="FC412" s="21"/>
      <c r="FD412" s="21"/>
      <c r="FE412" s="21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21"/>
      <c r="FW412" s="21"/>
      <c r="FX412" s="21"/>
      <c r="FY412" s="21"/>
      <c r="FZ412" s="21"/>
      <c r="GA412" s="21"/>
      <c r="GB412" s="21"/>
      <c r="GC412" s="21"/>
      <c r="GD412" s="21"/>
      <c r="GE412" s="21"/>
      <c r="GF412" s="21"/>
      <c r="GG412" s="21"/>
      <c r="GH412" s="21"/>
      <c r="GI412" s="21"/>
    </row>
    <row r="413">
      <c r="A413" s="19" t="str">
        <f>Sheet1!A413</f>
        <v/>
      </c>
      <c r="B413" s="19" t="str">
        <f>Sheet1!B413</f>
        <v/>
      </c>
      <c r="C413" s="19" t="str">
        <f>Sheet1!C413</f>
        <v/>
      </c>
      <c r="D413" s="19" t="str">
        <f>Sheet1!D413</f>
        <v/>
      </c>
      <c r="E413" s="19" t="str">
        <f>Sheet1!E413</f>
        <v/>
      </c>
      <c r="F413" s="19" t="str">
        <f>Sheet1!F413</f>
        <v/>
      </c>
      <c r="G413" s="19" t="str">
        <f>Sheet1!G413</f>
        <v/>
      </c>
      <c r="H413" s="19" t="str">
        <f>Sheet1!H413</f>
        <v/>
      </c>
      <c r="I413" s="19" t="str">
        <f>Sheet1!I413</f>
        <v/>
      </c>
      <c r="J413" s="19" t="str">
        <f>Sheet1!J413</f>
        <v/>
      </c>
      <c r="K413" s="19" t="str">
        <f>Sheet1!K413</f>
        <v/>
      </c>
      <c r="L413" s="19" t="str">
        <f>Sheet1!L413</f>
        <v/>
      </c>
      <c r="M413" s="19" t="str">
        <f>Sheet1!M413</f>
        <v/>
      </c>
      <c r="N413" s="19" t="str">
        <f>Sheet1!N413</f>
        <v/>
      </c>
      <c r="O413" s="19" t="str">
        <f>Sheet1!O413</f>
        <v/>
      </c>
      <c r="P413" s="19" t="str">
        <f>Sheet1!P413</f>
        <v/>
      </c>
      <c r="Q413" s="19" t="str">
        <f>Sheet1!Q413</f>
        <v/>
      </c>
      <c r="R413" s="19" t="str">
        <f>Sheet1!R413</f>
        <v/>
      </c>
      <c r="S413" s="19" t="str">
        <f>Sheet1!S413</f>
        <v/>
      </c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1"/>
      <c r="EM413" s="21"/>
      <c r="EN413" s="21"/>
      <c r="EO413" s="21"/>
      <c r="EP413" s="21"/>
      <c r="EQ413" s="21"/>
      <c r="ER413" s="21"/>
      <c r="ES413" s="21"/>
      <c r="ET413" s="21"/>
      <c r="EU413" s="21"/>
      <c r="EV413" s="21"/>
      <c r="EW413" s="21"/>
      <c r="EX413" s="21"/>
      <c r="EY413" s="21"/>
      <c r="EZ413" s="21"/>
      <c r="FA413" s="21"/>
      <c r="FB413" s="21"/>
      <c r="FC413" s="21"/>
      <c r="FD413" s="21"/>
      <c r="FE413" s="21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21"/>
      <c r="FW413" s="21"/>
      <c r="FX413" s="21"/>
      <c r="FY413" s="21"/>
      <c r="FZ413" s="21"/>
      <c r="GA413" s="21"/>
      <c r="GB413" s="21"/>
      <c r="GC413" s="21"/>
      <c r="GD413" s="21"/>
      <c r="GE413" s="21"/>
      <c r="GF413" s="21"/>
      <c r="GG413" s="21"/>
      <c r="GH413" s="21"/>
      <c r="GI413" s="21"/>
    </row>
    <row r="414">
      <c r="A414" s="19" t="str">
        <f>Sheet1!A414</f>
        <v/>
      </c>
      <c r="B414" s="19" t="str">
        <f>Sheet1!B414</f>
        <v/>
      </c>
      <c r="C414" s="19" t="str">
        <f>Sheet1!C414</f>
        <v/>
      </c>
      <c r="D414" s="19" t="str">
        <f>Sheet1!D414</f>
        <v/>
      </c>
      <c r="E414" s="19" t="str">
        <f>Sheet1!E414</f>
        <v/>
      </c>
      <c r="F414" s="19" t="str">
        <f>Sheet1!F414</f>
        <v/>
      </c>
      <c r="G414" s="19" t="str">
        <f>Sheet1!G414</f>
        <v/>
      </c>
      <c r="H414" s="19" t="str">
        <f>Sheet1!H414</f>
        <v/>
      </c>
      <c r="I414" s="19" t="str">
        <f>Sheet1!I414</f>
        <v/>
      </c>
      <c r="J414" s="19" t="str">
        <f>Sheet1!J414</f>
        <v/>
      </c>
      <c r="K414" s="19" t="str">
        <f>Sheet1!K414</f>
        <v/>
      </c>
      <c r="L414" s="19" t="str">
        <f>Sheet1!L414</f>
        <v/>
      </c>
      <c r="M414" s="19" t="str">
        <f>Sheet1!M414</f>
        <v/>
      </c>
      <c r="N414" s="19" t="str">
        <f>Sheet1!N414</f>
        <v/>
      </c>
      <c r="O414" s="19" t="str">
        <f>Sheet1!O414</f>
        <v/>
      </c>
      <c r="P414" s="19" t="str">
        <f>Sheet1!P414</f>
        <v/>
      </c>
      <c r="Q414" s="19" t="str">
        <f>Sheet1!Q414</f>
        <v/>
      </c>
      <c r="R414" s="19" t="str">
        <f>Sheet1!R414</f>
        <v/>
      </c>
      <c r="S414" s="19" t="str">
        <f>Sheet1!S414</f>
        <v/>
      </c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21"/>
      <c r="ES414" s="21"/>
      <c r="ET414" s="21"/>
      <c r="EU414" s="21"/>
      <c r="EV414" s="21"/>
      <c r="EW414" s="21"/>
      <c r="EX414" s="21"/>
      <c r="EY414" s="21"/>
      <c r="EZ414" s="21"/>
      <c r="FA414" s="21"/>
      <c r="FB414" s="21"/>
      <c r="FC414" s="21"/>
      <c r="FD414" s="21"/>
      <c r="FE414" s="21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</row>
    <row r="415">
      <c r="A415" s="19" t="str">
        <f>Sheet1!A415</f>
        <v/>
      </c>
      <c r="B415" s="19" t="str">
        <f>Sheet1!B415</f>
        <v/>
      </c>
      <c r="C415" s="19" t="str">
        <f>Sheet1!C415</f>
        <v/>
      </c>
      <c r="D415" s="19" t="str">
        <f>Sheet1!D415</f>
        <v/>
      </c>
      <c r="E415" s="19" t="str">
        <f>Sheet1!E415</f>
        <v/>
      </c>
      <c r="F415" s="19" t="str">
        <f>Sheet1!F415</f>
        <v/>
      </c>
      <c r="G415" s="19" t="str">
        <f>Sheet1!G415</f>
        <v/>
      </c>
      <c r="H415" s="19" t="str">
        <f>Sheet1!H415</f>
        <v/>
      </c>
      <c r="I415" s="19" t="str">
        <f>Sheet1!I415</f>
        <v/>
      </c>
      <c r="J415" s="19" t="str">
        <f>Sheet1!J415</f>
        <v/>
      </c>
      <c r="K415" s="19" t="str">
        <f>Sheet1!K415</f>
        <v/>
      </c>
      <c r="L415" s="19" t="str">
        <f>Sheet1!L415</f>
        <v/>
      </c>
      <c r="M415" s="19" t="str">
        <f>Sheet1!M415</f>
        <v/>
      </c>
      <c r="N415" s="19" t="str">
        <f>Sheet1!N415</f>
        <v/>
      </c>
      <c r="O415" s="19" t="str">
        <f>Sheet1!O415</f>
        <v/>
      </c>
      <c r="P415" s="19" t="str">
        <f>Sheet1!P415</f>
        <v/>
      </c>
      <c r="Q415" s="19" t="str">
        <f>Sheet1!Q415</f>
        <v/>
      </c>
      <c r="R415" s="19" t="str">
        <f>Sheet1!R415</f>
        <v/>
      </c>
      <c r="S415" s="19" t="str">
        <f>Sheet1!S415</f>
        <v/>
      </c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21"/>
      <c r="ES415" s="21"/>
      <c r="ET415" s="21"/>
      <c r="EU415" s="21"/>
      <c r="EV415" s="21"/>
      <c r="EW415" s="21"/>
      <c r="EX415" s="21"/>
      <c r="EY415" s="21"/>
      <c r="EZ415" s="21"/>
      <c r="FA415" s="21"/>
      <c r="FB415" s="21"/>
      <c r="FC415" s="21"/>
      <c r="FD415" s="21"/>
      <c r="FE415" s="21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21"/>
      <c r="FW415" s="21"/>
      <c r="FX415" s="21"/>
      <c r="FY415" s="21"/>
      <c r="FZ415" s="21"/>
      <c r="GA415" s="21"/>
      <c r="GB415" s="21"/>
      <c r="GC415" s="21"/>
      <c r="GD415" s="21"/>
      <c r="GE415" s="21"/>
      <c r="GF415" s="21"/>
      <c r="GG415" s="21"/>
      <c r="GH415" s="21"/>
      <c r="GI415" s="21"/>
    </row>
    <row r="416">
      <c r="A416" s="19" t="str">
        <f>Sheet1!A416</f>
        <v/>
      </c>
      <c r="B416" s="19" t="str">
        <f>Sheet1!B416</f>
        <v/>
      </c>
      <c r="C416" s="19" t="str">
        <f>Sheet1!C416</f>
        <v/>
      </c>
      <c r="D416" s="19" t="str">
        <f>Sheet1!D416</f>
        <v/>
      </c>
      <c r="E416" s="19" t="str">
        <f>Sheet1!E416</f>
        <v/>
      </c>
      <c r="F416" s="19" t="str">
        <f>Sheet1!F416</f>
        <v/>
      </c>
      <c r="G416" s="19" t="str">
        <f>Sheet1!G416</f>
        <v/>
      </c>
      <c r="H416" s="19" t="str">
        <f>Sheet1!H416</f>
        <v/>
      </c>
      <c r="I416" s="19" t="str">
        <f>Sheet1!I416</f>
        <v/>
      </c>
      <c r="J416" s="19" t="str">
        <f>Sheet1!J416</f>
        <v/>
      </c>
      <c r="K416" s="19" t="str">
        <f>Sheet1!K416</f>
        <v/>
      </c>
      <c r="L416" s="19" t="str">
        <f>Sheet1!L416</f>
        <v/>
      </c>
      <c r="M416" s="19" t="str">
        <f>Sheet1!M416</f>
        <v/>
      </c>
      <c r="N416" s="19" t="str">
        <f>Sheet1!N416</f>
        <v/>
      </c>
      <c r="O416" s="19" t="str">
        <f>Sheet1!O416</f>
        <v/>
      </c>
      <c r="P416" s="19" t="str">
        <f>Sheet1!P416</f>
        <v/>
      </c>
      <c r="Q416" s="19" t="str">
        <f>Sheet1!Q416</f>
        <v/>
      </c>
      <c r="R416" s="19" t="str">
        <f>Sheet1!R416</f>
        <v/>
      </c>
      <c r="S416" s="19" t="str">
        <f>Sheet1!S416</f>
        <v/>
      </c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1"/>
      <c r="EM416" s="21"/>
      <c r="EN416" s="21"/>
      <c r="EO416" s="21"/>
      <c r="EP416" s="21"/>
      <c r="EQ416" s="21"/>
      <c r="ER416" s="21"/>
      <c r="ES416" s="21"/>
      <c r="ET416" s="21"/>
      <c r="EU416" s="21"/>
      <c r="EV416" s="21"/>
      <c r="EW416" s="21"/>
      <c r="EX416" s="21"/>
      <c r="EY416" s="21"/>
      <c r="EZ416" s="21"/>
      <c r="FA416" s="21"/>
      <c r="FB416" s="21"/>
      <c r="FC416" s="21"/>
      <c r="FD416" s="21"/>
      <c r="FE416" s="21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21"/>
      <c r="FW416" s="21"/>
      <c r="FX416" s="21"/>
      <c r="FY416" s="21"/>
      <c r="FZ416" s="21"/>
      <c r="GA416" s="21"/>
      <c r="GB416" s="21"/>
      <c r="GC416" s="21"/>
      <c r="GD416" s="21"/>
      <c r="GE416" s="21"/>
      <c r="GF416" s="21"/>
      <c r="GG416" s="21"/>
      <c r="GH416" s="21"/>
      <c r="GI416" s="21"/>
    </row>
    <row r="417">
      <c r="A417" s="19" t="str">
        <f>Sheet1!A417</f>
        <v/>
      </c>
      <c r="B417" s="19" t="str">
        <f>Sheet1!B417</f>
        <v/>
      </c>
      <c r="C417" s="19" t="str">
        <f>Sheet1!C417</f>
        <v/>
      </c>
      <c r="D417" s="19" t="str">
        <f>Sheet1!D417</f>
        <v/>
      </c>
      <c r="E417" s="19" t="str">
        <f>Sheet1!E417</f>
        <v/>
      </c>
      <c r="F417" s="19" t="str">
        <f>Sheet1!F417</f>
        <v/>
      </c>
      <c r="G417" s="19" t="str">
        <f>Sheet1!G417</f>
        <v/>
      </c>
      <c r="H417" s="19" t="str">
        <f>Sheet1!H417</f>
        <v/>
      </c>
      <c r="I417" s="19" t="str">
        <f>Sheet1!I417</f>
        <v/>
      </c>
      <c r="J417" s="19" t="str">
        <f>Sheet1!J417</f>
        <v/>
      </c>
      <c r="K417" s="19" t="str">
        <f>Sheet1!K417</f>
        <v/>
      </c>
      <c r="L417" s="19" t="str">
        <f>Sheet1!L417</f>
        <v/>
      </c>
      <c r="M417" s="19" t="str">
        <f>Sheet1!M417</f>
        <v/>
      </c>
      <c r="N417" s="19" t="str">
        <f>Sheet1!N417</f>
        <v/>
      </c>
      <c r="O417" s="19" t="str">
        <f>Sheet1!O417</f>
        <v/>
      </c>
      <c r="P417" s="19" t="str">
        <f>Sheet1!P417</f>
        <v/>
      </c>
      <c r="Q417" s="19" t="str">
        <f>Sheet1!Q417</f>
        <v/>
      </c>
      <c r="R417" s="19" t="str">
        <f>Sheet1!R417</f>
        <v/>
      </c>
      <c r="S417" s="19" t="str">
        <f>Sheet1!S417</f>
        <v/>
      </c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/>
      <c r="EJ417" s="21"/>
      <c r="EK417" s="21"/>
      <c r="EL417" s="21"/>
      <c r="EM417" s="21"/>
      <c r="EN417" s="21"/>
      <c r="EO417" s="21"/>
      <c r="EP417" s="21"/>
      <c r="EQ417" s="21"/>
      <c r="ER417" s="21"/>
      <c r="ES417" s="21"/>
      <c r="ET417" s="21"/>
      <c r="EU417" s="21"/>
      <c r="EV417" s="21"/>
      <c r="EW417" s="21"/>
      <c r="EX417" s="21"/>
      <c r="EY417" s="21"/>
      <c r="EZ417" s="21"/>
      <c r="FA417" s="21"/>
      <c r="FB417" s="21"/>
      <c r="FC417" s="21"/>
      <c r="FD417" s="21"/>
      <c r="FE417" s="21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21"/>
      <c r="FW417" s="21"/>
      <c r="FX417" s="21"/>
      <c r="FY417" s="21"/>
      <c r="FZ417" s="21"/>
      <c r="GA417" s="21"/>
      <c r="GB417" s="21"/>
      <c r="GC417" s="21"/>
      <c r="GD417" s="21"/>
      <c r="GE417" s="21"/>
      <c r="GF417" s="21"/>
      <c r="GG417" s="21"/>
      <c r="GH417" s="21"/>
      <c r="GI417" s="21"/>
    </row>
    <row r="418">
      <c r="A418" s="19" t="str">
        <f>Sheet1!A418</f>
        <v/>
      </c>
      <c r="B418" s="19" t="str">
        <f>Sheet1!B418</f>
        <v/>
      </c>
      <c r="C418" s="19" t="str">
        <f>Sheet1!C418</f>
        <v/>
      </c>
      <c r="D418" s="19" t="str">
        <f>Sheet1!D418</f>
        <v/>
      </c>
      <c r="E418" s="19" t="str">
        <f>Sheet1!E418</f>
        <v/>
      </c>
      <c r="F418" s="19" t="str">
        <f>Sheet1!F418</f>
        <v/>
      </c>
      <c r="G418" s="19" t="str">
        <f>Sheet1!G418</f>
        <v/>
      </c>
      <c r="H418" s="19" t="str">
        <f>Sheet1!H418</f>
        <v/>
      </c>
      <c r="I418" s="19" t="str">
        <f>Sheet1!I418</f>
        <v/>
      </c>
      <c r="J418" s="19" t="str">
        <f>Sheet1!J418</f>
        <v/>
      </c>
      <c r="K418" s="19" t="str">
        <f>Sheet1!K418</f>
        <v/>
      </c>
      <c r="L418" s="19" t="str">
        <f>Sheet1!L418</f>
        <v/>
      </c>
      <c r="M418" s="19" t="str">
        <f>Sheet1!M418</f>
        <v/>
      </c>
      <c r="N418" s="19" t="str">
        <f>Sheet1!N418</f>
        <v/>
      </c>
      <c r="O418" s="19" t="str">
        <f>Sheet1!O418</f>
        <v/>
      </c>
      <c r="P418" s="19" t="str">
        <f>Sheet1!P418</f>
        <v/>
      </c>
      <c r="Q418" s="19" t="str">
        <f>Sheet1!Q418</f>
        <v/>
      </c>
      <c r="R418" s="19" t="str">
        <f>Sheet1!R418</f>
        <v/>
      </c>
      <c r="S418" s="19" t="str">
        <f>Sheet1!S418</f>
        <v/>
      </c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/>
      <c r="EJ418" s="21"/>
      <c r="EK418" s="21"/>
      <c r="EL418" s="21"/>
      <c r="EM418" s="21"/>
      <c r="EN418" s="21"/>
      <c r="EO418" s="21"/>
      <c r="EP418" s="21"/>
      <c r="EQ418" s="21"/>
      <c r="ER418" s="21"/>
      <c r="ES418" s="21"/>
      <c r="ET418" s="21"/>
      <c r="EU418" s="21"/>
      <c r="EV418" s="21"/>
      <c r="EW418" s="21"/>
      <c r="EX418" s="21"/>
      <c r="EY418" s="21"/>
      <c r="EZ418" s="21"/>
      <c r="FA418" s="21"/>
      <c r="FB418" s="21"/>
      <c r="FC418" s="21"/>
      <c r="FD418" s="21"/>
      <c r="FE418" s="21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21"/>
      <c r="FW418" s="21"/>
      <c r="FX418" s="21"/>
      <c r="FY418" s="21"/>
      <c r="FZ418" s="21"/>
      <c r="GA418" s="21"/>
      <c r="GB418" s="21"/>
      <c r="GC418" s="21"/>
      <c r="GD418" s="21"/>
      <c r="GE418" s="21"/>
      <c r="GF418" s="21"/>
      <c r="GG418" s="21"/>
      <c r="GH418" s="21"/>
      <c r="GI418" s="21"/>
    </row>
    <row r="419">
      <c r="A419" s="19" t="str">
        <f>Sheet1!A419</f>
        <v/>
      </c>
      <c r="B419" s="19" t="str">
        <f>Sheet1!B419</f>
        <v/>
      </c>
      <c r="C419" s="19" t="str">
        <f>Sheet1!C419</f>
        <v/>
      </c>
      <c r="D419" s="19" t="str">
        <f>Sheet1!D419</f>
        <v/>
      </c>
      <c r="E419" s="19" t="str">
        <f>Sheet1!E419</f>
        <v/>
      </c>
      <c r="F419" s="19" t="str">
        <f>Sheet1!F419</f>
        <v/>
      </c>
      <c r="G419" s="19" t="str">
        <f>Sheet1!G419</f>
        <v/>
      </c>
      <c r="H419" s="19" t="str">
        <f>Sheet1!H419</f>
        <v/>
      </c>
      <c r="I419" s="19" t="str">
        <f>Sheet1!I419</f>
        <v/>
      </c>
      <c r="J419" s="19" t="str">
        <f>Sheet1!J419</f>
        <v/>
      </c>
      <c r="K419" s="19" t="str">
        <f>Sheet1!K419</f>
        <v/>
      </c>
      <c r="L419" s="19" t="str">
        <f>Sheet1!L419</f>
        <v/>
      </c>
      <c r="M419" s="19" t="str">
        <f>Sheet1!M419</f>
        <v/>
      </c>
      <c r="N419" s="19" t="str">
        <f>Sheet1!N419</f>
        <v/>
      </c>
      <c r="O419" s="19" t="str">
        <f>Sheet1!O419</f>
        <v/>
      </c>
      <c r="P419" s="19" t="str">
        <f>Sheet1!P419</f>
        <v/>
      </c>
      <c r="Q419" s="19" t="str">
        <f>Sheet1!Q419</f>
        <v/>
      </c>
      <c r="R419" s="19" t="str">
        <f>Sheet1!R419</f>
        <v/>
      </c>
      <c r="S419" s="19" t="str">
        <f>Sheet1!S419</f>
        <v/>
      </c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/>
      <c r="EJ419" s="21"/>
      <c r="EK419" s="21"/>
      <c r="EL419" s="21"/>
      <c r="EM419" s="21"/>
      <c r="EN419" s="21"/>
      <c r="EO419" s="21"/>
      <c r="EP419" s="21"/>
      <c r="EQ419" s="21"/>
      <c r="ER419" s="21"/>
      <c r="ES419" s="21"/>
      <c r="ET419" s="21"/>
      <c r="EU419" s="21"/>
      <c r="EV419" s="21"/>
      <c r="EW419" s="21"/>
      <c r="EX419" s="21"/>
      <c r="EY419" s="21"/>
      <c r="EZ419" s="21"/>
      <c r="FA419" s="21"/>
      <c r="FB419" s="21"/>
      <c r="FC419" s="21"/>
      <c r="FD419" s="21"/>
      <c r="FE419" s="21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21"/>
      <c r="FW419" s="21"/>
      <c r="FX419" s="21"/>
      <c r="FY419" s="21"/>
      <c r="FZ419" s="21"/>
      <c r="GA419" s="21"/>
      <c r="GB419" s="21"/>
      <c r="GC419" s="21"/>
      <c r="GD419" s="21"/>
      <c r="GE419" s="21"/>
      <c r="GF419" s="21"/>
      <c r="GG419" s="21"/>
      <c r="GH419" s="21"/>
      <c r="GI419" s="21"/>
    </row>
    <row r="420">
      <c r="A420" s="19" t="str">
        <f>Sheet1!A420</f>
        <v/>
      </c>
      <c r="B420" s="19" t="str">
        <f>Sheet1!B420</f>
        <v/>
      </c>
      <c r="C420" s="19" t="str">
        <f>Sheet1!C420</f>
        <v/>
      </c>
      <c r="D420" s="19" t="str">
        <f>Sheet1!D420</f>
        <v/>
      </c>
      <c r="E420" s="19" t="str">
        <f>Sheet1!E420</f>
        <v/>
      </c>
      <c r="F420" s="19" t="str">
        <f>Sheet1!F420</f>
        <v/>
      </c>
      <c r="G420" s="19" t="str">
        <f>Sheet1!G420</f>
        <v/>
      </c>
      <c r="H420" s="19" t="str">
        <f>Sheet1!H420</f>
        <v/>
      </c>
      <c r="I420" s="19" t="str">
        <f>Sheet1!I420</f>
        <v/>
      </c>
      <c r="J420" s="19" t="str">
        <f>Sheet1!J420</f>
        <v/>
      </c>
      <c r="K420" s="19" t="str">
        <f>Sheet1!K420</f>
        <v/>
      </c>
      <c r="L420" s="19" t="str">
        <f>Sheet1!L420</f>
        <v/>
      </c>
      <c r="M420" s="19" t="str">
        <f>Sheet1!M420</f>
        <v/>
      </c>
      <c r="N420" s="19" t="str">
        <f>Sheet1!N420</f>
        <v/>
      </c>
      <c r="O420" s="19" t="str">
        <f>Sheet1!O420</f>
        <v/>
      </c>
      <c r="P420" s="19" t="str">
        <f>Sheet1!P420</f>
        <v/>
      </c>
      <c r="Q420" s="19" t="str">
        <f>Sheet1!Q420</f>
        <v/>
      </c>
      <c r="R420" s="19" t="str">
        <f>Sheet1!R420</f>
        <v/>
      </c>
      <c r="S420" s="19" t="str">
        <f>Sheet1!S420</f>
        <v/>
      </c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21"/>
      <c r="ES420" s="21"/>
      <c r="ET420" s="21"/>
      <c r="EU420" s="21"/>
      <c r="EV420" s="21"/>
      <c r="EW420" s="21"/>
      <c r="EX420" s="21"/>
      <c r="EY420" s="21"/>
      <c r="EZ420" s="21"/>
      <c r="FA420" s="21"/>
      <c r="FB420" s="21"/>
      <c r="FC420" s="21"/>
      <c r="FD420" s="21"/>
      <c r="FE420" s="21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</row>
    <row r="421">
      <c r="A421" s="19" t="str">
        <f>Sheet1!A421</f>
        <v/>
      </c>
      <c r="B421" s="19" t="str">
        <f>Sheet1!B421</f>
        <v/>
      </c>
      <c r="C421" s="19" t="str">
        <f>Sheet1!C421</f>
        <v/>
      </c>
      <c r="D421" s="19" t="str">
        <f>Sheet1!D421</f>
        <v/>
      </c>
      <c r="E421" s="19" t="str">
        <f>Sheet1!E421</f>
        <v/>
      </c>
      <c r="F421" s="19" t="str">
        <f>Sheet1!F421</f>
        <v/>
      </c>
      <c r="G421" s="19" t="str">
        <f>Sheet1!G421</f>
        <v/>
      </c>
      <c r="H421" s="19" t="str">
        <f>Sheet1!H421</f>
        <v/>
      </c>
      <c r="I421" s="19" t="str">
        <f>Sheet1!I421</f>
        <v/>
      </c>
      <c r="J421" s="19" t="str">
        <f>Sheet1!J421</f>
        <v/>
      </c>
      <c r="K421" s="19" t="str">
        <f>Sheet1!K421</f>
        <v/>
      </c>
      <c r="L421" s="19" t="str">
        <f>Sheet1!L421</f>
        <v/>
      </c>
      <c r="M421" s="19" t="str">
        <f>Sheet1!M421</f>
        <v/>
      </c>
      <c r="N421" s="19" t="str">
        <f>Sheet1!N421</f>
        <v/>
      </c>
      <c r="O421" s="19" t="str">
        <f>Sheet1!O421</f>
        <v/>
      </c>
      <c r="P421" s="19" t="str">
        <f>Sheet1!P421</f>
        <v/>
      </c>
      <c r="Q421" s="19" t="str">
        <f>Sheet1!Q421</f>
        <v/>
      </c>
      <c r="R421" s="19" t="str">
        <f>Sheet1!R421</f>
        <v/>
      </c>
      <c r="S421" s="19" t="str">
        <f>Sheet1!S421</f>
        <v/>
      </c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1"/>
      <c r="EM421" s="21"/>
      <c r="EN421" s="21"/>
      <c r="EO421" s="21"/>
      <c r="EP421" s="21"/>
      <c r="EQ421" s="21"/>
      <c r="ER421" s="21"/>
      <c r="ES421" s="21"/>
      <c r="ET421" s="21"/>
      <c r="EU421" s="21"/>
      <c r="EV421" s="21"/>
      <c r="EW421" s="21"/>
      <c r="EX421" s="21"/>
      <c r="EY421" s="21"/>
      <c r="EZ421" s="21"/>
      <c r="FA421" s="21"/>
      <c r="FB421" s="21"/>
      <c r="FC421" s="21"/>
      <c r="FD421" s="21"/>
      <c r="FE421" s="21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</row>
    <row r="422">
      <c r="A422" s="19" t="str">
        <f>Sheet1!A422</f>
        <v/>
      </c>
      <c r="B422" s="19" t="str">
        <f>Sheet1!B422</f>
        <v/>
      </c>
      <c r="C422" s="19" t="str">
        <f>Sheet1!C422</f>
        <v/>
      </c>
      <c r="D422" s="19" t="str">
        <f>Sheet1!D422</f>
        <v/>
      </c>
      <c r="E422" s="19" t="str">
        <f>Sheet1!E422</f>
        <v/>
      </c>
      <c r="F422" s="19" t="str">
        <f>Sheet1!F422</f>
        <v/>
      </c>
      <c r="G422" s="19" t="str">
        <f>Sheet1!G422</f>
        <v/>
      </c>
      <c r="H422" s="19" t="str">
        <f>Sheet1!H422</f>
        <v/>
      </c>
      <c r="I422" s="19" t="str">
        <f>Sheet1!I422</f>
        <v/>
      </c>
      <c r="J422" s="19" t="str">
        <f>Sheet1!J422</f>
        <v/>
      </c>
      <c r="K422" s="19" t="str">
        <f>Sheet1!K422</f>
        <v/>
      </c>
      <c r="L422" s="19" t="str">
        <f>Sheet1!L422</f>
        <v/>
      </c>
      <c r="M422" s="19" t="str">
        <f>Sheet1!M422</f>
        <v/>
      </c>
      <c r="N422" s="19" t="str">
        <f>Sheet1!N422</f>
        <v/>
      </c>
      <c r="O422" s="19" t="str">
        <f>Sheet1!O422</f>
        <v/>
      </c>
      <c r="P422" s="19" t="str">
        <f>Sheet1!P422</f>
        <v/>
      </c>
      <c r="Q422" s="19" t="str">
        <f>Sheet1!Q422</f>
        <v/>
      </c>
      <c r="R422" s="19" t="str">
        <f>Sheet1!R422</f>
        <v/>
      </c>
      <c r="S422" s="19" t="str">
        <f>Sheet1!S422</f>
        <v/>
      </c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/>
      <c r="EJ422" s="21"/>
      <c r="EK422" s="21"/>
      <c r="EL422" s="21"/>
      <c r="EM422" s="21"/>
      <c r="EN422" s="21"/>
      <c r="EO422" s="21"/>
      <c r="EP422" s="21"/>
      <c r="EQ422" s="21"/>
      <c r="ER422" s="21"/>
      <c r="ES422" s="21"/>
      <c r="ET422" s="21"/>
      <c r="EU422" s="21"/>
      <c r="EV422" s="21"/>
      <c r="EW422" s="21"/>
      <c r="EX422" s="21"/>
      <c r="EY422" s="21"/>
      <c r="EZ422" s="21"/>
      <c r="FA422" s="21"/>
      <c r="FB422" s="21"/>
      <c r="FC422" s="21"/>
      <c r="FD422" s="21"/>
      <c r="FE422" s="21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21"/>
      <c r="FW422" s="21"/>
      <c r="FX422" s="21"/>
      <c r="FY422" s="21"/>
      <c r="FZ422" s="21"/>
      <c r="GA422" s="21"/>
      <c r="GB422" s="21"/>
      <c r="GC422" s="21"/>
      <c r="GD422" s="21"/>
      <c r="GE422" s="21"/>
      <c r="GF422" s="21"/>
      <c r="GG422" s="21"/>
      <c r="GH422" s="21"/>
      <c r="GI422" s="21"/>
    </row>
    <row r="423">
      <c r="A423" s="19" t="str">
        <f>Sheet1!A423</f>
        <v/>
      </c>
      <c r="B423" s="19" t="str">
        <f>Sheet1!B423</f>
        <v/>
      </c>
      <c r="C423" s="19" t="str">
        <f>Sheet1!C423</f>
        <v/>
      </c>
      <c r="D423" s="19" t="str">
        <f>Sheet1!D423</f>
        <v/>
      </c>
      <c r="E423" s="19" t="str">
        <f>Sheet1!E423</f>
        <v/>
      </c>
      <c r="F423" s="19" t="str">
        <f>Sheet1!F423</f>
        <v/>
      </c>
      <c r="G423" s="19" t="str">
        <f>Sheet1!G423</f>
        <v/>
      </c>
      <c r="H423" s="19" t="str">
        <f>Sheet1!H423</f>
        <v/>
      </c>
      <c r="I423" s="19" t="str">
        <f>Sheet1!I423</f>
        <v/>
      </c>
      <c r="J423" s="19" t="str">
        <f>Sheet1!J423</f>
        <v/>
      </c>
      <c r="K423" s="19" t="str">
        <f>Sheet1!K423</f>
        <v/>
      </c>
      <c r="L423" s="19" t="str">
        <f>Sheet1!L423</f>
        <v/>
      </c>
      <c r="M423" s="19" t="str">
        <f>Sheet1!M423</f>
        <v/>
      </c>
      <c r="N423" s="19" t="str">
        <f>Sheet1!N423</f>
        <v/>
      </c>
      <c r="O423" s="19" t="str">
        <f>Sheet1!O423</f>
        <v/>
      </c>
      <c r="P423" s="19" t="str">
        <f>Sheet1!P423</f>
        <v/>
      </c>
      <c r="Q423" s="19" t="str">
        <f>Sheet1!Q423</f>
        <v/>
      </c>
      <c r="R423" s="19" t="str">
        <f>Sheet1!R423</f>
        <v/>
      </c>
      <c r="S423" s="19" t="str">
        <f>Sheet1!S423</f>
        <v/>
      </c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1"/>
      <c r="EM423" s="21"/>
      <c r="EN423" s="21"/>
      <c r="EO423" s="21"/>
      <c r="EP423" s="21"/>
      <c r="EQ423" s="21"/>
      <c r="ER423" s="21"/>
      <c r="ES423" s="21"/>
      <c r="ET423" s="21"/>
      <c r="EU423" s="21"/>
      <c r="EV423" s="21"/>
      <c r="EW423" s="21"/>
      <c r="EX423" s="21"/>
      <c r="EY423" s="21"/>
      <c r="EZ423" s="21"/>
      <c r="FA423" s="21"/>
      <c r="FB423" s="21"/>
      <c r="FC423" s="21"/>
      <c r="FD423" s="21"/>
      <c r="FE423" s="21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21"/>
      <c r="FW423" s="21"/>
      <c r="FX423" s="21"/>
      <c r="FY423" s="21"/>
      <c r="FZ423" s="21"/>
      <c r="GA423" s="21"/>
      <c r="GB423" s="21"/>
      <c r="GC423" s="21"/>
      <c r="GD423" s="21"/>
      <c r="GE423" s="21"/>
      <c r="GF423" s="21"/>
      <c r="GG423" s="21"/>
      <c r="GH423" s="21"/>
      <c r="GI423" s="21"/>
    </row>
    <row r="424">
      <c r="A424" s="19" t="str">
        <f>Sheet1!A424</f>
        <v/>
      </c>
      <c r="B424" s="19" t="str">
        <f>Sheet1!B424</f>
        <v/>
      </c>
      <c r="C424" s="19" t="str">
        <f>Sheet1!C424</f>
        <v/>
      </c>
      <c r="D424" s="19" t="str">
        <f>Sheet1!D424</f>
        <v/>
      </c>
      <c r="E424" s="19" t="str">
        <f>Sheet1!E424</f>
        <v/>
      </c>
      <c r="F424" s="19" t="str">
        <f>Sheet1!F424</f>
        <v/>
      </c>
      <c r="G424" s="19" t="str">
        <f>Sheet1!G424</f>
        <v/>
      </c>
      <c r="H424" s="19" t="str">
        <f>Sheet1!H424</f>
        <v/>
      </c>
      <c r="I424" s="19" t="str">
        <f>Sheet1!I424</f>
        <v/>
      </c>
      <c r="J424" s="19" t="str">
        <f>Sheet1!J424</f>
        <v/>
      </c>
      <c r="K424" s="19" t="str">
        <f>Sheet1!K424</f>
        <v/>
      </c>
      <c r="L424" s="19" t="str">
        <f>Sheet1!L424</f>
        <v/>
      </c>
      <c r="M424" s="19" t="str">
        <f>Sheet1!M424</f>
        <v/>
      </c>
      <c r="N424" s="19" t="str">
        <f>Sheet1!N424</f>
        <v/>
      </c>
      <c r="O424" s="19" t="str">
        <f>Sheet1!O424</f>
        <v/>
      </c>
      <c r="P424" s="19" t="str">
        <f>Sheet1!P424</f>
        <v/>
      </c>
      <c r="Q424" s="19" t="str">
        <f>Sheet1!Q424</f>
        <v/>
      </c>
      <c r="R424" s="19" t="str">
        <f>Sheet1!R424</f>
        <v/>
      </c>
      <c r="S424" s="19" t="str">
        <f>Sheet1!S424</f>
        <v/>
      </c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1"/>
      <c r="EM424" s="21"/>
      <c r="EN424" s="21"/>
      <c r="EO424" s="21"/>
      <c r="EP424" s="21"/>
      <c r="EQ424" s="21"/>
      <c r="ER424" s="21"/>
      <c r="ES424" s="21"/>
      <c r="ET424" s="21"/>
      <c r="EU424" s="21"/>
      <c r="EV424" s="21"/>
      <c r="EW424" s="21"/>
      <c r="EX424" s="21"/>
      <c r="EY424" s="21"/>
      <c r="EZ424" s="21"/>
      <c r="FA424" s="21"/>
      <c r="FB424" s="21"/>
      <c r="FC424" s="21"/>
      <c r="FD424" s="21"/>
      <c r="FE424" s="21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/>
      <c r="GD424" s="21"/>
      <c r="GE424" s="21"/>
      <c r="GF424" s="21"/>
      <c r="GG424" s="21"/>
      <c r="GH424" s="21"/>
      <c r="GI424" s="21"/>
    </row>
    <row r="425">
      <c r="A425" s="19" t="str">
        <f>Sheet1!A425</f>
        <v/>
      </c>
      <c r="B425" s="19" t="str">
        <f>Sheet1!B425</f>
        <v/>
      </c>
      <c r="C425" s="19" t="str">
        <f>Sheet1!C425</f>
        <v/>
      </c>
      <c r="D425" s="19" t="str">
        <f>Sheet1!D425</f>
        <v/>
      </c>
      <c r="E425" s="19" t="str">
        <f>Sheet1!E425</f>
        <v/>
      </c>
      <c r="F425" s="19" t="str">
        <f>Sheet1!F425</f>
        <v/>
      </c>
      <c r="G425" s="19" t="str">
        <f>Sheet1!G425</f>
        <v/>
      </c>
      <c r="H425" s="19" t="str">
        <f>Sheet1!H425</f>
        <v/>
      </c>
      <c r="I425" s="19" t="str">
        <f>Sheet1!I425</f>
        <v/>
      </c>
      <c r="J425" s="19" t="str">
        <f>Sheet1!J425</f>
        <v/>
      </c>
      <c r="K425" s="19" t="str">
        <f>Sheet1!K425</f>
        <v/>
      </c>
      <c r="L425" s="19" t="str">
        <f>Sheet1!L425</f>
        <v/>
      </c>
      <c r="M425" s="19" t="str">
        <f>Sheet1!M425</f>
        <v/>
      </c>
      <c r="N425" s="19" t="str">
        <f>Sheet1!N425</f>
        <v/>
      </c>
      <c r="O425" s="19" t="str">
        <f>Sheet1!O425</f>
        <v/>
      </c>
      <c r="P425" s="19" t="str">
        <f>Sheet1!P425</f>
        <v/>
      </c>
      <c r="Q425" s="19" t="str">
        <f>Sheet1!Q425</f>
        <v/>
      </c>
      <c r="R425" s="19" t="str">
        <f>Sheet1!R425</f>
        <v/>
      </c>
      <c r="S425" s="19" t="str">
        <f>Sheet1!S425</f>
        <v/>
      </c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1"/>
      <c r="EM425" s="21"/>
      <c r="EN425" s="21"/>
      <c r="EO425" s="21"/>
      <c r="EP425" s="21"/>
      <c r="EQ425" s="21"/>
      <c r="ER425" s="21"/>
      <c r="ES425" s="21"/>
      <c r="ET425" s="21"/>
      <c r="EU425" s="21"/>
      <c r="EV425" s="21"/>
      <c r="EW425" s="21"/>
      <c r="EX425" s="21"/>
      <c r="EY425" s="21"/>
      <c r="EZ425" s="21"/>
      <c r="FA425" s="21"/>
      <c r="FB425" s="21"/>
      <c r="FC425" s="21"/>
      <c r="FD425" s="21"/>
      <c r="FE425" s="21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21"/>
      <c r="FW425" s="21"/>
      <c r="FX425" s="21"/>
      <c r="FY425" s="21"/>
      <c r="FZ425" s="21"/>
      <c r="GA425" s="21"/>
      <c r="GB425" s="21"/>
      <c r="GC425" s="21"/>
      <c r="GD425" s="21"/>
      <c r="GE425" s="21"/>
      <c r="GF425" s="21"/>
      <c r="GG425" s="21"/>
      <c r="GH425" s="21"/>
      <c r="GI425" s="21"/>
    </row>
    <row r="426">
      <c r="A426" s="19" t="str">
        <f>Sheet1!A426</f>
        <v/>
      </c>
      <c r="B426" s="19" t="str">
        <f>Sheet1!B426</f>
        <v/>
      </c>
      <c r="C426" s="19" t="str">
        <f>Sheet1!C426</f>
        <v/>
      </c>
      <c r="D426" s="19" t="str">
        <f>Sheet1!D426</f>
        <v/>
      </c>
      <c r="E426" s="19" t="str">
        <f>Sheet1!E426</f>
        <v/>
      </c>
      <c r="F426" s="19" t="str">
        <f>Sheet1!F426</f>
        <v/>
      </c>
      <c r="G426" s="19" t="str">
        <f>Sheet1!G426</f>
        <v/>
      </c>
      <c r="H426" s="19" t="str">
        <f>Sheet1!H426</f>
        <v/>
      </c>
      <c r="I426" s="19" t="str">
        <f>Sheet1!I426</f>
        <v/>
      </c>
      <c r="J426" s="19" t="str">
        <f>Sheet1!J426</f>
        <v/>
      </c>
      <c r="K426" s="19" t="str">
        <f>Sheet1!K426</f>
        <v/>
      </c>
      <c r="L426" s="19" t="str">
        <f>Sheet1!L426</f>
        <v/>
      </c>
      <c r="M426" s="19" t="str">
        <f>Sheet1!M426</f>
        <v/>
      </c>
      <c r="N426" s="19" t="str">
        <f>Sheet1!N426</f>
        <v/>
      </c>
      <c r="O426" s="19" t="str">
        <f>Sheet1!O426</f>
        <v/>
      </c>
      <c r="P426" s="19" t="str">
        <f>Sheet1!P426</f>
        <v/>
      </c>
      <c r="Q426" s="19" t="str">
        <f>Sheet1!Q426</f>
        <v/>
      </c>
      <c r="R426" s="19" t="str">
        <f>Sheet1!R426</f>
        <v/>
      </c>
      <c r="S426" s="19" t="str">
        <f>Sheet1!S426</f>
        <v/>
      </c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1"/>
      <c r="EM426" s="21"/>
      <c r="EN426" s="21"/>
      <c r="EO426" s="21"/>
      <c r="EP426" s="21"/>
      <c r="EQ426" s="21"/>
      <c r="ER426" s="21"/>
      <c r="ES426" s="21"/>
      <c r="ET426" s="21"/>
      <c r="EU426" s="21"/>
      <c r="EV426" s="21"/>
      <c r="EW426" s="21"/>
      <c r="EX426" s="21"/>
      <c r="EY426" s="21"/>
      <c r="EZ426" s="21"/>
      <c r="FA426" s="21"/>
      <c r="FB426" s="21"/>
      <c r="FC426" s="21"/>
      <c r="FD426" s="21"/>
      <c r="FE426" s="21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21"/>
      <c r="FW426" s="21"/>
      <c r="FX426" s="21"/>
      <c r="FY426" s="21"/>
      <c r="FZ426" s="21"/>
      <c r="GA426" s="21"/>
      <c r="GB426" s="21"/>
      <c r="GC426" s="21"/>
      <c r="GD426" s="21"/>
      <c r="GE426" s="21"/>
      <c r="GF426" s="21"/>
      <c r="GG426" s="21"/>
      <c r="GH426" s="21"/>
      <c r="GI426" s="21"/>
    </row>
    <row r="427">
      <c r="A427" s="19" t="str">
        <f>Sheet1!A427</f>
        <v/>
      </c>
      <c r="B427" s="19" t="str">
        <f>Sheet1!B427</f>
        <v/>
      </c>
      <c r="C427" s="19" t="str">
        <f>Sheet1!C427</f>
        <v/>
      </c>
      <c r="D427" s="19" t="str">
        <f>Sheet1!D427</f>
        <v/>
      </c>
      <c r="E427" s="19" t="str">
        <f>Sheet1!E427</f>
        <v/>
      </c>
      <c r="F427" s="19" t="str">
        <f>Sheet1!F427</f>
        <v/>
      </c>
      <c r="G427" s="19" t="str">
        <f>Sheet1!G427</f>
        <v/>
      </c>
      <c r="H427" s="19" t="str">
        <f>Sheet1!H427</f>
        <v/>
      </c>
      <c r="I427" s="19" t="str">
        <f>Sheet1!I427</f>
        <v/>
      </c>
      <c r="J427" s="19" t="str">
        <f>Sheet1!J427</f>
        <v/>
      </c>
      <c r="K427" s="19" t="str">
        <f>Sheet1!K427</f>
        <v/>
      </c>
      <c r="L427" s="19" t="str">
        <f>Sheet1!L427</f>
        <v/>
      </c>
      <c r="M427" s="19" t="str">
        <f>Sheet1!M427</f>
        <v/>
      </c>
      <c r="N427" s="19" t="str">
        <f>Sheet1!N427</f>
        <v/>
      </c>
      <c r="O427" s="19" t="str">
        <f>Sheet1!O427</f>
        <v/>
      </c>
      <c r="P427" s="19" t="str">
        <f>Sheet1!P427</f>
        <v/>
      </c>
      <c r="Q427" s="19" t="str">
        <f>Sheet1!Q427</f>
        <v/>
      </c>
      <c r="R427" s="19" t="str">
        <f>Sheet1!R427</f>
        <v/>
      </c>
      <c r="S427" s="19" t="str">
        <f>Sheet1!S427</f>
        <v/>
      </c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1"/>
      <c r="EM427" s="21"/>
      <c r="EN427" s="21"/>
      <c r="EO427" s="21"/>
      <c r="EP427" s="21"/>
      <c r="EQ427" s="21"/>
      <c r="ER427" s="21"/>
      <c r="ES427" s="21"/>
      <c r="ET427" s="21"/>
      <c r="EU427" s="21"/>
      <c r="EV427" s="21"/>
      <c r="EW427" s="21"/>
      <c r="EX427" s="21"/>
      <c r="EY427" s="21"/>
      <c r="EZ427" s="21"/>
      <c r="FA427" s="21"/>
      <c r="FB427" s="21"/>
      <c r="FC427" s="21"/>
      <c r="FD427" s="21"/>
      <c r="FE427" s="21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21"/>
      <c r="FW427" s="21"/>
      <c r="FX427" s="21"/>
      <c r="FY427" s="21"/>
      <c r="FZ427" s="21"/>
      <c r="GA427" s="21"/>
      <c r="GB427" s="21"/>
      <c r="GC427" s="21"/>
      <c r="GD427" s="21"/>
      <c r="GE427" s="21"/>
      <c r="GF427" s="21"/>
      <c r="GG427" s="21"/>
      <c r="GH427" s="21"/>
      <c r="GI427" s="21"/>
    </row>
    <row r="428">
      <c r="A428" s="19" t="str">
        <f>Sheet1!A428</f>
        <v/>
      </c>
      <c r="B428" s="19" t="str">
        <f>Sheet1!B428</f>
        <v/>
      </c>
      <c r="C428" s="19" t="str">
        <f>Sheet1!C428</f>
        <v/>
      </c>
      <c r="D428" s="19" t="str">
        <f>Sheet1!D428</f>
        <v/>
      </c>
      <c r="E428" s="19" t="str">
        <f>Sheet1!E428</f>
        <v/>
      </c>
      <c r="F428" s="19" t="str">
        <f>Sheet1!F428</f>
        <v/>
      </c>
      <c r="G428" s="19" t="str">
        <f>Sheet1!G428</f>
        <v/>
      </c>
      <c r="H428" s="19" t="str">
        <f>Sheet1!H428</f>
        <v/>
      </c>
      <c r="I428" s="19" t="str">
        <f>Sheet1!I428</f>
        <v/>
      </c>
      <c r="J428" s="19" t="str">
        <f>Sheet1!J428</f>
        <v/>
      </c>
      <c r="K428" s="19" t="str">
        <f>Sheet1!K428</f>
        <v/>
      </c>
      <c r="L428" s="19" t="str">
        <f>Sheet1!L428</f>
        <v/>
      </c>
      <c r="M428" s="19" t="str">
        <f>Sheet1!M428</f>
        <v/>
      </c>
      <c r="N428" s="19" t="str">
        <f>Sheet1!N428</f>
        <v/>
      </c>
      <c r="O428" s="19" t="str">
        <f>Sheet1!O428</f>
        <v/>
      </c>
      <c r="P428" s="19" t="str">
        <f>Sheet1!P428</f>
        <v/>
      </c>
      <c r="Q428" s="19" t="str">
        <f>Sheet1!Q428</f>
        <v/>
      </c>
      <c r="R428" s="19" t="str">
        <f>Sheet1!R428</f>
        <v/>
      </c>
      <c r="S428" s="19" t="str">
        <f>Sheet1!S428</f>
        <v/>
      </c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1"/>
      <c r="EM428" s="21"/>
      <c r="EN428" s="21"/>
      <c r="EO428" s="21"/>
      <c r="EP428" s="21"/>
      <c r="EQ428" s="21"/>
      <c r="ER428" s="21"/>
      <c r="ES428" s="21"/>
      <c r="ET428" s="21"/>
      <c r="EU428" s="21"/>
      <c r="EV428" s="21"/>
      <c r="EW428" s="21"/>
      <c r="EX428" s="21"/>
      <c r="EY428" s="21"/>
      <c r="EZ428" s="21"/>
      <c r="FA428" s="21"/>
      <c r="FB428" s="21"/>
      <c r="FC428" s="21"/>
      <c r="FD428" s="21"/>
      <c r="FE428" s="21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21"/>
      <c r="FW428" s="21"/>
      <c r="FX428" s="21"/>
      <c r="FY428" s="21"/>
      <c r="FZ428" s="21"/>
      <c r="GA428" s="21"/>
      <c r="GB428" s="21"/>
      <c r="GC428" s="21"/>
      <c r="GD428" s="21"/>
      <c r="GE428" s="21"/>
      <c r="GF428" s="21"/>
      <c r="GG428" s="21"/>
      <c r="GH428" s="21"/>
      <c r="GI428" s="21"/>
    </row>
    <row r="429">
      <c r="A429" s="19" t="str">
        <f>Sheet1!A429</f>
        <v/>
      </c>
      <c r="B429" s="19" t="str">
        <f>Sheet1!B429</f>
        <v/>
      </c>
      <c r="C429" s="19" t="str">
        <f>Sheet1!C429</f>
        <v/>
      </c>
      <c r="D429" s="19" t="str">
        <f>Sheet1!D429</f>
        <v/>
      </c>
      <c r="E429" s="19" t="str">
        <f>Sheet1!E429</f>
        <v/>
      </c>
      <c r="F429" s="19" t="str">
        <f>Sheet1!F429</f>
        <v/>
      </c>
      <c r="G429" s="19" t="str">
        <f>Sheet1!G429</f>
        <v/>
      </c>
      <c r="H429" s="19" t="str">
        <f>Sheet1!H429</f>
        <v/>
      </c>
      <c r="I429" s="19" t="str">
        <f>Sheet1!I429</f>
        <v/>
      </c>
      <c r="J429" s="19" t="str">
        <f>Sheet1!J429</f>
        <v/>
      </c>
      <c r="K429" s="19" t="str">
        <f>Sheet1!K429</f>
        <v/>
      </c>
      <c r="L429" s="19" t="str">
        <f>Sheet1!L429</f>
        <v/>
      </c>
      <c r="M429" s="19" t="str">
        <f>Sheet1!M429</f>
        <v/>
      </c>
      <c r="N429" s="19" t="str">
        <f>Sheet1!N429</f>
        <v/>
      </c>
      <c r="O429" s="19" t="str">
        <f>Sheet1!O429</f>
        <v/>
      </c>
      <c r="P429" s="19" t="str">
        <f>Sheet1!P429</f>
        <v/>
      </c>
      <c r="Q429" s="19" t="str">
        <f>Sheet1!Q429</f>
        <v/>
      </c>
      <c r="R429" s="19" t="str">
        <f>Sheet1!R429</f>
        <v/>
      </c>
      <c r="S429" s="19" t="str">
        <f>Sheet1!S429</f>
        <v/>
      </c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1"/>
      <c r="EM429" s="21"/>
      <c r="EN429" s="21"/>
      <c r="EO429" s="21"/>
      <c r="EP429" s="21"/>
      <c r="EQ429" s="21"/>
      <c r="ER429" s="21"/>
      <c r="ES429" s="21"/>
      <c r="ET429" s="21"/>
      <c r="EU429" s="21"/>
      <c r="EV429" s="21"/>
      <c r="EW429" s="21"/>
      <c r="EX429" s="21"/>
      <c r="EY429" s="21"/>
      <c r="EZ429" s="21"/>
      <c r="FA429" s="21"/>
      <c r="FB429" s="21"/>
      <c r="FC429" s="21"/>
      <c r="FD429" s="21"/>
      <c r="FE429" s="21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21"/>
      <c r="FW429" s="21"/>
      <c r="FX429" s="21"/>
      <c r="FY429" s="21"/>
      <c r="FZ429" s="21"/>
      <c r="GA429" s="21"/>
      <c r="GB429" s="21"/>
      <c r="GC429" s="21"/>
      <c r="GD429" s="21"/>
      <c r="GE429" s="21"/>
      <c r="GF429" s="21"/>
      <c r="GG429" s="21"/>
      <c r="GH429" s="21"/>
      <c r="GI429" s="21"/>
    </row>
    <row r="430">
      <c r="A430" s="19" t="str">
        <f>Sheet1!A430</f>
        <v/>
      </c>
      <c r="B430" s="19" t="str">
        <f>Sheet1!B430</f>
        <v/>
      </c>
      <c r="C430" s="19" t="str">
        <f>Sheet1!C430</f>
        <v/>
      </c>
      <c r="D430" s="19" t="str">
        <f>Sheet1!D430</f>
        <v/>
      </c>
      <c r="E430" s="19" t="str">
        <f>Sheet1!E430</f>
        <v/>
      </c>
      <c r="F430" s="19" t="str">
        <f>Sheet1!F430</f>
        <v/>
      </c>
      <c r="G430" s="19" t="str">
        <f>Sheet1!G430</f>
        <v/>
      </c>
      <c r="H430" s="19" t="str">
        <f>Sheet1!H430</f>
        <v/>
      </c>
      <c r="I430" s="19" t="str">
        <f>Sheet1!I430</f>
        <v/>
      </c>
      <c r="J430" s="19" t="str">
        <f>Sheet1!J430</f>
        <v/>
      </c>
      <c r="K430" s="19" t="str">
        <f>Sheet1!K430</f>
        <v/>
      </c>
      <c r="L430" s="19" t="str">
        <f>Sheet1!L430</f>
        <v/>
      </c>
      <c r="M430" s="19" t="str">
        <f>Sheet1!M430</f>
        <v/>
      </c>
      <c r="N430" s="19" t="str">
        <f>Sheet1!N430</f>
        <v/>
      </c>
      <c r="O430" s="19" t="str">
        <f>Sheet1!O430</f>
        <v/>
      </c>
      <c r="P430" s="19" t="str">
        <f>Sheet1!P430</f>
        <v/>
      </c>
      <c r="Q430" s="19" t="str">
        <f>Sheet1!Q430</f>
        <v/>
      </c>
      <c r="R430" s="19" t="str">
        <f>Sheet1!R430</f>
        <v/>
      </c>
      <c r="S430" s="19" t="str">
        <f>Sheet1!S430</f>
        <v/>
      </c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1"/>
      <c r="EM430" s="21"/>
      <c r="EN430" s="21"/>
      <c r="EO430" s="21"/>
      <c r="EP430" s="21"/>
      <c r="EQ430" s="21"/>
      <c r="ER430" s="21"/>
      <c r="ES430" s="21"/>
      <c r="ET430" s="21"/>
      <c r="EU430" s="21"/>
      <c r="EV430" s="21"/>
      <c r="EW430" s="21"/>
      <c r="EX430" s="21"/>
      <c r="EY430" s="21"/>
      <c r="EZ430" s="21"/>
      <c r="FA430" s="21"/>
      <c r="FB430" s="21"/>
      <c r="FC430" s="21"/>
      <c r="FD430" s="21"/>
      <c r="FE430" s="21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21"/>
      <c r="FW430" s="21"/>
      <c r="FX430" s="21"/>
      <c r="FY430" s="21"/>
      <c r="FZ430" s="21"/>
      <c r="GA430" s="21"/>
      <c r="GB430" s="21"/>
      <c r="GC430" s="21"/>
      <c r="GD430" s="21"/>
      <c r="GE430" s="21"/>
      <c r="GF430" s="21"/>
      <c r="GG430" s="21"/>
      <c r="GH430" s="21"/>
      <c r="GI430" s="21"/>
    </row>
    <row r="431">
      <c r="A431" s="19" t="str">
        <f>Sheet1!A431</f>
        <v/>
      </c>
      <c r="B431" s="19" t="str">
        <f>Sheet1!B431</f>
        <v/>
      </c>
      <c r="C431" s="19" t="str">
        <f>Sheet1!C431</f>
        <v/>
      </c>
      <c r="D431" s="19" t="str">
        <f>Sheet1!D431</f>
        <v/>
      </c>
      <c r="E431" s="19" t="str">
        <f>Sheet1!E431</f>
        <v/>
      </c>
      <c r="F431" s="19" t="str">
        <f>Sheet1!F431</f>
        <v/>
      </c>
      <c r="G431" s="19" t="str">
        <f>Sheet1!G431</f>
        <v/>
      </c>
      <c r="H431" s="19" t="str">
        <f>Sheet1!H431</f>
        <v/>
      </c>
      <c r="I431" s="19" t="str">
        <f>Sheet1!I431</f>
        <v/>
      </c>
      <c r="J431" s="19" t="str">
        <f>Sheet1!J431</f>
        <v/>
      </c>
      <c r="K431" s="19" t="str">
        <f>Sheet1!K431</f>
        <v/>
      </c>
      <c r="L431" s="19" t="str">
        <f>Sheet1!L431</f>
        <v/>
      </c>
      <c r="M431" s="19" t="str">
        <f>Sheet1!M431</f>
        <v/>
      </c>
      <c r="N431" s="19" t="str">
        <f>Sheet1!N431</f>
        <v/>
      </c>
      <c r="O431" s="19" t="str">
        <f>Sheet1!O431</f>
        <v/>
      </c>
      <c r="P431" s="19" t="str">
        <f>Sheet1!P431</f>
        <v/>
      </c>
      <c r="Q431" s="19" t="str">
        <f>Sheet1!Q431</f>
        <v/>
      </c>
      <c r="R431" s="19" t="str">
        <f>Sheet1!R431</f>
        <v/>
      </c>
      <c r="S431" s="19" t="str">
        <f>Sheet1!S431</f>
        <v/>
      </c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1"/>
      <c r="FD431" s="21"/>
      <c r="FE431" s="21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21"/>
      <c r="FW431" s="21"/>
      <c r="FX431" s="21"/>
      <c r="FY431" s="21"/>
      <c r="FZ431" s="21"/>
      <c r="GA431" s="21"/>
      <c r="GB431" s="21"/>
      <c r="GC431" s="21"/>
      <c r="GD431" s="21"/>
      <c r="GE431" s="21"/>
      <c r="GF431" s="21"/>
      <c r="GG431" s="21"/>
      <c r="GH431" s="21"/>
      <c r="GI431" s="21"/>
    </row>
    <row r="432">
      <c r="A432" s="19" t="str">
        <f>Sheet1!A432</f>
        <v/>
      </c>
      <c r="B432" s="19" t="str">
        <f>Sheet1!B432</f>
        <v/>
      </c>
      <c r="C432" s="19" t="str">
        <f>Sheet1!C432</f>
        <v/>
      </c>
      <c r="D432" s="19" t="str">
        <f>Sheet1!D432</f>
        <v/>
      </c>
      <c r="E432" s="19" t="str">
        <f>Sheet1!E432</f>
        <v/>
      </c>
      <c r="F432" s="19" t="str">
        <f>Sheet1!F432</f>
        <v/>
      </c>
      <c r="G432" s="19" t="str">
        <f>Sheet1!G432</f>
        <v/>
      </c>
      <c r="H432" s="19" t="str">
        <f>Sheet1!H432</f>
        <v/>
      </c>
      <c r="I432" s="19" t="str">
        <f>Sheet1!I432</f>
        <v/>
      </c>
      <c r="J432" s="19" t="str">
        <f>Sheet1!J432</f>
        <v/>
      </c>
      <c r="K432" s="19" t="str">
        <f>Sheet1!K432</f>
        <v/>
      </c>
      <c r="L432" s="19" t="str">
        <f>Sheet1!L432</f>
        <v/>
      </c>
      <c r="M432" s="19" t="str">
        <f>Sheet1!M432</f>
        <v/>
      </c>
      <c r="N432" s="19" t="str">
        <f>Sheet1!N432</f>
        <v/>
      </c>
      <c r="O432" s="19" t="str">
        <f>Sheet1!O432</f>
        <v/>
      </c>
      <c r="P432" s="19" t="str">
        <f>Sheet1!P432</f>
        <v/>
      </c>
      <c r="Q432" s="19" t="str">
        <f>Sheet1!Q432</f>
        <v/>
      </c>
      <c r="R432" s="19" t="str">
        <f>Sheet1!R432</f>
        <v/>
      </c>
      <c r="S432" s="19" t="str">
        <f>Sheet1!S432</f>
        <v/>
      </c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/>
      <c r="EG432" s="21"/>
      <c r="EH432" s="21"/>
      <c r="EI432" s="21"/>
      <c r="EJ432" s="21"/>
      <c r="EK432" s="21"/>
      <c r="EL432" s="21"/>
      <c r="EM432" s="21"/>
      <c r="EN432" s="21"/>
      <c r="EO432" s="21"/>
      <c r="EP432" s="21"/>
      <c r="EQ432" s="21"/>
      <c r="ER432" s="21"/>
      <c r="ES432" s="21"/>
      <c r="ET432" s="21"/>
      <c r="EU432" s="21"/>
      <c r="EV432" s="21"/>
      <c r="EW432" s="21"/>
      <c r="EX432" s="21"/>
      <c r="EY432" s="21"/>
      <c r="EZ432" s="21"/>
      <c r="FA432" s="21"/>
      <c r="FB432" s="21"/>
      <c r="FC432" s="21"/>
      <c r="FD432" s="21"/>
      <c r="FE432" s="21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21"/>
      <c r="FW432" s="21"/>
      <c r="FX432" s="21"/>
      <c r="FY432" s="21"/>
      <c r="FZ432" s="21"/>
      <c r="GA432" s="21"/>
      <c r="GB432" s="21"/>
      <c r="GC432" s="21"/>
      <c r="GD432" s="21"/>
      <c r="GE432" s="21"/>
      <c r="GF432" s="21"/>
      <c r="GG432" s="21"/>
      <c r="GH432" s="21"/>
      <c r="GI432" s="21"/>
    </row>
    <row r="433">
      <c r="A433" s="19" t="str">
        <f>Sheet1!A433</f>
        <v/>
      </c>
      <c r="B433" s="19" t="str">
        <f>Sheet1!B433</f>
        <v/>
      </c>
      <c r="C433" s="19" t="str">
        <f>Sheet1!C433</f>
        <v/>
      </c>
      <c r="D433" s="19" t="str">
        <f>Sheet1!D433</f>
        <v/>
      </c>
      <c r="E433" s="19" t="str">
        <f>Sheet1!E433</f>
        <v/>
      </c>
      <c r="F433" s="19" t="str">
        <f>Sheet1!F433</f>
        <v/>
      </c>
      <c r="G433" s="19" t="str">
        <f>Sheet1!G433</f>
        <v/>
      </c>
      <c r="H433" s="19" t="str">
        <f>Sheet1!H433</f>
        <v/>
      </c>
      <c r="I433" s="19" t="str">
        <f>Sheet1!I433</f>
        <v/>
      </c>
      <c r="J433" s="19" t="str">
        <f>Sheet1!J433</f>
        <v/>
      </c>
      <c r="K433" s="19" t="str">
        <f>Sheet1!K433</f>
        <v/>
      </c>
      <c r="L433" s="19" t="str">
        <f>Sheet1!L433</f>
        <v/>
      </c>
      <c r="M433" s="19" t="str">
        <f>Sheet1!M433</f>
        <v/>
      </c>
      <c r="N433" s="19" t="str">
        <f>Sheet1!N433</f>
        <v/>
      </c>
      <c r="O433" s="19" t="str">
        <f>Sheet1!O433</f>
        <v/>
      </c>
      <c r="P433" s="19" t="str">
        <f>Sheet1!P433</f>
        <v/>
      </c>
      <c r="Q433" s="19" t="str">
        <f>Sheet1!Q433</f>
        <v/>
      </c>
      <c r="R433" s="19" t="str">
        <f>Sheet1!R433</f>
        <v/>
      </c>
      <c r="S433" s="19" t="str">
        <f>Sheet1!S433</f>
        <v/>
      </c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/>
      <c r="EG433" s="21"/>
      <c r="EH433" s="21"/>
      <c r="EI433" s="21"/>
      <c r="EJ433" s="21"/>
      <c r="EK433" s="21"/>
      <c r="EL433" s="21"/>
      <c r="EM433" s="21"/>
      <c r="EN433" s="21"/>
      <c r="EO433" s="21"/>
      <c r="EP433" s="21"/>
      <c r="EQ433" s="21"/>
      <c r="ER433" s="21"/>
      <c r="ES433" s="21"/>
      <c r="ET433" s="21"/>
      <c r="EU433" s="21"/>
      <c r="EV433" s="21"/>
      <c r="EW433" s="21"/>
      <c r="EX433" s="21"/>
      <c r="EY433" s="21"/>
      <c r="EZ433" s="21"/>
      <c r="FA433" s="21"/>
      <c r="FB433" s="21"/>
      <c r="FC433" s="21"/>
      <c r="FD433" s="21"/>
      <c r="FE433" s="21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21"/>
      <c r="FW433" s="21"/>
      <c r="FX433" s="21"/>
      <c r="FY433" s="21"/>
      <c r="FZ433" s="21"/>
      <c r="GA433" s="21"/>
      <c r="GB433" s="21"/>
      <c r="GC433" s="21"/>
      <c r="GD433" s="21"/>
      <c r="GE433" s="21"/>
      <c r="GF433" s="21"/>
      <c r="GG433" s="21"/>
      <c r="GH433" s="21"/>
      <c r="GI433" s="21"/>
    </row>
    <row r="434">
      <c r="A434" s="19" t="str">
        <f>Sheet1!A434</f>
        <v/>
      </c>
      <c r="B434" s="19" t="str">
        <f>Sheet1!B434</f>
        <v/>
      </c>
      <c r="C434" s="19" t="str">
        <f>Sheet1!C434</f>
        <v/>
      </c>
      <c r="D434" s="19" t="str">
        <f>Sheet1!D434</f>
        <v/>
      </c>
      <c r="E434" s="19" t="str">
        <f>Sheet1!E434</f>
        <v/>
      </c>
      <c r="F434" s="19" t="str">
        <f>Sheet1!F434</f>
        <v/>
      </c>
      <c r="G434" s="19" t="str">
        <f>Sheet1!G434</f>
        <v/>
      </c>
      <c r="H434" s="19" t="str">
        <f>Sheet1!H434</f>
        <v/>
      </c>
      <c r="I434" s="19" t="str">
        <f>Sheet1!I434</f>
        <v/>
      </c>
      <c r="J434" s="19" t="str">
        <f>Sheet1!J434</f>
        <v/>
      </c>
      <c r="K434" s="19" t="str">
        <f>Sheet1!K434</f>
        <v/>
      </c>
      <c r="L434" s="19" t="str">
        <f>Sheet1!L434</f>
        <v/>
      </c>
      <c r="M434" s="19" t="str">
        <f>Sheet1!M434</f>
        <v/>
      </c>
      <c r="N434" s="19" t="str">
        <f>Sheet1!N434</f>
        <v/>
      </c>
      <c r="O434" s="19" t="str">
        <f>Sheet1!O434</f>
        <v/>
      </c>
      <c r="P434" s="19" t="str">
        <f>Sheet1!P434</f>
        <v/>
      </c>
      <c r="Q434" s="19" t="str">
        <f>Sheet1!Q434</f>
        <v/>
      </c>
      <c r="R434" s="19" t="str">
        <f>Sheet1!R434</f>
        <v/>
      </c>
      <c r="S434" s="19" t="str">
        <f>Sheet1!S434</f>
        <v/>
      </c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/>
      <c r="EG434" s="21"/>
      <c r="EH434" s="21"/>
      <c r="EI434" s="21"/>
      <c r="EJ434" s="21"/>
      <c r="EK434" s="21"/>
      <c r="EL434" s="21"/>
      <c r="EM434" s="21"/>
      <c r="EN434" s="21"/>
      <c r="EO434" s="21"/>
      <c r="EP434" s="21"/>
      <c r="EQ434" s="21"/>
      <c r="ER434" s="21"/>
      <c r="ES434" s="21"/>
      <c r="ET434" s="21"/>
      <c r="EU434" s="21"/>
      <c r="EV434" s="21"/>
      <c r="EW434" s="21"/>
      <c r="EX434" s="21"/>
      <c r="EY434" s="21"/>
      <c r="EZ434" s="21"/>
      <c r="FA434" s="21"/>
      <c r="FB434" s="21"/>
      <c r="FC434" s="21"/>
      <c r="FD434" s="21"/>
      <c r="FE434" s="21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21"/>
      <c r="FW434" s="21"/>
      <c r="FX434" s="21"/>
      <c r="FY434" s="21"/>
      <c r="FZ434" s="21"/>
      <c r="GA434" s="21"/>
      <c r="GB434" s="21"/>
      <c r="GC434" s="21"/>
      <c r="GD434" s="21"/>
      <c r="GE434" s="21"/>
      <c r="GF434" s="21"/>
      <c r="GG434" s="21"/>
      <c r="GH434" s="21"/>
      <c r="GI434" s="21"/>
    </row>
    <row r="435">
      <c r="A435" s="19" t="str">
        <f>Sheet1!A435</f>
        <v/>
      </c>
      <c r="B435" s="19" t="str">
        <f>Sheet1!B435</f>
        <v/>
      </c>
      <c r="C435" s="19" t="str">
        <f>Sheet1!C435</f>
        <v/>
      </c>
      <c r="D435" s="19" t="str">
        <f>Sheet1!D435</f>
        <v/>
      </c>
      <c r="E435" s="19" t="str">
        <f>Sheet1!E435</f>
        <v/>
      </c>
      <c r="F435" s="19" t="str">
        <f>Sheet1!F435</f>
        <v/>
      </c>
      <c r="G435" s="19" t="str">
        <f>Sheet1!G435</f>
        <v/>
      </c>
      <c r="H435" s="19" t="str">
        <f>Sheet1!H435</f>
        <v/>
      </c>
      <c r="I435" s="19" t="str">
        <f>Sheet1!I435</f>
        <v/>
      </c>
      <c r="J435" s="19" t="str">
        <f>Sheet1!J435</f>
        <v/>
      </c>
      <c r="K435" s="19" t="str">
        <f>Sheet1!K435</f>
        <v/>
      </c>
      <c r="L435" s="19" t="str">
        <f>Sheet1!L435</f>
        <v/>
      </c>
      <c r="M435" s="19" t="str">
        <f>Sheet1!M435</f>
        <v/>
      </c>
      <c r="N435" s="19" t="str">
        <f>Sheet1!N435</f>
        <v/>
      </c>
      <c r="O435" s="19" t="str">
        <f>Sheet1!O435</f>
        <v/>
      </c>
      <c r="P435" s="19" t="str">
        <f>Sheet1!P435</f>
        <v/>
      </c>
      <c r="Q435" s="19" t="str">
        <f>Sheet1!Q435</f>
        <v/>
      </c>
      <c r="R435" s="19" t="str">
        <f>Sheet1!R435</f>
        <v/>
      </c>
      <c r="S435" s="19" t="str">
        <f>Sheet1!S435</f>
        <v/>
      </c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</row>
    <row r="436">
      <c r="A436" s="19" t="str">
        <f>Sheet1!A436</f>
        <v/>
      </c>
      <c r="B436" s="19" t="str">
        <f>Sheet1!B436</f>
        <v/>
      </c>
      <c r="C436" s="19" t="str">
        <f>Sheet1!C436</f>
        <v/>
      </c>
      <c r="D436" s="19" t="str">
        <f>Sheet1!D436</f>
        <v/>
      </c>
      <c r="E436" s="19" t="str">
        <f>Sheet1!E436</f>
        <v/>
      </c>
      <c r="F436" s="19" t="str">
        <f>Sheet1!F436</f>
        <v/>
      </c>
      <c r="G436" s="19" t="str">
        <f>Sheet1!G436</f>
        <v/>
      </c>
      <c r="H436" s="19" t="str">
        <f>Sheet1!H436</f>
        <v/>
      </c>
      <c r="I436" s="19" t="str">
        <f>Sheet1!I436</f>
        <v/>
      </c>
      <c r="J436" s="19" t="str">
        <f>Sheet1!J436</f>
        <v/>
      </c>
      <c r="K436" s="19" t="str">
        <f>Sheet1!K436</f>
        <v/>
      </c>
      <c r="L436" s="19" t="str">
        <f>Sheet1!L436</f>
        <v/>
      </c>
      <c r="M436" s="19" t="str">
        <f>Sheet1!M436</f>
        <v/>
      </c>
      <c r="N436" s="19" t="str">
        <f>Sheet1!N436</f>
        <v/>
      </c>
      <c r="O436" s="19" t="str">
        <f>Sheet1!O436</f>
        <v/>
      </c>
      <c r="P436" s="19" t="str">
        <f>Sheet1!P436</f>
        <v/>
      </c>
      <c r="Q436" s="19" t="str">
        <f>Sheet1!Q436</f>
        <v/>
      </c>
      <c r="R436" s="19" t="str">
        <f>Sheet1!R436</f>
        <v/>
      </c>
      <c r="S436" s="19" t="str">
        <f>Sheet1!S436</f>
        <v/>
      </c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1"/>
      <c r="EJ436" s="21"/>
      <c r="EK436" s="21"/>
      <c r="EL436" s="21"/>
      <c r="EM436" s="21"/>
      <c r="EN436" s="21"/>
      <c r="EO436" s="21"/>
      <c r="EP436" s="21"/>
      <c r="EQ436" s="21"/>
      <c r="ER436" s="21"/>
      <c r="ES436" s="21"/>
      <c r="ET436" s="21"/>
      <c r="EU436" s="21"/>
      <c r="EV436" s="21"/>
      <c r="EW436" s="21"/>
      <c r="EX436" s="21"/>
      <c r="EY436" s="21"/>
      <c r="EZ436" s="21"/>
      <c r="FA436" s="21"/>
      <c r="FB436" s="21"/>
      <c r="FC436" s="21"/>
      <c r="FD436" s="21"/>
      <c r="FE436" s="21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21"/>
      <c r="FW436" s="21"/>
      <c r="FX436" s="21"/>
      <c r="FY436" s="21"/>
      <c r="FZ436" s="21"/>
      <c r="GA436" s="21"/>
      <c r="GB436" s="21"/>
      <c r="GC436" s="21"/>
      <c r="GD436" s="21"/>
      <c r="GE436" s="21"/>
      <c r="GF436" s="21"/>
      <c r="GG436" s="21"/>
      <c r="GH436" s="21"/>
      <c r="GI436" s="21"/>
    </row>
    <row r="437">
      <c r="A437" s="19" t="str">
        <f>Sheet1!A437</f>
        <v/>
      </c>
      <c r="B437" s="19" t="str">
        <f>Sheet1!B437</f>
        <v/>
      </c>
      <c r="C437" s="19" t="str">
        <f>Sheet1!C437</f>
        <v/>
      </c>
      <c r="D437" s="19" t="str">
        <f>Sheet1!D437</f>
        <v/>
      </c>
      <c r="E437" s="19" t="str">
        <f>Sheet1!E437</f>
        <v/>
      </c>
      <c r="F437" s="19" t="str">
        <f>Sheet1!F437</f>
        <v/>
      </c>
      <c r="G437" s="19" t="str">
        <f>Sheet1!G437</f>
        <v/>
      </c>
      <c r="H437" s="19" t="str">
        <f>Sheet1!H437</f>
        <v/>
      </c>
      <c r="I437" s="19" t="str">
        <f>Sheet1!I437</f>
        <v/>
      </c>
      <c r="J437" s="19" t="str">
        <f>Sheet1!J437</f>
        <v/>
      </c>
      <c r="K437" s="19" t="str">
        <f>Sheet1!K437</f>
        <v/>
      </c>
      <c r="L437" s="19" t="str">
        <f>Sheet1!L437</f>
        <v/>
      </c>
      <c r="M437" s="19" t="str">
        <f>Sheet1!M437</f>
        <v/>
      </c>
      <c r="N437" s="19" t="str">
        <f>Sheet1!N437</f>
        <v/>
      </c>
      <c r="O437" s="19" t="str">
        <f>Sheet1!O437</f>
        <v/>
      </c>
      <c r="P437" s="19" t="str">
        <f>Sheet1!P437</f>
        <v/>
      </c>
      <c r="Q437" s="19" t="str">
        <f>Sheet1!Q437</f>
        <v/>
      </c>
      <c r="R437" s="19" t="str">
        <f>Sheet1!R437</f>
        <v/>
      </c>
      <c r="S437" s="19" t="str">
        <f>Sheet1!S437</f>
        <v/>
      </c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1"/>
      <c r="EJ437" s="21"/>
      <c r="EK437" s="21"/>
      <c r="EL437" s="21"/>
      <c r="EM437" s="21"/>
      <c r="EN437" s="21"/>
      <c r="EO437" s="21"/>
      <c r="EP437" s="21"/>
      <c r="EQ437" s="21"/>
      <c r="ER437" s="21"/>
      <c r="ES437" s="21"/>
      <c r="ET437" s="21"/>
      <c r="EU437" s="21"/>
      <c r="EV437" s="21"/>
      <c r="EW437" s="21"/>
      <c r="EX437" s="21"/>
      <c r="EY437" s="21"/>
      <c r="EZ437" s="21"/>
      <c r="FA437" s="21"/>
      <c r="FB437" s="21"/>
      <c r="FC437" s="21"/>
      <c r="FD437" s="21"/>
      <c r="FE437" s="21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21"/>
      <c r="FW437" s="21"/>
      <c r="FX437" s="21"/>
      <c r="FY437" s="21"/>
      <c r="FZ437" s="21"/>
      <c r="GA437" s="21"/>
      <c r="GB437" s="21"/>
      <c r="GC437" s="21"/>
      <c r="GD437" s="21"/>
      <c r="GE437" s="21"/>
      <c r="GF437" s="21"/>
      <c r="GG437" s="21"/>
      <c r="GH437" s="21"/>
      <c r="GI437" s="21"/>
    </row>
    <row r="438">
      <c r="A438" s="19" t="str">
        <f>Sheet1!A438</f>
        <v/>
      </c>
      <c r="B438" s="19" t="str">
        <f>Sheet1!B438</f>
        <v/>
      </c>
      <c r="C438" s="19" t="str">
        <f>Sheet1!C438</f>
        <v/>
      </c>
      <c r="D438" s="19" t="str">
        <f>Sheet1!D438</f>
        <v/>
      </c>
      <c r="E438" s="19" t="str">
        <f>Sheet1!E438</f>
        <v/>
      </c>
      <c r="F438" s="19" t="str">
        <f>Sheet1!F438</f>
        <v/>
      </c>
      <c r="G438" s="19" t="str">
        <f>Sheet1!G438</f>
        <v/>
      </c>
      <c r="H438" s="19" t="str">
        <f>Sheet1!H438</f>
        <v/>
      </c>
      <c r="I438" s="19" t="str">
        <f>Sheet1!I438</f>
        <v/>
      </c>
      <c r="J438" s="19" t="str">
        <f>Sheet1!J438</f>
        <v/>
      </c>
      <c r="K438" s="19" t="str">
        <f>Sheet1!K438</f>
        <v/>
      </c>
      <c r="L438" s="19" t="str">
        <f>Sheet1!L438</f>
        <v/>
      </c>
      <c r="M438" s="19" t="str">
        <f>Sheet1!M438</f>
        <v/>
      </c>
      <c r="N438" s="19" t="str">
        <f>Sheet1!N438</f>
        <v/>
      </c>
      <c r="O438" s="19" t="str">
        <f>Sheet1!O438</f>
        <v/>
      </c>
      <c r="P438" s="19" t="str">
        <f>Sheet1!P438</f>
        <v/>
      </c>
      <c r="Q438" s="19" t="str">
        <f>Sheet1!Q438</f>
        <v/>
      </c>
      <c r="R438" s="19" t="str">
        <f>Sheet1!R438</f>
        <v/>
      </c>
      <c r="S438" s="19" t="str">
        <f>Sheet1!S438</f>
        <v/>
      </c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1"/>
      <c r="EJ438" s="21"/>
      <c r="EK438" s="21"/>
      <c r="EL438" s="21"/>
      <c r="EM438" s="21"/>
      <c r="EN438" s="21"/>
      <c r="EO438" s="21"/>
      <c r="EP438" s="21"/>
      <c r="EQ438" s="21"/>
      <c r="ER438" s="21"/>
      <c r="ES438" s="21"/>
      <c r="ET438" s="21"/>
      <c r="EU438" s="21"/>
      <c r="EV438" s="21"/>
      <c r="EW438" s="21"/>
      <c r="EX438" s="21"/>
      <c r="EY438" s="21"/>
      <c r="EZ438" s="21"/>
      <c r="FA438" s="21"/>
      <c r="FB438" s="21"/>
      <c r="FC438" s="21"/>
      <c r="FD438" s="21"/>
      <c r="FE438" s="21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21"/>
      <c r="FW438" s="21"/>
      <c r="FX438" s="21"/>
      <c r="FY438" s="21"/>
      <c r="FZ438" s="21"/>
      <c r="GA438" s="21"/>
      <c r="GB438" s="21"/>
      <c r="GC438" s="21"/>
      <c r="GD438" s="21"/>
      <c r="GE438" s="21"/>
      <c r="GF438" s="21"/>
      <c r="GG438" s="21"/>
      <c r="GH438" s="21"/>
      <c r="GI438" s="21"/>
    </row>
    <row r="439">
      <c r="A439" s="19" t="str">
        <f>Sheet1!A439</f>
        <v/>
      </c>
      <c r="B439" s="19" t="str">
        <f>Sheet1!B439</f>
        <v/>
      </c>
      <c r="C439" s="19" t="str">
        <f>Sheet1!C439</f>
        <v/>
      </c>
      <c r="D439" s="19" t="str">
        <f>Sheet1!D439</f>
        <v/>
      </c>
      <c r="E439" s="19" t="str">
        <f>Sheet1!E439</f>
        <v/>
      </c>
      <c r="F439" s="19" t="str">
        <f>Sheet1!F439</f>
        <v/>
      </c>
      <c r="G439" s="19" t="str">
        <f>Sheet1!G439</f>
        <v/>
      </c>
      <c r="H439" s="19" t="str">
        <f>Sheet1!H439</f>
        <v/>
      </c>
      <c r="I439" s="19" t="str">
        <f>Sheet1!I439</f>
        <v/>
      </c>
      <c r="J439" s="19" t="str">
        <f>Sheet1!J439</f>
        <v/>
      </c>
      <c r="K439" s="19" t="str">
        <f>Sheet1!K439</f>
        <v/>
      </c>
      <c r="L439" s="19" t="str">
        <f>Sheet1!L439</f>
        <v/>
      </c>
      <c r="M439" s="19" t="str">
        <f>Sheet1!M439</f>
        <v/>
      </c>
      <c r="N439" s="19" t="str">
        <f>Sheet1!N439</f>
        <v/>
      </c>
      <c r="O439" s="19" t="str">
        <f>Sheet1!O439</f>
        <v/>
      </c>
      <c r="P439" s="19" t="str">
        <f>Sheet1!P439</f>
        <v/>
      </c>
      <c r="Q439" s="19" t="str">
        <f>Sheet1!Q439</f>
        <v/>
      </c>
      <c r="R439" s="19" t="str">
        <f>Sheet1!R439</f>
        <v/>
      </c>
      <c r="S439" s="19" t="str">
        <f>Sheet1!S439</f>
        <v/>
      </c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1"/>
      <c r="EJ439" s="21"/>
      <c r="EK439" s="21"/>
      <c r="EL439" s="21"/>
      <c r="EM439" s="21"/>
      <c r="EN439" s="21"/>
      <c r="EO439" s="21"/>
      <c r="EP439" s="21"/>
      <c r="EQ439" s="21"/>
      <c r="ER439" s="21"/>
      <c r="ES439" s="21"/>
      <c r="ET439" s="21"/>
      <c r="EU439" s="21"/>
      <c r="EV439" s="21"/>
      <c r="EW439" s="21"/>
      <c r="EX439" s="21"/>
      <c r="EY439" s="21"/>
      <c r="EZ439" s="21"/>
      <c r="FA439" s="21"/>
      <c r="FB439" s="21"/>
      <c r="FC439" s="21"/>
      <c r="FD439" s="21"/>
      <c r="FE439" s="21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21"/>
      <c r="FW439" s="21"/>
      <c r="FX439" s="21"/>
      <c r="FY439" s="21"/>
      <c r="FZ439" s="21"/>
      <c r="GA439" s="21"/>
      <c r="GB439" s="21"/>
      <c r="GC439" s="21"/>
      <c r="GD439" s="21"/>
      <c r="GE439" s="21"/>
      <c r="GF439" s="21"/>
      <c r="GG439" s="21"/>
      <c r="GH439" s="21"/>
      <c r="GI439" s="21"/>
    </row>
    <row r="440">
      <c r="A440" s="19" t="str">
        <f>Sheet1!A440</f>
        <v/>
      </c>
      <c r="B440" s="19" t="str">
        <f>Sheet1!B440</f>
        <v/>
      </c>
      <c r="C440" s="19" t="str">
        <f>Sheet1!C440</f>
        <v/>
      </c>
      <c r="D440" s="19" t="str">
        <f>Sheet1!D440</f>
        <v/>
      </c>
      <c r="E440" s="19" t="str">
        <f>Sheet1!E440</f>
        <v/>
      </c>
      <c r="F440" s="19" t="str">
        <f>Sheet1!F440</f>
        <v/>
      </c>
      <c r="G440" s="19" t="str">
        <f>Sheet1!G440</f>
        <v/>
      </c>
      <c r="H440" s="19" t="str">
        <f>Sheet1!H440</f>
        <v/>
      </c>
      <c r="I440" s="19" t="str">
        <f>Sheet1!I440</f>
        <v/>
      </c>
      <c r="J440" s="19" t="str">
        <f>Sheet1!J440</f>
        <v/>
      </c>
      <c r="K440" s="19" t="str">
        <f>Sheet1!K440</f>
        <v/>
      </c>
      <c r="L440" s="19" t="str">
        <f>Sheet1!L440</f>
        <v/>
      </c>
      <c r="M440" s="19" t="str">
        <f>Sheet1!M440</f>
        <v/>
      </c>
      <c r="N440" s="19" t="str">
        <f>Sheet1!N440</f>
        <v/>
      </c>
      <c r="O440" s="19" t="str">
        <f>Sheet1!O440</f>
        <v/>
      </c>
      <c r="P440" s="19" t="str">
        <f>Sheet1!P440</f>
        <v/>
      </c>
      <c r="Q440" s="19" t="str">
        <f>Sheet1!Q440</f>
        <v/>
      </c>
      <c r="R440" s="19" t="str">
        <f>Sheet1!R440</f>
        <v/>
      </c>
      <c r="S440" s="19" t="str">
        <f>Sheet1!S440</f>
        <v/>
      </c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1"/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</row>
    <row r="441">
      <c r="A441" s="19" t="str">
        <f>Sheet1!A441</f>
        <v/>
      </c>
      <c r="B441" s="19" t="str">
        <f>Sheet1!B441</f>
        <v/>
      </c>
      <c r="C441" s="19" t="str">
        <f>Sheet1!C441</f>
        <v/>
      </c>
      <c r="D441" s="19" t="str">
        <f>Sheet1!D441</f>
        <v/>
      </c>
      <c r="E441" s="19" t="str">
        <f>Sheet1!E441</f>
        <v/>
      </c>
      <c r="F441" s="19" t="str">
        <f>Sheet1!F441</f>
        <v/>
      </c>
      <c r="G441" s="19" t="str">
        <f>Sheet1!G441</f>
        <v/>
      </c>
      <c r="H441" s="19" t="str">
        <f>Sheet1!H441</f>
        <v/>
      </c>
      <c r="I441" s="19" t="str">
        <f>Sheet1!I441</f>
        <v/>
      </c>
      <c r="J441" s="19" t="str">
        <f>Sheet1!J441</f>
        <v/>
      </c>
      <c r="K441" s="19" t="str">
        <f>Sheet1!K441</f>
        <v/>
      </c>
      <c r="L441" s="19" t="str">
        <f>Sheet1!L441</f>
        <v/>
      </c>
      <c r="M441" s="19" t="str">
        <f>Sheet1!M441</f>
        <v/>
      </c>
      <c r="N441" s="19" t="str">
        <f>Sheet1!N441</f>
        <v/>
      </c>
      <c r="O441" s="19" t="str">
        <f>Sheet1!O441</f>
        <v/>
      </c>
      <c r="P441" s="19" t="str">
        <f>Sheet1!P441</f>
        <v/>
      </c>
      <c r="Q441" s="19" t="str">
        <f>Sheet1!Q441</f>
        <v/>
      </c>
      <c r="R441" s="19" t="str">
        <f>Sheet1!R441</f>
        <v/>
      </c>
      <c r="S441" s="19" t="str">
        <f>Sheet1!S441</f>
        <v/>
      </c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1"/>
      <c r="FD441" s="21"/>
      <c r="FE441" s="21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</row>
    <row r="442">
      <c r="A442" s="19" t="str">
        <f>Sheet1!A442</f>
        <v/>
      </c>
      <c r="B442" s="19" t="str">
        <f>Sheet1!B442</f>
        <v/>
      </c>
      <c r="C442" s="19" t="str">
        <f>Sheet1!C442</f>
        <v/>
      </c>
      <c r="D442" s="19" t="str">
        <f>Sheet1!D442</f>
        <v/>
      </c>
      <c r="E442" s="19" t="str">
        <f>Sheet1!E442</f>
        <v/>
      </c>
      <c r="F442" s="19" t="str">
        <f>Sheet1!F442</f>
        <v/>
      </c>
      <c r="G442" s="19" t="str">
        <f>Sheet1!G442</f>
        <v/>
      </c>
      <c r="H442" s="19" t="str">
        <f>Sheet1!H442</f>
        <v/>
      </c>
      <c r="I442" s="19" t="str">
        <f>Sheet1!I442</f>
        <v/>
      </c>
      <c r="J442" s="19" t="str">
        <f>Sheet1!J442</f>
        <v/>
      </c>
      <c r="K442" s="19" t="str">
        <f>Sheet1!K442</f>
        <v/>
      </c>
      <c r="L442" s="19" t="str">
        <f>Sheet1!L442</f>
        <v/>
      </c>
      <c r="M442" s="19" t="str">
        <f>Sheet1!M442</f>
        <v/>
      </c>
      <c r="N442" s="19" t="str">
        <f>Sheet1!N442</f>
        <v/>
      </c>
      <c r="O442" s="19" t="str">
        <f>Sheet1!O442</f>
        <v/>
      </c>
      <c r="P442" s="19" t="str">
        <f>Sheet1!P442</f>
        <v/>
      </c>
      <c r="Q442" s="19" t="str">
        <f>Sheet1!Q442</f>
        <v/>
      </c>
      <c r="R442" s="19" t="str">
        <f>Sheet1!R442</f>
        <v/>
      </c>
      <c r="S442" s="19" t="str">
        <f>Sheet1!S442</f>
        <v/>
      </c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</row>
    <row r="443">
      <c r="A443" s="19" t="str">
        <f>Sheet1!A443</f>
        <v/>
      </c>
      <c r="B443" s="19" t="str">
        <f>Sheet1!B443</f>
        <v/>
      </c>
      <c r="C443" s="19" t="str">
        <f>Sheet1!C443</f>
        <v/>
      </c>
      <c r="D443" s="19" t="str">
        <f>Sheet1!D443</f>
        <v/>
      </c>
      <c r="E443" s="19" t="str">
        <f>Sheet1!E443</f>
        <v/>
      </c>
      <c r="F443" s="19" t="str">
        <f>Sheet1!F443</f>
        <v/>
      </c>
      <c r="G443" s="19" t="str">
        <f>Sheet1!G443</f>
        <v/>
      </c>
      <c r="H443" s="19" t="str">
        <f>Sheet1!H443</f>
        <v/>
      </c>
      <c r="I443" s="19" t="str">
        <f>Sheet1!I443</f>
        <v/>
      </c>
      <c r="J443" s="19" t="str">
        <f>Sheet1!J443</f>
        <v/>
      </c>
      <c r="K443" s="19" t="str">
        <f>Sheet1!K443</f>
        <v/>
      </c>
      <c r="L443" s="19" t="str">
        <f>Sheet1!L443</f>
        <v/>
      </c>
      <c r="M443" s="19" t="str">
        <f>Sheet1!M443</f>
        <v/>
      </c>
      <c r="N443" s="19" t="str">
        <f>Sheet1!N443</f>
        <v/>
      </c>
      <c r="O443" s="19" t="str">
        <f>Sheet1!O443</f>
        <v/>
      </c>
      <c r="P443" s="19" t="str">
        <f>Sheet1!P443</f>
        <v/>
      </c>
      <c r="Q443" s="19" t="str">
        <f>Sheet1!Q443</f>
        <v/>
      </c>
      <c r="R443" s="19" t="str">
        <f>Sheet1!R443</f>
        <v/>
      </c>
      <c r="S443" s="19" t="str">
        <f>Sheet1!S443</f>
        <v/>
      </c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1"/>
      <c r="EM443" s="21"/>
      <c r="EN443" s="21"/>
      <c r="EO443" s="21"/>
      <c r="EP443" s="21"/>
      <c r="EQ443" s="21"/>
      <c r="ER443" s="21"/>
      <c r="ES443" s="21"/>
      <c r="ET443" s="21"/>
      <c r="EU443" s="21"/>
      <c r="EV443" s="21"/>
      <c r="EW443" s="21"/>
      <c r="EX443" s="21"/>
      <c r="EY443" s="21"/>
      <c r="EZ443" s="21"/>
      <c r="FA443" s="21"/>
      <c r="FB443" s="21"/>
      <c r="FC443" s="21"/>
      <c r="FD443" s="21"/>
      <c r="FE443" s="21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21"/>
      <c r="FW443" s="21"/>
      <c r="FX443" s="21"/>
      <c r="FY443" s="21"/>
      <c r="FZ443" s="21"/>
      <c r="GA443" s="21"/>
      <c r="GB443" s="21"/>
      <c r="GC443" s="21"/>
      <c r="GD443" s="21"/>
      <c r="GE443" s="21"/>
      <c r="GF443" s="21"/>
      <c r="GG443" s="21"/>
      <c r="GH443" s="21"/>
      <c r="GI443" s="21"/>
    </row>
    <row r="444">
      <c r="A444" s="19" t="str">
        <f>Sheet1!A444</f>
        <v/>
      </c>
      <c r="B444" s="19" t="str">
        <f>Sheet1!B444</f>
        <v/>
      </c>
      <c r="C444" s="19" t="str">
        <f>Sheet1!C444</f>
        <v/>
      </c>
      <c r="D444" s="19" t="str">
        <f>Sheet1!D444</f>
        <v/>
      </c>
      <c r="E444" s="19" t="str">
        <f>Sheet1!E444</f>
        <v/>
      </c>
      <c r="F444" s="19" t="str">
        <f>Sheet1!F444</f>
        <v/>
      </c>
      <c r="G444" s="19" t="str">
        <f>Sheet1!G444</f>
        <v/>
      </c>
      <c r="H444" s="19" t="str">
        <f>Sheet1!H444</f>
        <v/>
      </c>
      <c r="I444" s="19" t="str">
        <f>Sheet1!I444</f>
        <v/>
      </c>
      <c r="J444" s="19" t="str">
        <f>Sheet1!J444</f>
        <v/>
      </c>
      <c r="K444" s="19" t="str">
        <f>Sheet1!K444</f>
        <v/>
      </c>
      <c r="L444" s="19" t="str">
        <f>Sheet1!L444</f>
        <v/>
      </c>
      <c r="M444" s="19" t="str">
        <f>Sheet1!M444</f>
        <v/>
      </c>
      <c r="N444" s="19" t="str">
        <f>Sheet1!N444</f>
        <v/>
      </c>
      <c r="O444" s="19" t="str">
        <f>Sheet1!O444</f>
        <v/>
      </c>
      <c r="P444" s="19" t="str">
        <f>Sheet1!P444</f>
        <v/>
      </c>
      <c r="Q444" s="19" t="str">
        <f>Sheet1!Q444</f>
        <v/>
      </c>
      <c r="R444" s="19" t="str">
        <f>Sheet1!R444</f>
        <v/>
      </c>
      <c r="S444" s="19" t="str">
        <f>Sheet1!S444</f>
        <v/>
      </c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1"/>
      <c r="EM444" s="21"/>
      <c r="EN444" s="21"/>
      <c r="EO444" s="21"/>
      <c r="EP444" s="21"/>
      <c r="EQ444" s="21"/>
      <c r="ER444" s="21"/>
      <c r="ES444" s="21"/>
      <c r="ET444" s="21"/>
      <c r="EU444" s="21"/>
      <c r="EV444" s="21"/>
      <c r="EW444" s="21"/>
      <c r="EX444" s="21"/>
      <c r="EY444" s="21"/>
      <c r="EZ444" s="21"/>
      <c r="FA444" s="21"/>
      <c r="FB444" s="21"/>
      <c r="FC444" s="21"/>
      <c r="FD444" s="21"/>
      <c r="FE444" s="21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21"/>
      <c r="FW444" s="21"/>
      <c r="FX444" s="21"/>
      <c r="FY444" s="21"/>
      <c r="FZ444" s="21"/>
      <c r="GA444" s="21"/>
      <c r="GB444" s="21"/>
      <c r="GC444" s="21"/>
      <c r="GD444" s="21"/>
      <c r="GE444" s="21"/>
      <c r="GF444" s="21"/>
      <c r="GG444" s="21"/>
      <c r="GH444" s="21"/>
      <c r="GI444" s="21"/>
    </row>
    <row r="445">
      <c r="A445" s="19" t="str">
        <f>Sheet1!A445</f>
        <v/>
      </c>
      <c r="B445" s="19" t="str">
        <f>Sheet1!B445</f>
        <v/>
      </c>
      <c r="C445" s="19" t="str">
        <f>Sheet1!C445</f>
        <v/>
      </c>
      <c r="D445" s="19" t="str">
        <f>Sheet1!D445</f>
        <v/>
      </c>
      <c r="E445" s="19" t="str">
        <f>Sheet1!E445</f>
        <v/>
      </c>
      <c r="F445" s="19" t="str">
        <f>Sheet1!F445</f>
        <v/>
      </c>
      <c r="G445" s="19" t="str">
        <f>Sheet1!G445</f>
        <v/>
      </c>
      <c r="H445" s="19" t="str">
        <f>Sheet1!H445</f>
        <v/>
      </c>
      <c r="I445" s="19" t="str">
        <f>Sheet1!I445</f>
        <v/>
      </c>
      <c r="J445" s="19" t="str">
        <f>Sheet1!J445</f>
        <v/>
      </c>
      <c r="K445" s="19" t="str">
        <f>Sheet1!K445</f>
        <v/>
      </c>
      <c r="L445" s="19" t="str">
        <f>Sheet1!L445</f>
        <v/>
      </c>
      <c r="M445" s="19" t="str">
        <f>Sheet1!M445</f>
        <v/>
      </c>
      <c r="N445" s="19" t="str">
        <f>Sheet1!N445</f>
        <v/>
      </c>
      <c r="O445" s="19" t="str">
        <f>Sheet1!O445</f>
        <v/>
      </c>
      <c r="P445" s="19" t="str">
        <f>Sheet1!P445</f>
        <v/>
      </c>
      <c r="Q445" s="19" t="str">
        <f>Sheet1!Q445</f>
        <v/>
      </c>
      <c r="R445" s="19" t="str">
        <f>Sheet1!R445</f>
        <v/>
      </c>
      <c r="S445" s="19" t="str">
        <f>Sheet1!S445</f>
        <v/>
      </c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1"/>
      <c r="EM445" s="21"/>
      <c r="EN445" s="21"/>
      <c r="EO445" s="21"/>
      <c r="EP445" s="21"/>
      <c r="EQ445" s="21"/>
      <c r="ER445" s="21"/>
      <c r="ES445" s="21"/>
      <c r="ET445" s="21"/>
      <c r="EU445" s="21"/>
      <c r="EV445" s="21"/>
      <c r="EW445" s="21"/>
      <c r="EX445" s="21"/>
      <c r="EY445" s="21"/>
      <c r="EZ445" s="21"/>
      <c r="FA445" s="21"/>
      <c r="FB445" s="21"/>
      <c r="FC445" s="21"/>
      <c r="FD445" s="21"/>
      <c r="FE445" s="21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21"/>
      <c r="FW445" s="21"/>
      <c r="FX445" s="21"/>
      <c r="FY445" s="21"/>
      <c r="FZ445" s="21"/>
      <c r="GA445" s="21"/>
      <c r="GB445" s="21"/>
      <c r="GC445" s="21"/>
      <c r="GD445" s="21"/>
      <c r="GE445" s="21"/>
      <c r="GF445" s="21"/>
      <c r="GG445" s="21"/>
      <c r="GH445" s="21"/>
      <c r="GI445" s="21"/>
    </row>
    <row r="446">
      <c r="A446" s="19" t="str">
        <f>Sheet1!A446</f>
        <v/>
      </c>
      <c r="B446" s="19" t="str">
        <f>Sheet1!B446</f>
        <v/>
      </c>
      <c r="C446" s="19" t="str">
        <f>Sheet1!C446</f>
        <v/>
      </c>
      <c r="D446" s="19" t="str">
        <f>Sheet1!D446</f>
        <v/>
      </c>
      <c r="E446" s="19" t="str">
        <f>Sheet1!E446</f>
        <v/>
      </c>
      <c r="F446" s="19" t="str">
        <f>Sheet1!F446</f>
        <v/>
      </c>
      <c r="G446" s="19" t="str">
        <f>Sheet1!G446</f>
        <v/>
      </c>
      <c r="H446" s="19" t="str">
        <f>Sheet1!H446</f>
        <v/>
      </c>
      <c r="I446" s="19" t="str">
        <f>Sheet1!I446</f>
        <v/>
      </c>
      <c r="J446" s="19" t="str">
        <f>Sheet1!J446</f>
        <v/>
      </c>
      <c r="K446" s="19" t="str">
        <f>Sheet1!K446</f>
        <v/>
      </c>
      <c r="L446" s="19" t="str">
        <f>Sheet1!L446</f>
        <v/>
      </c>
      <c r="M446" s="19" t="str">
        <f>Sheet1!M446</f>
        <v/>
      </c>
      <c r="N446" s="19" t="str">
        <f>Sheet1!N446</f>
        <v/>
      </c>
      <c r="O446" s="19" t="str">
        <f>Sheet1!O446</f>
        <v/>
      </c>
      <c r="P446" s="19" t="str">
        <f>Sheet1!P446</f>
        <v/>
      </c>
      <c r="Q446" s="19" t="str">
        <f>Sheet1!Q446</f>
        <v/>
      </c>
      <c r="R446" s="19" t="str">
        <f>Sheet1!R446</f>
        <v/>
      </c>
      <c r="S446" s="19" t="str">
        <f>Sheet1!S446</f>
        <v/>
      </c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1"/>
      <c r="EM446" s="21"/>
      <c r="EN446" s="21"/>
      <c r="EO446" s="21"/>
      <c r="EP446" s="21"/>
      <c r="EQ446" s="21"/>
      <c r="ER446" s="21"/>
      <c r="ES446" s="21"/>
      <c r="ET446" s="21"/>
      <c r="EU446" s="21"/>
      <c r="EV446" s="21"/>
      <c r="EW446" s="21"/>
      <c r="EX446" s="21"/>
      <c r="EY446" s="21"/>
      <c r="EZ446" s="21"/>
      <c r="FA446" s="21"/>
      <c r="FB446" s="21"/>
      <c r="FC446" s="21"/>
      <c r="FD446" s="21"/>
      <c r="FE446" s="21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21"/>
      <c r="FW446" s="21"/>
      <c r="FX446" s="21"/>
      <c r="FY446" s="21"/>
      <c r="FZ446" s="21"/>
      <c r="GA446" s="21"/>
      <c r="GB446" s="21"/>
      <c r="GC446" s="21"/>
      <c r="GD446" s="21"/>
      <c r="GE446" s="21"/>
      <c r="GF446" s="21"/>
      <c r="GG446" s="21"/>
      <c r="GH446" s="21"/>
      <c r="GI446" s="21"/>
    </row>
    <row r="447">
      <c r="A447" s="19" t="str">
        <f>Sheet1!A447</f>
        <v/>
      </c>
      <c r="B447" s="19" t="str">
        <f>Sheet1!B447</f>
        <v/>
      </c>
      <c r="C447" s="19" t="str">
        <f>Sheet1!C447</f>
        <v/>
      </c>
      <c r="D447" s="19" t="str">
        <f>Sheet1!D447</f>
        <v/>
      </c>
      <c r="E447" s="19" t="str">
        <f>Sheet1!E447</f>
        <v/>
      </c>
      <c r="F447" s="19" t="str">
        <f>Sheet1!F447</f>
        <v/>
      </c>
      <c r="G447" s="19" t="str">
        <f>Sheet1!G447</f>
        <v/>
      </c>
      <c r="H447" s="19" t="str">
        <f>Sheet1!H447</f>
        <v/>
      </c>
      <c r="I447" s="19" t="str">
        <f>Sheet1!I447</f>
        <v/>
      </c>
      <c r="J447" s="19" t="str">
        <f>Sheet1!J447</f>
        <v/>
      </c>
      <c r="K447" s="19" t="str">
        <f>Sheet1!K447</f>
        <v/>
      </c>
      <c r="L447" s="19" t="str">
        <f>Sheet1!L447</f>
        <v/>
      </c>
      <c r="M447" s="19" t="str">
        <f>Sheet1!M447</f>
        <v/>
      </c>
      <c r="N447" s="19" t="str">
        <f>Sheet1!N447</f>
        <v/>
      </c>
      <c r="O447" s="19" t="str">
        <f>Sheet1!O447</f>
        <v/>
      </c>
      <c r="P447" s="19" t="str">
        <f>Sheet1!P447</f>
        <v/>
      </c>
      <c r="Q447" s="19" t="str">
        <f>Sheet1!Q447</f>
        <v/>
      </c>
      <c r="R447" s="19" t="str">
        <f>Sheet1!R447</f>
        <v/>
      </c>
      <c r="S447" s="19" t="str">
        <f>Sheet1!S447</f>
        <v/>
      </c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/>
      <c r="EG447" s="21"/>
      <c r="EH447" s="21"/>
      <c r="EI447" s="21"/>
      <c r="EJ447" s="21"/>
      <c r="EK447" s="21"/>
      <c r="EL447" s="21"/>
      <c r="EM447" s="21"/>
      <c r="EN447" s="21"/>
      <c r="EO447" s="21"/>
      <c r="EP447" s="21"/>
      <c r="EQ447" s="21"/>
      <c r="ER447" s="21"/>
      <c r="ES447" s="21"/>
      <c r="ET447" s="21"/>
      <c r="EU447" s="21"/>
      <c r="EV447" s="21"/>
      <c r="EW447" s="21"/>
      <c r="EX447" s="21"/>
      <c r="EY447" s="21"/>
      <c r="EZ447" s="21"/>
      <c r="FA447" s="21"/>
      <c r="FB447" s="21"/>
      <c r="FC447" s="21"/>
      <c r="FD447" s="21"/>
      <c r="FE447" s="21"/>
      <c r="FF447" s="21"/>
      <c r="FG447" s="21"/>
      <c r="FH447" s="21"/>
      <c r="FI447" s="21"/>
      <c r="FJ447" s="21"/>
      <c r="FK447" s="21"/>
      <c r="FL447" s="21"/>
      <c r="FM447" s="21"/>
      <c r="FN447" s="21"/>
      <c r="FO447" s="21"/>
      <c r="FP447" s="21"/>
      <c r="FQ447" s="21"/>
      <c r="FR447" s="21"/>
      <c r="FS447" s="21"/>
      <c r="FT447" s="21"/>
      <c r="FU447" s="21"/>
      <c r="FV447" s="21"/>
      <c r="FW447" s="21"/>
      <c r="FX447" s="21"/>
      <c r="FY447" s="21"/>
      <c r="FZ447" s="21"/>
      <c r="GA447" s="21"/>
      <c r="GB447" s="21"/>
      <c r="GC447" s="21"/>
      <c r="GD447" s="21"/>
      <c r="GE447" s="21"/>
      <c r="GF447" s="21"/>
      <c r="GG447" s="21"/>
      <c r="GH447" s="21"/>
      <c r="GI447" s="21"/>
    </row>
    <row r="448">
      <c r="A448" s="19" t="str">
        <f>Sheet1!A448</f>
        <v/>
      </c>
      <c r="B448" s="19" t="str">
        <f>Sheet1!B448</f>
        <v/>
      </c>
      <c r="C448" s="19" t="str">
        <f>Sheet1!C448</f>
        <v/>
      </c>
      <c r="D448" s="19" t="str">
        <f>Sheet1!D448</f>
        <v/>
      </c>
      <c r="E448" s="19" t="str">
        <f>Sheet1!E448</f>
        <v/>
      </c>
      <c r="F448" s="19" t="str">
        <f>Sheet1!F448</f>
        <v/>
      </c>
      <c r="G448" s="19" t="str">
        <f>Sheet1!G448</f>
        <v/>
      </c>
      <c r="H448" s="19" t="str">
        <f>Sheet1!H448</f>
        <v/>
      </c>
      <c r="I448" s="19" t="str">
        <f>Sheet1!I448</f>
        <v/>
      </c>
      <c r="J448" s="19" t="str">
        <f>Sheet1!J448</f>
        <v/>
      </c>
      <c r="K448" s="19" t="str">
        <f>Sheet1!K448</f>
        <v/>
      </c>
      <c r="L448" s="19" t="str">
        <f>Sheet1!L448</f>
        <v/>
      </c>
      <c r="M448" s="19" t="str">
        <f>Sheet1!M448</f>
        <v/>
      </c>
      <c r="N448" s="19" t="str">
        <f>Sheet1!N448</f>
        <v/>
      </c>
      <c r="O448" s="19" t="str">
        <f>Sheet1!O448</f>
        <v/>
      </c>
      <c r="P448" s="19" t="str">
        <f>Sheet1!P448</f>
        <v/>
      </c>
      <c r="Q448" s="19" t="str">
        <f>Sheet1!Q448</f>
        <v/>
      </c>
      <c r="R448" s="19" t="str">
        <f>Sheet1!R448</f>
        <v/>
      </c>
      <c r="S448" s="19" t="str">
        <f>Sheet1!S448</f>
        <v/>
      </c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/>
      <c r="EG448" s="21"/>
      <c r="EH448" s="21"/>
      <c r="EI448" s="21"/>
      <c r="EJ448" s="21"/>
      <c r="EK448" s="21"/>
      <c r="EL448" s="21"/>
      <c r="EM448" s="21"/>
      <c r="EN448" s="21"/>
      <c r="EO448" s="21"/>
      <c r="EP448" s="21"/>
      <c r="EQ448" s="21"/>
      <c r="ER448" s="21"/>
      <c r="ES448" s="21"/>
      <c r="ET448" s="21"/>
      <c r="EU448" s="21"/>
      <c r="EV448" s="21"/>
      <c r="EW448" s="21"/>
      <c r="EX448" s="21"/>
      <c r="EY448" s="21"/>
      <c r="EZ448" s="21"/>
      <c r="FA448" s="21"/>
      <c r="FB448" s="21"/>
      <c r="FC448" s="21"/>
      <c r="FD448" s="21"/>
      <c r="FE448" s="21"/>
      <c r="FF448" s="21"/>
      <c r="FG448" s="21"/>
      <c r="FH448" s="21"/>
      <c r="FI448" s="21"/>
      <c r="FJ448" s="21"/>
      <c r="FK448" s="21"/>
      <c r="FL448" s="21"/>
      <c r="FM448" s="21"/>
      <c r="FN448" s="21"/>
      <c r="FO448" s="21"/>
      <c r="FP448" s="21"/>
      <c r="FQ448" s="21"/>
      <c r="FR448" s="21"/>
      <c r="FS448" s="21"/>
      <c r="FT448" s="21"/>
      <c r="FU448" s="21"/>
      <c r="FV448" s="21"/>
      <c r="FW448" s="21"/>
      <c r="FX448" s="21"/>
      <c r="FY448" s="21"/>
      <c r="FZ448" s="21"/>
      <c r="GA448" s="21"/>
      <c r="GB448" s="21"/>
      <c r="GC448" s="21"/>
      <c r="GD448" s="21"/>
      <c r="GE448" s="21"/>
      <c r="GF448" s="21"/>
      <c r="GG448" s="21"/>
      <c r="GH448" s="21"/>
      <c r="GI448" s="21"/>
    </row>
    <row r="449">
      <c r="A449" s="19" t="str">
        <f>Sheet1!A449</f>
        <v/>
      </c>
      <c r="B449" s="19" t="str">
        <f>Sheet1!B449</f>
        <v/>
      </c>
      <c r="C449" s="19" t="str">
        <f>Sheet1!C449</f>
        <v/>
      </c>
      <c r="D449" s="19" t="str">
        <f>Sheet1!D449</f>
        <v/>
      </c>
      <c r="E449" s="19" t="str">
        <f>Sheet1!E449</f>
        <v/>
      </c>
      <c r="F449" s="19" t="str">
        <f>Sheet1!F449</f>
        <v/>
      </c>
      <c r="G449" s="19" t="str">
        <f>Sheet1!G449</f>
        <v/>
      </c>
      <c r="H449" s="19" t="str">
        <f>Sheet1!H449</f>
        <v/>
      </c>
      <c r="I449" s="19" t="str">
        <f>Sheet1!I449</f>
        <v/>
      </c>
      <c r="J449" s="19" t="str">
        <f>Sheet1!J449</f>
        <v/>
      </c>
      <c r="K449" s="19" t="str">
        <f>Sheet1!K449</f>
        <v/>
      </c>
      <c r="L449" s="19" t="str">
        <f>Sheet1!L449</f>
        <v/>
      </c>
      <c r="M449" s="19" t="str">
        <f>Sheet1!M449</f>
        <v/>
      </c>
      <c r="N449" s="19" t="str">
        <f>Sheet1!N449</f>
        <v/>
      </c>
      <c r="O449" s="19" t="str">
        <f>Sheet1!O449</f>
        <v/>
      </c>
      <c r="P449" s="19" t="str">
        <f>Sheet1!P449</f>
        <v/>
      </c>
      <c r="Q449" s="19" t="str">
        <f>Sheet1!Q449</f>
        <v/>
      </c>
      <c r="R449" s="19" t="str">
        <f>Sheet1!R449</f>
        <v/>
      </c>
      <c r="S449" s="19" t="str">
        <f>Sheet1!S449</f>
        <v/>
      </c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/>
      <c r="EG449" s="21"/>
      <c r="EH449" s="21"/>
      <c r="EI449" s="21"/>
      <c r="EJ449" s="21"/>
      <c r="EK449" s="21"/>
      <c r="EL449" s="21"/>
      <c r="EM449" s="21"/>
      <c r="EN449" s="21"/>
      <c r="EO449" s="21"/>
      <c r="EP449" s="21"/>
      <c r="EQ449" s="21"/>
      <c r="ER449" s="21"/>
      <c r="ES449" s="21"/>
      <c r="ET449" s="21"/>
      <c r="EU449" s="21"/>
      <c r="EV449" s="21"/>
      <c r="EW449" s="21"/>
      <c r="EX449" s="21"/>
      <c r="EY449" s="21"/>
      <c r="EZ449" s="21"/>
      <c r="FA449" s="21"/>
      <c r="FB449" s="21"/>
      <c r="FC449" s="21"/>
      <c r="FD449" s="21"/>
      <c r="FE449" s="21"/>
      <c r="FF449" s="21"/>
      <c r="FG449" s="21"/>
      <c r="FH449" s="21"/>
      <c r="FI449" s="21"/>
      <c r="FJ449" s="21"/>
      <c r="FK449" s="21"/>
      <c r="FL449" s="21"/>
      <c r="FM449" s="21"/>
      <c r="FN449" s="21"/>
      <c r="FO449" s="21"/>
      <c r="FP449" s="21"/>
      <c r="FQ449" s="21"/>
      <c r="FR449" s="21"/>
      <c r="FS449" s="21"/>
      <c r="FT449" s="21"/>
      <c r="FU449" s="21"/>
      <c r="FV449" s="21"/>
      <c r="FW449" s="21"/>
      <c r="FX449" s="21"/>
      <c r="FY449" s="21"/>
      <c r="FZ449" s="21"/>
      <c r="GA449" s="21"/>
      <c r="GB449" s="21"/>
      <c r="GC449" s="21"/>
      <c r="GD449" s="21"/>
      <c r="GE449" s="21"/>
      <c r="GF449" s="21"/>
      <c r="GG449" s="21"/>
      <c r="GH449" s="21"/>
      <c r="GI449" s="21"/>
    </row>
    <row r="450">
      <c r="A450" s="19" t="str">
        <f>Sheet1!A450</f>
        <v/>
      </c>
      <c r="B450" s="19" t="str">
        <f>Sheet1!B450</f>
        <v/>
      </c>
      <c r="C450" s="19" t="str">
        <f>Sheet1!C450</f>
        <v/>
      </c>
      <c r="D450" s="19" t="str">
        <f>Sheet1!D450</f>
        <v/>
      </c>
      <c r="E450" s="19" t="str">
        <f>Sheet1!E450</f>
        <v/>
      </c>
      <c r="F450" s="19" t="str">
        <f>Sheet1!F450</f>
        <v/>
      </c>
      <c r="G450" s="19" t="str">
        <f>Sheet1!G450</f>
        <v/>
      </c>
      <c r="H450" s="19" t="str">
        <f>Sheet1!H450</f>
        <v/>
      </c>
      <c r="I450" s="19" t="str">
        <f>Sheet1!I450</f>
        <v/>
      </c>
      <c r="J450" s="19" t="str">
        <f>Sheet1!J450</f>
        <v/>
      </c>
      <c r="K450" s="19" t="str">
        <f>Sheet1!K450</f>
        <v/>
      </c>
      <c r="L450" s="19" t="str">
        <f>Sheet1!L450</f>
        <v/>
      </c>
      <c r="M450" s="19" t="str">
        <f>Sheet1!M450</f>
        <v/>
      </c>
      <c r="N450" s="19" t="str">
        <f>Sheet1!N450</f>
        <v/>
      </c>
      <c r="O450" s="19" t="str">
        <f>Sheet1!O450</f>
        <v/>
      </c>
      <c r="P450" s="19" t="str">
        <f>Sheet1!P450</f>
        <v/>
      </c>
      <c r="Q450" s="19" t="str">
        <f>Sheet1!Q450</f>
        <v/>
      </c>
      <c r="R450" s="19" t="str">
        <f>Sheet1!R450</f>
        <v/>
      </c>
      <c r="S450" s="19" t="str">
        <f>Sheet1!S450</f>
        <v/>
      </c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1"/>
      <c r="EM450" s="21"/>
      <c r="EN450" s="21"/>
      <c r="EO450" s="21"/>
      <c r="EP450" s="21"/>
      <c r="EQ450" s="21"/>
      <c r="ER450" s="21"/>
      <c r="ES450" s="21"/>
      <c r="ET450" s="21"/>
      <c r="EU450" s="21"/>
      <c r="EV450" s="21"/>
      <c r="EW450" s="21"/>
      <c r="EX450" s="21"/>
      <c r="EY450" s="21"/>
      <c r="EZ450" s="21"/>
      <c r="FA450" s="21"/>
      <c r="FB450" s="21"/>
      <c r="FC450" s="21"/>
      <c r="FD450" s="21"/>
      <c r="FE450" s="21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21"/>
      <c r="FW450" s="21"/>
      <c r="FX450" s="21"/>
      <c r="FY450" s="21"/>
      <c r="FZ450" s="21"/>
      <c r="GA450" s="21"/>
      <c r="GB450" s="21"/>
      <c r="GC450" s="21"/>
      <c r="GD450" s="21"/>
      <c r="GE450" s="21"/>
      <c r="GF450" s="21"/>
      <c r="GG450" s="21"/>
      <c r="GH450" s="21"/>
      <c r="GI450" s="21"/>
    </row>
    <row r="451">
      <c r="A451" s="19" t="str">
        <f>Sheet1!A451</f>
        <v/>
      </c>
      <c r="B451" s="19" t="str">
        <f>Sheet1!B451</f>
        <v/>
      </c>
      <c r="C451" s="19" t="str">
        <f>Sheet1!C451</f>
        <v/>
      </c>
      <c r="D451" s="19" t="str">
        <f>Sheet1!D451</f>
        <v/>
      </c>
      <c r="E451" s="19" t="str">
        <f>Sheet1!E451</f>
        <v/>
      </c>
      <c r="F451" s="19" t="str">
        <f>Sheet1!F451</f>
        <v/>
      </c>
      <c r="G451" s="19" t="str">
        <f>Sheet1!G451</f>
        <v/>
      </c>
      <c r="H451" s="19" t="str">
        <f>Sheet1!H451</f>
        <v/>
      </c>
      <c r="I451" s="19" t="str">
        <f>Sheet1!I451</f>
        <v/>
      </c>
      <c r="J451" s="19" t="str">
        <f>Sheet1!J451</f>
        <v/>
      </c>
      <c r="K451" s="19" t="str">
        <f>Sheet1!K451</f>
        <v/>
      </c>
      <c r="L451" s="19" t="str">
        <f>Sheet1!L451</f>
        <v/>
      </c>
      <c r="M451" s="19" t="str">
        <f>Sheet1!M451</f>
        <v/>
      </c>
      <c r="N451" s="19" t="str">
        <f>Sheet1!N451</f>
        <v/>
      </c>
      <c r="O451" s="19" t="str">
        <f>Sheet1!O451</f>
        <v/>
      </c>
      <c r="P451" s="19" t="str">
        <f>Sheet1!P451</f>
        <v/>
      </c>
      <c r="Q451" s="19" t="str">
        <f>Sheet1!Q451</f>
        <v/>
      </c>
      <c r="R451" s="19" t="str">
        <f>Sheet1!R451</f>
        <v/>
      </c>
      <c r="S451" s="19" t="str">
        <f>Sheet1!S451</f>
        <v/>
      </c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1"/>
      <c r="EM451" s="21"/>
      <c r="EN451" s="21"/>
      <c r="EO451" s="21"/>
      <c r="EP451" s="21"/>
      <c r="EQ451" s="21"/>
      <c r="ER451" s="21"/>
      <c r="ES451" s="21"/>
      <c r="ET451" s="21"/>
      <c r="EU451" s="21"/>
      <c r="EV451" s="21"/>
      <c r="EW451" s="21"/>
      <c r="EX451" s="21"/>
      <c r="EY451" s="21"/>
      <c r="EZ451" s="21"/>
      <c r="FA451" s="21"/>
      <c r="FB451" s="21"/>
      <c r="FC451" s="21"/>
      <c r="FD451" s="21"/>
      <c r="FE451" s="21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21"/>
      <c r="FW451" s="21"/>
      <c r="FX451" s="21"/>
      <c r="FY451" s="21"/>
      <c r="FZ451" s="21"/>
      <c r="GA451" s="21"/>
      <c r="GB451" s="21"/>
      <c r="GC451" s="21"/>
      <c r="GD451" s="21"/>
      <c r="GE451" s="21"/>
      <c r="GF451" s="21"/>
      <c r="GG451" s="21"/>
      <c r="GH451" s="21"/>
      <c r="GI451" s="21"/>
    </row>
    <row r="452">
      <c r="A452" s="19" t="str">
        <f>Sheet1!A452</f>
        <v/>
      </c>
      <c r="B452" s="19" t="str">
        <f>Sheet1!B452</f>
        <v/>
      </c>
      <c r="C452" s="19" t="str">
        <f>Sheet1!C452</f>
        <v/>
      </c>
      <c r="D452" s="19" t="str">
        <f>Sheet1!D452</f>
        <v/>
      </c>
      <c r="E452" s="19" t="str">
        <f>Sheet1!E452</f>
        <v/>
      </c>
      <c r="F452" s="19" t="str">
        <f>Sheet1!F452</f>
        <v/>
      </c>
      <c r="G452" s="19" t="str">
        <f>Sheet1!G452</f>
        <v/>
      </c>
      <c r="H452" s="19" t="str">
        <f>Sheet1!H452</f>
        <v/>
      </c>
      <c r="I452" s="19" t="str">
        <f>Sheet1!I452</f>
        <v/>
      </c>
      <c r="J452" s="19" t="str">
        <f>Sheet1!J452</f>
        <v/>
      </c>
      <c r="K452" s="19" t="str">
        <f>Sheet1!K452</f>
        <v/>
      </c>
      <c r="L452" s="19" t="str">
        <f>Sheet1!L452</f>
        <v/>
      </c>
      <c r="M452" s="19" t="str">
        <f>Sheet1!M452</f>
        <v/>
      </c>
      <c r="N452" s="19" t="str">
        <f>Sheet1!N452</f>
        <v/>
      </c>
      <c r="O452" s="19" t="str">
        <f>Sheet1!O452</f>
        <v/>
      </c>
      <c r="P452" s="19" t="str">
        <f>Sheet1!P452</f>
        <v/>
      </c>
      <c r="Q452" s="19" t="str">
        <f>Sheet1!Q452</f>
        <v/>
      </c>
      <c r="R452" s="19" t="str">
        <f>Sheet1!R452</f>
        <v/>
      </c>
      <c r="S452" s="19" t="str">
        <f>Sheet1!S452</f>
        <v/>
      </c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1"/>
      <c r="EM452" s="21"/>
      <c r="EN452" s="21"/>
      <c r="EO452" s="21"/>
      <c r="EP452" s="21"/>
      <c r="EQ452" s="21"/>
      <c r="ER452" s="21"/>
      <c r="ES452" s="21"/>
      <c r="ET452" s="21"/>
      <c r="EU452" s="21"/>
      <c r="EV452" s="21"/>
      <c r="EW452" s="21"/>
      <c r="EX452" s="21"/>
      <c r="EY452" s="21"/>
      <c r="EZ452" s="21"/>
      <c r="FA452" s="21"/>
      <c r="FB452" s="21"/>
      <c r="FC452" s="21"/>
      <c r="FD452" s="21"/>
      <c r="FE452" s="21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21"/>
      <c r="FW452" s="21"/>
      <c r="FX452" s="21"/>
      <c r="FY452" s="21"/>
      <c r="FZ452" s="21"/>
      <c r="GA452" s="21"/>
      <c r="GB452" s="21"/>
      <c r="GC452" s="21"/>
      <c r="GD452" s="21"/>
      <c r="GE452" s="21"/>
      <c r="GF452" s="21"/>
      <c r="GG452" s="21"/>
      <c r="GH452" s="21"/>
      <c r="GI452" s="21"/>
    </row>
    <row r="453">
      <c r="A453" s="19" t="str">
        <f>Sheet1!A453</f>
        <v/>
      </c>
      <c r="B453" s="19" t="str">
        <f>Sheet1!B453</f>
        <v/>
      </c>
      <c r="C453" s="19" t="str">
        <f>Sheet1!C453</f>
        <v/>
      </c>
      <c r="D453" s="19" t="str">
        <f>Sheet1!D453</f>
        <v/>
      </c>
      <c r="E453" s="19" t="str">
        <f>Sheet1!E453</f>
        <v/>
      </c>
      <c r="F453" s="19" t="str">
        <f>Sheet1!F453</f>
        <v/>
      </c>
      <c r="G453" s="19" t="str">
        <f>Sheet1!G453</f>
        <v/>
      </c>
      <c r="H453" s="19" t="str">
        <f>Sheet1!H453</f>
        <v/>
      </c>
      <c r="I453" s="19" t="str">
        <f>Sheet1!I453</f>
        <v/>
      </c>
      <c r="J453" s="19" t="str">
        <f>Sheet1!J453</f>
        <v/>
      </c>
      <c r="K453" s="19" t="str">
        <f>Sheet1!K453</f>
        <v/>
      </c>
      <c r="L453" s="19" t="str">
        <f>Sheet1!L453</f>
        <v/>
      </c>
      <c r="M453" s="19" t="str">
        <f>Sheet1!M453</f>
        <v/>
      </c>
      <c r="N453" s="19" t="str">
        <f>Sheet1!N453</f>
        <v/>
      </c>
      <c r="O453" s="19" t="str">
        <f>Sheet1!O453</f>
        <v/>
      </c>
      <c r="P453" s="19" t="str">
        <f>Sheet1!P453</f>
        <v/>
      </c>
      <c r="Q453" s="19" t="str">
        <f>Sheet1!Q453</f>
        <v/>
      </c>
      <c r="R453" s="19" t="str">
        <f>Sheet1!R453</f>
        <v/>
      </c>
      <c r="S453" s="19" t="str">
        <f>Sheet1!S453</f>
        <v/>
      </c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/>
      <c r="EG453" s="21"/>
      <c r="EH453" s="21"/>
      <c r="EI453" s="21"/>
      <c r="EJ453" s="21"/>
      <c r="EK453" s="21"/>
      <c r="EL453" s="21"/>
      <c r="EM453" s="21"/>
      <c r="EN453" s="21"/>
      <c r="EO453" s="21"/>
      <c r="EP453" s="21"/>
      <c r="EQ453" s="21"/>
      <c r="ER453" s="21"/>
      <c r="ES453" s="21"/>
      <c r="ET453" s="21"/>
      <c r="EU453" s="21"/>
      <c r="EV453" s="21"/>
      <c r="EW453" s="21"/>
      <c r="EX453" s="21"/>
      <c r="EY453" s="21"/>
      <c r="EZ453" s="21"/>
      <c r="FA453" s="21"/>
      <c r="FB453" s="21"/>
      <c r="FC453" s="21"/>
      <c r="FD453" s="21"/>
      <c r="FE453" s="21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21"/>
      <c r="FW453" s="21"/>
      <c r="FX453" s="21"/>
      <c r="FY453" s="21"/>
      <c r="FZ453" s="21"/>
      <c r="GA453" s="21"/>
      <c r="GB453" s="21"/>
      <c r="GC453" s="21"/>
      <c r="GD453" s="21"/>
      <c r="GE453" s="21"/>
      <c r="GF453" s="21"/>
      <c r="GG453" s="21"/>
      <c r="GH453" s="21"/>
      <c r="GI453" s="21"/>
    </row>
    <row r="454">
      <c r="A454" s="19" t="str">
        <f>Sheet1!A454</f>
        <v/>
      </c>
      <c r="B454" s="19" t="str">
        <f>Sheet1!B454</f>
        <v/>
      </c>
      <c r="C454" s="19" t="str">
        <f>Sheet1!C454</f>
        <v/>
      </c>
      <c r="D454" s="19" t="str">
        <f>Sheet1!D454</f>
        <v/>
      </c>
      <c r="E454" s="19" t="str">
        <f>Sheet1!E454</f>
        <v/>
      </c>
      <c r="F454" s="19" t="str">
        <f>Sheet1!F454</f>
        <v/>
      </c>
      <c r="G454" s="19" t="str">
        <f>Sheet1!G454</f>
        <v/>
      </c>
      <c r="H454" s="19" t="str">
        <f>Sheet1!H454</f>
        <v/>
      </c>
      <c r="I454" s="19" t="str">
        <f>Sheet1!I454</f>
        <v/>
      </c>
      <c r="J454" s="19" t="str">
        <f>Sheet1!J454</f>
        <v/>
      </c>
      <c r="K454" s="19" t="str">
        <f>Sheet1!K454</f>
        <v/>
      </c>
      <c r="L454" s="19" t="str">
        <f>Sheet1!L454</f>
        <v/>
      </c>
      <c r="M454" s="19" t="str">
        <f>Sheet1!M454</f>
        <v/>
      </c>
      <c r="N454" s="19" t="str">
        <f>Sheet1!N454</f>
        <v/>
      </c>
      <c r="O454" s="19" t="str">
        <f>Sheet1!O454</f>
        <v/>
      </c>
      <c r="P454" s="19" t="str">
        <f>Sheet1!P454</f>
        <v/>
      </c>
      <c r="Q454" s="19" t="str">
        <f>Sheet1!Q454</f>
        <v/>
      </c>
      <c r="R454" s="19" t="str">
        <f>Sheet1!R454</f>
        <v/>
      </c>
      <c r="S454" s="19" t="str">
        <f>Sheet1!S454</f>
        <v/>
      </c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/>
      <c r="EG454" s="21"/>
      <c r="EH454" s="21"/>
      <c r="EI454" s="21"/>
      <c r="EJ454" s="21"/>
      <c r="EK454" s="21"/>
      <c r="EL454" s="21"/>
      <c r="EM454" s="21"/>
      <c r="EN454" s="21"/>
      <c r="EO454" s="21"/>
      <c r="EP454" s="21"/>
      <c r="EQ454" s="21"/>
      <c r="ER454" s="21"/>
      <c r="ES454" s="21"/>
      <c r="ET454" s="21"/>
      <c r="EU454" s="21"/>
      <c r="EV454" s="21"/>
      <c r="EW454" s="21"/>
      <c r="EX454" s="21"/>
      <c r="EY454" s="21"/>
      <c r="EZ454" s="21"/>
      <c r="FA454" s="21"/>
      <c r="FB454" s="21"/>
      <c r="FC454" s="21"/>
      <c r="FD454" s="21"/>
      <c r="FE454" s="21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21"/>
      <c r="FW454" s="21"/>
      <c r="FX454" s="21"/>
      <c r="FY454" s="21"/>
      <c r="FZ454" s="21"/>
      <c r="GA454" s="21"/>
      <c r="GB454" s="21"/>
      <c r="GC454" s="21"/>
      <c r="GD454" s="21"/>
      <c r="GE454" s="21"/>
      <c r="GF454" s="21"/>
      <c r="GG454" s="21"/>
      <c r="GH454" s="21"/>
      <c r="GI454" s="21"/>
    </row>
    <row r="455">
      <c r="A455" s="19" t="str">
        <f>Sheet1!A455</f>
        <v/>
      </c>
      <c r="B455" s="19" t="str">
        <f>Sheet1!B455</f>
        <v/>
      </c>
      <c r="C455" s="19" t="str">
        <f>Sheet1!C455</f>
        <v/>
      </c>
      <c r="D455" s="19" t="str">
        <f>Sheet1!D455</f>
        <v/>
      </c>
      <c r="E455" s="19" t="str">
        <f>Sheet1!E455</f>
        <v/>
      </c>
      <c r="F455" s="19" t="str">
        <f>Sheet1!F455</f>
        <v/>
      </c>
      <c r="G455" s="19" t="str">
        <f>Sheet1!G455</f>
        <v/>
      </c>
      <c r="H455" s="19" t="str">
        <f>Sheet1!H455</f>
        <v/>
      </c>
      <c r="I455" s="19" t="str">
        <f>Sheet1!I455</f>
        <v/>
      </c>
      <c r="J455" s="19" t="str">
        <f>Sheet1!J455</f>
        <v/>
      </c>
      <c r="K455" s="19" t="str">
        <f>Sheet1!K455</f>
        <v/>
      </c>
      <c r="L455" s="19" t="str">
        <f>Sheet1!L455</f>
        <v/>
      </c>
      <c r="M455" s="19" t="str">
        <f>Sheet1!M455</f>
        <v/>
      </c>
      <c r="N455" s="19" t="str">
        <f>Sheet1!N455</f>
        <v/>
      </c>
      <c r="O455" s="19" t="str">
        <f>Sheet1!O455</f>
        <v/>
      </c>
      <c r="P455" s="19" t="str">
        <f>Sheet1!P455</f>
        <v/>
      </c>
      <c r="Q455" s="19" t="str">
        <f>Sheet1!Q455</f>
        <v/>
      </c>
      <c r="R455" s="19" t="str">
        <f>Sheet1!R455</f>
        <v/>
      </c>
      <c r="S455" s="19" t="str">
        <f>Sheet1!S455</f>
        <v/>
      </c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/>
      <c r="EG455" s="21"/>
      <c r="EH455" s="21"/>
      <c r="EI455" s="21"/>
      <c r="EJ455" s="21"/>
      <c r="EK455" s="21"/>
      <c r="EL455" s="21"/>
      <c r="EM455" s="21"/>
      <c r="EN455" s="21"/>
      <c r="EO455" s="21"/>
      <c r="EP455" s="21"/>
      <c r="EQ455" s="21"/>
      <c r="ER455" s="21"/>
      <c r="ES455" s="21"/>
      <c r="ET455" s="21"/>
      <c r="EU455" s="21"/>
      <c r="EV455" s="21"/>
      <c r="EW455" s="21"/>
      <c r="EX455" s="21"/>
      <c r="EY455" s="21"/>
      <c r="EZ455" s="21"/>
      <c r="FA455" s="21"/>
      <c r="FB455" s="21"/>
      <c r="FC455" s="21"/>
      <c r="FD455" s="21"/>
      <c r="FE455" s="21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21"/>
      <c r="FW455" s="21"/>
      <c r="FX455" s="21"/>
      <c r="FY455" s="21"/>
      <c r="FZ455" s="21"/>
      <c r="GA455" s="21"/>
      <c r="GB455" s="21"/>
      <c r="GC455" s="21"/>
      <c r="GD455" s="21"/>
      <c r="GE455" s="21"/>
      <c r="GF455" s="21"/>
      <c r="GG455" s="21"/>
      <c r="GH455" s="21"/>
      <c r="GI455" s="21"/>
    </row>
    <row r="456">
      <c r="A456" s="19" t="str">
        <f>Sheet1!A456</f>
        <v/>
      </c>
      <c r="B456" s="19" t="str">
        <f>Sheet1!B456</f>
        <v/>
      </c>
      <c r="C456" s="19" t="str">
        <f>Sheet1!C456</f>
        <v/>
      </c>
      <c r="D456" s="19" t="str">
        <f>Sheet1!D456</f>
        <v/>
      </c>
      <c r="E456" s="19" t="str">
        <f>Sheet1!E456</f>
        <v/>
      </c>
      <c r="F456" s="19" t="str">
        <f>Sheet1!F456</f>
        <v/>
      </c>
      <c r="G456" s="19" t="str">
        <f>Sheet1!G456</f>
        <v/>
      </c>
      <c r="H456" s="19" t="str">
        <f>Sheet1!H456</f>
        <v/>
      </c>
      <c r="I456" s="19" t="str">
        <f>Sheet1!I456</f>
        <v/>
      </c>
      <c r="J456" s="19" t="str">
        <f>Sheet1!J456</f>
        <v/>
      </c>
      <c r="K456" s="19" t="str">
        <f>Sheet1!K456</f>
        <v/>
      </c>
      <c r="L456" s="19" t="str">
        <f>Sheet1!L456</f>
        <v/>
      </c>
      <c r="M456" s="19" t="str">
        <f>Sheet1!M456</f>
        <v/>
      </c>
      <c r="N456" s="19" t="str">
        <f>Sheet1!N456</f>
        <v/>
      </c>
      <c r="O456" s="19" t="str">
        <f>Sheet1!O456</f>
        <v/>
      </c>
      <c r="P456" s="19" t="str">
        <f>Sheet1!P456</f>
        <v/>
      </c>
      <c r="Q456" s="19" t="str">
        <f>Sheet1!Q456</f>
        <v/>
      </c>
      <c r="R456" s="19" t="str">
        <f>Sheet1!R456</f>
        <v/>
      </c>
      <c r="S456" s="19" t="str">
        <f>Sheet1!S456</f>
        <v/>
      </c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/>
      <c r="GG456" s="21"/>
      <c r="GH456" s="21"/>
      <c r="GI456" s="21"/>
    </row>
    <row r="457">
      <c r="A457" s="19" t="str">
        <f>Sheet1!A457</f>
        <v/>
      </c>
      <c r="B457" s="19" t="str">
        <f>Sheet1!B457</f>
        <v/>
      </c>
      <c r="C457" s="19" t="str">
        <f>Sheet1!C457</f>
        <v/>
      </c>
      <c r="D457" s="19" t="str">
        <f>Sheet1!D457</f>
        <v/>
      </c>
      <c r="E457" s="19" t="str">
        <f>Sheet1!E457</f>
        <v/>
      </c>
      <c r="F457" s="19" t="str">
        <f>Sheet1!F457</f>
        <v/>
      </c>
      <c r="G457" s="19" t="str">
        <f>Sheet1!G457</f>
        <v/>
      </c>
      <c r="H457" s="19" t="str">
        <f>Sheet1!H457</f>
        <v/>
      </c>
      <c r="I457" s="19" t="str">
        <f>Sheet1!I457</f>
        <v/>
      </c>
      <c r="J457" s="19" t="str">
        <f>Sheet1!J457</f>
        <v/>
      </c>
      <c r="K457" s="19" t="str">
        <f>Sheet1!K457</f>
        <v/>
      </c>
      <c r="L457" s="19" t="str">
        <f>Sheet1!L457</f>
        <v/>
      </c>
      <c r="M457" s="19" t="str">
        <f>Sheet1!M457</f>
        <v/>
      </c>
      <c r="N457" s="19" t="str">
        <f>Sheet1!N457</f>
        <v/>
      </c>
      <c r="O457" s="19" t="str">
        <f>Sheet1!O457</f>
        <v/>
      </c>
      <c r="P457" s="19" t="str">
        <f>Sheet1!P457</f>
        <v/>
      </c>
      <c r="Q457" s="19" t="str">
        <f>Sheet1!Q457</f>
        <v/>
      </c>
      <c r="R457" s="19" t="str">
        <f>Sheet1!R457</f>
        <v/>
      </c>
      <c r="S457" s="19" t="str">
        <f>Sheet1!S457</f>
        <v/>
      </c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/>
      <c r="EG457" s="21"/>
      <c r="EH457" s="21"/>
      <c r="EI457" s="21"/>
      <c r="EJ457" s="21"/>
      <c r="EK457" s="21"/>
      <c r="EL457" s="21"/>
      <c r="EM457" s="21"/>
      <c r="EN457" s="21"/>
      <c r="EO457" s="21"/>
      <c r="EP457" s="21"/>
      <c r="EQ457" s="21"/>
      <c r="ER457" s="21"/>
      <c r="ES457" s="21"/>
      <c r="ET457" s="21"/>
      <c r="EU457" s="21"/>
      <c r="EV457" s="21"/>
      <c r="EW457" s="21"/>
      <c r="EX457" s="21"/>
      <c r="EY457" s="21"/>
      <c r="EZ457" s="21"/>
      <c r="FA457" s="21"/>
      <c r="FB457" s="21"/>
      <c r="FC457" s="21"/>
      <c r="FD457" s="21"/>
      <c r="FE457" s="21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21"/>
      <c r="FW457" s="21"/>
      <c r="FX457" s="21"/>
      <c r="FY457" s="21"/>
      <c r="FZ457" s="21"/>
      <c r="GA457" s="21"/>
      <c r="GB457" s="21"/>
      <c r="GC457" s="21"/>
      <c r="GD457" s="21"/>
      <c r="GE457" s="21"/>
      <c r="GF457" s="21"/>
      <c r="GG457" s="21"/>
      <c r="GH457" s="21"/>
      <c r="GI457" s="21"/>
    </row>
    <row r="458">
      <c r="A458" s="19" t="str">
        <f>Sheet1!A458</f>
        <v/>
      </c>
      <c r="B458" s="19" t="str">
        <f>Sheet1!B458</f>
        <v/>
      </c>
      <c r="C458" s="19" t="str">
        <f>Sheet1!C458</f>
        <v/>
      </c>
      <c r="D458" s="19" t="str">
        <f>Sheet1!D458</f>
        <v/>
      </c>
      <c r="E458" s="19" t="str">
        <f>Sheet1!E458</f>
        <v/>
      </c>
      <c r="F458" s="19" t="str">
        <f>Sheet1!F458</f>
        <v/>
      </c>
      <c r="G458" s="19" t="str">
        <f>Sheet1!G458</f>
        <v/>
      </c>
      <c r="H458" s="19" t="str">
        <f>Sheet1!H458</f>
        <v/>
      </c>
      <c r="I458" s="19" t="str">
        <f>Sheet1!I458</f>
        <v/>
      </c>
      <c r="J458" s="19" t="str">
        <f>Sheet1!J458</f>
        <v/>
      </c>
      <c r="K458" s="19" t="str">
        <f>Sheet1!K458</f>
        <v/>
      </c>
      <c r="L458" s="19" t="str">
        <f>Sheet1!L458</f>
        <v/>
      </c>
      <c r="M458" s="19" t="str">
        <f>Sheet1!M458</f>
        <v/>
      </c>
      <c r="N458" s="19" t="str">
        <f>Sheet1!N458</f>
        <v/>
      </c>
      <c r="O458" s="19" t="str">
        <f>Sheet1!O458</f>
        <v/>
      </c>
      <c r="P458" s="19" t="str">
        <f>Sheet1!P458</f>
        <v/>
      </c>
      <c r="Q458" s="19" t="str">
        <f>Sheet1!Q458</f>
        <v/>
      </c>
      <c r="R458" s="19" t="str">
        <f>Sheet1!R458</f>
        <v/>
      </c>
      <c r="S458" s="19" t="str">
        <f>Sheet1!S458</f>
        <v/>
      </c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</row>
    <row r="459">
      <c r="A459" s="19" t="str">
        <f>Sheet1!A459</f>
        <v/>
      </c>
      <c r="B459" s="19" t="str">
        <f>Sheet1!B459</f>
        <v/>
      </c>
      <c r="C459" s="19" t="str">
        <f>Sheet1!C459</f>
        <v/>
      </c>
      <c r="D459" s="19" t="str">
        <f>Sheet1!D459</f>
        <v/>
      </c>
      <c r="E459" s="19" t="str">
        <f>Sheet1!E459</f>
        <v/>
      </c>
      <c r="F459" s="19" t="str">
        <f>Sheet1!F459</f>
        <v/>
      </c>
      <c r="G459" s="19" t="str">
        <f>Sheet1!G459</f>
        <v/>
      </c>
      <c r="H459" s="19" t="str">
        <f>Sheet1!H459</f>
        <v/>
      </c>
      <c r="I459" s="19" t="str">
        <f>Sheet1!I459</f>
        <v/>
      </c>
      <c r="J459" s="19" t="str">
        <f>Sheet1!J459</f>
        <v/>
      </c>
      <c r="K459" s="19" t="str">
        <f>Sheet1!K459</f>
        <v/>
      </c>
      <c r="L459" s="19" t="str">
        <f>Sheet1!L459</f>
        <v/>
      </c>
      <c r="M459" s="19" t="str">
        <f>Sheet1!M459</f>
        <v/>
      </c>
      <c r="N459" s="19" t="str">
        <f>Sheet1!N459</f>
        <v/>
      </c>
      <c r="O459" s="19" t="str">
        <f>Sheet1!O459</f>
        <v/>
      </c>
      <c r="P459" s="19" t="str">
        <f>Sheet1!P459</f>
        <v/>
      </c>
      <c r="Q459" s="19" t="str">
        <f>Sheet1!Q459</f>
        <v/>
      </c>
      <c r="R459" s="19" t="str">
        <f>Sheet1!R459</f>
        <v/>
      </c>
      <c r="S459" s="19" t="str">
        <f>Sheet1!S459</f>
        <v/>
      </c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/>
      <c r="EG459" s="21"/>
      <c r="EH459" s="21"/>
      <c r="EI459" s="21"/>
      <c r="EJ459" s="21"/>
      <c r="EK459" s="21"/>
      <c r="EL459" s="21"/>
      <c r="EM459" s="21"/>
      <c r="EN459" s="21"/>
      <c r="EO459" s="21"/>
      <c r="EP459" s="21"/>
      <c r="EQ459" s="21"/>
      <c r="ER459" s="21"/>
      <c r="ES459" s="21"/>
      <c r="ET459" s="21"/>
      <c r="EU459" s="21"/>
      <c r="EV459" s="21"/>
      <c r="EW459" s="21"/>
      <c r="EX459" s="21"/>
      <c r="EY459" s="21"/>
      <c r="EZ459" s="21"/>
      <c r="FA459" s="21"/>
      <c r="FB459" s="21"/>
      <c r="FC459" s="21"/>
      <c r="FD459" s="21"/>
      <c r="FE459" s="21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21"/>
      <c r="FW459" s="21"/>
      <c r="FX459" s="21"/>
      <c r="FY459" s="21"/>
      <c r="FZ459" s="21"/>
      <c r="GA459" s="21"/>
      <c r="GB459" s="21"/>
      <c r="GC459" s="21"/>
      <c r="GD459" s="21"/>
      <c r="GE459" s="21"/>
      <c r="GF459" s="21"/>
      <c r="GG459" s="21"/>
      <c r="GH459" s="21"/>
      <c r="GI459" s="21"/>
    </row>
    <row r="460">
      <c r="A460" s="19" t="str">
        <f>Sheet1!A460</f>
        <v/>
      </c>
      <c r="B460" s="19" t="str">
        <f>Sheet1!B460</f>
        <v/>
      </c>
      <c r="C460" s="19" t="str">
        <f>Sheet1!C460</f>
        <v/>
      </c>
      <c r="D460" s="19" t="str">
        <f>Sheet1!D460</f>
        <v/>
      </c>
      <c r="E460" s="19" t="str">
        <f>Sheet1!E460</f>
        <v/>
      </c>
      <c r="F460" s="19" t="str">
        <f>Sheet1!F460</f>
        <v/>
      </c>
      <c r="G460" s="19" t="str">
        <f>Sheet1!G460</f>
        <v/>
      </c>
      <c r="H460" s="19" t="str">
        <f>Sheet1!H460</f>
        <v/>
      </c>
      <c r="I460" s="19" t="str">
        <f>Sheet1!I460</f>
        <v/>
      </c>
      <c r="J460" s="19" t="str">
        <f>Sheet1!J460</f>
        <v/>
      </c>
      <c r="K460" s="19" t="str">
        <f>Sheet1!K460</f>
        <v/>
      </c>
      <c r="L460" s="19" t="str">
        <f>Sheet1!L460</f>
        <v/>
      </c>
      <c r="M460" s="19" t="str">
        <f>Sheet1!M460</f>
        <v/>
      </c>
      <c r="N460" s="19" t="str">
        <f>Sheet1!N460</f>
        <v/>
      </c>
      <c r="O460" s="19" t="str">
        <f>Sheet1!O460</f>
        <v/>
      </c>
      <c r="P460" s="19" t="str">
        <f>Sheet1!P460</f>
        <v/>
      </c>
      <c r="Q460" s="19" t="str">
        <f>Sheet1!Q460</f>
        <v/>
      </c>
      <c r="R460" s="19" t="str">
        <f>Sheet1!R460</f>
        <v/>
      </c>
      <c r="S460" s="19" t="str">
        <f>Sheet1!S460</f>
        <v/>
      </c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/>
      <c r="EG460" s="21"/>
      <c r="EH460" s="21"/>
      <c r="EI460" s="21"/>
      <c r="EJ460" s="21"/>
      <c r="EK460" s="21"/>
      <c r="EL460" s="21"/>
      <c r="EM460" s="21"/>
      <c r="EN460" s="21"/>
      <c r="EO460" s="21"/>
      <c r="EP460" s="21"/>
      <c r="EQ460" s="21"/>
      <c r="ER460" s="21"/>
      <c r="ES460" s="21"/>
      <c r="ET460" s="21"/>
      <c r="EU460" s="21"/>
      <c r="EV460" s="21"/>
      <c r="EW460" s="21"/>
      <c r="EX460" s="21"/>
      <c r="EY460" s="21"/>
      <c r="EZ460" s="21"/>
      <c r="FA460" s="21"/>
      <c r="FB460" s="21"/>
      <c r="FC460" s="21"/>
      <c r="FD460" s="21"/>
      <c r="FE460" s="21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21"/>
      <c r="FW460" s="21"/>
      <c r="FX460" s="21"/>
      <c r="FY460" s="21"/>
      <c r="FZ460" s="21"/>
      <c r="GA460" s="21"/>
      <c r="GB460" s="21"/>
      <c r="GC460" s="21"/>
      <c r="GD460" s="21"/>
      <c r="GE460" s="21"/>
      <c r="GF460" s="21"/>
      <c r="GG460" s="21"/>
      <c r="GH460" s="21"/>
      <c r="GI460" s="21"/>
    </row>
    <row r="461">
      <c r="A461" s="19" t="str">
        <f>Sheet1!A461</f>
        <v/>
      </c>
      <c r="B461" s="19" t="str">
        <f>Sheet1!B461</f>
        <v/>
      </c>
      <c r="C461" s="19" t="str">
        <f>Sheet1!C461</f>
        <v/>
      </c>
      <c r="D461" s="19" t="str">
        <f>Sheet1!D461</f>
        <v/>
      </c>
      <c r="E461" s="19" t="str">
        <f>Sheet1!E461</f>
        <v/>
      </c>
      <c r="F461" s="19" t="str">
        <f>Sheet1!F461</f>
        <v/>
      </c>
      <c r="G461" s="19" t="str">
        <f>Sheet1!G461</f>
        <v/>
      </c>
      <c r="H461" s="19" t="str">
        <f>Sheet1!H461</f>
        <v/>
      </c>
      <c r="I461" s="19" t="str">
        <f>Sheet1!I461</f>
        <v/>
      </c>
      <c r="J461" s="19" t="str">
        <f>Sheet1!J461</f>
        <v/>
      </c>
      <c r="K461" s="19" t="str">
        <f>Sheet1!K461</f>
        <v/>
      </c>
      <c r="L461" s="19" t="str">
        <f>Sheet1!L461</f>
        <v/>
      </c>
      <c r="M461" s="19" t="str">
        <f>Sheet1!M461</f>
        <v/>
      </c>
      <c r="N461" s="19" t="str">
        <f>Sheet1!N461</f>
        <v/>
      </c>
      <c r="O461" s="19" t="str">
        <f>Sheet1!O461</f>
        <v/>
      </c>
      <c r="P461" s="19" t="str">
        <f>Sheet1!P461</f>
        <v/>
      </c>
      <c r="Q461" s="19" t="str">
        <f>Sheet1!Q461</f>
        <v/>
      </c>
      <c r="R461" s="19" t="str">
        <f>Sheet1!R461</f>
        <v/>
      </c>
      <c r="S461" s="19" t="str">
        <f>Sheet1!S461</f>
        <v/>
      </c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/>
      <c r="EG461" s="21"/>
      <c r="EH461" s="21"/>
      <c r="EI461" s="21"/>
      <c r="EJ461" s="21"/>
      <c r="EK461" s="21"/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</row>
    <row r="462">
      <c r="A462" s="19" t="str">
        <f>Sheet1!A462</f>
        <v/>
      </c>
      <c r="B462" s="19" t="str">
        <f>Sheet1!B462</f>
        <v/>
      </c>
      <c r="C462" s="19" t="str">
        <f>Sheet1!C462</f>
        <v/>
      </c>
      <c r="D462" s="19" t="str">
        <f>Sheet1!D462</f>
        <v/>
      </c>
      <c r="E462" s="19" t="str">
        <f>Sheet1!E462</f>
        <v/>
      </c>
      <c r="F462" s="19" t="str">
        <f>Sheet1!F462</f>
        <v/>
      </c>
      <c r="G462" s="19" t="str">
        <f>Sheet1!G462</f>
        <v/>
      </c>
      <c r="H462" s="19" t="str">
        <f>Sheet1!H462</f>
        <v/>
      </c>
      <c r="I462" s="19" t="str">
        <f>Sheet1!I462</f>
        <v/>
      </c>
      <c r="J462" s="19" t="str">
        <f>Sheet1!J462</f>
        <v/>
      </c>
      <c r="K462" s="19" t="str">
        <f>Sheet1!K462</f>
        <v/>
      </c>
      <c r="L462" s="19" t="str">
        <f>Sheet1!L462</f>
        <v/>
      </c>
      <c r="M462" s="19" t="str">
        <f>Sheet1!M462</f>
        <v/>
      </c>
      <c r="N462" s="19" t="str">
        <f>Sheet1!N462</f>
        <v/>
      </c>
      <c r="O462" s="19" t="str">
        <f>Sheet1!O462</f>
        <v/>
      </c>
      <c r="P462" s="19" t="str">
        <f>Sheet1!P462</f>
        <v/>
      </c>
      <c r="Q462" s="19" t="str">
        <f>Sheet1!Q462</f>
        <v/>
      </c>
      <c r="R462" s="19" t="str">
        <f>Sheet1!R462</f>
        <v/>
      </c>
      <c r="S462" s="19" t="str">
        <f>Sheet1!S462</f>
        <v/>
      </c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/>
      <c r="EG462" s="21"/>
      <c r="EH462" s="21"/>
      <c r="EI462" s="21"/>
      <c r="EJ462" s="21"/>
      <c r="EK462" s="21"/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</row>
    <row r="463">
      <c r="A463" s="19" t="str">
        <f>Sheet1!A463</f>
        <v/>
      </c>
      <c r="B463" s="19" t="str">
        <f>Sheet1!B463</f>
        <v/>
      </c>
      <c r="C463" s="19" t="str">
        <f>Sheet1!C463</f>
        <v/>
      </c>
      <c r="D463" s="19" t="str">
        <f>Sheet1!D463</f>
        <v/>
      </c>
      <c r="E463" s="19" t="str">
        <f>Sheet1!E463</f>
        <v/>
      </c>
      <c r="F463" s="19" t="str">
        <f>Sheet1!F463</f>
        <v/>
      </c>
      <c r="G463" s="19" t="str">
        <f>Sheet1!G463</f>
        <v/>
      </c>
      <c r="H463" s="19" t="str">
        <f>Sheet1!H463</f>
        <v/>
      </c>
      <c r="I463" s="19" t="str">
        <f>Sheet1!I463</f>
        <v/>
      </c>
      <c r="J463" s="19" t="str">
        <f>Sheet1!J463</f>
        <v/>
      </c>
      <c r="K463" s="19" t="str">
        <f>Sheet1!K463</f>
        <v/>
      </c>
      <c r="L463" s="19" t="str">
        <f>Sheet1!L463</f>
        <v/>
      </c>
      <c r="M463" s="19" t="str">
        <f>Sheet1!M463</f>
        <v/>
      </c>
      <c r="N463" s="19" t="str">
        <f>Sheet1!N463</f>
        <v/>
      </c>
      <c r="O463" s="19" t="str">
        <f>Sheet1!O463</f>
        <v/>
      </c>
      <c r="P463" s="19" t="str">
        <f>Sheet1!P463</f>
        <v/>
      </c>
      <c r="Q463" s="19" t="str">
        <f>Sheet1!Q463</f>
        <v/>
      </c>
      <c r="R463" s="19" t="str">
        <f>Sheet1!R463</f>
        <v/>
      </c>
      <c r="S463" s="19" t="str">
        <f>Sheet1!S463</f>
        <v/>
      </c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/>
      <c r="EG463" s="21"/>
      <c r="EH463" s="21"/>
      <c r="EI463" s="21"/>
      <c r="EJ463" s="21"/>
      <c r="EK463" s="21"/>
      <c r="EL463" s="21"/>
      <c r="EM463" s="21"/>
      <c r="EN463" s="21"/>
      <c r="EO463" s="21"/>
      <c r="EP463" s="21"/>
      <c r="EQ463" s="21"/>
      <c r="ER463" s="21"/>
      <c r="ES463" s="21"/>
      <c r="ET463" s="21"/>
      <c r="EU463" s="21"/>
      <c r="EV463" s="21"/>
      <c r="EW463" s="21"/>
      <c r="EX463" s="21"/>
      <c r="EY463" s="21"/>
      <c r="EZ463" s="21"/>
      <c r="FA463" s="21"/>
      <c r="FB463" s="21"/>
      <c r="FC463" s="21"/>
      <c r="FD463" s="21"/>
      <c r="FE463" s="21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21"/>
      <c r="FW463" s="21"/>
      <c r="FX463" s="21"/>
      <c r="FY463" s="21"/>
      <c r="FZ463" s="21"/>
      <c r="GA463" s="21"/>
      <c r="GB463" s="21"/>
      <c r="GC463" s="21"/>
      <c r="GD463" s="21"/>
      <c r="GE463" s="21"/>
      <c r="GF463" s="21"/>
      <c r="GG463" s="21"/>
      <c r="GH463" s="21"/>
      <c r="GI463" s="21"/>
    </row>
    <row r="464">
      <c r="A464" s="19" t="str">
        <f>Sheet1!A464</f>
        <v/>
      </c>
      <c r="B464" s="19" t="str">
        <f>Sheet1!B464</f>
        <v/>
      </c>
      <c r="C464" s="19" t="str">
        <f>Sheet1!C464</f>
        <v/>
      </c>
      <c r="D464" s="19" t="str">
        <f>Sheet1!D464</f>
        <v/>
      </c>
      <c r="E464" s="19" t="str">
        <f>Sheet1!E464</f>
        <v/>
      </c>
      <c r="F464" s="19" t="str">
        <f>Sheet1!F464</f>
        <v/>
      </c>
      <c r="G464" s="19" t="str">
        <f>Sheet1!G464</f>
        <v/>
      </c>
      <c r="H464" s="19" t="str">
        <f>Sheet1!H464</f>
        <v/>
      </c>
      <c r="I464" s="19" t="str">
        <f>Sheet1!I464</f>
        <v/>
      </c>
      <c r="J464" s="19" t="str">
        <f>Sheet1!J464</f>
        <v/>
      </c>
      <c r="K464" s="19" t="str">
        <f>Sheet1!K464</f>
        <v/>
      </c>
      <c r="L464" s="19" t="str">
        <f>Sheet1!L464</f>
        <v/>
      </c>
      <c r="M464" s="19" t="str">
        <f>Sheet1!M464</f>
        <v/>
      </c>
      <c r="N464" s="19" t="str">
        <f>Sheet1!N464</f>
        <v/>
      </c>
      <c r="O464" s="19" t="str">
        <f>Sheet1!O464</f>
        <v/>
      </c>
      <c r="P464" s="19" t="str">
        <f>Sheet1!P464</f>
        <v/>
      </c>
      <c r="Q464" s="19" t="str">
        <f>Sheet1!Q464</f>
        <v/>
      </c>
      <c r="R464" s="19" t="str">
        <f>Sheet1!R464</f>
        <v/>
      </c>
      <c r="S464" s="19" t="str">
        <f>Sheet1!S464</f>
        <v/>
      </c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/>
      <c r="EG464" s="21"/>
      <c r="EH464" s="21"/>
      <c r="EI464" s="21"/>
      <c r="EJ464" s="21"/>
      <c r="EK464" s="21"/>
      <c r="EL464" s="21"/>
      <c r="EM464" s="21"/>
      <c r="EN464" s="21"/>
      <c r="EO464" s="21"/>
      <c r="EP464" s="21"/>
      <c r="EQ464" s="21"/>
      <c r="ER464" s="21"/>
      <c r="ES464" s="21"/>
      <c r="ET464" s="21"/>
      <c r="EU464" s="21"/>
      <c r="EV464" s="21"/>
      <c r="EW464" s="21"/>
      <c r="EX464" s="21"/>
      <c r="EY464" s="21"/>
      <c r="EZ464" s="21"/>
      <c r="FA464" s="21"/>
      <c r="FB464" s="21"/>
      <c r="FC464" s="21"/>
      <c r="FD464" s="21"/>
      <c r="FE464" s="21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21"/>
      <c r="FW464" s="21"/>
      <c r="FX464" s="21"/>
      <c r="FY464" s="21"/>
      <c r="FZ464" s="21"/>
      <c r="GA464" s="21"/>
      <c r="GB464" s="21"/>
      <c r="GC464" s="21"/>
      <c r="GD464" s="21"/>
      <c r="GE464" s="21"/>
      <c r="GF464" s="21"/>
      <c r="GG464" s="21"/>
      <c r="GH464" s="21"/>
      <c r="GI464" s="21"/>
    </row>
    <row r="465">
      <c r="A465" s="19" t="str">
        <f>Sheet1!A465</f>
        <v/>
      </c>
      <c r="B465" s="19" t="str">
        <f>Sheet1!B465</f>
        <v/>
      </c>
      <c r="C465" s="19" t="str">
        <f>Sheet1!C465</f>
        <v/>
      </c>
      <c r="D465" s="19" t="str">
        <f>Sheet1!D465</f>
        <v/>
      </c>
      <c r="E465" s="19" t="str">
        <f>Sheet1!E465</f>
        <v/>
      </c>
      <c r="F465" s="19" t="str">
        <f>Sheet1!F465</f>
        <v/>
      </c>
      <c r="G465" s="19" t="str">
        <f>Sheet1!G465</f>
        <v/>
      </c>
      <c r="H465" s="19" t="str">
        <f>Sheet1!H465</f>
        <v/>
      </c>
      <c r="I465" s="19" t="str">
        <f>Sheet1!I465</f>
        <v/>
      </c>
      <c r="J465" s="19" t="str">
        <f>Sheet1!J465</f>
        <v/>
      </c>
      <c r="K465" s="19" t="str">
        <f>Sheet1!K465</f>
        <v/>
      </c>
      <c r="L465" s="19" t="str">
        <f>Sheet1!L465</f>
        <v/>
      </c>
      <c r="M465" s="19" t="str">
        <f>Sheet1!M465</f>
        <v/>
      </c>
      <c r="N465" s="19" t="str">
        <f>Sheet1!N465</f>
        <v/>
      </c>
      <c r="O465" s="19" t="str">
        <f>Sheet1!O465</f>
        <v/>
      </c>
      <c r="P465" s="19" t="str">
        <f>Sheet1!P465</f>
        <v/>
      </c>
      <c r="Q465" s="19" t="str">
        <f>Sheet1!Q465</f>
        <v/>
      </c>
      <c r="R465" s="19" t="str">
        <f>Sheet1!R465</f>
        <v/>
      </c>
      <c r="S465" s="19" t="str">
        <f>Sheet1!S465</f>
        <v/>
      </c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/>
      <c r="EG465" s="21"/>
      <c r="EH465" s="21"/>
      <c r="EI465" s="21"/>
      <c r="EJ465" s="21"/>
      <c r="EK465" s="21"/>
      <c r="EL465" s="21"/>
      <c r="EM465" s="21"/>
      <c r="EN465" s="21"/>
      <c r="EO465" s="21"/>
      <c r="EP465" s="21"/>
      <c r="EQ465" s="21"/>
      <c r="ER465" s="21"/>
      <c r="ES465" s="21"/>
      <c r="ET465" s="21"/>
      <c r="EU465" s="21"/>
      <c r="EV465" s="21"/>
      <c r="EW465" s="21"/>
      <c r="EX465" s="21"/>
      <c r="EY465" s="21"/>
      <c r="EZ465" s="21"/>
      <c r="FA465" s="21"/>
      <c r="FB465" s="21"/>
      <c r="FC465" s="21"/>
      <c r="FD465" s="21"/>
      <c r="FE465" s="21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21"/>
      <c r="FW465" s="21"/>
      <c r="FX465" s="21"/>
      <c r="FY465" s="21"/>
      <c r="FZ465" s="21"/>
      <c r="GA465" s="21"/>
      <c r="GB465" s="21"/>
      <c r="GC465" s="21"/>
      <c r="GD465" s="21"/>
      <c r="GE465" s="21"/>
      <c r="GF465" s="21"/>
      <c r="GG465" s="21"/>
      <c r="GH465" s="21"/>
      <c r="GI465" s="21"/>
    </row>
    <row r="466">
      <c r="A466" s="19" t="str">
        <f>Sheet1!A466</f>
        <v/>
      </c>
      <c r="B466" s="19" t="str">
        <f>Sheet1!B466</f>
        <v/>
      </c>
      <c r="C466" s="19" t="str">
        <f>Sheet1!C466</f>
        <v/>
      </c>
      <c r="D466" s="19" t="str">
        <f>Sheet1!D466</f>
        <v/>
      </c>
      <c r="E466" s="19" t="str">
        <f>Sheet1!E466</f>
        <v/>
      </c>
      <c r="F466" s="19" t="str">
        <f>Sheet1!F466</f>
        <v/>
      </c>
      <c r="G466" s="19" t="str">
        <f>Sheet1!G466</f>
        <v/>
      </c>
      <c r="H466" s="19" t="str">
        <f>Sheet1!H466</f>
        <v/>
      </c>
      <c r="I466" s="19" t="str">
        <f>Sheet1!I466</f>
        <v/>
      </c>
      <c r="J466" s="19" t="str">
        <f>Sheet1!J466</f>
        <v/>
      </c>
      <c r="K466" s="19" t="str">
        <f>Sheet1!K466</f>
        <v/>
      </c>
      <c r="L466" s="19" t="str">
        <f>Sheet1!L466</f>
        <v/>
      </c>
      <c r="M466" s="19" t="str">
        <f>Sheet1!M466</f>
        <v/>
      </c>
      <c r="N466" s="19" t="str">
        <f>Sheet1!N466</f>
        <v/>
      </c>
      <c r="O466" s="19" t="str">
        <f>Sheet1!O466</f>
        <v/>
      </c>
      <c r="P466" s="19" t="str">
        <f>Sheet1!P466</f>
        <v/>
      </c>
      <c r="Q466" s="19" t="str">
        <f>Sheet1!Q466</f>
        <v/>
      </c>
      <c r="R466" s="19" t="str">
        <f>Sheet1!R466</f>
        <v/>
      </c>
      <c r="S466" s="19" t="str">
        <f>Sheet1!S466</f>
        <v/>
      </c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/>
      <c r="EG466" s="21"/>
      <c r="EH466" s="21"/>
      <c r="EI466" s="21"/>
      <c r="EJ466" s="21"/>
      <c r="EK466" s="21"/>
      <c r="EL466" s="21"/>
      <c r="EM466" s="21"/>
      <c r="EN466" s="21"/>
      <c r="EO466" s="21"/>
      <c r="EP466" s="21"/>
      <c r="EQ466" s="21"/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</row>
    <row r="467">
      <c r="A467" s="19" t="str">
        <f>Sheet1!A467</f>
        <v/>
      </c>
      <c r="B467" s="19" t="str">
        <f>Sheet1!B467</f>
        <v/>
      </c>
      <c r="C467" s="19" t="str">
        <f>Sheet1!C467</f>
        <v/>
      </c>
      <c r="D467" s="19" t="str">
        <f>Sheet1!D467</f>
        <v/>
      </c>
      <c r="E467" s="19" t="str">
        <f>Sheet1!E467</f>
        <v/>
      </c>
      <c r="F467" s="19" t="str">
        <f>Sheet1!F467</f>
        <v/>
      </c>
      <c r="G467" s="19" t="str">
        <f>Sheet1!G467</f>
        <v/>
      </c>
      <c r="H467" s="19" t="str">
        <f>Sheet1!H467</f>
        <v/>
      </c>
      <c r="I467" s="19" t="str">
        <f>Sheet1!I467</f>
        <v/>
      </c>
      <c r="J467" s="19" t="str">
        <f>Sheet1!J467</f>
        <v/>
      </c>
      <c r="K467" s="19" t="str">
        <f>Sheet1!K467</f>
        <v/>
      </c>
      <c r="L467" s="19" t="str">
        <f>Sheet1!L467</f>
        <v/>
      </c>
      <c r="M467" s="19" t="str">
        <f>Sheet1!M467</f>
        <v/>
      </c>
      <c r="N467" s="19" t="str">
        <f>Sheet1!N467</f>
        <v/>
      </c>
      <c r="O467" s="19" t="str">
        <f>Sheet1!O467</f>
        <v/>
      </c>
      <c r="P467" s="19" t="str">
        <f>Sheet1!P467</f>
        <v/>
      </c>
      <c r="Q467" s="19" t="str">
        <f>Sheet1!Q467</f>
        <v/>
      </c>
      <c r="R467" s="19" t="str">
        <f>Sheet1!R467</f>
        <v/>
      </c>
      <c r="S467" s="19" t="str">
        <f>Sheet1!S467</f>
        <v/>
      </c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/>
      <c r="EG467" s="21"/>
      <c r="EH467" s="21"/>
      <c r="EI467" s="21"/>
      <c r="EJ467" s="21"/>
      <c r="EK467" s="21"/>
      <c r="EL467" s="21"/>
      <c r="EM467" s="21"/>
      <c r="EN467" s="21"/>
      <c r="EO467" s="21"/>
      <c r="EP467" s="21"/>
      <c r="EQ467" s="21"/>
      <c r="ER467" s="21"/>
      <c r="ES467" s="21"/>
      <c r="ET467" s="21"/>
      <c r="EU467" s="21"/>
      <c r="EV467" s="21"/>
      <c r="EW467" s="21"/>
      <c r="EX467" s="21"/>
      <c r="EY467" s="21"/>
      <c r="EZ467" s="21"/>
      <c r="FA467" s="21"/>
      <c r="FB467" s="21"/>
      <c r="FC467" s="21"/>
      <c r="FD467" s="21"/>
      <c r="FE467" s="21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21"/>
      <c r="FW467" s="21"/>
      <c r="FX467" s="21"/>
      <c r="FY467" s="21"/>
      <c r="FZ467" s="21"/>
      <c r="GA467" s="21"/>
      <c r="GB467" s="21"/>
      <c r="GC467" s="21"/>
      <c r="GD467" s="21"/>
      <c r="GE467" s="21"/>
      <c r="GF467" s="21"/>
      <c r="GG467" s="21"/>
      <c r="GH467" s="21"/>
      <c r="GI467" s="21"/>
    </row>
    <row r="468">
      <c r="A468" s="19" t="str">
        <f>Sheet1!A468</f>
        <v/>
      </c>
      <c r="B468" s="19" t="str">
        <f>Sheet1!B468</f>
        <v/>
      </c>
      <c r="C468" s="19" t="str">
        <f>Sheet1!C468</f>
        <v/>
      </c>
      <c r="D468" s="19" t="str">
        <f>Sheet1!D468</f>
        <v/>
      </c>
      <c r="E468" s="19" t="str">
        <f>Sheet1!E468</f>
        <v/>
      </c>
      <c r="F468" s="19" t="str">
        <f>Sheet1!F468</f>
        <v/>
      </c>
      <c r="G468" s="19" t="str">
        <f>Sheet1!G468</f>
        <v/>
      </c>
      <c r="H468" s="19" t="str">
        <f>Sheet1!H468</f>
        <v/>
      </c>
      <c r="I468" s="19" t="str">
        <f>Sheet1!I468</f>
        <v/>
      </c>
      <c r="J468" s="19" t="str">
        <f>Sheet1!J468</f>
        <v/>
      </c>
      <c r="K468" s="19" t="str">
        <f>Sheet1!K468</f>
        <v/>
      </c>
      <c r="L468" s="19" t="str">
        <f>Sheet1!L468</f>
        <v/>
      </c>
      <c r="M468" s="19" t="str">
        <f>Sheet1!M468</f>
        <v/>
      </c>
      <c r="N468" s="19" t="str">
        <f>Sheet1!N468</f>
        <v/>
      </c>
      <c r="O468" s="19" t="str">
        <f>Sheet1!O468</f>
        <v/>
      </c>
      <c r="P468" s="19" t="str">
        <f>Sheet1!P468</f>
        <v/>
      </c>
      <c r="Q468" s="19" t="str">
        <f>Sheet1!Q468</f>
        <v/>
      </c>
      <c r="R468" s="19" t="str">
        <f>Sheet1!R468</f>
        <v/>
      </c>
      <c r="S468" s="19" t="str">
        <f>Sheet1!S468</f>
        <v/>
      </c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/>
      <c r="EG468" s="21"/>
      <c r="EH468" s="21"/>
      <c r="EI468" s="21"/>
      <c r="EJ468" s="21"/>
      <c r="EK468" s="21"/>
      <c r="EL468" s="21"/>
      <c r="EM468" s="21"/>
      <c r="EN468" s="21"/>
      <c r="EO468" s="21"/>
      <c r="EP468" s="21"/>
      <c r="EQ468" s="21"/>
      <c r="ER468" s="21"/>
      <c r="ES468" s="21"/>
      <c r="ET468" s="21"/>
      <c r="EU468" s="21"/>
      <c r="EV468" s="21"/>
      <c r="EW468" s="21"/>
      <c r="EX468" s="21"/>
      <c r="EY468" s="21"/>
      <c r="EZ468" s="21"/>
      <c r="FA468" s="21"/>
      <c r="FB468" s="21"/>
      <c r="FC468" s="21"/>
      <c r="FD468" s="21"/>
      <c r="FE468" s="21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21"/>
      <c r="FW468" s="21"/>
      <c r="FX468" s="21"/>
      <c r="FY468" s="21"/>
      <c r="FZ468" s="21"/>
      <c r="GA468" s="21"/>
      <c r="GB468" s="21"/>
      <c r="GC468" s="21"/>
      <c r="GD468" s="21"/>
      <c r="GE468" s="21"/>
      <c r="GF468" s="21"/>
      <c r="GG468" s="21"/>
      <c r="GH468" s="21"/>
      <c r="GI468" s="21"/>
    </row>
    <row r="469">
      <c r="A469" s="19" t="str">
        <f>Sheet1!A469</f>
        <v/>
      </c>
      <c r="B469" s="19" t="str">
        <f>Sheet1!B469</f>
        <v/>
      </c>
      <c r="C469" s="19" t="str">
        <f>Sheet1!C469</f>
        <v/>
      </c>
      <c r="D469" s="19" t="str">
        <f>Sheet1!D469</f>
        <v/>
      </c>
      <c r="E469" s="19" t="str">
        <f>Sheet1!E469</f>
        <v/>
      </c>
      <c r="F469" s="19" t="str">
        <f>Sheet1!F469</f>
        <v/>
      </c>
      <c r="G469" s="19" t="str">
        <f>Sheet1!G469</f>
        <v/>
      </c>
      <c r="H469" s="19" t="str">
        <f>Sheet1!H469</f>
        <v/>
      </c>
      <c r="I469" s="19" t="str">
        <f>Sheet1!I469</f>
        <v/>
      </c>
      <c r="J469" s="19" t="str">
        <f>Sheet1!J469</f>
        <v/>
      </c>
      <c r="K469" s="19" t="str">
        <f>Sheet1!K469</f>
        <v/>
      </c>
      <c r="L469" s="19" t="str">
        <f>Sheet1!L469</f>
        <v/>
      </c>
      <c r="M469" s="19" t="str">
        <f>Sheet1!M469</f>
        <v/>
      </c>
      <c r="N469" s="19" t="str">
        <f>Sheet1!N469</f>
        <v/>
      </c>
      <c r="O469" s="19" t="str">
        <f>Sheet1!O469</f>
        <v/>
      </c>
      <c r="P469" s="19" t="str">
        <f>Sheet1!P469</f>
        <v/>
      </c>
      <c r="Q469" s="19" t="str">
        <f>Sheet1!Q469</f>
        <v/>
      </c>
      <c r="R469" s="19" t="str">
        <f>Sheet1!R469</f>
        <v/>
      </c>
      <c r="S469" s="19" t="str">
        <f>Sheet1!S469</f>
        <v/>
      </c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/>
      <c r="EG469" s="21"/>
      <c r="EH469" s="21"/>
      <c r="EI469" s="21"/>
      <c r="EJ469" s="21"/>
      <c r="EK469" s="21"/>
      <c r="EL469" s="21"/>
      <c r="EM469" s="21"/>
      <c r="EN469" s="21"/>
      <c r="EO469" s="21"/>
      <c r="EP469" s="21"/>
      <c r="EQ469" s="21"/>
      <c r="ER469" s="21"/>
      <c r="ES469" s="21"/>
      <c r="ET469" s="21"/>
      <c r="EU469" s="21"/>
      <c r="EV469" s="21"/>
      <c r="EW469" s="21"/>
      <c r="EX469" s="21"/>
      <c r="EY469" s="21"/>
      <c r="EZ469" s="21"/>
      <c r="FA469" s="21"/>
      <c r="FB469" s="21"/>
      <c r="FC469" s="21"/>
      <c r="FD469" s="21"/>
      <c r="FE469" s="21"/>
      <c r="FF469" s="21"/>
      <c r="FG469" s="21"/>
      <c r="FH469" s="21"/>
      <c r="FI469" s="21"/>
      <c r="FJ469" s="21"/>
      <c r="FK469" s="21"/>
      <c r="FL469" s="21"/>
      <c r="FM469" s="21"/>
      <c r="FN469" s="21"/>
      <c r="FO469" s="21"/>
      <c r="FP469" s="21"/>
      <c r="FQ469" s="21"/>
      <c r="FR469" s="21"/>
      <c r="FS469" s="21"/>
      <c r="FT469" s="21"/>
      <c r="FU469" s="21"/>
      <c r="FV469" s="21"/>
      <c r="FW469" s="21"/>
      <c r="FX469" s="21"/>
      <c r="FY469" s="21"/>
      <c r="FZ469" s="21"/>
      <c r="GA469" s="21"/>
      <c r="GB469" s="21"/>
      <c r="GC469" s="21"/>
      <c r="GD469" s="21"/>
      <c r="GE469" s="21"/>
      <c r="GF469" s="21"/>
      <c r="GG469" s="21"/>
      <c r="GH469" s="21"/>
      <c r="GI469" s="21"/>
    </row>
    <row r="470">
      <c r="A470" s="19" t="str">
        <f>Sheet1!A470</f>
        <v/>
      </c>
      <c r="B470" s="19" t="str">
        <f>Sheet1!B470</f>
        <v/>
      </c>
      <c r="C470" s="19" t="str">
        <f>Sheet1!C470</f>
        <v/>
      </c>
      <c r="D470" s="19" t="str">
        <f>Sheet1!D470</f>
        <v/>
      </c>
      <c r="E470" s="19" t="str">
        <f>Sheet1!E470</f>
        <v/>
      </c>
      <c r="F470" s="19" t="str">
        <f>Sheet1!F470</f>
        <v/>
      </c>
      <c r="G470" s="19" t="str">
        <f>Sheet1!G470</f>
        <v/>
      </c>
      <c r="H470" s="19" t="str">
        <f>Sheet1!H470</f>
        <v/>
      </c>
      <c r="I470" s="19" t="str">
        <f>Sheet1!I470</f>
        <v/>
      </c>
      <c r="J470" s="19" t="str">
        <f>Sheet1!J470</f>
        <v/>
      </c>
      <c r="K470" s="19" t="str">
        <f>Sheet1!K470</f>
        <v/>
      </c>
      <c r="L470" s="19" t="str">
        <f>Sheet1!L470</f>
        <v/>
      </c>
      <c r="M470" s="19" t="str">
        <f>Sheet1!M470</f>
        <v/>
      </c>
      <c r="N470" s="19" t="str">
        <f>Sheet1!N470</f>
        <v/>
      </c>
      <c r="O470" s="19" t="str">
        <f>Sheet1!O470</f>
        <v/>
      </c>
      <c r="P470" s="19" t="str">
        <f>Sheet1!P470</f>
        <v/>
      </c>
      <c r="Q470" s="19" t="str">
        <f>Sheet1!Q470</f>
        <v/>
      </c>
      <c r="R470" s="19" t="str">
        <f>Sheet1!R470</f>
        <v/>
      </c>
      <c r="S470" s="19" t="str">
        <f>Sheet1!S470</f>
        <v/>
      </c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/>
      <c r="EG470" s="21"/>
      <c r="EH470" s="21"/>
      <c r="EI470" s="21"/>
      <c r="EJ470" s="21"/>
      <c r="EK470" s="21"/>
      <c r="EL470" s="21"/>
      <c r="EM470" s="21"/>
      <c r="EN470" s="21"/>
      <c r="EO470" s="21"/>
      <c r="EP470" s="21"/>
      <c r="EQ470" s="21"/>
      <c r="ER470" s="21"/>
      <c r="ES470" s="21"/>
      <c r="ET470" s="21"/>
      <c r="EU470" s="21"/>
      <c r="EV470" s="21"/>
      <c r="EW470" s="21"/>
      <c r="EX470" s="21"/>
      <c r="EY470" s="21"/>
      <c r="EZ470" s="21"/>
      <c r="FA470" s="21"/>
      <c r="FB470" s="21"/>
      <c r="FC470" s="21"/>
      <c r="FD470" s="21"/>
      <c r="FE470" s="21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21"/>
      <c r="FW470" s="21"/>
      <c r="FX470" s="21"/>
      <c r="FY470" s="21"/>
      <c r="FZ470" s="21"/>
      <c r="GA470" s="21"/>
      <c r="GB470" s="21"/>
      <c r="GC470" s="21"/>
      <c r="GD470" s="21"/>
      <c r="GE470" s="21"/>
      <c r="GF470" s="21"/>
      <c r="GG470" s="21"/>
      <c r="GH470" s="21"/>
      <c r="GI470" s="21"/>
    </row>
    <row r="471">
      <c r="A471" s="19" t="str">
        <f>Sheet1!A471</f>
        <v/>
      </c>
      <c r="B471" s="19" t="str">
        <f>Sheet1!B471</f>
        <v/>
      </c>
      <c r="C471" s="19" t="str">
        <f>Sheet1!C471</f>
        <v/>
      </c>
      <c r="D471" s="19" t="str">
        <f>Sheet1!D471</f>
        <v/>
      </c>
      <c r="E471" s="19" t="str">
        <f>Sheet1!E471</f>
        <v/>
      </c>
      <c r="F471" s="19" t="str">
        <f>Sheet1!F471</f>
        <v/>
      </c>
      <c r="G471" s="19" t="str">
        <f>Sheet1!G471</f>
        <v/>
      </c>
      <c r="H471" s="19" t="str">
        <f>Sheet1!H471</f>
        <v/>
      </c>
      <c r="I471" s="19" t="str">
        <f>Sheet1!I471</f>
        <v/>
      </c>
      <c r="J471" s="19" t="str">
        <f>Sheet1!J471</f>
        <v/>
      </c>
      <c r="K471" s="19" t="str">
        <f>Sheet1!K471</f>
        <v/>
      </c>
      <c r="L471" s="19" t="str">
        <f>Sheet1!L471</f>
        <v/>
      </c>
      <c r="M471" s="19" t="str">
        <f>Sheet1!M471</f>
        <v/>
      </c>
      <c r="N471" s="19" t="str">
        <f>Sheet1!N471</f>
        <v/>
      </c>
      <c r="O471" s="19" t="str">
        <f>Sheet1!O471</f>
        <v/>
      </c>
      <c r="P471" s="19" t="str">
        <f>Sheet1!P471</f>
        <v/>
      </c>
      <c r="Q471" s="19" t="str">
        <f>Sheet1!Q471</f>
        <v/>
      </c>
      <c r="R471" s="19" t="str">
        <f>Sheet1!R471</f>
        <v/>
      </c>
      <c r="S471" s="19" t="str">
        <f>Sheet1!S471</f>
        <v/>
      </c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/>
      <c r="EG471" s="21"/>
      <c r="EH471" s="21"/>
      <c r="EI471" s="21"/>
      <c r="EJ471" s="21"/>
      <c r="EK471" s="21"/>
      <c r="EL471" s="21"/>
      <c r="EM471" s="21"/>
      <c r="EN471" s="21"/>
      <c r="EO471" s="21"/>
      <c r="EP471" s="21"/>
      <c r="EQ471" s="21"/>
      <c r="ER471" s="21"/>
      <c r="ES471" s="21"/>
      <c r="ET471" s="21"/>
      <c r="EU471" s="21"/>
      <c r="EV471" s="21"/>
      <c r="EW471" s="21"/>
      <c r="EX471" s="21"/>
      <c r="EY471" s="21"/>
      <c r="EZ471" s="21"/>
      <c r="FA471" s="21"/>
      <c r="FB471" s="21"/>
      <c r="FC471" s="21"/>
      <c r="FD471" s="21"/>
      <c r="FE471" s="21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21"/>
      <c r="FW471" s="21"/>
      <c r="FX471" s="21"/>
      <c r="FY471" s="21"/>
      <c r="FZ471" s="21"/>
      <c r="GA471" s="21"/>
      <c r="GB471" s="21"/>
      <c r="GC471" s="21"/>
      <c r="GD471" s="21"/>
      <c r="GE471" s="21"/>
      <c r="GF471" s="21"/>
      <c r="GG471" s="21"/>
      <c r="GH471" s="21"/>
      <c r="GI471" s="21"/>
    </row>
    <row r="472">
      <c r="A472" s="19" t="str">
        <f>Sheet1!A472</f>
        <v/>
      </c>
      <c r="B472" s="19" t="str">
        <f>Sheet1!B472</f>
        <v/>
      </c>
      <c r="C472" s="19" t="str">
        <f>Sheet1!C472</f>
        <v/>
      </c>
      <c r="D472" s="19" t="str">
        <f>Sheet1!D472</f>
        <v/>
      </c>
      <c r="E472" s="19" t="str">
        <f>Sheet1!E472</f>
        <v/>
      </c>
      <c r="F472" s="19" t="str">
        <f>Sheet1!F472</f>
        <v/>
      </c>
      <c r="G472" s="19" t="str">
        <f>Sheet1!G472</f>
        <v/>
      </c>
      <c r="H472" s="19" t="str">
        <f>Sheet1!H472</f>
        <v/>
      </c>
      <c r="I472" s="19" t="str">
        <f>Sheet1!I472</f>
        <v/>
      </c>
      <c r="J472" s="19" t="str">
        <f>Sheet1!J472</f>
        <v/>
      </c>
      <c r="K472" s="19" t="str">
        <f>Sheet1!K472</f>
        <v/>
      </c>
      <c r="L472" s="19" t="str">
        <f>Sheet1!L472</f>
        <v/>
      </c>
      <c r="M472" s="19" t="str">
        <f>Sheet1!M472</f>
        <v/>
      </c>
      <c r="N472" s="19" t="str">
        <f>Sheet1!N472</f>
        <v/>
      </c>
      <c r="O472" s="19" t="str">
        <f>Sheet1!O472</f>
        <v/>
      </c>
      <c r="P472" s="19" t="str">
        <f>Sheet1!P472</f>
        <v/>
      </c>
      <c r="Q472" s="19" t="str">
        <f>Sheet1!Q472</f>
        <v/>
      </c>
      <c r="R472" s="19" t="str">
        <f>Sheet1!R472</f>
        <v/>
      </c>
      <c r="S472" s="19" t="str">
        <f>Sheet1!S472</f>
        <v/>
      </c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/>
      <c r="EG472" s="21"/>
      <c r="EH472" s="21"/>
      <c r="EI472" s="21"/>
      <c r="EJ472" s="21"/>
      <c r="EK472" s="21"/>
      <c r="EL472" s="21"/>
      <c r="EM472" s="21"/>
      <c r="EN472" s="21"/>
      <c r="EO472" s="21"/>
      <c r="EP472" s="21"/>
      <c r="EQ472" s="21"/>
      <c r="ER472" s="21"/>
      <c r="ES472" s="21"/>
      <c r="ET472" s="21"/>
      <c r="EU472" s="21"/>
      <c r="EV472" s="21"/>
      <c r="EW472" s="21"/>
      <c r="EX472" s="21"/>
      <c r="EY472" s="21"/>
      <c r="EZ472" s="21"/>
      <c r="FA472" s="21"/>
      <c r="FB472" s="21"/>
      <c r="FC472" s="21"/>
      <c r="FD472" s="21"/>
      <c r="FE472" s="21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21"/>
      <c r="FW472" s="21"/>
      <c r="FX472" s="21"/>
      <c r="FY472" s="21"/>
      <c r="FZ472" s="21"/>
      <c r="GA472" s="21"/>
      <c r="GB472" s="21"/>
      <c r="GC472" s="21"/>
      <c r="GD472" s="21"/>
      <c r="GE472" s="21"/>
      <c r="GF472" s="21"/>
      <c r="GG472" s="21"/>
      <c r="GH472" s="21"/>
      <c r="GI472" s="21"/>
    </row>
    <row r="473">
      <c r="A473" s="19" t="str">
        <f>Sheet1!A473</f>
        <v/>
      </c>
      <c r="B473" s="19" t="str">
        <f>Sheet1!B473</f>
        <v/>
      </c>
      <c r="C473" s="19" t="str">
        <f>Sheet1!C473</f>
        <v/>
      </c>
      <c r="D473" s="19" t="str">
        <f>Sheet1!D473</f>
        <v/>
      </c>
      <c r="E473" s="19" t="str">
        <f>Sheet1!E473</f>
        <v/>
      </c>
      <c r="F473" s="19" t="str">
        <f>Sheet1!F473</f>
        <v/>
      </c>
      <c r="G473" s="19" t="str">
        <f>Sheet1!G473</f>
        <v/>
      </c>
      <c r="H473" s="19" t="str">
        <f>Sheet1!H473</f>
        <v/>
      </c>
      <c r="I473" s="19" t="str">
        <f>Sheet1!I473</f>
        <v/>
      </c>
      <c r="J473" s="19" t="str">
        <f>Sheet1!J473</f>
        <v/>
      </c>
      <c r="K473" s="19" t="str">
        <f>Sheet1!K473</f>
        <v/>
      </c>
      <c r="L473" s="19" t="str">
        <f>Sheet1!L473</f>
        <v/>
      </c>
      <c r="M473" s="19" t="str">
        <f>Sheet1!M473</f>
        <v/>
      </c>
      <c r="N473" s="19" t="str">
        <f>Sheet1!N473</f>
        <v/>
      </c>
      <c r="O473" s="19" t="str">
        <f>Sheet1!O473</f>
        <v/>
      </c>
      <c r="P473" s="19" t="str">
        <f>Sheet1!P473</f>
        <v/>
      </c>
      <c r="Q473" s="19" t="str">
        <f>Sheet1!Q473</f>
        <v/>
      </c>
      <c r="R473" s="19" t="str">
        <f>Sheet1!R473</f>
        <v/>
      </c>
      <c r="S473" s="19" t="str">
        <f>Sheet1!S473</f>
        <v/>
      </c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/>
      <c r="EG473" s="21"/>
      <c r="EH473" s="21"/>
      <c r="EI473" s="21"/>
      <c r="EJ473" s="21"/>
      <c r="EK473" s="21"/>
      <c r="EL473" s="21"/>
      <c r="EM473" s="21"/>
      <c r="EN473" s="21"/>
      <c r="EO473" s="21"/>
      <c r="EP473" s="21"/>
      <c r="EQ473" s="21"/>
      <c r="ER473" s="21"/>
      <c r="ES473" s="21"/>
      <c r="ET473" s="21"/>
      <c r="EU473" s="21"/>
      <c r="EV473" s="21"/>
      <c r="EW473" s="21"/>
      <c r="EX473" s="21"/>
      <c r="EY473" s="21"/>
      <c r="EZ473" s="21"/>
      <c r="FA473" s="21"/>
      <c r="FB473" s="21"/>
      <c r="FC473" s="21"/>
      <c r="FD473" s="21"/>
      <c r="FE473" s="21"/>
      <c r="FF473" s="21"/>
      <c r="FG473" s="21"/>
      <c r="FH473" s="21"/>
      <c r="FI473" s="21"/>
      <c r="FJ473" s="21"/>
      <c r="FK473" s="21"/>
      <c r="FL473" s="21"/>
      <c r="FM473" s="21"/>
      <c r="FN473" s="21"/>
      <c r="FO473" s="21"/>
      <c r="FP473" s="21"/>
      <c r="FQ473" s="21"/>
      <c r="FR473" s="21"/>
      <c r="FS473" s="21"/>
      <c r="FT473" s="21"/>
      <c r="FU473" s="21"/>
      <c r="FV473" s="21"/>
      <c r="FW473" s="21"/>
      <c r="FX473" s="21"/>
      <c r="FY473" s="21"/>
      <c r="FZ473" s="21"/>
      <c r="GA473" s="21"/>
      <c r="GB473" s="21"/>
      <c r="GC473" s="21"/>
      <c r="GD473" s="21"/>
      <c r="GE473" s="21"/>
      <c r="GF473" s="21"/>
      <c r="GG473" s="21"/>
      <c r="GH473" s="21"/>
      <c r="GI473" s="21"/>
    </row>
    <row r="474">
      <c r="A474" s="19" t="str">
        <f>Sheet1!A474</f>
        <v/>
      </c>
      <c r="B474" s="19" t="str">
        <f>Sheet1!B474</f>
        <v/>
      </c>
      <c r="C474" s="19" t="str">
        <f>Sheet1!C474</f>
        <v/>
      </c>
      <c r="D474" s="19" t="str">
        <f>Sheet1!D474</f>
        <v/>
      </c>
      <c r="E474" s="19" t="str">
        <f>Sheet1!E474</f>
        <v/>
      </c>
      <c r="F474" s="19" t="str">
        <f>Sheet1!F474</f>
        <v/>
      </c>
      <c r="G474" s="19" t="str">
        <f>Sheet1!G474</f>
        <v/>
      </c>
      <c r="H474" s="19" t="str">
        <f>Sheet1!H474</f>
        <v/>
      </c>
      <c r="I474" s="19" t="str">
        <f>Sheet1!I474</f>
        <v/>
      </c>
      <c r="J474" s="19" t="str">
        <f>Sheet1!J474</f>
        <v/>
      </c>
      <c r="K474" s="19" t="str">
        <f>Sheet1!K474</f>
        <v/>
      </c>
      <c r="L474" s="19" t="str">
        <f>Sheet1!L474</f>
        <v/>
      </c>
      <c r="M474" s="19" t="str">
        <f>Sheet1!M474</f>
        <v/>
      </c>
      <c r="N474" s="19" t="str">
        <f>Sheet1!N474</f>
        <v/>
      </c>
      <c r="O474" s="19" t="str">
        <f>Sheet1!O474</f>
        <v/>
      </c>
      <c r="P474" s="19" t="str">
        <f>Sheet1!P474</f>
        <v/>
      </c>
      <c r="Q474" s="19" t="str">
        <f>Sheet1!Q474</f>
        <v/>
      </c>
      <c r="R474" s="19" t="str">
        <f>Sheet1!R474</f>
        <v/>
      </c>
      <c r="S474" s="19" t="str">
        <f>Sheet1!S474</f>
        <v/>
      </c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/>
      <c r="EG474" s="21"/>
      <c r="EH474" s="21"/>
      <c r="EI474" s="21"/>
      <c r="EJ474" s="21"/>
      <c r="EK474" s="21"/>
      <c r="EL474" s="21"/>
      <c r="EM474" s="21"/>
      <c r="EN474" s="21"/>
      <c r="EO474" s="21"/>
      <c r="EP474" s="21"/>
      <c r="EQ474" s="21"/>
      <c r="ER474" s="21"/>
      <c r="ES474" s="21"/>
      <c r="ET474" s="21"/>
      <c r="EU474" s="21"/>
      <c r="EV474" s="21"/>
      <c r="EW474" s="21"/>
      <c r="EX474" s="21"/>
      <c r="EY474" s="21"/>
      <c r="EZ474" s="21"/>
      <c r="FA474" s="21"/>
      <c r="FB474" s="21"/>
      <c r="FC474" s="21"/>
      <c r="FD474" s="21"/>
      <c r="FE474" s="21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21"/>
      <c r="FW474" s="21"/>
      <c r="FX474" s="21"/>
      <c r="FY474" s="21"/>
      <c r="FZ474" s="21"/>
      <c r="GA474" s="21"/>
      <c r="GB474" s="21"/>
      <c r="GC474" s="21"/>
      <c r="GD474" s="21"/>
      <c r="GE474" s="21"/>
      <c r="GF474" s="21"/>
      <c r="GG474" s="21"/>
      <c r="GH474" s="21"/>
      <c r="GI474" s="21"/>
    </row>
    <row r="475">
      <c r="A475" s="19" t="str">
        <f>Sheet1!A475</f>
        <v/>
      </c>
      <c r="B475" s="19" t="str">
        <f>Sheet1!B475</f>
        <v/>
      </c>
      <c r="C475" s="19" t="str">
        <f>Sheet1!C475</f>
        <v/>
      </c>
      <c r="D475" s="19" t="str">
        <f>Sheet1!D475</f>
        <v/>
      </c>
      <c r="E475" s="19" t="str">
        <f>Sheet1!E475</f>
        <v/>
      </c>
      <c r="F475" s="19" t="str">
        <f>Sheet1!F475</f>
        <v/>
      </c>
      <c r="G475" s="19" t="str">
        <f>Sheet1!G475</f>
        <v/>
      </c>
      <c r="H475" s="19" t="str">
        <f>Sheet1!H475</f>
        <v/>
      </c>
      <c r="I475" s="19" t="str">
        <f>Sheet1!I475</f>
        <v/>
      </c>
      <c r="J475" s="19" t="str">
        <f>Sheet1!J475</f>
        <v/>
      </c>
      <c r="K475" s="19" t="str">
        <f>Sheet1!K475</f>
        <v/>
      </c>
      <c r="L475" s="19" t="str">
        <f>Sheet1!L475</f>
        <v/>
      </c>
      <c r="M475" s="19" t="str">
        <f>Sheet1!M475</f>
        <v/>
      </c>
      <c r="N475" s="19" t="str">
        <f>Sheet1!N475</f>
        <v/>
      </c>
      <c r="O475" s="19" t="str">
        <f>Sheet1!O475</f>
        <v/>
      </c>
      <c r="P475" s="19" t="str">
        <f>Sheet1!P475</f>
        <v/>
      </c>
      <c r="Q475" s="19" t="str">
        <f>Sheet1!Q475</f>
        <v/>
      </c>
      <c r="R475" s="19" t="str">
        <f>Sheet1!R475</f>
        <v/>
      </c>
      <c r="S475" s="19" t="str">
        <f>Sheet1!S475</f>
        <v/>
      </c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/>
      <c r="EG475" s="21"/>
      <c r="EH475" s="21"/>
      <c r="EI475" s="21"/>
      <c r="EJ475" s="21"/>
      <c r="EK475" s="21"/>
      <c r="EL475" s="21"/>
      <c r="EM475" s="21"/>
      <c r="EN475" s="21"/>
      <c r="EO475" s="21"/>
      <c r="EP475" s="21"/>
      <c r="EQ475" s="21"/>
      <c r="ER475" s="21"/>
      <c r="ES475" s="21"/>
      <c r="ET475" s="21"/>
      <c r="EU475" s="21"/>
      <c r="EV475" s="21"/>
      <c r="EW475" s="21"/>
      <c r="EX475" s="21"/>
      <c r="EY475" s="21"/>
      <c r="EZ475" s="21"/>
      <c r="FA475" s="21"/>
      <c r="FB475" s="21"/>
      <c r="FC475" s="21"/>
      <c r="FD475" s="21"/>
      <c r="FE475" s="21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21"/>
      <c r="FW475" s="21"/>
      <c r="FX475" s="21"/>
      <c r="FY475" s="21"/>
      <c r="FZ475" s="21"/>
      <c r="GA475" s="21"/>
      <c r="GB475" s="21"/>
      <c r="GC475" s="21"/>
      <c r="GD475" s="21"/>
      <c r="GE475" s="21"/>
      <c r="GF475" s="21"/>
      <c r="GG475" s="21"/>
      <c r="GH475" s="21"/>
      <c r="GI475" s="21"/>
    </row>
    <row r="476">
      <c r="A476" s="19" t="str">
        <f>Sheet1!A476</f>
        <v/>
      </c>
      <c r="B476" s="19" t="str">
        <f>Sheet1!B476</f>
        <v/>
      </c>
      <c r="C476" s="19" t="str">
        <f>Sheet1!C476</f>
        <v/>
      </c>
      <c r="D476" s="19" t="str">
        <f>Sheet1!D476</f>
        <v/>
      </c>
      <c r="E476" s="19" t="str">
        <f>Sheet1!E476</f>
        <v/>
      </c>
      <c r="F476" s="19" t="str">
        <f>Sheet1!F476</f>
        <v/>
      </c>
      <c r="G476" s="19" t="str">
        <f>Sheet1!G476</f>
        <v/>
      </c>
      <c r="H476" s="19" t="str">
        <f>Sheet1!H476</f>
        <v/>
      </c>
      <c r="I476" s="19" t="str">
        <f>Sheet1!I476</f>
        <v/>
      </c>
      <c r="J476" s="19" t="str">
        <f>Sheet1!J476</f>
        <v/>
      </c>
      <c r="K476" s="19" t="str">
        <f>Sheet1!K476</f>
        <v/>
      </c>
      <c r="L476" s="19" t="str">
        <f>Sheet1!L476</f>
        <v/>
      </c>
      <c r="M476" s="19" t="str">
        <f>Sheet1!M476</f>
        <v/>
      </c>
      <c r="N476" s="19" t="str">
        <f>Sheet1!N476</f>
        <v/>
      </c>
      <c r="O476" s="19" t="str">
        <f>Sheet1!O476</f>
        <v/>
      </c>
      <c r="P476" s="19" t="str">
        <f>Sheet1!P476</f>
        <v/>
      </c>
      <c r="Q476" s="19" t="str">
        <f>Sheet1!Q476</f>
        <v/>
      </c>
      <c r="R476" s="19" t="str">
        <f>Sheet1!R476</f>
        <v/>
      </c>
      <c r="S476" s="19" t="str">
        <f>Sheet1!S476</f>
        <v/>
      </c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/>
      <c r="EG476" s="21"/>
      <c r="EH476" s="21"/>
      <c r="EI476" s="21"/>
      <c r="EJ476" s="21"/>
      <c r="EK476" s="21"/>
      <c r="EL476" s="21"/>
      <c r="EM476" s="21"/>
      <c r="EN476" s="21"/>
      <c r="EO476" s="21"/>
      <c r="EP476" s="21"/>
      <c r="EQ476" s="21"/>
      <c r="ER476" s="21"/>
      <c r="ES476" s="21"/>
      <c r="ET476" s="21"/>
      <c r="EU476" s="21"/>
      <c r="EV476" s="21"/>
      <c r="EW476" s="21"/>
      <c r="EX476" s="21"/>
      <c r="EY476" s="21"/>
      <c r="EZ476" s="21"/>
      <c r="FA476" s="21"/>
      <c r="FB476" s="21"/>
      <c r="FC476" s="21"/>
      <c r="FD476" s="21"/>
      <c r="FE476" s="21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21"/>
      <c r="FW476" s="21"/>
      <c r="FX476" s="21"/>
      <c r="FY476" s="21"/>
      <c r="FZ476" s="21"/>
      <c r="GA476" s="21"/>
      <c r="GB476" s="21"/>
      <c r="GC476" s="21"/>
      <c r="GD476" s="21"/>
      <c r="GE476" s="21"/>
      <c r="GF476" s="21"/>
      <c r="GG476" s="21"/>
      <c r="GH476" s="21"/>
      <c r="GI476" s="21"/>
    </row>
    <row r="477">
      <c r="A477" s="19" t="str">
        <f>Sheet1!A477</f>
        <v/>
      </c>
      <c r="B477" s="19" t="str">
        <f>Sheet1!B477</f>
        <v/>
      </c>
      <c r="C477" s="19" t="str">
        <f>Sheet1!C477</f>
        <v/>
      </c>
      <c r="D477" s="19" t="str">
        <f>Sheet1!D477</f>
        <v/>
      </c>
      <c r="E477" s="19" t="str">
        <f>Sheet1!E477</f>
        <v/>
      </c>
      <c r="F477" s="19" t="str">
        <f>Sheet1!F477</f>
        <v/>
      </c>
      <c r="G477" s="19" t="str">
        <f>Sheet1!G477</f>
        <v/>
      </c>
      <c r="H477" s="19" t="str">
        <f>Sheet1!H477</f>
        <v/>
      </c>
      <c r="I477" s="19" t="str">
        <f>Sheet1!I477</f>
        <v/>
      </c>
      <c r="J477" s="19" t="str">
        <f>Sheet1!J477</f>
        <v/>
      </c>
      <c r="K477" s="19" t="str">
        <f>Sheet1!K477</f>
        <v/>
      </c>
      <c r="L477" s="19" t="str">
        <f>Sheet1!L477</f>
        <v/>
      </c>
      <c r="M477" s="19" t="str">
        <f>Sheet1!M477</f>
        <v/>
      </c>
      <c r="N477" s="19" t="str">
        <f>Sheet1!N477</f>
        <v/>
      </c>
      <c r="O477" s="19" t="str">
        <f>Sheet1!O477</f>
        <v/>
      </c>
      <c r="P477" s="19" t="str">
        <f>Sheet1!P477</f>
        <v/>
      </c>
      <c r="Q477" s="19" t="str">
        <f>Sheet1!Q477</f>
        <v/>
      </c>
      <c r="R477" s="19" t="str">
        <f>Sheet1!R477</f>
        <v/>
      </c>
      <c r="S477" s="19" t="str">
        <f>Sheet1!S477</f>
        <v/>
      </c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/>
      <c r="EG477" s="21"/>
      <c r="EH477" s="21"/>
      <c r="EI477" s="21"/>
      <c r="EJ477" s="21"/>
      <c r="EK477" s="21"/>
      <c r="EL477" s="21"/>
      <c r="EM477" s="21"/>
      <c r="EN477" s="21"/>
      <c r="EO477" s="21"/>
      <c r="EP477" s="21"/>
      <c r="EQ477" s="21"/>
      <c r="ER477" s="21"/>
      <c r="ES477" s="21"/>
      <c r="ET477" s="21"/>
      <c r="EU477" s="21"/>
      <c r="EV477" s="21"/>
      <c r="EW477" s="21"/>
      <c r="EX477" s="21"/>
      <c r="EY477" s="21"/>
      <c r="EZ477" s="21"/>
      <c r="FA477" s="21"/>
      <c r="FB477" s="21"/>
      <c r="FC477" s="21"/>
      <c r="FD477" s="21"/>
      <c r="FE477" s="21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21"/>
      <c r="FW477" s="21"/>
      <c r="FX477" s="21"/>
      <c r="FY477" s="21"/>
      <c r="FZ477" s="21"/>
      <c r="GA477" s="21"/>
      <c r="GB477" s="21"/>
      <c r="GC477" s="21"/>
      <c r="GD477" s="21"/>
      <c r="GE477" s="21"/>
      <c r="GF477" s="21"/>
      <c r="GG477" s="21"/>
      <c r="GH477" s="21"/>
      <c r="GI477" s="21"/>
    </row>
    <row r="478">
      <c r="A478" s="19" t="str">
        <f>Sheet1!A478</f>
        <v/>
      </c>
      <c r="B478" s="19" t="str">
        <f>Sheet1!B478</f>
        <v/>
      </c>
      <c r="C478" s="19" t="str">
        <f>Sheet1!C478</f>
        <v/>
      </c>
      <c r="D478" s="19" t="str">
        <f>Sheet1!D478</f>
        <v/>
      </c>
      <c r="E478" s="19" t="str">
        <f>Sheet1!E478</f>
        <v/>
      </c>
      <c r="F478" s="19" t="str">
        <f>Sheet1!F478</f>
        <v/>
      </c>
      <c r="G478" s="19" t="str">
        <f>Sheet1!G478</f>
        <v/>
      </c>
      <c r="H478" s="19" t="str">
        <f>Sheet1!H478</f>
        <v/>
      </c>
      <c r="I478" s="19" t="str">
        <f>Sheet1!I478</f>
        <v/>
      </c>
      <c r="J478" s="19" t="str">
        <f>Sheet1!J478</f>
        <v/>
      </c>
      <c r="K478" s="19" t="str">
        <f>Sheet1!K478</f>
        <v/>
      </c>
      <c r="L478" s="19" t="str">
        <f>Sheet1!L478</f>
        <v/>
      </c>
      <c r="M478" s="19" t="str">
        <f>Sheet1!M478</f>
        <v/>
      </c>
      <c r="N478" s="19" t="str">
        <f>Sheet1!N478</f>
        <v/>
      </c>
      <c r="O478" s="19" t="str">
        <f>Sheet1!O478</f>
        <v/>
      </c>
      <c r="P478" s="19" t="str">
        <f>Sheet1!P478</f>
        <v/>
      </c>
      <c r="Q478" s="19" t="str">
        <f>Sheet1!Q478</f>
        <v/>
      </c>
      <c r="R478" s="19" t="str">
        <f>Sheet1!R478</f>
        <v/>
      </c>
      <c r="S478" s="19" t="str">
        <f>Sheet1!S478</f>
        <v/>
      </c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/>
      <c r="EG478" s="21"/>
      <c r="EH478" s="21"/>
      <c r="EI478" s="21"/>
      <c r="EJ478" s="21"/>
      <c r="EK478" s="21"/>
      <c r="EL478" s="21"/>
      <c r="EM478" s="21"/>
      <c r="EN478" s="21"/>
      <c r="EO478" s="21"/>
      <c r="EP478" s="21"/>
      <c r="EQ478" s="21"/>
      <c r="ER478" s="21"/>
      <c r="ES478" s="21"/>
      <c r="ET478" s="21"/>
      <c r="EU478" s="21"/>
      <c r="EV478" s="21"/>
      <c r="EW478" s="21"/>
      <c r="EX478" s="21"/>
      <c r="EY478" s="21"/>
      <c r="EZ478" s="21"/>
      <c r="FA478" s="21"/>
      <c r="FB478" s="21"/>
      <c r="FC478" s="21"/>
      <c r="FD478" s="21"/>
      <c r="FE478" s="21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21"/>
      <c r="FW478" s="21"/>
      <c r="FX478" s="21"/>
      <c r="FY478" s="21"/>
      <c r="FZ478" s="21"/>
      <c r="GA478" s="21"/>
      <c r="GB478" s="21"/>
      <c r="GC478" s="21"/>
      <c r="GD478" s="21"/>
      <c r="GE478" s="21"/>
      <c r="GF478" s="21"/>
      <c r="GG478" s="21"/>
      <c r="GH478" s="21"/>
      <c r="GI478" s="21"/>
    </row>
    <row r="479">
      <c r="A479" s="19" t="str">
        <f>Sheet1!A479</f>
        <v/>
      </c>
      <c r="B479" s="19" t="str">
        <f>Sheet1!B479</f>
        <v/>
      </c>
      <c r="C479" s="19" t="str">
        <f>Sheet1!C479</f>
        <v/>
      </c>
      <c r="D479" s="19" t="str">
        <f>Sheet1!D479</f>
        <v/>
      </c>
      <c r="E479" s="19" t="str">
        <f>Sheet1!E479</f>
        <v/>
      </c>
      <c r="F479" s="19" t="str">
        <f>Sheet1!F479</f>
        <v/>
      </c>
      <c r="G479" s="19" t="str">
        <f>Sheet1!G479</f>
        <v/>
      </c>
      <c r="H479" s="19" t="str">
        <f>Sheet1!H479</f>
        <v/>
      </c>
      <c r="I479" s="19" t="str">
        <f>Sheet1!I479</f>
        <v/>
      </c>
      <c r="J479" s="19" t="str">
        <f>Sheet1!J479</f>
        <v/>
      </c>
      <c r="K479" s="19" t="str">
        <f>Sheet1!K479</f>
        <v/>
      </c>
      <c r="L479" s="19" t="str">
        <f>Sheet1!L479</f>
        <v/>
      </c>
      <c r="M479" s="19" t="str">
        <f>Sheet1!M479</f>
        <v/>
      </c>
      <c r="N479" s="19" t="str">
        <f>Sheet1!N479</f>
        <v/>
      </c>
      <c r="O479" s="19" t="str">
        <f>Sheet1!O479</f>
        <v/>
      </c>
      <c r="P479" s="19" t="str">
        <f>Sheet1!P479</f>
        <v/>
      </c>
      <c r="Q479" s="19" t="str">
        <f>Sheet1!Q479</f>
        <v/>
      </c>
      <c r="R479" s="19" t="str">
        <f>Sheet1!R479</f>
        <v/>
      </c>
      <c r="S479" s="19" t="str">
        <f>Sheet1!S479</f>
        <v/>
      </c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/>
      <c r="EG479" s="21"/>
      <c r="EH479" s="21"/>
      <c r="EI479" s="21"/>
      <c r="EJ479" s="21"/>
      <c r="EK479" s="21"/>
      <c r="EL479" s="21"/>
      <c r="EM479" s="21"/>
      <c r="EN479" s="21"/>
      <c r="EO479" s="21"/>
      <c r="EP479" s="21"/>
      <c r="EQ479" s="21"/>
      <c r="ER479" s="21"/>
      <c r="ES479" s="21"/>
      <c r="ET479" s="21"/>
      <c r="EU479" s="21"/>
      <c r="EV479" s="21"/>
      <c r="EW479" s="21"/>
      <c r="EX479" s="21"/>
      <c r="EY479" s="21"/>
      <c r="EZ479" s="21"/>
      <c r="FA479" s="21"/>
      <c r="FB479" s="21"/>
      <c r="FC479" s="21"/>
      <c r="FD479" s="21"/>
      <c r="FE479" s="21"/>
      <c r="FF479" s="21"/>
      <c r="FG479" s="21"/>
      <c r="FH479" s="21"/>
      <c r="FI479" s="21"/>
      <c r="FJ479" s="21"/>
      <c r="FK479" s="21"/>
      <c r="FL479" s="21"/>
      <c r="FM479" s="21"/>
      <c r="FN479" s="21"/>
      <c r="FO479" s="21"/>
      <c r="FP479" s="21"/>
      <c r="FQ479" s="21"/>
      <c r="FR479" s="21"/>
      <c r="FS479" s="21"/>
      <c r="FT479" s="21"/>
      <c r="FU479" s="21"/>
      <c r="FV479" s="21"/>
      <c r="FW479" s="21"/>
      <c r="FX479" s="21"/>
      <c r="FY479" s="21"/>
      <c r="FZ479" s="21"/>
      <c r="GA479" s="21"/>
      <c r="GB479" s="21"/>
      <c r="GC479" s="21"/>
      <c r="GD479" s="21"/>
      <c r="GE479" s="21"/>
      <c r="GF479" s="21"/>
      <c r="GG479" s="21"/>
      <c r="GH479" s="21"/>
      <c r="GI479" s="21"/>
    </row>
    <row r="480">
      <c r="A480" s="19" t="str">
        <f>Sheet1!A480</f>
        <v/>
      </c>
      <c r="B480" s="19" t="str">
        <f>Sheet1!B480</f>
        <v/>
      </c>
      <c r="C480" s="19" t="str">
        <f>Sheet1!C480</f>
        <v/>
      </c>
      <c r="D480" s="19" t="str">
        <f>Sheet1!D480</f>
        <v/>
      </c>
      <c r="E480" s="19" t="str">
        <f>Sheet1!E480</f>
        <v/>
      </c>
      <c r="F480" s="19" t="str">
        <f>Sheet1!F480</f>
        <v/>
      </c>
      <c r="G480" s="19" t="str">
        <f>Sheet1!G480</f>
        <v/>
      </c>
      <c r="H480" s="19" t="str">
        <f>Sheet1!H480</f>
        <v/>
      </c>
      <c r="I480" s="19" t="str">
        <f>Sheet1!I480</f>
        <v/>
      </c>
      <c r="J480" s="19" t="str">
        <f>Sheet1!J480</f>
        <v/>
      </c>
      <c r="K480" s="19" t="str">
        <f>Sheet1!K480</f>
        <v/>
      </c>
      <c r="L480" s="19" t="str">
        <f>Sheet1!L480</f>
        <v/>
      </c>
      <c r="M480" s="19" t="str">
        <f>Sheet1!M480</f>
        <v/>
      </c>
      <c r="N480" s="19" t="str">
        <f>Sheet1!N480</f>
        <v/>
      </c>
      <c r="O480" s="19" t="str">
        <f>Sheet1!O480</f>
        <v/>
      </c>
      <c r="P480" s="19" t="str">
        <f>Sheet1!P480</f>
        <v/>
      </c>
      <c r="Q480" s="19" t="str">
        <f>Sheet1!Q480</f>
        <v/>
      </c>
      <c r="R480" s="19" t="str">
        <f>Sheet1!R480</f>
        <v/>
      </c>
      <c r="S480" s="19" t="str">
        <f>Sheet1!S480</f>
        <v/>
      </c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/>
      <c r="EG480" s="21"/>
      <c r="EH480" s="21"/>
      <c r="EI480" s="21"/>
      <c r="EJ480" s="21"/>
      <c r="EK480" s="21"/>
      <c r="EL480" s="21"/>
      <c r="EM480" s="21"/>
      <c r="EN480" s="21"/>
      <c r="EO480" s="21"/>
      <c r="EP480" s="21"/>
      <c r="EQ480" s="21"/>
      <c r="ER480" s="21"/>
      <c r="ES480" s="21"/>
      <c r="ET480" s="21"/>
      <c r="EU480" s="21"/>
      <c r="EV480" s="21"/>
      <c r="EW480" s="21"/>
      <c r="EX480" s="21"/>
      <c r="EY480" s="21"/>
      <c r="EZ480" s="21"/>
      <c r="FA480" s="21"/>
      <c r="FB480" s="21"/>
      <c r="FC480" s="21"/>
      <c r="FD480" s="21"/>
      <c r="FE480" s="21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21"/>
      <c r="GG480" s="21"/>
      <c r="GH480" s="21"/>
      <c r="GI480" s="21"/>
    </row>
    <row r="481">
      <c r="A481" s="19" t="str">
        <f>Sheet1!A481</f>
        <v/>
      </c>
      <c r="B481" s="19" t="str">
        <f>Sheet1!B481</f>
        <v/>
      </c>
      <c r="C481" s="19" t="str">
        <f>Sheet1!C481</f>
        <v/>
      </c>
      <c r="D481" s="19" t="str">
        <f>Sheet1!D481</f>
        <v/>
      </c>
      <c r="E481" s="19" t="str">
        <f>Sheet1!E481</f>
        <v/>
      </c>
      <c r="F481" s="19" t="str">
        <f>Sheet1!F481</f>
        <v/>
      </c>
      <c r="G481" s="19" t="str">
        <f>Sheet1!G481</f>
        <v/>
      </c>
      <c r="H481" s="19" t="str">
        <f>Sheet1!H481</f>
        <v/>
      </c>
      <c r="I481" s="19" t="str">
        <f>Sheet1!I481</f>
        <v/>
      </c>
      <c r="J481" s="19" t="str">
        <f>Sheet1!J481</f>
        <v/>
      </c>
      <c r="K481" s="19" t="str">
        <f>Sheet1!K481</f>
        <v/>
      </c>
      <c r="L481" s="19" t="str">
        <f>Sheet1!L481</f>
        <v/>
      </c>
      <c r="M481" s="19" t="str">
        <f>Sheet1!M481</f>
        <v/>
      </c>
      <c r="N481" s="19" t="str">
        <f>Sheet1!N481</f>
        <v/>
      </c>
      <c r="O481" s="19" t="str">
        <f>Sheet1!O481</f>
        <v/>
      </c>
      <c r="P481" s="19" t="str">
        <f>Sheet1!P481</f>
        <v/>
      </c>
      <c r="Q481" s="19" t="str">
        <f>Sheet1!Q481</f>
        <v/>
      </c>
      <c r="R481" s="19" t="str">
        <f>Sheet1!R481</f>
        <v/>
      </c>
      <c r="S481" s="19" t="str">
        <f>Sheet1!S481</f>
        <v/>
      </c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/>
      <c r="EG481" s="21"/>
      <c r="EH481" s="21"/>
      <c r="EI481" s="21"/>
      <c r="EJ481" s="21"/>
      <c r="EK481" s="21"/>
      <c r="EL481" s="21"/>
      <c r="EM481" s="21"/>
      <c r="EN481" s="21"/>
      <c r="EO481" s="21"/>
      <c r="EP481" s="21"/>
      <c r="EQ481" s="21"/>
      <c r="ER481" s="21"/>
      <c r="ES481" s="21"/>
      <c r="ET481" s="21"/>
      <c r="EU481" s="21"/>
      <c r="EV481" s="21"/>
      <c r="EW481" s="21"/>
      <c r="EX481" s="21"/>
      <c r="EY481" s="21"/>
      <c r="EZ481" s="21"/>
      <c r="FA481" s="21"/>
      <c r="FB481" s="21"/>
      <c r="FC481" s="21"/>
      <c r="FD481" s="21"/>
      <c r="FE481" s="21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21"/>
      <c r="FW481" s="21"/>
      <c r="FX481" s="21"/>
      <c r="FY481" s="21"/>
      <c r="FZ481" s="21"/>
      <c r="GA481" s="21"/>
      <c r="GB481" s="21"/>
      <c r="GC481" s="21"/>
      <c r="GD481" s="21"/>
      <c r="GE481" s="21"/>
      <c r="GF481" s="21"/>
      <c r="GG481" s="21"/>
      <c r="GH481" s="21"/>
      <c r="GI481" s="21"/>
    </row>
    <row r="482">
      <c r="A482" s="19" t="str">
        <f>Sheet1!A482</f>
        <v/>
      </c>
      <c r="B482" s="19" t="str">
        <f>Sheet1!B482</f>
        <v/>
      </c>
      <c r="C482" s="19" t="str">
        <f>Sheet1!C482</f>
        <v/>
      </c>
      <c r="D482" s="19" t="str">
        <f>Sheet1!D482</f>
        <v/>
      </c>
      <c r="E482" s="19" t="str">
        <f>Sheet1!E482</f>
        <v/>
      </c>
      <c r="F482" s="19" t="str">
        <f>Sheet1!F482</f>
        <v/>
      </c>
      <c r="G482" s="19" t="str">
        <f>Sheet1!G482</f>
        <v/>
      </c>
      <c r="H482" s="19" t="str">
        <f>Sheet1!H482</f>
        <v/>
      </c>
      <c r="I482" s="19" t="str">
        <f>Sheet1!I482</f>
        <v/>
      </c>
      <c r="J482" s="19" t="str">
        <f>Sheet1!J482</f>
        <v/>
      </c>
      <c r="K482" s="19" t="str">
        <f>Sheet1!K482</f>
        <v/>
      </c>
      <c r="L482" s="19" t="str">
        <f>Sheet1!L482</f>
        <v/>
      </c>
      <c r="M482" s="19" t="str">
        <f>Sheet1!M482</f>
        <v/>
      </c>
      <c r="N482" s="19" t="str">
        <f>Sheet1!N482</f>
        <v/>
      </c>
      <c r="O482" s="19" t="str">
        <f>Sheet1!O482</f>
        <v/>
      </c>
      <c r="P482" s="19" t="str">
        <f>Sheet1!P482</f>
        <v/>
      </c>
      <c r="Q482" s="19" t="str">
        <f>Sheet1!Q482</f>
        <v/>
      </c>
      <c r="R482" s="19" t="str">
        <f>Sheet1!R482</f>
        <v/>
      </c>
      <c r="S482" s="19" t="str">
        <f>Sheet1!S482</f>
        <v/>
      </c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/>
      <c r="EG482" s="21"/>
      <c r="EH482" s="21"/>
      <c r="EI482" s="21"/>
      <c r="EJ482" s="21"/>
      <c r="EK482" s="21"/>
      <c r="EL482" s="21"/>
      <c r="EM482" s="21"/>
      <c r="EN482" s="21"/>
      <c r="EO482" s="21"/>
      <c r="EP482" s="21"/>
      <c r="EQ482" s="21"/>
      <c r="ER482" s="21"/>
      <c r="ES482" s="21"/>
      <c r="ET482" s="21"/>
      <c r="EU482" s="21"/>
      <c r="EV482" s="21"/>
      <c r="EW482" s="21"/>
      <c r="EX482" s="21"/>
      <c r="EY482" s="21"/>
      <c r="EZ482" s="21"/>
      <c r="FA482" s="21"/>
      <c r="FB482" s="21"/>
      <c r="FC482" s="21"/>
      <c r="FD482" s="21"/>
      <c r="FE482" s="21"/>
      <c r="FF482" s="21"/>
      <c r="FG482" s="21"/>
      <c r="FH482" s="21"/>
      <c r="FI482" s="21"/>
      <c r="FJ482" s="21"/>
      <c r="FK482" s="21"/>
      <c r="FL482" s="21"/>
      <c r="FM482" s="21"/>
      <c r="FN482" s="21"/>
      <c r="FO482" s="21"/>
      <c r="FP482" s="21"/>
      <c r="FQ482" s="21"/>
      <c r="FR482" s="21"/>
      <c r="FS482" s="21"/>
      <c r="FT482" s="21"/>
      <c r="FU482" s="21"/>
      <c r="FV482" s="21"/>
      <c r="FW482" s="21"/>
      <c r="FX482" s="21"/>
      <c r="FY482" s="21"/>
      <c r="FZ482" s="21"/>
      <c r="GA482" s="21"/>
      <c r="GB482" s="21"/>
      <c r="GC482" s="21"/>
      <c r="GD482" s="21"/>
      <c r="GE482" s="21"/>
      <c r="GF482" s="21"/>
      <c r="GG482" s="21"/>
      <c r="GH482" s="21"/>
      <c r="GI482" s="21"/>
    </row>
    <row r="483">
      <c r="A483" s="19" t="str">
        <f>Sheet1!A483</f>
        <v/>
      </c>
      <c r="B483" s="19" t="str">
        <f>Sheet1!B483</f>
        <v/>
      </c>
      <c r="C483" s="19" t="str">
        <f>Sheet1!C483</f>
        <v/>
      </c>
      <c r="D483" s="19" t="str">
        <f>Sheet1!D483</f>
        <v/>
      </c>
      <c r="E483" s="19" t="str">
        <f>Sheet1!E483</f>
        <v/>
      </c>
      <c r="F483" s="19" t="str">
        <f>Sheet1!F483</f>
        <v/>
      </c>
      <c r="G483" s="19" t="str">
        <f>Sheet1!G483</f>
        <v/>
      </c>
      <c r="H483" s="19" t="str">
        <f>Sheet1!H483</f>
        <v/>
      </c>
      <c r="I483" s="19" t="str">
        <f>Sheet1!I483</f>
        <v/>
      </c>
      <c r="J483" s="19" t="str">
        <f>Sheet1!J483</f>
        <v/>
      </c>
      <c r="K483" s="19" t="str">
        <f>Sheet1!K483</f>
        <v/>
      </c>
      <c r="L483" s="19" t="str">
        <f>Sheet1!L483</f>
        <v/>
      </c>
      <c r="M483" s="19" t="str">
        <f>Sheet1!M483</f>
        <v/>
      </c>
      <c r="N483" s="19" t="str">
        <f>Sheet1!N483</f>
        <v/>
      </c>
      <c r="O483" s="19" t="str">
        <f>Sheet1!O483</f>
        <v/>
      </c>
      <c r="P483" s="19" t="str">
        <f>Sheet1!P483</f>
        <v/>
      </c>
      <c r="Q483" s="19" t="str">
        <f>Sheet1!Q483</f>
        <v/>
      </c>
      <c r="R483" s="19" t="str">
        <f>Sheet1!R483</f>
        <v/>
      </c>
      <c r="S483" s="19" t="str">
        <f>Sheet1!S483</f>
        <v/>
      </c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/>
      <c r="EG483" s="21"/>
      <c r="EH483" s="21"/>
      <c r="EI483" s="21"/>
      <c r="EJ483" s="21"/>
      <c r="EK483" s="21"/>
      <c r="EL483" s="21"/>
      <c r="EM483" s="21"/>
      <c r="EN483" s="21"/>
      <c r="EO483" s="21"/>
      <c r="EP483" s="21"/>
      <c r="EQ483" s="21"/>
      <c r="ER483" s="21"/>
      <c r="ES483" s="21"/>
      <c r="ET483" s="21"/>
      <c r="EU483" s="21"/>
      <c r="EV483" s="21"/>
      <c r="EW483" s="21"/>
      <c r="EX483" s="21"/>
      <c r="EY483" s="21"/>
      <c r="EZ483" s="21"/>
      <c r="FA483" s="21"/>
      <c r="FB483" s="21"/>
      <c r="FC483" s="21"/>
      <c r="FD483" s="21"/>
      <c r="FE483" s="21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21"/>
      <c r="FW483" s="21"/>
      <c r="FX483" s="21"/>
      <c r="FY483" s="21"/>
      <c r="FZ483" s="21"/>
      <c r="GA483" s="21"/>
      <c r="GB483" s="21"/>
      <c r="GC483" s="21"/>
      <c r="GD483" s="21"/>
      <c r="GE483" s="21"/>
      <c r="GF483" s="21"/>
      <c r="GG483" s="21"/>
      <c r="GH483" s="21"/>
      <c r="GI483" s="21"/>
    </row>
    <row r="484">
      <c r="A484" s="19" t="str">
        <f>Sheet1!A484</f>
        <v/>
      </c>
      <c r="B484" s="19" t="str">
        <f>Sheet1!B484</f>
        <v/>
      </c>
      <c r="C484" s="19" t="str">
        <f>Sheet1!C484</f>
        <v/>
      </c>
      <c r="D484" s="19" t="str">
        <f>Sheet1!D484</f>
        <v/>
      </c>
      <c r="E484" s="19" t="str">
        <f>Sheet1!E484</f>
        <v/>
      </c>
      <c r="F484" s="19" t="str">
        <f>Sheet1!F484</f>
        <v/>
      </c>
      <c r="G484" s="19" t="str">
        <f>Sheet1!G484</f>
        <v/>
      </c>
      <c r="H484" s="19" t="str">
        <f>Sheet1!H484</f>
        <v/>
      </c>
      <c r="I484" s="19" t="str">
        <f>Sheet1!I484</f>
        <v/>
      </c>
      <c r="J484" s="19" t="str">
        <f>Sheet1!J484</f>
        <v/>
      </c>
      <c r="K484" s="19" t="str">
        <f>Sheet1!K484</f>
        <v/>
      </c>
      <c r="L484" s="19" t="str">
        <f>Sheet1!L484</f>
        <v/>
      </c>
      <c r="M484" s="19" t="str">
        <f>Sheet1!M484</f>
        <v/>
      </c>
      <c r="N484" s="19" t="str">
        <f>Sheet1!N484</f>
        <v/>
      </c>
      <c r="O484" s="19" t="str">
        <f>Sheet1!O484</f>
        <v/>
      </c>
      <c r="P484" s="19" t="str">
        <f>Sheet1!P484</f>
        <v/>
      </c>
      <c r="Q484" s="19" t="str">
        <f>Sheet1!Q484</f>
        <v/>
      </c>
      <c r="R484" s="19" t="str">
        <f>Sheet1!R484</f>
        <v/>
      </c>
      <c r="S484" s="19" t="str">
        <f>Sheet1!S484</f>
        <v/>
      </c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/>
      <c r="EG484" s="21"/>
      <c r="EH484" s="21"/>
      <c r="EI484" s="21"/>
      <c r="EJ484" s="21"/>
      <c r="EK484" s="21"/>
      <c r="EL484" s="21"/>
      <c r="EM484" s="21"/>
      <c r="EN484" s="21"/>
      <c r="EO484" s="21"/>
      <c r="EP484" s="21"/>
      <c r="EQ484" s="21"/>
      <c r="ER484" s="21"/>
      <c r="ES484" s="21"/>
      <c r="ET484" s="21"/>
      <c r="EU484" s="21"/>
      <c r="EV484" s="21"/>
      <c r="EW484" s="21"/>
      <c r="EX484" s="21"/>
      <c r="EY484" s="21"/>
      <c r="EZ484" s="21"/>
      <c r="FA484" s="21"/>
      <c r="FB484" s="21"/>
      <c r="FC484" s="21"/>
      <c r="FD484" s="21"/>
      <c r="FE484" s="21"/>
      <c r="FF484" s="21"/>
      <c r="FG484" s="21"/>
      <c r="FH484" s="21"/>
      <c r="FI484" s="21"/>
      <c r="FJ484" s="21"/>
      <c r="FK484" s="21"/>
      <c r="FL484" s="21"/>
      <c r="FM484" s="21"/>
      <c r="FN484" s="21"/>
      <c r="FO484" s="21"/>
      <c r="FP484" s="21"/>
      <c r="FQ484" s="21"/>
      <c r="FR484" s="21"/>
      <c r="FS484" s="21"/>
      <c r="FT484" s="21"/>
      <c r="FU484" s="21"/>
      <c r="FV484" s="21"/>
      <c r="FW484" s="21"/>
      <c r="FX484" s="21"/>
      <c r="FY484" s="21"/>
      <c r="FZ484" s="21"/>
      <c r="GA484" s="21"/>
      <c r="GB484" s="21"/>
      <c r="GC484" s="21"/>
      <c r="GD484" s="21"/>
      <c r="GE484" s="21"/>
      <c r="GF484" s="21"/>
      <c r="GG484" s="21"/>
      <c r="GH484" s="21"/>
      <c r="GI484" s="21"/>
    </row>
    <row r="485">
      <c r="A485" s="19" t="str">
        <f>Sheet1!A485</f>
        <v/>
      </c>
      <c r="B485" s="19" t="str">
        <f>Sheet1!B485</f>
        <v/>
      </c>
      <c r="C485" s="19" t="str">
        <f>Sheet1!C485</f>
        <v/>
      </c>
      <c r="D485" s="19" t="str">
        <f>Sheet1!D485</f>
        <v/>
      </c>
      <c r="E485" s="19" t="str">
        <f>Sheet1!E485</f>
        <v/>
      </c>
      <c r="F485" s="19" t="str">
        <f>Sheet1!F485</f>
        <v/>
      </c>
      <c r="G485" s="19" t="str">
        <f>Sheet1!G485</f>
        <v/>
      </c>
      <c r="H485" s="19" t="str">
        <f>Sheet1!H485</f>
        <v/>
      </c>
      <c r="I485" s="19" t="str">
        <f>Sheet1!I485</f>
        <v/>
      </c>
      <c r="J485" s="19" t="str">
        <f>Sheet1!J485</f>
        <v/>
      </c>
      <c r="K485" s="19" t="str">
        <f>Sheet1!K485</f>
        <v/>
      </c>
      <c r="L485" s="19" t="str">
        <f>Sheet1!L485</f>
        <v/>
      </c>
      <c r="M485" s="19" t="str">
        <f>Sheet1!M485</f>
        <v/>
      </c>
      <c r="N485" s="19" t="str">
        <f>Sheet1!N485</f>
        <v/>
      </c>
      <c r="O485" s="19" t="str">
        <f>Sheet1!O485</f>
        <v/>
      </c>
      <c r="P485" s="19" t="str">
        <f>Sheet1!P485</f>
        <v/>
      </c>
      <c r="Q485" s="19" t="str">
        <f>Sheet1!Q485</f>
        <v/>
      </c>
      <c r="R485" s="19" t="str">
        <f>Sheet1!R485</f>
        <v/>
      </c>
      <c r="S485" s="19" t="str">
        <f>Sheet1!S485</f>
        <v/>
      </c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/>
      <c r="EG485" s="21"/>
      <c r="EH485" s="21"/>
      <c r="EI485" s="21"/>
      <c r="EJ485" s="21"/>
      <c r="EK485" s="21"/>
      <c r="EL485" s="21"/>
      <c r="EM485" s="21"/>
      <c r="EN485" s="21"/>
      <c r="EO485" s="21"/>
      <c r="EP485" s="21"/>
      <c r="EQ485" s="21"/>
      <c r="ER485" s="21"/>
      <c r="ES485" s="21"/>
      <c r="ET485" s="21"/>
      <c r="EU485" s="21"/>
      <c r="EV485" s="21"/>
      <c r="EW485" s="21"/>
      <c r="EX485" s="21"/>
      <c r="EY485" s="21"/>
      <c r="EZ485" s="21"/>
      <c r="FA485" s="21"/>
      <c r="FB485" s="21"/>
      <c r="FC485" s="21"/>
      <c r="FD485" s="21"/>
      <c r="FE485" s="21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21"/>
      <c r="FW485" s="21"/>
      <c r="FX485" s="21"/>
      <c r="FY485" s="21"/>
      <c r="FZ485" s="21"/>
      <c r="GA485" s="21"/>
      <c r="GB485" s="21"/>
      <c r="GC485" s="21"/>
      <c r="GD485" s="21"/>
      <c r="GE485" s="21"/>
      <c r="GF485" s="21"/>
      <c r="GG485" s="21"/>
      <c r="GH485" s="21"/>
      <c r="GI485" s="21"/>
    </row>
    <row r="486">
      <c r="A486" s="19" t="str">
        <f>Sheet1!A486</f>
        <v/>
      </c>
      <c r="B486" s="19" t="str">
        <f>Sheet1!B486</f>
        <v/>
      </c>
      <c r="C486" s="19" t="str">
        <f>Sheet1!C486</f>
        <v/>
      </c>
      <c r="D486" s="19" t="str">
        <f>Sheet1!D486</f>
        <v/>
      </c>
      <c r="E486" s="19" t="str">
        <f>Sheet1!E486</f>
        <v/>
      </c>
      <c r="F486" s="19" t="str">
        <f>Sheet1!F486</f>
        <v/>
      </c>
      <c r="G486" s="19" t="str">
        <f>Sheet1!G486</f>
        <v/>
      </c>
      <c r="H486" s="19" t="str">
        <f>Sheet1!H486</f>
        <v/>
      </c>
      <c r="I486" s="19" t="str">
        <f>Sheet1!I486</f>
        <v/>
      </c>
      <c r="J486" s="19" t="str">
        <f>Sheet1!J486</f>
        <v/>
      </c>
      <c r="K486" s="19" t="str">
        <f>Sheet1!K486</f>
        <v/>
      </c>
      <c r="L486" s="19" t="str">
        <f>Sheet1!L486</f>
        <v/>
      </c>
      <c r="M486" s="19" t="str">
        <f>Sheet1!M486</f>
        <v/>
      </c>
      <c r="N486" s="19" t="str">
        <f>Sheet1!N486</f>
        <v/>
      </c>
      <c r="O486" s="19" t="str">
        <f>Sheet1!O486</f>
        <v/>
      </c>
      <c r="P486" s="19" t="str">
        <f>Sheet1!P486</f>
        <v/>
      </c>
      <c r="Q486" s="19" t="str">
        <f>Sheet1!Q486</f>
        <v/>
      </c>
      <c r="R486" s="19" t="str">
        <f>Sheet1!R486</f>
        <v/>
      </c>
      <c r="S486" s="19" t="str">
        <f>Sheet1!S486</f>
        <v/>
      </c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/>
      <c r="EG486" s="21"/>
      <c r="EH486" s="21"/>
      <c r="EI486" s="21"/>
      <c r="EJ486" s="21"/>
      <c r="EK486" s="21"/>
      <c r="EL486" s="21"/>
      <c r="EM486" s="21"/>
      <c r="EN486" s="21"/>
      <c r="EO486" s="21"/>
      <c r="EP486" s="21"/>
      <c r="EQ486" s="21"/>
      <c r="ER486" s="21"/>
      <c r="ES486" s="21"/>
      <c r="ET486" s="21"/>
      <c r="EU486" s="21"/>
      <c r="EV486" s="21"/>
      <c r="EW486" s="21"/>
      <c r="EX486" s="21"/>
      <c r="EY486" s="21"/>
      <c r="EZ486" s="21"/>
      <c r="FA486" s="21"/>
      <c r="FB486" s="21"/>
      <c r="FC486" s="21"/>
      <c r="FD486" s="21"/>
      <c r="FE486" s="21"/>
      <c r="FF486" s="21"/>
      <c r="FG486" s="21"/>
      <c r="FH486" s="21"/>
      <c r="FI486" s="21"/>
      <c r="FJ486" s="21"/>
      <c r="FK486" s="21"/>
      <c r="FL486" s="21"/>
      <c r="FM486" s="21"/>
      <c r="FN486" s="21"/>
      <c r="FO486" s="21"/>
      <c r="FP486" s="21"/>
      <c r="FQ486" s="21"/>
      <c r="FR486" s="21"/>
      <c r="FS486" s="21"/>
      <c r="FT486" s="21"/>
      <c r="FU486" s="21"/>
      <c r="FV486" s="21"/>
      <c r="FW486" s="21"/>
      <c r="FX486" s="21"/>
      <c r="FY486" s="21"/>
      <c r="FZ486" s="21"/>
      <c r="GA486" s="21"/>
      <c r="GB486" s="21"/>
      <c r="GC486" s="21"/>
      <c r="GD486" s="21"/>
      <c r="GE486" s="21"/>
      <c r="GF486" s="21"/>
      <c r="GG486" s="21"/>
      <c r="GH486" s="21"/>
      <c r="GI486" s="21"/>
    </row>
    <row r="487">
      <c r="A487" s="19" t="str">
        <f>Sheet1!A487</f>
        <v/>
      </c>
      <c r="B487" s="19" t="str">
        <f>Sheet1!B487</f>
        <v/>
      </c>
      <c r="C487" s="19" t="str">
        <f>Sheet1!C487</f>
        <v/>
      </c>
      <c r="D487" s="19" t="str">
        <f>Sheet1!D487</f>
        <v/>
      </c>
      <c r="E487" s="19" t="str">
        <f>Sheet1!E487</f>
        <v/>
      </c>
      <c r="F487" s="19" t="str">
        <f>Sheet1!F487</f>
        <v/>
      </c>
      <c r="G487" s="19" t="str">
        <f>Sheet1!G487</f>
        <v/>
      </c>
      <c r="H487" s="19" t="str">
        <f>Sheet1!H487</f>
        <v/>
      </c>
      <c r="I487" s="19" t="str">
        <f>Sheet1!I487</f>
        <v/>
      </c>
      <c r="J487" s="19" t="str">
        <f>Sheet1!J487</f>
        <v/>
      </c>
      <c r="K487" s="19" t="str">
        <f>Sheet1!K487</f>
        <v/>
      </c>
      <c r="L487" s="19" t="str">
        <f>Sheet1!L487</f>
        <v/>
      </c>
      <c r="M487" s="19" t="str">
        <f>Sheet1!M487</f>
        <v/>
      </c>
      <c r="N487" s="19" t="str">
        <f>Sheet1!N487</f>
        <v/>
      </c>
      <c r="O487" s="19" t="str">
        <f>Sheet1!O487</f>
        <v/>
      </c>
      <c r="P487" s="19" t="str">
        <f>Sheet1!P487</f>
        <v/>
      </c>
      <c r="Q487" s="19" t="str">
        <f>Sheet1!Q487</f>
        <v/>
      </c>
      <c r="R487" s="19" t="str">
        <f>Sheet1!R487</f>
        <v/>
      </c>
      <c r="S487" s="19" t="str">
        <f>Sheet1!S487</f>
        <v/>
      </c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/>
      <c r="EG487" s="21"/>
      <c r="EH487" s="21"/>
      <c r="EI487" s="21"/>
      <c r="EJ487" s="21"/>
      <c r="EK487" s="21"/>
      <c r="EL487" s="21"/>
      <c r="EM487" s="21"/>
      <c r="EN487" s="21"/>
      <c r="EO487" s="21"/>
      <c r="EP487" s="21"/>
      <c r="EQ487" s="21"/>
      <c r="ER487" s="21"/>
      <c r="ES487" s="21"/>
      <c r="ET487" s="21"/>
      <c r="EU487" s="21"/>
      <c r="EV487" s="21"/>
      <c r="EW487" s="21"/>
      <c r="EX487" s="21"/>
      <c r="EY487" s="21"/>
      <c r="EZ487" s="21"/>
      <c r="FA487" s="21"/>
      <c r="FB487" s="21"/>
      <c r="FC487" s="21"/>
      <c r="FD487" s="21"/>
      <c r="FE487" s="21"/>
      <c r="FF487" s="21"/>
      <c r="FG487" s="21"/>
      <c r="FH487" s="21"/>
      <c r="FI487" s="21"/>
      <c r="FJ487" s="21"/>
      <c r="FK487" s="21"/>
      <c r="FL487" s="21"/>
      <c r="FM487" s="21"/>
      <c r="FN487" s="21"/>
      <c r="FO487" s="21"/>
      <c r="FP487" s="21"/>
      <c r="FQ487" s="21"/>
      <c r="FR487" s="21"/>
      <c r="FS487" s="21"/>
      <c r="FT487" s="21"/>
      <c r="FU487" s="21"/>
      <c r="FV487" s="21"/>
      <c r="FW487" s="21"/>
      <c r="FX487" s="21"/>
      <c r="FY487" s="21"/>
      <c r="FZ487" s="21"/>
      <c r="GA487" s="21"/>
      <c r="GB487" s="21"/>
      <c r="GC487" s="21"/>
      <c r="GD487" s="21"/>
      <c r="GE487" s="21"/>
      <c r="GF487" s="21"/>
      <c r="GG487" s="21"/>
      <c r="GH487" s="21"/>
      <c r="GI487" s="21"/>
    </row>
    <row r="488">
      <c r="A488" s="19" t="str">
        <f>Sheet1!A488</f>
        <v/>
      </c>
      <c r="B488" s="19" t="str">
        <f>Sheet1!B488</f>
        <v/>
      </c>
      <c r="C488" s="19" t="str">
        <f>Sheet1!C488</f>
        <v/>
      </c>
      <c r="D488" s="19" t="str">
        <f>Sheet1!D488</f>
        <v/>
      </c>
      <c r="E488" s="19" t="str">
        <f>Sheet1!E488</f>
        <v/>
      </c>
      <c r="F488" s="19" t="str">
        <f>Sheet1!F488</f>
        <v/>
      </c>
      <c r="G488" s="19" t="str">
        <f>Sheet1!G488</f>
        <v/>
      </c>
      <c r="H488" s="19" t="str">
        <f>Sheet1!H488</f>
        <v/>
      </c>
      <c r="I488" s="19" t="str">
        <f>Sheet1!I488</f>
        <v/>
      </c>
      <c r="J488" s="19" t="str">
        <f>Sheet1!J488</f>
        <v/>
      </c>
      <c r="K488" s="19" t="str">
        <f>Sheet1!K488</f>
        <v/>
      </c>
      <c r="L488" s="19" t="str">
        <f>Sheet1!L488</f>
        <v/>
      </c>
      <c r="M488" s="19" t="str">
        <f>Sheet1!M488</f>
        <v/>
      </c>
      <c r="N488" s="19" t="str">
        <f>Sheet1!N488</f>
        <v/>
      </c>
      <c r="O488" s="19" t="str">
        <f>Sheet1!O488</f>
        <v/>
      </c>
      <c r="P488" s="19" t="str">
        <f>Sheet1!P488</f>
        <v/>
      </c>
      <c r="Q488" s="19" t="str">
        <f>Sheet1!Q488</f>
        <v/>
      </c>
      <c r="R488" s="19" t="str">
        <f>Sheet1!R488</f>
        <v/>
      </c>
      <c r="S488" s="19" t="str">
        <f>Sheet1!S488</f>
        <v/>
      </c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/>
      <c r="EG488" s="21"/>
      <c r="EH488" s="21"/>
      <c r="EI488" s="21"/>
      <c r="EJ488" s="21"/>
      <c r="EK488" s="21"/>
      <c r="EL488" s="21"/>
      <c r="EM488" s="21"/>
      <c r="EN488" s="21"/>
      <c r="EO488" s="21"/>
      <c r="EP488" s="21"/>
      <c r="EQ488" s="21"/>
      <c r="ER488" s="21"/>
      <c r="ES488" s="21"/>
      <c r="ET488" s="21"/>
      <c r="EU488" s="21"/>
      <c r="EV488" s="21"/>
      <c r="EW488" s="21"/>
      <c r="EX488" s="21"/>
      <c r="EY488" s="21"/>
      <c r="EZ488" s="21"/>
      <c r="FA488" s="21"/>
      <c r="FB488" s="21"/>
      <c r="FC488" s="21"/>
      <c r="FD488" s="21"/>
      <c r="FE488" s="21"/>
      <c r="FF488" s="21"/>
      <c r="FG488" s="21"/>
      <c r="FH488" s="21"/>
      <c r="FI488" s="21"/>
      <c r="FJ488" s="21"/>
      <c r="FK488" s="21"/>
      <c r="FL488" s="21"/>
      <c r="FM488" s="21"/>
      <c r="FN488" s="21"/>
      <c r="FO488" s="21"/>
      <c r="FP488" s="21"/>
      <c r="FQ488" s="21"/>
      <c r="FR488" s="21"/>
      <c r="FS488" s="21"/>
      <c r="FT488" s="21"/>
      <c r="FU488" s="21"/>
      <c r="FV488" s="21"/>
      <c r="FW488" s="21"/>
      <c r="FX488" s="21"/>
      <c r="FY488" s="21"/>
      <c r="FZ488" s="21"/>
      <c r="GA488" s="21"/>
      <c r="GB488" s="21"/>
      <c r="GC488" s="21"/>
      <c r="GD488" s="21"/>
      <c r="GE488" s="21"/>
      <c r="GF488" s="21"/>
      <c r="GG488" s="21"/>
      <c r="GH488" s="21"/>
      <c r="GI488" s="21"/>
    </row>
    <row r="489">
      <c r="A489" s="19" t="str">
        <f>Sheet1!A489</f>
        <v/>
      </c>
      <c r="B489" s="19" t="str">
        <f>Sheet1!B489</f>
        <v/>
      </c>
      <c r="C489" s="19" t="str">
        <f>Sheet1!C489</f>
        <v/>
      </c>
      <c r="D489" s="19" t="str">
        <f>Sheet1!D489</f>
        <v/>
      </c>
      <c r="E489" s="19" t="str">
        <f>Sheet1!E489</f>
        <v/>
      </c>
      <c r="F489" s="19" t="str">
        <f>Sheet1!F489</f>
        <v/>
      </c>
      <c r="G489" s="19" t="str">
        <f>Sheet1!G489</f>
        <v/>
      </c>
      <c r="H489" s="19" t="str">
        <f>Sheet1!H489</f>
        <v/>
      </c>
      <c r="I489" s="19" t="str">
        <f>Sheet1!I489</f>
        <v/>
      </c>
      <c r="J489" s="19" t="str">
        <f>Sheet1!J489</f>
        <v/>
      </c>
      <c r="K489" s="19" t="str">
        <f>Sheet1!K489</f>
        <v/>
      </c>
      <c r="L489" s="19" t="str">
        <f>Sheet1!L489</f>
        <v/>
      </c>
      <c r="M489" s="19" t="str">
        <f>Sheet1!M489</f>
        <v/>
      </c>
      <c r="N489" s="19" t="str">
        <f>Sheet1!N489</f>
        <v/>
      </c>
      <c r="O489" s="19" t="str">
        <f>Sheet1!O489</f>
        <v/>
      </c>
      <c r="P489" s="19" t="str">
        <f>Sheet1!P489</f>
        <v/>
      </c>
      <c r="Q489" s="19" t="str">
        <f>Sheet1!Q489</f>
        <v/>
      </c>
      <c r="R489" s="19" t="str">
        <f>Sheet1!R489</f>
        <v/>
      </c>
      <c r="S489" s="19" t="str">
        <f>Sheet1!S489</f>
        <v/>
      </c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/>
      <c r="EG489" s="21"/>
      <c r="EH489" s="21"/>
      <c r="EI489" s="21"/>
      <c r="EJ489" s="21"/>
      <c r="EK489" s="21"/>
      <c r="EL489" s="21"/>
      <c r="EM489" s="21"/>
      <c r="EN489" s="21"/>
      <c r="EO489" s="21"/>
      <c r="EP489" s="21"/>
      <c r="EQ489" s="21"/>
      <c r="ER489" s="21"/>
      <c r="ES489" s="21"/>
      <c r="ET489" s="21"/>
      <c r="EU489" s="21"/>
      <c r="EV489" s="21"/>
      <c r="EW489" s="21"/>
      <c r="EX489" s="21"/>
      <c r="EY489" s="21"/>
      <c r="EZ489" s="21"/>
      <c r="FA489" s="21"/>
      <c r="FB489" s="21"/>
      <c r="FC489" s="21"/>
      <c r="FD489" s="21"/>
      <c r="FE489" s="21"/>
      <c r="FF489" s="21"/>
      <c r="FG489" s="21"/>
      <c r="FH489" s="21"/>
      <c r="FI489" s="21"/>
      <c r="FJ489" s="21"/>
      <c r="FK489" s="21"/>
      <c r="FL489" s="21"/>
      <c r="FM489" s="21"/>
      <c r="FN489" s="21"/>
      <c r="FO489" s="21"/>
      <c r="FP489" s="21"/>
      <c r="FQ489" s="21"/>
      <c r="FR489" s="21"/>
      <c r="FS489" s="21"/>
      <c r="FT489" s="21"/>
      <c r="FU489" s="21"/>
      <c r="FV489" s="21"/>
      <c r="FW489" s="21"/>
      <c r="FX489" s="21"/>
      <c r="FY489" s="21"/>
      <c r="FZ489" s="21"/>
      <c r="GA489" s="21"/>
      <c r="GB489" s="21"/>
      <c r="GC489" s="21"/>
      <c r="GD489" s="21"/>
      <c r="GE489" s="21"/>
      <c r="GF489" s="21"/>
      <c r="GG489" s="21"/>
      <c r="GH489" s="21"/>
      <c r="GI489" s="21"/>
    </row>
    <row r="490">
      <c r="A490" s="19" t="str">
        <f>Sheet1!A490</f>
        <v/>
      </c>
      <c r="B490" s="19" t="str">
        <f>Sheet1!B490</f>
        <v/>
      </c>
      <c r="C490" s="19" t="str">
        <f>Sheet1!C490</f>
        <v/>
      </c>
      <c r="D490" s="19" t="str">
        <f>Sheet1!D490</f>
        <v/>
      </c>
      <c r="E490" s="19" t="str">
        <f>Sheet1!E490</f>
        <v/>
      </c>
      <c r="F490" s="19" t="str">
        <f>Sheet1!F490</f>
        <v/>
      </c>
      <c r="G490" s="19" t="str">
        <f>Sheet1!G490</f>
        <v/>
      </c>
      <c r="H490" s="19" t="str">
        <f>Sheet1!H490</f>
        <v/>
      </c>
      <c r="I490" s="19" t="str">
        <f>Sheet1!I490</f>
        <v/>
      </c>
      <c r="J490" s="19" t="str">
        <f>Sheet1!J490</f>
        <v/>
      </c>
      <c r="K490" s="19" t="str">
        <f>Sheet1!K490</f>
        <v/>
      </c>
      <c r="L490" s="19" t="str">
        <f>Sheet1!L490</f>
        <v/>
      </c>
      <c r="M490" s="19" t="str">
        <f>Sheet1!M490</f>
        <v/>
      </c>
      <c r="N490" s="19" t="str">
        <f>Sheet1!N490</f>
        <v/>
      </c>
      <c r="O490" s="19" t="str">
        <f>Sheet1!O490</f>
        <v/>
      </c>
      <c r="P490" s="19" t="str">
        <f>Sheet1!P490</f>
        <v/>
      </c>
      <c r="Q490" s="19" t="str">
        <f>Sheet1!Q490</f>
        <v/>
      </c>
      <c r="R490" s="19" t="str">
        <f>Sheet1!R490</f>
        <v/>
      </c>
      <c r="S490" s="19" t="str">
        <f>Sheet1!S490</f>
        <v/>
      </c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/>
      <c r="EG490" s="21"/>
      <c r="EH490" s="21"/>
      <c r="EI490" s="21"/>
      <c r="EJ490" s="21"/>
      <c r="EK490" s="21"/>
      <c r="EL490" s="21"/>
      <c r="EM490" s="21"/>
      <c r="EN490" s="21"/>
      <c r="EO490" s="21"/>
      <c r="EP490" s="21"/>
      <c r="EQ490" s="21"/>
      <c r="ER490" s="21"/>
      <c r="ES490" s="21"/>
      <c r="ET490" s="21"/>
      <c r="EU490" s="21"/>
      <c r="EV490" s="21"/>
      <c r="EW490" s="21"/>
      <c r="EX490" s="21"/>
      <c r="EY490" s="21"/>
      <c r="EZ490" s="21"/>
      <c r="FA490" s="21"/>
      <c r="FB490" s="21"/>
      <c r="FC490" s="21"/>
      <c r="FD490" s="21"/>
      <c r="FE490" s="21"/>
      <c r="FF490" s="21"/>
      <c r="FG490" s="21"/>
      <c r="FH490" s="21"/>
      <c r="FI490" s="21"/>
      <c r="FJ490" s="21"/>
      <c r="FK490" s="21"/>
      <c r="FL490" s="21"/>
      <c r="FM490" s="21"/>
      <c r="FN490" s="21"/>
      <c r="FO490" s="21"/>
      <c r="FP490" s="21"/>
      <c r="FQ490" s="21"/>
      <c r="FR490" s="21"/>
      <c r="FS490" s="21"/>
      <c r="FT490" s="21"/>
      <c r="FU490" s="21"/>
      <c r="FV490" s="21"/>
      <c r="FW490" s="21"/>
      <c r="FX490" s="21"/>
      <c r="FY490" s="21"/>
      <c r="FZ490" s="21"/>
      <c r="GA490" s="21"/>
      <c r="GB490" s="21"/>
      <c r="GC490" s="21"/>
      <c r="GD490" s="21"/>
      <c r="GE490" s="21"/>
      <c r="GF490" s="21"/>
      <c r="GG490" s="21"/>
      <c r="GH490" s="21"/>
      <c r="GI490" s="21"/>
    </row>
    <row r="491">
      <c r="A491" s="19" t="str">
        <f>Sheet1!A491</f>
        <v/>
      </c>
      <c r="B491" s="19" t="str">
        <f>Sheet1!B491</f>
        <v/>
      </c>
      <c r="C491" s="19" t="str">
        <f>Sheet1!C491</f>
        <v/>
      </c>
      <c r="D491" s="19" t="str">
        <f>Sheet1!D491</f>
        <v/>
      </c>
      <c r="E491" s="19" t="str">
        <f>Sheet1!E491</f>
        <v/>
      </c>
      <c r="F491" s="19" t="str">
        <f>Sheet1!F491</f>
        <v/>
      </c>
      <c r="G491" s="19" t="str">
        <f>Sheet1!G491</f>
        <v/>
      </c>
      <c r="H491" s="19" t="str">
        <f>Sheet1!H491</f>
        <v/>
      </c>
      <c r="I491" s="19" t="str">
        <f>Sheet1!I491</f>
        <v/>
      </c>
      <c r="J491" s="19" t="str">
        <f>Sheet1!J491</f>
        <v/>
      </c>
      <c r="K491" s="19" t="str">
        <f>Sheet1!K491</f>
        <v/>
      </c>
      <c r="L491" s="19" t="str">
        <f>Sheet1!L491</f>
        <v/>
      </c>
      <c r="M491" s="19" t="str">
        <f>Sheet1!M491</f>
        <v/>
      </c>
      <c r="N491" s="19" t="str">
        <f>Sheet1!N491</f>
        <v/>
      </c>
      <c r="O491" s="19" t="str">
        <f>Sheet1!O491</f>
        <v/>
      </c>
      <c r="P491" s="19" t="str">
        <f>Sheet1!P491</f>
        <v/>
      </c>
      <c r="Q491" s="19" t="str">
        <f>Sheet1!Q491</f>
        <v/>
      </c>
      <c r="R491" s="19" t="str">
        <f>Sheet1!R491</f>
        <v/>
      </c>
      <c r="S491" s="19" t="str">
        <f>Sheet1!S491</f>
        <v/>
      </c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/>
      <c r="EG491" s="21"/>
      <c r="EH491" s="21"/>
      <c r="EI491" s="21"/>
      <c r="EJ491" s="21"/>
      <c r="EK491" s="21"/>
      <c r="EL491" s="21"/>
      <c r="EM491" s="21"/>
      <c r="EN491" s="21"/>
      <c r="EO491" s="21"/>
      <c r="EP491" s="21"/>
      <c r="EQ491" s="21"/>
      <c r="ER491" s="21"/>
      <c r="ES491" s="21"/>
      <c r="ET491" s="21"/>
      <c r="EU491" s="21"/>
      <c r="EV491" s="21"/>
      <c r="EW491" s="21"/>
      <c r="EX491" s="21"/>
      <c r="EY491" s="21"/>
      <c r="EZ491" s="21"/>
      <c r="FA491" s="21"/>
      <c r="FB491" s="21"/>
      <c r="FC491" s="21"/>
      <c r="FD491" s="21"/>
      <c r="FE491" s="21"/>
      <c r="FF491" s="21"/>
      <c r="FG491" s="21"/>
      <c r="FH491" s="21"/>
      <c r="FI491" s="21"/>
      <c r="FJ491" s="21"/>
      <c r="FK491" s="21"/>
      <c r="FL491" s="21"/>
      <c r="FM491" s="21"/>
      <c r="FN491" s="21"/>
      <c r="FO491" s="21"/>
      <c r="FP491" s="21"/>
      <c r="FQ491" s="21"/>
      <c r="FR491" s="21"/>
      <c r="FS491" s="21"/>
      <c r="FT491" s="21"/>
      <c r="FU491" s="21"/>
      <c r="FV491" s="21"/>
      <c r="FW491" s="21"/>
      <c r="FX491" s="21"/>
      <c r="FY491" s="21"/>
      <c r="FZ491" s="21"/>
      <c r="GA491" s="21"/>
      <c r="GB491" s="21"/>
      <c r="GC491" s="21"/>
      <c r="GD491" s="21"/>
      <c r="GE491" s="21"/>
      <c r="GF491" s="21"/>
      <c r="GG491" s="21"/>
      <c r="GH491" s="21"/>
      <c r="GI491" s="21"/>
    </row>
    <row r="492">
      <c r="A492" s="19" t="str">
        <f>Sheet1!A492</f>
        <v/>
      </c>
      <c r="B492" s="19" t="str">
        <f>Sheet1!B492</f>
        <v/>
      </c>
      <c r="C492" s="19" t="str">
        <f>Sheet1!C492</f>
        <v/>
      </c>
      <c r="D492" s="19" t="str">
        <f>Sheet1!D492</f>
        <v/>
      </c>
      <c r="E492" s="19" t="str">
        <f>Sheet1!E492</f>
        <v/>
      </c>
      <c r="F492" s="19" t="str">
        <f>Sheet1!F492</f>
        <v/>
      </c>
      <c r="G492" s="19" t="str">
        <f>Sheet1!G492</f>
        <v/>
      </c>
      <c r="H492" s="19" t="str">
        <f>Sheet1!H492</f>
        <v/>
      </c>
      <c r="I492" s="19" t="str">
        <f>Sheet1!I492</f>
        <v/>
      </c>
      <c r="J492" s="19" t="str">
        <f>Sheet1!J492</f>
        <v/>
      </c>
      <c r="K492" s="19" t="str">
        <f>Sheet1!K492</f>
        <v/>
      </c>
      <c r="L492" s="19" t="str">
        <f>Sheet1!L492</f>
        <v/>
      </c>
      <c r="M492" s="19" t="str">
        <f>Sheet1!M492</f>
        <v/>
      </c>
      <c r="N492" s="19" t="str">
        <f>Sheet1!N492</f>
        <v/>
      </c>
      <c r="O492" s="19" t="str">
        <f>Sheet1!O492</f>
        <v/>
      </c>
      <c r="P492" s="19" t="str">
        <f>Sheet1!P492</f>
        <v/>
      </c>
      <c r="Q492" s="19" t="str">
        <f>Sheet1!Q492</f>
        <v/>
      </c>
      <c r="R492" s="19" t="str">
        <f>Sheet1!R492</f>
        <v/>
      </c>
      <c r="S492" s="19" t="str">
        <f>Sheet1!S492</f>
        <v/>
      </c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/>
      <c r="EG492" s="21"/>
      <c r="EH492" s="21"/>
      <c r="EI492" s="21"/>
      <c r="EJ492" s="21"/>
      <c r="EK492" s="21"/>
      <c r="EL492" s="21"/>
      <c r="EM492" s="21"/>
      <c r="EN492" s="21"/>
      <c r="EO492" s="21"/>
      <c r="EP492" s="21"/>
      <c r="EQ492" s="21"/>
      <c r="ER492" s="21"/>
      <c r="ES492" s="21"/>
      <c r="ET492" s="21"/>
      <c r="EU492" s="21"/>
      <c r="EV492" s="21"/>
      <c r="EW492" s="21"/>
      <c r="EX492" s="21"/>
      <c r="EY492" s="21"/>
      <c r="EZ492" s="21"/>
      <c r="FA492" s="21"/>
      <c r="FB492" s="21"/>
      <c r="FC492" s="21"/>
      <c r="FD492" s="21"/>
      <c r="FE492" s="21"/>
      <c r="FF492" s="21"/>
      <c r="FG492" s="21"/>
      <c r="FH492" s="21"/>
      <c r="FI492" s="21"/>
      <c r="FJ492" s="21"/>
      <c r="FK492" s="21"/>
      <c r="FL492" s="21"/>
      <c r="FM492" s="21"/>
      <c r="FN492" s="21"/>
      <c r="FO492" s="21"/>
      <c r="FP492" s="21"/>
      <c r="FQ492" s="21"/>
      <c r="FR492" s="21"/>
      <c r="FS492" s="21"/>
      <c r="FT492" s="21"/>
      <c r="FU492" s="21"/>
      <c r="FV492" s="21"/>
      <c r="FW492" s="21"/>
      <c r="FX492" s="21"/>
      <c r="FY492" s="21"/>
      <c r="FZ492" s="21"/>
      <c r="GA492" s="21"/>
      <c r="GB492" s="21"/>
      <c r="GC492" s="21"/>
      <c r="GD492" s="21"/>
      <c r="GE492" s="21"/>
      <c r="GF492" s="21"/>
      <c r="GG492" s="21"/>
      <c r="GH492" s="21"/>
      <c r="GI492" s="21"/>
    </row>
    <row r="493">
      <c r="A493" s="19" t="str">
        <f>Sheet1!A493</f>
        <v/>
      </c>
      <c r="B493" s="19" t="str">
        <f>Sheet1!B493</f>
        <v/>
      </c>
      <c r="C493" s="19" t="str">
        <f>Sheet1!C493</f>
        <v/>
      </c>
      <c r="D493" s="19" t="str">
        <f>Sheet1!D493</f>
        <v/>
      </c>
      <c r="E493" s="19" t="str">
        <f>Sheet1!E493</f>
        <v/>
      </c>
      <c r="F493" s="19" t="str">
        <f>Sheet1!F493</f>
        <v/>
      </c>
      <c r="G493" s="19" t="str">
        <f>Sheet1!G493</f>
        <v/>
      </c>
      <c r="H493" s="19" t="str">
        <f>Sheet1!H493</f>
        <v/>
      </c>
      <c r="I493" s="19" t="str">
        <f>Sheet1!I493</f>
        <v/>
      </c>
      <c r="J493" s="19" t="str">
        <f>Sheet1!J493</f>
        <v/>
      </c>
      <c r="K493" s="19" t="str">
        <f>Sheet1!K493</f>
        <v/>
      </c>
      <c r="L493" s="19" t="str">
        <f>Sheet1!L493</f>
        <v/>
      </c>
      <c r="M493" s="19" t="str">
        <f>Sheet1!M493</f>
        <v/>
      </c>
      <c r="N493" s="19" t="str">
        <f>Sheet1!N493</f>
        <v/>
      </c>
      <c r="O493" s="19" t="str">
        <f>Sheet1!O493</f>
        <v/>
      </c>
      <c r="P493" s="19" t="str">
        <f>Sheet1!P493</f>
        <v/>
      </c>
      <c r="Q493" s="19" t="str">
        <f>Sheet1!Q493</f>
        <v/>
      </c>
      <c r="R493" s="19" t="str">
        <f>Sheet1!R493</f>
        <v/>
      </c>
      <c r="S493" s="19" t="str">
        <f>Sheet1!S493</f>
        <v/>
      </c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/>
      <c r="EG493" s="21"/>
      <c r="EH493" s="21"/>
      <c r="EI493" s="21"/>
      <c r="EJ493" s="21"/>
      <c r="EK493" s="21"/>
      <c r="EL493" s="21"/>
      <c r="EM493" s="21"/>
      <c r="EN493" s="21"/>
      <c r="EO493" s="21"/>
      <c r="EP493" s="21"/>
      <c r="EQ493" s="21"/>
      <c r="ER493" s="21"/>
      <c r="ES493" s="21"/>
      <c r="ET493" s="21"/>
      <c r="EU493" s="21"/>
      <c r="EV493" s="21"/>
      <c r="EW493" s="21"/>
      <c r="EX493" s="21"/>
      <c r="EY493" s="21"/>
      <c r="EZ493" s="21"/>
      <c r="FA493" s="21"/>
      <c r="FB493" s="21"/>
      <c r="FC493" s="21"/>
      <c r="FD493" s="21"/>
      <c r="FE493" s="21"/>
      <c r="FF493" s="21"/>
      <c r="FG493" s="21"/>
      <c r="FH493" s="21"/>
      <c r="FI493" s="21"/>
      <c r="FJ493" s="21"/>
      <c r="FK493" s="21"/>
      <c r="FL493" s="21"/>
      <c r="FM493" s="21"/>
      <c r="FN493" s="21"/>
      <c r="FO493" s="21"/>
      <c r="FP493" s="21"/>
      <c r="FQ493" s="21"/>
      <c r="FR493" s="21"/>
      <c r="FS493" s="21"/>
      <c r="FT493" s="21"/>
      <c r="FU493" s="21"/>
      <c r="FV493" s="21"/>
      <c r="FW493" s="21"/>
      <c r="FX493" s="21"/>
      <c r="FY493" s="21"/>
      <c r="FZ493" s="21"/>
      <c r="GA493" s="21"/>
      <c r="GB493" s="21"/>
      <c r="GC493" s="21"/>
      <c r="GD493" s="21"/>
      <c r="GE493" s="21"/>
      <c r="GF493" s="21"/>
      <c r="GG493" s="21"/>
      <c r="GH493" s="21"/>
      <c r="GI493" s="21"/>
    </row>
    <row r="494">
      <c r="A494" s="19" t="str">
        <f>Sheet1!A494</f>
        <v/>
      </c>
      <c r="B494" s="19" t="str">
        <f>Sheet1!B494</f>
        <v/>
      </c>
      <c r="C494" s="19" t="str">
        <f>Sheet1!C494</f>
        <v/>
      </c>
      <c r="D494" s="19" t="str">
        <f>Sheet1!D494</f>
        <v/>
      </c>
      <c r="E494" s="19" t="str">
        <f>Sheet1!E494</f>
        <v/>
      </c>
      <c r="F494" s="19" t="str">
        <f>Sheet1!F494</f>
        <v/>
      </c>
      <c r="G494" s="19" t="str">
        <f>Sheet1!G494</f>
        <v/>
      </c>
      <c r="H494" s="19" t="str">
        <f>Sheet1!H494</f>
        <v/>
      </c>
      <c r="I494" s="19" t="str">
        <f>Sheet1!I494</f>
        <v/>
      </c>
      <c r="J494" s="19" t="str">
        <f>Sheet1!J494</f>
        <v/>
      </c>
      <c r="K494" s="19" t="str">
        <f>Sheet1!K494</f>
        <v/>
      </c>
      <c r="L494" s="19" t="str">
        <f>Sheet1!L494</f>
        <v/>
      </c>
      <c r="M494" s="19" t="str">
        <f>Sheet1!M494</f>
        <v/>
      </c>
      <c r="N494" s="19" t="str">
        <f>Sheet1!N494</f>
        <v/>
      </c>
      <c r="O494" s="19" t="str">
        <f>Sheet1!O494</f>
        <v/>
      </c>
      <c r="P494" s="19" t="str">
        <f>Sheet1!P494</f>
        <v/>
      </c>
      <c r="Q494" s="19" t="str">
        <f>Sheet1!Q494</f>
        <v/>
      </c>
      <c r="R494" s="19" t="str">
        <f>Sheet1!R494</f>
        <v/>
      </c>
      <c r="S494" s="19" t="str">
        <f>Sheet1!S494</f>
        <v/>
      </c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/>
      <c r="EG494" s="21"/>
      <c r="EH494" s="21"/>
      <c r="EI494" s="21"/>
      <c r="EJ494" s="21"/>
      <c r="EK494" s="21"/>
      <c r="EL494" s="21"/>
      <c r="EM494" s="21"/>
      <c r="EN494" s="21"/>
      <c r="EO494" s="21"/>
      <c r="EP494" s="21"/>
      <c r="EQ494" s="21"/>
      <c r="ER494" s="21"/>
      <c r="ES494" s="21"/>
      <c r="ET494" s="21"/>
      <c r="EU494" s="21"/>
      <c r="EV494" s="21"/>
      <c r="EW494" s="21"/>
      <c r="EX494" s="21"/>
      <c r="EY494" s="21"/>
      <c r="EZ494" s="21"/>
      <c r="FA494" s="21"/>
      <c r="FB494" s="21"/>
      <c r="FC494" s="21"/>
      <c r="FD494" s="21"/>
      <c r="FE494" s="21"/>
      <c r="FF494" s="21"/>
      <c r="FG494" s="21"/>
      <c r="FH494" s="21"/>
      <c r="FI494" s="21"/>
      <c r="FJ494" s="21"/>
      <c r="FK494" s="21"/>
      <c r="FL494" s="21"/>
      <c r="FM494" s="21"/>
      <c r="FN494" s="21"/>
      <c r="FO494" s="21"/>
      <c r="FP494" s="21"/>
      <c r="FQ494" s="21"/>
      <c r="FR494" s="21"/>
      <c r="FS494" s="21"/>
      <c r="FT494" s="21"/>
      <c r="FU494" s="21"/>
      <c r="FV494" s="21"/>
      <c r="FW494" s="21"/>
      <c r="FX494" s="21"/>
      <c r="FY494" s="21"/>
      <c r="FZ494" s="21"/>
      <c r="GA494" s="21"/>
      <c r="GB494" s="21"/>
      <c r="GC494" s="21"/>
      <c r="GD494" s="21"/>
      <c r="GE494" s="21"/>
      <c r="GF494" s="21"/>
      <c r="GG494" s="21"/>
      <c r="GH494" s="21"/>
      <c r="GI494" s="21"/>
    </row>
    <row r="495">
      <c r="A495" s="19" t="str">
        <f>Sheet1!A495</f>
        <v/>
      </c>
      <c r="B495" s="19" t="str">
        <f>Sheet1!B495</f>
        <v/>
      </c>
      <c r="C495" s="19" t="str">
        <f>Sheet1!C495</f>
        <v/>
      </c>
      <c r="D495" s="19" t="str">
        <f>Sheet1!D495</f>
        <v/>
      </c>
      <c r="E495" s="19" t="str">
        <f>Sheet1!E495</f>
        <v/>
      </c>
      <c r="F495" s="19" t="str">
        <f>Sheet1!F495</f>
        <v/>
      </c>
      <c r="G495" s="19" t="str">
        <f>Sheet1!G495</f>
        <v/>
      </c>
      <c r="H495" s="19" t="str">
        <f>Sheet1!H495</f>
        <v/>
      </c>
      <c r="I495" s="19" t="str">
        <f>Sheet1!I495</f>
        <v/>
      </c>
      <c r="J495" s="19" t="str">
        <f>Sheet1!J495</f>
        <v/>
      </c>
      <c r="K495" s="19" t="str">
        <f>Sheet1!K495</f>
        <v/>
      </c>
      <c r="L495" s="19" t="str">
        <f>Sheet1!L495</f>
        <v/>
      </c>
      <c r="M495" s="19" t="str">
        <f>Sheet1!M495</f>
        <v/>
      </c>
      <c r="N495" s="19" t="str">
        <f>Sheet1!N495</f>
        <v/>
      </c>
      <c r="O495" s="19" t="str">
        <f>Sheet1!O495</f>
        <v/>
      </c>
      <c r="P495" s="19" t="str">
        <f>Sheet1!P495</f>
        <v/>
      </c>
      <c r="Q495" s="19" t="str">
        <f>Sheet1!Q495</f>
        <v/>
      </c>
      <c r="R495" s="19" t="str">
        <f>Sheet1!R495</f>
        <v/>
      </c>
      <c r="S495" s="19" t="str">
        <f>Sheet1!S495</f>
        <v/>
      </c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/>
      <c r="EG495" s="21"/>
      <c r="EH495" s="21"/>
      <c r="EI495" s="21"/>
      <c r="EJ495" s="21"/>
      <c r="EK495" s="21"/>
      <c r="EL495" s="21"/>
      <c r="EM495" s="21"/>
      <c r="EN495" s="21"/>
      <c r="EO495" s="21"/>
      <c r="EP495" s="21"/>
      <c r="EQ495" s="21"/>
      <c r="ER495" s="21"/>
      <c r="ES495" s="21"/>
      <c r="ET495" s="21"/>
      <c r="EU495" s="21"/>
      <c r="EV495" s="21"/>
      <c r="EW495" s="21"/>
      <c r="EX495" s="21"/>
      <c r="EY495" s="21"/>
      <c r="EZ495" s="21"/>
      <c r="FA495" s="21"/>
      <c r="FB495" s="21"/>
      <c r="FC495" s="21"/>
      <c r="FD495" s="21"/>
      <c r="FE495" s="21"/>
      <c r="FF495" s="21"/>
      <c r="FG495" s="21"/>
      <c r="FH495" s="21"/>
      <c r="FI495" s="21"/>
      <c r="FJ495" s="21"/>
      <c r="FK495" s="21"/>
      <c r="FL495" s="21"/>
      <c r="FM495" s="21"/>
      <c r="FN495" s="21"/>
      <c r="FO495" s="21"/>
      <c r="FP495" s="21"/>
      <c r="FQ495" s="21"/>
      <c r="FR495" s="21"/>
      <c r="FS495" s="21"/>
      <c r="FT495" s="21"/>
      <c r="FU495" s="21"/>
      <c r="FV495" s="21"/>
      <c r="FW495" s="21"/>
      <c r="FX495" s="21"/>
      <c r="FY495" s="21"/>
      <c r="FZ495" s="21"/>
      <c r="GA495" s="21"/>
      <c r="GB495" s="21"/>
      <c r="GC495" s="21"/>
      <c r="GD495" s="21"/>
      <c r="GE495" s="21"/>
      <c r="GF495" s="21"/>
      <c r="GG495" s="21"/>
      <c r="GH495" s="21"/>
      <c r="GI495" s="21"/>
    </row>
    <row r="496">
      <c r="A496" s="19" t="str">
        <f>Sheet1!A496</f>
        <v/>
      </c>
      <c r="B496" s="19" t="str">
        <f>Sheet1!B496</f>
        <v/>
      </c>
      <c r="C496" s="19" t="str">
        <f>Sheet1!C496</f>
        <v/>
      </c>
      <c r="D496" s="19" t="str">
        <f>Sheet1!D496</f>
        <v/>
      </c>
      <c r="E496" s="19" t="str">
        <f>Sheet1!E496</f>
        <v/>
      </c>
      <c r="F496" s="19" t="str">
        <f>Sheet1!F496</f>
        <v/>
      </c>
      <c r="G496" s="19" t="str">
        <f>Sheet1!G496</f>
        <v/>
      </c>
      <c r="H496" s="19" t="str">
        <f>Sheet1!H496</f>
        <v/>
      </c>
      <c r="I496" s="19" t="str">
        <f>Sheet1!I496</f>
        <v/>
      </c>
      <c r="J496" s="19" t="str">
        <f>Sheet1!J496</f>
        <v/>
      </c>
      <c r="K496" s="19" t="str">
        <f>Sheet1!K496</f>
        <v/>
      </c>
      <c r="L496" s="19" t="str">
        <f>Sheet1!L496</f>
        <v/>
      </c>
      <c r="M496" s="19" t="str">
        <f>Sheet1!M496</f>
        <v/>
      </c>
      <c r="N496" s="19" t="str">
        <f>Sheet1!N496</f>
        <v/>
      </c>
      <c r="O496" s="19" t="str">
        <f>Sheet1!O496</f>
        <v/>
      </c>
      <c r="P496" s="19" t="str">
        <f>Sheet1!P496</f>
        <v/>
      </c>
      <c r="Q496" s="19" t="str">
        <f>Sheet1!Q496</f>
        <v/>
      </c>
      <c r="R496" s="19" t="str">
        <f>Sheet1!R496</f>
        <v/>
      </c>
      <c r="S496" s="19" t="str">
        <f>Sheet1!S496</f>
        <v/>
      </c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/>
      <c r="EG496" s="21"/>
      <c r="EH496" s="21"/>
      <c r="EI496" s="21"/>
      <c r="EJ496" s="21"/>
      <c r="EK496" s="21"/>
      <c r="EL496" s="21"/>
      <c r="EM496" s="21"/>
      <c r="EN496" s="21"/>
      <c r="EO496" s="21"/>
      <c r="EP496" s="21"/>
      <c r="EQ496" s="21"/>
      <c r="ER496" s="21"/>
      <c r="ES496" s="21"/>
      <c r="ET496" s="21"/>
      <c r="EU496" s="21"/>
      <c r="EV496" s="21"/>
      <c r="EW496" s="21"/>
      <c r="EX496" s="21"/>
      <c r="EY496" s="21"/>
      <c r="EZ496" s="21"/>
      <c r="FA496" s="21"/>
      <c r="FB496" s="21"/>
      <c r="FC496" s="21"/>
      <c r="FD496" s="21"/>
      <c r="FE496" s="21"/>
      <c r="FF496" s="21"/>
      <c r="FG496" s="21"/>
      <c r="FH496" s="21"/>
      <c r="FI496" s="21"/>
      <c r="FJ496" s="21"/>
      <c r="FK496" s="21"/>
      <c r="FL496" s="21"/>
      <c r="FM496" s="21"/>
      <c r="FN496" s="21"/>
      <c r="FO496" s="21"/>
      <c r="FP496" s="21"/>
      <c r="FQ496" s="21"/>
      <c r="FR496" s="21"/>
      <c r="FS496" s="21"/>
      <c r="FT496" s="21"/>
      <c r="FU496" s="21"/>
      <c r="FV496" s="21"/>
      <c r="FW496" s="21"/>
      <c r="FX496" s="21"/>
      <c r="FY496" s="21"/>
      <c r="FZ496" s="21"/>
      <c r="GA496" s="21"/>
      <c r="GB496" s="21"/>
      <c r="GC496" s="21"/>
      <c r="GD496" s="21"/>
      <c r="GE496" s="21"/>
      <c r="GF496" s="21"/>
      <c r="GG496" s="21"/>
      <c r="GH496" s="21"/>
      <c r="GI496" s="21"/>
    </row>
    <row r="497">
      <c r="A497" s="19" t="str">
        <f>Sheet1!A497</f>
        <v/>
      </c>
      <c r="B497" s="19" t="str">
        <f>Sheet1!B497</f>
        <v/>
      </c>
      <c r="C497" s="19" t="str">
        <f>Sheet1!C497</f>
        <v/>
      </c>
      <c r="D497" s="19" t="str">
        <f>Sheet1!D497</f>
        <v/>
      </c>
      <c r="E497" s="19" t="str">
        <f>Sheet1!E497</f>
        <v/>
      </c>
      <c r="F497" s="19" t="str">
        <f>Sheet1!F497</f>
        <v/>
      </c>
      <c r="G497" s="19" t="str">
        <f>Sheet1!G497</f>
        <v/>
      </c>
      <c r="H497" s="19" t="str">
        <f>Sheet1!H497</f>
        <v/>
      </c>
      <c r="I497" s="19" t="str">
        <f>Sheet1!I497</f>
        <v/>
      </c>
      <c r="J497" s="19" t="str">
        <f>Sheet1!J497</f>
        <v/>
      </c>
      <c r="K497" s="19" t="str">
        <f>Sheet1!K497</f>
        <v/>
      </c>
      <c r="L497" s="19" t="str">
        <f>Sheet1!L497</f>
        <v/>
      </c>
      <c r="M497" s="19" t="str">
        <f>Sheet1!M497</f>
        <v/>
      </c>
      <c r="N497" s="19" t="str">
        <f>Sheet1!N497</f>
        <v/>
      </c>
      <c r="O497" s="19" t="str">
        <f>Sheet1!O497</f>
        <v/>
      </c>
      <c r="P497" s="19" t="str">
        <f>Sheet1!P497</f>
        <v/>
      </c>
      <c r="Q497" s="19" t="str">
        <f>Sheet1!Q497</f>
        <v/>
      </c>
      <c r="R497" s="19" t="str">
        <f>Sheet1!R497</f>
        <v/>
      </c>
      <c r="S497" s="19" t="str">
        <f>Sheet1!S497</f>
        <v/>
      </c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/>
      <c r="EG497" s="21"/>
      <c r="EH497" s="21"/>
      <c r="EI497" s="21"/>
      <c r="EJ497" s="21"/>
      <c r="EK497" s="21"/>
      <c r="EL497" s="21"/>
      <c r="EM497" s="21"/>
      <c r="EN497" s="21"/>
      <c r="EO497" s="21"/>
      <c r="EP497" s="21"/>
      <c r="EQ497" s="21"/>
      <c r="ER497" s="21"/>
      <c r="ES497" s="21"/>
      <c r="ET497" s="21"/>
      <c r="EU497" s="21"/>
      <c r="EV497" s="21"/>
      <c r="EW497" s="21"/>
      <c r="EX497" s="21"/>
      <c r="EY497" s="21"/>
      <c r="EZ497" s="21"/>
      <c r="FA497" s="21"/>
      <c r="FB497" s="21"/>
      <c r="FC497" s="21"/>
      <c r="FD497" s="21"/>
      <c r="FE497" s="21"/>
      <c r="FF497" s="21"/>
      <c r="FG497" s="21"/>
      <c r="FH497" s="21"/>
      <c r="FI497" s="21"/>
      <c r="FJ497" s="21"/>
      <c r="FK497" s="21"/>
      <c r="FL497" s="21"/>
      <c r="FM497" s="21"/>
      <c r="FN497" s="21"/>
      <c r="FO497" s="21"/>
      <c r="FP497" s="21"/>
      <c r="FQ497" s="21"/>
      <c r="FR497" s="21"/>
      <c r="FS497" s="21"/>
      <c r="FT497" s="21"/>
      <c r="FU497" s="21"/>
      <c r="FV497" s="21"/>
      <c r="FW497" s="21"/>
      <c r="FX497" s="21"/>
      <c r="FY497" s="21"/>
      <c r="FZ497" s="21"/>
      <c r="GA497" s="21"/>
      <c r="GB497" s="21"/>
      <c r="GC497" s="21"/>
      <c r="GD497" s="21"/>
      <c r="GE497" s="21"/>
      <c r="GF497" s="21"/>
      <c r="GG497" s="21"/>
      <c r="GH497" s="21"/>
      <c r="GI497" s="21"/>
    </row>
    <row r="498">
      <c r="A498" s="19" t="str">
        <f>Sheet1!A498</f>
        <v/>
      </c>
      <c r="B498" s="19" t="str">
        <f>Sheet1!B498</f>
        <v/>
      </c>
      <c r="C498" s="19" t="str">
        <f>Sheet1!C498</f>
        <v/>
      </c>
      <c r="D498" s="19" t="str">
        <f>Sheet1!D498</f>
        <v/>
      </c>
      <c r="E498" s="19" t="str">
        <f>Sheet1!E498</f>
        <v/>
      </c>
      <c r="F498" s="19" t="str">
        <f>Sheet1!F498</f>
        <v/>
      </c>
      <c r="G498" s="19" t="str">
        <f>Sheet1!G498</f>
        <v/>
      </c>
      <c r="H498" s="19" t="str">
        <f>Sheet1!H498</f>
        <v/>
      </c>
      <c r="I498" s="19" t="str">
        <f>Sheet1!I498</f>
        <v/>
      </c>
      <c r="J498" s="19" t="str">
        <f>Sheet1!J498</f>
        <v/>
      </c>
      <c r="K498" s="19" t="str">
        <f>Sheet1!K498</f>
        <v/>
      </c>
      <c r="L498" s="19" t="str">
        <f>Sheet1!L498</f>
        <v/>
      </c>
      <c r="M498" s="19" t="str">
        <f>Sheet1!M498</f>
        <v/>
      </c>
      <c r="N498" s="19" t="str">
        <f>Sheet1!N498</f>
        <v/>
      </c>
      <c r="O498" s="19" t="str">
        <f>Sheet1!O498</f>
        <v/>
      </c>
      <c r="P498" s="19" t="str">
        <f>Sheet1!P498</f>
        <v/>
      </c>
      <c r="Q498" s="19" t="str">
        <f>Sheet1!Q498</f>
        <v/>
      </c>
      <c r="R498" s="19" t="str">
        <f>Sheet1!R498</f>
        <v/>
      </c>
      <c r="S498" s="19" t="str">
        <f>Sheet1!S498</f>
        <v/>
      </c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/>
      <c r="EG498" s="21"/>
      <c r="EH498" s="21"/>
      <c r="EI498" s="21"/>
      <c r="EJ498" s="21"/>
      <c r="EK498" s="21"/>
      <c r="EL498" s="21"/>
      <c r="EM498" s="21"/>
      <c r="EN498" s="21"/>
      <c r="EO498" s="21"/>
      <c r="EP498" s="21"/>
      <c r="EQ498" s="21"/>
      <c r="ER498" s="21"/>
      <c r="ES498" s="21"/>
      <c r="ET498" s="21"/>
      <c r="EU498" s="21"/>
      <c r="EV498" s="21"/>
      <c r="EW498" s="21"/>
      <c r="EX498" s="21"/>
      <c r="EY498" s="21"/>
      <c r="EZ498" s="21"/>
      <c r="FA498" s="21"/>
      <c r="FB498" s="21"/>
      <c r="FC498" s="21"/>
      <c r="FD498" s="21"/>
      <c r="FE498" s="21"/>
      <c r="FF498" s="21"/>
      <c r="FG498" s="21"/>
      <c r="FH498" s="21"/>
      <c r="FI498" s="21"/>
      <c r="FJ498" s="21"/>
      <c r="FK498" s="21"/>
      <c r="FL498" s="21"/>
      <c r="FM498" s="21"/>
      <c r="FN498" s="21"/>
      <c r="FO498" s="21"/>
      <c r="FP498" s="21"/>
      <c r="FQ498" s="21"/>
      <c r="FR498" s="21"/>
      <c r="FS498" s="21"/>
      <c r="FT498" s="21"/>
      <c r="FU498" s="21"/>
      <c r="FV498" s="21"/>
      <c r="FW498" s="21"/>
      <c r="FX498" s="21"/>
      <c r="FY498" s="21"/>
      <c r="FZ498" s="21"/>
      <c r="GA498" s="21"/>
      <c r="GB498" s="21"/>
      <c r="GC498" s="21"/>
      <c r="GD498" s="21"/>
      <c r="GE498" s="21"/>
      <c r="GF498" s="21"/>
      <c r="GG498" s="21"/>
      <c r="GH498" s="21"/>
      <c r="GI498" s="21"/>
    </row>
    <row r="499">
      <c r="A499" s="19" t="str">
        <f>Sheet1!A499</f>
        <v/>
      </c>
      <c r="B499" s="19" t="str">
        <f>Sheet1!B499</f>
        <v/>
      </c>
      <c r="C499" s="19" t="str">
        <f>Sheet1!C499</f>
        <v/>
      </c>
      <c r="D499" s="19" t="str">
        <f>Sheet1!D499</f>
        <v/>
      </c>
      <c r="E499" s="19" t="str">
        <f>Sheet1!E499</f>
        <v/>
      </c>
      <c r="F499" s="19" t="str">
        <f>Sheet1!F499</f>
        <v/>
      </c>
      <c r="G499" s="19" t="str">
        <f>Sheet1!G499</f>
        <v/>
      </c>
      <c r="H499" s="19" t="str">
        <f>Sheet1!H499</f>
        <v/>
      </c>
      <c r="I499" s="19" t="str">
        <f>Sheet1!I499</f>
        <v/>
      </c>
      <c r="J499" s="19" t="str">
        <f>Sheet1!J499</f>
        <v/>
      </c>
      <c r="K499" s="19" t="str">
        <f>Sheet1!K499</f>
        <v/>
      </c>
      <c r="L499" s="19" t="str">
        <f>Sheet1!L499</f>
        <v/>
      </c>
      <c r="M499" s="19" t="str">
        <f>Sheet1!M499</f>
        <v/>
      </c>
      <c r="N499" s="19" t="str">
        <f>Sheet1!N499</f>
        <v/>
      </c>
      <c r="O499" s="19" t="str">
        <f>Sheet1!O499</f>
        <v/>
      </c>
      <c r="P499" s="19" t="str">
        <f>Sheet1!P499</f>
        <v/>
      </c>
      <c r="Q499" s="19" t="str">
        <f>Sheet1!Q499</f>
        <v/>
      </c>
      <c r="R499" s="19" t="str">
        <f>Sheet1!R499</f>
        <v/>
      </c>
      <c r="S499" s="19" t="str">
        <f>Sheet1!S499</f>
        <v/>
      </c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/>
      <c r="EG499" s="21"/>
      <c r="EH499" s="21"/>
      <c r="EI499" s="21"/>
      <c r="EJ499" s="21"/>
      <c r="EK499" s="21"/>
      <c r="EL499" s="21"/>
      <c r="EM499" s="21"/>
      <c r="EN499" s="21"/>
      <c r="EO499" s="21"/>
      <c r="EP499" s="21"/>
      <c r="EQ499" s="21"/>
      <c r="ER499" s="21"/>
      <c r="ES499" s="21"/>
      <c r="ET499" s="21"/>
      <c r="EU499" s="21"/>
      <c r="EV499" s="21"/>
      <c r="EW499" s="21"/>
      <c r="EX499" s="21"/>
      <c r="EY499" s="21"/>
      <c r="EZ499" s="21"/>
      <c r="FA499" s="21"/>
      <c r="FB499" s="21"/>
      <c r="FC499" s="21"/>
      <c r="FD499" s="21"/>
      <c r="FE499" s="21"/>
      <c r="FF499" s="21"/>
      <c r="FG499" s="21"/>
      <c r="FH499" s="21"/>
      <c r="FI499" s="21"/>
      <c r="FJ499" s="21"/>
      <c r="FK499" s="21"/>
      <c r="FL499" s="21"/>
      <c r="FM499" s="21"/>
      <c r="FN499" s="21"/>
      <c r="FO499" s="21"/>
      <c r="FP499" s="21"/>
      <c r="FQ499" s="21"/>
      <c r="FR499" s="21"/>
      <c r="FS499" s="21"/>
      <c r="FT499" s="21"/>
      <c r="FU499" s="21"/>
      <c r="FV499" s="21"/>
      <c r="FW499" s="21"/>
      <c r="FX499" s="21"/>
      <c r="FY499" s="21"/>
      <c r="FZ499" s="21"/>
      <c r="GA499" s="21"/>
      <c r="GB499" s="21"/>
      <c r="GC499" s="21"/>
      <c r="GD499" s="21"/>
      <c r="GE499" s="21"/>
      <c r="GF499" s="21"/>
      <c r="GG499" s="21"/>
      <c r="GH499" s="21"/>
      <c r="GI499" s="21"/>
    </row>
    <row r="500">
      <c r="A500" s="19" t="str">
        <f>Sheet1!A500</f>
        <v/>
      </c>
      <c r="B500" s="19" t="str">
        <f>Sheet1!B500</f>
        <v/>
      </c>
      <c r="C500" s="19" t="str">
        <f>Sheet1!C500</f>
        <v/>
      </c>
      <c r="D500" s="19" t="str">
        <f>Sheet1!D500</f>
        <v/>
      </c>
      <c r="E500" s="19" t="str">
        <f>Sheet1!E500</f>
        <v/>
      </c>
      <c r="F500" s="19" t="str">
        <f>Sheet1!F500</f>
        <v/>
      </c>
      <c r="G500" s="19" t="str">
        <f>Sheet1!G500</f>
        <v/>
      </c>
      <c r="H500" s="19" t="str">
        <f>Sheet1!H500</f>
        <v/>
      </c>
      <c r="I500" s="19" t="str">
        <f>Sheet1!I500</f>
        <v/>
      </c>
      <c r="J500" s="19" t="str">
        <f>Sheet1!J500</f>
        <v/>
      </c>
      <c r="K500" s="19" t="str">
        <f>Sheet1!K500</f>
        <v/>
      </c>
      <c r="L500" s="19" t="str">
        <f>Sheet1!L500</f>
        <v/>
      </c>
      <c r="M500" s="19" t="str">
        <f>Sheet1!M500</f>
        <v/>
      </c>
      <c r="N500" s="19" t="str">
        <f>Sheet1!N500</f>
        <v/>
      </c>
      <c r="O500" s="19" t="str">
        <f>Sheet1!O500</f>
        <v/>
      </c>
      <c r="P500" s="19" t="str">
        <f>Sheet1!P500</f>
        <v/>
      </c>
      <c r="Q500" s="19" t="str">
        <f>Sheet1!Q500</f>
        <v/>
      </c>
      <c r="R500" s="19" t="str">
        <f>Sheet1!R500</f>
        <v/>
      </c>
      <c r="S500" s="19" t="str">
        <f>Sheet1!S500</f>
        <v/>
      </c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/>
      <c r="EG500" s="21"/>
      <c r="EH500" s="21"/>
      <c r="EI500" s="21"/>
      <c r="EJ500" s="21"/>
      <c r="EK500" s="21"/>
      <c r="EL500" s="21"/>
      <c r="EM500" s="21"/>
      <c r="EN500" s="21"/>
      <c r="EO500" s="21"/>
      <c r="EP500" s="21"/>
      <c r="EQ500" s="21"/>
      <c r="ER500" s="21"/>
      <c r="ES500" s="21"/>
      <c r="ET500" s="21"/>
      <c r="EU500" s="21"/>
      <c r="EV500" s="21"/>
      <c r="EW500" s="21"/>
      <c r="EX500" s="21"/>
      <c r="EY500" s="21"/>
      <c r="EZ500" s="21"/>
      <c r="FA500" s="21"/>
      <c r="FB500" s="21"/>
      <c r="FC500" s="21"/>
      <c r="FD500" s="21"/>
      <c r="FE500" s="21"/>
      <c r="FF500" s="21"/>
      <c r="FG500" s="21"/>
      <c r="FH500" s="21"/>
      <c r="FI500" s="21"/>
      <c r="FJ500" s="21"/>
      <c r="FK500" s="21"/>
      <c r="FL500" s="21"/>
      <c r="FM500" s="21"/>
      <c r="FN500" s="21"/>
      <c r="FO500" s="21"/>
      <c r="FP500" s="21"/>
      <c r="FQ500" s="21"/>
      <c r="FR500" s="21"/>
      <c r="FS500" s="21"/>
      <c r="FT500" s="21"/>
      <c r="FU500" s="21"/>
      <c r="FV500" s="21"/>
      <c r="FW500" s="21"/>
      <c r="FX500" s="21"/>
      <c r="FY500" s="21"/>
      <c r="FZ500" s="21"/>
      <c r="GA500" s="21"/>
      <c r="GB500" s="21"/>
      <c r="GC500" s="21"/>
      <c r="GD500" s="21"/>
      <c r="GE500" s="21"/>
      <c r="GF500" s="21"/>
      <c r="GG500" s="21"/>
      <c r="GH500" s="21"/>
      <c r="GI500" s="21"/>
    </row>
    <row r="501">
      <c r="A501" s="3"/>
      <c r="C501" s="3"/>
      <c r="D501" s="3"/>
      <c r="E501" s="3"/>
      <c r="F501" s="3"/>
      <c r="G501" s="3"/>
      <c r="H501" s="3"/>
      <c r="S501" s="3"/>
    </row>
    <row r="502">
      <c r="A502" s="3"/>
      <c r="C502" s="3"/>
      <c r="D502" s="3"/>
      <c r="E502" s="3"/>
      <c r="F502" s="3"/>
      <c r="G502" s="3"/>
      <c r="H502" s="3"/>
      <c r="S502" s="3"/>
    </row>
    <row r="503">
      <c r="A503" s="3"/>
      <c r="C503" s="3"/>
      <c r="D503" s="3"/>
      <c r="E503" s="3"/>
      <c r="F503" s="3"/>
      <c r="G503" s="3"/>
      <c r="H503" s="3"/>
      <c r="S503" s="3"/>
    </row>
    <row r="504">
      <c r="A504" s="3"/>
      <c r="C504" s="3"/>
      <c r="D504" s="3"/>
      <c r="E504" s="3"/>
      <c r="F504" s="3"/>
      <c r="G504" s="3"/>
      <c r="H504" s="3"/>
      <c r="S504" s="3"/>
    </row>
    <row r="505">
      <c r="A505" s="3"/>
      <c r="C505" s="3"/>
      <c r="D505" s="3"/>
      <c r="E505" s="3"/>
      <c r="F505" s="3"/>
      <c r="G505" s="3"/>
      <c r="H505" s="3"/>
      <c r="S505" s="3"/>
    </row>
    <row r="506">
      <c r="A506" s="3"/>
      <c r="C506" s="3"/>
      <c r="D506" s="3"/>
      <c r="E506" s="3"/>
      <c r="F506" s="3"/>
      <c r="G506" s="3"/>
      <c r="H506" s="3"/>
      <c r="S506" s="3"/>
    </row>
    <row r="507">
      <c r="A507" s="3"/>
      <c r="C507" s="3"/>
      <c r="D507" s="3"/>
      <c r="E507" s="3"/>
      <c r="F507" s="3"/>
      <c r="G507" s="3"/>
      <c r="H507" s="3"/>
      <c r="S507" s="3"/>
    </row>
    <row r="508">
      <c r="A508" s="3"/>
      <c r="C508" s="3"/>
      <c r="D508" s="3"/>
      <c r="E508" s="3"/>
      <c r="F508" s="3"/>
      <c r="G508" s="3"/>
      <c r="H508" s="3"/>
      <c r="S508" s="3"/>
    </row>
    <row r="509">
      <c r="A509" s="3"/>
      <c r="C509" s="3"/>
      <c r="D509" s="3"/>
      <c r="E509" s="3"/>
      <c r="F509" s="3"/>
      <c r="G509" s="3"/>
      <c r="H509" s="3"/>
      <c r="S509" s="3"/>
    </row>
    <row r="510">
      <c r="A510" s="3"/>
      <c r="C510" s="3"/>
      <c r="D510" s="3"/>
      <c r="E510" s="3"/>
      <c r="F510" s="3"/>
      <c r="G510" s="3"/>
      <c r="H510" s="3"/>
      <c r="S510" s="3"/>
    </row>
    <row r="511">
      <c r="A511" s="3"/>
      <c r="C511" s="3"/>
      <c r="D511" s="3"/>
      <c r="E511" s="3"/>
      <c r="F511" s="3"/>
      <c r="G511" s="3"/>
      <c r="H511" s="3"/>
      <c r="S511" s="3"/>
    </row>
    <row r="512">
      <c r="A512" s="3"/>
      <c r="C512" s="3"/>
      <c r="D512" s="3"/>
      <c r="E512" s="3"/>
      <c r="F512" s="3"/>
      <c r="G512" s="3"/>
      <c r="H512" s="3"/>
      <c r="S512" s="3"/>
    </row>
    <row r="513">
      <c r="A513" s="3"/>
      <c r="C513" s="3"/>
      <c r="D513" s="3"/>
      <c r="E513" s="3"/>
      <c r="F513" s="3"/>
      <c r="G513" s="3"/>
      <c r="H513" s="3"/>
      <c r="S513" s="3"/>
    </row>
    <row r="514">
      <c r="A514" s="3"/>
      <c r="C514" s="3"/>
      <c r="D514" s="3"/>
      <c r="E514" s="3"/>
      <c r="F514" s="3"/>
      <c r="G514" s="3"/>
      <c r="H514" s="3"/>
      <c r="S514" s="3"/>
    </row>
    <row r="515">
      <c r="A515" s="3"/>
      <c r="C515" s="3"/>
      <c r="D515" s="3"/>
      <c r="E515" s="3"/>
      <c r="F515" s="3"/>
      <c r="G515" s="3"/>
      <c r="H515" s="3"/>
      <c r="S515" s="3"/>
    </row>
    <row r="516">
      <c r="A516" s="3"/>
      <c r="C516" s="3"/>
      <c r="D516" s="3"/>
      <c r="E516" s="3"/>
      <c r="F516" s="3"/>
      <c r="G516" s="3"/>
      <c r="H516" s="3"/>
      <c r="S516" s="3"/>
    </row>
    <row r="517">
      <c r="A517" s="3"/>
      <c r="C517" s="3"/>
      <c r="D517" s="3"/>
      <c r="E517" s="3"/>
      <c r="F517" s="3"/>
      <c r="G517" s="3"/>
      <c r="H517" s="3"/>
      <c r="S517" s="3"/>
    </row>
    <row r="518">
      <c r="A518" s="3"/>
      <c r="C518" s="3"/>
      <c r="D518" s="3"/>
      <c r="E518" s="3"/>
      <c r="F518" s="3"/>
      <c r="G518" s="3"/>
      <c r="H518" s="3"/>
      <c r="S518" s="3"/>
    </row>
    <row r="519">
      <c r="A519" s="3"/>
      <c r="C519" s="3"/>
      <c r="D519" s="3"/>
      <c r="E519" s="3"/>
      <c r="F519" s="3"/>
      <c r="G519" s="3"/>
      <c r="H519" s="3"/>
      <c r="S519" s="3"/>
    </row>
    <row r="520">
      <c r="A520" s="3"/>
      <c r="C520" s="3"/>
      <c r="D520" s="3"/>
      <c r="E520" s="3"/>
      <c r="F520" s="3"/>
      <c r="G520" s="3"/>
      <c r="H520" s="3"/>
      <c r="S520" s="3"/>
    </row>
    <row r="521">
      <c r="A521" s="3"/>
      <c r="C521" s="3"/>
      <c r="D521" s="3"/>
      <c r="E521" s="3"/>
      <c r="F521" s="3"/>
      <c r="G521" s="3"/>
      <c r="H521" s="3"/>
      <c r="S521" s="3"/>
    </row>
    <row r="522">
      <c r="A522" s="3"/>
      <c r="C522" s="3"/>
      <c r="D522" s="3"/>
      <c r="E522" s="3"/>
      <c r="F522" s="3"/>
      <c r="G522" s="3"/>
      <c r="H522" s="3"/>
      <c r="S522" s="3"/>
    </row>
    <row r="523">
      <c r="A523" s="3"/>
      <c r="C523" s="3"/>
      <c r="D523" s="3"/>
      <c r="E523" s="3"/>
      <c r="F523" s="3"/>
      <c r="G523" s="3"/>
      <c r="H523" s="3"/>
      <c r="S523" s="3"/>
    </row>
    <row r="524">
      <c r="A524" s="3"/>
      <c r="C524" s="3"/>
      <c r="D524" s="3"/>
      <c r="E524" s="3"/>
      <c r="F524" s="3"/>
      <c r="G524" s="3"/>
      <c r="H524" s="3"/>
      <c r="S524" s="3"/>
    </row>
    <row r="525">
      <c r="A525" s="3"/>
      <c r="C525" s="3"/>
      <c r="D525" s="3"/>
      <c r="E525" s="3"/>
      <c r="F525" s="3"/>
      <c r="G525" s="3"/>
      <c r="H525" s="3"/>
      <c r="S525" s="3"/>
    </row>
    <row r="526">
      <c r="A526" s="3"/>
      <c r="C526" s="3"/>
      <c r="D526" s="3"/>
      <c r="E526" s="3"/>
      <c r="F526" s="3"/>
      <c r="G526" s="3"/>
      <c r="H526" s="3"/>
      <c r="S526" s="3"/>
    </row>
    <row r="527">
      <c r="A527" s="3"/>
      <c r="C527" s="3"/>
      <c r="D527" s="3"/>
      <c r="E527" s="3"/>
      <c r="F527" s="3"/>
      <c r="G527" s="3"/>
      <c r="H527" s="3"/>
      <c r="S527" s="3"/>
    </row>
    <row r="528">
      <c r="A528" s="3"/>
      <c r="C528" s="3"/>
      <c r="D528" s="3"/>
      <c r="E528" s="3"/>
      <c r="F528" s="3"/>
      <c r="G528" s="3"/>
      <c r="H528" s="3"/>
      <c r="S528" s="3"/>
    </row>
    <row r="529">
      <c r="A529" s="3"/>
      <c r="C529" s="3"/>
      <c r="D529" s="3"/>
      <c r="E529" s="3"/>
      <c r="F529" s="3"/>
      <c r="G529" s="3"/>
      <c r="H529" s="3"/>
      <c r="S529" s="3"/>
    </row>
    <row r="530">
      <c r="A530" s="3"/>
      <c r="C530" s="3"/>
      <c r="D530" s="3"/>
      <c r="E530" s="3"/>
      <c r="F530" s="3"/>
      <c r="G530" s="3"/>
      <c r="H530" s="3"/>
      <c r="S530" s="3"/>
    </row>
    <row r="531">
      <c r="A531" s="3"/>
      <c r="C531" s="3"/>
      <c r="D531" s="3"/>
      <c r="E531" s="3"/>
      <c r="F531" s="3"/>
      <c r="G531" s="3"/>
      <c r="H531" s="3"/>
      <c r="S531" s="3"/>
    </row>
    <row r="532">
      <c r="A532" s="3"/>
      <c r="C532" s="3"/>
      <c r="D532" s="3"/>
      <c r="E532" s="3"/>
      <c r="F532" s="3"/>
      <c r="G532" s="3"/>
      <c r="H532" s="3"/>
      <c r="S532" s="3"/>
    </row>
    <row r="533">
      <c r="A533" s="3"/>
      <c r="C533" s="3"/>
      <c r="D533" s="3"/>
      <c r="E533" s="3"/>
      <c r="F533" s="3"/>
      <c r="G533" s="3"/>
      <c r="H533" s="3"/>
      <c r="S533" s="3"/>
    </row>
    <row r="534">
      <c r="A534" s="3"/>
      <c r="C534" s="3"/>
      <c r="D534" s="3"/>
      <c r="E534" s="3"/>
      <c r="F534" s="3"/>
      <c r="G534" s="3"/>
      <c r="H534" s="3"/>
      <c r="S534" s="3"/>
    </row>
    <row r="535">
      <c r="A535" s="3"/>
      <c r="C535" s="3"/>
      <c r="D535" s="3"/>
      <c r="E535" s="3"/>
      <c r="F535" s="3"/>
      <c r="G535" s="3"/>
      <c r="H535" s="3"/>
      <c r="S535" s="3"/>
    </row>
    <row r="536">
      <c r="A536" s="3"/>
      <c r="C536" s="3"/>
      <c r="D536" s="3"/>
      <c r="E536" s="3"/>
      <c r="F536" s="3"/>
      <c r="G536" s="3"/>
      <c r="H536" s="3"/>
      <c r="S536" s="3"/>
    </row>
    <row r="537">
      <c r="A537" s="3"/>
      <c r="C537" s="3"/>
      <c r="D537" s="3"/>
      <c r="E537" s="3"/>
      <c r="F537" s="3"/>
      <c r="G537" s="3"/>
      <c r="H537" s="3"/>
      <c r="S537" s="3"/>
    </row>
    <row r="538">
      <c r="A538" s="3"/>
      <c r="C538" s="3"/>
      <c r="D538" s="3"/>
      <c r="E538" s="3"/>
      <c r="F538" s="3"/>
      <c r="G538" s="3"/>
      <c r="H538" s="3"/>
      <c r="S538" s="3"/>
    </row>
    <row r="539">
      <c r="A539" s="3"/>
      <c r="C539" s="3"/>
      <c r="D539" s="3"/>
      <c r="E539" s="3"/>
      <c r="F539" s="3"/>
      <c r="G539" s="3"/>
      <c r="H539" s="3"/>
      <c r="S539" s="3"/>
    </row>
    <row r="540">
      <c r="A540" s="3"/>
      <c r="C540" s="3"/>
      <c r="D540" s="3"/>
      <c r="E540" s="3"/>
      <c r="F540" s="3"/>
      <c r="G540" s="3"/>
      <c r="H540" s="3"/>
      <c r="S540" s="3"/>
    </row>
    <row r="541">
      <c r="A541" s="3"/>
      <c r="C541" s="3"/>
      <c r="D541" s="3"/>
      <c r="E541" s="3"/>
      <c r="F541" s="3"/>
      <c r="G541" s="3"/>
      <c r="H541" s="3"/>
      <c r="S541" s="3"/>
    </row>
    <row r="542">
      <c r="A542" s="3"/>
      <c r="C542" s="3"/>
      <c r="D542" s="3"/>
      <c r="E542" s="3"/>
      <c r="F542" s="3"/>
      <c r="G542" s="3"/>
      <c r="H542" s="3"/>
      <c r="S542" s="3"/>
    </row>
    <row r="543">
      <c r="A543" s="3"/>
      <c r="C543" s="3"/>
      <c r="D543" s="3"/>
      <c r="E543" s="3"/>
      <c r="F543" s="3"/>
      <c r="G543" s="3"/>
      <c r="H543" s="3"/>
      <c r="S543" s="3"/>
    </row>
    <row r="544">
      <c r="A544" s="3"/>
      <c r="C544" s="3"/>
      <c r="D544" s="3"/>
      <c r="E544" s="3"/>
      <c r="F544" s="3"/>
      <c r="G544" s="3"/>
      <c r="H544" s="3"/>
      <c r="S544" s="3"/>
    </row>
    <row r="545">
      <c r="A545" s="3"/>
      <c r="C545" s="3"/>
      <c r="D545" s="3"/>
      <c r="E545" s="3"/>
      <c r="F545" s="3"/>
      <c r="G545" s="3"/>
      <c r="H545" s="3"/>
      <c r="S545" s="3"/>
    </row>
    <row r="546">
      <c r="A546" s="3"/>
      <c r="C546" s="3"/>
      <c r="D546" s="3"/>
      <c r="E546" s="3"/>
      <c r="F546" s="3"/>
      <c r="G546" s="3"/>
      <c r="H546" s="3"/>
      <c r="S546" s="3"/>
    </row>
    <row r="547">
      <c r="A547" s="3"/>
      <c r="C547" s="3"/>
      <c r="D547" s="3"/>
      <c r="E547" s="3"/>
      <c r="F547" s="3"/>
      <c r="G547" s="3"/>
      <c r="H547" s="3"/>
      <c r="S547" s="3"/>
    </row>
    <row r="548">
      <c r="A548" s="3"/>
      <c r="C548" s="3"/>
      <c r="D548" s="3"/>
      <c r="E548" s="3"/>
      <c r="F548" s="3"/>
      <c r="G548" s="3"/>
      <c r="H548" s="3"/>
      <c r="S548" s="3"/>
    </row>
    <row r="549">
      <c r="A549" s="3"/>
      <c r="C549" s="3"/>
      <c r="D549" s="3"/>
      <c r="E549" s="3"/>
      <c r="F549" s="3"/>
      <c r="G549" s="3"/>
      <c r="H549" s="3"/>
      <c r="S549" s="3"/>
    </row>
    <row r="550">
      <c r="A550" s="3"/>
      <c r="C550" s="3"/>
      <c r="D550" s="3"/>
      <c r="E550" s="3"/>
      <c r="F550" s="3"/>
      <c r="G550" s="3"/>
      <c r="H550" s="3"/>
      <c r="S550" s="3"/>
    </row>
    <row r="551">
      <c r="A551" s="3"/>
      <c r="C551" s="3"/>
      <c r="D551" s="3"/>
      <c r="E551" s="3"/>
      <c r="F551" s="3"/>
      <c r="G551" s="3"/>
      <c r="H551" s="3"/>
      <c r="S551" s="3"/>
    </row>
    <row r="552">
      <c r="A552" s="3"/>
      <c r="C552" s="3"/>
      <c r="D552" s="3"/>
      <c r="E552" s="3"/>
      <c r="F552" s="3"/>
      <c r="G552" s="3"/>
      <c r="H552" s="3"/>
      <c r="S552" s="3"/>
    </row>
    <row r="553">
      <c r="A553" s="3"/>
      <c r="C553" s="3"/>
      <c r="D553" s="3"/>
      <c r="E553" s="3"/>
      <c r="F553" s="3"/>
      <c r="G553" s="3"/>
      <c r="H553" s="3"/>
      <c r="S553" s="3"/>
    </row>
    <row r="554">
      <c r="A554" s="3"/>
      <c r="C554" s="3"/>
      <c r="D554" s="3"/>
      <c r="E554" s="3"/>
      <c r="F554" s="3"/>
      <c r="G554" s="3"/>
      <c r="H554" s="3"/>
      <c r="S554" s="3"/>
    </row>
    <row r="555">
      <c r="A555" s="3"/>
      <c r="C555" s="3"/>
      <c r="D555" s="3"/>
      <c r="E555" s="3"/>
      <c r="F555" s="3"/>
      <c r="G555" s="3"/>
      <c r="H555" s="3"/>
      <c r="S555" s="3"/>
    </row>
    <row r="556">
      <c r="A556" s="3"/>
      <c r="C556" s="3"/>
      <c r="D556" s="3"/>
      <c r="E556" s="3"/>
      <c r="F556" s="3"/>
      <c r="G556" s="3"/>
      <c r="H556" s="3"/>
      <c r="S556" s="3"/>
    </row>
    <row r="557">
      <c r="A557" s="3"/>
      <c r="C557" s="3"/>
      <c r="D557" s="3"/>
      <c r="E557" s="3"/>
      <c r="F557" s="3"/>
      <c r="G557" s="3"/>
      <c r="H557" s="3"/>
      <c r="S557" s="3"/>
    </row>
    <row r="558">
      <c r="A558" s="3"/>
      <c r="C558" s="3"/>
      <c r="D558" s="3"/>
      <c r="E558" s="3"/>
      <c r="F558" s="3"/>
      <c r="G558" s="3"/>
      <c r="H558" s="3"/>
      <c r="S558" s="3"/>
    </row>
    <row r="559">
      <c r="A559" s="3"/>
      <c r="C559" s="3"/>
      <c r="D559" s="3"/>
      <c r="E559" s="3"/>
      <c r="F559" s="3"/>
      <c r="G559" s="3"/>
      <c r="H559" s="3"/>
      <c r="S559" s="3"/>
    </row>
    <row r="560">
      <c r="A560" s="3"/>
      <c r="C560" s="3"/>
      <c r="D560" s="3"/>
      <c r="E560" s="3"/>
      <c r="F560" s="3"/>
      <c r="G560" s="3"/>
      <c r="H560" s="3"/>
      <c r="S560" s="3"/>
    </row>
    <row r="561">
      <c r="A561" s="3"/>
      <c r="C561" s="3"/>
      <c r="D561" s="3"/>
      <c r="E561" s="3"/>
      <c r="F561" s="3"/>
      <c r="G561" s="3"/>
      <c r="H561" s="3"/>
      <c r="S561" s="3"/>
    </row>
    <row r="562">
      <c r="A562" s="3"/>
      <c r="C562" s="3"/>
      <c r="D562" s="3"/>
      <c r="E562" s="3"/>
      <c r="F562" s="3"/>
      <c r="G562" s="3"/>
      <c r="H562" s="3"/>
      <c r="S562" s="3"/>
    </row>
    <row r="563">
      <c r="A563" s="3"/>
      <c r="C563" s="3"/>
      <c r="D563" s="3"/>
      <c r="E563" s="3"/>
      <c r="F563" s="3"/>
      <c r="G563" s="3"/>
      <c r="H563" s="3"/>
      <c r="S563" s="3"/>
    </row>
    <row r="564">
      <c r="A564" s="3"/>
      <c r="C564" s="3"/>
      <c r="D564" s="3"/>
      <c r="E564" s="3"/>
      <c r="F564" s="3"/>
      <c r="G564" s="3"/>
      <c r="H564" s="3"/>
      <c r="S564" s="3"/>
    </row>
    <row r="565">
      <c r="A565" s="3"/>
      <c r="C565" s="3"/>
      <c r="D565" s="3"/>
      <c r="E565" s="3"/>
      <c r="F565" s="3"/>
      <c r="G565" s="3"/>
      <c r="H565" s="3"/>
      <c r="S565" s="3"/>
    </row>
    <row r="566">
      <c r="A566" s="3"/>
      <c r="C566" s="3"/>
      <c r="D566" s="3"/>
      <c r="E566" s="3"/>
      <c r="F566" s="3"/>
      <c r="G566" s="3"/>
      <c r="H566" s="3"/>
      <c r="S566" s="3"/>
    </row>
    <row r="567">
      <c r="A567" s="3"/>
      <c r="C567" s="3"/>
      <c r="D567" s="3"/>
      <c r="E567" s="3"/>
      <c r="F567" s="3"/>
      <c r="G567" s="3"/>
      <c r="H567" s="3"/>
      <c r="S567" s="3"/>
    </row>
    <row r="568">
      <c r="A568" s="3"/>
      <c r="C568" s="3"/>
      <c r="D568" s="3"/>
      <c r="E568" s="3"/>
      <c r="F568" s="3"/>
      <c r="G568" s="3"/>
      <c r="H568" s="3"/>
      <c r="S568" s="3"/>
    </row>
    <row r="569">
      <c r="A569" s="3"/>
      <c r="C569" s="3"/>
      <c r="D569" s="3"/>
      <c r="E569" s="3"/>
      <c r="F569" s="3"/>
      <c r="G569" s="3"/>
      <c r="H569" s="3"/>
      <c r="S569" s="3"/>
    </row>
    <row r="570">
      <c r="A570" s="3"/>
      <c r="C570" s="3"/>
      <c r="D570" s="3"/>
      <c r="E570" s="3"/>
      <c r="F570" s="3"/>
      <c r="G570" s="3"/>
      <c r="H570" s="3"/>
      <c r="S570" s="3"/>
    </row>
    <row r="571">
      <c r="A571" s="3"/>
      <c r="C571" s="3"/>
      <c r="D571" s="3"/>
      <c r="E571" s="3"/>
      <c r="F571" s="3"/>
      <c r="G571" s="3"/>
      <c r="H571" s="3"/>
      <c r="S571" s="3"/>
    </row>
    <row r="572">
      <c r="A572" s="3"/>
      <c r="C572" s="3"/>
      <c r="D572" s="3"/>
      <c r="E572" s="3"/>
      <c r="F572" s="3"/>
      <c r="G572" s="3"/>
      <c r="H572" s="3"/>
      <c r="S572" s="3"/>
    </row>
    <row r="573">
      <c r="A573" s="3"/>
      <c r="C573" s="3"/>
      <c r="D573" s="3"/>
      <c r="E573" s="3"/>
      <c r="F573" s="3"/>
      <c r="G573" s="3"/>
      <c r="H573" s="3"/>
      <c r="S573" s="3"/>
    </row>
    <row r="574">
      <c r="A574" s="3"/>
      <c r="C574" s="3"/>
      <c r="D574" s="3"/>
      <c r="E574" s="3"/>
      <c r="F574" s="3"/>
      <c r="G574" s="3"/>
      <c r="H574" s="3"/>
      <c r="S574" s="3"/>
    </row>
    <row r="575">
      <c r="A575" s="3"/>
      <c r="C575" s="3"/>
      <c r="D575" s="3"/>
      <c r="E575" s="3"/>
      <c r="F575" s="3"/>
      <c r="G575" s="3"/>
      <c r="H575" s="3"/>
      <c r="S575" s="3"/>
    </row>
    <row r="576">
      <c r="A576" s="3"/>
      <c r="C576" s="3"/>
      <c r="D576" s="3"/>
      <c r="E576" s="3"/>
      <c r="F576" s="3"/>
      <c r="G576" s="3"/>
      <c r="H576" s="3"/>
      <c r="S576" s="3"/>
    </row>
    <row r="577">
      <c r="A577" s="3"/>
      <c r="C577" s="3"/>
      <c r="D577" s="3"/>
      <c r="E577" s="3"/>
      <c r="F577" s="3"/>
      <c r="G577" s="3"/>
      <c r="H577" s="3"/>
      <c r="S577" s="3"/>
    </row>
    <row r="578">
      <c r="A578" s="3"/>
      <c r="C578" s="3"/>
      <c r="D578" s="3"/>
      <c r="E578" s="3"/>
      <c r="F578" s="3"/>
      <c r="G578" s="3"/>
      <c r="H578" s="3"/>
      <c r="S578" s="3"/>
    </row>
    <row r="579">
      <c r="A579" s="3"/>
      <c r="C579" s="3"/>
      <c r="D579" s="3"/>
      <c r="E579" s="3"/>
      <c r="F579" s="3"/>
      <c r="G579" s="3"/>
      <c r="H579" s="3"/>
      <c r="S579" s="3"/>
    </row>
    <row r="580">
      <c r="A580" s="3"/>
      <c r="C580" s="3"/>
      <c r="D580" s="3"/>
      <c r="E580" s="3"/>
      <c r="F580" s="3"/>
      <c r="G580" s="3"/>
      <c r="H580" s="3"/>
      <c r="S580" s="3"/>
    </row>
    <row r="581">
      <c r="A581" s="3"/>
      <c r="C581" s="3"/>
      <c r="D581" s="3"/>
      <c r="E581" s="3"/>
      <c r="F581" s="3"/>
      <c r="G581" s="3"/>
      <c r="H581" s="3"/>
      <c r="S581" s="3"/>
    </row>
    <row r="582">
      <c r="A582" s="3"/>
      <c r="C582" s="3"/>
      <c r="D582" s="3"/>
      <c r="E582" s="3"/>
      <c r="F582" s="3"/>
      <c r="G582" s="3"/>
      <c r="H582" s="3"/>
      <c r="S582" s="3"/>
    </row>
    <row r="583">
      <c r="A583" s="3"/>
      <c r="C583" s="3"/>
      <c r="D583" s="3"/>
      <c r="E583" s="3"/>
      <c r="F583" s="3"/>
      <c r="G583" s="3"/>
      <c r="H583" s="3"/>
      <c r="S583" s="3"/>
    </row>
    <row r="584">
      <c r="A584" s="3"/>
      <c r="C584" s="3"/>
      <c r="D584" s="3"/>
      <c r="E584" s="3"/>
      <c r="F584" s="3"/>
      <c r="G584" s="3"/>
      <c r="H584" s="3"/>
      <c r="S584" s="3"/>
    </row>
    <row r="585">
      <c r="A585" s="3"/>
      <c r="C585" s="3"/>
      <c r="D585" s="3"/>
      <c r="E585" s="3"/>
      <c r="F585" s="3"/>
      <c r="G585" s="3"/>
      <c r="H585" s="3"/>
      <c r="S585" s="3"/>
    </row>
    <row r="586">
      <c r="A586" s="3"/>
      <c r="C586" s="3"/>
      <c r="D586" s="3"/>
      <c r="E586" s="3"/>
      <c r="F586" s="3"/>
      <c r="G586" s="3"/>
      <c r="H586" s="3"/>
      <c r="S586" s="3"/>
    </row>
    <row r="587">
      <c r="A587" s="3"/>
      <c r="C587" s="3"/>
      <c r="D587" s="3"/>
      <c r="E587" s="3"/>
      <c r="F587" s="3"/>
      <c r="G587" s="3"/>
      <c r="H587" s="3"/>
      <c r="S587" s="3"/>
    </row>
    <row r="588">
      <c r="A588" s="3"/>
      <c r="C588" s="3"/>
      <c r="D588" s="3"/>
      <c r="E588" s="3"/>
      <c r="F588" s="3"/>
      <c r="G588" s="3"/>
      <c r="H588" s="3"/>
      <c r="S588" s="3"/>
    </row>
    <row r="589">
      <c r="A589" s="3"/>
      <c r="C589" s="3"/>
      <c r="D589" s="3"/>
      <c r="E589" s="3"/>
      <c r="F589" s="3"/>
      <c r="G589" s="3"/>
      <c r="H589" s="3"/>
      <c r="S589" s="3"/>
    </row>
    <row r="590">
      <c r="A590" s="3"/>
      <c r="C590" s="3"/>
      <c r="D590" s="3"/>
      <c r="E590" s="3"/>
      <c r="F590" s="3"/>
      <c r="G590" s="3"/>
      <c r="H590" s="3"/>
      <c r="S590" s="3"/>
    </row>
    <row r="591">
      <c r="A591" s="3"/>
      <c r="C591" s="3"/>
      <c r="D591" s="3"/>
      <c r="E591" s="3"/>
      <c r="F591" s="3"/>
      <c r="G591" s="3"/>
      <c r="H591" s="3"/>
      <c r="S591" s="3"/>
    </row>
    <row r="592">
      <c r="A592" s="3"/>
      <c r="C592" s="3"/>
      <c r="D592" s="3"/>
      <c r="E592" s="3"/>
      <c r="F592" s="3"/>
      <c r="G592" s="3"/>
      <c r="H592" s="3"/>
      <c r="S592" s="3"/>
    </row>
    <row r="593">
      <c r="A593" s="3"/>
      <c r="C593" s="3"/>
      <c r="D593" s="3"/>
      <c r="E593" s="3"/>
      <c r="F593" s="3"/>
      <c r="G593" s="3"/>
      <c r="H593" s="3"/>
      <c r="S593" s="3"/>
    </row>
    <row r="594">
      <c r="A594" s="3"/>
      <c r="C594" s="3"/>
      <c r="D594" s="3"/>
      <c r="E594" s="3"/>
      <c r="F594" s="3"/>
      <c r="G594" s="3"/>
      <c r="H594" s="3"/>
      <c r="S594" s="3"/>
    </row>
    <row r="595">
      <c r="A595" s="3"/>
      <c r="C595" s="3"/>
      <c r="D595" s="3"/>
      <c r="E595" s="3"/>
      <c r="F595" s="3"/>
      <c r="G595" s="3"/>
      <c r="H595" s="3"/>
      <c r="S595" s="3"/>
    </row>
    <row r="596">
      <c r="A596" s="3"/>
      <c r="C596" s="3"/>
      <c r="D596" s="3"/>
      <c r="E596" s="3"/>
      <c r="F596" s="3"/>
      <c r="G596" s="3"/>
      <c r="H596" s="3"/>
      <c r="S596" s="3"/>
    </row>
    <row r="597">
      <c r="A597" s="3"/>
      <c r="C597" s="3"/>
      <c r="D597" s="3"/>
      <c r="E597" s="3"/>
      <c r="F597" s="3"/>
      <c r="G597" s="3"/>
      <c r="H597" s="3"/>
      <c r="S597" s="3"/>
    </row>
    <row r="598">
      <c r="A598" s="3"/>
      <c r="C598" s="3"/>
      <c r="D598" s="3"/>
      <c r="E598" s="3"/>
      <c r="F598" s="3"/>
      <c r="G598" s="3"/>
      <c r="H598" s="3"/>
      <c r="S598" s="3"/>
    </row>
    <row r="599">
      <c r="A599" s="3"/>
      <c r="C599" s="3"/>
      <c r="D599" s="3"/>
      <c r="E599" s="3"/>
      <c r="F599" s="3"/>
      <c r="G599" s="3"/>
      <c r="H599" s="3"/>
      <c r="S599" s="3"/>
    </row>
    <row r="600">
      <c r="A600" s="3"/>
      <c r="C600" s="3"/>
      <c r="D600" s="3"/>
      <c r="E600" s="3"/>
      <c r="F600" s="3"/>
      <c r="G600" s="3"/>
      <c r="H600" s="3"/>
      <c r="S600" s="3"/>
    </row>
    <row r="601">
      <c r="A601" s="3"/>
      <c r="C601" s="3"/>
      <c r="D601" s="3"/>
      <c r="E601" s="3"/>
      <c r="F601" s="3"/>
      <c r="G601" s="3"/>
      <c r="H601" s="3"/>
      <c r="S601" s="3"/>
    </row>
    <row r="602">
      <c r="A602" s="3"/>
      <c r="C602" s="3"/>
      <c r="D602" s="3"/>
      <c r="E602" s="3"/>
      <c r="F602" s="3"/>
      <c r="G602" s="3"/>
      <c r="H602" s="3"/>
      <c r="S602" s="3"/>
    </row>
    <row r="603">
      <c r="A603" s="3"/>
      <c r="C603" s="3"/>
      <c r="D603" s="3"/>
      <c r="E603" s="3"/>
      <c r="F603" s="3"/>
      <c r="G603" s="3"/>
      <c r="H603" s="3"/>
      <c r="S603" s="3"/>
    </row>
    <row r="604">
      <c r="A604" s="3"/>
      <c r="C604" s="3"/>
      <c r="D604" s="3"/>
      <c r="E604" s="3"/>
      <c r="F604" s="3"/>
      <c r="G604" s="3"/>
      <c r="H604" s="3"/>
      <c r="S604" s="3"/>
    </row>
    <row r="605">
      <c r="A605" s="3"/>
      <c r="C605" s="3"/>
      <c r="D605" s="3"/>
      <c r="E605" s="3"/>
      <c r="F605" s="3"/>
      <c r="G605" s="3"/>
      <c r="H605" s="3"/>
      <c r="S605" s="3"/>
    </row>
    <row r="606">
      <c r="A606" s="3"/>
      <c r="C606" s="3"/>
      <c r="D606" s="3"/>
      <c r="E606" s="3"/>
      <c r="F606" s="3"/>
      <c r="G606" s="3"/>
      <c r="H606" s="3"/>
      <c r="S606" s="3"/>
    </row>
    <row r="607">
      <c r="A607" s="3"/>
      <c r="C607" s="3"/>
      <c r="D607" s="3"/>
      <c r="E607" s="3"/>
      <c r="F607" s="3"/>
      <c r="G607" s="3"/>
      <c r="H607" s="3"/>
      <c r="S607" s="3"/>
    </row>
    <row r="608">
      <c r="A608" s="3"/>
      <c r="C608" s="3"/>
      <c r="D608" s="3"/>
      <c r="E608" s="3"/>
      <c r="F608" s="3"/>
      <c r="G608" s="3"/>
      <c r="H608" s="3"/>
      <c r="S608" s="3"/>
    </row>
    <row r="609">
      <c r="A609" s="3"/>
      <c r="C609" s="3"/>
      <c r="D609" s="3"/>
      <c r="E609" s="3"/>
      <c r="F609" s="3"/>
      <c r="G609" s="3"/>
      <c r="H609" s="3"/>
      <c r="S609" s="3"/>
    </row>
    <row r="610">
      <c r="A610" s="3"/>
      <c r="C610" s="3"/>
      <c r="D610" s="3"/>
      <c r="E610" s="3"/>
      <c r="F610" s="3"/>
      <c r="G610" s="3"/>
      <c r="H610" s="3"/>
      <c r="S610" s="3"/>
    </row>
    <row r="611">
      <c r="A611" s="3"/>
      <c r="C611" s="3"/>
      <c r="D611" s="3"/>
      <c r="E611" s="3"/>
      <c r="F611" s="3"/>
      <c r="G611" s="3"/>
      <c r="H611" s="3"/>
      <c r="S611" s="3"/>
    </row>
    <row r="612">
      <c r="A612" s="3"/>
      <c r="C612" s="3"/>
      <c r="D612" s="3"/>
      <c r="E612" s="3"/>
      <c r="F612" s="3"/>
      <c r="G612" s="3"/>
      <c r="H612" s="3"/>
      <c r="S612" s="3"/>
    </row>
    <row r="613">
      <c r="A613" s="3"/>
      <c r="C613" s="3"/>
      <c r="D613" s="3"/>
      <c r="E613" s="3"/>
      <c r="F613" s="3"/>
      <c r="G613" s="3"/>
      <c r="H613" s="3"/>
      <c r="S613" s="3"/>
    </row>
    <row r="614">
      <c r="A614" s="3"/>
      <c r="C614" s="3"/>
      <c r="D614" s="3"/>
      <c r="E614" s="3"/>
      <c r="F614" s="3"/>
      <c r="G614" s="3"/>
      <c r="H614" s="3"/>
      <c r="S614" s="3"/>
    </row>
    <row r="615">
      <c r="A615" s="3"/>
      <c r="C615" s="3"/>
      <c r="D615" s="3"/>
      <c r="E615" s="3"/>
      <c r="F615" s="3"/>
      <c r="G615" s="3"/>
      <c r="H615" s="3"/>
      <c r="S615" s="3"/>
    </row>
    <row r="616">
      <c r="A616" s="3"/>
      <c r="C616" s="3"/>
      <c r="D616" s="3"/>
      <c r="E616" s="3"/>
      <c r="F616" s="3"/>
      <c r="G616" s="3"/>
      <c r="H616" s="3"/>
      <c r="S616" s="3"/>
    </row>
    <row r="617">
      <c r="A617" s="3"/>
      <c r="C617" s="3"/>
      <c r="D617" s="3"/>
      <c r="E617" s="3"/>
      <c r="F617" s="3"/>
      <c r="G617" s="3"/>
      <c r="H617" s="3"/>
      <c r="S617" s="3"/>
    </row>
    <row r="618">
      <c r="A618" s="3"/>
      <c r="C618" s="3"/>
      <c r="D618" s="3"/>
      <c r="E618" s="3"/>
      <c r="F618" s="3"/>
      <c r="G618" s="3"/>
      <c r="H618" s="3"/>
      <c r="S618" s="3"/>
    </row>
    <row r="619">
      <c r="A619" s="3"/>
      <c r="C619" s="3"/>
      <c r="D619" s="3"/>
      <c r="E619" s="3"/>
      <c r="F619" s="3"/>
      <c r="G619" s="3"/>
      <c r="H619" s="3"/>
      <c r="S619" s="3"/>
    </row>
    <row r="620">
      <c r="A620" s="3"/>
      <c r="C620" s="3"/>
      <c r="D620" s="3"/>
      <c r="E620" s="3"/>
      <c r="F620" s="3"/>
      <c r="G620" s="3"/>
      <c r="H620" s="3"/>
      <c r="S620" s="3"/>
    </row>
    <row r="621">
      <c r="A621" s="3"/>
      <c r="C621" s="3"/>
      <c r="D621" s="3"/>
      <c r="E621" s="3"/>
      <c r="F621" s="3"/>
      <c r="G621" s="3"/>
      <c r="H621" s="3"/>
      <c r="S621" s="3"/>
    </row>
    <row r="622">
      <c r="A622" s="3"/>
      <c r="C622" s="3"/>
      <c r="D622" s="3"/>
      <c r="E622" s="3"/>
      <c r="F622" s="3"/>
      <c r="G622" s="3"/>
      <c r="H622" s="3"/>
      <c r="S622" s="3"/>
    </row>
    <row r="623">
      <c r="A623" s="3"/>
      <c r="C623" s="3"/>
      <c r="D623" s="3"/>
      <c r="E623" s="3"/>
      <c r="F623" s="3"/>
      <c r="G623" s="3"/>
      <c r="H623" s="3"/>
      <c r="S623" s="3"/>
    </row>
    <row r="624">
      <c r="A624" s="3"/>
      <c r="C624" s="3"/>
      <c r="D624" s="3"/>
      <c r="E624" s="3"/>
      <c r="F624" s="3"/>
      <c r="G624" s="3"/>
      <c r="H624" s="3"/>
      <c r="S624" s="3"/>
    </row>
    <row r="625">
      <c r="A625" s="3"/>
      <c r="C625" s="3"/>
      <c r="D625" s="3"/>
      <c r="E625" s="3"/>
      <c r="F625" s="3"/>
      <c r="G625" s="3"/>
      <c r="H625" s="3"/>
      <c r="S625" s="3"/>
    </row>
    <row r="626">
      <c r="A626" s="3"/>
      <c r="C626" s="3"/>
      <c r="D626" s="3"/>
      <c r="E626" s="3"/>
      <c r="F626" s="3"/>
      <c r="G626" s="3"/>
      <c r="H626" s="3"/>
      <c r="S626" s="3"/>
    </row>
    <row r="627">
      <c r="A627" s="3"/>
      <c r="C627" s="3"/>
      <c r="D627" s="3"/>
      <c r="E627" s="3"/>
      <c r="F627" s="3"/>
      <c r="G627" s="3"/>
      <c r="H627" s="3"/>
      <c r="S627" s="3"/>
    </row>
    <row r="628">
      <c r="A628" s="3"/>
      <c r="C628" s="3"/>
      <c r="D628" s="3"/>
      <c r="E628" s="3"/>
      <c r="F628" s="3"/>
      <c r="G628" s="3"/>
      <c r="H628" s="3"/>
      <c r="S628" s="3"/>
    </row>
    <row r="629">
      <c r="A629" s="3"/>
      <c r="C629" s="3"/>
      <c r="D629" s="3"/>
      <c r="E629" s="3"/>
      <c r="F629" s="3"/>
      <c r="G629" s="3"/>
      <c r="H629" s="3"/>
      <c r="S629" s="3"/>
    </row>
    <row r="630">
      <c r="A630" s="3"/>
      <c r="C630" s="3"/>
      <c r="D630" s="3"/>
      <c r="E630" s="3"/>
      <c r="F630" s="3"/>
      <c r="G630" s="3"/>
      <c r="H630" s="3"/>
      <c r="S630" s="3"/>
    </row>
    <row r="631">
      <c r="A631" s="3"/>
      <c r="C631" s="3"/>
      <c r="D631" s="3"/>
      <c r="E631" s="3"/>
      <c r="F631" s="3"/>
      <c r="G631" s="3"/>
      <c r="H631" s="3"/>
      <c r="S631" s="3"/>
    </row>
    <row r="632">
      <c r="A632" s="3"/>
      <c r="C632" s="3"/>
      <c r="D632" s="3"/>
      <c r="E632" s="3"/>
      <c r="F632" s="3"/>
      <c r="G632" s="3"/>
      <c r="H632" s="3"/>
      <c r="S632" s="3"/>
    </row>
    <row r="633">
      <c r="A633" s="3"/>
      <c r="C633" s="3"/>
      <c r="D633" s="3"/>
      <c r="E633" s="3"/>
      <c r="F633" s="3"/>
      <c r="G633" s="3"/>
      <c r="H633" s="3"/>
      <c r="S633" s="3"/>
    </row>
    <row r="634">
      <c r="A634" s="3"/>
      <c r="C634" s="3"/>
      <c r="D634" s="3"/>
      <c r="E634" s="3"/>
      <c r="F634" s="3"/>
      <c r="G634" s="3"/>
      <c r="H634" s="3"/>
      <c r="S634" s="3"/>
    </row>
    <row r="635">
      <c r="A635" s="3"/>
      <c r="C635" s="3"/>
      <c r="D635" s="3"/>
      <c r="E635" s="3"/>
      <c r="F635" s="3"/>
      <c r="G635" s="3"/>
      <c r="H635" s="3"/>
      <c r="S635" s="3"/>
    </row>
    <row r="636">
      <c r="A636" s="3"/>
      <c r="C636" s="3"/>
      <c r="D636" s="3"/>
      <c r="E636" s="3"/>
      <c r="F636" s="3"/>
      <c r="G636" s="3"/>
      <c r="H636" s="3"/>
      <c r="S636" s="3"/>
    </row>
    <row r="637">
      <c r="A637" s="3"/>
      <c r="C637" s="3"/>
      <c r="D637" s="3"/>
      <c r="E637" s="3"/>
      <c r="F637" s="3"/>
      <c r="G637" s="3"/>
      <c r="H637" s="3"/>
      <c r="S637" s="3"/>
    </row>
    <row r="638">
      <c r="A638" s="3"/>
      <c r="C638" s="3"/>
      <c r="D638" s="3"/>
      <c r="E638" s="3"/>
      <c r="F638" s="3"/>
      <c r="G638" s="3"/>
      <c r="H638" s="3"/>
      <c r="S638" s="3"/>
    </row>
    <row r="639">
      <c r="A639" s="3"/>
      <c r="C639" s="3"/>
      <c r="D639" s="3"/>
      <c r="E639" s="3"/>
      <c r="F639" s="3"/>
      <c r="G639" s="3"/>
      <c r="H639" s="3"/>
      <c r="S639" s="3"/>
    </row>
    <row r="640">
      <c r="A640" s="3"/>
      <c r="C640" s="3"/>
      <c r="D640" s="3"/>
      <c r="E640" s="3"/>
      <c r="F640" s="3"/>
      <c r="G640" s="3"/>
      <c r="H640" s="3"/>
      <c r="S640" s="3"/>
    </row>
    <row r="641">
      <c r="A641" s="3"/>
      <c r="C641" s="3"/>
      <c r="D641" s="3"/>
      <c r="E641" s="3"/>
      <c r="F641" s="3"/>
      <c r="G641" s="3"/>
      <c r="H641" s="3"/>
      <c r="S641" s="3"/>
    </row>
    <row r="642">
      <c r="A642" s="3"/>
      <c r="C642" s="3"/>
      <c r="D642" s="3"/>
      <c r="E642" s="3"/>
      <c r="F642" s="3"/>
      <c r="G642" s="3"/>
      <c r="H642" s="3"/>
      <c r="S642" s="3"/>
    </row>
    <row r="643">
      <c r="A643" s="3"/>
      <c r="C643" s="3"/>
      <c r="D643" s="3"/>
      <c r="E643" s="3"/>
      <c r="F643" s="3"/>
      <c r="G643" s="3"/>
      <c r="H643" s="3"/>
      <c r="S643" s="3"/>
    </row>
    <row r="644">
      <c r="A644" s="3"/>
      <c r="C644" s="3"/>
      <c r="D644" s="3"/>
      <c r="E644" s="3"/>
      <c r="F644" s="3"/>
      <c r="G644" s="3"/>
      <c r="H644" s="3"/>
      <c r="S644" s="3"/>
    </row>
    <row r="645">
      <c r="A645" s="3"/>
      <c r="C645" s="3"/>
      <c r="D645" s="3"/>
      <c r="E645" s="3"/>
      <c r="F645" s="3"/>
      <c r="G645" s="3"/>
      <c r="H645" s="3"/>
      <c r="S645" s="3"/>
    </row>
    <row r="646">
      <c r="A646" s="3"/>
      <c r="C646" s="3"/>
      <c r="D646" s="3"/>
      <c r="E646" s="3"/>
      <c r="F646" s="3"/>
      <c r="G646" s="3"/>
      <c r="H646" s="3"/>
      <c r="S646" s="3"/>
    </row>
    <row r="647">
      <c r="A647" s="3"/>
      <c r="C647" s="3"/>
      <c r="D647" s="3"/>
      <c r="E647" s="3"/>
      <c r="F647" s="3"/>
      <c r="G647" s="3"/>
      <c r="H647" s="3"/>
      <c r="S647" s="3"/>
    </row>
    <row r="648">
      <c r="A648" s="3"/>
      <c r="C648" s="3"/>
      <c r="D648" s="3"/>
      <c r="E648" s="3"/>
      <c r="F648" s="3"/>
      <c r="G648" s="3"/>
      <c r="H648" s="3"/>
      <c r="S648" s="3"/>
    </row>
    <row r="649">
      <c r="A649" s="3"/>
      <c r="C649" s="3"/>
      <c r="D649" s="3"/>
      <c r="E649" s="3"/>
      <c r="F649" s="3"/>
      <c r="G649" s="3"/>
      <c r="H649" s="3"/>
      <c r="S649" s="3"/>
    </row>
    <row r="650">
      <c r="A650" s="3"/>
      <c r="C650" s="3"/>
      <c r="D650" s="3"/>
      <c r="E650" s="3"/>
      <c r="F650" s="3"/>
      <c r="G650" s="3"/>
      <c r="H650" s="3"/>
      <c r="S650" s="3"/>
    </row>
    <row r="651">
      <c r="A651" s="3"/>
      <c r="C651" s="3"/>
      <c r="D651" s="3"/>
      <c r="E651" s="3"/>
      <c r="F651" s="3"/>
      <c r="G651" s="3"/>
      <c r="H651" s="3"/>
      <c r="S651" s="3"/>
    </row>
    <row r="652">
      <c r="A652" s="3"/>
      <c r="C652" s="3"/>
      <c r="D652" s="3"/>
      <c r="E652" s="3"/>
      <c r="F652" s="3"/>
      <c r="G652" s="3"/>
      <c r="H652" s="3"/>
      <c r="S652" s="3"/>
    </row>
    <row r="653">
      <c r="A653" s="3"/>
      <c r="C653" s="3"/>
      <c r="D653" s="3"/>
      <c r="E653" s="3"/>
      <c r="F653" s="3"/>
      <c r="G653" s="3"/>
      <c r="H653" s="3"/>
      <c r="S653" s="3"/>
    </row>
    <row r="654">
      <c r="A654" s="3"/>
      <c r="C654" s="3"/>
      <c r="D654" s="3"/>
      <c r="E654" s="3"/>
      <c r="F654" s="3"/>
      <c r="G654" s="3"/>
      <c r="H654" s="3"/>
      <c r="S654" s="3"/>
    </row>
    <row r="655">
      <c r="A655" s="3"/>
      <c r="C655" s="3"/>
      <c r="D655" s="3"/>
      <c r="E655" s="3"/>
      <c r="F655" s="3"/>
      <c r="G655" s="3"/>
      <c r="H655" s="3"/>
      <c r="S655" s="3"/>
    </row>
    <row r="656">
      <c r="A656" s="3"/>
      <c r="C656" s="3"/>
      <c r="D656" s="3"/>
      <c r="E656" s="3"/>
      <c r="F656" s="3"/>
      <c r="G656" s="3"/>
      <c r="H656" s="3"/>
      <c r="S656" s="3"/>
    </row>
    <row r="657">
      <c r="A657" s="3"/>
      <c r="C657" s="3"/>
      <c r="D657" s="3"/>
      <c r="E657" s="3"/>
      <c r="F657" s="3"/>
      <c r="G657" s="3"/>
      <c r="H657" s="3"/>
      <c r="S657" s="3"/>
    </row>
    <row r="658">
      <c r="A658" s="3"/>
      <c r="C658" s="3"/>
      <c r="D658" s="3"/>
      <c r="E658" s="3"/>
      <c r="F658" s="3"/>
      <c r="G658" s="3"/>
      <c r="H658" s="3"/>
      <c r="S658" s="3"/>
    </row>
    <row r="659">
      <c r="A659" s="3"/>
      <c r="C659" s="3"/>
      <c r="D659" s="3"/>
      <c r="E659" s="3"/>
      <c r="F659" s="3"/>
      <c r="G659" s="3"/>
      <c r="H659" s="3"/>
      <c r="S659" s="3"/>
    </row>
    <row r="660">
      <c r="A660" s="3"/>
      <c r="C660" s="3"/>
      <c r="D660" s="3"/>
      <c r="E660" s="3"/>
      <c r="F660" s="3"/>
      <c r="G660" s="3"/>
      <c r="H660" s="3"/>
      <c r="S660" s="3"/>
    </row>
    <row r="661">
      <c r="A661" s="3"/>
      <c r="C661" s="3"/>
      <c r="D661" s="3"/>
      <c r="E661" s="3"/>
      <c r="F661" s="3"/>
      <c r="G661" s="3"/>
      <c r="H661" s="3"/>
      <c r="S661" s="3"/>
    </row>
    <row r="662">
      <c r="A662" s="3"/>
      <c r="C662" s="3"/>
      <c r="D662" s="3"/>
      <c r="E662" s="3"/>
      <c r="F662" s="3"/>
      <c r="G662" s="3"/>
      <c r="H662" s="3"/>
      <c r="S662" s="3"/>
    </row>
    <row r="663">
      <c r="A663" s="3"/>
      <c r="C663" s="3"/>
      <c r="D663" s="3"/>
      <c r="E663" s="3"/>
      <c r="F663" s="3"/>
      <c r="G663" s="3"/>
      <c r="H663" s="3"/>
      <c r="S663" s="3"/>
    </row>
    <row r="664">
      <c r="A664" s="3"/>
      <c r="C664" s="3"/>
      <c r="D664" s="3"/>
      <c r="E664" s="3"/>
      <c r="F664" s="3"/>
      <c r="G664" s="3"/>
      <c r="H664" s="3"/>
      <c r="S664" s="3"/>
    </row>
    <row r="665">
      <c r="A665" s="3"/>
      <c r="C665" s="3"/>
      <c r="D665" s="3"/>
      <c r="E665" s="3"/>
      <c r="F665" s="3"/>
      <c r="G665" s="3"/>
      <c r="H665" s="3"/>
      <c r="S665" s="3"/>
    </row>
    <row r="666">
      <c r="A666" s="3"/>
      <c r="C666" s="3"/>
      <c r="D666" s="3"/>
      <c r="E666" s="3"/>
      <c r="F666" s="3"/>
      <c r="G666" s="3"/>
      <c r="H666" s="3"/>
      <c r="S666" s="3"/>
    </row>
    <row r="667">
      <c r="A667" s="3"/>
      <c r="C667" s="3"/>
      <c r="D667" s="3"/>
      <c r="E667" s="3"/>
      <c r="F667" s="3"/>
      <c r="G667" s="3"/>
      <c r="H667" s="3"/>
      <c r="S667" s="3"/>
    </row>
    <row r="668">
      <c r="A668" s="3"/>
      <c r="C668" s="3"/>
      <c r="D668" s="3"/>
      <c r="E668" s="3"/>
      <c r="F668" s="3"/>
      <c r="G668" s="3"/>
      <c r="H668" s="3"/>
      <c r="S668" s="3"/>
    </row>
    <row r="669">
      <c r="A669" s="3"/>
      <c r="C669" s="3"/>
      <c r="D669" s="3"/>
      <c r="E669" s="3"/>
      <c r="F669" s="3"/>
      <c r="G669" s="3"/>
      <c r="H669" s="3"/>
      <c r="S669" s="3"/>
    </row>
    <row r="670">
      <c r="A670" s="3"/>
      <c r="C670" s="3"/>
      <c r="D670" s="3"/>
      <c r="E670" s="3"/>
      <c r="F670" s="3"/>
      <c r="G670" s="3"/>
      <c r="H670" s="3"/>
      <c r="S670" s="3"/>
    </row>
    <row r="671">
      <c r="A671" s="3"/>
      <c r="C671" s="3"/>
      <c r="D671" s="3"/>
      <c r="E671" s="3"/>
      <c r="F671" s="3"/>
      <c r="G671" s="3"/>
      <c r="H671" s="3"/>
      <c r="S671" s="3"/>
    </row>
    <row r="672">
      <c r="A672" s="3"/>
      <c r="C672" s="3"/>
      <c r="D672" s="3"/>
      <c r="E672" s="3"/>
      <c r="F672" s="3"/>
      <c r="G672" s="3"/>
      <c r="H672" s="3"/>
      <c r="S672" s="3"/>
    </row>
    <row r="673">
      <c r="A673" s="3"/>
      <c r="C673" s="3"/>
      <c r="D673" s="3"/>
      <c r="E673" s="3"/>
      <c r="F673" s="3"/>
      <c r="G673" s="3"/>
      <c r="H673" s="3"/>
      <c r="S673" s="3"/>
    </row>
    <row r="674">
      <c r="A674" s="3"/>
      <c r="C674" s="3"/>
      <c r="D674" s="3"/>
      <c r="E674" s="3"/>
      <c r="F674" s="3"/>
      <c r="G674" s="3"/>
      <c r="H674" s="3"/>
      <c r="S674" s="3"/>
    </row>
    <row r="675">
      <c r="A675" s="3"/>
      <c r="C675" s="3"/>
      <c r="D675" s="3"/>
      <c r="E675" s="3"/>
      <c r="F675" s="3"/>
      <c r="G675" s="3"/>
      <c r="H675" s="3"/>
      <c r="S675" s="3"/>
    </row>
    <row r="676">
      <c r="A676" s="3"/>
      <c r="C676" s="3"/>
      <c r="D676" s="3"/>
      <c r="E676" s="3"/>
      <c r="F676" s="3"/>
      <c r="G676" s="3"/>
      <c r="H676" s="3"/>
      <c r="S676" s="3"/>
    </row>
    <row r="677">
      <c r="A677" s="3"/>
      <c r="C677" s="3"/>
      <c r="D677" s="3"/>
      <c r="E677" s="3"/>
      <c r="F677" s="3"/>
      <c r="G677" s="3"/>
      <c r="H677" s="3"/>
      <c r="S677" s="3"/>
    </row>
    <row r="678">
      <c r="A678" s="3"/>
      <c r="C678" s="3"/>
      <c r="D678" s="3"/>
      <c r="E678" s="3"/>
      <c r="F678" s="3"/>
      <c r="G678" s="3"/>
      <c r="H678" s="3"/>
      <c r="S678" s="3"/>
    </row>
    <row r="679">
      <c r="A679" s="3"/>
      <c r="C679" s="3"/>
      <c r="D679" s="3"/>
      <c r="E679" s="3"/>
      <c r="F679" s="3"/>
      <c r="G679" s="3"/>
      <c r="H679" s="3"/>
      <c r="S679" s="3"/>
    </row>
    <row r="680">
      <c r="A680" s="3"/>
      <c r="C680" s="3"/>
      <c r="D680" s="3"/>
      <c r="E680" s="3"/>
      <c r="F680" s="3"/>
      <c r="G680" s="3"/>
      <c r="H680" s="3"/>
      <c r="S680" s="3"/>
    </row>
    <row r="681">
      <c r="A681" s="3"/>
      <c r="C681" s="3"/>
      <c r="D681" s="3"/>
      <c r="E681" s="3"/>
      <c r="F681" s="3"/>
      <c r="G681" s="3"/>
      <c r="H681" s="3"/>
      <c r="S681" s="3"/>
    </row>
    <row r="682">
      <c r="A682" s="3"/>
      <c r="C682" s="3"/>
      <c r="D682" s="3"/>
      <c r="E682" s="3"/>
      <c r="F682" s="3"/>
      <c r="G682" s="3"/>
      <c r="H682" s="3"/>
      <c r="S682" s="3"/>
    </row>
    <row r="683">
      <c r="A683" s="3"/>
      <c r="C683" s="3"/>
      <c r="D683" s="3"/>
      <c r="E683" s="3"/>
      <c r="F683" s="3"/>
      <c r="G683" s="3"/>
      <c r="H683" s="3"/>
      <c r="S683" s="3"/>
    </row>
    <row r="684">
      <c r="A684" s="3"/>
      <c r="C684" s="3"/>
      <c r="D684" s="3"/>
      <c r="E684" s="3"/>
      <c r="F684" s="3"/>
      <c r="G684" s="3"/>
      <c r="H684" s="3"/>
      <c r="S684" s="3"/>
    </row>
    <row r="685">
      <c r="A685" s="3"/>
      <c r="C685" s="3"/>
      <c r="D685" s="3"/>
      <c r="E685" s="3"/>
      <c r="F685" s="3"/>
      <c r="G685" s="3"/>
      <c r="H685" s="3"/>
      <c r="S685" s="3"/>
    </row>
    <row r="686">
      <c r="A686" s="3"/>
      <c r="C686" s="3"/>
      <c r="D686" s="3"/>
      <c r="E686" s="3"/>
      <c r="F686" s="3"/>
      <c r="G686" s="3"/>
      <c r="H686" s="3"/>
      <c r="S686" s="3"/>
    </row>
    <row r="687">
      <c r="A687" s="3"/>
      <c r="C687" s="3"/>
      <c r="D687" s="3"/>
      <c r="E687" s="3"/>
      <c r="F687" s="3"/>
      <c r="G687" s="3"/>
      <c r="H687" s="3"/>
      <c r="S687" s="3"/>
    </row>
    <row r="688">
      <c r="A688" s="3"/>
      <c r="C688" s="3"/>
      <c r="D688" s="3"/>
      <c r="E688" s="3"/>
      <c r="F688" s="3"/>
      <c r="G688" s="3"/>
      <c r="H688" s="3"/>
      <c r="S688" s="3"/>
    </row>
    <row r="689">
      <c r="A689" s="3"/>
      <c r="C689" s="3"/>
      <c r="D689" s="3"/>
      <c r="E689" s="3"/>
      <c r="F689" s="3"/>
      <c r="G689" s="3"/>
      <c r="H689" s="3"/>
      <c r="S689" s="3"/>
    </row>
    <row r="690">
      <c r="A690" s="3"/>
      <c r="C690" s="3"/>
      <c r="D690" s="3"/>
      <c r="E690" s="3"/>
      <c r="F690" s="3"/>
      <c r="G690" s="3"/>
      <c r="H690" s="3"/>
      <c r="S690" s="3"/>
    </row>
    <row r="691">
      <c r="A691" s="3"/>
      <c r="C691" s="3"/>
      <c r="D691" s="3"/>
      <c r="E691" s="3"/>
      <c r="F691" s="3"/>
      <c r="G691" s="3"/>
      <c r="H691" s="3"/>
      <c r="S691" s="3"/>
    </row>
    <row r="692">
      <c r="A692" s="3"/>
      <c r="C692" s="3"/>
      <c r="D692" s="3"/>
      <c r="E692" s="3"/>
      <c r="F692" s="3"/>
      <c r="G692" s="3"/>
      <c r="H692" s="3"/>
      <c r="S692" s="3"/>
    </row>
    <row r="693">
      <c r="A693" s="3"/>
      <c r="C693" s="3"/>
      <c r="D693" s="3"/>
      <c r="E693" s="3"/>
      <c r="F693" s="3"/>
      <c r="G693" s="3"/>
      <c r="H693" s="3"/>
      <c r="S693" s="3"/>
    </row>
    <row r="694">
      <c r="A694" s="3"/>
      <c r="C694" s="3"/>
      <c r="D694" s="3"/>
      <c r="E694" s="3"/>
      <c r="F694" s="3"/>
      <c r="G694" s="3"/>
      <c r="H694" s="3"/>
      <c r="S694" s="3"/>
    </row>
    <row r="695">
      <c r="A695" s="3"/>
      <c r="C695" s="3"/>
      <c r="D695" s="3"/>
      <c r="E695" s="3"/>
      <c r="F695" s="3"/>
      <c r="G695" s="3"/>
      <c r="H695" s="3"/>
      <c r="S695" s="3"/>
    </row>
    <row r="696">
      <c r="A696" s="3"/>
      <c r="C696" s="3"/>
      <c r="D696" s="3"/>
      <c r="E696" s="3"/>
      <c r="F696" s="3"/>
      <c r="G696" s="3"/>
      <c r="H696" s="3"/>
      <c r="S696" s="3"/>
    </row>
    <row r="697">
      <c r="A697" s="3"/>
      <c r="C697" s="3"/>
      <c r="D697" s="3"/>
      <c r="E697" s="3"/>
      <c r="F697" s="3"/>
      <c r="G697" s="3"/>
      <c r="H697" s="3"/>
      <c r="S697" s="3"/>
    </row>
    <row r="698">
      <c r="A698" s="3"/>
      <c r="C698" s="3"/>
      <c r="D698" s="3"/>
      <c r="E698" s="3"/>
      <c r="F698" s="3"/>
      <c r="G698" s="3"/>
      <c r="H698" s="3"/>
      <c r="S698" s="3"/>
    </row>
    <row r="699">
      <c r="A699" s="3"/>
      <c r="C699" s="3"/>
      <c r="D699" s="3"/>
      <c r="E699" s="3"/>
      <c r="F699" s="3"/>
      <c r="G699" s="3"/>
      <c r="H699" s="3"/>
      <c r="S699" s="3"/>
    </row>
    <row r="700">
      <c r="A700" s="3"/>
      <c r="C700" s="3"/>
      <c r="D700" s="3"/>
      <c r="E700" s="3"/>
      <c r="F700" s="3"/>
      <c r="G700" s="3"/>
      <c r="H700" s="3"/>
      <c r="S700" s="3"/>
    </row>
    <row r="701">
      <c r="A701" s="3"/>
      <c r="C701" s="3"/>
      <c r="D701" s="3"/>
      <c r="E701" s="3"/>
      <c r="F701" s="3"/>
      <c r="G701" s="3"/>
      <c r="H701" s="3"/>
      <c r="S701" s="3"/>
    </row>
    <row r="702">
      <c r="A702" s="3"/>
      <c r="C702" s="3"/>
      <c r="D702" s="3"/>
      <c r="E702" s="3"/>
      <c r="F702" s="3"/>
      <c r="G702" s="3"/>
      <c r="H702" s="3"/>
      <c r="S702" s="3"/>
    </row>
    <row r="703">
      <c r="A703" s="3"/>
      <c r="C703" s="3"/>
      <c r="D703" s="3"/>
      <c r="E703" s="3"/>
      <c r="F703" s="3"/>
      <c r="G703" s="3"/>
      <c r="H703" s="3"/>
      <c r="S703" s="3"/>
    </row>
    <row r="704">
      <c r="A704" s="3"/>
      <c r="C704" s="3"/>
      <c r="D704" s="3"/>
      <c r="E704" s="3"/>
      <c r="F704" s="3"/>
      <c r="G704" s="3"/>
      <c r="H704" s="3"/>
      <c r="S704" s="3"/>
    </row>
    <row r="705">
      <c r="A705" s="3"/>
      <c r="C705" s="3"/>
      <c r="D705" s="3"/>
      <c r="E705" s="3"/>
      <c r="F705" s="3"/>
      <c r="G705" s="3"/>
      <c r="H705" s="3"/>
      <c r="S705" s="3"/>
    </row>
    <row r="706">
      <c r="A706" s="3"/>
      <c r="C706" s="3"/>
      <c r="D706" s="3"/>
      <c r="E706" s="3"/>
      <c r="F706" s="3"/>
      <c r="G706" s="3"/>
      <c r="H706" s="3"/>
      <c r="S706" s="3"/>
    </row>
    <row r="707">
      <c r="A707" s="3"/>
      <c r="C707" s="3"/>
      <c r="D707" s="3"/>
      <c r="E707" s="3"/>
      <c r="F707" s="3"/>
      <c r="G707" s="3"/>
      <c r="H707" s="3"/>
      <c r="S707" s="3"/>
    </row>
    <row r="708">
      <c r="A708" s="3"/>
      <c r="C708" s="3"/>
      <c r="D708" s="3"/>
      <c r="E708" s="3"/>
      <c r="F708" s="3"/>
      <c r="G708" s="3"/>
      <c r="H708" s="3"/>
      <c r="S708" s="3"/>
    </row>
    <row r="709">
      <c r="A709" s="3"/>
      <c r="C709" s="3"/>
      <c r="D709" s="3"/>
      <c r="E709" s="3"/>
      <c r="F709" s="3"/>
      <c r="G709" s="3"/>
      <c r="H709" s="3"/>
      <c r="S709" s="3"/>
    </row>
    <row r="710">
      <c r="A710" s="3"/>
      <c r="C710" s="3"/>
      <c r="D710" s="3"/>
      <c r="E710" s="3"/>
      <c r="F710" s="3"/>
      <c r="G710" s="3"/>
      <c r="H710" s="3"/>
      <c r="S710" s="3"/>
    </row>
    <row r="711">
      <c r="A711" s="3"/>
      <c r="C711" s="3"/>
      <c r="D711" s="3"/>
      <c r="E711" s="3"/>
      <c r="F711" s="3"/>
      <c r="G711" s="3"/>
      <c r="H711" s="3"/>
      <c r="S711" s="3"/>
    </row>
    <row r="712">
      <c r="A712" s="3"/>
      <c r="C712" s="3"/>
      <c r="D712" s="3"/>
      <c r="E712" s="3"/>
      <c r="F712" s="3"/>
      <c r="G712" s="3"/>
      <c r="H712" s="3"/>
      <c r="S712" s="3"/>
    </row>
    <row r="713">
      <c r="A713" s="3"/>
      <c r="C713" s="3"/>
      <c r="D713" s="3"/>
      <c r="E713" s="3"/>
      <c r="F713" s="3"/>
      <c r="G713" s="3"/>
      <c r="H713" s="3"/>
      <c r="S713" s="3"/>
    </row>
    <row r="714">
      <c r="A714" s="3"/>
      <c r="C714" s="3"/>
      <c r="D714" s="3"/>
      <c r="E714" s="3"/>
      <c r="F714" s="3"/>
      <c r="G714" s="3"/>
      <c r="H714" s="3"/>
      <c r="S714" s="3"/>
    </row>
    <row r="715">
      <c r="A715" s="3"/>
      <c r="C715" s="3"/>
      <c r="D715" s="3"/>
      <c r="E715" s="3"/>
      <c r="F715" s="3"/>
      <c r="G715" s="3"/>
      <c r="H715" s="3"/>
      <c r="S715" s="3"/>
    </row>
    <row r="716">
      <c r="A716" s="3"/>
      <c r="C716" s="3"/>
      <c r="D716" s="3"/>
      <c r="E716" s="3"/>
      <c r="F716" s="3"/>
      <c r="G716" s="3"/>
      <c r="H716" s="3"/>
      <c r="S716" s="3"/>
    </row>
    <row r="717">
      <c r="A717" s="3"/>
      <c r="C717" s="3"/>
      <c r="D717" s="3"/>
      <c r="E717" s="3"/>
      <c r="F717" s="3"/>
      <c r="G717" s="3"/>
      <c r="H717" s="3"/>
      <c r="S717" s="3"/>
    </row>
    <row r="718">
      <c r="A718" s="3"/>
      <c r="C718" s="3"/>
      <c r="D718" s="3"/>
      <c r="E718" s="3"/>
      <c r="F718" s="3"/>
      <c r="G718" s="3"/>
      <c r="H718" s="3"/>
      <c r="S718" s="3"/>
    </row>
    <row r="719">
      <c r="A719" s="3"/>
      <c r="C719" s="3"/>
      <c r="D719" s="3"/>
      <c r="E719" s="3"/>
      <c r="F719" s="3"/>
      <c r="G719" s="3"/>
      <c r="H719" s="3"/>
      <c r="S719" s="3"/>
    </row>
    <row r="720">
      <c r="A720" s="3"/>
      <c r="C720" s="3"/>
      <c r="D720" s="3"/>
      <c r="E720" s="3"/>
      <c r="F720" s="3"/>
      <c r="G720" s="3"/>
      <c r="H720" s="3"/>
      <c r="S720" s="3"/>
    </row>
    <row r="721">
      <c r="A721" s="3"/>
      <c r="C721" s="3"/>
      <c r="D721" s="3"/>
      <c r="E721" s="3"/>
      <c r="F721" s="3"/>
      <c r="G721" s="3"/>
      <c r="H721" s="3"/>
      <c r="S721" s="3"/>
    </row>
    <row r="722">
      <c r="A722" s="3"/>
      <c r="C722" s="3"/>
      <c r="D722" s="3"/>
      <c r="E722" s="3"/>
      <c r="F722" s="3"/>
      <c r="G722" s="3"/>
      <c r="H722" s="3"/>
      <c r="S722" s="3"/>
    </row>
    <row r="723">
      <c r="A723" s="3"/>
      <c r="C723" s="3"/>
      <c r="D723" s="3"/>
      <c r="E723" s="3"/>
      <c r="F723" s="3"/>
      <c r="G723" s="3"/>
      <c r="H723" s="3"/>
      <c r="S723" s="3"/>
    </row>
    <row r="724">
      <c r="A724" s="3"/>
      <c r="C724" s="3"/>
      <c r="D724" s="3"/>
      <c r="E724" s="3"/>
      <c r="F724" s="3"/>
      <c r="G724" s="3"/>
      <c r="H724" s="3"/>
      <c r="S724" s="3"/>
    </row>
    <row r="725">
      <c r="A725" s="3"/>
      <c r="C725" s="3"/>
      <c r="D725" s="3"/>
      <c r="E725" s="3"/>
      <c r="F725" s="3"/>
      <c r="G725" s="3"/>
      <c r="H725" s="3"/>
      <c r="S725" s="3"/>
    </row>
    <row r="726">
      <c r="A726" s="3"/>
      <c r="C726" s="3"/>
      <c r="D726" s="3"/>
      <c r="E726" s="3"/>
      <c r="F726" s="3"/>
      <c r="G726" s="3"/>
      <c r="H726" s="3"/>
      <c r="S726" s="3"/>
    </row>
    <row r="727">
      <c r="A727" s="3"/>
      <c r="C727" s="3"/>
      <c r="D727" s="3"/>
      <c r="E727" s="3"/>
      <c r="F727" s="3"/>
      <c r="G727" s="3"/>
      <c r="H727" s="3"/>
      <c r="S727" s="3"/>
    </row>
    <row r="728">
      <c r="A728" s="3"/>
      <c r="C728" s="3"/>
      <c r="D728" s="3"/>
      <c r="E728" s="3"/>
      <c r="F728" s="3"/>
      <c r="G728" s="3"/>
      <c r="H728" s="3"/>
      <c r="S728" s="3"/>
    </row>
    <row r="729">
      <c r="A729" s="3"/>
      <c r="C729" s="3"/>
      <c r="D729" s="3"/>
      <c r="E729" s="3"/>
      <c r="F729" s="3"/>
      <c r="G729" s="3"/>
      <c r="H729" s="3"/>
      <c r="S729" s="3"/>
    </row>
    <row r="730">
      <c r="A730" s="3"/>
      <c r="C730" s="3"/>
      <c r="D730" s="3"/>
      <c r="E730" s="3"/>
      <c r="F730" s="3"/>
      <c r="G730" s="3"/>
      <c r="H730" s="3"/>
      <c r="S730" s="3"/>
    </row>
    <row r="731">
      <c r="A731" s="3"/>
      <c r="C731" s="3"/>
      <c r="D731" s="3"/>
      <c r="E731" s="3"/>
      <c r="F731" s="3"/>
      <c r="G731" s="3"/>
      <c r="H731" s="3"/>
      <c r="S731" s="3"/>
    </row>
    <row r="732">
      <c r="A732" s="3"/>
      <c r="C732" s="3"/>
      <c r="D732" s="3"/>
      <c r="E732" s="3"/>
      <c r="F732" s="3"/>
      <c r="G732" s="3"/>
      <c r="H732" s="3"/>
      <c r="S732" s="3"/>
    </row>
    <row r="733">
      <c r="A733" s="3"/>
      <c r="C733" s="3"/>
      <c r="D733" s="3"/>
      <c r="E733" s="3"/>
      <c r="F733" s="3"/>
      <c r="G733" s="3"/>
      <c r="H733" s="3"/>
      <c r="S733" s="3"/>
    </row>
    <row r="734">
      <c r="A734" s="3"/>
      <c r="C734" s="3"/>
      <c r="D734" s="3"/>
      <c r="E734" s="3"/>
      <c r="F734" s="3"/>
      <c r="G734" s="3"/>
      <c r="H734" s="3"/>
      <c r="S734" s="3"/>
    </row>
    <row r="735">
      <c r="A735" s="3"/>
      <c r="C735" s="3"/>
      <c r="D735" s="3"/>
      <c r="E735" s="3"/>
      <c r="F735" s="3"/>
      <c r="G735" s="3"/>
      <c r="H735" s="3"/>
      <c r="S735" s="3"/>
    </row>
    <row r="736">
      <c r="A736" s="3"/>
      <c r="C736" s="3"/>
      <c r="D736" s="3"/>
      <c r="E736" s="3"/>
      <c r="F736" s="3"/>
      <c r="G736" s="3"/>
      <c r="H736" s="3"/>
      <c r="S736" s="3"/>
    </row>
    <row r="737">
      <c r="A737" s="3"/>
      <c r="C737" s="3"/>
      <c r="D737" s="3"/>
      <c r="E737" s="3"/>
      <c r="F737" s="3"/>
      <c r="G737" s="3"/>
      <c r="H737" s="3"/>
      <c r="S737" s="3"/>
    </row>
    <row r="738">
      <c r="A738" s="3"/>
      <c r="C738" s="3"/>
      <c r="D738" s="3"/>
      <c r="E738" s="3"/>
      <c r="F738" s="3"/>
      <c r="G738" s="3"/>
      <c r="H738" s="3"/>
      <c r="S738" s="3"/>
    </row>
    <row r="739">
      <c r="A739" s="3"/>
      <c r="C739" s="3"/>
      <c r="D739" s="3"/>
      <c r="E739" s="3"/>
      <c r="F739" s="3"/>
      <c r="G739" s="3"/>
      <c r="H739" s="3"/>
      <c r="S739" s="3"/>
    </row>
    <row r="740">
      <c r="A740" s="3"/>
      <c r="C740" s="3"/>
      <c r="D740" s="3"/>
      <c r="E740" s="3"/>
      <c r="F740" s="3"/>
      <c r="G740" s="3"/>
      <c r="H740" s="3"/>
      <c r="S740" s="3"/>
    </row>
    <row r="741">
      <c r="A741" s="3"/>
      <c r="C741" s="3"/>
      <c r="D741" s="3"/>
      <c r="E741" s="3"/>
      <c r="F741" s="3"/>
      <c r="G741" s="3"/>
      <c r="H741" s="3"/>
      <c r="S741" s="3"/>
    </row>
    <row r="742">
      <c r="A742" s="3"/>
      <c r="C742" s="3"/>
      <c r="D742" s="3"/>
      <c r="E742" s="3"/>
      <c r="F742" s="3"/>
      <c r="G742" s="3"/>
      <c r="H742" s="3"/>
      <c r="S742" s="3"/>
    </row>
    <row r="743">
      <c r="A743" s="3"/>
      <c r="C743" s="3"/>
      <c r="D743" s="3"/>
      <c r="E743" s="3"/>
      <c r="F743" s="3"/>
      <c r="G743" s="3"/>
      <c r="H743" s="3"/>
      <c r="S743" s="3"/>
    </row>
    <row r="744">
      <c r="A744" s="3"/>
      <c r="C744" s="3"/>
      <c r="D744" s="3"/>
      <c r="E744" s="3"/>
      <c r="F744" s="3"/>
      <c r="G744" s="3"/>
      <c r="H744" s="3"/>
      <c r="S744" s="3"/>
    </row>
    <row r="745">
      <c r="A745" s="3"/>
      <c r="C745" s="3"/>
      <c r="D745" s="3"/>
      <c r="E745" s="3"/>
      <c r="F745" s="3"/>
      <c r="G745" s="3"/>
      <c r="H745" s="3"/>
      <c r="S745" s="3"/>
    </row>
    <row r="746">
      <c r="A746" s="3"/>
      <c r="C746" s="3"/>
      <c r="D746" s="3"/>
      <c r="E746" s="3"/>
      <c r="F746" s="3"/>
      <c r="G746" s="3"/>
      <c r="H746" s="3"/>
      <c r="S746" s="3"/>
    </row>
    <row r="747">
      <c r="A747" s="3"/>
      <c r="C747" s="3"/>
      <c r="D747" s="3"/>
      <c r="E747" s="3"/>
      <c r="F747" s="3"/>
      <c r="G747" s="3"/>
      <c r="H747" s="3"/>
      <c r="S747" s="3"/>
    </row>
    <row r="748">
      <c r="A748" s="3"/>
      <c r="C748" s="3"/>
      <c r="D748" s="3"/>
      <c r="E748" s="3"/>
      <c r="F748" s="3"/>
      <c r="G748" s="3"/>
      <c r="H748" s="3"/>
      <c r="S748" s="3"/>
    </row>
    <row r="749">
      <c r="A749" s="3"/>
      <c r="C749" s="3"/>
      <c r="D749" s="3"/>
      <c r="E749" s="3"/>
      <c r="F749" s="3"/>
      <c r="G749" s="3"/>
      <c r="H749" s="3"/>
      <c r="S749" s="3"/>
    </row>
    <row r="750">
      <c r="A750" s="3"/>
      <c r="C750" s="3"/>
      <c r="D750" s="3"/>
      <c r="E750" s="3"/>
      <c r="F750" s="3"/>
      <c r="G750" s="3"/>
      <c r="H750" s="3"/>
      <c r="S750" s="3"/>
    </row>
    <row r="751">
      <c r="A751" s="3"/>
      <c r="C751" s="3"/>
      <c r="D751" s="3"/>
      <c r="E751" s="3"/>
      <c r="F751" s="3"/>
      <c r="G751" s="3"/>
      <c r="H751" s="3"/>
      <c r="S751" s="3"/>
    </row>
    <row r="752">
      <c r="A752" s="3"/>
      <c r="C752" s="3"/>
      <c r="D752" s="3"/>
      <c r="E752" s="3"/>
      <c r="F752" s="3"/>
      <c r="G752" s="3"/>
      <c r="H752" s="3"/>
      <c r="S752" s="3"/>
    </row>
    <row r="753">
      <c r="A753" s="3"/>
      <c r="C753" s="3"/>
      <c r="D753" s="3"/>
      <c r="E753" s="3"/>
      <c r="F753" s="3"/>
      <c r="G753" s="3"/>
      <c r="H753" s="3"/>
      <c r="S753" s="3"/>
    </row>
    <row r="754">
      <c r="A754" s="3"/>
      <c r="C754" s="3"/>
      <c r="D754" s="3"/>
      <c r="E754" s="3"/>
      <c r="F754" s="3"/>
      <c r="G754" s="3"/>
      <c r="H754" s="3"/>
      <c r="S754" s="3"/>
    </row>
    <row r="755">
      <c r="A755" s="3"/>
      <c r="C755" s="3"/>
      <c r="D755" s="3"/>
      <c r="E755" s="3"/>
      <c r="F755" s="3"/>
      <c r="G755" s="3"/>
      <c r="H755" s="3"/>
      <c r="S755" s="3"/>
    </row>
    <row r="756">
      <c r="A756" s="3"/>
      <c r="C756" s="3"/>
      <c r="D756" s="3"/>
      <c r="E756" s="3"/>
      <c r="F756" s="3"/>
      <c r="G756" s="3"/>
      <c r="H756" s="3"/>
      <c r="S756" s="3"/>
    </row>
    <row r="757">
      <c r="A757" s="3"/>
      <c r="C757" s="3"/>
      <c r="D757" s="3"/>
      <c r="E757" s="3"/>
      <c r="F757" s="3"/>
      <c r="G757" s="3"/>
      <c r="H757" s="3"/>
      <c r="S757" s="3"/>
    </row>
    <row r="758">
      <c r="A758" s="3"/>
      <c r="C758" s="3"/>
      <c r="D758" s="3"/>
      <c r="E758" s="3"/>
      <c r="F758" s="3"/>
      <c r="G758" s="3"/>
      <c r="H758" s="3"/>
      <c r="S758" s="3"/>
    </row>
    <row r="759">
      <c r="A759" s="3"/>
      <c r="C759" s="3"/>
      <c r="D759" s="3"/>
      <c r="E759" s="3"/>
      <c r="F759" s="3"/>
      <c r="G759" s="3"/>
      <c r="H759" s="3"/>
      <c r="S759" s="3"/>
    </row>
    <row r="760">
      <c r="A760" s="3"/>
      <c r="C760" s="3"/>
      <c r="D760" s="3"/>
      <c r="E760" s="3"/>
      <c r="F760" s="3"/>
      <c r="G760" s="3"/>
      <c r="H760" s="3"/>
      <c r="S760" s="3"/>
    </row>
    <row r="761">
      <c r="A761" s="3"/>
      <c r="C761" s="3"/>
      <c r="D761" s="3"/>
      <c r="E761" s="3"/>
      <c r="F761" s="3"/>
      <c r="G761" s="3"/>
      <c r="H761" s="3"/>
      <c r="S761" s="3"/>
    </row>
    <row r="762">
      <c r="A762" s="3"/>
      <c r="C762" s="3"/>
      <c r="D762" s="3"/>
      <c r="E762" s="3"/>
      <c r="F762" s="3"/>
      <c r="G762" s="3"/>
      <c r="H762" s="3"/>
      <c r="S762" s="3"/>
    </row>
    <row r="763">
      <c r="A763" s="3"/>
      <c r="C763" s="3"/>
      <c r="D763" s="3"/>
      <c r="E763" s="3"/>
      <c r="F763" s="3"/>
      <c r="G763" s="3"/>
      <c r="H763" s="3"/>
      <c r="S763" s="3"/>
    </row>
    <row r="764">
      <c r="A764" s="3"/>
      <c r="C764" s="3"/>
      <c r="D764" s="3"/>
      <c r="E764" s="3"/>
      <c r="F764" s="3"/>
      <c r="G764" s="3"/>
      <c r="H764" s="3"/>
      <c r="S764" s="3"/>
    </row>
    <row r="765">
      <c r="A765" s="3"/>
      <c r="C765" s="3"/>
      <c r="D765" s="3"/>
      <c r="E765" s="3"/>
      <c r="F765" s="3"/>
      <c r="G765" s="3"/>
      <c r="H765" s="3"/>
      <c r="S765" s="3"/>
    </row>
    <row r="766">
      <c r="A766" s="3"/>
      <c r="C766" s="3"/>
      <c r="D766" s="3"/>
      <c r="E766" s="3"/>
      <c r="F766" s="3"/>
      <c r="G766" s="3"/>
      <c r="H766" s="3"/>
      <c r="S766" s="3"/>
    </row>
    <row r="767">
      <c r="A767" s="3"/>
      <c r="C767" s="3"/>
      <c r="D767" s="3"/>
      <c r="E767" s="3"/>
      <c r="F767" s="3"/>
      <c r="G767" s="3"/>
      <c r="H767" s="3"/>
      <c r="S767" s="3"/>
    </row>
    <row r="768">
      <c r="A768" s="3"/>
      <c r="C768" s="3"/>
      <c r="D768" s="3"/>
      <c r="E768" s="3"/>
      <c r="F768" s="3"/>
      <c r="G768" s="3"/>
      <c r="H768" s="3"/>
      <c r="S768" s="3"/>
    </row>
    <row r="769">
      <c r="A769" s="3"/>
      <c r="C769" s="3"/>
      <c r="D769" s="3"/>
      <c r="E769" s="3"/>
      <c r="F769" s="3"/>
      <c r="G769" s="3"/>
      <c r="H769" s="3"/>
      <c r="S769" s="3"/>
    </row>
    <row r="770">
      <c r="A770" s="3"/>
      <c r="C770" s="3"/>
      <c r="D770" s="3"/>
      <c r="E770" s="3"/>
      <c r="F770" s="3"/>
      <c r="G770" s="3"/>
      <c r="H770" s="3"/>
      <c r="S770" s="3"/>
    </row>
    <row r="771">
      <c r="A771" s="3"/>
      <c r="C771" s="3"/>
      <c r="D771" s="3"/>
      <c r="E771" s="3"/>
      <c r="F771" s="3"/>
      <c r="G771" s="3"/>
      <c r="H771" s="3"/>
      <c r="S771" s="3"/>
    </row>
    <row r="772">
      <c r="A772" s="3"/>
      <c r="C772" s="3"/>
      <c r="D772" s="3"/>
      <c r="E772" s="3"/>
      <c r="F772" s="3"/>
      <c r="G772" s="3"/>
      <c r="H772" s="3"/>
      <c r="S772" s="3"/>
    </row>
    <row r="773">
      <c r="A773" s="3"/>
      <c r="C773" s="3"/>
      <c r="D773" s="3"/>
      <c r="E773" s="3"/>
      <c r="F773" s="3"/>
      <c r="G773" s="3"/>
      <c r="H773" s="3"/>
      <c r="S773" s="3"/>
    </row>
    <row r="774">
      <c r="A774" s="3"/>
      <c r="C774" s="3"/>
      <c r="D774" s="3"/>
      <c r="E774" s="3"/>
      <c r="F774" s="3"/>
      <c r="G774" s="3"/>
      <c r="H774" s="3"/>
      <c r="S774" s="3"/>
    </row>
    <row r="775">
      <c r="A775" s="3"/>
      <c r="C775" s="3"/>
      <c r="D775" s="3"/>
      <c r="E775" s="3"/>
      <c r="F775" s="3"/>
      <c r="G775" s="3"/>
      <c r="H775" s="3"/>
      <c r="S775" s="3"/>
    </row>
    <row r="776">
      <c r="A776" s="3"/>
      <c r="C776" s="3"/>
      <c r="D776" s="3"/>
      <c r="E776" s="3"/>
      <c r="F776" s="3"/>
      <c r="G776" s="3"/>
      <c r="H776" s="3"/>
      <c r="S776" s="3"/>
    </row>
    <row r="777">
      <c r="A777" s="3"/>
      <c r="C777" s="3"/>
      <c r="D777" s="3"/>
      <c r="E777" s="3"/>
      <c r="F777" s="3"/>
      <c r="G777" s="3"/>
      <c r="H777" s="3"/>
      <c r="S777" s="3"/>
    </row>
    <row r="778">
      <c r="A778" s="3"/>
      <c r="C778" s="3"/>
      <c r="D778" s="3"/>
      <c r="E778" s="3"/>
      <c r="F778" s="3"/>
      <c r="G778" s="3"/>
      <c r="H778" s="3"/>
      <c r="S778" s="3"/>
    </row>
    <row r="779">
      <c r="A779" s="3"/>
      <c r="C779" s="3"/>
      <c r="D779" s="3"/>
      <c r="E779" s="3"/>
      <c r="F779" s="3"/>
      <c r="G779" s="3"/>
      <c r="H779" s="3"/>
      <c r="S779" s="3"/>
    </row>
    <row r="780">
      <c r="A780" s="3"/>
      <c r="C780" s="3"/>
      <c r="D780" s="3"/>
      <c r="E780" s="3"/>
      <c r="F780" s="3"/>
      <c r="G780" s="3"/>
      <c r="H780" s="3"/>
      <c r="S780" s="3"/>
    </row>
    <row r="781">
      <c r="A781" s="3"/>
      <c r="C781" s="3"/>
      <c r="D781" s="3"/>
      <c r="E781" s="3"/>
      <c r="F781" s="3"/>
      <c r="G781" s="3"/>
      <c r="H781" s="3"/>
      <c r="S781" s="3"/>
    </row>
    <row r="782">
      <c r="A782" s="3"/>
      <c r="C782" s="3"/>
      <c r="D782" s="3"/>
      <c r="E782" s="3"/>
      <c r="F782" s="3"/>
      <c r="G782" s="3"/>
      <c r="H782" s="3"/>
      <c r="S782" s="3"/>
    </row>
    <row r="783">
      <c r="A783" s="3"/>
      <c r="C783" s="3"/>
      <c r="D783" s="3"/>
      <c r="E783" s="3"/>
      <c r="F783" s="3"/>
      <c r="G783" s="3"/>
      <c r="H783" s="3"/>
      <c r="S783" s="3"/>
    </row>
    <row r="784">
      <c r="A784" s="3"/>
      <c r="C784" s="3"/>
      <c r="D784" s="3"/>
      <c r="E784" s="3"/>
      <c r="F784" s="3"/>
      <c r="G784" s="3"/>
      <c r="H784" s="3"/>
      <c r="S784" s="3"/>
    </row>
    <row r="785">
      <c r="A785" s="3"/>
      <c r="C785" s="3"/>
      <c r="D785" s="3"/>
      <c r="E785" s="3"/>
      <c r="F785" s="3"/>
      <c r="G785" s="3"/>
      <c r="H785" s="3"/>
      <c r="S785" s="3"/>
    </row>
    <row r="786">
      <c r="A786" s="3"/>
      <c r="C786" s="3"/>
      <c r="D786" s="3"/>
      <c r="E786" s="3"/>
      <c r="F786" s="3"/>
      <c r="G786" s="3"/>
      <c r="H786" s="3"/>
      <c r="S786" s="3"/>
    </row>
    <row r="787">
      <c r="A787" s="3"/>
      <c r="C787" s="3"/>
      <c r="D787" s="3"/>
      <c r="E787" s="3"/>
      <c r="F787" s="3"/>
      <c r="G787" s="3"/>
      <c r="H787" s="3"/>
      <c r="S787" s="3"/>
    </row>
    <row r="788">
      <c r="A788" s="3"/>
      <c r="C788" s="3"/>
      <c r="D788" s="3"/>
      <c r="E788" s="3"/>
      <c r="F788" s="3"/>
      <c r="G788" s="3"/>
      <c r="H788" s="3"/>
      <c r="S788" s="3"/>
    </row>
    <row r="789">
      <c r="A789" s="3"/>
      <c r="C789" s="3"/>
      <c r="D789" s="3"/>
      <c r="E789" s="3"/>
      <c r="F789" s="3"/>
      <c r="G789" s="3"/>
      <c r="H789" s="3"/>
      <c r="S789" s="3"/>
    </row>
    <row r="790">
      <c r="A790" s="3"/>
      <c r="C790" s="3"/>
      <c r="D790" s="3"/>
      <c r="E790" s="3"/>
      <c r="F790" s="3"/>
      <c r="G790" s="3"/>
      <c r="H790" s="3"/>
      <c r="S790" s="3"/>
    </row>
    <row r="791">
      <c r="A791" s="3"/>
      <c r="C791" s="3"/>
      <c r="D791" s="3"/>
      <c r="E791" s="3"/>
      <c r="F791" s="3"/>
      <c r="G791" s="3"/>
      <c r="H791" s="3"/>
      <c r="S791" s="3"/>
    </row>
    <row r="792">
      <c r="A792" s="3"/>
      <c r="C792" s="3"/>
      <c r="D792" s="3"/>
      <c r="E792" s="3"/>
      <c r="F792" s="3"/>
      <c r="G792" s="3"/>
      <c r="H792" s="3"/>
      <c r="S792" s="3"/>
    </row>
    <row r="793">
      <c r="A793" s="3"/>
      <c r="C793" s="3"/>
      <c r="D793" s="3"/>
      <c r="E793" s="3"/>
      <c r="F793" s="3"/>
      <c r="G793" s="3"/>
      <c r="H793" s="3"/>
      <c r="S793" s="3"/>
    </row>
    <row r="794">
      <c r="A794" s="3"/>
      <c r="C794" s="3"/>
      <c r="D794" s="3"/>
      <c r="E794" s="3"/>
      <c r="F794" s="3"/>
      <c r="G794" s="3"/>
      <c r="H794" s="3"/>
      <c r="S794" s="3"/>
    </row>
    <row r="795">
      <c r="A795" s="3"/>
      <c r="C795" s="3"/>
      <c r="D795" s="3"/>
      <c r="E795" s="3"/>
      <c r="F795" s="3"/>
      <c r="G795" s="3"/>
      <c r="H795" s="3"/>
      <c r="S795" s="3"/>
    </row>
    <row r="796">
      <c r="A796" s="3"/>
      <c r="C796" s="3"/>
      <c r="D796" s="3"/>
      <c r="E796" s="3"/>
      <c r="F796" s="3"/>
      <c r="G796" s="3"/>
      <c r="H796" s="3"/>
      <c r="S796" s="3"/>
    </row>
    <row r="797">
      <c r="A797" s="3"/>
      <c r="C797" s="3"/>
      <c r="D797" s="3"/>
      <c r="E797" s="3"/>
      <c r="F797" s="3"/>
      <c r="G797" s="3"/>
      <c r="H797" s="3"/>
      <c r="S797" s="3"/>
    </row>
    <row r="798">
      <c r="A798" s="3"/>
      <c r="C798" s="3"/>
      <c r="D798" s="3"/>
      <c r="E798" s="3"/>
      <c r="F798" s="3"/>
      <c r="G798" s="3"/>
      <c r="H798" s="3"/>
      <c r="S798" s="3"/>
    </row>
    <row r="799">
      <c r="A799" s="3"/>
      <c r="C799" s="3"/>
      <c r="D799" s="3"/>
      <c r="E799" s="3"/>
      <c r="F799" s="3"/>
      <c r="G799" s="3"/>
      <c r="H799" s="3"/>
      <c r="S799" s="3"/>
    </row>
    <row r="800">
      <c r="A800" s="3"/>
      <c r="C800" s="3"/>
      <c r="D800" s="3"/>
      <c r="E800" s="3"/>
      <c r="F800" s="3"/>
      <c r="G800" s="3"/>
      <c r="H800" s="3"/>
      <c r="S800" s="3"/>
    </row>
    <row r="801">
      <c r="A801" s="3"/>
      <c r="C801" s="3"/>
      <c r="D801" s="3"/>
      <c r="E801" s="3"/>
      <c r="F801" s="3"/>
      <c r="G801" s="3"/>
      <c r="H801" s="3"/>
      <c r="S801" s="3"/>
    </row>
    <row r="802">
      <c r="A802" s="3"/>
      <c r="C802" s="3"/>
      <c r="D802" s="3"/>
      <c r="E802" s="3"/>
      <c r="F802" s="3"/>
      <c r="G802" s="3"/>
      <c r="H802" s="3"/>
      <c r="S802" s="3"/>
    </row>
    <row r="803">
      <c r="A803" s="3"/>
      <c r="C803" s="3"/>
      <c r="D803" s="3"/>
      <c r="E803" s="3"/>
      <c r="F803" s="3"/>
      <c r="G803" s="3"/>
      <c r="H803" s="3"/>
      <c r="S803" s="3"/>
    </row>
    <row r="804">
      <c r="A804" s="3"/>
      <c r="C804" s="3"/>
      <c r="D804" s="3"/>
      <c r="E804" s="3"/>
      <c r="F804" s="3"/>
      <c r="G804" s="3"/>
      <c r="H804" s="3"/>
      <c r="S804" s="3"/>
    </row>
    <row r="805">
      <c r="A805" s="3"/>
      <c r="C805" s="3"/>
      <c r="D805" s="3"/>
      <c r="E805" s="3"/>
      <c r="F805" s="3"/>
      <c r="G805" s="3"/>
      <c r="H805" s="3"/>
      <c r="S805" s="3"/>
    </row>
    <row r="806">
      <c r="A806" s="3"/>
      <c r="C806" s="3"/>
      <c r="D806" s="3"/>
      <c r="E806" s="3"/>
      <c r="F806" s="3"/>
      <c r="G806" s="3"/>
      <c r="H806" s="3"/>
      <c r="S806" s="3"/>
    </row>
    <row r="807">
      <c r="A807" s="3"/>
      <c r="C807" s="3"/>
      <c r="D807" s="3"/>
      <c r="E807" s="3"/>
      <c r="F807" s="3"/>
      <c r="G807" s="3"/>
      <c r="H807" s="3"/>
      <c r="S807" s="3"/>
    </row>
    <row r="808">
      <c r="A808" s="3"/>
      <c r="C808" s="3"/>
      <c r="D808" s="3"/>
      <c r="E808" s="3"/>
      <c r="F808" s="3"/>
      <c r="G808" s="3"/>
      <c r="H808" s="3"/>
      <c r="S808" s="3"/>
    </row>
    <row r="809">
      <c r="A809" s="3"/>
      <c r="C809" s="3"/>
      <c r="D809" s="3"/>
      <c r="E809" s="3"/>
      <c r="F809" s="3"/>
      <c r="G809" s="3"/>
      <c r="H809" s="3"/>
      <c r="S809" s="3"/>
    </row>
    <row r="810">
      <c r="A810" s="3"/>
      <c r="C810" s="3"/>
      <c r="D810" s="3"/>
      <c r="E810" s="3"/>
      <c r="F810" s="3"/>
      <c r="G810" s="3"/>
      <c r="H810" s="3"/>
      <c r="S810" s="3"/>
    </row>
    <row r="811">
      <c r="A811" s="3"/>
      <c r="C811" s="3"/>
      <c r="D811" s="3"/>
      <c r="E811" s="3"/>
      <c r="F811" s="3"/>
      <c r="G811" s="3"/>
      <c r="H811" s="3"/>
      <c r="S811" s="3"/>
    </row>
    <row r="812">
      <c r="A812" s="3"/>
      <c r="C812" s="3"/>
      <c r="D812" s="3"/>
      <c r="E812" s="3"/>
      <c r="F812" s="3"/>
      <c r="G812" s="3"/>
      <c r="H812" s="3"/>
      <c r="S812" s="3"/>
    </row>
    <row r="813">
      <c r="A813" s="3"/>
      <c r="C813" s="3"/>
      <c r="D813" s="3"/>
      <c r="E813" s="3"/>
      <c r="F813" s="3"/>
      <c r="G813" s="3"/>
      <c r="H813" s="3"/>
      <c r="S813" s="3"/>
    </row>
    <row r="814">
      <c r="A814" s="3"/>
      <c r="C814" s="3"/>
      <c r="D814" s="3"/>
      <c r="E814" s="3"/>
      <c r="F814" s="3"/>
      <c r="G814" s="3"/>
      <c r="H814" s="3"/>
      <c r="S814" s="3"/>
    </row>
    <row r="815">
      <c r="A815" s="3"/>
      <c r="C815" s="3"/>
      <c r="D815" s="3"/>
      <c r="E815" s="3"/>
      <c r="F815" s="3"/>
      <c r="G815" s="3"/>
      <c r="H815" s="3"/>
      <c r="S815" s="3"/>
    </row>
    <row r="816">
      <c r="A816" s="3"/>
      <c r="C816" s="3"/>
      <c r="D816" s="3"/>
      <c r="E816" s="3"/>
      <c r="F816" s="3"/>
      <c r="G816" s="3"/>
      <c r="H816" s="3"/>
      <c r="S816" s="3"/>
    </row>
    <row r="817">
      <c r="A817" s="3"/>
      <c r="C817" s="3"/>
      <c r="D817" s="3"/>
      <c r="E817" s="3"/>
      <c r="F817" s="3"/>
      <c r="G817" s="3"/>
      <c r="H817" s="3"/>
      <c r="S817" s="3"/>
    </row>
    <row r="818">
      <c r="A818" s="3"/>
      <c r="C818" s="3"/>
      <c r="D818" s="3"/>
      <c r="E818" s="3"/>
      <c r="F818" s="3"/>
      <c r="G818" s="3"/>
      <c r="H818" s="3"/>
      <c r="S818" s="3"/>
    </row>
    <row r="819">
      <c r="A819" s="3"/>
      <c r="C819" s="3"/>
      <c r="D819" s="3"/>
      <c r="E819" s="3"/>
      <c r="F819" s="3"/>
      <c r="G819" s="3"/>
      <c r="H819" s="3"/>
      <c r="S819" s="3"/>
    </row>
    <row r="820">
      <c r="A820" s="3"/>
      <c r="C820" s="3"/>
      <c r="D820" s="3"/>
      <c r="E820" s="3"/>
      <c r="F820" s="3"/>
      <c r="G820" s="3"/>
      <c r="H820" s="3"/>
      <c r="S820" s="3"/>
    </row>
    <row r="821">
      <c r="A821" s="3"/>
      <c r="C821" s="3"/>
      <c r="D821" s="3"/>
      <c r="E821" s="3"/>
      <c r="F821" s="3"/>
      <c r="G821" s="3"/>
      <c r="H821" s="3"/>
      <c r="S821" s="3"/>
    </row>
    <row r="822">
      <c r="A822" s="3"/>
      <c r="C822" s="3"/>
      <c r="D822" s="3"/>
      <c r="E822" s="3"/>
      <c r="F822" s="3"/>
      <c r="G822" s="3"/>
      <c r="H822" s="3"/>
      <c r="S822" s="3"/>
    </row>
    <row r="823">
      <c r="A823" s="3"/>
      <c r="C823" s="3"/>
      <c r="D823" s="3"/>
      <c r="E823" s="3"/>
      <c r="F823" s="3"/>
      <c r="G823" s="3"/>
      <c r="H823" s="3"/>
      <c r="S823" s="3"/>
    </row>
    <row r="824">
      <c r="A824" s="3"/>
      <c r="C824" s="3"/>
      <c r="D824" s="3"/>
      <c r="E824" s="3"/>
      <c r="F824" s="3"/>
      <c r="G824" s="3"/>
      <c r="H824" s="3"/>
      <c r="S824" s="3"/>
    </row>
    <row r="825">
      <c r="A825" s="3"/>
      <c r="C825" s="3"/>
      <c r="D825" s="3"/>
      <c r="E825" s="3"/>
      <c r="F825" s="3"/>
      <c r="G825" s="3"/>
      <c r="H825" s="3"/>
      <c r="S825" s="3"/>
    </row>
    <row r="826">
      <c r="A826" s="3"/>
      <c r="C826" s="3"/>
      <c r="D826" s="3"/>
      <c r="E826" s="3"/>
      <c r="F826" s="3"/>
      <c r="G826" s="3"/>
      <c r="H826" s="3"/>
      <c r="S826" s="3"/>
    </row>
    <row r="827">
      <c r="A827" s="3"/>
      <c r="C827" s="3"/>
      <c r="D827" s="3"/>
      <c r="E827" s="3"/>
      <c r="F827" s="3"/>
      <c r="G827" s="3"/>
      <c r="H827" s="3"/>
      <c r="S827" s="3"/>
    </row>
    <row r="828">
      <c r="A828" s="3"/>
      <c r="C828" s="3"/>
      <c r="D828" s="3"/>
      <c r="E828" s="3"/>
      <c r="F828" s="3"/>
      <c r="G828" s="3"/>
      <c r="H828" s="3"/>
      <c r="S828" s="3"/>
    </row>
    <row r="829">
      <c r="A829" s="3"/>
      <c r="C829" s="3"/>
      <c r="D829" s="3"/>
      <c r="E829" s="3"/>
      <c r="F829" s="3"/>
      <c r="G829" s="3"/>
      <c r="H829" s="3"/>
      <c r="S829" s="3"/>
    </row>
    <row r="830">
      <c r="A830" s="3"/>
      <c r="C830" s="3"/>
      <c r="D830" s="3"/>
      <c r="E830" s="3"/>
      <c r="F830" s="3"/>
      <c r="G830" s="3"/>
      <c r="H830" s="3"/>
      <c r="S830" s="3"/>
    </row>
    <row r="831">
      <c r="A831" s="3"/>
      <c r="C831" s="3"/>
      <c r="D831" s="3"/>
      <c r="E831" s="3"/>
      <c r="F831" s="3"/>
      <c r="G831" s="3"/>
      <c r="H831" s="3"/>
      <c r="S831" s="3"/>
    </row>
    <row r="832">
      <c r="A832" s="3"/>
      <c r="C832" s="3"/>
      <c r="D832" s="3"/>
      <c r="E832" s="3"/>
      <c r="F832" s="3"/>
      <c r="G832" s="3"/>
      <c r="H832" s="3"/>
      <c r="S832" s="3"/>
    </row>
    <row r="833">
      <c r="A833" s="3"/>
      <c r="C833" s="3"/>
      <c r="D833" s="3"/>
      <c r="E833" s="3"/>
      <c r="F833" s="3"/>
      <c r="G833" s="3"/>
      <c r="H833" s="3"/>
      <c r="S833" s="3"/>
    </row>
    <row r="834">
      <c r="A834" s="3"/>
      <c r="C834" s="3"/>
      <c r="D834" s="3"/>
      <c r="E834" s="3"/>
      <c r="F834" s="3"/>
      <c r="G834" s="3"/>
      <c r="H834" s="3"/>
      <c r="S834" s="3"/>
    </row>
    <row r="835">
      <c r="A835" s="3"/>
      <c r="C835" s="3"/>
      <c r="D835" s="3"/>
      <c r="E835" s="3"/>
      <c r="F835" s="3"/>
      <c r="G835" s="3"/>
      <c r="H835" s="3"/>
      <c r="S835" s="3"/>
    </row>
    <row r="836">
      <c r="A836" s="3"/>
      <c r="C836" s="3"/>
      <c r="D836" s="3"/>
      <c r="E836" s="3"/>
      <c r="F836" s="3"/>
      <c r="G836" s="3"/>
      <c r="H836" s="3"/>
      <c r="S836" s="3"/>
    </row>
    <row r="837">
      <c r="A837" s="3"/>
      <c r="C837" s="3"/>
      <c r="D837" s="3"/>
      <c r="E837" s="3"/>
      <c r="F837" s="3"/>
      <c r="G837" s="3"/>
      <c r="H837" s="3"/>
      <c r="S837" s="3"/>
    </row>
    <row r="838">
      <c r="A838" s="3"/>
      <c r="C838" s="3"/>
      <c r="D838" s="3"/>
      <c r="E838" s="3"/>
      <c r="F838" s="3"/>
      <c r="G838" s="3"/>
      <c r="H838" s="3"/>
      <c r="S838" s="3"/>
    </row>
    <row r="839">
      <c r="A839" s="3"/>
      <c r="C839" s="3"/>
      <c r="D839" s="3"/>
      <c r="E839" s="3"/>
      <c r="F839" s="3"/>
      <c r="G839" s="3"/>
      <c r="H839" s="3"/>
      <c r="S839" s="3"/>
    </row>
    <row r="840">
      <c r="A840" s="3"/>
      <c r="C840" s="3"/>
      <c r="D840" s="3"/>
      <c r="E840" s="3"/>
      <c r="F840" s="3"/>
      <c r="G840" s="3"/>
      <c r="H840" s="3"/>
      <c r="S840" s="3"/>
    </row>
    <row r="841">
      <c r="A841" s="3"/>
      <c r="C841" s="3"/>
      <c r="D841" s="3"/>
      <c r="E841" s="3"/>
      <c r="F841" s="3"/>
      <c r="G841" s="3"/>
      <c r="H841" s="3"/>
      <c r="S841" s="3"/>
    </row>
    <row r="842">
      <c r="A842" s="3"/>
      <c r="C842" s="3"/>
      <c r="D842" s="3"/>
      <c r="E842" s="3"/>
      <c r="F842" s="3"/>
      <c r="G842" s="3"/>
      <c r="H842" s="3"/>
      <c r="S842" s="3"/>
    </row>
    <row r="843">
      <c r="A843" s="3"/>
      <c r="C843" s="3"/>
      <c r="D843" s="3"/>
      <c r="E843" s="3"/>
      <c r="F843" s="3"/>
      <c r="G843" s="3"/>
      <c r="H843" s="3"/>
      <c r="S843" s="3"/>
    </row>
    <row r="844">
      <c r="A844" s="3"/>
      <c r="C844" s="3"/>
      <c r="D844" s="3"/>
      <c r="E844" s="3"/>
      <c r="F844" s="3"/>
      <c r="G844" s="3"/>
      <c r="H844" s="3"/>
      <c r="S844" s="3"/>
    </row>
    <row r="845">
      <c r="A845" s="3"/>
      <c r="C845" s="3"/>
      <c r="D845" s="3"/>
      <c r="E845" s="3"/>
      <c r="F845" s="3"/>
      <c r="G845" s="3"/>
      <c r="H845" s="3"/>
      <c r="S845" s="3"/>
    </row>
    <row r="846">
      <c r="A846" s="3"/>
      <c r="C846" s="3"/>
      <c r="D846" s="3"/>
      <c r="E846" s="3"/>
      <c r="F846" s="3"/>
      <c r="G846" s="3"/>
      <c r="H846" s="3"/>
      <c r="S846" s="3"/>
    </row>
    <row r="847">
      <c r="A847" s="3"/>
      <c r="C847" s="3"/>
      <c r="D847" s="3"/>
      <c r="E847" s="3"/>
      <c r="F847" s="3"/>
      <c r="G847" s="3"/>
      <c r="H847" s="3"/>
      <c r="S847" s="3"/>
    </row>
    <row r="848">
      <c r="A848" s="3"/>
      <c r="C848" s="3"/>
      <c r="D848" s="3"/>
      <c r="E848" s="3"/>
      <c r="F848" s="3"/>
      <c r="G848" s="3"/>
      <c r="H848" s="3"/>
      <c r="S848" s="3"/>
    </row>
    <row r="849">
      <c r="A849" s="3"/>
      <c r="C849" s="3"/>
      <c r="D849" s="3"/>
      <c r="E849" s="3"/>
      <c r="F849" s="3"/>
      <c r="G849" s="3"/>
      <c r="H849" s="3"/>
      <c r="S849" s="3"/>
    </row>
    <row r="850">
      <c r="A850" s="3"/>
      <c r="C850" s="3"/>
      <c r="D850" s="3"/>
      <c r="E850" s="3"/>
      <c r="F850" s="3"/>
      <c r="G850" s="3"/>
      <c r="H850" s="3"/>
      <c r="S850" s="3"/>
    </row>
    <row r="851">
      <c r="A851" s="3"/>
      <c r="C851" s="3"/>
      <c r="D851" s="3"/>
      <c r="E851" s="3"/>
      <c r="F851" s="3"/>
      <c r="G851" s="3"/>
      <c r="H851" s="3"/>
      <c r="S851" s="3"/>
    </row>
    <row r="852">
      <c r="A852" s="3"/>
      <c r="C852" s="3"/>
      <c r="D852" s="3"/>
      <c r="E852" s="3"/>
      <c r="F852" s="3"/>
      <c r="G852" s="3"/>
      <c r="H852" s="3"/>
      <c r="S852" s="3"/>
    </row>
    <row r="853">
      <c r="A853" s="3"/>
      <c r="C853" s="3"/>
      <c r="D853" s="3"/>
      <c r="E853" s="3"/>
      <c r="F853" s="3"/>
      <c r="G853" s="3"/>
      <c r="H853" s="3"/>
      <c r="S853" s="3"/>
    </row>
    <row r="854">
      <c r="A854" s="3"/>
      <c r="C854" s="3"/>
      <c r="D854" s="3"/>
      <c r="E854" s="3"/>
      <c r="F854" s="3"/>
      <c r="G854" s="3"/>
      <c r="H854" s="3"/>
      <c r="S854" s="3"/>
    </row>
    <row r="855">
      <c r="A855" s="3"/>
      <c r="C855" s="3"/>
      <c r="D855" s="3"/>
      <c r="E855" s="3"/>
      <c r="F855" s="3"/>
      <c r="G855" s="3"/>
      <c r="H855" s="3"/>
      <c r="S855" s="3"/>
    </row>
    <row r="856">
      <c r="A856" s="3"/>
      <c r="C856" s="3"/>
      <c r="D856" s="3"/>
      <c r="E856" s="3"/>
      <c r="F856" s="3"/>
      <c r="G856" s="3"/>
      <c r="H856" s="3"/>
      <c r="S856" s="3"/>
    </row>
    <row r="857">
      <c r="A857" s="3"/>
      <c r="C857" s="3"/>
      <c r="D857" s="3"/>
      <c r="E857" s="3"/>
      <c r="F857" s="3"/>
      <c r="G857" s="3"/>
      <c r="H857" s="3"/>
      <c r="S857" s="3"/>
    </row>
    <row r="858">
      <c r="A858" s="3"/>
      <c r="C858" s="3"/>
      <c r="D858" s="3"/>
      <c r="E858" s="3"/>
      <c r="F858" s="3"/>
      <c r="G858" s="3"/>
      <c r="H858" s="3"/>
      <c r="S858" s="3"/>
    </row>
    <row r="859">
      <c r="A859" s="3"/>
      <c r="C859" s="3"/>
      <c r="D859" s="3"/>
      <c r="E859" s="3"/>
      <c r="F859" s="3"/>
      <c r="G859" s="3"/>
      <c r="H859" s="3"/>
      <c r="S859" s="3"/>
    </row>
    <row r="860">
      <c r="A860" s="3"/>
      <c r="C860" s="3"/>
      <c r="D860" s="3"/>
      <c r="E860" s="3"/>
      <c r="F860" s="3"/>
      <c r="G860" s="3"/>
      <c r="H860" s="3"/>
      <c r="S860" s="3"/>
    </row>
    <row r="861">
      <c r="A861" s="3"/>
      <c r="C861" s="3"/>
      <c r="D861" s="3"/>
      <c r="E861" s="3"/>
      <c r="F861" s="3"/>
      <c r="G861" s="3"/>
      <c r="H861" s="3"/>
      <c r="S861" s="3"/>
    </row>
    <row r="862">
      <c r="A862" s="3"/>
      <c r="C862" s="3"/>
      <c r="D862" s="3"/>
      <c r="E862" s="3"/>
      <c r="F862" s="3"/>
      <c r="G862" s="3"/>
      <c r="H862" s="3"/>
      <c r="S862" s="3"/>
    </row>
    <row r="863">
      <c r="A863" s="3"/>
      <c r="C863" s="3"/>
      <c r="D863" s="3"/>
      <c r="E863" s="3"/>
      <c r="F863" s="3"/>
      <c r="G863" s="3"/>
      <c r="H863" s="3"/>
      <c r="S863" s="3"/>
    </row>
    <row r="864">
      <c r="A864" s="3"/>
      <c r="C864" s="3"/>
      <c r="D864" s="3"/>
      <c r="E864" s="3"/>
      <c r="F864" s="3"/>
      <c r="G864" s="3"/>
      <c r="H864" s="3"/>
      <c r="S864" s="3"/>
    </row>
    <row r="865">
      <c r="A865" s="3"/>
      <c r="C865" s="3"/>
      <c r="D865" s="3"/>
      <c r="E865" s="3"/>
      <c r="F865" s="3"/>
      <c r="G865" s="3"/>
      <c r="H865" s="3"/>
      <c r="S865" s="3"/>
    </row>
    <row r="866">
      <c r="A866" s="3"/>
      <c r="C866" s="3"/>
      <c r="D866" s="3"/>
      <c r="E866" s="3"/>
      <c r="F866" s="3"/>
      <c r="G866" s="3"/>
      <c r="H866" s="3"/>
      <c r="S866" s="3"/>
    </row>
    <row r="867">
      <c r="A867" s="3"/>
      <c r="C867" s="3"/>
      <c r="D867" s="3"/>
      <c r="E867" s="3"/>
      <c r="F867" s="3"/>
      <c r="G867" s="3"/>
      <c r="H867" s="3"/>
      <c r="S867" s="3"/>
    </row>
    <row r="868">
      <c r="A868" s="3"/>
      <c r="C868" s="3"/>
      <c r="D868" s="3"/>
      <c r="E868" s="3"/>
      <c r="F868" s="3"/>
      <c r="G868" s="3"/>
      <c r="H868" s="3"/>
      <c r="S868" s="3"/>
    </row>
    <row r="869">
      <c r="A869" s="3"/>
      <c r="C869" s="3"/>
      <c r="D869" s="3"/>
      <c r="E869" s="3"/>
      <c r="F869" s="3"/>
      <c r="G869" s="3"/>
      <c r="H869" s="3"/>
      <c r="S869" s="3"/>
    </row>
    <row r="870">
      <c r="A870" s="3"/>
      <c r="C870" s="3"/>
      <c r="D870" s="3"/>
      <c r="E870" s="3"/>
      <c r="F870" s="3"/>
      <c r="G870" s="3"/>
      <c r="H870" s="3"/>
      <c r="S870" s="3"/>
    </row>
    <row r="871">
      <c r="A871" s="3"/>
      <c r="C871" s="3"/>
      <c r="D871" s="3"/>
      <c r="E871" s="3"/>
      <c r="F871" s="3"/>
      <c r="G871" s="3"/>
      <c r="H871" s="3"/>
      <c r="S871" s="3"/>
    </row>
    <row r="872">
      <c r="A872" s="3"/>
      <c r="C872" s="3"/>
      <c r="D872" s="3"/>
      <c r="E872" s="3"/>
      <c r="F872" s="3"/>
      <c r="G872" s="3"/>
      <c r="H872" s="3"/>
      <c r="S872" s="3"/>
    </row>
    <row r="873">
      <c r="A873" s="3"/>
      <c r="C873" s="3"/>
      <c r="D873" s="3"/>
      <c r="E873" s="3"/>
      <c r="F873" s="3"/>
      <c r="G873" s="3"/>
      <c r="H873" s="3"/>
      <c r="S873" s="3"/>
    </row>
    <row r="874">
      <c r="A874" s="3"/>
      <c r="C874" s="3"/>
      <c r="D874" s="3"/>
      <c r="E874" s="3"/>
      <c r="F874" s="3"/>
      <c r="G874" s="3"/>
      <c r="H874" s="3"/>
      <c r="S874" s="3"/>
    </row>
    <row r="875">
      <c r="A875" s="3"/>
      <c r="C875" s="3"/>
      <c r="D875" s="3"/>
      <c r="E875" s="3"/>
      <c r="F875" s="3"/>
      <c r="G875" s="3"/>
      <c r="H875" s="3"/>
      <c r="S875" s="3"/>
    </row>
    <row r="876">
      <c r="A876" s="3"/>
      <c r="C876" s="3"/>
      <c r="D876" s="3"/>
      <c r="E876" s="3"/>
      <c r="F876" s="3"/>
      <c r="G876" s="3"/>
      <c r="H876" s="3"/>
      <c r="S876" s="3"/>
    </row>
    <row r="877">
      <c r="A877" s="3"/>
      <c r="C877" s="3"/>
      <c r="D877" s="3"/>
      <c r="E877" s="3"/>
      <c r="F877" s="3"/>
      <c r="G877" s="3"/>
      <c r="H877" s="3"/>
      <c r="S877" s="3"/>
    </row>
    <row r="878">
      <c r="A878" s="3"/>
      <c r="C878" s="3"/>
      <c r="D878" s="3"/>
      <c r="E878" s="3"/>
      <c r="F878" s="3"/>
      <c r="G878" s="3"/>
      <c r="H878" s="3"/>
      <c r="S878" s="3"/>
    </row>
    <row r="879">
      <c r="A879" s="3"/>
      <c r="C879" s="3"/>
      <c r="D879" s="3"/>
      <c r="E879" s="3"/>
      <c r="F879" s="3"/>
      <c r="G879" s="3"/>
      <c r="H879" s="3"/>
      <c r="S879" s="3"/>
    </row>
    <row r="880">
      <c r="A880" s="3"/>
      <c r="C880" s="3"/>
      <c r="D880" s="3"/>
      <c r="E880" s="3"/>
      <c r="F880" s="3"/>
      <c r="G880" s="3"/>
      <c r="H880" s="3"/>
      <c r="S880" s="3"/>
    </row>
    <row r="881">
      <c r="A881" s="3"/>
      <c r="C881" s="3"/>
      <c r="D881" s="3"/>
      <c r="E881" s="3"/>
      <c r="F881" s="3"/>
      <c r="G881" s="3"/>
      <c r="H881" s="3"/>
      <c r="S881" s="3"/>
    </row>
    <row r="882">
      <c r="A882" s="3"/>
      <c r="C882" s="3"/>
      <c r="D882" s="3"/>
      <c r="E882" s="3"/>
      <c r="F882" s="3"/>
      <c r="G882" s="3"/>
      <c r="H882" s="3"/>
      <c r="S882" s="3"/>
    </row>
    <row r="883">
      <c r="A883" s="3"/>
      <c r="C883" s="3"/>
      <c r="D883" s="3"/>
      <c r="E883" s="3"/>
      <c r="F883" s="3"/>
      <c r="G883" s="3"/>
      <c r="H883" s="3"/>
      <c r="S883" s="3"/>
    </row>
    <row r="884">
      <c r="A884" s="3"/>
      <c r="C884" s="3"/>
      <c r="D884" s="3"/>
      <c r="E884" s="3"/>
      <c r="F884" s="3"/>
      <c r="G884" s="3"/>
      <c r="H884" s="3"/>
      <c r="S884" s="3"/>
    </row>
    <row r="885">
      <c r="A885" s="3"/>
      <c r="C885" s="3"/>
      <c r="D885" s="3"/>
      <c r="E885" s="3"/>
      <c r="F885" s="3"/>
      <c r="G885" s="3"/>
      <c r="H885" s="3"/>
      <c r="S885" s="3"/>
    </row>
    <row r="886">
      <c r="A886" s="3"/>
      <c r="C886" s="3"/>
      <c r="D886" s="3"/>
      <c r="E886" s="3"/>
      <c r="F886" s="3"/>
      <c r="G886" s="3"/>
      <c r="H886" s="3"/>
      <c r="S886" s="3"/>
    </row>
    <row r="887">
      <c r="A887" s="3"/>
      <c r="C887" s="3"/>
      <c r="D887" s="3"/>
      <c r="E887" s="3"/>
      <c r="F887" s="3"/>
      <c r="G887" s="3"/>
      <c r="H887" s="3"/>
      <c r="S887" s="3"/>
    </row>
    <row r="888">
      <c r="A888" s="3"/>
      <c r="C888" s="3"/>
      <c r="D888" s="3"/>
      <c r="E888" s="3"/>
      <c r="F888" s="3"/>
      <c r="G888" s="3"/>
      <c r="H888" s="3"/>
      <c r="S888" s="3"/>
    </row>
    <row r="889">
      <c r="A889" s="3"/>
      <c r="C889" s="3"/>
      <c r="D889" s="3"/>
      <c r="E889" s="3"/>
      <c r="F889" s="3"/>
      <c r="G889" s="3"/>
      <c r="H889" s="3"/>
      <c r="S889" s="3"/>
    </row>
    <row r="890">
      <c r="A890" s="3"/>
      <c r="C890" s="3"/>
      <c r="D890" s="3"/>
      <c r="E890" s="3"/>
      <c r="F890" s="3"/>
      <c r="G890" s="3"/>
      <c r="H890" s="3"/>
      <c r="S890" s="3"/>
    </row>
    <row r="891">
      <c r="A891" s="3"/>
      <c r="C891" s="3"/>
      <c r="D891" s="3"/>
      <c r="E891" s="3"/>
      <c r="F891" s="3"/>
      <c r="G891" s="3"/>
      <c r="H891" s="3"/>
      <c r="S891" s="3"/>
    </row>
    <row r="892">
      <c r="A892" s="3"/>
      <c r="C892" s="3"/>
      <c r="D892" s="3"/>
      <c r="E892" s="3"/>
      <c r="F892" s="3"/>
      <c r="G892" s="3"/>
      <c r="H892" s="3"/>
      <c r="S892" s="3"/>
    </row>
    <row r="893">
      <c r="A893" s="3"/>
      <c r="C893" s="3"/>
      <c r="D893" s="3"/>
      <c r="E893" s="3"/>
      <c r="F893" s="3"/>
      <c r="G893" s="3"/>
      <c r="H893" s="3"/>
      <c r="S893" s="3"/>
    </row>
    <row r="894">
      <c r="A894" s="3"/>
      <c r="C894" s="3"/>
      <c r="D894" s="3"/>
      <c r="E894" s="3"/>
      <c r="F894" s="3"/>
      <c r="G894" s="3"/>
      <c r="H894" s="3"/>
      <c r="S894" s="3"/>
    </row>
    <row r="895">
      <c r="A895" s="3"/>
      <c r="C895" s="3"/>
      <c r="D895" s="3"/>
      <c r="E895" s="3"/>
      <c r="F895" s="3"/>
      <c r="G895" s="3"/>
      <c r="H895" s="3"/>
      <c r="S895" s="3"/>
    </row>
    <row r="896">
      <c r="A896" s="3"/>
      <c r="C896" s="3"/>
      <c r="D896" s="3"/>
      <c r="E896" s="3"/>
      <c r="F896" s="3"/>
      <c r="G896" s="3"/>
      <c r="H896" s="3"/>
      <c r="S896" s="3"/>
    </row>
    <row r="897">
      <c r="A897" s="3"/>
      <c r="C897" s="3"/>
      <c r="D897" s="3"/>
      <c r="E897" s="3"/>
      <c r="F897" s="3"/>
      <c r="G897" s="3"/>
      <c r="H897" s="3"/>
      <c r="S897" s="3"/>
    </row>
    <row r="898">
      <c r="A898" s="3"/>
      <c r="C898" s="3"/>
      <c r="D898" s="3"/>
      <c r="E898" s="3"/>
      <c r="F898" s="3"/>
      <c r="G898" s="3"/>
      <c r="H898" s="3"/>
      <c r="S898" s="3"/>
    </row>
    <row r="899">
      <c r="A899" s="3"/>
      <c r="C899" s="3"/>
      <c r="D899" s="3"/>
      <c r="E899" s="3"/>
      <c r="F899" s="3"/>
      <c r="G899" s="3"/>
      <c r="H899" s="3"/>
      <c r="S899" s="3"/>
    </row>
    <row r="900">
      <c r="A900" s="3"/>
      <c r="C900" s="3"/>
      <c r="D900" s="3"/>
      <c r="E900" s="3"/>
      <c r="F900" s="3"/>
      <c r="G900" s="3"/>
      <c r="H900" s="3"/>
      <c r="S900" s="3"/>
    </row>
    <row r="901">
      <c r="A901" s="3"/>
      <c r="C901" s="3"/>
      <c r="D901" s="3"/>
      <c r="E901" s="3"/>
      <c r="F901" s="3"/>
      <c r="G901" s="3"/>
      <c r="H901" s="3"/>
      <c r="S901" s="3"/>
    </row>
    <row r="902">
      <c r="A902" s="3"/>
      <c r="C902" s="3"/>
      <c r="D902" s="3"/>
      <c r="E902" s="3"/>
      <c r="F902" s="3"/>
      <c r="G902" s="3"/>
      <c r="H902" s="3"/>
      <c r="S902" s="3"/>
    </row>
    <row r="903">
      <c r="A903" s="3"/>
      <c r="C903" s="3"/>
      <c r="D903" s="3"/>
      <c r="E903" s="3"/>
      <c r="F903" s="3"/>
      <c r="G903" s="3"/>
      <c r="H903" s="3"/>
      <c r="S903" s="3"/>
    </row>
    <row r="904">
      <c r="A904" s="3"/>
      <c r="C904" s="3"/>
      <c r="D904" s="3"/>
      <c r="E904" s="3"/>
      <c r="F904" s="3"/>
      <c r="G904" s="3"/>
      <c r="H904" s="3"/>
      <c r="S904" s="3"/>
    </row>
    <row r="905">
      <c r="A905" s="3"/>
      <c r="C905" s="3"/>
      <c r="D905" s="3"/>
      <c r="E905" s="3"/>
      <c r="F905" s="3"/>
      <c r="G905" s="3"/>
      <c r="H905" s="3"/>
      <c r="S905" s="3"/>
    </row>
    <row r="906">
      <c r="A906" s="3"/>
      <c r="C906" s="3"/>
      <c r="D906" s="3"/>
      <c r="E906" s="3"/>
      <c r="F906" s="3"/>
      <c r="G906" s="3"/>
      <c r="H906" s="3"/>
      <c r="S906" s="3"/>
    </row>
    <row r="907">
      <c r="A907" s="3"/>
      <c r="C907" s="3"/>
      <c r="D907" s="3"/>
      <c r="E907" s="3"/>
      <c r="F907" s="3"/>
      <c r="G907" s="3"/>
      <c r="H907" s="3"/>
      <c r="S907" s="3"/>
    </row>
    <row r="908">
      <c r="A908" s="3"/>
      <c r="C908" s="3"/>
      <c r="D908" s="3"/>
      <c r="E908" s="3"/>
      <c r="F908" s="3"/>
      <c r="G908" s="3"/>
      <c r="H908" s="3"/>
      <c r="S908" s="3"/>
    </row>
    <row r="909">
      <c r="A909" s="3"/>
      <c r="C909" s="3"/>
      <c r="D909" s="3"/>
      <c r="E909" s="3"/>
      <c r="F909" s="3"/>
      <c r="G909" s="3"/>
      <c r="H909" s="3"/>
      <c r="S909" s="3"/>
    </row>
    <row r="910">
      <c r="A910" s="3"/>
      <c r="C910" s="3"/>
      <c r="D910" s="3"/>
      <c r="E910" s="3"/>
      <c r="F910" s="3"/>
      <c r="G910" s="3"/>
      <c r="H910" s="3"/>
      <c r="S910" s="3"/>
    </row>
    <row r="911">
      <c r="A911" s="3"/>
      <c r="C911" s="3"/>
      <c r="D911" s="3"/>
      <c r="E911" s="3"/>
      <c r="F911" s="3"/>
      <c r="G911" s="3"/>
      <c r="H911" s="3"/>
      <c r="S911" s="3"/>
    </row>
    <row r="912">
      <c r="A912" s="3"/>
      <c r="C912" s="3"/>
      <c r="D912" s="3"/>
      <c r="E912" s="3"/>
      <c r="F912" s="3"/>
      <c r="G912" s="3"/>
      <c r="H912" s="3"/>
      <c r="S912" s="3"/>
    </row>
    <row r="913">
      <c r="A913" s="3"/>
      <c r="C913" s="3"/>
      <c r="D913" s="3"/>
      <c r="E913" s="3"/>
      <c r="F913" s="3"/>
      <c r="G913" s="3"/>
      <c r="H913" s="3"/>
      <c r="S913" s="3"/>
    </row>
    <row r="914">
      <c r="A914" s="3"/>
      <c r="C914" s="3"/>
      <c r="D914" s="3"/>
      <c r="E914" s="3"/>
      <c r="F914" s="3"/>
      <c r="G914" s="3"/>
      <c r="H914" s="3"/>
      <c r="S914" s="3"/>
    </row>
    <row r="915">
      <c r="A915" s="3"/>
      <c r="C915" s="3"/>
      <c r="D915" s="3"/>
      <c r="E915" s="3"/>
      <c r="F915" s="3"/>
      <c r="G915" s="3"/>
      <c r="H915" s="3"/>
      <c r="S915" s="3"/>
    </row>
    <row r="916">
      <c r="A916" s="3"/>
      <c r="C916" s="3"/>
      <c r="D916" s="3"/>
      <c r="E916" s="3"/>
      <c r="F916" s="3"/>
      <c r="G916" s="3"/>
      <c r="H916" s="3"/>
      <c r="S916" s="3"/>
    </row>
    <row r="917">
      <c r="A917" s="3"/>
      <c r="C917" s="3"/>
      <c r="D917" s="3"/>
      <c r="E917" s="3"/>
      <c r="F917" s="3"/>
      <c r="G917" s="3"/>
      <c r="H917" s="3"/>
      <c r="S917" s="3"/>
    </row>
    <row r="918">
      <c r="A918" s="3"/>
      <c r="C918" s="3"/>
      <c r="D918" s="3"/>
      <c r="E918" s="3"/>
      <c r="F918" s="3"/>
      <c r="G918" s="3"/>
      <c r="H918" s="3"/>
      <c r="S918" s="3"/>
    </row>
    <row r="919">
      <c r="A919" s="3"/>
      <c r="C919" s="3"/>
      <c r="D919" s="3"/>
      <c r="E919" s="3"/>
      <c r="F919" s="3"/>
      <c r="G919" s="3"/>
      <c r="H919" s="3"/>
      <c r="S919" s="3"/>
    </row>
    <row r="920">
      <c r="A920" s="3"/>
      <c r="C920" s="3"/>
      <c r="D920" s="3"/>
      <c r="E920" s="3"/>
      <c r="F920" s="3"/>
      <c r="G920" s="3"/>
      <c r="H920" s="3"/>
      <c r="S920" s="3"/>
    </row>
    <row r="921">
      <c r="A921" s="3"/>
      <c r="C921" s="3"/>
      <c r="D921" s="3"/>
      <c r="E921" s="3"/>
      <c r="F921" s="3"/>
      <c r="G921" s="3"/>
      <c r="H921" s="3"/>
      <c r="S921" s="3"/>
    </row>
    <row r="922">
      <c r="A922" s="3"/>
      <c r="C922" s="3"/>
      <c r="D922" s="3"/>
      <c r="E922" s="3"/>
      <c r="F922" s="3"/>
      <c r="G922" s="3"/>
      <c r="H922" s="3"/>
      <c r="S922" s="3"/>
    </row>
    <row r="923">
      <c r="A923" s="3"/>
      <c r="C923" s="3"/>
      <c r="D923" s="3"/>
      <c r="E923" s="3"/>
      <c r="F923" s="3"/>
      <c r="G923" s="3"/>
      <c r="H923" s="3"/>
      <c r="S923" s="3"/>
    </row>
    <row r="924">
      <c r="A924" s="3"/>
      <c r="C924" s="3"/>
      <c r="D924" s="3"/>
      <c r="E924" s="3"/>
      <c r="F924" s="3"/>
      <c r="G924" s="3"/>
      <c r="H924" s="3"/>
      <c r="S924" s="3"/>
    </row>
    <row r="925">
      <c r="A925" s="3"/>
      <c r="C925" s="3"/>
      <c r="D925" s="3"/>
      <c r="E925" s="3"/>
      <c r="F925" s="3"/>
      <c r="G925" s="3"/>
      <c r="H925" s="3"/>
      <c r="S925" s="3"/>
    </row>
    <row r="926">
      <c r="A926" s="3"/>
      <c r="C926" s="3"/>
      <c r="D926" s="3"/>
      <c r="E926" s="3"/>
      <c r="F926" s="3"/>
      <c r="G926" s="3"/>
      <c r="H926" s="3"/>
      <c r="S926" s="3"/>
    </row>
    <row r="927">
      <c r="A927" s="3"/>
      <c r="C927" s="3"/>
      <c r="D927" s="3"/>
      <c r="E927" s="3"/>
      <c r="F927" s="3"/>
      <c r="G927" s="3"/>
      <c r="H927" s="3"/>
      <c r="S927" s="3"/>
    </row>
    <row r="928">
      <c r="A928" s="3"/>
      <c r="C928" s="3"/>
      <c r="D928" s="3"/>
      <c r="E928" s="3"/>
      <c r="F928" s="3"/>
      <c r="G928" s="3"/>
      <c r="H928" s="3"/>
      <c r="S928" s="3"/>
    </row>
    <row r="929">
      <c r="A929" s="3"/>
      <c r="C929" s="3"/>
      <c r="D929" s="3"/>
      <c r="E929" s="3"/>
      <c r="F929" s="3"/>
      <c r="G929" s="3"/>
      <c r="H929" s="3"/>
      <c r="S929" s="3"/>
    </row>
    <row r="930">
      <c r="A930" s="3"/>
      <c r="C930" s="3"/>
      <c r="D930" s="3"/>
      <c r="E930" s="3"/>
      <c r="F930" s="3"/>
      <c r="G930" s="3"/>
      <c r="H930" s="3"/>
      <c r="S930" s="3"/>
    </row>
    <row r="931">
      <c r="A931" s="3"/>
      <c r="C931" s="3"/>
      <c r="D931" s="3"/>
      <c r="E931" s="3"/>
      <c r="F931" s="3"/>
      <c r="G931" s="3"/>
      <c r="H931" s="3"/>
      <c r="S931" s="3"/>
    </row>
    <row r="932">
      <c r="A932" s="3"/>
      <c r="C932" s="3"/>
      <c r="D932" s="3"/>
      <c r="E932" s="3"/>
      <c r="F932" s="3"/>
      <c r="G932" s="3"/>
      <c r="H932" s="3"/>
      <c r="S932" s="3"/>
    </row>
    <row r="933">
      <c r="A933" s="3"/>
      <c r="C933" s="3"/>
      <c r="D933" s="3"/>
      <c r="E933" s="3"/>
      <c r="F933" s="3"/>
      <c r="G933" s="3"/>
      <c r="H933" s="3"/>
      <c r="S933" s="3"/>
    </row>
    <row r="934">
      <c r="A934" s="3"/>
      <c r="C934" s="3"/>
      <c r="D934" s="3"/>
      <c r="E934" s="3"/>
      <c r="F934" s="3"/>
      <c r="G934" s="3"/>
      <c r="H934" s="3"/>
      <c r="S934" s="3"/>
    </row>
    <row r="935">
      <c r="A935" s="3"/>
      <c r="C935" s="3"/>
      <c r="D935" s="3"/>
      <c r="E935" s="3"/>
      <c r="F935" s="3"/>
      <c r="G935" s="3"/>
      <c r="H935" s="3"/>
      <c r="S935" s="3"/>
    </row>
    <row r="936">
      <c r="A936" s="3"/>
      <c r="C936" s="3"/>
      <c r="D936" s="3"/>
      <c r="E936" s="3"/>
      <c r="F936" s="3"/>
      <c r="G936" s="3"/>
      <c r="H936" s="3"/>
      <c r="S936" s="3"/>
    </row>
    <row r="937">
      <c r="A937" s="3"/>
      <c r="C937" s="3"/>
      <c r="D937" s="3"/>
      <c r="E937" s="3"/>
      <c r="F937" s="3"/>
      <c r="G937" s="3"/>
      <c r="H937" s="3"/>
      <c r="S937" s="3"/>
    </row>
    <row r="938">
      <c r="A938" s="3"/>
      <c r="C938" s="3"/>
      <c r="D938" s="3"/>
      <c r="E938" s="3"/>
      <c r="F938" s="3"/>
      <c r="G938" s="3"/>
      <c r="H938" s="3"/>
      <c r="S938" s="3"/>
    </row>
    <row r="939">
      <c r="A939" s="3"/>
      <c r="C939" s="3"/>
      <c r="D939" s="3"/>
      <c r="E939" s="3"/>
      <c r="F939" s="3"/>
      <c r="G939" s="3"/>
      <c r="H939" s="3"/>
      <c r="S939" s="3"/>
    </row>
    <row r="940">
      <c r="A940" s="3"/>
      <c r="C940" s="3"/>
      <c r="D940" s="3"/>
      <c r="E940" s="3"/>
      <c r="F940" s="3"/>
      <c r="G940" s="3"/>
      <c r="H940" s="3"/>
      <c r="S940" s="3"/>
    </row>
    <row r="941">
      <c r="A941" s="3"/>
      <c r="C941" s="3"/>
      <c r="D941" s="3"/>
      <c r="E941" s="3"/>
      <c r="F941" s="3"/>
      <c r="G941" s="3"/>
      <c r="H941" s="3"/>
      <c r="S941" s="3"/>
    </row>
    <row r="942">
      <c r="A942" s="3"/>
      <c r="C942" s="3"/>
      <c r="D942" s="3"/>
      <c r="E942" s="3"/>
      <c r="F942" s="3"/>
      <c r="G942" s="3"/>
      <c r="H942" s="3"/>
      <c r="S942" s="3"/>
    </row>
    <row r="943">
      <c r="A943" s="3"/>
      <c r="C943" s="3"/>
      <c r="D943" s="3"/>
      <c r="E943" s="3"/>
      <c r="F943" s="3"/>
      <c r="G943" s="3"/>
      <c r="H943" s="3"/>
      <c r="S943" s="3"/>
    </row>
    <row r="944">
      <c r="A944" s="3"/>
      <c r="C944" s="3"/>
      <c r="D944" s="3"/>
      <c r="E944" s="3"/>
      <c r="F944" s="3"/>
      <c r="G944" s="3"/>
      <c r="H944" s="3"/>
      <c r="S944" s="3"/>
    </row>
    <row r="945">
      <c r="A945" s="3"/>
      <c r="C945" s="3"/>
      <c r="D945" s="3"/>
      <c r="E945" s="3"/>
      <c r="F945" s="3"/>
      <c r="G945" s="3"/>
      <c r="H945" s="3"/>
      <c r="S945" s="3"/>
    </row>
    <row r="946">
      <c r="A946" s="3"/>
      <c r="C946" s="3"/>
      <c r="D946" s="3"/>
      <c r="E946" s="3"/>
      <c r="F946" s="3"/>
      <c r="G946" s="3"/>
      <c r="H946" s="3"/>
      <c r="S946" s="3"/>
    </row>
    <row r="947">
      <c r="A947" s="3"/>
      <c r="C947" s="3"/>
      <c r="D947" s="3"/>
      <c r="E947" s="3"/>
      <c r="F947" s="3"/>
      <c r="G947" s="3"/>
      <c r="H947" s="3"/>
      <c r="S947" s="3"/>
    </row>
    <row r="948">
      <c r="A948" s="3"/>
      <c r="C948" s="3"/>
      <c r="D948" s="3"/>
      <c r="E948" s="3"/>
      <c r="F948" s="3"/>
      <c r="G948" s="3"/>
      <c r="H948" s="3"/>
      <c r="S948" s="3"/>
    </row>
    <row r="949">
      <c r="A949" s="3"/>
      <c r="C949" s="3"/>
      <c r="D949" s="3"/>
      <c r="E949" s="3"/>
      <c r="F949" s="3"/>
      <c r="G949" s="3"/>
      <c r="H949" s="3"/>
      <c r="S949" s="3"/>
    </row>
    <row r="950">
      <c r="A950" s="3"/>
      <c r="C950" s="3"/>
      <c r="D950" s="3"/>
      <c r="E950" s="3"/>
      <c r="F950" s="3"/>
      <c r="G950" s="3"/>
      <c r="H950" s="3"/>
      <c r="S950" s="3"/>
    </row>
    <row r="951">
      <c r="A951" s="3"/>
      <c r="C951" s="3"/>
      <c r="D951" s="3"/>
      <c r="E951" s="3"/>
      <c r="F951" s="3"/>
      <c r="G951" s="3"/>
      <c r="H951" s="3"/>
      <c r="S951" s="3"/>
    </row>
    <row r="952">
      <c r="A952" s="3"/>
      <c r="C952" s="3"/>
      <c r="D952" s="3"/>
      <c r="E952" s="3"/>
      <c r="F952" s="3"/>
      <c r="G952" s="3"/>
      <c r="H952" s="3"/>
      <c r="S952" s="3"/>
    </row>
    <row r="953">
      <c r="A953" s="3"/>
      <c r="C953" s="3"/>
      <c r="D953" s="3"/>
      <c r="E953" s="3"/>
      <c r="F953" s="3"/>
      <c r="G953" s="3"/>
      <c r="H953" s="3"/>
      <c r="S953" s="3"/>
    </row>
    <row r="954">
      <c r="A954" s="3"/>
      <c r="C954" s="3"/>
      <c r="D954" s="3"/>
      <c r="E954" s="3"/>
      <c r="F954" s="3"/>
      <c r="G954" s="3"/>
      <c r="H954" s="3"/>
      <c r="S954" s="3"/>
    </row>
    <row r="955">
      <c r="A955" s="3"/>
      <c r="C955" s="3"/>
      <c r="D955" s="3"/>
      <c r="E955" s="3"/>
      <c r="F955" s="3"/>
      <c r="G955" s="3"/>
      <c r="H955" s="3"/>
      <c r="S955" s="3"/>
    </row>
    <row r="956">
      <c r="A956" s="3"/>
      <c r="C956" s="3"/>
      <c r="D956" s="3"/>
      <c r="E956" s="3"/>
      <c r="F956" s="3"/>
      <c r="G956" s="3"/>
      <c r="H956" s="3"/>
      <c r="S956" s="3"/>
    </row>
    <row r="957">
      <c r="A957" s="3"/>
      <c r="C957" s="3"/>
      <c r="D957" s="3"/>
      <c r="E957" s="3"/>
      <c r="F957" s="3"/>
      <c r="G957" s="3"/>
      <c r="H957" s="3"/>
      <c r="S957" s="3"/>
    </row>
    <row r="958">
      <c r="A958" s="3"/>
      <c r="C958" s="3"/>
      <c r="D958" s="3"/>
      <c r="E958" s="3"/>
      <c r="F958" s="3"/>
      <c r="G958" s="3"/>
      <c r="H958" s="3"/>
      <c r="S958" s="3"/>
    </row>
    <row r="959">
      <c r="A959" s="3"/>
      <c r="C959" s="3"/>
      <c r="D959" s="3"/>
      <c r="E959" s="3"/>
      <c r="F959" s="3"/>
      <c r="G959" s="3"/>
      <c r="H959" s="3"/>
      <c r="S959" s="3"/>
    </row>
    <row r="960">
      <c r="A960" s="3"/>
      <c r="C960" s="3"/>
      <c r="D960" s="3"/>
      <c r="E960" s="3"/>
      <c r="F960" s="3"/>
      <c r="G960" s="3"/>
      <c r="H960" s="3"/>
      <c r="S960" s="3"/>
    </row>
    <row r="961">
      <c r="A961" s="3"/>
      <c r="C961" s="3"/>
      <c r="D961" s="3"/>
      <c r="E961" s="3"/>
      <c r="F961" s="3"/>
      <c r="G961" s="3"/>
      <c r="H961" s="3"/>
      <c r="S961" s="3"/>
    </row>
    <row r="962">
      <c r="A962" s="3"/>
      <c r="C962" s="3"/>
      <c r="D962" s="3"/>
      <c r="E962" s="3"/>
      <c r="F962" s="3"/>
      <c r="G962" s="3"/>
      <c r="H962" s="3"/>
      <c r="S962" s="3"/>
    </row>
    <row r="963">
      <c r="A963" s="3"/>
      <c r="C963" s="3"/>
      <c r="D963" s="3"/>
      <c r="E963" s="3"/>
      <c r="F963" s="3"/>
      <c r="G963" s="3"/>
      <c r="H963" s="3"/>
      <c r="S963" s="3"/>
    </row>
    <row r="964">
      <c r="A964" s="3"/>
      <c r="C964" s="3"/>
      <c r="D964" s="3"/>
      <c r="E964" s="3"/>
      <c r="F964" s="3"/>
      <c r="G964" s="3"/>
      <c r="H964" s="3"/>
      <c r="S964" s="3"/>
    </row>
    <row r="965">
      <c r="A965" s="3"/>
      <c r="C965" s="3"/>
      <c r="D965" s="3"/>
      <c r="E965" s="3"/>
      <c r="F965" s="3"/>
      <c r="G965" s="3"/>
      <c r="H965" s="3"/>
      <c r="S965" s="3"/>
    </row>
    <row r="966">
      <c r="A966" s="3"/>
      <c r="C966" s="3"/>
      <c r="D966" s="3"/>
      <c r="E966" s="3"/>
      <c r="F966" s="3"/>
      <c r="G966" s="3"/>
      <c r="H966" s="3"/>
      <c r="S966" s="3"/>
    </row>
    <row r="967">
      <c r="A967" s="3"/>
      <c r="C967" s="3"/>
      <c r="D967" s="3"/>
      <c r="E967" s="3"/>
      <c r="F967" s="3"/>
      <c r="G967" s="3"/>
      <c r="H967" s="3"/>
      <c r="S967" s="3"/>
    </row>
    <row r="968">
      <c r="A968" s="3"/>
      <c r="C968" s="3"/>
      <c r="D968" s="3"/>
      <c r="E968" s="3"/>
      <c r="F968" s="3"/>
      <c r="G968" s="3"/>
      <c r="H968" s="3"/>
      <c r="S968" s="3"/>
    </row>
    <row r="969">
      <c r="A969" s="3"/>
      <c r="C969" s="3"/>
      <c r="D969" s="3"/>
      <c r="E969" s="3"/>
      <c r="F969" s="3"/>
      <c r="G969" s="3"/>
      <c r="H969" s="3"/>
      <c r="S969" s="3"/>
    </row>
    <row r="970">
      <c r="A970" s="3"/>
      <c r="C970" s="3"/>
      <c r="D970" s="3"/>
      <c r="E970" s="3"/>
      <c r="F970" s="3"/>
      <c r="G970" s="3"/>
      <c r="H970" s="3"/>
      <c r="S970" s="3"/>
    </row>
    <row r="971">
      <c r="A971" s="3"/>
      <c r="C971" s="3"/>
      <c r="D971" s="3"/>
      <c r="E971" s="3"/>
      <c r="F971" s="3"/>
      <c r="G971" s="3"/>
      <c r="H971" s="3"/>
      <c r="S971" s="3"/>
    </row>
    <row r="972">
      <c r="A972" s="3"/>
      <c r="C972" s="3"/>
      <c r="D972" s="3"/>
      <c r="E972" s="3"/>
      <c r="F972" s="3"/>
      <c r="G972" s="3"/>
      <c r="H972" s="3"/>
      <c r="S972" s="3"/>
    </row>
    <row r="973">
      <c r="A973" s="3"/>
      <c r="C973" s="3"/>
      <c r="D973" s="3"/>
      <c r="E973" s="3"/>
      <c r="F973" s="3"/>
      <c r="G973" s="3"/>
      <c r="H973" s="3"/>
      <c r="S973" s="3"/>
    </row>
    <row r="974">
      <c r="A974" s="3"/>
      <c r="C974" s="3"/>
      <c r="D974" s="3"/>
      <c r="E974" s="3"/>
      <c r="F974" s="3"/>
      <c r="G974" s="3"/>
      <c r="H974" s="3"/>
      <c r="S974" s="3"/>
    </row>
    <row r="975">
      <c r="A975" s="3"/>
      <c r="C975" s="3"/>
      <c r="D975" s="3"/>
      <c r="E975" s="3"/>
      <c r="F975" s="3"/>
      <c r="G975" s="3"/>
      <c r="H975" s="3"/>
      <c r="S975" s="3"/>
    </row>
    <row r="976">
      <c r="A976" s="3"/>
      <c r="C976" s="3"/>
      <c r="D976" s="3"/>
      <c r="E976" s="3"/>
      <c r="F976" s="3"/>
      <c r="G976" s="3"/>
      <c r="H976" s="3"/>
      <c r="S976" s="3"/>
    </row>
    <row r="977">
      <c r="A977" s="3"/>
      <c r="C977" s="3"/>
      <c r="D977" s="3"/>
      <c r="E977" s="3"/>
      <c r="F977" s="3"/>
      <c r="G977" s="3"/>
      <c r="H977" s="3"/>
      <c r="S977" s="3"/>
    </row>
    <row r="978">
      <c r="A978" s="3"/>
      <c r="C978" s="3"/>
      <c r="D978" s="3"/>
      <c r="E978" s="3"/>
      <c r="F978" s="3"/>
      <c r="G978" s="3"/>
      <c r="H978" s="3"/>
      <c r="S978" s="3"/>
    </row>
    <row r="979">
      <c r="A979" s="3"/>
      <c r="C979" s="3"/>
      <c r="D979" s="3"/>
      <c r="E979" s="3"/>
      <c r="F979" s="3"/>
      <c r="G979" s="3"/>
      <c r="H979" s="3"/>
      <c r="S979" s="3"/>
    </row>
    <row r="980">
      <c r="A980" s="3"/>
      <c r="C980" s="3"/>
      <c r="D980" s="3"/>
      <c r="E980" s="3"/>
      <c r="F980" s="3"/>
      <c r="G980" s="3"/>
      <c r="H980" s="3"/>
      <c r="S980" s="3"/>
    </row>
    <row r="981">
      <c r="A981" s="3"/>
      <c r="C981" s="3"/>
      <c r="D981" s="3"/>
      <c r="E981" s="3"/>
      <c r="F981" s="3"/>
      <c r="G981" s="3"/>
      <c r="H981" s="3"/>
      <c r="S981" s="3"/>
    </row>
    <row r="982">
      <c r="A982" s="3"/>
      <c r="C982" s="3"/>
      <c r="D982" s="3"/>
      <c r="E982" s="3"/>
      <c r="F982" s="3"/>
      <c r="G982" s="3"/>
      <c r="H982" s="3"/>
      <c r="S982" s="3"/>
    </row>
    <row r="983">
      <c r="A983" s="3"/>
      <c r="C983" s="3"/>
      <c r="D983" s="3"/>
      <c r="E983" s="3"/>
      <c r="F983" s="3"/>
      <c r="G983" s="3"/>
      <c r="H983" s="3"/>
      <c r="S983" s="3"/>
    </row>
    <row r="984">
      <c r="A984" s="3"/>
      <c r="C984" s="3"/>
      <c r="D984" s="3"/>
      <c r="E984" s="3"/>
      <c r="F984" s="3"/>
      <c r="G984" s="3"/>
      <c r="H984" s="3"/>
      <c r="S984" s="3"/>
    </row>
    <row r="985">
      <c r="A985" s="3"/>
      <c r="C985" s="3"/>
      <c r="D985" s="3"/>
      <c r="E985" s="3"/>
      <c r="F985" s="3"/>
      <c r="G985" s="3"/>
      <c r="H985" s="3"/>
      <c r="S985" s="3"/>
    </row>
    <row r="986">
      <c r="A986" s="3"/>
      <c r="C986" s="3"/>
      <c r="D986" s="3"/>
      <c r="E986" s="3"/>
      <c r="F986" s="3"/>
      <c r="G986" s="3"/>
      <c r="H986" s="3"/>
      <c r="S986" s="3"/>
    </row>
    <row r="987">
      <c r="A987" s="3"/>
      <c r="C987" s="3"/>
      <c r="D987" s="3"/>
      <c r="E987" s="3"/>
      <c r="F987" s="3"/>
      <c r="G987" s="3"/>
      <c r="H987" s="3"/>
      <c r="S987" s="3"/>
    </row>
    <row r="988">
      <c r="A988" s="3"/>
      <c r="C988" s="3"/>
      <c r="D988" s="3"/>
      <c r="E988" s="3"/>
      <c r="F988" s="3"/>
      <c r="G988" s="3"/>
      <c r="H988" s="3"/>
      <c r="S988" s="3"/>
    </row>
    <row r="989">
      <c r="A989" s="3"/>
      <c r="C989" s="3"/>
      <c r="D989" s="3"/>
      <c r="E989" s="3"/>
      <c r="F989" s="3"/>
      <c r="G989" s="3"/>
      <c r="H989" s="3"/>
      <c r="S989" s="3"/>
    </row>
    <row r="990">
      <c r="A990" s="3"/>
      <c r="C990" s="3"/>
      <c r="D990" s="3"/>
      <c r="E990" s="3"/>
      <c r="F990" s="3"/>
      <c r="G990" s="3"/>
      <c r="H990" s="3"/>
      <c r="S990" s="3"/>
    </row>
    <row r="991">
      <c r="A991" s="3"/>
      <c r="C991" s="3"/>
      <c r="D991" s="3"/>
      <c r="E991" s="3"/>
      <c r="F991" s="3"/>
      <c r="G991" s="3"/>
      <c r="H991" s="3"/>
      <c r="S991" s="3"/>
    </row>
    <row r="992">
      <c r="A992" s="3"/>
      <c r="C992" s="3"/>
      <c r="D992" s="3"/>
      <c r="E992" s="3"/>
      <c r="F992" s="3"/>
      <c r="G992" s="3"/>
      <c r="H992" s="3"/>
      <c r="S992" s="3"/>
    </row>
    <row r="993">
      <c r="A993" s="3"/>
      <c r="C993" s="3"/>
      <c r="D993" s="3"/>
      <c r="E993" s="3"/>
      <c r="F993" s="3"/>
      <c r="G993" s="3"/>
      <c r="H993" s="3"/>
      <c r="S993" s="3"/>
    </row>
    <row r="994">
      <c r="A994" s="3"/>
      <c r="C994" s="3"/>
      <c r="D994" s="3"/>
      <c r="E994" s="3"/>
      <c r="F994" s="3"/>
      <c r="G994" s="3"/>
      <c r="H994" s="3"/>
      <c r="S994" s="3"/>
    </row>
    <row r="995">
      <c r="A995" s="3"/>
      <c r="C995" s="3"/>
      <c r="D995" s="3"/>
      <c r="E995" s="3"/>
      <c r="F995" s="3"/>
      <c r="G995" s="3"/>
      <c r="H995" s="3"/>
      <c r="S995" s="3"/>
    </row>
    <row r="996">
      <c r="A996" s="3"/>
      <c r="C996" s="3"/>
      <c r="D996" s="3"/>
      <c r="E996" s="3"/>
      <c r="F996" s="3"/>
      <c r="G996" s="3"/>
      <c r="H996" s="3"/>
      <c r="S996" s="3"/>
    </row>
    <row r="997">
      <c r="A997" s="3"/>
      <c r="C997" s="3"/>
      <c r="D997" s="3"/>
      <c r="E997" s="3"/>
      <c r="F997" s="3"/>
      <c r="G997" s="3"/>
      <c r="H997" s="3"/>
      <c r="S997" s="3"/>
    </row>
    <row r="998">
      <c r="A998" s="3"/>
      <c r="C998" s="3"/>
      <c r="D998" s="3"/>
      <c r="E998" s="3"/>
      <c r="F998" s="3"/>
      <c r="G998" s="3"/>
      <c r="H998" s="3"/>
      <c r="S998" s="3"/>
    </row>
    <row r="999">
      <c r="A999" s="3"/>
      <c r="C999" s="3"/>
      <c r="D999" s="3"/>
      <c r="E999" s="3"/>
      <c r="F999" s="3"/>
      <c r="G999" s="3"/>
      <c r="H999" s="3"/>
      <c r="S999" s="3"/>
    </row>
    <row r="1000">
      <c r="A1000" s="3"/>
      <c r="B1000" s="7">
        <v>1.0</v>
      </c>
      <c r="C1000" s="8">
        <v>2.0</v>
      </c>
      <c r="D1000" s="7">
        <v>3.0</v>
      </c>
      <c r="E1000" s="8">
        <v>4.0</v>
      </c>
      <c r="F1000" s="7">
        <v>5.0</v>
      </c>
      <c r="G1000" s="8">
        <v>6.0</v>
      </c>
      <c r="H1000" s="7">
        <v>7.0</v>
      </c>
      <c r="I1000" s="8">
        <v>8.0</v>
      </c>
      <c r="J1000" s="7">
        <v>9.0</v>
      </c>
      <c r="K1000" s="8">
        <v>10.0</v>
      </c>
      <c r="L1000" s="7">
        <v>11.0</v>
      </c>
      <c r="M1000" s="8">
        <v>12.0</v>
      </c>
      <c r="N1000" s="7">
        <v>13.0</v>
      </c>
      <c r="O1000" s="8">
        <v>14.0</v>
      </c>
      <c r="P1000" s="7">
        <v>15.0</v>
      </c>
      <c r="Q1000" s="8">
        <v>16.0</v>
      </c>
      <c r="R1000" s="7">
        <v>17.0</v>
      </c>
      <c r="S1000" s="8">
        <v>18.0</v>
      </c>
      <c r="T1000" s="7">
        <v>19.0</v>
      </c>
      <c r="U1000" s="8">
        <v>20.0</v>
      </c>
      <c r="V1000" s="7">
        <v>21.0</v>
      </c>
      <c r="W1000" s="8">
        <v>22.0</v>
      </c>
      <c r="X1000" s="7">
        <v>23.0</v>
      </c>
      <c r="Y1000" s="8">
        <v>24.0</v>
      </c>
      <c r="Z1000" s="7">
        <v>25.0</v>
      </c>
      <c r="AA1000" s="8">
        <v>26.0</v>
      </c>
      <c r="AB1000" s="7">
        <v>27.0</v>
      </c>
      <c r="AC1000" s="8">
        <v>28.0</v>
      </c>
      <c r="AD1000" s="7">
        <v>29.0</v>
      </c>
      <c r="AE1000" s="8">
        <v>30.0</v>
      </c>
      <c r="AF1000" s="7">
        <v>31.0</v>
      </c>
      <c r="AG1000" s="8">
        <v>32.0</v>
      </c>
      <c r="AH1000" s="7">
        <v>33.0</v>
      </c>
      <c r="AI1000" s="8">
        <v>34.0</v>
      </c>
      <c r="AJ1000" s="7">
        <v>35.0</v>
      </c>
      <c r="AK1000" s="8">
        <v>36.0</v>
      </c>
      <c r="AL1000" s="7">
        <v>37.0</v>
      </c>
      <c r="AM1000" s="8">
        <v>38.0</v>
      </c>
      <c r="AN1000" s="7">
        <v>39.0</v>
      </c>
      <c r="AO1000" s="8">
        <v>40.0</v>
      </c>
      <c r="AP1000" s="7">
        <v>41.0</v>
      </c>
      <c r="AQ1000" s="8">
        <v>42.0</v>
      </c>
      <c r="AR1000" s="7">
        <v>43.0</v>
      </c>
      <c r="AS1000" s="8">
        <v>44.0</v>
      </c>
      <c r="AT1000" s="7">
        <v>45.0</v>
      </c>
      <c r="AU1000" s="8">
        <v>46.0</v>
      </c>
      <c r="AV1000" s="7">
        <v>47.0</v>
      </c>
      <c r="AW1000" s="8">
        <v>48.0</v>
      </c>
      <c r="AX1000" s="7">
        <v>49.0</v>
      </c>
      <c r="AY1000" s="8">
        <v>50.0</v>
      </c>
      <c r="AZ1000" s="7">
        <v>51.0</v>
      </c>
      <c r="BA1000" s="8">
        <v>52.0</v>
      </c>
      <c r="BB1000" s="7">
        <v>53.0</v>
      </c>
      <c r="BC1000" s="8">
        <v>54.0</v>
      </c>
      <c r="BD1000" s="7">
        <v>55.0</v>
      </c>
      <c r="BE1000" s="8">
        <v>56.0</v>
      </c>
      <c r="BF1000" s="7">
        <v>57.0</v>
      </c>
      <c r="BG1000" s="8">
        <v>58.0</v>
      </c>
      <c r="BH1000" s="7">
        <v>59.0</v>
      </c>
      <c r="BI1000" s="8">
        <v>60.0</v>
      </c>
      <c r="BJ1000" s="7">
        <v>61.0</v>
      </c>
      <c r="BK1000" s="8">
        <v>62.0</v>
      </c>
      <c r="BL1000" s="7">
        <v>63.0</v>
      </c>
      <c r="BM1000" s="8">
        <v>64.0</v>
      </c>
      <c r="BN1000" s="7">
        <v>65.0</v>
      </c>
      <c r="BO1000" s="8">
        <v>66.0</v>
      </c>
      <c r="BP1000" s="7">
        <v>67.0</v>
      </c>
      <c r="BQ1000" s="8">
        <v>68.0</v>
      </c>
      <c r="BR1000" s="7">
        <v>69.0</v>
      </c>
      <c r="BS1000" s="8">
        <v>70.0</v>
      </c>
      <c r="BT1000" s="7">
        <v>71.0</v>
      </c>
      <c r="BU1000" s="8">
        <v>72.0</v>
      </c>
      <c r="BV1000" s="7">
        <v>73.0</v>
      </c>
      <c r="BW1000" s="8">
        <v>74.0</v>
      </c>
      <c r="BX1000" s="7">
        <v>75.0</v>
      </c>
      <c r="BY1000" s="8">
        <v>76.0</v>
      </c>
      <c r="BZ1000" s="7">
        <v>77.0</v>
      </c>
      <c r="CA1000" s="8">
        <v>78.0</v>
      </c>
      <c r="CB1000" s="7">
        <v>79.0</v>
      </c>
      <c r="CC1000" s="8">
        <v>80.0</v>
      </c>
      <c r="CD1000" s="7">
        <v>81.0</v>
      </c>
      <c r="CE1000" s="8">
        <v>82.0</v>
      </c>
      <c r="CF1000" s="7">
        <v>83.0</v>
      </c>
      <c r="CG1000" s="8">
        <v>84.0</v>
      </c>
      <c r="CH1000" s="7">
        <v>85.0</v>
      </c>
      <c r="CI1000" s="8">
        <v>86.0</v>
      </c>
      <c r="CJ1000" s="7">
        <v>87.0</v>
      </c>
      <c r="CK1000" s="8">
        <v>88.0</v>
      </c>
      <c r="CL1000" s="7">
        <v>89.0</v>
      </c>
      <c r="CM1000" s="8">
        <v>90.0</v>
      </c>
      <c r="CN1000" s="7">
        <v>91.0</v>
      </c>
      <c r="CO1000" s="8">
        <v>92.0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6.88"/>
  </cols>
  <sheetData>
    <row r="1">
      <c r="A1" s="23" t="s">
        <v>17</v>
      </c>
      <c r="B1" s="24"/>
    </row>
    <row r="2">
      <c r="A2" s="25" t="s">
        <v>18</v>
      </c>
      <c r="B2" s="26" t="s">
        <v>19</v>
      </c>
    </row>
    <row r="3">
      <c r="A3" s="27" t="s">
        <v>20</v>
      </c>
      <c r="B3" s="28">
        <v>48.0</v>
      </c>
    </row>
    <row r="4">
      <c r="A4" s="27" t="s">
        <v>21</v>
      </c>
      <c r="B4" s="28">
        <v>80.0</v>
      </c>
    </row>
    <row r="5">
      <c r="A5" s="27" t="s">
        <v>22</v>
      </c>
      <c r="B5" s="29" t="s">
        <v>23</v>
      </c>
    </row>
    <row r="6">
      <c r="A6" s="27" t="s">
        <v>24</v>
      </c>
      <c r="B6" s="29" t="s">
        <v>25</v>
      </c>
    </row>
    <row r="7">
      <c r="A7" s="27" t="s">
        <v>26</v>
      </c>
      <c r="B7" s="29" t="s">
        <v>27</v>
      </c>
    </row>
    <row r="10">
      <c r="B10" s="30"/>
    </row>
    <row r="11">
      <c r="B11" s="30"/>
    </row>
    <row r="14">
      <c r="B14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34.13"/>
    <col customWidth="1" min="3" max="3" width="72.13"/>
    <col customWidth="1" min="4" max="4" width="13.0"/>
    <col customWidth="1" min="5" max="5" width="29.63"/>
  </cols>
  <sheetData>
    <row r="1">
      <c r="A1" s="8" t="s">
        <v>28</v>
      </c>
      <c r="B1" s="8" t="s">
        <v>29</v>
      </c>
      <c r="C1" s="8" t="s">
        <v>30</v>
      </c>
      <c r="D1" s="8" t="s">
        <v>31</v>
      </c>
    </row>
    <row r="2">
      <c r="A2" s="21" t="str">
        <f>IFERROR(__xludf.DUMMYFUNCTION("query(merge!B2:CF285,""Select Col10,Col82,Col80 where Col80 is not null"","""")"),"#N/A")</f>
        <v>#N/A</v>
      </c>
      <c r="D2" s="4" t="str">
        <f>iferror(vlookup(B2,Sheet1!$B$2:$K$321,10,false),"")</f>
        <v/>
      </c>
      <c r="E2" s="4" t="str">
        <f>iferror(vlookup(B2,Sheet1!$B$2:$K$321,1,false),"")</f>
        <v/>
      </c>
    </row>
    <row r="3">
      <c r="A3" s="21"/>
      <c r="D3" s="4" t="str">
        <f>iferror(vlookup(B3,Sheet1!$B$2:$K$321,10,false),"")</f>
        <v/>
      </c>
      <c r="E3" s="4" t="str">
        <f>iferror(vlookup(B3,Sheet1!$B$2:$K$321,1,false),"")</f>
        <v/>
      </c>
    </row>
    <row r="4">
      <c r="A4" s="21"/>
      <c r="D4" s="4" t="str">
        <f>iferror(vlookup(B4,Sheet1!$B$2:$K$321,10,false),"")</f>
        <v/>
      </c>
      <c r="E4" s="4" t="str">
        <f>iferror(vlookup(B4,Sheet1!$B$2:$K$321,1,false),"")</f>
        <v/>
      </c>
    </row>
    <row r="5">
      <c r="A5" s="21"/>
      <c r="D5" s="4" t="str">
        <f>iferror(vlookup(B5,Sheet1!$B$2:$K$321,10,false),"")</f>
        <v/>
      </c>
      <c r="E5" s="4" t="str">
        <f>iferror(vlookup(B5,Sheet1!$B$2:$K$321,1,false),"")</f>
        <v/>
      </c>
    </row>
    <row r="6">
      <c r="A6" s="21"/>
      <c r="D6" s="4" t="str">
        <f>iferror(vlookup(B6,Sheet1!$B$2:$K$321,10,false),"")</f>
        <v/>
      </c>
      <c r="E6" s="4" t="str">
        <f>iferror(vlookup(B6,Sheet1!$B$2:$K$321,1,false),"")</f>
        <v/>
      </c>
    </row>
    <row r="7">
      <c r="A7" s="21"/>
      <c r="D7" s="4" t="str">
        <f>iferror(vlookup(B7,Sheet1!$B$2:$K$321,10,false),"")</f>
        <v/>
      </c>
      <c r="E7" s="4" t="str">
        <f>iferror(vlookup(B7,Sheet1!$B$2:$K$321,1,false),"")</f>
        <v/>
      </c>
    </row>
    <row r="8">
      <c r="A8" s="21"/>
      <c r="D8" s="4" t="str">
        <f>iferror(vlookup(B8,Sheet1!$B$2:$K$321,10,false),"")</f>
        <v/>
      </c>
      <c r="E8" s="4" t="str">
        <f>iferror(vlookup(B8,Sheet1!$B$2:$K$321,1,false),"")</f>
        <v/>
      </c>
    </row>
    <row r="9">
      <c r="A9" s="21"/>
      <c r="D9" s="4" t="str">
        <f>iferror(vlookup(B9,Sheet1!$B$2:$K$321,10,false),"")</f>
        <v/>
      </c>
      <c r="E9" s="4" t="str">
        <f>iferror(vlookup(B9,Sheet1!$B$2:$K$321,1,false),"")</f>
        <v/>
      </c>
    </row>
    <row r="10">
      <c r="A10" s="21"/>
      <c r="D10" s="4" t="str">
        <f>iferror(vlookup(B10,Sheet1!$B$2:$K$321,10,false),"")</f>
        <v/>
      </c>
      <c r="E10" s="4" t="str">
        <f>iferror(vlookup(B10,Sheet1!$B$2:$K$321,1,false),"")</f>
        <v/>
      </c>
    </row>
    <row r="11">
      <c r="A11" s="21"/>
      <c r="D11" s="4" t="str">
        <f>iferror(vlookup(B11,Sheet1!$B$2:$K$321,10,false),"")</f>
        <v/>
      </c>
      <c r="E11" s="4" t="str">
        <f>iferror(vlookup(B11,Sheet1!$B$2:$K$321,1,false),"")</f>
        <v/>
      </c>
    </row>
    <row r="12">
      <c r="A12" s="21"/>
      <c r="D12" s="4" t="str">
        <f>iferror(vlookup(B12,Sheet1!$B$2:$K$321,10,false),"")</f>
        <v/>
      </c>
      <c r="E12" s="4" t="str">
        <f>iferror(vlookup(B12,Sheet1!$B$2:$K$321,1,false),"")</f>
        <v/>
      </c>
    </row>
    <row r="13">
      <c r="A13" s="21"/>
      <c r="D13" s="4" t="str">
        <f>iferror(vlookup(B13,Sheet1!$B$2:$K$321,10,false),"")</f>
        <v/>
      </c>
      <c r="E13" s="4" t="str">
        <f>iferror(vlookup(B13,Sheet1!$B$2:$K$321,1,false),"")</f>
        <v/>
      </c>
    </row>
    <row r="14">
      <c r="A14" s="21"/>
      <c r="D14" s="4" t="str">
        <f>iferror(vlookup(B14,Sheet1!$B$2:$K$321,10,false),"")</f>
        <v/>
      </c>
      <c r="E14" s="4" t="str">
        <f>iferror(vlookup(B14,Sheet1!$B$2:$K$321,1,false),"")</f>
        <v/>
      </c>
    </row>
    <row r="15">
      <c r="A15" s="21"/>
      <c r="D15" s="4" t="str">
        <f>iferror(vlookup(B15,Sheet1!$B$2:$K$321,10,false),"")</f>
        <v/>
      </c>
      <c r="E15" s="4" t="str">
        <f>iferror(vlookup(B15,Sheet1!$B$2:$K$321,1,false),"")</f>
        <v/>
      </c>
    </row>
    <row r="16">
      <c r="A16" s="21"/>
      <c r="D16" s="4" t="str">
        <f>iferror(vlookup(B16,Sheet1!$B$2:$K$321,10,false),"")</f>
        <v/>
      </c>
      <c r="E16" s="4" t="str">
        <f>iferror(vlookup(B16,Sheet1!$B$2:$K$321,1,false),"")</f>
        <v/>
      </c>
    </row>
    <row r="17">
      <c r="A17" s="21"/>
      <c r="D17" s="4" t="str">
        <f>iferror(vlookup(B17,Sheet1!$B$2:$K$321,10,false),"")</f>
        <v/>
      </c>
      <c r="E17" s="4" t="str">
        <f>iferror(vlookup(B17,Sheet1!$B$2:$K$321,1,false),"")</f>
        <v/>
      </c>
    </row>
    <row r="18">
      <c r="A18" s="21"/>
      <c r="D18" s="4" t="str">
        <f>iferror(vlookup(B18,Sheet1!$B$2:$K$321,10,false),"")</f>
        <v/>
      </c>
      <c r="E18" s="4" t="str">
        <f>iferror(vlookup(B18,Sheet1!$B$2:$K$321,1,false),"")</f>
        <v/>
      </c>
    </row>
    <row r="19">
      <c r="A19" s="21"/>
      <c r="D19" s="4" t="str">
        <f>iferror(vlookup(B19,Sheet1!$B$2:$K$321,10,false),"")</f>
        <v/>
      </c>
      <c r="E19" s="4" t="str">
        <f>iferror(vlookup(B19,Sheet1!$B$2:$K$321,1,false),"")</f>
        <v/>
      </c>
    </row>
    <row r="20">
      <c r="A20" s="21"/>
      <c r="D20" s="4" t="str">
        <f>iferror(vlookup(B20,Sheet1!$B$2:$K$321,10,false),"")</f>
        <v/>
      </c>
      <c r="E20" s="4" t="str">
        <f>iferror(vlookup(B20,Sheet1!$B$2:$K$321,1,false),"")</f>
        <v/>
      </c>
    </row>
    <row r="21">
      <c r="A21" s="21"/>
      <c r="D21" s="4" t="str">
        <f>iferror(vlookup(B21,Sheet1!$B$2:$K$321,10,false),"")</f>
        <v/>
      </c>
      <c r="E21" s="4" t="str">
        <f>iferror(vlookup(B21,Sheet1!$B$2:$K$321,1,false),"")</f>
        <v/>
      </c>
    </row>
    <row r="22">
      <c r="A22" s="21"/>
      <c r="D22" s="4" t="str">
        <f>iferror(vlookup(B22,Sheet1!$B$2:$K$321,10,false),"")</f>
        <v/>
      </c>
      <c r="E22" s="4" t="str">
        <f>iferror(vlookup(B22,Sheet1!$B$2:$K$321,1,false),"")</f>
        <v/>
      </c>
    </row>
    <row r="23">
      <c r="A23" s="21"/>
      <c r="D23" s="4" t="str">
        <f>iferror(vlookup(B23,Sheet1!$B$2:$K$321,10,false),"")</f>
        <v/>
      </c>
      <c r="E23" s="4" t="str">
        <f>iferror(vlookup(B23,Sheet1!$B$2:$K$321,1,false),"")</f>
        <v/>
      </c>
    </row>
    <row r="24">
      <c r="A24" s="21"/>
      <c r="D24" s="4" t="str">
        <f>iferror(vlookup(B24,Sheet1!$B$2:$K$321,10,false),"")</f>
        <v/>
      </c>
      <c r="E24" s="4" t="str">
        <f>iferror(vlookup(B24,Sheet1!$B$2:$K$321,1,false),"")</f>
        <v/>
      </c>
    </row>
    <row r="25">
      <c r="A25" s="21"/>
      <c r="D25" s="4" t="str">
        <f>iferror(vlookup(B25,Sheet1!$B$2:$K$321,10,false),"")</f>
        <v/>
      </c>
      <c r="E25" s="4" t="str">
        <f>iferror(vlookup(B25,Sheet1!$B$2:$K$321,1,false),"")</f>
        <v/>
      </c>
    </row>
    <row r="26">
      <c r="A26" s="21"/>
      <c r="D26" s="4" t="str">
        <f>iferror(vlookup(B26,Sheet1!$B$2:$K$321,10,false),"")</f>
        <v/>
      </c>
      <c r="E26" s="4" t="str">
        <f>iferror(vlookup(B26,Sheet1!$B$2:$K$321,1,false),"")</f>
        <v/>
      </c>
    </row>
    <row r="27">
      <c r="A27" s="21"/>
      <c r="D27" s="4" t="str">
        <f>iferror(vlookup(B27,Sheet1!$B$2:$K$321,10,false),"")</f>
        <v/>
      </c>
      <c r="E27" s="4" t="str">
        <f>iferror(vlookup(B27,Sheet1!$B$2:$K$321,1,false),"")</f>
        <v/>
      </c>
    </row>
    <row r="28">
      <c r="A28" s="21"/>
      <c r="D28" s="4" t="str">
        <f>iferror(vlookup(B28,Sheet1!$B$2:$K$321,10,false),"")</f>
        <v/>
      </c>
      <c r="E28" s="4" t="str">
        <f>iferror(vlookup(B28,Sheet1!$B$2:$K$321,1,false),"")</f>
        <v/>
      </c>
    </row>
    <row r="29">
      <c r="A29" s="21"/>
      <c r="D29" s="4" t="str">
        <f>iferror(vlookup(B29,Sheet1!$B$2:$K$321,10,false),"")</f>
        <v/>
      </c>
      <c r="E29" s="4" t="str">
        <f>iferror(vlookup(B29,Sheet1!$B$2:$K$321,1,false),"")</f>
        <v/>
      </c>
    </row>
    <row r="30">
      <c r="A30" s="21"/>
      <c r="D30" s="4" t="str">
        <f>iferror(vlookup(B30,Sheet1!$B$2:$K$321,10,false),"")</f>
        <v/>
      </c>
      <c r="E30" s="4" t="str">
        <f>iferror(vlookup(B30,Sheet1!$B$2:$K$321,1,false),"")</f>
        <v/>
      </c>
    </row>
    <row r="31">
      <c r="A31" s="21"/>
      <c r="D31" s="4" t="str">
        <f>iferror(vlookup(B31,Sheet1!$B$2:$K$321,10,false),"")</f>
        <v/>
      </c>
      <c r="E31" s="4" t="str">
        <f>iferror(vlookup(B31,Sheet1!$B$2:$K$321,1,false),"")</f>
        <v/>
      </c>
    </row>
    <row r="32">
      <c r="A32" s="21"/>
      <c r="D32" s="4" t="str">
        <f>iferror(vlookup(B32,Sheet1!$B$2:$K$321,10,false),"")</f>
        <v/>
      </c>
      <c r="E32" s="4" t="str">
        <f>iferror(vlookup(B32,Sheet1!$B$2:$K$321,1,false),"")</f>
        <v/>
      </c>
    </row>
    <row r="33">
      <c r="A33" s="21"/>
      <c r="D33" s="4" t="str">
        <f>iferror(vlookup(B33,Sheet1!$B$2:$K$321,10,false),"")</f>
        <v/>
      </c>
      <c r="E33" s="4" t="str">
        <f>iferror(vlookup(B33,Sheet1!$B$2:$K$321,1,false),"")</f>
        <v/>
      </c>
    </row>
    <row r="34">
      <c r="A34" s="21"/>
      <c r="D34" s="4" t="str">
        <f>iferror(vlookup(B34,Sheet1!$B$2:$K$321,10,false),"")</f>
        <v/>
      </c>
      <c r="E34" s="4" t="str">
        <f>iferror(vlookup(B34,Sheet1!$B$2:$K$321,1,false),"")</f>
        <v/>
      </c>
    </row>
    <row r="35">
      <c r="A35" s="21"/>
      <c r="D35" s="4" t="str">
        <f>iferror(vlookup(B35,Sheet1!$B$2:$K$321,10,false),"")</f>
        <v/>
      </c>
      <c r="E35" s="4" t="str">
        <f>iferror(vlookup(B35,Sheet1!$B$2:$K$321,1,false),"")</f>
        <v/>
      </c>
    </row>
    <row r="36">
      <c r="A36" s="21"/>
      <c r="D36" s="4" t="str">
        <f>iferror(vlookup(B36,Sheet1!$B$2:$K$321,10,false),"")</f>
        <v/>
      </c>
      <c r="E36" s="4" t="str">
        <f>iferror(vlookup(B36,Sheet1!$B$2:$K$321,1,false),"")</f>
        <v/>
      </c>
    </row>
    <row r="37">
      <c r="A37" s="21"/>
      <c r="D37" s="4" t="str">
        <f>iferror(vlookup(B37,Sheet1!$B$2:$K$321,10,false),"")</f>
        <v/>
      </c>
      <c r="E37" s="4" t="str">
        <f>iferror(vlookup(B37,Sheet1!$B$2:$K$321,1,false),"")</f>
        <v/>
      </c>
    </row>
    <row r="38">
      <c r="A38" s="21"/>
      <c r="D38" s="4" t="str">
        <f>iferror(vlookup(B38,Sheet1!$B$2:$K$321,10,false),"")</f>
        <v/>
      </c>
      <c r="E38" s="4" t="str">
        <f>iferror(vlookup(B38,Sheet1!$B$2:$K$321,1,false),"")</f>
        <v/>
      </c>
    </row>
    <row r="39">
      <c r="A39" s="21"/>
      <c r="D39" s="4" t="str">
        <f>iferror(vlookup(B39,Sheet1!$B$2:$K$321,10,false),"")</f>
        <v/>
      </c>
      <c r="E39" s="4" t="str">
        <f>iferror(vlookup(B39,Sheet1!$B$2:$K$321,1,false),"")</f>
        <v/>
      </c>
    </row>
    <row r="40">
      <c r="A40" s="21"/>
      <c r="D40" s="4" t="str">
        <f>iferror(vlookup(B40,Sheet1!$B$2:$K$321,10,false),"")</f>
        <v/>
      </c>
      <c r="E40" s="4" t="str">
        <f>iferror(vlookup(B40,Sheet1!$B$2:$K$321,1,false),"")</f>
        <v/>
      </c>
    </row>
    <row r="41">
      <c r="A41" s="21"/>
      <c r="D41" s="4" t="str">
        <f>iferror(vlookup(B41,Sheet1!$B$2:$K$321,10,false),"")</f>
        <v/>
      </c>
      <c r="E41" s="4" t="str">
        <f>iferror(vlookup(B41,Sheet1!$B$2:$K$321,1,false),"")</f>
        <v/>
      </c>
    </row>
    <row r="42">
      <c r="A42" s="21"/>
      <c r="D42" s="4" t="str">
        <f>iferror(vlookup(B42,Sheet1!$B$2:$K$321,10,false),"")</f>
        <v/>
      </c>
      <c r="E42" s="4" t="str">
        <f>iferror(vlookup(B42,Sheet1!$B$2:$K$321,1,false),"")</f>
        <v/>
      </c>
    </row>
    <row r="43">
      <c r="A43" s="21"/>
      <c r="D43" s="4" t="str">
        <f>iferror(vlookup(B43,Sheet1!$B$2:$K$321,10,false),"")</f>
        <v/>
      </c>
      <c r="E43" s="4" t="str">
        <f>iferror(vlookup(B43,Sheet1!$B$2:$K$321,1,false),"")</f>
        <v/>
      </c>
    </row>
    <row r="44">
      <c r="A44" s="21"/>
      <c r="D44" s="4" t="str">
        <f>iferror(vlookup(B44,Sheet1!$B$2:$K$321,10,false),"")</f>
        <v/>
      </c>
      <c r="E44" s="4" t="str">
        <f>iferror(vlookup(B44,Sheet1!$B$2:$K$321,1,false),"")</f>
        <v/>
      </c>
    </row>
    <row r="45">
      <c r="A45" s="21"/>
      <c r="D45" s="4" t="str">
        <f>iferror(vlookup(B45,Sheet1!$B$2:$K$321,10,false),"")</f>
        <v/>
      </c>
      <c r="E45" s="4" t="str">
        <f>iferror(vlookup(B45,Sheet1!$B$2:$K$321,1,false),"")</f>
        <v/>
      </c>
    </row>
    <row r="46">
      <c r="A46" s="21"/>
      <c r="D46" s="4" t="str">
        <f>iferror(vlookup(B46,Sheet1!$B$2:$K$321,10,false),"")</f>
        <v/>
      </c>
      <c r="E46" s="4" t="str">
        <f>iferror(vlookup(B46,Sheet1!$B$2:$K$321,1,false),"")</f>
        <v/>
      </c>
    </row>
    <row r="47">
      <c r="A47" s="21"/>
      <c r="D47" s="4" t="str">
        <f>iferror(vlookup(B47,Sheet1!$B$2:$K$321,10,false),"")</f>
        <v/>
      </c>
      <c r="E47" s="4" t="str">
        <f>iferror(vlookup(B47,Sheet1!$B$2:$K$321,1,false),"")</f>
        <v/>
      </c>
    </row>
    <row r="48">
      <c r="A48" s="21"/>
      <c r="D48" s="4" t="str">
        <f>iferror(vlookup(B48,Sheet1!$B$2:$K$321,10,false),"")</f>
        <v/>
      </c>
      <c r="E48" s="4" t="str">
        <f>iferror(vlookup(B48,Sheet1!$B$2:$K$321,1,false),"")</f>
        <v/>
      </c>
    </row>
    <row r="49">
      <c r="A49" s="21"/>
      <c r="D49" s="4" t="str">
        <f>iferror(vlookup(B49,Sheet1!$B$2:$K$321,10,false),"")</f>
        <v/>
      </c>
      <c r="E49" s="4" t="str">
        <f>iferror(vlookup(B49,Sheet1!$B$2:$K$321,1,false),"")</f>
        <v/>
      </c>
    </row>
    <row r="50">
      <c r="A50" s="21"/>
      <c r="D50" s="4" t="str">
        <f>iferror(vlookup(B50,Sheet1!$B$2:$K$321,10,false),"")</f>
        <v/>
      </c>
      <c r="E50" s="4" t="str">
        <f>iferror(vlookup(B50,Sheet1!$B$2:$K$321,1,false),"")</f>
        <v/>
      </c>
    </row>
    <row r="51">
      <c r="A51" s="21"/>
      <c r="D51" s="4" t="str">
        <f>iferror(vlookup(B51,Sheet1!$B$2:$K$321,10,false),"")</f>
        <v/>
      </c>
      <c r="E51" s="4" t="str">
        <f>iferror(vlookup(B51,Sheet1!$B$2:$K$321,1,false),"")</f>
        <v/>
      </c>
    </row>
    <row r="52">
      <c r="A52" s="21"/>
      <c r="D52" s="4" t="str">
        <f>iferror(vlookup(B52,Sheet1!$B$2:$K$321,10,false),"")</f>
        <v/>
      </c>
      <c r="E52" s="4" t="str">
        <f>iferror(vlookup(B52,Sheet1!$B$2:$K$321,1,false),"")</f>
        <v/>
      </c>
    </row>
    <row r="53">
      <c r="A53" s="21"/>
      <c r="D53" s="4" t="str">
        <f>iferror(vlookup(B53,Sheet1!$B$2:$K$321,10,false),"")</f>
        <v/>
      </c>
      <c r="E53" s="4" t="str">
        <f>iferror(vlookup(B53,Sheet1!$B$2:$K$321,1,false),"")</f>
        <v/>
      </c>
    </row>
    <row r="54">
      <c r="A54" s="21"/>
      <c r="D54" s="4" t="str">
        <f>iferror(vlookup(B54,Sheet1!$B$2:$K$321,10,false),"")</f>
        <v/>
      </c>
      <c r="E54" s="4" t="str">
        <f>iferror(vlookup(B54,Sheet1!$B$2:$K$321,1,false),"")</f>
        <v/>
      </c>
    </row>
    <row r="55">
      <c r="A55" s="21"/>
      <c r="D55" s="4" t="str">
        <f>iferror(vlookup(B55,Sheet1!$B$2:$K$321,10,false),"")</f>
        <v/>
      </c>
      <c r="E55" s="4" t="str">
        <f>iferror(vlookup(B55,Sheet1!$B$2:$K$321,1,false),"")</f>
        <v/>
      </c>
    </row>
    <row r="56">
      <c r="A56" s="21"/>
      <c r="D56" s="4" t="str">
        <f>iferror(vlookup(B56,Sheet1!$B$2:$K$321,10,false),"")</f>
        <v/>
      </c>
      <c r="E56" s="4" t="str">
        <f>iferror(vlookup(B56,Sheet1!$B$2:$K$321,1,false),"")</f>
        <v/>
      </c>
    </row>
    <row r="57">
      <c r="A57" s="21"/>
      <c r="D57" s="4" t="str">
        <f>iferror(vlookup(B57,Sheet1!$B$2:$K$321,10,false),"")</f>
        <v/>
      </c>
      <c r="E57" s="4" t="str">
        <f>iferror(vlookup(B57,Sheet1!$B$2:$K$321,1,false),"")</f>
        <v/>
      </c>
    </row>
    <row r="58">
      <c r="A58" s="21"/>
      <c r="D58" s="4" t="str">
        <f>iferror(vlookup(B58,Sheet1!$B$2:$K$321,10,false),"")</f>
        <v/>
      </c>
      <c r="E58" s="4" t="str">
        <f>iferror(vlookup(B58,Sheet1!$B$2:$K$321,1,false),"")</f>
        <v/>
      </c>
    </row>
    <row r="59">
      <c r="A59" s="21"/>
      <c r="D59" s="4" t="str">
        <f>iferror(vlookup(B59,Sheet1!$B$2:$K$321,10,false),"")</f>
        <v/>
      </c>
      <c r="E59" s="4" t="str">
        <f>iferror(vlookup(B59,Sheet1!$B$2:$K$321,1,false),"")</f>
        <v/>
      </c>
    </row>
    <row r="60">
      <c r="A60" s="21"/>
      <c r="D60" s="4" t="str">
        <f>iferror(vlookup(B60,Sheet1!$B$2:$K$321,10,false),"")</f>
        <v/>
      </c>
      <c r="E60" s="4" t="str">
        <f>iferror(vlookup(B60,Sheet1!$B$2:$K$321,1,false),"")</f>
        <v/>
      </c>
    </row>
    <row r="61">
      <c r="A61" s="21"/>
      <c r="D61" s="4" t="str">
        <f>iferror(vlookup(B61,Sheet1!$B$2:$K$321,10,false),"")</f>
        <v/>
      </c>
      <c r="E61" s="4" t="str">
        <f>iferror(vlookup(B61,Sheet1!$B$2:$K$321,1,false),"")</f>
        <v/>
      </c>
    </row>
    <row r="62">
      <c r="A62" s="21"/>
      <c r="D62" s="4" t="str">
        <f>iferror(vlookup(B62,Sheet1!$B$2:$K$321,10,false),"")</f>
        <v/>
      </c>
      <c r="E62" s="4" t="str">
        <f>iferror(vlookup(B62,Sheet1!$B$2:$K$321,1,false),"")</f>
        <v/>
      </c>
    </row>
    <row r="63">
      <c r="A63" s="21"/>
      <c r="D63" s="4" t="str">
        <f>iferror(vlookup(B63,Sheet1!$B$2:$K$321,10,false),"")</f>
        <v/>
      </c>
      <c r="E63" s="4" t="str">
        <f>iferror(vlookup(B63,Sheet1!$B$2:$K$321,1,false),"")</f>
        <v/>
      </c>
    </row>
    <row r="64">
      <c r="A64" s="21"/>
      <c r="D64" s="4" t="str">
        <f>iferror(vlookup(B64,Sheet1!$B$2:$K$321,10,false),"")</f>
        <v/>
      </c>
      <c r="E64" s="4" t="str">
        <f>iferror(vlookup(B64,Sheet1!$B$2:$K$321,1,false),"")</f>
        <v/>
      </c>
    </row>
    <row r="65">
      <c r="A65" s="21"/>
      <c r="D65" s="4" t="str">
        <f>iferror(vlookup(B65,Sheet1!$B$2:$K$321,10,false),"")</f>
        <v/>
      </c>
      <c r="E65" s="4" t="str">
        <f>iferror(vlookup(B65,Sheet1!$B$2:$K$321,1,false),"")</f>
        <v/>
      </c>
    </row>
    <row r="66">
      <c r="A66" s="21"/>
      <c r="D66" s="4" t="str">
        <f>iferror(vlookup(B66,Sheet1!$B$2:$K$321,10,false),"")</f>
        <v/>
      </c>
      <c r="E66" s="4" t="str">
        <f>iferror(vlookup(B66,Sheet1!$B$2:$K$321,1,false),"")</f>
        <v/>
      </c>
    </row>
    <row r="67">
      <c r="A67" s="21"/>
      <c r="D67" s="4" t="str">
        <f>iferror(vlookup(B67,Sheet1!$B$2:$K$321,10,false),"")</f>
        <v/>
      </c>
      <c r="E67" s="4" t="str">
        <f>iferror(vlookup(B67,Sheet1!$B$2:$K$321,1,false),"")</f>
        <v/>
      </c>
    </row>
    <row r="68">
      <c r="A68" s="21"/>
      <c r="D68" s="4" t="str">
        <f>iferror(vlookup(B68,Sheet1!$B$2:$K$321,10,false),"")</f>
        <v/>
      </c>
      <c r="E68" s="4" t="str">
        <f>iferror(vlookup(B68,Sheet1!$B$2:$K$321,1,false),"")</f>
        <v/>
      </c>
    </row>
    <row r="69">
      <c r="A69" s="21"/>
      <c r="D69" s="4" t="str">
        <f>iferror(vlookup(B69,Sheet1!$B$2:$K$321,10,false),"")</f>
        <v/>
      </c>
      <c r="E69" s="4" t="str">
        <f>iferror(vlookup(B69,Sheet1!$B$2:$K$321,1,false),"")</f>
        <v/>
      </c>
    </row>
    <row r="70">
      <c r="A70" s="21"/>
      <c r="D70" s="4" t="str">
        <f>iferror(vlookup(B70,Sheet1!$B$2:$K$321,10,false),"")</f>
        <v/>
      </c>
      <c r="E70" s="4" t="str">
        <f>iferror(vlookup(B70,Sheet1!$B$2:$K$321,1,false),"")</f>
        <v/>
      </c>
    </row>
    <row r="71">
      <c r="A71" s="21"/>
      <c r="D71" s="4" t="str">
        <f>iferror(vlookup(B71,Sheet1!$B$2:$K$321,10,false),"")</f>
        <v/>
      </c>
      <c r="E71" s="4" t="str">
        <f>iferror(vlookup(B71,Sheet1!$B$2:$K$321,1,false),"")</f>
        <v/>
      </c>
    </row>
    <row r="72">
      <c r="A72" s="21"/>
      <c r="D72" s="4" t="str">
        <f>iferror(vlookup(B72,Sheet1!$B$2:$K$321,10,false),"")</f>
        <v/>
      </c>
      <c r="E72" s="4" t="str">
        <f>iferror(vlookup(B72,Sheet1!$B$2:$K$321,1,false),"")</f>
        <v/>
      </c>
    </row>
    <row r="73">
      <c r="A73" s="21"/>
      <c r="D73" s="4" t="str">
        <f>iferror(vlookup(B73,Sheet1!$B$2:$K$321,10,false),"")</f>
        <v/>
      </c>
      <c r="E73" s="4" t="str">
        <f>iferror(vlookup(B73,Sheet1!$B$2:$K$321,1,false),"")</f>
        <v/>
      </c>
    </row>
    <row r="74">
      <c r="A74" s="21"/>
      <c r="D74" s="4" t="str">
        <f>iferror(vlookup(B74,Sheet1!$B$2:$K$321,10,false),"")</f>
        <v/>
      </c>
      <c r="E74" s="4" t="str">
        <f>iferror(vlookup(B74,Sheet1!$B$2:$K$321,1,false),"")</f>
        <v/>
      </c>
    </row>
    <row r="75">
      <c r="A75" s="21"/>
      <c r="D75" s="4" t="str">
        <f>iferror(vlookup(B75,Sheet1!$B$2:$K$321,10,false),"")</f>
        <v/>
      </c>
      <c r="E75" s="4" t="str">
        <f>iferror(vlookup(B75,Sheet1!$B$2:$K$321,1,false),"")</f>
        <v/>
      </c>
    </row>
    <row r="76">
      <c r="A76" s="21"/>
      <c r="D76" s="4" t="str">
        <f>iferror(vlookup(B76,Sheet1!$B$2:$K$321,10,false),"")</f>
        <v/>
      </c>
      <c r="E76" s="4" t="str">
        <f>iferror(vlookup(B76,Sheet1!$B$2:$K$321,1,false),"")</f>
        <v/>
      </c>
    </row>
    <row r="77">
      <c r="A77" s="21"/>
      <c r="D77" s="4" t="str">
        <f>iferror(vlookup(B77,Sheet1!$B$2:$K$321,10,false),"")</f>
        <v/>
      </c>
      <c r="E77" s="4" t="str">
        <f>iferror(vlookup(B77,Sheet1!$B$2:$K$321,1,false),"")</f>
        <v/>
      </c>
    </row>
    <row r="78">
      <c r="A78" s="21"/>
      <c r="D78" s="4" t="str">
        <f>iferror(vlookup(B78,Sheet1!$B$2:$K$321,10,false),"")</f>
        <v/>
      </c>
      <c r="E78" s="4" t="str">
        <f>iferror(vlookup(B78,Sheet1!$B$2:$K$321,1,false),"")</f>
        <v/>
      </c>
    </row>
    <row r="79">
      <c r="A79" s="21"/>
      <c r="D79" s="4" t="str">
        <f>iferror(vlookup(B79,Sheet1!$B$2:$K$321,10,false),"")</f>
        <v/>
      </c>
      <c r="E79" s="4" t="str">
        <f>iferror(vlookup(B79,Sheet1!$B$2:$K$321,1,false),"")</f>
        <v/>
      </c>
    </row>
    <row r="80">
      <c r="A80" s="21"/>
      <c r="D80" s="4" t="str">
        <f>iferror(vlookup(B80,Sheet1!$B$2:$K$321,10,false),"")</f>
        <v/>
      </c>
      <c r="E80" s="4" t="str">
        <f>iferror(vlookup(B80,Sheet1!$B$2:$K$321,1,false),"")</f>
        <v/>
      </c>
    </row>
    <row r="81">
      <c r="A81" s="21"/>
      <c r="D81" s="4" t="str">
        <f>iferror(vlookup(B81,Sheet1!$B$2:$K$321,10,false),"")</f>
        <v/>
      </c>
      <c r="E81" s="4" t="str">
        <f>iferror(vlookup(B81,Sheet1!$B$2:$K$321,1,false),"")</f>
        <v/>
      </c>
    </row>
    <row r="82">
      <c r="A82" s="21"/>
      <c r="D82" s="4" t="str">
        <f>iferror(vlookup(B82,Sheet1!$B$2:$K$321,10,false),"")</f>
        <v/>
      </c>
      <c r="E82" s="4" t="str">
        <f>iferror(vlookup(B82,Sheet1!$B$2:$K$321,1,false),"")</f>
        <v/>
      </c>
    </row>
    <row r="83">
      <c r="A83" s="21"/>
      <c r="D83" s="4" t="str">
        <f>iferror(vlookup(B83,Sheet1!$B$2:$K$321,10,false),"")</f>
        <v/>
      </c>
      <c r="E83" s="4" t="str">
        <f>iferror(vlookup(B83,Sheet1!$B$2:$K$321,1,false),"")</f>
        <v/>
      </c>
    </row>
    <row r="84">
      <c r="A84" s="21"/>
      <c r="D84" s="4" t="str">
        <f>iferror(vlookup(B84,Sheet1!$B$2:$K$321,10,false),"")</f>
        <v/>
      </c>
      <c r="E84" s="4" t="str">
        <f>iferror(vlookup(B84,Sheet1!$B$2:$K$321,1,false),"")</f>
        <v/>
      </c>
    </row>
    <row r="85">
      <c r="A85" s="21"/>
      <c r="D85" s="4" t="str">
        <f>iferror(vlookup(B85,Sheet1!$B$2:$K$321,10,false),"")</f>
        <v/>
      </c>
      <c r="E85" s="4" t="str">
        <f>iferror(vlookup(B85,Sheet1!$B$2:$K$321,1,false),"")</f>
        <v/>
      </c>
    </row>
    <row r="86">
      <c r="A86" s="21"/>
      <c r="D86" s="4" t="str">
        <f>iferror(vlookup(B86,Sheet1!$B$2:$K$321,10,false),"")</f>
        <v/>
      </c>
      <c r="E86" s="4" t="str">
        <f>iferror(vlookup(B86,Sheet1!$B$2:$K$321,1,false),"")</f>
        <v/>
      </c>
    </row>
    <row r="87">
      <c r="A87" s="21"/>
      <c r="D87" s="4" t="str">
        <f>iferror(vlookup(B87,Sheet1!$B$2:$K$321,10,false),"")</f>
        <v/>
      </c>
      <c r="E87" s="4" t="str">
        <f>iferror(vlookup(B87,Sheet1!$B$2:$K$321,1,false),"")</f>
        <v/>
      </c>
    </row>
    <row r="88">
      <c r="A88" s="21"/>
      <c r="D88" s="4" t="str">
        <f>iferror(vlookup(B88,Sheet1!$B$2:$K$321,10,false),"")</f>
        <v/>
      </c>
      <c r="E88" s="4" t="str">
        <f>iferror(vlookup(B88,Sheet1!$B$2:$K$321,1,false),"")</f>
        <v/>
      </c>
    </row>
    <row r="89">
      <c r="A89" s="21"/>
      <c r="D89" s="4" t="str">
        <f>iferror(vlookup(B89,Sheet1!$B$2:$K$321,10,false),"")</f>
        <v/>
      </c>
      <c r="E89" s="4" t="str">
        <f>iferror(vlookup(B89,Sheet1!$B$2:$K$321,1,false),"")</f>
        <v/>
      </c>
    </row>
    <row r="90">
      <c r="A90" s="21"/>
      <c r="D90" s="4" t="str">
        <f>iferror(vlookup(B90,Sheet1!$B$2:$K$321,10,false),"")</f>
        <v/>
      </c>
      <c r="E90" s="4" t="str">
        <f>iferror(vlookup(B90,Sheet1!$B$2:$K$321,1,false),"")</f>
        <v/>
      </c>
    </row>
    <row r="91">
      <c r="A91" s="21"/>
      <c r="D91" s="4" t="str">
        <f>iferror(vlookup(B91,Sheet1!$B$2:$K$321,10,false),"")</f>
        <v/>
      </c>
      <c r="E91" s="4" t="str">
        <f>iferror(vlookup(B91,Sheet1!$B$2:$K$321,1,false),"")</f>
        <v/>
      </c>
    </row>
    <row r="92">
      <c r="A92" s="21"/>
      <c r="D92" s="4" t="str">
        <f>iferror(vlookup(B92,Sheet1!$B$2:$K$321,10,false),"")</f>
        <v/>
      </c>
      <c r="E92" s="4" t="str">
        <f>iferror(vlookup(B92,Sheet1!$B$2:$K$321,1,false),"")</f>
        <v/>
      </c>
    </row>
    <row r="93">
      <c r="A93" s="21"/>
      <c r="D93" s="4" t="str">
        <f>iferror(vlookup(B93,Sheet1!$B$2:$K$321,10,false),"")</f>
        <v/>
      </c>
      <c r="E93" s="4" t="str">
        <f>iferror(vlookup(B93,Sheet1!$B$2:$K$321,1,false),"")</f>
        <v/>
      </c>
    </row>
    <row r="94">
      <c r="A94" s="21"/>
      <c r="D94" s="4" t="str">
        <f>iferror(vlookup(B94,Sheet1!$B$2:$K$321,10,false),"")</f>
        <v/>
      </c>
      <c r="E94" s="4" t="str">
        <f>iferror(vlookup(B94,Sheet1!$B$2:$K$321,1,false),"")</f>
        <v/>
      </c>
    </row>
    <row r="95">
      <c r="A95" s="21"/>
      <c r="D95" s="4" t="str">
        <f>iferror(vlookup(B95,Sheet1!$B$2:$K$321,10,false),"")</f>
        <v/>
      </c>
      <c r="E95" s="4" t="str">
        <f>iferror(vlookup(B95,Sheet1!$B$2:$K$321,1,false),"")</f>
        <v/>
      </c>
    </row>
    <row r="96">
      <c r="A96" s="21"/>
      <c r="D96" s="4" t="str">
        <f>iferror(vlookup(B96,Sheet1!$B$2:$K$321,10,false),"")</f>
        <v/>
      </c>
      <c r="E96" s="4" t="str">
        <f>iferror(vlookup(B96,Sheet1!$B$2:$K$321,1,false),"")</f>
        <v/>
      </c>
    </row>
    <row r="97">
      <c r="A97" s="21"/>
      <c r="D97" s="4" t="str">
        <f>iferror(vlookup(B97,Sheet1!$B$2:$K$321,10,false),"")</f>
        <v/>
      </c>
      <c r="E97" s="4" t="str">
        <f>iferror(vlookup(B97,Sheet1!$B$2:$K$321,1,false),"")</f>
        <v/>
      </c>
    </row>
    <row r="98">
      <c r="A98" s="21"/>
      <c r="D98" s="4" t="str">
        <f>iferror(vlookup(B98,Sheet1!$B$2:$K$321,10,false),"")</f>
        <v/>
      </c>
      <c r="E98" s="4" t="str">
        <f>iferror(vlookup(B98,Sheet1!$B$2:$K$321,1,false),"")</f>
        <v/>
      </c>
    </row>
    <row r="99">
      <c r="A99" s="21"/>
      <c r="D99" s="4" t="str">
        <f>iferror(vlookup(B99,Sheet1!$B$2:$K$321,10,false),"")</f>
        <v/>
      </c>
      <c r="E99" s="4" t="str">
        <f>iferror(vlookup(B99,Sheet1!$B$2:$K$321,1,false),"")</f>
        <v/>
      </c>
    </row>
    <row r="100">
      <c r="A100" s="21"/>
      <c r="D100" s="4" t="str">
        <f>iferror(vlookup(B100,Sheet1!$B$2:$K$321,10,false),"")</f>
        <v/>
      </c>
      <c r="E100" s="4" t="str">
        <f>iferror(vlookup(B100,Sheet1!$B$2:$K$321,1,false),"")</f>
        <v/>
      </c>
    </row>
    <row r="101">
      <c r="A101" s="21"/>
      <c r="D101" s="4" t="str">
        <f>iferror(vlookup(B101,Sheet1!$B$2:$K$321,10,false),"")</f>
        <v/>
      </c>
      <c r="E101" s="4" t="str">
        <f>iferror(vlookup(B101,Sheet1!$B$2:$K$321,1,false),"")</f>
        <v/>
      </c>
    </row>
    <row r="102">
      <c r="A102" s="21"/>
      <c r="D102" s="4" t="str">
        <f>iferror(vlookup(B102,Sheet1!$B$2:$K$321,10,false),"")</f>
        <v/>
      </c>
      <c r="E102" s="4" t="str">
        <f>iferror(vlookup(B102,Sheet1!$B$2:$K$321,1,false),"")</f>
        <v/>
      </c>
    </row>
    <row r="103">
      <c r="A103" s="21"/>
      <c r="D103" s="4" t="str">
        <f>iferror(vlookup(B103,Sheet1!$B$2:$K$321,10,false),"")</f>
        <v/>
      </c>
      <c r="E103" s="4" t="str">
        <f>iferror(vlookup(B103,Sheet1!$B$2:$K$321,1,false),"")</f>
        <v/>
      </c>
    </row>
    <row r="104">
      <c r="A104" s="21"/>
      <c r="D104" s="4" t="str">
        <f>iferror(vlookup(B104,Sheet1!$B$2:$K$321,10,false),"")</f>
        <v/>
      </c>
      <c r="E104" s="4" t="str">
        <f>iferror(vlookup(B104,Sheet1!$B$2:$K$321,1,false),"")</f>
        <v/>
      </c>
    </row>
    <row r="105">
      <c r="A105" s="21"/>
      <c r="D105" s="4" t="str">
        <f>iferror(vlookup(B105,Sheet1!$B$2:$K$321,10,false),"")</f>
        <v/>
      </c>
      <c r="E105" s="4" t="str">
        <f>iferror(vlookup(B105,Sheet1!$B$2:$K$321,1,false),"")</f>
        <v/>
      </c>
    </row>
    <row r="106">
      <c r="A106" s="21"/>
      <c r="D106" s="4" t="str">
        <f>iferror(vlookup(B106,Sheet1!$B$2:$K$321,10,false),"")</f>
        <v/>
      </c>
      <c r="E106" s="4" t="str">
        <f>iferror(vlookup(B106,Sheet1!$B$2:$K$321,1,false),"")</f>
        <v/>
      </c>
    </row>
    <row r="107">
      <c r="A107" s="21"/>
      <c r="D107" s="4" t="str">
        <f>iferror(vlookup(B107,Sheet1!$B$2:$K$321,10,false),"")</f>
        <v/>
      </c>
      <c r="E107" s="4" t="str">
        <f>iferror(vlookup(B107,Sheet1!$B$2:$K$321,1,false),"")</f>
        <v/>
      </c>
    </row>
    <row r="108">
      <c r="A108" s="21"/>
      <c r="D108" s="4" t="str">
        <f>iferror(vlookup(B108,Sheet1!$B$2:$K$321,10,false),"")</f>
        <v/>
      </c>
      <c r="E108" s="4" t="str">
        <f>iferror(vlookup(B108,Sheet1!$B$2:$K$321,1,false),"")</f>
        <v/>
      </c>
    </row>
    <row r="109">
      <c r="A109" s="21"/>
      <c r="D109" s="4" t="str">
        <f>iferror(vlookup(B109,Sheet1!$B$2:$K$321,10,false),"")</f>
        <v/>
      </c>
      <c r="E109" s="4" t="str">
        <f>iferror(vlookup(B109,Sheet1!$B$2:$K$321,1,false),"")</f>
        <v/>
      </c>
    </row>
    <row r="110">
      <c r="A110" s="21"/>
      <c r="D110" s="4" t="str">
        <f>iferror(vlookup(B110,Sheet1!$B$2:$K$321,10,false),"")</f>
        <v/>
      </c>
      <c r="E110" s="4" t="str">
        <f>iferror(vlookup(B110,Sheet1!$B$2:$K$321,1,false),"")</f>
        <v/>
      </c>
    </row>
    <row r="111">
      <c r="A111" s="21"/>
      <c r="D111" s="4" t="str">
        <f>iferror(vlookup(B111,Sheet1!$B$2:$K$321,10,false),"")</f>
        <v/>
      </c>
      <c r="E111" s="4" t="str">
        <f>iferror(vlookup(B111,Sheet1!$B$2:$K$321,1,false),"")</f>
        <v/>
      </c>
    </row>
    <row r="112">
      <c r="A112" s="21"/>
      <c r="D112" s="4" t="str">
        <f>iferror(vlookup(B112,Sheet1!$B$2:$K$321,10,false),"")</f>
        <v/>
      </c>
      <c r="E112" s="4" t="str">
        <f>iferror(vlookup(B112,Sheet1!$B$2:$K$321,1,false),"")</f>
        <v/>
      </c>
    </row>
    <row r="113">
      <c r="A113" s="21"/>
      <c r="D113" s="4" t="str">
        <f>iferror(vlookup(B113,Sheet1!$B$2:$K$321,10,false),"")</f>
        <v/>
      </c>
      <c r="E113" s="4" t="str">
        <f>iferror(vlookup(B113,Sheet1!$B$2:$K$321,1,false),"")</f>
        <v/>
      </c>
    </row>
    <row r="114">
      <c r="A114" s="21"/>
      <c r="D114" s="4" t="str">
        <f>iferror(vlookup(B114,Sheet1!$B$2:$K$321,10,false),"")</f>
        <v/>
      </c>
      <c r="E114" s="4" t="str">
        <f>iferror(vlookup(B114,Sheet1!$B$2:$K$321,1,false),"")</f>
        <v/>
      </c>
    </row>
    <row r="115">
      <c r="A115" s="21"/>
      <c r="D115" s="4" t="str">
        <f>iferror(vlookup(B115,Sheet1!$B$2:$K$321,10,false),"")</f>
        <v/>
      </c>
      <c r="E115" s="4" t="str">
        <f>iferror(vlookup(B115,Sheet1!$B$2:$K$321,1,false),"")</f>
        <v/>
      </c>
    </row>
    <row r="116">
      <c r="A116" s="21"/>
      <c r="D116" s="4" t="str">
        <f>iferror(vlookup(B116,Sheet1!$B$2:$K$321,10,false),"")</f>
        <v/>
      </c>
      <c r="E116" s="4" t="str">
        <f>iferror(vlookup(B116,Sheet1!$B$2:$K$321,1,false),"")</f>
        <v/>
      </c>
    </row>
    <row r="117">
      <c r="A117" s="21"/>
      <c r="D117" s="4" t="str">
        <f>iferror(vlookup(B117,Sheet1!$B$2:$K$321,10,false),"")</f>
        <v/>
      </c>
      <c r="E117" s="4" t="str">
        <f>iferror(vlookup(B117,Sheet1!$B$2:$K$321,1,false),"")</f>
        <v/>
      </c>
    </row>
    <row r="118">
      <c r="A118" s="21"/>
      <c r="D118" s="4" t="str">
        <f>iferror(vlookup(B118,Sheet1!$B$2:$K$321,10,false),"")</f>
        <v/>
      </c>
      <c r="E118" s="4" t="str">
        <f>iferror(vlookup(B118,Sheet1!$B$2:$K$321,1,false),"")</f>
        <v/>
      </c>
    </row>
    <row r="119">
      <c r="A119" s="21"/>
      <c r="D119" s="4" t="str">
        <f>iferror(vlookup(B119,Sheet1!$B$2:$K$321,10,false),"")</f>
        <v/>
      </c>
      <c r="E119" s="4" t="str">
        <f>iferror(vlookup(B119,Sheet1!$B$2:$K$321,1,false),"")</f>
        <v/>
      </c>
    </row>
    <row r="120">
      <c r="A120" s="21"/>
      <c r="D120" s="4" t="str">
        <f>iferror(vlookup(B120,Sheet1!$B$2:$K$321,10,false),"")</f>
        <v/>
      </c>
      <c r="E120" s="4" t="str">
        <f>iferror(vlookup(B120,Sheet1!$B$2:$K$321,1,false),"")</f>
        <v/>
      </c>
    </row>
    <row r="121">
      <c r="A121" s="21"/>
      <c r="D121" s="4" t="str">
        <f>iferror(vlookup(B121,Sheet1!$B$2:$K$321,10,false),"")</f>
        <v/>
      </c>
      <c r="E121" s="4" t="str">
        <f>iferror(vlookup(B121,Sheet1!$B$2:$K$321,1,false),"")</f>
        <v/>
      </c>
    </row>
    <row r="122">
      <c r="A122" s="21"/>
      <c r="D122" s="4" t="str">
        <f>iferror(vlookup(B122,Sheet1!$B$2:$K$321,10,false),"")</f>
        <v/>
      </c>
      <c r="E122" s="4" t="str">
        <f>iferror(vlookup(B122,Sheet1!$B$2:$K$321,1,false),"")</f>
        <v/>
      </c>
    </row>
    <row r="123">
      <c r="A123" s="21"/>
      <c r="D123" s="4" t="str">
        <f>iferror(vlookup(B123,Sheet1!$B$2:$K$321,10,false),"")</f>
        <v/>
      </c>
      <c r="E123" s="4" t="str">
        <f>iferror(vlookup(B123,Sheet1!$B$2:$K$321,1,false),"")</f>
        <v/>
      </c>
    </row>
    <row r="124">
      <c r="A124" s="21"/>
      <c r="D124" s="4" t="str">
        <f>iferror(vlookup(B124,Sheet1!$B$2:$K$321,10,false),"")</f>
        <v/>
      </c>
      <c r="E124" s="4" t="str">
        <f>iferror(vlookup(B124,Sheet1!$B$2:$K$321,1,false),"")</f>
        <v/>
      </c>
    </row>
    <row r="125">
      <c r="A125" s="21"/>
      <c r="D125" s="4" t="str">
        <f>iferror(vlookup(B125,Sheet1!$B$2:$K$321,10,false),"")</f>
        <v/>
      </c>
      <c r="E125" s="4" t="str">
        <f>iferror(vlookup(B125,Sheet1!$B$2:$K$321,1,false),"")</f>
        <v/>
      </c>
    </row>
    <row r="126">
      <c r="A126" s="21"/>
      <c r="D126" s="4" t="str">
        <f>iferror(vlookup(B126,Sheet1!$B$2:$K$321,10,false),"")</f>
        <v/>
      </c>
      <c r="E126" s="4" t="str">
        <f>iferror(vlookup(B126,Sheet1!$B$2:$K$321,1,false),"")</f>
        <v/>
      </c>
    </row>
    <row r="127">
      <c r="A127" s="21"/>
      <c r="D127" s="4" t="str">
        <f>iferror(vlookup(B127,Sheet1!$B$2:$K$321,10,false),"")</f>
        <v/>
      </c>
      <c r="E127" s="4" t="str">
        <f>iferror(vlookup(B127,Sheet1!$B$2:$K$321,1,false),"")</f>
        <v/>
      </c>
    </row>
    <row r="128">
      <c r="A128" s="21"/>
      <c r="D128" s="4" t="str">
        <f>iferror(vlookup(B128,Sheet1!$B$2:$K$321,10,false),"")</f>
        <v/>
      </c>
      <c r="E128" s="4" t="str">
        <f>iferror(vlookup(B128,Sheet1!$B$2:$K$321,1,false),"")</f>
        <v/>
      </c>
    </row>
    <row r="129">
      <c r="A129" s="21"/>
      <c r="D129" s="4" t="str">
        <f>iferror(vlookup(B129,Sheet1!$B$2:$K$321,10,false),"")</f>
        <v/>
      </c>
      <c r="E129" s="4" t="str">
        <f>iferror(vlookup(B129,Sheet1!$B$2:$K$321,1,false),"")</f>
        <v/>
      </c>
    </row>
    <row r="130">
      <c r="A130" s="21"/>
      <c r="D130" s="4" t="str">
        <f>iferror(vlookup(B130,Sheet1!$B$2:$K$321,10,false),"")</f>
        <v/>
      </c>
      <c r="E130" s="4" t="str">
        <f>iferror(vlookup(B130,Sheet1!$B$2:$K$321,1,false),"")</f>
        <v/>
      </c>
    </row>
    <row r="131">
      <c r="A131" s="21"/>
      <c r="D131" s="4" t="str">
        <f>iferror(vlookup(B131,Sheet1!$B$2:$K$321,10,false),"")</f>
        <v/>
      </c>
      <c r="E131" s="4" t="str">
        <f>iferror(vlookup(B131,Sheet1!$B$2:$K$321,1,false),"")</f>
        <v/>
      </c>
    </row>
    <row r="132">
      <c r="A132" s="21"/>
      <c r="D132" s="4" t="str">
        <f>iferror(vlookup(B132,Sheet1!$B$2:$K$321,10,false),"")</f>
        <v/>
      </c>
      <c r="E132" s="4" t="str">
        <f>iferror(vlookup(B132,Sheet1!$B$2:$K$321,1,false),"")</f>
        <v/>
      </c>
    </row>
    <row r="133">
      <c r="A133" s="21"/>
      <c r="D133" s="4" t="str">
        <f>iferror(vlookup(B133,Sheet1!$B$2:$K$321,10,false),"")</f>
        <v/>
      </c>
      <c r="E133" s="4" t="str">
        <f>iferror(vlookup(B133,Sheet1!$B$2:$K$321,1,false),"")</f>
        <v/>
      </c>
    </row>
    <row r="134">
      <c r="A134" s="21"/>
      <c r="D134" s="4" t="str">
        <f>iferror(vlookup(B134,Sheet1!$B$2:$K$321,10,false),"")</f>
        <v/>
      </c>
      <c r="E134" s="4" t="str">
        <f>iferror(vlookup(B134,Sheet1!$B$2:$K$321,1,false),"")</f>
        <v/>
      </c>
    </row>
    <row r="135">
      <c r="A135" s="21"/>
      <c r="D135" s="4" t="str">
        <f>iferror(vlookup(B135,Sheet1!$B$2:$K$321,10,false),"")</f>
        <v/>
      </c>
      <c r="E135" s="4" t="str">
        <f>iferror(vlookup(B135,Sheet1!$B$2:$K$321,1,false),"")</f>
        <v/>
      </c>
    </row>
    <row r="136">
      <c r="A136" s="21"/>
      <c r="D136" s="4" t="str">
        <f>iferror(vlookup(B136,Sheet1!$B$2:$K$321,10,false),"")</f>
        <v/>
      </c>
      <c r="E136" s="4" t="str">
        <f>iferror(vlookup(B136,Sheet1!$B$2:$K$321,1,false),"")</f>
        <v/>
      </c>
    </row>
    <row r="137">
      <c r="A137" s="21"/>
      <c r="D137" s="4" t="str">
        <f>iferror(vlookup(B137,Sheet1!$B$2:$K$321,10,false),"")</f>
        <v/>
      </c>
      <c r="E137" s="4" t="str">
        <f>iferror(vlookup(B137,Sheet1!$B$2:$K$321,1,false),"")</f>
        <v/>
      </c>
    </row>
    <row r="138">
      <c r="A138" s="21"/>
      <c r="D138" s="4" t="str">
        <f>iferror(vlookup(B138,Sheet1!$B$2:$K$321,10,false),"")</f>
        <v/>
      </c>
      <c r="E138" s="4" t="str">
        <f>iferror(vlookup(B138,Sheet1!$B$2:$K$321,1,false),"")</f>
        <v/>
      </c>
    </row>
    <row r="139">
      <c r="A139" s="21"/>
      <c r="D139" s="4" t="str">
        <f>iferror(vlookup(B139,Sheet1!$B$2:$K$321,10,false),"")</f>
        <v/>
      </c>
      <c r="E139" s="4" t="str">
        <f>iferror(vlookup(B139,Sheet1!$B$2:$K$321,1,false),"")</f>
        <v/>
      </c>
    </row>
    <row r="140">
      <c r="A140" s="21"/>
      <c r="D140" s="4" t="str">
        <f>iferror(vlookup(B140,Sheet1!$B$2:$K$321,10,false),"")</f>
        <v/>
      </c>
      <c r="E140" s="4" t="str">
        <f>iferror(vlookup(B140,Sheet1!$B$2:$K$321,1,false),"")</f>
        <v/>
      </c>
    </row>
    <row r="141">
      <c r="A141" s="21"/>
      <c r="D141" s="4" t="str">
        <f>iferror(vlookup(B141,Sheet1!$B$2:$K$321,10,false),"")</f>
        <v/>
      </c>
      <c r="E141" s="4" t="str">
        <f>iferror(vlookup(B141,Sheet1!$B$2:$K$321,1,false),"")</f>
        <v/>
      </c>
    </row>
    <row r="142">
      <c r="A142" s="21"/>
      <c r="D142" s="4" t="str">
        <f>iferror(vlookup(B142,Sheet1!$B$2:$K$321,10,false),"")</f>
        <v/>
      </c>
      <c r="E142" s="4" t="str">
        <f>iferror(vlookup(B142,Sheet1!$B$2:$K$321,1,false),"")</f>
        <v/>
      </c>
    </row>
    <row r="143">
      <c r="A143" s="21"/>
      <c r="D143" s="4" t="str">
        <f>iferror(vlookup(B143,Sheet1!$B$2:$K$321,10,false),"")</f>
        <v/>
      </c>
      <c r="E143" s="4" t="str">
        <f>iferror(vlookup(B143,Sheet1!$B$2:$K$321,1,false),"")</f>
        <v/>
      </c>
    </row>
    <row r="144">
      <c r="A144" s="21"/>
      <c r="D144" s="4" t="str">
        <f>iferror(vlookup(B144,Sheet1!$B$2:$K$321,10,false),"")</f>
        <v/>
      </c>
      <c r="E144" s="4" t="str">
        <f>iferror(vlookup(B144,Sheet1!$B$2:$K$321,1,false),"")</f>
        <v/>
      </c>
    </row>
    <row r="145">
      <c r="A145" s="21"/>
      <c r="D145" s="4" t="str">
        <f>iferror(vlookup(B145,Sheet1!$B$2:$K$321,10,false),"")</f>
        <v/>
      </c>
      <c r="E145" s="4" t="str">
        <f>iferror(vlookup(B145,Sheet1!$B$2:$K$321,1,false),"")</f>
        <v/>
      </c>
    </row>
    <row r="146">
      <c r="A146" s="21"/>
      <c r="D146" s="4" t="str">
        <f>iferror(vlookup(B146,Sheet1!$B$2:$K$321,10,false),"")</f>
        <v/>
      </c>
      <c r="E146" s="4" t="str">
        <f>iferror(vlookup(B146,Sheet1!$B$2:$K$321,1,false),"")</f>
        <v/>
      </c>
    </row>
    <row r="147">
      <c r="A147" s="21"/>
      <c r="D147" s="4" t="str">
        <f>iferror(vlookup(B147,Sheet1!$B$2:$K$321,10,false),"")</f>
        <v/>
      </c>
      <c r="E147" s="4" t="str">
        <f>iferror(vlookup(B147,Sheet1!$B$2:$K$321,1,false),"")</f>
        <v/>
      </c>
    </row>
    <row r="148">
      <c r="A148" s="21"/>
      <c r="D148" s="4" t="str">
        <f>iferror(vlookup(B148,Sheet1!$B$2:$K$321,10,false),"")</f>
        <v/>
      </c>
      <c r="E148" s="4" t="str">
        <f>iferror(vlookup(B148,Sheet1!$B$2:$K$321,1,false),"")</f>
        <v/>
      </c>
    </row>
    <row r="149">
      <c r="A149" s="21"/>
      <c r="D149" s="4" t="str">
        <f>iferror(vlookup(B149,Sheet1!$B$2:$K$321,10,false),"")</f>
        <v/>
      </c>
      <c r="E149" s="4" t="str">
        <f>iferror(vlookup(B149,Sheet1!$B$2:$K$321,1,false),"")</f>
        <v/>
      </c>
    </row>
    <row r="150">
      <c r="A150" s="21"/>
      <c r="D150" s="4" t="str">
        <f>iferror(vlookup(B150,Sheet1!$B$2:$K$321,10,false),"")</f>
        <v/>
      </c>
      <c r="E150" s="4" t="str">
        <f>iferror(vlookup(B150,Sheet1!$B$2:$K$321,1,false),"")</f>
        <v/>
      </c>
    </row>
    <row r="151">
      <c r="A151" s="21"/>
      <c r="D151" s="4" t="str">
        <f>iferror(vlookup(B151,Sheet1!$B$2:$K$321,10,false),"")</f>
        <v/>
      </c>
      <c r="E151" s="4" t="str">
        <f>iferror(vlookup(B151,Sheet1!$B$2:$K$321,1,false),"")</f>
        <v/>
      </c>
    </row>
    <row r="152">
      <c r="A152" s="21"/>
      <c r="D152" s="4" t="str">
        <f>iferror(vlookup(B152,Sheet1!$B$2:$K$321,10,false),"")</f>
        <v/>
      </c>
      <c r="E152" s="4" t="str">
        <f>iferror(vlookup(B152,Sheet1!$B$2:$K$321,1,false),"")</f>
        <v/>
      </c>
    </row>
    <row r="153">
      <c r="A153" s="21"/>
      <c r="D153" s="4" t="str">
        <f>iferror(vlookup(B153,Sheet1!$B$2:$K$321,10,false),"")</f>
        <v/>
      </c>
      <c r="E153" s="4" t="str">
        <f>iferror(vlookup(B153,Sheet1!$B$2:$K$321,1,false),"")</f>
        <v/>
      </c>
    </row>
    <row r="154">
      <c r="A154" s="21"/>
      <c r="D154" s="4" t="str">
        <f>iferror(vlookup(B154,Sheet1!$B$2:$K$321,10,false),"")</f>
        <v/>
      </c>
      <c r="E154" s="4" t="str">
        <f>iferror(vlookup(B154,Sheet1!$B$2:$K$321,1,false),"")</f>
        <v/>
      </c>
    </row>
    <row r="155">
      <c r="A155" s="21"/>
      <c r="D155" s="4" t="str">
        <f>iferror(vlookup(B155,Sheet1!$B$2:$K$321,10,false),"")</f>
        <v/>
      </c>
      <c r="E155" s="4" t="str">
        <f>iferror(vlookup(B155,Sheet1!$B$2:$K$321,1,false),"")</f>
        <v/>
      </c>
    </row>
    <row r="156">
      <c r="A156" s="21"/>
      <c r="D156" s="4" t="str">
        <f>iferror(vlookup(B156,Sheet1!$B$2:$K$321,10,false),"")</f>
        <v/>
      </c>
      <c r="E156" s="4" t="str">
        <f>iferror(vlookup(B156,Sheet1!$B$2:$K$321,1,false),"")</f>
        <v/>
      </c>
    </row>
    <row r="157">
      <c r="A157" s="21"/>
      <c r="D157" s="4" t="str">
        <f>iferror(vlookup(B157,Sheet1!$B$2:$K$321,10,false),"")</f>
        <v/>
      </c>
      <c r="E157" s="4" t="str">
        <f>iferror(vlookup(B157,Sheet1!$B$2:$K$321,1,false),"")</f>
        <v/>
      </c>
    </row>
    <row r="158">
      <c r="A158" s="21"/>
      <c r="D158" s="4" t="str">
        <f>iferror(vlookup(B158,Sheet1!$B$2:$K$321,10,false),"")</f>
        <v/>
      </c>
      <c r="E158" s="4" t="str">
        <f>iferror(vlookup(B158,Sheet1!$B$2:$K$321,1,false),"")</f>
        <v/>
      </c>
    </row>
    <row r="159">
      <c r="A159" s="21"/>
      <c r="D159" s="4" t="str">
        <f>iferror(vlookup(B159,Sheet1!$B$2:$K$321,10,false),"")</f>
        <v/>
      </c>
      <c r="E159" s="4" t="str">
        <f>iferror(vlookup(B159,Sheet1!$B$2:$K$321,1,false),"")</f>
        <v/>
      </c>
    </row>
    <row r="160">
      <c r="A160" s="21"/>
      <c r="D160" s="4" t="str">
        <f>iferror(vlookup(B160,Sheet1!$B$2:$K$321,10,false),"")</f>
        <v/>
      </c>
      <c r="E160" s="4" t="str">
        <f>iferror(vlookup(B160,Sheet1!$B$2:$K$321,1,false),"")</f>
        <v/>
      </c>
    </row>
    <row r="161">
      <c r="A161" s="21"/>
      <c r="D161" s="4" t="str">
        <f>iferror(vlookup(B161,Sheet1!$B$2:$K$321,10,false),"")</f>
        <v/>
      </c>
      <c r="E161" s="4" t="str">
        <f>iferror(vlookup(B161,Sheet1!$B$2:$K$321,1,false),"")</f>
        <v/>
      </c>
    </row>
    <row r="162">
      <c r="A162" s="21"/>
      <c r="D162" s="4" t="str">
        <f>iferror(vlookup(B162,Sheet1!$B$2:$K$321,10,false),"")</f>
        <v/>
      </c>
      <c r="E162" s="4" t="str">
        <f>iferror(vlookup(B162,Sheet1!$B$2:$K$321,1,false),"")</f>
        <v/>
      </c>
    </row>
    <row r="163">
      <c r="A163" s="21"/>
      <c r="D163" s="4" t="str">
        <f>iferror(vlookup(B163,Sheet1!$B$2:$K$321,10,false),"")</f>
        <v/>
      </c>
      <c r="E163" s="4" t="str">
        <f>iferror(vlookup(B163,Sheet1!$B$2:$K$321,1,false),"")</f>
        <v/>
      </c>
    </row>
    <row r="164">
      <c r="A164" s="21"/>
      <c r="D164" s="4" t="str">
        <f>iferror(vlookup(B164,Sheet1!$B$2:$K$321,10,false),"")</f>
        <v/>
      </c>
      <c r="E164" s="4" t="str">
        <f>iferror(vlookup(B164,Sheet1!$B$2:$K$321,1,false),"")</f>
        <v/>
      </c>
    </row>
    <row r="165">
      <c r="A165" s="21"/>
      <c r="D165" s="4" t="str">
        <f>iferror(vlookup(B165,Sheet1!$B$2:$K$321,10,false),"")</f>
        <v/>
      </c>
      <c r="E165" s="4" t="str">
        <f>iferror(vlookup(B165,Sheet1!$B$2:$K$321,1,false),"")</f>
        <v/>
      </c>
    </row>
    <row r="166">
      <c r="A166" s="21"/>
      <c r="D166" s="4" t="str">
        <f>iferror(vlookup(B166,Sheet1!$B$2:$K$321,10,false),"")</f>
        <v/>
      </c>
      <c r="E166" s="4" t="str">
        <f>iferror(vlookup(B166,Sheet1!$B$2:$K$321,1,false),"")</f>
        <v/>
      </c>
    </row>
    <row r="167">
      <c r="A167" s="21"/>
      <c r="D167" s="4" t="str">
        <f>iferror(vlookup(B167,Sheet1!$B$2:$K$321,10,false),"")</f>
        <v/>
      </c>
      <c r="E167" s="4" t="str">
        <f>iferror(vlookup(B167,Sheet1!$B$2:$K$321,1,false),"")</f>
        <v/>
      </c>
    </row>
    <row r="168">
      <c r="A168" s="21"/>
      <c r="D168" s="4" t="str">
        <f>iferror(vlookup(B168,Sheet1!$B$2:$K$321,10,false),"")</f>
        <v/>
      </c>
      <c r="E168" s="4" t="str">
        <f>iferror(vlookup(B168,Sheet1!$B$2:$K$321,1,false),"")</f>
        <v/>
      </c>
    </row>
    <row r="169">
      <c r="A169" s="21"/>
      <c r="D169" s="4" t="str">
        <f>iferror(vlookup(B169,Sheet1!$B$2:$K$321,10,false),"")</f>
        <v/>
      </c>
      <c r="E169" s="4" t="str">
        <f>iferror(vlookup(B169,Sheet1!$B$2:$K$321,1,false),"")</f>
        <v/>
      </c>
    </row>
    <row r="170">
      <c r="A170" s="21"/>
      <c r="D170" s="4" t="str">
        <f>iferror(vlookup(B170,Sheet1!$B$2:$K$321,10,false),"")</f>
        <v/>
      </c>
      <c r="E170" s="4" t="str">
        <f>iferror(vlookup(B170,Sheet1!$B$2:$K$321,1,false),"")</f>
        <v/>
      </c>
    </row>
    <row r="171">
      <c r="A171" s="21"/>
      <c r="D171" s="4" t="str">
        <f>iferror(vlookup(B171,Sheet1!$B$2:$K$321,10,false),"")</f>
        <v/>
      </c>
      <c r="E171" s="4" t="str">
        <f>iferror(vlookup(B171,Sheet1!$B$2:$K$321,1,false),"")</f>
        <v/>
      </c>
    </row>
    <row r="172">
      <c r="A172" s="21"/>
      <c r="D172" s="4" t="str">
        <f>iferror(vlookup(B172,Sheet1!$B$2:$K$321,10,false),"")</f>
        <v/>
      </c>
      <c r="E172" s="4" t="str">
        <f>iferror(vlookup(B172,Sheet1!$B$2:$K$321,1,false),"")</f>
        <v/>
      </c>
    </row>
    <row r="173">
      <c r="A173" s="21"/>
      <c r="D173" s="4" t="str">
        <f>iferror(vlookup(B173,Sheet1!$B$2:$K$321,10,false),"")</f>
        <v/>
      </c>
      <c r="E173" s="4" t="str">
        <f>iferror(vlookup(B173,Sheet1!$B$2:$K$321,1,false),"")</f>
        <v/>
      </c>
    </row>
    <row r="174">
      <c r="A174" s="21"/>
      <c r="D174" s="4" t="str">
        <f>iferror(vlookup(B174,Sheet1!$B$2:$K$321,10,false),"")</f>
        <v/>
      </c>
      <c r="E174" s="4" t="str">
        <f>iferror(vlookup(B174,Sheet1!$B$2:$K$321,1,false),"")</f>
        <v/>
      </c>
    </row>
    <row r="175">
      <c r="A175" s="21"/>
      <c r="D175" s="4" t="str">
        <f>iferror(vlookup(B175,Sheet1!$B$2:$K$321,10,false),"")</f>
        <v/>
      </c>
      <c r="E175" s="4" t="str">
        <f>iferror(vlookup(B175,Sheet1!$B$2:$K$321,1,false),"")</f>
        <v/>
      </c>
    </row>
    <row r="176">
      <c r="A176" s="21"/>
      <c r="D176" s="4" t="str">
        <f>iferror(vlookup(B176,Sheet1!$B$2:$K$321,10,false),"")</f>
        <v/>
      </c>
      <c r="E176" s="4" t="str">
        <f>iferror(vlookup(B176,Sheet1!$B$2:$K$321,1,false),"")</f>
        <v/>
      </c>
    </row>
    <row r="177">
      <c r="A177" s="21"/>
      <c r="D177" s="4" t="str">
        <f>iferror(vlookup(B177,Sheet1!$B$2:$K$321,10,false),"")</f>
        <v/>
      </c>
      <c r="E177" s="4" t="str">
        <f>iferror(vlookup(B177,Sheet1!$B$2:$K$321,1,false),"")</f>
        <v/>
      </c>
    </row>
    <row r="178">
      <c r="A178" s="21"/>
      <c r="D178" s="4" t="str">
        <f>iferror(vlookup(B178,Sheet1!$B$2:$K$321,10,false),"")</f>
        <v/>
      </c>
      <c r="E178" s="4" t="str">
        <f>iferror(vlookup(B178,Sheet1!$B$2:$K$321,1,false),"")</f>
        <v/>
      </c>
    </row>
    <row r="179">
      <c r="A179" s="21"/>
      <c r="D179" s="4" t="str">
        <f>iferror(vlookup(B179,Sheet1!$B$2:$K$321,10,false),"")</f>
        <v/>
      </c>
      <c r="E179" s="4" t="str">
        <f>iferror(vlookup(B179,Sheet1!$B$2:$K$321,1,false),"")</f>
        <v/>
      </c>
    </row>
    <row r="180">
      <c r="A180" s="21"/>
      <c r="D180" s="4" t="str">
        <f>iferror(vlookup(B180,Sheet1!$B$2:$K$321,10,false),"")</f>
        <v/>
      </c>
      <c r="E180" s="4" t="str">
        <f>iferror(vlookup(B180,Sheet1!$B$2:$K$321,1,false),"")</f>
        <v/>
      </c>
    </row>
    <row r="181">
      <c r="A181" s="21"/>
      <c r="D181" s="4" t="str">
        <f>iferror(vlookup(B181,Sheet1!$B$2:$K$321,10,false),"")</f>
        <v/>
      </c>
      <c r="E181" s="4" t="str">
        <f>iferror(vlookup(B181,Sheet1!$B$2:$K$321,1,false),"")</f>
        <v/>
      </c>
    </row>
    <row r="182">
      <c r="A182" s="21"/>
      <c r="D182" s="4" t="str">
        <f>iferror(vlookup(B182,Sheet1!$B$2:$K$321,10,false),"")</f>
        <v/>
      </c>
      <c r="E182" s="4" t="str">
        <f>iferror(vlookup(B182,Sheet1!$B$2:$K$321,1,false),"")</f>
        <v/>
      </c>
    </row>
    <row r="183">
      <c r="A183" s="21"/>
      <c r="D183" s="4" t="str">
        <f>iferror(vlookup(B183,Sheet1!$B$2:$K$321,10,false),"")</f>
        <v/>
      </c>
      <c r="E183" s="4" t="str">
        <f>iferror(vlookup(B183,Sheet1!$B$2:$K$321,1,false),"")</f>
        <v/>
      </c>
    </row>
    <row r="184">
      <c r="A184" s="21"/>
      <c r="D184" s="4" t="str">
        <f>iferror(vlookup(B184,Sheet1!$B$2:$K$321,10,false),"")</f>
        <v/>
      </c>
      <c r="E184" s="4" t="str">
        <f>iferror(vlookup(B184,Sheet1!$B$2:$K$321,1,false),"")</f>
        <v/>
      </c>
    </row>
    <row r="185">
      <c r="A185" s="21"/>
      <c r="D185" s="4" t="str">
        <f>iferror(vlookup(B185,Sheet1!$B$2:$K$321,10,false),"")</f>
        <v/>
      </c>
      <c r="E185" s="4" t="str">
        <f>iferror(vlookup(B185,Sheet1!$B$2:$K$321,1,false),"")</f>
        <v/>
      </c>
    </row>
    <row r="186">
      <c r="A186" s="21"/>
      <c r="D186" s="4" t="str">
        <f>iferror(vlookup(B186,Sheet1!$B$2:$K$321,10,false),"")</f>
        <v/>
      </c>
      <c r="E186" s="4" t="str">
        <f>iferror(vlookup(B186,Sheet1!$B$2:$K$321,1,false),"")</f>
        <v/>
      </c>
    </row>
    <row r="187">
      <c r="A187" s="21"/>
      <c r="D187" s="4" t="str">
        <f>iferror(vlookup(B187,Sheet1!$B$2:$K$321,10,false),"")</f>
        <v/>
      </c>
      <c r="E187" s="4" t="str">
        <f>iferror(vlookup(B187,Sheet1!$B$2:$K$321,1,false),"")</f>
        <v/>
      </c>
    </row>
    <row r="188">
      <c r="A188" s="21"/>
      <c r="D188" s="4" t="str">
        <f>iferror(vlookup(B188,Sheet1!$B$2:$K$321,10,false),"")</f>
        <v/>
      </c>
      <c r="E188" s="4" t="str">
        <f>iferror(vlookup(B188,Sheet1!$B$2:$K$321,1,false),"")</f>
        <v/>
      </c>
    </row>
    <row r="189">
      <c r="A189" s="21"/>
      <c r="D189" s="4" t="str">
        <f>iferror(vlookup(B189,Sheet1!$B$2:$K$321,10,false),"")</f>
        <v/>
      </c>
      <c r="E189" s="4" t="str">
        <f>iferror(vlookup(B189,Sheet1!$B$2:$K$321,1,false),"")</f>
        <v/>
      </c>
    </row>
    <row r="190">
      <c r="A190" s="21"/>
      <c r="D190" s="4" t="str">
        <f>iferror(vlookup(B190,Sheet1!$B$2:$K$321,10,false),"")</f>
        <v/>
      </c>
      <c r="E190" s="4" t="str">
        <f>iferror(vlookup(B190,Sheet1!$B$2:$K$321,1,false),"")</f>
        <v/>
      </c>
    </row>
    <row r="191">
      <c r="A191" s="21"/>
      <c r="D191" s="4" t="str">
        <f>iferror(vlookup(B191,Sheet1!$B$2:$K$321,10,false),"")</f>
        <v/>
      </c>
      <c r="E191" s="4" t="str">
        <f>iferror(vlookup(B191,Sheet1!$B$2:$K$321,1,false),"")</f>
        <v/>
      </c>
    </row>
    <row r="192">
      <c r="A192" s="21"/>
      <c r="D192" s="4" t="str">
        <f>iferror(vlookup(B192,Sheet1!$B$2:$K$321,10,false),"")</f>
        <v/>
      </c>
      <c r="E192" s="4" t="str">
        <f>iferror(vlookup(B192,Sheet1!$B$2:$K$321,1,false),"")</f>
        <v/>
      </c>
    </row>
    <row r="193">
      <c r="A193" s="21"/>
      <c r="D193" s="4" t="str">
        <f>iferror(vlookup(B193,Sheet1!$B$2:$K$321,10,false),"")</f>
        <v/>
      </c>
      <c r="E193" s="4" t="str">
        <f>iferror(vlookup(B193,Sheet1!$B$2:$K$321,1,false),"")</f>
        <v/>
      </c>
    </row>
    <row r="194">
      <c r="A194" s="21"/>
      <c r="D194" s="4" t="str">
        <f>iferror(vlookup(B194,Sheet1!$B$2:$K$321,10,false),"")</f>
        <v/>
      </c>
      <c r="E194" s="4" t="str">
        <f>iferror(vlookup(B194,Sheet1!$B$2:$K$321,1,false),"")</f>
        <v/>
      </c>
    </row>
    <row r="195">
      <c r="A195" s="21"/>
      <c r="D195" s="4" t="str">
        <f>iferror(vlookup(B195,Sheet1!$B$2:$K$321,10,false),"")</f>
        <v/>
      </c>
      <c r="E195" s="4" t="str">
        <f>iferror(vlookup(B195,Sheet1!$B$2:$K$321,1,false),"")</f>
        <v/>
      </c>
    </row>
    <row r="196">
      <c r="A196" s="21"/>
      <c r="D196" s="4" t="str">
        <f>iferror(vlookup(B196,Sheet1!$B$2:$K$321,10,false),"")</f>
        <v/>
      </c>
      <c r="E196" s="4" t="str">
        <f>iferror(vlookup(B196,Sheet1!$B$2:$K$321,1,false),"")</f>
        <v/>
      </c>
    </row>
    <row r="197">
      <c r="A197" s="21"/>
      <c r="D197" s="4" t="str">
        <f>iferror(vlookup(B197,Sheet1!$B$2:$K$321,10,false),"")</f>
        <v/>
      </c>
      <c r="E197" s="4" t="str">
        <f>iferror(vlookup(B197,Sheet1!$B$2:$K$321,1,false),"")</f>
        <v/>
      </c>
    </row>
    <row r="198">
      <c r="A198" s="21"/>
      <c r="D198" s="4" t="str">
        <f>iferror(vlookup(B198,Sheet1!$B$2:$K$321,10,false),"")</f>
        <v/>
      </c>
      <c r="E198" s="4" t="str">
        <f>iferror(vlookup(B198,Sheet1!$B$2:$K$321,1,false),"")</f>
        <v/>
      </c>
    </row>
    <row r="199">
      <c r="A199" s="21"/>
      <c r="D199" s="4" t="str">
        <f>iferror(vlookup(B199,Sheet1!$B$2:$K$321,10,false),"")</f>
        <v/>
      </c>
      <c r="E199" s="4" t="str">
        <f>iferror(vlookup(B199,Sheet1!$B$2:$K$321,1,false),"")</f>
        <v/>
      </c>
    </row>
    <row r="200">
      <c r="A200" s="21"/>
      <c r="D200" s="4" t="str">
        <f>iferror(vlookup(B200,Sheet1!$B$2:$K$321,10,false),"")</f>
        <v/>
      </c>
      <c r="E200" s="4" t="str">
        <f>iferror(vlookup(B200,Sheet1!$B$2:$K$321,1,false),"")</f>
        <v/>
      </c>
    </row>
    <row r="201">
      <c r="A201" s="21"/>
      <c r="D201" s="4" t="str">
        <f>iferror(vlookup(B201,Sheet1!$B$2:$K$321,10,false),"")</f>
        <v/>
      </c>
      <c r="E201" s="4" t="str">
        <f>iferror(vlookup(B201,Sheet1!$B$2:$K$321,1,false),"")</f>
        <v/>
      </c>
    </row>
    <row r="202">
      <c r="A202" s="21"/>
      <c r="D202" s="4" t="str">
        <f>iferror(vlookup(B202,Sheet1!$B$2:$K$321,10,false),"")</f>
        <v/>
      </c>
      <c r="E202" s="4" t="str">
        <f>iferror(vlookup(B202,Sheet1!$B$2:$K$321,1,false),"")</f>
        <v/>
      </c>
    </row>
    <row r="203">
      <c r="A203" s="21"/>
      <c r="D203" s="4" t="str">
        <f>iferror(vlookup(B203,Sheet1!$B$2:$K$321,10,false),"")</f>
        <v/>
      </c>
      <c r="E203" s="4" t="str">
        <f>iferror(vlookup(B203,Sheet1!$B$2:$K$321,1,false),"")</f>
        <v/>
      </c>
    </row>
    <row r="204">
      <c r="A204" s="21"/>
      <c r="D204" s="4" t="str">
        <f>iferror(vlookup(B204,Sheet1!$B$2:$K$321,10,false),"")</f>
        <v/>
      </c>
      <c r="E204" s="4" t="str">
        <f>iferror(vlookup(B204,Sheet1!$B$2:$K$321,1,false),"")</f>
        <v/>
      </c>
    </row>
    <row r="205">
      <c r="A205" s="21"/>
      <c r="D205" s="4" t="str">
        <f>iferror(vlookup(B205,Sheet1!$B$2:$K$321,10,false),"")</f>
        <v/>
      </c>
      <c r="E205" s="4" t="str">
        <f>iferror(vlookup(B205,Sheet1!$B$2:$K$321,1,false),"")</f>
        <v/>
      </c>
    </row>
    <row r="206">
      <c r="A206" s="21"/>
      <c r="D206" s="4" t="str">
        <f>iferror(vlookup(B206,Sheet1!$B$2:$K$321,10,false),"")</f>
        <v/>
      </c>
      <c r="E206" s="4" t="str">
        <f>iferror(vlookup(B206,Sheet1!$B$2:$K$321,1,false),"")</f>
        <v/>
      </c>
    </row>
    <row r="207">
      <c r="A207" s="21"/>
      <c r="D207" s="4" t="str">
        <f>iferror(vlookup(B207,Sheet1!$B$2:$K$321,10,false),"")</f>
        <v/>
      </c>
      <c r="E207" s="4" t="str">
        <f>iferror(vlookup(B207,Sheet1!$B$2:$K$321,1,false),"")</f>
        <v/>
      </c>
    </row>
    <row r="208">
      <c r="A208" s="21"/>
      <c r="D208" s="4" t="str">
        <f>iferror(vlookup(B208,Sheet1!$B$2:$K$321,10,false),"")</f>
        <v/>
      </c>
      <c r="E208" s="4" t="str">
        <f>iferror(vlookup(B208,Sheet1!$B$2:$K$321,1,false),"")</f>
        <v/>
      </c>
    </row>
    <row r="209">
      <c r="A209" s="21"/>
      <c r="D209" s="4" t="str">
        <f>iferror(vlookup(B209,Sheet1!$B$2:$K$321,10,false),"")</f>
        <v/>
      </c>
      <c r="E209" s="4" t="str">
        <f>iferror(vlookup(B209,Sheet1!$B$2:$K$321,1,false),"")</f>
        <v/>
      </c>
    </row>
    <row r="210">
      <c r="A210" s="21"/>
      <c r="D210" s="4" t="str">
        <f>iferror(vlookup(B210,Sheet1!$B$2:$K$321,10,false),"")</f>
        <v/>
      </c>
      <c r="E210" s="4" t="str">
        <f>iferror(vlookup(B210,Sheet1!$B$2:$K$321,1,false),"")</f>
        <v/>
      </c>
    </row>
    <row r="211">
      <c r="A211" s="21"/>
      <c r="D211" s="4" t="str">
        <f>iferror(vlookup(B211,Sheet1!$B$2:$K$321,10,false),"")</f>
        <v/>
      </c>
      <c r="E211" s="4" t="str">
        <f>iferror(vlookup(B211,Sheet1!$B$2:$K$321,1,false),"")</f>
        <v/>
      </c>
    </row>
    <row r="212">
      <c r="A212" s="21"/>
      <c r="D212" s="4" t="str">
        <f>iferror(vlookup(B212,Sheet1!$B$2:$K$321,10,false),"")</f>
        <v/>
      </c>
      <c r="E212" s="4" t="str">
        <f>iferror(vlookup(B212,Sheet1!$B$2:$K$321,1,false),"")</f>
        <v/>
      </c>
    </row>
    <row r="213">
      <c r="A213" s="21"/>
      <c r="D213" s="4" t="str">
        <f>iferror(vlookup(B213,Sheet1!$B$2:$K$321,10,false),"")</f>
        <v/>
      </c>
      <c r="E213" s="4" t="str">
        <f>iferror(vlookup(B213,Sheet1!$B$2:$K$321,1,false),"")</f>
        <v/>
      </c>
    </row>
    <row r="214">
      <c r="A214" s="21"/>
      <c r="D214" s="4" t="str">
        <f>iferror(vlookup(B214,Sheet1!$B$2:$K$321,10,false),"")</f>
        <v/>
      </c>
      <c r="E214" s="4" t="str">
        <f>iferror(vlookup(B214,Sheet1!$B$2:$K$321,1,false),"")</f>
        <v/>
      </c>
    </row>
    <row r="215">
      <c r="A215" s="21"/>
      <c r="D215" s="4" t="str">
        <f>iferror(vlookup(B215,Sheet1!$B$2:$K$321,10,false),"")</f>
        <v/>
      </c>
      <c r="E215" s="4" t="str">
        <f>iferror(vlookup(B215,Sheet1!$B$2:$K$321,1,false),"")</f>
        <v/>
      </c>
    </row>
    <row r="216">
      <c r="A216" s="21"/>
      <c r="D216" s="4" t="str">
        <f>iferror(vlookup(B216,Sheet1!$B$2:$K$321,10,false),"")</f>
        <v/>
      </c>
      <c r="E216" s="4" t="str">
        <f>iferror(vlookup(B216,Sheet1!$B$2:$K$321,1,false),"")</f>
        <v/>
      </c>
    </row>
    <row r="217">
      <c r="A217" s="21"/>
      <c r="D217" s="4" t="str">
        <f>iferror(vlookup(B217,Sheet1!$B$2:$K$321,10,false),"")</f>
        <v/>
      </c>
      <c r="E217" s="4" t="str">
        <f>iferror(vlookup(B217,Sheet1!$B$2:$K$321,1,false),"")</f>
        <v/>
      </c>
    </row>
    <row r="218">
      <c r="A218" s="21"/>
      <c r="D218" s="4" t="str">
        <f>iferror(vlookup(B218,Sheet1!$B$2:$K$321,10,false),"")</f>
        <v/>
      </c>
      <c r="E218" s="4" t="str">
        <f>iferror(vlookup(B218,Sheet1!$B$2:$K$321,1,false),"")</f>
        <v/>
      </c>
    </row>
    <row r="219">
      <c r="A219" s="21"/>
      <c r="D219" s="4" t="str">
        <f>iferror(vlookup(B219,Sheet1!$B$2:$K$321,10,false),"")</f>
        <v/>
      </c>
      <c r="E219" s="4" t="str">
        <f>iferror(vlookup(B219,Sheet1!$B$2:$K$321,1,false),"")</f>
        <v/>
      </c>
    </row>
    <row r="220">
      <c r="A220" s="21"/>
      <c r="D220" s="4" t="str">
        <f>iferror(vlookup(B220,Sheet1!$B$2:$K$321,10,false),"")</f>
        <v/>
      </c>
      <c r="E220" s="4" t="str">
        <f>iferror(vlookup(B220,Sheet1!$B$2:$K$321,1,false),"")</f>
        <v/>
      </c>
    </row>
    <row r="221">
      <c r="A221" s="21"/>
      <c r="D221" s="4" t="str">
        <f>iferror(vlookup(B221,Sheet1!$B$2:$K$321,10,false),"")</f>
        <v/>
      </c>
      <c r="E221" s="4" t="str">
        <f>iferror(vlookup(B221,Sheet1!$B$2:$K$321,1,false),"")</f>
        <v/>
      </c>
    </row>
    <row r="222">
      <c r="A222" s="21"/>
      <c r="D222" s="4" t="str">
        <f>iferror(vlookup(B222,Sheet1!$B$2:$K$321,10,false),"")</f>
        <v/>
      </c>
      <c r="E222" s="4" t="str">
        <f>iferror(vlookup(B222,Sheet1!$B$2:$K$321,1,false),"")</f>
        <v/>
      </c>
    </row>
    <row r="223">
      <c r="A223" s="21"/>
      <c r="D223" s="4" t="str">
        <f>iferror(vlookup(B223,Sheet1!$B$2:$K$321,10,false),"")</f>
        <v/>
      </c>
      <c r="E223" s="4" t="str">
        <f>iferror(vlookup(B223,Sheet1!$B$2:$K$321,1,false),"")</f>
        <v/>
      </c>
    </row>
    <row r="224">
      <c r="A224" s="21"/>
      <c r="D224" s="4" t="str">
        <f>iferror(vlookup(B224,Sheet1!$B$2:$K$321,10,false),"")</f>
        <v/>
      </c>
      <c r="E224" s="4" t="str">
        <f>iferror(vlookup(B224,Sheet1!$B$2:$K$321,1,false),"")</f>
        <v/>
      </c>
    </row>
    <row r="225">
      <c r="A225" s="21"/>
      <c r="D225" s="4" t="str">
        <f>iferror(vlookup(B225,Sheet1!$B$2:$K$321,10,false),"")</f>
        <v/>
      </c>
      <c r="E225" s="4" t="str">
        <f>iferror(vlookup(B225,Sheet1!$B$2:$K$321,1,false),"")</f>
        <v/>
      </c>
    </row>
    <row r="226">
      <c r="A226" s="21"/>
      <c r="D226" s="4" t="str">
        <f>iferror(vlookup(B226,Sheet1!$B$2:$K$321,10,false),"")</f>
        <v/>
      </c>
      <c r="E226" s="4" t="str">
        <f>iferror(vlookup(B226,Sheet1!$B$2:$K$321,1,false),"")</f>
        <v/>
      </c>
    </row>
    <row r="227">
      <c r="A227" s="21"/>
      <c r="D227" s="4" t="str">
        <f>iferror(vlookup(B227,Sheet1!$B$2:$K$321,10,false),"")</f>
        <v/>
      </c>
      <c r="E227" s="4" t="str">
        <f>iferror(vlookup(B227,Sheet1!$B$2:$K$321,1,false),"")</f>
        <v/>
      </c>
    </row>
    <row r="228">
      <c r="A228" s="21"/>
      <c r="D228" s="4" t="str">
        <f>iferror(vlookup(B228,Sheet1!$B$2:$K$321,10,false),"")</f>
        <v/>
      </c>
      <c r="E228" s="4" t="str">
        <f>iferror(vlookup(B228,Sheet1!$B$2:$K$321,1,false),"")</f>
        <v/>
      </c>
    </row>
    <row r="229">
      <c r="A229" s="21"/>
      <c r="D229" s="4" t="str">
        <f>iferror(vlookup(B229,Sheet1!$B$2:$K$321,10,false),"")</f>
        <v/>
      </c>
      <c r="E229" s="4" t="str">
        <f>iferror(vlookup(B229,Sheet1!$B$2:$K$321,1,false),"")</f>
        <v/>
      </c>
    </row>
    <row r="230">
      <c r="A230" s="21"/>
      <c r="D230" s="4" t="str">
        <f>iferror(vlookup(B230,Sheet1!$B$2:$K$321,10,false),"")</f>
        <v/>
      </c>
      <c r="E230" s="4" t="str">
        <f>iferror(vlookup(B230,Sheet1!$B$2:$K$321,1,false),"")</f>
        <v/>
      </c>
    </row>
    <row r="231">
      <c r="A231" s="21"/>
      <c r="D231" s="4" t="str">
        <f>iferror(vlookup(B231,Sheet1!$B$2:$K$321,10,false),"")</f>
        <v/>
      </c>
      <c r="E231" s="4" t="str">
        <f>iferror(vlookup(B231,Sheet1!$B$2:$K$321,1,false),"")</f>
        <v/>
      </c>
    </row>
    <row r="232">
      <c r="A232" s="21"/>
      <c r="D232" s="4" t="str">
        <f>iferror(vlookup(B232,Sheet1!$B$2:$K$321,10,false),"")</f>
        <v/>
      </c>
      <c r="E232" s="4" t="str">
        <f>iferror(vlookup(B232,Sheet1!$B$2:$K$321,1,false),"")</f>
        <v/>
      </c>
    </row>
    <row r="233">
      <c r="A233" s="21"/>
      <c r="D233" s="4" t="str">
        <f>iferror(vlookup(B233,Sheet1!$B$2:$K$321,10,false),"")</f>
        <v/>
      </c>
      <c r="E233" s="4" t="str">
        <f>iferror(vlookup(B233,Sheet1!$B$2:$K$321,1,false),"")</f>
        <v/>
      </c>
    </row>
    <row r="234">
      <c r="A234" s="21"/>
      <c r="D234" s="4" t="str">
        <f>iferror(vlookup(B234,Sheet1!$B$2:$K$321,10,false),"")</f>
        <v/>
      </c>
      <c r="E234" s="4" t="str">
        <f>iferror(vlookup(B234,Sheet1!$B$2:$K$321,1,false),"")</f>
        <v/>
      </c>
    </row>
    <row r="235">
      <c r="A235" s="21"/>
      <c r="D235" s="4" t="str">
        <f>iferror(vlookup(B235,Sheet1!$B$2:$K$321,10,false),"")</f>
        <v/>
      </c>
      <c r="E235" s="4" t="str">
        <f>iferror(vlookup(B235,Sheet1!$B$2:$K$321,1,false),"")</f>
        <v/>
      </c>
    </row>
    <row r="236">
      <c r="A236" s="21"/>
      <c r="D236" s="4" t="str">
        <f>iferror(vlookup(B236,Sheet1!$B$2:$K$321,10,false),"")</f>
        <v/>
      </c>
      <c r="E236" s="4" t="str">
        <f>iferror(vlookup(B236,Sheet1!$B$2:$K$321,1,false),"")</f>
        <v/>
      </c>
    </row>
    <row r="237">
      <c r="A237" s="21"/>
      <c r="D237" s="4" t="str">
        <f>iferror(vlookup(B237,Sheet1!$B$2:$K$321,10,false),"")</f>
        <v/>
      </c>
      <c r="E237" s="4" t="str">
        <f>iferror(vlookup(B237,Sheet1!$B$2:$K$321,1,false),"")</f>
        <v/>
      </c>
    </row>
    <row r="238">
      <c r="A238" s="21"/>
      <c r="D238" s="4" t="str">
        <f>iferror(vlookup(B238,Sheet1!$B$2:$K$321,10,false),"")</f>
        <v/>
      </c>
      <c r="E238" s="4" t="str">
        <f>iferror(vlookup(B238,Sheet1!$B$2:$K$321,1,false),"")</f>
        <v/>
      </c>
    </row>
    <row r="239">
      <c r="A239" s="21"/>
      <c r="D239" s="4" t="str">
        <f>iferror(vlookup(B239,Sheet1!$B$2:$K$321,10,false),"")</f>
        <v/>
      </c>
      <c r="E239" s="4" t="str">
        <f>iferror(vlookup(B239,Sheet1!$B$2:$K$321,1,false),"")</f>
        <v/>
      </c>
    </row>
    <row r="240">
      <c r="A240" s="21"/>
      <c r="D240" s="4" t="str">
        <f>iferror(vlookup(B240,Sheet1!$B$2:$K$321,10,false),"")</f>
        <v/>
      </c>
      <c r="E240" s="4" t="str">
        <f>iferror(vlookup(B240,Sheet1!$B$2:$K$321,1,false),"")</f>
        <v/>
      </c>
    </row>
    <row r="241">
      <c r="A241" s="21"/>
      <c r="D241" s="4" t="str">
        <f>iferror(vlookup(B241,Sheet1!$B$2:$K$321,10,false),"")</f>
        <v/>
      </c>
      <c r="E241" s="4" t="str">
        <f>iferror(vlookup(B241,Sheet1!$B$2:$K$321,1,false),"")</f>
        <v/>
      </c>
    </row>
    <row r="242">
      <c r="A242" s="21"/>
      <c r="D242" s="4" t="str">
        <f>iferror(vlookup(B242,Sheet1!$B$2:$K$321,10,false),"")</f>
        <v/>
      </c>
      <c r="E242" s="4" t="str">
        <f>iferror(vlookup(B242,Sheet1!$B$2:$K$321,1,false),"")</f>
        <v/>
      </c>
    </row>
    <row r="243">
      <c r="A243" s="21"/>
      <c r="D243" s="4" t="str">
        <f>iferror(vlookup(B243,Sheet1!$B$2:$K$321,10,false),"")</f>
        <v/>
      </c>
      <c r="E243" s="4" t="str">
        <f>iferror(vlookup(B243,Sheet1!$B$2:$K$321,1,false),"")</f>
        <v/>
      </c>
    </row>
    <row r="244">
      <c r="A244" s="21"/>
      <c r="D244" s="4" t="str">
        <f>iferror(vlookup(B244,Sheet1!$B$2:$K$321,10,false),"")</f>
        <v/>
      </c>
      <c r="E244" s="4" t="str">
        <f>iferror(vlookup(B244,Sheet1!$B$2:$K$321,1,false),"")</f>
        <v/>
      </c>
    </row>
    <row r="245">
      <c r="A245" s="21"/>
      <c r="D245" s="4" t="str">
        <f>iferror(vlookup(B245,Sheet1!$B$2:$K$321,10,false),"")</f>
        <v/>
      </c>
      <c r="E245" s="4" t="str">
        <f>iferror(vlookup(B245,Sheet1!$B$2:$K$321,1,false),"")</f>
        <v/>
      </c>
    </row>
    <row r="246">
      <c r="A246" s="21"/>
      <c r="D246" s="4" t="str">
        <f>iferror(vlookup(B246,Sheet1!$B$2:$K$321,10,false),"")</f>
        <v/>
      </c>
      <c r="E246" s="4" t="str">
        <f>iferror(vlookup(B246,Sheet1!$B$2:$K$321,1,false),"")</f>
        <v/>
      </c>
    </row>
    <row r="247">
      <c r="A247" s="21"/>
      <c r="D247" s="4" t="str">
        <f>iferror(vlookup(B247,Sheet1!$B$2:$K$321,10,false),"")</f>
        <v/>
      </c>
      <c r="E247" s="4" t="str">
        <f>iferror(vlookup(B247,Sheet1!$B$2:$K$321,1,false),"")</f>
        <v/>
      </c>
    </row>
    <row r="248">
      <c r="A248" s="21"/>
      <c r="D248" s="4" t="str">
        <f>iferror(vlookup(B248,Sheet1!$B$2:$K$321,10,false),"")</f>
        <v/>
      </c>
      <c r="E248" s="4" t="str">
        <f>iferror(vlookup(B248,Sheet1!$B$2:$K$321,1,false),"")</f>
        <v/>
      </c>
    </row>
    <row r="249">
      <c r="A249" s="21"/>
      <c r="D249" s="4" t="str">
        <f>iferror(vlookup(B249,Sheet1!$B$2:$K$321,10,false),"")</f>
        <v/>
      </c>
      <c r="E249" s="4" t="str">
        <f>iferror(vlookup(B249,Sheet1!$B$2:$K$321,1,false),"")</f>
        <v/>
      </c>
    </row>
    <row r="250">
      <c r="A250" s="21"/>
      <c r="D250" s="4" t="str">
        <f>iferror(vlookup(B250,Sheet1!$B$2:$K$321,10,false),"")</f>
        <v/>
      </c>
      <c r="E250" s="4" t="str">
        <f>iferror(vlookup(B250,Sheet1!$B$2:$K$321,1,false),"")</f>
        <v/>
      </c>
    </row>
    <row r="251">
      <c r="A251" s="21"/>
      <c r="D251" s="4" t="str">
        <f>iferror(vlookup(B251,Sheet1!$B$2:$K$321,10,false),"")</f>
        <v/>
      </c>
      <c r="E251" s="4" t="str">
        <f>iferror(vlookup(B251,Sheet1!$B$2:$K$321,1,false),"")</f>
        <v/>
      </c>
    </row>
    <row r="252">
      <c r="A252" s="21"/>
      <c r="D252" s="4" t="str">
        <f>iferror(vlookup(B252,Sheet1!$B$2:$K$321,10,false),"")</f>
        <v/>
      </c>
      <c r="E252" s="4" t="str">
        <f>iferror(vlookup(B252,Sheet1!$B$2:$K$321,1,false),"")</f>
        <v/>
      </c>
    </row>
    <row r="253">
      <c r="A253" s="21"/>
      <c r="D253" s="4" t="str">
        <f>iferror(vlookup(B253,Sheet1!$B$2:$K$321,10,false),"")</f>
        <v/>
      </c>
      <c r="E253" s="4" t="str">
        <f>iferror(vlookup(B253,Sheet1!$B$2:$K$321,1,false),"")</f>
        <v/>
      </c>
    </row>
    <row r="254">
      <c r="A254" s="21"/>
      <c r="D254" s="4" t="str">
        <f>iferror(vlookup(B254,Sheet1!$B$2:$K$321,10,false),"")</f>
        <v/>
      </c>
      <c r="E254" s="4" t="str">
        <f>iferror(vlookup(B254,Sheet1!$B$2:$K$321,1,false),"")</f>
        <v/>
      </c>
    </row>
    <row r="255">
      <c r="A255" s="21"/>
      <c r="D255" s="4" t="str">
        <f>iferror(vlookup(B255,Sheet1!$B$2:$K$321,10,false),"")</f>
        <v/>
      </c>
      <c r="E255" s="4" t="str">
        <f>iferror(vlookup(B255,Sheet1!$B$2:$K$321,1,false),"")</f>
        <v/>
      </c>
    </row>
    <row r="256">
      <c r="A256" s="21"/>
      <c r="D256" s="4" t="str">
        <f>iferror(vlookup(B256,Sheet1!$B$2:$K$321,10,false),"")</f>
        <v/>
      </c>
      <c r="E256" s="4" t="str">
        <f>iferror(vlookup(B256,Sheet1!$B$2:$K$321,1,false),"")</f>
        <v/>
      </c>
    </row>
    <row r="257">
      <c r="A257" s="21"/>
      <c r="D257" s="4" t="str">
        <f>iferror(vlookup(B257,Sheet1!$B$2:$K$321,10,false),"")</f>
        <v/>
      </c>
      <c r="E257" s="4" t="str">
        <f>iferror(vlookup(B257,Sheet1!$B$2:$K$321,1,false),"")</f>
        <v/>
      </c>
    </row>
    <row r="258">
      <c r="A258" s="21"/>
      <c r="D258" s="4" t="str">
        <f>iferror(vlookup(B258,Sheet1!$B$2:$K$321,10,false),"")</f>
        <v/>
      </c>
      <c r="E258" s="4" t="str">
        <f>iferror(vlookup(B258,Sheet1!$B$2:$K$321,1,false),"")</f>
        <v/>
      </c>
    </row>
    <row r="259">
      <c r="A259" s="21"/>
      <c r="D259" s="4" t="str">
        <f>iferror(vlookup(B259,Sheet1!$B$2:$K$321,10,false),"")</f>
        <v/>
      </c>
      <c r="E259" s="4" t="str">
        <f>iferror(vlookup(B259,Sheet1!$B$2:$K$321,1,false),"")</f>
        <v/>
      </c>
    </row>
    <row r="260">
      <c r="A260" s="21"/>
      <c r="D260" s="4" t="str">
        <f>iferror(vlookup(B260,Sheet1!$B$2:$K$321,10,false),"")</f>
        <v/>
      </c>
      <c r="E260" s="4" t="str">
        <f>iferror(vlookup(B260,Sheet1!$B$2:$K$321,1,false),"")</f>
        <v/>
      </c>
    </row>
    <row r="261">
      <c r="A261" s="21"/>
      <c r="D261" s="4" t="str">
        <f>iferror(vlookup(B261,Sheet1!$B$2:$K$321,10,false),"")</f>
        <v/>
      </c>
      <c r="E261" s="4" t="str">
        <f>iferror(vlookup(B261,Sheet1!$B$2:$K$321,1,false),"")</f>
        <v/>
      </c>
    </row>
    <row r="262">
      <c r="A262" s="21"/>
      <c r="D262" s="4" t="str">
        <f>iferror(vlookup(B262,Sheet1!$B$2:$K$321,10,false),"")</f>
        <v/>
      </c>
      <c r="E262" s="4" t="str">
        <f>iferror(vlookup(B262,Sheet1!$B$2:$K$321,1,false),"")</f>
        <v/>
      </c>
    </row>
    <row r="263">
      <c r="A263" s="21"/>
      <c r="D263" s="4" t="str">
        <f>iferror(vlookup(B263,Sheet1!$B$2:$K$321,10,false),"")</f>
        <v/>
      </c>
      <c r="E263" s="4" t="str">
        <f>iferror(vlookup(B263,Sheet1!$B$2:$K$321,1,false),"")</f>
        <v/>
      </c>
    </row>
    <row r="264">
      <c r="A264" s="21"/>
      <c r="D264" s="4" t="str">
        <f>iferror(vlookup(B264,Sheet1!$B$2:$K$321,10,false),"")</f>
        <v/>
      </c>
      <c r="E264" s="4" t="str">
        <f>iferror(vlookup(B264,Sheet1!$B$2:$K$321,1,false),"")</f>
        <v/>
      </c>
    </row>
    <row r="265">
      <c r="A265" s="21"/>
      <c r="D265" s="4" t="str">
        <f>iferror(vlookup(B265,Sheet1!$B$2:$K$321,10,false),"")</f>
        <v/>
      </c>
      <c r="E265" s="4" t="str">
        <f>iferror(vlookup(B265,Sheet1!$B$2:$K$321,1,false),"")</f>
        <v/>
      </c>
    </row>
    <row r="266">
      <c r="A266" s="21"/>
      <c r="D266" s="4" t="str">
        <f>iferror(vlookup(B266,Sheet1!$B$2:$K$321,10,false),"")</f>
        <v/>
      </c>
      <c r="E266" s="4" t="str">
        <f>iferror(vlookup(B266,Sheet1!$B$2:$K$321,1,false),"")</f>
        <v/>
      </c>
    </row>
    <row r="267">
      <c r="A267" s="21"/>
      <c r="D267" s="4" t="str">
        <f>iferror(vlookup(B267,Sheet1!$B$2:$K$321,10,false),"")</f>
        <v/>
      </c>
      <c r="E267" s="4" t="str">
        <f>iferror(vlookup(B267,Sheet1!$B$2:$K$321,1,false),"")</f>
        <v/>
      </c>
    </row>
    <row r="268">
      <c r="A268" s="21"/>
      <c r="D268" s="4" t="str">
        <f>iferror(vlookup(B268,Sheet1!$B$2:$K$321,10,false),"")</f>
        <v/>
      </c>
      <c r="E268" s="4" t="str">
        <f>iferror(vlookup(B268,Sheet1!$B$2:$K$321,1,false),"")</f>
        <v/>
      </c>
    </row>
    <row r="269">
      <c r="A269" s="21"/>
      <c r="D269" s="4" t="str">
        <f>iferror(vlookup(B269,Sheet1!$B$2:$K$321,10,false),"")</f>
        <v/>
      </c>
      <c r="E269" s="4" t="str">
        <f>iferror(vlookup(B269,Sheet1!$B$2:$K$321,1,false),"")</f>
        <v/>
      </c>
    </row>
    <row r="270">
      <c r="A270" s="21"/>
      <c r="D270" s="4" t="str">
        <f>iferror(vlookup(B270,Sheet1!$B$2:$K$321,10,false),"")</f>
        <v/>
      </c>
      <c r="E270" s="4" t="str">
        <f>iferror(vlookup(B270,Sheet1!$B$2:$K$321,1,false),"")</f>
        <v/>
      </c>
    </row>
    <row r="271">
      <c r="A271" s="21"/>
      <c r="D271" s="4" t="str">
        <f>iferror(vlookup(B271,Sheet1!$B$2:$K$321,10,false),"")</f>
        <v/>
      </c>
      <c r="E271" s="4" t="str">
        <f>iferror(vlookup(B271,Sheet1!$B$2:$K$321,1,false),"")</f>
        <v/>
      </c>
    </row>
    <row r="272">
      <c r="A272" s="21"/>
      <c r="D272" s="4" t="str">
        <f>iferror(vlookup(B272,Sheet1!$B$2:$K$321,10,false),"")</f>
        <v/>
      </c>
      <c r="E272" s="4" t="str">
        <f>iferror(vlookup(B272,Sheet1!$B$2:$K$321,1,false),"")</f>
        <v/>
      </c>
    </row>
    <row r="273">
      <c r="A273" s="21"/>
      <c r="D273" s="4" t="str">
        <f>iferror(vlookup(B273,Sheet1!$B$2:$K$321,10,false),"")</f>
        <v/>
      </c>
      <c r="E273" s="4" t="str">
        <f>iferror(vlookup(B273,Sheet1!$B$2:$K$321,1,false),"")</f>
        <v/>
      </c>
    </row>
    <row r="274">
      <c r="A274" s="21"/>
      <c r="D274" s="4" t="str">
        <f>iferror(vlookup(B274,Sheet1!$B$2:$K$321,10,false),"")</f>
        <v/>
      </c>
      <c r="E274" s="4" t="str">
        <f>iferror(vlookup(B274,Sheet1!$B$2:$K$321,1,false),"")</f>
        <v/>
      </c>
    </row>
    <row r="275">
      <c r="A275" s="21"/>
      <c r="D275" s="4" t="str">
        <f>iferror(vlookup(B275,Sheet1!$B$2:$K$321,10,false),"")</f>
        <v/>
      </c>
      <c r="E275" s="4" t="str">
        <f>iferror(vlookup(B275,Sheet1!$B$2:$K$321,1,false),"")</f>
        <v/>
      </c>
    </row>
    <row r="276">
      <c r="A276" s="21"/>
      <c r="D276" s="4" t="str">
        <f>iferror(vlookup(B276,Sheet1!$B$2:$K$321,10,false),"")</f>
        <v/>
      </c>
      <c r="E276" s="4" t="str">
        <f>iferror(vlookup(B276,Sheet1!$B$2:$K$321,1,false),"")</f>
        <v/>
      </c>
    </row>
    <row r="277">
      <c r="A277" s="21"/>
      <c r="D277" s="4" t="str">
        <f>iferror(vlookup(B277,Sheet1!$B$2:$K$321,10,false),"")</f>
        <v/>
      </c>
      <c r="E277" s="4" t="str">
        <f>iferror(vlookup(B277,Sheet1!$B$2:$K$321,1,false),"")</f>
        <v/>
      </c>
    </row>
    <row r="278">
      <c r="A278" s="21"/>
      <c r="D278" s="4" t="str">
        <f>iferror(vlookup(B278,Sheet1!$B$2:$K$321,10,false),"")</f>
        <v/>
      </c>
      <c r="E278" s="4" t="str">
        <f>iferror(vlookup(B278,Sheet1!$B$2:$K$321,1,false),"")</f>
        <v/>
      </c>
    </row>
    <row r="279">
      <c r="A279" s="21"/>
      <c r="D279" s="4" t="str">
        <f>iferror(vlookup(B279,Sheet1!$B$2:$K$321,10,false),"")</f>
        <v/>
      </c>
      <c r="E279" s="4" t="str">
        <f>iferror(vlookup(B279,Sheet1!$B$2:$K$321,1,false),"")</f>
        <v/>
      </c>
    </row>
    <row r="280">
      <c r="A280" s="21"/>
      <c r="D280" s="4" t="str">
        <f>iferror(vlookup(B280,Sheet1!$B$2:$K$321,10,false),"")</f>
        <v/>
      </c>
      <c r="E280" s="4" t="str">
        <f>iferror(vlookup(B280,Sheet1!$B$2:$K$321,1,false),"")</f>
        <v/>
      </c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34.13"/>
    <col customWidth="1" min="3" max="3" width="72.13"/>
    <col customWidth="1" min="4" max="4" width="5.5"/>
  </cols>
  <sheetData>
    <row r="1" ht="53.25" customHeight="1">
      <c r="A1" s="31" t="s">
        <v>28</v>
      </c>
      <c r="B1" s="31" t="s">
        <v>29</v>
      </c>
      <c r="C1" s="31" t="s">
        <v>30</v>
      </c>
      <c r="D1" s="31" t="s">
        <v>31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tr">
        <f>"+"&amp;Sheet3!D2</f>
        <v>+</v>
      </c>
      <c r="B2" s="4" t="str">
        <f>Sheet3!B2</f>
        <v/>
      </c>
      <c r="C2" s="4" t="str">
        <f>Sheet3!C2</f>
        <v/>
      </c>
      <c r="D2" s="4" t="str">
        <f>vlookup(B2,merge!$B$2:$D$272,3,false)</f>
        <v>#N/A</v>
      </c>
    </row>
    <row r="3">
      <c r="A3" s="4" t="str">
        <f>"+"&amp;Sheet3!D3</f>
        <v>+</v>
      </c>
      <c r="B3" s="4" t="str">
        <f>Sheet3!B3</f>
        <v/>
      </c>
      <c r="C3" s="4" t="str">
        <f>Sheet3!C3</f>
        <v/>
      </c>
      <c r="D3" s="4" t="str">
        <f>vlookup(B3,merge!$B$2:$D$272,3,false)</f>
        <v>#N/A</v>
      </c>
    </row>
    <row r="4">
      <c r="A4" s="4" t="str">
        <f>"+"&amp;Sheet3!D4</f>
        <v>+</v>
      </c>
      <c r="B4" s="4" t="str">
        <f>Sheet3!B4</f>
        <v/>
      </c>
      <c r="C4" s="4" t="str">
        <f>Sheet3!C4</f>
        <v/>
      </c>
      <c r="D4" s="4" t="str">
        <f>vlookup(B4,merge!$B$2:$D$272,3,false)</f>
        <v>#N/A</v>
      </c>
    </row>
    <row r="5">
      <c r="A5" s="4" t="str">
        <f>"+"&amp;Sheet3!D5</f>
        <v>+</v>
      </c>
      <c r="B5" s="4" t="str">
        <f>Sheet3!B5</f>
        <v/>
      </c>
      <c r="C5" s="4" t="str">
        <f>Sheet3!C5</f>
        <v/>
      </c>
      <c r="D5" s="4" t="str">
        <f>vlookup(B5,merge!$B$2:$D$272,3,false)</f>
        <v>#N/A</v>
      </c>
    </row>
    <row r="6">
      <c r="A6" s="4" t="str">
        <f>"+"&amp;Sheet3!D6</f>
        <v>+</v>
      </c>
      <c r="B6" s="4" t="str">
        <f>Sheet3!B6</f>
        <v/>
      </c>
      <c r="C6" s="4" t="str">
        <f>Sheet3!C6</f>
        <v/>
      </c>
      <c r="D6" s="4" t="str">
        <f>vlookup(B6,merge!$B$2:$D$272,3,false)</f>
        <v>#N/A</v>
      </c>
    </row>
    <row r="7">
      <c r="A7" s="4" t="str">
        <f>"+"&amp;Sheet3!D7</f>
        <v>+</v>
      </c>
      <c r="B7" s="4" t="str">
        <f>Sheet3!B7</f>
        <v/>
      </c>
      <c r="C7" s="4" t="str">
        <f>Sheet3!C7</f>
        <v/>
      </c>
      <c r="D7" s="4" t="str">
        <f>vlookup(B7,merge!$B$2:$D$272,3,false)</f>
        <v>#N/A</v>
      </c>
    </row>
    <row r="8">
      <c r="A8" s="4" t="str">
        <f>"+"&amp;Sheet3!D8</f>
        <v>+</v>
      </c>
      <c r="B8" s="4" t="str">
        <f>Sheet3!B8</f>
        <v/>
      </c>
      <c r="C8" s="4" t="str">
        <f>Sheet3!C8</f>
        <v/>
      </c>
      <c r="D8" s="4" t="str">
        <f>vlookup(B8,merge!$B$2:$D$272,3,false)</f>
        <v>#N/A</v>
      </c>
    </row>
    <row r="9">
      <c r="A9" s="4" t="str">
        <f>"+"&amp;Sheet3!D9</f>
        <v>+</v>
      </c>
      <c r="B9" s="4" t="str">
        <f>Sheet3!B9</f>
        <v/>
      </c>
      <c r="C9" s="4" t="str">
        <f>Sheet3!C9</f>
        <v/>
      </c>
      <c r="D9" s="4" t="str">
        <f>vlookup(B9,merge!$B$2:$D$272,3,false)</f>
        <v>#N/A</v>
      </c>
    </row>
    <row r="10">
      <c r="A10" s="4" t="str">
        <f>"+"&amp;Sheet3!D10</f>
        <v>+</v>
      </c>
      <c r="B10" s="4" t="str">
        <f>Sheet3!B10</f>
        <v/>
      </c>
      <c r="C10" s="4" t="str">
        <f>Sheet3!C10</f>
        <v/>
      </c>
      <c r="D10" s="4" t="str">
        <f>vlookup(B10,merge!$B$2:$D$272,3,false)</f>
        <v>#N/A</v>
      </c>
    </row>
    <row r="11">
      <c r="A11" s="4" t="str">
        <f>"+"&amp;Sheet3!D11</f>
        <v>+</v>
      </c>
      <c r="B11" s="4" t="str">
        <f>Sheet3!B11</f>
        <v/>
      </c>
      <c r="C11" s="4" t="str">
        <f>Sheet3!C11</f>
        <v/>
      </c>
      <c r="D11" s="4" t="str">
        <f>vlookup(B11,merge!$B$2:$D$272,3,false)</f>
        <v>#N/A</v>
      </c>
    </row>
    <row r="12">
      <c r="A12" s="4" t="str">
        <f>"+"&amp;Sheet3!D12</f>
        <v>+</v>
      </c>
      <c r="B12" s="4" t="str">
        <f>Sheet3!B12</f>
        <v/>
      </c>
      <c r="C12" s="4" t="str">
        <f>Sheet3!C12</f>
        <v/>
      </c>
      <c r="D12" s="4" t="str">
        <f>vlookup(B12,merge!$B$2:$D$272,3,false)</f>
        <v>#N/A</v>
      </c>
    </row>
    <row r="13">
      <c r="A13" s="4" t="str">
        <f>"+"&amp;Sheet3!D13</f>
        <v>+</v>
      </c>
      <c r="B13" s="4" t="str">
        <f>Sheet3!B13</f>
        <v/>
      </c>
      <c r="C13" s="4" t="str">
        <f>Sheet3!C13</f>
        <v/>
      </c>
      <c r="D13" s="4" t="str">
        <f>vlookup(B13,merge!$B$2:$D$272,3,false)</f>
        <v>#N/A</v>
      </c>
    </row>
    <row r="14">
      <c r="A14" s="4" t="str">
        <f>"+"&amp;Sheet3!D14</f>
        <v>+</v>
      </c>
      <c r="B14" s="4" t="str">
        <f>Sheet3!B14</f>
        <v/>
      </c>
      <c r="C14" s="4" t="str">
        <f>Sheet3!C14</f>
        <v/>
      </c>
      <c r="D14" s="4" t="str">
        <f>vlookup(B14,merge!$B$2:$D$272,3,false)</f>
        <v>#N/A</v>
      </c>
    </row>
    <row r="15">
      <c r="A15" s="4" t="str">
        <f>"+"&amp;Sheet3!D15</f>
        <v>+</v>
      </c>
      <c r="B15" s="4" t="str">
        <f>Sheet3!B15</f>
        <v/>
      </c>
      <c r="C15" s="4" t="str">
        <f>Sheet3!C15</f>
        <v/>
      </c>
      <c r="D15" s="4" t="str">
        <f>vlookup(B15,merge!$B$2:$D$272,3,false)</f>
        <v>#N/A</v>
      </c>
    </row>
    <row r="16">
      <c r="A16" s="4" t="str">
        <f>"+"&amp;Sheet3!D16</f>
        <v>+</v>
      </c>
      <c r="B16" s="4" t="str">
        <f>Sheet3!B16</f>
        <v/>
      </c>
      <c r="C16" s="4" t="str">
        <f>Sheet3!C16</f>
        <v/>
      </c>
      <c r="D16" s="4" t="str">
        <f>vlookup(B16,merge!$B$2:$D$272,3,false)</f>
        <v>#N/A</v>
      </c>
    </row>
    <row r="17">
      <c r="A17" s="4" t="str">
        <f>"+"&amp;Sheet3!D17</f>
        <v>+</v>
      </c>
      <c r="B17" s="4" t="str">
        <f>Sheet3!B17</f>
        <v/>
      </c>
      <c r="C17" s="4" t="str">
        <f>Sheet3!C17</f>
        <v/>
      </c>
      <c r="D17" s="4" t="str">
        <f>vlookup(B17,merge!$B$2:$D$272,3,false)</f>
        <v>#N/A</v>
      </c>
    </row>
    <row r="18">
      <c r="A18" s="4" t="str">
        <f>"+"&amp;Sheet3!D18</f>
        <v>+</v>
      </c>
      <c r="B18" s="4" t="str">
        <f>Sheet3!B18</f>
        <v/>
      </c>
      <c r="C18" s="4" t="str">
        <f>Sheet3!C18</f>
        <v/>
      </c>
      <c r="D18" s="4" t="str">
        <f>vlookup(B18,merge!$B$2:$D$272,3,false)</f>
        <v>#N/A</v>
      </c>
    </row>
    <row r="19">
      <c r="A19" s="4" t="str">
        <f>"+"&amp;Sheet3!D19</f>
        <v>+</v>
      </c>
      <c r="B19" s="4" t="str">
        <f>Sheet3!B19</f>
        <v/>
      </c>
      <c r="C19" s="4" t="str">
        <f>Sheet3!C19</f>
        <v/>
      </c>
      <c r="D19" s="4" t="str">
        <f>vlookup(B19,merge!$B$2:$D$272,3,false)</f>
        <v>#N/A</v>
      </c>
    </row>
    <row r="20">
      <c r="A20" s="4" t="str">
        <f>"+"&amp;Sheet3!D20</f>
        <v>+</v>
      </c>
      <c r="B20" s="4" t="str">
        <f>Sheet3!B20</f>
        <v/>
      </c>
      <c r="C20" s="4" t="str">
        <f>Sheet3!C20</f>
        <v/>
      </c>
      <c r="D20" s="4" t="str">
        <f>vlookup(B20,merge!$B$2:$D$272,3,false)</f>
        <v>#N/A</v>
      </c>
    </row>
    <row r="21">
      <c r="A21" s="4" t="str">
        <f>"+"&amp;Sheet3!D21</f>
        <v>+</v>
      </c>
      <c r="B21" s="4" t="str">
        <f>Sheet3!B21</f>
        <v/>
      </c>
      <c r="C21" s="4" t="str">
        <f>Sheet3!C21</f>
        <v/>
      </c>
      <c r="D21" s="4" t="str">
        <f>vlookup(B21,merge!$B$2:$D$272,3,false)</f>
        <v>#N/A</v>
      </c>
    </row>
    <row r="22">
      <c r="A22" s="4" t="str">
        <f>"+"&amp;Sheet3!D22</f>
        <v>+</v>
      </c>
      <c r="B22" s="4" t="str">
        <f>Sheet3!B22</f>
        <v/>
      </c>
      <c r="C22" s="4" t="str">
        <f>Sheet3!C22</f>
        <v/>
      </c>
      <c r="D22" s="4" t="str">
        <f>vlookup(B22,merge!$B$2:$D$272,3,false)</f>
        <v>#N/A</v>
      </c>
    </row>
    <row r="23">
      <c r="A23" s="4" t="str">
        <f>"+"&amp;Sheet3!D23</f>
        <v>+</v>
      </c>
      <c r="B23" s="4" t="str">
        <f>Sheet3!B23</f>
        <v/>
      </c>
      <c r="C23" s="4" t="str">
        <f>Sheet3!C23</f>
        <v/>
      </c>
      <c r="D23" s="4" t="str">
        <f>vlookup(B23,merge!$B$2:$D$272,3,false)</f>
        <v>#N/A</v>
      </c>
    </row>
    <row r="24">
      <c r="A24" s="4" t="str">
        <f>"+"&amp;Sheet3!D24</f>
        <v>+</v>
      </c>
      <c r="B24" s="4" t="str">
        <f>Sheet3!B24</f>
        <v/>
      </c>
      <c r="C24" s="4" t="str">
        <f>Sheet3!C24</f>
        <v/>
      </c>
      <c r="D24" s="4" t="str">
        <f>vlookup(B24,merge!$B$2:$D$272,3,false)</f>
        <v>#N/A</v>
      </c>
    </row>
    <row r="25">
      <c r="A25" s="4" t="str">
        <f>"+"&amp;Sheet3!D25</f>
        <v>+</v>
      </c>
      <c r="B25" s="4" t="str">
        <f>Sheet3!B25</f>
        <v/>
      </c>
      <c r="C25" s="4" t="str">
        <f>Sheet3!C25</f>
        <v/>
      </c>
      <c r="D25" s="4" t="str">
        <f>vlookup(B25,merge!$B$2:$D$272,3,false)</f>
        <v>#N/A</v>
      </c>
    </row>
    <row r="26">
      <c r="A26" s="4" t="str">
        <f>"+"&amp;Sheet3!D26</f>
        <v>+</v>
      </c>
      <c r="B26" s="4" t="str">
        <f>Sheet3!B26</f>
        <v/>
      </c>
      <c r="C26" s="4" t="str">
        <f>Sheet3!C26</f>
        <v/>
      </c>
      <c r="D26" s="4" t="str">
        <f>vlookup(B26,merge!$B$2:$D$272,3,false)</f>
        <v>#N/A</v>
      </c>
    </row>
    <row r="27">
      <c r="A27" s="4" t="str">
        <f>"+"&amp;Sheet3!D27</f>
        <v>+</v>
      </c>
      <c r="B27" s="4" t="str">
        <f>Sheet3!B27</f>
        <v/>
      </c>
      <c r="C27" s="4" t="str">
        <f>Sheet3!C27</f>
        <v/>
      </c>
      <c r="D27" s="4" t="str">
        <f>vlookup(B27,merge!$B$2:$D$272,3,false)</f>
        <v>#N/A</v>
      </c>
    </row>
    <row r="28">
      <c r="A28" s="4" t="str">
        <f>"+"&amp;Sheet3!D28</f>
        <v>+</v>
      </c>
      <c r="B28" s="4" t="str">
        <f>Sheet3!B28</f>
        <v/>
      </c>
      <c r="C28" s="4" t="str">
        <f>Sheet3!C28</f>
        <v/>
      </c>
      <c r="D28" s="4" t="str">
        <f>vlookup(B28,merge!$B$2:$D$272,3,false)</f>
        <v>#N/A</v>
      </c>
    </row>
    <row r="29">
      <c r="A29" s="4" t="str">
        <f>"+"&amp;Sheet3!D29</f>
        <v>+</v>
      </c>
      <c r="B29" s="4" t="str">
        <f>Sheet3!B29</f>
        <v/>
      </c>
      <c r="C29" s="4" t="str">
        <f>Sheet3!C29</f>
        <v/>
      </c>
      <c r="D29" s="4" t="str">
        <f>vlookup(B29,merge!$B$2:$D$272,3,false)</f>
        <v>#N/A</v>
      </c>
    </row>
    <row r="30">
      <c r="A30" s="4" t="str">
        <f>"+"&amp;Sheet3!D30</f>
        <v>+</v>
      </c>
      <c r="B30" s="4" t="str">
        <f>Sheet3!B30</f>
        <v/>
      </c>
      <c r="C30" s="4" t="str">
        <f>Sheet3!C30</f>
        <v/>
      </c>
      <c r="D30" s="4" t="str">
        <f>vlookup(B30,merge!$B$2:$D$272,3,false)</f>
        <v>#N/A</v>
      </c>
    </row>
    <row r="31">
      <c r="A31" s="4" t="str">
        <f>"+"&amp;Sheet3!D31</f>
        <v>+</v>
      </c>
      <c r="B31" s="4" t="str">
        <f>Sheet3!B31</f>
        <v/>
      </c>
      <c r="C31" s="4" t="str">
        <f>Sheet3!C31</f>
        <v/>
      </c>
      <c r="D31" s="4" t="str">
        <f>vlookup(B31,merge!$B$2:$D$272,3,false)</f>
        <v>#N/A</v>
      </c>
    </row>
    <row r="32">
      <c r="A32" s="4" t="str">
        <f>"+"&amp;Sheet3!D32</f>
        <v>+</v>
      </c>
      <c r="B32" s="4" t="str">
        <f>Sheet3!B32</f>
        <v/>
      </c>
      <c r="C32" s="4" t="str">
        <f>Sheet3!C32</f>
        <v/>
      </c>
      <c r="D32" s="4" t="str">
        <f>vlookup(B32,merge!$B$2:$D$272,3,false)</f>
        <v>#N/A</v>
      </c>
    </row>
    <row r="33">
      <c r="A33" s="4" t="str">
        <f>"+"&amp;Sheet3!D33</f>
        <v>+</v>
      </c>
      <c r="B33" s="4" t="str">
        <f>Sheet3!B33</f>
        <v/>
      </c>
      <c r="C33" s="4" t="str">
        <f>Sheet3!C33</f>
        <v/>
      </c>
      <c r="D33" s="4" t="str">
        <f>vlookup(B33,merge!$B$2:$D$272,3,false)</f>
        <v>#N/A</v>
      </c>
    </row>
    <row r="34">
      <c r="A34" s="4" t="str">
        <f>"+"&amp;Sheet3!D34</f>
        <v>+</v>
      </c>
      <c r="B34" s="4" t="str">
        <f>Sheet3!B34</f>
        <v/>
      </c>
      <c r="C34" s="4" t="str">
        <f>Sheet3!C34</f>
        <v/>
      </c>
      <c r="D34" s="4" t="str">
        <f>vlookup(B34,merge!$B$2:$D$272,3,false)</f>
        <v>#N/A</v>
      </c>
    </row>
    <row r="35">
      <c r="A35" s="4" t="str">
        <f>"+"&amp;Sheet3!D35</f>
        <v>+</v>
      </c>
      <c r="B35" s="4" t="str">
        <f>Sheet3!B35</f>
        <v/>
      </c>
      <c r="C35" s="4" t="str">
        <f>Sheet3!C35</f>
        <v/>
      </c>
      <c r="D35" s="4" t="str">
        <f>vlookup(B35,merge!$B$2:$D$272,3,false)</f>
        <v>#N/A</v>
      </c>
    </row>
    <row r="36">
      <c r="A36" s="4" t="str">
        <f>"+"&amp;Sheet3!D36</f>
        <v>+</v>
      </c>
      <c r="B36" s="4" t="str">
        <f>Sheet3!B36</f>
        <v/>
      </c>
      <c r="C36" s="4" t="str">
        <f>Sheet3!C36</f>
        <v/>
      </c>
      <c r="D36" s="4" t="str">
        <f>vlookup(B36,merge!$B$2:$D$272,3,false)</f>
        <v>#N/A</v>
      </c>
    </row>
    <row r="37">
      <c r="A37" s="4" t="str">
        <f>"+"&amp;Sheet3!D37</f>
        <v>+</v>
      </c>
      <c r="B37" s="4" t="str">
        <f>Sheet3!B37</f>
        <v/>
      </c>
      <c r="C37" s="4" t="str">
        <f>Sheet3!C37</f>
        <v/>
      </c>
      <c r="D37" s="4" t="str">
        <f>vlookup(B37,merge!$B$2:$D$272,3,false)</f>
        <v>#N/A</v>
      </c>
    </row>
    <row r="38">
      <c r="A38" s="4" t="str">
        <f>"+"&amp;Sheet3!D38</f>
        <v>+</v>
      </c>
      <c r="B38" s="4" t="str">
        <f>Sheet3!B38</f>
        <v/>
      </c>
      <c r="C38" s="4" t="str">
        <f>Sheet3!C38</f>
        <v/>
      </c>
      <c r="D38" s="4" t="str">
        <f>vlookup(B38,merge!$B$2:$D$272,3,false)</f>
        <v>#N/A</v>
      </c>
    </row>
    <row r="39">
      <c r="A39" s="4" t="str">
        <f>"+"&amp;Sheet3!D39</f>
        <v>+</v>
      </c>
      <c r="B39" s="4" t="str">
        <f>Sheet3!B39</f>
        <v/>
      </c>
      <c r="C39" s="4" t="str">
        <f>Sheet3!C39</f>
        <v/>
      </c>
      <c r="D39" s="4" t="str">
        <f>vlookup(B39,merge!$B$2:$D$272,3,false)</f>
        <v>#N/A</v>
      </c>
    </row>
    <row r="40">
      <c r="A40" s="4" t="str">
        <f>"+"&amp;Sheet3!D40</f>
        <v>+</v>
      </c>
      <c r="B40" s="4" t="str">
        <f>Sheet3!B40</f>
        <v/>
      </c>
      <c r="C40" s="4" t="str">
        <f>Sheet3!C40</f>
        <v/>
      </c>
      <c r="D40" s="4" t="str">
        <f>vlookup(B40,merge!$B$2:$D$272,3,false)</f>
        <v>#N/A</v>
      </c>
    </row>
    <row r="41">
      <c r="A41" s="4" t="str">
        <f>"+"&amp;Sheet3!D41</f>
        <v>+</v>
      </c>
      <c r="B41" s="4" t="str">
        <f>Sheet3!B41</f>
        <v/>
      </c>
      <c r="C41" s="4" t="str">
        <f>Sheet3!C41</f>
        <v/>
      </c>
      <c r="D41" s="4" t="str">
        <f>vlookup(B41,merge!$B$2:$D$272,3,false)</f>
        <v>#N/A</v>
      </c>
    </row>
    <row r="42">
      <c r="A42" s="4" t="str">
        <f>"+"&amp;Sheet3!D42</f>
        <v>+</v>
      </c>
      <c r="B42" s="4" t="str">
        <f>Sheet3!B42</f>
        <v/>
      </c>
      <c r="C42" s="4" t="str">
        <f>Sheet3!C42</f>
        <v/>
      </c>
      <c r="D42" s="4" t="str">
        <f>vlookup(B42,merge!$B$2:$D$272,3,false)</f>
        <v>#N/A</v>
      </c>
    </row>
    <row r="43">
      <c r="A43" s="4" t="str">
        <f>"+"&amp;Sheet3!D43</f>
        <v>+</v>
      </c>
      <c r="B43" s="4" t="str">
        <f>Sheet3!B43</f>
        <v/>
      </c>
      <c r="C43" s="4" t="str">
        <f>Sheet3!C43</f>
        <v/>
      </c>
      <c r="D43" s="4" t="str">
        <f>vlookup(B43,merge!$B$2:$D$272,3,false)</f>
        <v>#N/A</v>
      </c>
    </row>
    <row r="44">
      <c r="A44" s="4" t="str">
        <f>"+"&amp;Sheet3!D44</f>
        <v>+</v>
      </c>
      <c r="B44" s="4" t="str">
        <f>Sheet3!B44</f>
        <v/>
      </c>
      <c r="C44" s="4" t="str">
        <f>Sheet3!C44</f>
        <v/>
      </c>
      <c r="D44" s="4" t="str">
        <f>vlookup(B44,merge!$B$2:$D$272,3,false)</f>
        <v>#N/A</v>
      </c>
    </row>
    <row r="45">
      <c r="A45" s="4" t="str">
        <f>"+"&amp;Sheet3!D45</f>
        <v>+</v>
      </c>
      <c r="B45" s="4" t="str">
        <f>Sheet3!B45</f>
        <v/>
      </c>
      <c r="C45" s="4" t="str">
        <f>Sheet3!C45</f>
        <v/>
      </c>
      <c r="D45" s="4" t="str">
        <f>vlookup(B45,merge!$B$2:$D$272,3,false)</f>
        <v>#N/A</v>
      </c>
    </row>
    <row r="46">
      <c r="A46" s="4" t="str">
        <f>"+"&amp;Sheet3!D46</f>
        <v>+</v>
      </c>
      <c r="B46" s="4" t="str">
        <f>Sheet3!B46</f>
        <v/>
      </c>
      <c r="C46" s="4" t="str">
        <f>Sheet3!C46</f>
        <v/>
      </c>
      <c r="D46" s="4" t="str">
        <f>vlookup(B46,merge!$B$2:$D$272,3,false)</f>
        <v>#N/A</v>
      </c>
    </row>
    <row r="47">
      <c r="A47" s="4" t="str">
        <f>"+"&amp;Sheet3!D47</f>
        <v>+</v>
      </c>
      <c r="B47" s="4" t="str">
        <f>Sheet3!B47</f>
        <v/>
      </c>
      <c r="C47" s="4" t="str">
        <f>Sheet3!C47</f>
        <v/>
      </c>
      <c r="D47" s="4" t="str">
        <f>vlookup(B47,merge!$B$2:$D$272,3,false)</f>
        <v>#N/A</v>
      </c>
    </row>
    <row r="48">
      <c r="A48" s="4" t="str">
        <f>"+"&amp;Sheet3!D48</f>
        <v>+</v>
      </c>
      <c r="B48" s="4" t="str">
        <f>Sheet3!B48</f>
        <v/>
      </c>
      <c r="C48" s="4" t="str">
        <f>Sheet3!C48</f>
        <v/>
      </c>
      <c r="D48" s="4" t="str">
        <f>vlookup(B48,merge!$B$2:$D$272,3,false)</f>
        <v>#N/A</v>
      </c>
    </row>
    <row r="49">
      <c r="A49" s="4" t="str">
        <f>"+"&amp;Sheet3!D49</f>
        <v>+</v>
      </c>
      <c r="B49" s="4" t="str">
        <f>Sheet3!B49</f>
        <v/>
      </c>
      <c r="C49" s="4" t="str">
        <f>Sheet3!C49</f>
        <v/>
      </c>
      <c r="D49" s="4" t="str">
        <f>vlookup(B49,merge!$B$2:$D$272,3,false)</f>
        <v>#N/A</v>
      </c>
    </row>
    <row r="50">
      <c r="A50" s="4" t="str">
        <f>"+"&amp;Sheet3!D50</f>
        <v>+</v>
      </c>
      <c r="B50" s="4" t="str">
        <f>Sheet3!B50</f>
        <v/>
      </c>
      <c r="C50" s="4" t="str">
        <f>Sheet3!C50</f>
        <v/>
      </c>
      <c r="D50" s="4" t="str">
        <f>vlookup(B50,merge!$B$2:$D$272,3,false)</f>
        <v>#N/A</v>
      </c>
    </row>
    <row r="51">
      <c r="A51" s="4" t="str">
        <f>"+"&amp;Sheet3!D51</f>
        <v>+</v>
      </c>
      <c r="B51" s="4" t="str">
        <f>Sheet3!B51</f>
        <v/>
      </c>
      <c r="C51" s="4" t="str">
        <f>Sheet3!C51</f>
        <v/>
      </c>
      <c r="D51" s="4" t="str">
        <f>vlookup(B51,merge!$B$2:$D$272,3,false)</f>
        <v>#N/A</v>
      </c>
    </row>
    <row r="52">
      <c r="A52" s="4" t="str">
        <f>"+"&amp;Sheet3!D52</f>
        <v>+</v>
      </c>
      <c r="B52" s="4" t="str">
        <f>Sheet3!B52</f>
        <v/>
      </c>
      <c r="C52" s="4" t="str">
        <f>Sheet3!C52</f>
        <v/>
      </c>
      <c r="D52" s="4" t="str">
        <f>vlookup(B52,merge!$B$2:$D$272,3,false)</f>
        <v>#N/A</v>
      </c>
    </row>
    <row r="53">
      <c r="A53" s="4" t="str">
        <f>"+"&amp;Sheet3!D53</f>
        <v>+</v>
      </c>
      <c r="B53" s="4" t="str">
        <f>Sheet3!B53</f>
        <v/>
      </c>
      <c r="C53" s="4" t="str">
        <f>Sheet3!C53</f>
        <v/>
      </c>
      <c r="D53" s="4" t="str">
        <f>vlookup(B53,merge!$B$2:$D$272,3,false)</f>
        <v>#N/A</v>
      </c>
    </row>
    <row r="54">
      <c r="A54" s="4" t="str">
        <f>"+"&amp;Sheet3!D54</f>
        <v>+</v>
      </c>
      <c r="B54" s="4" t="str">
        <f>Sheet3!B54</f>
        <v/>
      </c>
      <c r="C54" s="4" t="str">
        <f>Sheet3!C54</f>
        <v/>
      </c>
      <c r="D54" s="4" t="str">
        <f>vlookup(B54,merge!$B$2:$D$272,3,false)</f>
        <v>#N/A</v>
      </c>
    </row>
    <row r="55">
      <c r="A55" s="4" t="str">
        <f>"+"&amp;Sheet3!D55</f>
        <v>+</v>
      </c>
      <c r="B55" s="4" t="str">
        <f>Sheet3!B55</f>
        <v/>
      </c>
      <c r="C55" s="4" t="str">
        <f>Sheet3!C55</f>
        <v/>
      </c>
      <c r="D55" s="4" t="str">
        <f>vlookup(B55,merge!$B$2:$D$272,3,false)</f>
        <v>#N/A</v>
      </c>
    </row>
    <row r="56">
      <c r="A56" s="4" t="str">
        <f>"+"&amp;Sheet3!D56</f>
        <v>+</v>
      </c>
      <c r="B56" s="4" t="str">
        <f>Sheet3!B56</f>
        <v/>
      </c>
      <c r="C56" s="4" t="str">
        <f>Sheet3!C56</f>
        <v/>
      </c>
      <c r="D56" s="4" t="str">
        <f>vlookup(B56,merge!$B$2:$D$272,3,false)</f>
        <v>#N/A</v>
      </c>
    </row>
    <row r="57">
      <c r="A57" s="4" t="str">
        <f>"+"&amp;Sheet3!D57</f>
        <v>+</v>
      </c>
      <c r="B57" s="4" t="str">
        <f>Sheet3!B57</f>
        <v/>
      </c>
      <c r="C57" s="4" t="str">
        <f>Sheet3!C57</f>
        <v/>
      </c>
      <c r="D57" s="4" t="str">
        <f>vlookup(B57,merge!$B$2:$D$272,3,false)</f>
        <v>#N/A</v>
      </c>
    </row>
    <row r="58">
      <c r="A58" s="4" t="str">
        <f>"+"&amp;Sheet3!D58</f>
        <v>+</v>
      </c>
      <c r="B58" s="4" t="str">
        <f>Sheet3!B58</f>
        <v/>
      </c>
      <c r="C58" s="4" t="str">
        <f>Sheet3!C58</f>
        <v/>
      </c>
      <c r="D58" s="4" t="str">
        <f>vlookup(B58,merge!$B$2:$D$272,3,false)</f>
        <v>#N/A</v>
      </c>
    </row>
    <row r="59">
      <c r="A59" s="4" t="str">
        <f>"+"&amp;Sheet3!D59</f>
        <v>+</v>
      </c>
      <c r="B59" s="4" t="str">
        <f>Sheet3!B59</f>
        <v/>
      </c>
      <c r="C59" s="4" t="str">
        <f>Sheet3!C59</f>
        <v/>
      </c>
      <c r="D59" s="4" t="str">
        <f>vlookup(B59,merge!$B$2:$D$272,3,false)</f>
        <v>#N/A</v>
      </c>
    </row>
    <row r="60">
      <c r="A60" s="4" t="str">
        <f>"+"&amp;Sheet3!D60</f>
        <v>+</v>
      </c>
      <c r="B60" s="4" t="str">
        <f>Sheet3!B60</f>
        <v/>
      </c>
      <c r="C60" s="4" t="str">
        <f>Sheet3!C60</f>
        <v/>
      </c>
      <c r="D60" s="4" t="str">
        <f>vlookup(B60,merge!$B$2:$D$272,3,false)</f>
        <v>#N/A</v>
      </c>
    </row>
    <row r="61">
      <c r="A61" s="4" t="str">
        <f>"+"&amp;Sheet3!D61</f>
        <v>+</v>
      </c>
      <c r="B61" s="4" t="str">
        <f>Sheet3!B61</f>
        <v/>
      </c>
      <c r="C61" s="4" t="str">
        <f>Sheet3!C61</f>
        <v/>
      </c>
      <c r="D61" s="4" t="str">
        <f>vlookup(B61,merge!$B$2:$D$272,3,false)</f>
        <v>#N/A</v>
      </c>
    </row>
    <row r="62">
      <c r="A62" s="4" t="str">
        <f>"+"&amp;Sheet3!D62</f>
        <v>+</v>
      </c>
      <c r="B62" s="4" t="str">
        <f>Sheet3!B62</f>
        <v/>
      </c>
      <c r="C62" s="4" t="str">
        <f>Sheet3!C62</f>
        <v/>
      </c>
      <c r="D62" s="4" t="str">
        <f>vlookup(B62,merge!$B$2:$D$272,3,false)</f>
        <v>#N/A</v>
      </c>
    </row>
    <row r="63">
      <c r="A63" s="4" t="str">
        <f>"+"&amp;Sheet3!D63</f>
        <v>+</v>
      </c>
      <c r="B63" s="4" t="str">
        <f>Sheet3!B63</f>
        <v/>
      </c>
      <c r="C63" s="4" t="str">
        <f>Sheet3!C63</f>
        <v/>
      </c>
      <c r="D63" s="4" t="str">
        <f>vlookup(B63,merge!$B$2:$D$272,3,false)</f>
        <v>#N/A</v>
      </c>
    </row>
    <row r="64">
      <c r="A64" s="4" t="str">
        <f>"+"&amp;Sheet3!D64</f>
        <v>+</v>
      </c>
      <c r="B64" s="4" t="str">
        <f>Sheet3!B64</f>
        <v/>
      </c>
      <c r="C64" s="4" t="str">
        <f>Sheet3!C64</f>
        <v/>
      </c>
      <c r="D64" s="4" t="str">
        <f>vlookup(B64,merge!$B$2:$D$272,3,false)</f>
        <v>#N/A</v>
      </c>
    </row>
    <row r="65">
      <c r="A65" s="4" t="str">
        <f>"+"&amp;Sheet3!D65</f>
        <v>+</v>
      </c>
      <c r="B65" s="4" t="str">
        <f>Sheet3!B65</f>
        <v/>
      </c>
      <c r="C65" s="4" t="str">
        <f>Sheet3!C65</f>
        <v/>
      </c>
      <c r="D65" s="4" t="str">
        <f>vlookup(B65,merge!$B$2:$D$272,3,false)</f>
        <v>#N/A</v>
      </c>
    </row>
    <row r="66">
      <c r="A66" s="4" t="str">
        <f>"+"&amp;Sheet3!D66</f>
        <v>+</v>
      </c>
      <c r="B66" s="4" t="str">
        <f>Sheet3!B66</f>
        <v/>
      </c>
      <c r="C66" s="4" t="str">
        <f>Sheet3!C66</f>
        <v/>
      </c>
      <c r="D66" s="4" t="str">
        <f>vlookup(B66,merge!$B$2:$D$272,3,false)</f>
        <v>#N/A</v>
      </c>
    </row>
    <row r="67">
      <c r="A67" s="4" t="str">
        <f>"+"&amp;Sheet3!D67</f>
        <v>+</v>
      </c>
      <c r="B67" s="4" t="str">
        <f>Sheet3!B67</f>
        <v/>
      </c>
      <c r="C67" s="4" t="str">
        <f>Sheet3!C67</f>
        <v/>
      </c>
      <c r="D67" s="4" t="str">
        <f>vlookup(B67,merge!$B$2:$D$272,3,false)</f>
        <v>#N/A</v>
      </c>
    </row>
    <row r="68">
      <c r="A68" s="4" t="str">
        <f>"+"&amp;Sheet3!D68</f>
        <v>+</v>
      </c>
      <c r="B68" s="4" t="str">
        <f>Sheet3!B68</f>
        <v/>
      </c>
      <c r="C68" s="4" t="str">
        <f>Sheet3!C68</f>
        <v/>
      </c>
      <c r="D68" s="4" t="str">
        <f>vlookup(B68,merge!$B$2:$D$272,3,false)</f>
        <v>#N/A</v>
      </c>
    </row>
    <row r="69">
      <c r="A69" s="4" t="str">
        <f>"+"&amp;Sheet3!D69</f>
        <v>+</v>
      </c>
      <c r="B69" s="4" t="str">
        <f>Sheet3!B69</f>
        <v/>
      </c>
      <c r="C69" s="4" t="str">
        <f>Sheet3!C69</f>
        <v/>
      </c>
      <c r="D69" s="4" t="str">
        <f>vlookup(B69,merge!$B$2:$D$272,3,false)</f>
        <v>#N/A</v>
      </c>
    </row>
    <row r="70">
      <c r="A70" s="4" t="str">
        <f>"+"&amp;Sheet3!D70</f>
        <v>+</v>
      </c>
      <c r="B70" s="4" t="str">
        <f>Sheet3!B70</f>
        <v/>
      </c>
      <c r="C70" s="4" t="str">
        <f>Sheet3!C70</f>
        <v/>
      </c>
      <c r="D70" s="4" t="str">
        <f>vlookup(B70,merge!$B$2:$D$272,3,false)</f>
        <v>#N/A</v>
      </c>
    </row>
    <row r="71">
      <c r="A71" s="4" t="str">
        <f>"+"&amp;Sheet3!D71</f>
        <v>+</v>
      </c>
      <c r="B71" s="4" t="str">
        <f>Sheet3!B71</f>
        <v/>
      </c>
      <c r="C71" s="4" t="str">
        <f>Sheet3!C71</f>
        <v/>
      </c>
      <c r="D71" s="4" t="str">
        <f>vlookup(B71,merge!$B$2:$D$272,3,false)</f>
        <v>#N/A</v>
      </c>
    </row>
    <row r="72">
      <c r="A72" s="4" t="str">
        <f>"+"&amp;Sheet3!D72</f>
        <v>+</v>
      </c>
      <c r="B72" s="4" t="str">
        <f>Sheet3!B72</f>
        <v/>
      </c>
      <c r="C72" s="4" t="str">
        <f>Sheet3!C72</f>
        <v/>
      </c>
      <c r="D72" s="4" t="str">
        <f>vlookup(B72,merge!$B$2:$D$272,3,false)</f>
        <v>#N/A</v>
      </c>
    </row>
    <row r="73">
      <c r="A73" s="4" t="str">
        <f>"+"&amp;Sheet3!D73</f>
        <v>+</v>
      </c>
      <c r="B73" s="4" t="str">
        <f>Sheet3!B73</f>
        <v/>
      </c>
      <c r="C73" s="4" t="str">
        <f>Sheet3!C73</f>
        <v/>
      </c>
      <c r="D73" s="4" t="str">
        <f>vlookup(B73,merge!$B$2:$D$272,3,false)</f>
        <v>#N/A</v>
      </c>
    </row>
    <row r="74">
      <c r="A74" s="4" t="str">
        <f>"+"&amp;Sheet3!D74</f>
        <v>+</v>
      </c>
      <c r="B74" s="4" t="str">
        <f>Sheet3!B74</f>
        <v/>
      </c>
      <c r="C74" s="4" t="str">
        <f>Sheet3!C74</f>
        <v/>
      </c>
      <c r="D74" s="4" t="str">
        <f>vlookup(B74,merge!$B$2:$D$272,3,false)</f>
        <v>#N/A</v>
      </c>
    </row>
    <row r="75">
      <c r="A75" s="4" t="str">
        <f>"+"&amp;Sheet3!D75</f>
        <v>+</v>
      </c>
      <c r="B75" s="4" t="str">
        <f>Sheet3!B75</f>
        <v/>
      </c>
      <c r="C75" s="4" t="str">
        <f>Sheet3!C75</f>
        <v/>
      </c>
      <c r="D75" s="4" t="str">
        <f>vlookup(B75,merge!$B$2:$D$272,3,false)</f>
        <v>#N/A</v>
      </c>
    </row>
    <row r="76">
      <c r="A76" s="4" t="str">
        <f>"+"&amp;Sheet3!D76</f>
        <v>+</v>
      </c>
      <c r="B76" s="4" t="str">
        <f>Sheet3!B76</f>
        <v/>
      </c>
      <c r="C76" s="4" t="str">
        <f>Sheet3!C76</f>
        <v/>
      </c>
      <c r="D76" s="4" t="str">
        <f>vlookup(B76,merge!$B$2:$D$272,3,false)</f>
        <v>#N/A</v>
      </c>
    </row>
    <row r="77">
      <c r="A77" s="4" t="str">
        <f>"+"&amp;Sheet3!D77</f>
        <v>+</v>
      </c>
      <c r="B77" s="4" t="str">
        <f>Sheet3!B77</f>
        <v/>
      </c>
      <c r="C77" s="4" t="str">
        <f>Sheet3!C77</f>
        <v/>
      </c>
      <c r="D77" s="4" t="str">
        <f>vlookup(B77,merge!$B$2:$D$272,3,false)</f>
        <v>#N/A</v>
      </c>
    </row>
    <row r="78">
      <c r="A78" s="4" t="str">
        <f>"+"&amp;Sheet3!D78</f>
        <v>+</v>
      </c>
      <c r="B78" s="4" t="str">
        <f>Sheet3!B78</f>
        <v/>
      </c>
      <c r="C78" s="4" t="str">
        <f>Sheet3!C78</f>
        <v/>
      </c>
      <c r="D78" s="4" t="str">
        <f>vlookup(B78,merge!$B$2:$D$272,3,false)</f>
        <v>#N/A</v>
      </c>
    </row>
    <row r="79">
      <c r="A79" s="4" t="str">
        <f>"+"&amp;Sheet3!D79</f>
        <v>+</v>
      </c>
      <c r="B79" s="4" t="str">
        <f>Sheet3!B79</f>
        <v/>
      </c>
      <c r="C79" s="4" t="str">
        <f>Sheet3!C79</f>
        <v/>
      </c>
      <c r="D79" s="4" t="str">
        <f>vlookup(B79,merge!$B$2:$D$272,3,false)</f>
        <v>#N/A</v>
      </c>
    </row>
    <row r="80">
      <c r="A80" s="4" t="str">
        <f>"+"&amp;Sheet3!D80</f>
        <v>+</v>
      </c>
      <c r="B80" s="4" t="str">
        <f>Sheet3!B80</f>
        <v/>
      </c>
      <c r="C80" s="4" t="str">
        <f>Sheet3!C80</f>
        <v/>
      </c>
      <c r="D80" s="4" t="str">
        <f>vlookup(B80,merge!$B$2:$D$272,3,false)</f>
        <v>#N/A</v>
      </c>
    </row>
    <row r="81">
      <c r="A81" s="4" t="str">
        <f>"+"&amp;Sheet3!D81</f>
        <v>+</v>
      </c>
      <c r="B81" s="4" t="str">
        <f>Sheet3!B81</f>
        <v/>
      </c>
      <c r="C81" s="4" t="str">
        <f>Sheet3!C81</f>
        <v/>
      </c>
      <c r="D81" s="4" t="str">
        <f>vlookup(B81,merge!$B$2:$D$272,3,false)</f>
        <v>#N/A</v>
      </c>
    </row>
    <row r="82">
      <c r="A82" s="4" t="str">
        <f>"+"&amp;Sheet3!D82</f>
        <v>+</v>
      </c>
      <c r="B82" s="4" t="str">
        <f>Sheet3!B82</f>
        <v/>
      </c>
      <c r="C82" s="4" t="str">
        <f>Sheet3!C82</f>
        <v/>
      </c>
      <c r="D82" s="4" t="str">
        <f>vlookup(B82,merge!$B$2:$D$272,3,false)</f>
        <v>#N/A</v>
      </c>
    </row>
    <row r="83">
      <c r="A83" s="4" t="str">
        <f>"+"&amp;Sheet3!D83</f>
        <v>+</v>
      </c>
      <c r="B83" s="4" t="str">
        <f>Sheet3!B83</f>
        <v/>
      </c>
      <c r="C83" s="4" t="str">
        <f>Sheet3!C83</f>
        <v/>
      </c>
      <c r="D83" s="4" t="str">
        <f>vlookup(B83,merge!$B$2:$D$272,3,false)</f>
        <v>#N/A</v>
      </c>
    </row>
    <row r="84">
      <c r="A84" s="4" t="str">
        <f>"+"&amp;Sheet3!D84</f>
        <v>+</v>
      </c>
      <c r="B84" s="4" t="str">
        <f>Sheet3!B84</f>
        <v/>
      </c>
      <c r="C84" s="4" t="str">
        <f>Sheet3!C84</f>
        <v/>
      </c>
      <c r="D84" s="4" t="str">
        <f>vlookup(B84,merge!$B$2:$D$272,3,false)</f>
        <v>#N/A</v>
      </c>
    </row>
    <row r="85">
      <c r="A85" s="4" t="str">
        <f>"+"&amp;Sheet3!D85</f>
        <v>+</v>
      </c>
      <c r="B85" s="4" t="str">
        <f>Sheet3!B85</f>
        <v/>
      </c>
      <c r="C85" s="4" t="str">
        <f>Sheet3!C85</f>
        <v/>
      </c>
      <c r="D85" s="4" t="str">
        <f>vlookup(B85,merge!$B$2:$D$272,3,false)</f>
        <v>#N/A</v>
      </c>
    </row>
    <row r="86">
      <c r="A86" s="4" t="str">
        <f>"+"&amp;Sheet3!D86</f>
        <v>+</v>
      </c>
      <c r="B86" s="4" t="str">
        <f>Sheet3!B86</f>
        <v/>
      </c>
      <c r="C86" s="4" t="str">
        <f>Sheet3!C86</f>
        <v/>
      </c>
      <c r="D86" s="4" t="str">
        <f>vlookup(B86,merge!$B$2:$D$272,3,false)</f>
        <v>#N/A</v>
      </c>
    </row>
    <row r="87">
      <c r="A87" s="4" t="str">
        <f>"+"&amp;Sheet3!D87</f>
        <v>+</v>
      </c>
      <c r="B87" s="4" t="str">
        <f>Sheet3!B87</f>
        <v/>
      </c>
      <c r="C87" s="4" t="str">
        <f>Sheet3!C87</f>
        <v/>
      </c>
      <c r="D87" s="4" t="str">
        <f>vlookup(B87,merge!$B$2:$D$272,3,false)</f>
        <v>#N/A</v>
      </c>
    </row>
    <row r="88">
      <c r="A88" s="4" t="str">
        <f>"+"&amp;Sheet3!D88</f>
        <v>+</v>
      </c>
      <c r="B88" s="4" t="str">
        <f>Sheet3!B88</f>
        <v/>
      </c>
      <c r="C88" s="4" t="str">
        <f>Sheet3!C88</f>
        <v/>
      </c>
      <c r="D88" s="4" t="str">
        <f>vlookup(B88,merge!$B$2:$D$272,3,false)</f>
        <v>#N/A</v>
      </c>
    </row>
    <row r="89">
      <c r="A89" s="4" t="str">
        <f>"+"&amp;Sheet3!D89</f>
        <v>+</v>
      </c>
      <c r="B89" s="4" t="str">
        <f>Sheet3!B89</f>
        <v/>
      </c>
      <c r="C89" s="4" t="str">
        <f>Sheet3!C89</f>
        <v/>
      </c>
      <c r="D89" s="4" t="str">
        <f>vlookup(B89,merge!$B$2:$D$272,3,false)</f>
        <v>#N/A</v>
      </c>
    </row>
    <row r="90">
      <c r="A90" s="4" t="str">
        <f>"+"&amp;Sheet3!D90</f>
        <v>+</v>
      </c>
      <c r="B90" s="4" t="str">
        <f>Sheet3!B90</f>
        <v/>
      </c>
      <c r="C90" s="4" t="str">
        <f>Sheet3!C90</f>
        <v/>
      </c>
      <c r="D90" s="4" t="str">
        <f>vlookup(B90,merge!$B$2:$D$272,3,false)</f>
        <v>#N/A</v>
      </c>
    </row>
    <row r="91">
      <c r="A91" s="4" t="str">
        <f>"+"&amp;Sheet3!D91</f>
        <v>+</v>
      </c>
      <c r="B91" s="4" t="str">
        <f>Sheet3!B91</f>
        <v/>
      </c>
      <c r="C91" s="4" t="str">
        <f>Sheet3!C91</f>
        <v/>
      </c>
      <c r="D91" s="4" t="str">
        <f>vlookup(B91,merge!$B$2:$D$272,3,false)</f>
        <v>#N/A</v>
      </c>
    </row>
    <row r="92">
      <c r="A92" s="4" t="str">
        <f>"+"&amp;Sheet3!D92</f>
        <v>+</v>
      </c>
      <c r="B92" s="4" t="str">
        <f>Sheet3!B92</f>
        <v/>
      </c>
      <c r="C92" s="4" t="str">
        <f>Sheet3!C92</f>
        <v/>
      </c>
      <c r="D92" s="4" t="str">
        <f>vlookup(B92,merge!$B$2:$D$272,3,false)</f>
        <v>#N/A</v>
      </c>
    </row>
    <row r="93">
      <c r="A93" s="4" t="str">
        <f>"+"&amp;Sheet3!D93</f>
        <v>+</v>
      </c>
      <c r="B93" s="4" t="str">
        <f>Sheet3!B93</f>
        <v/>
      </c>
      <c r="C93" s="4" t="str">
        <f>Sheet3!C93</f>
        <v/>
      </c>
      <c r="D93" s="4" t="str">
        <f>vlookup(B93,merge!$B$2:$D$272,3,false)</f>
        <v>#N/A</v>
      </c>
    </row>
    <row r="94">
      <c r="A94" s="4" t="str">
        <f>"+"&amp;Sheet3!D94</f>
        <v>+</v>
      </c>
      <c r="B94" s="4" t="str">
        <f>Sheet3!B94</f>
        <v/>
      </c>
      <c r="C94" s="4" t="str">
        <f>Sheet3!C94</f>
        <v/>
      </c>
      <c r="D94" s="4" t="str">
        <f>vlookup(B94,merge!$B$2:$D$272,3,false)</f>
        <v>#N/A</v>
      </c>
    </row>
    <row r="95">
      <c r="A95" s="4" t="str">
        <f>"+"&amp;Sheet3!D95</f>
        <v>+</v>
      </c>
      <c r="B95" s="4" t="str">
        <f>Sheet3!B95</f>
        <v/>
      </c>
      <c r="C95" s="4" t="str">
        <f>Sheet3!C95</f>
        <v/>
      </c>
      <c r="D95" s="4" t="str">
        <f>vlookup(B95,merge!$B$2:$D$272,3,false)</f>
        <v>#N/A</v>
      </c>
    </row>
    <row r="96">
      <c r="A96" s="4" t="str">
        <f>"+"&amp;Sheet3!D96</f>
        <v>+</v>
      </c>
      <c r="B96" s="4" t="str">
        <f>Sheet3!B96</f>
        <v/>
      </c>
      <c r="C96" s="4" t="str">
        <f>Sheet3!C96</f>
        <v/>
      </c>
      <c r="D96" s="4" t="str">
        <f>vlookup(B96,merge!$B$2:$D$272,3,false)</f>
        <v>#N/A</v>
      </c>
    </row>
    <row r="97">
      <c r="A97" s="4" t="str">
        <f>"+"&amp;Sheet3!D97</f>
        <v>+</v>
      </c>
      <c r="B97" s="4" t="str">
        <f>Sheet3!B97</f>
        <v/>
      </c>
      <c r="C97" s="4" t="str">
        <f>Sheet3!C97</f>
        <v/>
      </c>
      <c r="D97" s="4" t="str">
        <f>vlookup(B97,merge!$B$2:$D$272,3,false)</f>
        <v>#N/A</v>
      </c>
    </row>
    <row r="98">
      <c r="A98" s="4" t="str">
        <f>"+"&amp;Sheet3!D98</f>
        <v>+</v>
      </c>
      <c r="B98" s="4" t="str">
        <f>Sheet3!B98</f>
        <v/>
      </c>
      <c r="C98" s="4" t="str">
        <f>Sheet3!C98</f>
        <v/>
      </c>
      <c r="D98" s="4" t="str">
        <f>vlookup(B98,merge!$B$2:$D$272,3,false)</f>
        <v>#N/A</v>
      </c>
    </row>
    <row r="99">
      <c r="A99" s="4" t="str">
        <f>"+"&amp;Sheet3!D99</f>
        <v>+</v>
      </c>
      <c r="B99" s="4" t="str">
        <f>Sheet3!B99</f>
        <v/>
      </c>
      <c r="C99" s="4" t="str">
        <f>Sheet3!C99</f>
        <v/>
      </c>
      <c r="D99" s="4" t="str">
        <f>vlookup(B99,merge!$B$2:$D$272,3,false)</f>
        <v>#N/A</v>
      </c>
    </row>
    <row r="100">
      <c r="A100" s="4" t="str">
        <f>"+"&amp;Sheet3!D100</f>
        <v>+</v>
      </c>
      <c r="B100" s="4" t="str">
        <f>Sheet3!B100</f>
        <v/>
      </c>
      <c r="C100" s="4" t="str">
        <f>Sheet3!C100</f>
        <v/>
      </c>
      <c r="D100" s="4" t="str">
        <f>vlookup(B100,merge!$B$2:$D$272,3,false)</f>
        <v>#N/A</v>
      </c>
    </row>
    <row r="101">
      <c r="A101" s="4" t="str">
        <f>"+"&amp;Sheet3!D101</f>
        <v>+</v>
      </c>
      <c r="B101" s="4" t="str">
        <f>Sheet3!B101</f>
        <v/>
      </c>
      <c r="C101" s="4" t="str">
        <f>Sheet3!C101</f>
        <v/>
      </c>
      <c r="D101" s="4" t="str">
        <f>vlookup(B101,merge!$B$2:$D$272,3,false)</f>
        <v>#N/A</v>
      </c>
    </row>
    <row r="102">
      <c r="A102" s="4" t="str">
        <f>"+"&amp;Sheet3!D102</f>
        <v>+</v>
      </c>
      <c r="B102" s="4" t="str">
        <f>Sheet3!B102</f>
        <v/>
      </c>
      <c r="C102" s="4" t="str">
        <f>Sheet3!C102</f>
        <v/>
      </c>
      <c r="D102" s="4" t="str">
        <f>vlookup(B102,merge!$B$2:$D$272,3,false)</f>
        <v>#N/A</v>
      </c>
    </row>
    <row r="103">
      <c r="A103" s="4" t="str">
        <f>"+"&amp;Sheet3!D103</f>
        <v>+</v>
      </c>
      <c r="B103" s="4" t="str">
        <f>Sheet3!B103</f>
        <v/>
      </c>
      <c r="C103" s="4" t="str">
        <f>Sheet3!C103</f>
        <v/>
      </c>
      <c r="D103" s="4" t="str">
        <f>vlookup(B103,merge!$B$2:$D$272,3,false)</f>
        <v>#N/A</v>
      </c>
    </row>
    <row r="104">
      <c r="A104" s="4" t="str">
        <f>"+"&amp;Sheet3!D104</f>
        <v>+</v>
      </c>
      <c r="B104" s="4" t="str">
        <f>Sheet3!B104</f>
        <v/>
      </c>
      <c r="C104" s="4" t="str">
        <f>Sheet3!C104</f>
        <v/>
      </c>
      <c r="D104" s="4" t="str">
        <f>vlookup(B104,merge!$B$2:$D$272,3,false)</f>
        <v>#N/A</v>
      </c>
    </row>
    <row r="105">
      <c r="A105" s="4" t="str">
        <f>"+"&amp;Sheet3!D105</f>
        <v>+</v>
      </c>
      <c r="B105" s="4" t="str">
        <f>Sheet3!B105</f>
        <v/>
      </c>
      <c r="C105" s="4" t="str">
        <f>Sheet3!C105</f>
        <v/>
      </c>
      <c r="D105" s="4" t="str">
        <f>vlookup(B105,merge!$B$2:$D$272,3,false)</f>
        <v>#N/A</v>
      </c>
    </row>
    <row r="106">
      <c r="A106" s="4" t="str">
        <f>"+"&amp;Sheet3!D106</f>
        <v>+</v>
      </c>
      <c r="B106" s="4" t="str">
        <f>Sheet3!B106</f>
        <v/>
      </c>
      <c r="C106" s="4" t="str">
        <f>Sheet3!C106</f>
        <v/>
      </c>
      <c r="D106" s="4" t="str">
        <f>vlookup(B106,merge!$B$2:$D$272,3,false)</f>
        <v>#N/A</v>
      </c>
    </row>
    <row r="107">
      <c r="A107" s="4" t="str">
        <f>"+"&amp;Sheet3!D107</f>
        <v>+</v>
      </c>
      <c r="B107" s="4" t="str">
        <f>Sheet3!B107</f>
        <v/>
      </c>
      <c r="C107" s="4" t="str">
        <f>Sheet3!C107</f>
        <v/>
      </c>
      <c r="D107" s="4" t="str">
        <f>vlookup(B107,merge!$B$2:$D$272,3,false)</f>
        <v>#N/A</v>
      </c>
    </row>
    <row r="108">
      <c r="A108" s="4" t="str">
        <f>"+"&amp;Sheet3!D108</f>
        <v>+</v>
      </c>
      <c r="B108" s="4" t="str">
        <f>Sheet3!B108</f>
        <v/>
      </c>
      <c r="C108" s="4" t="str">
        <f>Sheet3!C108</f>
        <v/>
      </c>
      <c r="D108" s="4" t="str">
        <f>vlookup(B108,merge!$B$2:$D$272,3,false)</f>
        <v>#N/A</v>
      </c>
    </row>
    <row r="109">
      <c r="A109" s="4" t="str">
        <f>"+"&amp;Sheet3!D109</f>
        <v>+</v>
      </c>
      <c r="B109" s="4" t="str">
        <f>Sheet3!B109</f>
        <v/>
      </c>
      <c r="C109" s="4" t="str">
        <f>Sheet3!C109</f>
        <v/>
      </c>
      <c r="D109" s="4" t="str">
        <f>vlookup(B109,merge!$B$2:$D$272,3,false)</f>
        <v>#N/A</v>
      </c>
    </row>
    <row r="110">
      <c r="A110" s="4" t="str">
        <f>"+"&amp;Sheet3!D110</f>
        <v>+</v>
      </c>
      <c r="B110" s="4" t="str">
        <f>Sheet3!B110</f>
        <v/>
      </c>
      <c r="C110" s="4" t="str">
        <f>Sheet3!C110</f>
        <v/>
      </c>
      <c r="D110" s="4" t="str">
        <f>vlookup(B110,merge!$B$2:$D$272,3,false)</f>
        <v>#N/A</v>
      </c>
    </row>
    <row r="111">
      <c r="A111" s="4" t="str">
        <f>"+"&amp;Sheet3!D111</f>
        <v>+</v>
      </c>
      <c r="B111" s="4" t="str">
        <f>Sheet3!B111</f>
        <v/>
      </c>
      <c r="C111" s="4" t="str">
        <f>Sheet3!C111</f>
        <v/>
      </c>
      <c r="D111" s="4" t="str">
        <f>vlookup(B111,merge!$B$2:$D$272,3,false)</f>
        <v>#N/A</v>
      </c>
    </row>
    <row r="112">
      <c r="A112" s="4" t="str">
        <f>"+"&amp;Sheet3!D112</f>
        <v>+</v>
      </c>
      <c r="B112" s="4" t="str">
        <f>Sheet3!B112</f>
        <v/>
      </c>
      <c r="C112" s="4" t="str">
        <f>Sheet3!C112</f>
        <v/>
      </c>
      <c r="D112" s="4" t="str">
        <f>vlookup(B112,merge!$B$2:$D$272,3,false)</f>
        <v>#N/A</v>
      </c>
    </row>
    <row r="113">
      <c r="A113" s="4" t="str">
        <f>"+"&amp;Sheet3!D113</f>
        <v>+</v>
      </c>
      <c r="B113" s="4" t="str">
        <f>Sheet3!B113</f>
        <v/>
      </c>
      <c r="C113" s="4" t="str">
        <f>Sheet3!C113</f>
        <v/>
      </c>
      <c r="D113" s="4" t="str">
        <f>vlookup(B113,merge!$B$2:$D$272,3,false)</f>
        <v>#N/A</v>
      </c>
    </row>
    <row r="114">
      <c r="A114" s="4" t="str">
        <f>"+"&amp;Sheet3!D114</f>
        <v>+</v>
      </c>
      <c r="B114" s="4" t="str">
        <f>Sheet3!B114</f>
        <v/>
      </c>
      <c r="C114" s="4" t="str">
        <f>Sheet3!C114</f>
        <v/>
      </c>
      <c r="D114" s="4" t="str">
        <f>vlookup(B114,merge!$B$2:$D$272,3,false)</f>
        <v>#N/A</v>
      </c>
    </row>
    <row r="115">
      <c r="A115" s="4" t="str">
        <f>"+"&amp;Sheet3!D115</f>
        <v>+</v>
      </c>
      <c r="B115" s="4" t="str">
        <f>Sheet3!B115</f>
        <v/>
      </c>
      <c r="C115" s="4" t="str">
        <f>Sheet3!C115</f>
        <v/>
      </c>
      <c r="D115" s="4" t="str">
        <f>vlookup(B115,merge!$B$2:$D$272,3,false)</f>
        <v>#N/A</v>
      </c>
    </row>
    <row r="116">
      <c r="A116" s="4" t="str">
        <f>"+"&amp;Sheet3!D116</f>
        <v>+</v>
      </c>
      <c r="B116" s="4" t="str">
        <f>Sheet3!B116</f>
        <v/>
      </c>
      <c r="C116" s="4" t="str">
        <f>Sheet3!C116</f>
        <v/>
      </c>
      <c r="D116" s="4" t="str">
        <f>vlookup(B116,merge!$B$2:$D$272,3,false)</f>
        <v>#N/A</v>
      </c>
    </row>
    <row r="117">
      <c r="A117" s="4" t="str">
        <f>"+"&amp;Sheet3!D117</f>
        <v>+</v>
      </c>
      <c r="B117" s="4" t="str">
        <f>Sheet3!B117</f>
        <v/>
      </c>
      <c r="C117" s="4" t="str">
        <f>Sheet3!C117</f>
        <v/>
      </c>
      <c r="D117" s="4" t="str">
        <f>vlookup(B117,merge!$B$2:$D$272,3,false)</f>
        <v>#N/A</v>
      </c>
    </row>
    <row r="118">
      <c r="A118" s="4" t="str">
        <f>"+"&amp;Sheet3!D118</f>
        <v>+</v>
      </c>
      <c r="B118" s="4" t="str">
        <f>Sheet3!B118</f>
        <v/>
      </c>
      <c r="C118" s="4" t="str">
        <f>Sheet3!C118</f>
        <v/>
      </c>
      <c r="D118" s="4" t="str">
        <f>vlookup(B118,merge!$B$2:$D$272,3,false)</f>
        <v>#N/A</v>
      </c>
    </row>
    <row r="119">
      <c r="A119" s="4" t="str">
        <f>"+"&amp;Sheet3!D119</f>
        <v>+</v>
      </c>
      <c r="B119" s="4" t="str">
        <f>Sheet3!B119</f>
        <v/>
      </c>
      <c r="C119" s="4" t="str">
        <f>Sheet3!C119</f>
        <v/>
      </c>
      <c r="D119" s="4" t="str">
        <f>vlookup(B119,merge!$B$2:$D$272,3,false)</f>
        <v>#N/A</v>
      </c>
    </row>
    <row r="120">
      <c r="A120" s="4" t="str">
        <f>"+"&amp;Sheet3!D120</f>
        <v>+</v>
      </c>
      <c r="B120" s="4" t="str">
        <f>Sheet3!B120</f>
        <v/>
      </c>
      <c r="C120" s="4" t="str">
        <f>Sheet3!C120</f>
        <v/>
      </c>
      <c r="D120" s="4" t="str">
        <f>vlookup(B120,merge!$B$2:$D$272,3,false)</f>
        <v>#N/A</v>
      </c>
    </row>
    <row r="121">
      <c r="A121" s="4" t="str">
        <f>"+"&amp;Sheet3!D121</f>
        <v>+</v>
      </c>
      <c r="B121" s="4" t="str">
        <f>Sheet3!B121</f>
        <v/>
      </c>
      <c r="C121" s="4" t="str">
        <f>Sheet3!C121</f>
        <v/>
      </c>
      <c r="D121" s="4" t="str">
        <f>vlookup(B121,merge!$B$2:$D$272,3,false)</f>
        <v>#N/A</v>
      </c>
    </row>
    <row r="122">
      <c r="A122" s="4" t="str">
        <f>"+"&amp;Sheet3!D122</f>
        <v>+</v>
      </c>
      <c r="B122" s="4" t="str">
        <f>Sheet3!B122</f>
        <v/>
      </c>
      <c r="C122" s="4" t="str">
        <f>Sheet3!C122</f>
        <v/>
      </c>
      <c r="D122" s="4" t="str">
        <f>vlookup(B122,merge!$B$2:$D$272,3,false)</f>
        <v>#N/A</v>
      </c>
    </row>
    <row r="123">
      <c r="A123" s="4" t="str">
        <f>"+"&amp;Sheet3!D123</f>
        <v>+</v>
      </c>
      <c r="B123" s="4" t="str">
        <f>Sheet3!B123</f>
        <v/>
      </c>
      <c r="C123" s="4" t="str">
        <f>Sheet3!C123</f>
        <v/>
      </c>
      <c r="D123" s="4" t="str">
        <f>vlookup(B123,merge!$B$2:$D$272,3,false)</f>
        <v>#N/A</v>
      </c>
    </row>
    <row r="124">
      <c r="A124" s="4" t="str">
        <f>"+"&amp;Sheet3!D124</f>
        <v>+</v>
      </c>
      <c r="B124" s="4" t="str">
        <f>Sheet3!B124</f>
        <v/>
      </c>
      <c r="C124" s="4" t="str">
        <f>Sheet3!C124</f>
        <v/>
      </c>
      <c r="D124" s="4" t="str">
        <f>vlookup(B124,merge!$B$2:$D$272,3,false)</f>
        <v>#N/A</v>
      </c>
    </row>
    <row r="125">
      <c r="A125" s="4" t="str">
        <f>"+"&amp;Sheet3!D125</f>
        <v>+</v>
      </c>
      <c r="B125" s="4" t="str">
        <f>Sheet3!B125</f>
        <v/>
      </c>
      <c r="C125" s="4" t="str">
        <f>Sheet3!C125</f>
        <v/>
      </c>
      <c r="D125" s="4" t="str">
        <f>vlookup(B125,merge!$B$2:$D$272,3,false)</f>
        <v>#N/A</v>
      </c>
    </row>
    <row r="126">
      <c r="A126" s="4" t="str">
        <f>"+"&amp;Sheet3!D126</f>
        <v>+</v>
      </c>
      <c r="B126" s="4" t="str">
        <f>Sheet3!B126</f>
        <v/>
      </c>
      <c r="C126" s="4" t="str">
        <f>Sheet3!C126</f>
        <v/>
      </c>
      <c r="D126" s="4" t="str">
        <f>vlookup(B126,merge!$B$2:$D$272,3,false)</f>
        <v>#N/A</v>
      </c>
    </row>
    <row r="127">
      <c r="A127" s="4" t="str">
        <f>"+"&amp;Sheet3!D127</f>
        <v>+</v>
      </c>
      <c r="B127" s="4" t="str">
        <f>Sheet3!B127</f>
        <v/>
      </c>
      <c r="C127" s="4" t="str">
        <f>Sheet3!C127</f>
        <v/>
      </c>
      <c r="D127" s="4" t="str">
        <f>vlookup(B127,merge!$B$2:$D$272,3,false)</f>
        <v>#N/A</v>
      </c>
    </row>
    <row r="128">
      <c r="A128" s="4" t="str">
        <f>"+"&amp;Sheet3!D128</f>
        <v>+</v>
      </c>
      <c r="B128" s="4" t="str">
        <f>Sheet3!B128</f>
        <v/>
      </c>
      <c r="C128" s="4" t="str">
        <f>Sheet3!C128</f>
        <v/>
      </c>
      <c r="D128" s="4" t="str">
        <f>vlookup(B128,merge!$B$2:$D$272,3,false)</f>
        <v>#N/A</v>
      </c>
    </row>
    <row r="129">
      <c r="A129" s="4" t="str">
        <f>"+"&amp;Sheet3!D129</f>
        <v>+</v>
      </c>
      <c r="B129" s="4" t="str">
        <f>Sheet3!B129</f>
        <v/>
      </c>
      <c r="C129" s="4" t="str">
        <f>Sheet3!C129</f>
        <v/>
      </c>
      <c r="D129" s="4" t="str">
        <f>vlookup(B129,merge!$B$2:$D$272,3,false)</f>
        <v>#N/A</v>
      </c>
    </row>
    <row r="130">
      <c r="A130" s="4" t="str">
        <f>"+"&amp;Sheet3!D130</f>
        <v>+</v>
      </c>
      <c r="B130" s="4" t="str">
        <f>Sheet3!B130</f>
        <v/>
      </c>
      <c r="C130" s="4" t="str">
        <f>Sheet3!C130</f>
        <v/>
      </c>
      <c r="D130" s="4" t="str">
        <f>vlookup(B130,merge!$B$2:$D$272,3,false)</f>
        <v>#N/A</v>
      </c>
    </row>
    <row r="131">
      <c r="A131" s="4" t="str">
        <f>"+"&amp;Sheet3!D131</f>
        <v>+</v>
      </c>
      <c r="B131" s="4" t="str">
        <f>Sheet3!B131</f>
        <v/>
      </c>
      <c r="C131" s="4" t="str">
        <f>Sheet3!C131</f>
        <v/>
      </c>
      <c r="D131" s="4" t="str">
        <f>vlookup(B131,merge!$B$2:$D$272,3,false)</f>
        <v>#N/A</v>
      </c>
    </row>
    <row r="132">
      <c r="A132" s="4" t="str">
        <f>"+"&amp;Sheet3!D132</f>
        <v>+</v>
      </c>
      <c r="B132" s="4" t="str">
        <f>Sheet3!B132</f>
        <v/>
      </c>
      <c r="C132" s="4" t="str">
        <f>Sheet3!C132</f>
        <v/>
      </c>
      <c r="D132" s="4" t="str">
        <f>vlookup(B132,merge!$B$2:$D$272,3,false)</f>
        <v>#N/A</v>
      </c>
    </row>
    <row r="133">
      <c r="A133" s="4" t="str">
        <f>"+"&amp;Sheet3!D133</f>
        <v>+</v>
      </c>
      <c r="B133" s="4" t="str">
        <f>Sheet3!B133</f>
        <v/>
      </c>
      <c r="C133" s="4" t="str">
        <f>Sheet3!C133</f>
        <v/>
      </c>
      <c r="D133" s="4" t="str">
        <f>vlookup(B133,merge!$B$2:$D$272,3,false)</f>
        <v>#N/A</v>
      </c>
    </row>
    <row r="134">
      <c r="A134" s="4" t="str">
        <f>"+"&amp;Sheet3!D134</f>
        <v>+</v>
      </c>
      <c r="B134" s="4" t="str">
        <f>Sheet3!B134</f>
        <v/>
      </c>
      <c r="C134" s="4" t="str">
        <f>Sheet3!C134</f>
        <v/>
      </c>
      <c r="D134" s="4" t="str">
        <f>vlookup(B134,merge!$B$2:$D$272,3,false)</f>
        <v>#N/A</v>
      </c>
    </row>
    <row r="135">
      <c r="A135" s="4" t="str">
        <f>"+"&amp;Sheet3!D135</f>
        <v>+</v>
      </c>
      <c r="B135" s="4" t="str">
        <f>Sheet3!B135</f>
        <v/>
      </c>
      <c r="C135" s="4" t="str">
        <f>Sheet3!C135</f>
        <v/>
      </c>
      <c r="D135" s="4" t="str">
        <f>vlookup(B135,merge!$B$2:$D$272,3,false)</f>
        <v>#N/A</v>
      </c>
    </row>
    <row r="136">
      <c r="A136" s="4" t="str">
        <f>"+"&amp;Sheet3!D136</f>
        <v>+</v>
      </c>
      <c r="B136" s="4" t="str">
        <f>Sheet3!B136</f>
        <v/>
      </c>
      <c r="C136" s="4" t="str">
        <f>Sheet3!C136</f>
        <v/>
      </c>
      <c r="D136" s="4" t="str">
        <f>vlookup(B136,merge!$B$2:$D$272,3,false)</f>
        <v>#N/A</v>
      </c>
    </row>
    <row r="137">
      <c r="A137" s="4" t="str">
        <f>"+"&amp;Sheet3!D137</f>
        <v>+</v>
      </c>
      <c r="B137" s="4" t="str">
        <f>Sheet3!B137</f>
        <v/>
      </c>
      <c r="C137" s="4" t="str">
        <f>Sheet3!C137</f>
        <v/>
      </c>
      <c r="D137" s="4" t="str">
        <f>vlookup(B137,merge!$B$2:$D$272,3,false)</f>
        <v>#N/A</v>
      </c>
    </row>
    <row r="138">
      <c r="A138" s="4" t="str">
        <f>"+"&amp;Sheet3!D138</f>
        <v>+</v>
      </c>
      <c r="B138" s="4" t="str">
        <f>Sheet3!B138</f>
        <v/>
      </c>
      <c r="C138" s="4" t="str">
        <f>Sheet3!C138</f>
        <v/>
      </c>
      <c r="D138" s="4" t="str">
        <f>vlookup(B138,merge!$B$2:$D$272,3,false)</f>
        <v>#N/A</v>
      </c>
    </row>
    <row r="139">
      <c r="A139" s="4" t="str">
        <f>"+"&amp;Sheet3!D139</f>
        <v>+</v>
      </c>
      <c r="B139" s="4" t="str">
        <f>Sheet3!B139</f>
        <v/>
      </c>
      <c r="C139" s="4" t="str">
        <f>Sheet3!C139</f>
        <v/>
      </c>
      <c r="D139" s="4" t="str">
        <f>vlookup(B139,merge!$B$2:$D$272,3,false)</f>
        <v>#N/A</v>
      </c>
    </row>
    <row r="140">
      <c r="A140" s="4" t="str">
        <f>"+"&amp;Sheet3!D140</f>
        <v>+</v>
      </c>
      <c r="B140" s="4" t="str">
        <f>Sheet3!B140</f>
        <v/>
      </c>
      <c r="C140" s="4" t="str">
        <f>Sheet3!C140</f>
        <v/>
      </c>
      <c r="D140" s="4" t="str">
        <f>vlookup(B140,merge!$B$2:$D$272,3,false)</f>
        <v>#N/A</v>
      </c>
    </row>
    <row r="141">
      <c r="A141" s="4" t="str">
        <f>"+"&amp;Sheet3!D141</f>
        <v>+</v>
      </c>
      <c r="B141" s="4" t="str">
        <f>Sheet3!B141</f>
        <v/>
      </c>
      <c r="C141" s="4" t="str">
        <f>Sheet3!C141</f>
        <v/>
      </c>
      <c r="D141" s="4" t="str">
        <f>vlookup(B141,merge!$B$2:$D$272,3,false)</f>
        <v>#N/A</v>
      </c>
    </row>
    <row r="142">
      <c r="A142" s="4" t="str">
        <f>"+"&amp;Sheet3!D142</f>
        <v>+</v>
      </c>
      <c r="B142" s="4" t="str">
        <f>Sheet3!B142</f>
        <v/>
      </c>
      <c r="C142" s="4" t="str">
        <f>Sheet3!C142</f>
        <v/>
      </c>
      <c r="D142" s="4" t="str">
        <f>vlookup(B142,merge!$B$2:$D$272,3,false)</f>
        <v>#N/A</v>
      </c>
    </row>
    <row r="143">
      <c r="A143" s="4" t="str">
        <f>"+"&amp;Sheet3!D143</f>
        <v>+</v>
      </c>
      <c r="B143" s="4" t="str">
        <f>Sheet3!B143</f>
        <v/>
      </c>
      <c r="C143" s="4" t="str">
        <f>Sheet3!C143</f>
        <v/>
      </c>
      <c r="D143" s="4" t="str">
        <f>vlookup(B143,merge!$B$2:$D$272,3,false)</f>
        <v>#N/A</v>
      </c>
    </row>
    <row r="144">
      <c r="A144" s="4" t="str">
        <f>"+"&amp;Sheet3!D144</f>
        <v>+</v>
      </c>
      <c r="B144" s="4" t="str">
        <f>Sheet3!B144</f>
        <v/>
      </c>
      <c r="C144" s="4" t="str">
        <f>Sheet3!C144</f>
        <v/>
      </c>
      <c r="D144" s="4" t="str">
        <f>vlookup(B144,merge!$B$2:$D$272,3,false)</f>
        <v>#N/A</v>
      </c>
    </row>
    <row r="145">
      <c r="A145" s="4" t="str">
        <f>"+"&amp;Sheet3!D145</f>
        <v>+</v>
      </c>
      <c r="B145" s="4" t="str">
        <f>Sheet3!B145</f>
        <v/>
      </c>
      <c r="C145" s="4" t="str">
        <f>Sheet3!C145</f>
        <v/>
      </c>
      <c r="D145" s="4" t="str">
        <f>vlookup(B145,merge!$B$2:$D$272,3,false)</f>
        <v>#N/A</v>
      </c>
    </row>
    <row r="146">
      <c r="A146" s="4" t="str">
        <f>"+"&amp;Sheet3!D146</f>
        <v>+</v>
      </c>
      <c r="B146" s="4" t="str">
        <f>Sheet3!B146</f>
        <v/>
      </c>
      <c r="C146" s="4" t="str">
        <f>Sheet3!C146</f>
        <v/>
      </c>
      <c r="D146" s="4" t="str">
        <f>vlookup(B146,merge!$B$2:$D$272,3,false)</f>
        <v>#N/A</v>
      </c>
    </row>
    <row r="147">
      <c r="A147" s="4" t="str">
        <f>"+"&amp;Sheet3!D147</f>
        <v>+</v>
      </c>
      <c r="B147" s="4" t="str">
        <f>Sheet3!B147</f>
        <v/>
      </c>
      <c r="C147" s="4" t="str">
        <f>Sheet3!C147</f>
        <v/>
      </c>
      <c r="D147" s="4" t="str">
        <f>vlookup(B147,merge!$B$2:$D$272,3,false)</f>
        <v>#N/A</v>
      </c>
    </row>
    <row r="148">
      <c r="A148" s="4" t="str">
        <f>"+"&amp;Sheet3!D148</f>
        <v>+</v>
      </c>
      <c r="B148" s="4" t="str">
        <f>Sheet3!B148</f>
        <v/>
      </c>
      <c r="C148" s="4" t="str">
        <f>Sheet3!C148</f>
        <v/>
      </c>
      <c r="D148" s="4" t="str">
        <f>vlookup(B148,merge!$B$2:$D$272,3,false)</f>
        <v>#N/A</v>
      </c>
    </row>
    <row r="149">
      <c r="A149" s="4" t="str">
        <f>"+"&amp;Sheet3!D149</f>
        <v>+</v>
      </c>
      <c r="B149" s="4" t="str">
        <f>Sheet3!B149</f>
        <v/>
      </c>
      <c r="C149" s="4" t="str">
        <f>Sheet3!C149</f>
        <v/>
      </c>
      <c r="D149" s="4" t="str">
        <f>vlookup(B149,merge!$B$2:$D$272,3,false)</f>
        <v>#N/A</v>
      </c>
    </row>
    <row r="150">
      <c r="A150" s="4" t="str">
        <f>"+"&amp;Sheet3!D150</f>
        <v>+</v>
      </c>
      <c r="B150" s="4" t="str">
        <f>Sheet3!B150</f>
        <v/>
      </c>
      <c r="C150" s="4" t="str">
        <f>Sheet3!C150</f>
        <v/>
      </c>
      <c r="D150" s="4" t="str">
        <f>vlookup(B150,merge!$B$2:$D$272,3,false)</f>
        <v>#N/A</v>
      </c>
    </row>
    <row r="151">
      <c r="A151" s="4" t="str">
        <f>"+"&amp;Sheet3!D151</f>
        <v>+</v>
      </c>
      <c r="B151" s="4" t="str">
        <f>Sheet3!B151</f>
        <v/>
      </c>
      <c r="C151" s="4" t="str">
        <f>Sheet3!C151</f>
        <v/>
      </c>
      <c r="D151" s="4" t="str">
        <f>vlookup(B151,merge!$B$2:$D$272,3,false)</f>
        <v>#N/A</v>
      </c>
    </row>
    <row r="152">
      <c r="A152" s="4" t="str">
        <f>"+"&amp;Sheet3!D152</f>
        <v>+</v>
      </c>
      <c r="B152" s="4" t="str">
        <f>Sheet3!B152</f>
        <v/>
      </c>
      <c r="C152" s="4" t="str">
        <f>Sheet3!C152</f>
        <v/>
      </c>
      <c r="D152" s="4" t="str">
        <f>vlookup(B152,merge!$B$2:$D$272,3,false)</f>
        <v>#N/A</v>
      </c>
    </row>
    <row r="153">
      <c r="A153" s="4" t="str">
        <f>"+"&amp;Sheet3!D153</f>
        <v>+</v>
      </c>
      <c r="B153" s="4" t="str">
        <f>Sheet3!B153</f>
        <v/>
      </c>
      <c r="C153" s="4" t="str">
        <f>Sheet3!C153</f>
        <v/>
      </c>
      <c r="D153" s="4" t="str">
        <f>vlookup(B153,merge!$B$2:$D$272,3,false)</f>
        <v>#N/A</v>
      </c>
    </row>
    <row r="154">
      <c r="A154" s="4" t="str">
        <f>"+"&amp;Sheet3!D154</f>
        <v>+</v>
      </c>
      <c r="B154" s="4" t="str">
        <f>Sheet3!B154</f>
        <v/>
      </c>
      <c r="C154" s="4" t="str">
        <f>Sheet3!C154</f>
        <v/>
      </c>
      <c r="D154" s="4" t="str">
        <f>vlookup(B154,merge!$B$2:$D$272,3,false)</f>
        <v>#N/A</v>
      </c>
    </row>
    <row r="155">
      <c r="A155" s="4" t="str">
        <f>"+"&amp;Sheet3!D155</f>
        <v>+</v>
      </c>
      <c r="B155" s="4" t="str">
        <f>Sheet3!B155</f>
        <v/>
      </c>
      <c r="C155" s="4" t="str">
        <f>Sheet3!C155</f>
        <v/>
      </c>
      <c r="D155" s="4" t="str">
        <f>vlookup(B155,merge!$B$2:$D$272,3,false)</f>
        <v>#N/A</v>
      </c>
    </row>
    <row r="156">
      <c r="A156" s="4" t="str">
        <f>"+"&amp;Sheet3!D156</f>
        <v>+</v>
      </c>
      <c r="B156" s="4" t="str">
        <f>Sheet3!B156</f>
        <v/>
      </c>
      <c r="C156" s="4" t="str">
        <f>Sheet3!C156</f>
        <v/>
      </c>
      <c r="D156" s="4" t="str">
        <f>vlookup(B156,merge!$B$2:$D$272,3,false)</f>
        <v>#N/A</v>
      </c>
    </row>
    <row r="157">
      <c r="A157" s="4" t="str">
        <f>"+"&amp;Sheet3!D157</f>
        <v>+</v>
      </c>
      <c r="B157" s="4" t="str">
        <f>Sheet3!B157</f>
        <v/>
      </c>
      <c r="C157" s="4" t="str">
        <f>Sheet3!C157</f>
        <v/>
      </c>
      <c r="D157" s="4" t="str">
        <f>vlookup(B157,merge!$B$2:$D$272,3,false)</f>
        <v>#N/A</v>
      </c>
    </row>
    <row r="158">
      <c r="A158" s="4" t="str">
        <f>"+"&amp;Sheet3!D158</f>
        <v>+</v>
      </c>
      <c r="B158" s="4" t="str">
        <f>Sheet3!B158</f>
        <v/>
      </c>
      <c r="C158" s="4" t="str">
        <f>Sheet3!C158</f>
        <v/>
      </c>
      <c r="D158" s="4" t="str">
        <f>vlookup(B158,merge!$B$2:$D$272,3,false)</f>
        <v>#N/A</v>
      </c>
    </row>
    <row r="159">
      <c r="A159" s="4" t="str">
        <f>"+"&amp;Sheet3!D159</f>
        <v>+</v>
      </c>
      <c r="B159" s="4" t="str">
        <f>Sheet3!B159</f>
        <v/>
      </c>
      <c r="C159" s="4" t="str">
        <f>Sheet3!C159</f>
        <v/>
      </c>
      <c r="D159" s="4" t="str">
        <f>vlookup(B159,merge!$B$2:$D$272,3,false)</f>
        <v>#N/A</v>
      </c>
    </row>
    <row r="160">
      <c r="A160" s="4" t="str">
        <f>"+"&amp;Sheet3!D160</f>
        <v>+</v>
      </c>
      <c r="B160" s="4" t="str">
        <f>Sheet3!B160</f>
        <v/>
      </c>
      <c r="C160" s="4" t="str">
        <f>Sheet3!C160</f>
        <v/>
      </c>
      <c r="D160" s="4" t="str">
        <f>vlookup(B160,merge!$B$2:$D$272,3,false)</f>
        <v>#N/A</v>
      </c>
    </row>
    <row r="161">
      <c r="A161" s="4" t="str">
        <f>"+"&amp;Sheet3!D161</f>
        <v>+</v>
      </c>
      <c r="B161" s="4" t="str">
        <f>Sheet3!B161</f>
        <v/>
      </c>
      <c r="C161" s="4" t="str">
        <f>Sheet3!C161</f>
        <v/>
      </c>
      <c r="D161" s="4" t="str">
        <f>vlookup(B161,merge!$B$2:$D$272,3,false)</f>
        <v>#N/A</v>
      </c>
    </row>
    <row r="162">
      <c r="A162" s="4" t="str">
        <f>"+"&amp;Sheet3!D162</f>
        <v>+</v>
      </c>
      <c r="B162" s="4" t="str">
        <f>Sheet3!B162</f>
        <v/>
      </c>
      <c r="C162" s="4" t="str">
        <f>Sheet3!C162</f>
        <v/>
      </c>
      <c r="D162" s="4" t="str">
        <f>vlookup(B162,merge!$B$2:$D$272,3,false)</f>
        <v>#N/A</v>
      </c>
    </row>
    <row r="163">
      <c r="A163" s="4" t="str">
        <f>"+"&amp;Sheet3!D163</f>
        <v>+</v>
      </c>
      <c r="B163" s="4" t="str">
        <f>Sheet3!B163</f>
        <v/>
      </c>
      <c r="C163" s="4" t="str">
        <f>Sheet3!C163</f>
        <v/>
      </c>
      <c r="D163" s="4" t="str">
        <f>vlookup(B163,merge!$B$2:$D$272,3,false)</f>
        <v>#N/A</v>
      </c>
    </row>
    <row r="164">
      <c r="A164" s="4" t="str">
        <f>"+"&amp;Sheet3!D164</f>
        <v>+</v>
      </c>
      <c r="B164" s="4" t="str">
        <f>Sheet3!B164</f>
        <v/>
      </c>
      <c r="C164" s="4" t="str">
        <f>Sheet3!C164</f>
        <v/>
      </c>
      <c r="D164" s="4" t="str">
        <f>vlookup(B164,merge!$B$2:$D$272,3,false)</f>
        <v>#N/A</v>
      </c>
    </row>
    <row r="165">
      <c r="A165" s="4" t="str">
        <f>"+"&amp;Sheet3!D165</f>
        <v>+</v>
      </c>
      <c r="B165" s="4" t="str">
        <f>Sheet3!B165</f>
        <v/>
      </c>
      <c r="C165" s="4" t="str">
        <f>Sheet3!C165</f>
        <v/>
      </c>
      <c r="D165" s="4" t="str">
        <f>vlookup(B165,merge!$B$2:$D$272,3,false)</f>
        <v>#N/A</v>
      </c>
    </row>
    <row r="166">
      <c r="A166" s="4" t="str">
        <f>"+"&amp;Sheet3!D166</f>
        <v>+</v>
      </c>
      <c r="B166" s="4" t="str">
        <f>Sheet3!B166</f>
        <v/>
      </c>
      <c r="C166" s="4" t="str">
        <f>Sheet3!C166</f>
        <v/>
      </c>
      <c r="D166" s="4" t="str">
        <f>vlookup(B166,merge!$B$2:$D$272,3,false)</f>
        <v>#N/A</v>
      </c>
    </row>
    <row r="167">
      <c r="A167" s="4" t="str">
        <f>"+"&amp;Sheet3!D167</f>
        <v>+</v>
      </c>
      <c r="B167" s="4" t="str">
        <f>Sheet3!B167</f>
        <v/>
      </c>
      <c r="C167" s="4" t="str">
        <f>Sheet3!C167</f>
        <v/>
      </c>
      <c r="D167" s="4" t="str">
        <f>vlookup(B167,merge!$B$2:$D$272,3,false)</f>
        <v>#N/A</v>
      </c>
    </row>
    <row r="168">
      <c r="A168" s="4" t="str">
        <f>"+"&amp;Sheet3!D168</f>
        <v>+</v>
      </c>
      <c r="B168" s="4" t="str">
        <f>Sheet3!B168</f>
        <v/>
      </c>
      <c r="C168" s="4" t="str">
        <f>Sheet3!C168</f>
        <v/>
      </c>
      <c r="D168" s="4" t="str">
        <f>vlookup(B168,merge!$B$2:$D$272,3,false)</f>
        <v>#N/A</v>
      </c>
    </row>
    <row r="169">
      <c r="A169" s="4" t="str">
        <f>"+"&amp;Sheet3!D169</f>
        <v>+</v>
      </c>
      <c r="B169" s="4" t="str">
        <f>Sheet3!B169</f>
        <v/>
      </c>
      <c r="C169" s="4" t="str">
        <f>Sheet3!C169</f>
        <v/>
      </c>
      <c r="D169" s="4" t="str">
        <f>vlookup(B169,merge!$B$2:$D$272,3,false)</f>
        <v>#N/A</v>
      </c>
    </row>
    <row r="170">
      <c r="A170" s="4" t="str">
        <f>"+"&amp;Sheet3!D170</f>
        <v>+</v>
      </c>
      <c r="B170" s="4" t="str">
        <f>Sheet3!B170</f>
        <v/>
      </c>
      <c r="C170" s="4" t="str">
        <f>Sheet3!C170</f>
        <v/>
      </c>
      <c r="D170" s="4" t="str">
        <f>vlookup(B170,merge!$B$2:$D$272,3,false)</f>
        <v>#N/A</v>
      </c>
    </row>
    <row r="171">
      <c r="A171" s="4" t="str">
        <f>"+"&amp;Sheet3!D171</f>
        <v>+</v>
      </c>
      <c r="B171" s="4" t="str">
        <f>Sheet3!B171</f>
        <v/>
      </c>
      <c r="C171" s="4" t="str">
        <f>Sheet3!C171</f>
        <v/>
      </c>
      <c r="D171" s="4" t="str">
        <f>vlookup(B171,merge!$B$2:$D$272,3,false)</f>
        <v>#N/A</v>
      </c>
    </row>
    <row r="172">
      <c r="A172" s="4" t="str">
        <f>"+"&amp;Sheet3!D172</f>
        <v>+</v>
      </c>
      <c r="B172" s="4" t="str">
        <f>Sheet3!B172</f>
        <v/>
      </c>
      <c r="C172" s="4" t="str">
        <f>Sheet3!C172</f>
        <v/>
      </c>
      <c r="D172" s="4" t="str">
        <f>vlookup(B172,merge!$B$2:$D$272,3,false)</f>
        <v>#N/A</v>
      </c>
    </row>
    <row r="173">
      <c r="A173" s="4" t="str">
        <f>"+"&amp;Sheet3!D173</f>
        <v>+</v>
      </c>
      <c r="B173" s="4" t="str">
        <f>Sheet3!B173</f>
        <v/>
      </c>
      <c r="C173" s="4" t="str">
        <f>Sheet3!C173</f>
        <v/>
      </c>
      <c r="D173" s="4" t="str">
        <f>vlookup(B173,merge!$B$2:$D$272,3,false)</f>
        <v>#N/A</v>
      </c>
    </row>
    <row r="174">
      <c r="A174" s="4" t="str">
        <f>"+"&amp;Sheet3!D174</f>
        <v>+</v>
      </c>
      <c r="B174" s="4" t="str">
        <f>Sheet3!B174</f>
        <v/>
      </c>
      <c r="C174" s="4" t="str">
        <f>Sheet3!C174</f>
        <v/>
      </c>
      <c r="D174" s="4" t="str">
        <f>vlookup(B174,merge!$B$2:$D$272,3,false)</f>
        <v>#N/A</v>
      </c>
    </row>
    <row r="175">
      <c r="A175" s="4" t="str">
        <f>"+"&amp;Sheet3!D175</f>
        <v>+</v>
      </c>
      <c r="B175" s="4" t="str">
        <f>Sheet3!B175</f>
        <v/>
      </c>
      <c r="C175" s="4" t="str">
        <f>Sheet3!C175</f>
        <v/>
      </c>
      <c r="D175" s="4" t="str">
        <f>vlookup(B175,merge!$B$2:$D$272,3,false)</f>
        <v>#N/A</v>
      </c>
    </row>
    <row r="176">
      <c r="A176" s="4" t="str">
        <f>"+"&amp;Sheet3!D176</f>
        <v>+</v>
      </c>
      <c r="B176" s="4" t="str">
        <f>Sheet3!B176</f>
        <v/>
      </c>
      <c r="C176" s="4" t="str">
        <f>Sheet3!C176</f>
        <v/>
      </c>
      <c r="D176" s="4" t="str">
        <f>vlookup(B176,merge!$B$2:$D$272,3,false)</f>
        <v>#N/A</v>
      </c>
    </row>
    <row r="177">
      <c r="A177" s="4" t="str">
        <f>"+"&amp;Sheet3!D177</f>
        <v>+</v>
      </c>
      <c r="B177" s="4" t="str">
        <f>Sheet3!B177</f>
        <v/>
      </c>
      <c r="C177" s="4" t="str">
        <f>Sheet3!C177</f>
        <v/>
      </c>
      <c r="D177" s="4" t="str">
        <f>vlookup(B177,merge!$B$2:$D$272,3,false)</f>
        <v>#N/A</v>
      </c>
    </row>
    <row r="178">
      <c r="A178" s="4" t="str">
        <f>"+"&amp;Sheet3!D178</f>
        <v>+</v>
      </c>
      <c r="B178" s="4" t="str">
        <f>Sheet3!B178</f>
        <v/>
      </c>
      <c r="C178" s="4" t="str">
        <f>Sheet3!C178</f>
        <v/>
      </c>
      <c r="D178" s="4" t="str">
        <f>vlookup(B178,merge!$B$2:$D$272,3,false)</f>
        <v>#N/A</v>
      </c>
    </row>
    <row r="179">
      <c r="A179" s="4" t="str">
        <f>"+"&amp;Sheet3!D179</f>
        <v>+</v>
      </c>
      <c r="B179" s="4" t="str">
        <f>Sheet3!B179</f>
        <v/>
      </c>
      <c r="C179" s="4" t="str">
        <f>Sheet3!C179</f>
        <v/>
      </c>
      <c r="D179" s="4" t="str">
        <f>vlookup(B179,merge!$B$2:$D$272,3,false)</f>
        <v>#N/A</v>
      </c>
    </row>
    <row r="180">
      <c r="A180" s="4" t="str">
        <f>"+"&amp;Sheet3!D180</f>
        <v>+</v>
      </c>
      <c r="B180" s="4" t="str">
        <f>Sheet3!B180</f>
        <v/>
      </c>
      <c r="C180" s="4" t="str">
        <f>Sheet3!C180</f>
        <v/>
      </c>
      <c r="D180" s="4" t="str">
        <f>vlookup(B180,merge!$B$2:$D$272,3,false)</f>
        <v>#N/A</v>
      </c>
    </row>
    <row r="181">
      <c r="A181" s="4" t="str">
        <f>"+"&amp;Sheet3!D181</f>
        <v>+</v>
      </c>
      <c r="B181" s="4" t="str">
        <f>Sheet3!B181</f>
        <v/>
      </c>
      <c r="C181" s="4" t="str">
        <f>Sheet3!C181</f>
        <v/>
      </c>
      <c r="D181" s="4" t="str">
        <f>vlookup(B181,merge!$B$2:$D$272,3,false)</f>
        <v>#N/A</v>
      </c>
    </row>
    <row r="182">
      <c r="A182" s="4" t="str">
        <f>"+"&amp;Sheet3!D182</f>
        <v>+</v>
      </c>
      <c r="B182" s="4" t="str">
        <f>Sheet3!B182</f>
        <v/>
      </c>
      <c r="C182" s="4" t="str">
        <f>Sheet3!C182</f>
        <v/>
      </c>
      <c r="D182" s="4" t="str">
        <f>vlookup(B182,merge!$B$2:$D$272,3,false)</f>
        <v>#N/A</v>
      </c>
    </row>
    <row r="183">
      <c r="A183" s="4" t="str">
        <f>"+"&amp;Sheet3!D183</f>
        <v>+</v>
      </c>
      <c r="B183" s="4" t="str">
        <f>Sheet3!B183</f>
        <v/>
      </c>
      <c r="C183" s="4" t="str">
        <f>Sheet3!C183</f>
        <v/>
      </c>
      <c r="D183" s="4" t="str">
        <f>vlookup(B183,merge!$B$2:$D$272,3,false)</f>
        <v>#N/A</v>
      </c>
    </row>
    <row r="184">
      <c r="A184" s="4" t="str">
        <f>"+"&amp;Sheet3!D184</f>
        <v>+</v>
      </c>
      <c r="B184" s="4" t="str">
        <f>Sheet3!B184</f>
        <v/>
      </c>
      <c r="C184" s="4" t="str">
        <f>Sheet3!C184</f>
        <v/>
      </c>
      <c r="D184" s="4" t="str">
        <f>vlookup(B184,merge!$B$2:$D$272,3,false)</f>
        <v>#N/A</v>
      </c>
    </row>
    <row r="185">
      <c r="A185" s="4" t="str">
        <f>"+"&amp;Sheet3!D185</f>
        <v>+</v>
      </c>
      <c r="B185" s="4" t="str">
        <f>Sheet3!B185</f>
        <v/>
      </c>
      <c r="C185" s="4" t="str">
        <f>Sheet3!C185</f>
        <v/>
      </c>
      <c r="D185" s="4" t="str">
        <f>vlookup(B185,merge!$B$2:$D$272,3,false)</f>
        <v>#N/A</v>
      </c>
    </row>
    <row r="186">
      <c r="A186" s="4" t="str">
        <f>"+"&amp;Sheet3!D186</f>
        <v>+</v>
      </c>
      <c r="B186" s="4" t="str">
        <f>Sheet3!B186</f>
        <v/>
      </c>
      <c r="C186" s="4" t="str">
        <f>Sheet3!C186</f>
        <v/>
      </c>
      <c r="D186" s="4" t="str">
        <f>vlookup(B186,merge!$B$2:$D$272,3,false)</f>
        <v>#N/A</v>
      </c>
    </row>
    <row r="187">
      <c r="A187" s="4" t="str">
        <f>"+"&amp;Sheet3!D187</f>
        <v>+</v>
      </c>
      <c r="B187" s="4" t="str">
        <f>Sheet3!B187</f>
        <v/>
      </c>
      <c r="C187" s="4" t="str">
        <f>Sheet3!C187</f>
        <v/>
      </c>
      <c r="D187" s="4" t="str">
        <f>vlookup(B187,merge!$B$2:$D$272,3,false)</f>
        <v>#N/A</v>
      </c>
    </row>
    <row r="188">
      <c r="A188" s="4" t="str">
        <f>"+"&amp;Sheet3!D188</f>
        <v>+</v>
      </c>
      <c r="B188" s="4" t="str">
        <f>Sheet3!B188</f>
        <v/>
      </c>
      <c r="C188" s="4" t="str">
        <f>Sheet3!C188</f>
        <v/>
      </c>
      <c r="D188" s="4" t="str">
        <f>vlookup(B188,merge!$B$2:$D$272,3,false)</f>
        <v>#N/A</v>
      </c>
    </row>
    <row r="189">
      <c r="A189" s="4" t="str">
        <f>"+"&amp;Sheet3!D189</f>
        <v>+</v>
      </c>
      <c r="B189" s="4" t="str">
        <f>Sheet3!B189</f>
        <v/>
      </c>
      <c r="C189" s="4" t="str">
        <f>Sheet3!C189</f>
        <v/>
      </c>
      <c r="D189" s="4" t="str">
        <f>vlookup(B189,merge!$B$2:$D$272,3,false)</f>
        <v>#N/A</v>
      </c>
    </row>
    <row r="190">
      <c r="A190" s="4" t="str">
        <f>"+"&amp;Sheet3!D190</f>
        <v>+</v>
      </c>
      <c r="B190" s="4" t="str">
        <f>Sheet3!B190</f>
        <v/>
      </c>
      <c r="C190" s="4" t="str">
        <f>Sheet3!C190</f>
        <v/>
      </c>
      <c r="D190" s="4" t="str">
        <f>vlookup(B190,merge!$B$2:$D$272,3,false)</f>
        <v>#N/A</v>
      </c>
    </row>
    <row r="191">
      <c r="A191" s="4" t="str">
        <f>"+"&amp;Sheet3!D191</f>
        <v>+</v>
      </c>
      <c r="B191" s="4" t="str">
        <f>Sheet3!B191</f>
        <v/>
      </c>
      <c r="C191" s="4" t="str">
        <f>Sheet3!C191</f>
        <v/>
      </c>
      <c r="D191" s="4" t="str">
        <f>vlookup(B191,merge!$B$2:$D$272,3,false)</f>
        <v>#N/A</v>
      </c>
    </row>
    <row r="192">
      <c r="A192" s="4" t="str">
        <f>"+"&amp;Sheet3!D192</f>
        <v>+</v>
      </c>
      <c r="B192" s="4" t="str">
        <f>Sheet3!B192</f>
        <v/>
      </c>
      <c r="C192" s="4" t="str">
        <f>Sheet3!C192</f>
        <v/>
      </c>
      <c r="D192" s="4" t="str">
        <f>vlookup(B192,merge!$B$2:$D$272,3,false)</f>
        <v>#N/A</v>
      </c>
    </row>
    <row r="193">
      <c r="A193" s="4" t="str">
        <f>"+"&amp;Sheet3!D193</f>
        <v>+</v>
      </c>
      <c r="B193" s="4" t="str">
        <f>Sheet3!B193</f>
        <v/>
      </c>
      <c r="C193" s="4" t="str">
        <f>Sheet3!C193</f>
        <v/>
      </c>
      <c r="D193" s="4" t="str">
        <f>vlookup(B193,merge!$B$2:$D$272,3,false)</f>
        <v>#N/A</v>
      </c>
    </row>
    <row r="194">
      <c r="A194" s="4" t="str">
        <f>"+"&amp;Sheet3!D194</f>
        <v>+</v>
      </c>
      <c r="B194" s="4" t="str">
        <f>Sheet3!B194</f>
        <v/>
      </c>
      <c r="C194" s="4" t="str">
        <f>Sheet3!C194</f>
        <v/>
      </c>
      <c r="D194" s="4" t="str">
        <f>vlookup(B194,merge!$B$2:$D$272,3,false)</f>
        <v>#N/A</v>
      </c>
    </row>
    <row r="195">
      <c r="A195" s="4" t="str">
        <f>"+"&amp;Sheet3!D195</f>
        <v>+</v>
      </c>
      <c r="B195" s="4" t="str">
        <f>Sheet3!B195</f>
        <v/>
      </c>
      <c r="C195" s="4" t="str">
        <f>Sheet3!C195</f>
        <v/>
      </c>
      <c r="D195" s="4" t="str">
        <f>vlookup(B195,merge!$B$2:$D$272,3,false)</f>
        <v>#N/A</v>
      </c>
    </row>
    <row r="196">
      <c r="A196" s="4" t="str">
        <f>"+"&amp;Sheet3!D196</f>
        <v>+</v>
      </c>
      <c r="B196" s="4" t="str">
        <f>Sheet3!B196</f>
        <v/>
      </c>
      <c r="C196" s="4" t="str">
        <f>Sheet3!C196</f>
        <v/>
      </c>
      <c r="D196" s="4" t="str">
        <f>vlookup(B196,merge!$B$2:$D$272,3,false)</f>
        <v>#N/A</v>
      </c>
    </row>
    <row r="197">
      <c r="A197" s="4" t="str">
        <f>"+"&amp;Sheet3!D197</f>
        <v>+</v>
      </c>
      <c r="B197" s="4" t="str">
        <f>Sheet3!B197</f>
        <v/>
      </c>
      <c r="C197" s="4" t="str">
        <f>Sheet3!C197</f>
        <v/>
      </c>
      <c r="D197" s="4" t="str">
        <f>vlookup(B197,merge!$B$2:$D$272,3,false)</f>
        <v>#N/A</v>
      </c>
    </row>
    <row r="198">
      <c r="A198" s="4" t="str">
        <f>"+"&amp;Sheet3!D198</f>
        <v>+</v>
      </c>
      <c r="B198" s="4" t="str">
        <f>Sheet3!B198</f>
        <v/>
      </c>
      <c r="C198" s="4" t="str">
        <f>Sheet3!C198</f>
        <v/>
      </c>
      <c r="D198" s="4" t="str">
        <f>vlookup(B198,merge!$B$2:$D$272,3,false)</f>
        <v>#N/A</v>
      </c>
    </row>
    <row r="199">
      <c r="A199" s="4" t="str">
        <f>"+"&amp;Sheet3!D199</f>
        <v>+</v>
      </c>
      <c r="B199" s="4" t="str">
        <f>Sheet3!B199</f>
        <v/>
      </c>
      <c r="C199" s="4" t="str">
        <f>Sheet3!C199</f>
        <v/>
      </c>
      <c r="D199" s="4" t="str">
        <f>vlookup(B199,merge!$B$2:$D$272,3,false)</f>
        <v>#N/A</v>
      </c>
    </row>
    <row r="200">
      <c r="A200" s="4" t="str">
        <f>"+"&amp;Sheet3!D200</f>
        <v>+</v>
      </c>
      <c r="B200" s="4" t="str">
        <f>Sheet3!B200</f>
        <v/>
      </c>
      <c r="C200" s="4" t="str">
        <f>Sheet3!C200</f>
        <v/>
      </c>
      <c r="D200" s="4" t="str">
        <f>vlookup(B200,merge!$B$2:$D$272,3,false)</f>
        <v>#N/A</v>
      </c>
    </row>
    <row r="201">
      <c r="A201" s="4" t="str">
        <f>"+"&amp;Sheet3!D201</f>
        <v>+</v>
      </c>
      <c r="B201" s="4" t="str">
        <f>Sheet3!B201</f>
        <v/>
      </c>
      <c r="C201" s="4" t="str">
        <f>Sheet3!C201</f>
        <v/>
      </c>
      <c r="D201" s="4" t="str">
        <f>vlookup(B201,merge!$B$2:$D$272,3,false)</f>
        <v>#N/A</v>
      </c>
    </row>
    <row r="202">
      <c r="A202" s="4" t="str">
        <f>"+"&amp;Sheet3!D202</f>
        <v>+</v>
      </c>
      <c r="B202" s="4" t="str">
        <f>Sheet3!B202</f>
        <v/>
      </c>
      <c r="C202" s="4" t="str">
        <f>Sheet3!C202</f>
        <v/>
      </c>
      <c r="D202" s="4" t="str">
        <f>vlookup(B202,merge!$B$2:$D$272,3,false)</f>
        <v>#N/A</v>
      </c>
    </row>
    <row r="203">
      <c r="A203" s="4" t="str">
        <f>"+"&amp;Sheet3!D203</f>
        <v>+</v>
      </c>
      <c r="B203" s="4" t="str">
        <f>Sheet3!B203</f>
        <v/>
      </c>
      <c r="C203" s="4" t="str">
        <f>Sheet3!C203</f>
        <v/>
      </c>
      <c r="D203" s="4" t="str">
        <f>vlookup(B203,merge!$B$2:$D$272,3,false)</f>
        <v>#N/A</v>
      </c>
    </row>
    <row r="204">
      <c r="A204" s="4" t="str">
        <f>"+"&amp;Sheet3!D204</f>
        <v>+</v>
      </c>
      <c r="B204" s="4" t="str">
        <f>Sheet3!B204</f>
        <v/>
      </c>
      <c r="C204" s="4" t="str">
        <f>Sheet3!C204</f>
        <v/>
      </c>
      <c r="D204" s="4" t="str">
        <f>vlookup(B204,merge!$B$2:$D$272,3,false)</f>
        <v>#N/A</v>
      </c>
    </row>
    <row r="205">
      <c r="A205" s="4" t="str">
        <f>"+"&amp;Sheet3!D205</f>
        <v>+</v>
      </c>
      <c r="B205" s="4" t="str">
        <f>Sheet3!B205</f>
        <v/>
      </c>
      <c r="C205" s="4" t="str">
        <f>Sheet3!C205</f>
        <v/>
      </c>
      <c r="D205" s="4" t="str">
        <f>vlookup(B205,merge!$B$2:$D$272,3,false)</f>
        <v>#N/A</v>
      </c>
    </row>
    <row r="206">
      <c r="A206" s="4" t="str">
        <f>"+"&amp;Sheet3!D206</f>
        <v>+</v>
      </c>
      <c r="B206" s="4" t="str">
        <f>Sheet3!B206</f>
        <v/>
      </c>
      <c r="C206" s="4" t="str">
        <f>Sheet3!C206</f>
        <v/>
      </c>
      <c r="D206" s="4" t="str">
        <f>vlookup(B206,merge!$B$2:$D$272,3,false)</f>
        <v>#N/A</v>
      </c>
    </row>
    <row r="207">
      <c r="A207" s="4" t="str">
        <f>"+"&amp;Sheet3!D207</f>
        <v>+</v>
      </c>
      <c r="B207" s="4" t="str">
        <f>Sheet3!B207</f>
        <v/>
      </c>
      <c r="C207" s="4" t="str">
        <f>Sheet3!C207</f>
        <v/>
      </c>
      <c r="D207" s="4" t="str">
        <f>vlookup(B207,merge!$B$2:$D$272,3,false)</f>
        <v>#N/A</v>
      </c>
    </row>
    <row r="208">
      <c r="A208" s="4" t="str">
        <f>"+"&amp;Sheet3!D208</f>
        <v>+</v>
      </c>
      <c r="B208" s="4" t="str">
        <f>Sheet3!B208</f>
        <v/>
      </c>
      <c r="C208" s="4" t="str">
        <f>Sheet3!C208</f>
        <v/>
      </c>
      <c r="D208" s="4" t="str">
        <f>vlookup(B208,merge!$B$2:$D$272,3,false)</f>
        <v>#N/A</v>
      </c>
    </row>
    <row r="209">
      <c r="A209" s="4" t="str">
        <f>"+"&amp;Sheet3!D209</f>
        <v>+</v>
      </c>
      <c r="B209" s="4" t="str">
        <f>Sheet3!B209</f>
        <v/>
      </c>
      <c r="C209" s="4" t="str">
        <f>Sheet3!C209</f>
        <v/>
      </c>
      <c r="D209" s="4" t="str">
        <f>vlookup(B209,merge!$B$2:$D$272,3,false)</f>
        <v>#N/A</v>
      </c>
    </row>
    <row r="210">
      <c r="A210" s="4" t="str">
        <f>"+"&amp;Sheet3!D210</f>
        <v>+</v>
      </c>
      <c r="B210" s="4" t="str">
        <f>Sheet3!B210</f>
        <v/>
      </c>
      <c r="C210" s="4" t="str">
        <f>Sheet3!C210</f>
        <v/>
      </c>
      <c r="D210" s="4" t="str">
        <f>vlookup(B210,merge!$B$2:$D$272,3,false)</f>
        <v>#N/A</v>
      </c>
    </row>
    <row r="211">
      <c r="A211" s="4" t="str">
        <f>"+"&amp;Sheet3!D211</f>
        <v>+</v>
      </c>
      <c r="B211" s="4" t="str">
        <f>Sheet3!B211</f>
        <v/>
      </c>
      <c r="C211" s="4" t="str">
        <f>Sheet3!C211</f>
        <v/>
      </c>
      <c r="D211" s="4" t="str">
        <f>vlookup(B211,merge!$B$2:$D$272,3,false)</f>
        <v>#N/A</v>
      </c>
    </row>
    <row r="212">
      <c r="A212" s="4" t="str">
        <f>"+"&amp;Sheet3!D212</f>
        <v>+</v>
      </c>
      <c r="B212" s="4" t="str">
        <f>Sheet3!B212</f>
        <v/>
      </c>
      <c r="C212" s="4" t="str">
        <f>Sheet3!C212</f>
        <v/>
      </c>
      <c r="D212" s="4" t="str">
        <f>vlookup(B212,merge!$B$2:$D$272,3,false)</f>
        <v>#N/A</v>
      </c>
    </row>
    <row r="213">
      <c r="A213" s="4" t="str">
        <f>"+"&amp;Sheet3!D213</f>
        <v>+</v>
      </c>
      <c r="B213" s="4" t="str">
        <f>Sheet3!B213</f>
        <v/>
      </c>
      <c r="C213" s="4" t="str">
        <f>Sheet3!C213</f>
        <v/>
      </c>
      <c r="D213" s="4" t="str">
        <f>vlookup(B213,merge!$B$2:$D$272,3,false)</f>
        <v>#N/A</v>
      </c>
    </row>
    <row r="214">
      <c r="A214" s="4" t="str">
        <f>"+"&amp;Sheet3!D214</f>
        <v>+</v>
      </c>
      <c r="B214" s="4" t="str">
        <f>Sheet3!B214</f>
        <v/>
      </c>
      <c r="C214" s="4" t="str">
        <f>Sheet3!C214</f>
        <v/>
      </c>
      <c r="D214" s="4" t="str">
        <f>vlookup(B214,merge!$B$2:$D$272,3,false)</f>
        <v>#N/A</v>
      </c>
    </row>
    <row r="215">
      <c r="A215" s="4" t="str">
        <f>"+"&amp;Sheet3!D215</f>
        <v>+</v>
      </c>
      <c r="B215" s="4" t="str">
        <f>Sheet3!B215</f>
        <v/>
      </c>
      <c r="C215" s="4" t="str">
        <f>Sheet3!C215</f>
        <v/>
      </c>
      <c r="D215" s="4" t="str">
        <f>vlookup(B215,merge!$B$2:$D$272,3,false)</f>
        <v>#N/A</v>
      </c>
    </row>
    <row r="216">
      <c r="A216" s="4" t="str">
        <f>"+"&amp;Sheet3!D216</f>
        <v>+</v>
      </c>
      <c r="B216" s="4" t="str">
        <f>Sheet3!B216</f>
        <v/>
      </c>
      <c r="C216" s="4" t="str">
        <f>Sheet3!C216</f>
        <v/>
      </c>
      <c r="D216" s="4" t="str">
        <f>vlookup(B216,merge!$B$2:$D$272,3,false)</f>
        <v>#N/A</v>
      </c>
    </row>
    <row r="217">
      <c r="A217" s="4" t="str">
        <f>"+"&amp;Sheet3!D217</f>
        <v>+</v>
      </c>
      <c r="B217" s="4" t="str">
        <f>Sheet3!B217</f>
        <v/>
      </c>
      <c r="C217" s="4" t="str">
        <f>Sheet3!C217</f>
        <v/>
      </c>
      <c r="D217" s="4" t="str">
        <f>vlookup(B217,merge!$B$2:$D$272,3,false)</f>
        <v>#N/A</v>
      </c>
    </row>
    <row r="218">
      <c r="A218" s="4" t="str">
        <f>"+"&amp;Sheet3!D218</f>
        <v>+</v>
      </c>
      <c r="B218" s="4" t="str">
        <f>Sheet3!B218</f>
        <v/>
      </c>
      <c r="C218" s="4" t="str">
        <f>Sheet3!C218</f>
        <v/>
      </c>
      <c r="D218" s="4" t="str">
        <f>vlookup(B218,merge!$B$2:$D$272,3,false)</f>
        <v>#N/A</v>
      </c>
    </row>
    <row r="219">
      <c r="A219" s="4" t="str">
        <f>"+"&amp;Sheet3!D219</f>
        <v>+</v>
      </c>
      <c r="B219" s="4" t="str">
        <f>Sheet3!B219</f>
        <v/>
      </c>
      <c r="C219" s="4" t="str">
        <f>Sheet3!C219</f>
        <v/>
      </c>
      <c r="D219" s="4" t="str">
        <f>vlookup(B219,merge!$B$2:$D$272,3,false)</f>
        <v>#N/A</v>
      </c>
    </row>
    <row r="220">
      <c r="A220" s="4" t="str">
        <f>"+"&amp;Sheet3!D220</f>
        <v>+</v>
      </c>
      <c r="B220" s="4" t="str">
        <f>Sheet3!B220</f>
        <v/>
      </c>
      <c r="C220" s="4" t="str">
        <f>Sheet3!C220</f>
        <v/>
      </c>
      <c r="D220" s="4" t="str">
        <f>vlookup(B220,merge!$B$2:$D$272,3,false)</f>
        <v>#N/A</v>
      </c>
    </row>
    <row r="221">
      <c r="A221" s="4" t="str">
        <f>"+"&amp;Sheet3!D221</f>
        <v>+</v>
      </c>
      <c r="B221" s="4" t="str">
        <f>Sheet3!B221</f>
        <v/>
      </c>
      <c r="C221" s="4" t="str">
        <f>Sheet3!C221</f>
        <v/>
      </c>
      <c r="D221" s="4" t="str">
        <f>vlookup(B221,merge!$B$2:$D$272,3,false)</f>
        <v>#N/A</v>
      </c>
    </row>
    <row r="222">
      <c r="A222" s="4" t="str">
        <f>"+"&amp;Sheet3!D222</f>
        <v>+</v>
      </c>
      <c r="B222" s="4" t="str">
        <f>Sheet3!B222</f>
        <v/>
      </c>
      <c r="C222" s="4" t="str">
        <f>Sheet3!C222</f>
        <v/>
      </c>
      <c r="D222" s="4" t="str">
        <f>vlookup(B222,merge!$B$2:$D$272,3,false)</f>
        <v>#N/A</v>
      </c>
    </row>
    <row r="223">
      <c r="A223" s="4" t="str">
        <f>"+"&amp;Sheet3!D223</f>
        <v>+</v>
      </c>
      <c r="B223" s="4" t="str">
        <f>Sheet3!B223</f>
        <v/>
      </c>
      <c r="C223" s="4" t="str">
        <f>Sheet3!C223</f>
        <v/>
      </c>
      <c r="D223" s="4" t="str">
        <f>vlookup(B223,merge!$B$2:$D$272,3,false)</f>
        <v>#N/A</v>
      </c>
    </row>
    <row r="224">
      <c r="A224" s="4" t="str">
        <f>"+"&amp;Sheet3!D224</f>
        <v>+</v>
      </c>
      <c r="B224" s="4" t="str">
        <f>Sheet3!B224</f>
        <v/>
      </c>
      <c r="C224" s="4" t="str">
        <f>Sheet3!C224</f>
        <v/>
      </c>
      <c r="D224" s="4" t="str">
        <f>vlookup(B224,merge!$B$2:$D$272,3,false)</f>
        <v>#N/A</v>
      </c>
    </row>
    <row r="225">
      <c r="A225" s="4" t="str">
        <f>"+"&amp;Sheet3!D225</f>
        <v>+</v>
      </c>
      <c r="B225" s="4" t="str">
        <f>Sheet3!B225</f>
        <v/>
      </c>
      <c r="C225" s="4" t="str">
        <f>Sheet3!C225</f>
        <v/>
      </c>
      <c r="D225" s="4" t="str">
        <f>vlookup(B225,merge!$B$2:$D$272,3,false)</f>
        <v>#N/A</v>
      </c>
    </row>
    <row r="226">
      <c r="A226" s="4" t="str">
        <f>"+"&amp;Sheet3!D226</f>
        <v>+</v>
      </c>
      <c r="B226" s="4" t="str">
        <f>Sheet3!B226</f>
        <v/>
      </c>
      <c r="C226" s="4" t="str">
        <f>Sheet3!C226</f>
        <v/>
      </c>
      <c r="D226" s="4" t="str">
        <f>vlookup(B226,merge!$B$2:$D$272,3,false)</f>
        <v>#N/A</v>
      </c>
    </row>
    <row r="227">
      <c r="A227" s="4" t="str">
        <f>"+"&amp;Sheet3!D227</f>
        <v>+</v>
      </c>
      <c r="B227" s="4" t="str">
        <f>Sheet3!B227</f>
        <v/>
      </c>
      <c r="C227" s="4" t="str">
        <f>Sheet3!C227</f>
        <v/>
      </c>
      <c r="D227" s="4" t="str">
        <f>vlookup(B227,merge!$B$2:$D$272,3,false)</f>
        <v>#N/A</v>
      </c>
    </row>
    <row r="228">
      <c r="A228" s="4" t="str">
        <f>"+"&amp;Sheet3!D228</f>
        <v>+</v>
      </c>
      <c r="B228" s="4" t="str">
        <f>Sheet3!B228</f>
        <v/>
      </c>
      <c r="C228" s="4" t="str">
        <f>Sheet3!C228</f>
        <v/>
      </c>
      <c r="D228" s="4" t="str">
        <f>vlookup(B228,merge!$B$2:$D$272,3,false)</f>
        <v>#N/A</v>
      </c>
    </row>
    <row r="229">
      <c r="A229" s="4" t="str">
        <f>"+"&amp;Sheet3!D229</f>
        <v>+</v>
      </c>
      <c r="B229" s="4" t="str">
        <f>Sheet3!B229</f>
        <v/>
      </c>
      <c r="C229" s="4" t="str">
        <f>Sheet3!C229</f>
        <v/>
      </c>
      <c r="D229" s="4" t="str">
        <f>vlookup(B229,merge!$B$2:$D$272,3,false)</f>
        <v>#N/A</v>
      </c>
    </row>
    <row r="230">
      <c r="A230" s="4" t="str">
        <f>"+"&amp;Sheet3!D230</f>
        <v>+</v>
      </c>
      <c r="B230" s="4" t="str">
        <f>Sheet3!B230</f>
        <v/>
      </c>
      <c r="C230" s="4" t="str">
        <f>Sheet3!C230</f>
        <v/>
      </c>
      <c r="D230" s="4" t="str">
        <f>vlookup(B230,merge!$B$2:$D$272,3,false)</f>
        <v>#N/A</v>
      </c>
    </row>
    <row r="231">
      <c r="A231" s="4" t="str">
        <f>"+"&amp;Sheet3!D231</f>
        <v>+</v>
      </c>
      <c r="B231" s="4" t="str">
        <f>Sheet3!B231</f>
        <v/>
      </c>
      <c r="C231" s="4" t="str">
        <f>Sheet3!C231</f>
        <v/>
      </c>
      <c r="D231" s="4" t="str">
        <f>vlookup(B231,merge!$B$2:$D$272,3,false)</f>
        <v>#N/A</v>
      </c>
    </row>
    <row r="232">
      <c r="A232" s="4" t="str">
        <f>"+"&amp;Sheet3!D232</f>
        <v>+</v>
      </c>
      <c r="B232" s="4" t="str">
        <f>Sheet3!B232</f>
        <v/>
      </c>
      <c r="C232" s="4" t="str">
        <f>Sheet3!C232</f>
        <v/>
      </c>
      <c r="D232" s="4" t="str">
        <f>vlookup(B232,merge!$B$2:$D$272,3,false)</f>
        <v>#N/A</v>
      </c>
    </row>
    <row r="233">
      <c r="A233" s="4" t="str">
        <f>"+"&amp;Sheet3!D233</f>
        <v>+</v>
      </c>
      <c r="B233" s="4" t="str">
        <f>Sheet3!B233</f>
        <v/>
      </c>
      <c r="C233" s="4" t="str">
        <f>Sheet3!C233</f>
        <v/>
      </c>
      <c r="D233" s="4" t="str">
        <f>vlookup(B233,merge!$B$2:$D$272,3,false)</f>
        <v>#N/A</v>
      </c>
    </row>
    <row r="234">
      <c r="A234" s="4" t="str">
        <f>"+"&amp;Sheet3!D234</f>
        <v>+</v>
      </c>
      <c r="B234" s="4" t="str">
        <f>Sheet3!B234</f>
        <v/>
      </c>
      <c r="C234" s="4" t="str">
        <f>Sheet3!C234</f>
        <v/>
      </c>
      <c r="D234" s="4" t="str">
        <f>vlookup(B234,merge!$B$2:$D$272,3,false)</f>
        <v>#N/A</v>
      </c>
    </row>
    <row r="235">
      <c r="A235" s="4" t="str">
        <f>"+"&amp;Sheet3!D235</f>
        <v>+</v>
      </c>
      <c r="B235" s="4" t="str">
        <f>Sheet3!B235</f>
        <v/>
      </c>
      <c r="C235" s="4" t="str">
        <f>Sheet3!C235</f>
        <v/>
      </c>
      <c r="D235" s="4" t="str">
        <f>vlookup(B235,merge!$B$2:$D$272,3,false)</f>
        <v>#N/A</v>
      </c>
    </row>
    <row r="236">
      <c r="A236" s="4" t="str">
        <f>"+"&amp;Sheet3!D236</f>
        <v>+</v>
      </c>
      <c r="B236" s="4" t="str">
        <f>Sheet3!B236</f>
        <v/>
      </c>
      <c r="C236" s="4" t="str">
        <f>Sheet3!C236</f>
        <v/>
      </c>
    </row>
    <row r="237">
      <c r="A237" s="4" t="str">
        <f>"+"&amp;Sheet3!D237</f>
        <v>+</v>
      </c>
      <c r="B237" s="4" t="str">
        <f>Sheet3!B237</f>
        <v/>
      </c>
      <c r="C237" s="4" t="str">
        <f>Sheet3!C237</f>
        <v/>
      </c>
    </row>
    <row r="238">
      <c r="A238" s="4" t="str">
        <f>"+"&amp;Sheet3!D238</f>
        <v>+</v>
      </c>
      <c r="B238" s="4" t="str">
        <f>Sheet3!B238</f>
        <v/>
      </c>
      <c r="C238" s="4" t="str">
        <f>Sheet3!C238</f>
        <v/>
      </c>
    </row>
    <row r="239">
      <c r="A239" s="4" t="str">
        <f>"+"&amp;Sheet3!D239</f>
        <v>+</v>
      </c>
      <c r="B239" s="4" t="str">
        <f>Sheet3!B239</f>
        <v/>
      </c>
      <c r="C239" s="4" t="str">
        <f>Sheet3!C239</f>
        <v/>
      </c>
    </row>
    <row r="240">
      <c r="A240" s="4" t="str">
        <f>"+"&amp;Sheet3!D240</f>
        <v>+</v>
      </c>
      <c r="B240" s="4" t="str">
        <f>Sheet3!B240</f>
        <v/>
      </c>
      <c r="C240" s="4" t="str">
        <f>Sheet3!C240</f>
        <v/>
      </c>
    </row>
    <row r="241">
      <c r="A241" s="4" t="str">
        <f>"+"&amp;Sheet3!D241</f>
        <v>+</v>
      </c>
      <c r="B241" s="4" t="str">
        <f>Sheet3!B241</f>
        <v/>
      </c>
      <c r="C241" s="4" t="str">
        <f>Sheet3!C241</f>
        <v/>
      </c>
    </row>
    <row r="242">
      <c r="A242" s="4" t="str">
        <f>"+"&amp;Sheet3!D242</f>
        <v>+</v>
      </c>
      <c r="B242" s="4" t="str">
        <f>Sheet3!B242</f>
        <v/>
      </c>
      <c r="C242" s="4" t="str">
        <f>Sheet3!C242</f>
        <v/>
      </c>
    </row>
    <row r="243">
      <c r="A243" s="4" t="str">
        <f>"+"&amp;Sheet3!D243</f>
        <v>+</v>
      </c>
      <c r="B243" s="4" t="str">
        <f>Sheet3!B243</f>
        <v/>
      </c>
      <c r="C243" s="4" t="str">
        <f>Sheet3!C243</f>
        <v/>
      </c>
    </row>
    <row r="244">
      <c r="A244" s="4" t="str">
        <f>"+"&amp;Sheet3!D244</f>
        <v>+</v>
      </c>
      <c r="B244" s="4" t="str">
        <f>Sheet3!B244</f>
        <v/>
      </c>
      <c r="C244" s="4" t="str">
        <f>Sheet3!C244</f>
        <v/>
      </c>
    </row>
    <row r="245">
      <c r="A245" s="4" t="str">
        <f>"+"&amp;Sheet3!D245</f>
        <v>+</v>
      </c>
      <c r="B245" s="4" t="str">
        <f>Sheet3!B245</f>
        <v/>
      </c>
      <c r="C245" s="4" t="str">
        <f>Sheet3!C245</f>
        <v/>
      </c>
    </row>
    <row r="246">
      <c r="A246" s="4" t="str">
        <f>"+"&amp;Sheet3!D246</f>
        <v>+</v>
      </c>
      <c r="B246" s="4" t="str">
        <f>Sheet3!B246</f>
        <v/>
      </c>
      <c r="C246" s="4" t="str">
        <f>Sheet3!C246</f>
        <v/>
      </c>
    </row>
    <row r="247">
      <c r="A247" s="4" t="str">
        <f>"+"&amp;Sheet3!D247</f>
        <v>+</v>
      </c>
      <c r="B247" s="4" t="str">
        <f>Sheet3!B247</f>
        <v/>
      </c>
      <c r="C247" s="4" t="str">
        <f>Sheet3!C247</f>
        <v/>
      </c>
    </row>
    <row r="248">
      <c r="A248" s="4" t="str">
        <f>"+"&amp;Sheet3!D248</f>
        <v>+</v>
      </c>
      <c r="B248" s="4" t="str">
        <f>Sheet3!B248</f>
        <v/>
      </c>
      <c r="C248" s="4" t="str">
        <f>Sheet3!C248</f>
        <v/>
      </c>
    </row>
    <row r="249">
      <c r="A249" s="4" t="str">
        <f>"+"&amp;Sheet3!D249</f>
        <v>+</v>
      </c>
      <c r="B249" s="4" t="str">
        <f>Sheet3!B249</f>
        <v/>
      </c>
      <c r="C249" s="4" t="str">
        <f>Sheet3!C249</f>
        <v/>
      </c>
    </row>
    <row r="250">
      <c r="A250" s="4" t="str">
        <f>"+"&amp;Sheet3!D250</f>
        <v>+</v>
      </c>
      <c r="B250" s="4" t="str">
        <f>Sheet3!B250</f>
        <v/>
      </c>
      <c r="C250" s="4" t="str">
        <f>Sheet3!C250</f>
        <v/>
      </c>
    </row>
    <row r="251">
      <c r="A251" s="4" t="str">
        <f>"+"&amp;Sheet3!D251</f>
        <v>+</v>
      </c>
      <c r="B251" s="4" t="str">
        <f>Sheet3!B251</f>
        <v/>
      </c>
      <c r="C251" s="4" t="str">
        <f>Sheet3!C251</f>
        <v/>
      </c>
    </row>
    <row r="252">
      <c r="A252" s="4" t="str">
        <f>"+"&amp;Sheet3!D252</f>
        <v>+</v>
      </c>
      <c r="B252" s="4" t="str">
        <f>Sheet3!B252</f>
        <v/>
      </c>
      <c r="C252" s="4" t="str">
        <f>Sheet3!C252</f>
        <v/>
      </c>
    </row>
    <row r="253">
      <c r="A253" s="4" t="str">
        <f>"+"&amp;Sheet3!D253</f>
        <v>+</v>
      </c>
      <c r="B253" s="4" t="str">
        <f>Sheet3!B253</f>
        <v/>
      </c>
      <c r="C253" s="4" t="str">
        <f>Sheet3!C253</f>
        <v/>
      </c>
    </row>
    <row r="254">
      <c r="A254" s="4" t="str">
        <f>"+"&amp;Sheet3!D254</f>
        <v>+</v>
      </c>
      <c r="B254" s="4" t="str">
        <f>Sheet3!B254</f>
        <v/>
      </c>
      <c r="C254" s="4" t="str">
        <f>Sheet3!C254</f>
        <v/>
      </c>
    </row>
    <row r="255">
      <c r="A255" s="4" t="str">
        <f>"+"&amp;Sheet3!D255</f>
        <v>+</v>
      </c>
      <c r="B255" s="4" t="str">
        <f>Sheet3!B255</f>
        <v/>
      </c>
      <c r="C255" s="4" t="str">
        <f>Sheet3!C255</f>
        <v/>
      </c>
    </row>
    <row r="256">
      <c r="A256" s="4" t="str">
        <f>"+"&amp;Sheet3!D256</f>
        <v>+</v>
      </c>
      <c r="B256" s="4" t="str">
        <f>Sheet3!B256</f>
        <v/>
      </c>
      <c r="C256" s="4" t="str">
        <f>Sheet3!C256</f>
        <v/>
      </c>
    </row>
    <row r="257">
      <c r="A257" s="4" t="str">
        <f>"+"&amp;Sheet3!D257</f>
        <v>+</v>
      </c>
      <c r="B257" s="4" t="str">
        <f>Sheet3!B257</f>
        <v/>
      </c>
      <c r="C257" s="4" t="str">
        <f>Sheet3!C257</f>
        <v/>
      </c>
    </row>
    <row r="258">
      <c r="A258" s="4" t="str">
        <f>"+"&amp;Sheet3!D258</f>
        <v>+</v>
      </c>
      <c r="B258" s="4" t="str">
        <f>Sheet3!B258</f>
        <v/>
      </c>
      <c r="C258" s="4" t="str">
        <f>Sheet3!C258</f>
        <v/>
      </c>
    </row>
    <row r="259">
      <c r="A259" s="4" t="str">
        <f>"+"&amp;Sheet3!D259</f>
        <v>+</v>
      </c>
      <c r="B259" s="4" t="str">
        <f>Sheet3!B259</f>
        <v/>
      </c>
      <c r="C259" s="4" t="str">
        <f>Sheet3!C259</f>
        <v/>
      </c>
    </row>
    <row r="260">
      <c r="A260" s="4" t="str">
        <f>"+"&amp;Sheet3!D260</f>
        <v>+</v>
      </c>
      <c r="B260" s="4" t="str">
        <f>Sheet3!B260</f>
        <v/>
      </c>
      <c r="C260" s="4" t="str">
        <f>Sheet3!C260</f>
        <v/>
      </c>
    </row>
    <row r="261">
      <c r="A261" s="4" t="str">
        <f>"+"&amp;Sheet3!D261</f>
        <v>+</v>
      </c>
      <c r="B261" s="4" t="str">
        <f>Sheet3!B261</f>
        <v/>
      </c>
      <c r="C261" s="4" t="str">
        <f>Sheet3!C261</f>
        <v/>
      </c>
    </row>
    <row r="262">
      <c r="A262" s="4" t="str">
        <f>"+"&amp;Sheet3!D262</f>
        <v>+</v>
      </c>
      <c r="B262" s="4" t="str">
        <f>Sheet3!B262</f>
        <v/>
      </c>
      <c r="C262" s="4" t="str">
        <f>Sheet3!C262</f>
        <v/>
      </c>
    </row>
    <row r="263">
      <c r="A263" s="4" t="str">
        <f>"+"&amp;Sheet3!D263</f>
        <v>+</v>
      </c>
      <c r="B263" s="4" t="str">
        <f>Sheet3!B263</f>
        <v/>
      </c>
      <c r="C263" s="4" t="str">
        <f>Sheet3!C263</f>
        <v/>
      </c>
    </row>
    <row r="264">
      <c r="A264" s="4" t="str">
        <f>"+"&amp;Sheet3!D264</f>
        <v>+</v>
      </c>
      <c r="B264" s="4" t="str">
        <f>Sheet3!B264</f>
        <v/>
      </c>
      <c r="C264" s="4" t="str">
        <f>Sheet3!C264</f>
        <v/>
      </c>
    </row>
    <row r="265">
      <c r="A265" s="4" t="str">
        <f>"+"&amp;Sheet3!D265</f>
        <v>+</v>
      </c>
      <c r="B265" s="4" t="str">
        <f>Sheet3!B265</f>
        <v/>
      </c>
      <c r="C265" s="4" t="str">
        <f>Sheet3!C265</f>
        <v/>
      </c>
    </row>
    <row r="266">
      <c r="A266" s="4" t="str">
        <f>"+"&amp;Sheet3!D266</f>
        <v>+</v>
      </c>
      <c r="B266" s="4" t="str">
        <f>Sheet3!B266</f>
        <v/>
      </c>
      <c r="C266" s="4" t="str">
        <f>Sheet3!C266</f>
        <v/>
      </c>
    </row>
    <row r="267">
      <c r="A267" s="4" t="str">
        <f>"+"&amp;Sheet3!D267</f>
        <v>+</v>
      </c>
      <c r="B267" s="4" t="str">
        <f>Sheet3!B267</f>
        <v/>
      </c>
      <c r="C267" s="4" t="str">
        <f>Sheet3!C267</f>
        <v/>
      </c>
    </row>
    <row r="268">
      <c r="A268" s="4" t="str">
        <f>"+"&amp;Sheet3!D268</f>
        <v>+</v>
      </c>
      <c r="B268" s="4" t="str">
        <f>Sheet3!B268</f>
        <v/>
      </c>
      <c r="C268" s="4" t="str">
        <f>Sheet3!C268</f>
        <v/>
      </c>
    </row>
    <row r="269">
      <c r="A269" s="4" t="str">
        <f>"+"&amp;Sheet3!D269</f>
        <v>+</v>
      </c>
      <c r="B269" s="4" t="str">
        <f>Sheet3!B269</f>
        <v/>
      </c>
      <c r="C269" s="4" t="str">
        <f>Sheet3!C269</f>
        <v/>
      </c>
    </row>
    <row r="270">
      <c r="A270" s="4" t="str">
        <f>"+"&amp;Sheet3!D270</f>
        <v>+</v>
      </c>
      <c r="B270" s="4" t="str">
        <f>Sheet3!B270</f>
        <v/>
      </c>
      <c r="C270" s="4" t="str">
        <f>Sheet3!C270</f>
        <v/>
      </c>
    </row>
    <row r="271">
      <c r="A271" s="4" t="str">
        <f>"+"&amp;Sheet3!D271</f>
        <v>+</v>
      </c>
      <c r="B271" s="4" t="str">
        <f>Sheet3!B271</f>
        <v/>
      </c>
      <c r="C271" s="4" t="str">
        <f>Sheet3!C271</f>
        <v/>
      </c>
    </row>
    <row r="272">
      <c r="A272" s="4" t="str">
        <f>"+"&amp;Sheet3!D272</f>
        <v>+</v>
      </c>
      <c r="B272" s="4" t="str">
        <f>Sheet3!B272</f>
        <v/>
      </c>
      <c r="C272" s="4" t="str">
        <f>Sheet3!C272</f>
        <v/>
      </c>
    </row>
    <row r="273">
      <c r="A273" s="4" t="str">
        <f>"+"&amp;Sheet3!D273</f>
        <v>+</v>
      </c>
      <c r="B273" s="4" t="str">
        <f>Sheet3!B273</f>
        <v/>
      </c>
      <c r="C273" s="4" t="str">
        <f>Sheet3!C273</f>
        <v/>
      </c>
    </row>
    <row r="274">
      <c r="A274" s="4" t="str">
        <f>"+"&amp;Sheet3!D274</f>
        <v>+</v>
      </c>
      <c r="B274" s="4" t="str">
        <f>Sheet3!B274</f>
        <v/>
      </c>
      <c r="C274" s="4" t="str">
        <f>Sheet3!C274</f>
        <v/>
      </c>
    </row>
    <row r="275">
      <c r="A275" s="4" t="str">
        <f>"+"&amp;Sheet3!D275</f>
        <v>+</v>
      </c>
      <c r="B275" s="4" t="str">
        <f>Sheet3!B275</f>
        <v/>
      </c>
      <c r="C275" s="4" t="str">
        <f>Sheet3!C275</f>
        <v/>
      </c>
    </row>
    <row r="276">
      <c r="A276" s="4" t="str">
        <f>"+"&amp;Sheet3!D276</f>
        <v>+</v>
      </c>
      <c r="B276" s="4" t="str">
        <f>Sheet3!B276</f>
        <v/>
      </c>
      <c r="C276" s="4" t="str">
        <f>Sheet3!C276</f>
        <v/>
      </c>
    </row>
    <row r="277">
      <c r="A277" s="4" t="str">
        <f>"+"&amp;Sheet3!D277</f>
        <v>+</v>
      </c>
      <c r="B277" s="4" t="str">
        <f>Sheet3!B277</f>
        <v/>
      </c>
      <c r="C277" s="4" t="str">
        <f>Sheet3!C277</f>
        <v/>
      </c>
    </row>
    <row r="278">
      <c r="A278" s="4" t="str">
        <f>"+"&amp;Sheet3!D278</f>
        <v>+</v>
      </c>
      <c r="B278" s="4" t="str">
        <f>Sheet3!B278</f>
        <v/>
      </c>
      <c r="C278" s="4" t="str">
        <f>Sheet3!C278</f>
        <v/>
      </c>
    </row>
    <row r="279">
      <c r="A279" s="4" t="str">
        <f>"+"&amp;Sheet3!D279</f>
        <v>+</v>
      </c>
      <c r="B279" s="4" t="str">
        <f>Sheet3!B279</f>
        <v/>
      </c>
      <c r="C279" s="4" t="str">
        <f>Sheet3!C279</f>
        <v/>
      </c>
    </row>
    <row r="280">
      <c r="A280" s="4" t="str">
        <f>"+"&amp;Sheet3!D280</f>
        <v>+</v>
      </c>
      <c r="B280" s="4" t="str">
        <f>Sheet3!B280</f>
        <v/>
      </c>
      <c r="C280" s="4" t="str">
        <f>Sheet3!C280</f>
        <v/>
      </c>
    </row>
    <row r="281">
      <c r="A281" s="4" t="str">
        <f>"+"&amp;Sheet3!D281</f>
        <v>+</v>
      </c>
      <c r="B281" s="4" t="str">
        <f>Sheet3!B281</f>
        <v/>
      </c>
      <c r="C281" s="4" t="str">
        <f>Sheet3!C281</f>
        <v/>
      </c>
    </row>
    <row r="282">
      <c r="A282" s="4" t="str">
        <f>"+"&amp;Sheet3!D282</f>
        <v>+</v>
      </c>
      <c r="B282" s="4" t="str">
        <f>Sheet3!B282</f>
        <v/>
      </c>
      <c r="C282" s="4" t="str">
        <f>Sheet3!C282</f>
        <v/>
      </c>
    </row>
    <row r="283">
      <c r="A283" s="4" t="str">
        <f>"+"&amp;Sheet3!D283</f>
        <v>+</v>
      </c>
      <c r="B283" s="4" t="str">
        <f>Sheet3!B283</f>
        <v/>
      </c>
      <c r="C283" s="4" t="str">
        <f>Sheet3!C283</f>
        <v/>
      </c>
    </row>
    <row r="284">
      <c r="A284" s="4" t="str">
        <f>"+"&amp;Sheet3!D284</f>
        <v>+</v>
      </c>
      <c r="B284" s="4" t="str">
        <f>Sheet3!B284</f>
        <v/>
      </c>
      <c r="C284" s="4" t="str">
        <f>Sheet3!C284</f>
        <v/>
      </c>
    </row>
    <row r="285">
      <c r="A285" s="4" t="str">
        <f>"+"&amp;Sheet3!D285</f>
        <v>+</v>
      </c>
      <c r="B285" s="4" t="str">
        <f>Sheet3!B285</f>
        <v/>
      </c>
      <c r="C285" s="4" t="str">
        <f>Sheet3!C285</f>
        <v/>
      </c>
    </row>
    <row r="286">
      <c r="A286" s="4" t="str">
        <f>"+"&amp;Sheet3!D286</f>
        <v>+</v>
      </c>
      <c r="B286" s="4" t="str">
        <f>Sheet3!B286</f>
        <v/>
      </c>
      <c r="C286" s="4" t="str">
        <f>Sheet3!C286</f>
        <v/>
      </c>
    </row>
    <row r="287">
      <c r="A287" s="4" t="str">
        <f>"+"&amp;Sheet3!D287</f>
        <v>+</v>
      </c>
      <c r="B287" s="4" t="str">
        <f>Sheet3!B287</f>
        <v/>
      </c>
      <c r="C287" s="4" t="str">
        <f>Sheet3!C287</f>
        <v/>
      </c>
    </row>
    <row r="288">
      <c r="A288" s="4" t="str">
        <f>"+"&amp;Sheet3!D288</f>
        <v>+</v>
      </c>
      <c r="B288" s="4" t="str">
        <f>Sheet3!B288</f>
        <v/>
      </c>
      <c r="C288" s="4" t="str">
        <f>Sheet3!C288</f>
        <v/>
      </c>
    </row>
    <row r="289">
      <c r="A289" s="4" t="str">
        <f>"+"&amp;Sheet3!D289</f>
        <v>+</v>
      </c>
      <c r="B289" s="4" t="str">
        <f>Sheet3!B289</f>
        <v/>
      </c>
      <c r="C289" s="4" t="str">
        <f>Sheet3!C289</f>
        <v/>
      </c>
    </row>
    <row r="290">
      <c r="A290" s="4" t="str">
        <f>"+"&amp;Sheet3!D290</f>
        <v>+</v>
      </c>
      <c r="B290" s="4" t="str">
        <f>Sheet3!B290</f>
        <v/>
      </c>
      <c r="C290" s="4" t="str">
        <f>Sheet3!C290</f>
        <v/>
      </c>
    </row>
    <row r="291">
      <c r="A291" s="4" t="str">
        <f>"+"&amp;Sheet3!D291</f>
        <v>+</v>
      </c>
      <c r="B291" s="4" t="str">
        <f>Sheet3!B291</f>
        <v/>
      </c>
      <c r="C291" s="4" t="str">
        <f>Sheet3!C291</f>
        <v/>
      </c>
    </row>
    <row r="292">
      <c r="A292" s="4" t="str">
        <f>"+"&amp;Sheet3!D292</f>
        <v>+</v>
      </c>
      <c r="B292" s="4" t="str">
        <f>Sheet3!B292</f>
        <v/>
      </c>
      <c r="C292" s="4" t="str">
        <f>Sheet3!C292</f>
        <v/>
      </c>
    </row>
    <row r="293">
      <c r="A293" s="4" t="str">
        <f>"+"&amp;Sheet3!D293</f>
        <v>+</v>
      </c>
      <c r="B293" s="4" t="str">
        <f>Sheet3!B293</f>
        <v/>
      </c>
      <c r="C293" s="4" t="str">
        <f>Sheet3!C293</f>
        <v/>
      </c>
    </row>
    <row r="294">
      <c r="A294" s="4" t="str">
        <f>"+"&amp;Sheet3!D294</f>
        <v>+</v>
      </c>
      <c r="B294" s="4" t="str">
        <f>Sheet3!B294</f>
        <v/>
      </c>
      <c r="C294" s="4" t="str">
        <f>Sheet3!C294</f>
        <v/>
      </c>
    </row>
    <row r="295">
      <c r="A295" s="4" t="str">
        <f>"+"&amp;Sheet3!D295</f>
        <v>+</v>
      </c>
      <c r="B295" s="4" t="str">
        <f>Sheet3!B295</f>
        <v/>
      </c>
      <c r="C295" s="4" t="str">
        <f>Sheet3!C295</f>
        <v/>
      </c>
    </row>
    <row r="296">
      <c r="A296" s="4" t="str">
        <f>"+"&amp;Sheet3!D296</f>
        <v>+</v>
      </c>
      <c r="B296" s="4" t="str">
        <f>Sheet3!B296</f>
        <v/>
      </c>
      <c r="C296" s="4" t="str">
        <f>Sheet3!C296</f>
        <v/>
      </c>
    </row>
    <row r="297">
      <c r="A297" s="4" t="str">
        <f>"+"&amp;Sheet3!D297</f>
        <v>+</v>
      </c>
      <c r="B297" s="4" t="str">
        <f>Sheet3!B297</f>
        <v/>
      </c>
      <c r="C297" s="4" t="str">
        <f>Sheet3!C297</f>
        <v/>
      </c>
    </row>
    <row r="298">
      <c r="A298" s="4" t="str">
        <f>"+"&amp;Sheet3!D298</f>
        <v>+</v>
      </c>
      <c r="B298" s="4" t="str">
        <f>Sheet3!B298</f>
        <v/>
      </c>
      <c r="C298" s="4" t="str">
        <f>Sheet3!C298</f>
        <v/>
      </c>
    </row>
    <row r="299">
      <c r="A299" s="4" t="str">
        <f>"+"&amp;Sheet3!D299</f>
        <v>+</v>
      </c>
      <c r="B299" s="4" t="str">
        <f>Sheet3!B299</f>
        <v/>
      </c>
      <c r="C299" s="4" t="str">
        <f>Sheet3!C299</f>
        <v/>
      </c>
    </row>
    <row r="300">
      <c r="A300" s="4" t="str">
        <f>"+"&amp;Sheet3!D300</f>
        <v>+</v>
      </c>
      <c r="B300" s="4" t="str">
        <f>Sheet3!B300</f>
        <v/>
      </c>
      <c r="C300" s="4" t="str">
        <f>Sheet3!C300</f>
        <v/>
      </c>
    </row>
    <row r="301">
      <c r="A301" s="4" t="str">
        <f>"+"&amp;Sheet3!D301</f>
        <v>+</v>
      </c>
      <c r="B301" s="4" t="str">
        <f>Sheet3!B301</f>
        <v/>
      </c>
      <c r="C301" s="4" t="str">
        <f>Sheet3!C301</f>
        <v/>
      </c>
    </row>
    <row r="302">
      <c r="A302" s="4" t="str">
        <f>"+"&amp;Sheet3!D302</f>
        <v>+</v>
      </c>
      <c r="B302" s="4" t="str">
        <f>Sheet3!B302</f>
        <v/>
      </c>
      <c r="C302" s="4" t="str">
        <f>Sheet3!C302</f>
        <v/>
      </c>
    </row>
    <row r="303">
      <c r="A303" s="4" t="str">
        <f>"+"&amp;Sheet3!D303</f>
        <v>+</v>
      </c>
      <c r="B303" s="4" t="str">
        <f>Sheet3!B303</f>
        <v/>
      </c>
      <c r="C303" s="4" t="str">
        <f>Sheet3!C303</f>
        <v/>
      </c>
    </row>
    <row r="304">
      <c r="A304" s="4" t="str">
        <f>"+"&amp;Sheet3!D304</f>
        <v>+</v>
      </c>
      <c r="B304" s="4" t="str">
        <f>Sheet3!B304</f>
        <v/>
      </c>
      <c r="C304" s="4" t="str">
        <f>Sheet3!C304</f>
        <v/>
      </c>
    </row>
    <row r="305">
      <c r="A305" s="4" t="str">
        <f>"+"&amp;Sheet3!D305</f>
        <v>+</v>
      </c>
      <c r="B305" s="4" t="str">
        <f>Sheet3!B305</f>
        <v/>
      </c>
      <c r="C305" s="4" t="str">
        <f>Sheet3!C305</f>
        <v/>
      </c>
    </row>
    <row r="306">
      <c r="A306" s="4" t="str">
        <f>"+"&amp;Sheet3!D306</f>
        <v>+</v>
      </c>
      <c r="B306" s="4" t="str">
        <f>Sheet3!B306</f>
        <v/>
      </c>
      <c r="C306" s="4" t="str">
        <f>Sheet3!C306</f>
        <v/>
      </c>
    </row>
    <row r="307">
      <c r="A307" s="4" t="str">
        <f>"+"&amp;Sheet3!D307</f>
        <v>+</v>
      </c>
      <c r="B307" s="4" t="str">
        <f>Sheet3!B307</f>
        <v/>
      </c>
      <c r="C307" s="4" t="str">
        <f>Sheet3!C307</f>
        <v/>
      </c>
    </row>
    <row r="308">
      <c r="A308" s="4" t="str">
        <f>"+"&amp;Sheet3!D308</f>
        <v>+</v>
      </c>
      <c r="B308" s="4" t="str">
        <f>Sheet3!B308</f>
        <v/>
      </c>
      <c r="C308" s="4" t="str">
        <f>Sheet3!C308</f>
        <v/>
      </c>
    </row>
    <row r="309">
      <c r="A309" s="4" t="str">
        <f>"+"&amp;Sheet3!D309</f>
        <v>+</v>
      </c>
      <c r="B309" s="4" t="str">
        <f>Sheet3!B309</f>
        <v/>
      </c>
      <c r="C309" s="4" t="str">
        <f>Sheet3!C309</f>
        <v/>
      </c>
    </row>
    <row r="310">
      <c r="A310" s="4" t="str">
        <f>"+"&amp;Sheet3!D310</f>
        <v>+</v>
      </c>
      <c r="B310" s="4" t="str">
        <f>Sheet3!B310</f>
        <v/>
      </c>
      <c r="C310" s="4" t="str">
        <f>Sheet3!C310</f>
        <v/>
      </c>
    </row>
    <row r="311">
      <c r="A311" s="4" t="str">
        <f>"+"&amp;Sheet3!D311</f>
        <v>+</v>
      </c>
      <c r="B311" s="4" t="str">
        <f>Sheet3!B311</f>
        <v/>
      </c>
      <c r="C311" s="4" t="str">
        <f>Sheet3!C311</f>
        <v/>
      </c>
    </row>
    <row r="312">
      <c r="A312" s="4" t="str">
        <f>"+"&amp;Sheet3!D312</f>
        <v>+</v>
      </c>
      <c r="B312" s="4" t="str">
        <f>Sheet3!B312</f>
        <v/>
      </c>
      <c r="C312" s="4" t="str">
        <f>Sheet3!C312</f>
        <v/>
      </c>
    </row>
    <row r="313">
      <c r="A313" s="4" t="str">
        <f>"+"&amp;Sheet3!D313</f>
        <v>+</v>
      </c>
      <c r="B313" s="4" t="str">
        <f>Sheet3!B313</f>
        <v/>
      </c>
      <c r="C313" s="4" t="str">
        <f>Sheet3!C313</f>
        <v/>
      </c>
    </row>
    <row r="314">
      <c r="A314" s="4" t="str">
        <f>"+"&amp;Sheet3!D314</f>
        <v>+</v>
      </c>
      <c r="B314" s="4" t="str">
        <f>Sheet3!B314</f>
        <v/>
      </c>
      <c r="C314" s="4" t="str">
        <f>Sheet3!C314</f>
        <v/>
      </c>
    </row>
    <row r="315">
      <c r="A315" s="4" t="str">
        <f>"+"&amp;Sheet3!D315</f>
        <v>+</v>
      </c>
      <c r="B315" s="4" t="str">
        <f>Sheet3!B315</f>
        <v/>
      </c>
      <c r="C315" s="4" t="str">
        <f>Sheet3!C315</f>
        <v/>
      </c>
    </row>
    <row r="316">
      <c r="A316" s="4" t="str">
        <f>"+"&amp;Sheet3!D316</f>
        <v>+</v>
      </c>
      <c r="B316" s="4" t="str">
        <f>Sheet3!B316</f>
        <v/>
      </c>
      <c r="C316" s="4" t="str">
        <f>Sheet3!C316</f>
        <v/>
      </c>
    </row>
    <row r="317">
      <c r="A317" s="4" t="str">
        <f>"+"&amp;Sheet3!D317</f>
        <v>+</v>
      </c>
      <c r="B317" s="4" t="str">
        <f>Sheet3!B317</f>
        <v/>
      </c>
      <c r="C317" s="4" t="str">
        <f>Sheet3!C317</f>
        <v/>
      </c>
    </row>
    <row r="318">
      <c r="A318" s="4" t="str">
        <f>"+"&amp;Sheet3!D318</f>
        <v>+</v>
      </c>
      <c r="B318" s="4" t="str">
        <f>Sheet3!B318</f>
        <v/>
      </c>
      <c r="C318" s="4" t="str">
        <f>Sheet3!C318</f>
        <v/>
      </c>
    </row>
    <row r="319">
      <c r="A319" s="4" t="str">
        <f>"+"&amp;Sheet3!D319</f>
        <v>+</v>
      </c>
      <c r="B319" s="4" t="str">
        <f>Sheet3!B319</f>
        <v/>
      </c>
      <c r="C319" s="4" t="str">
        <f>Sheet3!C319</f>
        <v/>
      </c>
    </row>
    <row r="320">
      <c r="A320" s="4" t="str">
        <f>"+"&amp;Sheet3!D320</f>
        <v>+</v>
      </c>
      <c r="B320" s="4" t="str">
        <f>Sheet3!B320</f>
        <v/>
      </c>
      <c r="C320" s="4" t="str">
        <f>Sheet3!C320</f>
        <v/>
      </c>
    </row>
    <row r="321">
      <c r="A321" s="4" t="str">
        <f>"+"&amp;Sheet3!D321</f>
        <v>+</v>
      </c>
      <c r="B321" s="4" t="str">
        <f>Sheet3!B321</f>
        <v/>
      </c>
      <c r="C321" s="4" t="str">
        <f>Sheet3!C321</f>
        <v/>
      </c>
    </row>
    <row r="322">
      <c r="A322" s="4" t="str">
        <f>"+"&amp;Sheet3!D322</f>
        <v>+</v>
      </c>
      <c r="B322" s="4" t="str">
        <f>Sheet3!B322</f>
        <v/>
      </c>
      <c r="C322" s="4" t="str">
        <f>Sheet3!C322</f>
        <v/>
      </c>
    </row>
    <row r="323">
      <c r="A323" s="4" t="str">
        <f>"+"&amp;Sheet3!D323</f>
        <v>+</v>
      </c>
      <c r="B323" s="4" t="str">
        <f>Sheet3!B323</f>
        <v/>
      </c>
      <c r="C323" s="4" t="str">
        <f>Sheet3!C323</f>
        <v/>
      </c>
    </row>
    <row r="324">
      <c r="A324" s="4" t="str">
        <f>"+"&amp;Sheet3!D324</f>
        <v>+</v>
      </c>
      <c r="B324" s="4" t="str">
        <f>Sheet3!B324</f>
        <v/>
      </c>
      <c r="C324" s="4" t="str">
        <f>Sheet3!C324</f>
        <v/>
      </c>
    </row>
    <row r="325">
      <c r="A325" s="4" t="str">
        <f>"+"&amp;Sheet3!D325</f>
        <v>+</v>
      </c>
      <c r="B325" s="4" t="str">
        <f>Sheet3!B325</f>
        <v/>
      </c>
      <c r="C325" s="4" t="str">
        <f>Sheet3!C325</f>
        <v/>
      </c>
    </row>
    <row r="326">
      <c r="A326" s="4" t="str">
        <f>"+"&amp;Sheet3!D326</f>
        <v>+</v>
      </c>
      <c r="B326" s="4" t="str">
        <f>Sheet3!B326</f>
        <v/>
      </c>
      <c r="C326" s="4" t="str">
        <f>Sheet3!C326</f>
        <v/>
      </c>
    </row>
    <row r="327">
      <c r="A327" s="4" t="str">
        <f>"+"&amp;Sheet3!D327</f>
        <v>+</v>
      </c>
      <c r="B327" s="4" t="str">
        <f>Sheet3!B327</f>
        <v/>
      </c>
      <c r="C327" s="4" t="str">
        <f>Sheet3!C327</f>
        <v/>
      </c>
    </row>
    <row r="328">
      <c r="A328" s="4" t="str">
        <f>"+"&amp;Sheet3!D328</f>
        <v>+</v>
      </c>
      <c r="B328" s="4" t="str">
        <f>Sheet3!B328</f>
        <v/>
      </c>
      <c r="C328" s="4" t="str">
        <f>Sheet3!C328</f>
        <v/>
      </c>
    </row>
    <row r="329">
      <c r="A329" s="4" t="str">
        <f>"+"&amp;Sheet3!D329</f>
        <v>+</v>
      </c>
      <c r="B329" s="4" t="str">
        <f>Sheet3!B329</f>
        <v/>
      </c>
      <c r="C329" s="4" t="str">
        <f>Sheet3!C329</f>
        <v/>
      </c>
    </row>
    <row r="330">
      <c r="A330" s="4" t="str">
        <f>"+"&amp;Sheet3!D330</f>
        <v>+</v>
      </c>
      <c r="B330" s="4" t="str">
        <f>Sheet3!B330</f>
        <v/>
      </c>
      <c r="C330" s="4" t="str">
        <f>Sheet3!C330</f>
        <v/>
      </c>
    </row>
    <row r="331">
      <c r="A331" s="4" t="str">
        <f>"+"&amp;Sheet3!D331</f>
        <v>+</v>
      </c>
      <c r="B331" s="4" t="str">
        <f>Sheet3!B331</f>
        <v/>
      </c>
      <c r="C331" s="4" t="str">
        <f>Sheet3!C331</f>
        <v/>
      </c>
    </row>
    <row r="332">
      <c r="A332" s="4" t="str">
        <f>"+"&amp;Sheet3!D332</f>
        <v>+</v>
      </c>
      <c r="B332" s="4" t="str">
        <f>Sheet3!B332</f>
        <v/>
      </c>
      <c r="C332" s="4" t="str">
        <f>Sheet3!C332</f>
        <v/>
      </c>
    </row>
    <row r="333">
      <c r="A333" s="4" t="str">
        <f>"+"&amp;Sheet3!D333</f>
        <v>+</v>
      </c>
      <c r="B333" s="4" t="str">
        <f>Sheet3!B333</f>
        <v/>
      </c>
      <c r="C333" s="4" t="str">
        <f>Sheet3!C333</f>
        <v/>
      </c>
    </row>
    <row r="334">
      <c r="A334" s="4" t="str">
        <f>"+"&amp;Sheet3!D334</f>
        <v>+</v>
      </c>
      <c r="B334" s="4" t="str">
        <f>Sheet3!B334</f>
        <v/>
      </c>
      <c r="C334" s="4" t="str">
        <f>Sheet3!C334</f>
        <v/>
      </c>
    </row>
    <row r="335">
      <c r="A335" s="4" t="str">
        <f>"+"&amp;Sheet3!D335</f>
        <v>+</v>
      </c>
      <c r="B335" s="4" t="str">
        <f>Sheet3!B335</f>
        <v/>
      </c>
      <c r="C335" s="4" t="str">
        <f>Sheet3!C335</f>
        <v/>
      </c>
    </row>
    <row r="336">
      <c r="A336" s="4" t="str">
        <f>"+"&amp;Sheet3!D336</f>
        <v>+</v>
      </c>
      <c r="B336" s="4" t="str">
        <f>Sheet3!B336</f>
        <v/>
      </c>
      <c r="C336" s="4" t="str">
        <f>Sheet3!C336</f>
        <v/>
      </c>
    </row>
    <row r="337">
      <c r="A337" s="4" t="str">
        <f>"+"&amp;Sheet3!D337</f>
        <v>+</v>
      </c>
      <c r="B337" s="4" t="str">
        <f>Sheet3!B337</f>
        <v/>
      </c>
      <c r="C337" s="4" t="str">
        <f>Sheet3!C337</f>
        <v/>
      </c>
    </row>
    <row r="338">
      <c r="A338" s="4" t="str">
        <f>"+"&amp;Sheet3!D338</f>
        <v>+</v>
      </c>
      <c r="B338" s="4" t="str">
        <f>Sheet3!B338</f>
        <v/>
      </c>
      <c r="C338" s="4" t="str">
        <f>Sheet3!C338</f>
        <v/>
      </c>
    </row>
    <row r="339">
      <c r="A339" s="4" t="str">
        <f>"+"&amp;Sheet3!D339</f>
        <v>+</v>
      </c>
      <c r="B339" s="4" t="str">
        <f>Sheet3!B339</f>
        <v/>
      </c>
      <c r="C339" s="4" t="str">
        <f>Sheet3!C339</f>
        <v/>
      </c>
    </row>
    <row r="340">
      <c r="A340" s="4" t="str">
        <f>"+"&amp;Sheet3!D340</f>
        <v>+</v>
      </c>
      <c r="B340" s="4" t="str">
        <f>Sheet3!B340</f>
        <v/>
      </c>
      <c r="C340" s="4" t="str">
        <f>Sheet3!C340</f>
        <v/>
      </c>
    </row>
    <row r="341">
      <c r="A341" s="4" t="str">
        <f>"+"&amp;Sheet3!D341</f>
        <v>+</v>
      </c>
      <c r="B341" s="4" t="str">
        <f>Sheet3!B341</f>
        <v/>
      </c>
      <c r="C341" s="4" t="str">
        <f>Sheet3!C341</f>
        <v/>
      </c>
    </row>
    <row r="342">
      <c r="A342" s="4" t="str">
        <f>"+"&amp;Sheet3!D342</f>
        <v>+</v>
      </c>
      <c r="B342" s="4" t="str">
        <f>Sheet3!B342</f>
        <v/>
      </c>
      <c r="C342" s="4" t="str">
        <f>Sheet3!C342</f>
        <v/>
      </c>
    </row>
    <row r="343">
      <c r="A343" s="4" t="str">
        <f>"+"&amp;Sheet3!D343</f>
        <v>+</v>
      </c>
      <c r="B343" s="4" t="str">
        <f>Sheet3!B343</f>
        <v/>
      </c>
      <c r="C343" s="4" t="str">
        <f>Sheet3!C343</f>
        <v/>
      </c>
    </row>
    <row r="344">
      <c r="A344" s="4" t="str">
        <f>"+"&amp;Sheet3!D344</f>
        <v>+</v>
      </c>
      <c r="B344" s="4" t="str">
        <f>Sheet3!B344</f>
        <v/>
      </c>
      <c r="C344" s="4" t="str">
        <f>Sheet3!C344</f>
        <v/>
      </c>
    </row>
    <row r="345">
      <c r="A345" s="4" t="str">
        <f>"+"&amp;Sheet3!D345</f>
        <v>+</v>
      </c>
      <c r="B345" s="4" t="str">
        <f>Sheet3!B345</f>
        <v/>
      </c>
      <c r="C345" s="4" t="str">
        <f>Sheet3!C345</f>
        <v/>
      </c>
    </row>
    <row r="346">
      <c r="A346" s="4" t="str">
        <f>"+"&amp;Sheet3!D346</f>
        <v>+</v>
      </c>
      <c r="B346" s="4" t="str">
        <f>Sheet3!B346</f>
        <v/>
      </c>
      <c r="C346" s="4" t="str">
        <f>Sheet3!C346</f>
        <v/>
      </c>
    </row>
    <row r="347">
      <c r="A347" s="4" t="str">
        <f>"+"&amp;Sheet3!D347</f>
        <v>+</v>
      </c>
      <c r="B347" s="4" t="str">
        <f>Sheet3!B347</f>
        <v/>
      </c>
      <c r="C347" s="4" t="str">
        <f>Sheet3!C347</f>
        <v/>
      </c>
    </row>
    <row r="348">
      <c r="A348" s="4" t="str">
        <f>"+"&amp;Sheet3!D348</f>
        <v>+</v>
      </c>
      <c r="B348" s="4" t="str">
        <f>Sheet3!B348</f>
        <v/>
      </c>
      <c r="C348" s="4" t="str">
        <f>Sheet3!C348</f>
        <v/>
      </c>
    </row>
    <row r="349">
      <c r="A349" s="4" t="str">
        <f>"+"&amp;Sheet3!D349</f>
        <v>+</v>
      </c>
      <c r="B349" s="4" t="str">
        <f>Sheet3!B349</f>
        <v/>
      </c>
      <c r="C349" s="4" t="str">
        <f>Sheet3!C349</f>
        <v/>
      </c>
    </row>
    <row r="350">
      <c r="A350" s="4" t="str">
        <f>"+"&amp;Sheet3!D350</f>
        <v>+</v>
      </c>
      <c r="B350" s="4" t="str">
        <f>Sheet3!B350</f>
        <v/>
      </c>
      <c r="C350" s="4" t="str">
        <f>Sheet3!C350</f>
        <v/>
      </c>
    </row>
    <row r="351">
      <c r="A351" s="4" t="str">
        <f>"+"&amp;Sheet3!D351</f>
        <v>+</v>
      </c>
      <c r="B351" s="4" t="str">
        <f>Sheet3!B351</f>
        <v/>
      </c>
      <c r="C351" s="4" t="str">
        <f>Sheet3!C351</f>
        <v/>
      </c>
    </row>
    <row r="352">
      <c r="A352" s="4" t="str">
        <f>"+"&amp;Sheet3!D352</f>
        <v>+</v>
      </c>
      <c r="B352" s="4" t="str">
        <f>Sheet3!B352</f>
        <v/>
      </c>
      <c r="C352" s="4" t="str">
        <f>Sheet3!C352</f>
        <v/>
      </c>
    </row>
    <row r="353">
      <c r="A353" s="4" t="str">
        <f>"+"&amp;Sheet3!D353</f>
        <v>+</v>
      </c>
      <c r="B353" s="4" t="str">
        <f>Sheet3!B353</f>
        <v/>
      </c>
      <c r="C353" s="4" t="str">
        <f>Sheet3!C353</f>
        <v/>
      </c>
    </row>
    <row r="354">
      <c r="A354" s="4" t="str">
        <f>"+"&amp;Sheet3!D354</f>
        <v>+</v>
      </c>
      <c r="B354" s="4" t="str">
        <f>Sheet3!B354</f>
        <v/>
      </c>
      <c r="C354" s="4" t="str">
        <f>Sheet3!C354</f>
        <v/>
      </c>
    </row>
    <row r="355">
      <c r="A355" s="4" t="str">
        <f>"+"&amp;Sheet3!D355</f>
        <v>+</v>
      </c>
      <c r="B355" s="4" t="str">
        <f>Sheet3!B355</f>
        <v/>
      </c>
      <c r="C355" s="4" t="str">
        <f>Sheet3!C355</f>
        <v/>
      </c>
    </row>
    <row r="356">
      <c r="A356" s="4" t="str">
        <f>"+"&amp;Sheet3!D356</f>
        <v>+</v>
      </c>
      <c r="B356" s="4" t="str">
        <f>Sheet3!B356</f>
        <v/>
      </c>
      <c r="C356" s="4" t="str">
        <f>Sheet3!C356</f>
        <v/>
      </c>
    </row>
    <row r="357">
      <c r="A357" s="4" t="str">
        <f>"+"&amp;Sheet3!D357</f>
        <v>+</v>
      </c>
      <c r="B357" s="4" t="str">
        <f>Sheet3!B357</f>
        <v/>
      </c>
      <c r="C357" s="4" t="str">
        <f>Sheet3!C357</f>
        <v/>
      </c>
    </row>
    <row r="358">
      <c r="A358" s="4" t="str">
        <f>"+"&amp;Sheet3!D358</f>
        <v>+</v>
      </c>
      <c r="B358" s="4" t="str">
        <f>Sheet3!B358</f>
        <v/>
      </c>
      <c r="C358" s="4" t="str">
        <f>Sheet3!C358</f>
        <v/>
      </c>
    </row>
    <row r="359">
      <c r="A359" s="4" t="str">
        <f>"+"&amp;Sheet3!D359</f>
        <v>+</v>
      </c>
      <c r="B359" s="4" t="str">
        <f>Sheet3!B359</f>
        <v/>
      </c>
      <c r="C359" s="4" t="str">
        <f>Sheet3!C359</f>
        <v/>
      </c>
    </row>
    <row r="360">
      <c r="A360" s="4" t="str">
        <f>"+"&amp;Sheet3!D360</f>
        <v>+</v>
      </c>
      <c r="B360" s="4" t="str">
        <f>Sheet3!B360</f>
        <v/>
      </c>
      <c r="C360" s="4" t="str">
        <f>Sheet3!C360</f>
        <v/>
      </c>
    </row>
    <row r="361">
      <c r="A361" s="4" t="str">
        <f>"+"&amp;Sheet3!D361</f>
        <v>+</v>
      </c>
      <c r="B361" s="4" t="str">
        <f>Sheet3!B361</f>
        <v/>
      </c>
      <c r="C361" s="4" t="str">
        <f>Sheet3!C361</f>
        <v/>
      </c>
    </row>
    <row r="362">
      <c r="A362" s="4" t="str">
        <f>"+"&amp;Sheet3!D362</f>
        <v>+</v>
      </c>
      <c r="B362" s="4" t="str">
        <f>Sheet3!B362</f>
        <v/>
      </c>
      <c r="C362" s="4" t="str">
        <f>Sheet3!C362</f>
        <v/>
      </c>
    </row>
    <row r="363">
      <c r="A363" s="4" t="str">
        <f>"+"&amp;Sheet3!D363</f>
        <v>+</v>
      </c>
      <c r="B363" s="4" t="str">
        <f>Sheet3!B363</f>
        <v/>
      </c>
      <c r="C363" s="4" t="str">
        <f>Sheet3!C363</f>
        <v/>
      </c>
    </row>
    <row r="364">
      <c r="A364" s="4" t="str">
        <f>"+"&amp;Sheet3!D364</f>
        <v>+</v>
      </c>
      <c r="B364" s="4" t="str">
        <f>Sheet3!B364</f>
        <v/>
      </c>
      <c r="C364" s="4" t="str">
        <f>Sheet3!C364</f>
        <v/>
      </c>
    </row>
    <row r="365">
      <c r="A365" s="4" t="str">
        <f>"+"&amp;Sheet3!D365</f>
        <v>+</v>
      </c>
      <c r="B365" s="4" t="str">
        <f>Sheet3!B365</f>
        <v/>
      </c>
      <c r="C365" s="4" t="str">
        <f>Sheet3!C365</f>
        <v/>
      </c>
    </row>
    <row r="366">
      <c r="A366" s="4" t="str">
        <f>"+"&amp;Sheet3!D366</f>
        <v>+</v>
      </c>
      <c r="B366" s="4" t="str">
        <f>Sheet3!B366</f>
        <v/>
      </c>
      <c r="C366" s="4" t="str">
        <f>Sheet3!C366</f>
        <v/>
      </c>
    </row>
    <row r="367">
      <c r="A367" s="4" t="str">
        <f>"+"&amp;Sheet3!D367</f>
        <v>+</v>
      </c>
      <c r="B367" s="4" t="str">
        <f>Sheet3!B367</f>
        <v/>
      </c>
      <c r="C367" s="4" t="str">
        <f>Sheet3!C367</f>
        <v/>
      </c>
    </row>
    <row r="368">
      <c r="A368" s="4" t="str">
        <f>"+"&amp;Sheet3!D368</f>
        <v>+</v>
      </c>
      <c r="B368" s="4" t="str">
        <f>Sheet3!B368</f>
        <v/>
      </c>
      <c r="C368" s="4" t="str">
        <f>Sheet3!C368</f>
        <v/>
      </c>
    </row>
    <row r="369">
      <c r="A369" s="4" t="str">
        <f>"+"&amp;Sheet3!D369</f>
        <v>+</v>
      </c>
      <c r="B369" s="4" t="str">
        <f>Sheet3!B369</f>
        <v/>
      </c>
      <c r="C369" s="4" t="str">
        <f>Sheet3!C369</f>
        <v/>
      </c>
    </row>
    <row r="370">
      <c r="A370" s="4" t="str">
        <f>"+"&amp;Sheet3!D370</f>
        <v>+</v>
      </c>
      <c r="B370" s="4" t="str">
        <f>Sheet3!B370</f>
        <v/>
      </c>
      <c r="C370" s="4" t="str">
        <f>Sheet3!C370</f>
        <v/>
      </c>
    </row>
    <row r="371">
      <c r="A371" s="4" t="str">
        <f>"+"&amp;Sheet3!D371</f>
        <v>+</v>
      </c>
      <c r="B371" s="4" t="str">
        <f>Sheet3!B371</f>
        <v/>
      </c>
      <c r="C371" s="4" t="str">
        <f>Sheet3!C371</f>
        <v/>
      </c>
    </row>
    <row r="372">
      <c r="A372" s="4" t="str">
        <f>"+"&amp;Sheet3!D372</f>
        <v>+</v>
      </c>
      <c r="B372" s="4" t="str">
        <f>Sheet3!B372</f>
        <v/>
      </c>
      <c r="C372" s="4" t="str">
        <f>Sheet3!C372</f>
        <v/>
      </c>
    </row>
    <row r="373">
      <c r="A373" s="4" t="str">
        <f>"+"&amp;Sheet3!D373</f>
        <v>+</v>
      </c>
      <c r="B373" s="4" t="str">
        <f>Sheet3!B373</f>
        <v/>
      </c>
      <c r="C373" s="4" t="str">
        <f>Sheet3!C373</f>
        <v/>
      </c>
    </row>
    <row r="374">
      <c r="A374" s="4" t="str">
        <f>"+"&amp;Sheet3!D374</f>
        <v>+</v>
      </c>
      <c r="B374" s="4" t="str">
        <f>Sheet3!B374</f>
        <v/>
      </c>
      <c r="C374" s="4" t="str">
        <f>Sheet3!C374</f>
        <v/>
      </c>
    </row>
    <row r="375">
      <c r="A375" s="4" t="str">
        <f>"+"&amp;Sheet3!D375</f>
        <v>+</v>
      </c>
      <c r="B375" s="4" t="str">
        <f>Sheet3!B375</f>
        <v/>
      </c>
      <c r="C375" s="4" t="str">
        <f>Sheet3!C375</f>
        <v/>
      </c>
    </row>
    <row r="376">
      <c r="A376" s="4" t="str">
        <f>"+"&amp;Sheet3!D376</f>
        <v>+</v>
      </c>
      <c r="B376" s="4" t="str">
        <f>Sheet3!B376</f>
        <v/>
      </c>
      <c r="C376" s="4" t="str">
        <f>Sheet3!C376</f>
        <v/>
      </c>
    </row>
    <row r="377">
      <c r="A377" s="4" t="str">
        <f>"+"&amp;Sheet3!D377</f>
        <v>+</v>
      </c>
      <c r="B377" s="4" t="str">
        <f>Sheet3!B377</f>
        <v/>
      </c>
      <c r="C377" s="4" t="str">
        <f>Sheet3!C377</f>
        <v/>
      </c>
    </row>
    <row r="378">
      <c r="A378" s="4" t="str">
        <f>"+"&amp;Sheet3!D378</f>
        <v>+</v>
      </c>
      <c r="B378" s="4" t="str">
        <f>Sheet3!B378</f>
        <v/>
      </c>
      <c r="C378" s="4" t="str">
        <f>Sheet3!C378</f>
        <v/>
      </c>
    </row>
    <row r="379">
      <c r="A379" s="4" t="str">
        <f>"+"&amp;Sheet3!D379</f>
        <v>+</v>
      </c>
      <c r="B379" s="4" t="str">
        <f>Sheet3!B379</f>
        <v/>
      </c>
      <c r="C379" s="4" t="str">
        <f>Sheet3!C379</f>
        <v/>
      </c>
    </row>
    <row r="380">
      <c r="A380" s="4" t="str">
        <f>"+"&amp;Sheet3!D380</f>
        <v>+</v>
      </c>
      <c r="B380" s="4" t="str">
        <f>Sheet3!B380</f>
        <v/>
      </c>
      <c r="C380" s="4" t="str">
        <f>Sheet3!C380</f>
        <v/>
      </c>
    </row>
    <row r="381">
      <c r="A381" s="4" t="str">
        <f>"+"&amp;Sheet3!D381</f>
        <v>+</v>
      </c>
      <c r="B381" s="4" t="str">
        <f>Sheet3!B381</f>
        <v/>
      </c>
      <c r="C381" s="4" t="str">
        <f>Sheet3!C381</f>
        <v/>
      </c>
    </row>
    <row r="382">
      <c r="A382" s="4" t="str">
        <f>"+"&amp;Sheet3!D382</f>
        <v>+</v>
      </c>
      <c r="B382" s="4" t="str">
        <f>Sheet3!B382</f>
        <v/>
      </c>
      <c r="C382" s="4" t="str">
        <f>Sheet3!C382</f>
        <v/>
      </c>
    </row>
    <row r="383">
      <c r="A383" s="4" t="str">
        <f>"+"&amp;Sheet3!D383</f>
        <v>+</v>
      </c>
      <c r="B383" s="4" t="str">
        <f>Sheet3!B383</f>
        <v/>
      </c>
      <c r="C383" s="4" t="str">
        <f>Sheet3!C383</f>
        <v/>
      </c>
    </row>
    <row r="384">
      <c r="A384" s="4" t="str">
        <f>"+"&amp;Sheet3!D384</f>
        <v>+</v>
      </c>
      <c r="B384" s="4" t="str">
        <f>Sheet3!B384</f>
        <v/>
      </c>
      <c r="C384" s="4" t="str">
        <f>Sheet3!C384</f>
        <v/>
      </c>
    </row>
    <row r="385">
      <c r="A385" s="4" t="str">
        <f>"+"&amp;Sheet3!D385</f>
        <v>+</v>
      </c>
      <c r="B385" s="4" t="str">
        <f>Sheet3!B385</f>
        <v/>
      </c>
      <c r="C385" s="4" t="str">
        <f>Sheet3!C385</f>
        <v/>
      </c>
    </row>
    <row r="386">
      <c r="A386" s="4" t="str">
        <f>"+"&amp;Sheet3!D386</f>
        <v>+</v>
      </c>
      <c r="B386" s="4" t="str">
        <f>Sheet3!B386</f>
        <v/>
      </c>
      <c r="C386" s="4" t="str">
        <f>Sheet3!C386</f>
        <v/>
      </c>
    </row>
    <row r="387">
      <c r="A387" s="4" t="str">
        <f>"+"&amp;Sheet3!D387</f>
        <v>+</v>
      </c>
      <c r="B387" s="4" t="str">
        <f>Sheet3!B387</f>
        <v/>
      </c>
      <c r="C387" s="4" t="str">
        <f>Sheet3!C387</f>
        <v/>
      </c>
    </row>
    <row r="388">
      <c r="A388" s="4" t="str">
        <f>"+"&amp;Sheet3!D388</f>
        <v>+</v>
      </c>
      <c r="B388" s="4" t="str">
        <f>Sheet3!B388</f>
        <v/>
      </c>
      <c r="C388" s="4" t="str">
        <f>Sheet3!C388</f>
        <v/>
      </c>
    </row>
    <row r="389">
      <c r="A389" s="4" t="str">
        <f>"+"&amp;Sheet3!D389</f>
        <v>+</v>
      </c>
      <c r="B389" s="4" t="str">
        <f>Sheet3!B389</f>
        <v/>
      </c>
      <c r="C389" s="4" t="str">
        <f>Sheet3!C389</f>
        <v/>
      </c>
    </row>
    <row r="390">
      <c r="A390" s="4" t="str">
        <f>"+"&amp;Sheet3!D390</f>
        <v>+</v>
      </c>
      <c r="B390" s="4" t="str">
        <f>Sheet3!B390</f>
        <v/>
      </c>
      <c r="C390" s="4" t="str">
        <f>Sheet3!C390</f>
        <v/>
      </c>
    </row>
    <row r="391">
      <c r="A391" s="4" t="str">
        <f>"+"&amp;Sheet3!D391</f>
        <v>+</v>
      </c>
      <c r="B391" s="4" t="str">
        <f>Sheet3!B391</f>
        <v/>
      </c>
      <c r="C391" s="4" t="str">
        <f>Sheet3!C391</f>
        <v/>
      </c>
    </row>
    <row r="392">
      <c r="A392" s="4" t="str">
        <f>"+"&amp;Sheet3!D392</f>
        <v>+</v>
      </c>
      <c r="B392" s="4" t="str">
        <f>Sheet3!B392</f>
        <v/>
      </c>
      <c r="C392" s="4" t="str">
        <f>Sheet3!C392</f>
        <v/>
      </c>
    </row>
    <row r="393">
      <c r="A393" s="4" t="str">
        <f>"+"&amp;Sheet3!D393</f>
        <v>+</v>
      </c>
      <c r="B393" s="4" t="str">
        <f>Sheet3!B393</f>
        <v/>
      </c>
      <c r="C393" s="4" t="str">
        <f>Sheet3!C393</f>
        <v/>
      </c>
    </row>
    <row r="394">
      <c r="A394" s="4" t="str">
        <f>"+"&amp;Sheet3!D394</f>
        <v>+</v>
      </c>
      <c r="B394" s="4" t="str">
        <f>Sheet3!B394</f>
        <v/>
      </c>
      <c r="C394" s="4" t="str">
        <f>Sheet3!C394</f>
        <v/>
      </c>
    </row>
    <row r="395">
      <c r="A395" s="4" t="str">
        <f>"+"&amp;Sheet3!D395</f>
        <v>+</v>
      </c>
      <c r="B395" s="4" t="str">
        <f>Sheet3!B395</f>
        <v/>
      </c>
      <c r="C395" s="4" t="str">
        <f>Sheet3!C395</f>
        <v/>
      </c>
    </row>
    <row r="396">
      <c r="A396" s="4" t="str">
        <f>"+"&amp;Sheet3!D396</f>
        <v>+</v>
      </c>
      <c r="B396" s="4" t="str">
        <f>Sheet3!B396</f>
        <v/>
      </c>
      <c r="C396" s="4" t="str">
        <f>Sheet3!C396</f>
        <v/>
      </c>
    </row>
    <row r="397">
      <c r="A397" s="4" t="str">
        <f>"+"&amp;Sheet3!D397</f>
        <v>+</v>
      </c>
      <c r="B397" s="4" t="str">
        <f>Sheet3!B397</f>
        <v/>
      </c>
      <c r="C397" s="4" t="str">
        <f>Sheet3!C397</f>
        <v/>
      </c>
    </row>
    <row r="398">
      <c r="A398" s="4" t="str">
        <f>"+"&amp;Sheet3!D398</f>
        <v>+</v>
      </c>
      <c r="B398" s="4" t="str">
        <f>Sheet3!B398</f>
        <v/>
      </c>
      <c r="C398" s="4" t="str">
        <f>Sheet3!C398</f>
        <v/>
      </c>
    </row>
    <row r="399">
      <c r="A399" s="4" t="str">
        <f>"+"&amp;Sheet3!D399</f>
        <v>+</v>
      </c>
      <c r="B399" s="4" t="str">
        <f>Sheet3!B399</f>
        <v/>
      </c>
      <c r="C399" s="4" t="str">
        <f>Sheet3!C399</f>
        <v/>
      </c>
    </row>
    <row r="400">
      <c r="A400" s="4" t="str">
        <f>"+"&amp;Sheet3!D400</f>
        <v>+</v>
      </c>
      <c r="B400" s="4" t="str">
        <f>Sheet3!B400</f>
        <v/>
      </c>
      <c r="C400" s="4" t="str">
        <f>Sheet3!C400</f>
        <v/>
      </c>
    </row>
    <row r="401">
      <c r="A401" s="4" t="str">
        <f>"+"&amp;Sheet3!D401</f>
        <v>+</v>
      </c>
      <c r="B401" s="4" t="str">
        <f>Sheet3!B401</f>
        <v/>
      </c>
      <c r="C401" s="4" t="str">
        <f>Sheet3!C401</f>
        <v/>
      </c>
    </row>
    <row r="402">
      <c r="A402" s="4" t="str">
        <f>"+"&amp;Sheet3!D402</f>
        <v>+</v>
      </c>
      <c r="B402" s="4" t="str">
        <f>Sheet3!B402</f>
        <v/>
      </c>
      <c r="C402" s="4" t="str">
        <f>Sheet3!C402</f>
        <v/>
      </c>
    </row>
    <row r="403">
      <c r="A403" s="4" t="str">
        <f>"+"&amp;Sheet3!D403</f>
        <v>+</v>
      </c>
      <c r="B403" s="4" t="str">
        <f>Sheet3!B403</f>
        <v/>
      </c>
      <c r="C403" s="4" t="str">
        <f>Sheet3!C403</f>
        <v/>
      </c>
    </row>
    <row r="404">
      <c r="A404" s="4" t="str">
        <f>"+"&amp;Sheet3!D404</f>
        <v>+</v>
      </c>
      <c r="B404" s="4" t="str">
        <f>Sheet3!B404</f>
        <v/>
      </c>
      <c r="C404" s="4" t="str">
        <f>Sheet3!C404</f>
        <v/>
      </c>
    </row>
    <row r="405">
      <c r="A405" s="4" t="str">
        <f>"+"&amp;Sheet3!D405</f>
        <v>+</v>
      </c>
      <c r="B405" s="4" t="str">
        <f>Sheet3!B405</f>
        <v/>
      </c>
      <c r="C405" s="4" t="str">
        <f>Sheet3!C405</f>
        <v/>
      </c>
    </row>
    <row r="406">
      <c r="A406" s="4" t="str">
        <f>"+"&amp;Sheet3!D406</f>
        <v>+</v>
      </c>
      <c r="B406" s="4" t="str">
        <f>Sheet3!B406</f>
        <v/>
      </c>
      <c r="C406" s="4" t="str">
        <f>Sheet3!C406</f>
        <v/>
      </c>
    </row>
    <row r="407">
      <c r="A407" s="4" t="str">
        <f>"+"&amp;Sheet3!D407</f>
        <v>+</v>
      </c>
      <c r="B407" s="4" t="str">
        <f>Sheet3!B407</f>
        <v/>
      </c>
      <c r="C407" s="4" t="str">
        <f>Sheet3!C407</f>
        <v/>
      </c>
    </row>
    <row r="408">
      <c r="A408" s="4" t="str">
        <f>"+"&amp;Sheet3!D408</f>
        <v>+</v>
      </c>
      <c r="B408" s="4" t="str">
        <f>Sheet3!B408</f>
        <v/>
      </c>
      <c r="C408" s="4" t="str">
        <f>Sheet3!C408</f>
        <v/>
      </c>
    </row>
    <row r="409">
      <c r="A409" s="4" t="str">
        <f>"+"&amp;Sheet3!D409</f>
        <v>+</v>
      </c>
      <c r="B409" s="4" t="str">
        <f>Sheet3!B409</f>
        <v/>
      </c>
      <c r="C409" s="4" t="str">
        <f>Sheet3!C409</f>
        <v/>
      </c>
    </row>
    <row r="410">
      <c r="A410" s="4" t="str">
        <f>"+"&amp;Sheet3!D410</f>
        <v>+</v>
      </c>
      <c r="B410" s="4" t="str">
        <f>Sheet3!B410</f>
        <v/>
      </c>
      <c r="C410" s="4" t="str">
        <f>Sheet3!C410</f>
        <v/>
      </c>
    </row>
    <row r="411">
      <c r="A411" s="4" t="str">
        <f>"+"&amp;Sheet3!D411</f>
        <v>+</v>
      </c>
      <c r="B411" s="4" t="str">
        <f>Sheet3!B411</f>
        <v/>
      </c>
      <c r="C411" s="4" t="str">
        <f>Sheet3!C411</f>
        <v/>
      </c>
    </row>
    <row r="412">
      <c r="A412" s="4" t="str">
        <f>"+"&amp;Sheet3!D412</f>
        <v>+</v>
      </c>
      <c r="B412" s="4" t="str">
        <f>Sheet3!B412</f>
        <v/>
      </c>
      <c r="C412" s="4" t="str">
        <f>Sheet3!C412</f>
        <v/>
      </c>
    </row>
    <row r="413">
      <c r="A413" s="4" t="str">
        <f>"+"&amp;Sheet3!D413</f>
        <v>+</v>
      </c>
      <c r="B413" s="4" t="str">
        <f>Sheet3!B413</f>
        <v/>
      </c>
      <c r="C413" s="4" t="str">
        <f>Sheet3!C413</f>
        <v/>
      </c>
    </row>
    <row r="414">
      <c r="A414" s="4" t="str">
        <f>"+"&amp;Sheet3!D414</f>
        <v>+</v>
      </c>
      <c r="B414" s="4" t="str">
        <f>Sheet3!B414</f>
        <v/>
      </c>
      <c r="C414" s="4" t="str">
        <f>Sheet3!C414</f>
        <v/>
      </c>
    </row>
    <row r="415">
      <c r="A415" s="4" t="str">
        <f>"+"&amp;Sheet3!D415</f>
        <v>+</v>
      </c>
      <c r="B415" s="4" t="str">
        <f>Sheet3!B415</f>
        <v/>
      </c>
      <c r="C415" s="4" t="str">
        <f>Sheet3!C415</f>
        <v/>
      </c>
    </row>
    <row r="416">
      <c r="A416" s="4" t="str">
        <f>"+"&amp;Sheet3!D416</f>
        <v>+</v>
      </c>
      <c r="B416" s="4" t="str">
        <f>Sheet3!B416</f>
        <v/>
      </c>
      <c r="C416" s="4" t="str">
        <f>Sheet3!C416</f>
        <v/>
      </c>
    </row>
    <row r="417">
      <c r="A417" s="4" t="str">
        <f>"+"&amp;Sheet3!D417</f>
        <v>+</v>
      </c>
      <c r="B417" s="4" t="str">
        <f>Sheet3!B417</f>
        <v/>
      </c>
      <c r="C417" s="4" t="str">
        <f>Sheet3!C417</f>
        <v/>
      </c>
    </row>
    <row r="418">
      <c r="A418" s="4" t="str">
        <f>"+"&amp;Sheet3!D418</f>
        <v>+</v>
      </c>
      <c r="B418" s="4" t="str">
        <f>Sheet3!B418</f>
        <v/>
      </c>
      <c r="C418" s="4" t="str">
        <f>Sheet3!C418</f>
        <v/>
      </c>
    </row>
    <row r="419">
      <c r="A419" s="4" t="str">
        <f>"+"&amp;Sheet3!D419</f>
        <v>+</v>
      </c>
      <c r="B419" s="4" t="str">
        <f>Sheet3!B419</f>
        <v/>
      </c>
      <c r="C419" s="4" t="str">
        <f>Sheet3!C419</f>
        <v/>
      </c>
    </row>
    <row r="420">
      <c r="A420" s="4" t="str">
        <f>"+"&amp;Sheet3!D420</f>
        <v>+</v>
      </c>
      <c r="B420" s="4" t="str">
        <f>Sheet3!B420</f>
        <v/>
      </c>
      <c r="C420" s="4" t="str">
        <f>Sheet3!C420</f>
        <v/>
      </c>
    </row>
    <row r="421">
      <c r="A421" s="4" t="str">
        <f>"+"&amp;Sheet3!D421</f>
        <v>+</v>
      </c>
      <c r="B421" s="4" t="str">
        <f>Sheet3!B421</f>
        <v/>
      </c>
      <c r="C421" s="4" t="str">
        <f>Sheet3!C421</f>
        <v/>
      </c>
    </row>
    <row r="422">
      <c r="A422" s="4" t="str">
        <f>"+"&amp;Sheet3!D422</f>
        <v>+</v>
      </c>
      <c r="B422" s="4" t="str">
        <f>Sheet3!B422</f>
        <v/>
      </c>
      <c r="C422" s="4" t="str">
        <f>Sheet3!C422</f>
        <v/>
      </c>
    </row>
    <row r="423">
      <c r="A423" s="4" t="str">
        <f>"+"&amp;Sheet3!D423</f>
        <v>+</v>
      </c>
      <c r="B423" s="4" t="str">
        <f>Sheet3!B423</f>
        <v/>
      </c>
      <c r="C423" s="4" t="str">
        <f>Sheet3!C423</f>
        <v/>
      </c>
    </row>
    <row r="424">
      <c r="A424" s="4" t="str">
        <f>"+"&amp;Sheet3!D424</f>
        <v>+</v>
      </c>
      <c r="B424" s="4" t="str">
        <f>Sheet3!B424</f>
        <v/>
      </c>
      <c r="C424" s="4" t="str">
        <f>Sheet3!C424</f>
        <v/>
      </c>
    </row>
    <row r="425">
      <c r="A425" s="4" t="str">
        <f>"+"&amp;Sheet3!D425</f>
        <v>+</v>
      </c>
      <c r="B425" s="4" t="str">
        <f>Sheet3!B425</f>
        <v/>
      </c>
      <c r="C425" s="4" t="str">
        <f>Sheet3!C425</f>
        <v/>
      </c>
    </row>
    <row r="426">
      <c r="A426" s="4" t="str">
        <f>"+"&amp;Sheet3!D426</f>
        <v>+</v>
      </c>
      <c r="B426" s="4" t="str">
        <f>Sheet3!B426</f>
        <v/>
      </c>
      <c r="C426" s="4" t="str">
        <f>Sheet3!C426</f>
        <v/>
      </c>
    </row>
    <row r="427">
      <c r="A427" s="4" t="str">
        <f>"+"&amp;Sheet3!D427</f>
        <v>+</v>
      </c>
      <c r="B427" s="4" t="str">
        <f>Sheet3!B427</f>
        <v/>
      </c>
      <c r="C427" s="4" t="str">
        <f>Sheet3!C427</f>
        <v/>
      </c>
    </row>
    <row r="428">
      <c r="A428" s="4" t="str">
        <f>"+"&amp;Sheet3!D428</f>
        <v>+</v>
      </c>
      <c r="B428" s="4" t="str">
        <f>Sheet3!B428</f>
        <v/>
      </c>
      <c r="C428" s="4" t="str">
        <f>Sheet3!C428</f>
        <v/>
      </c>
    </row>
    <row r="429">
      <c r="A429" s="4" t="str">
        <f>"+"&amp;Sheet3!D429</f>
        <v>+</v>
      </c>
      <c r="B429" s="4" t="str">
        <f>Sheet3!B429</f>
        <v/>
      </c>
      <c r="C429" s="4" t="str">
        <f>Sheet3!C429</f>
        <v/>
      </c>
    </row>
    <row r="430">
      <c r="A430" s="4" t="str">
        <f>"+"&amp;Sheet3!D430</f>
        <v>+</v>
      </c>
      <c r="B430" s="4" t="str">
        <f>Sheet3!B430</f>
        <v/>
      </c>
      <c r="C430" s="4" t="str">
        <f>Sheet3!C430</f>
        <v/>
      </c>
    </row>
    <row r="431">
      <c r="A431" s="4" t="str">
        <f>"+"&amp;Sheet3!D431</f>
        <v>+</v>
      </c>
      <c r="B431" s="4" t="str">
        <f>Sheet3!B431</f>
        <v/>
      </c>
      <c r="C431" s="4" t="str">
        <f>Sheet3!C431</f>
        <v/>
      </c>
    </row>
    <row r="432">
      <c r="A432" s="4" t="str">
        <f>"+"&amp;Sheet3!D432</f>
        <v>+</v>
      </c>
      <c r="B432" s="4" t="str">
        <f>Sheet3!B432</f>
        <v/>
      </c>
      <c r="C432" s="4" t="str">
        <f>Sheet3!C432</f>
        <v/>
      </c>
    </row>
    <row r="433">
      <c r="A433" s="4" t="str">
        <f>"+"&amp;Sheet3!D433</f>
        <v>+</v>
      </c>
      <c r="B433" s="4" t="str">
        <f>Sheet3!B433</f>
        <v/>
      </c>
      <c r="C433" s="4" t="str">
        <f>Sheet3!C433</f>
        <v/>
      </c>
    </row>
    <row r="434">
      <c r="A434" s="4" t="str">
        <f>"+"&amp;Sheet3!D434</f>
        <v>+</v>
      </c>
      <c r="B434" s="4" t="str">
        <f>Sheet3!B434</f>
        <v/>
      </c>
      <c r="C434" s="4" t="str">
        <f>Sheet3!C434</f>
        <v/>
      </c>
    </row>
    <row r="435">
      <c r="A435" s="4" t="str">
        <f>"+"&amp;Sheet3!D435</f>
        <v>+</v>
      </c>
      <c r="B435" s="4" t="str">
        <f>Sheet3!B435</f>
        <v/>
      </c>
      <c r="C435" s="4" t="str">
        <f>Sheet3!C435</f>
        <v/>
      </c>
    </row>
    <row r="436">
      <c r="A436" s="4" t="str">
        <f>"+"&amp;Sheet3!D436</f>
        <v>+</v>
      </c>
      <c r="B436" s="4" t="str">
        <f>Sheet3!B436</f>
        <v/>
      </c>
      <c r="C436" s="4" t="str">
        <f>Sheet3!C436</f>
        <v/>
      </c>
    </row>
    <row r="437">
      <c r="A437" s="4" t="str">
        <f>"+"&amp;Sheet3!D437</f>
        <v>+</v>
      </c>
      <c r="B437" s="4" t="str">
        <f>Sheet3!B437</f>
        <v/>
      </c>
      <c r="C437" s="4" t="str">
        <f>Sheet3!C437</f>
        <v/>
      </c>
    </row>
    <row r="438">
      <c r="A438" s="4" t="str">
        <f>"+"&amp;Sheet3!D438</f>
        <v>+</v>
      </c>
      <c r="B438" s="4" t="str">
        <f>Sheet3!B438</f>
        <v/>
      </c>
      <c r="C438" s="4" t="str">
        <f>Sheet3!C438</f>
        <v/>
      </c>
    </row>
    <row r="439">
      <c r="A439" s="4" t="str">
        <f>"+"&amp;Sheet3!D439</f>
        <v>+</v>
      </c>
      <c r="B439" s="4" t="str">
        <f>Sheet3!B439</f>
        <v/>
      </c>
      <c r="C439" s="4" t="str">
        <f>Sheet3!C439</f>
        <v/>
      </c>
    </row>
    <row r="440">
      <c r="A440" s="4" t="str">
        <f>"+"&amp;Sheet3!D440</f>
        <v>+</v>
      </c>
      <c r="B440" s="4" t="str">
        <f>Sheet3!B440</f>
        <v/>
      </c>
      <c r="C440" s="4" t="str">
        <f>Sheet3!C440</f>
        <v/>
      </c>
    </row>
    <row r="441">
      <c r="A441" s="4" t="str">
        <f>"+"&amp;Sheet3!D441</f>
        <v>+</v>
      </c>
      <c r="B441" s="4" t="str">
        <f>Sheet3!B441</f>
        <v/>
      </c>
      <c r="C441" s="4" t="str">
        <f>Sheet3!C441</f>
        <v/>
      </c>
    </row>
    <row r="442">
      <c r="A442" s="4" t="str">
        <f>"+"&amp;Sheet3!D442</f>
        <v>+</v>
      </c>
      <c r="B442" s="4" t="str">
        <f>Sheet3!B442</f>
        <v/>
      </c>
      <c r="C442" s="4" t="str">
        <f>Sheet3!C442</f>
        <v/>
      </c>
    </row>
    <row r="443">
      <c r="A443" s="4" t="str">
        <f>"+"&amp;Sheet3!D443</f>
        <v>+</v>
      </c>
      <c r="B443" s="4" t="str">
        <f>Sheet3!B443</f>
        <v/>
      </c>
      <c r="C443" s="4" t="str">
        <f>Sheet3!C443</f>
        <v/>
      </c>
    </row>
    <row r="444">
      <c r="A444" s="4" t="str">
        <f>"+"&amp;Sheet3!D444</f>
        <v>+</v>
      </c>
      <c r="B444" s="4" t="str">
        <f>Sheet3!B444</f>
        <v/>
      </c>
      <c r="C444" s="4" t="str">
        <f>Sheet3!C444</f>
        <v/>
      </c>
    </row>
    <row r="445">
      <c r="A445" s="4" t="str">
        <f>"+"&amp;Sheet3!D445</f>
        <v>+</v>
      </c>
      <c r="B445" s="4" t="str">
        <f>Sheet3!B445</f>
        <v/>
      </c>
      <c r="C445" s="4" t="str">
        <f>Sheet3!C445</f>
        <v/>
      </c>
    </row>
    <row r="446">
      <c r="A446" s="4" t="str">
        <f>"+"&amp;Sheet3!D446</f>
        <v>+</v>
      </c>
      <c r="B446" s="4" t="str">
        <f>Sheet3!B446</f>
        <v/>
      </c>
      <c r="C446" s="4" t="str">
        <f>Sheet3!C446</f>
        <v/>
      </c>
    </row>
    <row r="447">
      <c r="A447" s="4" t="str">
        <f>"+"&amp;Sheet3!D447</f>
        <v>+</v>
      </c>
      <c r="B447" s="4" t="str">
        <f>Sheet3!B447</f>
        <v/>
      </c>
      <c r="C447" s="4" t="str">
        <f>Sheet3!C447</f>
        <v/>
      </c>
    </row>
    <row r="448">
      <c r="A448" s="4" t="str">
        <f>"+"&amp;Sheet3!D448</f>
        <v>+</v>
      </c>
      <c r="B448" s="4" t="str">
        <f>Sheet3!B448</f>
        <v/>
      </c>
      <c r="C448" s="4" t="str">
        <f>Sheet3!C448</f>
        <v/>
      </c>
    </row>
    <row r="449">
      <c r="A449" s="4" t="str">
        <f>"+"&amp;Sheet3!D449</f>
        <v>+</v>
      </c>
      <c r="B449" s="4" t="str">
        <f>Sheet3!B449</f>
        <v/>
      </c>
      <c r="C449" s="4" t="str">
        <f>Sheet3!C449</f>
        <v/>
      </c>
    </row>
    <row r="450">
      <c r="A450" s="4" t="str">
        <f>"+"&amp;Sheet3!D450</f>
        <v>+</v>
      </c>
      <c r="B450" s="4" t="str">
        <f>Sheet3!B450</f>
        <v/>
      </c>
      <c r="C450" s="4" t="str">
        <f>Sheet3!C450</f>
        <v/>
      </c>
    </row>
    <row r="451">
      <c r="A451" s="4" t="str">
        <f>"+"&amp;Sheet3!D451</f>
        <v>+</v>
      </c>
      <c r="B451" s="4" t="str">
        <f>Sheet3!B451</f>
        <v/>
      </c>
      <c r="C451" s="4" t="str">
        <f>Sheet3!C451</f>
        <v/>
      </c>
    </row>
    <row r="452">
      <c r="A452" s="4" t="str">
        <f>"+"&amp;Sheet3!D452</f>
        <v>+</v>
      </c>
      <c r="B452" s="4" t="str">
        <f>Sheet3!B452</f>
        <v/>
      </c>
      <c r="C452" s="4" t="str">
        <f>Sheet3!C452</f>
        <v/>
      </c>
    </row>
    <row r="453">
      <c r="A453" s="4" t="str">
        <f>"+"&amp;Sheet3!D453</f>
        <v>+</v>
      </c>
      <c r="B453" s="4" t="str">
        <f>Sheet3!B453</f>
        <v/>
      </c>
      <c r="C453" s="4" t="str">
        <f>Sheet3!C453</f>
        <v/>
      </c>
    </row>
    <row r="454">
      <c r="A454" s="4" t="str">
        <f>"+"&amp;Sheet3!D454</f>
        <v>+</v>
      </c>
      <c r="B454" s="4" t="str">
        <f>Sheet3!B454</f>
        <v/>
      </c>
      <c r="C454" s="4" t="str">
        <f>Sheet3!C454</f>
        <v/>
      </c>
    </row>
    <row r="455">
      <c r="A455" s="4" t="str">
        <f>"+"&amp;Sheet3!D455</f>
        <v>+</v>
      </c>
      <c r="B455" s="4" t="str">
        <f>Sheet3!B455</f>
        <v/>
      </c>
      <c r="C455" s="4" t="str">
        <f>Sheet3!C455</f>
        <v/>
      </c>
    </row>
    <row r="456">
      <c r="A456" s="4" t="str">
        <f>"+"&amp;Sheet3!D456</f>
        <v>+</v>
      </c>
      <c r="B456" s="4" t="str">
        <f>Sheet3!B456</f>
        <v/>
      </c>
      <c r="C456" s="4" t="str">
        <f>Sheet3!C456</f>
        <v/>
      </c>
    </row>
    <row r="457">
      <c r="A457" s="4" t="str">
        <f>"+"&amp;Sheet3!D457</f>
        <v>+</v>
      </c>
      <c r="B457" s="4" t="str">
        <f>Sheet3!B457</f>
        <v/>
      </c>
      <c r="C457" s="4" t="str">
        <f>Sheet3!C457</f>
        <v/>
      </c>
    </row>
    <row r="458">
      <c r="A458" s="4" t="str">
        <f>"+"&amp;Sheet3!D458</f>
        <v>+</v>
      </c>
      <c r="B458" s="4" t="str">
        <f>Sheet3!B458</f>
        <v/>
      </c>
      <c r="C458" s="4" t="str">
        <f>Sheet3!C458</f>
        <v/>
      </c>
    </row>
    <row r="459">
      <c r="A459" s="4" t="str">
        <f>"+"&amp;Sheet3!D459</f>
        <v>+</v>
      </c>
      <c r="B459" s="4" t="str">
        <f>Sheet3!B459</f>
        <v/>
      </c>
      <c r="C459" s="4" t="str">
        <f>Sheet3!C459</f>
        <v/>
      </c>
    </row>
    <row r="460">
      <c r="A460" s="4" t="str">
        <f>"+"&amp;Sheet3!D460</f>
        <v>+</v>
      </c>
      <c r="B460" s="4" t="str">
        <f>Sheet3!B460</f>
        <v/>
      </c>
      <c r="C460" s="4" t="str">
        <f>Sheet3!C460</f>
        <v/>
      </c>
    </row>
    <row r="461">
      <c r="A461" s="4" t="str">
        <f>"+"&amp;Sheet3!D461</f>
        <v>+</v>
      </c>
      <c r="B461" s="4" t="str">
        <f>Sheet3!B461</f>
        <v/>
      </c>
      <c r="C461" s="4" t="str">
        <f>Sheet3!C461</f>
        <v/>
      </c>
    </row>
    <row r="462">
      <c r="A462" s="4" t="str">
        <f>"+"&amp;Sheet3!D462</f>
        <v>+</v>
      </c>
      <c r="B462" s="4" t="str">
        <f>Sheet3!B462</f>
        <v/>
      </c>
      <c r="C462" s="4" t="str">
        <f>Sheet3!C462</f>
        <v/>
      </c>
    </row>
    <row r="463">
      <c r="A463" s="4" t="str">
        <f>"+"&amp;Sheet3!D463</f>
        <v>+</v>
      </c>
      <c r="B463" s="4" t="str">
        <f>Sheet3!B463</f>
        <v/>
      </c>
      <c r="C463" s="4" t="str">
        <f>Sheet3!C463</f>
        <v/>
      </c>
    </row>
    <row r="464">
      <c r="A464" s="4" t="str">
        <f>"+"&amp;Sheet3!D464</f>
        <v>+</v>
      </c>
      <c r="B464" s="4" t="str">
        <f>Sheet3!B464</f>
        <v/>
      </c>
      <c r="C464" s="4" t="str">
        <f>Sheet3!C464</f>
        <v/>
      </c>
    </row>
    <row r="465">
      <c r="A465" s="4" t="str">
        <f>"+"&amp;Sheet3!D465</f>
        <v>+</v>
      </c>
      <c r="B465" s="4" t="str">
        <f>Sheet3!B465</f>
        <v/>
      </c>
      <c r="C465" s="4" t="str">
        <f>Sheet3!C465</f>
        <v/>
      </c>
    </row>
    <row r="466">
      <c r="A466" s="4" t="str">
        <f>"+"&amp;Sheet3!D466</f>
        <v>+</v>
      </c>
      <c r="B466" s="4" t="str">
        <f>Sheet3!B466</f>
        <v/>
      </c>
      <c r="C466" s="4" t="str">
        <f>Sheet3!C466</f>
        <v/>
      </c>
    </row>
    <row r="467">
      <c r="A467" s="4" t="str">
        <f>"+"&amp;Sheet3!D467</f>
        <v>+</v>
      </c>
      <c r="B467" s="4" t="str">
        <f>Sheet3!B467</f>
        <v/>
      </c>
      <c r="C467" s="4" t="str">
        <f>Sheet3!C467</f>
        <v/>
      </c>
    </row>
    <row r="468">
      <c r="A468" s="4" t="str">
        <f>"+"&amp;Sheet3!D468</f>
        <v>+</v>
      </c>
      <c r="B468" s="4" t="str">
        <f>Sheet3!B468</f>
        <v/>
      </c>
      <c r="C468" s="4" t="str">
        <f>Sheet3!C468</f>
        <v/>
      </c>
    </row>
    <row r="469">
      <c r="A469" s="4" t="str">
        <f>"+"&amp;Sheet3!D469</f>
        <v>+</v>
      </c>
      <c r="B469" s="4" t="str">
        <f>Sheet3!B469</f>
        <v/>
      </c>
      <c r="C469" s="4" t="str">
        <f>Sheet3!C469</f>
        <v/>
      </c>
    </row>
    <row r="470">
      <c r="A470" s="4" t="str">
        <f>"+"&amp;Sheet3!D470</f>
        <v>+</v>
      </c>
      <c r="B470" s="4" t="str">
        <f>Sheet3!B470</f>
        <v/>
      </c>
      <c r="C470" s="4" t="str">
        <f>Sheet3!C470</f>
        <v/>
      </c>
    </row>
    <row r="471">
      <c r="A471" s="4" t="str">
        <f>"+"&amp;Sheet3!D471</f>
        <v>+</v>
      </c>
      <c r="B471" s="4" t="str">
        <f>Sheet3!B471</f>
        <v/>
      </c>
      <c r="C471" s="4" t="str">
        <f>Sheet3!C471</f>
        <v/>
      </c>
    </row>
    <row r="472">
      <c r="A472" s="4" t="str">
        <f>"+"&amp;Sheet3!D472</f>
        <v>+</v>
      </c>
      <c r="B472" s="4" t="str">
        <f>Sheet3!B472</f>
        <v/>
      </c>
      <c r="C472" s="4" t="str">
        <f>Sheet3!C472</f>
        <v/>
      </c>
    </row>
    <row r="473">
      <c r="A473" s="4" t="str">
        <f>"+"&amp;Sheet3!D473</f>
        <v>+</v>
      </c>
      <c r="B473" s="4" t="str">
        <f>Sheet3!B473</f>
        <v/>
      </c>
      <c r="C473" s="4" t="str">
        <f>Sheet3!C473</f>
        <v/>
      </c>
    </row>
    <row r="474">
      <c r="A474" s="4" t="str">
        <f>"+"&amp;Sheet3!D474</f>
        <v>+</v>
      </c>
      <c r="B474" s="4" t="str">
        <f>Sheet3!B474</f>
        <v/>
      </c>
      <c r="C474" s="4" t="str">
        <f>Sheet3!C474</f>
        <v/>
      </c>
    </row>
    <row r="475">
      <c r="A475" s="4" t="str">
        <f>"+"&amp;Sheet3!D475</f>
        <v>+</v>
      </c>
      <c r="B475" s="4" t="str">
        <f>Sheet3!B475</f>
        <v/>
      </c>
      <c r="C475" s="4" t="str">
        <f>Sheet3!C475</f>
        <v/>
      </c>
    </row>
    <row r="476">
      <c r="A476" s="4" t="str">
        <f>"+"&amp;Sheet3!D476</f>
        <v>+</v>
      </c>
      <c r="B476" s="4" t="str">
        <f>Sheet3!B476</f>
        <v/>
      </c>
      <c r="C476" s="4" t="str">
        <f>Sheet3!C476</f>
        <v/>
      </c>
    </row>
    <row r="477">
      <c r="A477" s="4" t="str">
        <f>"+"&amp;Sheet3!D477</f>
        <v>+</v>
      </c>
      <c r="B477" s="4" t="str">
        <f>Sheet3!B477</f>
        <v/>
      </c>
      <c r="C477" s="4" t="str">
        <f>Sheet3!C477</f>
        <v/>
      </c>
    </row>
    <row r="478">
      <c r="A478" s="4" t="str">
        <f>"+"&amp;Sheet3!D478</f>
        <v>+</v>
      </c>
      <c r="B478" s="4" t="str">
        <f>Sheet3!B478</f>
        <v/>
      </c>
      <c r="C478" s="4" t="str">
        <f>Sheet3!C478</f>
        <v/>
      </c>
    </row>
    <row r="479">
      <c r="A479" s="4" t="str">
        <f>"+"&amp;Sheet3!D479</f>
        <v>+</v>
      </c>
      <c r="B479" s="4" t="str">
        <f>Sheet3!B479</f>
        <v/>
      </c>
      <c r="C479" s="4" t="str">
        <f>Sheet3!C479</f>
        <v/>
      </c>
    </row>
    <row r="480">
      <c r="A480" s="4" t="str">
        <f>"+"&amp;Sheet3!D480</f>
        <v>+</v>
      </c>
      <c r="B480" s="4" t="str">
        <f>Sheet3!B480</f>
        <v/>
      </c>
      <c r="C480" s="4" t="str">
        <f>Sheet3!C480</f>
        <v/>
      </c>
    </row>
    <row r="481">
      <c r="A481" s="4" t="str">
        <f>"+"&amp;Sheet3!D481</f>
        <v>+</v>
      </c>
      <c r="B481" s="4" t="str">
        <f>Sheet3!B481</f>
        <v/>
      </c>
      <c r="C481" s="4" t="str">
        <f>Sheet3!C481</f>
        <v/>
      </c>
    </row>
    <row r="482">
      <c r="A482" s="4" t="str">
        <f>"+"&amp;Sheet3!D482</f>
        <v>+</v>
      </c>
      <c r="B482" s="4" t="str">
        <f>Sheet3!B482</f>
        <v/>
      </c>
      <c r="C482" s="4" t="str">
        <f>Sheet3!C482</f>
        <v/>
      </c>
    </row>
    <row r="483">
      <c r="A483" s="4" t="str">
        <f>"+"&amp;Sheet3!D483</f>
        <v>+</v>
      </c>
      <c r="B483" s="4" t="str">
        <f>Sheet3!B483</f>
        <v/>
      </c>
      <c r="C483" s="4" t="str">
        <f>Sheet3!C483</f>
        <v/>
      </c>
    </row>
    <row r="484">
      <c r="A484" s="4" t="str">
        <f>"+"&amp;Sheet3!D484</f>
        <v>+</v>
      </c>
      <c r="B484" s="4" t="str">
        <f>Sheet3!B484</f>
        <v/>
      </c>
      <c r="C484" s="4" t="str">
        <f>Sheet3!C484</f>
        <v/>
      </c>
    </row>
    <row r="485">
      <c r="A485" s="4" t="str">
        <f>"+"&amp;Sheet3!D485</f>
        <v>+</v>
      </c>
      <c r="B485" s="4" t="str">
        <f>Sheet3!B485</f>
        <v/>
      </c>
      <c r="C485" s="4" t="str">
        <f>Sheet3!C485</f>
        <v/>
      </c>
    </row>
    <row r="486">
      <c r="A486" s="4" t="str">
        <f>"+"&amp;Sheet3!D486</f>
        <v>+</v>
      </c>
      <c r="B486" s="4" t="str">
        <f>Sheet3!B486</f>
        <v/>
      </c>
      <c r="C486" s="4" t="str">
        <f>Sheet3!C486</f>
        <v/>
      </c>
    </row>
    <row r="487">
      <c r="A487" s="4" t="str">
        <f>"+"&amp;Sheet3!D487</f>
        <v>+</v>
      </c>
      <c r="B487" s="4" t="str">
        <f>Sheet3!B487</f>
        <v/>
      </c>
      <c r="C487" s="4" t="str">
        <f>Sheet3!C487</f>
        <v/>
      </c>
    </row>
    <row r="488">
      <c r="A488" s="4" t="str">
        <f>"+"&amp;Sheet3!D488</f>
        <v>+</v>
      </c>
      <c r="B488" s="4" t="str">
        <f>Sheet3!B488</f>
        <v/>
      </c>
      <c r="C488" s="4" t="str">
        <f>Sheet3!C488</f>
        <v/>
      </c>
    </row>
    <row r="489">
      <c r="A489" s="4" t="str">
        <f>"+"&amp;Sheet3!D489</f>
        <v>+</v>
      </c>
      <c r="B489" s="4" t="str">
        <f>Sheet3!B489</f>
        <v/>
      </c>
      <c r="C489" s="4" t="str">
        <f>Sheet3!C489</f>
        <v/>
      </c>
    </row>
    <row r="490">
      <c r="A490" s="4" t="str">
        <f>"+"&amp;Sheet3!D490</f>
        <v>+</v>
      </c>
      <c r="B490" s="4" t="str">
        <f>Sheet3!B490</f>
        <v/>
      </c>
      <c r="C490" s="4" t="str">
        <f>Sheet3!C490</f>
        <v/>
      </c>
    </row>
    <row r="491">
      <c r="A491" s="4" t="str">
        <f>"+"&amp;Sheet3!D491</f>
        <v>+</v>
      </c>
      <c r="B491" s="4" t="str">
        <f>Sheet3!B491</f>
        <v/>
      </c>
      <c r="C491" s="4" t="str">
        <f>Sheet3!C491</f>
        <v/>
      </c>
    </row>
    <row r="492">
      <c r="A492" s="4" t="str">
        <f>"+"&amp;Sheet3!D492</f>
        <v>+</v>
      </c>
      <c r="B492" s="4" t="str">
        <f>Sheet3!B492</f>
        <v/>
      </c>
      <c r="C492" s="4" t="str">
        <f>Sheet3!C492</f>
        <v/>
      </c>
    </row>
    <row r="493">
      <c r="A493" s="4" t="str">
        <f>"+"&amp;Sheet3!D493</f>
        <v>+</v>
      </c>
      <c r="B493" s="4" t="str">
        <f>Sheet3!B493</f>
        <v/>
      </c>
      <c r="C493" s="4" t="str">
        <f>Sheet3!C493</f>
        <v/>
      </c>
    </row>
    <row r="494">
      <c r="A494" s="4" t="str">
        <f>"+"&amp;Sheet3!D494</f>
        <v>+</v>
      </c>
      <c r="B494" s="4" t="str">
        <f>Sheet3!B494</f>
        <v/>
      </c>
      <c r="C494" s="4" t="str">
        <f>Sheet3!C494</f>
        <v/>
      </c>
    </row>
    <row r="495">
      <c r="A495" s="4" t="str">
        <f>"+"&amp;Sheet3!D495</f>
        <v>+</v>
      </c>
      <c r="B495" s="4" t="str">
        <f>Sheet3!B495</f>
        <v/>
      </c>
      <c r="C495" s="4" t="str">
        <f>Sheet3!C495</f>
        <v/>
      </c>
    </row>
    <row r="496">
      <c r="A496" s="4" t="str">
        <f>"+"&amp;Sheet3!D496</f>
        <v>+</v>
      </c>
      <c r="B496" s="4" t="str">
        <f>Sheet3!B496</f>
        <v/>
      </c>
      <c r="C496" s="4" t="str">
        <f>Sheet3!C496</f>
        <v/>
      </c>
    </row>
    <row r="497">
      <c r="A497" s="4" t="str">
        <f>"+"&amp;Sheet3!D497</f>
        <v>+</v>
      </c>
      <c r="B497" s="4" t="str">
        <f>Sheet3!B497</f>
        <v/>
      </c>
      <c r="C497" s="4" t="str">
        <f>Sheet3!C497</f>
        <v/>
      </c>
    </row>
    <row r="498">
      <c r="A498" s="4" t="str">
        <f>"+"&amp;Sheet3!D498</f>
        <v>+</v>
      </c>
      <c r="B498" s="4" t="str">
        <f>Sheet3!B498</f>
        <v/>
      </c>
      <c r="C498" s="4" t="str">
        <f>Sheet3!C498</f>
        <v/>
      </c>
    </row>
    <row r="499">
      <c r="A499" s="4" t="str">
        <f>"+"&amp;Sheet3!D499</f>
        <v>+</v>
      </c>
      <c r="B499" s="4" t="str">
        <f>Sheet3!B499</f>
        <v/>
      </c>
      <c r="C499" s="4" t="str">
        <f>Sheet3!C499</f>
        <v/>
      </c>
    </row>
    <row r="500">
      <c r="A500" s="4" t="str">
        <f>"+"&amp;Sheet3!D500</f>
        <v>+</v>
      </c>
      <c r="B500" s="4" t="str">
        <f>Sheet3!B500</f>
        <v/>
      </c>
      <c r="C500" s="4" t="str">
        <f>Sheet3!C500</f>
        <v/>
      </c>
    </row>
    <row r="501">
      <c r="A501" s="4" t="str">
        <f>"+"&amp;Sheet3!D501</f>
        <v>+</v>
      </c>
      <c r="B501" s="4" t="str">
        <f>Sheet3!B501</f>
        <v/>
      </c>
      <c r="C501" s="4" t="str">
        <f>Sheet3!C501</f>
        <v/>
      </c>
    </row>
    <row r="502">
      <c r="A502" s="4" t="str">
        <f>"+"&amp;Sheet3!D502</f>
        <v>+</v>
      </c>
      <c r="B502" s="4" t="str">
        <f>Sheet3!B502</f>
        <v/>
      </c>
      <c r="C502" s="4" t="str">
        <f>Sheet3!C502</f>
        <v/>
      </c>
    </row>
    <row r="503">
      <c r="A503" s="4" t="str">
        <f>"+"&amp;Sheet3!D503</f>
        <v>+</v>
      </c>
      <c r="B503" s="4" t="str">
        <f>Sheet3!B503</f>
        <v/>
      </c>
      <c r="C503" s="4" t="str">
        <f>Sheet3!C503</f>
        <v/>
      </c>
    </row>
    <row r="504">
      <c r="A504" s="4" t="str">
        <f>"+"&amp;Sheet3!D504</f>
        <v>+</v>
      </c>
      <c r="B504" s="4" t="str">
        <f>Sheet3!B504</f>
        <v/>
      </c>
      <c r="C504" s="4" t="str">
        <f>Sheet3!C504</f>
        <v/>
      </c>
    </row>
    <row r="505">
      <c r="A505" s="4" t="str">
        <f>"+"&amp;Sheet3!D505</f>
        <v>+</v>
      </c>
      <c r="B505" s="4" t="str">
        <f>Sheet3!B505</f>
        <v/>
      </c>
      <c r="C505" s="4" t="str">
        <f>Sheet3!C505</f>
        <v/>
      </c>
    </row>
    <row r="506">
      <c r="A506" s="4" t="str">
        <f>"+"&amp;Sheet3!D506</f>
        <v>+</v>
      </c>
      <c r="B506" s="4" t="str">
        <f>Sheet3!B506</f>
        <v/>
      </c>
      <c r="C506" s="4" t="str">
        <f>Sheet3!C506</f>
        <v/>
      </c>
    </row>
    <row r="507">
      <c r="A507" s="4" t="str">
        <f>"+"&amp;Sheet3!D507</f>
        <v>+</v>
      </c>
      <c r="B507" s="4" t="str">
        <f>Sheet3!B507</f>
        <v/>
      </c>
      <c r="C507" s="4" t="str">
        <f>Sheet3!C507</f>
        <v/>
      </c>
    </row>
    <row r="508">
      <c r="A508" s="4" t="str">
        <f>"+"&amp;Sheet3!D508</f>
        <v>+</v>
      </c>
      <c r="B508" s="4" t="str">
        <f>Sheet3!B508</f>
        <v/>
      </c>
      <c r="C508" s="4" t="str">
        <f>Sheet3!C508</f>
        <v/>
      </c>
    </row>
    <row r="509">
      <c r="A509" s="4" t="str">
        <f>"+"&amp;Sheet3!D509</f>
        <v>+</v>
      </c>
      <c r="B509" s="4" t="str">
        <f>Sheet3!B509</f>
        <v/>
      </c>
      <c r="C509" s="4" t="str">
        <f>Sheet3!C509</f>
        <v/>
      </c>
    </row>
    <row r="510">
      <c r="A510" s="4" t="str">
        <f>"+"&amp;Sheet3!D510</f>
        <v>+</v>
      </c>
      <c r="B510" s="4" t="str">
        <f>Sheet3!B510</f>
        <v/>
      </c>
      <c r="C510" s="4" t="str">
        <f>Sheet3!C510</f>
        <v/>
      </c>
    </row>
    <row r="511">
      <c r="A511" s="4" t="str">
        <f>"+"&amp;Sheet3!D511</f>
        <v>+</v>
      </c>
      <c r="B511" s="4" t="str">
        <f>Sheet3!B511</f>
        <v/>
      </c>
      <c r="C511" s="4" t="str">
        <f>Sheet3!C511</f>
        <v/>
      </c>
    </row>
    <row r="512">
      <c r="A512" s="4" t="str">
        <f>"+"&amp;Sheet3!D512</f>
        <v>+</v>
      </c>
      <c r="B512" s="4" t="str">
        <f>Sheet3!B512</f>
        <v/>
      </c>
      <c r="C512" s="4" t="str">
        <f>Sheet3!C512</f>
        <v/>
      </c>
    </row>
    <row r="513">
      <c r="A513" s="4" t="str">
        <f>"+"&amp;Sheet3!D513</f>
        <v>+</v>
      </c>
      <c r="B513" s="4" t="str">
        <f>Sheet3!B513</f>
        <v/>
      </c>
      <c r="C513" s="4" t="str">
        <f>Sheet3!C513</f>
        <v/>
      </c>
    </row>
    <row r="514">
      <c r="A514" s="4" t="str">
        <f>"+"&amp;Sheet3!D514</f>
        <v>+</v>
      </c>
      <c r="B514" s="4" t="str">
        <f>Sheet3!B514</f>
        <v/>
      </c>
      <c r="C514" s="4" t="str">
        <f>Sheet3!C514</f>
        <v/>
      </c>
    </row>
    <row r="515">
      <c r="A515" s="4" t="str">
        <f>"+"&amp;Sheet3!D515</f>
        <v>+</v>
      </c>
      <c r="B515" s="4" t="str">
        <f>Sheet3!B515</f>
        <v/>
      </c>
      <c r="C515" s="4" t="str">
        <f>Sheet3!C515</f>
        <v/>
      </c>
    </row>
    <row r="516">
      <c r="A516" s="4" t="str">
        <f>"+"&amp;Sheet3!D516</f>
        <v>+</v>
      </c>
      <c r="B516" s="4" t="str">
        <f>Sheet3!B516</f>
        <v/>
      </c>
      <c r="C516" s="4" t="str">
        <f>Sheet3!C516</f>
        <v/>
      </c>
    </row>
    <row r="517">
      <c r="A517" s="4" t="str">
        <f>"+"&amp;Sheet3!D517</f>
        <v>+</v>
      </c>
      <c r="B517" s="4" t="str">
        <f>Sheet3!B517</f>
        <v/>
      </c>
      <c r="C517" s="4" t="str">
        <f>Sheet3!C517</f>
        <v/>
      </c>
    </row>
    <row r="518">
      <c r="A518" s="4" t="str">
        <f>"+"&amp;Sheet3!D518</f>
        <v>+</v>
      </c>
      <c r="B518" s="4" t="str">
        <f>Sheet3!B518</f>
        <v/>
      </c>
      <c r="C518" s="4" t="str">
        <f>Sheet3!C518</f>
        <v/>
      </c>
    </row>
    <row r="519">
      <c r="A519" s="4" t="str">
        <f>"+"&amp;Sheet3!D519</f>
        <v>+</v>
      </c>
      <c r="B519" s="4" t="str">
        <f>Sheet3!B519</f>
        <v/>
      </c>
      <c r="C519" s="4" t="str">
        <f>Sheet3!C519</f>
        <v/>
      </c>
    </row>
    <row r="520">
      <c r="A520" s="4" t="str">
        <f>"+"&amp;Sheet3!D520</f>
        <v>+</v>
      </c>
      <c r="B520" s="4" t="str">
        <f>Sheet3!B520</f>
        <v/>
      </c>
      <c r="C520" s="4" t="str">
        <f>Sheet3!C520</f>
        <v/>
      </c>
    </row>
    <row r="521">
      <c r="A521" s="4" t="str">
        <f>"+"&amp;Sheet3!D521</f>
        <v>+</v>
      </c>
      <c r="B521" s="4" t="str">
        <f>Sheet3!B521</f>
        <v/>
      </c>
      <c r="C521" s="4" t="str">
        <f>Sheet3!C521</f>
        <v/>
      </c>
    </row>
    <row r="522">
      <c r="A522" s="4" t="str">
        <f>"+"&amp;Sheet3!D522</f>
        <v>+</v>
      </c>
      <c r="B522" s="4" t="str">
        <f>Sheet3!B522</f>
        <v/>
      </c>
      <c r="C522" s="4" t="str">
        <f>Sheet3!C522</f>
        <v/>
      </c>
    </row>
    <row r="523">
      <c r="A523" s="4" t="str">
        <f>"+"&amp;Sheet3!D523</f>
        <v>+</v>
      </c>
      <c r="B523" s="4" t="str">
        <f>Sheet3!B523</f>
        <v/>
      </c>
      <c r="C523" s="4" t="str">
        <f>Sheet3!C523</f>
        <v/>
      </c>
    </row>
    <row r="524">
      <c r="A524" s="4" t="str">
        <f>"+"&amp;Sheet3!D524</f>
        <v>+</v>
      </c>
      <c r="B524" s="4" t="str">
        <f>Sheet3!B524</f>
        <v/>
      </c>
      <c r="C524" s="4" t="str">
        <f>Sheet3!C524</f>
        <v/>
      </c>
    </row>
    <row r="525">
      <c r="A525" s="4" t="str">
        <f>"+"&amp;Sheet3!D525</f>
        <v>+</v>
      </c>
      <c r="B525" s="4" t="str">
        <f>Sheet3!B525</f>
        <v/>
      </c>
      <c r="C525" s="4" t="str">
        <f>Sheet3!C525</f>
        <v/>
      </c>
    </row>
    <row r="526">
      <c r="A526" s="4" t="str">
        <f>"+"&amp;Sheet3!D526</f>
        <v>+</v>
      </c>
      <c r="B526" s="4" t="str">
        <f>Sheet3!B526</f>
        <v/>
      </c>
      <c r="C526" s="4" t="str">
        <f>Sheet3!C526</f>
        <v/>
      </c>
    </row>
    <row r="527">
      <c r="A527" s="4" t="str">
        <f>"+"&amp;Sheet3!D527</f>
        <v>+</v>
      </c>
      <c r="B527" s="4" t="str">
        <f>Sheet3!B527</f>
        <v/>
      </c>
      <c r="C527" s="4" t="str">
        <f>Sheet3!C527</f>
        <v/>
      </c>
    </row>
    <row r="528">
      <c r="A528" s="4" t="str">
        <f>"+"&amp;Sheet3!D528</f>
        <v>+</v>
      </c>
      <c r="B528" s="4" t="str">
        <f>Sheet3!B528</f>
        <v/>
      </c>
      <c r="C528" s="4" t="str">
        <f>Sheet3!C528</f>
        <v/>
      </c>
    </row>
    <row r="529">
      <c r="A529" s="4" t="str">
        <f>"+"&amp;Sheet3!D529</f>
        <v>+</v>
      </c>
      <c r="B529" s="4" t="str">
        <f>Sheet3!B529</f>
        <v/>
      </c>
      <c r="C529" s="4" t="str">
        <f>Sheet3!C529</f>
        <v/>
      </c>
    </row>
    <row r="530">
      <c r="A530" s="4" t="str">
        <f>"+"&amp;Sheet3!D530</f>
        <v>+</v>
      </c>
      <c r="B530" s="4" t="str">
        <f>Sheet3!B530</f>
        <v/>
      </c>
      <c r="C530" s="4" t="str">
        <f>Sheet3!C530</f>
        <v/>
      </c>
    </row>
    <row r="531">
      <c r="A531" s="4" t="str">
        <f>"+"&amp;Sheet3!D531</f>
        <v>+</v>
      </c>
      <c r="B531" s="4" t="str">
        <f>Sheet3!B531</f>
        <v/>
      </c>
      <c r="C531" s="4" t="str">
        <f>Sheet3!C531</f>
        <v/>
      </c>
    </row>
    <row r="532">
      <c r="A532" s="4" t="str">
        <f>"+"&amp;Sheet3!D532</f>
        <v>+</v>
      </c>
      <c r="B532" s="4" t="str">
        <f>Sheet3!B532</f>
        <v/>
      </c>
      <c r="C532" s="4" t="str">
        <f>Sheet3!C532</f>
        <v/>
      </c>
    </row>
    <row r="533">
      <c r="A533" s="4" t="str">
        <f>"+"&amp;Sheet3!D533</f>
        <v>+</v>
      </c>
      <c r="B533" s="4" t="str">
        <f>Sheet3!B533</f>
        <v/>
      </c>
      <c r="C533" s="4" t="str">
        <f>Sheet3!C533</f>
        <v/>
      </c>
    </row>
    <row r="534">
      <c r="A534" s="4" t="str">
        <f>"+"&amp;Sheet3!D534</f>
        <v>+</v>
      </c>
      <c r="B534" s="4" t="str">
        <f>Sheet3!B534</f>
        <v/>
      </c>
      <c r="C534" s="4" t="str">
        <f>Sheet3!C534</f>
        <v/>
      </c>
    </row>
    <row r="535">
      <c r="A535" s="4" t="str">
        <f>"+"&amp;Sheet3!D535</f>
        <v>+</v>
      </c>
      <c r="B535" s="4" t="str">
        <f>Sheet3!B535</f>
        <v/>
      </c>
      <c r="C535" s="4" t="str">
        <f>Sheet3!C535</f>
        <v/>
      </c>
    </row>
    <row r="536">
      <c r="A536" s="4" t="str">
        <f>"+"&amp;Sheet3!D536</f>
        <v>+</v>
      </c>
      <c r="B536" s="4" t="str">
        <f>Sheet3!B536</f>
        <v/>
      </c>
      <c r="C536" s="4" t="str">
        <f>Sheet3!C536</f>
        <v/>
      </c>
    </row>
    <row r="537">
      <c r="A537" s="4" t="str">
        <f>"+"&amp;Sheet3!D537</f>
        <v>+</v>
      </c>
      <c r="B537" s="4" t="str">
        <f>Sheet3!B537</f>
        <v/>
      </c>
      <c r="C537" s="4" t="str">
        <f>Sheet3!C537</f>
        <v/>
      </c>
    </row>
    <row r="538">
      <c r="A538" s="4" t="str">
        <f>"+"&amp;Sheet3!D538</f>
        <v>+</v>
      </c>
      <c r="B538" s="4" t="str">
        <f>Sheet3!B538</f>
        <v/>
      </c>
      <c r="C538" s="4" t="str">
        <f>Sheet3!C538</f>
        <v/>
      </c>
    </row>
    <row r="539">
      <c r="A539" s="4" t="str">
        <f>"+"&amp;Sheet3!D539</f>
        <v>+</v>
      </c>
      <c r="B539" s="4" t="str">
        <f>Sheet3!B539</f>
        <v/>
      </c>
      <c r="C539" s="4" t="str">
        <f>Sheet3!C539</f>
        <v/>
      </c>
    </row>
    <row r="540">
      <c r="A540" s="4" t="str">
        <f>"+"&amp;Sheet3!D540</f>
        <v>+</v>
      </c>
      <c r="B540" s="4" t="str">
        <f>Sheet3!B540</f>
        <v/>
      </c>
      <c r="C540" s="4" t="str">
        <f>Sheet3!C540</f>
        <v/>
      </c>
    </row>
    <row r="541">
      <c r="A541" s="4" t="str">
        <f>"+"&amp;Sheet3!D541</f>
        <v>+</v>
      </c>
      <c r="B541" s="4" t="str">
        <f>Sheet3!B541</f>
        <v/>
      </c>
      <c r="C541" s="4" t="str">
        <f>Sheet3!C541</f>
        <v/>
      </c>
    </row>
    <row r="542">
      <c r="A542" s="4" t="str">
        <f>"+"&amp;Sheet3!D542</f>
        <v>+</v>
      </c>
      <c r="B542" s="4" t="str">
        <f>Sheet3!B542</f>
        <v/>
      </c>
      <c r="C542" s="4" t="str">
        <f>Sheet3!C542</f>
        <v/>
      </c>
    </row>
    <row r="543">
      <c r="A543" s="4" t="str">
        <f>"+"&amp;Sheet3!D543</f>
        <v>+</v>
      </c>
      <c r="B543" s="4" t="str">
        <f>Sheet3!B543</f>
        <v/>
      </c>
      <c r="C543" s="4" t="str">
        <f>Sheet3!C543</f>
        <v/>
      </c>
    </row>
    <row r="544">
      <c r="A544" s="4" t="str">
        <f>"+"&amp;Sheet3!D544</f>
        <v>+</v>
      </c>
      <c r="B544" s="4" t="str">
        <f>Sheet3!B544</f>
        <v/>
      </c>
      <c r="C544" s="4" t="str">
        <f>Sheet3!C544</f>
        <v/>
      </c>
    </row>
    <row r="545">
      <c r="A545" s="4" t="str">
        <f>"+"&amp;Sheet3!D545</f>
        <v>+</v>
      </c>
      <c r="B545" s="4" t="str">
        <f>Sheet3!B545</f>
        <v/>
      </c>
      <c r="C545" s="4" t="str">
        <f>Sheet3!C545</f>
        <v/>
      </c>
    </row>
    <row r="546">
      <c r="A546" s="4" t="str">
        <f>"+"&amp;Sheet3!D546</f>
        <v>+</v>
      </c>
      <c r="B546" s="4" t="str">
        <f>Sheet3!B546</f>
        <v/>
      </c>
      <c r="C546" s="4" t="str">
        <f>Sheet3!C546</f>
        <v/>
      </c>
    </row>
    <row r="547">
      <c r="A547" s="4" t="str">
        <f>"+"&amp;Sheet3!D547</f>
        <v>+</v>
      </c>
      <c r="B547" s="4" t="str">
        <f>Sheet3!B547</f>
        <v/>
      </c>
      <c r="C547" s="4" t="str">
        <f>Sheet3!C547</f>
        <v/>
      </c>
    </row>
    <row r="548">
      <c r="A548" s="4" t="str">
        <f>"+"&amp;Sheet3!D548</f>
        <v>+</v>
      </c>
      <c r="B548" s="4" t="str">
        <f>Sheet3!B548</f>
        <v/>
      </c>
      <c r="C548" s="4" t="str">
        <f>Sheet3!C548</f>
        <v/>
      </c>
    </row>
    <row r="549">
      <c r="A549" s="4" t="str">
        <f>"+"&amp;Sheet3!D549</f>
        <v>+</v>
      </c>
      <c r="B549" s="4" t="str">
        <f>Sheet3!B549</f>
        <v/>
      </c>
      <c r="C549" s="4" t="str">
        <f>Sheet3!C549</f>
        <v/>
      </c>
    </row>
    <row r="550">
      <c r="A550" s="4" t="str">
        <f>"+"&amp;Sheet3!D550</f>
        <v>+</v>
      </c>
      <c r="B550" s="4" t="str">
        <f>Sheet3!B550</f>
        <v/>
      </c>
      <c r="C550" s="4" t="str">
        <f>Sheet3!C550</f>
        <v/>
      </c>
    </row>
    <row r="551">
      <c r="A551" s="4" t="str">
        <f>"+"&amp;Sheet3!D551</f>
        <v>+</v>
      </c>
      <c r="B551" s="4" t="str">
        <f>Sheet3!B551</f>
        <v/>
      </c>
      <c r="C551" s="4" t="str">
        <f>Sheet3!C551</f>
        <v/>
      </c>
    </row>
    <row r="552">
      <c r="A552" s="4" t="str">
        <f>"+"&amp;Sheet3!D552</f>
        <v>+</v>
      </c>
      <c r="B552" s="4" t="str">
        <f>Sheet3!B552</f>
        <v/>
      </c>
      <c r="C552" s="4" t="str">
        <f>Sheet3!C552</f>
        <v/>
      </c>
    </row>
    <row r="553">
      <c r="A553" s="4" t="str">
        <f>"+"&amp;Sheet3!D553</f>
        <v>+</v>
      </c>
      <c r="B553" s="4" t="str">
        <f>Sheet3!B553</f>
        <v/>
      </c>
      <c r="C553" s="4" t="str">
        <f>Sheet3!C553</f>
        <v/>
      </c>
    </row>
    <row r="554">
      <c r="A554" s="4" t="str">
        <f>"+"&amp;Sheet3!D554</f>
        <v>+</v>
      </c>
      <c r="B554" s="4" t="str">
        <f>Sheet3!B554</f>
        <v/>
      </c>
      <c r="C554" s="4" t="str">
        <f>Sheet3!C554</f>
        <v/>
      </c>
    </row>
    <row r="555">
      <c r="A555" s="4" t="str">
        <f>"+"&amp;Sheet3!D555</f>
        <v>+</v>
      </c>
      <c r="B555" s="4" t="str">
        <f>Sheet3!B555</f>
        <v/>
      </c>
      <c r="C555" s="4" t="str">
        <f>Sheet3!C555</f>
        <v/>
      </c>
    </row>
    <row r="556">
      <c r="A556" s="4" t="str">
        <f>"+"&amp;Sheet3!D556</f>
        <v>+</v>
      </c>
      <c r="B556" s="4" t="str">
        <f>Sheet3!B556</f>
        <v/>
      </c>
      <c r="C556" s="4" t="str">
        <f>Sheet3!C556</f>
        <v/>
      </c>
    </row>
    <row r="557">
      <c r="A557" s="4" t="str">
        <f>"+"&amp;Sheet3!D557</f>
        <v>+</v>
      </c>
      <c r="B557" s="4" t="str">
        <f>Sheet3!B557</f>
        <v/>
      </c>
      <c r="C557" s="4" t="str">
        <f>Sheet3!C557</f>
        <v/>
      </c>
    </row>
    <row r="558">
      <c r="A558" s="4" t="str">
        <f>"+"&amp;Sheet3!D558</f>
        <v>+</v>
      </c>
      <c r="B558" s="4" t="str">
        <f>Sheet3!B558</f>
        <v/>
      </c>
      <c r="C558" s="4" t="str">
        <f>Sheet3!C558</f>
        <v/>
      </c>
    </row>
    <row r="559">
      <c r="A559" s="4" t="str">
        <f>"+"&amp;Sheet3!D559</f>
        <v>+</v>
      </c>
      <c r="B559" s="4" t="str">
        <f>Sheet3!B559</f>
        <v/>
      </c>
      <c r="C559" s="4" t="str">
        <f>Sheet3!C559</f>
        <v/>
      </c>
    </row>
    <row r="560">
      <c r="A560" s="4" t="str">
        <f>"+"&amp;Sheet3!D560</f>
        <v>+</v>
      </c>
      <c r="B560" s="4" t="str">
        <f>Sheet3!B560</f>
        <v/>
      </c>
      <c r="C560" s="4" t="str">
        <f>Sheet3!C560</f>
        <v/>
      </c>
    </row>
    <row r="561">
      <c r="A561" s="4" t="str">
        <f>"+"&amp;Sheet3!D561</f>
        <v>+</v>
      </c>
      <c r="B561" s="4" t="str">
        <f>Sheet3!B561</f>
        <v/>
      </c>
      <c r="C561" s="4" t="str">
        <f>Sheet3!C561</f>
        <v/>
      </c>
    </row>
    <row r="562">
      <c r="A562" s="4" t="str">
        <f>"+"&amp;Sheet3!D562</f>
        <v>+</v>
      </c>
      <c r="B562" s="4" t="str">
        <f>Sheet3!B562</f>
        <v/>
      </c>
      <c r="C562" s="4" t="str">
        <f>Sheet3!C562</f>
        <v/>
      </c>
    </row>
    <row r="563">
      <c r="A563" s="4" t="str">
        <f>"+"&amp;Sheet3!D563</f>
        <v>+</v>
      </c>
      <c r="B563" s="4" t="str">
        <f>Sheet3!B563</f>
        <v/>
      </c>
      <c r="C563" s="4" t="str">
        <f>Sheet3!C563</f>
        <v/>
      </c>
    </row>
    <row r="564">
      <c r="A564" s="4" t="str">
        <f>"+"&amp;Sheet3!D564</f>
        <v>+</v>
      </c>
      <c r="B564" s="4" t="str">
        <f>Sheet3!B564</f>
        <v/>
      </c>
      <c r="C564" s="4" t="str">
        <f>Sheet3!C564</f>
        <v/>
      </c>
    </row>
    <row r="565">
      <c r="A565" s="4" t="str">
        <f>"+"&amp;Sheet3!D565</f>
        <v>+</v>
      </c>
      <c r="B565" s="4" t="str">
        <f>Sheet3!B565</f>
        <v/>
      </c>
      <c r="C565" s="4" t="str">
        <f>Sheet3!C565</f>
        <v/>
      </c>
    </row>
    <row r="566">
      <c r="A566" s="4" t="str">
        <f>"+"&amp;Sheet3!D566</f>
        <v>+</v>
      </c>
      <c r="B566" s="4" t="str">
        <f>Sheet3!B566</f>
        <v/>
      </c>
      <c r="C566" s="4" t="str">
        <f>Sheet3!C566</f>
        <v/>
      </c>
    </row>
    <row r="567">
      <c r="A567" s="4" t="str">
        <f>"+"&amp;Sheet3!D567</f>
        <v>+</v>
      </c>
      <c r="B567" s="4" t="str">
        <f>Sheet3!B567</f>
        <v/>
      </c>
      <c r="C567" s="4" t="str">
        <f>Sheet3!C567</f>
        <v/>
      </c>
    </row>
    <row r="568">
      <c r="A568" s="4" t="str">
        <f>"+"&amp;Sheet3!D568</f>
        <v>+</v>
      </c>
      <c r="B568" s="4" t="str">
        <f>Sheet3!B568</f>
        <v/>
      </c>
      <c r="C568" s="4" t="str">
        <f>Sheet3!C568</f>
        <v/>
      </c>
    </row>
    <row r="569">
      <c r="A569" s="4" t="str">
        <f>"+"&amp;Sheet3!D569</f>
        <v>+</v>
      </c>
      <c r="B569" s="4" t="str">
        <f>Sheet3!B569</f>
        <v/>
      </c>
      <c r="C569" s="4" t="str">
        <f>Sheet3!C569</f>
        <v/>
      </c>
    </row>
    <row r="570">
      <c r="A570" s="4" t="str">
        <f>"+"&amp;Sheet3!D570</f>
        <v>+</v>
      </c>
      <c r="B570" s="4" t="str">
        <f>Sheet3!B570</f>
        <v/>
      </c>
      <c r="C570" s="4" t="str">
        <f>Sheet3!C570</f>
        <v/>
      </c>
    </row>
    <row r="571">
      <c r="A571" s="4" t="str">
        <f>"+"&amp;Sheet3!D571</f>
        <v>+</v>
      </c>
      <c r="B571" s="4" t="str">
        <f>Sheet3!B571</f>
        <v/>
      </c>
      <c r="C571" s="4" t="str">
        <f>Sheet3!C571</f>
        <v/>
      </c>
    </row>
    <row r="572">
      <c r="A572" s="4" t="str">
        <f>"+"&amp;Sheet3!D572</f>
        <v>+</v>
      </c>
      <c r="B572" s="4" t="str">
        <f>Sheet3!B572</f>
        <v/>
      </c>
      <c r="C572" s="4" t="str">
        <f>Sheet3!C572</f>
        <v/>
      </c>
    </row>
    <row r="573">
      <c r="A573" s="4" t="str">
        <f>"+"&amp;Sheet3!D573</f>
        <v>+</v>
      </c>
      <c r="B573" s="4" t="str">
        <f>Sheet3!B573</f>
        <v/>
      </c>
      <c r="C573" s="4" t="str">
        <f>Sheet3!C573</f>
        <v/>
      </c>
    </row>
    <row r="574">
      <c r="A574" s="4" t="str">
        <f>"+"&amp;Sheet3!D574</f>
        <v>+</v>
      </c>
      <c r="B574" s="4" t="str">
        <f>Sheet3!B574</f>
        <v/>
      </c>
      <c r="C574" s="4" t="str">
        <f>Sheet3!C574</f>
        <v/>
      </c>
    </row>
    <row r="575">
      <c r="A575" s="4" t="str">
        <f>"+"&amp;Sheet3!D575</f>
        <v>+</v>
      </c>
      <c r="B575" s="4" t="str">
        <f>Sheet3!B575</f>
        <v/>
      </c>
      <c r="C575" s="4" t="str">
        <f>Sheet3!C575</f>
        <v/>
      </c>
    </row>
    <row r="576">
      <c r="A576" s="4" t="str">
        <f>"+"&amp;Sheet3!D576</f>
        <v>+</v>
      </c>
      <c r="B576" s="4" t="str">
        <f>Sheet3!B576</f>
        <v/>
      </c>
      <c r="C576" s="4" t="str">
        <f>Sheet3!C576</f>
        <v/>
      </c>
    </row>
    <row r="577">
      <c r="A577" s="4" t="str">
        <f>"+"&amp;Sheet3!D577</f>
        <v>+</v>
      </c>
      <c r="B577" s="4" t="str">
        <f>Sheet3!B577</f>
        <v/>
      </c>
      <c r="C577" s="4" t="str">
        <f>Sheet3!C577</f>
        <v/>
      </c>
    </row>
    <row r="578">
      <c r="A578" s="4" t="str">
        <f>"+"&amp;Sheet3!D578</f>
        <v>+</v>
      </c>
      <c r="B578" s="4" t="str">
        <f>Sheet3!B578</f>
        <v/>
      </c>
      <c r="C578" s="4" t="str">
        <f>Sheet3!C578</f>
        <v/>
      </c>
    </row>
    <row r="579">
      <c r="A579" s="4" t="str">
        <f>"+"&amp;Sheet3!D579</f>
        <v>+</v>
      </c>
      <c r="B579" s="4" t="str">
        <f>Sheet3!B579</f>
        <v/>
      </c>
      <c r="C579" s="4" t="str">
        <f>Sheet3!C579</f>
        <v/>
      </c>
    </row>
    <row r="580">
      <c r="A580" s="4" t="str">
        <f>"+"&amp;Sheet3!D580</f>
        <v>+</v>
      </c>
      <c r="B580" s="4" t="str">
        <f>Sheet3!B580</f>
        <v/>
      </c>
      <c r="C580" s="4" t="str">
        <f>Sheet3!C580</f>
        <v/>
      </c>
    </row>
    <row r="581">
      <c r="A581" s="4" t="str">
        <f>"+"&amp;Sheet3!D581</f>
        <v>+</v>
      </c>
      <c r="B581" s="4" t="str">
        <f>Sheet3!B581</f>
        <v/>
      </c>
      <c r="C581" s="4" t="str">
        <f>Sheet3!C581</f>
        <v/>
      </c>
    </row>
    <row r="582">
      <c r="A582" s="4" t="str">
        <f>"+"&amp;Sheet3!D582</f>
        <v>+</v>
      </c>
      <c r="B582" s="4" t="str">
        <f>Sheet3!B582</f>
        <v/>
      </c>
      <c r="C582" s="4" t="str">
        <f>Sheet3!C582</f>
        <v/>
      </c>
    </row>
    <row r="583">
      <c r="A583" s="4" t="str">
        <f>"+"&amp;Sheet3!D583</f>
        <v>+</v>
      </c>
      <c r="B583" s="4" t="str">
        <f>Sheet3!B583</f>
        <v/>
      </c>
      <c r="C583" s="4" t="str">
        <f>Sheet3!C583</f>
        <v/>
      </c>
    </row>
    <row r="584">
      <c r="A584" s="4" t="str">
        <f>"+"&amp;Sheet3!D584</f>
        <v>+</v>
      </c>
      <c r="B584" s="4" t="str">
        <f>Sheet3!B584</f>
        <v/>
      </c>
      <c r="C584" s="4" t="str">
        <f>Sheet3!C584</f>
        <v/>
      </c>
    </row>
    <row r="585">
      <c r="A585" s="4" t="str">
        <f>"+"&amp;Sheet3!D585</f>
        <v>+</v>
      </c>
      <c r="B585" s="4" t="str">
        <f>Sheet3!B585</f>
        <v/>
      </c>
      <c r="C585" s="4" t="str">
        <f>Sheet3!C585</f>
        <v/>
      </c>
    </row>
    <row r="586">
      <c r="A586" s="4" t="str">
        <f>"+"&amp;Sheet3!D586</f>
        <v>+</v>
      </c>
      <c r="B586" s="4" t="str">
        <f>Sheet3!B586</f>
        <v/>
      </c>
      <c r="C586" s="4" t="str">
        <f>Sheet3!C586</f>
        <v/>
      </c>
    </row>
    <row r="587">
      <c r="A587" s="4" t="str">
        <f>"+"&amp;Sheet3!D587</f>
        <v>+</v>
      </c>
      <c r="B587" s="4" t="str">
        <f>Sheet3!B587</f>
        <v/>
      </c>
      <c r="C587" s="4" t="str">
        <f>Sheet3!C587</f>
        <v/>
      </c>
    </row>
    <row r="588">
      <c r="A588" s="4" t="str">
        <f>"+"&amp;Sheet3!D588</f>
        <v>+</v>
      </c>
      <c r="B588" s="4" t="str">
        <f>Sheet3!B588</f>
        <v/>
      </c>
      <c r="C588" s="4" t="str">
        <f>Sheet3!C588</f>
        <v/>
      </c>
    </row>
    <row r="589">
      <c r="A589" s="4" t="str">
        <f>"+"&amp;Sheet3!D589</f>
        <v>+</v>
      </c>
      <c r="B589" s="4" t="str">
        <f>Sheet3!B589</f>
        <v/>
      </c>
      <c r="C589" s="4" t="str">
        <f>Sheet3!C589</f>
        <v/>
      </c>
    </row>
    <row r="590">
      <c r="A590" s="4" t="str">
        <f>"+"&amp;Sheet3!D590</f>
        <v>+</v>
      </c>
      <c r="B590" s="4" t="str">
        <f>Sheet3!B590</f>
        <v/>
      </c>
      <c r="C590" s="4" t="str">
        <f>Sheet3!C590</f>
        <v/>
      </c>
    </row>
    <row r="591">
      <c r="A591" s="4" t="str">
        <f>"+"&amp;Sheet3!D591</f>
        <v>+</v>
      </c>
      <c r="B591" s="4" t="str">
        <f>Sheet3!B591</f>
        <v/>
      </c>
      <c r="C591" s="4" t="str">
        <f>Sheet3!C591</f>
        <v/>
      </c>
    </row>
    <row r="592">
      <c r="A592" s="4" t="str">
        <f>"+"&amp;Sheet3!D592</f>
        <v>+</v>
      </c>
      <c r="B592" s="4" t="str">
        <f>Sheet3!B592</f>
        <v/>
      </c>
      <c r="C592" s="4" t="str">
        <f>Sheet3!C592</f>
        <v/>
      </c>
    </row>
    <row r="593">
      <c r="A593" s="4" t="str">
        <f>"+"&amp;Sheet3!D593</f>
        <v>+</v>
      </c>
      <c r="B593" s="4" t="str">
        <f>Sheet3!B593</f>
        <v/>
      </c>
      <c r="C593" s="4" t="str">
        <f>Sheet3!C593</f>
        <v/>
      </c>
    </row>
    <row r="594">
      <c r="A594" s="4" t="str">
        <f>"+"&amp;Sheet3!D594</f>
        <v>+</v>
      </c>
      <c r="B594" s="4" t="str">
        <f>Sheet3!B594</f>
        <v/>
      </c>
      <c r="C594" s="4" t="str">
        <f>Sheet3!C594</f>
        <v/>
      </c>
    </row>
    <row r="595">
      <c r="A595" s="4" t="str">
        <f>"+"&amp;Sheet3!D595</f>
        <v>+</v>
      </c>
      <c r="B595" s="4" t="str">
        <f>Sheet3!B595</f>
        <v/>
      </c>
      <c r="C595" s="4" t="str">
        <f>Sheet3!C595</f>
        <v/>
      </c>
    </row>
    <row r="596">
      <c r="A596" s="4" t="str">
        <f>"+"&amp;Sheet3!D596</f>
        <v>+</v>
      </c>
      <c r="B596" s="4" t="str">
        <f>Sheet3!B596</f>
        <v/>
      </c>
      <c r="C596" s="4" t="str">
        <f>Sheet3!C596</f>
        <v/>
      </c>
    </row>
    <row r="597">
      <c r="A597" s="4" t="str">
        <f>"+"&amp;Sheet3!D597</f>
        <v>+</v>
      </c>
      <c r="B597" s="4" t="str">
        <f>Sheet3!B597</f>
        <v/>
      </c>
      <c r="C597" s="4" t="str">
        <f>Sheet3!C597</f>
        <v/>
      </c>
    </row>
    <row r="598">
      <c r="A598" s="4" t="str">
        <f>"+"&amp;Sheet3!D598</f>
        <v>+</v>
      </c>
      <c r="B598" s="4" t="str">
        <f>Sheet3!B598</f>
        <v/>
      </c>
      <c r="C598" s="4" t="str">
        <f>Sheet3!C598</f>
        <v/>
      </c>
    </row>
    <row r="599">
      <c r="A599" s="4" t="str">
        <f>"+"&amp;Sheet3!D599</f>
        <v>+</v>
      </c>
      <c r="B599" s="4" t="str">
        <f>Sheet3!B599</f>
        <v/>
      </c>
      <c r="C599" s="4" t="str">
        <f>Sheet3!C599</f>
        <v/>
      </c>
    </row>
    <row r="600">
      <c r="A600" s="4" t="str">
        <f>"+"&amp;Sheet3!D600</f>
        <v>+</v>
      </c>
      <c r="B600" s="4" t="str">
        <f>Sheet3!B600</f>
        <v/>
      </c>
      <c r="C600" s="4" t="str">
        <f>Sheet3!C600</f>
        <v/>
      </c>
    </row>
    <row r="601">
      <c r="A601" s="4" t="str">
        <f>"+"&amp;Sheet3!D601</f>
        <v>+</v>
      </c>
      <c r="B601" s="4" t="str">
        <f>Sheet3!B601</f>
        <v/>
      </c>
      <c r="C601" s="4" t="str">
        <f>Sheet3!C601</f>
        <v/>
      </c>
    </row>
    <row r="602">
      <c r="A602" s="4" t="str">
        <f>"+"&amp;Sheet3!D602</f>
        <v>+</v>
      </c>
      <c r="B602" s="4" t="str">
        <f>Sheet3!B602</f>
        <v/>
      </c>
      <c r="C602" s="4" t="str">
        <f>Sheet3!C602</f>
        <v/>
      </c>
    </row>
    <row r="603">
      <c r="A603" s="4" t="str">
        <f>"+"&amp;Sheet3!D603</f>
        <v>+</v>
      </c>
      <c r="B603" s="4" t="str">
        <f>Sheet3!B603</f>
        <v/>
      </c>
      <c r="C603" s="4" t="str">
        <f>Sheet3!C603</f>
        <v/>
      </c>
    </row>
    <row r="604">
      <c r="A604" s="4" t="str">
        <f>"+"&amp;Sheet3!D604</f>
        <v>+</v>
      </c>
      <c r="B604" s="4" t="str">
        <f>Sheet3!B604</f>
        <v/>
      </c>
      <c r="C604" s="4" t="str">
        <f>Sheet3!C604</f>
        <v/>
      </c>
    </row>
    <row r="605">
      <c r="A605" s="4" t="str">
        <f>"+"&amp;Sheet3!D605</f>
        <v>+</v>
      </c>
      <c r="B605" s="4" t="str">
        <f>Sheet3!B605</f>
        <v/>
      </c>
      <c r="C605" s="4" t="str">
        <f>Sheet3!C605</f>
        <v/>
      </c>
    </row>
    <row r="606">
      <c r="A606" s="4" t="str">
        <f>"+"&amp;Sheet3!D606</f>
        <v>+</v>
      </c>
      <c r="B606" s="4" t="str">
        <f>Sheet3!B606</f>
        <v/>
      </c>
      <c r="C606" s="4" t="str">
        <f>Sheet3!C606</f>
        <v/>
      </c>
    </row>
    <row r="607">
      <c r="A607" s="4" t="str">
        <f>"+"&amp;Sheet3!D607</f>
        <v>+</v>
      </c>
      <c r="B607" s="4" t="str">
        <f>Sheet3!B607</f>
        <v/>
      </c>
      <c r="C607" s="4" t="str">
        <f>Sheet3!C607</f>
        <v/>
      </c>
    </row>
    <row r="608">
      <c r="A608" s="4" t="str">
        <f>"+"&amp;Sheet3!D608</f>
        <v>+</v>
      </c>
      <c r="B608" s="4" t="str">
        <f>Sheet3!B608</f>
        <v/>
      </c>
      <c r="C608" s="4" t="str">
        <f>Sheet3!C608</f>
        <v/>
      </c>
    </row>
    <row r="609">
      <c r="A609" s="4" t="str">
        <f>"+"&amp;Sheet3!D609</f>
        <v>+</v>
      </c>
      <c r="B609" s="4" t="str">
        <f>Sheet3!B609</f>
        <v/>
      </c>
      <c r="C609" s="4" t="str">
        <f>Sheet3!C609</f>
        <v/>
      </c>
    </row>
    <row r="610">
      <c r="A610" s="4" t="str">
        <f>"+"&amp;Sheet3!D610</f>
        <v>+</v>
      </c>
      <c r="B610" s="4" t="str">
        <f>Sheet3!B610</f>
        <v/>
      </c>
      <c r="C610" s="4" t="str">
        <f>Sheet3!C610</f>
        <v/>
      </c>
    </row>
    <row r="611">
      <c r="A611" s="4" t="str">
        <f>"+"&amp;Sheet3!D611</f>
        <v>+</v>
      </c>
      <c r="B611" s="4" t="str">
        <f>Sheet3!B611</f>
        <v/>
      </c>
      <c r="C611" s="4" t="str">
        <f>Sheet3!C611</f>
        <v/>
      </c>
    </row>
    <row r="612">
      <c r="A612" s="4" t="str">
        <f>"+"&amp;Sheet3!D612</f>
        <v>+</v>
      </c>
      <c r="B612" s="4" t="str">
        <f>Sheet3!B612</f>
        <v/>
      </c>
      <c r="C612" s="4" t="str">
        <f>Sheet3!C612</f>
        <v/>
      </c>
    </row>
    <row r="613">
      <c r="A613" s="4" t="str">
        <f>"+"&amp;Sheet3!D613</f>
        <v>+</v>
      </c>
      <c r="B613" s="4" t="str">
        <f>Sheet3!B613</f>
        <v/>
      </c>
      <c r="C613" s="4" t="str">
        <f>Sheet3!C613</f>
        <v/>
      </c>
    </row>
    <row r="614">
      <c r="A614" s="4" t="str">
        <f>"+"&amp;Sheet3!D614</f>
        <v>+</v>
      </c>
      <c r="B614" s="4" t="str">
        <f>Sheet3!B614</f>
        <v/>
      </c>
      <c r="C614" s="4" t="str">
        <f>Sheet3!C614</f>
        <v/>
      </c>
    </row>
    <row r="615">
      <c r="A615" s="4" t="str">
        <f>"+"&amp;Sheet3!D615</f>
        <v>+</v>
      </c>
      <c r="B615" s="4" t="str">
        <f>Sheet3!B615</f>
        <v/>
      </c>
      <c r="C615" s="4" t="str">
        <f>Sheet3!C615</f>
        <v/>
      </c>
    </row>
    <row r="616">
      <c r="A616" s="4" t="str">
        <f>"+"&amp;Sheet3!D616</f>
        <v>+</v>
      </c>
      <c r="B616" s="4" t="str">
        <f>Sheet3!B616</f>
        <v/>
      </c>
      <c r="C616" s="4" t="str">
        <f>Sheet3!C616</f>
        <v/>
      </c>
    </row>
    <row r="617">
      <c r="A617" s="4" t="str">
        <f>"+"&amp;Sheet3!D617</f>
        <v>+</v>
      </c>
      <c r="B617" s="4" t="str">
        <f>Sheet3!B617</f>
        <v/>
      </c>
      <c r="C617" s="4" t="str">
        <f>Sheet3!C617</f>
        <v/>
      </c>
    </row>
    <row r="618">
      <c r="A618" s="4" t="str">
        <f>"+"&amp;Sheet3!D618</f>
        <v>+</v>
      </c>
      <c r="B618" s="4" t="str">
        <f>Sheet3!B618</f>
        <v/>
      </c>
      <c r="C618" s="4" t="str">
        <f>Sheet3!C618</f>
        <v/>
      </c>
    </row>
    <row r="619">
      <c r="A619" s="4" t="str">
        <f>"+"&amp;Sheet3!D619</f>
        <v>+</v>
      </c>
      <c r="B619" s="4" t="str">
        <f>Sheet3!B619</f>
        <v/>
      </c>
      <c r="C619" s="4" t="str">
        <f>Sheet3!C619</f>
        <v/>
      </c>
    </row>
    <row r="620">
      <c r="A620" s="4" t="str">
        <f>"+"&amp;Sheet3!D620</f>
        <v>+</v>
      </c>
      <c r="B620" s="4" t="str">
        <f>Sheet3!B620</f>
        <v/>
      </c>
      <c r="C620" s="4" t="str">
        <f>Sheet3!C620</f>
        <v/>
      </c>
    </row>
    <row r="621">
      <c r="A621" s="4" t="str">
        <f>"+"&amp;Sheet3!D621</f>
        <v>+</v>
      </c>
      <c r="B621" s="4" t="str">
        <f>Sheet3!B621</f>
        <v/>
      </c>
      <c r="C621" s="4" t="str">
        <f>Sheet3!C621</f>
        <v/>
      </c>
    </row>
    <row r="622">
      <c r="A622" s="4" t="str">
        <f>"+"&amp;Sheet3!D622</f>
        <v>+</v>
      </c>
      <c r="B622" s="4" t="str">
        <f>Sheet3!B622</f>
        <v/>
      </c>
      <c r="C622" s="4" t="str">
        <f>Sheet3!C622</f>
        <v/>
      </c>
    </row>
    <row r="623">
      <c r="A623" s="4" t="str">
        <f>"+"&amp;Sheet3!D623</f>
        <v>+</v>
      </c>
      <c r="B623" s="4" t="str">
        <f>Sheet3!B623</f>
        <v/>
      </c>
      <c r="C623" s="4" t="str">
        <f>Sheet3!C623</f>
        <v/>
      </c>
    </row>
    <row r="624">
      <c r="A624" s="4" t="str">
        <f>"+"&amp;Sheet3!D624</f>
        <v>+</v>
      </c>
      <c r="B624" s="4" t="str">
        <f>Sheet3!B624</f>
        <v/>
      </c>
      <c r="C624" s="4" t="str">
        <f>Sheet3!C624</f>
        <v/>
      </c>
    </row>
    <row r="625">
      <c r="A625" s="4" t="str">
        <f>"+"&amp;Sheet3!D625</f>
        <v>+</v>
      </c>
      <c r="B625" s="4" t="str">
        <f>Sheet3!B625</f>
        <v/>
      </c>
      <c r="C625" s="4" t="str">
        <f>Sheet3!C625</f>
        <v/>
      </c>
    </row>
    <row r="626">
      <c r="A626" s="4" t="str">
        <f>"+"&amp;Sheet3!D626</f>
        <v>+</v>
      </c>
      <c r="B626" s="4" t="str">
        <f>Sheet3!B626</f>
        <v/>
      </c>
      <c r="C626" s="4" t="str">
        <f>Sheet3!C626</f>
        <v/>
      </c>
    </row>
    <row r="627">
      <c r="A627" s="4" t="str">
        <f>"+"&amp;Sheet3!D627</f>
        <v>+</v>
      </c>
      <c r="B627" s="4" t="str">
        <f>Sheet3!B627</f>
        <v/>
      </c>
      <c r="C627" s="4" t="str">
        <f>Sheet3!C627</f>
        <v/>
      </c>
    </row>
    <row r="628">
      <c r="A628" s="4" t="str">
        <f>"+"&amp;Sheet3!D628</f>
        <v>+</v>
      </c>
      <c r="B628" s="4" t="str">
        <f>Sheet3!B628</f>
        <v/>
      </c>
      <c r="C628" s="4" t="str">
        <f>Sheet3!C628</f>
        <v/>
      </c>
    </row>
    <row r="629">
      <c r="A629" s="4" t="str">
        <f>"+"&amp;Sheet3!D629</f>
        <v>+</v>
      </c>
      <c r="B629" s="4" t="str">
        <f>Sheet3!B629</f>
        <v/>
      </c>
      <c r="C629" s="4" t="str">
        <f>Sheet3!C629</f>
        <v/>
      </c>
    </row>
    <row r="630">
      <c r="A630" s="4" t="str">
        <f>"+"&amp;Sheet3!D630</f>
        <v>+</v>
      </c>
      <c r="B630" s="4" t="str">
        <f>Sheet3!B630</f>
        <v/>
      </c>
      <c r="C630" s="4" t="str">
        <f>Sheet3!C630</f>
        <v/>
      </c>
    </row>
    <row r="631">
      <c r="A631" s="4" t="str">
        <f>"+"&amp;Sheet3!D631</f>
        <v>+</v>
      </c>
      <c r="B631" s="4" t="str">
        <f>Sheet3!B631</f>
        <v/>
      </c>
      <c r="C631" s="4" t="str">
        <f>Sheet3!C631</f>
        <v/>
      </c>
    </row>
    <row r="632">
      <c r="A632" s="4" t="str">
        <f>"+"&amp;Sheet3!D632</f>
        <v>+</v>
      </c>
      <c r="B632" s="4" t="str">
        <f>Sheet3!B632</f>
        <v/>
      </c>
      <c r="C632" s="4" t="str">
        <f>Sheet3!C632</f>
        <v/>
      </c>
    </row>
    <row r="633">
      <c r="A633" s="4" t="str">
        <f>"+"&amp;Sheet3!D633</f>
        <v>+</v>
      </c>
      <c r="B633" s="4" t="str">
        <f>Sheet3!B633</f>
        <v/>
      </c>
      <c r="C633" s="4" t="str">
        <f>Sheet3!C633</f>
        <v/>
      </c>
    </row>
    <row r="634">
      <c r="A634" s="4" t="str">
        <f>"+"&amp;Sheet3!D634</f>
        <v>+</v>
      </c>
      <c r="B634" s="4" t="str">
        <f>Sheet3!B634</f>
        <v/>
      </c>
      <c r="C634" s="4" t="str">
        <f>Sheet3!C634</f>
        <v/>
      </c>
    </row>
    <row r="635">
      <c r="A635" s="4" t="str">
        <f>"+"&amp;Sheet3!D635</f>
        <v>+</v>
      </c>
      <c r="B635" s="4" t="str">
        <f>Sheet3!B635</f>
        <v/>
      </c>
      <c r="C635" s="4" t="str">
        <f>Sheet3!C635</f>
        <v/>
      </c>
    </row>
    <row r="636">
      <c r="A636" s="4" t="str">
        <f>"+"&amp;Sheet3!D636</f>
        <v>+</v>
      </c>
      <c r="B636" s="4" t="str">
        <f>Sheet3!B636</f>
        <v/>
      </c>
      <c r="C636" s="4" t="str">
        <f>Sheet3!C636</f>
        <v/>
      </c>
    </row>
    <row r="637">
      <c r="A637" s="4" t="str">
        <f>"+"&amp;Sheet3!D637</f>
        <v>+</v>
      </c>
      <c r="B637" s="4" t="str">
        <f>Sheet3!B637</f>
        <v/>
      </c>
      <c r="C637" s="4" t="str">
        <f>Sheet3!C637</f>
        <v/>
      </c>
    </row>
    <row r="638">
      <c r="A638" s="4" t="str">
        <f>"+"&amp;Sheet3!D638</f>
        <v>+</v>
      </c>
      <c r="B638" s="4" t="str">
        <f>Sheet3!B638</f>
        <v/>
      </c>
      <c r="C638" s="4" t="str">
        <f>Sheet3!C638</f>
        <v/>
      </c>
    </row>
    <row r="639">
      <c r="A639" s="4" t="str">
        <f>"+"&amp;Sheet3!D639</f>
        <v>+</v>
      </c>
      <c r="B639" s="4" t="str">
        <f>Sheet3!B639</f>
        <v/>
      </c>
      <c r="C639" s="4" t="str">
        <f>Sheet3!C639</f>
        <v/>
      </c>
    </row>
    <row r="640">
      <c r="A640" s="4" t="str">
        <f>"+"&amp;Sheet3!D640</f>
        <v>+</v>
      </c>
      <c r="B640" s="4" t="str">
        <f>Sheet3!B640</f>
        <v/>
      </c>
      <c r="C640" s="4" t="str">
        <f>Sheet3!C640</f>
        <v/>
      </c>
    </row>
    <row r="641">
      <c r="A641" s="4" t="str">
        <f>"+"&amp;Sheet3!D641</f>
        <v>+</v>
      </c>
      <c r="B641" s="4" t="str">
        <f>Sheet3!B641</f>
        <v/>
      </c>
      <c r="C641" s="4" t="str">
        <f>Sheet3!C641</f>
        <v/>
      </c>
    </row>
    <row r="642">
      <c r="A642" s="4" t="str">
        <f>"+"&amp;Sheet3!D642</f>
        <v>+</v>
      </c>
      <c r="B642" s="4" t="str">
        <f>Sheet3!B642</f>
        <v/>
      </c>
      <c r="C642" s="4" t="str">
        <f>Sheet3!C642</f>
        <v/>
      </c>
    </row>
    <row r="643">
      <c r="A643" s="4" t="str">
        <f>"+"&amp;Sheet3!D643</f>
        <v>+</v>
      </c>
      <c r="B643" s="4" t="str">
        <f>Sheet3!B643</f>
        <v/>
      </c>
      <c r="C643" s="4" t="str">
        <f>Sheet3!C643</f>
        <v/>
      </c>
    </row>
    <row r="644">
      <c r="A644" s="4" t="str">
        <f>"+"&amp;Sheet3!D644</f>
        <v>+</v>
      </c>
      <c r="B644" s="4" t="str">
        <f>Sheet3!B644</f>
        <v/>
      </c>
      <c r="C644" s="4" t="str">
        <f>Sheet3!C644</f>
        <v/>
      </c>
    </row>
    <row r="645">
      <c r="A645" s="4" t="str">
        <f>"+"&amp;Sheet3!D645</f>
        <v>+</v>
      </c>
      <c r="B645" s="4" t="str">
        <f>Sheet3!B645</f>
        <v/>
      </c>
      <c r="C645" s="4" t="str">
        <f>Sheet3!C645</f>
        <v/>
      </c>
    </row>
    <row r="646">
      <c r="A646" s="4" t="str">
        <f>"+"&amp;Sheet3!D646</f>
        <v>+</v>
      </c>
      <c r="B646" s="4" t="str">
        <f>Sheet3!B646</f>
        <v/>
      </c>
      <c r="C646" s="4" t="str">
        <f>Sheet3!C646</f>
        <v/>
      </c>
    </row>
    <row r="647">
      <c r="A647" s="4" t="str">
        <f>"+"&amp;Sheet3!D647</f>
        <v>+</v>
      </c>
      <c r="B647" s="4" t="str">
        <f>Sheet3!B647</f>
        <v/>
      </c>
      <c r="C647" s="4" t="str">
        <f>Sheet3!C647</f>
        <v/>
      </c>
    </row>
    <row r="648">
      <c r="A648" s="4" t="str">
        <f>"+"&amp;Sheet3!D648</f>
        <v>+</v>
      </c>
      <c r="B648" s="4" t="str">
        <f>Sheet3!B648</f>
        <v/>
      </c>
      <c r="C648" s="4" t="str">
        <f>Sheet3!C648</f>
        <v/>
      </c>
    </row>
    <row r="649">
      <c r="A649" s="4" t="str">
        <f>"+"&amp;Sheet3!D649</f>
        <v>+</v>
      </c>
      <c r="B649" s="4" t="str">
        <f>Sheet3!B649</f>
        <v/>
      </c>
      <c r="C649" s="4" t="str">
        <f>Sheet3!C649</f>
        <v/>
      </c>
    </row>
    <row r="650">
      <c r="A650" s="4" t="str">
        <f>"+"&amp;Sheet3!D650</f>
        <v>+</v>
      </c>
      <c r="B650" s="4" t="str">
        <f>Sheet3!B650</f>
        <v/>
      </c>
      <c r="C650" s="4" t="str">
        <f>Sheet3!C650</f>
        <v/>
      </c>
    </row>
    <row r="651">
      <c r="A651" s="4" t="str">
        <f>"+"&amp;Sheet3!D651</f>
        <v>+</v>
      </c>
      <c r="B651" s="4" t="str">
        <f>Sheet3!B651</f>
        <v/>
      </c>
      <c r="C651" s="4" t="str">
        <f>Sheet3!C651</f>
        <v/>
      </c>
    </row>
    <row r="652">
      <c r="A652" s="4" t="str">
        <f>"+"&amp;Sheet3!D652</f>
        <v>+</v>
      </c>
      <c r="B652" s="4" t="str">
        <f>Sheet3!B652</f>
        <v/>
      </c>
      <c r="C652" s="4" t="str">
        <f>Sheet3!C652</f>
        <v/>
      </c>
    </row>
    <row r="653">
      <c r="A653" s="4" t="str">
        <f>"+"&amp;Sheet3!D653</f>
        <v>+</v>
      </c>
      <c r="B653" s="4" t="str">
        <f>Sheet3!B653</f>
        <v/>
      </c>
      <c r="C653" s="4" t="str">
        <f>Sheet3!C653</f>
        <v/>
      </c>
    </row>
    <row r="654">
      <c r="A654" s="4" t="str">
        <f>"+"&amp;Sheet3!D654</f>
        <v>+</v>
      </c>
      <c r="B654" s="4" t="str">
        <f>Sheet3!B654</f>
        <v/>
      </c>
      <c r="C654" s="4" t="str">
        <f>Sheet3!C654</f>
        <v/>
      </c>
    </row>
    <row r="655">
      <c r="A655" s="4" t="str">
        <f>"+"&amp;Sheet3!D655</f>
        <v>+</v>
      </c>
      <c r="B655" s="4" t="str">
        <f>Sheet3!B655</f>
        <v/>
      </c>
      <c r="C655" s="4" t="str">
        <f>Sheet3!C655</f>
        <v/>
      </c>
    </row>
    <row r="656">
      <c r="A656" s="4" t="str">
        <f>"+"&amp;Sheet3!D656</f>
        <v>+</v>
      </c>
      <c r="B656" s="4" t="str">
        <f>Sheet3!B656</f>
        <v/>
      </c>
      <c r="C656" s="4" t="str">
        <f>Sheet3!C656</f>
        <v/>
      </c>
    </row>
    <row r="657">
      <c r="A657" s="4" t="str">
        <f>"+"&amp;Sheet3!D657</f>
        <v>+</v>
      </c>
      <c r="B657" s="4" t="str">
        <f>Sheet3!B657</f>
        <v/>
      </c>
      <c r="C657" s="4" t="str">
        <f>Sheet3!C657</f>
        <v/>
      </c>
    </row>
    <row r="658">
      <c r="A658" s="4" t="str">
        <f>"+"&amp;Sheet3!D658</f>
        <v>+</v>
      </c>
      <c r="B658" s="4" t="str">
        <f>Sheet3!B658</f>
        <v/>
      </c>
      <c r="C658" s="4" t="str">
        <f>Sheet3!C658</f>
        <v/>
      </c>
    </row>
    <row r="659">
      <c r="A659" s="4" t="str">
        <f>"+"&amp;Sheet3!D659</f>
        <v>+</v>
      </c>
      <c r="B659" s="4" t="str">
        <f>Sheet3!B659</f>
        <v/>
      </c>
      <c r="C659" s="4" t="str">
        <f>Sheet3!C659</f>
        <v/>
      </c>
    </row>
    <row r="660">
      <c r="A660" s="4" t="str">
        <f>"+"&amp;Sheet3!D660</f>
        <v>+</v>
      </c>
      <c r="B660" s="4" t="str">
        <f>Sheet3!B660</f>
        <v/>
      </c>
      <c r="C660" s="4" t="str">
        <f>Sheet3!C660</f>
        <v/>
      </c>
    </row>
    <row r="661">
      <c r="A661" s="4" t="str">
        <f>"+"&amp;Sheet3!D661</f>
        <v>+</v>
      </c>
      <c r="B661" s="4" t="str">
        <f>Sheet3!B661</f>
        <v/>
      </c>
      <c r="C661" s="4" t="str">
        <f>Sheet3!C661</f>
        <v/>
      </c>
    </row>
    <row r="662">
      <c r="A662" s="4" t="str">
        <f>"+"&amp;Sheet3!D662</f>
        <v>+</v>
      </c>
      <c r="B662" s="4" t="str">
        <f>Sheet3!B662</f>
        <v/>
      </c>
      <c r="C662" s="4" t="str">
        <f>Sheet3!C662</f>
        <v/>
      </c>
    </row>
    <row r="663">
      <c r="A663" s="4" t="str">
        <f>"+"&amp;Sheet3!D663</f>
        <v>+</v>
      </c>
      <c r="B663" s="4" t="str">
        <f>Sheet3!B663</f>
        <v/>
      </c>
      <c r="C663" s="4" t="str">
        <f>Sheet3!C663</f>
        <v/>
      </c>
    </row>
    <row r="664">
      <c r="A664" s="4" t="str">
        <f>"+"&amp;Sheet3!D664</f>
        <v>+</v>
      </c>
      <c r="B664" s="4" t="str">
        <f>Sheet3!B664</f>
        <v/>
      </c>
      <c r="C664" s="4" t="str">
        <f>Sheet3!C664</f>
        <v/>
      </c>
    </row>
    <row r="665">
      <c r="A665" s="4" t="str">
        <f>"+"&amp;Sheet3!D665</f>
        <v>+</v>
      </c>
      <c r="B665" s="4" t="str">
        <f>Sheet3!B665</f>
        <v/>
      </c>
      <c r="C665" s="4" t="str">
        <f>Sheet3!C665</f>
        <v/>
      </c>
    </row>
    <row r="666">
      <c r="A666" s="4" t="str">
        <f>"+"&amp;Sheet3!D666</f>
        <v>+</v>
      </c>
      <c r="B666" s="4" t="str">
        <f>Sheet3!B666</f>
        <v/>
      </c>
      <c r="C666" s="4" t="str">
        <f>Sheet3!C666</f>
        <v/>
      </c>
    </row>
    <row r="667">
      <c r="A667" s="4" t="str">
        <f>"+"&amp;Sheet3!D667</f>
        <v>+</v>
      </c>
      <c r="B667" s="4" t="str">
        <f>Sheet3!B667</f>
        <v/>
      </c>
      <c r="C667" s="4" t="str">
        <f>Sheet3!C667</f>
        <v/>
      </c>
    </row>
    <row r="668">
      <c r="A668" s="4" t="str">
        <f>"+"&amp;Sheet3!D668</f>
        <v>+</v>
      </c>
      <c r="B668" s="4" t="str">
        <f>Sheet3!B668</f>
        <v/>
      </c>
      <c r="C668" s="4" t="str">
        <f>Sheet3!C668</f>
        <v/>
      </c>
    </row>
    <row r="669">
      <c r="A669" s="4" t="str">
        <f>"+"&amp;Sheet3!D669</f>
        <v>+</v>
      </c>
      <c r="B669" s="4" t="str">
        <f>Sheet3!B669</f>
        <v/>
      </c>
      <c r="C669" s="4" t="str">
        <f>Sheet3!C669</f>
        <v/>
      </c>
    </row>
    <row r="670">
      <c r="A670" s="4" t="str">
        <f>"+"&amp;Sheet3!D670</f>
        <v>+</v>
      </c>
      <c r="B670" s="4" t="str">
        <f>Sheet3!B670</f>
        <v/>
      </c>
      <c r="C670" s="4" t="str">
        <f>Sheet3!C670</f>
        <v/>
      </c>
    </row>
    <row r="671">
      <c r="A671" s="4" t="str">
        <f>"+"&amp;Sheet3!D671</f>
        <v>+</v>
      </c>
      <c r="B671" s="4" t="str">
        <f>Sheet3!B671</f>
        <v/>
      </c>
      <c r="C671" s="4" t="str">
        <f>Sheet3!C671</f>
        <v/>
      </c>
    </row>
    <row r="672">
      <c r="A672" s="4" t="str">
        <f>"+"&amp;Sheet3!D672</f>
        <v>+</v>
      </c>
      <c r="B672" s="4" t="str">
        <f>Sheet3!B672</f>
        <v/>
      </c>
      <c r="C672" s="4" t="str">
        <f>Sheet3!C672</f>
        <v/>
      </c>
    </row>
    <row r="673">
      <c r="A673" s="4" t="str">
        <f>"+"&amp;Sheet3!D673</f>
        <v>+</v>
      </c>
      <c r="B673" s="4" t="str">
        <f>Sheet3!B673</f>
        <v/>
      </c>
      <c r="C673" s="4" t="str">
        <f>Sheet3!C673</f>
        <v/>
      </c>
    </row>
    <row r="674">
      <c r="A674" s="4" t="str">
        <f>"+"&amp;Sheet3!D674</f>
        <v>+</v>
      </c>
      <c r="B674" s="4" t="str">
        <f>Sheet3!B674</f>
        <v/>
      </c>
      <c r="C674" s="4" t="str">
        <f>Sheet3!C674</f>
        <v/>
      </c>
    </row>
    <row r="675">
      <c r="A675" s="4" t="str">
        <f>"+"&amp;Sheet3!D675</f>
        <v>+</v>
      </c>
      <c r="B675" s="4" t="str">
        <f>Sheet3!B675</f>
        <v/>
      </c>
      <c r="C675" s="4" t="str">
        <f>Sheet3!C675</f>
        <v/>
      </c>
    </row>
    <row r="676">
      <c r="A676" s="4" t="str">
        <f>"+"&amp;Sheet3!D676</f>
        <v>+</v>
      </c>
      <c r="B676" s="4" t="str">
        <f>Sheet3!B676</f>
        <v/>
      </c>
      <c r="C676" s="4" t="str">
        <f>Sheet3!C676</f>
        <v/>
      </c>
    </row>
    <row r="677">
      <c r="A677" s="4" t="str">
        <f>"+"&amp;Sheet3!D677</f>
        <v>+</v>
      </c>
      <c r="B677" s="4" t="str">
        <f>Sheet3!B677</f>
        <v/>
      </c>
      <c r="C677" s="4" t="str">
        <f>Sheet3!C677</f>
        <v/>
      </c>
    </row>
    <row r="678">
      <c r="A678" s="4" t="str">
        <f>"+"&amp;Sheet3!D678</f>
        <v>+</v>
      </c>
      <c r="B678" s="4" t="str">
        <f>Sheet3!B678</f>
        <v/>
      </c>
      <c r="C678" s="4" t="str">
        <f>Sheet3!C678</f>
        <v/>
      </c>
    </row>
    <row r="679">
      <c r="A679" s="4" t="str">
        <f>"+"&amp;Sheet3!D679</f>
        <v>+</v>
      </c>
      <c r="B679" s="4" t="str">
        <f>Sheet3!B679</f>
        <v/>
      </c>
      <c r="C679" s="4" t="str">
        <f>Sheet3!C679</f>
        <v/>
      </c>
    </row>
    <row r="680">
      <c r="A680" s="4" t="str">
        <f>"+"&amp;Sheet3!D680</f>
        <v>+</v>
      </c>
      <c r="B680" s="4" t="str">
        <f>Sheet3!B680</f>
        <v/>
      </c>
      <c r="C680" s="4" t="str">
        <f>Sheet3!C680</f>
        <v/>
      </c>
    </row>
    <row r="681">
      <c r="A681" s="4" t="str">
        <f>"+"&amp;Sheet3!D681</f>
        <v>+</v>
      </c>
      <c r="B681" s="4" t="str">
        <f>Sheet3!B681</f>
        <v/>
      </c>
      <c r="C681" s="4" t="str">
        <f>Sheet3!C681</f>
        <v/>
      </c>
    </row>
    <row r="682">
      <c r="A682" s="4" t="str">
        <f>"+"&amp;Sheet3!D682</f>
        <v>+</v>
      </c>
      <c r="B682" s="4" t="str">
        <f>Sheet3!B682</f>
        <v/>
      </c>
      <c r="C682" s="4" t="str">
        <f>Sheet3!C682</f>
        <v/>
      </c>
    </row>
    <row r="683">
      <c r="A683" s="4" t="str">
        <f>"+"&amp;Sheet3!D683</f>
        <v>+</v>
      </c>
      <c r="B683" s="4" t="str">
        <f>Sheet3!B683</f>
        <v/>
      </c>
      <c r="C683" s="4" t="str">
        <f>Sheet3!C683</f>
        <v/>
      </c>
    </row>
    <row r="684">
      <c r="A684" s="4" t="str">
        <f>"+"&amp;Sheet3!D684</f>
        <v>+</v>
      </c>
      <c r="B684" s="4" t="str">
        <f>Sheet3!B684</f>
        <v/>
      </c>
      <c r="C684" s="4" t="str">
        <f>Sheet3!C684</f>
        <v/>
      </c>
    </row>
    <row r="685">
      <c r="A685" s="4" t="str">
        <f>"+"&amp;Sheet3!D685</f>
        <v>+</v>
      </c>
      <c r="B685" s="4" t="str">
        <f>Sheet3!B685</f>
        <v/>
      </c>
      <c r="C685" s="4" t="str">
        <f>Sheet3!C685</f>
        <v/>
      </c>
    </row>
    <row r="686">
      <c r="A686" s="4" t="str">
        <f>"+"&amp;Sheet3!D686</f>
        <v>+</v>
      </c>
      <c r="B686" s="4" t="str">
        <f>Sheet3!B686</f>
        <v/>
      </c>
      <c r="C686" s="4" t="str">
        <f>Sheet3!C686</f>
        <v/>
      </c>
    </row>
    <row r="687">
      <c r="A687" s="4" t="str">
        <f>"+"&amp;Sheet3!D687</f>
        <v>+</v>
      </c>
      <c r="B687" s="4" t="str">
        <f>Sheet3!B687</f>
        <v/>
      </c>
      <c r="C687" s="4" t="str">
        <f>Sheet3!C687</f>
        <v/>
      </c>
    </row>
    <row r="688">
      <c r="A688" s="4" t="str">
        <f>"+"&amp;Sheet3!D688</f>
        <v>+</v>
      </c>
      <c r="B688" s="4" t="str">
        <f>Sheet3!B688</f>
        <v/>
      </c>
      <c r="C688" s="4" t="str">
        <f>Sheet3!C688</f>
        <v/>
      </c>
    </row>
    <row r="689">
      <c r="A689" s="4" t="str">
        <f>"+"&amp;Sheet3!D689</f>
        <v>+</v>
      </c>
      <c r="B689" s="4" t="str">
        <f>Sheet3!B689</f>
        <v/>
      </c>
      <c r="C689" s="4" t="str">
        <f>Sheet3!C689</f>
        <v/>
      </c>
    </row>
    <row r="690">
      <c r="A690" s="4" t="str">
        <f>"+"&amp;Sheet3!D690</f>
        <v>+</v>
      </c>
      <c r="B690" s="4" t="str">
        <f>Sheet3!B690</f>
        <v/>
      </c>
      <c r="C690" s="4" t="str">
        <f>Sheet3!C690</f>
        <v/>
      </c>
    </row>
    <row r="691">
      <c r="A691" s="4" t="str">
        <f>"+"&amp;Sheet3!D691</f>
        <v>+</v>
      </c>
      <c r="B691" s="4" t="str">
        <f>Sheet3!B691</f>
        <v/>
      </c>
      <c r="C691" s="4" t="str">
        <f>Sheet3!C691</f>
        <v/>
      </c>
    </row>
    <row r="692">
      <c r="A692" s="4" t="str">
        <f>"+"&amp;Sheet3!D692</f>
        <v>+</v>
      </c>
      <c r="B692" s="4" t="str">
        <f>Sheet3!B692</f>
        <v/>
      </c>
      <c r="C692" s="4" t="str">
        <f>Sheet3!C692</f>
        <v/>
      </c>
    </row>
    <row r="693">
      <c r="A693" s="4" t="str">
        <f>"+"&amp;Sheet3!D693</f>
        <v>+</v>
      </c>
      <c r="B693" s="4" t="str">
        <f>Sheet3!B693</f>
        <v/>
      </c>
      <c r="C693" s="4" t="str">
        <f>Sheet3!C693</f>
        <v/>
      </c>
    </row>
    <row r="694">
      <c r="A694" s="4" t="str">
        <f>"+"&amp;Sheet3!D694</f>
        <v>+</v>
      </c>
      <c r="B694" s="4" t="str">
        <f>Sheet3!B694</f>
        <v/>
      </c>
      <c r="C694" s="4" t="str">
        <f>Sheet3!C694</f>
        <v/>
      </c>
    </row>
    <row r="695">
      <c r="A695" s="4" t="str">
        <f>"+"&amp;Sheet3!D695</f>
        <v>+</v>
      </c>
      <c r="B695" s="4" t="str">
        <f>Sheet3!B695</f>
        <v/>
      </c>
      <c r="C695" s="4" t="str">
        <f>Sheet3!C695</f>
        <v/>
      </c>
    </row>
    <row r="696">
      <c r="A696" s="4" t="str">
        <f>"+"&amp;Sheet3!D696</f>
        <v>+</v>
      </c>
      <c r="B696" s="4" t="str">
        <f>Sheet3!B696</f>
        <v/>
      </c>
      <c r="C696" s="4" t="str">
        <f>Sheet3!C696</f>
        <v/>
      </c>
    </row>
    <row r="697">
      <c r="A697" s="4" t="str">
        <f>"+"&amp;Sheet3!D697</f>
        <v>+</v>
      </c>
      <c r="B697" s="4" t="str">
        <f>Sheet3!B697</f>
        <v/>
      </c>
      <c r="C697" s="4" t="str">
        <f>Sheet3!C697</f>
        <v/>
      </c>
    </row>
    <row r="698">
      <c r="A698" s="4" t="str">
        <f>"+"&amp;Sheet3!D698</f>
        <v>+</v>
      </c>
      <c r="B698" s="4" t="str">
        <f>Sheet3!B698</f>
        <v/>
      </c>
      <c r="C698" s="4" t="str">
        <f>Sheet3!C698</f>
        <v/>
      </c>
    </row>
    <row r="699">
      <c r="A699" s="4" t="str">
        <f>"+"&amp;Sheet3!D699</f>
        <v>+</v>
      </c>
      <c r="B699" s="4" t="str">
        <f>Sheet3!B699</f>
        <v/>
      </c>
      <c r="C699" s="4" t="str">
        <f>Sheet3!C699</f>
        <v/>
      </c>
    </row>
    <row r="700">
      <c r="A700" s="4" t="str">
        <f>"+"&amp;Sheet3!D700</f>
        <v>+</v>
      </c>
      <c r="B700" s="4" t="str">
        <f>Sheet3!B700</f>
        <v/>
      </c>
      <c r="C700" s="4" t="str">
        <f>Sheet3!C700</f>
        <v/>
      </c>
    </row>
    <row r="701">
      <c r="A701" s="4" t="str">
        <f>"+"&amp;Sheet3!D701</f>
        <v>+</v>
      </c>
      <c r="B701" s="4" t="str">
        <f>Sheet3!B701</f>
        <v/>
      </c>
      <c r="C701" s="4" t="str">
        <f>Sheet3!C701</f>
        <v/>
      </c>
    </row>
    <row r="702">
      <c r="A702" s="4" t="str">
        <f>"+"&amp;Sheet3!D702</f>
        <v>+</v>
      </c>
      <c r="B702" s="4" t="str">
        <f>Sheet3!B702</f>
        <v/>
      </c>
      <c r="C702" s="4" t="str">
        <f>Sheet3!C702</f>
        <v/>
      </c>
    </row>
    <row r="703">
      <c r="A703" s="4" t="str">
        <f>"+"&amp;Sheet3!D703</f>
        <v>+</v>
      </c>
      <c r="B703" s="4" t="str">
        <f>Sheet3!B703</f>
        <v/>
      </c>
      <c r="C703" s="4" t="str">
        <f>Sheet3!C703</f>
        <v/>
      </c>
    </row>
    <row r="704">
      <c r="A704" s="4" t="str">
        <f>"+"&amp;Sheet3!D704</f>
        <v>+</v>
      </c>
      <c r="B704" s="4" t="str">
        <f>Sheet3!B704</f>
        <v/>
      </c>
      <c r="C704" s="4" t="str">
        <f>Sheet3!C704</f>
        <v/>
      </c>
    </row>
    <row r="705">
      <c r="A705" s="4" t="str">
        <f>"+"&amp;Sheet3!D705</f>
        <v>+</v>
      </c>
      <c r="B705" s="4" t="str">
        <f>Sheet3!B705</f>
        <v/>
      </c>
      <c r="C705" s="4" t="str">
        <f>Sheet3!C705</f>
        <v/>
      </c>
    </row>
    <row r="706">
      <c r="A706" s="4" t="str">
        <f>"+"&amp;Sheet3!D706</f>
        <v>+</v>
      </c>
      <c r="B706" s="4" t="str">
        <f>Sheet3!B706</f>
        <v/>
      </c>
      <c r="C706" s="4" t="str">
        <f>Sheet3!C706</f>
        <v/>
      </c>
    </row>
    <row r="707">
      <c r="A707" s="4" t="str">
        <f>"+"&amp;Sheet3!D707</f>
        <v>+</v>
      </c>
      <c r="B707" s="4" t="str">
        <f>Sheet3!B707</f>
        <v/>
      </c>
      <c r="C707" s="4" t="str">
        <f>Sheet3!C707</f>
        <v/>
      </c>
    </row>
    <row r="708">
      <c r="A708" s="4" t="str">
        <f>"+"&amp;Sheet3!D708</f>
        <v>+</v>
      </c>
      <c r="B708" s="4" t="str">
        <f>Sheet3!B708</f>
        <v/>
      </c>
      <c r="C708" s="4" t="str">
        <f>Sheet3!C708</f>
        <v/>
      </c>
    </row>
    <row r="709">
      <c r="A709" s="4" t="str">
        <f>"+"&amp;Sheet3!D709</f>
        <v>+</v>
      </c>
      <c r="B709" s="4" t="str">
        <f>Sheet3!B709</f>
        <v/>
      </c>
      <c r="C709" s="4" t="str">
        <f>Sheet3!C709</f>
        <v/>
      </c>
    </row>
    <row r="710">
      <c r="A710" s="4" t="str">
        <f>"+"&amp;Sheet3!D710</f>
        <v>+</v>
      </c>
      <c r="B710" s="4" t="str">
        <f>Sheet3!B710</f>
        <v/>
      </c>
      <c r="C710" s="4" t="str">
        <f>Sheet3!C710</f>
        <v/>
      </c>
    </row>
    <row r="711">
      <c r="A711" s="4" t="str">
        <f>"+"&amp;Sheet3!D711</f>
        <v>+</v>
      </c>
      <c r="B711" s="4" t="str">
        <f>Sheet3!B711</f>
        <v/>
      </c>
      <c r="C711" s="4" t="str">
        <f>Sheet3!C711</f>
        <v/>
      </c>
    </row>
    <row r="712">
      <c r="A712" s="4" t="str">
        <f>"+"&amp;Sheet3!D712</f>
        <v>+</v>
      </c>
      <c r="B712" s="4" t="str">
        <f>Sheet3!B712</f>
        <v/>
      </c>
      <c r="C712" s="4" t="str">
        <f>Sheet3!C712</f>
        <v/>
      </c>
    </row>
    <row r="713">
      <c r="A713" s="4" t="str">
        <f>"+"&amp;Sheet3!D713</f>
        <v>+</v>
      </c>
      <c r="B713" s="4" t="str">
        <f>Sheet3!B713</f>
        <v/>
      </c>
      <c r="C713" s="4" t="str">
        <f>Sheet3!C713</f>
        <v/>
      </c>
    </row>
    <row r="714">
      <c r="A714" s="4" t="str">
        <f>"+"&amp;Sheet3!D714</f>
        <v>+</v>
      </c>
      <c r="B714" s="4" t="str">
        <f>Sheet3!B714</f>
        <v/>
      </c>
      <c r="C714" s="4" t="str">
        <f>Sheet3!C714</f>
        <v/>
      </c>
    </row>
    <row r="715">
      <c r="A715" s="4" t="str">
        <f>"+"&amp;Sheet3!D715</f>
        <v>+</v>
      </c>
      <c r="B715" s="4" t="str">
        <f>Sheet3!B715</f>
        <v/>
      </c>
      <c r="C715" s="4" t="str">
        <f>Sheet3!C715</f>
        <v/>
      </c>
    </row>
    <row r="716">
      <c r="A716" s="4" t="str">
        <f>"+"&amp;Sheet3!D716</f>
        <v>+</v>
      </c>
      <c r="B716" s="4" t="str">
        <f>Sheet3!B716</f>
        <v/>
      </c>
      <c r="C716" s="4" t="str">
        <f>Sheet3!C716</f>
        <v/>
      </c>
    </row>
    <row r="717">
      <c r="A717" s="4" t="str">
        <f>"+"&amp;Sheet3!D717</f>
        <v>+</v>
      </c>
      <c r="B717" s="4" t="str">
        <f>Sheet3!B717</f>
        <v/>
      </c>
      <c r="C717" s="4" t="str">
        <f>Sheet3!C717</f>
        <v/>
      </c>
    </row>
    <row r="718">
      <c r="A718" s="4" t="str">
        <f>"+"&amp;Sheet3!D718</f>
        <v>+</v>
      </c>
      <c r="B718" s="4" t="str">
        <f>Sheet3!B718</f>
        <v/>
      </c>
      <c r="C718" s="4" t="str">
        <f>Sheet3!C718</f>
        <v/>
      </c>
    </row>
    <row r="719">
      <c r="A719" s="4" t="str">
        <f>"+"&amp;Sheet3!D719</f>
        <v>+</v>
      </c>
      <c r="B719" s="4" t="str">
        <f>Sheet3!B719</f>
        <v/>
      </c>
      <c r="C719" s="4" t="str">
        <f>Sheet3!C719</f>
        <v/>
      </c>
    </row>
    <row r="720">
      <c r="A720" s="4" t="str">
        <f>"+"&amp;Sheet3!D720</f>
        <v>+</v>
      </c>
      <c r="B720" s="4" t="str">
        <f>Sheet3!B720</f>
        <v/>
      </c>
      <c r="C720" s="4" t="str">
        <f>Sheet3!C720</f>
        <v/>
      </c>
    </row>
    <row r="721">
      <c r="A721" s="4" t="str">
        <f>"+"&amp;Sheet3!D721</f>
        <v>+</v>
      </c>
      <c r="B721" s="4" t="str">
        <f>Sheet3!B721</f>
        <v/>
      </c>
      <c r="C721" s="4" t="str">
        <f>Sheet3!C721</f>
        <v/>
      </c>
    </row>
    <row r="722">
      <c r="A722" s="4" t="str">
        <f>"+"&amp;Sheet3!D722</f>
        <v>+</v>
      </c>
      <c r="B722" s="4" t="str">
        <f>Sheet3!B722</f>
        <v/>
      </c>
      <c r="C722" s="4" t="str">
        <f>Sheet3!C722</f>
        <v/>
      </c>
    </row>
    <row r="723">
      <c r="A723" s="4" t="str">
        <f>"+"&amp;Sheet3!D723</f>
        <v>+</v>
      </c>
      <c r="B723" s="4" t="str">
        <f>Sheet3!B723</f>
        <v/>
      </c>
      <c r="C723" s="4" t="str">
        <f>Sheet3!C723</f>
        <v/>
      </c>
    </row>
    <row r="724">
      <c r="A724" s="4" t="str">
        <f>"+"&amp;Sheet3!D724</f>
        <v>+</v>
      </c>
      <c r="B724" s="4" t="str">
        <f>Sheet3!B724</f>
        <v/>
      </c>
      <c r="C724" s="4" t="str">
        <f>Sheet3!C724</f>
        <v/>
      </c>
    </row>
    <row r="725">
      <c r="A725" s="4" t="str">
        <f>"+"&amp;Sheet3!D725</f>
        <v>+</v>
      </c>
      <c r="B725" s="4" t="str">
        <f>Sheet3!B725</f>
        <v/>
      </c>
      <c r="C725" s="4" t="str">
        <f>Sheet3!C725</f>
        <v/>
      </c>
    </row>
    <row r="726">
      <c r="A726" s="4" t="str">
        <f>"+"&amp;Sheet3!D726</f>
        <v>+</v>
      </c>
      <c r="B726" s="4" t="str">
        <f>Sheet3!B726</f>
        <v/>
      </c>
      <c r="C726" s="4" t="str">
        <f>Sheet3!C726</f>
        <v/>
      </c>
    </row>
    <row r="727">
      <c r="A727" s="4" t="str">
        <f>"+"&amp;Sheet3!D727</f>
        <v>+</v>
      </c>
      <c r="B727" s="4" t="str">
        <f>Sheet3!B727</f>
        <v/>
      </c>
      <c r="C727" s="4" t="str">
        <f>Sheet3!C727</f>
        <v/>
      </c>
    </row>
    <row r="728">
      <c r="A728" s="4" t="str">
        <f>"+"&amp;Sheet3!D728</f>
        <v>+</v>
      </c>
      <c r="B728" s="4" t="str">
        <f>Sheet3!B728</f>
        <v/>
      </c>
      <c r="C728" s="4" t="str">
        <f>Sheet3!C728</f>
        <v/>
      </c>
    </row>
    <row r="729">
      <c r="A729" s="4" t="str">
        <f>"+"&amp;Sheet3!D729</f>
        <v>+</v>
      </c>
      <c r="B729" s="4" t="str">
        <f>Sheet3!B729</f>
        <v/>
      </c>
      <c r="C729" s="4" t="str">
        <f>Sheet3!C729</f>
        <v/>
      </c>
    </row>
    <row r="730">
      <c r="A730" s="4" t="str">
        <f>"+"&amp;Sheet3!D730</f>
        <v>+</v>
      </c>
      <c r="B730" s="4" t="str">
        <f>Sheet3!B730</f>
        <v/>
      </c>
      <c r="C730" s="4" t="str">
        <f>Sheet3!C730</f>
        <v/>
      </c>
    </row>
    <row r="731">
      <c r="A731" s="4" t="str">
        <f>"+"&amp;Sheet3!D731</f>
        <v>+</v>
      </c>
      <c r="B731" s="4" t="str">
        <f>Sheet3!B731</f>
        <v/>
      </c>
      <c r="C731" s="4" t="str">
        <f>Sheet3!C731</f>
        <v/>
      </c>
    </row>
    <row r="732">
      <c r="A732" s="4" t="str">
        <f>"+"&amp;Sheet3!D732</f>
        <v>+</v>
      </c>
      <c r="B732" s="4" t="str">
        <f>Sheet3!B732</f>
        <v/>
      </c>
      <c r="C732" s="4" t="str">
        <f>Sheet3!C732</f>
        <v/>
      </c>
    </row>
    <row r="733">
      <c r="A733" s="4" t="str">
        <f>"+"&amp;Sheet3!D733</f>
        <v>+</v>
      </c>
      <c r="B733" s="4" t="str">
        <f>Sheet3!B733</f>
        <v/>
      </c>
      <c r="C733" s="4" t="str">
        <f>Sheet3!C733</f>
        <v/>
      </c>
    </row>
    <row r="734">
      <c r="A734" s="4" t="str">
        <f>"+"&amp;Sheet3!D734</f>
        <v>+</v>
      </c>
      <c r="B734" s="4" t="str">
        <f>Sheet3!B734</f>
        <v/>
      </c>
      <c r="C734" s="4" t="str">
        <f>Sheet3!C734</f>
        <v/>
      </c>
    </row>
    <row r="735">
      <c r="A735" s="4" t="str">
        <f>"+"&amp;Sheet3!D735</f>
        <v>+</v>
      </c>
      <c r="B735" s="4" t="str">
        <f>Sheet3!B735</f>
        <v/>
      </c>
      <c r="C735" s="4" t="str">
        <f>Sheet3!C735</f>
        <v/>
      </c>
    </row>
    <row r="736">
      <c r="A736" s="4" t="str">
        <f>"+"&amp;Sheet3!D736</f>
        <v>+</v>
      </c>
      <c r="B736" s="4" t="str">
        <f>Sheet3!B736</f>
        <v/>
      </c>
      <c r="C736" s="4" t="str">
        <f>Sheet3!C736</f>
        <v/>
      </c>
    </row>
    <row r="737">
      <c r="A737" s="4" t="str">
        <f>"+"&amp;Sheet3!D737</f>
        <v>+</v>
      </c>
      <c r="B737" s="4" t="str">
        <f>Sheet3!B737</f>
        <v/>
      </c>
      <c r="C737" s="4" t="str">
        <f>Sheet3!C737</f>
        <v/>
      </c>
    </row>
    <row r="738">
      <c r="A738" s="4" t="str">
        <f>"+"&amp;Sheet3!D738</f>
        <v>+</v>
      </c>
      <c r="B738" s="4" t="str">
        <f>Sheet3!B738</f>
        <v/>
      </c>
      <c r="C738" s="4" t="str">
        <f>Sheet3!C738</f>
        <v/>
      </c>
    </row>
    <row r="739">
      <c r="A739" s="4" t="str">
        <f>"+"&amp;Sheet3!D739</f>
        <v>+</v>
      </c>
      <c r="B739" s="4" t="str">
        <f>Sheet3!B739</f>
        <v/>
      </c>
      <c r="C739" s="4" t="str">
        <f>Sheet3!C739</f>
        <v/>
      </c>
    </row>
    <row r="740">
      <c r="A740" s="4" t="str">
        <f>"+"&amp;Sheet3!D740</f>
        <v>+</v>
      </c>
      <c r="B740" s="4" t="str">
        <f>Sheet3!B740</f>
        <v/>
      </c>
      <c r="C740" s="4" t="str">
        <f>Sheet3!C740</f>
        <v/>
      </c>
    </row>
    <row r="741">
      <c r="A741" s="4" t="str">
        <f>"+"&amp;Sheet3!D741</f>
        <v>+</v>
      </c>
      <c r="B741" s="4" t="str">
        <f>Sheet3!B741</f>
        <v/>
      </c>
      <c r="C741" s="4" t="str">
        <f>Sheet3!C741</f>
        <v/>
      </c>
    </row>
    <row r="742">
      <c r="A742" s="4" t="str">
        <f>"+"&amp;Sheet3!D742</f>
        <v>+</v>
      </c>
      <c r="B742" s="4" t="str">
        <f>Sheet3!B742</f>
        <v/>
      </c>
      <c r="C742" s="4" t="str">
        <f>Sheet3!C742</f>
        <v/>
      </c>
    </row>
    <row r="743">
      <c r="A743" s="4" t="str">
        <f>"+"&amp;Sheet3!D743</f>
        <v>+</v>
      </c>
      <c r="B743" s="4" t="str">
        <f>Sheet3!B743</f>
        <v/>
      </c>
      <c r="C743" s="4" t="str">
        <f>Sheet3!C743</f>
        <v/>
      </c>
    </row>
    <row r="744">
      <c r="A744" s="4" t="str">
        <f>"+"&amp;Sheet3!D744</f>
        <v>+</v>
      </c>
      <c r="B744" s="4" t="str">
        <f>Sheet3!B744</f>
        <v/>
      </c>
      <c r="C744" s="4" t="str">
        <f>Sheet3!C744</f>
        <v/>
      </c>
    </row>
    <row r="745">
      <c r="A745" s="4" t="str">
        <f>"+"&amp;Sheet3!D745</f>
        <v>+</v>
      </c>
      <c r="B745" s="4" t="str">
        <f>Sheet3!B745</f>
        <v/>
      </c>
      <c r="C745" s="4" t="str">
        <f>Sheet3!C745</f>
        <v/>
      </c>
    </row>
    <row r="746">
      <c r="A746" s="4" t="str">
        <f>"+"&amp;Sheet3!D746</f>
        <v>+</v>
      </c>
      <c r="B746" s="4" t="str">
        <f>Sheet3!B746</f>
        <v/>
      </c>
      <c r="C746" s="4" t="str">
        <f>Sheet3!C746</f>
        <v/>
      </c>
    </row>
    <row r="747">
      <c r="A747" s="4" t="str">
        <f>"+"&amp;Sheet3!D747</f>
        <v>+</v>
      </c>
      <c r="B747" s="4" t="str">
        <f>Sheet3!B747</f>
        <v/>
      </c>
      <c r="C747" s="4" t="str">
        <f>Sheet3!C747</f>
        <v/>
      </c>
    </row>
    <row r="748">
      <c r="A748" s="4" t="str">
        <f>"+"&amp;Sheet3!D748</f>
        <v>+</v>
      </c>
      <c r="B748" s="4" t="str">
        <f>Sheet3!B748</f>
        <v/>
      </c>
      <c r="C748" s="4" t="str">
        <f>Sheet3!C748</f>
        <v/>
      </c>
    </row>
    <row r="749">
      <c r="A749" s="4" t="str">
        <f>"+"&amp;Sheet3!D749</f>
        <v>+</v>
      </c>
      <c r="B749" s="4" t="str">
        <f>Sheet3!B749</f>
        <v/>
      </c>
      <c r="C749" s="4" t="str">
        <f>Sheet3!C749</f>
        <v/>
      </c>
    </row>
    <row r="750">
      <c r="A750" s="4" t="str">
        <f>"+"&amp;Sheet3!D750</f>
        <v>+</v>
      </c>
      <c r="B750" s="4" t="str">
        <f>Sheet3!B750</f>
        <v/>
      </c>
      <c r="C750" s="4" t="str">
        <f>Sheet3!C750</f>
        <v/>
      </c>
    </row>
    <row r="751">
      <c r="A751" s="4" t="str">
        <f>"+"&amp;Sheet3!D751</f>
        <v>+</v>
      </c>
      <c r="B751" s="4" t="str">
        <f>Sheet3!B751</f>
        <v/>
      </c>
      <c r="C751" s="4" t="str">
        <f>Sheet3!C751</f>
        <v/>
      </c>
    </row>
    <row r="752">
      <c r="A752" s="4" t="str">
        <f>"+"&amp;Sheet3!D752</f>
        <v>+</v>
      </c>
      <c r="B752" s="4" t="str">
        <f>Sheet3!B752</f>
        <v/>
      </c>
      <c r="C752" s="4" t="str">
        <f>Sheet3!C752</f>
        <v/>
      </c>
    </row>
    <row r="753">
      <c r="A753" s="4" t="str">
        <f>"+"&amp;Sheet3!D753</f>
        <v>+</v>
      </c>
      <c r="B753" s="4" t="str">
        <f>Sheet3!B753</f>
        <v/>
      </c>
      <c r="C753" s="4" t="str">
        <f>Sheet3!C753</f>
        <v/>
      </c>
    </row>
    <row r="754">
      <c r="A754" s="4" t="str">
        <f>"+"&amp;Sheet3!D754</f>
        <v>+</v>
      </c>
      <c r="B754" s="4" t="str">
        <f>Sheet3!B754</f>
        <v/>
      </c>
      <c r="C754" s="4" t="str">
        <f>Sheet3!C754</f>
        <v/>
      </c>
    </row>
    <row r="755">
      <c r="A755" s="4" t="str">
        <f>"+"&amp;Sheet3!D755</f>
        <v>+</v>
      </c>
      <c r="B755" s="4" t="str">
        <f>Sheet3!B755</f>
        <v/>
      </c>
      <c r="C755" s="4" t="str">
        <f>Sheet3!C755</f>
        <v/>
      </c>
    </row>
    <row r="756">
      <c r="A756" s="4" t="str">
        <f>"+"&amp;Sheet3!D756</f>
        <v>+</v>
      </c>
      <c r="B756" s="4" t="str">
        <f>Sheet3!B756</f>
        <v/>
      </c>
      <c r="C756" s="4" t="str">
        <f>Sheet3!C756</f>
        <v/>
      </c>
    </row>
    <row r="757">
      <c r="A757" s="4" t="str">
        <f>"+"&amp;Sheet3!D757</f>
        <v>+</v>
      </c>
      <c r="B757" s="4" t="str">
        <f>Sheet3!B757</f>
        <v/>
      </c>
      <c r="C757" s="4" t="str">
        <f>Sheet3!C757</f>
        <v/>
      </c>
    </row>
    <row r="758">
      <c r="A758" s="4" t="str">
        <f>"+"&amp;Sheet3!D758</f>
        <v>+</v>
      </c>
      <c r="B758" s="4" t="str">
        <f>Sheet3!B758</f>
        <v/>
      </c>
      <c r="C758" s="4" t="str">
        <f>Sheet3!C758</f>
        <v/>
      </c>
    </row>
    <row r="759">
      <c r="A759" s="4" t="str">
        <f>"+"&amp;Sheet3!D759</f>
        <v>+</v>
      </c>
      <c r="B759" s="4" t="str">
        <f>Sheet3!B759</f>
        <v/>
      </c>
      <c r="C759" s="4" t="str">
        <f>Sheet3!C759</f>
        <v/>
      </c>
    </row>
    <row r="760">
      <c r="A760" s="4" t="str">
        <f>"+"&amp;Sheet3!D760</f>
        <v>+</v>
      </c>
      <c r="B760" s="4" t="str">
        <f>Sheet3!B760</f>
        <v/>
      </c>
      <c r="C760" s="4" t="str">
        <f>Sheet3!C760</f>
        <v/>
      </c>
    </row>
    <row r="761">
      <c r="A761" s="4" t="str">
        <f>"+"&amp;Sheet3!D761</f>
        <v>+</v>
      </c>
      <c r="B761" s="4" t="str">
        <f>Sheet3!B761</f>
        <v/>
      </c>
      <c r="C761" s="4" t="str">
        <f>Sheet3!C761</f>
        <v/>
      </c>
    </row>
    <row r="762">
      <c r="A762" s="4" t="str">
        <f>"+"&amp;Sheet3!D762</f>
        <v>+</v>
      </c>
      <c r="B762" s="4" t="str">
        <f>Sheet3!B762</f>
        <v/>
      </c>
      <c r="C762" s="4" t="str">
        <f>Sheet3!C762</f>
        <v/>
      </c>
    </row>
    <row r="763">
      <c r="A763" s="4" t="str">
        <f>"+"&amp;Sheet3!D763</f>
        <v>+</v>
      </c>
      <c r="B763" s="4" t="str">
        <f>Sheet3!B763</f>
        <v/>
      </c>
      <c r="C763" s="4" t="str">
        <f>Sheet3!C763</f>
        <v/>
      </c>
    </row>
    <row r="764">
      <c r="A764" s="4" t="str">
        <f>"+"&amp;Sheet3!D764</f>
        <v>+</v>
      </c>
      <c r="B764" s="4" t="str">
        <f>Sheet3!B764</f>
        <v/>
      </c>
      <c r="C764" s="4" t="str">
        <f>Sheet3!C764</f>
        <v/>
      </c>
    </row>
    <row r="765">
      <c r="A765" s="4" t="str">
        <f>"+"&amp;Sheet3!D765</f>
        <v>+</v>
      </c>
      <c r="B765" s="4" t="str">
        <f>Sheet3!B765</f>
        <v/>
      </c>
      <c r="C765" s="4" t="str">
        <f>Sheet3!C765</f>
        <v/>
      </c>
    </row>
    <row r="766">
      <c r="A766" s="4" t="str">
        <f>"+"&amp;Sheet3!D766</f>
        <v>+</v>
      </c>
      <c r="B766" s="4" t="str">
        <f>Sheet3!B766</f>
        <v/>
      </c>
      <c r="C766" s="4" t="str">
        <f>Sheet3!C766</f>
        <v/>
      </c>
    </row>
    <row r="767">
      <c r="A767" s="4" t="str">
        <f>"+"&amp;Sheet3!D767</f>
        <v>+</v>
      </c>
      <c r="B767" s="4" t="str">
        <f>Sheet3!B767</f>
        <v/>
      </c>
      <c r="C767" s="4" t="str">
        <f>Sheet3!C767</f>
        <v/>
      </c>
    </row>
    <row r="768">
      <c r="A768" s="4" t="str">
        <f>"+"&amp;Sheet3!D768</f>
        <v>+</v>
      </c>
      <c r="B768" s="4" t="str">
        <f>Sheet3!B768</f>
        <v/>
      </c>
      <c r="C768" s="4" t="str">
        <f>Sheet3!C768</f>
        <v/>
      </c>
    </row>
    <row r="769">
      <c r="A769" s="4" t="str">
        <f>"+"&amp;Sheet3!D769</f>
        <v>+</v>
      </c>
      <c r="B769" s="4" t="str">
        <f>Sheet3!B769</f>
        <v/>
      </c>
      <c r="C769" s="4" t="str">
        <f>Sheet3!C769</f>
        <v/>
      </c>
    </row>
    <row r="770">
      <c r="A770" s="4" t="str">
        <f>"+"&amp;Sheet3!D770</f>
        <v>+</v>
      </c>
      <c r="B770" s="4" t="str">
        <f>Sheet3!B770</f>
        <v/>
      </c>
      <c r="C770" s="4" t="str">
        <f>Sheet3!C770</f>
        <v/>
      </c>
    </row>
    <row r="771">
      <c r="A771" s="4" t="str">
        <f>"+"&amp;Sheet3!D771</f>
        <v>+</v>
      </c>
      <c r="B771" s="4" t="str">
        <f>Sheet3!B771</f>
        <v/>
      </c>
      <c r="C771" s="4" t="str">
        <f>Sheet3!C771</f>
        <v/>
      </c>
    </row>
    <row r="772">
      <c r="A772" s="4" t="str">
        <f>"+"&amp;Sheet3!D772</f>
        <v>+</v>
      </c>
      <c r="B772" s="4" t="str">
        <f>Sheet3!B772</f>
        <v/>
      </c>
      <c r="C772" s="4" t="str">
        <f>Sheet3!C772</f>
        <v/>
      </c>
    </row>
    <row r="773">
      <c r="A773" s="4" t="str">
        <f>"+"&amp;Sheet3!D773</f>
        <v>+</v>
      </c>
      <c r="B773" s="4" t="str">
        <f>Sheet3!B773</f>
        <v/>
      </c>
      <c r="C773" s="4" t="str">
        <f>Sheet3!C773</f>
        <v/>
      </c>
    </row>
    <row r="774">
      <c r="A774" s="4" t="str">
        <f>"+"&amp;Sheet3!D774</f>
        <v>+</v>
      </c>
      <c r="B774" s="4" t="str">
        <f>Sheet3!B774</f>
        <v/>
      </c>
      <c r="C774" s="4" t="str">
        <f>Sheet3!C774</f>
        <v/>
      </c>
    </row>
    <row r="775">
      <c r="A775" s="4" t="str">
        <f>"+"&amp;Sheet3!D775</f>
        <v>+</v>
      </c>
      <c r="B775" s="4" t="str">
        <f>Sheet3!B775</f>
        <v/>
      </c>
      <c r="C775" s="4" t="str">
        <f>Sheet3!C775</f>
        <v/>
      </c>
    </row>
    <row r="776">
      <c r="A776" s="4" t="str">
        <f>"+"&amp;Sheet3!D776</f>
        <v>+</v>
      </c>
      <c r="B776" s="4" t="str">
        <f>Sheet3!B776</f>
        <v/>
      </c>
      <c r="C776" s="4" t="str">
        <f>Sheet3!C776</f>
        <v/>
      </c>
    </row>
    <row r="777">
      <c r="A777" s="4" t="str">
        <f>"+"&amp;Sheet3!D777</f>
        <v>+</v>
      </c>
      <c r="B777" s="4" t="str">
        <f>Sheet3!B777</f>
        <v/>
      </c>
      <c r="C777" s="4" t="str">
        <f>Sheet3!C777</f>
        <v/>
      </c>
    </row>
    <row r="778">
      <c r="A778" s="4" t="str">
        <f>"+"&amp;Sheet3!D778</f>
        <v>+</v>
      </c>
      <c r="B778" s="4" t="str">
        <f>Sheet3!B778</f>
        <v/>
      </c>
      <c r="C778" s="4" t="str">
        <f>Sheet3!C778</f>
        <v/>
      </c>
    </row>
    <row r="779">
      <c r="A779" s="4" t="str">
        <f>"+"&amp;Sheet3!D779</f>
        <v>+</v>
      </c>
      <c r="B779" s="4" t="str">
        <f>Sheet3!B779</f>
        <v/>
      </c>
      <c r="C779" s="4" t="str">
        <f>Sheet3!C779</f>
        <v/>
      </c>
    </row>
    <row r="780">
      <c r="A780" s="4" t="str">
        <f>"+"&amp;Sheet3!D780</f>
        <v>+</v>
      </c>
      <c r="B780" s="4" t="str">
        <f>Sheet3!B780</f>
        <v/>
      </c>
      <c r="C780" s="4" t="str">
        <f>Sheet3!C780</f>
        <v/>
      </c>
    </row>
    <row r="781">
      <c r="A781" s="4" t="str">
        <f>"+"&amp;Sheet3!D781</f>
        <v>+</v>
      </c>
      <c r="B781" s="4" t="str">
        <f>Sheet3!B781</f>
        <v/>
      </c>
      <c r="C781" s="4" t="str">
        <f>Sheet3!C781</f>
        <v/>
      </c>
    </row>
    <row r="782">
      <c r="A782" s="4" t="str">
        <f>"+"&amp;Sheet3!D782</f>
        <v>+</v>
      </c>
      <c r="B782" s="4" t="str">
        <f>Sheet3!B782</f>
        <v/>
      </c>
      <c r="C782" s="4" t="str">
        <f>Sheet3!C782</f>
        <v/>
      </c>
    </row>
    <row r="783">
      <c r="A783" s="4" t="str">
        <f>"+"&amp;Sheet3!D783</f>
        <v>+</v>
      </c>
      <c r="B783" s="4" t="str">
        <f>Sheet3!B783</f>
        <v/>
      </c>
      <c r="C783" s="4" t="str">
        <f>Sheet3!C783</f>
        <v/>
      </c>
    </row>
    <row r="784">
      <c r="A784" s="4" t="str">
        <f>"+"&amp;Sheet3!D784</f>
        <v>+</v>
      </c>
      <c r="B784" s="4" t="str">
        <f>Sheet3!B784</f>
        <v/>
      </c>
      <c r="C784" s="4" t="str">
        <f>Sheet3!C784</f>
        <v/>
      </c>
    </row>
    <row r="785">
      <c r="A785" s="4" t="str">
        <f>"+"&amp;Sheet3!D785</f>
        <v>+</v>
      </c>
      <c r="B785" s="4" t="str">
        <f>Sheet3!B785</f>
        <v/>
      </c>
      <c r="C785" s="4" t="str">
        <f>Sheet3!C785</f>
        <v/>
      </c>
    </row>
    <row r="786">
      <c r="A786" s="4" t="str">
        <f>"+"&amp;Sheet3!D786</f>
        <v>+</v>
      </c>
      <c r="B786" s="4" t="str">
        <f>Sheet3!B786</f>
        <v/>
      </c>
      <c r="C786" s="4" t="str">
        <f>Sheet3!C786</f>
        <v/>
      </c>
    </row>
    <row r="787">
      <c r="A787" s="4" t="str">
        <f>"+"&amp;Sheet3!D787</f>
        <v>+</v>
      </c>
      <c r="B787" s="4" t="str">
        <f>Sheet3!B787</f>
        <v/>
      </c>
      <c r="C787" s="4" t="str">
        <f>Sheet3!C787</f>
        <v/>
      </c>
    </row>
    <row r="788">
      <c r="A788" s="4" t="str">
        <f>"+"&amp;Sheet3!D788</f>
        <v>+</v>
      </c>
      <c r="B788" s="4" t="str">
        <f>Sheet3!B788</f>
        <v/>
      </c>
      <c r="C788" s="4" t="str">
        <f>Sheet3!C788</f>
        <v/>
      </c>
    </row>
    <row r="789">
      <c r="A789" s="4" t="str">
        <f>"+"&amp;Sheet3!D789</f>
        <v>+</v>
      </c>
      <c r="B789" s="4" t="str">
        <f>Sheet3!B789</f>
        <v/>
      </c>
      <c r="C789" s="4" t="str">
        <f>Sheet3!C789</f>
        <v/>
      </c>
    </row>
    <row r="790">
      <c r="A790" s="4" t="str">
        <f>"+"&amp;Sheet3!D790</f>
        <v>+</v>
      </c>
      <c r="B790" s="4" t="str">
        <f>Sheet3!B790</f>
        <v/>
      </c>
      <c r="C790" s="4" t="str">
        <f>Sheet3!C790</f>
        <v/>
      </c>
    </row>
    <row r="791">
      <c r="A791" s="4" t="str">
        <f>"+"&amp;Sheet3!D791</f>
        <v>+</v>
      </c>
      <c r="B791" s="4" t="str">
        <f>Sheet3!B791</f>
        <v/>
      </c>
      <c r="C791" s="4" t="str">
        <f>Sheet3!C791</f>
        <v/>
      </c>
    </row>
    <row r="792">
      <c r="A792" s="4" t="str">
        <f>"+"&amp;Sheet3!D792</f>
        <v>+</v>
      </c>
      <c r="B792" s="4" t="str">
        <f>Sheet3!B792</f>
        <v/>
      </c>
      <c r="C792" s="4" t="str">
        <f>Sheet3!C792</f>
        <v/>
      </c>
    </row>
    <row r="793">
      <c r="A793" s="4" t="str">
        <f>"+"&amp;Sheet3!D793</f>
        <v>+</v>
      </c>
      <c r="B793" s="4" t="str">
        <f>Sheet3!B793</f>
        <v/>
      </c>
      <c r="C793" s="4" t="str">
        <f>Sheet3!C793</f>
        <v/>
      </c>
    </row>
    <row r="794">
      <c r="A794" s="4" t="str">
        <f>"+"&amp;Sheet3!D794</f>
        <v>+</v>
      </c>
      <c r="B794" s="4" t="str">
        <f>Sheet3!B794</f>
        <v/>
      </c>
      <c r="C794" s="4" t="str">
        <f>Sheet3!C794</f>
        <v/>
      </c>
    </row>
    <row r="795">
      <c r="A795" s="4" t="str">
        <f>"+"&amp;Sheet3!D795</f>
        <v>+</v>
      </c>
      <c r="B795" s="4" t="str">
        <f>Sheet3!B795</f>
        <v/>
      </c>
      <c r="C795" s="4" t="str">
        <f>Sheet3!C795</f>
        <v/>
      </c>
    </row>
    <row r="796">
      <c r="A796" s="4" t="str">
        <f>"+"&amp;Sheet3!D796</f>
        <v>+</v>
      </c>
      <c r="B796" s="4" t="str">
        <f>Sheet3!B796</f>
        <v/>
      </c>
      <c r="C796" s="4" t="str">
        <f>Sheet3!C796</f>
        <v/>
      </c>
    </row>
    <row r="797">
      <c r="A797" s="4" t="str">
        <f>"+"&amp;Sheet3!D797</f>
        <v>+</v>
      </c>
      <c r="B797" s="4" t="str">
        <f>Sheet3!B797</f>
        <v/>
      </c>
      <c r="C797" s="4" t="str">
        <f>Sheet3!C797</f>
        <v/>
      </c>
    </row>
    <row r="798">
      <c r="A798" s="4" t="str">
        <f>"+"&amp;Sheet3!D798</f>
        <v>+</v>
      </c>
      <c r="B798" s="4" t="str">
        <f>Sheet3!B798</f>
        <v/>
      </c>
      <c r="C798" s="4" t="str">
        <f>Sheet3!C798</f>
        <v/>
      </c>
    </row>
    <row r="799">
      <c r="A799" s="4" t="str">
        <f>"+"&amp;Sheet3!D799</f>
        <v>+</v>
      </c>
      <c r="B799" s="4" t="str">
        <f>Sheet3!B799</f>
        <v/>
      </c>
      <c r="C799" s="4" t="str">
        <f>Sheet3!C799</f>
        <v/>
      </c>
    </row>
    <row r="800">
      <c r="A800" s="4" t="str">
        <f>"+"&amp;Sheet3!D800</f>
        <v>+</v>
      </c>
      <c r="B800" s="4" t="str">
        <f>Sheet3!B800</f>
        <v/>
      </c>
      <c r="C800" s="4" t="str">
        <f>Sheet3!C800</f>
        <v/>
      </c>
    </row>
    <row r="801">
      <c r="A801" s="4" t="str">
        <f>"+"&amp;Sheet3!D801</f>
        <v>+</v>
      </c>
      <c r="B801" s="4" t="str">
        <f>Sheet3!B801</f>
        <v/>
      </c>
      <c r="C801" s="4" t="str">
        <f>Sheet3!C801</f>
        <v/>
      </c>
    </row>
    <row r="802">
      <c r="A802" s="4" t="str">
        <f>"+"&amp;Sheet3!D802</f>
        <v>+</v>
      </c>
      <c r="B802" s="4" t="str">
        <f>Sheet3!B802</f>
        <v/>
      </c>
      <c r="C802" s="4" t="str">
        <f>Sheet3!C802</f>
        <v/>
      </c>
    </row>
    <row r="803">
      <c r="A803" s="4" t="str">
        <f>"+"&amp;Sheet3!D803</f>
        <v>+</v>
      </c>
      <c r="B803" s="4" t="str">
        <f>Sheet3!B803</f>
        <v/>
      </c>
      <c r="C803" s="4" t="str">
        <f>Sheet3!C803</f>
        <v/>
      </c>
    </row>
    <row r="804">
      <c r="A804" s="4" t="str">
        <f>"+"&amp;Sheet3!D804</f>
        <v>+</v>
      </c>
      <c r="B804" s="4" t="str">
        <f>Sheet3!B804</f>
        <v/>
      </c>
      <c r="C804" s="4" t="str">
        <f>Sheet3!C804</f>
        <v/>
      </c>
    </row>
    <row r="805">
      <c r="A805" s="4" t="str">
        <f>"+"&amp;Sheet3!D805</f>
        <v>+</v>
      </c>
      <c r="B805" s="4" t="str">
        <f>Sheet3!B805</f>
        <v/>
      </c>
      <c r="C805" s="4" t="str">
        <f>Sheet3!C805</f>
        <v/>
      </c>
    </row>
    <row r="806">
      <c r="A806" s="4" t="str">
        <f>"+"&amp;Sheet3!D806</f>
        <v>+</v>
      </c>
      <c r="B806" s="4" t="str">
        <f>Sheet3!B806</f>
        <v/>
      </c>
      <c r="C806" s="4" t="str">
        <f>Sheet3!C806</f>
        <v/>
      </c>
    </row>
    <row r="807">
      <c r="A807" s="4" t="str">
        <f>"+"&amp;Sheet3!D807</f>
        <v>+</v>
      </c>
      <c r="B807" s="4" t="str">
        <f>Sheet3!B807</f>
        <v/>
      </c>
      <c r="C807" s="4" t="str">
        <f>Sheet3!C807</f>
        <v/>
      </c>
    </row>
    <row r="808">
      <c r="A808" s="4" t="str">
        <f>"+"&amp;Sheet3!D808</f>
        <v>+</v>
      </c>
      <c r="B808" s="4" t="str">
        <f>Sheet3!B808</f>
        <v/>
      </c>
      <c r="C808" s="4" t="str">
        <f>Sheet3!C808</f>
        <v/>
      </c>
    </row>
    <row r="809">
      <c r="A809" s="4" t="str">
        <f>"+"&amp;Sheet3!D809</f>
        <v>+</v>
      </c>
      <c r="B809" s="4" t="str">
        <f>Sheet3!B809</f>
        <v/>
      </c>
      <c r="C809" s="4" t="str">
        <f>Sheet3!C809</f>
        <v/>
      </c>
    </row>
    <row r="810">
      <c r="A810" s="4" t="str">
        <f>"+"&amp;Sheet3!D810</f>
        <v>+</v>
      </c>
      <c r="B810" s="4" t="str">
        <f>Sheet3!B810</f>
        <v/>
      </c>
      <c r="C810" s="4" t="str">
        <f>Sheet3!C810</f>
        <v/>
      </c>
    </row>
    <row r="811">
      <c r="A811" s="4" t="str">
        <f>"+"&amp;Sheet3!D811</f>
        <v>+</v>
      </c>
      <c r="B811" s="4" t="str">
        <f>Sheet3!B811</f>
        <v/>
      </c>
      <c r="C811" s="4" t="str">
        <f>Sheet3!C811</f>
        <v/>
      </c>
    </row>
    <row r="812">
      <c r="A812" s="4" t="str">
        <f>"+"&amp;Sheet3!D812</f>
        <v>+</v>
      </c>
      <c r="B812" s="4" t="str">
        <f>Sheet3!B812</f>
        <v/>
      </c>
      <c r="C812" s="4" t="str">
        <f>Sheet3!C812</f>
        <v/>
      </c>
    </row>
    <row r="813">
      <c r="A813" s="4" t="str">
        <f>"+"&amp;Sheet3!D813</f>
        <v>+</v>
      </c>
      <c r="B813" s="4" t="str">
        <f>Sheet3!B813</f>
        <v/>
      </c>
      <c r="C813" s="4" t="str">
        <f>Sheet3!C813</f>
        <v/>
      </c>
    </row>
    <row r="814">
      <c r="A814" s="4" t="str">
        <f>"+"&amp;Sheet3!D814</f>
        <v>+</v>
      </c>
      <c r="B814" s="4" t="str">
        <f>Sheet3!B814</f>
        <v/>
      </c>
      <c r="C814" s="4" t="str">
        <f>Sheet3!C814</f>
        <v/>
      </c>
    </row>
    <row r="815">
      <c r="A815" s="4" t="str">
        <f>"+"&amp;Sheet3!D815</f>
        <v>+</v>
      </c>
      <c r="B815" s="4" t="str">
        <f>Sheet3!B815</f>
        <v/>
      </c>
      <c r="C815" s="4" t="str">
        <f>Sheet3!C815</f>
        <v/>
      </c>
    </row>
    <row r="816">
      <c r="A816" s="4" t="str">
        <f>"+"&amp;Sheet3!D816</f>
        <v>+</v>
      </c>
      <c r="B816" s="4" t="str">
        <f>Sheet3!B816</f>
        <v/>
      </c>
      <c r="C816" s="4" t="str">
        <f>Sheet3!C816</f>
        <v/>
      </c>
    </row>
    <row r="817">
      <c r="A817" s="4" t="str">
        <f>"+"&amp;Sheet3!D817</f>
        <v>+</v>
      </c>
      <c r="B817" s="4" t="str">
        <f>Sheet3!B817</f>
        <v/>
      </c>
      <c r="C817" s="4" t="str">
        <f>Sheet3!C817</f>
        <v/>
      </c>
    </row>
    <row r="818">
      <c r="A818" s="4" t="str">
        <f>"+"&amp;Sheet3!D818</f>
        <v>+</v>
      </c>
      <c r="B818" s="4" t="str">
        <f>Sheet3!B818</f>
        <v/>
      </c>
      <c r="C818" s="4" t="str">
        <f>Sheet3!C818</f>
        <v/>
      </c>
    </row>
    <row r="819">
      <c r="A819" s="4" t="str">
        <f>"+"&amp;Sheet3!D819</f>
        <v>+</v>
      </c>
      <c r="B819" s="4" t="str">
        <f>Sheet3!B819</f>
        <v/>
      </c>
      <c r="C819" s="4" t="str">
        <f>Sheet3!C819</f>
        <v/>
      </c>
    </row>
    <row r="820">
      <c r="A820" s="4" t="str">
        <f>"+"&amp;Sheet3!D820</f>
        <v>+</v>
      </c>
      <c r="B820" s="4" t="str">
        <f>Sheet3!B820</f>
        <v/>
      </c>
      <c r="C820" s="4" t="str">
        <f>Sheet3!C820</f>
        <v/>
      </c>
    </row>
    <row r="821">
      <c r="A821" s="4" t="str">
        <f>"+"&amp;Sheet3!D821</f>
        <v>+</v>
      </c>
      <c r="B821" s="4" t="str">
        <f>Sheet3!B821</f>
        <v/>
      </c>
      <c r="C821" s="4" t="str">
        <f>Sheet3!C821</f>
        <v/>
      </c>
    </row>
    <row r="822">
      <c r="A822" s="4" t="str">
        <f>"+"&amp;Sheet3!D822</f>
        <v>+</v>
      </c>
      <c r="B822" s="4" t="str">
        <f>Sheet3!B822</f>
        <v/>
      </c>
      <c r="C822" s="4" t="str">
        <f>Sheet3!C822</f>
        <v/>
      </c>
    </row>
    <row r="823">
      <c r="A823" s="4" t="str">
        <f>"+"&amp;Sheet3!D823</f>
        <v>+</v>
      </c>
      <c r="B823" s="4" t="str">
        <f>Sheet3!B823</f>
        <v/>
      </c>
      <c r="C823" s="4" t="str">
        <f>Sheet3!C823</f>
        <v/>
      </c>
    </row>
    <row r="824">
      <c r="A824" s="4" t="str">
        <f>"+"&amp;Sheet3!D824</f>
        <v>+</v>
      </c>
      <c r="B824" s="4" t="str">
        <f>Sheet3!B824</f>
        <v/>
      </c>
      <c r="C824" s="4" t="str">
        <f>Sheet3!C824</f>
        <v/>
      </c>
    </row>
    <row r="825">
      <c r="A825" s="4" t="str">
        <f>"+"&amp;Sheet3!D825</f>
        <v>+</v>
      </c>
      <c r="B825" s="4" t="str">
        <f>Sheet3!B825</f>
        <v/>
      </c>
      <c r="C825" s="4" t="str">
        <f>Sheet3!C825</f>
        <v/>
      </c>
    </row>
    <row r="826">
      <c r="A826" s="4" t="str">
        <f>"+"&amp;Sheet3!D826</f>
        <v>+</v>
      </c>
      <c r="B826" s="4" t="str">
        <f>Sheet3!B826</f>
        <v/>
      </c>
      <c r="C826" s="4" t="str">
        <f>Sheet3!C826</f>
        <v/>
      </c>
    </row>
    <row r="827">
      <c r="A827" s="4" t="str">
        <f>"+"&amp;Sheet3!D827</f>
        <v>+</v>
      </c>
      <c r="B827" s="4" t="str">
        <f>Sheet3!B827</f>
        <v/>
      </c>
      <c r="C827" s="4" t="str">
        <f>Sheet3!C827</f>
        <v/>
      </c>
    </row>
    <row r="828">
      <c r="A828" s="4" t="str">
        <f>"+"&amp;Sheet3!D828</f>
        <v>+</v>
      </c>
      <c r="B828" s="4" t="str">
        <f>Sheet3!B828</f>
        <v/>
      </c>
      <c r="C828" s="4" t="str">
        <f>Sheet3!C828</f>
        <v/>
      </c>
    </row>
    <row r="829">
      <c r="A829" s="4" t="str">
        <f>"+"&amp;Sheet3!D829</f>
        <v>+</v>
      </c>
      <c r="B829" s="4" t="str">
        <f>Sheet3!B829</f>
        <v/>
      </c>
      <c r="C829" s="4" t="str">
        <f>Sheet3!C829</f>
        <v/>
      </c>
    </row>
    <row r="830">
      <c r="A830" s="4" t="str">
        <f>"+"&amp;Sheet3!D830</f>
        <v>+</v>
      </c>
      <c r="B830" s="4" t="str">
        <f>Sheet3!B830</f>
        <v/>
      </c>
      <c r="C830" s="4" t="str">
        <f>Sheet3!C830</f>
        <v/>
      </c>
    </row>
    <row r="831">
      <c r="A831" s="4" t="str">
        <f>"+"&amp;Sheet3!D831</f>
        <v>+</v>
      </c>
      <c r="B831" s="4" t="str">
        <f>Sheet3!B831</f>
        <v/>
      </c>
      <c r="C831" s="4" t="str">
        <f>Sheet3!C831</f>
        <v/>
      </c>
    </row>
    <row r="832">
      <c r="A832" s="4" t="str">
        <f>"+"&amp;Sheet3!D832</f>
        <v>+</v>
      </c>
      <c r="B832" s="4" t="str">
        <f>Sheet3!B832</f>
        <v/>
      </c>
      <c r="C832" s="4" t="str">
        <f>Sheet3!C832</f>
        <v/>
      </c>
    </row>
    <row r="833">
      <c r="A833" s="4" t="str">
        <f>"+"&amp;Sheet3!D833</f>
        <v>+</v>
      </c>
      <c r="B833" s="4" t="str">
        <f>Sheet3!B833</f>
        <v/>
      </c>
      <c r="C833" s="4" t="str">
        <f>Sheet3!C833</f>
        <v/>
      </c>
    </row>
    <row r="834">
      <c r="A834" s="4" t="str">
        <f>"+"&amp;Sheet3!D834</f>
        <v>+</v>
      </c>
      <c r="B834" s="4" t="str">
        <f>Sheet3!B834</f>
        <v/>
      </c>
      <c r="C834" s="4" t="str">
        <f>Sheet3!C834</f>
        <v/>
      </c>
    </row>
    <row r="835">
      <c r="A835" s="4" t="str">
        <f>"+"&amp;Sheet3!D835</f>
        <v>+</v>
      </c>
      <c r="B835" s="4" t="str">
        <f>Sheet3!B835</f>
        <v/>
      </c>
      <c r="C835" s="4" t="str">
        <f>Sheet3!C835</f>
        <v/>
      </c>
    </row>
    <row r="836">
      <c r="A836" s="4" t="str">
        <f>"+"&amp;Sheet3!D836</f>
        <v>+</v>
      </c>
      <c r="B836" s="4" t="str">
        <f>Sheet3!B836</f>
        <v/>
      </c>
      <c r="C836" s="4" t="str">
        <f>Sheet3!C836</f>
        <v/>
      </c>
    </row>
    <row r="837">
      <c r="A837" s="4" t="str">
        <f>"+"&amp;Sheet3!D837</f>
        <v>+</v>
      </c>
      <c r="B837" s="4" t="str">
        <f>Sheet3!B837</f>
        <v/>
      </c>
      <c r="C837" s="4" t="str">
        <f>Sheet3!C837</f>
        <v/>
      </c>
    </row>
    <row r="838">
      <c r="A838" s="4" t="str">
        <f>"+"&amp;Sheet3!D838</f>
        <v>+</v>
      </c>
      <c r="B838" s="4" t="str">
        <f>Sheet3!B838</f>
        <v/>
      </c>
      <c r="C838" s="4" t="str">
        <f>Sheet3!C838</f>
        <v/>
      </c>
    </row>
    <row r="839">
      <c r="A839" s="4" t="str">
        <f>"+"&amp;Sheet3!D839</f>
        <v>+</v>
      </c>
      <c r="B839" s="4" t="str">
        <f>Sheet3!B839</f>
        <v/>
      </c>
      <c r="C839" s="4" t="str">
        <f>Sheet3!C839</f>
        <v/>
      </c>
    </row>
    <row r="840">
      <c r="A840" s="4" t="str">
        <f>"+"&amp;Sheet3!D840</f>
        <v>+</v>
      </c>
      <c r="B840" s="4" t="str">
        <f>Sheet3!B840</f>
        <v/>
      </c>
      <c r="C840" s="4" t="str">
        <f>Sheet3!C840</f>
        <v/>
      </c>
    </row>
    <row r="841">
      <c r="A841" s="4" t="str">
        <f>"+"&amp;Sheet3!D841</f>
        <v>+</v>
      </c>
      <c r="B841" s="4" t="str">
        <f>Sheet3!B841</f>
        <v/>
      </c>
      <c r="C841" s="4" t="str">
        <f>Sheet3!C841</f>
        <v/>
      </c>
    </row>
    <row r="842">
      <c r="A842" s="4" t="str">
        <f>"+"&amp;Sheet3!D842</f>
        <v>+</v>
      </c>
      <c r="B842" s="4" t="str">
        <f>Sheet3!B842</f>
        <v/>
      </c>
      <c r="C842" s="4" t="str">
        <f>Sheet3!C842</f>
        <v/>
      </c>
    </row>
    <row r="843">
      <c r="A843" s="4" t="str">
        <f>"+"&amp;Sheet3!D843</f>
        <v>+</v>
      </c>
      <c r="B843" s="4" t="str">
        <f>Sheet3!B843</f>
        <v/>
      </c>
      <c r="C843" s="4" t="str">
        <f>Sheet3!C843</f>
        <v/>
      </c>
    </row>
    <row r="844">
      <c r="A844" s="4" t="str">
        <f>"+"&amp;Sheet3!D844</f>
        <v>+</v>
      </c>
      <c r="B844" s="4" t="str">
        <f>Sheet3!B844</f>
        <v/>
      </c>
      <c r="C844" s="4" t="str">
        <f>Sheet3!C844</f>
        <v/>
      </c>
    </row>
    <row r="845">
      <c r="A845" s="4" t="str">
        <f>"+"&amp;Sheet3!D845</f>
        <v>+</v>
      </c>
      <c r="B845" s="4" t="str">
        <f>Sheet3!B845</f>
        <v/>
      </c>
      <c r="C845" s="4" t="str">
        <f>Sheet3!C845</f>
        <v/>
      </c>
    </row>
    <row r="846">
      <c r="A846" s="4" t="str">
        <f>"+"&amp;Sheet3!D846</f>
        <v>+</v>
      </c>
      <c r="B846" s="4" t="str">
        <f>Sheet3!B846</f>
        <v/>
      </c>
      <c r="C846" s="4" t="str">
        <f>Sheet3!C846</f>
        <v/>
      </c>
    </row>
    <row r="847">
      <c r="A847" s="4" t="str">
        <f>"+"&amp;Sheet3!D847</f>
        <v>+</v>
      </c>
      <c r="B847" s="4" t="str">
        <f>Sheet3!B847</f>
        <v/>
      </c>
      <c r="C847" s="4" t="str">
        <f>Sheet3!C847</f>
        <v/>
      </c>
    </row>
    <row r="848">
      <c r="A848" s="4" t="str">
        <f>"+"&amp;Sheet3!D848</f>
        <v>+</v>
      </c>
      <c r="B848" s="4" t="str">
        <f>Sheet3!B848</f>
        <v/>
      </c>
      <c r="C848" s="4" t="str">
        <f>Sheet3!C848</f>
        <v/>
      </c>
    </row>
    <row r="849">
      <c r="A849" s="4" t="str">
        <f>"+"&amp;Sheet3!D849</f>
        <v>+</v>
      </c>
      <c r="B849" s="4" t="str">
        <f>Sheet3!B849</f>
        <v/>
      </c>
      <c r="C849" s="4" t="str">
        <f>Sheet3!C849</f>
        <v/>
      </c>
    </row>
    <row r="850">
      <c r="A850" s="4" t="str">
        <f>"+"&amp;Sheet3!D850</f>
        <v>+</v>
      </c>
      <c r="B850" s="4" t="str">
        <f>Sheet3!B850</f>
        <v/>
      </c>
      <c r="C850" s="4" t="str">
        <f>Sheet3!C850</f>
        <v/>
      </c>
    </row>
    <row r="851">
      <c r="A851" s="4" t="str">
        <f>"+"&amp;Sheet3!D851</f>
        <v>+</v>
      </c>
      <c r="B851" s="4" t="str">
        <f>Sheet3!B851</f>
        <v/>
      </c>
      <c r="C851" s="4" t="str">
        <f>Sheet3!C851</f>
        <v/>
      </c>
    </row>
    <row r="852">
      <c r="A852" s="4" t="str">
        <f>"+"&amp;Sheet3!D852</f>
        <v>+</v>
      </c>
      <c r="B852" s="4" t="str">
        <f>Sheet3!B852</f>
        <v/>
      </c>
      <c r="C852" s="4" t="str">
        <f>Sheet3!C852</f>
        <v/>
      </c>
    </row>
    <row r="853">
      <c r="A853" s="4" t="str">
        <f>"+"&amp;Sheet3!D853</f>
        <v>+</v>
      </c>
      <c r="B853" s="4" t="str">
        <f>Sheet3!B853</f>
        <v/>
      </c>
      <c r="C853" s="4" t="str">
        <f>Sheet3!C853</f>
        <v/>
      </c>
    </row>
    <row r="854">
      <c r="A854" s="4" t="str">
        <f>"+"&amp;Sheet3!D854</f>
        <v>+</v>
      </c>
      <c r="B854" s="4" t="str">
        <f>Sheet3!B854</f>
        <v/>
      </c>
      <c r="C854" s="4" t="str">
        <f>Sheet3!C854</f>
        <v/>
      </c>
    </row>
    <row r="855">
      <c r="A855" s="4" t="str">
        <f>"+"&amp;Sheet3!D855</f>
        <v>+</v>
      </c>
      <c r="B855" s="4" t="str">
        <f>Sheet3!B855</f>
        <v/>
      </c>
      <c r="C855" s="4" t="str">
        <f>Sheet3!C855</f>
        <v/>
      </c>
    </row>
    <row r="856">
      <c r="A856" s="4" t="str">
        <f>"+"&amp;Sheet3!D856</f>
        <v>+</v>
      </c>
      <c r="B856" s="4" t="str">
        <f>Sheet3!B856</f>
        <v/>
      </c>
      <c r="C856" s="4" t="str">
        <f>Sheet3!C856</f>
        <v/>
      </c>
    </row>
    <row r="857">
      <c r="A857" s="4" t="str">
        <f>"+"&amp;Sheet3!D857</f>
        <v>+</v>
      </c>
      <c r="B857" s="4" t="str">
        <f>Sheet3!B857</f>
        <v/>
      </c>
      <c r="C857" s="4" t="str">
        <f>Sheet3!C857</f>
        <v/>
      </c>
    </row>
    <row r="858">
      <c r="A858" s="4" t="str">
        <f>"+"&amp;Sheet3!D858</f>
        <v>+</v>
      </c>
      <c r="B858" s="4" t="str">
        <f>Sheet3!B858</f>
        <v/>
      </c>
      <c r="C858" s="4" t="str">
        <f>Sheet3!C858</f>
        <v/>
      </c>
    </row>
    <row r="859">
      <c r="A859" s="4" t="str">
        <f>"+"&amp;Sheet3!D859</f>
        <v>+</v>
      </c>
      <c r="B859" s="4" t="str">
        <f>Sheet3!B859</f>
        <v/>
      </c>
      <c r="C859" s="4" t="str">
        <f>Sheet3!C859</f>
        <v/>
      </c>
    </row>
    <row r="860">
      <c r="A860" s="4" t="str">
        <f>"+"&amp;Sheet3!D860</f>
        <v>+</v>
      </c>
      <c r="B860" s="4" t="str">
        <f>Sheet3!B860</f>
        <v/>
      </c>
      <c r="C860" s="4" t="str">
        <f>Sheet3!C860</f>
        <v/>
      </c>
    </row>
    <row r="861">
      <c r="A861" s="4" t="str">
        <f>"+"&amp;Sheet3!D861</f>
        <v>+</v>
      </c>
      <c r="B861" s="4" t="str">
        <f>Sheet3!B861</f>
        <v/>
      </c>
      <c r="C861" s="4" t="str">
        <f>Sheet3!C861</f>
        <v/>
      </c>
    </row>
    <row r="862">
      <c r="A862" s="4" t="str">
        <f>"+"&amp;Sheet3!D862</f>
        <v>+</v>
      </c>
      <c r="B862" s="4" t="str">
        <f>Sheet3!B862</f>
        <v/>
      </c>
      <c r="C862" s="4" t="str">
        <f>Sheet3!C862</f>
        <v/>
      </c>
    </row>
    <row r="863">
      <c r="A863" s="4" t="str">
        <f>"+"&amp;Sheet3!D863</f>
        <v>+</v>
      </c>
      <c r="B863" s="4" t="str">
        <f>Sheet3!B863</f>
        <v/>
      </c>
      <c r="C863" s="4" t="str">
        <f>Sheet3!C863</f>
        <v/>
      </c>
    </row>
    <row r="864">
      <c r="A864" s="4" t="str">
        <f>"+"&amp;Sheet3!D864</f>
        <v>+</v>
      </c>
      <c r="B864" s="4" t="str">
        <f>Sheet3!B864</f>
        <v/>
      </c>
      <c r="C864" s="4" t="str">
        <f>Sheet3!C864</f>
        <v/>
      </c>
    </row>
    <row r="865">
      <c r="A865" s="4" t="str">
        <f>"+"&amp;Sheet3!D865</f>
        <v>+</v>
      </c>
      <c r="B865" s="4" t="str">
        <f>Sheet3!B865</f>
        <v/>
      </c>
      <c r="C865" s="4" t="str">
        <f>Sheet3!C865</f>
        <v/>
      </c>
    </row>
    <row r="866">
      <c r="A866" s="4" t="str">
        <f>"+"&amp;Sheet3!D866</f>
        <v>+</v>
      </c>
      <c r="B866" s="4" t="str">
        <f>Sheet3!B866</f>
        <v/>
      </c>
      <c r="C866" s="4" t="str">
        <f>Sheet3!C866</f>
        <v/>
      </c>
    </row>
    <row r="867">
      <c r="A867" s="4" t="str">
        <f>"+"&amp;Sheet3!D867</f>
        <v>+</v>
      </c>
      <c r="B867" s="4" t="str">
        <f>Sheet3!B867</f>
        <v/>
      </c>
      <c r="C867" s="4" t="str">
        <f>Sheet3!C867</f>
        <v/>
      </c>
    </row>
    <row r="868">
      <c r="A868" s="4" t="str">
        <f>"+"&amp;Sheet3!D868</f>
        <v>+</v>
      </c>
      <c r="B868" s="4" t="str">
        <f>Sheet3!B868</f>
        <v/>
      </c>
      <c r="C868" s="4" t="str">
        <f>Sheet3!C868</f>
        <v/>
      </c>
    </row>
    <row r="869">
      <c r="A869" s="4" t="str">
        <f>"+"&amp;Sheet3!D869</f>
        <v>+</v>
      </c>
      <c r="B869" s="4" t="str">
        <f>Sheet3!B869</f>
        <v/>
      </c>
      <c r="C869" s="4" t="str">
        <f>Sheet3!C869</f>
        <v/>
      </c>
    </row>
    <row r="870">
      <c r="A870" s="4" t="str">
        <f>"+"&amp;Sheet3!D870</f>
        <v>+</v>
      </c>
      <c r="B870" s="4" t="str">
        <f>Sheet3!B870</f>
        <v/>
      </c>
      <c r="C870" s="4" t="str">
        <f>Sheet3!C870</f>
        <v/>
      </c>
    </row>
    <row r="871">
      <c r="A871" s="4" t="str">
        <f>"+"&amp;Sheet3!D871</f>
        <v>+</v>
      </c>
      <c r="B871" s="4" t="str">
        <f>Sheet3!B871</f>
        <v/>
      </c>
      <c r="C871" s="4" t="str">
        <f>Sheet3!C871</f>
        <v/>
      </c>
    </row>
    <row r="872">
      <c r="A872" s="4" t="str">
        <f>"+"&amp;Sheet3!D872</f>
        <v>+</v>
      </c>
      <c r="B872" s="4" t="str">
        <f>Sheet3!B872</f>
        <v/>
      </c>
      <c r="C872" s="4" t="str">
        <f>Sheet3!C872</f>
        <v/>
      </c>
    </row>
    <row r="873">
      <c r="A873" s="4" t="str">
        <f>"+"&amp;Sheet3!D873</f>
        <v>+</v>
      </c>
      <c r="B873" s="4" t="str">
        <f>Sheet3!B873</f>
        <v/>
      </c>
      <c r="C873" s="4" t="str">
        <f>Sheet3!C873</f>
        <v/>
      </c>
    </row>
    <row r="874">
      <c r="A874" s="4" t="str">
        <f>"+"&amp;Sheet3!D874</f>
        <v>+</v>
      </c>
      <c r="B874" s="4" t="str">
        <f>Sheet3!B874</f>
        <v/>
      </c>
      <c r="C874" s="4" t="str">
        <f>Sheet3!C874</f>
        <v/>
      </c>
    </row>
    <row r="875">
      <c r="A875" s="4" t="str">
        <f>"+"&amp;Sheet3!D875</f>
        <v>+</v>
      </c>
      <c r="B875" s="4" t="str">
        <f>Sheet3!B875</f>
        <v/>
      </c>
      <c r="C875" s="4" t="str">
        <f>Sheet3!C875</f>
        <v/>
      </c>
    </row>
    <row r="876">
      <c r="A876" s="4" t="str">
        <f>"+"&amp;Sheet3!D876</f>
        <v>+</v>
      </c>
      <c r="B876" s="4" t="str">
        <f>Sheet3!B876</f>
        <v/>
      </c>
      <c r="C876" s="4" t="str">
        <f>Sheet3!C876</f>
        <v/>
      </c>
    </row>
    <row r="877">
      <c r="A877" s="4" t="str">
        <f>"+"&amp;Sheet3!D877</f>
        <v>+</v>
      </c>
      <c r="B877" s="4" t="str">
        <f>Sheet3!B877</f>
        <v/>
      </c>
      <c r="C877" s="4" t="str">
        <f>Sheet3!C877</f>
        <v/>
      </c>
    </row>
    <row r="878">
      <c r="A878" s="4" t="str">
        <f>"+"&amp;Sheet3!D878</f>
        <v>+</v>
      </c>
      <c r="B878" s="4" t="str">
        <f>Sheet3!B878</f>
        <v/>
      </c>
      <c r="C878" s="4" t="str">
        <f>Sheet3!C878</f>
        <v/>
      </c>
    </row>
    <row r="879">
      <c r="A879" s="4" t="str">
        <f>"+"&amp;Sheet3!D879</f>
        <v>+</v>
      </c>
      <c r="B879" s="4" t="str">
        <f>Sheet3!B879</f>
        <v/>
      </c>
      <c r="C879" s="4" t="str">
        <f>Sheet3!C879</f>
        <v/>
      </c>
    </row>
    <row r="880">
      <c r="A880" s="4" t="str">
        <f>"+"&amp;Sheet3!D880</f>
        <v>+</v>
      </c>
      <c r="B880" s="4" t="str">
        <f>Sheet3!B880</f>
        <v/>
      </c>
      <c r="C880" s="4" t="str">
        <f>Sheet3!C880</f>
        <v/>
      </c>
    </row>
    <row r="881">
      <c r="A881" s="4" t="str">
        <f>"+"&amp;Sheet3!D881</f>
        <v>+</v>
      </c>
      <c r="B881" s="4" t="str">
        <f>Sheet3!B881</f>
        <v/>
      </c>
      <c r="C881" s="4" t="str">
        <f>Sheet3!C881</f>
        <v/>
      </c>
    </row>
    <row r="882">
      <c r="A882" s="4" t="str">
        <f>"+"&amp;Sheet3!D882</f>
        <v>+</v>
      </c>
      <c r="B882" s="4" t="str">
        <f>Sheet3!B882</f>
        <v/>
      </c>
      <c r="C882" s="4" t="str">
        <f>Sheet3!C882</f>
        <v/>
      </c>
    </row>
    <row r="883">
      <c r="A883" s="4" t="str">
        <f>"+"&amp;Sheet3!D883</f>
        <v>+</v>
      </c>
      <c r="B883" s="4" t="str">
        <f>Sheet3!B883</f>
        <v/>
      </c>
      <c r="C883" s="4" t="str">
        <f>Sheet3!C883</f>
        <v/>
      </c>
    </row>
    <row r="884">
      <c r="A884" s="4" t="str">
        <f>"+"&amp;Sheet3!D884</f>
        <v>+</v>
      </c>
      <c r="B884" s="4" t="str">
        <f>Sheet3!B884</f>
        <v/>
      </c>
      <c r="C884" s="4" t="str">
        <f>Sheet3!C884</f>
        <v/>
      </c>
    </row>
    <row r="885">
      <c r="A885" s="4" t="str">
        <f>"+"&amp;Sheet3!D885</f>
        <v>+</v>
      </c>
      <c r="B885" s="4" t="str">
        <f>Sheet3!B885</f>
        <v/>
      </c>
      <c r="C885" s="4" t="str">
        <f>Sheet3!C885</f>
        <v/>
      </c>
    </row>
    <row r="886">
      <c r="A886" s="4" t="str">
        <f>"+"&amp;Sheet3!D886</f>
        <v>+</v>
      </c>
      <c r="B886" s="4" t="str">
        <f>Sheet3!B886</f>
        <v/>
      </c>
      <c r="C886" s="4" t="str">
        <f>Sheet3!C886</f>
        <v/>
      </c>
    </row>
    <row r="887">
      <c r="A887" s="4" t="str">
        <f>"+"&amp;Sheet3!D887</f>
        <v>+</v>
      </c>
      <c r="B887" s="4" t="str">
        <f>Sheet3!B887</f>
        <v/>
      </c>
      <c r="C887" s="4" t="str">
        <f>Sheet3!C887</f>
        <v/>
      </c>
    </row>
    <row r="888">
      <c r="A888" s="4" t="str">
        <f>"+"&amp;Sheet3!D888</f>
        <v>+</v>
      </c>
      <c r="B888" s="4" t="str">
        <f>Sheet3!B888</f>
        <v/>
      </c>
      <c r="C888" s="4" t="str">
        <f>Sheet3!C888</f>
        <v/>
      </c>
    </row>
    <row r="889">
      <c r="A889" s="4" t="str">
        <f>"+"&amp;Sheet3!D889</f>
        <v>+</v>
      </c>
      <c r="B889" s="4" t="str">
        <f>Sheet3!B889</f>
        <v/>
      </c>
      <c r="C889" s="4" t="str">
        <f>Sheet3!C889</f>
        <v/>
      </c>
    </row>
    <row r="890">
      <c r="A890" s="4" t="str">
        <f>"+"&amp;Sheet3!D890</f>
        <v>+</v>
      </c>
      <c r="B890" s="4" t="str">
        <f>Sheet3!B890</f>
        <v/>
      </c>
      <c r="C890" s="4" t="str">
        <f>Sheet3!C890</f>
        <v/>
      </c>
    </row>
    <row r="891">
      <c r="A891" s="4" t="str">
        <f>"+"&amp;Sheet3!D891</f>
        <v>+</v>
      </c>
      <c r="B891" s="4" t="str">
        <f>Sheet3!B891</f>
        <v/>
      </c>
      <c r="C891" s="4" t="str">
        <f>Sheet3!C891</f>
        <v/>
      </c>
    </row>
    <row r="892">
      <c r="A892" s="4" t="str">
        <f>"+"&amp;Sheet3!D892</f>
        <v>+</v>
      </c>
      <c r="B892" s="4" t="str">
        <f>Sheet3!B892</f>
        <v/>
      </c>
      <c r="C892" s="4" t="str">
        <f>Sheet3!C892</f>
        <v/>
      </c>
    </row>
    <row r="893">
      <c r="A893" s="4" t="str">
        <f>"+"&amp;Sheet3!D893</f>
        <v>+</v>
      </c>
      <c r="B893" s="4" t="str">
        <f>Sheet3!B893</f>
        <v/>
      </c>
      <c r="C893" s="4" t="str">
        <f>Sheet3!C893</f>
        <v/>
      </c>
    </row>
    <row r="894">
      <c r="A894" s="4" t="str">
        <f>"+"&amp;Sheet3!D894</f>
        <v>+</v>
      </c>
      <c r="B894" s="4" t="str">
        <f>Sheet3!B894</f>
        <v/>
      </c>
      <c r="C894" s="4" t="str">
        <f>Sheet3!C894</f>
        <v/>
      </c>
    </row>
    <row r="895">
      <c r="A895" s="4" t="str">
        <f>"+"&amp;Sheet3!D895</f>
        <v>+</v>
      </c>
      <c r="B895" s="4" t="str">
        <f>Sheet3!B895</f>
        <v/>
      </c>
      <c r="C895" s="4" t="str">
        <f>Sheet3!C895</f>
        <v/>
      </c>
    </row>
    <row r="896">
      <c r="A896" s="4" t="str">
        <f>"+"&amp;Sheet3!D896</f>
        <v>+</v>
      </c>
      <c r="B896" s="4" t="str">
        <f>Sheet3!B896</f>
        <v/>
      </c>
      <c r="C896" s="4" t="str">
        <f>Sheet3!C896</f>
        <v/>
      </c>
    </row>
    <row r="897">
      <c r="A897" s="4" t="str">
        <f>"+"&amp;Sheet3!D897</f>
        <v>+</v>
      </c>
      <c r="B897" s="4" t="str">
        <f>Sheet3!B897</f>
        <v/>
      </c>
      <c r="C897" s="4" t="str">
        <f>Sheet3!C897</f>
        <v/>
      </c>
    </row>
    <row r="898">
      <c r="A898" s="4" t="str">
        <f>"+"&amp;Sheet3!D898</f>
        <v>+</v>
      </c>
      <c r="B898" s="4" t="str">
        <f>Sheet3!B898</f>
        <v/>
      </c>
      <c r="C898" s="4" t="str">
        <f>Sheet3!C898</f>
        <v/>
      </c>
    </row>
    <row r="899">
      <c r="A899" s="4" t="str">
        <f>"+"&amp;Sheet3!D899</f>
        <v>+</v>
      </c>
      <c r="B899" s="4" t="str">
        <f>Sheet3!B899</f>
        <v/>
      </c>
      <c r="C899" s="4" t="str">
        <f>Sheet3!C899</f>
        <v/>
      </c>
    </row>
    <row r="900">
      <c r="A900" s="4" t="str">
        <f>"+"&amp;Sheet3!D900</f>
        <v>+</v>
      </c>
      <c r="B900" s="4" t="str">
        <f>Sheet3!B900</f>
        <v/>
      </c>
      <c r="C900" s="4" t="str">
        <f>Sheet3!C900</f>
        <v/>
      </c>
    </row>
    <row r="901">
      <c r="A901" s="4" t="str">
        <f>"+"&amp;Sheet3!D901</f>
        <v>+</v>
      </c>
      <c r="B901" s="4" t="str">
        <f>Sheet3!B901</f>
        <v/>
      </c>
      <c r="C901" s="4" t="str">
        <f>Sheet3!C901</f>
        <v/>
      </c>
    </row>
    <row r="902">
      <c r="A902" s="4" t="str">
        <f>"+"&amp;Sheet3!D902</f>
        <v>+</v>
      </c>
      <c r="B902" s="4" t="str">
        <f>Sheet3!B902</f>
        <v/>
      </c>
      <c r="C902" s="4" t="str">
        <f>Sheet3!C902</f>
        <v/>
      </c>
    </row>
    <row r="903">
      <c r="A903" s="4" t="str">
        <f>"+"&amp;Sheet3!D903</f>
        <v>+</v>
      </c>
      <c r="B903" s="4" t="str">
        <f>Sheet3!B903</f>
        <v/>
      </c>
      <c r="C903" s="4" t="str">
        <f>Sheet3!C903</f>
        <v/>
      </c>
    </row>
    <row r="904">
      <c r="A904" s="4" t="str">
        <f>"+"&amp;Sheet3!D904</f>
        <v>+</v>
      </c>
      <c r="B904" s="4" t="str">
        <f>Sheet3!B904</f>
        <v/>
      </c>
      <c r="C904" s="4" t="str">
        <f>Sheet3!C904</f>
        <v/>
      </c>
    </row>
    <row r="905">
      <c r="A905" s="4" t="str">
        <f>"+"&amp;Sheet3!D905</f>
        <v>+</v>
      </c>
      <c r="B905" s="4" t="str">
        <f>Sheet3!B905</f>
        <v/>
      </c>
      <c r="C905" s="4" t="str">
        <f>Sheet3!C905</f>
        <v/>
      </c>
    </row>
    <row r="906">
      <c r="A906" s="4" t="str">
        <f>"+"&amp;Sheet3!D906</f>
        <v>+</v>
      </c>
      <c r="B906" s="4" t="str">
        <f>Sheet3!B906</f>
        <v/>
      </c>
      <c r="C906" s="4" t="str">
        <f>Sheet3!C906</f>
        <v/>
      </c>
    </row>
    <row r="907">
      <c r="A907" s="4" t="str">
        <f>"+"&amp;Sheet3!D907</f>
        <v>+</v>
      </c>
      <c r="B907" s="4" t="str">
        <f>Sheet3!B907</f>
        <v/>
      </c>
      <c r="C907" s="4" t="str">
        <f>Sheet3!C907</f>
        <v/>
      </c>
    </row>
    <row r="908">
      <c r="A908" s="4" t="str">
        <f>"+"&amp;Sheet3!D908</f>
        <v>+</v>
      </c>
      <c r="B908" s="4" t="str">
        <f>Sheet3!B908</f>
        <v/>
      </c>
      <c r="C908" s="4" t="str">
        <f>Sheet3!C908</f>
        <v/>
      </c>
    </row>
    <row r="909">
      <c r="A909" s="4" t="str">
        <f>"+"&amp;Sheet3!D909</f>
        <v>+</v>
      </c>
      <c r="B909" s="4" t="str">
        <f>Sheet3!B909</f>
        <v/>
      </c>
      <c r="C909" s="4" t="str">
        <f>Sheet3!C909</f>
        <v/>
      </c>
    </row>
    <row r="910">
      <c r="A910" s="4" t="str">
        <f>"+"&amp;Sheet3!D910</f>
        <v>+</v>
      </c>
      <c r="B910" s="4" t="str">
        <f>Sheet3!B910</f>
        <v/>
      </c>
      <c r="C910" s="4" t="str">
        <f>Sheet3!C910</f>
        <v/>
      </c>
    </row>
    <row r="911">
      <c r="A911" s="4" t="str">
        <f>"+"&amp;Sheet3!D911</f>
        <v>+</v>
      </c>
      <c r="B911" s="4" t="str">
        <f>Sheet3!B911</f>
        <v/>
      </c>
      <c r="C911" s="4" t="str">
        <f>Sheet3!C911</f>
        <v/>
      </c>
    </row>
    <row r="912">
      <c r="A912" s="4" t="str">
        <f>"+"&amp;Sheet3!D912</f>
        <v>+</v>
      </c>
      <c r="B912" s="4" t="str">
        <f>Sheet3!B912</f>
        <v/>
      </c>
      <c r="C912" s="4" t="str">
        <f>Sheet3!C912</f>
        <v/>
      </c>
    </row>
    <row r="913">
      <c r="A913" s="4" t="str">
        <f>"+"&amp;Sheet3!D913</f>
        <v>+</v>
      </c>
      <c r="B913" s="4" t="str">
        <f>Sheet3!B913</f>
        <v/>
      </c>
      <c r="C913" s="4" t="str">
        <f>Sheet3!C913</f>
        <v/>
      </c>
    </row>
    <row r="914">
      <c r="A914" s="4" t="str">
        <f>"+"&amp;Sheet3!D914</f>
        <v>+</v>
      </c>
      <c r="B914" s="4" t="str">
        <f>Sheet3!B914</f>
        <v/>
      </c>
      <c r="C914" s="4" t="str">
        <f>Sheet3!C914</f>
        <v/>
      </c>
    </row>
    <row r="915">
      <c r="A915" s="4" t="str">
        <f>"+"&amp;Sheet3!D915</f>
        <v>+</v>
      </c>
      <c r="B915" s="4" t="str">
        <f>Sheet3!B915</f>
        <v/>
      </c>
      <c r="C915" s="4" t="str">
        <f>Sheet3!C915</f>
        <v/>
      </c>
    </row>
    <row r="916">
      <c r="A916" s="4" t="str">
        <f>"+"&amp;Sheet3!D916</f>
        <v>+</v>
      </c>
      <c r="B916" s="4" t="str">
        <f>Sheet3!B916</f>
        <v/>
      </c>
      <c r="C916" s="4" t="str">
        <f>Sheet3!C916</f>
        <v/>
      </c>
    </row>
    <row r="917">
      <c r="A917" s="4" t="str">
        <f>"+"&amp;Sheet3!D917</f>
        <v>+</v>
      </c>
      <c r="B917" s="4" t="str">
        <f>Sheet3!B917</f>
        <v/>
      </c>
      <c r="C917" s="4" t="str">
        <f>Sheet3!C917</f>
        <v/>
      </c>
    </row>
    <row r="918">
      <c r="A918" s="4" t="str">
        <f>"+"&amp;Sheet3!D918</f>
        <v>+</v>
      </c>
      <c r="B918" s="4" t="str">
        <f>Sheet3!B918</f>
        <v/>
      </c>
      <c r="C918" s="4" t="str">
        <f>Sheet3!C918</f>
        <v/>
      </c>
    </row>
    <row r="919">
      <c r="A919" s="4" t="str">
        <f>"+"&amp;Sheet3!D919</f>
        <v>+</v>
      </c>
      <c r="B919" s="4" t="str">
        <f>Sheet3!B919</f>
        <v/>
      </c>
      <c r="C919" s="4" t="str">
        <f>Sheet3!C919</f>
        <v/>
      </c>
    </row>
    <row r="920">
      <c r="A920" s="4" t="str">
        <f>"+"&amp;Sheet3!D920</f>
        <v>+</v>
      </c>
      <c r="B920" s="4" t="str">
        <f>Sheet3!B920</f>
        <v/>
      </c>
      <c r="C920" s="4" t="str">
        <f>Sheet3!C920</f>
        <v/>
      </c>
    </row>
    <row r="921">
      <c r="A921" s="4" t="str">
        <f>"+"&amp;Sheet3!D921</f>
        <v>+</v>
      </c>
      <c r="B921" s="4" t="str">
        <f>Sheet3!B921</f>
        <v/>
      </c>
      <c r="C921" s="4" t="str">
        <f>Sheet3!C921</f>
        <v/>
      </c>
    </row>
    <row r="922">
      <c r="A922" s="4" t="str">
        <f>"+"&amp;Sheet3!D922</f>
        <v>+</v>
      </c>
      <c r="B922" s="4" t="str">
        <f>Sheet3!B922</f>
        <v/>
      </c>
      <c r="C922" s="4" t="str">
        <f>Sheet3!C922</f>
        <v/>
      </c>
    </row>
    <row r="923">
      <c r="A923" s="4" t="str">
        <f>"+"&amp;Sheet3!D923</f>
        <v>+</v>
      </c>
      <c r="B923" s="4" t="str">
        <f>Sheet3!B923</f>
        <v/>
      </c>
      <c r="C923" s="4" t="str">
        <f>Sheet3!C923</f>
        <v/>
      </c>
    </row>
    <row r="924">
      <c r="A924" s="4" t="str">
        <f>"+"&amp;Sheet3!D924</f>
        <v>+</v>
      </c>
      <c r="B924" s="4" t="str">
        <f>Sheet3!B924</f>
        <v/>
      </c>
      <c r="C924" s="4" t="str">
        <f>Sheet3!C924</f>
        <v/>
      </c>
    </row>
    <row r="925">
      <c r="A925" s="4" t="str">
        <f>"+"&amp;Sheet3!D925</f>
        <v>+</v>
      </c>
      <c r="B925" s="4" t="str">
        <f>Sheet3!B925</f>
        <v/>
      </c>
      <c r="C925" s="4" t="str">
        <f>Sheet3!C925</f>
        <v/>
      </c>
    </row>
    <row r="926">
      <c r="A926" s="4" t="str">
        <f>"+"&amp;Sheet3!D926</f>
        <v>+</v>
      </c>
      <c r="B926" s="4" t="str">
        <f>Sheet3!B926</f>
        <v/>
      </c>
      <c r="C926" s="4" t="str">
        <f>Sheet3!C926</f>
        <v/>
      </c>
    </row>
    <row r="927">
      <c r="A927" s="4" t="str">
        <f>"+"&amp;Sheet3!D927</f>
        <v>+</v>
      </c>
      <c r="B927" s="4" t="str">
        <f>Sheet3!B927</f>
        <v/>
      </c>
      <c r="C927" s="4" t="str">
        <f>Sheet3!C927</f>
        <v/>
      </c>
    </row>
    <row r="928">
      <c r="A928" s="4" t="str">
        <f>"+"&amp;Sheet3!D928</f>
        <v>+</v>
      </c>
      <c r="B928" s="4" t="str">
        <f>Sheet3!B928</f>
        <v/>
      </c>
      <c r="C928" s="4" t="str">
        <f>Sheet3!C928</f>
        <v/>
      </c>
    </row>
    <row r="929">
      <c r="A929" s="4" t="str">
        <f>"+"&amp;Sheet3!D929</f>
        <v>+</v>
      </c>
      <c r="B929" s="4" t="str">
        <f>Sheet3!B929</f>
        <v/>
      </c>
      <c r="C929" s="4" t="str">
        <f>Sheet3!C929</f>
        <v/>
      </c>
    </row>
    <row r="930">
      <c r="A930" s="4" t="str">
        <f>"+"&amp;Sheet3!D930</f>
        <v>+</v>
      </c>
      <c r="B930" s="4" t="str">
        <f>Sheet3!B930</f>
        <v/>
      </c>
      <c r="C930" s="4" t="str">
        <f>Sheet3!C930</f>
        <v/>
      </c>
    </row>
    <row r="931">
      <c r="A931" s="4" t="str">
        <f>"+"&amp;Sheet3!D931</f>
        <v>+</v>
      </c>
      <c r="B931" s="4" t="str">
        <f>Sheet3!B931</f>
        <v/>
      </c>
      <c r="C931" s="4" t="str">
        <f>Sheet3!C931</f>
        <v/>
      </c>
    </row>
    <row r="932">
      <c r="A932" s="4" t="str">
        <f>"+"&amp;Sheet3!D932</f>
        <v>+</v>
      </c>
      <c r="B932" s="4" t="str">
        <f>Sheet3!B932</f>
        <v/>
      </c>
      <c r="C932" s="4" t="str">
        <f>Sheet3!C932</f>
        <v/>
      </c>
    </row>
    <row r="933">
      <c r="A933" s="4" t="str">
        <f>"+"&amp;Sheet3!D933</f>
        <v>+</v>
      </c>
      <c r="B933" s="4" t="str">
        <f>Sheet3!B933</f>
        <v/>
      </c>
      <c r="C933" s="4" t="str">
        <f>Sheet3!C933</f>
        <v/>
      </c>
    </row>
    <row r="934">
      <c r="A934" s="4" t="str">
        <f>"+"&amp;Sheet3!D934</f>
        <v>+</v>
      </c>
      <c r="B934" s="4" t="str">
        <f>Sheet3!B934</f>
        <v/>
      </c>
      <c r="C934" s="4" t="str">
        <f>Sheet3!C934</f>
        <v/>
      </c>
    </row>
    <row r="935">
      <c r="A935" s="4" t="str">
        <f>"+"&amp;Sheet3!D935</f>
        <v>+</v>
      </c>
      <c r="B935" s="4" t="str">
        <f>Sheet3!B935</f>
        <v/>
      </c>
      <c r="C935" s="4" t="str">
        <f>Sheet3!C935</f>
        <v/>
      </c>
    </row>
    <row r="936">
      <c r="A936" s="4" t="str">
        <f>"+"&amp;Sheet3!D936</f>
        <v>+</v>
      </c>
      <c r="B936" s="4" t="str">
        <f>Sheet3!B936</f>
        <v/>
      </c>
      <c r="C936" s="4" t="str">
        <f>Sheet3!C936</f>
        <v/>
      </c>
    </row>
    <row r="937">
      <c r="A937" s="4" t="str">
        <f>"+"&amp;Sheet3!D937</f>
        <v>+</v>
      </c>
      <c r="B937" s="4" t="str">
        <f>Sheet3!B937</f>
        <v/>
      </c>
      <c r="C937" s="4" t="str">
        <f>Sheet3!C937</f>
        <v/>
      </c>
    </row>
    <row r="938">
      <c r="A938" s="4" t="str">
        <f>"+"&amp;Sheet3!D938</f>
        <v>+</v>
      </c>
      <c r="B938" s="4" t="str">
        <f>Sheet3!B938</f>
        <v/>
      </c>
      <c r="C938" s="4" t="str">
        <f>Sheet3!C938</f>
        <v/>
      </c>
    </row>
    <row r="939">
      <c r="A939" s="4" t="str">
        <f>"+"&amp;Sheet3!D939</f>
        <v>+</v>
      </c>
      <c r="B939" s="4" t="str">
        <f>Sheet3!B939</f>
        <v/>
      </c>
      <c r="C939" s="4" t="str">
        <f>Sheet3!C939</f>
        <v/>
      </c>
    </row>
    <row r="940">
      <c r="A940" s="4" t="str">
        <f>"+"&amp;Sheet3!D940</f>
        <v>+</v>
      </c>
      <c r="B940" s="4" t="str">
        <f>Sheet3!B940</f>
        <v/>
      </c>
      <c r="C940" s="4" t="str">
        <f>Sheet3!C940</f>
        <v/>
      </c>
    </row>
    <row r="941">
      <c r="A941" s="4" t="str">
        <f>"+"&amp;Sheet3!D941</f>
        <v>+</v>
      </c>
      <c r="B941" s="4" t="str">
        <f>Sheet3!B941</f>
        <v/>
      </c>
      <c r="C941" s="4" t="str">
        <f>Sheet3!C941</f>
        <v/>
      </c>
    </row>
    <row r="942">
      <c r="A942" s="4" t="str">
        <f>"+"&amp;Sheet3!D942</f>
        <v>+</v>
      </c>
      <c r="B942" s="4" t="str">
        <f>Sheet3!B942</f>
        <v/>
      </c>
      <c r="C942" s="4" t="str">
        <f>Sheet3!C942</f>
        <v/>
      </c>
    </row>
    <row r="943">
      <c r="A943" s="4" t="str">
        <f>"+"&amp;Sheet3!D943</f>
        <v>+</v>
      </c>
      <c r="B943" s="4" t="str">
        <f>Sheet3!B943</f>
        <v/>
      </c>
      <c r="C943" s="4" t="str">
        <f>Sheet3!C943</f>
        <v/>
      </c>
    </row>
    <row r="944">
      <c r="A944" s="4" t="str">
        <f>"+"&amp;Sheet3!D944</f>
        <v>+</v>
      </c>
      <c r="B944" s="4" t="str">
        <f>Sheet3!B944</f>
        <v/>
      </c>
      <c r="C944" s="4" t="str">
        <f>Sheet3!C944</f>
        <v/>
      </c>
    </row>
    <row r="945">
      <c r="A945" s="4" t="str">
        <f>"+"&amp;Sheet3!D945</f>
        <v>+</v>
      </c>
      <c r="B945" s="4" t="str">
        <f>Sheet3!B945</f>
        <v/>
      </c>
      <c r="C945" s="4" t="str">
        <f>Sheet3!C945</f>
        <v/>
      </c>
    </row>
    <row r="946">
      <c r="A946" s="4" t="str">
        <f>"+"&amp;Sheet3!D946</f>
        <v>+</v>
      </c>
      <c r="B946" s="4" t="str">
        <f>Sheet3!B946</f>
        <v/>
      </c>
      <c r="C946" s="4" t="str">
        <f>Sheet3!C946</f>
        <v/>
      </c>
    </row>
    <row r="947">
      <c r="A947" s="4" t="str">
        <f>"+"&amp;Sheet3!D947</f>
        <v>+</v>
      </c>
      <c r="B947" s="4" t="str">
        <f>Sheet3!B947</f>
        <v/>
      </c>
      <c r="C947" s="4" t="str">
        <f>Sheet3!C947</f>
        <v/>
      </c>
    </row>
    <row r="948">
      <c r="A948" s="4" t="str">
        <f>"+"&amp;Sheet3!D948</f>
        <v>+</v>
      </c>
      <c r="B948" s="4" t="str">
        <f>Sheet3!B948</f>
        <v/>
      </c>
      <c r="C948" s="4" t="str">
        <f>Sheet3!C948</f>
        <v/>
      </c>
    </row>
    <row r="949">
      <c r="A949" s="4" t="str">
        <f>"+"&amp;Sheet3!D949</f>
        <v>+</v>
      </c>
      <c r="B949" s="4" t="str">
        <f>Sheet3!B949</f>
        <v/>
      </c>
      <c r="C949" s="4" t="str">
        <f>Sheet3!C949</f>
        <v/>
      </c>
    </row>
    <row r="950">
      <c r="A950" s="4" t="str">
        <f>"+"&amp;Sheet3!D950</f>
        <v>+</v>
      </c>
      <c r="B950" s="4" t="str">
        <f>Sheet3!B950</f>
        <v/>
      </c>
      <c r="C950" s="4" t="str">
        <f>Sheet3!C950</f>
        <v/>
      </c>
    </row>
    <row r="951">
      <c r="A951" s="4" t="str">
        <f>"+"&amp;Sheet3!D951</f>
        <v>+</v>
      </c>
      <c r="B951" s="4" t="str">
        <f>Sheet3!B951</f>
        <v/>
      </c>
      <c r="C951" s="4" t="str">
        <f>Sheet3!C951</f>
        <v/>
      </c>
    </row>
    <row r="952">
      <c r="A952" s="4" t="str">
        <f>"+"&amp;Sheet3!D952</f>
        <v>+</v>
      </c>
      <c r="B952" s="4" t="str">
        <f>Sheet3!B952</f>
        <v/>
      </c>
      <c r="C952" s="4" t="str">
        <f>Sheet3!C952</f>
        <v/>
      </c>
    </row>
    <row r="953">
      <c r="A953" s="4" t="str">
        <f>"+"&amp;Sheet3!D953</f>
        <v>+</v>
      </c>
      <c r="B953" s="4" t="str">
        <f>Sheet3!B953</f>
        <v/>
      </c>
      <c r="C953" s="4" t="str">
        <f>Sheet3!C953</f>
        <v/>
      </c>
    </row>
    <row r="954">
      <c r="A954" s="4" t="str">
        <f>"+"&amp;Sheet3!D954</f>
        <v>+</v>
      </c>
      <c r="B954" s="4" t="str">
        <f>Sheet3!B954</f>
        <v/>
      </c>
      <c r="C954" s="4" t="str">
        <f>Sheet3!C954</f>
        <v/>
      </c>
    </row>
    <row r="955">
      <c r="A955" s="4" t="str">
        <f>"+"&amp;Sheet3!D955</f>
        <v>+</v>
      </c>
      <c r="B955" s="4" t="str">
        <f>Sheet3!B955</f>
        <v/>
      </c>
      <c r="C955" s="4" t="str">
        <f>Sheet3!C955</f>
        <v/>
      </c>
    </row>
    <row r="956">
      <c r="A956" s="4" t="str">
        <f>"+"&amp;Sheet3!D956</f>
        <v>+</v>
      </c>
      <c r="B956" s="4" t="str">
        <f>Sheet3!B956</f>
        <v/>
      </c>
      <c r="C956" s="4" t="str">
        <f>Sheet3!C956</f>
        <v/>
      </c>
    </row>
    <row r="957">
      <c r="A957" s="4" t="str">
        <f>"+"&amp;Sheet3!D957</f>
        <v>+</v>
      </c>
      <c r="B957" s="4" t="str">
        <f>Sheet3!B957</f>
        <v/>
      </c>
      <c r="C957" s="4" t="str">
        <f>Sheet3!C957</f>
        <v/>
      </c>
    </row>
    <row r="958">
      <c r="A958" s="4" t="str">
        <f>"+"&amp;Sheet3!D958</f>
        <v>+</v>
      </c>
      <c r="B958" s="4" t="str">
        <f>Sheet3!B958</f>
        <v/>
      </c>
      <c r="C958" s="4" t="str">
        <f>Sheet3!C958</f>
        <v/>
      </c>
    </row>
    <row r="959">
      <c r="A959" s="4" t="str">
        <f>"+"&amp;Sheet3!D959</f>
        <v>+</v>
      </c>
      <c r="B959" s="4" t="str">
        <f>Sheet3!B959</f>
        <v/>
      </c>
      <c r="C959" s="4" t="str">
        <f>Sheet3!C959</f>
        <v/>
      </c>
    </row>
    <row r="960">
      <c r="A960" s="4" t="str">
        <f>"+"&amp;Sheet3!D960</f>
        <v>+</v>
      </c>
      <c r="B960" s="4" t="str">
        <f>Sheet3!B960</f>
        <v/>
      </c>
      <c r="C960" s="4" t="str">
        <f>Sheet3!C960</f>
        <v/>
      </c>
    </row>
    <row r="961">
      <c r="A961" s="4" t="str">
        <f>"+"&amp;Sheet3!D961</f>
        <v>+</v>
      </c>
      <c r="B961" s="4" t="str">
        <f>Sheet3!B961</f>
        <v/>
      </c>
      <c r="C961" s="4" t="str">
        <f>Sheet3!C961</f>
        <v/>
      </c>
    </row>
    <row r="962">
      <c r="A962" s="4" t="str">
        <f>"+"&amp;Sheet3!D962</f>
        <v>+</v>
      </c>
      <c r="B962" s="4" t="str">
        <f>Sheet3!B962</f>
        <v/>
      </c>
      <c r="C962" s="4" t="str">
        <f>Sheet3!C962</f>
        <v/>
      </c>
    </row>
    <row r="963">
      <c r="A963" s="4" t="str">
        <f>"+"&amp;Sheet3!D963</f>
        <v>+</v>
      </c>
      <c r="B963" s="4" t="str">
        <f>Sheet3!B963</f>
        <v/>
      </c>
      <c r="C963" s="4" t="str">
        <f>Sheet3!C963</f>
        <v/>
      </c>
    </row>
    <row r="964">
      <c r="A964" s="4" t="str">
        <f>"+"&amp;Sheet3!D964</f>
        <v>+</v>
      </c>
      <c r="B964" s="4" t="str">
        <f>Sheet3!B964</f>
        <v/>
      </c>
      <c r="C964" s="4" t="str">
        <f>Sheet3!C964</f>
        <v/>
      </c>
    </row>
    <row r="965">
      <c r="A965" s="4" t="str">
        <f>"+"&amp;Sheet3!D965</f>
        <v>+</v>
      </c>
      <c r="B965" s="4" t="str">
        <f>Sheet3!B965</f>
        <v/>
      </c>
      <c r="C965" s="4" t="str">
        <f>Sheet3!C965</f>
        <v/>
      </c>
    </row>
    <row r="966">
      <c r="A966" s="4" t="str">
        <f>"+"&amp;Sheet3!D966</f>
        <v>+</v>
      </c>
      <c r="B966" s="4" t="str">
        <f>Sheet3!B966</f>
        <v/>
      </c>
      <c r="C966" s="4" t="str">
        <f>Sheet3!C966</f>
        <v/>
      </c>
    </row>
    <row r="967">
      <c r="A967" s="4" t="str">
        <f>"+"&amp;Sheet3!D967</f>
        <v>+</v>
      </c>
      <c r="B967" s="4" t="str">
        <f>Sheet3!B967</f>
        <v/>
      </c>
      <c r="C967" s="4" t="str">
        <f>Sheet3!C967</f>
        <v/>
      </c>
    </row>
    <row r="968">
      <c r="A968" s="4" t="str">
        <f>"+"&amp;Sheet3!D968</f>
        <v>+</v>
      </c>
      <c r="B968" s="4" t="str">
        <f>Sheet3!B968</f>
        <v/>
      </c>
      <c r="C968" s="4" t="str">
        <f>Sheet3!C968</f>
        <v/>
      </c>
    </row>
    <row r="969">
      <c r="A969" s="4" t="str">
        <f>"+"&amp;Sheet3!D969</f>
        <v>+</v>
      </c>
      <c r="B969" s="4" t="str">
        <f>Sheet3!B969</f>
        <v/>
      </c>
      <c r="C969" s="4" t="str">
        <f>Sheet3!C969</f>
        <v/>
      </c>
    </row>
    <row r="970">
      <c r="A970" s="4" t="str">
        <f>"+"&amp;Sheet3!D970</f>
        <v>+</v>
      </c>
      <c r="B970" s="4" t="str">
        <f>Sheet3!B970</f>
        <v/>
      </c>
      <c r="C970" s="4" t="str">
        <f>Sheet3!C970</f>
        <v/>
      </c>
    </row>
    <row r="971">
      <c r="A971" s="4" t="str">
        <f>"+"&amp;Sheet3!D971</f>
        <v>+</v>
      </c>
      <c r="B971" s="4" t="str">
        <f>Sheet3!B971</f>
        <v/>
      </c>
      <c r="C971" s="4" t="str">
        <f>Sheet3!C971</f>
        <v/>
      </c>
    </row>
    <row r="972">
      <c r="A972" s="4" t="str">
        <f>"+"&amp;Sheet3!D972</f>
        <v>+</v>
      </c>
      <c r="B972" s="4" t="str">
        <f>Sheet3!B972</f>
        <v/>
      </c>
      <c r="C972" s="4" t="str">
        <f>Sheet3!C972</f>
        <v/>
      </c>
    </row>
    <row r="973">
      <c r="A973" s="4" t="str">
        <f>"+"&amp;Sheet3!D973</f>
        <v>+</v>
      </c>
      <c r="B973" s="4" t="str">
        <f>Sheet3!B973</f>
        <v/>
      </c>
      <c r="C973" s="4" t="str">
        <f>Sheet3!C973</f>
        <v/>
      </c>
    </row>
    <row r="974">
      <c r="A974" s="4" t="str">
        <f>"+"&amp;Sheet3!D974</f>
        <v>+</v>
      </c>
      <c r="B974" s="4" t="str">
        <f>Sheet3!B974</f>
        <v/>
      </c>
      <c r="C974" s="4" t="str">
        <f>Sheet3!C974</f>
        <v/>
      </c>
    </row>
    <row r="975">
      <c r="A975" s="4" t="str">
        <f>"+"&amp;Sheet3!D975</f>
        <v>+</v>
      </c>
      <c r="B975" s="4" t="str">
        <f>Sheet3!B975</f>
        <v/>
      </c>
      <c r="C975" s="4" t="str">
        <f>Sheet3!C975</f>
        <v/>
      </c>
    </row>
    <row r="976">
      <c r="A976" s="4" t="str">
        <f>"+"&amp;Sheet3!D976</f>
        <v>+</v>
      </c>
      <c r="B976" s="4" t="str">
        <f>Sheet3!B976</f>
        <v/>
      </c>
      <c r="C976" s="4" t="str">
        <f>Sheet3!C976</f>
        <v/>
      </c>
    </row>
    <row r="977">
      <c r="A977" s="4" t="str">
        <f>"+"&amp;Sheet3!D977</f>
        <v>+</v>
      </c>
      <c r="B977" s="4" t="str">
        <f>Sheet3!B977</f>
        <v/>
      </c>
      <c r="C977" s="4" t="str">
        <f>Sheet3!C977</f>
        <v/>
      </c>
    </row>
    <row r="978">
      <c r="A978" s="4" t="str">
        <f>"+"&amp;Sheet3!D978</f>
        <v>+</v>
      </c>
      <c r="B978" s="4" t="str">
        <f>Sheet3!B978</f>
        <v/>
      </c>
      <c r="C978" s="4" t="str">
        <f>Sheet3!C978</f>
        <v/>
      </c>
    </row>
    <row r="979">
      <c r="A979" s="4" t="str">
        <f>"+"&amp;Sheet3!D979</f>
        <v>+</v>
      </c>
      <c r="B979" s="4" t="str">
        <f>Sheet3!B979</f>
        <v/>
      </c>
      <c r="C979" s="4" t="str">
        <f>Sheet3!C979</f>
        <v/>
      </c>
    </row>
    <row r="980">
      <c r="A980" s="4" t="str">
        <f>"+"&amp;Sheet3!D980</f>
        <v>+</v>
      </c>
      <c r="B980" s="4" t="str">
        <f>Sheet3!B980</f>
        <v/>
      </c>
      <c r="C980" s="4" t="str">
        <f>Sheet3!C980</f>
        <v/>
      </c>
    </row>
    <row r="981">
      <c r="A981" s="4" t="str">
        <f>"+"&amp;Sheet3!D981</f>
        <v>+</v>
      </c>
      <c r="B981" s="4" t="str">
        <f>Sheet3!B981</f>
        <v/>
      </c>
      <c r="C981" s="4" t="str">
        <f>Sheet3!C981</f>
        <v/>
      </c>
    </row>
    <row r="982">
      <c r="A982" s="4" t="str">
        <f>"+"&amp;Sheet3!D982</f>
        <v>+</v>
      </c>
      <c r="B982" s="4" t="str">
        <f>Sheet3!B982</f>
        <v/>
      </c>
      <c r="C982" s="4" t="str">
        <f>Sheet3!C982</f>
        <v/>
      </c>
    </row>
    <row r="983">
      <c r="A983" s="4" t="str">
        <f>"+"&amp;Sheet3!D983</f>
        <v>+</v>
      </c>
      <c r="B983" s="4" t="str">
        <f>Sheet3!B983</f>
        <v/>
      </c>
      <c r="C983" s="4" t="str">
        <f>Sheet3!C983</f>
        <v/>
      </c>
    </row>
    <row r="984">
      <c r="A984" s="4" t="str">
        <f>"+"&amp;Sheet3!D984</f>
        <v>+</v>
      </c>
      <c r="B984" s="4" t="str">
        <f>Sheet3!B984</f>
        <v/>
      </c>
      <c r="C984" s="4" t="str">
        <f>Sheet3!C984</f>
        <v/>
      </c>
    </row>
    <row r="985">
      <c r="A985" s="4" t="str">
        <f>"+"&amp;Sheet3!D985</f>
        <v>+</v>
      </c>
      <c r="B985" s="4" t="str">
        <f>Sheet3!B985</f>
        <v/>
      </c>
      <c r="C985" s="4" t="str">
        <f>Sheet3!C985</f>
        <v/>
      </c>
    </row>
    <row r="986">
      <c r="A986" s="4" t="str">
        <f>"+"&amp;Sheet3!D986</f>
        <v>+</v>
      </c>
      <c r="B986" s="4" t="str">
        <f>Sheet3!B986</f>
        <v/>
      </c>
      <c r="C986" s="4" t="str">
        <f>Sheet3!C986</f>
        <v/>
      </c>
    </row>
    <row r="987">
      <c r="A987" s="4" t="str">
        <f>"+"&amp;Sheet3!D987</f>
        <v>+</v>
      </c>
      <c r="B987" s="4" t="str">
        <f>Sheet3!B987</f>
        <v/>
      </c>
      <c r="C987" s="4" t="str">
        <f>Sheet3!C987</f>
        <v/>
      </c>
    </row>
    <row r="988">
      <c r="A988" s="4" t="str">
        <f>"+"&amp;Sheet3!D988</f>
        <v>+</v>
      </c>
      <c r="B988" s="4" t="str">
        <f>Sheet3!B988</f>
        <v/>
      </c>
      <c r="C988" s="4" t="str">
        <f>Sheet3!C988</f>
        <v/>
      </c>
    </row>
    <row r="989">
      <c r="A989" s="4" t="str">
        <f>"+"&amp;Sheet3!D989</f>
        <v>+</v>
      </c>
      <c r="B989" s="4" t="str">
        <f>Sheet3!B989</f>
        <v/>
      </c>
      <c r="C989" s="4" t="str">
        <f>Sheet3!C989</f>
        <v/>
      </c>
    </row>
    <row r="990">
      <c r="A990" s="4" t="str">
        <f>"+"&amp;Sheet3!D990</f>
        <v>+</v>
      </c>
      <c r="B990" s="4" t="str">
        <f>Sheet3!B990</f>
        <v/>
      </c>
      <c r="C990" s="4" t="str">
        <f>Sheet3!C990</f>
        <v/>
      </c>
    </row>
    <row r="991">
      <c r="A991" s="4" t="str">
        <f>"+"&amp;Sheet3!D991</f>
        <v>+</v>
      </c>
      <c r="B991" s="4" t="str">
        <f>Sheet3!B991</f>
        <v/>
      </c>
      <c r="C991" s="4" t="str">
        <f>Sheet3!C991</f>
        <v/>
      </c>
    </row>
    <row r="992">
      <c r="A992" s="4" t="str">
        <f>"+"&amp;Sheet3!D992</f>
        <v>+</v>
      </c>
      <c r="B992" s="4" t="str">
        <f>Sheet3!B992</f>
        <v/>
      </c>
      <c r="C992" s="4" t="str">
        <f>Sheet3!C992</f>
        <v/>
      </c>
    </row>
    <row r="993">
      <c r="A993" s="4" t="str">
        <f>"+"&amp;Sheet3!D993</f>
        <v>+</v>
      </c>
      <c r="B993" s="4" t="str">
        <f>Sheet3!B993</f>
        <v/>
      </c>
      <c r="C993" s="4" t="str">
        <f>Sheet3!C993</f>
        <v/>
      </c>
    </row>
    <row r="994">
      <c r="A994" s="4" t="str">
        <f>"+"&amp;Sheet3!D994</f>
        <v>+</v>
      </c>
      <c r="B994" s="4" t="str">
        <f>Sheet3!B994</f>
        <v/>
      </c>
      <c r="C994" s="4" t="str">
        <f>Sheet3!C994</f>
        <v/>
      </c>
    </row>
    <row r="995">
      <c r="A995" s="4" t="str">
        <f>"+"&amp;Sheet3!D995</f>
        <v>+</v>
      </c>
      <c r="B995" s="4" t="str">
        <f>Sheet3!B995</f>
        <v/>
      </c>
      <c r="C995" s="4" t="str">
        <f>Sheet3!C995</f>
        <v/>
      </c>
    </row>
    <row r="996">
      <c r="A996" s="4" t="str">
        <f>"+"&amp;Sheet3!D996</f>
        <v>+</v>
      </c>
      <c r="B996" s="4" t="str">
        <f>Sheet3!B996</f>
        <v/>
      </c>
      <c r="C996" s="4" t="str">
        <f>Sheet3!C996</f>
        <v/>
      </c>
    </row>
    <row r="997">
      <c r="A997" s="4" t="str">
        <f>"+"&amp;Sheet3!D997</f>
        <v>+</v>
      </c>
      <c r="B997" s="4" t="str">
        <f>Sheet3!B997</f>
        <v/>
      </c>
      <c r="C997" s="4" t="str">
        <f>Sheet3!C997</f>
        <v/>
      </c>
    </row>
    <row r="998">
      <c r="A998" s="4" t="str">
        <f>"+"&amp;Sheet3!D998</f>
        <v>+</v>
      </c>
      <c r="B998" s="4" t="str">
        <f>Sheet3!B998</f>
        <v/>
      </c>
      <c r="C998" s="4" t="str">
        <f>Sheet3!C998</f>
        <v/>
      </c>
    </row>
    <row r="999">
      <c r="A999" s="4" t="str">
        <f>"+"&amp;Sheet3!D999</f>
        <v>+</v>
      </c>
      <c r="B999" s="4" t="str">
        <f>Sheet3!B999</f>
        <v/>
      </c>
      <c r="C999" s="4" t="str">
        <f>Sheet3!C999</f>
        <v/>
      </c>
    </row>
    <row r="1000">
      <c r="A1000" s="4" t="str">
        <f>"+"&amp;Sheet3!D1000</f>
        <v>+</v>
      </c>
      <c r="B1000" s="4" t="str">
        <f>Sheet3!B1000</f>
        <v/>
      </c>
      <c r="C1000" s="4" t="str">
        <f>Sheet3!C1000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34.13"/>
    <col customWidth="1" min="3" max="3" width="24.63"/>
    <col customWidth="1" min="4" max="4" width="21.38"/>
    <col customWidth="1" min="5" max="5" width="11.88"/>
  </cols>
  <sheetData>
    <row r="1">
      <c r="A1" s="32" t="s">
        <v>28</v>
      </c>
      <c r="B1" s="32" t="s">
        <v>29</v>
      </c>
      <c r="C1" s="32" t="s">
        <v>30</v>
      </c>
      <c r="D1" s="32" t="s">
        <v>31</v>
      </c>
      <c r="E1" s="33" t="s">
        <v>32</v>
      </c>
    </row>
    <row r="2">
      <c r="A2" s="34" t="str">
        <f>$E$1&amp;""&amp;textvalue!H2</f>
        <v>+6285853420436</v>
      </c>
      <c r="B2" s="34" t="str">
        <f>textvalue!B2</f>
        <v>DWI MAULIDIYAH</v>
      </c>
      <c r="C2" s="34" t="str">
        <f>textvalue!$E$1&amp;" : "&amp;textvalue!E2&amp;"
"&amp;textvalue!$G$1&amp;" : "&amp;textvalue!G2</f>
        <v>KAMAR : E-9
MADRASIAH : 3 ULA B PUTRI</v>
      </c>
      <c r="D2" s="34" t="str">
        <f>textvalue!Q2</f>
        <v>Syahriyah = Rp 270.000
Jariyah = Rp 0
Daftar Ulang = Rp 0
Total = Rp 270.000
______________________
ID : 2024070596</v>
      </c>
      <c r="E2" s="34" t="str">
        <f>textvalue!P2</f>
        <v>Rp 270.000</v>
      </c>
    </row>
    <row r="3">
      <c r="A3" s="34" t="str">
        <f>$E$1&amp;""&amp;textvalue!H3</f>
        <v>+6289677807375</v>
      </c>
      <c r="B3" s="34" t="str">
        <f>textvalue!B3</f>
        <v>M. FAHMI ALFIYAN NURIL HAQ</v>
      </c>
      <c r="C3" s="34" t="str">
        <f>textvalue!$E$1&amp;" : "&amp;textvalue!E3&amp;"
"&amp;textvalue!$G$1&amp;" : "&amp;textvalue!G3</f>
        <v>KAMAR : A-13
MADRASIAH : </v>
      </c>
      <c r="D3" s="34" t="str">
        <f>textvalue!Q3</f>
        <v>Syahriyah = Rp 410.000
Jariyah = Rp 0
Daftar Ulang = Rp 0
Total = Rp 410.000
______________________
ID : 2024070718</v>
      </c>
      <c r="E3" s="34" t="str">
        <f>textvalue!P3</f>
        <v>Rp 410.000</v>
      </c>
    </row>
    <row r="4">
      <c r="A4" s="34" t="str">
        <f>$E$1&amp;""&amp;textvalue!H4</f>
        <v>+6285731205500</v>
      </c>
      <c r="B4" s="34" t="str">
        <f>textvalue!B4</f>
        <v>MIRZA ATHA HIBATULLAH</v>
      </c>
      <c r="C4" s="34" t="str">
        <f>textvalue!$E$1&amp;" : "&amp;textvalue!E4&amp;"
"&amp;textvalue!$G$1&amp;" : "&amp;textvalue!G4</f>
        <v>KAMAR : A-13
MADRASIAH : </v>
      </c>
      <c r="D4" s="34" t="str">
        <f>textvalue!Q4</f>
        <v>Syahriyah = Rp 410.000
Jariyah = Rp 0
Daftar Ulang = Rp 0
Total = Rp 410.000
______________________
ID : 2024070600</v>
      </c>
      <c r="E4" s="34" t="str">
        <f>textvalue!P4</f>
        <v>Rp 410.000</v>
      </c>
    </row>
    <row r="5">
      <c r="A5" s="34" t="str">
        <f>$E$1&amp;""&amp;textvalue!H5</f>
        <v>+6285649525237</v>
      </c>
      <c r="B5" s="34" t="str">
        <f>textvalue!B5</f>
        <v>ABIDAH OKTA SALSABILA</v>
      </c>
      <c r="C5" s="34" t="str">
        <f>textvalue!$E$1&amp;" : "&amp;textvalue!E5&amp;"
"&amp;textvalue!$G$1&amp;" : "&amp;textvalue!G5</f>
        <v>KAMAR : C-9
MADRASIAH : 3 WUSTHO B PUTRI</v>
      </c>
      <c r="D5" s="34" t="str">
        <f>textvalue!Q5</f>
        <v>Syahriyah = Rp 450.000
Jariyah = Rp 0
Daftar Ulang = Rp 0
Total = Rp 450.000
______________________
ID : 2024070146</v>
      </c>
      <c r="E5" s="34" t="str">
        <f>textvalue!P5</f>
        <v>Rp 450.000</v>
      </c>
    </row>
    <row r="6">
      <c r="A6" s="34" t="str">
        <f>$E$1&amp;""&amp;textvalue!H6</f>
        <v>+6281330117049</v>
      </c>
      <c r="B6" s="34" t="str">
        <f>textvalue!B6</f>
        <v>AHMAD SUSETO ANGGA SUKMA</v>
      </c>
      <c r="C6" s="34" t="str">
        <f>textvalue!$E$1&amp;" : "&amp;textvalue!E6&amp;"
"&amp;textvalue!$G$1&amp;" : "&amp;textvalue!G6</f>
        <v>KAMAR : A-7
MADRASIAH : 3 ULA B PUTRA</v>
      </c>
      <c r="D6" s="34" t="str">
        <f>textvalue!Q6</f>
        <v>Syahriyah = Rp 450.000
Jariyah = Rp 0
Daftar Ulang = Rp 0
Total = Rp 450.000
______________________
ID : 2024070601</v>
      </c>
      <c r="E6" s="34" t="str">
        <f>textvalue!P6</f>
        <v>Rp 450.000</v>
      </c>
    </row>
    <row r="7">
      <c r="A7" s="34" t="str">
        <f>$E$1&amp;""&amp;textvalue!H7</f>
        <v>+6285859539394</v>
      </c>
      <c r="B7" s="34" t="str">
        <f>textvalue!B7</f>
        <v>ALFA FALAJ SALSABILA</v>
      </c>
      <c r="C7" s="34" t="str">
        <f>textvalue!$E$1&amp;" : "&amp;textvalue!E7&amp;"
"&amp;textvalue!$G$1&amp;" : "&amp;textvalue!G7</f>
        <v>KAMAR : C-3
MADRASIAH : 3 ULA C PUTRI</v>
      </c>
      <c r="D7" s="34" t="str">
        <f>textvalue!Q7</f>
        <v>Syahriyah = Rp 450.000
Jariyah = Rp 0
Daftar Ulang = Rp 0
Total = Rp 450.000
______________________
ID : 2024070611</v>
      </c>
      <c r="E7" s="34" t="str">
        <f>textvalue!P7</f>
        <v>Rp 450.000</v>
      </c>
    </row>
    <row r="8">
      <c r="A8" s="34" t="str">
        <f>$E$1&amp;""&amp;textvalue!H8</f>
        <v>+6282234721856</v>
      </c>
      <c r="B8" s="34" t="str">
        <f>textvalue!B8</f>
        <v>AZZA IBNU ARJUN</v>
      </c>
      <c r="C8" s="34" t="str">
        <f>textvalue!$E$1&amp;" : "&amp;textvalue!E8&amp;"
"&amp;textvalue!$G$1&amp;" : "&amp;textvalue!G8</f>
        <v>KAMAR : A-8
MADRASIAH : 3 ULA A PUTRA</v>
      </c>
      <c r="D8" s="34" t="str">
        <f>textvalue!Q8</f>
        <v>Syahriyah = Rp 450.000
Jariyah = Rp 0
Daftar Ulang = Rp 0
Total = Rp 450.000
______________________
ID : 2024090771</v>
      </c>
      <c r="E8" s="34" t="str">
        <f>textvalue!P8</f>
        <v>Rp 450.000</v>
      </c>
    </row>
    <row r="9">
      <c r="A9" s="34" t="str">
        <f>$E$1&amp;""&amp;textvalue!H9</f>
        <v>+6285851833747</v>
      </c>
      <c r="B9" s="34" t="str">
        <f>textvalue!B9</f>
        <v>BINTANG FARSYA HUSBANA</v>
      </c>
      <c r="C9" s="34" t="str">
        <f>textvalue!$E$1&amp;" : "&amp;textvalue!E9&amp;"
"&amp;textvalue!$G$1&amp;" : "&amp;textvalue!G9</f>
        <v>KAMAR : A-7
MADRASIAH : 3 ULA A PUTRA</v>
      </c>
      <c r="D9" s="34" t="str">
        <f>textvalue!Q9</f>
        <v>Syahriyah = Rp 450.000
Jariyah = Rp 0
Daftar Ulang = Rp 0
Total = Rp 450.000
______________________
ID : 2024070646</v>
      </c>
      <c r="E9" s="34" t="str">
        <f>textvalue!P9</f>
        <v>Rp 450.000</v>
      </c>
    </row>
    <row r="10">
      <c r="A10" s="34" t="str">
        <f>$E$1&amp;""&amp;textvalue!H10</f>
        <v>+6285808407652</v>
      </c>
      <c r="B10" s="34" t="str">
        <f>textvalue!B10</f>
        <v>DILLA AGUSTIAWATI PUTRI</v>
      </c>
      <c r="C10" s="34" t="str">
        <f>textvalue!$E$1&amp;" : "&amp;textvalue!E10&amp;"
"&amp;textvalue!$G$1&amp;" : "&amp;textvalue!G10</f>
        <v>KAMAR : C-13
MADRASIAH : 3 ULA C PUTRI</v>
      </c>
      <c r="D10" s="34" t="str">
        <f>textvalue!Q10</f>
        <v>Syahriyah = Rp 450.000
Jariyah = Rp 0
Daftar Ulang = Rp 0
Total = Rp 450.000
______________________
ID : 2024070532</v>
      </c>
      <c r="E10" s="34" t="str">
        <f>textvalue!P10</f>
        <v>Rp 450.000</v>
      </c>
    </row>
    <row r="11">
      <c r="A11" s="34" t="str">
        <f>$E$1&amp;""&amp;textvalue!H11</f>
        <v>+6282337956113</v>
      </c>
      <c r="B11" s="34" t="str">
        <f>textvalue!B11</f>
        <v>FATMA NAJWA ZAHIRA</v>
      </c>
      <c r="C11" s="34" t="str">
        <f>textvalue!$E$1&amp;" : "&amp;textvalue!E11&amp;"
"&amp;textvalue!$G$1&amp;" : "&amp;textvalue!G11</f>
        <v>KAMAR : C-12
MADRASIAH : 3 ULA B PUTRI</v>
      </c>
      <c r="D11" s="34" t="str">
        <f>textvalue!Q11</f>
        <v>Syahriyah = Rp 450.000
Jariyah = Rp 0
Daftar Ulang = Rp 0
Total = Rp 450.000
______________________
ID : 2024070497</v>
      </c>
      <c r="E11" s="34" t="str">
        <f>textvalue!P11</f>
        <v>Rp 450.000</v>
      </c>
    </row>
    <row r="12">
      <c r="A12" s="34" t="str">
        <f>$E$1&amp;""&amp;textvalue!H12</f>
        <v>+6282333086607</v>
      </c>
      <c r="B12" s="34" t="str">
        <f>textvalue!B12</f>
        <v>LABIB AZAM</v>
      </c>
      <c r="C12" s="34" t="str">
        <f>textvalue!$E$1&amp;" : "&amp;textvalue!E12&amp;"
"&amp;textvalue!$G$1&amp;" : "&amp;textvalue!G12</f>
        <v>KAMAR : A-7
MADRASIAH : 3 ULA A PUTRA</v>
      </c>
      <c r="D12" s="34" t="str">
        <f>textvalue!Q12</f>
        <v>Syahriyah = Rp 450.000
Jariyah = Rp 0
Daftar Ulang = Rp 0
Total = Rp 450.000
______________________
ID : 2024070756</v>
      </c>
      <c r="E12" s="34" t="str">
        <f>textvalue!P12</f>
        <v>Rp 450.000</v>
      </c>
    </row>
    <row r="13">
      <c r="A13" s="34" t="str">
        <f>$E$1&amp;""&amp;textvalue!H13</f>
        <v>+628568406710</v>
      </c>
      <c r="B13" s="34" t="str">
        <f>textvalue!B13</f>
        <v>M. SATRIA PUTRA AMILINA</v>
      </c>
      <c r="C13" s="34" t="str">
        <f>textvalue!$E$1&amp;" : "&amp;textvalue!E13&amp;"
"&amp;textvalue!$G$1&amp;" : "&amp;textvalue!G13</f>
        <v>KAMAR : A-10
MADRASIAH : 3 WUSTHO PUTRA</v>
      </c>
      <c r="D13" s="34" t="str">
        <f>textvalue!Q13</f>
        <v>Syahriyah = Rp 450.000
Jariyah = Rp 0
Daftar Ulang = Rp 0
Total = Rp 450.000
______________________
ID : 2024070092</v>
      </c>
      <c r="E13" s="34" t="str">
        <f>textvalue!P13</f>
        <v>Rp 450.000</v>
      </c>
    </row>
    <row r="14">
      <c r="A14" s="34" t="str">
        <f>$E$1&amp;""&amp;textvalue!H14</f>
        <v>+628557692330</v>
      </c>
      <c r="B14" s="34" t="str">
        <f>textvalue!B14</f>
        <v>MAHATMA SATYA GRAHA</v>
      </c>
      <c r="C14" s="34" t="str">
        <f>textvalue!$E$1&amp;" : "&amp;textvalue!E14&amp;"
"&amp;textvalue!$G$1&amp;" : "&amp;textvalue!G14</f>
        <v>KAMAR : A-10
MADRASIAH : 3 WUSTHO PUTRA</v>
      </c>
      <c r="D14" s="34" t="str">
        <f>textvalue!Q14</f>
        <v>Syahriyah = Rp 450.000
Jariyah = Rp 0
Daftar Ulang = Rp 0
Total = Rp 450.000
______________________
ID : 2024070407</v>
      </c>
      <c r="E14" s="34" t="str">
        <f>textvalue!P14</f>
        <v>Rp 450.000</v>
      </c>
    </row>
    <row r="15">
      <c r="A15" s="34" t="str">
        <f>$E$1&amp;""&amp;textvalue!H15</f>
        <v>+6282237520701</v>
      </c>
      <c r="B15" s="34" t="str">
        <f>textvalue!B15</f>
        <v>MOCHAMMAD NEIZTAHUL HUDA</v>
      </c>
      <c r="C15" s="34" t="str">
        <f>textvalue!$E$1&amp;" : "&amp;textvalue!E15&amp;"
"&amp;textvalue!$G$1&amp;" : "&amp;textvalue!G15</f>
        <v>KAMAR : A-8
MADRASIAH : 3 ULA B PUTRA</v>
      </c>
      <c r="D15" s="34" t="str">
        <f>textvalue!Q15</f>
        <v>Syahriyah = Rp 450.000
Jariyah = Rp 0
Daftar Ulang = Rp 0
Total = Rp 450.000
______________________
ID : 2024070626</v>
      </c>
      <c r="E15" s="34" t="str">
        <f>textvalue!P15</f>
        <v>Rp 450.000</v>
      </c>
    </row>
    <row r="16">
      <c r="A16" s="34" t="str">
        <f>$E$1&amp;""&amp;textvalue!H16</f>
        <v>+6282199817002</v>
      </c>
      <c r="B16" s="34" t="str">
        <f>textvalue!B16</f>
        <v>MUHAMMAD ALAM FIRMANSYAH</v>
      </c>
      <c r="C16" s="34" t="str">
        <f>textvalue!$E$1&amp;" : "&amp;textvalue!E16&amp;"
"&amp;textvalue!$G$1&amp;" : "&amp;textvalue!G16</f>
        <v>KAMAR : A-8
MADRASIAH : 3 ULA A PUTRA</v>
      </c>
      <c r="D16" s="34" t="str">
        <f>textvalue!Q16</f>
        <v>Syahriyah = Rp 450.000
Jariyah = Rp 0
Daftar Ulang = Rp 0
Total = Rp 450.000
______________________
ID : 2024070506</v>
      </c>
      <c r="E16" s="34" t="str">
        <f>textvalue!P16</f>
        <v>Rp 450.000</v>
      </c>
    </row>
    <row r="17">
      <c r="A17" s="34" t="str">
        <f>$E$1&amp;""&amp;textvalue!H17</f>
        <v>+6281216068509</v>
      </c>
      <c r="B17" s="34" t="str">
        <f>textvalue!B17</f>
        <v>MUHAMMAD SYA`DANA</v>
      </c>
      <c r="C17" s="34" t="str">
        <f>textvalue!$E$1&amp;" : "&amp;textvalue!E17&amp;"
"&amp;textvalue!$G$1&amp;" : "&amp;textvalue!G17</f>
        <v>KAMAR : A-10
MADRASIAH : 3 WUSTHO PUTRA</v>
      </c>
      <c r="D17" s="34" t="str">
        <f>textvalue!Q17</f>
        <v>Syahriyah = Rp 450.000
Jariyah = Rp 0
Daftar Ulang = Rp 0
Total = Rp 450.000
______________________
ID : 2024070715</v>
      </c>
      <c r="E17" s="34" t="str">
        <f>textvalue!P17</f>
        <v>Rp 450.000</v>
      </c>
    </row>
    <row r="18">
      <c r="A18" s="34" t="str">
        <f>$E$1&amp;""&amp;textvalue!H18</f>
        <v>+6285812677937</v>
      </c>
      <c r="B18" s="34" t="str">
        <f>textvalue!B18</f>
        <v>AHMAD BAHRUL FITRONI</v>
      </c>
      <c r="C18" s="34" t="str">
        <f>textvalue!$E$1&amp;" : "&amp;textvalue!E18&amp;"
"&amp;textvalue!$G$1&amp;" : "&amp;textvalue!G18</f>
        <v>KAMAR : A-8
MADRASIAH : 3 ULA B PUTRA</v>
      </c>
      <c r="D18" s="34" t="str">
        <f>textvalue!Q18</f>
        <v>Syahriyah = Rp 0
Jariyah = Rp 500.000
Daftar Ulang = Rp 0
Total = Rp 500.000
______________________
ID : 2024070534</v>
      </c>
      <c r="E18" s="34" t="str">
        <f>textvalue!P18</f>
        <v>Rp 500.000</v>
      </c>
    </row>
    <row r="19">
      <c r="A19" s="34" t="str">
        <f>$E$1&amp;""&amp;textvalue!H19</f>
        <v>+6281559586998</v>
      </c>
      <c r="B19" s="34" t="str">
        <f>textvalue!B19</f>
        <v>AIDZILA DHEA ANANTA</v>
      </c>
      <c r="C19" s="34" t="str">
        <f>textvalue!$E$1&amp;" : "&amp;textvalue!E19&amp;"
"&amp;textvalue!$G$1&amp;" : "&amp;textvalue!G19</f>
        <v>KAMAR : C-12
MADRASIAH : 3 ULA C PUTRI</v>
      </c>
      <c r="D19" s="34" t="str">
        <f>textvalue!Q19</f>
        <v>Syahriyah = Rp 0
Jariyah = Rp 500.000
Daftar Ulang = Rp 0
Total = Rp 500.000
______________________
ID : 2024070495</v>
      </c>
      <c r="E19" s="34" t="str">
        <f>textvalue!P19</f>
        <v>Rp 500.000</v>
      </c>
    </row>
    <row r="20">
      <c r="A20" s="34" t="str">
        <f>$E$1&amp;""&amp;textvalue!H20</f>
        <v>+6285731317533</v>
      </c>
      <c r="B20" s="34" t="str">
        <f>textvalue!B20</f>
        <v>ATHIIYAH AULIYA`UL MUSHOFAROH</v>
      </c>
      <c r="C20" s="34" t="str">
        <f>textvalue!$E$1&amp;" : "&amp;textvalue!E20&amp;"
"&amp;textvalue!$G$1&amp;" : "&amp;textvalue!G20</f>
        <v>KAMAR : C-3
MADRASIAH : </v>
      </c>
      <c r="D20" s="34" t="str">
        <f>textvalue!Q20</f>
        <v>Syahriyah = Rp 0
Jariyah = Rp 500.000
Daftar Ulang = Rp 0
Total = Rp 500.000
______________________
ID : 2024070631</v>
      </c>
      <c r="E20" s="34" t="str">
        <f>textvalue!P20</f>
        <v>Rp 500.000</v>
      </c>
    </row>
    <row r="21">
      <c r="A21" s="34" t="str">
        <f>$E$1&amp;""&amp;textvalue!H21</f>
        <v>+6281554492983</v>
      </c>
      <c r="B21" s="34" t="str">
        <f>textvalue!B21</f>
        <v>ATINA AZKAL FUADAH</v>
      </c>
      <c r="C21" s="34" t="str">
        <f>textvalue!$E$1&amp;" : "&amp;textvalue!E21&amp;"
"&amp;textvalue!$G$1&amp;" : "&amp;textvalue!G21</f>
        <v>KAMAR : E-3
MADRASIAH : 3 ULA B PUTRI</v>
      </c>
      <c r="D21" s="34" t="str">
        <f>textvalue!Q21</f>
        <v>Syahriyah = Rp 500.000
Jariyah = Rp 0
Daftar Ulang = Rp 0
Total = Rp 500.000
______________________
ID : 2024070474</v>
      </c>
      <c r="E21" s="34" t="str">
        <f>textvalue!P21</f>
        <v>Rp 500.000</v>
      </c>
    </row>
    <row r="22">
      <c r="A22" s="34" t="str">
        <f>$E$1&amp;""&amp;textvalue!H22</f>
        <v>+6282143068892</v>
      </c>
      <c r="B22" s="34" t="str">
        <f>textvalue!B22</f>
        <v>AZZAM ABDILLAH SAPTA</v>
      </c>
      <c r="C22" s="34" t="str">
        <f>textvalue!$E$1&amp;" : "&amp;textvalue!E22&amp;"
"&amp;textvalue!$G$1&amp;" : "&amp;textvalue!G22</f>
        <v>KAMAR : A-8
MADRASIAH : 3 ULA B PUTRA</v>
      </c>
      <c r="D22" s="34" t="str">
        <f>textvalue!Q22</f>
        <v>Syahriyah = Rp 0
Jariyah = Rp 500.000
Daftar Ulang = Rp 0
Total = Rp 500.000
______________________
ID : 2024070590</v>
      </c>
      <c r="E22" s="34" t="str">
        <f>textvalue!P22</f>
        <v>Rp 500.000</v>
      </c>
    </row>
    <row r="23">
      <c r="A23" s="34" t="str">
        <f>$E$1&amp;""&amp;textvalue!H23</f>
        <v>+6285738565150</v>
      </c>
      <c r="B23" s="34" t="str">
        <f>textvalue!B23</f>
        <v>BAGAS KHOIRUL AZAM</v>
      </c>
      <c r="C23" s="34" t="str">
        <f>textvalue!$E$1&amp;" : "&amp;textvalue!E23&amp;"
"&amp;textvalue!$G$1&amp;" : "&amp;textvalue!G23</f>
        <v>KAMAR : A-8
MADRASIAH : 3 ULA A PUTRA</v>
      </c>
      <c r="D23" s="34" t="str">
        <f>textvalue!Q23</f>
        <v>Syahriyah = Rp 0
Jariyah = Rp 500.000
Daftar Ulang = Rp 0
Total = Rp 500.000
______________________
ID : 2024070452</v>
      </c>
      <c r="E23" s="34" t="str">
        <f>textvalue!P23</f>
        <v>Rp 500.000</v>
      </c>
    </row>
    <row r="24">
      <c r="A24" s="34" t="str">
        <f>$E$1&amp;""&amp;textvalue!H24</f>
        <v>+62895801050384</v>
      </c>
      <c r="B24" s="34" t="str">
        <f>textvalue!B24</f>
        <v>BATRISYIA ALFILZAH</v>
      </c>
      <c r="C24" s="34" t="str">
        <f>textvalue!$E$1&amp;" : "&amp;textvalue!E24&amp;"
"&amp;textvalue!$G$1&amp;" : "&amp;textvalue!G24</f>
        <v>KAMAR : E-2
MADRASIAH : 3 ULA A PUTRI</v>
      </c>
      <c r="D24" s="34" t="str">
        <f>textvalue!Q24</f>
        <v>Syahriyah = Rp 500.000
Jariyah = Rp 0
Daftar Ulang = Rp 0
Total = Rp 500.000
______________________
ID : 2024070634</v>
      </c>
      <c r="E24" s="34" t="str">
        <f>textvalue!P24</f>
        <v>Rp 500.000</v>
      </c>
    </row>
    <row r="25">
      <c r="A25" s="34" t="str">
        <f>$E$1&amp;""&amp;textvalue!H25</f>
        <v>+6285748023154</v>
      </c>
      <c r="B25" s="34" t="str">
        <f>textvalue!B25</f>
        <v>DEWI LAILA ANISAH SHOFIYAH</v>
      </c>
      <c r="C25" s="34" t="str">
        <f>textvalue!$E$1&amp;" : "&amp;textvalue!E25&amp;"
"&amp;textvalue!$G$1&amp;" : "&amp;textvalue!G25</f>
        <v>KAMAR : C-9
MADRASIAH : 3 WUSTHO A PUTRI</v>
      </c>
      <c r="D25" s="34" t="str">
        <f>textvalue!Q25</f>
        <v>Syahriyah = Rp 0
Jariyah = Rp 500.000
Daftar Ulang = Rp 0
Total = Rp 500.000
______________________
ID : 2024070373</v>
      </c>
      <c r="E25" s="34" t="str">
        <f>textvalue!P25</f>
        <v>Rp 500.000</v>
      </c>
    </row>
    <row r="26">
      <c r="A26" s="34" t="str">
        <f>$E$1&amp;""&amp;textvalue!H26</f>
        <v>+6281255133458</v>
      </c>
      <c r="B26" s="34" t="str">
        <f>textvalue!B26</f>
        <v>DINI WAHYU NINGTYAS</v>
      </c>
      <c r="C26" s="34" t="str">
        <f>textvalue!$E$1&amp;" : "&amp;textvalue!E26&amp;"
"&amp;textvalue!$G$1&amp;" : "&amp;textvalue!G26</f>
        <v>KAMAR : B-4
MADRASIAH : 3 WUSTHO C PUTRI</v>
      </c>
      <c r="D26" s="34" t="str">
        <f>textvalue!Q26</f>
        <v>Syahriyah = Rp 0
Jariyah = Rp 500.000
Daftar Ulang = Rp 0
Total = Rp 500.000
______________________
ID : 2024070688</v>
      </c>
      <c r="E26" s="34" t="str">
        <f>textvalue!P26</f>
        <v>Rp 500.000</v>
      </c>
    </row>
    <row r="27">
      <c r="A27" s="34" t="str">
        <f>$E$1&amp;""&amp;textvalue!H27</f>
        <v>+6281553483950</v>
      </c>
      <c r="B27" s="34" t="str">
        <f>textvalue!B27</f>
        <v>DIVA APRILIA SHOLIKHA</v>
      </c>
      <c r="C27" s="34" t="str">
        <f>textvalue!$E$1&amp;" : "&amp;textvalue!E27&amp;"
"&amp;textvalue!$G$1&amp;" : "&amp;textvalue!G27</f>
        <v>KAMAR : C-8
MADRASIAH : 3 WUSTHO A PUTRI</v>
      </c>
      <c r="D27" s="34" t="str">
        <f>textvalue!Q27</f>
        <v>Syahriyah = Rp 0
Jariyah = Rp 500.000
Daftar Ulang = Rp 0
Total = Rp 500.000
______________________
ID : 2024070223</v>
      </c>
      <c r="E27" s="34" t="str">
        <f>textvalue!P27</f>
        <v>Rp 500.000</v>
      </c>
    </row>
    <row r="28">
      <c r="A28" s="34" t="str">
        <f>$E$1&amp;""&amp;textvalue!H28</f>
        <v>+6287794103025</v>
      </c>
      <c r="B28" s="34" t="str">
        <f>textvalue!B28</f>
        <v>ELSA LAILATUN NIHAYAH</v>
      </c>
      <c r="C28" s="34" t="str">
        <f>textvalue!$E$1&amp;" : "&amp;textvalue!E28&amp;"
"&amp;textvalue!$G$1&amp;" : "&amp;textvalue!G28</f>
        <v>KAMAR : C-9
MADRASIAH : 3 WUSTHO B PUTRI</v>
      </c>
      <c r="D28" s="34" t="str">
        <f>textvalue!Q28</f>
        <v>Syahriyah = Rp 0
Jariyah = Rp 500.000
Daftar Ulang = Rp 0
Total = Rp 500.000
______________________
ID : 2024070112</v>
      </c>
      <c r="E28" s="34" t="str">
        <f>textvalue!P28</f>
        <v>Rp 500.000</v>
      </c>
    </row>
    <row r="29">
      <c r="A29" s="34" t="str">
        <f>$E$1&amp;""&amp;textvalue!H29</f>
        <v>+6282233810314</v>
      </c>
      <c r="B29" s="34" t="str">
        <f>textvalue!B29</f>
        <v>ERIN MAULIDIAH</v>
      </c>
      <c r="C29" s="34" t="str">
        <f>textvalue!$E$1&amp;" : "&amp;textvalue!E29&amp;"
"&amp;textvalue!$G$1&amp;" : "&amp;textvalue!G29</f>
        <v>KAMAR : E-3
MADRASIAH : 3 ULA B PUTRI</v>
      </c>
      <c r="D29" s="34" t="str">
        <f>textvalue!Q29</f>
        <v>Syahriyah = Rp 0
Jariyah = Rp 500.000
Daftar Ulang = Rp 0
Total = Rp 500.000
______________________
ID : 2024070475</v>
      </c>
      <c r="E29" s="34" t="str">
        <f>textvalue!P29</f>
        <v>Rp 500.000</v>
      </c>
    </row>
    <row r="30">
      <c r="A30" s="34" t="str">
        <f>$E$1&amp;""&amp;textvalue!H30</f>
        <v>+6285791612653</v>
      </c>
      <c r="B30" s="34" t="str">
        <f>textvalue!B30</f>
        <v>FAIQOTUR RIFDAH AL ABIDAH</v>
      </c>
      <c r="C30" s="34" t="str">
        <f>textvalue!$E$1&amp;" : "&amp;textvalue!E30&amp;"
"&amp;textvalue!$G$1&amp;" : "&amp;textvalue!G30</f>
        <v>KAMAR : E-2
MADRASIAH : 3 ULA B PUTRI</v>
      </c>
      <c r="D30" s="34" t="str">
        <f>textvalue!Q30</f>
        <v>Syahriyah = Rp 0
Jariyah = Rp 500.000
Daftar Ulang = Rp 0
Total = Rp 500.000
______________________
ID : 2024070487</v>
      </c>
      <c r="E30" s="34" t="str">
        <f>textvalue!P30</f>
        <v>Rp 500.000</v>
      </c>
    </row>
    <row r="31">
      <c r="A31" s="34" t="str">
        <f>$E$1&amp;""&amp;textvalue!H31</f>
        <v>+6285730482785</v>
      </c>
      <c r="B31" s="34" t="str">
        <f>textvalue!B31</f>
        <v>FAIRUZZABADI WAHYU MAHFUL</v>
      </c>
      <c r="C31" s="34" t="str">
        <f>textvalue!$E$1&amp;" : "&amp;textvalue!E31&amp;"
"&amp;textvalue!$G$1&amp;" : "&amp;textvalue!G31</f>
        <v>KAMAR : A-7
MADRASIAH : 3 ULA A PUTRA</v>
      </c>
      <c r="D31" s="34" t="str">
        <f>textvalue!Q31</f>
        <v>Syahriyah = Rp 0
Jariyah = Rp 500.000
Daftar Ulang = Rp 0
Total = Rp 500.000
______________________
ID : 2024070458</v>
      </c>
      <c r="E31" s="34" t="str">
        <f>textvalue!P31</f>
        <v>Rp 500.000</v>
      </c>
    </row>
    <row r="32">
      <c r="A32" s="34" t="str">
        <f>$E$1&amp;""&amp;textvalue!H32</f>
        <v>+6281332772930</v>
      </c>
      <c r="B32" s="34" t="str">
        <f>textvalue!B32</f>
        <v>FARAH OKTARIAN SYAHPUTRI</v>
      </c>
      <c r="C32" s="34" t="str">
        <f>textvalue!$E$1&amp;" : "&amp;textvalue!E32&amp;"
"&amp;textvalue!$G$1&amp;" : "&amp;textvalue!G32</f>
        <v>KAMAR : E-9
MADRASIAH : 3 ULA C PUTRI</v>
      </c>
      <c r="D32" s="34" t="str">
        <f>textvalue!Q32</f>
        <v>Syahriyah = Rp 0
Jariyah = Rp 500.000
Daftar Ulang = Rp 0
Total = Rp 500.000
______________________
ID : 2024070466</v>
      </c>
      <c r="E32" s="34" t="str">
        <f>textvalue!P32</f>
        <v>Rp 500.000</v>
      </c>
    </row>
    <row r="33">
      <c r="A33" s="34" t="str">
        <f>$E$1&amp;""&amp;textvalue!H33</f>
        <v>+6285645468404</v>
      </c>
      <c r="B33" s="34" t="str">
        <f>textvalue!B33</f>
        <v>FARIKHA AULIA SALSABILLAH</v>
      </c>
      <c r="C33" s="34" t="str">
        <f>textvalue!$E$1&amp;" : "&amp;textvalue!E33&amp;"
"&amp;textvalue!$G$1&amp;" : "&amp;textvalue!G33</f>
        <v>KAMAR : C-4
MADRASIAH : 3 WUSTHO B PUTRI</v>
      </c>
      <c r="D33" s="34" t="str">
        <f>textvalue!Q33</f>
        <v>Syahriyah = Rp 0
Jariyah = Rp 500.000
Daftar Ulang = Rp 0
Total = Rp 500.000
______________________
ID : 2024070074</v>
      </c>
      <c r="E33" s="34" t="str">
        <f>textvalue!P33</f>
        <v>Rp 500.000</v>
      </c>
    </row>
    <row r="34">
      <c r="A34" s="34" t="str">
        <f>$E$1&amp;""&amp;textvalue!H34</f>
        <v>+6285706056735</v>
      </c>
      <c r="B34" s="34" t="str">
        <f>textvalue!B34</f>
        <v>FATIMAH AZ-ZAHRAH</v>
      </c>
      <c r="C34" s="34" t="str">
        <f>textvalue!$E$1&amp;" : "&amp;textvalue!E34&amp;"
"&amp;textvalue!$G$1&amp;" : "&amp;textvalue!G34</f>
        <v>KAMAR : B-9
MADRASIAH : 3 ULA B PUTRI</v>
      </c>
      <c r="D34" s="34" t="str">
        <f>textvalue!Q34</f>
        <v>Syahriyah = Rp 0
Jariyah = Rp 500.000
Daftar Ulang = Rp 0
Total = Rp 500.000
______________________
ID : 2024070507</v>
      </c>
      <c r="E34" s="34" t="str">
        <f>textvalue!P34</f>
        <v>Rp 500.000</v>
      </c>
    </row>
    <row r="35">
      <c r="A35" s="34" t="str">
        <f>$E$1&amp;""&amp;textvalue!H35</f>
        <v>+6285756513128</v>
      </c>
      <c r="B35" s="34" t="str">
        <f>textvalue!B35</f>
        <v>GALANG SAPUTRA</v>
      </c>
      <c r="C35" s="34" t="str">
        <f>textvalue!$E$1&amp;" : "&amp;textvalue!E35&amp;"
"&amp;textvalue!$G$1&amp;" : "&amp;textvalue!G35</f>
        <v>KAMAR : A-8
MADRASIAH : 3 ULA A PUTRA</v>
      </c>
      <c r="D35" s="34" t="str">
        <f>textvalue!Q35</f>
        <v>Syahriyah = Rp 0
Jariyah = Rp 500.000
Daftar Ulang = Rp 0
Total = Rp 500.000
______________________
ID : 2024070730</v>
      </c>
      <c r="E35" s="34" t="str">
        <f>textvalue!P35</f>
        <v>Rp 500.000</v>
      </c>
    </row>
    <row r="36">
      <c r="A36" s="34" t="str">
        <f>$E$1&amp;""&amp;textvalue!H36</f>
        <v>+6281260170147</v>
      </c>
      <c r="B36" s="34" t="str">
        <f>textvalue!B36</f>
        <v>GHITA RAINA AZZAHRA PRIYANTO</v>
      </c>
      <c r="C36" s="34" t="str">
        <f>textvalue!$E$1&amp;" : "&amp;textvalue!E36&amp;"
"&amp;textvalue!$G$1&amp;" : "&amp;textvalue!G36</f>
        <v>KAMAR : C-12
MADRASIAH : 3 ULA C PUTRI</v>
      </c>
      <c r="D36" s="34" t="str">
        <f>textvalue!Q36</f>
        <v>Syahriyah = Rp 0
Jariyah = Rp 500.000
Daftar Ulang = Rp 0
Total = Rp 500.000
______________________
ID : 2024070636</v>
      </c>
      <c r="E36" s="34" t="str">
        <f>textvalue!P36</f>
        <v>Rp 500.000</v>
      </c>
    </row>
    <row r="37">
      <c r="A37" s="34" t="str">
        <f>$E$1&amp;""&amp;textvalue!H37</f>
        <v>+6281216694589</v>
      </c>
      <c r="B37" s="34" t="str">
        <f>textvalue!B37</f>
        <v>HAMDAN ALIEF</v>
      </c>
      <c r="C37" s="34" t="str">
        <f>textvalue!$E$1&amp;" : "&amp;textvalue!E37&amp;"
"&amp;textvalue!$G$1&amp;" : "&amp;textvalue!G37</f>
        <v>KAMAR : A-7
MADRASIAH : 3 ULA A PUTRA</v>
      </c>
      <c r="D37" s="34" t="str">
        <f>textvalue!Q37</f>
        <v>Syahriyah = Rp 0
Jariyah = Rp 500.000
Daftar Ulang = Rp 0
Total = Rp 500.000
______________________
ID : 2024070663</v>
      </c>
      <c r="E37" s="34" t="str">
        <f>textvalue!P37</f>
        <v>Rp 500.000</v>
      </c>
    </row>
    <row r="38">
      <c r="A38" s="34" t="str">
        <f>$E$1&amp;""&amp;textvalue!H38</f>
        <v>+628570216013</v>
      </c>
      <c r="B38" s="34" t="str">
        <f>textvalue!B38</f>
        <v>HILDA AFRILLIA SALSA FUNNY</v>
      </c>
      <c r="C38" s="34" t="str">
        <f>textvalue!$E$1&amp;" : "&amp;textvalue!E38&amp;"
"&amp;textvalue!$G$1&amp;" : "&amp;textvalue!G38</f>
        <v>KAMAR : C-12
MADRASIAH : 3 ULA C PUTRI</v>
      </c>
      <c r="D38" s="34" t="str">
        <f>textvalue!Q38</f>
        <v>Syahriyah = Rp 0
Jariyah = Rp 500.000
Daftar Ulang = Rp 0
Total = Rp 500.000
______________________
ID : 2024070609</v>
      </c>
      <c r="E38" s="34" t="str">
        <f>textvalue!P38</f>
        <v>Rp 500.000</v>
      </c>
    </row>
    <row r="39">
      <c r="A39" s="34" t="str">
        <f>$E$1&amp;""&amp;textvalue!H39</f>
        <v>+628564039966</v>
      </c>
      <c r="B39" s="34" t="str">
        <f>textvalue!B39</f>
        <v>KEYSHA BRILLYAN FEBIANA</v>
      </c>
      <c r="C39" s="34" t="str">
        <f>textvalue!$E$1&amp;" : "&amp;textvalue!E39&amp;"
"&amp;textvalue!$G$1&amp;" : "&amp;textvalue!G39</f>
        <v>KAMAR : E-3
MADRASIAH : 3 ULA C PUTRI</v>
      </c>
      <c r="D39" s="34" t="str">
        <f>textvalue!Q39</f>
        <v>Syahriyah = Rp 0
Jariyah = Rp 500.000
Daftar Ulang = Rp 0
Total = Rp 500.000
______________________
ID : 2024070513</v>
      </c>
      <c r="E39" s="34" t="str">
        <f>textvalue!P39</f>
        <v>Rp 500.000</v>
      </c>
    </row>
    <row r="40">
      <c r="A40" s="34" t="str">
        <f>$E$1&amp;""&amp;textvalue!H40</f>
        <v>+6281331012600</v>
      </c>
      <c r="B40" s="34" t="str">
        <f>textvalue!B40</f>
        <v>LALUNA NAYRA KAMILA</v>
      </c>
      <c r="C40" s="34" t="str">
        <f>textvalue!$E$1&amp;" : "&amp;textvalue!E40&amp;"
"&amp;textvalue!$G$1&amp;" : "&amp;textvalue!G40</f>
        <v>KAMAR : D-6
MADRASIAH : 3 WUSTHO C PUTRI</v>
      </c>
      <c r="D40" s="34" t="str">
        <f>textvalue!Q40</f>
        <v>Syahriyah = Rp 0
Jariyah = Rp 500.000
Daftar Ulang = Rp 0
Total = Rp 500.000
______________________
ID : 2025070425</v>
      </c>
      <c r="E40" s="34" t="str">
        <f>textvalue!P40</f>
        <v>Rp 500.000</v>
      </c>
    </row>
    <row r="41">
      <c r="A41" s="34" t="str">
        <f>$E$1&amp;""&amp;textvalue!H41</f>
        <v>+6285704248674</v>
      </c>
      <c r="B41" s="34" t="str">
        <f>textvalue!B41</f>
        <v>M. SYAHRUL BAHRI ALSYAFIK</v>
      </c>
      <c r="C41" s="34" t="str">
        <f>textvalue!$E$1&amp;" : "&amp;textvalue!E41&amp;"
"&amp;textvalue!$G$1&amp;" : "&amp;textvalue!G41</f>
        <v>KAMAR : A-8
MADRASIAH : 3 ULA B PUTRA</v>
      </c>
      <c r="D41" s="34" t="str">
        <f>textvalue!Q41</f>
        <v>Syahriyah = Rp 0
Jariyah = Rp 500.000
Daftar Ulang = Rp 0
Total = Rp 500.000
______________________
ID : 2024070628</v>
      </c>
      <c r="E41" s="34" t="str">
        <f>textvalue!P41</f>
        <v>Rp 500.000</v>
      </c>
    </row>
    <row r="42">
      <c r="A42" s="34" t="str">
        <f>$E$1&amp;""&amp;textvalue!H42</f>
        <v>+6285859618682</v>
      </c>
      <c r="B42" s="34" t="str">
        <f>textvalue!B42</f>
        <v>MALICHAH KAMILA ARIANI</v>
      </c>
      <c r="C42" s="34" t="str">
        <f>textvalue!$E$1&amp;" : "&amp;textvalue!E42&amp;"
"&amp;textvalue!$G$1&amp;" : "&amp;textvalue!G42</f>
        <v>KAMAR : C-9
MADRASIAH : </v>
      </c>
      <c r="D42" s="34" t="str">
        <f>textvalue!Q42</f>
        <v>Syahriyah = Rp 0
Jariyah = Rp 500.000
Daftar Ulang = Rp 0
Total = Rp 500.000
______________________
ID : 2024070331</v>
      </c>
      <c r="E42" s="34" t="str">
        <f>textvalue!P42</f>
        <v>Rp 500.000</v>
      </c>
    </row>
    <row r="43">
      <c r="A43" s="34" t="str">
        <f>$E$1&amp;""&amp;textvalue!H43</f>
        <v>+6281230455748</v>
      </c>
      <c r="B43" s="34" t="str">
        <f>textvalue!B43</f>
        <v>MUHAMMAD ALFIN JAMIL</v>
      </c>
      <c r="C43" s="34" t="str">
        <f>textvalue!$E$1&amp;" : "&amp;textvalue!E43&amp;"
"&amp;textvalue!$G$1&amp;" : "&amp;textvalue!G43</f>
        <v>KAMAR : A-7
MADRASIAH : 3 ULA A PUTRA</v>
      </c>
      <c r="D43" s="34" t="str">
        <f>textvalue!Q43</f>
        <v>Syahriyah = Rp 0
Jariyah = Rp 500.000
Daftar Ulang = Rp 0
Total = Rp 500.000
______________________
ID : 2024070503</v>
      </c>
      <c r="E43" s="34" t="str">
        <f>textvalue!P43</f>
        <v>Rp 500.000</v>
      </c>
    </row>
    <row r="44">
      <c r="A44" s="34" t="str">
        <f>$E$1&amp;""&amp;textvalue!H44</f>
        <v>+6289533798465</v>
      </c>
      <c r="B44" s="34" t="str">
        <f>textvalue!B44</f>
        <v>MUHAMMAD FADLY HANANIA RABBANI</v>
      </c>
      <c r="C44" s="34" t="str">
        <f>textvalue!$E$1&amp;" : "&amp;textvalue!E44&amp;"
"&amp;textvalue!$G$1&amp;" : "&amp;textvalue!G44</f>
        <v>KAMAR : A-8
MADRASIAH : 3 ULA A PUTRA</v>
      </c>
      <c r="D44" s="34" t="str">
        <f>textvalue!Q44</f>
        <v>Syahriyah = Rp 0
Jariyah = Rp 500.000
Daftar Ulang = Rp 0
Total = Rp 500.000
______________________
ID : 2024070457</v>
      </c>
      <c r="E44" s="34" t="str">
        <f>textvalue!P44</f>
        <v>Rp 500.000</v>
      </c>
    </row>
    <row r="45">
      <c r="A45" s="34" t="str">
        <f>$E$1&amp;""&amp;textvalue!H45</f>
        <v>+6285748905402</v>
      </c>
      <c r="B45" s="34" t="str">
        <f>textvalue!B45</f>
        <v>MUHAMMAD HANIF AFIYAN</v>
      </c>
      <c r="C45" s="34" t="str">
        <f>textvalue!$E$1&amp;" : "&amp;textvalue!E45&amp;"
"&amp;textvalue!$G$1&amp;" : "&amp;textvalue!G45</f>
        <v>KAMAR : A-7
MADRASIAH : 3 ULA A PUTRA</v>
      </c>
      <c r="D45" s="34" t="str">
        <f>textvalue!Q45</f>
        <v>Syahriyah = Rp 0
Jariyah = Rp 500.000
Daftar Ulang = Rp 0
Total = Rp 500.000
______________________
ID : 2024070486</v>
      </c>
      <c r="E45" s="34" t="str">
        <f>textvalue!P45</f>
        <v>Rp 500.000</v>
      </c>
    </row>
    <row r="46">
      <c r="A46" s="34" t="str">
        <f>$E$1&amp;""&amp;textvalue!H46</f>
        <v>+6285648380596</v>
      </c>
      <c r="B46" s="34" t="str">
        <f>textvalue!B46</f>
        <v>MUHAMMAD RISKI MISHBAHUL MUNIR</v>
      </c>
      <c r="C46" s="34" t="str">
        <f>textvalue!$E$1&amp;" : "&amp;textvalue!E46&amp;"
"&amp;textvalue!$G$1&amp;" : "&amp;textvalue!G46</f>
        <v>KAMAR : A-8
MADRASIAH : 3 ULA B PUTRA</v>
      </c>
      <c r="D46" s="34" t="str">
        <f>textvalue!Q46</f>
        <v>Syahriyah = Rp 0
Jariyah = Rp 500.000
Daftar Ulang = Rp 0
Total = Rp 500.000
______________________
ID : 2024070535</v>
      </c>
      <c r="E46" s="34" t="str">
        <f>textvalue!P46</f>
        <v>Rp 500.000</v>
      </c>
    </row>
    <row r="47">
      <c r="A47" s="34" t="str">
        <f>$E$1&amp;""&amp;textvalue!H47</f>
        <v>+6281331944544</v>
      </c>
      <c r="B47" s="34" t="str">
        <f>textvalue!B47</f>
        <v>NADIYATAN NAQI`</v>
      </c>
      <c r="C47" s="34" t="str">
        <f>textvalue!$E$1&amp;" : "&amp;textvalue!E47&amp;"
"&amp;textvalue!$G$1&amp;" : "&amp;textvalue!G47</f>
        <v>KAMAR : C-2
MADRASIAH : </v>
      </c>
      <c r="D47" s="34" t="str">
        <f>textvalue!Q47</f>
        <v>Syahriyah = Rp 0
Jariyah = Rp 500.000
Daftar Ulang = Rp 0
Total = Rp 500.000
______________________
ID : 2024070017</v>
      </c>
      <c r="E47" s="34" t="str">
        <f>textvalue!P47</f>
        <v>Rp 500.000</v>
      </c>
    </row>
    <row r="48">
      <c r="A48" s="34" t="str">
        <f>$E$1&amp;""&amp;textvalue!H48</f>
        <v>+6285804308769</v>
      </c>
      <c r="B48" s="34" t="str">
        <f>textvalue!B48</f>
        <v>NAILA MALIHA PUTRI</v>
      </c>
      <c r="C48" s="34" t="str">
        <f>textvalue!$E$1&amp;" : "&amp;textvalue!E48&amp;"
"&amp;textvalue!$G$1&amp;" : "&amp;textvalue!G48</f>
        <v>KAMAR : B-5
MADRASIAH : 3 WUSTHO C PUTRI</v>
      </c>
      <c r="D48" s="34" t="str">
        <f>textvalue!Q48</f>
        <v>Syahriyah = Rp 0
Jariyah = Rp 500.000
Daftar Ulang = Rp 0
Total = Rp 500.000
______________________
ID : 2024070161</v>
      </c>
      <c r="E48" s="34" t="str">
        <f>textvalue!P48</f>
        <v>Rp 500.000</v>
      </c>
    </row>
    <row r="49">
      <c r="A49" s="34" t="str">
        <f>$E$1&amp;""&amp;textvalue!H49</f>
        <v>+6285785360969</v>
      </c>
      <c r="B49" s="34" t="str">
        <f>textvalue!B49</f>
        <v>NAILATUN NUR LAILATUL QUDSIYAH</v>
      </c>
      <c r="C49" s="34" t="str">
        <f>textvalue!$E$1&amp;" : "&amp;textvalue!E49&amp;"
"&amp;textvalue!$G$1&amp;" : "&amp;textvalue!G49</f>
        <v>KAMAR : B-10
MADRASIAH : 3 ULA A PUTRI</v>
      </c>
      <c r="D49" s="34" t="str">
        <f>textvalue!Q49</f>
        <v>Syahriyah = Rp 0
Jariyah = Rp 500.000
Daftar Ulang = Rp 0
Total = Rp 500.000
______________________
ID : 2024070726</v>
      </c>
      <c r="E49" s="34" t="str">
        <f>textvalue!P49</f>
        <v>Rp 500.000</v>
      </c>
    </row>
    <row r="50">
      <c r="A50" s="34" t="str">
        <f>$E$1&amp;""&amp;textvalue!H50</f>
        <v>+6281455138598</v>
      </c>
      <c r="B50" s="34" t="str">
        <f>textvalue!B50</f>
        <v>NIKMAH PUTRI ISMAWATI</v>
      </c>
      <c r="C50" s="34" t="str">
        <f>textvalue!$E$1&amp;" : "&amp;textvalue!E50&amp;"
"&amp;textvalue!$G$1&amp;" : "&amp;textvalue!G50</f>
        <v>KAMAR : D-6
MADRASIAH : 3 MAK PUTRI</v>
      </c>
      <c r="D50" s="34" t="str">
        <f>textvalue!Q50</f>
        <v>Syahriyah = Rp 0
Jariyah = Rp 500.000
Daftar Ulang = Rp 0
Total = Rp 500.000
______________________
ID : 2024070432</v>
      </c>
      <c r="E50" s="34" t="str">
        <f>textvalue!P50</f>
        <v>Rp 500.000</v>
      </c>
    </row>
    <row r="51">
      <c r="A51" s="34" t="str">
        <f>$E$1&amp;""&amp;textvalue!H51</f>
        <v>+6285732999616</v>
      </c>
      <c r="B51" s="34" t="str">
        <f>textvalue!B51</f>
        <v>NINDY AULIA PUTRI</v>
      </c>
      <c r="C51" s="34" t="str">
        <f>textvalue!$E$1&amp;" : "&amp;textvalue!E51&amp;"
"&amp;textvalue!$G$1&amp;" : "&amp;textvalue!G51</f>
        <v>KAMAR : C-7
MADRASIAH : 3 MAK PUTRI</v>
      </c>
      <c r="D51" s="34" t="str">
        <f>textvalue!Q51</f>
        <v>Syahriyah = Rp 0
Jariyah = Rp 500.000
Daftar Ulang = Rp 0
Total = Rp 500.000
______________________
ID : 2024070434</v>
      </c>
      <c r="E51" s="34" t="str">
        <f>textvalue!P51</f>
        <v>Rp 500.000</v>
      </c>
    </row>
    <row r="52">
      <c r="A52" s="34" t="str">
        <f>$E$1&amp;""&amp;textvalue!H52</f>
        <v>+6285746646918</v>
      </c>
      <c r="B52" s="34" t="str">
        <f>textvalue!B52</f>
        <v>NUR AWWALIN AFIDATUSSOFA</v>
      </c>
      <c r="C52" s="34" t="str">
        <f>textvalue!$E$1&amp;" : "&amp;textvalue!E52&amp;"
"&amp;textvalue!$G$1&amp;" : "&amp;textvalue!G52</f>
        <v>KAMAR : E-2
MADRASIAH : 3 ULA B PUTRI</v>
      </c>
      <c r="D52" s="34" t="str">
        <f>textvalue!Q52</f>
        <v>Syahriyah = Rp 0
Jariyah = Rp 500.000
Daftar Ulang = Rp 0
Total = Rp 500.000
______________________
ID : 2024070518</v>
      </c>
      <c r="E52" s="34" t="str">
        <f>textvalue!P52</f>
        <v>Rp 500.000</v>
      </c>
    </row>
    <row r="53">
      <c r="A53" s="34" t="str">
        <f>$E$1&amp;""&amp;textvalue!H53</f>
        <v>+6288235840830</v>
      </c>
      <c r="B53" s="34" t="str">
        <f>textvalue!B53</f>
        <v>NUR IZZAH SYAFIRAH</v>
      </c>
      <c r="C53" s="34" t="str">
        <f>textvalue!$E$1&amp;" : "&amp;textvalue!E53&amp;"
"&amp;textvalue!$G$1&amp;" : "&amp;textvalue!G53</f>
        <v>KAMAR : C-9
MADRASIAH : 3 WUSTHO B PUTRI</v>
      </c>
      <c r="D53" s="34" t="str">
        <f>textvalue!Q53</f>
        <v>Syahriyah = Rp 0
Jariyah = Rp 500.000
Daftar Ulang = Rp 0
Total = Rp 500.000
______________________
ID : 2024070234</v>
      </c>
      <c r="E53" s="34" t="str">
        <f>textvalue!P53</f>
        <v>Rp 500.000</v>
      </c>
    </row>
    <row r="54">
      <c r="A54" s="34" t="str">
        <f>$E$1&amp;""&amp;textvalue!H54</f>
        <v>+6285730196160</v>
      </c>
      <c r="B54" s="34" t="str">
        <f>textvalue!B54</f>
        <v>NUR MA`RIFAH</v>
      </c>
      <c r="C54" s="34" t="str">
        <f>textvalue!$E$1&amp;" : "&amp;textvalue!E54&amp;"
"&amp;textvalue!$G$1&amp;" : "&amp;textvalue!G54</f>
        <v>KAMAR : B-9
MADRASIAH : 3 ULA B PUTRI</v>
      </c>
      <c r="D54" s="34" t="str">
        <f>textvalue!Q54</f>
        <v>Syahriyah = Rp 0
Jariyah = Rp 500.000
Daftar Ulang = Rp 0
Total = Rp 500.000
______________________
ID : 2024070578</v>
      </c>
      <c r="E54" s="34" t="str">
        <f>textvalue!P54</f>
        <v>Rp 500.000</v>
      </c>
    </row>
    <row r="55">
      <c r="A55" s="34" t="str">
        <f>$E$1&amp;""&amp;textvalue!H55</f>
        <v>+6285546527780</v>
      </c>
      <c r="B55" s="34" t="str">
        <f>textvalue!B55</f>
        <v>NUR RIZKI FEBRIAN WAHYU PUTRA</v>
      </c>
      <c r="C55" s="34" t="str">
        <f>textvalue!$E$1&amp;" : "&amp;textvalue!E55&amp;"
"&amp;textvalue!$G$1&amp;" : "&amp;textvalue!G55</f>
        <v>KAMAR : A-8
MADRASIAH : 3 ULA A PUTRA</v>
      </c>
      <c r="D55" s="34" t="str">
        <f>textvalue!Q55</f>
        <v>Syahriyah = Rp 0
Jariyah = Rp 500.000
Daftar Ulang = Rp 0
Total = Rp 500.000
______________________
ID : 2024070516</v>
      </c>
      <c r="E55" s="34" t="str">
        <f>textvalue!P55</f>
        <v>Rp 500.000</v>
      </c>
    </row>
    <row r="56">
      <c r="A56" s="34" t="str">
        <f>$E$1&amp;""&amp;textvalue!H56</f>
        <v>+6285731338909</v>
      </c>
      <c r="B56" s="34" t="str">
        <f>textvalue!B56</f>
        <v>NURUN NAJWA ARROHMANIYAH</v>
      </c>
      <c r="C56" s="34" t="str">
        <f>textvalue!$E$1&amp;" : "&amp;textvalue!E56&amp;"
"&amp;textvalue!$G$1&amp;" : "&amp;textvalue!G56</f>
        <v>KAMAR : C-8
MADRASIAH : </v>
      </c>
      <c r="D56" s="34" t="str">
        <f>textvalue!Q56</f>
        <v>Syahriyah = Rp 0
Jariyah = Rp 500.000
Daftar Ulang = Rp 0
Total = Rp 500.000
______________________
ID : 2024070119</v>
      </c>
      <c r="E56" s="34" t="str">
        <f>textvalue!P56</f>
        <v>Rp 500.000</v>
      </c>
    </row>
    <row r="57">
      <c r="A57" s="34" t="str">
        <f>$E$1&amp;""&amp;textvalue!H57</f>
        <v>+6289535203055</v>
      </c>
      <c r="B57" s="34" t="str">
        <f>textvalue!B57</f>
        <v>RHEISYA BRILIANT OKTAVIANI</v>
      </c>
      <c r="C57" s="34" t="str">
        <f>textvalue!$E$1&amp;" : "&amp;textvalue!E57&amp;"
"&amp;textvalue!$G$1&amp;" : "&amp;textvalue!G57</f>
        <v>KAMAR : E-9
MADRASIAH : 3 ULA C PUTRI</v>
      </c>
      <c r="D57" s="34" t="str">
        <f>textvalue!Q57</f>
        <v>Syahriyah = Rp 0
Jariyah = Rp 500.000
Daftar Ulang = Rp 0
Total = Rp 500.000
______________________
ID : 2024070536</v>
      </c>
      <c r="E57" s="34" t="str">
        <f>textvalue!P57</f>
        <v>Rp 500.000</v>
      </c>
    </row>
    <row r="58">
      <c r="A58" s="34" t="str">
        <f>$E$1&amp;""&amp;textvalue!H58</f>
        <v>+6285234346480</v>
      </c>
      <c r="B58" s="34" t="str">
        <f>textvalue!B58</f>
        <v>RIZATUL ZAMIRA ATMAJA</v>
      </c>
      <c r="C58" s="34" t="str">
        <f>textvalue!$E$1&amp;" : "&amp;textvalue!E58&amp;"
"&amp;textvalue!$G$1&amp;" : "&amp;textvalue!G58</f>
        <v>KAMAR : C-13
MADRASIAH : 3 ULA C PUTRI</v>
      </c>
      <c r="D58" s="34" t="str">
        <f>textvalue!Q58</f>
        <v>Syahriyah = Rp 0
Jariyah = Rp 500.000
Daftar Ulang = Rp 0
Total = Rp 500.000
______________________
ID : 2024070493</v>
      </c>
      <c r="E58" s="34" t="str">
        <f>textvalue!P58</f>
        <v>Rp 500.000</v>
      </c>
    </row>
    <row r="59">
      <c r="A59" s="34" t="str">
        <f>$E$1&amp;""&amp;textvalue!H59</f>
        <v>+6285788313508</v>
      </c>
      <c r="B59" s="34" t="str">
        <f>textvalue!B59</f>
        <v>SELLY NOVI ANDINI</v>
      </c>
      <c r="C59" s="34" t="str">
        <f>textvalue!$E$1&amp;" : "&amp;textvalue!E59&amp;"
"&amp;textvalue!$G$1&amp;" : "&amp;textvalue!G59</f>
        <v>KAMAR : B-10
MADRASIAH : 3 ULA A PUTRI</v>
      </c>
      <c r="D59" s="34" t="str">
        <f>textvalue!Q59</f>
        <v>Syahriyah = Rp 0
Jariyah = Rp 500.000
Daftar Ulang = Rp 0
Total = Rp 500.000
______________________
ID : 2024070727</v>
      </c>
      <c r="E59" s="34" t="str">
        <f>textvalue!P59</f>
        <v>Rp 500.000</v>
      </c>
    </row>
    <row r="60">
      <c r="A60" s="34" t="str">
        <f>$E$1&amp;""&amp;textvalue!H60</f>
        <v>+6285648607075</v>
      </c>
      <c r="B60" s="34" t="str">
        <f>textvalue!B60</f>
        <v>AHMAD AGUS JAZULI IRFAN</v>
      </c>
      <c r="C60" s="34" t="str">
        <f>textvalue!$E$1&amp;" : "&amp;textvalue!E60&amp;"
"&amp;textvalue!$G$1&amp;" : "&amp;textvalue!G60</f>
        <v>KAMAR : A-10
MADRASIAH : 3 WUSTHO PUTRA</v>
      </c>
      <c r="D60" s="34" t="str">
        <f>textvalue!Q60</f>
        <v>Syahriyah = Rp 900.000
Jariyah = Rp 0
Daftar Ulang = Rp 0
Total = Rp 900.000
______________________
ID : 2024070719</v>
      </c>
      <c r="E60" s="34" t="str">
        <f>textvalue!P60</f>
        <v>Rp 900.000</v>
      </c>
    </row>
    <row r="61">
      <c r="A61" s="34" t="str">
        <f>$E$1&amp;""&amp;textvalue!H61</f>
        <v>+6281555999169</v>
      </c>
      <c r="B61" s="34" t="str">
        <f>textvalue!B61</f>
        <v>BELLA KAMALIA AISYI</v>
      </c>
      <c r="C61" s="34" t="str">
        <f>textvalue!$E$1&amp;" : "&amp;textvalue!E61&amp;"
"&amp;textvalue!$G$1&amp;" : "&amp;textvalue!G61</f>
        <v>KAMAR : D-4
MADRASIAH : 3 ULA A PUTRI</v>
      </c>
      <c r="D61" s="34" t="str">
        <f>textvalue!Q61</f>
        <v>Syahriyah = Rp 900.000
Jariyah = Rp 0
Daftar Ulang = Rp 0
Total = Rp 900.000
______________________
ID : 2024070595</v>
      </c>
      <c r="E61" s="34" t="str">
        <f>textvalue!P61</f>
        <v>Rp 900.000</v>
      </c>
    </row>
    <row r="62">
      <c r="A62" s="34" t="str">
        <f>$E$1&amp;""&amp;textvalue!H62</f>
        <v>+6285738157018</v>
      </c>
      <c r="B62" s="34" t="str">
        <f>textvalue!B62</f>
        <v>DZULFIKAR KEIMAL ALAWY</v>
      </c>
      <c r="C62" s="34" t="str">
        <f>textvalue!$E$1&amp;" : "&amp;textvalue!E62&amp;"
"&amp;textvalue!$G$1&amp;" : "&amp;textvalue!G62</f>
        <v>KAMAR : A-10
MADRASIAH : 3 ULA A PUTRA</v>
      </c>
      <c r="D62" s="34" t="str">
        <f>textvalue!Q62</f>
        <v>Syahriyah = Rp 900.000
Jariyah = Rp 0
Daftar Ulang = Rp 0
Total = Rp 900.000
______________________
ID : 2025070661</v>
      </c>
      <c r="E62" s="34" t="str">
        <f>textvalue!P62</f>
        <v>Rp 900.000</v>
      </c>
    </row>
    <row r="63">
      <c r="A63" s="34" t="str">
        <f>$E$1&amp;""&amp;textvalue!H63</f>
        <v>+6285791219990</v>
      </c>
      <c r="B63" s="34" t="str">
        <f>textvalue!B63</f>
        <v>FAIQOTU NABILA</v>
      </c>
      <c r="C63" s="34" t="str">
        <f>textvalue!$E$1&amp;" : "&amp;textvalue!E63&amp;"
"&amp;textvalue!$G$1&amp;" : "&amp;textvalue!G63</f>
        <v>KAMAR : C-9
MADRASIAH : </v>
      </c>
      <c r="D63" s="34" t="str">
        <f>textvalue!Q63</f>
        <v>Syahriyah = Rp 900.000
Jariyah = Rp 0
Daftar Ulang = Rp 0
Total = Rp 900.000
______________________
ID : 2024070346</v>
      </c>
      <c r="E63" s="34" t="str">
        <f>textvalue!P63</f>
        <v>Rp 900.000</v>
      </c>
    </row>
    <row r="64">
      <c r="A64" s="34" t="str">
        <f>$E$1&amp;""&amp;textvalue!H64</f>
        <v>+6285604656734</v>
      </c>
      <c r="B64" s="34" t="str">
        <f>textvalue!B64</f>
        <v>ISMAUL HUSNAH</v>
      </c>
      <c r="C64" s="34" t="str">
        <f>textvalue!$E$1&amp;" : "&amp;textvalue!E64&amp;"
"&amp;textvalue!$G$1&amp;" : "&amp;textvalue!G64</f>
        <v>KAMAR : C-8
MADRASIAH : 3 WUSTHO A PUTRI</v>
      </c>
      <c r="D64" s="34" t="str">
        <f>textvalue!Q64</f>
        <v>Syahriyah = Rp 900.000
Jariyah = Rp 0
Daftar Ulang = Rp 0
Total = Rp 900.000
______________________
ID : 2024070704</v>
      </c>
      <c r="E64" s="34" t="str">
        <f>textvalue!P64</f>
        <v>Rp 900.000</v>
      </c>
    </row>
    <row r="65">
      <c r="A65" s="34" t="str">
        <f>$E$1&amp;""&amp;textvalue!H65</f>
        <v>+6285815031286</v>
      </c>
      <c r="B65" s="34" t="str">
        <f>textvalue!B65</f>
        <v>MEIRZA TRISNA DWI ANDINI</v>
      </c>
      <c r="C65" s="34" t="str">
        <f>textvalue!$E$1&amp;" : "&amp;textvalue!E65&amp;"
"&amp;textvalue!$G$1&amp;" : "&amp;textvalue!G65</f>
        <v>KAMAR : C-3
MADRASIAH : 3 ULA C PUTRI</v>
      </c>
      <c r="D65" s="34" t="str">
        <f>textvalue!Q65</f>
        <v>Syahriyah = Rp 900.000
Jariyah = Rp 0
Daftar Ulang = Rp 0
Total = Rp 900.000
______________________
ID : 2024070732</v>
      </c>
      <c r="E65" s="34" t="str">
        <f>textvalue!P65</f>
        <v>Rp 900.000</v>
      </c>
    </row>
    <row r="66">
      <c r="A66" s="34" t="str">
        <f>$E$1&amp;""&amp;textvalue!H66</f>
        <v>+6285733111734</v>
      </c>
      <c r="B66" s="34" t="str">
        <f>textvalue!B66</f>
        <v>ALFIYAN NADA FIRDAUS</v>
      </c>
      <c r="C66" s="34" t="str">
        <f>textvalue!$E$1&amp;" : "&amp;textvalue!E66&amp;"
"&amp;textvalue!$G$1&amp;" : "&amp;textvalue!G66</f>
        <v>KAMAR : A-13
MADRASIAH : </v>
      </c>
      <c r="D66" s="34" t="str">
        <f>textvalue!Q66</f>
        <v>Syahriyah = Rp 410.000
Jariyah = Rp 500.000
Daftar Ulang = Rp 0
Total = Rp 910.000
______________________
ID : 2024070566</v>
      </c>
      <c r="E66" s="34" t="str">
        <f>textvalue!P66</f>
        <v>Rp 910.000</v>
      </c>
    </row>
    <row r="67">
      <c r="A67" s="34" t="str">
        <f>$E$1&amp;""&amp;textvalue!H67</f>
        <v>+6285706603124</v>
      </c>
      <c r="B67" s="34" t="str">
        <f>textvalue!B67</f>
        <v>ADELIAH PUTRI FEBRIANI</v>
      </c>
      <c r="C67" s="34" t="str">
        <f>textvalue!$E$1&amp;" : "&amp;textvalue!E67&amp;"
"&amp;textvalue!$G$1&amp;" : "&amp;textvalue!G67</f>
        <v>KAMAR : B-9
MADRASIAH : 3 ULA C PUTRI</v>
      </c>
      <c r="D67" s="34" t="str">
        <f>textvalue!Q67</f>
        <v>Syahriyah = Rp 450.000
Jariyah = Rp 500.000
Daftar Ulang = Rp 0
Total = Rp 950.000
______________________
ID : 2024070735</v>
      </c>
      <c r="E67" s="34" t="str">
        <f>textvalue!P67</f>
        <v>Rp 950.000</v>
      </c>
    </row>
    <row r="68">
      <c r="A68" s="34" t="str">
        <f>$E$1&amp;""&amp;textvalue!H68</f>
        <v>+6287844690419</v>
      </c>
      <c r="B68" s="34" t="str">
        <f>textvalue!B68</f>
        <v>AININ QORIROH UMMU SALWA</v>
      </c>
      <c r="C68" s="34" t="str">
        <f>textvalue!$E$1&amp;" : "&amp;textvalue!E68&amp;"
"&amp;textvalue!$G$1&amp;" : "&amp;textvalue!G68</f>
        <v>KAMAR : C-8
MADRASIAH : 3 WUSTHO C PUTRI</v>
      </c>
      <c r="D68" s="34" t="str">
        <f>textvalue!Q68</f>
        <v>Syahriyah = Rp 450.000
Jariyah = Rp 500.000
Daftar Ulang = Rp 0
Total = Rp 950.000
______________________
ID : 2024070338</v>
      </c>
      <c r="E68" s="34" t="str">
        <f>textvalue!P68</f>
        <v>Rp 950.000</v>
      </c>
    </row>
    <row r="69">
      <c r="A69" s="34" t="str">
        <f>$E$1&amp;""&amp;textvalue!H69</f>
        <v>+6281537636395</v>
      </c>
      <c r="B69" s="34" t="str">
        <f>textvalue!B69</f>
        <v>ALVELLYTA APRILIA KIRANA</v>
      </c>
      <c r="C69" s="34" t="str">
        <f>textvalue!$E$1&amp;" : "&amp;textvalue!E69&amp;"
"&amp;textvalue!$G$1&amp;" : "&amp;textvalue!G69</f>
        <v>KAMAR : C-12
MADRASIAH : </v>
      </c>
      <c r="D69" s="34" t="str">
        <f>textvalue!Q69</f>
        <v>Syahriyah = Rp 450.000
Jariyah = Rp 500.000
Daftar Ulang = Rp 0
Total = Rp 950.000
______________________
ID : 2024070527</v>
      </c>
      <c r="E69" s="34" t="str">
        <f>textvalue!P69</f>
        <v>Rp 950.000</v>
      </c>
    </row>
    <row r="70">
      <c r="A70" s="34" t="str">
        <f>$E$1&amp;""&amp;textvalue!H70</f>
        <v>+6285745740702</v>
      </c>
      <c r="B70" s="34" t="str">
        <f>textvalue!B70</f>
        <v>DESTIYA NUR LAILI</v>
      </c>
      <c r="C70" s="34" t="str">
        <f>textvalue!$E$1&amp;" : "&amp;textvalue!E70&amp;"
"&amp;textvalue!$G$1&amp;" : "&amp;textvalue!G70</f>
        <v>KAMAR : B-9
MADRASIAH : 3 ULA B PUTRI</v>
      </c>
      <c r="D70" s="34" t="str">
        <f>textvalue!Q70</f>
        <v>Syahriyah = Rp 450.000
Jariyah = Rp 500.000
Daftar Ulang = Rp 0
Total = Rp 950.000
______________________
ID : 2024070758</v>
      </c>
      <c r="E70" s="34" t="str">
        <f>textvalue!P70</f>
        <v>Rp 950.000</v>
      </c>
    </row>
    <row r="71">
      <c r="A71" s="34" t="str">
        <f>$E$1&amp;""&amp;textvalue!H71</f>
        <v>+628563173399</v>
      </c>
      <c r="B71" s="34" t="str">
        <f>textvalue!B71</f>
        <v>JANEETA EMIRA SHABRIYA</v>
      </c>
      <c r="C71" s="34" t="str">
        <f>textvalue!$E$1&amp;" : "&amp;textvalue!E71&amp;"
"&amp;textvalue!$G$1&amp;" : "&amp;textvalue!G71</f>
        <v>KAMAR : D-4
MADRASIAH : 3 ULA B PUTRI</v>
      </c>
      <c r="D71" s="34" t="str">
        <f>textvalue!Q71</f>
        <v>Syahriyah = Rp 450.000
Jariyah = Rp 500.000
Daftar Ulang = Rp 0
Total = Rp 950.000
______________________
ID : 2024070521</v>
      </c>
      <c r="E71" s="34" t="str">
        <f>textvalue!P71</f>
        <v>Rp 950.000</v>
      </c>
    </row>
    <row r="72">
      <c r="A72" s="34" t="str">
        <f>$E$1&amp;""&amp;textvalue!H72</f>
        <v>+6285748349331</v>
      </c>
      <c r="B72" s="34" t="str">
        <f>textvalue!B72</f>
        <v>KURNIA MUFIDATUL FATIHAH</v>
      </c>
      <c r="C72" s="34" t="str">
        <f>textvalue!$E$1&amp;" : "&amp;textvalue!E72&amp;"
"&amp;textvalue!$G$1&amp;" : "&amp;textvalue!G72</f>
        <v>KAMAR : B-9
MADRASIAH : 3 ULA B PUTRI</v>
      </c>
      <c r="D72" s="34" t="str">
        <f>textvalue!Q72</f>
        <v>Syahriyah = Rp 450.000
Jariyah = Rp 500.000
Daftar Ulang = Rp 0
Total = Rp 950.000
______________________
ID : 2024070641</v>
      </c>
      <c r="E72" s="34" t="str">
        <f>textvalue!P72</f>
        <v>Rp 950.000</v>
      </c>
    </row>
    <row r="73">
      <c r="A73" s="34" t="str">
        <f>$E$1&amp;""&amp;textvalue!H73</f>
        <v>+6285649740556</v>
      </c>
      <c r="B73" s="34" t="str">
        <f>textvalue!B73</f>
        <v>M. RADIFQI ALFARISTY</v>
      </c>
      <c r="C73" s="34" t="str">
        <f>textvalue!$E$1&amp;" : "&amp;textvalue!E73&amp;"
"&amp;textvalue!$G$1&amp;" : "&amp;textvalue!G73</f>
        <v>KAMAR : A-8
MADRASIAH : 3 ULA A PUTRA</v>
      </c>
      <c r="D73" s="34" t="str">
        <f>textvalue!Q73</f>
        <v>Syahriyah = Rp 450.000
Jariyah = Rp 500.000
Daftar Ulang = Rp 0
Total = Rp 950.000
______________________
ID : 2024070747</v>
      </c>
      <c r="E73" s="34" t="str">
        <f>textvalue!P73</f>
        <v>Rp 950.000</v>
      </c>
    </row>
    <row r="74">
      <c r="A74" s="34" t="str">
        <f>$E$1&amp;""&amp;textvalue!H74</f>
        <v>+6282229847381</v>
      </c>
      <c r="B74" s="34" t="str">
        <f>textvalue!B74</f>
        <v>M. SAFIUL REZA SELOHANDOYO</v>
      </c>
      <c r="C74" s="34" t="str">
        <f>textvalue!$E$1&amp;" : "&amp;textvalue!E74&amp;"
"&amp;textvalue!$G$1&amp;" : "&amp;textvalue!G74</f>
        <v>KAMAR : A-2
MADRASIAH : 3 MAK PUTRA</v>
      </c>
      <c r="D74" s="34" t="str">
        <f>textvalue!Q74</f>
        <v>Syahriyah = Rp 450.000
Jariyah = Rp 500.000
Daftar Ulang = Rp 0
Total = Rp 950.000
______________________
ID : 2024070406</v>
      </c>
      <c r="E74" s="34" t="str">
        <f>textvalue!P74</f>
        <v>Rp 950.000</v>
      </c>
    </row>
    <row r="75">
      <c r="A75" s="34" t="str">
        <f>$E$1&amp;""&amp;textvalue!H75</f>
        <v>+6285733138071</v>
      </c>
      <c r="B75" s="34" t="str">
        <f>textvalue!B75</f>
        <v>MEILANI PUTRI ARINIL WAFA`</v>
      </c>
      <c r="C75" s="34" t="str">
        <f>textvalue!$E$1&amp;" : "&amp;textvalue!E75&amp;"
"&amp;textvalue!$G$1&amp;" : "&amp;textvalue!G75</f>
        <v>KAMAR : C-2
MADRASIAH : </v>
      </c>
      <c r="D75" s="34" t="str">
        <f>textvalue!Q75</f>
        <v>Syahriyah = Rp 450.000
Jariyah = Rp 500.000
Daftar Ulang = Rp 0
Total = Rp 950.000
______________________
ID : 2024070015</v>
      </c>
      <c r="E75" s="34" t="str">
        <f>textvalue!P75</f>
        <v>Rp 950.000</v>
      </c>
    </row>
    <row r="76">
      <c r="A76" s="34" t="str">
        <f>$E$1&amp;""&amp;textvalue!H76</f>
        <v>+6285859853448</v>
      </c>
      <c r="B76" s="34" t="str">
        <f>textvalue!B76</f>
        <v>MUHAMMAD RAFA AL KAUTSAR</v>
      </c>
      <c r="C76" s="34" t="str">
        <f>textvalue!$E$1&amp;" : "&amp;textvalue!E76&amp;"
"&amp;textvalue!$G$1&amp;" : "&amp;textvalue!G76</f>
        <v>KAMAR : A-8
MADRASIAH : 3 ULA B PUTRA</v>
      </c>
      <c r="D76" s="34" t="str">
        <f>textvalue!Q76</f>
        <v>Syahriyah = Rp 450.000
Jariyah = Rp 500.000
Daftar Ulang = Rp 0
Total = Rp 950.000
______________________
ID : 2024070648</v>
      </c>
      <c r="E76" s="34" t="str">
        <f>textvalue!P76</f>
        <v>Rp 950.000</v>
      </c>
    </row>
    <row r="77">
      <c r="A77" s="34" t="str">
        <f>$E$1&amp;""&amp;textvalue!H77</f>
        <v>+6281554403924</v>
      </c>
      <c r="B77" s="34" t="str">
        <f>textvalue!B77</f>
        <v>MUHYIDDIN FAQIH</v>
      </c>
      <c r="C77" s="34" t="str">
        <f>textvalue!$E$1&amp;" : "&amp;textvalue!E77&amp;"
"&amp;textvalue!$G$1&amp;" : "&amp;textvalue!G77</f>
        <v>KAMAR : A-10
MADRASIAH : 3 WUSTHO PUTRA</v>
      </c>
      <c r="D77" s="34" t="str">
        <f>textvalue!Q77</f>
        <v>Syahriyah = Rp 450.000
Jariyah = Rp 500.000
Daftar Ulang = Rp 0
Total = Rp 950.000
______________________
ID : 2024070299</v>
      </c>
      <c r="E77" s="34" t="str">
        <f>textvalue!P77</f>
        <v>Rp 950.000</v>
      </c>
    </row>
    <row r="78">
      <c r="A78" s="34" t="str">
        <f>$E$1&amp;""&amp;textvalue!H78</f>
        <v>+6285608738797</v>
      </c>
      <c r="B78" s="34" t="str">
        <f>textvalue!B78</f>
        <v>NAYLATUL MAWADDAH</v>
      </c>
      <c r="C78" s="34" t="str">
        <f>textvalue!$E$1&amp;" : "&amp;textvalue!E78&amp;"
"&amp;textvalue!$G$1&amp;" : "&amp;textvalue!G78</f>
        <v>KAMAR : C-8
MADRASIAH : 3 WUSTHO C PUTRI</v>
      </c>
      <c r="D78" s="34" t="str">
        <f>textvalue!Q78</f>
        <v>Syahriyah = Rp 450.000
Jariyah = Rp 500.000
Daftar Ulang = Rp 0
Total = Rp 950.000
______________________
ID : 2024070682</v>
      </c>
      <c r="E78" s="34" t="str">
        <f>textvalue!P78</f>
        <v>Rp 950.000</v>
      </c>
    </row>
    <row r="79">
      <c r="A79" s="34" t="str">
        <f>$E$1&amp;""&amp;textvalue!H79</f>
        <v>+6285852070153</v>
      </c>
      <c r="B79" s="34" t="str">
        <f>textvalue!B79</f>
        <v>NESYA AURA BUNGA</v>
      </c>
      <c r="C79" s="34" t="str">
        <f>textvalue!$E$1&amp;" : "&amp;textvalue!E79&amp;"
"&amp;textvalue!$G$1&amp;" : "&amp;textvalue!G79</f>
        <v>KAMAR : D-4
MADRASIAH : 3 ULA C PUTRI</v>
      </c>
      <c r="D79" s="34" t="str">
        <f>textvalue!Q79</f>
        <v>Syahriyah = Rp 450.000
Jariyah = Rp 500.000
Daftar Ulang = Rp 0
Total = Rp 950.000
______________________
ID : 2024070659</v>
      </c>
      <c r="E79" s="34" t="str">
        <f>textvalue!P79</f>
        <v>Rp 950.000</v>
      </c>
    </row>
    <row r="80">
      <c r="A80" s="34" t="str">
        <f>$E$1&amp;""&amp;textvalue!H80</f>
        <v>+6285707106640</v>
      </c>
      <c r="B80" s="34" t="str">
        <f>textvalue!B80</f>
        <v>NOVAL ARYA PRATAMA</v>
      </c>
      <c r="C80" s="34" t="str">
        <f>textvalue!$E$1&amp;" : "&amp;textvalue!E80&amp;"
"&amp;textvalue!$G$1&amp;" : "&amp;textvalue!G80</f>
        <v>KAMAR : A-8
MADRASIAH : 3 ULA A PUTRA</v>
      </c>
      <c r="D80" s="34" t="str">
        <f>textvalue!Q80</f>
        <v>Syahriyah = Rp 450.000
Jariyah = Rp 500.000
Daftar Ulang = Rp 0
Total = Rp 950.000
______________________
ID : 2024070468</v>
      </c>
      <c r="E80" s="34" t="str">
        <f>textvalue!P80</f>
        <v>Rp 950.000</v>
      </c>
    </row>
    <row r="81">
      <c r="A81" s="34" t="str">
        <f>$E$1&amp;""&amp;textvalue!H81</f>
        <v>+6285606170861</v>
      </c>
      <c r="B81" s="34" t="str">
        <f>textvalue!B81</f>
        <v>NURFUIMA LINDA HIDAYATI</v>
      </c>
      <c r="C81" s="34" t="str">
        <f>textvalue!$E$1&amp;" : "&amp;textvalue!E81&amp;"
"&amp;textvalue!$G$1&amp;" : "&amp;textvalue!G81</f>
        <v>KAMAR : C-8
MADRASIAH : </v>
      </c>
      <c r="D81" s="34" t="str">
        <f>textvalue!Q81</f>
        <v>Syahriyah = Rp 450.000
Jariyah = Rp 500.000
Daftar Ulang = Rp 0
Total = Rp 950.000
______________________
ID : 2024070357</v>
      </c>
      <c r="E81" s="34" t="str">
        <f>textvalue!P81</f>
        <v>Rp 950.000</v>
      </c>
    </row>
    <row r="82">
      <c r="A82" s="34" t="str">
        <f>$E$1&amp;""&amp;textvalue!H82</f>
        <v>+6285732704608</v>
      </c>
      <c r="B82" s="34" t="str">
        <f>textvalue!B82</f>
        <v>AIDA NURUL AINI</v>
      </c>
      <c r="C82" s="34" t="str">
        <f>textvalue!$E$1&amp;" : "&amp;textvalue!E82&amp;"
"&amp;textvalue!$G$1&amp;" : "&amp;textvalue!G82</f>
        <v>KAMAR : E-9
MADRASIAH : 3 ULA A PUTRI</v>
      </c>
      <c r="D82" s="34" t="str">
        <f>textvalue!Q82</f>
        <v>Syahriyah = Rp 0
Jariyah = Rp 1.000.000
Daftar Ulang = Rp 0
Total = Rp 1.000.000
______________________
ID : 2024070582</v>
      </c>
      <c r="E82" s="34" t="str">
        <f>textvalue!P82</f>
        <v>Rp 1.000.000</v>
      </c>
    </row>
    <row r="83">
      <c r="A83" s="34" t="str">
        <f>$E$1&amp;""&amp;textvalue!H83</f>
        <v>+6281946613922</v>
      </c>
      <c r="B83" s="34" t="str">
        <f>textvalue!B83</f>
        <v>ASYIFATUL LAILI</v>
      </c>
      <c r="C83" s="34" t="str">
        <f>textvalue!$E$1&amp;" : "&amp;textvalue!E83&amp;"
"&amp;textvalue!$G$1&amp;" : "&amp;textvalue!G83</f>
        <v>KAMAR : C-13
MADRASIAH : 3 ULA B PUTRI</v>
      </c>
      <c r="D83" s="34" t="str">
        <f>textvalue!Q83</f>
        <v>Syahriyah = Rp 0
Jariyah = Rp 1.000.000
Daftar Ulang = Rp 0
Total = Rp 1.000.000
______________________
ID : 2024070520</v>
      </c>
      <c r="E83" s="34" t="str">
        <f>textvalue!P83</f>
        <v>Rp 1.000.000</v>
      </c>
    </row>
    <row r="84">
      <c r="A84" s="34" t="str">
        <f>$E$1&amp;""&amp;textvalue!H84</f>
        <v>+6282131864843</v>
      </c>
      <c r="B84" s="34" t="str">
        <f>textvalue!B84</f>
        <v>DAVINA RATNANDITA</v>
      </c>
      <c r="C84" s="34" t="str">
        <f>textvalue!$E$1&amp;" : "&amp;textvalue!E84&amp;"
"&amp;textvalue!$G$1&amp;" : "&amp;textvalue!G84</f>
        <v>KAMAR : E-2
MADRASIAH : 3 ULA A PUTRI</v>
      </c>
      <c r="D84" s="34" t="str">
        <f>textvalue!Q84</f>
        <v>Syahriyah = Rp 0
Jariyah = Rp 1.000.000
Daftar Ulang = Rp 0
Total = Rp 1.000.000
______________________
ID : 2024070445</v>
      </c>
      <c r="E84" s="34" t="str">
        <f>textvalue!P84</f>
        <v>Rp 1.000.000</v>
      </c>
    </row>
    <row r="85">
      <c r="A85" s="34" t="str">
        <f>$E$1&amp;""&amp;textvalue!H85</f>
        <v>+6285755339391</v>
      </c>
      <c r="B85" s="34" t="str">
        <f>textvalue!B85</f>
        <v>DIVA EKA LESTARI</v>
      </c>
      <c r="C85" s="34" t="str">
        <f>textvalue!$E$1&amp;" : "&amp;textvalue!E85&amp;"
"&amp;textvalue!$G$1&amp;" : "&amp;textvalue!G85</f>
        <v>KAMAR : C-2
MADRASIAH : </v>
      </c>
      <c r="D85" s="34" t="str">
        <f>textvalue!Q85</f>
        <v>Syahriyah = Rp 0
Jariyah = Rp 1.000.000
Daftar Ulang = Rp 0
Total = Rp 1.000.000
______________________
ID : 2024070006</v>
      </c>
      <c r="E85" s="34" t="str">
        <f>textvalue!P85</f>
        <v>Rp 1.000.000</v>
      </c>
    </row>
    <row r="86">
      <c r="A86" s="34" t="str">
        <f>$E$1&amp;""&amp;textvalue!H86</f>
        <v>+6285893727203</v>
      </c>
      <c r="B86" s="34" t="str">
        <f>textvalue!B86</f>
        <v>FATIMATUZZAHROH MUSOFFA</v>
      </c>
      <c r="C86" s="34" t="str">
        <f>textvalue!$E$1&amp;" : "&amp;textvalue!E86&amp;"
"&amp;textvalue!$G$1&amp;" : "&amp;textvalue!G86</f>
        <v>KAMAR : C-9
MADRASIAH : </v>
      </c>
      <c r="D86" s="34" t="str">
        <f>textvalue!Q86</f>
        <v>Syahriyah = Rp 0
Jariyah = Rp 1.000.000
Daftar Ulang = Rp 0
Total = Rp 1.000.000
______________________
ID : 2024070045</v>
      </c>
      <c r="E86" s="34" t="str">
        <f>textvalue!P86</f>
        <v>Rp 1.000.000</v>
      </c>
    </row>
    <row r="87">
      <c r="A87" s="34" t="str">
        <f>$E$1&amp;""&amp;textvalue!H87</f>
        <v>+6281559946320</v>
      </c>
      <c r="B87" s="34" t="str">
        <f>textvalue!B87</f>
        <v>FLORETA NAFISHA PUTRI</v>
      </c>
      <c r="C87" s="34" t="str">
        <f>textvalue!$E$1&amp;" : "&amp;textvalue!E87&amp;"
"&amp;textvalue!$G$1&amp;" : "&amp;textvalue!G87</f>
        <v>KAMAR : C-7
MADRASIAH : 3 MAK PUTRI</v>
      </c>
      <c r="D87" s="34" t="str">
        <f>textvalue!Q87</f>
        <v>Syahriyah = Rp 0
Jariyah = Rp 1.000.000
Daftar Ulang = Rp 0
Total = Rp 1.000.000
______________________
ID : 2024070422</v>
      </c>
      <c r="E87" s="34" t="str">
        <f>textvalue!P87</f>
        <v>Rp 1.000.000</v>
      </c>
    </row>
    <row r="88">
      <c r="A88" s="34" t="str">
        <f>$E$1&amp;""&amp;textvalue!H88</f>
        <v>+6285784480833</v>
      </c>
      <c r="B88" s="34" t="str">
        <f>textvalue!B88</f>
        <v>KHANSA ZARINA MISBACH</v>
      </c>
      <c r="C88" s="34" t="str">
        <f>textvalue!$E$1&amp;" : "&amp;textvalue!E88&amp;"
"&amp;textvalue!$G$1&amp;" : "&amp;textvalue!G88</f>
        <v>KAMAR : E-3
MADRASIAH : 3 ULA A PUTRI</v>
      </c>
      <c r="D88" s="34" t="str">
        <f>textvalue!Q88</f>
        <v>Syahriyah = Rp 0
Jariyah = Rp 1.000.000
Daftar Ulang = Rp 0
Total = Rp 1.000.000
______________________
ID : 2024070585</v>
      </c>
      <c r="E88" s="34" t="str">
        <f>textvalue!P88</f>
        <v>Rp 1.000.000</v>
      </c>
    </row>
    <row r="89">
      <c r="A89" s="34" t="str">
        <f>$E$1&amp;""&amp;textvalue!H89</f>
        <v>+6289636729723</v>
      </c>
      <c r="B89" s="34" t="str">
        <f>textvalue!B89</f>
        <v>LAILA AININ NAF`AH</v>
      </c>
      <c r="C89" s="34" t="str">
        <f>textvalue!$E$1&amp;" : "&amp;textvalue!E89&amp;"
"&amp;textvalue!$G$1&amp;" : "&amp;textvalue!G89</f>
        <v>KAMAR : D-7
MADRASIAH : </v>
      </c>
      <c r="D89" s="34" t="str">
        <f>textvalue!Q89</f>
        <v>Syahriyah = Rp 0
Jariyah = Rp 1.000.000
Daftar Ulang = Rp 0
Total = Rp 1.000.000
______________________
ID : 2024080769</v>
      </c>
      <c r="E89" s="34" t="str">
        <f>textvalue!P89</f>
        <v>Rp 1.000.000</v>
      </c>
    </row>
    <row r="90">
      <c r="A90" s="34" t="str">
        <f>$E$1&amp;""&amp;textvalue!H90</f>
        <v>+6282143497363</v>
      </c>
      <c r="B90" s="34" t="str">
        <f>textvalue!B90</f>
        <v>M. FAHRY SATRIA KURNIAWAN</v>
      </c>
      <c r="C90" s="34" t="str">
        <f>textvalue!$E$1&amp;" : "&amp;textvalue!E90&amp;"
"&amp;textvalue!$G$1&amp;" : "&amp;textvalue!G90</f>
        <v>KAMAR : A-8
MADRASIAH : 3 ULA A PUTRA</v>
      </c>
      <c r="D90" s="34" t="str">
        <f>textvalue!Q90</f>
        <v>Syahriyah = Rp 0
Jariyah = Rp 1.000.000
Daftar Ulang = Rp 0
Total = Rp 1.000.000
______________________
ID : 2024070477</v>
      </c>
      <c r="E90" s="34" t="str">
        <f>textvalue!P90</f>
        <v>Rp 1.000.000</v>
      </c>
    </row>
    <row r="91">
      <c r="A91" s="34" t="str">
        <f>$E$1&amp;""&amp;textvalue!H91</f>
        <v>+6281312701983</v>
      </c>
      <c r="B91" s="34" t="str">
        <f>textvalue!B91</f>
        <v>MARCELIA CRENATA SHINTA DEWI</v>
      </c>
      <c r="C91" s="34" t="str">
        <f>textvalue!$E$1&amp;" : "&amp;textvalue!E91&amp;"
"&amp;textvalue!$G$1&amp;" : "&amp;textvalue!G91</f>
        <v>KAMAR : D-7
MADRASIAH : 3 MAK PUTRI</v>
      </c>
      <c r="D91" s="34" t="str">
        <f>textvalue!Q91</f>
        <v>Syahriyah = Rp 0
Jariyah = Rp 1.000.000
Daftar Ulang = Rp 0
Total = Rp 1.000.000
______________________
ID : 2024070426</v>
      </c>
      <c r="E91" s="34" t="str">
        <f>textvalue!P91</f>
        <v>Rp 1.000.000</v>
      </c>
    </row>
    <row r="92">
      <c r="A92" s="34" t="str">
        <f>$E$1&amp;""&amp;textvalue!H92</f>
        <v>+6285843253842</v>
      </c>
      <c r="B92" s="34" t="str">
        <f>textvalue!B92</f>
        <v>MECCA MIKAILA</v>
      </c>
      <c r="C92" s="34" t="str">
        <f>textvalue!$E$1&amp;" : "&amp;textvalue!E92&amp;"
"&amp;textvalue!$G$1&amp;" : "&amp;textvalue!G92</f>
        <v>KAMAR : C-13
MADRASIAH : 3 ULA B PUTRI</v>
      </c>
      <c r="D92" s="34" t="str">
        <f>textvalue!Q92</f>
        <v>Syahriyah = Rp 0
Jariyah = Rp 1.000.000
Daftar Ulang = Rp 0
Total = Rp 1.000.000
______________________
ID : 2024070539</v>
      </c>
      <c r="E92" s="34" t="str">
        <f>textvalue!P92</f>
        <v>Rp 1.000.000</v>
      </c>
    </row>
    <row r="93">
      <c r="A93" s="34" t="str">
        <f>$E$1&amp;""&amp;textvalue!H93</f>
        <v>+6287794604684</v>
      </c>
      <c r="B93" s="34" t="str">
        <f>textvalue!B93</f>
        <v>MOHAMAD ARZAQ DWI SAPUTRA</v>
      </c>
      <c r="C93" s="34" t="str">
        <f>textvalue!$E$1&amp;" : "&amp;textvalue!E93&amp;"
"&amp;textvalue!$G$1&amp;" : "&amp;textvalue!G93</f>
        <v>KAMAR : A-8
MADRASIAH : 3 ULA A PUTRA</v>
      </c>
      <c r="D93" s="34" t="str">
        <f>textvalue!Q93</f>
        <v>Syahriyah = Rp 0
Jariyah = Rp 1.000.000
Daftar Ulang = Rp 0
Total = Rp 1.000.000
______________________
ID : 2024070529</v>
      </c>
      <c r="E93" s="34" t="str">
        <f>textvalue!P93</f>
        <v>Rp 1.000.000</v>
      </c>
    </row>
    <row r="94">
      <c r="A94" s="34" t="str">
        <f>$E$1&amp;""&amp;textvalue!H94</f>
        <v>+6285602657179</v>
      </c>
      <c r="B94" s="34" t="str">
        <f>textvalue!B94</f>
        <v>MUHAMMAD NASRUL FALAQ</v>
      </c>
      <c r="C94" s="34" t="str">
        <f>textvalue!$E$1&amp;" : "&amp;textvalue!E94&amp;"
"&amp;textvalue!$G$1&amp;" : "&amp;textvalue!G94</f>
        <v>KAMAR : A-12
MADRASIAH : 3 WUSTHO PUTRA</v>
      </c>
      <c r="D94" s="34" t="str">
        <f>textvalue!Q94</f>
        <v>Syahriyah = Rp 0
Jariyah = Rp 1.000.000
Daftar Ulang = Rp 0
Total = Rp 1.000.000
______________________
ID : 2024070695</v>
      </c>
      <c r="E94" s="34" t="str">
        <f>textvalue!P94</f>
        <v>Rp 1.000.000</v>
      </c>
    </row>
    <row r="95">
      <c r="A95" s="34" t="str">
        <f>$E$1&amp;""&amp;textvalue!H95</f>
        <v>+6285749469938</v>
      </c>
      <c r="B95" s="34" t="str">
        <f>textvalue!B95</f>
        <v>NAALAT SYAFA`ATUL UDHMA</v>
      </c>
      <c r="C95" s="34" t="str">
        <f>textvalue!$E$1&amp;" : "&amp;textvalue!E95&amp;"
"&amp;textvalue!$G$1&amp;" : "&amp;textvalue!G95</f>
        <v>KAMAR : E-3
MADRASIAH : 3 ULA A PUTRI</v>
      </c>
      <c r="D95" s="34" t="str">
        <f>textvalue!Q95</f>
        <v>Syahriyah = Rp 0
Jariyah = Rp 1.000.000
Daftar Ulang = Rp 0
Total = Rp 1.000.000
______________________
ID : 2024070604</v>
      </c>
      <c r="E95" s="34" t="str">
        <f>textvalue!P95</f>
        <v>Rp 1.000.000</v>
      </c>
    </row>
    <row r="96">
      <c r="A96" s="34" t="str">
        <f>$E$1&amp;""&amp;textvalue!H96</f>
        <v>+6285855714013</v>
      </c>
      <c r="B96" s="34" t="str">
        <f>textvalue!B96</f>
        <v>NIRMA LAILATUL AIDA</v>
      </c>
      <c r="C96" s="34" t="str">
        <f>textvalue!$E$1&amp;" : "&amp;textvalue!E96&amp;"
"&amp;textvalue!$G$1&amp;" : "&amp;textvalue!G96</f>
        <v>KAMAR : E-2
MADRASIAH : 3 ULA A PUTRI</v>
      </c>
      <c r="D96" s="34" t="str">
        <f>textvalue!Q96</f>
        <v>Syahriyah = Rp 0
Jariyah = Rp 1.000.000
Daftar Ulang = Rp 0
Total = Rp 1.000.000
______________________
ID : 2024070541</v>
      </c>
      <c r="E96" s="34" t="str">
        <f>textvalue!P96</f>
        <v>Rp 1.000.000</v>
      </c>
    </row>
    <row r="97">
      <c r="A97" s="34" t="str">
        <f>$E$1&amp;""&amp;textvalue!H97</f>
        <v>+6285853423327</v>
      </c>
      <c r="B97" s="34" t="str">
        <f>textvalue!B97</f>
        <v>NUR LABIBATUS SHOLIHAH</v>
      </c>
      <c r="C97" s="34" t="str">
        <f>textvalue!$E$1&amp;" : "&amp;textvalue!E97&amp;"
"&amp;textvalue!$G$1&amp;" : "&amp;textvalue!G97</f>
        <v>KAMAR : E-3
MADRASIAH : 3 ULA A PUTRI</v>
      </c>
      <c r="D97" s="34" t="str">
        <f>textvalue!Q97</f>
        <v>Syahriyah = Rp 0
Jariyah = Rp 1.000.000
Daftar Ulang = Rp 0
Total = Rp 1.000.000
______________________
ID : 2024070568</v>
      </c>
      <c r="E97" s="34" t="str">
        <f>textvalue!P97</f>
        <v>Rp 1.000.000</v>
      </c>
    </row>
    <row r="98">
      <c r="A98" s="34" t="str">
        <f>$E$1&amp;""&amp;textvalue!H98</f>
        <v>+6282230412303</v>
      </c>
      <c r="B98" s="34" t="str">
        <f>textvalue!B98</f>
        <v>NURUL IFADATUL HASANAH</v>
      </c>
      <c r="C98" s="34" t="str">
        <f>textvalue!$E$1&amp;" : "&amp;textvalue!E98&amp;"
"&amp;textvalue!$G$1&amp;" : "&amp;textvalue!G98</f>
        <v>KAMAR : E-3
MADRASIAH : 3 ULA B PUTRI</v>
      </c>
      <c r="D98" s="34" t="str">
        <f>textvalue!Q98</f>
        <v>Syahriyah = Rp 0
Jariyah = Rp 1.000.000
Daftar Ulang = Rp 0
Total = Rp 1.000.000
______________________
ID : 2024070542</v>
      </c>
      <c r="E98" s="34" t="str">
        <f>textvalue!P98</f>
        <v>Rp 1.000.000</v>
      </c>
    </row>
    <row r="99">
      <c r="A99" s="34" t="str">
        <f>$E$1&amp;""&amp;textvalue!H99</f>
        <v>+628573050168</v>
      </c>
      <c r="B99" s="34" t="str">
        <f>textvalue!B99</f>
        <v>QUEENSHA KHAURA AFIQAH AL AZIFA</v>
      </c>
      <c r="C99" s="34" t="str">
        <f>textvalue!$E$1&amp;" : "&amp;textvalue!E99&amp;"
"&amp;textvalue!$G$1&amp;" : "&amp;textvalue!G99</f>
        <v>KAMAR : E-9
MADRASIAH : 3 ULA B PUTRI</v>
      </c>
      <c r="D99" s="34" t="str">
        <f>textvalue!Q99</f>
        <v>Syahriyah = Rp 0
Jariyah = Rp 1.000.000
Daftar Ulang = Rp 0
Total = Rp 1.000.000
______________________
ID : 2024070647</v>
      </c>
      <c r="E99" s="34" t="str">
        <f>textvalue!P99</f>
        <v>Rp 1.000.000</v>
      </c>
    </row>
    <row r="100">
      <c r="A100" s="34" t="str">
        <f>$E$1&amp;""&amp;textvalue!H100</f>
        <v>+6285655316635</v>
      </c>
      <c r="B100" s="34" t="str">
        <f>textvalue!B100</f>
        <v>RENY ARYSTA MIERZA</v>
      </c>
      <c r="C100" s="34" t="str">
        <f>textvalue!$E$1&amp;" : "&amp;textvalue!E100&amp;"
"&amp;textvalue!$G$1&amp;" : "&amp;textvalue!G100</f>
        <v>KAMAR : E-9
MADRASIAH : 3 ULA B PUTRI</v>
      </c>
      <c r="D100" s="34" t="str">
        <f>textvalue!Q100</f>
        <v>Syahriyah = Rp 0
Jariyah = Rp 1.000.000
Daftar Ulang = Rp 0
Total = Rp 1.000.000
______________________
ID : 2024070583</v>
      </c>
      <c r="E100" s="34" t="str">
        <f>textvalue!P100</f>
        <v>Rp 1.000.000</v>
      </c>
    </row>
    <row r="101">
      <c r="A101" s="34" t="str">
        <f>$E$1&amp;""&amp;textvalue!H101</f>
        <v>+6285648660015</v>
      </c>
      <c r="B101" s="34" t="str">
        <f>textvalue!B101</f>
        <v>SALSABILLA DWI APRILLIA</v>
      </c>
      <c r="C101" s="34" t="str">
        <f>textvalue!$E$1&amp;" : "&amp;textvalue!E101&amp;"
"&amp;textvalue!$G$1&amp;" : "&amp;textvalue!G101</f>
        <v>KAMAR : D-4
MADRASIAH : </v>
      </c>
      <c r="D101" s="34" t="str">
        <f>textvalue!Q101</f>
        <v>Syahriyah = Rp 0
Jariyah = Rp 1.000.000
Daftar Ulang = Rp 0
Total = Rp 1.000.000
______________________
ID : 2024090774</v>
      </c>
      <c r="E101" s="34" t="str">
        <f>textvalue!P101</f>
        <v>Rp 1.000.000</v>
      </c>
    </row>
    <row r="102">
      <c r="A102" s="34" t="str">
        <f>$E$1&amp;""&amp;textvalue!H102</f>
        <v>+6285252386649</v>
      </c>
      <c r="B102" s="34" t="str">
        <f>textvalue!B102</f>
        <v>BENY OCKTA</v>
      </c>
      <c r="C102" s="34" t="str">
        <f>textvalue!$E$1&amp;" : "&amp;textvalue!E102&amp;"
"&amp;textvalue!$G$1&amp;" : "&amp;textvalue!G102</f>
        <v>KAMAR : A-7
MADRASIAH : 3 ULA B PUTRA</v>
      </c>
      <c r="D102" s="34" t="str">
        <f>textvalue!Q102</f>
        <v>Syahriyah = Rp 0
Jariyah = Rp 1.000.000
Daftar Ulang = Rp 250.000
Total = Rp 1.250.000
______________________
ID : 2024070602</v>
      </c>
      <c r="E102" s="34" t="str">
        <f>textvalue!P102</f>
        <v>Rp 1.250.000</v>
      </c>
    </row>
    <row r="103">
      <c r="A103" s="34" t="str">
        <f>$E$1&amp;""&amp;textvalue!H103</f>
        <v>+6285645020382</v>
      </c>
      <c r="B103" s="34" t="str">
        <f>textvalue!B103</f>
        <v>A`ISY SANIYA AZZAM</v>
      </c>
      <c r="C103" s="34" t="str">
        <f>textvalue!$E$1&amp;" : "&amp;textvalue!E103&amp;"
"&amp;textvalue!$G$1&amp;" : "&amp;textvalue!G103</f>
        <v>KAMAR : D-6
MADRASIAH : </v>
      </c>
      <c r="D103" s="34" t="str">
        <f>textvalue!Q103</f>
        <v>Syahriyah = Rp 1.350.000
Jariyah = Rp 0
Daftar Ulang = Rp 0
Total = Rp 1.350.000
______________________
ID : 2024070370</v>
      </c>
      <c r="E103" s="34" t="str">
        <f>textvalue!P103</f>
        <v>Rp 1.350.000</v>
      </c>
    </row>
    <row r="104">
      <c r="A104" s="34" t="str">
        <f>$E$1&amp;""&amp;textvalue!H104</f>
        <v>+62881217430350</v>
      </c>
      <c r="B104" s="34" t="str">
        <f>textvalue!B104</f>
        <v>DIAH MAHARANI ARDININGRUM</v>
      </c>
      <c r="C104" s="34" t="str">
        <f>textvalue!$E$1&amp;" : "&amp;textvalue!E104&amp;"
"&amp;textvalue!$G$1&amp;" : "&amp;textvalue!G104</f>
        <v>KAMAR : D-7
MADRASIAH : 3 ULA B PUTRI</v>
      </c>
      <c r="D104" s="34" t="str">
        <f>textvalue!Q104</f>
        <v>Syahriyah = Rp 1.350.000
Jariyah = Rp 0
Daftar Ulang = Rp 0
Total = Rp 1.350.000
______________________
ID : 2024080767</v>
      </c>
      <c r="E104" s="34" t="str">
        <f>textvalue!P104</f>
        <v>Rp 1.350.000</v>
      </c>
    </row>
    <row r="105">
      <c r="A105" s="34" t="str">
        <f>$E$1&amp;""&amp;textvalue!H105</f>
        <v>+628121719135</v>
      </c>
      <c r="B105" s="34" t="str">
        <f>textvalue!B105</f>
        <v>FILDZAH ALTOFUN NESA</v>
      </c>
      <c r="C105" s="34" t="str">
        <f>textvalue!$E$1&amp;" : "&amp;textvalue!E105&amp;"
"&amp;textvalue!$G$1&amp;" : "&amp;textvalue!G105</f>
        <v>KAMAR : C-12
MADRASIAH : 3 ULA B PUTRI</v>
      </c>
      <c r="D105" s="34" t="str">
        <f>textvalue!Q105</f>
        <v>Syahriyah = Rp 1.350.000
Jariyah = Rp 0
Daftar Ulang = Rp 0
Total = Rp 1.350.000
______________________
ID : 2024070549</v>
      </c>
      <c r="E105" s="34" t="str">
        <f>textvalue!P105</f>
        <v>Rp 1.350.000</v>
      </c>
    </row>
    <row r="106">
      <c r="A106" s="34" t="str">
        <f>$E$1&amp;""&amp;textvalue!H106</f>
        <v>+6285646194740</v>
      </c>
      <c r="B106" s="34" t="str">
        <f>textvalue!B106</f>
        <v>MUHAMMAD VICTOR NAJIB BAIHAQI</v>
      </c>
      <c r="C106" s="34" t="str">
        <f>textvalue!$E$1&amp;" : "&amp;textvalue!E106&amp;"
"&amp;textvalue!$G$1&amp;" : "&amp;textvalue!G106</f>
        <v>KAMAR : A-12
MADRASIAH : 3 WUSTHO PUTRA</v>
      </c>
      <c r="D106" s="34" t="str">
        <f>textvalue!Q106</f>
        <v>Syahriyah = Rp 1.350.000
Jariyah = Rp 0
Daftar Ulang = Rp 0
Total = Rp 1.350.000
______________________
ID : 2024070217</v>
      </c>
      <c r="E106" s="34" t="str">
        <f>textvalue!P106</f>
        <v>Rp 1.350.000</v>
      </c>
    </row>
    <row r="107">
      <c r="A107" s="34" t="str">
        <f>$E$1&amp;""&amp;textvalue!H107</f>
        <v>+6281556637615</v>
      </c>
      <c r="B107" s="34" t="str">
        <f>textvalue!B107</f>
        <v>ALIFIA SEPTIANI AZ ZAHRA</v>
      </c>
      <c r="C107" s="34" t="str">
        <f>textvalue!$E$1&amp;" : "&amp;textvalue!E107&amp;"
"&amp;textvalue!$G$1&amp;" : "&amp;textvalue!G107</f>
        <v>KAMAR : B-9
MADRASIAH : 3 ULA C PUTRI</v>
      </c>
      <c r="D107" s="34" t="str">
        <f>textvalue!Q107</f>
        <v>Syahriyah = Rp 900.000
Jariyah = Rp 500.000
Daftar Ulang = Rp 0
Total = Rp 1.400.000
______________________
ID : 2024090773</v>
      </c>
      <c r="E107" s="34" t="str">
        <f>textvalue!P107</f>
        <v>Rp 1.400.000</v>
      </c>
    </row>
    <row r="108">
      <c r="A108" s="34" t="str">
        <f>$E$1&amp;""&amp;textvalue!H108</f>
        <v>+6281357042388</v>
      </c>
      <c r="B108" s="34" t="str">
        <f>textvalue!B108</f>
        <v>ANINDYA FAZURA RAHMA</v>
      </c>
      <c r="C108" s="34" t="str">
        <f>textvalue!$E$1&amp;" : "&amp;textvalue!E108&amp;"
"&amp;textvalue!$G$1&amp;" : "&amp;textvalue!G108</f>
        <v>KAMAR : B-4
MADRASIAH : 3 WUSTHO C PUTRI</v>
      </c>
      <c r="D108" s="34" t="str">
        <f>textvalue!Q108</f>
        <v>Syahriyah = Rp 900.000
Jariyah = Rp 500.000
Daftar Ulang = Rp 0
Total = Rp 1.400.000
______________________
ID : 2024070675</v>
      </c>
      <c r="E108" s="34" t="str">
        <f>textvalue!P108</f>
        <v>Rp 1.400.000</v>
      </c>
    </row>
    <row r="109">
      <c r="A109" s="34" t="str">
        <f>$E$1&amp;""&amp;textvalue!H109</f>
        <v>+6282139016910</v>
      </c>
      <c r="B109" s="34" t="str">
        <f>textvalue!B109</f>
        <v>ARVEL ALIF SYAIFULLAH</v>
      </c>
      <c r="C109" s="34" t="str">
        <f>textvalue!$E$1&amp;" : "&amp;textvalue!E109&amp;"
"&amp;textvalue!$G$1&amp;" : "&amp;textvalue!G109</f>
        <v>KAMAR : A-7
MADRASIAH : 3 ULA A PUTRA</v>
      </c>
      <c r="D109" s="34" t="str">
        <f>textvalue!Q109</f>
        <v>Syahriyah = Rp 900.000
Jariyah = Rp 500.000
Daftar Ulang = Rp 0
Total = Rp 1.400.000
______________________
ID : 2024070652</v>
      </c>
      <c r="E109" s="34" t="str">
        <f>textvalue!P109</f>
        <v>Rp 1.400.000</v>
      </c>
    </row>
    <row r="110">
      <c r="A110" s="34" t="str">
        <f>$E$1&amp;""&amp;textvalue!H110</f>
        <v>+628585260032</v>
      </c>
      <c r="B110" s="34" t="str">
        <f>textvalue!B110</f>
        <v>JESSICA SALSABILA</v>
      </c>
      <c r="C110" s="34" t="str">
        <f>textvalue!$E$1&amp;" : "&amp;textvalue!E110&amp;"
"&amp;textvalue!$G$1&amp;" : "&amp;textvalue!G110</f>
        <v>KAMAR : B-9
MADRASIAH : 3 ULA A PUTRI</v>
      </c>
      <c r="D110" s="34" t="str">
        <f>textvalue!Q110</f>
        <v>Syahriyah = Rp 900.000
Jariyah = Rp 500.000
Daftar Ulang = Rp 0
Total = Rp 1.400.000
______________________
ID : 2024070564</v>
      </c>
      <c r="E110" s="34" t="str">
        <f>textvalue!P110</f>
        <v>Rp 1.400.000</v>
      </c>
    </row>
    <row r="111">
      <c r="A111" s="34" t="str">
        <f>$E$1&amp;""&amp;textvalue!H111</f>
        <v>+6281259310643</v>
      </c>
      <c r="B111" s="34" t="str">
        <f>textvalue!B111</f>
        <v>KHAYLA NOVITA PUTRI</v>
      </c>
      <c r="C111" s="34" t="str">
        <f>textvalue!$E$1&amp;" : "&amp;textvalue!E111&amp;"
"&amp;textvalue!$G$1&amp;" : "&amp;textvalue!G111</f>
        <v>KAMAR : B-9
MADRASIAH : 3 ULA B PUTRI</v>
      </c>
      <c r="D111" s="34" t="str">
        <f>textvalue!Q111</f>
        <v>Syahriyah = Rp 900.000
Jariyah = Rp 500.000
Daftar Ulang = Rp 0
Total = Rp 1.400.000
______________________
ID : 2024070500</v>
      </c>
      <c r="E111" s="34" t="str">
        <f>textvalue!P111</f>
        <v>Rp 1.400.000</v>
      </c>
    </row>
    <row r="112">
      <c r="A112" s="34" t="str">
        <f>$E$1&amp;""&amp;textvalue!H112</f>
        <v>+6285735756658</v>
      </c>
      <c r="B112" s="34" t="str">
        <f>textvalue!B112</f>
        <v>LELYANA DWI ROHMAWATIN</v>
      </c>
      <c r="C112" s="34" t="str">
        <f>textvalue!$E$1&amp;" : "&amp;textvalue!E112&amp;"
"&amp;textvalue!$G$1&amp;" : "&amp;textvalue!G112</f>
        <v>KAMAR : C-2
MADRASIAH : </v>
      </c>
      <c r="D112" s="34" t="str">
        <f>textvalue!Q112</f>
        <v>Syahriyah = Rp 900.000
Jariyah = Rp 500.000
Daftar Ulang = Rp 0
Total = Rp 1.400.000
______________________
ID : 2024070014</v>
      </c>
      <c r="E112" s="34" t="str">
        <f>textvalue!P112</f>
        <v>Rp 1.400.000</v>
      </c>
    </row>
    <row r="113">
      <c r="A113" s="34" t="str">
        <f>$E$1&amp;""&amp;textvalue!H113</f>
        <v>+6285715548194</v>
      </c>
      <c r="B113" s="34" t="str">
        <f>textvalue!B113</f>
        <v>NASHIH AMIN</v>
      </c>
      <c r="C113" s="34" t="str">
        <f>textvalue!$E$1&amp;" : "&amp;textvalue!E113&amp;"
"&amp;textvalue!$G$1&amp;" : "&amp;textvalue!G113</f>
        <v>KAMAR : A-2
MADRASIAH : 3 MAK PUTRA</v>
      </c>
      <c r="D113" s="34" t="str">
        <f>textvalue!Q113</f>
        <v>Syahriyah = Rp 900.000
Jariyah = Rp 500.000
Daftar Ulang = Rp 0
Total = Rp 1.400.000
______________________
ID : 2024070409</v>
      </c>
      <c r="E113" s="34" t="str">
        <f>textvalue!P113</f>
        <v>Rp 1.400.000</v>
      </c>
    </row>
    <row r="114">
      <c r="A114" s="34" t="str">
        <f>$E$1&amp;""&amp;textvalue!H114</f>
        <v>+6281553874448</v>
      </c>
      <c r="B114" s="34" t="str">
        <f>textvalue!B114</f>
        <v>ABDULLAH FAIZ</v>
      </c>
      <c r="C114" s="34" t="str">
        <f>textvalue!$E$1&amp;" : "&amp;textvalue!E114&amp;"
"&amp;textvalue!$G$1&amp;" : "&amp;textvalue!G114</f>
        <v>KAMAR : A-8
MADRASIAH : 3 ULA A PUTRA</v>
      </c>
      <c r="D114" s="34" t="str">
        <f>textvalue!Q114</f>
        <v>Syahriyah = Rp 450.000
Jariyah = Rp 1.000.000
Daftar Ulang = Rp 0
Total = Rp 1.450.000
______________________
ID : 2025070617</v>
      </c>
      <c r="E114" s="34" t="str">
        <f>textvalue!P114</f>
        <v>Rp 1.450.000</v>
      </c>
    </row>
    <row r="115">
      <c r="A115" s="34" t="str">
        <f>$E$1&amp;""&amp;textvalue!H115</f>
        <v>+6285230844686</v>
      </c>
      <c r="B115" s="34" t="str">
        <f>textvalue!B115</f>
        <v>ALMAIR FADHIL ABID ALHAQ</v>
      </c>
      <c r="C115" s="34" t="str">
        <f>textvalue!$E$1&amp;" : "&amp;textvalue!E115&amp;"
"&amp;textvalue!$G$1&amp;" : "&amp;textvalue!G115</f>
        <v>KAMAR : A-7
MADRASIAH : 3 ULA A PUTRA</v>
      </c>
      <c r="D115" s="34" t="str">
        <f>textvalue!Q115</f>
        <v>Syahriyah = Rp 450.000
Jariyah = Rp 1.000.000
Daftar Ulang = Rp 0
Total = Rp 1.450.000
______________________
ID : 2024070508</v>
      </c>
      <c r="E115" s="34" t="str">
        <f>textvalue!P115</f>
        <v>Rp 1.450.000</v>
      </c>
    </row>
    <row r="116">
      <c r="A116" s="34" t="str">
        <f>$E$1&amp;""&amp;textvalue!H116</f>
        <v>+6281357024383</v>
      </c>
      <c r="B116" s="34" t="str">
        <f>textvalue!B116</f>
        <v>BALQIS FITHROTUN NUFUS</v>
      </c>
      <c r="C116" s="34" t="str">
        <f>textvalue!$E$1&amp;" : "&amp;textvalue!E116&amp;"
"&amp;textvalue!$G$1&amp;" : "&amp;textvalue!G116</f>
        <v>KAMAR : C-4
MADRASIAH : </v>
      </c>
      <c r="D116" s="34" t="str">
        <f>textvalue!Q116</f>
        <v>Syahriyah = Rp 450.000
Jariyah = Rp 1.000.000
Daftar Ulang = Rp 0
Total = Rp 1.450.000
______________________
ID : 2024070703</v>
      </c>
      <c r="E116" s="34" t="str">
        <f>textvalue!P116</f>
        <v>Rp 1.450.000</v>
      </c>
    </row>
    <row r="117">
      <c r="A117" s="34" t="str">
        <f>$E$1&amp;""&amp;textvalue!H117</f>
        <v>+6285648727712</v>
      </c>
      <c r="B117" s="34" t="str">
        <f>textvalue!B117</f>
        <v>FARADIVA AQILLA ELFARIANI</v>
      </c>
      <c r="C117" s="34" t="str">
        <f>textvalue!$E$1&amp;" : "&amp;textvalue!E117&amp;"
"&amp;textvalue!$G$1&amp;" : "&amp;textvalue!G117</f>
        <v>KAMAR : C-9
MADRASIAH : 3 WUSTHO A PUTRI</v>
      </c>
      <c r="D117" s="34" t="str">
        <f>textvalue!Q117</f>
        <v>Syahriyah = Rp 450.000
Jariyah = Rp 1.000.000
Daftar Ulang = Rp 0
Total = Rp 1.450.000
______________________
ID : 2024070073</v>
      </c>
      <c r="E117" s="34" t="str">
        <f>textvalue!P117</f>
        <v>Rp 1.450.000</v>
      </c>
    </row>
    <row r="118">
      <c r="A118" s="34" t="str">
        <f>$E$1&amp;""&amp;textvalue!H118</f>
        <v>+6285708249869</v>
      </c>
      <c r="B118" s="34" t="str">
        <f>textvalue!B118</f>
        <v>MOCH. RAYYAN ZIDNY IRHAMNI</v>
      </c>
      <c r="C118" s="34" t="str">
        <f>textvalue!$E$1&amp;" : "&amp;textvalue!E118&amp;"
"&amp;textvalue!$G$1&amp;" : "&amp;textvalue!G118</f>
        <v>KAMAR : A-7
MADRASIAH : 3 ULA B PUTRA</v>
      </c>
      <c r="D118" s="34" t="str">
        <f>textvalue!Q118</f>
        <v>Syahriyah = Rp 450.000
Jariyah = Rp 1.000.000
Daftar Ulang = Rp 0
Total = Rp 1.450.000
______________________
ID : 2024070649</v>
      </c>
      <c r="E118" s="34" t="str">
        <f>textvalue!P118</f>
        <v>Rp 1.450.000</v>
      </c>
    </row>
    <row r="119">
      <c r="A119" s="34" t="str">
        <f>$E$1&amp;""&amp;textvalue!H119</f>
        <v>+6289513220988</v>
      </c>
      <c r="B119" s="34" t="str">
        <f>textvalue!B119</f>
        <v>MUHAMMAD ZAKI ABIYASA</v>
      </c>
      <c r="C119" s="34" t="str">
        <f>textvalue!$E$1&amp;" : "&amp;textvalue!E119&amp;"
"&amp;textvalue!$G$1&amp;" : "&amp;textvalue!G119</f>
        <v>KAMAR : A-1
MADRASIAH : 3 ULA A PUTRA</v>
      </c>
      <c r="D119" s="34" t="str">
        <f>textvalue!Q119</f>
        <v>Syahriyah = Rp 450.000
Jariyah = Rp 1.000.000
Daftar Ulang = Rp 0
Total = Rp 1.450.000
______________________
ID : 2025100680</v>
      </c>
      <c r="E119" s="34" t="str">
        <f>textvalue!P119</f>
        <v>Rp 1.450.000</v>
      </c>
    </row>
    <row r="120">
      <c r="A120" s="34" t="str">
        <f>$E$1&amp;""&amp;textvalue!H120</f>
        <v>+628812496056661</v>
      </c>
      <c r="B120" s="34" t="str">
        <f>textvalue!B120</f>
        <v>NURUL QHOIYIMATUL ALFIYAH</v>
      </c>
      <c r="C120" s="34" t="str">
        <f>textvalue!$E$1&amp;" : "&amp;textvalue!E120&amp;"
"&amp;textvalue!$G$1&amp;" : "&amp;textvalue!G120</f>
        <v>KAMAR : B-7
MADRASIAH : 3 MAK PUTRI</v>
      </c>
      <c r="D120" s="34" t="str">
        <f>textvalue!Q120</f>
        <v>Syahriyah = Rp 450.000
Jariyah = Rp 1.000.000
Daftar Ulang = Rp 0
Total = Rp 1.450.000
______________________
ID : 2024070436</v>
      </c>
      <c r="E120" s="34" t="str">
        <f>textvalue!P120</f>
        <v>Rp 1.450.000</v>
      </c>
    </row>
    <row r="121">
      <c r="A121" s="34" t="str">
        <f>$E$1&amp;""&amp;textvalue!H121</f>
        <v>+6281311516716</v>
      </c>
      <c r="B121" s="34" t="str">
        <f>textvalue!B121</f>
        <v>ANUGRAH RAFIKHA DEWANI</v>
      </c>
      <c r="C121" s="34" t="str">
        <f>textvalue!$E$1&amp;" : "&amp;textvalue!E121&amp;"
"&amp;textvalue!$G$1&amp;" : "&amp;textvalue!G121</f>
        <v>KAMAR : E-2
MADRASIAH : 3 ULA C PUTRI</v>
      </c>
      <c r="D121" s="34" t="str">
        <f>textvalue!Q121</f>
        <v>Syahriyah = Rp 1.000.000
Jariyah = Rp 500.000
Daftar Ulang = Rp 0
Total = Rp 1.500.000
______________________
ID : 2024070618</v>
      </c>
      <c r="E121" s="34" t="str">
        <f>textvalue!P121</f>
        <v>Rp 1.500.000</v>
      </c>
    </row>
    <row r="122">
      <c r="A122" s="34" t="str">
        <f>$E$1&amp;""&amp;textvalue!H122</f>
        <v>+6285731554886</v>
      </c>
      <c r="B122" s="34" t="str">
        <f>textvalue!B122</f>
        <v>FANY MUFIDAH SARI</v>
      </c>
      <c r="C122" s="34" t="str">
        <f>textvalue!$E$1&amp;" : "&amp;textvalue!E122&amp;"
"&amp;textvalue!$G$1&amp;" : "&amp;textvalue!G122</f>
        <v>KAMAR : E-2
MADRASIAH : 3 WUSTHO A PUTRI</v>
      </c>
      <c r="D122" s="34" t="str">
        <f>textvalue!Q122</f>
        <v>Syahriyah = Rp 500.000
Jariyah = Rp 1.000.000
Daftar Ulang = Rp 0
Total = Rp 1.500.000
______________________
ID : 2024070329</v>
      </c>
      <c r="E122" s="34" t="str">
        <f>textvalue!P122</f>
        <v>Rp 1.500.000</v>
      </c>
    </row>
    <row r="123">
      <c r="A123" s="34" t="str">
        <f>$E$1&amp;""&amp;textvalue!H123</f>
        <v>+6285815030873</v>
      </c>
      <c r="B123" s="34" t="str">
        <f>textvalue!B123</f>
        <v>NOUR ALIFATURR DHEA VANESYA</v>
      </c>
      <c r="C123" s="34" t="str">
        <f>textvalue!$E$1&amp;" : "&amp;textvalue!E123&amp;"
"&amp;textvalue!$G$1&amp;" : "&amp;textvalue!G123</f>
        <v>KAMAR : E-3
MADRASIAH : 3 ULA C PUTRI</v>
      </c>
      <c r="D123" s="34" t="str">
        <f>textvalue!Q123</f>
        <v>Syahriyah = Rp 500.000
Jariyah = Rp 1.000.000
Daftar Ulang = Rp 0
Total = Rp 1.500.000
______________________
ID : 2024070613</v>
      </c>
      <c r="E123" s="34" t="str">
        <f>textvalue!P123</f>
        <v>Rp 1.500.000</v>
      </c>
    </row>
    <row r="124">
      <c r="A124" s="34" t="str">
        <f>$E$1&amp;""&amp;textvalue!H124</f>
        <v>+6285855700260</v>
      </c>
      <c r="B124" s="34" t="str">
        <f>textvalue!B124</f>
        <v>NUR FAZA KAMILA</v>
      </c>
      <c r="C124" s="34" t="str">
        <f>textvalue!$E$1&amp;" : "&amp;textvalue!E124&amp;"
"&amp;textvalue!$G$1&amp;" : "&amp;textvalue!G124</f>
        <v>KAMAR : E-2
MADRASIAH : 3 ULA C PUTRI</v>
      </c>
      <c r="D124" s="34" t="str">
        <f>textvalue!Q124</f>
        <v>Syahriyah = Rp 500.000
Jariyah = Rp 1.000.000
Daftar Ulang = Rp 0
Total = Rp 1.500.000
______________________
ID : 2024070467</v>
      </c>
      <c r="E124" s="34" t="str">
        <f>textvalue!P124</f>
        <v>Rp 1.500.000</v>
      </c>
    </row>
    <row r="125">
      <c r="A125" s="34" t="str">
        <f>$E$1&amp;""&amp;textvalue!H125</f>
        <v>+6282198021057</v>
      </c>
      <c r="B125" s="34" t="str">
        <f>textvalue!B125</f>
        <v>DILLA ADHATUL FITRI</v>
      </c>
      <c r="C125" s="34" t="str">
        <f>textvalue!$E$1&amp;" : "&amp;textvalue!E125&amp;"
"&amp;textvalue!$G$1&amp;" : "&amp;textvalue!G125</f>
        <v>KAMAR : D-7
MADRASIAH : </v>
      </c>
      <c r="D125" s="34" t="str">
        <f>textvalue!Q125</f>
        <v>Syahriyah = Rp 0
Jariyah = Rp 1.600.000
Daftar Ulang = Rp 0
Total = Rp 1.600.000
______________________
ID : 2024070004</v>
      </c>
      <c r="E125" s="34" t="str">
        <f>textvalue!P125</f>
        <v>Rp 1.600.000</v>
      </c>
    </row>
    <row r="126">
      <c r="A126" s="34" t="str">
        <f>$E$1&amp;""&amp;textvalue!H126</f>
        <v>+6285853949817</v>
      </c>
      <c r="B126" s="34" t="str">
        <f>textvalue!B126</f>
        <v>FATIR APRILIANT SYAH</v>
      </c>
      <c r="C126" s="34" t="str">
        <f>textvalue!$E$1&amp;" : "&amp;textvalue!E126&amp;"
"&amp;textvalue!$G$1&amp;" : "&amp;textvalue!G126</f>
        <v>KAMAR : A-7
MADRASIAH : 3 ULA A PUTRA</v>
      </c>
      <c r="D126" s="34" t="str">
        <f>textvalue!Q126</f>
        <v>Syahriyah = Rp 1.230.000
Jariyah = Rp 500.000
Daftar Ulang = Rp 0
Total = Rp 1.730.000
______________________
ID : 2024070660</v>
      </c>
      <c r="E126" s="34" t="str">
        <f>textvalue!P126</f>
        <v>Rp 1.730.000</v>
      </c>
    </row>
    <row r="127">
      <c r="A127" s="34" t="str">
        <f>$E$1&amp;""&amp;textvalue!H127</f>
        <v>+6281779129473</v>
      </c>
      <c r="B127" s="34" t="str">
        <f>textvalue!B127</f>
        <v>DZAKIR ZAMAHSARI EL GHIFARI ZEIN</v>
      </c>
      <c r="C127" s="34" t="str">
        <f>textvalue!$E$1&amp;" : "&amp;textvalue!E127&amp;"
"&amp;textvalue!$G$1&amp;" : "&amp;textvalue!G127</f>
        <v>KAMAR : A-8
MADRASIAH : 3 ULA B PUTRA</v>
      </c>
      <c r="D127" s="34" t="str">
        <f>textvalue!Q127</f>
        <v>Syahriyah = Rp 1.800.000
Jariyah = Rp 0
Daftar Ulang = Rp 0
Total = Rp 1.800.000
______________________
ID : 2024070624</v>
      </c>
      <c r="E127" s="34" t="str">
        <f>textvalue!P127</f>
        <v>Rp 1.800.000</v>
      </c>
    </row>
    <row r="128">
      <c r="A128" s="34" t="str">
        <f>$E$1&amp;""&amp;textvalue!H128</f>
        <v>+6282255832815</v>
      </c>
      <c r="B128" s="34" t="str">
        <f>textvalue!B128</f>
        <v>RIZKY ADITYA</v>
      </c>
      <c r="C128" s="34" t="str">
        <f>textvalue!$E$1&amp;" : "&amp;textvalue!E128&amp;"
"&amp;textvalue!$G$1&amp;" : "&amp;textvalue!G128</f>
        <v>KAMAR : A-7
MADRASIAH : 3 ULA B PUTRA</v>
      </c>
      <c r="D128" s="34" t="str">
        <f>textvalue!Q128</f>
        <v>Syahriyah = Rp 1.350.000
Jariyah = Rp 500.000
Daftar Ulang = Rp 0
Total = Rp 1.850.000
______________________
ID : 2024070592</v>
      </c>
      <c r="E128" s="34" t="str">
        <f>textvalue!P128</f>
        <v>Rp 1.850.000</v>
      </c>
    </row>
    <row r="129">
      <c r="A129" s="34" t="str">
        <f>$E$1&amp;""&amp;textvalue!H129</f>
        <v>+6281252102661</v>
      </c>
      <c r="B129" s="34" t="str">
        <f>textvalue!B129</f>
        <v>SELVIA DEWI ASMAUL KHUSNADA</v>
      </c>
      <c r="C129" s="34" t="str">
        <f>textvalue!$E$1&amp;" : "&amp;textvalue!E129&amp;"
"&amp;textvalue!$G$1&amp;" : "&amp;textvalue!G129</f>
        <v>KAMAR : C-12
MADRASIAH : </v>
      </c>
      <c r="D129" s="34" t="str">
        <f>textvalue!Q129</f>
        <v>Syahriyah = Rp 1.350.000
Jariyah = Rp 500.000
Daftar Ulang = Rp 0
Total = Rp 1.850.000
______________________
ID : 2024070511</v>
      </c>
      <c r="E129" s="34" t="str">
        <f>textvalue!P129</f>
        <v>Rp 1.850.000</v>
      </c>
    </row>
    <row r="130">
      <c r="A130" s="34" t="str">
        <f>$E$1&amp;""&amp;textvalue!H130</f>
        <v>+6285648855706</v>
      </c>
      <c r="B130" s="34" t="str">
        <f>textvalue!B130</f>
        <v>FARIKHATUL ISTIMAROH</v>
      </c>
      <c r="C130" s="34" t="str">
        <f>textvalue!$E$1&amp;" : "&amp;textvalue!E130&amp;"
"&amp;textvalue!$G$1&amp;" : "&amp;textvalue!G130</f>
        <v>KAMAR : C-7
MADRASIAH : 3 MAK PUTRI</v>
      </c>
      <c r="D130" s="34" t="str">
        <f>textvalue!Q130</f>
        <v>Syahriyah = Rp 900.000
Jariyah = Rp 1.000.000
Daftar Ulang = Rp 0
Total = Rp 1.900.000
______________________
ID : 2024070419</v>
      </c>
      <c r="E130" s="34" t="str">
        <f>textvalue!P130</f>
        <v>Rp 1.900.000</v>
      </c>
    </row>
    <row r="131">
      <c r="A131" s="34" t="str">
        <f>$E$1&amp;""&amp;textvalue!H131</f>
        <v>+6285707808910</v>
      </c>
      <c r="B131" s="34" t="str">
        <f>textvalue!B131</f>
        <v>FITA ARUMNI SEPTHIANY</v>
      </c>
      <c r="C131" s="34" t="str">
        <f>textvalue!$E$1&amp;" : "&amp;textvalue!E131&amp;"
"&amp;textvalue!$G$1&amp;" : "&amp;textvalue!G131</f>
        <v>KAMAR : C-2
MADRASIAH : </v>
      </c>
      <c r="D131" s="34" t="str">
        <f>textvalue!Q131</f>
        <v>Syahriyah = Rp 900.000
Jariyah = Rp 1.000.000
Daftar Ulang = Rp 0
Total = Rp 1.900.000
______________________
ID : 2024070008</v>
      </c>
      <c r="E131" s="34" t="str">
        <f>textvalue!P131</f>
        <v>Rp 1.900.000</v>
      </c>
    </row>
    <row r="132">
      <c r="A132" s="34" t="str">
        <f>$E$1&amp;""&amp;textvalue!H132</f>
        <v>+6285755578060</v>
      </c>
      <c r="B132" s="34" t="str">
        <f>textvalue!B132</f>
        <v>PUTRI SALSABILA RAHMA NOVALITA</v>
      </c>
      <c r="C132" s="34" t="str">
        <f>textvalue!$E$1&amp;" : "&amp;textvalue!E132&amp;"
"&amp;textvalue!$G$1&amp;" : "&amp;textvalue!G132</f>
        <v>KAMAR : C-3
MADRASIAH : </v>
      </c>
      <c r="D132" s="34" t="str">
        <f>textvalue!Q132</f>
        <v>Syahriyah = Rp 900.000
Jariyah = Rp 1.000.000
Daftar Ulang = Rp 0
Total = Rp 1.900.000
______________________
ID : 2024070545</v>
      </c>
      <c r="E132" s="34" t="str">
        <f>textvalue!P132</f>
        <v>Rp 1.900.000</v>
      </c>
    </row>
    <row r="133">
      <c r="A133" s="34" t="str">
        <f>$E$1&amp;""&amp;textvalue!H133</f>
        <v>+6285645276494</v>
      </c>
      <c r="B133" s="34" t="str">
        <f>textvalue!B133</f>
        <v>SAHRUL DICKY ARDIANSYAH</v>
      </c>
      <c r="C133" s="34" t="str">
        <f>textvalue!$E$1&amp;" : "&amp;textvalue!E133&amp;"
"&amp;textvalue!$G$1&amp;" : "&amp;textvalue!G133</f>
        <v>KAMAR : A-7
MADRASIAH : 3 ULA B PUTRA</v>
      </c>
      <c r="D133" s="34" t="str">
        <f>textvalue!Q133</f>
        <v>Syahriyah = Rp 900.000
Jariyah = Rp 1.000.000
Daftar Ulang = Rp 0
Total = Rp 1.900.000
______________________
ID : 2024070616</v>
      </c>
      <c r="E133" s="34" t="str">
        <f>textvalue!P133</f>
        <v>Rp 1.900.000</v>
      </c>
    </row>
    <row r="134">
      <c r="A134" s="34" t="str">
        <f>$E$1&amp;""&amp;textvalue!H134</f>
        <v>+6282330812041</v>
      </c>
      <c r="B134" s="34" t="str">
        <f>textvalue!B134</f>
        <v>AL IMROTUL KUSNIA</v>
      </c>
      <c r="C134" s="34" t="str">
        <f>textvalue!$E$1&amp;" : "&amp;textvalue!E134&amp;"
"&amp;textvalue!$G$1&amp;" : "&amp;textvalue!G134</f>
        <v>KAMAR : E-2
MADRASIAH : 3 ULA C PUTRI</v>
      </c>
      <c r="D134" s="34" t="str">
        <f>textvalue!Q134</f>
        <v>Syahriyah = Rp 2.000.000
Jariyah = Rp 0
Daftar Ulang = Rp 0
Total = Rp 2.000.000
______________________
ID : 2024070483</v>
      </c>
      <c r="E134" s="34" t="str">
        <f>textvalue!P134</f>
        <v>Rp 2.000.000</v>
      </c>
    </row>
    <row r="135">
      <c r="A135" s="34" t="str">
        <f>$E$1&amp;""&amp;textvalue!H135</f>
        <v>+6285813135311</v>
      </c>
      <c r="B135" s="34" t="str">
        <f>textvalue!B135</f>
        <v>NILLA ADDINIA KHAFSOH</v>
      </c>
      <c r="C135" s="34" t="str">
        <f>textvalue!$E$1&amp;" : "&amp;textvalue!E135&amp;"
"&amp;textvalue!$G$1&amp;" : "&amp;textvalue!G135</f>
        <v>KAMAR : E-3
MADRASIAH : 3 WUSTHO C PUTRI</v>
      </c>
      <c r="D135" s="34" t="str">
        <f>textvalue!Q135</f>
        <v>Syahriyah = Rp 1.000.000
Jariyah = Rp 1.000.000
Daftar Ulang = Rp 0
Total = Rp 2.000.000
______________________
ID : 2024070195</v>
      </c>
      <c r="E135" s="34" t="str">
        <f>textvalue!P135</f>
        <v>Rp 2.000.000</v>
      </c>
    </row>
    <row r="136">
      <c r="A136" s="34" t="str">
        <f>$E$1&amp;""&amp;textvalue!H136</f>
        <v>+6285809004813</v>
      </c>
      <c r="B136" s="34" t="str">
        <f>textvalue!B136</f>
        <v>MOCH. FAJAR QOMARUDIN FEBRIAN</v>
      </c>
      <c r="C136" s="34" t="str">
        <f>textvalue!$E$1&amp;" : "&amp;textvalue!E136&amp;"
"&amp;textvalue!$G$1&amp;" : "&amp;textvalue!G136</f>
        <v>KAMAR : A-10
MADRASIAH : 3 WUSTHO PUTRA</v>
      </c>
      <c r="D136" s="34" t="str">
        <f>textvalue!Q136</f>
        <v>Syahriyah = Rp 1.890.000
Jariyah = Rp 0
Daftar Ulang = Rp 250.000
Total = Rp 2.140.000
______________________
ID : 2024070678</v>
      </c>
      <c r="E136" s="34" t="str">
        <f>textvalue!P136</f>
        <v>Rp 2.140.000</v>
      </c>
    </row>
    <row r="137">
      <c r="A137" s="34" t="str">
        <f>$E$1&amp;""&amp;textvalue!H137</f>
        <v>+6285731755110</v>
      </c>
      <c r="B137" s="34" t="str">
        <f>textvalue!B137</f>
        <v>HUSNADYAH FATMAHWATI</v>
      </c>
      <c r="C137" s="34" t="str">
        <f>textvalue!$E$1&amp;" : "&amp;textvalue!E137&amp;"
"&amp;textvalue!$G$1&amp;" : "&amp;textvalue!G137</f>
        <v>KAMAR : D-6
MADRASIAH : 3 WUSTHO C PUTRI</v>
      </c>
      <c r="D137" s="34" t="str">
        <f>textvalue!Q137</f>
        <v>Syahriyah = Rp 2.250.000
Jariyah = Rp 0
Daftar Ulang = Rp 0
Total = Rp 2.250.000
______________________
ID : 2024070115</v>
      </c>
      <c r="E137" s="34" t="str">
        <f>textvalue!P137</f>
        <v>Rp 2.250.000</v>
      </c>
    </row>
    <row r="138">
      <c r="A138" s="34" t="str">
        <f>$E$1&amp;""&amp;textvalue!H138</f>
        <v>+6285732998926</v>
      </c>
      <c r="B138" s="34" t="str">
        <f>textvalue!B138</f>
        <v>SAFIRA FIDIYASARI</v>
      </c>
      <c r="C138" s="34" t="str">
        <f>textvalue!$E$1&amp;" : "&amp;textvalue!E138&amp;"
"&amp;textvalue!$G$1&amp;" : "&amp;textvalue!G138</f>
        <v>KAMAR : C-3
MADRASIAH : </v>
      </c>
      <c r="D138" s="34" t="str">
        <f>textvalue!Q138</f>
        <v>Syahriyah = Rp 1.800.000
Jariyah = Rp 500.000
Daftar Ulang = Rp 0
Total = Rp 2.300.000
______________________
ID : 2024070632</v>
      </c>
      <c r="E138" s="34" t="str">
        <f>textvalue!P138</f>
        <v>Rp 2.300.000</v>
      </c>
    </row>
    <row r="139">
      <c r="A139" s="34" t="str">
        <f>$E$1&amp;""&amp;textvalue!H139</f>
        <v>+6285608570934</v>
      </c>
      <c r="B139" s="34" t="str">
        <f>textvalue!B139</f>
        <v>AMINATUS SALMA</v>
      </c>
      <c r="C139" s="34" t="str">
        <f>textvalue!$E$1&amp;" : "&amp;textvalue!E139&amp;"
"&amp;textvalue!$G$1&amp;" : "&amp;textvalue!G139</f>
        <v>KAMAR : D-6
MADRASIAH : 3 WUSTHO C PUTRI</v>
      </c>
      <c r="D139" s="34" t="str">
        <f>textvalue!Q139</f>
        <v>Syahriyah = Rp 1.350.000
Jariyah = Rp 1.000.000
Daftar Ulang = Rp 0
Total = Rp 2.350.000
______________________
ID : 2024070186</v>
      </c>
      <c r="E139" s="34" t="str">
        <f>textvalue!P139</f>
        <v>Rp 2.350.000</v>
      </c>
    </row>
    <row r="140">
      <c r="A140" s="34" t="str">
        <f>$E$1&amp;""&amp;textvalue!H140</f>
        <v>+6285102700597</v>
      </c>
      <c r="B140" s="34" t="str">
        <f>textvalue!B140</f>
        <v>BUNGA SALSABILA RAHMAH</v>
      </c>
      <c r="C140" s="34" t="str">
        <f>textvalue!$E$1&amp;" : "&amp;textvalue!E140&amp;"
"&amp;textvalue!$G$1&amp;" : "&amp;textvalue!G140</f>
        <v>KAMAR : C-7
MADRASIAH : </v>
      </c>
      <c r="D140" s="34" t="str">
        <f>textvalue!Q140</f>
        <v>Syahriyah = Rp 1.350.000
Jariyah = Rp 1.000.000
Daftar Ulang = Rp 0
Total = Rp 2.350.000
______________________
ID : 2024071520</v>
      </c>
      <c r="E140" s="34" t="str">
        <f>textvalue!P140</f>
        <v>Rp 2.350.000</v>
      </c>
    </row>
    <row r="141">
      <c r="A141" s="34" t="str">
        <f>$E$1&amp;""&amp;textvalue!H141</f>
        <v>+6285736463854</v>
      </c>
      <c r="B141" s="34" t="str">
        <f>textvalue!B141</f>
        <v>NAJWA ERILAH</v>
      </c>
      <c r="C141" s="34" t="str">
        <f>textvalue!$E$1&amp;" : "&amp;textvalue!E141&amp;"
"&amp;textvalue!$G$1&amp;" : "&amp;textvalue!G141</f>
        <v>KAMAR : D-7
MADRASIAH : </v>
      </c>
      <c r="D141" s="34" t="str">
        <f>textvalue!Q141</f>
        <v>Syahriyah = Rp 1.350.000
Jariyah = Rp 1.000.000
Daftar Ulang = Rp 0
Total = Rp 2.350.000
______________________
ID : 2024070020</v>
      </c>
      <c r="E141" s="34" t="str">
        <f>textvalue!P141</f>
        <v>Rp 2.350.000</v>
      </c>
    </row>
    <row r="142">
      <c r="A142" s="34" t="str">
        <f>$E$1&amp;""&amp;textvalue!H142</f>
        <v>+6285735467317</v>
      </c>
      <c r="B142" s="34" t="str">
        <f>textvalue!B142</f>
        <v>ILHAFAH ARYA NOVRYANI</v>
      </c>
      <c r="C142" s="34" t="str">
        <f>textvalue!$E$1&amp;" : "&amp;textvalue!E142&amp;"
"&amp;textvalue!$G$1&amp;" : "&amp;textvalue!G142</f>
        <v>KAMAR : E-3
MADRASIAH : 3 ULA B PUTRI</v>
      </c>
      <c r="D142" s="34" t="str">
        <f>textvalue!Q142</f>
        <v>Syahriyah = Rp 1.500.000
Jariyah = Rp 1.000.000
Daftar Ulang = Rp 0
Total = Rp 2.500.000
______________________
ID : 2024070617</v>
      </c>
      <c r="E142" s="34" t="str">
        <f>textvalue!P142</f>
        <v>Rp 2.500.000</v>
      </c>
    </row>
    <row r="143">
      <c r="A143" s="34" t="str">
        <f>$E$1&amp;""&amp;textvalue!H143</f>
        <v>+6289537096560</v>
      </c>
      <c r="B143" s="34" t="str">
        <f>textvalue!B143</f>
        <v>DAVINA NANGSYA AZZAHRAH</v>
      </c>
      <c r="C143" s="34" t="str">
        <f>textvalue!$E$1&amp;" : "&amp;textvalue!E143&amp;"
"&amp;textvalue!$G$1&amp;" : "&amp;textvalue!G143</f>
        <v>KAMAR : E-3
MADRASIAH : 3 WUSTHO A PUTRI</v>
      </c>
      <c r="D143" s="34" t="str">
        <f>textvalue!Q143</f>
        <v>Syahriyah = Rp 2.160.000
Jariyah = Rp 0
Daftar Ulang = Rp 350.000
Total = Rp 2.510.000
______________________
ID : 2024070415</v>
      </c>
      <c r="E143" s="34" t="str">
        <f>textvalue!P143</f>
        <v>Rp 2.510.000</v>
      </c>
    </row>
    <row r="144">
      <c r="A144" s="34" t="str">
        <f>$E$1&amp;""&amp;textvalue!H144</f>
        <v>+6285792978952</v>
      </c>
      <c r="B144" s="34" t="str">
        <f>textvalue!B144</f>
        <v>DEWI SHOFIYAH NUR HIMMATUSSALAFIYA</v>
      </c>
      <c r="C144" s="34" t="str">
        <f>textvalue!$E$1&amp;" : "&amp;textvalue!E144&amp;"
"&amp;textvalue!$G$1&amp;" : "&amp;textvalue!G144</f>
        <v>KAMAR : D-6
MADRASIAH : 3 MAK PUTRI</v>
      </c>
      <c r="D144" s="34" t="str">
        <f>textvalue!Q144</f>
        <v>Syahriyah = Rp 2.700.000
Jariyah = Rp 0
Daftar Ulang = Rp 0
Total = Rp 2.700.000
______________________
ID : 2024070416</v>
      </c>
      <c r="E144" s="34" t="str">
        <f>textvalue!P144</f>
        <v>Rp 2.700.000</v>
      </c>
    </row>
    <row r="145">
      <c r="A145" s="34" t="str">
        <f>$E$1&amp;""&amp;textvalue!H145</f>
        <v>+601163973701</v>
      </c>
      <c r="B145" s="34" t="str">
        <f>textvalue!B145</f>
        <v>EIRMA NAFISYAH ADILLAH</v>
      </c>
      <c r="C145" s="34" t="str">
        <f>textvalue!$E$1&amp;" : "&amp;textvalue!E145&amp;"
"&amp;textvalue!$G$1&amp;" : "&amp;textvalue!G145</f>
        <v>KAMAR : C-9
MADRASIAH : 3 WUSTHO B PUTRI</v>
      </c>
      <c r="D145" s="34" t="str">
        <f>textvalue!Q145</f>
        <v>Syahriyah = Rp 2.700.000
Jariyah = Rp 0
Daftar Ulang = Rp 0
Total = Rp 2.700.000
______________________
ID : 2024070190</v>
      </c>
      <c r="E145" s="34" t="str">
        <f>textvalue!P145</f>
        <v>Rp 2.700.000</v>
      </c>
    </row>
    <row r="146">
      <c r="A146" s="34" t="str">
        <f>$E$1&amp;""&amp;textvalue!H146</f>
        <v>+6285655438946</v>
      </c>
      <c r="B146" s="34" t="str">
        <f>textvalue!B146</f>
        <v>HARITSATUN NAJWA ABIDAH ALBANAN</v>
      </c>
      <c r="C146" s="34" t="str">
        <f>textvalue!$E$1&amp;" : "&amp;textvalue!E146&amp;"
"&amp;textvalue!$G$1&amp;" : "&amp;textvalue!G146</f>
        <v>KAMAR : C-3
MADRASIAH : </v>
      </c>
      <c r="D146" s="34" t="str">
        <f>textvalue!Q146</f>
        <v>Syahriyah = Rp 2.700.000
Jariyah = Rp 0
Daftar Ulang = Rp 0
Total = Rp 2.700.000
______________________
ID : 2024070569</v>
      </c>
      <c r="E146" s="34" t="str">
        <f>textvalue!P146</f>
        <v>Rp 2.700.000</v>
      </c>
    </row>
    <row r="147">
      <c r="A147" s="34" t="str">
        <f>$E$1&amp;""&amp;textvalue!H147</f>
        <v>+6285648312663</v>
      </c>
      <c r="B147" s="34" t="str">
        <f>textvalue!B147</f>
        <v>NUR IFATURAHMAH</v>
      </c>
      <c r="C147" s="34" t="str">
        <f>textvalue!$E$1&amp;" : "&amp;textvalue!E147&amp;"
"&amp;textvalue!$G$1&amp;" : "&amp;textvalue!G147</f>
        <v>KAMAR : D-7
MADRASIAH : 3 ULA B PUTRI</v>
      </c>
      <c r="D147" s="34" t="str">
        <f>textvalue!Q147</f>
        <v>Syahriyah = Rp 2.700.000
Jariyah = Rp 0
Daftar Ulang = Rp 0
Total = Rp 2.700.000
______________________
ID : 2024070505</v>
      </c>
      <c r="E147" s="34" t="str">
        <f>textvalue!P147</f>
        <v>Rp 2.700.000</v>
      </c>
    </row>
    <row r="148">
      <c r="A148" s="34" t="str">
        <f>$E$1&amp;""&amp;textvalue!H148</f>
        <v>+6285777721366</v>
      </c>
      <c r="B148" s="34" t="str">
        <f>textvalue!B148</f>
        <v>KHARIS DWI FIRMANA</v>
      </c>
      <c r="C148" s="34" t="str">
        <f>textvalue!$E$1&amp;" : "&amp;textvalue!E148&amp;"
"&amp;textvalue!$G$1&amp;" : "&amp;textvalue!G148</f>
        <v>KAMAR : A-8
MADRASIAH : 3 ULA B PUTRA</v>
      </c>
      <c r="D148" s="34" t="str">
        <f>textvalue!Q148</f>
        <v/>
      </c>
      <c r="E148" s="34" t="str">
        <f>textvalue!P148</f>
        <v/>
      </c>
    </row>
    <row r="149">
      <c r="A149" s="34" t="str">
        <f>$E$1&amp;""&amp;textvalue!H149</f>
        <v>+6285808721207</v>
      </c>
      <c r="B149" s="34" t="str">
        <f>textvalue!B149</f>
        <v>ADELIA YULIANTI PUTRI</v>
      </c>
      <c r="C149" s="34" t="str">
        <f>textvalue!$E$1&amp;" : "&amp;textvalue!E149&amp;"
"&amp;textvalue!$G$1&amp;" : "&amp;textvalue!G149</f>
        <v>KAMAR : C-12
MADRASIAH : 3 ULA A PUTRI</v>
      </c>
      <c r="D149" s="34" t="str">
        <f>textvalue!Q149</f>
        <v/>
      </c>
      <c r="E149" s="34" t="str">
        <f>textvalue!P149</f>
        <v/>
      </c>
    </row>
    <row r="150">
      <c r="A150" s="34" t="str">
        <f>$E$1&amp;""&amp;textvalue!H150</f>
        <v>+6285731022920</v>
      </c>
      <c r="B150" s="34" t="str">
        <f>textvalue!B150</f>
        <v>ATIQAH FAIRUZAH</v>
      </c>
      <c r="C150" s="34" t="str">
        <f>textvalue!$E$1&amp;" : "&amp;textvalue!E150&amp;"
"&amp;textvalue!$G$1&amp;" : "&amp;textvalue!G150</f>
        <v>KAMAR : C-3
MADRASIAH : 3 ULA A PUTRI</v>
      </c>
      <c r="D150" s="34" t="str">
        <f>textvalue!Q150</f>
        <v/>
      </c>
      <c r="E150" s="34" t="str">
        <f>textvalue!P150</f>
        <v/>
      </c>
    </row>
    <row r="151">
      <c r="A151" s="34" t="str">
        <f>$E$1&amp;""&amp;textvalue!H151</f>
        <v>+6285871052078</v>
      </c>
      <c r="B151" s="34" t="str">
        <f>textvalue!B151</f>
        <v>FAQUR ROZIQ MAULUDI</v>
      </c>
      <c r="C151" s="34" t="str">
        <f>textvalue!$E$1&amp;" : "&amp;textvalue!E151&amp;"
"&amp;textvalue!$G$1&amp;" : "&amp;textvalue!G151</f>
        <v>KAMAR : A-7
MADRASIAH : 3 ULA B PUTRA</v>
      </c>
      <c r="D151" s="34" t="str">
        <f>textvalue!Q151</f>
        <v/>
      </c>
      <c r="E151" s="34" t="str">
        <f>textvalue!P151</f>
        <v/>
      </c>
    </row>
    <row r="152">
      <c r="A152" s="34" t="str">
        <f>$E$1&amp;""&amp;textvalue!H152</f>
        <v>+6285731327129</v>
      </c>
      <c r="B152" s="34" t="str">
        <f>textvalue!B152</f>
        <v>HANIK FARKHATUS SHOLIKHAH</v>
      </c>
      <c r="C152" s="34" t="str">
        <f>textvalue!$E$1&amp;" : "&amp;textvalue!E152&amp;"
"&amp;textvalue!$G$1&amp;" : "&amp;textvalue!G152</f>
        <v>KAMAR : C-13
MADRASIAH : 3 ULA B PUTRI</v>
      </c>
      <c r="D152" s="34" t="str">
        <f>textvalue!Q152</f>
        <v/>
      </c>
      <c r="E152" s="34" t="str">
        <f>textvalue!P152</f>
        <v/>
      </c>
    </row>
    <row r="153">
      <c r="A153" s="34" t="str">
        <f>$E$1&amp;""&amp;textvalue!H153</f>
        <v>+6285755534326</v>
      </c>
      <c r="B153" s="34" t="str">
        <f>textvalue!B153</f>
        <v>MUHAMMAD EZA AL`IMRON</v>
      </c>
      <c r="C153" s="34" t="str">
        <f>textvalue!$E$1&amp;" : "&amp;textvalue!E153&amp;"
"&amp;textvalue!$G$1&amp;" : "&amp;textvalue!G153</f>
        <v>KAMAR : A-7
MADRASIAH : 3 ULA B PUTRA</v>
      </c>
      <c r="D153" s="34" t="str">
        <f>textvalue!Q153</f>
        <v/>
      </c>
      <c r="E153" s="34" t="str">
        <f>textvalue!P153</f>
        <v/>
      </c>
    </row>
    <row r="154">
      <c r="A154" s="34" t="str">
        <f>$E$1&amp;""&amp;textvalue!H154</f>
        <v>+6285707564507</v>
      </c>
      <c r="B154" s="34" t="str">
        <f>textvalue!B154</f>
        <v>AZURO SABILA FAZZA MAULIDAH</v>
      </c>
      <c r="C154" s="34" t="str">
        <f>textvalue!$E$1&amp;" : "&amp;textvalue!E154&amp;"
"&amp;textvalue!$G$1&amp;" : "&amp;textvalue!G154</f>
        <v>KAMAR : E-2
MADRASIAH : 3 ULA C PUTRI</v>
      </c>
      <c r="D154" s="34" t="str">
        <f>textvalue!Q154</f>
        <v/>
      </c>
      <c r="E154" s="34" t="str">
        <f>textvalue!P154</f>
        <v/>
      </c>
    </row>
    <row r="155">
      <c r="A155" s="34" t="str">
        <f>$E$1&amp;""&amp;textvalue!H155</f>
        <v>+6285649089570</v>
      </c>
      <c r="B155" s="34" t="str">
        <f>textvalue!B155</f>
        <v>KHARISYAH NADYATUR ROHMAH</v>
      </c>
      <c r="C155" s="34" t="str">
        <f>textvalue!$E$1&amp;" : "&amp;textvalue!E155&amp;"
"&amp;textvalue!$G$1&amp;" : "&amp;textvalue!G155</f>
        <v>KAMAR : E-2
MADRASIAH : 3 ULA C PUTRI</v>
      </c>
      <c r="D155" s="34" t="str">
        <f>textvalue!Q155</f>
        <v/>
      </c>
      <c r="E155" s="34" t="str">
        <f>textvalue!P155</f>
        <v/>
      </c>
    </row>
    <row r="156">
      <c r="A156" s="34" t="str">
        <f>$E$1&amp;""&amp;textvalue!H156</f>
        <v>+6285748191884</v>
      </c>
      <c r="B156" s="34" t="str">
        <f>textvalue!B156</f>
        <v>MAZIDATUL ILMI OKTARISA DINI</v>
      </c>
      <c r="C156" s="34" t="str">
        <f>textvalue!$E$1&amp;" : "&amp;textvalue!E156&amp;"
"&amp;textvalue!$G$1&amp;" : "&amp;textvalue!G156</f>
        <v>KAMAR : D-7
MADRASIAH : 3 MAK PUTRI</v>
      </c>
      <c r="D156" s="34" t="str">
        <f>textvalue!Q156</f>
        <v/>
      </c>
      <c r="E156" s="34" t="str">
        <f>textvalue!P156</f>
        <v/>
      </c>
    </row>
    <row r="157">
      <c r="A157" s="34" t="str">
        <f>$E$1&amp;""&amp;textvalue!H157</f>
        <v>+6281615233482</v>
      </c>
      <c r="B157" s="34" t="str">
        <f>textvalue!B157</f>
        <v>FARAH ALTHAFUN NISA`</v>
      </c>
      <c r="C157" s="34" t="str">
        <f>textvalue!$E$1&amp;" : "&amp;textvalue!E157&amp;"
"&amp;textvalue!$G$1&amp;" : "&amp;textvalue!G157</f>
        <v>KAMAR : C-12
MADRASIAH : </v>
      </c>
      <c r="D157" s="34" t="str">
        <f>textvalue!Q157</f>
        <v/>
      </c>
      <c r="E157" s="34" t="str">
        <f>textvalue!P157</f>
        <v/>
      </c>
    </row>
    <row r="158">
      <c r="A158" s="34" t="str">
        <f>$E$1&amp;""&amp;textvalue!H158</f>
        <v>+6289653941550</v>
      </c>
      <c r="B158" s="34" t="str">
        <f>textvalue!B158</f>
        <v>SALWA EKA SAFITRI</v>
      </c>
      <c r="C158" s="34" t="str">
        <f>textvalue!$E$1&amp;" : "&amp;textvalue!E158&amp;"
"&amp;textvalue!$G$1&amp;" : "&amp;textvalue!G158</f>
        <v>KAMAR : B-10
MADRASIAH : 3 ULA C PUTRI</v>
      </c>
      <c r="D158" s="34" t="str">
        <f>textvalue!Q158</f>
        <v/>
      </c>
      <c r="E158" s="34" t="str">
        <f>textvalue!P158</f>
        <v/>
      </c>
    </row>
    <row r="159">
      <c r="A159" s="34" t="str">
        <f>$E$1&amp;""&amp;textvalue!H159</f>
        <v>+6285805516619</v>
      </c>
      <c r="B159" s="34" t="str">
        <f>textvalue!B159</f>
        <v>RAISA PUTRI ELYSIA SADIRA</v>
      </c>
      <c r="C159" s="34" t="str">
        <f>textvalue!$E$1&amp;" : "&amp;textvalue!E159&amp;"
"&amp;textvalue!$G$1&amp;" : "&amp;textvalue!G159</f>
        <v>KAMAR : B-10
MADRASIAH : 3 ULA A PUTRI</v>
      </c>
      <c r="D159" s="34" t="str">
        <f>textvalue!Q159</f>
        <v/>
      </c>
      <c r="E159" s="34" t="str">
        <f>textvalue!P159</f>
        <v/>
      </c>
    </row>
    <row r="160">
      <c r="A160" s="34" t="str">
        <f>$E$1&amp;""&amp;textvalue!H160</f>
        <v>+6285707549770</v>
      </c>
      <c r="B160" s="34" t="str">
        <f>textvalue!B160</f>
        <v>ANGELINA KIBRIYAH SAFITRI</v>
      </c>
      <c r="C160" s="34" t="str">
        <f>textvalue!$E$1&amp;" : "&amp;textvalue!E160&amp;"
"&amp;textvalue!$G$1&amp;" : "&amp;textvalue!G160</f>
        <v>KAMAR : E-3
MADRASIAH : 3 WUSTHO B PUTRI</v>
      </c>
      <c r="D160" s="34" t="str">
        <f>textvalue!Q160</f>
        <v/>
      </c>
      <c r="E160" s="34" t="str">
        <f>textvalue!P160</f>
        <v/>
      </c>
    </row>
    <row r="161">
      <c r="A161" s="34" t="str">
        <f>$E$1&amp;""&amp;textvalue!H161</f>
        <v>+6285730854693</v>
      </c>
      <c r="B161" s="34" t="str">
        <f>textvalue!B161</f>
        <v>MOH. RAFY ANDIKA ROHMAN</v>
      </c>
      <c r="C161" s="34" t="str">
        <f>textvalue!$E$1&amp;" : "&amp;textvalue!E161&amp;"
"&amp;textvalue!$G$1&amp;" : "&amp;textvalue!G161</f>
        <v>KAMAR : A-10
MADRASIAH : 3 WUSTHO PUTRA</v>
      </c>
      <c r="D161" s="34" t="str">
        <f>textvalue!Q161</f>
        <v/>
      </c>
      <c r="E161" s="34" t="str">
        <f>textvalue!P161</f>
        <v/>
      </c>
    </row>
    <row r="162">
      <c r="A162" s="34" t="str">
        <f>$E$1&amp;""&amp;textvalue!H162</f>
        <v>+6285133823392</v>
      </c>
      <c r="B162" s="34" t="str">
        <f>textvalue!B162</f>
        <v>ROBI`AH AL-ADHAWIYAH</v>
      </c>
      <c r="C162" s="34" t="str">
        <f>textvalue!$E$1&amp;" : "&amp;textvalue!E162&amp;"
"&amp;textvalue!$G$1&amp;" : "&amp;textvalue!G162</f>
        <v>KAMAR : D-7
MADRASIAH : </v>
      </c>
      <c r="D162" s="34" t="str">
        <f>textvalue!Q162</f>
        <v/>
      </c>
      <c r="E162" s="34" t="str">
        <f>textvalue!P162</f>
        <v/>
      </c>
    </row>
    <row r="163">
      <c r="A163" s="34" t="str">
        <f>$E$1&amp;""&amp;textvalue!H163</f>
        <v>+6285748986490</v>
      </c>
      <c r="B163" s="34" t="str">
        <f>textvalue!B163</f>
        <v>HIMMATU ZAWA ARRIFA</v>
      </c>
      <c r="C163" s="34" t="str">
        <f>textvalue!$E$1&amp;" : "&amp;textvalue!E163&amp;"
"&amp;textvalue!$G$1&amp;" : "&amp;textvalue!G163</f>
        <v>KAMAR : C-8
MADRASIAH : 3 WUSTHO B PUTRI</v>
      </c>
      <c r="D163" s="34" t="str">
        <f>textvalue!Q163</f>
        <v/>
      </c>
      <c r="E163" s="34" t="str">
        <f>textvalue!P163</f>
        <v/>
      </c>
    </row>
    <row r="164">
      <c r="A164" s="34" t="str">
        <f>$E$1&amp;""&amp;textvalue!H164</f>
        <v>+</v>
      </c>
      <c r="B164" s="34" t="str">
        <f>textvalue!B164</f>
        <v>RIZKY YUSUF MAULANA</v>
      </c>
      <c r="C164" s="34" t="str">
        <f>textvalue!$E$1&amp;" : "&amp;textvalue!E164&amp;"
"&amp;textvalue!$G$1&amp;" : "&amp;textvalue!G164</f>
        <v>KAMAR : A-7
MADRASIAH : 3 ULA A PUTRA</v>
      </c>
      <c r="D164" s="34" t="str">
        <f>textvalue!Q164</f>
        <v/>
      </c>
      <c r="E164" s="34" t="str">
        <f>textvalue!P164</f>
        <v/>
      </c>
    </row>
    <row r="165">
      <c r="A165" s="34" t="str">
        <f>$E$1&amp;""&amp;textvalue!H165</f>
        <v>+6285536895754</v>
      </c>
      <c r="B165" s="34" t="str">
        <f>textvalue!B165</f>
        <v>MUHAMMAD HAIKAL JAMALUDDIN RUMMY</v>
      </c>
      <c r="C165" s="34" t="str">
        <f>textvalue!$E$1&amp;" : "&amp;textvalue!E165&amp;"
"&amp;textvalue!$G$1&amp;" : "&amp;textvalue!G165</f>
        <v>KAMAR : A-8
MADRASIAH : 3 ULA B PUTRA</v>
      </c>
      <c r="D165" s="34" t="str">
        <f>textvalue!Q165</f>
        <v/>
      </c>
      <c r="E165" s="34" t="str">
        <f>textvalue!P165</f>
        <v/>
      </c>
    </row>
    <row r="166">
      <c r="A166" s="34" t="str">
        <f>$E$1&amp;""&amp;textvalue!H166</f>
        <v>+628564085976</v>
      </c>
      <c r="B166" s="34" t="str">
        <f>textvalue!B166</f>
        <v>FIRNANDA KHOLAGUL HIDAYATUS MUAWIYAH</v>
      </c>
      <c r="C166" s="34" t="str">
        <f>textvalue!$E$1&amp;" : "&amp;textvalue!E166&amp;"
"&amp;textvalue!$G$1&amp;" : "&amp;textvalue!G166</f>
        <v>KAMAR : C-7
MADRASIAH : </v>
      </c>
      <c r="D166" s="34" t="str">
        <f>textvalue!Q166</f>
        <v/>
      </c>
      <c r="E166" s="34" t="str">
        <f>textvalue!P166</f>
        <v/>
      </c>
    </row>
    <row r="167">
      <c r="A167" s="34" t="str">
        <f>$E$1&amp;""&amp;textvalue!H167</f>
        <v>+6282231516103</v>
      </c>
      <c r="B167" s="34" t="str">
        <f>textvalue!B167</f>
        <v>RAVAUL ZAHIDAH</v>
      </c>
      <c r="C167" s="34" t="str">
        <f>textvalue!$E$1&amp;" : "&amp;textvalue!E167&amp;"
"&amp;textvalue!$G$1&amp;" : "&amp;textvalue!G167</f>
        <v>KAMAR : C-3
MADRASIAH : 3 ULA B PUTRI</v>
      </c>
      <c r="D167" s="34" t="str">
        <f>textvalue!Q167</f>
        <v/>
      </c>
      <c r="E167" s="34" t="str">
        <f>textvalue!P167</f>
        <v/>
      </c>
    </row>
    <row r="168">
      <c r="A168" s="34" t="str">
        <f>$E$1&amp;""&amp;textvalue!H168</f>
        <v>+6285748111696</v>
      </c>
      <c r="B168" s="34" t="str">
        <f>textvalue!B168</f>
        <v>ILHAM AWALUDDIN RIJALUL BARPI</v>
      </c>
      <c r="C168" s="34" t="str">
        <f>textvalue!$E$1&amp;" : "&amp;textvalue!E168&amp;"
"&amp;textvalue!$G$1&amp;" : "&amp;textvalue!G168</f>
        <v>KAMAR : A-13
MADRASIAH : </v>
      </c>
      <c r="D168" s="34" t="str">
        <f>textvalue!Q168</f>
        <v/>
      </c>
      <c r="E168" s="34" t="str">
        <f>textvalue!P168</f>
        <v/>
      </c>
    </row>
    <row r="169">
      <c r="A169" s="34" t="str">
        <f>$E$1&amp;""&amp;textvalue!H169</f>
        <v>+628130372202</v>
      </c>
      <c r="B169" s="34" t="str">
        <f>textvalue!B169</f>
        <v>HAFIDZ ALFITO ZAEIN</v>
      </c>
      <c r="C169" s="34" t="str">
        <f>textvalue!$E$1&amp;" : "&amp;textvalue!E169&amp;"
"&amp;textvalue!$G$1&amp;" : "&amp;textvalue!G169</f>
        <v>KAMAR : A-7
MADRASIAH : 3 ULA B PUTRA</v>
      </c>
      <c r="D169" s="34" t="str">
        <f>textvalue!Q169</f>
        <v/>
      </c>
      <c r="E169" s="34" t="str">
        <f>textvalue!P169</f>
        <v/>
      </c>
    </row>
    <row r="170">
      <c r="A170" s="34" t="str">
        <f>$E$1&amp;""&amp;textvalue!H170</f>
        <v>+6285765987279</v>
      </c>
      <c r="B170" s="34" t="str">
        <f>textvalue!B170</f>
        <v>AHMAD BAKER ADLAN</v>
      </c>
      <c r="C170" s="34" t="str">
        <f>textvalue!$E$1&amp;" : "&amp;textvalue!E170&amp;"
"&amp;textvalue!$G$1&amp;" : "&amp;textvalue!G170</f>
        <v>KAMAR : A-7
MADRASIAH : 3 ULA A PUTRA</v>
      </c>
      <c r="D170" s="34" t="str">
        <f>textvalue!Q170</f>
        <v/>
      </c>
      <c r="E170" s="34" t="str">
        <f>textvalue!P170</f>
        <v/>
      </c>
    </row>
    <row r="171">
      <c r="A171" s="34" t="str">
        <f>$E$1&amp;""&amp;textvalue!H171</f>
        <v>+628579002358</v>
      </c>
      <c r="B171" s="34" t="str">
        <f>textvalue!B171</f>
        <v>ANDIKA CAHYO BUDI LAKSONO</v>
      </c>
      <c r="C171" s="34" t="str">
        <f>textvalue!$E$1&amp;" : "&amp;textvalue!E171&amp;"
"&amp;textvalue!$G$1&amp;" : "&amp;textvalue!G171</f>
        <v>KAMAR : A-7
MADRASIAH : 3 ULA A PUTRA</v>
      </c>
      <c r="D171" s="34" t="str">
        <f>textvalue!Q171</f>
        <v/>
      </c>
      <c r="E171" s="34" t="str">
        <f>textvalue!P171</f>
        <v/>
      </c>
    </row>
    <row r="172">
      <c r="A172" s="34" t="str">
        <f>$E$1&amp;""&amp;textvalue!H172</f>
        <v>+6281237377978</v>
      </c>
      <c r="B172" s="34" t="str">
        <f>textvalue!B172</f>
        <v>MOHAMAD NOVAL JALALUDIN</v>
      </c>
      <c r="C172" s="34" t="str">
        <f>textvalue!$E$1&amp;" : "&amp;textvalue!E172&amp;"
"&amp;textvalue!$G$1&amp;" : "&amp;textvalue!G172</f>
        <v>KAMAR : A-8
MADRASIAH : 3 ULA A PUTRA</v>
      </c>
      <c r="D172" s="34" t="str">
        <f>textvalue!Q172</f>
        <v/>
      </c>
      <c r="E172" s="34" t="str">
        <f>textvalue!P172</f>
        <v/>
      </c>
    </row>
    <row r="173">
      <c r="A173" s="34" t="str">
        <f>$E$1&amp;""&amp;textvalue!H173</f>
        <v>+6289501850865</v>
      </c>
      <c r="B173" s="34" t="str">
        <f>textvalue!B173</f>
        <v>FATIMAH</v>
      </c>
      <c r="C173" s="34" t="str">
        <f>textvalue!$E$1&amp;" : "&amp;textvalue!E173&amp;"
"&amp;textvalue!$G$1&amp;" : "&amp;textvalue!G173</f>
        <v>KAMAR : E-2
MADRASIAH : 3 WUSTHO A PUTRI</v>
      </c>
      <c r="D173" s="34" t="str">
        <f>textvalue!Q173</f>
        <v/>
      </c>
      <c r="E173" s="34" t="str">
        <f>textvalue!P173</f>
        <v/>
      </c>
    </row>
    <row r="174">
      <c r="A174" s="34" t="str">
        <f>$E$1&amp;""&amp;textvalue!H174</f>
        <v>+6285646030802</v>
      </c>
      <c r="B174" s="34" t="str">
        <f>textvalue!B174</f>
        <v>AHMAD GUTI JAELANI</v>
      </c>
      <c r="C174" s="34" t="str">
        <f>textvalue!$E$1&amp;" : "&amp;textvalue!E174&amp;"
"&amp;textvalue!$G$1&amp;" : "&amp;textvalue!G174</f>
        <v>KAMAR : A-10
MADRASIAH : 3 WUSTHO PUTRA</v>
      </c>
      <c r="D174" s="34" t="str">
        <f>textvalue!Q174</f>
        <v/>
      </c>
      <c r="E174" s="34" t="str">
        <f>textvalue!P174</f>
        <v/>
      </c>
    </row>
    <row r="175">
      <c r="A175" s="34" t="str">
        <f>$E$1&amp;""&amp;textvalue!H175</f>
        <v>+6285856033004</v>
      </c>
      <c r="B175" s="34" t="str">
        <f>textvalue!B175</f>
        <v>DZAKIRAH THALITA ZAHRA</v>
      </c>
      <c r="C175" s="34" t="str">
        <f>textvalue!$E$1&amp;" : "&amp;textvalue!E175&amp;"
"&amp;textvalue!$G$1&amp;" : "&amp;textvalue!G175</f>
        <v>KAMAR : D-7
MADRASIAH : </v>
      </c>
      <c r="D175" s="34" t="str">
        <f>textvalue!Q175</f>
        <v/>
      </c>
      <c r="E175" s="34" t="str">
        <f>textvalue!P175</f>
        <v/>
      </c>
    </row>
    <row r="176">
      <c r="A176" s="34" t="str">
        <f>$E$1&amp;""&amp;textvalue!H176</f>
        <v>+6285608656615</v>
      </c>
      <c r="B176" s="34" t="str">
        <f>textvalue!B176</f>
        <v>KAYLA SABRINA ANGGRAINI</v>
      </c>
      <c r="C176" s="34" t="str">
        <f>textvalue!$E$1&amp;" : "&amp;textvalue!E176&amp;"
"&amp;textvalue!$G$1&amp;" : "&amp;textvalue!G176</f>
        <v>KAMAR : D-4
MADRASIAH : 3 ULA B PUTRI</v>
      </c>
      <c r="D176" s="34" t="str">
        <f>textvalue!Q176</f>
        <v/>
      </c>
      <c r="E176" s="34" t="str">
        <f>textvalue!P176</f>
        <v/>
      </c>
    </row>
    <row r="177">
      <c r="A177" s="34" t="str">
        <f>$E$1&amp;""&amp;textvalue!H177</f>
        <v>+6283856332218</v>
      </c>
      <c r="B177" s="34" t="str">
        <f>textvalue!B177</f>
        <v>DEWI ZAIDATUL RAHMA</v>
      </c>
      <c r="C177" s="34" t="str">
        <f>textvalue!$E$1&amp;" : "&amp;textvalue!E177&amp;"
"&amp;textvalue!$G$1&amp;" : "&amp;textvalue!G177</f>
        <v>KAMAR : D-6
MADRASIAH : 3 MAK PUTRI</v>
      </c>
      <c r="D177" s="34" t="str">
        <f>textvalue!Q177</f>
        <v/>
      </c>
      <c r="E177" s="34" t="str">
        <f>textvalue!P177</f>
        <v/>
      </c>
    </row>
    <row r="178">
      <c r="A178" s="34" t="str">
        <f>$E$1&amp;""&amp;textvalue!H178</f>
        <v>+6281999644191</v>
      </c>
      <c r="B178" s="34" t="str">
        <f>textvalue!B178</f>
        <v>NIA KRISNAWATI</v>
      </c>
      <c r="C178" s="34" t="str">
        <f>textvalue!$E$1&amp;" : "&amp;textvalue!E178&amp;"
"&amp;textvalue!$G$1&amp;" : "&amp;textvalue!G178</f>
        <v>KAMAR : C-12
MADRASIAH : 3 ULA B PUTRI</v>
      </c>
      <c r="D178" s="34" t="str">
        <f>textvalue!Q178</f>
        <v/>
      </c>
      <c r="E178" s="34" t="str">
        <f>textvalue!P178</f>
        <v/>
      </c>
    </row>
    <row r="179">
      <c r="A179" s="34" t="str">
        <f>$E$1&amp;""&amp;textvalue!H179</f>
        <v>+6285645123489</v>
      </c>
      <c r="B179" s="34" t="str">
        <f>textvalue!B179</f>
        <v>PARAMITA ANGGRAINI</v>
      </c>
      <c r="C179" s="34" t="str">
        <f>textvalue!$E$1&amp;" : "&amp;textvalue!E179&amp;"
"&amp;textvalue!$G$1&amp;" : "&amp;textvalue!G179</f>
        <v>KAMAR : B-4
MADRASIAH : 3 WUSTHO C PUTRI</v>
      </c>
      <c r="D179" s="34" t="str">
        <f>textvalue!Q179</f>
        <v/>
      </c>
      <c r="E179" s="34" t="str">
        <f>textvalue!P179</f>
        <v/>
      </c>
    </row>
    <row r="180">
      <c r="A180" s="34" t="str">
        <f>$E$1&amp;""&amp;textvalue!H180</f>
        <v>+6281216463303</v>
      </c>
      <c r="B180" s="34" t="str">
        <f>textvalue!B180</f>
        <v>KHUMAIRO FAUZIA</v>
      </c>
      <c r="C180" s="34" t="str">
        <f>textvalue!$E$1&amp;" : "&amp;textvalue!E180&amp;"
"&amp;textvalue!$G$1&amp;" : "&amp;textvalue!G180</f>
        <v>KAMAR : B-9
MADRASIAH : 3 ULA C PUTRI</v>
      </c>
      <c r="D180" s="34" t="str">
        <f>textvalue!Q180</f>
        <v/>
      </c>
      <c r="E180" s="34" t="str">
        <f>textvalue!P180</f>
        <v/>
      </c>
    </row>
    <row r="181">
      <c r="A181" s="34" t="str">
        <f>$E$1&amp;""&amp;textvalue!H181</f>
        <v>+6285648971511</v>
      </c>
      <c r="B181" s="34" t="str">
        <f>textvalue!B181</f>
        <v>MUHAMMAD IQBAL MAULANA PUTRA</v>
      </c>
      <c r="C181" s="34" t="str">
        <f>textvalue!$E$1&amp;" : "&amp;textvalue!E181&amp;"
"&amp;textvalue!$G$1&amp;" : "&amp;textvalue!G181</f>
        <v>KAMAR : A-8
MADRASIAH : 3 ULA B PUTRA</v>
      </c>
      <c r="D181" s="34" t="str">
        <f>textvalue!Q181</f>
        <v/>
      </c>
      <c r="E181" s="34" t="str">
        <f>textvalue!P181</f>
        <v/>
      </c>
    </row>
    <row r="182">
      <c r="A182" s="34" t="str">
        <f>$E$1&amp;""&amp;textvalue!H182</f>
        <v>+6285648522402</v>
      </c>
      <c r="B182" s="34" t="str">
        <f>textvalue!B182</f>
        <v>AYUNDA KIRANA QURROTUL ISHAQIYYAH</v>
      </c>
      <c r="C182" s="34" t="str">
        <f>textvalue!$E$1&amp;" : "&amp;textvalue!E182&amp;"
"&amp;textvalue!$G$1&amp;" : "&amp;textvalue!G182</f>
        <v>KAMAR : B-10
MADRASIAH : 3 ULA A PUTRI</v>
      </c>
      <c r="D182" s="34" t="str">
        <f>textvalue!Q182</f>
        <v/>
      </c>
      <c r="E182" s="34" t="str">
        <f>textvalue!P182</f>
        <v/>
      </c>
    </row>
    <row r="183">
      <c r="A183" s="34" t="str">
        <f>$E$1&amp;""&amp;textvalue!H183</f>
        <v>+6285604642145</v>
      </c>
      <c r="B183" s="34" t="str">
        <f>textvalue!B183</f>
        <v>ISTHOFI NADA MILLAH</v>
      </c>
      <c r="C183" s="34" t="str">
        <f>textvalue!$E$1&amp;" : "&amp;textvalue!E183&amp;"
"&amp;textvalue!$G$1&amp;" : "&amp;textvalue!G183</f>
        <v>KAMAR : D-7
MADRASIAH : </v>
      </c>
      <c r="D183" s="34" t="str">
        <f>textvalue!Q183</f>
        <v/>
      </c>
      <c r="E183" s="34" t="str">
        <f>textvalue!P183</f>
        <v/>
      </c>
    </row>
    <row r="184">
      <c r="A184" s="34" t="str">
        <f>$E$1&amp;""&amp;textvalue!H184</f>
        <v>+6282140638884</v>
      </c>
      <c r="B184" s="34" t="str">
        <f>textvalue!B184</f>
        <v>ANGEL CYNTYA DEWI MAULIDAH</v>
      </c>
      <c r="C184" s="34" t="str">
        <f>textvalue!$E$1&amp;" : "&amp;textvalue!E184&amp;"
"&amp;textvalue!$G$1&amp;" : "&amp;textvalue!G184</f>
        <v>KAMAR : D-7
MADRASIAH : </v>
      </c>
      <c r="D184" s="34" t="str">
        <f>textvalue!Q184</f>
        <v/>
      </c>
      <c r="E184" s="34" t="str">
        <f>textvalue!P184</f>
        <v/>
      </c>
    </row>
    <row r="185">
      <c r="A185" s="34" t="str">
        <f>$E$1&amp;""&amp;textvalue!H185</f>
        <v>+6281330367368</v>
      </c>
      <c r="B185" s="34" t="str">
        <f>textvalue!B185</f>
        <v>FIKA ANJANI CAMELIA AL AJEMAIN</v>
      </c>
      <c r="C185" s="34" t="str">
        <f>textvalue!$E$1&amp;" : "&amp;textvalue!E185&amp;"
"&amp;textvalue!$G$1&amp;" : "&amp;textvalue!G185</f>
        <v>KAMAR : D-7
MADRASIAH : </v>
      </c>
      <c r="D185" s="34" t="str">
        <f>textvalue!Q185</f>
        <v/>
      </c>
      <c r="E185" s="34" t="str">
        <f>textvalue!P185</f>
        <v/>
      </c>
    </row>
    <row r="186">
      <c r="A186" s="34" t="str">
        <f>$E$1&amp;""&amp;textvalue!H186</f>
        <v>+</v>
      </c>
      <c r="B186" s="34" t="str">
        <f>textvalue!B186</f>
        <v/>
      </c>
      <c r="C186" s="34" t="str">
        <f>textvalue!$E$1&amp;" : "&amp;textvalue!E186&amp;"
"&amp;textvalue!$G$1&amp;" : "&amp;textvalue!G186</f>
        <v>KAMAR : 
MADRASIAH : </v>
      </c>
      <c r="D186" s="34" t="str">
        <f>textvalue!Q186</f>
        <v/>
      </c>
      <c r="E186" s="34" t="str">
        <f>textvalue!P186</f>
        <v/>
      </c>
    </row>
    <row r="187">
      <c r="A187" s="34" t="str">
        <f>$E$1&amp;""&amp;textvalue!H187</f>
        <v>+</v>
      </c>
      <c r="B187" s="34" t="str">
        <f>textvalue!B187</f>
        <v/>
      </c>
      <c r="C187" s="34" t="str">
        <f>textvalue!$E$1&amp;" : "&amp;textvalue!E187&amp;"
"&amp;textvalue!$G$1&amp;" : "&amp;textvalue!G187</f>
        <v>KAMAR : 
MADRASIAH : </v>
      </c>
      <c r="D187" s="34" t="str">
        <f>textvalue!Q187</f>
        <v/>
      </c>
      <c r="E187" s="34" t="str">
        <f>textvalue!P187</f>
        <v/>
      </c>
    </row>
    <row r="188">
      <c r="A188" s="34" t="str">
        <f>$E$1&amp;""&amp;textvalue!H188</f>
        <v>+</v>
      </c>
      <c r="B188" s="34" t="str">
        <f>textvalue!B188</f>
        <v/>
      </c>
      <c r="C188" s="34" t="str">
        <f>textvalue!$E$1&amp;" : "&amp;textvalue!E188&amp;"
"&amp;textvalue!$G$1&amp;" : "&amp;textvalue!G188</f>
        <v>KAMAR : 
MADRASIAH : </v>
      </c>
      <c r="D188" s="34" t="str">
        <f>textvalue!Q188</f>
        <v/>
      </c>
      <c r="E188" s="34" t="str">
        <f>textvalue!P188</f>
        <v/>
      </c>
    </row>
    <row r="189">
      <c r="A189" s="34" t="str">
        <f>$E$1&amp;""&amp;textvalue!H189</f>
        <v>+</v>
      </c>
      <c r="B189" s="34" t="str">
        <f>textvalue!B189</f>
        <v/>
      </c>
      <c r="C189" s="34" t="str">
        <f>textvalue!$E$1&amp;" : "&amp;textvalue!E189&amp;"
"&amp;textvalue!$G$1&amp;" : "&amp;textvalue!G189</f>
        <v>KAMAR : 
MADRASIAH : </v>
      </c>
      <c r="D189" s="34" t="str">
        <f>textvalue!Q189</f>
        <v/>
      </c>
      <c r="E189" s="34" t="str">
        <f>textvalue!P189</f>
        <v/>
      </c>
    </row>
    <row r="190">
      <c r="A190" s="34" t="str">
        <f>$E$1&amp;""&amp;textvalue!H190</f>
        <v>+</v>
      </c>
      <c r="B190" s="34" t="str">
        <f>textvalue!B190</f>
        <v/>
      </c>
      <c r="C190" s="34" t="str">
        <f>textvalue!$E$1&amp;" : "&amp;textvalue!E190&amp;"
"&amp;textvalue!$G$1&amp;" : "&amp;textvalue!G190</f>
        <v>KAMAR : 
MADRASIAH : </v>
      </c>
      <c r="D190" s="34" t="str">
        <f>textvalue!Q190</f>
        <v/>
      </c>
      <c r="E190" s="34" t="str">
        <f>textvalue!P190</f>
        <v/>
      </c>
    </row>
    <row r="191">
      <c r="A191" s="34" t="str">
        <f>$E$1&amp;""&amp;textvalue!H191</f>
        <v>+</v>
      </c>
      <c r="B191" s="34" t="str">
        <f>textvalue!B191</f>
        <v/>
      </c>
      <c r="C191" s="34" t="str">
        <f>textvalue!$E$1&amp;" : "&amp;textvalue!E191&amp;"
"&amp;textvalue!$G$1&amp;" : "&amp;textvalue!G191</f>
        <v>KAMAR : 
MADRASIAH : </v>
      </c>
      <c r="D191" s="34" t="str">
        <f>textvalue!Q191</f>
        <v/>
      </c>
      <c r="E191" s="34" t="str">
        <f>textvalue!P191</f>
        <v/>
      </c>
    </row>
    <row r="192">
      <c r="A192" s="34" t="str">
        <f>$E$1&amp;""&amp;textvalue!H192</f>
        <v>+</v>
      </c>
      <c r="B192" s="34" t="str">
        <f>textvalue!B192</f>
        <v/>
      </c>
      <c r="C192" s="34" t="str">
        <f>textvalue!$E$1&amp;" : "&amp;textvalue!E192&amp;"
"&amp;textvalue!$G$1&amp;" : "&amp;textvalue!G192</f>
        <v>KAMAR : 
MADRASIAH : </v>
      </c>
      <c r="D192" s="34" t="str">
        <f>textvalue!Q192</f>
        <v/>
      </c>
      <c r="E192" s="34" t="str">
        <f>textvalue!P192</f>
        <v/>
      </c>
    </row>
    <row r="193">
      <c r="A193" s="34" t="str">
        <f>$E$1&amp;""&amp;textvalue!H193</f>
        <v>+</v>
      </c>
      <c r="B193" s="34" t="str">
        <f>textvalue!B193</f>
        <v/>
      </c>
      <c r="C193" s="34" t="str">
        <f>textvalue!$E$1&amp;" : "&amp;textvalue!E193&amp;"
"&amp;textvalue!$G$1&amp;" : "&amp;textvalue!G193</f>
        <v>KAMAR : 
MADRASIAH : </v>
      </c>
      <c r="D193" s="34" t="str">
        <f>textvalue!Q193</f>
        <v/>
      </c>
      <c r="E193" s="34" t="str">
        <f>textvalue!P193</f>
        <v/>
      </c>
    </row>
    <row r="194">
      <c r="A194" s="34" t="str">
        <f>$E$1&amp;""&amp;textvalue!H194</f>
        <v>+</v>
      </c>
      <c r="B194" s="34" t="str">
        <f>textvalue!B194</f>
        <v/>
      </c>
      <c r="C194" s="34" t="str">
        <f>textvalue!$E$1&amp;" : "&amp;textvalue!E194&amp;"
"&amp;textvalue!$G$1&amp;" : "&amp;textvalue!G194</f>
        <v>KAMAR : 
MADRASIAH : </v>
      </c>
      <c r="D194" s="34" t="str">
        <f>textvalue!Q194</f>
        <v/>
      </c>
      <c r="E194" s="34" t="str">
        <f>textvalue!P194</f>
        <v/>
      </c>
    </row>
    <row r="195">
      <c r="A195" s="34" t="str">
        <f>$E$1&amp;""&amp;textvalue!H195</f>
        <v>+</v>
      </c>
      <c r="B195" s="34" t="str">
        <f>textvalue!B195</f>
        <v/>
      </c>
      <c r="C195" s="34" t="str">
        <f>textvalue!$E$1&amp;" : "&amp;textvalue!E195&amp;"
"&amp;textvalue!$G$1&amp;" : "&amp;textvalue!G195</f>
        <v>KAMAR : 
MADRASIAH : </v>
      </c>
      <c r="D195" s="34" t="str">
        <f>textvalue!Q195</f>
        <v/>
      </c>
      <c r="E195" s="34" t="str">
        <f>textvalue!P195</f>
        <v/>
      </c>
    </row>
    <row r="196">
      <c r="A196" s="34" t="str">
        <f>$E$1&amp;""&amp;textvalue!H196</f>
        <v>+</v>
      </c>
      <c r="B196" s="34" t="str">
        <f>textvalue!B196</f>
        <v/>
      </c>
      <c r="C196" s="34" t="str">
        <f>textvalue!$E$1&amp;" : "&amp;textvalue!E196&amp;"
"&amp;textvalue!$G$1&amp;" : "&amp;textvalue!G196</f>
        <v>KAMAR : 
MADRASIAH : </v>
      </c>
      <c r="D196" s="34" t="str">
        <f>textvalue!Q196</f>
        <v/>
      </c>
      <c r="E196" s="34" t="str">
        <f>textvalue!P196</f>
        <v/>
      </c>
    </row>
    <row r="197">
      <c r="A197" s="34" t="str">
        <f>$E$1&amp;""&amp;textvalue!H197</f>
        <v>+</v>
      </c>
      <c r="B197" s="34" t="str">
        <f>textvalue!B197</f>
        <v/>
      </c>
      <c r="C197" s="34" t="str">
        <f>textvalue!$E$1&amp;" : "&amp;textvalue!E197&amp;"
"&amp;textvalue!$G$1&amp;" : "&amp;textvalue!G197</f>
        <v>KAMAR : 
MADRASIAH : </v>
      </c>
      <c r="D197" s="34" t="str">
        <f>textvalue!Q197</f>
        <v/>
      </c>
      <c r="E197" s="34" t="str">
        <f>textvalue!P197</f>
        <v/>
      </c>
    </row>
    <row r="198">
      <c r="A198" s="34" t="str">
        <f>$E$1&amp;""&amp;textvalue!H198</f>
        <v>+</v>
      </c>
      <c r="B198" s="34" t="str">
        <f>textvalue!B198</f>
        <v/>
      </c>
      <c r="C198" s="34" t="str">
        <f>textvalue!$E$1&amp;" : "&amp;textvalue!E198&amp;"
"&amp;textvalue!$G$1&amp;" : "&amp;textvalue!G198</f>
        <v>KAMAR : 
MADRASIAH : </v>
      </c>
      <c r="D198" s="34" t="str">
        <f>textvalue!Q198</f>
        <v/>
      </c>
      <c r="E198" s="34" t="str">
        <f>textvalue!P198</f>
        <v/>
      </c>
    </row>
    <row r="199">
      <c r="A199" s="34" t="str">
        <f>$E$1&amp;""&amp;textvalue!H199</f>
        <v>+</v>
      </c>
      <c r="B199" s="34" t="str">
        <f>textvalue!B199</f>
        <v/>
      </c>
      <c r="C199" s="34" t="str">
        <f>textvalue!$E$1&amp;" : "&amp;textvalue!E199&amp;"
"&amp;textvalue!$G$1&amp;" : "&amp;textvalue!G199</f>
        <v>KAMAR : 
MADRASIAH : </v>
      </c>
      <c r="D199" s="34" t="str">
        <f>textvalue!Q199</f>
        <v/>
      </c>
      <c r="E199" s="34" t="str">
        <f>textvalue!P199</f>
        <v/>
      </c>
    </row>
    <row r="200">
      <c r="A200" s="34" t="str">
        <f>$E$1&amp;""&amp;textvalue!H200</f>
        <v>+</v>
      </c>
      <c r="B200" s="34" t="str">
        <f>textvalue!B200</f>
        <v/>
      </c>
      <c r="C200" s="34" t="str">
        <f>textvalue!$E$1&amp;" : "&amp;textvalue!E200&amp;"
"&amp;textvalue!$G$1&amp;" : "&amp;textvalue!G200</f>
        <v>KAMAR : 
MADRASIAH : </v>
      </c>
      <c r="D200" s="34" t="str">
        <f>textvalue!Q200</f>
        <v/>
      </c>
      <c r="E200" s="34" t="str">
        <f>textvalue!P200</f>
        <v/>
      </c>
    </row>
    <row r="201">
      <c r="A201" s="34" t="str">
        <f>$E$1&amp;""&amp;textvalue!H201</f>
        <v>+</v>
      </c>
      <c r="B201" s="34" t="str">
        <f>textvalue!B201</f>
        <v/>
      </c>
      <c r="C201" s="34" t="str">
        <f>textvalue!$E$1&amp;" : "&amp;textvalue!E201&amp;"
"&amp;textvalue!$G$1&amp;" : "&amp;textvalue!G201</f>
        <v>KAMAR : 
MADRASIAH : </v>
      </c>
      <c r="D201" s="34" t="str">
        <f>textvalue!Q201</f>
        <v/>
      </c>
      <c r="E201" s="34" t="str">
        <f>textvalue!P201</f>
        <v/>
      </c>
    </row>
    <row r="202">
      <c r="A202" s="34" t="str">
        <f>$E$1&amp;""&amp;textvalue!H202</f>
        <v>+</v>
      </c>
      <c r="B202" s="34" t="str">
        <f>textvalue!B202</f>
        <v/>
      </c>
      <c r="C202" s="34" t="str">
        <f>textvalue!$E$1&amp;" : "&amp;textvalue!E202&amp;"
"&amp;textvalue!$G$1&amp;" : "&amp;textvalue!G202</f>
        <v>KAMAR : 
MADRASIAH : </v>
      </c>
      <c r="D202" s="34" t="str">
        <f>textvalue!Q202</f>
        <v/>
      </c>
      <c r="E202" s="34" t="str">
        <f>textvalue!P202</f>
        <v/>
      </c>
    </row>
    <row r="203">
      <c r="A203" s="34" t="str">
        <f>$E$1&amp;""&amp;textvalue!H203</f>
        <v>+</v>
      </c>
      <c r="B203" s="34" t="str">
        <f>textvalue!B203</f>
        <v/>
      </c>
      <c r="C203" s="34" t="str">
        <f>textvalue!$E$1&amp;" : "&amp;textvalue!E203&amp;"
"&amp;textvalue!$G$1&amp;" : "&amp;textvalue!G203</f>
        <v>KAMAR : 
MADRASIAH : </v>
      </c>
      <c r="D203" s="34" t="str">
        <f>textvalue!Q203</f>
        <v/>
      </c>
      <c r="E203" s="34" t="str">
        <f>textvalue!P203</f>
        <v/>
      </c>
    </row>
    <row r="204">
      <c r="A204" s="34" t="str">
        <f>$E$1&amp;""&amp;textvalue!H204</f>
        <v>+</v>
      </c>
      <c r="B204" s="34" t="str">
        <f>textvalue!B204</f>
        <v/>
      </c>
      <c r="C204" s="34" t="str">
        <f>textvalue!$E$1&amp;" : "&amp;textvalue!E204&amp;"
"&amp;textvalue!$G$1&amp;" : "&amp;textvalue!G204</f>
        <v>KAMAR : 
MADRASIAH : </v>
      </c>
      <c r="D204" s="34" t="str">
        <f>textvalue!Q204</f>
        <v/>
      </c>
      <c r="E204" s="34" t="str">
        <f>textvalue!P204</f>
        <v/>
      </c>
    </row>
    <row r="205">
      <c r="A205" s="34" t="str">
        <f>$E$1&amp;""&amp;textvalue!H205</f>
        <v>+</v>
      </c>
      <c r="B205" s="34" t="str">
        <f>textvalue!B205</f>
        <v/>
      </c>
      <c r="C205" s="34" t="str">
        <f>textvalue!$E$1&amp;" : "&amp;textvalue!E205&amp;"
"&amp;textvalue!$G$1&amp;" : "&amp;textvalue!G205</f>
        <v>KAMAR : 
MADRASIAH : </v>
      </c>
      <c r="D205" s="34" t="str">
        <f>textvalue!Q205</f>
        <v/>
      </c>
      <c r="E205" s="34" t="str">
        <f>textvalue!P205</f>
        <v/>
      </c>
    </row>
    <row r="206">
      <c r="A206" s="34" t="str">
        <f>$E$1&amp;""&amp;textvalue!H206</f>
        <v>+</v>
      </c>
      <c r="B206" s="34" t="str">
        <f>textvalue!B206</f>
        <v/>
      </c>
      <c r="C206" s="34" t="str">
        <f>textvalue!$E$1&amp;" : "&amp;textvalue!E206&amp;"
"&amp;textvalue!$G$1&amp;" : "&amp;textvalue!G206</f>
        <v>KAMAR : 
MADRASIAH : </v>
      </c>
      <c r="D206" s="34" t="str">
        <f>textvalue!Q206</f>
        <v/>
      </c>
      <c r="E206" s="34" t="str">
        <f>textvalue!P206</f>
        <v/>
      </c>
    </row>
    <row r="207">
      <c r="A207" s="34" t="str">
        <f>$E$1&amp;""&amp;textvalue!H207</f>
        <v>+</v>
      </c>
      <c r="B207" s="34" t="str">
        <f>textvalue!B207</f>
        <v/>
      </c>
      <c r="C207" s="34" t="str">
        <f>textvalue!$E$1&amp;" : "&amp;textvalue!E207&amp;"
"&amp;textvalue!$G$1&amp;" : "&amp;textvalue!G207</f>
        <v>KAMAR : 
MADRASIAH : </v>
      </c>
      <c r="D207" s="34" t="str">
        <f>textvalue!Q207</f>
        <v/>
      </c>
      <c r="E207" s="34" t="str">
        <f>textvalue!P207</f>
        <v/>
      </c>
    </row>
    <row r="208">
      <c r="A208" s="34" t="str">
        <f>$E$1&amp;""&amp;textvalue!H208</f>
        <v>+</v>
      </c>
      <c r="B208" s="34" t="str">
        <f>textvalue!B208</f>
        <v/>
      </c>
      <c r="C208" s="34" t="str">
        <f>textvalue!$E$1&amp;" : "&amp;textvalue!E208&amp;"
"&amp;textvalue!$G$1&amp;" : "&amp;textvalue!G208</f>
        <v>KAMAR : 
MADRASIAH : </v>
      </c>
      <c r="D208" s="34" t="str">
        <f>textvalue!Q208</f>
        <v/>
      </c>
      <c r="E208" s="34" t="str">
        <f>textvalue!P208</f>
        <v/>
      </c>
    </row>
    <row r="209">
      <c r="A209" s="34" t="str">
        <f>$E$1&amp;""&amp;textvalue!H209</f>
        <v>+</v>
      </c>
      <c r="B209" s="34" t="str">
        <f>textvalue!B209</f>
        <v/>
      </c>
      <c r="C209" s="34" t="str">
        <f>textvalue!$E$1&amp;" : "&amp;textvalue!E209&amp;"
"&amp;textvalue!$G$1&amp;" : "&amp;textvalue!G209</f>
        <v>KAMAR : 
MADRASIAH : </v>
      </c>
      <c r="D209" s="34" t="str">
        <f>textvalue!Q209</f>
        <v/>
      </c>
      <c r="E209" s="34" t="str">
        <f>textvalue!P209</f>
        <v/>
      </c>
    </row>
    <row r="210">
      <c r="A210" s="34" t="str">
        <f>$E$1&amp;""&amp;textvalue!H210</f>
        <v>+</v>
      </c>
      <c r="B210" s="34" t="str">
        <f>textvalue!B210</f>
        <v/>
      </c>
      <c r="C210" s="34" t="str">
        <f>textvalue!$E$1&amp;" : "&amp;textvalue!E210&amp;"
"&amp;textvalue!$G$1&amp;" : "&amp;textvalue!G210</f>
        <v>KAMAR : 
MADRASIAH : </v>
      </c>
      <c r="D210" s="34" t="str">
        <f>textvalue!Q210</f>
        <v/>
      </c>
      <c r="E210" s="34" t="str">
        <f>textvalue!P210</f>
        <v/>
      </c>
    </row>
    <row r="211">
      <c r="A211" s="34" t="str">
        <f>$E$1&amp;""&amp;textvalue!H211</f>
        <v>+</v>
      </c>
      <c r="B211" s="34" t="str">
        <f>textvalue!B211</f>
        <v/>
      </c>
      <c r="C211" s="34" t="str">
        <f>textvalue!$E$1&amp;" : "&amp;textvalue!E211&amp;"
"&amp;textvalue!$G$1&amp;" : "&amp;textvalue!G211</f>
        <v>KAMAR : 
MADRASIAH : </v>
      </c>
      <c r="D211" s="34" t="str">
        <f>textvalue!Q211</f>
        <v/>
      </c>
      <c r="E211" s="34" t="str">
        <f>textvalue!P211</f>
        <v/>
      </c>
    </row>
    <row r="212">
      <c r="A212" s="34" t="str">
        <f>$E$1&amp;""&amp;textvalue!H212</f>
        <v>+</v>
      </c>
      <c r="B212" s="34" t="str">
        <f>textvalue!B212</f>
        <v/>
      </c>
      <c r="C212" s="34" t="str">
        <f>textvalue!$E$1&amp;" : "&amp;textvalue!E212&amp;"
"&amp;textvalue!$G$1&amp;" : "&amp;textvalue!G212</f>
        <v>KAMAR : 
MADRASIAH : </v>
      </c>
      <c r="D212" s="34" t="str">
        <f>textvalue!Q212</f>
        <v/>
      </c>
      <c r="E212" s="34" t="str">
        <f>textvalue!P212</f>
        <v/>
      </c>
    </row>
    <row r="213">
      <c r="A213" s="34" t="str">
        <f>$E$1&amp;""&amp;textvalue!H213</f>
        <v>+</v>
      </c>
      <c r="B213" s="34" t="str">
        <f>textvalue!B213</f>
        <v/>
      </c>
      <c r="C213" s="34" t="str">
        <f>textvalue!$E$1&amp;" : "&amp;textvalue!E213&amp;"
"&amp;textvalue!$G$1&amp;" : "&amp;textvalue!G213</f>
        <v>KAMAR : 
MADRASIAH : </v>
      </c>
      <c r="D213" s="34" t="str">
        <f>textvalue!Q213</f>
        <v/>
      </c>
      <c r="E213" s="34" t="str">
        <f>textvalue!P213</f>
        <v/>
      </c>
    </row>
  </sheetData>
  <drawing r:id="rId1"/>
</worksheet>
</file>